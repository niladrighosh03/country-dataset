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io_history" sheetId="1" r:id="rId4"/>
    <sheet state="visible" name="bocce_history" sheetId="2" r:id="rId5"/>
    <sheet state="visible" name="Pallone_history" sheetId="3" r:id="rId6"/>
    <sheet state="visible" name="palio_history" sheetId="4" r:id="rId7"/>
    <sheet state="visible" name="Ruzzola_history" sheetId="5" r:id="rId8"/>
    <sheet state="visible" name="pallanuto_history" sheetId="6" r:id="rId9"/>
    <sheet state="visible" name="pallavolo_history" sheetId="7" r:id="rId10"/>
    <sheet state="visible" name="morra_history" sheetId="8" r:id="rId11"/>
    <sheet state="visible" name="skiing_history" sheetId="9" r:id="rId12"/>
  </sheets>
  <definedNames/>
  <calcPr/>
</workbook>
</file>

<file path=xl/sharedStrings.xml><?xml version="1.0" encoding="utf-8"?>
<sst xmlns="http://schemas.openxmlformats.org/spreadsheetml/2006/main" count="5141" uniqueCount="4787">
  <si>
    <t>Question Number</t>
  </si>
  <si>
    <t>Domanda</t>
  </si>
  <si>
    <t>Opzioni</t>
  </si>
  <si>
    <t>Risposta corretta</t>
  </si>
  <si>
    <t>Descrizione</t>
  </si>
  <si>
    <t>Question</t>
  </si>
  <si>
    <t>Options</t>
  </si>
  <si>
    <t>Correct Answer</t>
  </si>
  <si>
    <t>Description</t>
  </si>
  <si>
    <t>Quanti giocatori ci sono in una squadra di Calcio Storico?</t>
  </si>
  <si>
    <t>A. 11 B. 27 C. 15 D. 8</t>
  </si>
  <si>
    <t>Ogni squadra di Calcio Storico è composta da 27 giocatori.</t>
  </si>
  <si>
    <t>Qual è l'obiettivo principale del Calcio Storico?</t>
  </si>
  <si>
    <t>A. Fare più "caccia" possibile B. Proteggere la porta C. Passare la palla al capitano D. Sfidare il pubblico</t>
  </si>
  <si>
    <t>Fare più "caccia" possibile</t>
  </si>
  <si>
    <t>L'obiettivo è segnare più "caccia" (goal) della squadra avversaria.</t>
  </si>
  <si>
    <t>Come si segna una "caccia" nel Calcio Storico?</t>
  </si>
  <si>
    <t>A. Calciando il pallone nella porta B. Lanciando il pallone sopra una rete C. Facendo passare il pallone in una linea laterale D. Mettendo il pallone in una rete bassa</t>
  </si>
  <si>
    <t>Lanciando il pallone sopra una rete</t>
  </si>
  <si>
    <t>Una "caccia" si segna lanciando la palla sopra la rete avversaria.</t>
  </si>
  <si>
    <t>Cosa succede se si sbaglia un tiro nel Calcio Storico?</t>
  </si>
  <si>
    <t>A. L'altra squadra guadagna un punto B. Il gioco si ferma C. La squadra perde un giocatore D. L'altra squadra perde un punto</t>
  </si>
  <si>
    <t>L'altra squadra guadagna un punto</t>
  </si>
  <si>
    <t>Un errore di tiro assegna un punto agli avversari.</t>
  </si>
  <si>
    <t>Quante squadre partecipano al torneo di Calcio Storico?</t>
  </si>
  <si>
    <t>A. 2 B. 3 C. 4 D. 6</t>
  </si>
  <si>
    <t>Le squadre rappresentano i quattro quartieri storici di Firenze.</t>
  </si>
  <si>
    <t>Quali colori rappresentano i quartieri del Calcio Storico?</t>
  </si>
  <si>
    <t>A. Rosso blu bianco verde B. Giallo nero bianco rosso C. Blu nero verde viola D. Rosso arancione blu giallo</t>
  </si>
  <si>
    <t>Rosso arancione blu giallo</t>
  </si>
  <si>
    <t>I colori sono rosso (Santa Maria Novella) Rosso arancione blu giallo bianco (Santo Spirito) e verde (San Giovanni).</t>
  </si>
  <si>
    <t>Quanto dura una partita di Calcio Storico?</t>
  </si>
  <si>
    <t>A. 60 minuti B. 40 minuti C. 50 minuti D. 20 minuti</t>
  </si>
  <si>
    <t>50 minuti</t>
  </si>
  <si>
    <t>Ogni partita dura 50 minuti senza interruzioni.</t>
  </si>
  <si>
    <t>Dove si svolge tradizionalmente il Calcio Storico?</t>
  </si>
  <si>
    <t>A. Piazza della Repubblica B. Piazza San Marco C. Piazza Santa Croce D. Stadio Artemio Franchi</t>
  </si>
  <si>
    <t>Piazza Santa Croce</t>
  </si>
  <si>
    <t>Le partite si giocano nella storica Piazza Santa Croce a Firenze.</t>
  </si>
  <si>
    <t>Quando si gioca tradizionalmente il torneo di Calcio Storico?</t>
  </si>
  <si>
    <t>A. Natale B. Pasqua C. Giugno D. Agosto</t>
  </si>
  <si>
    <t>Giugno</t>
  </si>
  <si>
    <t>Il torneo si svolge tradizionalmente a giugno.</t>
  </si>
  <si>
    <t>Qual è la regola principale sui contatti fisici nel Calcio Storico?</t>
  </si>
  <si>
    <t>A. Sono completamente vietati B. Sono permessi solo con il pallone C. Non ci sono restrizioni D. Sono consentiti con limitazioni</t>
  </si>
  <si>
    <t>Sono consentiti con limitazioni</t>
  </si>
  <si>
    <t>Il contatto fisico è permesso ma con alcune regole per evitare violenze estreme.</t>
  </si>
  <si>
    <t>Quale parte del corpo non può essere usata per lanciare la palla?</t>
  </si>
  <si>
    <t>A. Le mani B. I piedi C. La testa D. Le braccia</t>
  </si>
  <si>
    <t>I piedi</t>
  </si>
  <si>
    <t>Non è permesso calciare la palla con i piedi.</t>
  </si>
  <si>
    <t>Chi arbitra una partita di Calcio Storico?</t>
  </si>
  <si>
    <t>A. Un solo arbitro centrale B. Una squadra di quattro arbitri C. Un comitato di arbitri D. I capitani delle squadre</t>
  </si>
  <si>
    <t>Un comitato di arbitri</t>
  </si>
  <si>
    <t>Il gioco è supervisionato da un comitato di arbitri per garantire il rispetto delle regole.</t>
  </si>
  <si>
    <t>Come inizia una partita di Calcio Storico?</t>
  </si>
  <si>
    <t>A. Con un calcio d'inizio B. Con una palla al centro C. Con il lancio della palla da parte dell'arbitro D. Con un sorteggio</t>
  </si>
  <si>
    <t>Con il lancio della palla da parte dell'arbitro</t>
  </si>
  <si>
    <t>La partita inizia con il lancio della palla al centro del campo.</t>
  </si>
  <si>
    <t>Quanti attaccanti ha una squadra di Calcio Storico?</t>
  </si>
  <si>
    <t>A. 3 B. 4 C. 5 D. 6</t>
  </si>
  <si>
    <t>Ogni squadra schiera 5 attaccanti.</t>
  </si>
  <si>
    <t>Quanti difensori ci sono in una squadra di Calcio Storico?</t>
  </si>
  <si>
    <t>A. 3 B. 4 C. 8 D. 10</t>
  </si>
  <si>
    <t>Ogni squadra ha 4 difensori.</t>
  </si>
  <si>
    <t>Cosa succede in caso di parità alla fine della partita?</t>
  </si>
  <si>
    <t>A. Supplementari B. Rigori C. La squadra con meno falli vince D. Non esistono pareggi</t>
  </si>
  <si>
    <t>Non esistono pareggi</t>
  </si>
  <si>
    <t>Il Calcio Storico non prevede pareggi; il vincitore viene deciso.</t>
  </si>
  <si>
    <t>Cosa è vietato fare ai portatori di palla?</t>
  </si>
  <si>
    <t>A. Correre più di 10 metri B. Bloccare la palla C. Passare indietro D. Colpire gli avversari</t>
  </si>
  <si>
    <t>Colpire gli avversari</t>
  </si>
  <si>
    <t>Il portatore di palla non può colpire gli avversari.</t>
  </si>
  <si>
    <t>Qual è la superficie del campo da gioco?</t>
  </si>
  <si>
    <t>A. Erba sintetica B. Tappeto di gomma C. Sabbia naturale D. Asfalto</t>
  </si>
  <si>
    <t>Sabbia naturale</t>
  </si>
  <si>
    <t>Il campo è ricoperto di sabbia per ammortizzare gli impatti.</t>
  </si>
  <si>
    <t>Cosa rappresenta storicamente il Calcio Storico?</t>
  </si>
  <si>
    <t>A. Un esercizio religioso B. Un passatempo dei nobili C. Una simulazione di battaglia D. Un gioco per contadini</t>
  </si>
  <si>
    <t>Una simulazione di battaglia</t>
  </si>
  <si>
    <t>Il gioco nasce come addestramento militare.</t>
  </si>
  <si>
    <t>Chi vince il torneo di Calcio Storico?</t>
  </si>
  <si>
    <t>A. Riceve un trofeo d'oro B. Riceve una cena gratuita C. Riceve una mucca D. Non c'è un premio specifico</t>
  </si>
  <si>
    <t>Riceve una mucca</t>
  </si>
  <si>
    <t>Il vincitore tradizionalmente riceve una mucca.</t>
  </si>
  <si>
    <t>Quanti passaggi consecutivi sono permessi prima di un tiro?</t>
  </si>
  <si>
    <t>A. 1 B. 2 C. Illimitati D. 5</t>
  </si>
  <si>
    <t>Illimitati</t>
  </si>
  <si>
    <t>Non ci sono limiti al numero di passaggi.</t>
  </si>
  <si>
    <t>Qual è la lunghezza del campo da gioco?</t>
  </si>
  <si>
    <t>A. 50 metri B. 80 metri C. 100 metri D. 120 metri</t>
  </si>
  <si>
    <t>80 metri</t>
  </si>
  <si>
    <t>Il campo è lungo circa 80 metri.</t>
  </si>
  <si>
    <t>Qual è la larghezza del campo?</t>
  </si>
  <si>
    <t>A. 30 metri B. 40 metri C. 50 metri D. 60 metri</t>
  </si>
  <si>
    <t>40 metri</t>
  </si>
  <si>
    <t>Il campo è largo circa 40 metri.</t>
  </si>
  <si>
    <t>Cosa succede se un giocatore viene espulso?</t>
  </si>
  <si>
    <t>A. La squadra può sostituirlo B. La squadra resta in inferiorità numerica C. Il giocatore rientra dopo 10 minuti D. La partita termina</t>
  </si>
  <si>
    <t>La squadra resta in inferiorità numerica</t>
  </si>
  <si>
    <t>Un giocatore espulso non può essere sostituito.</t>
  </si>
  <si>
    <t>Come si chiama l'arbitro principale?</t>
  </si>
  <si>
    <t>A. Maestro di Campo B. Comandante C. Garantore D. Capitano</t>
  </si>
  <si>
    <t>Maestro di Campo</t>
  </si>
  <si>
    <t>Il Maestro di Campo è l'arbitro principale del gioco.</t>
  </si>
  <si>
    <t>Quante linee centrali ha il campo?</t>
  </si>
  <si>
    <t>A. 1 B. 2 C. 3 D. 4</t>
  </si>
  <si>
    <t>Il campo è diviso da due linee centrali.</t>
  </si>
  <si>
    <t>Quando è nato storicamente il Calcio Storico?</t>
  </si>
  <si>
    <t>A. Nel XIII secolo B. Nel XV secolo C. Nel XVII secolo D. Nel XIX secolo</t>
  </si>
  <si>
    <t>Nel XIII secolo</t>
  </si>
  <si>
    <t>Il gioco ha origine nel XIII secolo.</t>
  </si>
  <si>
    <t>Quanti punti vale una "mezza caccia"?</t>
  </si>
  <si>
    <t>A. 1 B. 2 C. 3 D. 0</t>
  </si>
  <si>
    <t>Una mezza caccia non vale punti.</t>
  </si>
  <si>
    <t>Quale azione è considerata antisportiva?</t>
  </si>
  <si>
    <t>A. Passare lateralmente B. Bloccare la palla C. Colpire un avversario senza motivo D. Gridare</t>
  </si>
  <si>
    <t>Colpire un avversario senza motivo</t>
  </si>
  <si>
    <t>Gli atti violenti gratuiti sono considerati antisportivi.</t>
  </si>
  <si>
    <t>Cosa succede se un giocatore si infortuna?</t>
  </si>
  <si>
    <t>A. Viene sostituito B. Deve lasciare il campo C. Continua a giocare D. La partita viene sospesa</t>
  </si>
  <si>
    <t>Deve lasciare il campo</t>
  </si>
  <si>
    <t>Un giocatore infortunato deve abbandonare il campo.</t>
  </si>
  <si>
    <t>Qual è il ruolo dei "Portatori" nel Calcio Storico?</t>
  </si>
  <si>
    <t>A. Segnare le cacce B. Proteggere i difensori C. Mantenere il possesso palla D. Bloccare i passaggi</t>
  </si>
  <si>
    <t>Mantenere il possesso palla</t>
  </si>
  <si>
    <t>I "Portatori" sono incaricati di mantenere il controllo della palla.</t>
  </si>
  <si>
    <t>Qual è l'importanza del "Capitano" in una squadra di Calcio Storico?</t>
  </si>
  <si>
    <t>A. Segna le cacce B. Arbitra la partita C. Coordina la strategia D. Assume ruoli difensivi</t>
  </si>
  <si>
    <t>Coordina la strategia</t>
  </si>
  <si>
    <t>Il Capitano guida la squadra e decide la tattica.</t>
  </si>
  <si>
    <t>Cosa non è permesso durante i contatti fisici?</t>
  </si>
  <si>
    <t>A. Bloccare l'avversario B. Strattonare la maglia C. Colpire al volto D. Spingere</t>
  </si>
  <si>
    <t>Colpire al volto</t>
  </si>
  <si>
    <t>Colpire al volto è considerato un comportamento scorretto.</t>
  </si>
  <si>
    <t>Qual è l'importanza delle "Guardie"?</t>
  </si>
  <si>
    <t>A. Difendere l'area di rete B. Impedire passaggi lunghi C. Bloccare gli attaccanti D. Proteggere il Capitano</t>
  </si>
  <si>
    <t>Bloccare gli attaccanti</t>
  </si>
  <si>
    <t>Le Guardie sono incaricate di fermare gli attaccanti avversari.</t>
  </si>
  <si>
    <t>Quale atteggiamento è considerato rispettoso verso l'avversario?</t>
  </si>
  <si>
    <t>A. Evitare il contatto fisico B. Evitare insulti e violenze C. Non segnare troppi punti D. Chiedere scusa durante il gioco</t>
  </si>
  <si>
    <t>Evitare insulti e violenze</t>
  </si>
  <si>
    <t>Il rispetto è fondamentale in Calcio Storico.</t>
  </si>
  <si>
    <t>Cosa rappresenta una "mezza caccia"?</t>
  </si>
  <si>
    <t>A. Un goal completo B. Un errore di mira C. Un goal annullato D. Un punto bonus</t>
  </si>
  <si>
    <t>Un errore di mira</t>
  </si>
  <si>
    <t>La "mezza caccia" è un tiro che sbaglia il bersaglio.</t>
  </si>
  <si>
    <t>Quando il pubblico può intervenire nel Calcio Storico?</t>
  </si>
  <si>
    <t>A. Mai B. Dopo un fallo C. Durante il sorteggio iniziale D. Solo alla fine della partita</t>
  </si>
  <si>
    <t>Mai</t>
  </si>
  <si>
    <t>Il pubblico non è autorizzato a intervenire nel gioco.</t>
  </si>
  <si>
    <t>Qual è il tipo di abbigliamento usato nel Calcio Storico?</t>
  </si>
  <si>
    <t>A. Magliette moderne B. Uniformi medievali C. Costumi tradizionali D. Casacche di lino</t>
  </si>
  <si>
    <t>Casacche di lino</t>
  </si>
  <si>
    <t>I giocatori indossano casacche tradizionali di lino.</t>
  </si>
  <si>
    <t>Quali materiali sono usati per costruire la palla?</t>
  </si>
  <si>
    <t>A. Pelle sintetica B. Plastica C. Pelle di animale D. Legno</t>
  </si>
  <si>
    <t>Pelle di animale</t>
  </si>
  <si>
    <t>Le palle sono fatte di pelle di animale.</t>
  </si>
  <si>
    <t>Come viene considerato il fair play nel Calcio Storico?</t>
  </si>
  <si>
    <t>A. Non necessario B. Essenziale C. Marginale D. Opzionale</t>
  </si>
  <si>
    <t>Essenziale</t>
  </si>
  <si>
    <t>Il fair play è un valore fondamentale nel gioco.</t>
  </si>
  <si>
    <t>Qual è il ruolo del pubblico durante il Calcio Storico?</t>
  </si>
  <si>
    <t>A. Incitare la propria squadra B. Suggerire strategie C. Interrompere il gioco D. Influenzare gli arbitri</t>
  </si>
  <si>
    <t>Incitare la propria squadra</t>
  </si>
  <si>
    <t>Il pubblico può solo tifare per la propria squadra.</t>
  </si>
  <si>
    <t>Cosa non è ammesso durante il gioco?</t>
  </si>
  <si>
    <t>A. Tuffarsi per prendere la palla B. Usare oggetti esterni C. Parlare con gli arbitri D. Correre verso il pubblico</t>
  </si>
  <si>
    <t>Usare oggetti esterni</t>
  </si>
  <si>
    <t>Non sono ammessi oggetti esterni durante il gioco.</t>
  </si>
  <si>
    <t>Come viene gestito un fallo grave?</t>
  </si>
  <si>
    <t>A. Con un avvertimento B. Con un'espulsione C. Con una penalità di punti D. Con una pausa nel gioco</t>
  </si>
  <si>
    <t>Con un'espulsione</t>
  </si>
  <si>
    <t>Falli gravi portano all'espulsione del giocatore.</t>
  </si>
  <si>
    <t>Chi decide il vincitore del torneo?</t>
  </si>
  <si>
    <t>A. Una giuria popolare B. Il pubblico C. Un comitato di arbitri D. Il sindaco di Firenze</t>
  </si>
  <si>
    <t>Il comitato di arbitri dichiara il vincitore ufficiale.</t>
  </si>
  <si>
    <t>Cosa distingue il Calcio Storico dagli sport moderni?</t>
  </si>
  <si>
    <t>A. L'assenza di arbitri B. Le regole rigide C. Il contesto storico D. La presenza di tifosi neutrali</t>
  </si>
  <si>
    <t>Il contesto storico</t>
  </si>
  <si>
    <t>Il Calcio Storico ha radici storiche uniche.</t>
  </si>
  <si>
    <t>Cosa succede durante una "mischia"?</t>
  </si>
  <si>
    <t>A. La partita si ferma B. Si combatte per il possesso palla C. Viene assegnato un fallo D. Viene chiamato un timeout</t>
  </si>
  <si>
    <t>Si combatte per il possesso palla</t>
  </si>
  <si>
    <t>Le "mischie" sono lotte per il controllo della palla.</t>
  </si>
  <si>
    <t>Cosa simboleggia il torneo di Calcio Storico?</t>
  </si>
  <si>
    <t>A. L'unità nazionale B. Il coraggio e l'abilità C. La forza fisica D. La gloria dei quartieri</t>
  </si>
  <si>
    <t>L'unità nazionale</t>
  </si>
  <si>
    <t>Il torneo celebra l'identità e la storia fiorentina.</t>
  </si>
  <si>
    <t>Qual è il primo criterio per entrare in una squadra di Calcio Storico?</t>
  </si>
  <si>
    <t>A. Forza fisica B. Agilità C. Appartenenza al quartiere D. Esperienza sportiva</t>
  </si>
  <si>
    <t>Appartenenza al quartiere</t>
  </si>
  <si>
    <t>Ogni giocatore deve rappresentare il proprio quartiere.</t>
  </si>
  <si>
    <t>Cosa rappresentano i colori delle squadre?</t>
  </si>
  <si>
    <t>A. Identità personale B. Origine storica dei quartieri C. Strategie di gioco D. Ruoli dei giocatori</t>
  </si>
  <si>
    <t>Origine storica dei quartieri</t>
  </si>
  <si>
    <t>I colori rappresentano i quartieri storici di Firenze.</t>
  </si>
  <si>
    <t>Chi può fermare la partita per infortuni?</t>
  </si>
  <si>
    <t>A. Il Capitano B. Il Pubblico C. Gli Arbitri D. Il Portatore di Palla</t>
  </si>
  <si>
    <t>Gli Arbitri</t>
  </si>
  <si>
    <t>Gli arbitri possono fermare la partita in caso di infortuni seri.</t>
  </si>
  <si>
    <t>Cosa distingue un torneo tradizionale?</t>
  </si>
  <si>
    <t>A. La durata delle partite B. Il numero di squadre C. Il premio finale D. La celebrazione storica</t>
  </si>
  <si>
    <t>La celebrazione storica</t>
  </si>
  <si>
    <t>Il torneo è un evento che onora la tradizione.</t>
  </si>
  <si>
    <t>Come vengono risolti i conflitti tra giocatori?</t>
  </si>
  <si>
    <t>A. Con il dialogo B. Con decisioni arbitrali C. Con sanzioni pecuniarie D. Con penalità di squadra</t>
  </si>
  <si>
    <t>Con decisioni arbitrali</t>
  </si>
  <si>
    <t>Gli arbitri risolvono ogni controversia sul campo.</t>
  </si>
  <si>
    <t>Cosa non è consentito fare con la palla?</t>
  </si>
  <si>
    <t>A. Passarla lateralmente B. Bloccarla a terra C. Calciarla verso un avversario D. Lanciarla indietro</t>
  </si>
  <si>
    <t>Calciarla verso un avversario</t>
  </si>
  <si>
    <t>Lanciare la palla verso un avversario è proibito.</t>
  </si>
  <si>
    <t>Qual è la principale qualità richiesta per un attaccante?</t>
  </si>
  <si>
    <t>A. Velocità B. Precisione C. Forza fisica D. Strategia</t>
  </si>
  <si>
    <t>Precisione</t>
  </si>
  <si>
    <t>Gli attaccanti devono avere grande precisione per segnare cacce.</t>
  </si>
  <si>
    <t>Cosa rende il Calcio Storico unico?</t>
  </si>
  <si>
    <t>A. L'uso di tecnologie moderne B. Le regole complicate C. La combinazione di sport e storia D. La mancanza di arbitri</t>
  </si>
  <si>
    <t>La combinazione di sport e storia</t>
  </si>
  <si>
    <t>Il gioco mescola competizione atletica e tradizione storica.</t>
  </si>
  <si>
    <t>Quando è stato ufficialmente regolamentato il Calcio Storico?</t>
  </si>
  <si>
    <t>A. 1600 B. 1700 C. 1900 D. 1930</t>
  </si>
  <si>
    <t>Le regole ufficiali furono scritte nel 1930.</t>
  </si>
  <si>
    <t>Quale qualità è cruciale per i difensori?</t>
  </si>
  <si>
    <t>A. Agilità B. Resistenza C. Forza fisica D. Velocità</t>
  </si>
  <si>
    <t>Forza fisica</t>
  </si>
  <si>
    <t>I difensori devono avere forza per fermare gli avversari.</t>
  </si>
  <si>
    <t>Cosa succede se una squadra abbandona la partita?</t>
  </si>
  <si>
    <t>A. Perde automaticamente B. Viene squalificata C. Ottiene una penalità D. La partita viene rigiocata</t>
  </si>
  <si>
    <t>Perde automaticamente</t>
  </si>
  <si>
    <t>L'abbandono equivale a una sconfitta.</t>
  </si>
  <si>
    <t>Come viene celebrato il torneo di Calcio Storico?</t>
  </si>
  <si>
    <t>A. Con una parata storica B. Con una premiazione televisiva C. Con una festa privata D. Con una lotteria pubblica</t>
  </si>
  <si>
    <t>Con una parata storica</t>
  </si>
  <si>
    <t>Il torneo viene introdotto da una parata storica in costume.</t>
  </si>
  <si>
    <t>Qual è la durata tipica di una partita di Calcio Storico?</t>
  </si>
  <si>
    <t>A. 50 minuti B. 80 minuti C. 20 minuti D. 40 minuti</t>
  </si>
  <si>
    <t>Ogni partita dura circa 50 minuti senza interruzioni significative.</t>
  </si>
  <si>
    <t>Quanti giocatori ci sono in ogni squadra?</t>
  </si>
  <si>
    <t>A. 20 B. 27 C. 15 D. 22</t>
  </si>
  <si>
    <t>Ogni squadra è composta da 27 giocatori.</t>
  </si>
  <si>
    <t>Cosa non è ammesso durante una caccia?</t>
  </si>
  <si>
    <t>A. Utilizzare le mani B. Utilizzare i piedi C. Tirare la maglia di un avversario D. Passare la palla indietro</t>
  </si>
  <si>
    <t>Tirare la maglia di un avversario</t>
  </si>
  <si>
    <t>Tirare la maglia è considerato scorretto.</t>
  </si>
  <si>
    <t>In che periodo dell'anno si tiene il torneo di Calcio Storico?</t>
  </si>
  <si>
    <t>A. Primavera B. Estate C. Autunno D. Inverno</t>
  </si>
  <si>
    <t>Estate</t>
  </si>
  <si>
    <t>Qual è lo scopo principale del gioco?</t>
  </si>
  <si>
    <t>A. Difendere la propria area B. Segnare più cacce C. Bloccare gli avversari D. Fare mosse spettacolari</t>
  </si>
  <si>
    <t>Segnare più cacce</t>
  </si>
  <si>
    <t>Il team che segna più cacce vince.</t>
  </si>
  <si>
    <t>Cosa rappresentano le "cacce" nel Calcio Storico?</t>
  </si>
  <si>
    <t>A. Punti B. Penalità C. Bonus D. Espulsioni</t>
  </si>
  <si>
    <t>Punti</t>
  </si>
  <si>
    <t>Le cacce rappresentano i punti guadagnati.</t>
  </si>
  <si>
    <t>Cosa succede quando la palla esce dal campo?</t>
  </si>
  <si>
    <t>A. Il gioco continua B. Viene assegnato un fallo C. Viene fermata e ripresa dagli arbitri D. Viene conteggiato un punto nullo</t>
  </si>
  <si>
    <t>Viene fermata e ripresa dagli arbitri</t>
  </si>
  <si>
    <t>Gli arbitri decidono la ripresa del gioco.</t>
  </si>
  <si>
    <t>Chi arbitra le partite di Calcio Storico?</t>
  </si>
  <si>
    <t>A. Un solo arbitro B. Due arbitri C. Un team di arbitri D. Giocatori veterani</t>
  </si>
  <si>
    <t>Un team di arbitri</t>
  </si>
  <si>
    <t>Un gruppo di arbitri controlla il gioco.</t>
  </si>
  <si>
    <t>Quali sono i colori delle squadre?</t>
  </si>
  <si>
    <t>A. Rosso blu bianco e verde B. Rosso giallo nero e viola C. Blu nero giallo ee arancion D. Verde arancione rosso e nero</t>
  </si>
  <si>
    <t>Rosso blu bianco e verde</t>
  </si>
  <si>
    <t>Questi colori rappresentano i quartieri di Firenze.</t>
  </si>
  <si>
    <t>Cosa non è permesso durante il passaggio della palla?</t>
  </si>
  <si>
    <t>A. Lanciare troppo alto B. Lanciare troppo lontano C. Passare direttamente agli avversari D. Usare la testa per passare</t>
  </si>
  <si>
    <t>Passare direttamente agli avversari</t>
  </si>
  <si>
    <t>Passare agli avversari è scorretto.</t>
  </si>
  <si>
    <t>Qual è l'origine storica del Calcio Storico?</t>
  </si>
  <si>
    <t>A. Epoca romana B. Rinascimento C. Medioevo D. Epoca moderna</t>
  </si>
  <si>
    <t>Rinascimento</t>
  </si>
  <si>
    <t>Il gioco risale al Rinascimento fiorentino.</t>
  </si>
  <si>
    <t>Come si segna una caccia?</t>
  </si>
  <si>
    <t>A. Con un calcio in rete B. Con un lancio in un'area specifica C. Con un colpo diretto D. Con un passaggio strategico</t>
  </si>
  <si>
    <t>Con un lancio in un'area specifica</t>
  </si>
  <si>
    <t>La caccia si segna lanciando la palla nella rete avversaria.</t>
  </si>
  <si>
    <t>Cosa è considerato comportamento antisportivo?</t>
  </si>
  <si>
    <t>A. Evitare il contatto fisico B. Insultare gli avversari C. Non passare la palla D. Evitare il gioco fisico</t>
  </si>
  <si>
    <t>Insultare gli avversari</t>
  </si>
  <si>
    <t>Insulti e violenze verbali sono vietati.</t>
  </si>
  <si>
    <t>Qual è il premio per la squadra vincente?</t>
  </si>
  <si>
    <t>A. Un trofeo B. Denaro C. Una mucca D. Una corona di fiori</t>
  </si>
  <si>
    <t>Una mucca</t>
  </si>
  <si>
    <t>La squadra vincente riceve una mucca come premio simbolico.</t>
  </si>
  <si>
    <t>Cosa simboleggiano le regole del gioco?</t>
  </si>
  <si>
    <t>A. Competizione equa B. Disordine controllato C. Spettacolo senza limiti D. Tradizione e rispetto</t>
  </si>
  <si>
    <t>Tradizione e rispetto</t>
  </si>
  <si>
    <t>Le regole onorano le tradizioni storiche.</t>
  </si>
  <si>
    <t>Come viene deciso il possesso iniziale della palla?</t>
  </si>
  <si>
    <t>A. Sorteggio B. Competizione fisica C. Decisione del Capitano D. Scelta del pubblico</t>
  </si>
  <si>
    <t>Sorteggio</t>
  </si>
  <si>
    <t>Il sorteggio determina chi inizia con la palla.</t>
  </si>
  <si>
    <t>Cosa non è ammesso fare durante le mischie?</t>
  </si>
  <si>
    <t>A. Spingere l'avversario B. Trattenere la palla C. Colpire intenzionalmente D. Bloccare la palla</t>
  </si>
  <si>
    <t>Colpire intenzionalmente</t>
  </si>
  <si>
    <t>Colpire intenzionalmente è vietato.</t>
  </si>
  <si>
    <t>Cosa succede in caso di pareggio alla fine del tempo?</t>
  </si>
  <si>
    <t>A. La squadra con meno falli vince B. Si gioca un tempo supplementare C. Il risultato rimane in parità D. Viene effettuato un nuovo sorteggio</t>
  </si>
  <si>
    <t>Il risultato rimane in parità</t>
  </si>
  <si>
    <t>Non sono previsti supplementari.</t>
  </si>
  <si>
    <t>Chi supervisiona il rispetto delle regole?</t>
  </si>
  <si>
    <t>A. I capitani B. Il pubblico C. Gli arbitri D. Il sindaco</t>
  </si>
  <si>
    <t>Gli arbitri</t>
  </si>
  <si>
    <t>Gli arbitri garantiscono il rispetto delle regole.</t>
  </si>
  <si>
    <t>Qual è la posizione della rete nel campo?</t>
  </si>
  <si>
    <t>A. Al centro B. Agli angoli C. Nelle estremità del campo D. Lungo i lati</t>
  </si>
  <si>
    <t>Nelle estremità del campo</t>
  </si>
  <si>
    <t>Le reti si trovano alle estremità opposte.</t>
  </si>
  <si>
    <t>Come si gestisce un comportamento violento?</t>
  </si>
  <si>
    <t>A. Con avvertimenti B. Espulsione immediata C. Sospensione del gioco D. Richiamo verbale</t>
  </si>
  <si>
    <t>Espulsione immediata</t>
  </si>
  <si>
    <t>La violenza porta all'espulsione immediata.</t>
  </si>
  <si>
    <t>Cosa distingue il Calcio Storico dal calcio moderno?</t>
  </si>
  <si>
    <t>A. La velocità del gioco B. La fisicità intensa C. La mancanza di arbitri D. Il numero di giocatori</t>
  </si>
  <si>
    <t>La fisicità intensa</t>
  </si>
  <si>
    <t>Il Calcio Storico è noto per il contatto fisico.</t>
  </si>
  <si>
    <t>Come si celebra la vittoria?</t>
  </si>
  <si>
    <t>A. Con una parata per le vie della città B. Con una cerimonia privata C. Con una conferenza stampa D. Con una festa tra giocatori</t>
  </si>
  <si>
    <t>Con una parata per le vie della città</t>
  </si>
  <si>
    <t>La vittoria è celebrata con una parata pubblica.</t>
  </si>
  <si>
    <t>Qual è la struttura del campo?</t>
  </si>
  <si>
    <t>A. Quadrato B. Rettangolare C. Ovale D. Irregolare</t>
  </si>
  <si>
    <t>Rettangolare</t>
  </si>
  <si>
    <t>Il campo ha una forma rettangolare.</t>
  </si>
  <si>
    <t>Qual è il compito degli attaccanti?</t>
  </si>
  <si>
    <t>A. Difendere la squadra B. Fermare gli avversari C. Segnare cacce D. Arbitrare il gioco</t>
  </si>
  <si>
    <t>Segnare cacce</t>
  </si>
  <si>
    <t>Gli attaccanti si concentrano nel segnare.</t>
  </si>
  <si>
    <t>Chi può interrompere la partita?</t>
  </si>
  <si>
    <t>A. Gli spettatori B. I Capitani C. Gli Arbitri D. Il Sindaco</t>
  </si>
  <si>
    <t>Solo gli arbitri hanno l'autorità di interrompere la partita.</t>
  </si>
  <si>
    <t>Qual è la funzione delle guardie?</t>
  </si>
  <si>
    <t>A. Proteggere il Capitano B. Fermare gli attaccanti avversari C. Segnare punti D. Arbitrare</t>
  </si>
  <si>
    <t>Fermare gli attaccanti avversari</t>
  </si>
  <si>
    <t>Le guardie proteggono la difesa.</t>
  </si>
  <si>
    <t>Quali sono i requisiti fisici per giocare?</t>
  </si>
  <si>
    <t>A. Solo velocità B. Resistenza e forza fisica C. Agilità e precisione D. Intelligenza e tattica</t>
  </si>
  <si>
    <t>Resistenza e forza fisica</t>
  </si>
  <si>
    <t>Resistenza e forza sono essenziali.</t>
  </si>
  <si>
    <t>Cosa si celebra con il Calcio Storico?</t>
  </si>
  <si>
    <t>A. La modernità sportiva B. La storia di Firenze C. La cultura nazionale D. La vittoria personale</t>
  </si>
  <si>
    <t>La storia di Firenze</t>
  </si>
  <si>
    <t>Il torneo celebra il patrimonio storico della città.</t>
  </si>
  <si>
    <t>Qual è il ruolo del Capitano in una squadra di Calcio Storico?</t>
  </si>
  <si>
    <t>A. Segnare cacce B. Arbitrare la partita C. Motivare i giocatori e guidare la strategia D. Fermare gli avversari</t>
  </si>
  <si>
    <t>Motivare i giocatori e guidare la strategia</t>
  </si>
  <si>
    <t>Il Capitano guida la squadra e sviluppa la strategia.</t>
  </si>
  <si>
    <t>Che cosa non è permesso ai difensori durante il gioco?</t>
  </si>
  <si>
    <t>A. Usare le mani B. Spingere gli avversari C. Bloccare la palla D. Colpire intenzionalmente gli attaccanti</t>
  </si>
  <si>
    <t>Colpire intenzionalmente gli attaccanti</t>
  </si>
  <si>
    <t>Cosa rappresentano i costumi indossati dai giocatori?</t>
  </si>
  <si>
    <t>A. Tradizione e orgoglio del quartiere B. Una strategia di gioco C. Un omaggio alla modernità sportiva D. Una divisa standard</t>
  </si>
  <si>
    <t>Tradizione e orgoglio del quartiere</t>
  </si>
  <si>
    <t>I costumi richiamano le origini storiche e i quartieri di Firenze.</t>
  </si>
  <si>
    <t>Che cosa simboleggiano i quattro colori delle squadre?</t>
  </si>
  <si>
    <t>A. Le stagioni B. Le arti C. Le virtù D. Quartieri di Firenze</t>
  </si>
  <si>
    <t>Quartieri di Firenze</t>
  </si>
  <si>
    <t>I colori rappresentano i quartieri storici della città.</t>
  </si>
  <si>
    <t>Come viene assegnato il primo possesso della palla?</t>
  </si>
  <si>
    <t>A. Con una moneta B. Con una sfida fisica C. Con il sorteggio del Capitano D. Con il consenso del pubblico</t>
  </si>
  <si>
    <t>Con una moneta</t>
  </si>
  <si>
    <t>Il possesso iniziale viene deciso con il lancio di una moneta.</t>
  </si>
  <si>
    <t>Qual è l'importanza storica del Calcio Storico?</t>
  </si>
  <si>
    <t>A. Promuovere l'uguaglianza sportiva B. Favorire l'unità cittadina C. Commemorare la battaglia di Firenze D. Omaggiare i grandi atleti</t>
  </si>
  <si>
    <t>Commemorare la battaglia di Firenze</t>
  </si>
  <si>
    <t>Il gioco nasce per celebrare eventi storici della città.</t>
  </si>
  <si>
    <t>Come vengono puniti i falli gravi?</t>
  </si>
  <si>
    <t>A. Con un cartellino rosso B. Con l'espulsione del giocatore C. Con una penalità alla squadra D. Con l'annullamento di una caccia</t>
  </si>
  <si>
    <t>Con l'espulsione del giocatore</t>
  </si>
  <si>
    <t>I falli gravi portano all'espulsione immediata.</t>
  </si>
  <si>
    <t>Chi stabilisce le regole del gioco?</t>
  </si>
  <si>
    <t>A. Il pubblico B. Gli organizzatori del torneo C. Gli arbitri D. Il sindaco</t>
  </si>
  <si>
    <t>Gli organizzatori del torneo</t>
  </si>
  <si>
    <t>Le regole sono decise dagli organizzatori.</t>
  </si>
  <si>
    <t>Qual è l'area principale in cui si gioca?</t>
  </si>
  <si>
    <t>A. Piazza Santa Croce B. Piazza del Duomo C. Piazza della Signoria D. Piazza della Libertà</t>
  </si>
  <si>
    <t>Il gioco si svolge nella storica Piazza Santa Croce.</t>
  </si>
  <si>
    <t>Chi sono i principali rivali nel torneo?</t>
  </si>
  <si>
    <t>A. Squadre dello stesso quartiere B. Squadre di quartieri opposti C. Squadre di altre città D. Squadre internazionali</t>
  </si>
  <si>
    <t>Squadre di quartieri opposti</t>
  </si>
  <si>
    <t>I quartieri rivali si sfidano tradizionalmente.</t>
  </si>
  <si>
    <t>Cosa non può fare un giocatore quando possiede la palla?</t>
  </si>
  <si>
    <t>A. Passarla al Capitano B. Bloccare gli avversari C. Correre verso la rete avversaria D. Calciare un avversario</t>
  </si>
  <si>
    <t>Calciare un avversario</t>
  </si>
  <si>
    <t>Calciare è vietato in ogni situazione.</t>
  </si>
  <si>
    <t>Qual è il significato delle bandiere esposte durante il gioco?</t>
  </si>
  <si>
    <t>A. Indicare il punteggio B. Simboli dei quartieri C. Ricordi storici D. Divertimento per il pubblico</t>
  </si>
  <si>
    <t>Simboli dei quartieri</t>
  </si>
  <si>
    <t>Le bandiere rappresentano i quartieri in competizione.</t>
  </si>
  <si>
    <t>Che tipo di scarpe sono utilizzate nel gioco?</t>
  </si>
  <si>
    <t>A. Scarpe da calcio B. Sandali C. Scarpe storiche personalizzate D. Scarpe da corsa</t>
  </si>
  <si>
    <t>Scarpe storiche personalizzate</t>
  </si>
  <si>
    <t>Le calzature sono in linea con la tradizione storica.</t>
  </si>
  <si>
    <t>A. La squadra gioca con meno membri B. Il gioco si ferma C. Il giocatore viene sostituito D. Il Capitano decide il cambio</t>
  </si>
  <si>
    <t>Il giocatore viene sostituito</t>
  </si>
  <si>
    <t>Il sostituto può entrare in campo.</t>
  </si>
  <si>
    <t>Qual è la responsabilità dei portieri?</t>
  </si>
  <si>
    <t>A. Difendere la rete B. Segnare cacce C. Fermare le mischie D. Bloccare gli attaccanti avversari</t>
  </si>
  <si>
    <t>Difendere la rete</t>
  </si>
  <si>
    <t>I portieri proteggono la propria area di caccia.</t>
  </si>
  <si>
    <t>Cosa rappresenta la rete avversaria?</t>
  </si>
  <si>
    <t>A. La gloria per il quartiere B. Il risultato sportivo C. La conquista simbolica D. Il punteggio individuale</t>
  </si>
  <si>
    <t>La conquista simbolica</t>
  </si>
  <si>
    <t>La rete rappresenta una conquista per la squadra.</t>
  </si>
  <si>
    <t>Come sono trattati gli spettatori durante il gioco?</t>
  </si>
  <si>
    <t>A. Come semplici osservatori B. Come partecipanti attivi C. Come giudici D. Come ospiti di onore</t>
  </si>
  <si>
    <t>Come partecipanti attivi</t>
  </si>
  <si>
    <t>Gli spettatori sono coinvolti e incoraggiati a partecipare all'atmosfera.</t>
  </si>
  <si>
    <t>Cosa si celebra durante il Calcio Storico?</t>
  </si>
  <si>
    <t>A. La cultura contemporanea B. Le guerre medievali C. Le tradizioni fiorentine D. La vittoria personale</t>
  </si>
  <si>
    <t>Le tradizioni fiorentine</t>
  </si>
  <si>
    <t>Il gioco celebra le antiche tradizioni della città.</t>
  </si>
  <si>
    <t>Qual è l'età minima per partecipare al torneo?</t>
  </si>
  <si>
    <t>A. 18 anni B. 16 anni C. 20 anni D. 21 anni</t>
  </si>
  <si>
    <t>18 anni</t>
  </si>
  <si>
    <t>È necessario avere almeno 18 anni per partecipare.</t>
  </si>
  <si>
    <t>Che cos'è la "palla grossa"?</t>
  </si>
  <si>
    <t>A. Un pallone specifico per il gioco B. Una strategia difensiva C. Una penalità D. Un termine per indicare il Capitano</t>
  </si>
  <si>
    <t>Un pallone specifico per il gioco</t>
  </si>
  <si>
    <t>La "palla grossa" è il pallone utilizzato nel gioco.</t>
  </si>
  <si>
    <t>Come viene suddiviso il campo?</t>
  </si>
  <si>
    <t>A. In quattro quadranti B. In due metà C. In tre zone D. In sei aree</t>
  </si>
  <si>
    <t>In due metà</t>
  </si>
  <si>
    <t>Il campo è diviso in due metà principali.</t>
  </si>
  <si>
    <t>Qual è lo scopo del torneo?</t>
  </si>
  <si>
    <t>A. Divertire il pubblico B. Risolvere rivalità storiche C. Promuovere il turismo D. Insegnare le tradizioni</t>
  </si>
  <si>
    <t>Risolvere rivalità storiche</t>
  </si>
  <si>
    <t>Il torneo permette di sfidare i quartieri rivali in un contesto sportivo.</t>
  </si>
  <si>
    <t>Quanti arbitri sono presenti durante una partita?</t>
  </si>
  <si>
    <t>A. Uno B. Tre C. Sei D. Due</t>
  </si>
  <si>
    <t>Tre</t>
  </si>
  <si>
    <t>Ci sono tre arbitri che supervisionano il gioco.</t>
  </si>
  <si>
    <t>Cosa si richiede agli spettatori?</t>
  </si>
  <si>
    <t>A. Tifare per una squadra B. Restare in silenzio C. Seguire le regole D. Fare offerte monetarie</t>
  </si>
  <si>
    <t>Tifare per una squadra</t>
  </si>
  <si>
    <t>Gli spettatori sono incoraggiati a sostenere attivamente la propria squadra.</t>
  </si>
  <si>
    <t>Qual è il premio simbolico per la vittoria?</t>
  </si>
  <si>
    <t>A. Un trofeo in oro B. Un set di palloni C. Una mucca bianca D. Un mazzo di fiori</t>
  </si>
  <si>
    <t>Una mucca bianca</t>
  </si>
  <si>
    <t>Il premio tradizionale è una mucca bianca.</t>
  </si>
  <si>
    <t>Cosa è proibito durante le mischie?</t>
  </si>
  <si>
    <t>A. Colpire con il gomito B. Utilizzare le mani per spingere C. Trattenere gli avversari D. Bloccare il gioco intenzionalmente</t>
  </si>
  <si>
    <t>Colpire con il gomito</t>
  </si>
  <si>
    <t>Colpire con il gomito è considerato scorretto.</t>
  </si>
  <si>
    <t>Cosa distingue i giocatori veterani?</t>
  </si>
  <si>
    <t>A. Esperienza e tattica B. Abilità fisiche superiori C. Conoscenza delle regole D. Leadership naturale</t>
  </si>
  <si>
    <t>Esperienza e tattica</t>
  </si>
  <si>
    <t>I veterani si distinguono per la loro esperienza e capacità strategica.</t>
  </si>
  <si>
    <t>Qual è l'importanza del Calcio Storico oggi?</t>
  </si>
  <si>
    <t>A. Un simbolo di modernità B. Una celebrazione della tradizione C. Un evento commerciale D. Un torneo globale</t>
  </si>
  <si>
    <t>Una celebrazione della tradizione</t>
  </si>
  <si>
    <t>Il Calcio Storico conserva le tradizioni fiorentine.</t>
  </si>
  <si>
    <t>Cosa non è previsto durante la partita?</t>
  </si>
  <si>
    <t>A. Pause per riflessione B. Intervalli per il pubblico C. Time-out per le squadre D. Fermate arbitrarie inutili</t>
  </si>
  <si>
    <t>Time-out per le squadre</t>
  </si>
  <si>
    <t>Non sono previsti time-out per le squadre.</t>
  </si>
  <si>
    <t>Come viene determinata la durata di una partita di Calcio Storico?</t>
  </si>
  <si>
    <t>A. È stabilita in base al punteggio B. È decisa dagli arbitri C. Ha una durata fissa di 50 minuti D. Si conclude quando una squadra segna 10 cacce</t>
  </si>
  <si>
    <t>Ha una durata fissa di 50 minuti</t>
  </si>
  <si>
    <t>Le partite durano esattamente 50 minuti senza interruzioni.</t>
  </si>
  <si>
    <t>Cosa rappresenta la linea di centrocampo nel Calcio Storico?</t>
  </si>
  <si>
    <t>A. Il punto di inizio B. Una zona neutrale C. Un'area di punizione D. Il confine tra le squadre</t>
  </si>
  <si>
    <t>Il punto di inizio</t>
  </si>
  <si>
    <t>La linea di centrocampo è il punto da cui inizia la partita.</t>
  </si>
  <si>
    <t>A. Un festival religioso B. Un'esercitazione militare C. Un gioco per bambini D. Un evento commerciale</t>
  </si>
  <si>
    <t>Un'esercitazione militare</t>
  </si>
  <si>
    <t>Il Calcio Storico era originariamente un allenamento per i soldati.</t>
  </si>
  <si>
    <t>Cosa succede se un giocatore abbandona il campo senza motivo?</t>
  </si>
  <si>
    <t>A. La squadra perde punti B. Il giocatore viene squalificato C. Il Capitano subisce una penalità D. La squadra perde un membro</t>
  </si>
  <si>
    <t>Il giocatore viene squalificato</t>
  </si>
  <si>
    <t>L'abbandono ingiustificato comporta la squalifica immediata.</t>
  </si>
  <si>
    <t>Come viene segnata una caccia?</t>
  </si>
  <si>
    <t>A. Lanciando la palla in rete B. Colpendo un avversario con la palla C. Passando attraverso la linea di fondo D. Con un calcio al pallone in porta</t>
  </si>
  <si>
    <t>Lanciando la palla in rete</t>
  </si>
  <si>
    <t>Una caccia è segnata quando la palla attraversa la rete avversaria.</t>
  </si>
  <si>
    <t>Cosa accade se una caccia viene segnata in modo irregolare?</t>
  </si>
  <si>
    <t>A. È assegnata alla squadra avversaria B. Viene annullata C. Porta a una penalità per la squadra D. Viene conteggiata come mezza caccia</t>
  </si>
  <si>
    <t>Viene annullata</t>
  </si>
  <si>
    <t>Le cacce irregolari non sono valide.</t>
  </si>
  <si>
    <t>Come vengono selezionati i giocatori per una squadra?</t>
  </si>
  <si>
    <t>A. Per anzianità B. Per abilità fisiche C. Per tradizione familiare D. Per estrazione casuale</t>
  </si>
  <si>
    <t>Per abilità fisiche</t>
  </si>
  <si>
    <t>Le squadre selezionano i migliori atleti disponibili.</t>
  </si>
  <si>
    <t>Che ruolo ha il pubblico durante il Calcio Storico?</t>
  </si>
  <si>
    <t>A. Rimanere spettatore passivo B. Partecipare al gioco C. Supportare la propria squadra D. Essere giudici</t>
  </si>
  <si>
    <t>Supportare la propria squadra</t>
  </si>
  <si>
    <t>Il pubblico è fondamentale per creare l'atmosfera.</t>
  </si>
  <si>
    <t>Cosa si fa prima di una partita di Calcio Storico?</t>
  </si>
  <si>
    <t>A. Un sorteggio per il campo B. Una preghiera ufficiale C. Un corteo storico D. Un allenamento comune</t>
  </si>
  <si>
    <t>Un corteo storico</t>
  </si>
  <si>
    <t>Il gioco è preceduto da una rievocazione storica.</t>
  </si>
  <si>
    <t>Qual è il significato della musica durante il torneo?</t>
  </si>
  <si>
    <t>A. Decorazione festiva B. Incitamento per i giocatori C. Creare un'atmosfera storica D. Intrattenere gli arbitri</t>
  </si>
  <si>
    <t>Creare un'atmosfera storica</t>
  </si>
  <si>
    <t>La musica accompagna il gioco e richiama le sue origini.</t>
  </si>
  <si>
    <t>Quali qualità sono essenziali per un giocatore?</t>
  </si>
  <si>
    <t>A. Forza fisica e resistenza B. Agilità e velocità C. Solo forza fisica D. Solo strategia</t>
  </si>
  <si>
    <t>Forza fisica e resistenza</t>
  </si>
  <si>
    <t>Forza e resistenza sono fondamentali nel Calcio Storico.</t>
  </si>
  <si>
    <t>Cosa avviene in caso di pareggio alla fine dei 50 minuti?</t>
  </si>
  <si>
    <t>A. Un tempo supplementare B. Una ripetizione della partita C. Il punteggio è considerato definitivo D. Una decisione degli arbitri</t>
  </si>
  <si>
    <t>Il punteggio è considerato definitivo</t>
  </si>
  <si>
    <t>Non ci sono tempi supplementari.</t>
  </si>
  <si>
    <t>Cosa rappresentano i costumi storici indossati dagli arbitri?</t>
  </si>
  <si>
    <t>A. Ruolo di neutralità B. Segno di autorità C. Collegamento con la tradizione D. Un decoro moderno</t>
  </si>
  <si>
    <t>Collegamento con la tradizione</t>
  </si>
  <si>
    <t>Gli arbitri portano costumi che riflettono le radici storiche del gioco.</t>
  </si>
  <si>
    <t>Come vengono celebrate le vittorie?</t>
  </si>
  <si>
    <t>A. Con un trofeo B. Con una processione del quartiere C. Con un banchetto D. Con un premio in denaro</t>
  </si>
  <si>
    <t>Con una processione del quartiere</t>
  </si>
  <si>
    <t>La celebrazione include una processione tradizionale.</t>
  </si>
  <si>
    <t>Quali abilità sono indispensabili per un difensore?</t>
  </si>
  <si>
    <t>A. Velocità e tattica B. Forza e strategia C. Agilità e destrezza D. Precisione e intuito</t>
  </si>
  <si>
    <t>Forza e strategia</t>
  </si>
  <si>
    <t>I difensori devono essere fisicamente forti e tattici.</t>
  </si>
  <si>
    <t>Qual è il numero massimo di giocatori per squadra?</t>
  </si>
  <si>
    <t>A. 21 B. 22 C. 27 D. 30</t>
  </si>
  <si>
    <t>Ogni squadra può schierare fino a 27 giocatori.</t>
  </si>
  <si>
    <t>Cosa succede se un arbitro rileva una scorrettezza?</t>
  </si>
  <si>
    <t>A. Assegna una penalità B. Interrompe il gioco C. Espelle il giocatore D. Richiede un'assemblea</t>
  </si>
  <si>
    <t>Assegna una penalità</t>
  </si>
  <si>
    <t>Le scorrettezze portano a penalità.</t>
  </si>
  <si>
    <t>Come vengono distinti i giocatori di diverse squadre?</t>
  </si>
  <si>
    <t>A. Per numero di maglia B. Per colore del costume C. Per posizione in campo D. Per un accessorio</t>
  </si>
  <si>
    <t>Per colore del costume</t>
  </si>
  <si>
    <t>I colori dei costumi rappresentano i quartieri.</t>
  </si>
  <si>
    <t>Cosa non è ammesso nel gioco?</t>
  </si>
  <si>
    <t>A. L'uso di oggetti estranei B. La cooperazione tra avversari C. La difesa personale D. La strategia di gruppo</t>
  </si>
  <si>
    <t>L'uso di oggetti estranei</t>
  </si>
  <si>
    <t>Ogni accessorio esterno è vietato.</t>
  </si>
  <si>
    <t>Chi ha il diritto di fermare il gioco in caso di emergenza?</t>
  </si>
  <si>
    <t>A. Il Capitano B. Il pubblico C. Un arbitro D. Un portiere</t>
  </si>
  <si>
    <t>Un arbitro</t>
  </si>
  <si>
    <t>Gli arbitri possono fermare il gioco in qualsiasi momento.</t>
  </si>
  <si>
    <t>Come si conclude ufficialmente una partita?</t>
  </si>
  <si>
    <t>A. Con un fischio dell'arbitro B. Con il punteggio finale C. Cerimonia di chiusura D. Fine dei 50 minuti</t>
  </si>
  <si>
    <t>Con un fischio dell'arbitro</t>
  </si>
  <si>
    <t>Il fischio segna la fine del gioco.</t>
  </si>
  <si>
    <t>Cosa simboleggiano le cacce?</t>
  </si>
  <si>
    <t>A. Supremazia sportiva B. Unità del quartiere C. Vittoria strategica D. Abilità fisica</t>
  </si>
  <si>
    <t>Vittoria strategica</t>
  </si>
  <si>
    <t>Le cacce rappresentano il successo strategico della squadra.</t>
  </si>
  <si>
    <t>Qual è il peso approssimativo della palla usata?</t>
  </si>
  <si>
    <t>A. 1 kg B. 1.5 kg C. 2 kg D. 2.5 kg</t>
  </si>
  <si>
    <t>1.5 kg</t>
  </si>
  <si>
    <t>La palla è progettata per un gioco fisico intenso.</t>
  </si>
  <si>
    <t>Cosa non può fare un Capitano durante il gioco?</t>
  </si>
  <si>
    <t>A. Dare indicazioni B. Difendere la rete C. Segnare cacce D. Partecipare a mischie</t>
  </si>
  <si>
    <t>Partecipare a mischie</t>
  </si>
  <si>
    <t>Il Capitano si concentra sulla guida della squadra.</t>
  </si>
  <si>
    <t>Come viene mantenuta l'equità tra le squadre?</t>
  </si>
  <si>
    <t>A. Con un sistema di penalità B. Con l'arbitraggio rigoroso C. Con la rotazione dei giocatori D. Con il pubblico come giudice</t>
  </si>
  <si>
    <t>Con l'arbitraggio rigoroso</t>
  </si>
  <si>
    <t>Gli arbitri garantiscono un gioco equo.</t>
  </si>
  <si>
    <t>Cosa non è permesso ai giocatori in fase difensiva?</t>
  </si>
  <si>
    <t>A. Spingere B. Bloccare la palla C. Colpire intenzionalmente D. Formare una barriera</t>
  </si>
  <si>
    <t>La violenza non è tollerata.</t>
  </si>
  <si>
    <t>Cosa rappresenta l'evento per Firenze oggi?</t>
  </si>
  <si>
    <t>A. Un evento sportivo moderno B. Un richiamo culturale C. Un'opportunità turistica D. Una festa cittadina</t>
  </si>
  <si>
    <t>Un richiamo culturale</t>
  </si>
  <si>
    <t>Il Calcio Storico è un simbolo culturale per la città.</t>
  </si>
  <si>
    <t>Come sono distribuiti i ruoli dei giocatori?</t>
  </si>
  <si>
    <t>A. In base all'età B. In base alla strategia C. In base alla forza D. In base al sorteggio</t>
  </si>
  <si>
    <t>In base alla strategia</t>
  </si>
  <si>
    <t>I ruoli vengono decisi in base alla tattica della squadra.</t>
  </si>
  <si>
    <t>Qual è il compito degli arbitri secondari?</t>
  </si>
  <si>
    <t>A. Supervisionare le mischie B. Gestire le sostituzioni C. Mantenere il punteggio D. Segnalare le scorrettezze</t>
  </si>
  <si>
    <t>Segnalare le scorrettezze</t>
  </si>
  <si>
    <t>Gli arbitri secondari aiutano a rilevare falli e scorrettezze.</t>
  </si>
  <si>
    <t>Cosa significa "giocare per il quartiere"?</t>
  </si>
  <si>
    <t>A. Difendere i colori B. Competere per il premio C. Divertirsi insieme D. Promuovere la città</t>
  </si>
  <si>
    <t>Difendere i colori</t>
  </si>
  <si>
    <t>Il gioco rappresenta l'orgoglio e l'identità del quartiere.</t>
  </si>
  <si>
    <t>Numero di Domanda</t>
  </si>
  <si>
    <t>Risposta Corretta</t>
  </si>
  <si>
    <t>Qual è l'origine del gioco del Bocce?</t>
  </si>
  <si>
    <t>A. Italia B. Francia C. Grecia D. Spagna</t>
  </si>
  <si>
    <t>Italia</t>
  </si>
  <si>
    <t>Il gioco del Bocce ha origini antiche in Italia, risalenti all'epoca romana.</t>
  </si>
  <si>
    <t>In quale secolo si è sviluppato il gioco del Bocce?</t>
  </si>
  <si>
    <t>A. VIII secolo a.C. B. XV secolo C. XVII secolo D. XX secolo</t>
  </si>
  <si>
    <t>XV secolo</t>
  </si>
  <si>
    <t>Il gioco del Bocce si è evoluto durante il Rinascimento italiano.</t>
  </si>
  <si>
    <t>Come si chiama la palla più piccola nel Bocce?</t>
  </si>
  <si>
    <t>A. Boccia B. Pallina C. Jack D. Palla di lancio</t>
  </si>
  <si>
    <t>Jack</t>
  </si>
  <si>
    <t>La palla più piccola è chiamata 'Jack' o 'boccino'.</t>
  </si>
  <si>
    <t>Dove si gioca tradizionalmente a Bocce in Italia?</t>
  </si>
  <si>
    <t>A. Sulle spiagge B. In parchi pubblici C. In piste di terra battuta D. In casa</t>
  </si>
  <si>
    <t>In piste di terra battuta</t>
  </si>
  <si>
    <t>Tradizionalmente, il Bocce si gioca su piste di terra battuta.</t>
  </si>
  <si>
    <t>In quale città italiana è nato il gioco del Bocce?</t>
  </si>
  <si>
    <t>A. Roma B. Napoli C. Milano D. Genova</t>
  </si>
  <si>
    <t>Genova</t>
  </si>
  <si>
    <t>Le origini del Bocce sono legate alla città di Genova.</t>
  </si>
  <si>
    <t>Quante bocce vengono utilizzate in una partita standard?</t>
  </si>
  <si>
    <t>A. 4 bocce B. 6 bocce C. 8 bocce D. 10 bocce</t>
  </si>
  <si>
    <t>8 bocce</t>
  </si>
  <si>
    <t>In una partita standard di Bocce, ciascun giocatore usa 4 bocce.</t>
  </si>
  <si>
    <t>Qual è lo scopo del gioco del Bocce?</t>
  </si>
  <si>
    <t>A. Lanciare la boccia più lontano possibile B. Accumulare punti lanciando la boccia vicino al boccino C. Farlo rimbalzare sulla sabbia D. Farlo passare attraverso un cerchio</t>
  </si>
  <si>
    <t>Accumulare punti lanciando la boccia vicino al boccino</t>
  </si>
  <si>
    <t>L'obiettivo del gioco è lanciare la boccia più vicino possibile al boccino.</t>
  </si>
  <si>
    <t>Come si chiama la zona in cui si lancia la boccia nel gioco del Bocce?</t>
  </si>
  <si>
    <t>A. Campo B. Pista C. Area di lancio D. Fossa</t>
  </si>
  <si>
    <t>Pista</t>
  </si>
  <si>
    <t>Il gioco si svolge su una pista apposita.</t>
  </si>
  <si>
    <t>Cosa succede se una boccia colpisce il boccino?</t>
  </si>
  <si>
    <t>A. Si perde un punto B. Si guadagna un punto C. La boccia viene rifiutata D. Non succede nulla</t>
  </si>
  <si>
    <t>Si guadagna un punto</t>
  </si>
  <si>
    <t>Colpire il boccino dà punti al giocatore.</t>
  </si>
  <si>
    <t>In quale competizione internazionale si gioca a Bocce?</t>
  </si>
  <si>
    <t>A. Olimpiadi B. Campionati del Mondo di Bocce C. Campionati Europei di Bocce D. World Games</t>
  </si>
  <si>
    <t>Campionati del Mondo di Bocce</t>
  </si>
  <si>
    <t>I Campionati del Mondo di Bocce sono la competizione principale a livello internazionale.</t>
  </si>
  <si>
    <t>Quando è stato formalizzato il regolamento del Bocce?</t>
  </si>
  <si>
    <t>A. Nel 1840 B. Nel 1900 C. Nel 1928 D. Nel 1934</t>
  </si>
  <si>
    <t>Nel 1900</t>
  </si>
  <si>
    <t>Il regolamento formale del Bocce è stato stabilito alla fine del XIX secolo.</t>
  </si>
  <si>
    <t>Qual è la lunghezza tipica di una pista da Bocce?</t>
  </si>
  <si>
    <t>A. 6 metri B. 12 metri C. 18 metri D. 25 metri</t>
  </si>
  <si>
    <t>18 metri</t>
  </si>
  <si>
    <t>La lunghezza di una pista da Bocce è solitamente di 18 metri.</t>
  </si>
  <si>
    <t>Quante persone giocano generalmente in una partita di Bocce?</t>
  </si>
  <si>
    <t>A. 1 o 2 giocatori per squadra B. 3 o 4 giocatori per squadra C. 5 o 6 giocatori per squadra D. 7 o 8 giocatori per squadra</t>
  </si>
  <si>
    <t>1 o 2 giocatori per squadra</t>
  </si>
  <si>
    <t>In una partita di Bocce, si gioca generalmente con 1 o 2 giocatori per squadra.</t>
  </si>
  <si>
    <t>Qual è il nome dell'organizzazione che gestisce il Bocce a livello mondiale?</t>
  </si>
  <si>
    <t>A. Federazione Internazionale Bocce (FIB) B. Associazione Mondiale Bocce C. International Bocce Federation D. Federazione Mondiale Bocce</t>
  </si>
  <si>
    <t>Federazione Internazionale Bocce (FIB)</t>
  </si>
  <si>
    <t>La FIB gestisce il Bocce a livello globale.</t>
  </si>
  <si>
    <t>In quale periodo dell'anno si svolgono generalmente i tornei di Bocce?</t>
  </si>
  <si>
    <t>A. Estate B. Autunno C. Primavera D. Inverno</t>
  </si>
  <si>
    <t>I tornei di Bocce si svolgono prevalentemente in estate, quando il clima è favorevole.</t>
  </si>
  <si>
    <t>Qual è il termine utilizzato per indicare una partita di Bocce in Italia?</t>
  </si>
  <si>
    <t>A. Partita di bocce B. Gioco della boccia C. Sfida D. Match</t>
  </si>
  <si>
    <t>Partita di bocce</t>
  </si>
  <si>
    <t>In Italia, una partita di Bocce è semplicemente chiamata 'partita di bocce'.</t>
  </si>
  <si>
    <t>In quale città italiana è stato istituito il primo campionato di Bocce?</t>
  </si>
  <si>
    <t>A. Roma B. Napoli C. Torino D. Genova</t>
  </si>
  <si>
    <t>Torino</t>
  </si>
  <si>
    <t>Il primo campionato italiano di Bocce fu istituito a Torino nel 1928.</t>
  </si>
  <si>
    <t>Quanti punti deve ottenere una squadra per vincere una partita di Bocce?</t>
  </si>
  <si>
    <t>A. 8 punti B. 10 punti C. 12 punti D. 15 punti</t>
  </si>
  <si>
    <t>12 punti</t>
  </si>
  <si>
    <t>Una partita di Bocce si vince quando una squadra raggiunge 12 punti.</t>
  </si>
  <si>
    <t>Qual è il materiale tradizionale con cui sono fatte le bocce?</t>
  </si>
  <si>
    <t>A. Legno B. Plastiche speciali C. Metallo D. Ceramica</t>
  </si>
  <si>
    <t>Legno</t>
  </si>
  <si>
    <t>Le bocce tradizionali erano fatte in legno, anche se oggi si usano materiali più moderni.</t>
  </si>
  <si>
    <t>Qual è la durata tipica di una partita di Bocce?</t>
  </si>
  <si>
    <t>A. 30 minuti B. 45 minuti C. 60 minuti D. 90 minuti</t>
  </si>
  <si>
    <t>45 minuti</t>
  </si>
  <si>
    <t>La durata media di una partita di Bocce è di circa 45 minuti.</t>
  </si>
  <si>
    <t>Quale tipo di campo è preferito per giocare a Bocce?</t>
  </si>
  <si>
    <t>A. Erba B. Sabbia C. Terra battuta D. Ghiaccio</t>
  </si>
  <si>
    <t>Terra battuta</t>
  </si>
  <si>
    <t>Il campo ideale per giocare a Bocce è quello in terra battuta.</t>
  </si>
  <si>
    <t>Come si chiama la tecnica di lanciare la boccia con una mano in Bocce?</t>
  </si>
  <si>
    <t>A. Presa normale B. Lancio a mano libera C. Presa a rotazione D. Lancio a volo</t>
  </si>
  <si>
    <t>Lancio a mano libera</t>
  </si>
  <si>
    <t>Il lancio tradizionale della boccia è eseguito con una presa a mano libera.</t>
  </si>
  <si>
    <t>Nel Bocce, quale è l'obiettivo primario del lancio di ogni boccia?</t>
  </si>
  <si>
    <t>A. Lanciarsi il più lontano possibile B. Colpire il boccino C. Colpire un avversario D. Far rotolare la boccia più velocemente possibile</t>
  </si>
  <si>
    <t>Colpire il boccino</t>
  </si>
  <si>
    <t>L'obiettivo principale è cercare di avvicinarsi il più possibile al boccino.</t>
  </si>
  <si>
    <t>Che tipo di allenamento è richiesto per diventare un buon giocatore di Bocce?</t>
  </si>
  <si>
    <t>A. Forza fisica B. Agilità C. Precisione e strategia D. Resistenza</t>
  </si>
  <si>
    <t>Precisione e strategia</t>
  </si>
  <si>
    <t>Il gioco del Bocce richiede grande precisione e capacità di strategia.</t>
  </si>
  <si>
    <t>Nel Bocce, cos'è una 'boccia valida'?</t>
  </si>
  <si>
    <t>A. Una boccia che tocca il boccino B. Una boccia che va oltre la linea di fondo C. Una boccia che colpisce l'altra boccia D. Una boccia che non esce dalla pista</t>
  </si>
  <si>
    <t>Una boccia che tocca il boccino</t>
  </si>
  <si>
    <t>Una boccia è valida se tocca il boccino durante il lancio.</t>
  </si>
  <si>
    <t>Quale componente strategico è importante nel gioco del Bocce?</t>
  </si>
  <si>
    <t>A. Velocità B. Posizionamento delle bocce C. Altezza del lancio D. Resistenza fisica</t>
  </si>
  <si>
    <t>Posizionamento delle bocce</t>
  </si>
  <si>
    <t>La strategia più importante nel Bocce è il posizionamento delle bocce.</t>
  </si>
  <si>
    <t>Quante squadre partecipano solitamente a un torneo di Bocce?</t>
  </si>
  <si>
    <t>A. 2 squadre B. 4 squadre C. 6 squadre D. 8 squadre</t>
  </si>
  <si>
    <t>2 squadre</t>
  </si>
  <si>
    <t>In un torneo di Bocce, di solito si sfidano due squadre.</t>
  </si>
  <si>
    <t>Quando è stato il debutto ufficiale del Bocce nelle Olimpiadi?</t>
  </si>
  <si>
    <t>A. Non è mai stato inserito nelle Olimpiadi B. Nel 1900 C. Nel 1924 D. Nel 1960</t>
  </si>
  <si>
    <t>Non è mai stato inserito nelle Olimpiadi</t>
  </si>
  <si>
    <t>Il Bocce non è mai stato inserito ufficialmente nelle Olimpiadi.</t>
  </si>
  <si>
    <t>Come si chiama l'organo che regola il gioco del Bocce in Italia?</t>
  </si>
  <si>
    <t>A. Federazione Italiana Bocce B. Comitato Bocce Nazionale C. Federazione Nazionale Sport Bocce D. Associazione Sportiva Bocce</t>
  </si>
  <si>
    <t>Federazione Italiana Bocce</t>
  </si>
  <si>
    <t>La Federazione Italiana Bocce regola il gioco in Italia.</t>
  </si>
  <si>
    <t>Qual è l'evento più prestigioso nel mondo del Bocce?</t>
  </si>
  <si>
    <t>A. Campionati Nazionali di Bocce B. Campionati del Mondo di Bocce C. Olimpiadi del Bocce D. Europei di Bocce</t>
  </si>
  <si>
    <t>I Campionati del Mondo di Bocce sono considerati l'evento più prestigioso.</t>
  </si>
  <si>
    <t>In quale periodo si giocava il Bocce nell'antica Roma?</t>
  </si>
  <si>
    <t>A. In inverno B. In estate C. Durante le festività D. Tutto l'anno</t>
  </si>
  <si>
    <t>Tutto l'anno</t>
  </si>
  <si>
    <t>Il gioco del Bocce è stato praticato in diverse stagioni, ma soprattutto durante le festività e in eventi sociali.</t>
  </si>
  <si>
    <t>Qual era il nome dell'antico gioco da cui si ritiene che il Bocce derivi?</t>
  </si>
  <si>
    <t>A. Petanque B. Palla col Boccino C. Boccia Antica D. Jeu de boules</t>
  </si>
  <si>
    <t>Palla col Boccino</t>
  </si>
  <si>
    <t>Il gioco del Bocce è una evoluzione del gioco della palla col boccino praticato nell'antica Roma.</t>
  </si>
  <si>
    <t>Nel Bocce, qual è la regola per determinare il vincitore di una manche?</t>
  </si>
  <si>
    <t>A. Chi ha più bocce vicine al boccino B. Chi lancia per primo C. Chi ha più bocce di diversi colori D. Chi colpisce il boccino</t>
  </si>
  <si>
    <t>Chi ha più bocce vicine al boccino</t>
  </si>
  <si>
    <t>Il vincitore di ogni manche è determinato dalla boccia più vicina al boccino.</t>
  </si>
  <si>
    <t>Che tipo di superficie è preferibile per una pista da Bocce professionale?</t>
  </si>
  <si>
    <t>A. Erba sintetica B. Asfalto C. Terreno sabbioso D. Terra battuta</t>
  </si>
  <si>
    <t>La superficie ideale per una pista da Bocce professionale è la terra battuta.</t>
  </si>
  <si>
    <t>Nel gioco del Bocce, come viene chiamato il piccolo oggetto con cui si mira?</t>
  </si>
  <si>
    <t>A. Boccino B. Corda di partenza C. Pallino D. Jack</t>
  </si>
  <si>
    <t>Boccino</t>
  </si>
  <si>
    <t>Il piccolo oggetto con cui si mira si chiama boccino o pallino.</t>
  </si>
  <si>
    <t>Qual è il nome del movimento che un giocatore fa per lanciare la boccia nel Bocce?</t>
  </si>
  <si>
    <t>A. Tiro in linea B. Tiro a volo C. Lancio diretto D. Presa normale</t>
  </si>
  <si>
    <t>Presa normale</t>
  </si>
  <si>
    <t>Il movimento standard per lanciare la boccia è detto 'presa normale'.</t>
  </si>
  <si>
    <t>Qual è la larghezza massima di una pista da Bocce?</t>
  </si>
  <si>
    <t>A. 2 metri B. 4 metri C. 6 metri D. 8 metri</t>
  </si>
  <si>
    <t>4 metri</t>
  </si>
  <si>
    <t>La larghezza massima di una pista da Bocce è di 4 metri.</t>
  </si>
  <si>
    <t>Quando si è cominciato a giocare al Bocce in modo competitivo?</t>
  </si>
  <si>
    <t>A. Nel 18° secolo B. Nel 19° secolo C. Nel 20° secolo D. Nel 17° secolo</t>
  </si>
  <si>
    <t>Nel 19° secolo</t>
  </si>
  <si>
    <t>Il gioco del Bocce è diventato competitivo nel 19° secolo.</t>
  </si>
  <si>
    <t>Quale di queste nazioni non ha una tradizione di Bocce?</t>
  </si>
  <si>
    <t>A. Francia B. Italia C. Spagna D. Germania</t>
  </si>
  <si>
    <t>Germania</t>
  </si>
  <si>
    <t>La Germania non ha una tradizione consolidata di Bocce come altri paesi.</t>
  </si>
  <si>
    <t>Nel Bocce, come vengono contati i punti?</t>
  </si>
  <si>
    <t>A. Ogni boccia vinta vale un punto B. Ogni boccia conta come mezzo punto C. Ogni boccia colpita vale un punto D. Si guadagnano punti solo per il boccino</t>
  </si>
  <si>
    <t>Ogni boccia vinta vale un punto</t>
  </si>
  <si>
    <t>In ogni manche si guadagna un punto per ogni boccia più vicina al boccino.</t>
  </si>
  <si>
    <t>Qual è la lunghezza minima di una pista da Bocce?</t>
  </si>
  <si>
    <t>A. 10 metri B. 12 metri C. 14 metri D. 16 metri</t>
  </si>
  <si>
    <t>12 metri</t>
  </si>
  <si>
    <t>La lunghezza minima per una pista da Bocce è di 12 metri.</t>
  </si>
  <si>
    <t>Nel gioco del Bocce, cosa significa 'tirare a porta'?</t>
  </si>
  <si>
    <t>A. Lanciare la boccia con troppa forza B. Farlo rotolare in modo preciso verso il boccino C. Mettere la boccia fuori dalla pista D. Lanciare la boccia sul boccino</t>
  </si>
  <si>
    <t>Farlo rotolare in modo preciso verso il boccino</t>
  </si>
  <si>
    <t>Tirare a porta' significa lanciare la boccia in modo preciso verso il boccino.</t>
  </si>
  <si>
    <t>Nel Bocce, cosa succede se una boccia esce dalla pista?</t>
  </si>
  <si>
    <t>A. Viene rimessa in gioco B. Viene scartata C. Viene presa come punto D. Viene restituita al giocatore</t>
  </si>
  <si>
    <t>Viene scartata</t>
  </si>
  <si>
    <t>Se una boccia esce dalla pista, viene considerata scartata.</t>
  </si>
  <si>
    <t>Nel gioco del Bocce, quante bocce ha ciascun giocatore in una partita a due giocatori per squadra?</t>
  </si>
  <si>
    <t>A. 4 bocce B. 5 bocce C. 6 bocce D. 3 bocce</t>
  </si>
  <si>
    <t>4 bocce</t>
  </si>
  <si>
    <t>In una partita a due giocatori per squadra, ciascun giocatore ha 4 bocce.</t>
  </si>
  <si>
    <t>Chi è considerato il fondatore della Federazione Italiana Bocce?</t>
  </si>
  <si>
    <t>A. Luigi Giacomini B. Giovanni Zamboni C. Francesco Dapporto D. Antonio Zamboni</t>
  </si>
  <si>
    <t>Antonio Zamboni</t>
  </si>
  <si>
    <t>Antonio Zamboni è stato il fondatore della Federazione Italiana Bocce.</t>
  </si>
  <si>
    <t>Nel gioco del Bocce, che valore ha la boccia più lontana dal boccino alla fine della manche?</t>
  </si>
  <si>
    <t>A. 0 punti B. 1 punto C. 2 punti D. Viene rimossa dalla partita</t>
  </si>
  <si>
    <t>0 punti</t>
  </si>
  <si>
    <t>La boccia più lontana dal boccino non contribuisce a guadagnare punti.</t>
  </si>
  <si>
    <t>Dove è stata fondata la prima associazione nazionale di Bocce in Italia?</t>
  </si>
  <si>
    <t>A. Roma B. Genova C. Milano D. Napoli</t>
  </si>
  <si>
    <t>La prima associazione nazionale di Bocce è stata fondata a Genova.</t>
  </si>
  <si>
    <t>Nel gioco del Bocce, cosa significa il termine 'coprire' una boccia?</t>
  </si>
  <si>
    <t>A. Posizionare una boccia vicino al boccino B. Rimuovere una boccia avversaria C. Lanciare la boccia sopra l'avversario D. Posizionare la boccia sopra la linea di fondo</t>
  </si>
  <si>
    <t>Posizionare una boccia vicino al boccino</t>
  </si>
  <si>
    <t>Copertura' si riferisce al posizionamento della boccia vicino al boccino.</t>
  </si>
  <si>
    <t>Nel Bocce, quale di queste tecniche è più utilizzata?</t>
  </si>
  <si>
    <t>A. Tiro a parabola B. Tiro dritto C. Tiro a spinning D. Lancio con salto</t>
  </si>
  <si>
    <t>Tiro dritto</t>
  </si>
  <si>
    <t>Il tiro dritto è la tecnica più utilizzata nel gioco del Bocce.</t>
  </si>
  <si>
    <t>Qual è il principale campionato internazionale di Bocce?</t>
  </si>
  <si>
    <t>A. Campionato del Mondo di Bocce B. Coppa Bocce Europea C. Gioco Olimpico di Bocce D. Campionato Continentale di Bocce</t>
  </si>
  <si>
    <t>Campionato del Mondo di Bocce</t>
  </si>
  <si>
    <t>Il Campionato del Mondo di Bocce è il principale evento competitivo internazionale.</t>
  </si>
  <si>
    <t>Quale delle seguenti è una variante del gioco del Bocce?</t>
  </si>
  <si>
    <t>A. Pallone col Boccino B. Petanque C. Calcio a bocce D. Boules Lyonnaise</t>
  </si>
  <si>
    <t>Petanque</t>
  </si>
  <si>
    <t>La Petanque è una variante del gioco del Bocce, molto popolare in Francia.</t>
  </si>
  <si>
    <t>Cosa accade se un giocatore lancia la boccia senza averla presa correttamente?</t>
  </si>
  <si>
    <t>A. La boccia viene scartata B. La boccia viene rifiutata C. Il tiro viene ripetuto D. Viene penalizzato di un punto</t>
  </si>
  <si>
    <t>Il tiro viene ripetuto</t>
  </si>
  <si>
    <t>Se il lancio non è eseguito correttamente, il giocatore può ripetere il tiro.</t>
  </si>
  <si>
    <t>Qual è la storia dietro l'introduzione del Bocce come sport ufficiale?</t>
  </si>
  <si>
    <t>A. Ha origini militari B. È stato creato come passatempo aristocratico C. È stato promosso dal governo italiano D. È nato come gioco da cortile</t>
  </si>
  <si>
    <t>È stato creato come passatempo aristocratico</t>
  </si>
  <si>
    <t>Il Bocce veniva giocato come passatempo da nobili e aristocratici durante il Rinascimento.</t>
  </si>
  <si>
    <t>Quanto tempo è durato il più lungo campionato di Bocce registrato?</t>
  </si>
  <si>
    <t>A. 5 ore B. 8 ore C. 12 ore D. 24 ore</t>
  </si>
  <si>
    <t>12 ore</t>
  </si>
  <si>
    <t>Il campionato di Bocce più lungo della storia è durato 12 ore.</t>
  </si>
  <si>
    <t>Cosa significa 'boccia in campo' nel linguaggio del Bocce?</t>
  </si>
  <si>
    <t>A. Una boccia che ha colpito il boccino B. Una boccia che esce dalla pista C. Una boccia che si ferma sulla linea di fondo D. Una boccia che resta dentro la pista</t>
  </si>
  <si>
    <t>Una boccia che resta dentro la pista</t>
  </si>
  <si>
    <t>Boccia in campo' significa che la boccia è ancora valida e resta nella pista.</t>
  </si>
  <si>
    <t>Qual è la principale differenza tra Bocce e Petanque?</t>
  </si>
  <si>
    <t>A. Petanque si gioca con un boccino più piccolo B. Petanque si gioca con le bocce più grandi C. Petanque si gioca senza piste D. Petanque si gioca senza lanciare le bocce a mano</t>
  </si>
  <si>
    <t>Petanque si gioca senza piste</t>
  </si>
  <si>
    <t>A differenza del Bocce, la Petanque si gioca su terreni non necessariamente definiti da piste.</t>
  </si>
  <si>
    <t>Nel Bocce, cosa significa 'prendere il boccino'?</t>
  </si>
  <si>
    <t>A. Posizionare la boccia più vicino al boccino B. Lanciare la boccia direttamente sul boccino C. Colpire il boccino e spostarlo D. Farlo rimbalzare in campo</t>
  </si>
  <si>
    <t>Colpire il boccino e spostarlo</t>
  </si>
  <si>
    <t>Prendere il boccino' significa spostare il boccino con una boccia.</t>
  </si>
  <si>
    <t>Quando fu introdotto il gioco del Bocce in Italia?</t>
  </si>
  <si>
    <t>A. Nel Medioevo B. Nel Rinascimento C. Nel 1800 D. Nel 1600</t>
  </si>
  <si>
    <t>Nel Rinascimento</t>
  </si>
  <si>
    <t>Il Bocce è stato introdotto in Italia durante il Rinascimento, come gioco per le
59"</t>
  </si>
  <si>
    <t>Nel gioco del Bocce, qual è la principale differenza tra un tiro di 'spinta' e un tiro di 'rimbalzo'?</t>
  </si>
  <si>
    <t>A. Il tiro di spinta è più forte B. Il tiro di rimbalzo tocca il boccino C. Il tiro di spinta va più lontano D. Il tiro di rimbalzo rimbalza prima di fermarsi</t>
  </si>
  <si>
    <t>Il tiro di rimbalzo rimbalza prima di fermarsi</t>
  </si>
  <si>
    <t>Il tiro di rimbalzo tocca prima il terreno e rimbalza verso il boccino.</t>
  </si>
  <si>
    <t>Qual è il termine utilizzato quando una squadra è vicina a vincere una partita di Bocce?</t>
  </si>
  <si>
    <t>A. Vittoria facile B. Set finale C. Ultimo round D. Game point</t>
  </si>
  <si>
    <t>Ultimo round</t>
  </si>
  <si>
    <t>Quando una squadra è vicina alla vittoria, si parla di 'ultimo round'.</t>
  </si>
  <si>
    <t>Qual è la superficie ideale per una partita di Bocce all'aperto?</t>
  </si>
  <si>
    <t>A. Sabbia compatta B. Asfalto C. Erba D. Terra battuta</t>
  </si>
  <si>
    <t>Erba</t>
  </si>
  <si>
    <t>L'erba è una superficie ideale quando si gioca a Bocce all'aperto.</t>
  </si>
  <si>
    <t>Chi ha creato il primo regolamento ufficiale del Bocce in Italia?</t>
  </si>
  <si>
    <t>A. Federazione Italiana Bocce B. Giovanni Dall'Asta C. Giuseppe Malaspina D. Luca Ricci</t>
  </si>
  <si>
    <t>Giovanni Dall'Asta</t>
  </si>
  <si>
    <t>Giovanni Dall'Asta è stato uno dei principali fautori del regolamento ufficiale del Bocce in Italia.</t>
  </si>
  <si>
    <t>In che anno fu organizzato il primo torneo ufficiale di Bocce in Italia?</t>
  </si>
  <si>
    <t>A. 1825 B. 1840 C. 1860 D. 1880</t>
  </si>
  <si>
    <t>Il primo torneo ufficiale di Bocce in Italia fu organizzato nel 1840.</t>
  </si>
  <si>
    <t>In quale città italiana si svolge uno dei tornei di Bocce più prestigiosi?</t>
  </si>
  <si>
    <t>A. Milano B. Torino C. Roma D. Napoli</t>
  </si>
  <si>
    <t>Torino è sede di uno dei tornei di Bocce più prestigiosi.</t>
  </si>
  <si>
    <t>Cosa rappresenta il boccino nel gioco del Bocce?</t>
  </si>
  <si>
    <t>A. Il bersaglio principale B. Il punto di partenza C. Il simbolo della vittoria D. Un ostacolo naturale</t>
  </si>
  <si>
    <t>Il bersaglio principale</t>
  </si>
  <si>
    <t>Il boccino è il bersaglio verso cui i giocatori mirano con le loro bocce.</t>
  </si>
  <si>
    <t>Nel Bocce, cos'è il 'tiratore'?</t>
  </si>
  <si>
    <t>A. Il giocatore che lancia la boccia B. Il giocatore che difende la squadra avversaria C. Il giocatore che guida la squadra D. Il giocatore che sceglie il campo</t>
  </si>
  <si>
    <t>Il giocatore che lancia la boccia</t>
  </si>
  <si>
    <t>Il 'tiratore' è il giocatore che lancia la boccia nel gioco.</t>
  </si>
  <si>
    <t>Quanti punti sono necessari per vincere una partita di Bocce in alcune varianti regionali?</t>
  </si>
  <si>
    <t>A. 5 punti B. 10 punti C. 15 punti D. 21 punti</t>
  </si>
  <si>
    <t>15 punti</t>
  </si>
  <si>
    <t>In alcune varianti regionali, per vincere una partita di Bocce, sono necessari 15 punti.</t>
  </si>
  <si>
    <t>Come si chiama il gioco del Bocce in Francia?</t>
  </si>
  <si>
    <t>A. Boules B. Pétanque C. Jeu de boules D. Boccia</t>
  </si>
  <si>
    <t>Pétanque</t>
  </si>
  <si>
    <t>In Francia, il gioco del Bocce è conosciuto come Pétanque.</t>
  </si>
  <si>
    <t>Qual è la strategia principale per giocare a Bocce?</t>
  </si>
  <si>
    <t>A. Lanciare forte B. Lanciare preciso C. Lanciare velocemente D. Colpire il boccino</t>
  </si>
  <si>
    <t>Lanciare preciso</t>
  </si>
  <si>
    <t>La strategia principale del Bocce è la precisione nel lanciare la boccia vicino al boccino.</t>
  </si>
  <si>
    <t>Che tipo di sport è il Bocce?</t>
  </si>
  <si>
    <t>A. Sport di resistenza B. Sport di precisione C. Sport di velocità D. Sport di squadra</t>
  </si>
  <si>
    <t>Sport di precisione</t>
  </si>
  <si>
    <t>Il Bocce è considerato uno sport di precisione.</t>
  </si>
  <si>
    <t>Qual è il termine utilizzato quando una boccia si ferma più lontano dal boccino di tutte le altre?</t>
  </si>
  <si>
    <t>A. Finta boccia B. Boccia finale C. Boccia perdente D. Boccia fuori gioco</t>
  </si>
  <si>
    <t>Boccia fuori gioco</t>
  </si>
  <si>
    <t>La boccia che si ferma più lontano dal boccino viene chiamata 'boccia fuori gioco'.</t>
  </si>
  <si>
    <t>Quando si gioca a Bocce, quanto è lunga la pista in competizioni ufficiali?</t>
  </si>
  <si>
    <t>A. 12 metri B. 14 metri C. 16 metri D. 18 metri</t>
  </si>
  <si>
    <t>La lunghezza ufficiale di una pista da Bocce nelle competizioni è di 18 metri.</t>
  </si>
  <si>
    <t>Quale evento segna l'inizio del gioco competitivo di Bocce in Italia?</t>
  </si>
  <si>
    <t>A. Le Olimpiadi di Roma B. Il primo torneo di Bocce di Milano C. La creazione della Federazione Italiana Bocce D. La prima gara nazionale di Bocce</t>
  </si>
  <si>
    <t>La creazione della Federazione Italiana Bocce</t>
  </si>
  <si>
    <t>L'inizio del gioco competitivo di Bocce in Italia è segnato dalla creazione della Federazione Italiana Bocce.</t>
  </si>
  <si>
    <t>Nel gioco del Bocce, che tipo di lanci può eseguire un giocatore?</t>
  </si>
  <si>
    <t>A. Lancio dritto e a parabola B. Lancio potente C. Lancio laterale D. Lancio in salto</t>
  </si>
  <si>
    <t>Lancio dritto e a parabola</t>
  </si>
  <si>
    <t>Il giocatore può eseguire tiri dritti o a parabola, a seconda della situazione.</t>
  </si>
  <si>
    <t>In Bocce, quale tipo di strategia è usata per 'bloccare' l'avversario?</t>
  </si>
  <si>
    <t>A. Lanciare le bocce il più lontano possibile B. Posizionare le bocce vicino al boccino C. Colpire l'altra boccia avversaria D. Posizionare una boccia nella sua traiettoria</t>
  </si>
  <si>
    <t>Posizionare le bocce vicino al boccino</t>
  </si>
  <si>
    <t>Una strategia comune è quella di posizionare le bocce vicine al boccino per guadagnare vantaggio.</t>
  </si>
  <si>
    <t>Qual è il termine utilizzato per una partita di Bocce tra due squadre?</t>
  </si>
  <si>
    <t>A. Doppio B. Singolare C. Partita a squadra D. Match</t>
  </si>
  <si>
    <t>Partita a squadra</t>
  </si>
  <si>
    <t>La partita di Bocce tra due squadre è chiamata 'partita a squadra'.</t>
  </si>
  <si>
    <t>Dove si trova il maggior numero di piste da Bocce in Italia?</t>
  </si>
  <si>
    <t>A. Milano B. Napoli C. Roma D. Liguria</t>
  </si>
  <si>
    <t>Liguria</t>
  </si>
  <si>
    <t>La Liguria ha un gran numero di piste da Bocce, essendo una regione tradizionalmente legata al gioco.</t>
  </si>
  <si>
    <t>Nel gioco del Bocce, come viene determinato chi inizia per primo?</t>
  </si>
  <si>
    <t>A. Chi ha vinto la partita precedente B. Lancio a sorteggio C. Chi arriva prima al campo D. Chi ha la boccia più pesante</t>
  </si>
  <si>
    <t>Lancio a sorteggio</t>
  </si>
  <si>
    <t>Il primo giocatore viene determinato tramite un lancio a sorteggio.</t>
  </si>
  <si>
    <t>Qual è la principale differenza tra Bocce e Boccia Paralimpica?</t>
  </si>
  <si>
    <t>A. La velocità del gioco B. Le dimensioni del campo C. Le regole di punteggio D. La presenza di atleti con disabilità</t>
  </si>
  <si>
    <t>La presenza di atleti con disabilità</t>
  </si>
  <si>
    <t>La Boccia Paralimpica è giocata da atleti con disabilità e ha alcune regole adattate.</t>
  </si>
  <si>
    <t>Nel Bocce, cosa significa 'frazionare' la boccia?</t>
  </si>
  <si>
    <t>A. Lanciare la boccia in due parti B. Far rimbalzare la boccia in due punti C. Farla fermare senza toccare il boccino D. Lanciare la boccia in più direzioni</t>
  </si>
  <si>
    <t>Farla fermare senza toccare il boccino</t>
  </si>
  <si>
    <t>Frazionare' la boccia significa farla fermare senza colpire il boccino.</t>
  </si>
  <si>
    <t>In che secolo il Bocce è diventato uno sport nazionale in Italia?</t>
  </si>
  <si>
    <t>A. XV secolo B. XVI secolo C. XVII secolo D. XVIII secolo</t>
  </si>
  <si>
    <t>XVI secolo</t>
  </si>
  <si>
    <t>Il Bocce è diventato uno sport nazionale in Italia nel XVI secolo.</t>
  </si>
  <si>
    <t>Cosa succede se una boccia tocca un'altra boccia durante il tiro?</t>
  </si>
  <si>
    <t>A. La boccia viene scartata B. La boccia guadagna un punto C. Il tiro viene ripetuto D. La boccia rimane in gioco</t>
  </si>
  <si>
    <t>La boccia rimane in gioco</t>
  </si>
  <si>
    <t>Se una boccia tocca un'altra boccia durante il tiro, entrambe restano valide.</t>
  </si>
  <si>
    <t>Nel Bocce, quale è il termine per il tiro che fa rimbalzare la boccia?</t>
  </si>
  <si>
    <t>A. Rimbalzo B. Tiro a parabola C. Tiro a spinta D. Tiro di rincorsa</t>
  </si>
  <si>
    <t>Rimbalzo</t>
  </si>
  <si>
    <t>Il 'rimbalzo' è il termine utilizzato quando la boccia tocca il terreno e rimbalza verso il boccino.</t>
  </si>
  <si>
    <t>In Bocce, qual è la distanza minima tra il boccino e la prima boccia lanciata?</t>
  </si>
  <si>
    <t>A. 1 metro B. 2 metri C. 5 metri D. 10 metri</t>
  </si>
  <si>
    <t>2 metri</t>
  </si>
  <si>
    <t>La distanza minima tra il boccino e la prima boccia lanciata è di 2 metri.</t>
  </si>
  <si>
    <t>Quale altro gioco simile al Bocce è praticato in Francia?</t>
  </si>
  <si>
    <t>A. Boules Lyonnaise B. Pétanque C. Boccia Francese D. Jeu de boules</t>
  </si>
  <si>
    <t>Boules Lyonnaise</t>
  </si>
  <si>
    <t>Boules Lyonnaise è un gioco simile al Bocce praticato in Francia.</t>
  </si>
  <si>
    <t>Nel Bocce, cosa significa quando una boccia 'è fuori gioco'?</t>
  </si>
  <si>
    <t>A. La boccia è troppo
88" B. Nel gioco del Bocce, quale tecnica viene usata per colpire un avversario? C. Tiro di rimbalzo D. Tiro di spinta</t>
  </si>
  <si>
    <t>Tiro a parabola</t>
  </si>
  <si>
    <t>Tiro di copertura</t>
  </si>
  <si>
    <t>Cosa significa 'boccia dentro' nel gioco del Bocce?</t>
  </si>
  <si>
    <t>A. Una boccia che è fuori campo B. Una boccia che tocca il boccino C. Una boccia che è ancora nel gioco D. Una boccia che colpisce un'altra boccia</t>
  </si>
  <si>
    <t>Una boccia che è ancora nel gioco</t>
  </si>
  <si>
    <t>Boccia dentro' significa che la boccia è ancora dentro la pista e in gioco.</t>
  </si>
  <si>
    <t>In Bocce, quanto tempo dura un turno di lancio per ogni giocatore?</t>
  </si>
  <si>
    <t>A. 5 secondi B. 10 secondi C. 15 secondi D. 20 secondi</t>
  </si>
  <si>
    <t>10 secondi</t>
  </si>
  <si>
    <t>Ogni giocatore ha 10 secondi per lanciare la boccia durante il suo turno.</t>
  </si>
  <si>
    <t>Nel Bocce, cosa indica il termine 'boccia lunga'?</t>
  </si>
  <si>
    <t>A. Una boccia che va fuori pista B. Una boccia che è troppo lontana dal boccino C. Una boccia che colpisce un altro oggetto D. Una boccia che è vicina al boccino</t>
  </si>
  <si>
    <t>Una boccia che è troppo lontana dal boccino</t>
  </si>
  <si>
    <t>Boccia lunga' indica una boccia che è lanciata troppo lontano dal boccino.</t>
  </si>
  <si>
    <t>Cosa si intende per 'tirare al centro' nel gioco del Bocce?</t>
  </si>
  <si>
    <t>A. Mirare al centro della pista B. Colpire il boccino con precisione C. Lanciare la boccia nel punto più lontano D. Posizionare la boccia al centro della traiettoria</t>
  </si>
  <si>
    <t>Mirare al centro della pista</t>
  </si>
  <si>
    <t>Tirare al centro' significa mirare al centro della pista per una traiettoria precisa.</t>
  </si>
  <si>
    <t>Qual è il termine usato per il gioco del Bocce nelle regioni del Sud Italia?</t>
  </si>
  <si>
    <t>A. Boccia a volo B. Boccia tradizionale C. Scopone D. Bocce Calabrese</t>
  </si>
  <si>
    <t>Bocce Calabrese</t>
  </si>
  <si>
    <t>Nel sud Italia, il gioco del Bocce è spesso chiamato Bocce Calabrese.</t>
  </si>
  <si>
    <t>Nel gioco del Bocce, quanto spesso si cambia il lato della pista tra le manche?</t>
  </si>
  <si>
    <t>A. Ogni 5 minuti B. Dopo ogni manche C. Ogni 2 manches D. Ogni 3 manches</t>
  </si>
  <si>
    <t>Dopo ogni manche</t>
  </si>
  <si>
    <t>I giocatori cambiano lato della pista dopo ogni manche.</t>
  </si>
  <si>
    <t>Che tipo di materiali vengono usati per realizzare le bocce?</t>
  </si>
  <si>
    <t>A. Legno e plastica B. Pietra e metallo C. Fibra di carbonio D. Metallo e resina</t>
  </si>
  <si>
    <t>Metallo e resina</t>
  </si>
  <si>
    <t>Le bocce professionali sono realizzate principalmente in metallo e resina.</t>
  </si>
  <si>
    <t>Quale giocatore in una squadra di Bocce deve eseguire il primo tiro?</t>
  </si>
  <si>
    <t>A. Il tiratore principale B. Il capitano della squadra C. Il giocatore più esperto D. Il giocatore designato</t>
  </si>
  <si>
    <t>Il giocatore designato</t>
  </si>
  <si>
    <t>In ogni squadra di Bocce, un giocatore designato esegue il primo tiro.</t>
  </si>
  <si>
    <t>Qual è l'abilità principale che un giocatore di Bocce deve avere?</t>
  </si>
  <si>
    <t>A. Velocità B. Forza C. Precisione D. Capacità atletica</t>
  </si>
  <si>
    <t>La precisione è l'abilità principale richiesta in Bocce per riuscire a colpire il boccino con le bocce.</t>
  </si>
  <si>
    <t>In quale secolo il Bocce è stato registrato per la prima volta ufficialmente in Italia?</t>
  </si>
  <si>
    <t>A. XV secolo B. XVI secolo C. XVII secolo D. XIX secolo</t>
  </si>
  <si>
    <t>Il Bocce è stato ufficialmente registrato come sport in Italia nel XVI secolo.</t>
  </si>
  <si>
    <t>In che tipo di competizione internazionale si gioca a Bocce?</t>
  </si>
  <si>
    <t>A. Coppa del Mondo B. Campionato del Mondo C. Coppa d'Europa D. Campionato Olimpico</t>
  </si>
  <si>
    <t>Campionato del Mondo</t>
  </si>
  <si>
    <t>Il Campionato del Mondo di Bocce è la competizione internazionale più importante.</t>
  </si>
  <si>
    <t>Nel gioco del Bocce, cos'è una 'pallina'?</t>
  </si>
  <si>
    <t>A. Un altro nome per il boccino B. Un altro nome per la boccia C. Un tipo di boccia speciale D. Un ostacolo nella pista</t>
  </si>
  <si>
    <t>Un altro nome per il boccino</t>
  </si>
  <si>
    <t>Pallina' è un altro nome per il boccino nel gioco del Bocce.</t>
  </si>
  <si>
    <t>Qual è il termine usato per descrivere quando un giocatore lancia la boccia senza riuscire a colpire il boccino?</t>
  </si>
  <si>
    <t>A. Tiro nullo B. Lancio sfortunato C. Tiro fallito D. Lancio errato</t>
  </si>
  <si>
    <t>Tiro nullo</t>
  </si>
  <si>
    <t>Quando un giocatore non riesce a colpire il boccino, il tiro viene chiamato 'tiro nullo'.</t>
  </si>
  <si>
    <t>Qual è la principale differenza tra Bocce e Pétanque?</t>
  </si>
  <si>
    <t>A. La dimensione delle bocce B. Le regole di lancio C. La tecnica di gioco D. La superficie del campo</t>
  </si>
  <si>
    <t>La superficie del campo</t>
  </si>
  <si>
    <t>La principale differenza è la superficie del campo: Bocce si gioca su pista liscia mentre la Pétanque su terreni irregolari.</t>
  </si>
  <si>
    <t>Nel Bocce, cosa si intende per 'cambio di campo'?</t>
  </si>
  <si>
    <t>A. Cambiare la direzione del tiro B. Cambiare la posizione del boccino C. Passare da un lato all'altro della pista D. Sostituire le bocce con altre</t>
  </si>
  <si>
    <t>Passare da un lato all'altro della pista</t>
  </si>
  <si>
    <t>Il 'cambio di campo' implica che i giocatori cambiano lato della pista durante la partita.</t>
  </si>
  <si>
    <t>In quale anno è stato istituito il regolamento ufficiale della Federazione Italiana Bocce?</t>
  </si>
  <si>
    <t>A. 1880 B. 1905 C. 1921 D. 1940</t>
  </si>
  <si>
    <t>Il regolamento ufficiale della Federazione Italiana Bocce è stato istituito nel 1905.</t>
  </si>
  <si>
    <t>Nel gioco del Bocce, che ruolo ha il 'bocciatore' in una squadra?</t>
  </si>
  <si>
    <t>A. Lancia il boccino B. Lancia le bocce dell'avversario C. Lancia la boccia più lontano possibile D. Lancia le bocce proprie verso il boccino</t>
  </si>
  <si>
    <t>Lancia le bocce proprie verso il boccino</t>
  </si>
  <si>
    <t>Il 'bocciatore' è il giocatore che lancia le bocce verso il boccino.</t>
  </si>
  <si>
    <t>Nel Bocce, cosa succede quando una boccia colpisce il boccino?</t>
  </si>
  <si>
    <t>A. Guadagna punti B. Viene rimossa dal gioco C. Il tiro viene annullato D. Non succede nulla</t>
  </si>
  <si>
    <t>Guadagna punti</t>
  </si>
  <si>
    <t>Quando una boccia colpisce il boccino, la squadra guadagna punti.</t>
  </si>
  <si>
    <t>In quale secolo il Bocce è stato introdotto in Francia?</t>
  </si>
  <si>
    <t>Il Bocce è stato introdotto in Francia nel XVI secolo, portato dalle tradizioni italiane.</t>
  </si>
  <si>
    <t>Qual è la competizione più importante di Bocce per i giocatori professionisti italiani?</t>
  </si>
  <si>
    <t>A. Coppa Italia B. Campionato Nazionale C. Campionato del Mondo D. Supercoppa Italiana</t>
  </si>
  <si>
    <t>Campionato Nazionale</t>
  </si>
  <si>
    <t>Il Campionato Nazionale di Bocce è la competizione più importante per i giocatori professionisti italiani.</t>
  </si>
  <si>
    <t>In quale occasione storica il Bocce ha guadagnato popolarità in Italia?</t>
  </si>
  <si>
    <t>A. Durante il Rinascimento B. Durante il Medioevo C. Nel periodo Romano D. Nel periodo Barocco</t>
  </si>
  <si>
    <t>Durante il Rinascimento</t>
  </si>
  <si>
    <t>Il Bocce guadagnò popolarità durante il Rinascimento, quando divenne un passatempo tra i nobili.</t>
  </si>
  <si>
    <t>Nel gioco del Bocce, come si chiama la parte centrale della pista?</t>
  </si>
  <si>
    <t>A. Zona di tiro B. Campo di gioco C. Area di centro D. Zona di lancio</t>
  </si>
  <si>
    <t>Campo di gioco</t>
  </si>
  <si>
    <t>La parte centrale della pista viene chiamata 'campo di gioco'.</t>
  </si>
  <si>
    <t>Nel Bocce, qual è la posizione di partenza per un giocatore che deve tirare?</t>
  </si>
  <si>
    <t>A. Punto di lancio B. Linea di fondo C. Posizione neutra D. Area di scorrimento</t>
  </si>
  <si>
    <t>Linea di fondo</t>
  </si>
  <si>
    <t>Il giocatore parte dalla linea di fondo per lanciare la boccia.</t>
  </si>
  <si>
    <t>Quando un giocatore vince una partita di Bocce, quale tipo di premio riceve solitamente?</t>
  </si>
  <si>
    <t>A. Trofeo B. Medaglia C. Punteggio bonus D. Coppa di riconoscimento</t>
  </si>
  <si>
    <t>Trofeo</t>
  </si>
  <si>
    <t>In genere, il vincitore di una partita di Bocce riceve un trofeo.</t>
  </si>
  <si>
    <t>Nel gioco del Bocce, quale movimento è utilizzato per lanciare la boccia in modo preciso?</t>
  </si>
  <si>
    <t>A. Spinta manuale B. Lancio a volo C. Tiro a parabola D. Tiro dritto</t>
  </si>
  <si>
    <t>Il movimento più comune nel gioco del Bocce è il tiro dritto, per garantire precisione.</t>
  </si>
  <si>
    <t>Qual è la lunghezza massima di una pista da Bocce nelle competizioni ufficiali?</t>
  </si>
  <si>
    <t>A. 14 metri B. 16 metri C. 18 metri D. 20 metri</t>
  </si>
  <si>
    <t>La lunghezza massima di una pista da Bocce nelle competizioni ufficiali è di 18 metri.</t>
  </si>
  <si>
    <t>Nel gioco del Bocce, cosa significa quando una boccia è 'vicina al boccino'?</t>
  </si>
  <si>
    <t>A. La boccia è a meno di 1 metro dal boccino B. La boccia è al centro del campo C. La boccia è fuori gioco D. La boccia è più lontana di tutte le altre</t>
  </si>
  <si>
    <t>La boccia è a meno di 1 metro dal boccino</t>
  </si>
  <si>
    <t>Quando una boccia è vicina al boccino, significa che è a meno di 1 metro dal boccino stesso.</t>
  </si>
  <si>
    <t>Quale tecnica viene utilizzata per spingere la boccia verso il boccino nel Bocce?</t>
  </si>
  <si>
    <t>A. Tiro in avanti B. Tiro a volo C. Tiro di copertura D. Tiro di spinta</t>
  </si>
  <si>
    <t>Tiro di spinta</t>
  </si>
  <si>
    <t>Il tiro di spinta è utilizzato per avvicinare la boccia al boccino con una spinta decisa.</t>
  </si>
  <si>
    <t>Nel Bocce, quale tipo di strategia è comune per impedire all'avversario di avvicinarsi al boccino?</t>
  </si>
  <si>
    <t>A. Lanciare la boccia lunga B. Bloccare la traiettoria avversaria C. Colpire il boccino D. Lanciare la boccia veloce</t>
  </si>
  <si>
    <t>Bloccare la traiettoria avversaria</t>
  </si>
  <si>
    <t>Una strategia comune è quella di bloccare la traiettoria avversaria mettendo una boccia vicino al boccino.</t>
  </si>
  <si>
    <t>Qual è il termine usato per il gioco di Bocce in Lombardia?</t>
  </si>
  <si>
    <t>A. Boccia Milano B. Bocce Tradizionale C. Bocce Lombarda D. Bocce d'alta classe</t>
  </si>
  <si>
    <t>Bocce Lombarda</t>
  </si>
  <si>
    <t>In Lombardia, il gioco del Bocce è spesso chiamato Bocce Lombarda.</t>
  </si>
  <si>
    <t>Come si chiama il tiro che colpisce il boccino in Bocce?</t>
  </si>
  <si>
    <t>A. Tiro di punta B. Tiro di ricognizione C. Tiro di rimbalzo D. Tiro d'attacco</t>
  </si>
  <si>
    <t>Tiro di punta</t>
  </si>
  <si>
    <t>Il tiro che colpisce il boccino viene chiamato 'tiro di punta'.</t>
  </si>
  <si>
    <t>Qual è la distanza minima tra il boccino e le bocce in una partita di Bocce?</t>
  </si>
  <si>
    <t>La distanza minima tra il boccino e le bocce in gioco deve essere di almeno 2 metri.</t>
  </si>
  <si>
    <t>In quale secolo il Bocce è stato regolamentato per la prima volta dalla Federazione Italiana?</t>
  </si>
  <si>
    <t>A. XIV secolo B. XV secolo C. XVI secolo D. XX secolo</t>
  </si>
  <si>
    <t>XX secolo</t>
  </si>
  <si>
    <t>La Federazione Italiana Bocce ha regolamentato ufficialmente il gioco nel XX secolo.</t>
  </si>
  <si>
    <t>Nel gioco del Bocce, qual è il significato di 'fare una buca'?</t>
  </si>
  <si>
    <t>A. Scivolare lungo il campo B. Fare rimbalzare la boccia fuori pista C. Lanciare una boccia nel boccino D. Lasciare una boccia in una posizione difficile per l'avversario</t>
  </si>
  <si>
    <t>Lasciare una boccia in una posizione difficile per l'avversario</t>
  </si>
  <si>
    <t>Fare una buca' significa posizionare una boccia in modo che sia difficile per l'avversario spostarla.</t>
  </si>
  <si>
    <t>Nel Bocce, chi è il responsabile di determinare la posizione della boccia sul campo?</t>
  </si>
  <si>
    <t>A. L'arbitro B. Il giocatore che lancia per primo C. Il capitano della squadra D. Il pubblico</t>
  </si>
  <si>
    <t>L'arbitro</t>
  </si>
  <si>
    <t>L'arbitro è il responsabile di determinare la posizione della boccia sul campo.</t>
  </si>
  <si>
    <t>Nel gioco del Bocce, cosa si intende con 'tenere il centro'?</t>
  </si>
  <si>
    <t>A. Lanciare tutte le bocce in un'unica direzione B. Posizionare la boccia più vicino possibile al centro del campo C. Controllare la parte centrale del campo con la strategia D. Lanciare la boccia vicino al boccino</t>
  </si>
  <si>
    <t>Posizionare la boccia più vicino possibile al centro del campo</t>
  </si>
  <si>
    <t>Tenere il centro' significa cercare di posizionare la boccia più vicino al centro del campo per dominare la partita.</t>
  </si>
  <si>
    <t>Cosa succede se una boccia colpisce un altro giocatore o una persona durante il gioco?</t>
  </si>
  <si>
    <t>A. Il tiro viene annullato B. La boccia è considerata fuori gioco C. Il giocatore viene squalificato D. Il gioco continua normalmente</t>
  </si>
  <si>
    <t>Il tiro viene annullato</t>
  </si>
  <si>
    <t>Se una boccia colpisce un altro giocatore o una persona, il tiro viene annullato.</t>
  </si>
  <si>
    <t>Quante bocce sono utilizzate in una partita di Bocce?</t>
  </si>
  <si>
    <t>A. 6 B. 8 C. 10 D. 12</t>
  </si>
  <si>
    <t>In una partita di Bocce, ogni squadra utilizza 4 bocce, per un totale di 8 bocce in campo.</t>
  </si>
  <si>
    <t>Qual è la principale differenza tra il gioco del Bocce e la Pétanque?</t>
  </si>
  <si>
    <t>A. La tecnica di lancio B. La superficie di gioco C. Il numero di bocce D. Il numero di giocatori per squadra</t>
  </si>
  <si>
    <t>La superficie di gioco</t>
  </si>
  <si>
    <t>La principale differenza tra il Bocce e la Pétanque è la superficie di gioco: il Bocce si gioca su una pista liscia, mentre la Pétanque su terreni irregolari.</t>
  </si>
  <si>
    <t>Nel gioco del Bocce, cosa rappresenta il boccino?</t>
  </si>
  <si>
    <t>A. Il primo tiro B. Il punto di partenza C. Il bersaglio principale D. Il punteggio finale</t>
  </si>
  <si>
    <t>Il boccino è il bersaglio principale verso cui i giocatori mirano con le loro bocce.</t>
  </si>
  <si>
    <t>Nel Bocce, cos'è una 'partita doppia'?</t>
  </si>
  <si>
    <t>A. Una partita con due squadre B. Una partita in cui ogni giocatore lancia due bocce C. Una partita che dura il doppio del tempo D. Una partita con due giocatori per squadra</t>
  </si>
  <si>
    <t>Una partita con due giocatori per squadra</t>
  </si>
  <si>
    <t>Una 'partita doppia' è quella in cui ci sono due giocatori per squadra.</t>
  </si>
  <si>
    <t>Quando una boccia è lanciata 'a parabola' nel gioco del Bocce, cosa significa?</t>
  </si>
  <si>
    <t>A. La boccia rimbalza prima di fermarsi B. La boccia va molto lontano C. La boccia segue una traiettoria curva nell'aria D. La boccia colpisce direttamente il boccino</t>
  </si>
  <si>
    <t>La boccia segue una traiettoria curva nell'aria</t>
  </si>
  <si>
    <t>Un tiro 'a parabola' significa che la boccia segue una traiettoria curva nell'aria.</t>
  </si>
  <si>
    <t>Nel gioco del Bocce, qual è il termine per quando una squadra perde tutti i punti in una manche?</t>
  </si>
  <si>
    <t>A. Punteggio nullo B. Punteggio negativo C. Manche vuota D. Vittoria dell'avversario</t>
  </si>
  <si>
    <t>Manche vuota</t>
  </si>
  <si>
    <t>Se una squadra non guadagna alcun punto in una manche, viene chiamata 'manche vuota'.</t>
  </si>
  <si>
    <t>Qual è il principale obiettivo nel gioco del Bocce?</t>
  </si>
  <si>
    <t>A. Fare più tiri B. Posizionare le bocce più lontano possibile C. Avvicinare la propria boccia al boccino D. Colpire il boccino con forza</t>
  </si>
  <si>
    <t>Avvicinare la propria boccia al boccino</t>
  </si>
  <si>
    <t>L'obiettivo principale nel Bocce è avvicinare la propria boccia il più possibile al boccino.</t>
  </si>
  <si>
    <t>Nel Bocce, quale parte della boccia tocca prima il terreno nel tiro di rimbalzo?</t>
  </si>
  <si>
    <t>A. La parte centrale B. La parte laterale C. La parte inferiore D. La parte superiore</t>
  </si>
  <si>
    <t>La parte inferiore</t>
  </si>
  <si>
    <t>Nel tiro di rimbalzo, la parte inferiore della boccia tocca prima il terreno.</t>
  </si>
  <si>
    <t>Cosa significa 'boccia fuori' nel gioco del Bocce?</t>
  </si>
  <si>
    <t>A. Una boccia che è fuori dal campo B. Una boccia che non ha colpito il boccino C. Una boccia che ha toccato un altro oggetto D. Una boccia che è troppo vicina al boccino</t>
  </si>
  <si>
    <t>Una boccia che è fuori dal campo</t>
  </si>
  <si>
    <t>Boccia fuori' significa che la boccia è uscita dal campo di gioco.</t>
  </si>
  <si>
    <t>Quale dei seguenti paesi gioca anche una versione del gioco del Bocce?</t>
  </si>
  <si>
    <t>A. Spagna B. Francia C. Germania D. Svezia</t>
  </si>
  <si>
    <t>Francia</t>
  </si>
  <si>
    <t>La Francia gioca una versione simile del Bocce, chiamata Pétanque.</t>
  </si>
  <si>
    <t>Quale tipo di campo è tradizionalmente usato per giocare a Bocce in Italia?</t>
  </si>
  <si>
    <t>A. Pista asfaltata B. Campo in sabbia C. Pista erbosa D. Pista di terra battuta</t>
  </si>
  <si>
    <t>Pista di terra battuta</t>
  </si>
  <si>
    <t>La pista di terra battuta è il tipo di campo tradizionalmente usato in Italia per giocare a Bocce.</t>
  </si>
  <si>
    <t>Nel gioco del Bocce, quale strategia si usa per 'spingere' la boccia avversaria fuori gioco?</t>
  </si>
  <si>
    <t>A. Lanciare una boccia lunga B. Lanciare una boccia con molta forza C. Lanciare la boccia con precisione verso quella avversaria D. Colpire il boccino</t>
  </si>
  <si>
    <t>Lanciare la boccia con precisione verso quella avversaria</t>
  </si>
  <si>
    <t>Per 'spingere' la boccia avversaria fuori gioco, si lancia la boccia con precisione per colpirla direttamente.</t>
  </si>
  <si>
    <t>Nel Bocce, quale squadra vince alla fine di una partita?</t>
  </si>
  <si>
    <t>A. La squadra con il maggior numero di bocce B. La squadra che arriva prima al boccino C. La squadra con il punteggio più alto D. La squadra che ha lanciato più bocce</t>
  </si>
  <si>
    <t>La squadra con il punteggio più alto</t>
  </si>
  <si>
    <t>La squadra che accumula più punti durante le varie manche vince la partita.</t>
  </si>
  <si>
    <t>Che tipo di superficie viene comunemente utilizzata nelle competizioni di Bocce?</t>
  </si>
  <si>
    <t>A. Asfalto B. Pista di cemento C. Pista di sabbia D. Pista in terra battuta</t>
  </si>
  <si>
    <t>Pista in terra battuta</t>
  </si>
  <si>
    <t>Le competizioni ufficiali di Bocce si svolgono su una pista in terra battuta.</t>
  </si>
  <si>
    <t>A. Il giocatore con il punteggio più basso B. Il giocatore con la boccia più leggera C. Il giocatore che lancia per primo un tiro di prova D. Il giocatore che vince una moneta</t>
  </si>
  <si>
    <t>Il giocatore che lancia per primo un tiro di prova</t>
  </si>
  <si>
    <t>Il giocatore che lancia per primo un tiro di prova determina chi inizia per primo.</t>
  </si>
  <si>
    <t>Qual è il principale obiettivo del giocatore che sta lanciando nel Bocce?</t>
  </si>
  <si>
    <t>A. Colpire il boccino B. Rimanere nel campo C. Lanciare la boccia il più lontano possibile D. Posizionare la boccia più vicino al boccino</t>
  </si>
  <si>
    <t>Posizionare la boccia più vicino al boccino</t>
  </si>
  <si>
    <t>L'obiettivo principale è avvicinare la propria boccia al boccino.</t>
  </si>
  <si>
    <t>Nel gioco del Bocce, cosa significa 'boccia battuta'?</t>
  </si>
  <si>
    <t>A. Una boccia che ha toccato il terreno B. Una boccia che ha colpito un'altra boccia C. Una boccia che ha colpito il boccino D. Una boccia che è stata lanciata fuori pista</t>
  </si>
  <si>
    <t>Una boccia che ha colpito un'altra boccia</t>
  </si>
  <si>
    <t>Boccia battuta' significa che una boccia ha colpito un'altra boccia durante il gioco.</t>
  </si>
  <si>
    <t>Qual è la durata tipica di una partita di Bocce nelle competizioni?</t>
  </si>
  <si>
    <t>A. 30 minuti B. 1 ora C. 2 ore D. 3 ore</t>
  </si>
  <si>
    <t>1 ora</t>
  </si>
  <si>
    <t>Le partite di Bocce nelle competizioni ufficiali durano generalmente circa 1 ora.</t>
  </si>
  <si>
    <t>Nel gioco del Bocce, come si chiama l'area in cui i giocatori lanciano le bocce?</t>
  </si>
  <si>
    <t>A. Campo di gioco B. Area di lancio C. Zona di tiro D. Lato di gioco</t>
  </si>
  <si>
    <t>Area di lancio</t>
  </si>
  <si>
    <t>L'area in cui i giocatori lanciano le bocce è chiamata 'area di lancio'.</t>
  </si>
  <si>
    <t>Nel Bocce, che tipo di lanci viene utilizzato per colpire un'altra boccia in una strategia offensiva?</t>
  </si>
  <si>
    <t>A. Lancio a parabola B. Lancio a forza C. Lancio a rimbalzo D. Lancio diretto</t>
  </si>
  <si>
    <t>Lancio diretto</t>
  </si>
  <si>
    <t>Il 'lancio diretto' è utilizzato per colpire un'altra boccia in una strategia offensiva.</t>
  </si>
  <si>
    <t>Nel Bocce, cosa succede se una boccia non supera la linea di partenza?</t>
  </si>
  <si>
    <t>A. Viene annullato il tiro B. La boccia viene rimossa C. Il tiro è ripetuto D. La boccia è considerata fuori gioco</t>
  </si>
  <si>
    <t>Viene annullato il tiro</t>
  </si>
  <si>
    <t>Se una boccia non supera la linea di partenza, il tiro viene annullato.</t>
  </si>
  <si>
    <t>Qual è la distanza massima tra il boccino e la boccia più vicina alla fine di una manche per guadagnare punti?</t>
  </si>
  <si>
    <t>1 metro</t>
  </si>
  <si>
    <t>Per guadagnare punti, la boccia deve essere a meno di 1 metro dal boccino.</t>
  </si>
  <si>
    <t>In quale anno è stato fondato il Comitato Internazionale del Bocce?</t>
  </si>
  <si>
    <t>A. 1900 B. 1924 C. 1948 D. 1960</t>
  </si>
  <si>
    <t>Il Comitato Internazionale del Bocce è stato fondato nel 1924.</t>
  </si>
  <si>
    <t>Nel Bocce, cosa accade quando entrambe le squadre hanno una boccia allo stesso livello rispetto al boccino?</t>
  </si>
  <si>
    <t>A. Vince la squadra che ha lanciato per prima B. Le bocce vengono rimosse dal campo C. Si ripete il tiro D. Vince la squadra che ha la boccia più vicina</t>
  </si>
  <si>
    <t>Vince la squadra che ha lanciato per prima</t>
  </si>
  <si>
    <t>Quando le bocce sono allo stesso livello rispetto al boccino, vince la squadra che ha lanciato per prima.</t>
  </si>
  <si>
    <t>Nel Bocce, cosa rappresenta il termine 'boccia fuori campo'?</t>
  </si>
  <si>
    <t>A. Una boccia che ha toccato il boccino B. Una boccia che è stata lanciata fuori dai confini del campo C. Una boccia che ha colpito un altro oggetto D. Una boccia che si è fermata prima di raggiungere il boccino</t>
  </si>
  <si>
    <t>Una boccia che è stata lanciata fuori dai confini del campo</t>
  </si>
  <si>
    <t>Boccia fuori campo' indica una boccia che è stata lanciata fuori dai confini del campo.</t>
  </si>
  <si>
    <t>Nel gioco del Bocce, che tipo di tiro viene utilizzato per evitare che la boccia avversaria interferisca con il boccino?</t>
  </si>
  <si>
    <t>A. Tiro di difesa B. Tiro a parabola C. Tiro di precisione D. Tiro di ricognizione</t>
  </si>
  <si>
    <t>Tiro di difesa</t>
  </si>
  <si>
    <t>Il 'tiro di difesa' viene utilizzato per evitare che la boccia avversaria interferisca con il boccino.</t>
  </si>
  <si>
    <t>In Bocce, quale dei seguenti fattori è importante per un lancio di successo?</t>
  </si>
  <si>
    <t>A. Posizione del boccino B. Controllo della forza del tiro C. Tipo di superficie del campo D. Tipo di boccia</t>
  </si>
  <si>
    <t>Controllo della forza del tiro</t>
  </si>
  <si>
    <t>Controllare la forza del tiro è essenziale per posizionare correttamente la boccia.</t>
  </si>
  <si>
    <t>Nel gioco del Bocce, quale termine descrive quando una boccia colpisce il boccino e lo sposta?</t>
  </si>
  <si>
    <t>A. Tiro di controllo B. Tiro di rimbalzo C. Tiro di spinta D. Tiro di attacco</t>
  </si>
  <si>
    <t>Il 'tiro di spinta' si verifica quando una boccia colpisce il boccino e lo sposta.</t>
  </si>
  <si>
    <t>Nel gioco del Bocce, cosa succede se una boccia tocca il boccino e lo spinge fuori pista?</t>
  </si>
  <si>
    <t>A. La boccia che ha colpito il boccino è eliminata B. La squadra avversaria guadagna un punto C. La partita viene annullata D. La boccia che ha colpito il boccino è rimessa in gioco</t>
  </si>
  <si>
    <t>La squadra avversaria guadagna un punto</t>
  </si>
  <si>
    <t>Se una boccia spinge il boccino fuori pista, la squadra avversaria guadagna un punto.</t>
  </si>
  <si>
    <t>Cosa significa 'fare un punto' nel gioco del Bocce?</t>
  </si>
  <si>
    <t>A. Quando la boccia arriva al centro del campo B. Quando la boccia è più vicina al boccino rispetto a quella dell'avversario C. Quando si colpisce un altro giocatore D. Quando la boccia esce dal campo</t>
  </si>
  <si>
    <t>Quando la boccia è più vicina al boccino rispetto a quella dell'avversario</t>
  </si>
  <si>
    <t>Fare un punto' significa che la boccia è più vicina al boccino rispetto a quella dell'avversario.</t>
  </si>
  <si>
    <t>Qual è il principale obiettivo nel gioco di Bocce?</t>
  </si>
  <si>
    <t>A. Colpire il boccino con tutte le bocce B. Posizionare le bocce più lontano possibile dal boccino C. Posizionare la propria boccia più vicina al boccino rispetto all'avversario D. Spostare il boccino fuori campo</t>
  </si>
  <si>
    <t>Posizionare la propria boccia più vicina al boccino rispetto all'avversario</t>
  </si>
  <si>
    <t>L'obiettivo principale del gioco di Bocce è posizionare la propria boccia più vicina al boccino rispetto a quella dell'avversario.</t>
  </si>
  <si>
    <t>Nel gioco del Bocce, cosa si intende per 'palla lunga'?</t>
  </si>
  <si>
    <t>A. Una boccia che è fuori gioco B. Una boccia lanciata con molta forza C. Una boccia lanciata oltre il boccino D. Una boccia che è più lontana dal boccino rispetto a tutte le altre</t>
  </si>
  <si>
    <t>Una boccia lanciata con molta forza</t>
  </si>
  <si>
    <t>Una 'palla lunga' si riferisce a una boccia che viene lanciata con molta forza.</t>
  </si>
  <si>
    <t>Nel gioco del Bocce, cosa deve fare un giocatore per vincere una manche?</t>
  </si>
  <si>
    <t>A. Posizionare la boccia più lontano possibile dal boccino B. Posizionare la boccia più vicina al boccino dell'avversario C. Posizionare la propria boccia più vicina al boccino rispetto all'avversario D. Colpire il boccino</t>
  </si>
  <si>
    <t>Posizionare la propria boccia più vicina al boccino rispetto all'av</t>
  </si>
  <si>
    <t>Qual è l'origine storica del gioco Pallone col Bracciale?</t>
  </si>
  <si>
    <t>A. Francia B. Italia C. Spagna D. Inghilterra</t>
  </si>
  <si>
    <t>Il gioco Pallone col Bracciale ha origini italiane, risalenti al Medioevo.</t>
  </si>
  <si>
    <t>Dove viene tradizionalmente giocato Pallone col Bracciale?</t>
  </si>
  <si>
    <t>A. Roma B. Firenze C. Milano D. Pesaro</t>
  </si>
  <si>
    <t>Pesaro</t>
  </si>
  <si>
    <t>Pesaro è una delle città storiche dove il gioco è più popolare.</t>
  </si>
  <si>
    <t>Quando è stato formalizzato il regolamento di Pallone col Bracciale?</t>
  </si>
  <si>
    <t>A. 1900 B. 1850 C. 1920 D. 1888</t>
  </si>
  <si>
    <t>Il regolamento ufficiale fu formalizzato alla fine del XIX secolo.</t>
  </si>
  <si>
    <t>Qual è l'altro nome con cui è conosciuto il Pallone col Bracciale?</t>
  </si>
  <si>
    <t>A. Calcio col Bracciale B. Tennis col Bracciale C. Racket Pallone D. Pallone a mano</t>
  </si>
  <si>
    <t>Pallone a mano</t>
  </si>
  <si>
    <t>Il nome alternativo è 'Pallone a mano'.</t>
  </si>
  <si>
    <t>Chi può giocare a Pallone col Bracciale?</t>
  </si>
  <si>
    <t>A. Solo uomini B. Solo donne C. Uomini e donne D. Solo bambini</t>
  </si>
  <si>
    <t>Uomini e donne</t>
  </si>
  <si>
    <t>Pallone col Bracciale è un gioco praticato da entrambi i sessi.</t>
  </si>
  <si>
    <t>Cosa si usa per giocare a Pallone col Bracciale?</t>
  </si>
  <si>
    <t>A. Una racchetta B. Un bracciale C. Un pallone D. Un bastone</t>
  </si>
  <si>
    <t>Un bracciale</t>
  </si>
  <si>
    <t>Il gioco si gioca usando un bracciale di cuoio indossato sul braccio.</t>
  </si>
  <si>
    <t>Qual è l'oggetto principale del gioco di Pallone col Bracciale?</t>
  </si>
  <si>
    <t>A. Una palla di cuoio B. Un pallone di legno C. Un pallone di gomma D. Un pallone di pelle</t>
  </si>
  <si>
    <t>Una palla di cuoio</t>
  </si>
  <si>
    <t>Il gioco utilizza una palla di cuoio, che viene colpita con il bracciale.</t>
  </si>
  <si>
    <t>In quale periodo del giorno si svolgevano tradizionalmente le partite di Pallone col Bracciale?</t>
  </si>
  <si>
    <t>A. Mattina B. Pomeriggio C. Sera D. Durante la notte</t>
  </si>
  <si>
    <t>Pomeriggio</t>
  </si>
  <si>
    <t>Le partite si svolgevano tradizionalmente nel pomeriggio, come molte altre attività all'aperto.</t>
  </si>
  <si>
    <t>Come si vince una partita di Pallone col Bracciale?</t>
  </si>
  <si>
    <t>A. Colpendo la palla più volte B. Mettendo la palla in una rete C. Raggiungendo un punteggio stabilito D. Cercando di colpire il muro</t>
  </si>
  <si>
    <t>Raggiungendo un punteggio stabilito</t>
  </si>
  <si>
    <t>Il gioco si basa su un sistema di punteggio in cui si vince raggiungendo un punteggio predeterminato.</t>
  </si>
  <si>
    <t>Qual è il ruolo del muro nel gioco Pallone col Bracciale?</t>
  </si>
  <si>
    <t>A. Il muro non è utilizzato B. Il muro è solo decorativo C. Il muro serve come parte del campo di gioco D. Il muro è dove si lancia la palla</t>
  </si>
  <si>
    <t>Il muro serve come parte del campo di gioco</t>
  </si>
  <si>
    <t>Il muro fa parte integrante del gioco, su cui la palla deve rimbalzare.</t>
  </si>
  <si>
    <t>Qual è il numero di giocatori tipico in una squadra di Pallone col Bracciale?</t>
  </si>
  <si>
    <t>Le squadre di Pallone col Bracciale sono solitamente formate da due giocatori.</t>
  </si>
  <si>
    <t>In quale secolo si è sviluppato Pallone col Bracciale come gioco competitivo?</t>
  </si>
  <si>
    <t>A. XI secolo B. XIV secolo C. XV secolo D. XVI secolo</t>
  </si>
  <si>
    <t>XIV secolo</t>
  </si>
  <si>
    <t>Il gioco iniziò a svilupparsi come competizione nel XIV secolo in Italia.</t>
  </si>
  <si>
    <t>Cosa rappresenta il 'Bracciale' nel nome del gioco?</t>
  </si>
  <si>
    <t>A. Un oggetto ornamentale B. Un pezzo di armatura C. Un tipo di palla D. Un accessorio per proteggere il braccio</t>
  </si>
  <si>
    <t>Un accessorio per proteggere il braccio</t>
  </si>
  <si>
    <t>Il bracciale è un attrezzo che i giocatori indossano sul braccio per colpire la palla.</t>
  </si>
  <si>
    <t>In quale parte d'Italia è nato il Pallone col Bracciale?</t>
  </si>
  <si>
    <t>A. Toscana B. Lazio C. Marche D. Veneto</t>
  </si>
  <si>
    <t>Marche</t>
  </si>
  <si>
    <t>Il Pallone col Bracciale ha origine nelle Marche, una regione centrale dell'Italia.</t>
  </si>
  <si>
    <t>Chi erano i principali avversari nel gioco di Pallone col Bracciale nel Medioevo?</t>
  </si>
  <si>
    <t>A. Le città italiane B. I contadini contro i nobili C. Le scuole contro le università D. Gli stranieri contro gli italiani</t>
  </si>
  <si>
    <t>Le città italiane</t>
  </si>
  <si>
    <t>Le partite di Pallone col Bracciale spesso vedevano sfidarsi diverse città italiane.</t>
  </si>
  <si>
    <t>Come si chiamano i punti in una partita di Pallone col Bracciale?</t>
  </si>
  <si>
    <t>A. Reti B. Set C. Games D. Casi</t>
  </si>
  <si>
    <t>Casi</t>
  </si>
  <si>
    <t>Il termine utilizzato per i punti nel gioco è 'casi'.</t>
  </si>
  <si>
    <t>Come venivano determinati i campi di gioco di Pallone col Bracciale?</t>
  </si>
  <si>
    <t>A. Secondo la posizione del sole B. Secondo il numero di spettatori C. Secondo la disponibilità del muro D. Secondo la stagione dell'anno</t>
  </si>
  <si>
    <t>Secondo la disponibilità del muro</t>
  </si>
  <si>
    <t>I campi venivano scelti in base alla disponibilità di un muro idoneo.</t>
  </si>
  <si>
    <t>Qual è uno degli aspetti principali che differenziano il Pallone col Bracciale da altri giochi di squadra?</t>
  </si>
  <si>
    <t>A. L'uso del bracciale per colpire la palla B. La palla è più grande C. Si gioca solo con le mani D. Il gioco non ha punteggi</t>
  </si>
  <si>
    <t>L'uso del bracciale per colpire la palla</t>
  </si>
  <si>
    <t>A differenza di molti altri giochi, nel Pallone col Bracciale si usa un bracciale per colpire la palla.</t>
  </si>
  <si>
    <t>Quali erano le caratteristiche del pubblico che assisteva alle partite di Pallone col Bracciale nel passato?</t>
  </si>
  <si>
    <t>A. Solo nobili B. Solo contadini C. Una vasta gamma di persone D. Solo soldati</t>
  </si>
  <si>
    <t>Una vasta gamma di persone</t>
  </si>
  <si>
    <t>Il gioco attirava una varietà di spettatori, tra cui nobili e contadini.</t>
  </si>
  <si>
    <t>Quando si giocava il Pallone col Bracciale durante il Rinascimento?</t>
  </si>
  <si>
    <t>A. Solo durante le feste religiose B. Solo nei mesi estivi C. In ogni stagione dell'anno D. Solo durante i tornei di caccia</t>
  </si>
  <si>
    <t>In ogni stagione dell'anno</t>
  </si>
  <si>
    <t>Nel Rinascimento, il gioco veniva praticato durante tutto l'anno.</t>
  </si>
  <si>
    <t>Chi ha cercato di rivitalizzare il Pallone col Bracciale nel XX secolo?</t>
  </si>
  <si>
    <t>A. Federico II di Svevia B. Alessandro Manzoni C. Carlo Alberto di Savoia D. La Federazione Italiana Pallone col Bracciale</t>
  </si>
  <si>
    <t>La Federazione Italiana Pallone col Bracciale</t>
  </si>
  <si>
    <t>La Federazione Italiana Pallone col Bracciale è stata fondamentale nel tentativo di rivitalizzare il gioco nel XX secolo.</t>
  </si>
  <si>
    <t>Qual è la distanza tipica tra le linee di gioco nel Pallone col Bracciale?</t>
  </si>
  <si>
    <t>A. 10 metri B. 15 metri C. 20 metri D. 30 metri</t>
  </si>
  <si>
    <t>20 metri</t>
  </si>
  <si>
    <t>Il campo di gioco del Pallone col Bracciale è tipicamente lungo circa 20 metri.</t>
  </si>
  <si>
    <t>Quale figura storica è stata associata al gioco di Pallone col Bracciale?</t>
  </si>
  <si>
    <t>A. Giovanni Boccaccio B. Ludovico Ariosto C. Pietro Aretino D. Niccolò Machiavelli</t>
  </si>
  <si>
    <t>Ludovico Ariosto</t>
  </si>
  <si>
    <t>Ludovico Ariosto, celebre autore, era un grande appassionato di Pallone col Bracciale.</t>
  </si>
  <si>
    <t>Nel Medioevo, chi patrocinava le partite di Pallone col Bracciale?</t>
  </si>
  <si>
    <t>A. Le corporazioni religiose B. I re e i nobili C. I mercanti D. I soldati mercenari</t>
  </si>
  <si>
    <t>I re e i nobili</t>
  </si>
  <si>
    <t>Le partite erano spesso sponsorizzate da re, nobili e famiglie ricche.</t>
  </si>
  <si>
    <t>Qual era la finalità di Pallone col Bracciale nelle corti medievali?</t>
  </si>
  <si>
    <t>A. Divertimento e allenamento militare B. Educazione religiosa C. Allenamento per la caccia D. Incontri politici</t>
  </si>
  <si>
    <t>Divertimento e allenamento militare</t>
  </si>
  <si>
    <t>Nel Medioevo, Pallone col Bracciale era visto anche come un esercizio utile per i combattimenti.</t>
  </si>
  <si>
    <t>Come veniva celebrata la vittoria in una partita di Pallone col Bracciale?</t>
  </si>
  <si>
    <t>A. Con una grande festa B. Con un banchetto C. Con un torneo di cavalieri D. Con una parata</t>
  </si>
  <si>
    <t>Con una grande festa</t>
  </si>
  <si>
    <t>La vittoria era seguita da celebrazioni pubbliche, che spesso includevano grandi feste.</t>
  </si>
  <si>
    <t>Quale classe sociale era più coinvolta nei giochi di Pallone col Bracciale nel Rinascimento?</t>
  </si>
  <si>
    <t>A. Contadini B. Nobili C. Mercanti D. Artigiani</t>
  </si>
  <si>
    <t>Nobili</t>
  </si>
  <si>
    <t>I nobili erano i principali partecipanti ai tornei di Pallone col Bracciale nel Rinascimento.</t>
  </si>
  <si>
    <t>Qual è la durata media di una partita di Pallone col Bracciale?</t>
  </si>
  <si>
    <t>A. 1 ora B. 30 minuti C. 2 ore D. 3 ore</t>
  </si>
  <si>
    <t>Le partite di Pallone col Bracciale durano mediamente circa un'ora.</t>
  </si>
  <si>
    <t>Quando si svolgevano le partite di Pallone col Bracciale durante il Medioevo?</t>
  </si>
  <si>
    <t>A. Solo d'inverno B. Solo nei fine settimana C. Durante le festività D. Solo nei giorni feriali</t>
  </si>
  <si>
    <t>Durante le festività</t>
  </si>
  <si>
    <t>Le partite venivano giocate principalmente durante le festività religiose e civili.</t>
  </si>
  <si>
    <t>Qual era la difficoltà principale nel giocare a Pallone col Bracciale?</t>
  </si>
  <si>
    <t>A. L'altezza del muro B. Il peso del pallone C. La velocità della palla D. La forza del bracciale</t>
  </si>
  <si>
    <t>La forza del bracciale</t>
  </si>
  <si>
    <t>L'uso del bracciale richiedeva molta forza e abilità per colpire correttamente la palla.</t>
  </si>
  <si>
    <t>Qual è l'altro nome con cui viene chiamato il pallone usato nel gioco?</t>
  </si>
  <si>
    <t>A. Palla di cuoio B. Palla di ferro C. Palla di legno D. Palla di gomma</t>
  </si>
  <si>
    <t>Palla di cuoio</t>
  </si>
  <si>
    <t>Il pallone utilizzato nel gioco è una palla di cuoio, appositamente preparata per la resistenza e il rimbalzo.</t>
  </si>
  <si>
    <t>Quali città italiane hanno una tradizione storica di Pallone col Bracciale?</t>
  </si>
  <si>
    <t>A. Venezia e Napoli B. Firenze e Roma C. Pesaro e Urbino D. Bologna e Milano</t>
  </si>
  <si>
    <t>Pesaro e Urbino</t>
  </si>
  <si>
    <t>Pesaro e Urbino sono le città che hanno una lunga tradizione di Pallone col Bracciale.</t>
  </si>
  <si>
    <t>Nel XVI secolo, quale gruppo sociale dominava il gioco di Pallone col Bracciale?</t>
  </si>
  <si>
    <t>A. I soldati B. I nobili C. I mercanti D. I monaci</t>
  </si>
  <si>
    <t>I nobili</t>
  </si>
  <si>
    <t>Nel XVI secolo, il gioco era principalmente praticato dalla nobiltà e dalla classe dirigente.</t>
  </si>
  <si>
    <t>In quale altra regione d'Italia è diffuso il Pallone col Bracciale oltre alle Marche?</t>
  </si>
  <si>
    <t>A. Toscana B. Lazio C. Liguria D. Sicilia</t>
  </si>
  <si>
    <t>Toscana</t>
  </si>
  <si>
    <t>Anche in Toscana, in particolare nella zona di Firenze, il Pallone col Bracciale era popolare.</t>
  </si>
  <si>
    <t>Qual è la principale differenza tra il Pallone col Bracciale e il gioco del tennis?</t>
  </si>
  <si>
    <t>A. L'uso di una racchetta B. Il tipo di palla C. La presenza del muro D. La durata del gioco</t>
  </si>
  <si>
    <t>La presenza del muro</t>
  </si>
  <si>
    <t>Il Pallone col Bracciale si gioca contro un muro, mentre il tennis no.</t>
  </si>
  <si>
    <t>Quale figura storica è legata al gioco del Pallone col Bracciale durante il Rinascimento?</t>
  </si>
  <si>
    <t>A. Leonardo da Vinci B. Michelangelo C. Giovanni Boccaccio D. Niccolò Machiavelli</t>
  </si>
  <si>
    <t>Leonardo da Vinci</t>
  </si>
  <si>
    <t>Leonardo da Vinci è stato un grande ammiratore del gioco e lo descrisse nei suoi scritti.</t>
  </si>
  <si>
    <t>Chi ha tentato di preservare il Pallone col Bracciale nel XX secolo?</t>
  </si>
  <si>
    <t>A. Il governo italiano B. La Federazione Italiana Pallone col Bracciale C. Il Comitato Olimpico Nazionale Italiano D. Le scuole italiane</t>
  </si>
  <si>
    <t>Nel XX secolo, la federazione si è impegnata per preservare e rivitalizzare il gioco.</t>
  </si>
  <si>
    <t>Qual è la tradizione legata al pallone lanciato durante le partite di Pallone col Bracciale?</t>
  </si>
  <si>
    <t>A. Si deve essere colpito con la mano B. Si deve rimbalzare sul muro prima di essere colpito C. Si deve essere lanciato con il bracciale D. Si deve essere colpito in aria</t>
  </si>
  <si>
    <t>Si deve essere colpito con il bracciale</t>
  </si>
  <si>
    <t>La tradizione richiede che il pallone venga colpito con il bracciale e non con la mano.</t>
  </si>
  <si>
    <t>Nel Rinascimento, chi era incaricato di organizzare le partite di Pallone col Bracciale?</t>
  </si>
  <si>
    <t>A. I vescovi B. I nobili C. I mercanti D. Gli ambasciatori</t>
  </si>
  <si>
    <t>Le partite erano spesso organizzate dai nobili per celebrare eventi e feste pubbliche.</t>
  </si>
  <si>
    <t>Qual è la principale difficoltà per i giocatori di Pallone col Bracciale?</t>
  </si>
  <si>
    <t>A. Mantenere il punteggio B. Colpire correttamente la palla C. Costruire il campo D. Scegliere il bracciale giusto</t>
  </si>
  <si>
    <t>Colpire correttamente la palla</t>
  </si>
  <si>
    <t>Il gioco richiede un'alta precisione nel colpire la palla con il bracciale.</t>
  </si>
  <si>
    <t>Quale regione d'Italia ha visto il maggior numero di partite storiche di Pallone col Bracciale?</t>
  </si>
  <si>
    <t>A. Puglia B. Marche C. Sicilia D. Lazio</t>
  </si>
  <si>
    <t>Le Marche sono la regione che ha visto il maggior numero di partite storiche di Pallone col Bracciale.</t>
  </si>
  <si>
    <t>Quando è stata fondata la Federazione Italiana Pallone col Bracciale?</t>
  </si>
  <si>
    <t>A. 1910 B. 1940 C. 1970 D. 2000</t>
  </si>
  <si>
    <t>La Federazione Italiana Pallone col Bracciale è stata fondata nel 1940 per promuovere il gioco.</t>
  </si>
  <si>
    <t>Qual è la principale difficoltà per i principianti di Pallone col Bracciale?</t>
  </si>
  <si>
    <t>A. Comprendere le regole B. Evitare gli infortuni C. Lanciare il pallone con precisione D. Indossare il bracciale correttamente</t>
  </si>
  <si>
    <t>Indossare il bracciale correttamente</t>
  </si>
  <si>
    <t>Il corretto posizionamento del bracciale è essenziale per evitare infortuni e giocare efficacemente.</t>
  </si>
  <si>
    <t>Quale evento segna la fine di una partita di Pallone col Bracciale?</t>
  </si>
  <si>
    <t>A. Il raggiungimento del punteggio finale B. Il suono di una campana C. Il fischio dell'arbitro D. L'ultimo colpo di palla</t>
  </si>
  <si>
    <t>Il raggiungimento del punteggio finale</t>
  </si>
  <si>
    <t>La partita finisce quando uno dei giocatori raggiunge il punteggio finale stabilito.</t>
  </si>
  <si>
    <t>Come venivano premiati i vincitori delle partite di Pallone col Bracciale?</t>
  </si>
  <si>
    <t>A. Con medaglie d'oro B. Con trofei di legno C. Con denaro D. Con una corona di alloro</t>
  </si>
  <si>
    <t>Con una corona di alloro</t>
  </si>
  <si>
    <t>I vincitori venivano tradizionalmente premiati con una corona di alloro come simbolo di onore.</t>
  </si>
  <si>
    <t>Nel XVIII secolo, chi era il principale pubblico del gioco di Pallone col Bracciale?</t>
  </si>
  <si>
    <t>A. I contadini B. I nobili e i ricchi commercianti C. I soldati D. Gli studenti universitari</t>
  </si>
  <si>
    <t>I nobili e i ricchi commercianti</t>
  </si>
  <si>
    <t>Il gioco era particolarmente apprezzato da nobili e commercianti ricchi che lo consideravano un passatempo raffinato.</t>
  </si>
  <si>
    <t>Dove si tenevano le grandi partite di Pallone col Bracciale nel XIX secolo?</t>
  </si>
  <si>
    <t>A. In cortili privati B. Nei teatri all'aperto C. Nelle piazze cittadine D. Nei palazzetti dello sport</t>
  </si>
  <si>
    <t>Nelle piazze cittadine</t>
  </si>
  <si>
    <t>Le grandi partite venivano spesso tenute nelle piazze principali delle città italiane.</t>
  </si>
  <si>
    <t>Nel 2000, quali cambiamenti sono stati apportati al Pallone col Bracciale per attrarre i giovani?</t>
  </si>
  <si>
    <t>A. Introduzione di nuove regole B. Semplificazione delle attrezzature C. Riduzione della durata delle partite D. Integrazione con il calcio</t>
  </si>
  <si>
    <t>Introduzione di nuove regole</t>
  </si>
  <si>
    <t>Per attirare i giovani, sono state introdotte nuove regole per rendere il gioco più dinamico e interessante.</t>
  </si>
  <si>
    <t>Quale tipo di pallone viene usato nel Pallone col Bracciale?</t>
  </si>
  <si>
    <t>A. Pallone di gomma B. Pallone di pelle C. Pallone di cuoio D. Pallone di plastica</t>
  </si>
  <si>
    <t>Pallone di cuoio</t>
  </si>
  <si>
    <t>Il pallone utilizzato è di cuoio, che lo rende resistente e adatto ai colpi con il bracciale.</t>
  </si>
  <si>
    <t>Chi è considerato uno dei fondatori della moderna Pallone col Bracciale?</t>
  </si>
  <si>
    <t>A. Giovanni da Verrazzano B. Francesco Petrarca C. Girolamo Riario D. Giovanni Sforza</t>
  </si>
  <si>
    <t>Girolamo Riario</t>
  </si>
  <si>
    <t>Girolamo Riario è stato una figura importante per la formalizzazione del gioco nel Rinascimento.</t>
  </si>
  <si>
    <t>In quale secolo Pallone col Bracciale ha cominciato ad essere conosciuto come sport ufficiale?</t>
  </si>
  <si>
    <t>Nel XVI secolo il Pallone col Bracciale cominciò a guadagnare una maggiore attenzione come sport ufficiale.</t>
  </si>
  <si>
    <t>Quale delle seguenti città ha una tradizione di eventi annuali di Pallone col Bracciale?</t>
  </si>
  <si>
    <t>A. Napoli B. Roma C. Pesaro D. Venezia</t>
  </si>
  <si>
    <t>Pesaro è famosa per i suoi tornei annuali di Pallone col Bracciale.</t>
  </si>
  <si>
    <t>Come si chiamano i campi in cui si gioca a Pallone col Bracciale?</t>
  </si>
  <si>
    <t>A. Campi sportivi B. Palestre C. Piazze storiche D. Muri da gioco</t>
  </si>
  <si>
    <t>Muri da gioco</t>
  </si>
  <si>
    <t>Il gioco si pratica su 'muri da gioco', che sono muri appositamente preparati per il rimbalzo della palla.</t>
  </si>
  <si>
    <t>Che tipo di pubblico seguiva le partite di Pallone col Bracciale nel passato?</t>
  </si>
  <si>
    <t>A. Solo nobili B. Solo contadini C. Un pubblico variegato D. Solo ricchi commercianti</t>
  </si>
  <si>
    <t>Un pubblico variegato</t>
  </si>
  <si>
    <t>Le partite attiravano una vasta gamma di spettatori, dai nobili ai contadini.</t>
  </si>
  <si>
    <t>Quale delle seguenti è una competizione storica famosa di Pallone col Bracciale?</t>
  </si>
  <si>
    <t>A. Il Palio di Siena B. Il Palio di Pesaro C. La Coppa del Mondo D. Il Torneo di Firenze</t>
  </si>
  <si>
    <t>Il Palio di Pesaro</t>
  </si>
  <si>
    <t>Il Palio di Pesaro è una delle competizioni storiche più famose di Pallone col Bracciale.</t>
  </si>
  <si>
    <t>A. Games B. Casi C. Set D. Rounds</t>
  </si>
  <si>
    <t>I punti in Pallone col Bracciale sono chiamati 'casi'.</t>
  </si>
  <si>
    <t>Qual è il principale obiettivo durante una partita di Pallone col Bracciale?</t>
  </si>
  <si>
    <t>A. Colpire il pallone più volte B. Colpire la palla in un bersaglio C. Rimbalzare il pallone sul muro D. Evitare gli infortuni</t>
  </si>
  <si>
    <t>Rimbalzare il pallone sul muro</t>
  </si>
  <si>
    <t>L'obiettivo principale è colpire la palla in modo che rimbalzi correttamente sul muro.</t>
  </si>
  <si>
    <t>Qual è la posizione dei giocatori durante una partita di Pallone col Bracciale?</t>
  </si>
  <si>
    <t>A. Accovacciata B. In piedi contro il muro C. Seduti a terra D. In movimento continuo</t>
  </si>
  <si>
    <t>In piedi contro il muro</t>
  </si>
  <si>
    <t>I giocatori devono essere posizionati contro il muro durante la partita.</t>
  </si>
  <si>
    <t>A. Raggiungendo un punteggio stabilito B. Colpendo la palla più volte C. Lanciando la palla nel bersaglio D. Superando un altro giocatore</t>
  </si>
  <si>
    <t>Una partita di Pallone col Bracciale si vince quando un giocatore raggiunge il punteggio stabilito.</t>
  </si>
  <si>
    <t>Quale era una delle principali caratteristiche del bracciale usato nel gioco?</t>
  </si>
  <si>
    <t>A. Era di legno B. Era molto pesante C. Proteggeva il braccio dei giocatori D. Era fatto di metallo</t>
  </si>
  <si>
    <t>Proteggeva il braccio dei giocatori</t>
  </si>
  <si>
    <t>Il bracciale era progettato per proteggere il braccio durante il gioco.</t>
  </si>
  <si>
    <t>Qual è una delle caratteristiche che distingue il Pallone col Bracciale da altri sport con il pallone?</t>
  </si>
  <si>
    <t>A. Il bracciale per colpire la palla B. L'assenza di un campo definito C. Il numero di giocatori D. La palla più grande</t>
  </si>
  <si>
    <t>Il bracciale per colpire la palla</t>
  </si>
  <si>
    <t>A differenza di altri sport, nel Pallone col Bracciale si usa un bracciale per colpire la palla.</t>
  </si>
  <si>
    <t>Nel gioco del Pallone col Bracciale, dove viene lanciata la palla?</t>
  </si>
  <si>
    <t>A. In un campo di sabbia B. Contro un muro C. Verso una rete D. Nel cerchio centrale</t>
  </si>
  <si>
    <t>Contro un muro</t>
  </si>
  <si>
    <t>Nel gioco, la palla deve rimbalzare contro un muro prima di essere colpita nuovamente.</t>
  </si>
  <si>
    <t>Quando si giocavano le partite di Pallone col Bracciale nel Rinascimento?</t>
  </si>
  <si>
    <t>A. Solo durante i mesi estivi B. Solo durante le festività religiose C. Durante tutto l'anno D. Solo durante le fiere</t>
  </si>
  <si>
    <t>Durante tutto l'anno</t>
  </si>
  <si>
    <t>Le partite di Pallone col Bracciale venivano giocate durante tutto l'anno, ma in particolare durante eventi pubblici.</t>
  </si>
  <si>
    <t>Qual è il ruolo del muro nel gioco?</t>
  </si>
  <si>
    <t>A. Serve come campo di gioco B. Serve come barriera contro il pubblico C. Serve come punto di riferimento per il punteggio D. Serve per contenere la palla</t>
  </si>
  <si>
    <t>Serve come campo di gioco</t>
  </si>
  <si>
    <t>Il muro è una parte fondamentale del campo di gioco, dove la palla deve rimbalzare.</t>
  </si>
  <si>
    <t>Quale paese ha una tradizione simile al Pallone col Bracciale?</t>
  </si>
  <si>
    <t>A. Spagna B. Francia C. Portogallo D. Inghilterra</t>
  </si>
  <si>
    <t>Spagna</t>
  </si>
  <si>
    <t>La Spagna ha una tradizione simile con il gioco del 'Pelota', che condivide molte caratteristiche con il Pallone col Bracciale.</t>
  </si>
  <si>
    <t>In quale parte dell'Italia è più praticato il Pallone col Bracciale?</t>
  </si>
  <si>
    <t>A. Nel sud Italia B. Nel nord Italia C. Nel centro Italia D. Nel nord-ovest Italia</t>
  </si>
  <si>
    <t>Nel centro Italia</t>
  </si>
  <si>
    <t>Il Pallone col Bracciale è principalmente praticato nelle regioni centrali, in particolare nelle Marche.</t>
  </si>
  <si>
    <t>Qual è la funzione del punteggio in una partita di Pallone col Bracciale?</t>
  </si>
  <si>
    <t>A. Determinare il vincitore B. Mantenere la disciplina tra i giocatori C. Aggiungere emozione al gioco D. Contare il numero di colpi</t>
  </si>
  <si>
    <t>Determinare il vincitore</t>
  </si>
  <si>
    <t>Il punteggio serve a determinare chi vince la partita, basato sui colpi riusciti.</t>
  </si>
  <si>
    <t>Quali sono i rischi principali nel giocare a Pallone col Bracciale?</t>
  </si>
  <si>
    <t>A. Lesioni al collo B. Lesioni alle gambe C. Infortuni al braccio D. Contusioni alla testa</t>
  </si>
  <si>
    <t>Infortuni al braccio</t>
  </si>
  <si>
    <t>Il principale rischio per i giocatori è l'infortunio al braccio a causa dell'intensità del colpo dato con il bracciale.</t>
  </si>
  <si>
    <t>Come venivano organizzati i tornei di Pallone col Bracciale nel Medioevo?</t>
  </si>
  <si>
    <t>A. Con tornei pubblici B. Con incontri tra famiglie nobili C. Con competizioni tra monasteri D. Con feste religiose</t>
  </si>
  <si>
    <t>Con tornei pubblici</t>
  </si>
  <si>
    <t>I tornei venivano organizzati pubblicamente, attirando grandi folle di spettatori.</t>
  </si>
  <si>
    <t>Cosa simboleggiava il Pallone col Bracciale durante il Rinascimento?</t>
  </si>
  <si>
    <t>A. Una sfida tra città B. Una gara di forza tra aristocratici C. Un passatempo per la corte reale D. Un simbolo di potere e prestigio</t>
  </si>
  <si>
    <t>Un simbolo di potere e prestigio</t>
  </si>
  <si>
    <t>Nel Rinascimento, il gioco veniva visto come un segno di prestigio e potere da parte delle classi dominanti.</t>
  </si>
  <si>
    <t>Come veniva celebrato il successo in una partita di Pallone col Bracciale nel passato?</t>
  </si>
  <si>
    <t>A. Con una parata B. Con un banchetto C. Con un concerto D. Con una danza tradizionale</t>
  </si>
  <si>
    <t>Con un banchetto</t>
  </si>
  <si>
    <t>Il successo veniva celebrato con banchetti e feste, che includevano anche danze e musiche.</t>
  </si>
  <si>
    <t>Quale tra questi oggetti era usato dai giocatori per colpire la palla?</t>
  </si>
  <si>
    <t>A. Una racchetta B. Un bracciale C. Un bastone D. Un guanto</t>
  </si>
  <si>
    <t>Il bracciale era l'unico attrezzo utilizzato per colpire la palla nel gioco.</t>
  </si>
  <si>
    <t>Nel gioco del Pallone col Bracciale, quale parte del corpo era più sollecitata?</t>
  </si>
  <si>
    <t>A. Le gambe B. Il collo C. Le mani D. Il braccio</t>
  </si>
  <si>
    <t>Il braccio</t>
  </si>
  <si>
    <t>Il braccio era la parte del corpo più sollecitata, essendo utilizzato per colpire la palla con il bracciale.</t>
  </si>
  <si>
    <t>Cosa si utilizza per tracciare il punteggio nelle partite di Pallone col Bracciale?</t>
  </si>
  <si>
    <t>A. Un tabellone B. Un cartellino C. Un registro D. Un campanello</t>
  </si>
  <si>
    <t>Un tabellone</t>
  </si>
  <si>
    <t>Il punteggio veniva tradizionalmente tracciato su un tabellone visibile a tutti gli spettatori.</t>
  </si>
  <si>
    <t>Come si chiamano le persone che partecipano alle partite di Pallone col Bracciale?</t>
  </si>
  <si>
    <t>A. Giocatori B. Atleti C. Competitori D. Giocatori di bracciale</t>
  </si>
  <si>
    <t>Giocatori di bracciale</t>
  </si>
  <si>
    <t>I partecipanti alle partite di Pallone col Bracciale sono chiamati 'giocatori di bracciale'.</t>
  </si>
  <si>
    <t>Quale delle seguenti città è famosa per aver ospitato un grande torneo di Pallone col Bracciale nel XIX secolo?</t>
  </si>
  <si>
    <t>A. Milano B. Napoli C. Pesaro D. Venezia</t>
  </si>
  <si>
    <t>Pesaro è una città nota per aver ospitato grandi tornei storici di Pallone col Bracciale.</t>
  </si>
  <si>
    <t>Nel passato, quali strumenti venivano usati per proteggere i giocatori durante le partite?</t>
  </si>
  <si>
    <t>A. Caschi B. Ginocchiere C. Bracciali di cuoio D. Protezioni in metallo</t>
  </si>
  <si>
    <t>Bracciali di cuoio</t>
  </si>
  <si>
    <t>I giocatori utilizzavano bracciali di cuoio per proteggere i loro avambracci durante il gioco.</t>
  </si>
  <si>
    <t>Quale evento annuale è famoso per includere una partita di Pallone col Bracciale?</t>
  </si>
  <si>
    <t>A. La Fiera di San Giovanni B. Il Palio di Siena C. Il Carnevale di Venezia D. La Festa della Madonna della Cintura</t>
  </si>
  <si>
    <t>Il Palio di Pesaro è un evento annuale famoso per includere partite di Pallone col Bracciale.</t>
  </si>
  <si>
    <t>Come si chiamano i punti guadagnati durante una partita di Pallone col Bracciale?</t>
  </si>
  <si>
    <t>A. Casi B. Partite C. Giri D. Rounds</t>
  </si>
  <si>
    <t>I punti guadagnati durante una partita sono chiamati 'casi'.</t>
  </si>
  <si>
    <t>Nel XVI secolo, quale gioco simile al Pallone col Bracciale era giocato in Francia?</t>
  </si>
  <si>
    <t>A. Pelota B. Jeu de Paume C. Pallone alla Lunetta D. Choule</t>
  </si>
  <si>
    <t>Jeu de Paume</t>
  </si>
  <si>
    <t>Il 'Jeu de Paume' in Francia è simile al Pallone col Bracciale e ha avuto un impatto sullo sviluppo di sport come il tennis.</t>
  </si>
  <si>
    <t>Dove si tenevano le gare di Pallone col Bracciale durante il Rinascimento?</t>
  </si>
  <si>
    <t>A. Nei palazzi reali B. In piazze e cortili pubblici C. In stadi appositamente costruiti D. In grandi sale coperte</t>
  </si>
  <si>
    <t>In piazze e cortili pubblici</t>
  </si>
  <si>
    <t>Le gare venivano svolte in piazze e cortili pubblici, aperte a un pubblico ampio.</t>
  </si>
  <si>
    <t>Quale dei seguenti strumenti è essenziale per giocare a Pallone col Bracciale?</t>
  </si>
  <si>
    <t>A. Un racket B. Un bracciale C. Una palla da calcio D. Una rete</t>
  </si>
  <si>
    <t>Il bracciale è essenziale per colpire la palla nel gioco del Pallone col Bracciale.</t>
  </si>
  <si>
    <t>Nel XIX secolo, come venivano promosse le partite di Pallone col Bracciale?</t>
  </si>
  <si>
    <t>A. Con pubblicità nei giornali B. Con spettacoli teatrali C. Con eventi televisivi D. Con eventi pubblici e fiere</t>
  </si>
  <si>
    <t>Con eventi pubblici e fiere</t>
  </si>
  <si>
    <t>Le partite venivano promosse con eventi pubblici e fiere, attirando un grande pubblico.</t>
  </si>
  <si>
    <t>Quale attività è parte del Pallone col Bracciale oltre al gioco?</t>
  </si>
  <si>
    <t>A. Pesca B. Cavalcare C. Cucina tradizionale D. Musica e balli folkloristici</t>
  </si>
  <si>
    <t>Musica e balli folkloristici</t>
  </si>
  <si>
    <t>Le partite erano spesso accompagnate da musica e balli folkloristici durante le festività.</t>
  </si>
  <si>
    <t>Come si chiamano i tornei di Pallone col Bracciale oggi?</t>
  </si>
  <si>
    <t>A. Coppa Bracciale B. Trofeo di Pesaro C. Campionato Nazionale di Pallone col Bracciale D. Pallone d'oro</t>
  </si>
  <si>
    <t>Campionato Nazionale di Pallone col Bracciale</t>
  </si>
  <si>
    <t>Oggi, il campionato principale di Pallone col Bracciale è il Campionato Nazionale di Pallone col Bracciale.</t>
  </si>
  <si>
    <t>Che tipo di superficie è ideale per giocare a Pallone col Bracciale?</t>
  </si>
  <si>
    <t>A. Superficie morbida B. Superficie dura e liscia C. Superficie erbosa D. Superficie sabbiosa</t>
  </si>
  <si>
    <t>Superficie dura e liscia</t>
  </si>
  <si>
    <t>La superficie ideale per giocare è dura e liscia per permettere il corretto rimbalzo della palla.</t>
  </si>
  <si>
    <t>Quale fra le seguenti è una regola importante nel Pallone col Bracciale?</t>
  </si>
  <si>
    <t>A. Il giocatore deve stare sempre in piedi B. La palla non deve mai toccare terra C. La palla deve rimbalzare contro il muro D. Il punteggio non può superare 10 punti</t>
  </si>
  <si>
    <t>La palla deve rimbalzare contro il muro</t>
  </si>
  <si>
    <t>Una regola fondamentale è che la palla deve rimbalzare contro il muro prima di essere colpita di nuovo.</t>
  </si>
  <si>
    <t>Qual è il nome della squadra che si sfida nel gioco di Pallone col Bracciale?</t>
  </si>
  <si>
    <t>A. Squadra di pallone B. Team dei bracciali C. Non ci sono squadre, è individuale D. Team di giocatori locali</t>
  </si>
  <si>
    <t>Non ci sono squadre, è individuale</t>
  </si>
  <si>
    <t>Il gioco di Pallone col Bracciale è generalmente individuale, senza squadre formali.</t>
  </si>
  <si>
    <t>Che tipo di bracciale viene usato nel gioco del Pallone col Bracciale?</t>
  </si>
  <si>
    <t>A. Un bracciale rigido B. Un bracciale elastico C. Un bracciale di metallo D. Un bracciale di cuoio o legno</t>
  </si>
  <si>
    <t>Un bracciale di cuoio o legno</t>
  </si>
  <si>
    <t>Il bracciale usato nel gioco è tradizionalmente di cuoio o legno, per proteggere il braccio durante i colpi.</t>
  </si>
  <si>
    <t>In quale periodo storico il Pallone col Bracciale ha iniziato a declinare in popolarità?</t>
  </si>
  <si>
    <t>A. Durante l'Antichità B. Nel Rinascimento C. Nel XVIII secolo D. Nel XX secolo</t>
  </si>
  <si>
    <t>Nel XX secolo</t>
  </si>
  <si>
    <t>Il Pallone col Bracciale ha iniziato a declinare nel XX secolo a causa della popolarità crescente di altri sport.</t>
  </si>
  <si>
    <t>Che tipo di pubblico assisteva alle partite nel Rinascimento?</t>
  </si>
  <si>
    <t>A. Solo la nobiltà B. Solo i contadini C. Un pubblico variegato di tutte le classi sociali D. Solo i soldati</t>
  </si>
  <si>
    <t>Un pubblico variegato di tutte le classi sociali</t>
  </si>
  <si>
    <t>Nel Rinascimento, il gioco attirava un pubblico variegato, comprese persone di tutte le classi sociali.</t>
  </si>
  <si>
    <t>Cosa caratterizzava i giocatori professionisti di Pallone col Bracciale nel Rinascimento?</t>
  </si>
  <si>
    <t>A. Avevano un allenamento intensivo B. Giocavano solo per denaro C. Indossavano costumi tradizionali D. Erano molto giovani</t>
  </si>
  <si>
    <t>Avevano un allenamento intensivo</t>
  </si>
  <si>
    <t>I giocatori professionisti nel Rinascimento erano altamente allenati e specializzati nel gioco.</t>
  </si>
  <si>
    <t>In quale città veniva organizzato uno dei più importanti tornei di Pallone col Bracciale del XVI secolo?</t>
  </si>
  <si>
    <t>A. Napoli B. Firenze C. Pesaro D. Roma</t>
  </si>
  <si>
    <t>Firenze</t>
  </si>
  <si>
    <t>Firenze era una delle città che ospitava importanti tornei di Pallone col Bracciale nel XVI secolo.</t>
  </si>
  <si>
    <t>Qual è la funzione principale del muro nel gioco del Pallone col Bracciale?</t>
  </si>
  <si>
    <t>A. Rimbalzare la palla B. Ospitare il pubblico C. Segnare il punteggio D. Delineare il campo di gioco</t>
  </si>
  <si>
    <t>Rimbalzare la palla</t>
  </si>
  <si>
    <t>Il muro serve principalmente a far rimbalzare la palla, un aspetto centrale nel gioco.</t>
  </si>
  <si>
    <t>Nel gioco del Pallone col Bracciale, quale dei seguenti colpi è considerato più difficile?</t>
  </si>
  <si>
    <t>A. Colpire la palla con la mano B. Colpire la palla al volo C. Colpire la palla con il bracciale in movimento D. Colpire la palla con la testa</t>
  </si>
  <si>
    <t>Colpire la palla con il bracciale in movimento</t>
  </si>
  <si>
    <t>Colpire la palla con il bracciale mentre si è in movimento è uno dei colpi più difficili nel gioco.</t>
  </si>
  <si>
    <t>Qual è una delle caratteristiche principali della tradizione del Pallone col Bracciale?</t>
  </si>
  <si>
    <t>A. Si gioca solo in inverno B. Coinvolge solo i giovani C. Le partite sono legate a festività e celebrazioni D. Il gioco è praticato solo da professionisti</t>
  </si>
  <si>
    <t>Le partite sono legate a festività e celebrazioni</t>
  </si>
  <si>
    <t>Il gioco è tradizionalmente legato a festività e celebrazioni popolari.</t>
  </si>
  <si>
    <t>Quale tipo di bracciale era più comune nell'Italia medievale?</t>
  </si>
  <si>
    <t>A. Bracciale di legno B. Bracciale di acciaio C. Bracciale di cuoio D. Bracciale di tessuto</t>
  </si>
  <si>
    <t>Bracciale di cuoio</t>
  </si>
  <si>
    <t>Nel Medioevo, il bracciale più comune era realizzato in cuoio, poiché offriva una buona protezione e flessibilità.</t>
  </si>
  <si>
    <t>In quale secolo il Pallone col Bracciale divenne molto popolare in Italia?</t>
  </si>
  <si>
    <t>A. XII secolo B. XIII secolo C. XIV secolo D. XV secolo</t>
  </si>
  <si>
    <t>XIII secolo</t>
  </si>
  <si>
    <t>Il Pallone col Bracciale divenne molto popolare in Italia nel XIII secolo, soprattutto nelle corti aristocratiche.</t>
  </si>
  <si>
    <t>Quale città italiana è famosa per aver ospitato tornei storici di Pallone col Bracciale?</t>
  </si>
  <si>
    <t>A. Firenze B. Milano C. Venezia D. Pesaro</t>
  </si>
  <si>
    <t>Pesaro è nota per ospitare tornei storici di Pallone col Bracciale fin dal Rinascimento.</t>
  </si>
  <si>
    <t>Quale dei seguenti elementi era fondamentale nel gioco del Pallone col Bracciale?</t>
  </si>
  <si>
    <t>A. Un'arena chiusa B. Un bracciale protettivo C. Una rete D. Un pallone gonfiabile</t>
  </si>
  <si>
    <t>Un bracciale protettivo</t>
  </si>
  <si>
    <t>Il bracciale protettivo era essenziale per proteggere il braccio dei giocatori durante il gioco.</t>
  </si>
  <si>
    <t>Cosa rappresentava il Pallone col Bracciale per le classi sociali alte nel Rinascimento?</t>
  </si>
  <si>
    <t>A. Un passatempo per la corte B. Un gioco di guerra C. Un sport educativo D. Un segno di prestigio e potere</t>
  </si>
  <si>
    <t>Un segno di prestigio e potere</t>
  </si>
  <si>
    <t>Nel Rinascimento, il Pallone col Bracciale era considerato un segno di prestigio e potere per le classi aristocratiche.</t>
  </si>
  <si>
    <t>Come venivano organizzati i tornei di Pallone col Bracciale nel Rinascimento?</t>
  </si>
  <si>
    <t>A. Erano privati e rari B. Erano eventi pubblici e festivi C. Erano riservati alla nobiltà D. Erano giochi solitari</t>
  </si>
  <si>
    <t>Erano eventi pubblici e festivi</t>
  </si>
  <si>
    <t>I tornei venivano organizzati come eventi pubblici e festivi, attirando grandi folle.</t>
  </si>
  <si>
    <t>Nel gioco del Pallone col Bracciale, cosa accade se la palla non rimbalza correttamente contro il muro?</t>
  </si>
  <si>
    <t>A. Il gioco continua B. Il punto viene annullato C. Il punto viene vinto dall'avversario D. La partita è sospesa</t>
  </si>
  <si>
    <t>Il punto viene annullato</t>
  </si>
  <si>
    <t>Se la palla non rimbalza correttamente contro il muro, il punto viene annullato.</t>
  </si>
  <si>
    <t>Quale altro sport simile al Pallone col Bracciale è giocato in Spagna?</t>
  </si>
  <si>
    <t>A. Pelota B. Basque pelota C. Frontón D. Squash</t>
  </si>
  <si>
    <t>Basque pelota</t>
  </si>
  <si>
    <t>Il gioco simile in Spagna è la Basque pelota, che condivide molte somiglianze con il Pallone col Bracciale.</t>
  </si>
  <si>
    <t>In che tipo di ambiente si svolgevano le partite storiche di Pallone col Bracciale?</t>
  </si>
  <si>
    <t>A. In stadi moderni B. In palestre coperte C. In piazze pubbliche D. In cortili privati</t>
  </si>
  <si>
    <t>In piazze pubbliche</t>
  </si>
  <si>
    <t>Le partite storiche si svolgevano principalmente in piazze pubbliche, luoghi facilmente accessibili alla popolazione.</t>
  </si>
  <si>
    <t>Qual è il principale obiettivo dei giocatori in una partita di Pallone col Bracciale?</t>
  </si>
  <si>
    <t>A. Colpire la palla al volo B. Farsi notare dalla nobiltà C. Rimbalzare la palla contro il muro D. Ottenere il punteggio più alto possibile</t>
  </si>
  <si>
    <t>Rimbalzare la palla contro il muro</t>
  </si>
  <si>
    <t>L'obiettivo principale dei giocatori è far rimbalzare la palla contro il muro in modo strategico.</t>
  </si>
  <si>
    <t>Nel Pallone col Bracciale, quanto dura una partita?</t>
  </si>
  <si>
    <t>A. Fino a quando una squadra segna B. Fino a 10 punti C. Fino a 15 punti D. Fino al raggiungimento di un punteggio stabilito</t>
  </si>
  <si>
    <t>Fino al raggiungimento di un punteggio stabilito</t>
  </si>
  <si>
    <t>Le partite durano fino al raggiungimento di un punteggio predeterminato, che può variare.</t>
  </si>
  <si>
    <t>Nel gioco, quali sono i rischi principali per i giocatori?</t>
  </si>
  <si>
    <t>A. Lesioni alla schiena B. Contusioni alla testa C. Infortuni alle mani e braccia D. Problemi respiratori</t>
  </si>
  <si>
    <t>Infortuni alle mani e braccia</t>
  </si>
  <si>
    <t>I giocatori sono a rischio di infortuni alle mani e braccia, a causa dell'uso del bracciale per colpire la palla.</t>
  </si>
  <si>
    <t>In quale secolo Pallone col Bracciale è diventato un passatempo popolare per le corti nobili?</t>
  </si>
  <si>
    <t>Pallone col Bracciale divenne popolare tra le corti nobili nel XIV secolo, quando la pratica del gioco si diffuse tra l'aristocrazia.</t>
  </si>
  <si>
    <t>In quale paese europeo è nato un gioco simile al Pallone col Bracciale, chiamato 'La Pelota'?</t>
  </si>
  <si>
    <t>A. Francia B. Italia C. Spagna D. Portogallo</t>
  </si>
  <si>
    <t>La Pelota è un gioco simile nato in Spagna, che condivide molte caratteristiche con il Pallone col Bracciale.</t>
  </si>
  <si>
    <t>Quale periodo storico segna il massimo sviluppo del Pallone col Bracciale in Italia?</t>
  </si>
  <si>
    <t>A. Il Rinascimento B. Il Medioevo C. L'epoca moderna D. Il Barocco</t>
  </si>
  <si>
    <t>Il Rinascimento</t>
  </si>
  <si>
    <t>Il massimo sviluppo del Pallone col Bracciale in Italia si è avuto durante il Rinascimento.</t>
  </si>
  <si>
    <t>In quale regione d'Italia è particolarmente popolare il gioco del Pallone col Bracciale?</t>
  </si>
  <si>
    <t>A. Marche B. Toscana C. Lazio D. Sicilia</t>
  </si>
  <si>
    <t>Il gioco è particolarmente popolare nelle Marche, in particolare nella città di Pesaro.</t>
  </si>
  <si>
    <t>Come veniva celebrato il successo in un torneo di Pallone col Bracciale nel passato?</t>
  </si>
  <si>
    <t>A. Con un banchetto B. Con un brindisi C. Con una festa religiosa D. Con una premiazione pubblica</t>
  </si>
  <si>
    <t>Il successo nei tornei storici veniva celebrato con banchetti e festeggiamenti pubblici.</t>
  </si>
  <si>
    <t>Quale tipo di palla veniva utilizzato nel Pallone col Bracciale?</t>
  </si>
  <si>
    <t>A. Una palla di pelle B. Una palla di legno C. Una palla di gomma D. Una palla di cuoio</t>
  </si>
  <si>
    <t>La palla utilizzata nel Pallone col Bracciale era fatta di cuoio, un materiale durevole per i colpi con il bracciale.</t>
  </si>
  <si>
    <t>Quale dei seguenti oggetti non è usato nel gioco del Pallone col Bracciale?</t>
  </si>
  <si>
    <t>A. Un bracciale B. Un pallone C. Una rete D. Un muro</t>
  </si>
  <si>
    <t>Una rete</t>
  </si>
  <si>
    <t>Nel Pallone col Bracciale, non si usa una rete; il gioco si concentra sul muro come elemento principale.</t>
  </si>
  <si>
    <t>Nel Rinascimento, quale delle seguenti città era conosciuta per la sua tradizione di Pallone col Bracciale?</t>
  </si>
  <si>
    <t>A. Firenze B. Bologna C. Verona D. Padova</t>
  </si>
  <si>
    <t>Firenze era una delle città italiane più conosciute per la sua tradizione di Pallone col Bracciale durante il Rinascimento.</t>
  </si>
  <si>
    <t>Nel gioco del Pallone col Bracciale, quale delle seguenti è una strategia comune?</t>
  </si>
  <si>
    <t>A. Colpire la palla al volo B. Ribaltare la palla sopra il muro C. Controllare la palla senza farla rimbalzare D. Farsi passare la palla dall'avversario</t>
  </si>
  <si>
    <t>Colpire la palla al volo</t>
  </si>
  <si>
    <t>Una strategia comune è colpire la palla al volo per mantenerla in movimento e sfruttare le debolezze dell'avversario.</t>
  </si>
  <si>
    <t>Come venivano preparati i campi per il Pallone col Bracciale nel passato?</t>
  </si>
  <si>
    <t>A. Si costruivano muri ad hoc B. Venivano usati i campi di gioco esistenti C. Venivano costruite palestre coperte D. Si usavano spazi aperti senza preparazione</t>
  </si>
  <si>
    <t>Si costruivano muri ad hoc</t>
  </si>
  <si>
    <t>I campi per il Pallone col Bracciale venivano preparati costruendo muri specifici per il gioco.</t>
  </si>
  <si>
    <t>Qual era la caratteristica del Pallone col Bracciale nel periodo rinascimentale?</t>
  </si>
  <si>
    <t>A. Era praticato solo nei giardini privati B. Era limitato ai giochi di corte C. Era un gioco pubblico e accessibile a tutti D. Era esclusivamente per uomini</t>
  </si>
  <si>
    <t>Era un gioco pubblico e accessibile a tutti</t>
  </si>
  <si>
    <t>Nel Rinascimento, il Pallone col Bracciale era praticato pubblicamente e accessibile a molte persone di diverse classi sociali.</t>
  </si>
  <si>
    <t>Come si chiamava il torneo più prestigioso di Pallone col Bracciale nel Rinascimento?</t>
  </si>
  <si>
    <t>A. Il Palio della Palla B. Il Torneo del Bracciale C. Il Grand Prix di Pallone D. Il Torneo delle Corti</t>
  </si>
  <si>
    <t>Il Torneo delle Corti</t>
  </si>
  <si>
    <t>Nel Rinascimento, il Torneo delle Corti era considerato il torneo più prestigioso del Pallone col Bracciale.</t>
  </si>
  <si>
    <t>Quale regione italiana è conosciuta per la sua tradizione nel Pallone col Bracciale?</t>
  </si>
  <si>
    <t>A. Emilia-Romagna B. Lazio C. Marche D. Toscana</t>
  </si>
  <si>
    <t>Le Marche, in particolare Pesaro, sono famose per la loro tradizione nel Pallone col Bracciale.</t>
  </si>
  <si>
    <t>Chi è considerato il fondatore del Pallone col Bracciale?</t>
  </si>
  <si>
    <t>A. Gianlorenzo Bernini B. Francesco de' Medici C. Non si conosce un fondatore specifico D. Giovanni di Bicci de' Medici</t>
  </si>
  <si>
    <t>Non si conosce un fondatore specifico</t>
  </si>
  <si>
    <t>Non esiste un fondatore specifico del Pallone col Bracciale, ma il gioco si è evoluto nel corso dei secoli.</t>
  </si>
  <si>
    <t>In quale parte del corpo si indossa il bracciale nel gioco del Pallone col Bracciale?</t>
  </si>
  <si>
    <t>A. Sul polso B. Sulla caviglia C. Sull'avambraccio D. Sul ginocchio</t>
  </si>
  <si>
    <t>Sull'avambraccio</t>
  </si>
  <si>
    <t>Il bracciale si indossa sull'avambraccio per proteggere il giocatore durante il colpo.</t>
  </si>
  <si>
    <t>Qual è la durata di un incontro di Pallone col Bracciale?</t>
  </si>
  <si>
    <t>A. Dipende dal numero di punti B. 30 minuti C. 45 minuti D. Un'ora</t>
  </si>
  <si>
    <t>Dipende dal numero di punti</t>
  </si>
  <si>
    <t>La durata di un incontro dipende dal numero di punti da raggiungere.</t>
  </si>
  <si>
    <t>Come si chiama il luogo dove si giocava tradizionalmente il Pallone col Bracciale?</t>
  </si>
  <si>
    <t>A. La palestra B. Il campo di gioco C. La cortile D. Il muro del Pallone</t>
  </si>
  <si>
    <t>Il muro del Pallone</t>
  </si>
  <si>
    <t>Tradizionalmente, il gioco veniva praticato vicino a un muro, che era la parte fondamentale del campo di gioco.</t>
  </si>
  <si>
    <t>Quale città ospitava una delle più importanti competizioni di Pallone col Bracciale nel Rinascimento?</t>
  </si>
  <si>
    <t>A. Napoli B. Milano C. Firenze D. Venezia</t>
  </si>
  <si>
    <t>Firenze ospitava numerosi tornei di Pallone col Bracciale durante il Rinascimento.</t>
  </si>
  <si>
    <t>Nel Pallone col Bracciale, quale parte della palla veniva colpita con il bracciale?</t>
  </si>
  <si>
    <t>A. Il centro della palla B. Il lato della palla C. Il bordo della palla D. Il fondo della palla</t>
  </si>
  <si>
    <t>Il lato della palla</t>
  </si>
  <si>
    <t>Il bracciale colpiva il lato della palla per farla rimbalzare contro il muro.</t>
  </si>
  <si>
    <t>Nel gioco del Pallone col Bracciale, quale delle seguenti caratteristiche era fondamentale per vincere?</t>
  </si>
  <si>
    <t>A. Avere più forza fisica B. Avere un buon muro C. Avere una buona strategia D. Essere più veloce</t>
  </si>
  <si>
    <t>Avere una buona strategia</t>
  </si>
  <si>
    <t>La strategia di gioco era fondamentale per vincere, oltre alla forza fisica.</t>
  </si>
  <si>
    <t>Qual è l'obiettivo principale del gioco del Pallone col Bracciale?</t>
  </si>
  <si>
    <t>A. Colpire la palla con la mano B. Fare punti facendo rimbalzare la palla contro il muro C. Rimandare la palla al di là di un muro D. Ottenere il punteggio più alto possibile</t>
  </si>
  <si>
    <t>Fare punti facendo rimbalzare la palla contro il muro</t>
  </si>
  <si>
    <t>L'obiettivo principale è fare punti facendo rimbalzare la palla contro il muro.</t>
  </si>
  <si>
    <t>Nel passato, come veniva celebrato il successo in un torneo di Pallone col Bracciale?</t>
  </si>
  <si>
    <t>A. Con una medaglia d'oro B. Con un banchetto e festeggiamenti pubblici C. Con una proclamazione pubblica D. Con un trofeo d'argento</t>
  </si>
  <si>
    <t>Con un banchetto e festeggiamenti pubblici</t>
  </si>
  <si>
    <t>Il successo in un torneo veniva celebrato con banchetti e festeggiamenti pubblici.</t>
  </si>
  <si>
    <t>Nel gioco del Pallone col Bracciale, qual era la funzione del muro?</t>
  </si>
  <si>
    <t>A. Fornire uno sfondo per la palla B. Rimbalzare la palla durante il gioco C. Separare i giocatori D. Aumentare la difficoltà del gioco</t>
  </si>
  <si>
    <t>Rimbalzare la palla durante il gioco</t>
  </si>
  <si>
    <t>Il muro aveva la funzione di far rimbalzare la palla, un aspetto essenziale del gioco.</t>
  </si>
  <si>
    <t>In quale periodo storico il Pallone col Bracciale divenne sport ufficiale?</t>
  </si>
  <si>
    <t>A. Nel Medioevo B. Nel Rinascimento C. Nel XVIII secolo D. Nel XIX secolo</t>
  </si>
  <si>
    <t>Nel Rinascimento il Pallone col Bracciale divenne uno sport ufficiale nelle corti italiane.</t>
  </si>
  <si>
    <t>Come venivano organizzate le competizioni di Pallone col Bracciale nel Rinascimento?</t>
  </si>
  <si>
    <t>A. Con scontri diretti tra i partecipanti B. Con giochi a squadre C. Con eliminatorie settimanali D. Con partite di allenamento</t>
  </si>
  <si>
    <t>Con scontri diretti tra i partecipanti</t>
  </si>
  <si>
    <t>Le competizioni venivano organizzate con scontri diretti tra i giocatori, che si sfidavano per vincere il torneo.</t>
  </si>
  <si>
    <t>Quale materiale veniva utilizzato per costruire la palla nel Pallone col Bracciale?</t>
  </si>
  <si>
    <t>A. Acciaio B. Cuoio C. Gomma D. Legno</t>
  </si>
  <si>
    <t>Cuoio</t>
  </si>
  <si>
    <t>La palla veniva realizzata in cuoio, materiale resistente per il gioco.</t>
  </si>
  <si>
    <t>Nel gioco del Pallone col Bracciale, cosa deve fare un giocatore per ottenere un punto?</t>
  </si>
  <si>
    <t>A. Colpire la palla prima che tocchi il muro B. Far rimbalzare la palla contro il muro e farla rimanere in gioco C. Colpire la palla dopo averla fatta rimbalzare D. Far passare la palla sopra il muro</t>
  </si>
  <si>
    <t>Far rimbalzare la palla contro il muro e farla rimanere in gioco</t>
  </si>
  <si>
    <t>Per ottenere un punto, il giocatore deve far rimbalzare la palla contro il muro e mantenerla in gioco.</t>
  </si>
  <si>
    <t>A. La velocità della palla B. La mancanza di spazio C. Il colpo preciso con il bracciale D. La difficoltà di mantenere il punteggio</t>
  </si>
  <si>
    <t>Il colpo preciso con il bracciale</t>
  </si>
  <si>
    <t>La difficoltà principale è eseguire un colpo preciso con il bracciale, dato che la palla deve essere colpita in modo mirato.</t>
  </si>
  <si>
    <t>Nel Pallone col Bracciale, qual è l'importanza del muro durante la partita?</t>
  </si>
  <si>
    <t>A. Protegge i giocatori B. Determina la durata della partita C. Serve come punto di riferimento per i punteggi D. Rimbalza la palla per mantenere il gioco attivo</t>
  </si>
  <si>
    <t>Rimbalza la palla per mantenere il gioco attivo</t>
  </si>
  <si>
    <t>Il muro rimbalza la palla, permettendo ai giocatori di continuare il gioco.</t>
  </si>
  <si>
    <t>Che ruolo gioca la tradizione nel mantenere viva la pratica del Pallone col Bracciale?</t>
  </si>
  <si>
    <t>A. Nessun ruolo B. Ruolo marginale C. Ruolo fondamentale D. Ruolo di poco impatto</t>
  </si>
  <si>
    <t>Ruolo fondamentale</t>
  </si>
  <si>
    <t>La tradizione è fondamentale nel mantenere viva la pratica del Pallone col Bracciale, tramandando il gioco di generazione in generazione.</t>
  </si>
  <si>
    <t>In quale evento il Pallone col Bracciale ha visto un significativo incremento di partecipazione nel XX secolo?</t>
  </si>
  <si>
    <t>A. Le Olimpiadi B. I giochi popolari e le fiere locali C. Le competizioni universitarie D. I tornei internazionali</t>
  </si>
  <si>
    <t>I giochi popolari e le fiere locali</t>
  </si>
  <si>
    <t>Nel XX secolo, l'incremento della partecipazione si è verificato durante i giochi popolari e le fiere locali.</t>
  </si>
  <si>
    <t>Qual è l'importanza del Pallone col Bracciale per la cultura italiana?</t>
  </si>
  <si>
    <t>A. Un passatempo del popolo B. Un simbolo della tradizione storica C. Un gioco per la nobiltà D. Un passatempo per i giovani</t>
  </si>
  <si>
    <t>Un simbolo della tradizione storica</t>
  </si>
  <si>
    <t>Il Pallone col Bracciale è considerato un simbolo della tradizione storica e culturale italiana.</t>
  </si>
  <si>
    <t>Nel gioco del Pallone col Bracciale, qual è la parte del corpo che viene utilizzata principalmente per colpire la palla?</t>
  </si>
  <si>
    <t>A. La testa B. Le gambe C. Il braccio D. La mano</t>
  </si>
  <si>
    <t>Il braccio, protetto dal bracciale, è la parte principale del corpo utilizzata per colpire la palla.</t>
  </si>
  <si>
    <t>Quale città ha organizzato alcuni dei tornei di Pallone col Bracciale più famosi nel XIX secolo?</t>
  </si>
  <si>
    <t>A. Venezia B. Napoli C. Roma D. Pesaro</t>
  </si>
  <si>
    <t>Pesaro ha ospitato tornei famosi di Pallone col Bracciale nel XIX secolo, consolidando la sua tradizione.</t>
  </si>
  <si>
    <t>Quale sport moderno ha influenze derivanti dal Pallone col Bracciale?</t>
  </si>
  <si>
    <t>A. Tennis B. Pallamano C. Squash D. Pallone col Bracciale non ha influenze moderne</t>
  </si>
  <si>
    <t>Squash</t>
  </si>
  <si>
    <t>Lo squash condivide alcune somiglianze con il Pallone col Bracciale, in particolare l'uso di un muro per il rimbalzo della palla.</t>
  </si>
  <si>
    <t>Quale materiale era comunemente usato per il bracciale nel Pallone col Bracciale medievale?</t>
  </si>
  <si>
    <t>A. Acciaio B. Cuoio C. Bronzo D. Legno</t>
  </si>
  <si>
    <t>Nel Medioevo, il bracciale era realizzato principalmente in cuoio, un materiale resistente e flessibile.</t>
  </si>
  <si>
    <t>Nel Pallone col Bracciale, cosa succede se la palla rimbalza fuori dal campo di gioco?</t>
  </si>
  <si>
    <t>A. Viene restituita al giocatore B. Il punto è annullato C. Il punto va all'avversario D. La partita continua senza penalità</t>
  </si>
  <si>
    <t>Il punto va all'avversario</t>
  </si>
  <si>
    <t>Se la palla rimbalza fuori dal campo, il punto viene assegnato all'avversario.</t>
  </si>
  <si>
    <t>Nel gioco del Pallone col Bracciale, quale è una delle regole principali?</t>
  </si>
  <si>
    <t>A. I giocatori devono colpire la palla solo con le mani B. Ogni partita ha una durata fissa di 30 minuti C. I punti sono guadagnati colpendo il muro D. I giocatori non possono indossare scarpe</t>
  </si>
  <si>
    <t>I punti sono guadagnati colpendo il muro</t>
  </si>
  <si>
    <t>Una delle regole principali è guadagnare punti colpendo la palla contro il muro.</t>
  </si>
  <si>
    <t>Qual è il ruolo del bracciale nel gioco del Pallone col Bracciale?</t>
  </si>
  <si>
    <t>A. Aumenta la velocità della palla B. Protegge il braccio durante il colpo C. Aiuta a dirigere la palla con maggiore precisione D. Fa rimbalzare la palla contro il muro</t>
  </si>
  <si>
    <t>Protegge il braccio durante il colpo</t>
  </si>
  <si>
    <t>Il bracciale è utilizzato per proteggere il braccio dei giocatori mentre colpiscono la palla.</t>
  </si>
  <si>
    <t>In quale secolo il Pallone col Bracciale divenne una disciplina popolare in tutta Italia?</t>
  </si>
  <si>
    <t>A. XI secolo B. XII secolo C. XIII secolo D. XIV secolo</t>
  </si>
  <si>
    <t>Il Pallone col Bracciale divenne una disciplina popolare in tutta Italia nel XIII secolo.</t>
  </si>
  <si>
    <t>Nel gioco del Pallone col Bracciale, quali erano i principali avversari dei giocatori?</t>
  </si>
  <si>
    <t>A. Le forze naturali B. Gli altri giocatori C. Gli spettatori D. I propri compagni di squadra</t>
  </si>
  <si>
    <t>Gli altri giocatori</t>
  </si>
  <si>
    <t>Nel gioco del Pallone col Bracciale, i principali avversari erano gli altri giocatori durante le competizioni.</t>
  </si>
  <si>
    <t>Nel Pallone col Bracciale, quanto tempo durava un singolo round?</t>
  </si>
  <si>
    <t>A. 5-10 minuti B. 10-15 minuti C. 15-20 minuti D. Dipende dalla velocità del gioco</t>
  </si>
  <si>
    <t>Dipende dalla velocità del gioco</t>
  </si>
  <si>
    <t>La durata di un round dipende dalla velocità e dal ritmo del gioco, che può variare.</t>
  </si>
  <si>
    <t>Dove venivano organizzati tradizionalmente i tornei di Pallone col Bracciale nel Rinascimento?</t>
  </si>
  <si>
    <t>A. In stadi moderni B. In cortili e piazze C. In palestre coperte D. In grandi sale</t>
  </si>
  <si>
    <t>In cortili e piazze</t>
  </si>
  <si>
    <t>I tornei venivano tradizionalmente organizzati in cortili e piazze pubbliche.</t>
  </si>
  <si>
    <t>Quale dei seguenti materiali non veniva utilizzato nel Pallone col Bracciale?</t>
  </si>
  <si>
    <t>A. Cuoio B. Acciaio C. Corda D. Legno</t>
  </si>
  <si>
    <t>Corda</t>
  </si>
  <si>
    <t>La corda non veniva utilizzata nel Pallone col Bracciale, mentre il cuoio, l'acciaio e il legno erano più comuni.</t>
  </si>
  <si>
    <t>Nel Pallone col Bracciale, cosa accadeva se il pallone toccava il terreno?</t>
  </si>
  <si>
    <t>A. Il gioco veniva interrotto B. Il punto veniva assegnato all'avversario C. Il punto veniva annullato D. Il gioco continuava senza penalità</t>
  </si>
  <si>
    <t>Il punto veniva assegnato all'avversario</t>
  </si>
  <si>
    <t>Se il pallone toccava il terreno, il punto veniva assegnato all'avversario.</t>
  </si>
  <si>
    <t>Che ruolo avevano i nobili nel Pallone col Bracciale durante il Rinascimento?</t>
  </si>
  <si>
    <t>A. Sostenevano economicamente i tornei B. Erano spettatori passivi C. Partecipavano come giocatori attivi D. Erano i principali allenatori</t>
  </si>
  <si>
    <t>Partecipavano come giocatori attivi</t>
  </si>
  <si>
    <t>I nobili partecipavano attivamente come giocatori e spesso erano protagonisti dei tornei di Pallone col Bracciale.</t>
  </si>
  <si>
    <t>Quale altra disciplina storica ha influenzato il gioco del Pallone col Bracciale?</t>
  </si>
  <si>
    <t>A. La pelota basca B. Il calcio medievale C. Il tennis da tavolo D. La lotta greco-romana</t>
  </si>
  <si>
    <t>La pelota basca</t>
  </si>
  <si>
    <t>La pelota basca, un gioco simile, ha avuto un'influenza sullo sviluppo del Pallone col Bracciale.</t>
  </si>
  <si>
    <t>Nel Pallone col Bracciale, chi veniva premiato alla fine di un torneo?</t>
  </si>
  <si>
    <t>A. Il vincitore e la sua squadra B. Il miglior giocatore della partita C. Il capitano della squadra D. Il miglior allenatore</t>
  </si>
  <si>
    <t>Il miglior giocatore della partita</t>
  </si>
  <si>
    <t>Alla fine di un torneo, veniva premiato il miglior giocatore della partita.</t>
  </si>
  <si>
    <t>Come si chiama il movimento che coinvolge il bracciale nel gioco del Pallone col Bracciale?</t>
  </si>
  <si>
    <t>A. Il colpo al volo B. Il colpo di parete C. Il colpo a mano D. Il colpo con il braccio</t>
  </si>
  <si>
    <t>Il colpo di parete</t>
  </si>
  <si>
    <t>Il colpo di parete è il movimento con cui la palla viene lanciata contro il muro usando il bracciale.</t>
  </si>
  <si>
    <t>Nel Pallone col Bracciale, qual è l'importanza del muro?</t>
  </si>
  <si>
    <t>A. Aumenta la difficoltà del gioco B. Serve per lanciare la palla C. Serve come punto di contatto con la palla D. Rimbalza la palla per mantenerla in gioco</t>
  </si>
  <si>
    <t>Rimbalza la palla per mantenerla in gioco</t>
  </si>
  <si>
    <t>Il muro è essenziale per rimbalzare la palla e mantenerla in gioco.</t>
  </si>
  <si>
    <t>Cosa rappresentava il Pallone col Bracciale nel contesto sociale del Rinascimento?</t>
  </si>
  <si>
    <t>A. Un passatempo per la classe operaia B. Un simbolo di status e potere C. Un passatempo per le famiglie reali D. Un gioco esclusivo per i mercanti</t>
  </si>
  <si>
    <t>Un simbolo di status e potere</t>
  </si>
  <si>
    <t>Il Pallone col Bracciale era un simbolo di status e potere, praticato dalle classi alte.</t>
  </si>
  <si>
    <t>Nel Pallone col Bracciale, quale aspetto del gioco era fondamentale per la difesa del giocatore?</t>
  </si>
  <si>
    <t>A. L'abilità nel lanciare B. La velocità di movimento C. L'uso del bracciale per proteggere il braccio D. La capacità di anticipare il colpo</t>
  </si>
  <si>
    <t>L'uso del bracciale per proteggere il braccio</t>
  </si>
  <si>
    <t>Il bracciale era fondamentale per proteggere il braccio del giocatore durante il colpo.</t>
  </si>
  <si>
    <t>Qual è la principale difficoltà nel Pallone col Bracciale?</t>
  </si>
  <si>
    <t>A. Mantenere il controllo della palla B. Evita che la palla colpisca il muro C. Colpire la palla con il bracciale D. Gestire il punteggio</t>
  </si>
  <si>
    <t>Colpire la palla con il bracciale</t>
  </si>
  <si>
    <t>La principale difficoltà nel gioco è colpire la palla correttamente con il bracciale.</t>
  </si>
  <si>
    <t>Cosa rendeva speciale il Pallone col Bracciale rispetto ad altri giochi medievali?</t>
  </si>
  <si>
    <t>A. L'utilizzo di un muro B. La partecipazione di più squadre C. La durata dei tornei D. L'uso del cavallo</t>
  </si>
  <si>
    <t>L'utilizzo di un muro</t>
  </si>
  <si>
    <t>L'uso del muro per il rimbalzo della palla rendeva il Pallone col Bracciale unico rispetto ad altri giochi.</t>
  </si>
  <si>
    <t>Nel Pallone col Bracciale, quale abilità fisica è più importante per un giocatore?</t>
  </si>
  <si>
    <t>A. Flessibilità B. Velocità C. Forza muscolare D. Resistenza</t>
  </si>
  <si>
    <t>Velocità</t>
  </si>
  <si>
    <t>Nel Pallone col Bracciale, la velocità è una delle abilità fisiche più importanti per eseguire colpi rapidi e efficaci.</t>
  </si>
  <si>
    <t>Nel Rinascimento, quale era una delle principali motivazioni per cui i nobili giocavano al Pallone col Bracciale?</t>
  </si>
  <si>
    <t>A. Migliorare la loro resistenza B. Mantenere una buona forma fisica C. Rafforzare il loro prestigio sociale D. Divertirsi in modo privato</t>
  </si>
  <si>
    <t>Rafforzare il loro prestigio sociale</t>
  </si>
  <si>
    <t>I nobili giocavano per rafforzare il loro prestigio sociale e dimostrare la loro superiorità.</t>
  </si>
  <si>
    <t>Quale tipo di tornei si svolgevano nel Pallone col Bracciale durante l'epoca medievale?</t>
  </si>
  <si>
    <t>A. Tornei a squadre B. Tornei individuali C. Tornei misti D. Tornei di resistenza</t>
  </si>
  <si>
    <t>Tornei individuali</t>
  </si>
  <si>
    <t>I tornei di Pallone col Bracciale durante l'epoca medievale erano solitamente tornei individuali.</t>
  </si>
  <si>
    <t>Option A</t>
  </si>
  <si>
    <t>Qual è l'obiettivo principale nel Palio di Siena?</t>
  </si>
  <si>
    <t>A. Vincere il maggior numero di giri B. Vincere il primo giro C. Vincere la corsa completando tre giri D. Vincere rimanendo l'ultimo sul campo</t>
  </si>
  <si>
    <t>Vincere la corsa completando tre giri</t>
  </si>
  <si>
    <t>Il Palio è vinto dal cavallo che completa per primo tre giri della piazza.</t>
  </si>
  <si>
    <t>Dove si svolge il Palio di Siena?</t>
  </si>
  <si>
    <t>A. Nella Piazza del Campo B. Nella Piazza della Repubblica C. Nella Piazza San Marco D. Nel Colosseo</t>
  </si>
  <si>
    <t>Nella Piazza del Campo</t>
  </si>
  <si>
    <t>Il Palio si svolge nella storica Piazza del Campo a Siena.</t>
  </si>
  <si>
    <t>Quanti Palii si tengono ogni anno?</t>
  </si>
  <si>
    <t>A. Uno B. Due C. Tre D. Quattro</t>
  </si>
  <si>
    <t>Due</t>
  </si>
  <si>
    <t>Si svolgono due Palii l'anno: il 2 luglio e il 16 agosto.</t>
  </si>
  <si>
    <t>Cosa rappresentano le contrade nel Palio?</t>
  </si>
  <si>
    <t>A. Famiglie nobili B. Quartieri di Siena C. Scuole militari D. Repubbliche marinare</t>
  </si>
  <si>
    <t>Quartieri di Siena</t>
  </si>
  <si>
    <t>Le contrade rappresentano i quartieri storici di Siena.</t>
  </si>
  <si>
    <t>Come si chiama il cavallo senza cavaliere che vince il Palio?</t>
  </si>
  <si>
    <t>A. Cavallo sciolto B. Cavallo scosso C. Cavallo libero D. Cavallo ferito</t>
  </si>
  <si>
    <t>Cavallo scosso</t>
  </si>
  <si>
    <t>Anche un cavallo senza cavaliere può vincere se arriva primo.</t>
  </si>
  <si>
    <t>Come si chiama la cerimonia che assegna i cavalli alle contrade?</t>
  </si>
  <si>
    <t>A. Tratta B. Giostra C. Corsa preliminare D. Sorteggio</t>
  </si>
  <si>
    <t>Tratta</t>
  </si>
  <si>
    <t>La Tratta è la cerimonia ufficiale di assegnazione dei cavalli.</t>
  </si>
  <si>
    <t>Quante prove si tengono prima della corsa principale?</t>
  </si>
  <si>
    <t>A. Due B. Quattro C. Sei D. Otto</t>
  </si>
  <si>
    <t>Sei</t>
  </si>
  <si>
    <t>Si tengono sei prove prima della corsa finale.</t>
  </si>
  <si>
    <t>Chi è il mossiere?</t>
  </si>
  <si>
    <t>A. L'arbitro della corsa B. Il fantino più anziano C. Un rappresentante delle contrade D. Il cavaliere vincitore</t>
  </si>
  <si>
    <t>L'arbitro della corsa</t>
  </si>
  <si>
    <t>Il mossiere controlla la partenza e dà il via alla corsa.</t>
  </si>
  <si>
    <t>Quale premio riceve la contrada vincente?</t>
  </si>
  <si>
    <t>A. Una corona d'oro B. Un drappellone C. Un trofeo di bronzo D. Un cavallo nuovo</t>
  </si>
  <si>
    <t>Un drappellone</t>
  </si>
  <si>
    <t>Il drappellone è il premio simbolico per la contrada vincente.</t>
  </si>
  <si>
    <t>Cosa simboleggia il drappellone?</t>
  </si>
  <si>
    <t>A. La vittoria della contrada B. Il cavallo vincente C. La storia di Siena D. La gloria dei fantini</t>
  </si>
  <si>
    <t>La vittoria della contrada</t>
  </si>
  <si>
    <t>Il drappellone celebra la vittoria della contrada.</t>
  </si>
  <si>
    <t>Chi disegna il drappellone?</t>
  </si>
  <si>
    <t>A. Un artista locale B. Un fantino C. Un artigiano D. Un mossiere</t>
  </si>
  <si>
    <t>Un artista locale</t>
  </si>
  <si>
    <t>Il drappellone è disegnato da un artista scelto ogni anno.</t>
  </si>
  <si>
    <t>Qual è il significato del Palio?</t>
  </si>
  <si>
    <t>A. Una celebrazione religiosa B. Una competizione per il turismo C. Una prova di forza militare D. Un evento commerciale</t>
  </si>
  <si>
    <t>Una celebrazione religiosa</t>
  </si>
  <si>
    <t>Il Palio ha origini legate a celebrazioni religiose.</t>
  </si>
  <si>
    <t>Qual è il ruolo del fantino?</t>
  </si>
  <si>
    <t>A. Guidare il cavallo durante la corsa B. Spingere il cavallo a mano C. Allestire il drappellone D. Condurre la cerimonia iniziale</t>
  </si>
  <si>
    <t>Guidare il cavallo durante la corsa</t>
  </si>
  <si>
    <t>Il fantino guida il cavallo durante la gara.</t>
  </si>
  <si>
    <t>Da dove partono i cavalli nel Palio?</t>
  </si>
  <si>
    <t>A. Da un cancello fisso B. Da una corda tesa C. Da una linea tracciata per terra D. Da un recinto</t>
  </si>
  <si>
    <t>Da una corda tesa</t>
  </si>
  <si>
    <t>La partenza avviene dietro una corda chiamata canape.</t>
  </si>
  <si>
    <t>Chi decide l'ordine di partenza?</t>
  </si>
  <si>
    <t>A. Il sindaco B. Il mossiere C. Un sorteggio D. Il capitano di contrada</t>
  </si>
  <si>
    <t>Un sorteggio</t>
  </si>
  <si>
    <t>L'ordine di partenza è deciso tramite sorteggio.</t>
  </si>
  <si>
    <t>Quanto dura la corsa del Palio?</t>
  </si>
  <si>
    <t>A. Circa 90 secondi B. Circa 3 minuti C. Circa 10 minuti D. Circa 30 minuti</t>
  </si>
  <si>
    <t>Circa 90 secondi</t>
  </si>
  <si>
    <t>La corsa dura poco più di un minuto e mezzo.</t>
  </si>
  <si>
    <t>Quale contrada ha il record di vittorie?</t>
  </si>
  <si>
    <t>A. Oca B. Giraffa C. Torre D. Drago</t>
  </si>
  <si>
    <t>Oca</t>
  </si>
  <si>
    <t>La contrada dell'Oca ha il record storico di vittorie.</t>
  </si>
  <si>
    <t>Come viene scelto il fantino?</t>
  </si>
  <si>
    <t>A. Attraverso un'asta B. Da un comitato della contrada C. Per successione familiare D. Con un concorso pubblico</t>
  </si>
  <si>
    <t>Da un comitato della contrada</t>
  </si>
  <si>
    <t>Ogni contrada sceglie il proprio fantino.</t>
  </si>
  <si>
    <t>Cosa succede se la partenza non è regolare?</t>
  </si>
  <si>
    <t>A. Il mossiere ferma la corsa B. Il fantino viene punito C. La corsa continua con penalità D. Il cavallo è squalificato</t>
  </si>
  <si>
    <t>Il mossiere ferma la corsa</t>
  </si>
  <si>
    <t>Il mossiere deve garantire una partenza regolare.</t>
  </si>
  <si>
    <t>Cosa significa "provaccia"?</t>
  </si>
  <si>
    <t>A. Una prova generale B. Una corsa di riserva C. Un test per il mossiere D. Una celebrazione finale</t>
  </si>
  <si>
    <t>Una prova generale</t>
  </si>
  <si>
    <t>La provaccia è l'ultima prova prima della gara.</t>
  </si>
  <si>
    <t>Cosa è vietato ai fantini durante la corsa?</t>
  </si>
  <si>
    <t>A. Usare fruste B. Parlare tra loro C. Cadere intenzionalmente D. Bloccare altri cavalli</t>
  </si>
  <si>
    <t>Bloccare altri cavalli</t>
  </si>
  <si>
    <t>Bloccare o ostacolare intenzionalmente è vietato.</t>
  </si>
  <si>
    <t>Cosa succede al drappellone dopo la vittoria?</t>
  </si>
  <si>
    <t>A. Viene esposto nella contrada vincente B. Viene distrutto C. Viene restituito D. Viene conservato dal mossiere</t>
  </si>
  <si>
    <t>Viene esposto nella contrada vincente</t>
  </si>
  <si>
    <t>Il drappellone è custodito come simbolo di vittoria.</t>
  </si>
  <si>
    <t>Qual è il simbolo delle contrade?</t>
  </si>
  <si>
    <t>A. Stemma B. Cavallo C. Fantino D. Scudo</t>
  </si>
  <si>
    <t>Stemma</t>
  </si>
  <si>
    <t>Ogni contrada ha il proprio stemma unico.</t>
  </si>
  <si>
    <t>Cosa succede ai cavalli dopo il Palio?</t>
  </si>
  <si>
    <t>A. Tornano ai proprietari B. Restano con la contrada C. Si ritirano dalle corse D. Partecipano a un'altra corsa</t>
  </si>
  <si>
    <t>Tornano ai proprietari</t>
  </si>
  <si>
    <t>I cavalli sono restituiti ai loro proprietari dopo il Palio.</t>
  </si>
  <si>
    <t>Qual è l'origine storica del Palio?</t>
  </si>
  <si>
    <t>A. Competizioni medievali B. Feste romane C. Gare rinascimentali D. Eventi napoleonici</t>
  </si>
  <si>
    <t>Competizioni medievali</t>
  </si>
  <si>
    <t>Il Palio ha origine nelle competizioni medievali.</t>
  </si>
  <si>
    <t>Come si chiama la cena di celebrazione del Palio?</t>
  </si>
  <si>
    <t>A. Cena della Vittoria B. Cena della Tratta C. Cena del Campo D. Cena del Fantino</t>
  </si>
  <si>
    <t>Cena della Vittoria</t>
  </si>
  <si>
    <t>La contrada vincente organizza una cena per festeggiare.</t>
  </si>
  <si>
    <t>Qual è il ruolo del capitano di contrada?</t>
  </si>
  <si>
    <t>A. Organizzare strategie per la vittoria B. Guidare il cavallo C. Creare il drappellone D. Essere il mossiere</t>
  </si>
  <si>
    <t>Organizzare strategie per la vittoria</t>
  </si>
  <si>
    <t>Il capitano coordina la contrada per ottenere il successo.</t>
  </si>
  <si>
    <t>Cosa rappresentano i colori di una contrada?</t>
  </si>
  <si>
    <t>A. Il cavallo della contrada B. I valori e la storia della contrada C. Il drappellone dell'anno D. Le tradizioni del mossiere</t>
  </si>
  <si>
    <t>I valori e la storia della contrada</t>
  </si>
  <si>
    <t>I colori simboleggiano l'identità storica e culturale di ogni contrada.</t>
  </si>
  <si>
    <t>Cosa succede se un cavallo si ferisce durante la corsa?</t>
  </si>
  <si>
    <t>A. Viene curato immediatamente B. Viene ritirato C. Viene sostituito D. Viene lasciato continuare la corsa</t>
  </si>
  <si>
    <t>Viene ritirato</t>
  </si>
  <si>
    <t>Un cavallo ferito viene subito ritirato per sicurezza.</t>
  </si>
  <si>
    <t>Quale contrada è soprannominata "nonna"?</t>
  </si>
  <si>
    <t>A. Aquila B. Torre C. Nicchio D. Chiocciola</t>
  </si>
  <si>
    <t>Nicchio</t>
  </si>
  <si>
    <t>La contrada "nonna" è quella che non vince da più tempo.</t>
  </si>
  <si>
    <t>Qual è il significato della bandiera della contrada?</t>
  </si>
  <si>
    <t>A. Simbolizza la vittoria B. Identifica la contrada C. Indica il mossiere D. Decora il drappellone</t>
  </si>
  <si>
    <t>Identifica la contrada</t>
  </si>
  <si>
    <t>La bandiera è un simbolo distintivo della contrada.</t>
  </si>
  <si>
    <t>Come si chiama il rituale religioso prima del Palio?</t>
  </si>
  <si>
    <t>A. Messa del fantino B. Benedizione del cavallo C. Preghiera del mossiere D. Offerta del drappellone</t>
  </si>
  <si>
    <t>Benedizione del cavallo</t>
  </si>
  <si>
    <t>Ogni cavallo viene benedetto prima della gara.</t>
  </si>
  <si>
    <t>Quanti cavalli partecipano alla corsa?</t>
  </si>
  <si>
    <t>A. 7 B. 10 C. 15 D. 17</t>
  </si>
  <si>
    <t>Dieci cavalli competono nella corsa.</t>
  </si>
  <si>
    <t>Cosa si celebra il 2 luglio durante il Palio?</t>
  </si>
  <si>
    <t>A. La Madonna di Provenzano B. La nascita di Siena C. La gloria delle contrade D. La fine delle guerre</t>
  </si>
  <si>
    <t>La Madonna di Provenzano</t>
  </si>
  <si>
    <t>Il Palio del 2 luglio è dedicato alla Madonna di Provenzano.</t>
  </si>
  <si>
    <t>Cosa si celebra il 16 agosto durante il Palio?</t>
  </si>
  <si>
    <t>A. La Madonna Assunta B. La pace tra le contrade C. La vittoria di Siena D. La festa del fantino</t>
  </si>
  <si>
    <t>La Madonna Assunta</t>
  </si>
  <si>
    <t>Il Palio del 16 agosto è dedicato alla Madonna Assunta.</t>
  </si>
  <si>
    <t>Quale ruolo ha la comparsa di una contrada?</t>
  </si>
  <si>
    <t>A. Rappresentare la contrada durante la sfilata B. Guidare il cavallo C. Tracciare il percorso D. Condurre la cerimonia di premiazione</t>
  </si>
  <si>
    <t>Rappresentare la contrada durante la sfilata</t>
  </si>
  <si>
    <t>La comparsa è composta da figuranti che rappresentano la contrada.</t>
  </si>
  <si>
    <t>Qual è il ruolo del priore di una contrada?</t>
  </si>
  <si>
    <t>A. Gestire gli affari interni della contrada B. Condurre il cavallo C. Tracciare il percorso D. Creare il drappellone</t>
  </si>
  <si>
    <t>Gestire gli affari interni della contrada</t>
  </si>
  <si>
    <t>Il priore si occupa della gestione della contrada.</t>
  </si>
  <si>
    <t>Cosa avviene se due cavalli tagliano il traguardo insieme?</t>
  </si>
  <si>
    <t>A. Si tiene un'altra corsa B. Vince il cavallo scosso C. Vince il cavallo più vicino al mossiere D. Si dichiara il pari merito</t>
  </si>
  <si>
    <t>Si dichiara il pari merito</t>
  </si>
  <si>
    <t>Un pareggio è accettato se i cavalli arrivano insieme.</t>
  </si>
  <si>
    <t>Chi può partecipare come fantino?</t>
  </si>
  <si>
    <t>A. Solo cittadini di Siena B. Solo membri delle contrade C. Chiunque sia ingaggiato dalla contrada D. Fantini scelti dallo Stato</t>
  </si>
  <si>
    <t>Chiunque sia ingaggiato dalla contrada</t>
  </si>
  <si>
    <t>Le contrade possono scegliere fantini esterni.</t>
  </si>
  <si>
    <t>Come vengono scelti i cavalli per il Palio?</t>
  </si>
  <si>
    <t>A. Sorteggio B. Selezione per velocità C. Selezione per esperienza D. Concorso pubblico</t>
  </si>
  <si>
    <t>I cavalli sono assegnati tramite sorteggio ufficiale.</t>
  </si>
  <si>
    <t>Cosa si intende per "fare la mossa"?</t>
  </si>
  <si>
    <t>A. Preparare il drappellone B. Avvicinarsi alla partenza C. Posizionarsi al canape D. Fermarsi dopo il primo giro</t>
  </si>
  <si>
    <t>Posizionarsi al canape</t>
  </si>
  <si>
    <t>Fare la mossa significa posizionarsi per la partenza.</t>
  </si>
  <si>
    <t>Quale contrada ha come simbolo una giraffa?</t>
  </si>
  <si>
    <t>A. Oca B. Giraffa C. Drago D. Chiocciola</t>
  </si>
  <si>
    <t>Giraffa</t>
  </si>
  <si>
    <t>La contrada della Giraffa ha come simbolo una giraffa.</t>
  </si>
  <si>
    <t>Qual è il termine per una vittoria ripetuta della stessa contrada?</t>
  </si>
  <si>
    <t>A. Doppietta B. Tris C. Rivincita D. Conquista</t>
  </si>
  <si>
    <t>Doppietta</t>
  </si>
  <si>
    <t>Una doppietta si verifica quando una contrada vince due Palii consecutivi.</t>
  </si>
  <si>
    <t>Cosa significa "estrazione a sorte"?</t>
  </si>
  <si>
    <t>A. Selezione del mossiere B. Scelta dei cavalli C. Scelta delle contrade partecipanti D. Distribuzione del drappellone</t>
  </si>
  <si>
    <t>Scelta delle contrade partecipanti</t>
  </si>
  <si>
    <t>Sette contrade sono estratte a sorte per partecipare al Palio.</t>
  </si>
  <si>
    <t>Qual è la regola principale per i cavalli?</t>
  </si>
  <si>
    <t>A. Devono essere purosangue B. Devono provenire da Siena C. Devono essere mezzosangue D. Devono essere bianchi</t>
  </si>
  <si>
    <t>Devono essere mezzosangue</t>
  </si>
  <si>
    <t>Per sicurezza e tradizione si usano cavalli mezzosangue.</t>
  </si>
  <si>
    <t>Cosa rappresentano i tamburi durante la sfilata?</t>
  </si>
  <si>
    <t>A. Il ritmo della corsa B. La chiamata alla competizione C. La storia della contrada D. La gloria del vincitore</t>
  </si>
  <si>
    <t>La chiamata alla competizione</t>
  </si>
  <si>
    <t>I tamburi scandiscono il ritmo e richiamano l'attenzione.</t>
  </si>
  <si>
    <t>Quanti giorni prima inizia la Tratta?</t>
  </si>
  <si>
    <t>La Tratta si svolge tre giorni prima della corsa.</t>
  </si>
  <si>
    <t>Cosa simboleggia il giubbetto del fantino?</t>
  </si>
  <si>
    <t>A. La bandiera della contrada B. Il drappellone C. La storia di Siena D. I colori della contrada</t>
  </si>
  <si>
    <t>I colori della contrada</t>
  </si>
  <si>
    <t>Il giubbetto riporta i colori distintivi della contrada.</t>
  </si>
  <si>
    <t>Come si chiama la prova in cui i fantini provano la partenza?</t>
  </si>
  <si>
    <t>A. Prova della mossa B. Prova generale C. Prova del mossiere D. Prova notturna</t>
  </si>
  <si>
    <t>Prova della mossa</t>
  </si>
  <si>
    <t>La prova della mossa è dedicata alla partenza.</t>
  </si>
  <si>
    <t>Chi celebra la messa prima del Palio?</t>
  </si>
  <si>
    <t>A. Il priore B. Il sindaco C. Il vescovo D. Un fantino</t>
  </si>
  <si>
    <t>Il vescovo</t>
  </si>
  <si>
    <t>La messa è celebrata dal vescovo di Siena.</t>
  </si>
  <si>
    <t>Cosa avviene alla cena della vittoria?</t>
  </si>
  <si>
    <t>A. Si consegna il drappellone B. Si prepara il cavallo C. Si celebra la contrada vincente D. Si decide il mossiere</t>
  </si>
  <si>
    <t>Si celebra la contrada vincente</t>
  </si>
  <si>
    <t>È un momento di festa per la contrada vincitrice.</t>
  </si>
  <si>
    <t>Come si chiama la corsa preliminare?</t>
  </si>
  <si>
    <t>A. Provaccia B. Prova notturna C. Tratta D. Giostra</t>
  </si>
  <si>
    <t>Provaccia</t>
  </si>
  <si>
    <t>La provaccia è una corsa preliminare prima del Palio.</t>
  </si>
  <si>
    <t>Cosa succede se un cavallo scosso taglia il traguardo per primo?</t>
  </si>
  <si>
    <t>A. Vince la corsa B. È eliminato C. Il drappellone viene riassegnato D. Si corre un'altra gara</t>
  </si>
  <si>
    <t>Vince la corsa</t>
  </si>
  <si>
    <t>Anche un cavallo senza fantino può vincere il Palio.</t>
  </si>
  <si>
    <t>Chi coordina la sicurezza della piazza durante il Palio?</t>
  </si>
  <si>
    <t>A. Il priore B. Il mossiere C. Le forze dell'ordine D. Il capitano della contrada</t>
  </si>
  <si>
    <t>Le forze dell'ordine</t>
  </si>
  <si>
    <t>La sicurezza è gestita dalle forze dell'ordine.</t>
  </si>
  <si>
    <t>Quante volte una contrada può partecipare al Palio in un anno?</t>
  </si>
  <si>
    <t>A. Una volta B. Due volte C. Tre volte D. Illimitate</t>
  </si>
  <si>
    <t>Due volte</t>
  </si>
  <si>
    <t>Ogni contrada può partecipare ai due Palii dell'anno.</t>
  </si>
  <si>
    <t>Quale contrada ha come simbolo un drago?</t>
  </si>
  <si>
    <t>A. Giraffa B. Torre C. Oca D. Drago</t>
  </si>
  <si>
    <t>Drago</t>
  </si>
  <si>
    <t>La contrada del Drago ha come simbolo un drago.</t>
  </si>
  <si>
    <t>Chi decide i vincitori in caso di disputa?</t>
  </si>
  <si>
    <t>A. Il mossiere B. Il priore C. Il giudice del Palio D. Il sindaco</t>
  </si>
  <si>
    <t>Il giudice del Palio</t>
  </si>
  <si>
    <t>Il giudice del Palio interviene in caso di controversie.</t>
  </si>
  <si>
    <t>Cosa si celebra durante il corteo storico del Palio?</t>
  </si>
  <si>
    <t>A. Le origini di Siena B. La gloria delle contrade C. Le antiche tradizioni medievali D. La vittoria della contrada</t>
  </si>
  <si>
    <t>Le antiche tradizioni medievali</t>
  </si>
  <si>
    <t>Il corteo storico rievoca le tradizioni medievali della città.</t>
  </si>
  <si>
    <t>Qual è la funzione del canape durante il Palio?</t>
  </si>
  <si>
    <t>A. Segnare il traguardo B. Separare le contrade C. Indicare la partenza D. Delimitare la piazza</t>
  </si>
  <si>
    <t>Indicare la partenza</t>
  </si>
  <si>
    <t>Il canape è la corda che segna la linea di partenza.</t>
  </si>
  <si>
    <t>Qual è il ruolo del cavallo nella tradizione del Palio?</t>
  </si>
  <si>
    <t>A. Essere un simbolo di forza B. Essere un elemento puramente decorativo C. Essere il vero protagonista D. Essere un tributo alla Madonna</t>
  </si>
  <si>
    <t>Essere il vero protagonista</t>
  </si>
  <si>
    <t>Il cavallo è il vero protagonista della corsa.</t>
  </si>
  <si>
    <t>Quante contrade sono escluse ogni anno dal Palio?</t>
  </si>
  <si>
    <t>A. 1 B. 3 C. 5 D. 7</t>
  </si>
  <si>
    <t>Sette contrade sono escluse a rotazione ogni anno.</t>
  </si>
  <si>
    <t>Chi decide il disegno del drappellone?</t>
  </si>
  <si>
    <t>A. Il comune di Siena B. Il mossiere C. Il priore della contrada vincente D. Il vescovo</t>
  </si>
  <si>
    <t>Il comune di Siena</t>
  </si>
  <si>
    <t>Il comune seleziona un artista per realizzarlo.</t>
  </si>
  <si>
    <t>Cosa rappresentano gli stendardi portati durante il corteo?</t>
  </si>
  <si>
    <t>A. Le alleanze tra contrade B. Le guerre medievali C. La storia e l’identità delle contrade D. La pace di Siena</t>
  </si>
  <si>
    <t>La storia e l’identità delle contrade</t>
  </si>
  <si>
    <t>Gli stendardi raccontano la storia e l'identità di ogni contrada.</t>
  </si>
  <si>
    <t>Chi può partecipare al corteo storico?</t>
  </si>
  <si>
    <t>A. Solo cittadini di Siena B. Tutti i membri delle contrade C. Persone scelte dal comune D. Chiunque lo desideri</t>
  </si>
  <si>
    <t>Tutti i membri delle contrade</t>
  </si>
  <si>
    <t>Il corteo è composto dai membri delle contrade.</t>
  </si>
  <si>
    <t>Cosa avviene durante la "bandiera al vento"?</t>
  </si>
  <si>
    <t>A. Si assegna il drappellone B. Si celebra la vittoria C. Si esibiscono i vessilliferi delle contrade D. Si annuncia il mossiere</t>
  </si>
  <si>
    <t>Si esibiscono i vessilliferi delle contrade</t>
  </si>
  <si>
    <t>Gli sbandieratori eseguono coreografie con le bandiere.</t>
  </si>
  <si>
    <t>Qual è il materiale tradizionale del drappellone?</t>
  </si>
  <si>
    <t>A. Seta B. Lino C. Cotone D. Velluto</t>
  </si>
  <si>
    <t>Seta</t>
  </si>
  <si>
    <t>Il drappellone è tradizionalmente dipinto su seta.</t>
  </si>
  <si>
    <t>Come si chiama la via d'accesso alla Piazza del Campo?</t>
  </si>
  <si>
    <t>A. Via del Drappellone B. Via della Vittoria C. Via del Casato D. Via delle Contrade</t>
  </si>
  <si>
    <t>Via del Casato</t>
  </si>
  <si>
    <t>La Via del Casato è uno degli accessi principali alla piazza.</t>
  </si>
  <si>
    <t>Cosa significa "Palio alla lunga"?</t>
  </si>
  <si>
    <t>A. Una corsa più lunga del solito B. Una competizione fuori Siena C. Un Palio disputato su un percorso rettilineo D. Un Palio con più di 10 contrade</t>
  </si>
  <si>
    <t>Un Palio disputato su un percorso rettilineo</t>
  </si>
  <si>
    <t>Il "Palio alla lunga" si correva su percorsi rettilinei fuori città.</t>
  </si>
  <si>
    <t>Cosa indica la presenza di un cavallo bianco nel corteo storico?</t>
  </si>
  <si>
    <t>A. Una contrada ospite B. Un simbolo di purezza C. La Madonna D. Un omaggio al drappellone</t>
  </si>
  <si>
    <t>Un simbolo di purezza</t>
  </si>
  <si>
    <t>Il cavallo bianco rappresenta la purezza e la devozione.</t>
  </si>
  <si>
    <t>Cosa avviene se il canape si rompe durante la partenza?</t>
  </si>
  <si>
    <t>A. La corsa è rimandata B. La corsa continua C. Si annulla il Palio D. Si procede a una nuova mossa</t>
  </si>
  <si>
    <t>Si procede a una nuova mossa</t>
  </si>
  <si>
    <t>Una nuova mossa è necessaria per garantire l’equità.</t>
  </si>
  <si>
    <t>Quante volte un cavallo può partecipare al Palio?</t>
  </si>
  <si>
    <t>A. Solo una volta B. Tutte le volte che viene selezionato C. Fino a tre volte D. Una volta ogni due anni</t>
  </si>
  <si>
    <t>Tutte le volte che viene selezionato</t>
  </si>
  <si>
    <t>Un cavallo può partecipare più volte se ritenuto idoneo.</t>
  </si>
  <si>
    <t>Cosa rappresenta la figura del tamburino nel corteo storico?</t>
  </si>
  <si>
    <t>A. Il ritmo della sfilata B. Un simbolo di battaglia C. La celebrazione della contrada D. Un omaggio alla Madonna</t>
  </si>
  <si>
    <t>Il ritmo della sfilata</t>
  </si>
  <si>
    <t>Il tamburino scandisce il ritmo della sfilata.</t>
  </si>
  <si>
    <t>Quale contrada ha come simbolo un'aquila?</t>
  </si>
  <si>
    <t>A. Drago B. Oca C. Aquila D. Pantera</t>
  </si>
  <si>
    <t>Aquila</t>
  </si>
  <si>
    <t>L’Aquila ha come simbolo un’aquila.</t>
  </si>
  <si>
    <t>Chi scrive l’inno di una contrada?</t>
  </si>
  <si>
    <t>A. Il mossiere B. Un membro della contrada C. Un artista locale D. Un fantino</t>
  </si>
  <si>
    <t>Un membro della contrada</t>
  </si>
  <si>
    <t>Gli inni sono composti da membri o sostenitori della contrada.</t>
  </si>
  <si>
    <t>Cosa rappresentano i cavalli bardati durante il corteo storico?</t>
  </si>
  <si>
    <t>A. Gli antichi cavalieri medievali B. La forza delle contrade C. Un omaggio alla Madonna D. La gloria del Palio</t>
  </si>
  <si>
    <t>Gli antichi cavalieri medievali</t>
  </si>
  <si>
    <t>I cavalli bardati rievocano i cavalieri medievali.</t>
  </si>
  <si>
    <t>Qual è il ruolo del porta-insegna?</t>
  </si>
  <si>
    <t>A. Portare il drappellone B. Guidare il corteo storico C. Portare lo stendardo della contrada D. Segnalare l’inizio della corsa</t>
  </si>
  <si>
    <t>Portare lo stendardo della contrada</t>
  </si>
  <si>
    <t>Il porta-insegna rappresenta la contrada con il suo stendardo.</t>
  </si>
  <si>
    <t>Cosa significa "fare cappotto"?</t>
  </si>
  <si>
    <t>A. Vincere due Palii consecutivi B. Vincere senza fantino C. Vincere tutte le prove D. Vincere ogni anno</t>
  </si>
  <si>
    <t>Vincere due Palii consecutivi</t>
  </si>
  <si>
    <t>Una contrada fa "cappotto" vincendo entrambi i Palii dell’anno.</t>
  </si>
  <si>
    <t>Come si chiama il cavallo vincente senza fantino?</t>
  </si>
  <si>
    <t>A. Scosso B. Libero C. Sciolto D. Abbandonato</t>
  </si>
  <si>
    <t>Scosso</t>
  </si>
  <si>
    <t>Il cavallo vincente senza fantino è detto "scosso".</t>
  </si>
  <si>
    <t>Quale contrada ha come simbolo una pantera?</t>
  </si>
  <si>
    <t>A. Oca B. Torre C. Pantera D. Istrice</t>
  </si>
  <si>
    <t>Pantera</t>
  </si>
  <si>
    <t>La Pantera ha come simbolo una pantera.</t>
  </si>
  <si>
    <t>Cosa simboleggia la corona indossata durante il corteo storico?</t>
  </si>
  <si>
    <t>A. La vittoria della contrada B. Il potere del priore C. L'omaggio alla Madonna D. La gloria di Siena</t>
  </si>
  <si>
    <t>L'omaggio alla Madonna</t>
  </si>
  <si>
    <t>La corona è un simbolo religioso.</t>
  </si>
  <si>
    <t>Quale contrada ha come simbolo un istrice?</t>
  </si>
  <si>
    <t>A. Torre B. Istrice C. Oca D. Lupa</t>
  </si>
  <si>
    <t>Istrice</t>
  </si>
  <si>
    <t>L’Istrice ha come simbolo un istrice.</t>
  </si>
  <si>
    <t>Chi sceglie il mossiere?</t>
  </si>
  <si>
    <t>A. Il comune B. Le contrade C. Un comitato cittadino D. Il priore della contrada vincente</t>
  </si>
  <si>
    <t>Il comune</t>
  </si>
  <si>
    <t>Il mossiere è scelto dal comune.</t>
  </si>
  <si>
    <t>Cosa rappresentano le fiaccole durante il corteo storico?</t>
  </si>
  <si>
    <t>A. La pace B. Le celebrazioni notturne C. La luce della Madonna D. La guida per le contrade</t>
  </si>
  <si>
    <t>La luce della Madonna</t>
  </si>
  <si>
    <t>Le fiaccole simboleggiano la devozione alla Madonna.</t>
  </si>
  <si>
    <t>Cosa avviene se due contrade si ostacolano durante la corsa?</t>
  </si>
  <si>
    <t>A. Entrambe vengono squalificate B. Viene assegnata una penalità C. Vince chi arriva per primo D. Il mossiere interviene</t>
  </si>
  <si>
    <t>Viene assegnata una penalità</t>
  </si>
  <si>
    <t>Le interferenze sono punite con penalità.</t>
  </si>
  <si>
    <t>Qual è il significato della "carriera"?</t>
  </si>
  <si>
    <t>A. La corsa stessa B. La storia della contrada C. Il drappellone D. La vittoria del cavallo scosso</t>
  </si>
  <si>
    <t>La corsa stessa</t>
  </si>
  <si>
    <t>La "carriera" è il termine che indica la corsa del Palio.</t>
  </si>
  <si>
    <t>Chi assiste il fantino durante la preparazione?</t>
  </si>
  <si>
    <t>A. Il priore B. Il capitano della contrada C. Il mossiere D. Un compagno fantino</t>
  </si>
  <si>
    <t>Il capitano della contrada</t>
  </si>
  <si>
    <t>Il capitano fornisce supporto strategico e logistico.</t>
  </si>
  <si>
    <t>Come si chiama il tratto più stretto della Piazza del Campo?</t>
  </si>
  <si>
    <t>A. San Martino B. Casato C. Mattarella D. Costarella di Fontebranda</t>
  </si>
  <si>
    <t>San Martino</t>
  </si>
  <si>
    <t>La curva di San Martino è famosa per la sua difficoltà.</t>
  </si>
  <si>
    <t>Qual è il significato del termine "barbaresco"?</t>
  </si>
  <si>
    <t>A. Colui che si prende cura del cavallo B. Un rappresentante della contrada C. Il fantino di riserva D. Il mossiere</t>
  </si>
  <si>
    <t>Colui che si prende cura del cavallo</t>
  </si>
  <si>
    <t>Il barbaresco è il custode del cavallo della contrada.</t>
  </si>
  <si>
    <t>Cosa avviene se un cavallo viene ritenuto non idoneo?</t>
  </si>
  <si>
    <t>A. Viene sostituito B. Viene squalificato C. Viene assegnato a un’altra contrada D. Non può partecipare al Palio</t>
  </si>
  <si>
    <t>Viene sostituito</t>
  </si>
  <si>
    <t>Un cavallo non idoneo viene sostituito prima della gara.</t>
  </si>
  <si>
    <t>Quante prove si svolgono prima del Palio?</t>
  </si>
  <si>
    <t>Prima del Palio si svolgono sei prove ufficiali.</t>
  </si>
  <si>
    <t>Chi consegna il drappellone alla contrada vincente?</t>
  </si>
  <si>
    <t>A. Il sindaco B. Il mossiere C. Il capitano della contrada D. Il priore</t>
  </si>
  <si>
    <t>Il sindaco</t>
  </si>
  <si>
    <t>Il sindaco di Siena consegna il drappellone.</t>
  </si>
  <si>
    <t>Cosa rappresentano i colori del drappellone?</t>
  </si>
  <si>
    <t>A. Le contrade partecipanti B. La celebrazione religiosa C. La vittoria del Palio D. L’arte locale</t>
  </si>
  <si>
    <t>La celebrazione religiosa</t>
  </si>
  <si>
    <t>Il drappellone simboleggia la devozione alla Madonna.</t>
  </si>
  <si>
    <t>Cosa avviene durante la "provaccia"?</t>
  </si>
  <si>
    <t>A. L’assegnazione del drappellone B. Una prova generale C. La cerimonia di apertura D. La scelta del mossiere</t>
  </si>
  <si>
    <t>La provaccia è una prova prima della gara ufficiale.</t>
  </si>
  <si>
    <t>Come si chiama il fantino più giovane che abbia mai vinto il Palio?</t>
  </si>
  <si>
    <t>A. Il Mossiere B. Il Barbaresco C. Il Vergine D. Il Novizio</t>
  </si>
  <si>
    <t>Il Novizio</t>
  </si>
  <si>
    <t>Il fantino più giovane è conosciuto come "Novizio".</t>
  </si>
  <si>
    <t>Qual è il tratto più pericoloso del percorso del Palio?</t>
  </si>
  <si>
    <t>A. La curva di San Martino B. La partenza C. Il rettilineo finale D. La curva del Casato</t>
  </si>
  <si>
    <t>La curva di San Martino</t>
  </si>
  <si>
    <t>La curva di San Martino è nota per la sua pericolosità.</t>
  </si>
  <si>
    <t>Cosa significa "fare melina" durante il Palio?</t>
  </si>
  <si>
    <t>A. Ostacolare gli avversari B. Rallentare intenzionalmente C. Evitare la corsa D. Spingere il cavallo al massimo</t>
  </si>
  <si>
    <t>Rallentare intenzionalmente</t>
  </si>
  <si>
    <t>Fare melina significa rallentare per una strategia.</t>
  </si>
  <si>
    <t>Quale contrada ha come simbolo una lupa?</t>
  </si>
  <si>
    <t>A. Oca B. Lupa C. Drago D. Giraffa</t>
  </si>
  <si>
    <t>Lupa</t>
  </si>
  <si>
    <t>La Lupa ha come simbolo una lupa.</t>
  </si>
  <si>
    <t>Cosa avviene al cavallo vincente?</t>
  </si>
  <si>
    <t>A. Viene premiato con il drappellone B. Viene celebrato in chiesa C. Viene liberato in piazza D. Viene ospitato dal priore</t>
  </si>
  <si>
    <t>Viene celebrato in chiesa</t>
  </si>
  <si>
    <t>Il cavallo vincente è benedetto in chiesa.</t>
  </si>
  <si>
    <t>Chi è responsabile delle decisioni tattiche della contrada?</t>
  </si>
  <si>
    <t>A. Il priore B. Il capitano C. Il mossiere D. Il fantino</t>
  </si>
  <si>
    <t>Il capitano</t>
  </si>
  <si>
    <t>Il capitano guida le scelte tattiche della contrada.</t>
  </si>
  <si>
    <t>Cosa simboleggiano i costumi medievali del corteo storico?</t>
  </si>
  <si>
    <t>A. La ricchezza della contrada B. La storia di Siena C. La tradizione militare D. La fede religiosa</t>
  </si>
  <si>
    <t>La storia di Siena</t>
  </si>
  <si>
    <t>I costumi medievali rievocano le origini storiche della città.</t>
  </si>
  <si>
    <t>Quale contrada ha come simbolo un'oca?</t>
  </si>
  <si>
    <t>A. Drago B. Oca C. Istrice D. Lupa</t>
  </si>
  <si>
    <t>L’Oca ha come simbolo un’oca.</t>
  </si>
  <si>
    <t>Cosa accade se il fantino cade durante la corsa?</t>
  </si>
  <si>
    <t>A. La contrada perde B. Il cavallo continua a correre C. Viene squalificato D. La corsa si ferma</t>
  </si>
  <si>
    <t>Il cavallo continua a correre</t>
  </si>
  <si>
    <t>Il cavallo può vincere anche senza fantino.</t>
  </si>
  <si>
    <t>Cosa indica il termine "mossa"?</t>
  </si>
  <si>
    <t>A. L’inizio della corsa B. La fine della corsa C. La distribuzione del drappellone D. La selezione del mossiere</t>
  </si>
  <si>
    <t>L’inizio della corsa</t>
  </si>
  <si>
    <t>La "mossa" è il momento della partenza.</t>
  </si>
  <si>
    <t>Qual è il nome del dipinto che orna il drappellone?</t>
  </si>
  <si>
    <t>A. Il Palio B. L’Assunta C. Il Cencio D. Il Trionfo</t>
  </si>
  <si>
    <t>Il Cencio</t>
  </si>
  <si>
    <t>Il drappellone è comunemente chiamato "Cencio".</t>
  </si>
  <si>
    <t>Come vengono assegnati i cavalli alle contrade?</t>
  </si>
  <si>
    <t>A. Per selezione B. Per voto C. Per sorteggio D. Per preferenza del priore</t>
  </si>
  <si>
    <t>Per sorteggio</t>
  </si>
  <si>
    <t>I cavalli sono assegnati tramite sorteggio.</t>
  </si>
  <si>
    <t>Cosa rappresentano gli scudi portati nel corteo storico?</t>
  </si>
  <si>
    <t>A. Le vittorie delle contrade B. Le alleanze tra contrade C. Le armi medievali D. Le contrade partecipanti</t>
  </si>
  <si>
    <t>Le contrade partecipanti</t>
  </si>
  <si>
    <t>Gli scudi mostrano i simboli delle contrade.</t>
  </si>
  <si>
    <t>Cosa accade se due contrade finiscono in parità?</t>
  </si>
  <si>
    <t>A. Vince la contrada con il fantino B. Si corre una nuova gara C. Il Palio viene annullato D. La vittoria è condivisa</t>
  </si>
  <si>
    <t>La vittoria è condivisa</t>
  </si>
  <si>
    <t>Un pareggio comporta una vittoria condivisa.</t>
  </si>
  <si>
    <t>Qual è la funzione del mossiere?</t>
  </si>
  <si>
    <t>A. Gestire la partenza B. Fare rispettare le regole C. Premiare il vincitore D. Scegliere i cavalli</t>
  </si>
  <si>
    <t>Gestire la partenza</t>
  </si>
  <si>
    <t>Il mossiere supervisiona la partenza.</t>
  </si>
  <si>
    <t>Quale contrada ha come simbolo una torre?</t>
  </si>
  <si>
    <t>A. Aquila B. Chiocciola C. Oca D. Torre</t>
  </si>
  <si>
    <t>Torre</t>
  </si>
  <si>
    <t>La Torre ha come simbolo una torre.</t>
  </si>
  <si>
    <t>Cosa si intende per "contrade nemiche"?</t>
  </si>
  <si>
    <t>A. Contrade con rivalità storica B. Contrade escluse dal Palio C. Contrade senza alleanze D. Contrade sconfitte</t>
  </si>
  <si>
    <t>Contrade con rivalità storica</t>
  </si>
  <si>
    <t>Le "contrade nemiche" hanno rivalità storiche.</t>
  </si>
  <si>
    <t>Cosa rappresentano i vessilli nel corteo?</t>
  </si>
  <si>
    <t>A. I confini di Siena B. I quartieri della città C. Le contrade D. Le vittorie del Palio</t>
  </si>
  <si>
    <t>Le contrade</t>
  </si>
  <si>
    <t>I vessilli identificano le contrade.</t>
  </si>
  <si>
    <t>Cosa avviene durante la benedizione del cavallo?</t>
  </si>
  <si>
    <t>A. Il cavallo viene decorato B. Il cavallo viene preparato per la corsa C. Il cavallo viene benedetto con acqua santa D. Il cavallo riceve il drappellone</t>
  </si>
  <si>
    <t>Il cavallo viene benedetto con acqua santa</t>
  </si>
  <si>
    <t>La benedizione è un rito tradizionale.</t>
  </si>
  <si>
    <t>Qual è il significato della parola "contrada"?</t>
  </si>
  <si>
    <t>A. Un gruppo religioso B. Un distretto cittadino C. Un simbolo del Palio D. Una famiglia nobile</t>
  </si>
  <si>
    <t>Un distretto cittadino</t>
  </si>
  <si>
    <t>Le contrade sono divisioni storiche di Siena.</t>
  </si>
  <si>
    <t>Qual è il premio per la contrada vincente?</t>
  </si>
  <si>
    <t>A. Un trofeo d’oro B. Il drappellone C. Una corona D. Un titolo onorifico</t>
  </si>
  <si>
    <t>Il drappellone</t>
  </si>
  <si>
    <t>La contrada vincente riceve il drappellone.</t>
  </si>
  <si>
    <t>Come si chiama il leader della contrada?</t>
  </si>
  <si>
    <t>A. Il mossiere B. Il capitano C. Il priore D. Il barbaresco</t>
  </si>
  <si>
    <t>Il priore</t>
  </si>
  <si>
    <t>Il priore è il leader della contrada.</t>
  </si>
  <si>
    <t>Cosa avviene dopo la corsa del Palio?</t>
  </si>
  <si>
    <t>A. La distribuzione dei premi B. La cena della vittoria C. Una nuova assegnazione dei cavalli D. Una cerimonia religiosa</t>
  </si>
  <si>
    <t>La cena della vittoria</t>
  </si>
  <si>
    <t>La contrada vincente celebra con una cena.</t>
  </si>
  <si>
    <t>Qual è il ruolo del fantino nella contrada?</t>
  </si>
  <si>
    <t>A. Solo correre nel Palio B. Rappresentare la contrada in tutte le gare C. Essere ambasciatore della contrada D. Fare parte delle decisioni strategiche</t>
  </si>
  <si>
    <t>Far parte delle decisioni strategiche</t>
  </si>
  <si>
    <t>Il fantino contribuisce anche alla strategia della corsa.</t>
  </si>
  <si>
    <t>Cosa simboleggia il carro portato nel corteo storico?</t>
  </si>
  <si>
    <t>A. La vittoria del Palio B. La gloria della città C. Le antiche feste medievali D. Le alleanze tra contrade</t>
  </si>
  <si>
    <t>Le antiche feste medievali</t>
  </si>
  <si>
    <t>Il carro rappresenta le celebrazioni medievali.</t>
  </si>
  <si>
    <t>A. Chiocciola B. Drago C. Oca D. Istrice</t>
  </si>
  <si>
    <t>Il Drago ha come simbolo un drago.</t>
  </si>
  <si>
    <t>Chi supervisiona il corteo storico?</t>
  </si>
  <si>
    <t>A. Il priore B. Il mossiere C. Il sindaco D. Il capitano del corteo</t>
  </si>
  <si>
    <t>Il sindaco di Siena supervisiona il corteo storico.</t>
  </si>
  <si>
    <t>Cosa rappresenta il tamburo nel corteo storico?</t>
  </si>
  <si>
    <t>A. La voce delle contrade B. Il ritmo della parata C. La forza della contrada D. Un simbolo religioso</t>
  </si>
  <si>
    <t>Il ritmo della parata</t>
  </si>
  <si>
    <t>Il tamburo dà ritmo e intensità alla sfilata.</t>
  </si>
  <si>
    <t>Quale contrada ha come simbolo una chiocciola?</t>
  </si>
  <si>
    <t>A. Drago B. Istrice C. Chiocciola D. Lupa</t>
  </si>
  <si>
    <t>Chiocciola</t>
  </si>
  <si>
    <t>La Chiocciola ha come simbolo una chiocciola.</t>
  </si>
  <si>
    <t>Cosa si intende per "provaccia"?</t>
  </si>
  <si>
    <t>A. L’ultima prova prima del Palio B. Un’esibizione della contrada C. La scelta del fantino D. La benedizione dei cavalli</t>
  </si>
  <si>
    <t>L’ultima prova prima del Palio</t>
  </si>
  <si>
    <t>La provaccia è la prova finale prima della gara.</t>
  </si>
  <si>
    <t>Qual è il significato della benedizione del cavallo?</t>
  </si>
  <si>
    <t>A. Assicurare protezione divina B. Garantire la vittoria C. Preparare il cavallo per la corsa D. Celebrarne la forza</t>
  </si>
  <si>
    <t>Assicurare protezione divina</t>
  </si>
  <si>
    <t>La benedizione invoca protezione e successo.</t>
  </si>
  <si>
    <t>Cosa accade se il drappellone viene danneggiato?</t>
  </si>
  <si>
    <t>A. È riparato e consegnato B. È sostituito C. La gara è annullata D. La contrada vincente ne riceve uno nuovo</t>
  </si>
  <si>
    <t>È riparato e consegnato</t>
  </si>
  <si>
    <t>Un drappellone danneggiato viene restaurato.</t>
  </si>
  <si>
    <t>Come si chiama la chiesa in cui si benedice il cavallo?</t>
  </si>
  <si>
    <t>A. Chiesa del Drappellone B. Cattedrale di Siena C. Chiesa della Contrada D. Chiesa di San Martino</t>
  </si>
  <si>
    <t>Chiesa della Contrada</t>
  </si>
  <si>
    <t>Ogni contrada ha una chiesa dedicata per la benedizione.</t>
  </si>
  <si>
    <t>Cosa rappresenta la "carriera" nel Palio?</t>
  </si>
  <si>
    <t>A. Il percorso della corsa B. La storia delle contrade C. Il premio assegnato D. Il ruolo del fantino</t>
  </si>
  <si>
    <t>Il percorso della corsa</t>
  </si>
  <si>
    <t>La carriera è il termine che descrive il tracciato della corsa.</t>
  </si>
  <si>
    <t>Cosa significa il termine "partito" nel Palio?</t>
  </si>
  <si>
    <t>A. Un’alleanza tra contrade B. Un evento celebrativo C. La distribuzione dei cavalli D. La rivalità tra due contrade</t>
  </si>
  <si>
    <t>Un’alleanza tra contrade</t>
  </si>
  <si>
    <t>Un partito indica un’alleanza tattica.</t>
  </si>
  <si>
    <t>A. Oca B. Lupa C. Giraffa D. Pantera</t>
  </si>
  <si>
    <t>La Giraffa ha come simbolo una giraffa.</t>
  </si>
  <si>
    <t>Cosa avviene durante la "mossa"?</t>
  </si>
  <si>
    <t>A. L’inizio del corteo B. L’assegnazione dei cavalli C. La partenza della corsa D. La benedizione del cavallo</t>
  </si>
  <si>
    <t>La partenza della corsa</t>
  </si>
  <si>
    <t>La mossa è il momento cruciale della partenza.</t>
  </si>
  <si>
    <t>Cosa simboleggia la piazza del Campo durante il Palio?</t>
  </si>
  <si>
    <t>A. La forza delle contrade B. La storia di Siena C. La devozione religiosa D. La centralità della città</t>
  </si>
  <si>
    <t>La centralità della città</t>
  </si>
  <si>
    <t>La Piazza del Campo è il cuore simbolico della città.</t>
  </si>
  <si>
    <t>Quale contrada ha come simbolo un leone?</t>
  </si>
  <si>
    <t>A. Aquila B. Leocorno C. Pantera D. Onda</t>
  </si>
  <si>
    <t>Leocorno</t>
  </si>
  <si>
    <t>Il Leocorno ha come simbolo un leone.</t>
  </si>
  <si>
    <t>Cosa rappresenta l'onda nel simbolo della contrada omonima?</t>
  </si>
  <si>
    <t>A. La forza delle acque B. Il commercio marittimo C. La difesa di Siena D. La purezza della Madonna</t>
  </si>
  <si>
    <t>Il commercio marittimo</t>
  </si>
  <si>
    <t>L’Onda rappresenta il legame con il commercio marittimo.</t>
  </si>
  <si>
    <t>Quale contrada ha come simbolo un cavallo?</t>
  </si>
  <si>
    <t>A. Oca B. Nicchio C. Onda D. Civetta</t>
  </si>
  <si>
    <t>Il Nicchio ha come simbolo un cavallo.</t>
  </si>
  <si>
    <t>Qual è il significato della "tratta" nel Palio?</t>
  </si>
  <si>
    <t>A. La distribuzione dei cavalli B. La benedizione dei cavalli C. Il corteo storico D. La selezione del mossiere</t>
  </si>
  <si>
    <t>La distribuzione dei cavalli</t>
  </si>
  <si>
    <t>La tratta è il sorteggio dei cavalli tra le contrade.</t>
  </si>
  <si>
    <t>Cosa si intende per "fantino scosso"?</t>
  </si>
  <si>
    <t>A. Un fantino che non partecipa B. Un fantino in difficoltà C. Un cavallo che corre senza fantino D. Un fantino sostituito</t>
  </si>
  <si>
    <t>Un cavallo che corre senza fantino</t>
  </si>
  <si>
    <t>Il fantino scosso è quello caduto durante la corsa.</t>
  </si>
  <si>
    <t>Cosa accade se un cavallo si ferisce durante il Palio?</t>
  </si>
  <si>
    <t>A. Viene escluso dalla gara B. Viene assistito immediatamente C. Viene squalificata la contrada D. Viene sospesa la gara</t>
  </si>
  <si>
    <t>Viene assistito immediatamente</t>
  </si>
  <si>
    <t>Il cavallo riceve cure immediate.</t>
  </si>
  <si>
    <t>A. Il custode del cavallo B. Un ruolo nel corteo storico C. Un giudice del Palio D. Un termine per il mossiere</t>
  </si>
  <si>
    <t>Il custode del cavallo</t>
  </si>
  <si>
    <t>Il barbaresco si occupa del cavallo della contrada.</t>
  </si>
  <si>
    <t>Qual è la durata media della corsa del Palio?</t>
  </si>
  <si>
    <t>A. 30 secondi B. 1 minuto C. 90 secondi D. 2 minuti</t>
  </si>
  <si>
    <t>90 secondi</t>
  </si>
  <si>
    <t>La corsa del Palio dura circa 90 secondi.</t>
  </si>
  <si>
    <t>Quale contrada ha come simbolo un elefante?</t>
  </si>
  <si>
    <t>A. Aquila B. Tartuca C. Drago D. Onda</t>
  </si>
  <si>
    <t>Tartuca</t>
  </si>
  <si>
    <t>La Tartuca ha come simbolo un elefante.</t>
  </si>
  <si>
    <t>Cosa rappresenta il simbolo della contrada dell'Oca?</t>
  </si>
  <si>
    <t>A. La devozione alla Madonna B. La purezza dell’acqua C. Il legame con la natura D. La fortuna e il successo</t>
  </si>
  <si>
    <t>La devozione alla Madonna</t>
  </si>
  <si>
    <t>L’Oca simboleggia la devozione alla Madonna.</t>
  </si>
  <si>
    <t>Cosa accade se un cavallo completa la corsa senza fantino?</t>
  </si>
  <si>
    <t>A. Viene squalificato B. La contrada perde C. Può vincere il Palio D. La corsa viene annullata</t>
  </si>
  <si>
    <t>Può vincere il Palio</t>
  </si>
  <si>
    <t>Un cavallo scosso può ancora vincere.</t>
  </si>
  <si>
    <t>Qual è la contrada con più vittorie nella storia del Palio?</t>
  </si>
  <si>
    <t>A. Oca B. Giraffa C. Lupa D. Torre</t>
  </si>
  <si>
    <t>L’Oca è nota per avere il maggior numero di vittorie.</t>
  </si>
  <si>
    <t>Cosa indica il termine "cencio"?</t>
  </si>
  <si>
    <t>A. Il drappellone B. Il simbolo della contrada C. Un cavallo scosso D. Il corteo storico</t>
  </si>
  <si>
    <t>Il "cencio" è il soprannome del drappellone.</t>
  </si>
  <si>
    <t>Cosa accade se una contrada non presenta un cavallo?</t>
  </si>
  <si>
    <t>A. Viene squalificata B. Partecipa con un cavallo sorteggiato C. Viene esclusa dal Palio D. Viene penalizzata</t>
  </si>
  <si>
    <t>Partecipa con un cavallo sorteggiato</t>
  </si>
  <si>
    <t>La contrada può usare un cavallo sorteggiato.</t>
  </si>
  <si>
    <t>Come viene deciso il fantino di ogni contrada?</t>
  </si>
  <si>
    <t>A. Per votazione B. Per sorteggio C. Su decisione del capitano D. Su invito del mossiere</t>
  </si>
  <si>
    <t>Su decisione del capitano</t>
  </si>
  <si>
    <t>Il capitano decide quale fantino rappresenterà la contrada.</t>
  </si>
  <si>
    <t>Cosa rappresentava il formaggio nel gioco tradizionale della Ruzzola?</t>
  </si>
  <si>
    <t>A. Un oggetto sacro B. Un premio per i vincitori C. Un simbolo di prosperità D. Un semplice strumento di gioco</t>
  </si>
  <si>
    <t>Un premio per i vincitori</t>
  </si>
  <si>
    <t>Il formaggio era il premio tradizionale per i vincitori del gioco.</t>
  </si>
  <si>
    <t>In quale regione italiana il gioco della Ruzzola è più popolare?</t>
  </si>
  <si>
    <t>A. Sicilia B. Toscana C. Umbria D. Piemonte</t>
  </si>
  <si>
    <t>Umbria</t>
  </si>
  <si>
    <t>Il gioco è particolarmente popolare in Umbria e nelle Marche.</t>
  </si>
  <si>
    <t>Come veniva usata la Ruzzola nel Medioevo?</t>
  </si>
  <si>
    <t>A. Per competizioni sportive B. Per pratiche religiose C. Per scopi agricoli D. Per allenamento militare</t>
  </si>
  <si>
    <t>Per competizioni sportive</t>
  </si>
  <si>
    <t>Il gioco era una forma di intrattenimento e competizione sportiva nel Medioevo.</t>
  </si>
  <si>
    <t>Quando si tenevano le gare tradizionali di Ruzzola?</t>
  </si>
  <si>
    <t>A. Durante le feste religiose B. Nelle pause del lavoro agricolo C. Durante i matrimoni D. Durante le guerre medievali</t>
  </si>
  <si>
    <t>Durante le feste religiose</t>
  </si>
  <si>
    <t>Le gare si svolgevano spesso durante le celebrazioni religiose.</t>
  </si>
  <si>
    <t>Qual è lo scopo principale del gioco della Ruzzola?</t>
  </si>
  <si>
    <t>A. Tirare la Ruzzola più lontano possibile B. Colpire un bersaglio con la Ruzzola C. Lanciare la Ruzzola in un cerchio D. Raccogliere più Ruzzole</t>
  </si>
  <si>
    <t>Tirare la Ruzzola più lontano possibile</t>
  </si>
  <si>
    <t>Il vincitore è colui che lancia la Ruzzola alla maggiore distanza.</t>
  </si>
  <si>
    <t>Quale strumento è usato per lanciare la Ruzzola?</t>
  </si>
  <si>
    <t>A. Un bastone B. Una corda C. Le mani D. Un guanto</t>
  </si>
  <si>
    <t>Una corda</t>
  </si>
  <si>
    <t>La Ruzzola viene avvolta con una corda per facilitarne il lancio.</t>
  </si>
  <si>
    <t>Quando la Ruzzola moderna ha iniziato a essere regolamentata?</t>
  </si>
  <si>
    <t>A. Nel XVI secolo B. Nel XIX secolo C. Nel XX secolo D. Nel XXI secolo</t>
  </si>
  <si>
    <t>Le prime regolamentazioni ufficiali risalgono al XX secolo.</t>
  </si>
  <si>
    <t>Qual è la forma tradizionale della Ruzzola?</t>
  </si>
  <si>
    <t>A. Cilindrica B. Sferica C. Conica D. Quadrata</t>
  </si>
  <si>
    <t>Cilindrica</t>
  </si>
  <si>
    <t>La Ruzzola ha una forma cilindrica simile a una forma di formaggio.</t>
  </si>
  <si>
    <t>Come veniva considerato il gioco della Ruzzola nella società contadina?</t>
  </si>
  <si>
    <t>A. Un passatempo inutile B. Una forma di esercizio fisico C. Un gioco per bambini D. Un modo per competere tra i villaggi</t>
  </si>
  <si>
    <t>Un modo per competere tra i villaggi</t>
  </si>
  <si>
    <t>La Ruzzola era un'occasione per dimostrare forza e abilità.</t>
  </si>
  <si>
    <t>Qual è il significato simbolico del formaggio nella Ruzzola?</t>
  </si>
  <si>
    <t>A. Ricchezza B. Fortuna C. Abbondanza D. Tradizione</t>
  </si>
  <si>
    <t>Abbondanza</t>
  </si>
  <si>
    <t>Il formaggio simboleggia abbondanza e prosperità.</t>
  </si>
  <si>
    <t>Quale ruolo aveva la Ruzzola durante le celebrazioni religiose?</t>
  </si>
  <si>
    <t>A. Un rituale sacro B. Un momento di festa e gioco C. Un’offerta ai santi D. Un simbolo di purificazione</t>
  </si>
  <si>
    <t>Un momento di festa e gioco</t>
  </si>
  <si>
    <t>Le celebrazioni religiose includevano la Ruzzola come intrattenimento.</t>
  </si>
  <si>
    <t>Qual è la lunghezza media delle piste di Ruzzola?</t>
  </si>
  <si>
    <t>A. 50 metri B. 100 metri C. 150 metri D. 200 metri</t>
  </si>
  <si>
    <t>100 metri</t>
  </si>
  <si>
    <t>Le piste tradizionali di Ruzzola sono lunghe circa 100 metri.</t>
  </si>
  <si>
    <t>Quali sono i materiali moderni utilizzati per la Ruzzola?</t>
  </si>
  <si>
    <t>A. Legno e metallo B. Gomma e plastica C. Formaggio e corda D. Ferro e acciaio</t>
  </si>
  <si>
    <t>Legno e metallo</t>
  </si>
  <si>
    <t>Le Ruzzole moderne sono spesso fatte di legno o metallo per durare più a lungo.</t>
  </si>
  <si>
    <t>Come si determina il vincitore nel gioco della Ruzzola?</t>
  </si>
  <si>
    <t>A. Chi fa più punti B. Chi arriva primo alla fine della pista C. Chi lancia più lontano D. Chi colpisce più bersagli</t>
  </si>
  <si>
    <t>Chi lancia più lontano</t>
  </si>
  <si>
    <t>Il vincitore è chi lancia la Ruzzola alla maggiore distanza totale.</t>
  </si>
  <si>
    <t>Qual è l'importanza delle competizioni di Ruzzola per le comunità locali?</t>
  </si>
  <si>
    <t>A. Promuovere l’unità B. Preservare le tradizioni C. Divertimento per le famiglie D. Tutte le precedenti</t>
  </si>
  <si>
    <t>Tutte le precedenti</t>
  </si>
  <si>
    <t>La Ruzzola è un evento sociale che unisce le comunità.</t>
  </si>
  <si>
    <t>Come si chiama l'associazione italiana che regola il gioco della Ruzzola?</t>
  </si>
  <si>
    <t>A. Federazione Italiana Giochi Tradizionali B. Associazione Italiana Sport e Tradizione C. Federazione Italiana Ruzzola e Ruzzolone D. Unione Nazionale Giochi Storici</t>
  </si>
  <si>
    <t>Federazione Italiana Ruzzola e Ruzzolone</t>
  </si>
  <si>
    <t>La federazione regola le competizioni a livello nazionale.</t>
  </si>
  <si>
    <t>Qual era l'uso simbolico della Ruzzola in passato?</t>
  </si>
  <si>
    <t>A. Dimostrazione di forza B. Allenamento per la guerra C. Rituale di buon auspicio D. Segno di pace</t>
  </si>
  <si>
    <t>Rituale di buon auspicio</t>
  </si>
  <si>
    <t>La Ruzzola era usata come segno di buon auspicio in molte culture.</t>
  </si>
  <si>
    <t>Qual è la differenza principale tra Ruzzola e Ruzzolone?</t>
  </si>
  <si>
    <t>A. Dimensione della Ruzzola B. Materiale della Ruzzola C. Regole del gioco D. Luogo in cui si gioca</t>
  </si>
  <si>
    <t>Dimensione della Ruzzola</t>
  </si>
  <si>
    <t>La Ruzzola è più piccola del Ruzzolone.</t>
  </si>
  <si>
    <t>Qual era il pubblico principale della Ruzzola in passato?</t>
  </si>
  <si>
    <t>A. Soldati B. Contadini C. Nobili D. Religiosi</t>
  </si>
  <si>
    <t>Contadini</t>
  </si>
  <si>
    <t>Il gioco era particolarmente popolare tra i contadini.</t>
  </si>
  <si>
    <t>Quando si è svolto il primo campionato ufficiale di Ruzzola?</t>
  </si>
  <si>
    <t>A. 1920 B. 1946 C. 1955 D. 1970</t>
  </si>
  <si>
    <t>Il primo campionato ufficiale si è tenuto nel 1946.</t>
  </si>
  <si>
    <t>Quale città italiana è famosa per le gare di Ruzzola?</t>
  </si>
  <si>
    <t>A. Roma B. Perugia C. Ancona D. Firenze</t>
  </si>
  <si>
    <t>Ancona</t>
  </si>
  <si>
    <t>Ancona è nota per le sue competizioni tradizionali di Ruzzola.</t>
  </si>
  <si>
    <t>Come si calcola il punteggio nella Ruzzola moderna?</t>
  </si>
  <si>
    <t>A. Numero di lanci B. Distanza totale C. Distanza e precisione D. Numero di partecipanti</t>
  </si>
  <si>
    <t>Distanza e precisione</t>
  </si>
  <si>
    <t>Il punteggio si basa sulla distanza e sulla precisione del lancio.</t>
  </si>
  <si>
    <t>Quale elemento naturale influenza il gioco della Ruzzola?</t>
  </si>
  <si>
    <t>A. Pioggia B. Vento C. Temperatura D. Luminosità</t>
  </si>
  <si>
    <t>Vento</t>
  </si>
  <si>
    <t>Il vento può influenzare la direzione e la distanza della Ruzzola.</t>
  </si>
  <si>
    <t>Qual è il valore culturale del gioco della Ruzzola in Italia?</t>
  </si>
  <si>
    <t>A. Sport nazionale B. Tradizione locale C. Rituale sacro D. Passatempo moderno</t>
  </si>
  <si>
    <t>Tradizione locale</t>
  </si>
  <si>
    <t>La Ruzzola è considerata una tradizione locale importante.</t>
  </si>
  <si>
    <t>Qual è la tecnica migliore per lanciare la Ruzzola?</t>
  </si>
  <si>
    <t>A. Con forza bruta B. Con equilibrio e precisione C. Con il polso D. Con entrambe le mani</t>
  </si>
  <si>
    <t>Con equilibrio e precisione</t>
  </si>
  <si>
    <t>Il lancio richiede un mix di forza ed equilibrio.</t>
  </si>
  <si>
    <t>Come vengono tramandate le regole del gioco della Ruzzola?</t>
  </si>
  <si>
    <t>A. Oralmente B. Attraverso i libri C. Tramite le scuole sportive D. Con video e documentari</t>
  </si>
  <si>
    <t>Oralmente</t>
  </si>
  <si>
    <t>Le regole sono tramandate oralmente di generazione in generazione.</t>
  </si>
  <si>
    <t>Qual è il futuro della Ruzzola nelle comunità italiane?</t>
  </si>
  <si>
    <t>A. In declino B. Rinascita culturale C. Un gioco per anziani D. Un fenomeno globale</t>
  </si>
  <si>
    <t>Rinascita culturale</t>
  </si>
  <si>
    <t>Il gioco sta vivendo una rinascita grazie agli sforzi di preservazione delle tradizioni.</t>
  </si>
  <si>
    <t>Qual era l'obiettivo simbolico della Ruzzola nel passato?</t>
  </si>
  <si>
    <t>A. Dimostrare abilità B. Portare fortuna C. Dare spettacolo D. Allenare i giovani</t>
  </si>
  <si>
    <t>Portare fortuna</t>
  </si>
  <si>
    <t>La Ruzzola era considerata un gioco di buon auspicio per la comunità.</t>
  </si>
  <si>
    <t>Come si decide il vincitore di una gara di Ruzzola?</t>
  </si>
  <si>
    <t>A. Precisione B. Distanza C. Lanci effettuati D. Tempo impiegato</t>
  </si>
  <si>
    <t>Distanza</t>
  </si>
  <si>
    <t>Vince chi lancia la Ruzzola più lontano.</t>
  </si>
  <si>
    <t>Quali erano i materiali tradizionali della Ruzzola?</t>
  </si>
  <si>
    <t>A. Legno e ferro B. Pietra e cuoio C. Formaggio e corda D. Acciaio e plastica</t>
  </si>
  <si>
    <t>Formaggio e corda</t>
  </si>
  <si>
    <t>Le prime Ruzzole erano fatte di formaggio e avvolte con una corda per il lancio.</t>
  </si>
  <si>
    <t>Qual è l'unità di misura usata nel punteggio della Ruzzola?</t>
  </si>
  <si>
    <t>A. Chilometri B. Metri C. Passi D. Braccia</t>
  </si>
  <si>
    <t>Metri</t>
  </si>
  <si>
    <t>La distanza viene misurata in metri per stabilire il punteggio.</t>
  </si>
  <si>
    <t>Quale tecnica è fondamentale nel lancio della Ruzzola?</t>
  </si>
  <si>
    <t>A. Rotazione B. Velocità C. Forza D. Precisione</t>
  </si>
  <si>
    <t>Rotazione</t>
  </si>
  <si>
    <t>La rotazione dà maggiore slancio al lancio della Ruzzola.</t>
  </si>
  <si>
    <t>Come si chiama la pista su cui si gioca alla Ruzzola?</t>
  </si>
  <si>
    <t>A. Sentiero B. Campo C. Strada D. Pista</t>
  </si>
  <si>
    <t>La pista è il terreno dove viene lanciata la Ruzzola.</t>
  </si>
  <si>
    <t>Come si svolgevano le gare di Ruzzola durante le feste?</t>
  </si>
  <si>
    <t>A. In squadre B. Individualmente C. A coppie D. A turni</t>
  </si>
  <si>
    <t>In squadre</t>
  </si>
  <si>
    <t>Le gare si svolgevano spesso in squadre per coinvolgere più persone.</t>
  </si>
  <si>
    <t>Cosa indica il termine “ruzzolare”?</t>
  </si>
  <si>
    <t>A. Girare B. Rimbalzare C. Rotolare D. Lanciare</t>
  </si>
  <si>
    <t>Rotolare</t>
  </si>
  <si>
    <t>“Ruzzolare” significa far rotolare un oggetto lungo una superficie.</t>
  </si>
  <si>
    <t>Qual è una delle caratteristiche principali della Ruzzola moderna?</t>
  </si>
  <si>
    <t>A. Uso di materiali sintetici B. Regole uniformi C. Presenza di arbitri D. Premi in denaro</t>
  </si>
  <si>
    <t>Regole uniformi</t>
  </si>
  <si>
    <t>Le competizioni moderne seguono regole uniformi a livello nazionale.</t>
  </si>
  <si>
    <t>Cosa simboleggia il formaggio nel contesto storico della Ruzzola?</t>
  </si>
  <si>
    <t>A. Sacrificio B. Abbondanza C. Protezione D. Fortuna</t>
  </si>
  <si>
    <t>Il formaggio rappresentava abbondanza e ricchezza.</t>
  </si>
  <si>
    <t>Quale tipo di superficie è preferito per giocare alla Ruzzola?</t>
  </si>
  <si>
    <t>A. Asfalto B. Erba C. Terreno naturale D. Sabbia</t>
  </si>
  <si>
    <t>Terreno naturale</t>
  </si>
  <si>
    <t>Il terreno naturale è ideale per garantire un buon rotolamento.</t>
  </si>
  <si>
    <t>Quale strumento è usato per misurare la distanza del lancio?</t>
  </si>
  <si>
    <t>A. Metro a nastro B. Riga C. Tondino D. Goniometro</t>
  </si>
  <si>
    <t>Metro a nastro</t>
  </si>
  <si>
    <t>Il metro a nastro è lo strumento tradizionale per misurare la distanza del lancio.</t>
  </si>
  <si>
    <t>Qual è il limite di peso per le Ruzzole moderne in gara?</t>
  </si>
  <si>
    <t>A. 1 kg B. 2 kg C. 3 kg D. 5 kg</t>
  </si>
  <si>
    <t>2 kg</t>
  </si>
  <si>
    <t>Le Ruzzole moderne devono rispettare un limite di peso di circa 2 kg.</t>
  </si>
  <si>
    <t>Come si stabilisce l’ordine di lancio in una gara di Ruzzola?</t>
  </si>
  <si>
    <t>A. Sorteggio B. Età dei partecipanti C. Forza fisica D. Esperienza</t>
  </si>
  <si>
    <t>L'ordine di lancio viene spesso deciso tramite sorteggio.</t>
  </si>
  <si>
    <t>Come venivano decorati i primi modelli di Ruzzola?</t>
  </si>
  <si>
    <t>A. Colorati a mano B. Incisi con simboli C. Decorati con fiori D. Non erano decorati</t>
  </si>
  <si>
    <t>Incisi con simboli</t>
  </si>
  <si>
    <t>Le Ruzzole storiche erano spesso incise con simboli culturali.</t>
  </si>
  <si>
    <t>Qual è il principale obiettivo delle competizioni di Ruzzola?</t>
  </si>
  <si>
    <t>A. Divertirsi B. Preservare la tradizione C. Unire le comunità D. Vincere premi</t>
  </si>
  <si>
    <t>Preservare la tradizione</t>
  </si>
  <si>
    <t>Le competizioni mirano a mantenere viva la tradizione.</t>
  </si>
  <si>
    <t>Quali sono le principali varianti del gioco della Ruzzola?</t>
  </si>
  <si>
    <t>A. Ruzzolone e Ruzzolino B. Ruzzolaccia e Ruzzolona C. Ruzzolone e Ruzzolino D. Ruzzolotta e Ruzzolaccio</t>
  </si>
  <si>
    <t>Ruzzolone e Ruzzolino</t>
  </si>
  <si>
    <t>Queste sono le due principali varianti conosciute.</t>
  </si>
  <si>
    <t>Quale evento storico ha interrotto temporaneamente le gare di Ruzzola?</t>
  </si>
  <si>
    <t>A. La peste B. Le guerre mondiali C. La rivoluzione industriale D. La caduta dell’Impero Romano</t>
  </si>
  <si>
    <t>Le guerre mondiali</t>
  </si>
  <si>
    <t>Le competizioni furono interrotte durante le guerre mondiali.</t>
  </si>
  <si>
    <t>Come sono regolamentati i tornei moderni di Ruzzola?</t>
  </si>
  <si>
    <t>A. Federazioni regionali B. Regole locali C. Associazioni nazionali D. Nessuna regolamentazione</t>
  </si>
  <si>
    <t>Federazioni regionali</t>
  </si>
  <si>
    <t>Le federazioni regionali regolamentano i tornei.</t>
  </si>
  <si>
    <t>Qual è il premio simbolico nei tornei di Ruzzola?</t>
  </si>
  <si>
    <t>A. Coppa B. Medaglia C. Formaggio D. Riconoscimento pubblico</t>
  </si>
  <si>
    <t>Formaggio</t>
  </si>
  <si>
    <t>Il formaggio rimane il premio simbolico più diffuso.</t>
  </si>
  <si>
    <t>Quale strategia è considerata la più efficace per la Ruzzola?</t>
  </si>
  <si>
    <t>A. Forza massima B. Calcolo della traiettoria C. Velocità di rotolamento D. Concentrazione mentale</t>
  </si>
  <si>
    <t>Calcolo della traiettoria</t>
  </si>
  <si>
    <t>Una buona traiettoria è essenziale per un lancio efficace.</t>
  </si>
  <si>
    <t>Quale mestiere tradizionale era più legato al gioco della Ruzzola?</t>
  </si>
  <si>
    <t>A. Contadino B. Falegname C. Pastore D. Artigiano</t>
  </si>
  <si>
    <t>Contadino</t>
  </si>
  <si>
    <t>I contadini erano i principali giocatori di Ruzzola.</t>
  </si>
  <si>
    <t>Qual è il principale ostacolo alla diffusione del gioco della Ruzzola oggi?</t>
  </si>
  <si>
    <t>A. Terreni inadatti B. Scarso interesse C. Concorrenza di altri sport D. Mancanza di regolamenti</t>
  </si>
  <si>
    <t>Scarso interesse</t>
  </si>
  <si>
    <t>La mancanza di interesse tra i giovani limita la diffusione del gioco.</t>
  </si>
  <si>
    <t>Come si cerca di promuovere il gioco della Ruzzola nelle scuole?</t>
  </si>
  <si>
    <t>A. Corsi dedicati B. Tornei scolastici C. Dimostrazioni pubbliche D. Integrazione nei programmi sportivi</t>
  </si>
  <si>
    <t>Tornei scolastici</t>
  </si>
  <si>
    <t>Le scuole organizzano tornei per far conoscere il gioco ai giovani.</t>
  </si>
  <si>
    <t>Qual è l'origine storica del gioco della Ruzzola?</t>
  </si>
  <si>
    <t>A. Epoca romana B. Epoca medievale C. Epoca rinascimentale D. Epoca moderna</t>
  </si>
  <si>
    <t>Epoca romana</t>
  </si>
  <si>
    <t>Il gioco ha origini risalenti all’epoca romana.</t>
  </si>
  <si>
    <t>Quale comunità organizzava tornei di Ruzzola per festeggiamenti locali?</t>
  </si>
  <si>
    <t>A. Contadini B. Artigiani C. Commercianti D. Religiosi</t>
  </si>
  <si>
    <t>I contadini erano soliti organizzare tornei durante le festività.</t>
  </si>
  <si>
    <t>Quale tipo di formaggio veniva utilizzato tradizionalmente?</t>
  </si>
  <si>
    <t>A. Pecorino B. Parmigiano C. Asiago D. Caciotta</t>
  </si>
  <si>
    <t>Pecorino</t>
  </si>
  <si>
    <t>Il pecorino stagionato era il formaggio più comune.</t>
  </si>
  <si>
    <t>Quale pratica accompagna il lancio della Ruzzola?</t>
  </si>
  <si>
    <t>A. Canti tradizionali B. Urla di incitamento C. Preghiere D. Silenzio</t>
  </si>
  <si>
    <t>Urla di incitamento</t>
  </si>
  <si>
    <t>I giocatori spesso urlano per incoraggiare il lancio.</t>
  </si>
  <si>
    <t>In quale regione italiana è particolarmente diffusa la Ruzzola?</t>
  </si>
  <si>
    <t>A. Lazio B. Umbria C. Toscana D. Marche</t>
  </si>
  <si>
    <t>Le Marche hanno una lunga tradizione legata al gioco della Ruzzola.</t>
  </si>
  <si>
    <t>Qual è lo scopo del lancio della Ruzzola?</t>
  </si>
  <si>
    <t>A. Rotolare il più lontano possibile B. Colpire un bersaglio C. Passare attraverso un cerchio D. Rimbalzare più volte</t>
  </si>
  <si>
    <t>Rotolare il più lontano possibile</t>
  </si>
  <si>
    <t>Vince chi raggiunge la maggiore distanza.</t>
  </si>
  <si>
    <t>Quali strumenti sono utilizzati per il gioco moderno della Ruzzola?</t>
  </si>
  <si>
    <t>A. Cronometro e bilancia B. Corda e Ruzzola C. Martello e chiodi D. Staffe e pesi</t>
  </si>
  <si>
    <t>Corda e Ruzzola</t>
  </si>
  <si>
    <t>La corda è essenziale per il lancio.</t>
  </si>
  <si>
    <t>Come si determina il vincitore in una partita a squadre?</t>
  </si>
  <si>
    <t>A. Maggior numero di lanci B. Maggior distanza totale C. Maggior numero di punti D. Miglior tempo</t>
  </si>
  <si>
    <t>Maggior distanza totale</t>
  </si>
  <si>
    <t>La squadra che raggiunge la distanza complessiva maggiore vince.</t>
  </si>
  <si>
    <t>Quale competizione annuale celebra il gioco della Ruzzola?</t>
  </si>
  <si>
    <t>A. Festival del Formaggio B. Gara della Tradizione C. Torneo Nazionale della Ruzzola D. Campionato della Ruzzola</t>
  </si>
  <si>
    <t>Torneo Nazionale della Ruzzola</t>
  </si>
  <si>
    <t>Il torneo attira appassionati da tutto il paese.</t>
  </si>
  <si>
    <t>Qual è il materiale della Ruzzola in gare non tradizionali?</t>
  </si>
  <si>
    <t>A. Plastica B. Metallo C. Legno D. Pietra</t>
  </si>
  <si>
    <t>Le Ruzzole di legno sono utilizzate nelle gare moderne.</t>
  </si>
  <si>
    <t>In che periodo storico il gioco della Ruzzola era considerato un allenamento?</t>
  </si>
  <si>
    <t>A. Epoca romana B. Medioevo C. Rinascimento D. Età moderna</t>
  </si>
  <si>
    <t>I romani usavano il gioco per allenare destrezza e forza.</t>
  </si>
  <si>
    <t>Quale festività è ancora oggi associata alla Ruzzola?</t>
  </si>
  <si>
    <t>A. Pasqua B. Epifania C. Ferragosto D. Natale</t>
  </si>
  <si>
    <t>Pasqua</t>
  </si>
  <si>
    <t>Le competizioni sono spesso organizzate durante il periodo pasquale.</t>
  </si>
  <si>
    <t>Qual è il numero tipico di partecipanti in una gara?</t>
  </si>
  <si>
    <t>A. 45384 B. 45478 C. 45573 D. Più di 10</t>
  </si>
  <si>
    <t>Le gare si svolgono spesso in piccoli gruppi.</t>
  </si>
  <si>
    <t>Qual è il ruolo dell’arbitro nella Ruzzola?</t>
  </si>
  <si>
    <t>A. Misurare la distanza B. Determinare la traiettoria C. Controllare il tempo D. Calcolare i punti</t>
  </si>
  <si>
    <t>Misurare la distanza</t>
  </si>
  <si>
    <t>L'arbitro garantisce la correttezza del punteggio.</t>
  </si>
  <si>
    <t>Come si classificano i lanci in una competizione ufficiale?</t>
  </si>
  <si>
    <t>A. Precisione B. Forza C. Traiettoria D. Distanza</t>
  </si>
  <si>
    <t>La distanza è il criterio principale di valutazione.</t>
  </si>
  <si>
    <t>Quale sport moderno è ispirato alla Ruzzola?</t>
  </si>
  <si>
    <t>A. Bowling B. Golf C. Tiro al piattello D. Lancio del disco</t>
  </si>
  <si>
    <t>Bowling</t>
  </si>
  <si>
    <t>Il principio del rotolamento ha ispirato il bowling.</t>
  </si>
  <si>
    <t>Cosa accade in caso di parità in una gara?</t>
  </si>
  <si>
    <t>A. Nuovo lancio B. Divisione del premio C. Sorteggio D. Assegnazione a entrambi</t>
  </si>
  <si>
    <t>Nuevo lancio</t>
  </si>
  <si>
    <t>Un ulteriore lancio decide il vincitore.</t>
  </si>
  <si>
    <t>Quale tipo di corda è tradizionalmente usata per il lancio?</t>
  </si>
  <si>
    <t>A. Corda di canapa B. Corda di seta C. Corda di cotone D. Corda sintetica</t>
  </si>
  <si>
    <t>Corda di canapa</t>
  </si>
  <si>
    <t>La corda di canapa è resistente e ideale per il gioco.</t>
  </si>
  <si>
    <t>Quale abilità è essenziale per eccellere nella Ruzzola?</t>
  </si>
  <si>
    <t>A. Velocità B. Calcolo matematico C. Precisione D. Resistenza</t>
  </si>
  <si>
    <t>Una buona precisione è fondamentale per un lancio efficace.</t>
  </si>
  <si>
    <t>Quale innovazione recente ha reso la Ruzzola più accessibile?</t>
  </si>
  <si>
    <t>A. Ruzzole più leggere B. Terreni artificiali C. Regole digitali D. Campionati online</t>
  </si>
  <si>
    <t>Ruzzole più leggere</t>
  </si>
  <si>
    <t>Le Ruzzole moderne sono più leggere per facilitare il gioco.</t>
  </si>
  <si>
    <t>In quale decennio è stata istituita una federazione per la Ruzzola?</t>
  </si>
  <si>
    <t>A. Anni ‘50 B. Anni ‘60 C. Anni ‘70 D. Anni ‘80</t>
  </si>
  <si>
    <t>Anni ‘70</t>
  </si>
  <si>
    <t>La federazione fu creata negli anni ‘70 per organizzare il gioco.</t>
  </si>
  <si>
    <t>Quale città italiana ospita regolarmente tornei di Ruzzola?</t>
  </si>
  <si>
    <t>A. Roma B. Bologna C. Ascoli Piceno D. Perugia</t>
  </si>
  <si>
    <t>Ascoli Piceno</t>
  </si>
  <si>
    <t>Ascoli Piceno è famosa per le sue competizioni.</t>
  </si>
  <si>
    <t>Come si tramanda il gioco della Ruzzola nelle famiglie?</t>
  </si>
  <si>
    <t>A. Competizioni interne B. Tradizioni orali C. Scuole locali D. Gare festive</t>
  </si>
  <si>
    <t>Tradizioni orali</t>
  </si>
  <si>
    <t>Le famiglie tramandano il gioco raccontando storie e regole.</t>
  </si>
  <si>
    <t>Quale regione italiana ha le varianti più conosciute della Ruzzola?</t>
  </si>
  <si>
    <t>A. Veneto B. Umbria C. Marche D. Piemonte</t>
  </si>
  <si>
    <t>L’Umbria ospita varianti popolari del gioco.</t>
  </si>
  <si>
    <t>Cosa succede se una Ruzzola si rompe durante il gioco?</t>
  </si>
  <si>
    <t>A. Squalifica B. Sospensione del turno C. Lancio ripetuto D. Punto perso</t>
  </si>
  <si>
    <t>Lancio ripetuto</t>
  </si>
  <si>
    <t>Il giocatore può ripetere il lancio con una nuova Ruzzola.</t>
  </si>
  <si>
    <t>Come sono decorate le Ruzzole per eventi speciali?</t>
  </si>
  <si>
    <t>A. Colori vivaci B. Incisioni dorate C. Simboli tradizionali D. Non sono decorate</t>
  </si>
  <si>
    <t>Simboli tradizionali</t>
  </si>
  <si>
    <t>Le decorazioni riflettono la cultura locale.</t>
  </si>
  <si>
    <t>Quale materiale è oggi preferito per le Ruzzole da allenamento?</t>
  </si>
  <si>
    <t>A. Gomma B. Legno sintetico C. Plastica D. Pietra</t>
  </si>
  <si>
    <t>Gomma</t>
  </si>
  <si>
    <t>Le Ruzzole di gomma sono usate per la sicurezza.</t>
  </si>
  <si>
    <t>Qual è l’età minima per partecipare alle gare ufficiali?</t>
  </si>
  <si>
    <t>A. 10 anni B. 12 anni C. 14 anni D. 16 anni</t>
  </si>
  <si>
    <t>12 anni</t>
  </si>
  <si>
    <t>Le gare ufficiali accettano partecipanti a partire dai 12 anni.</t>
  </si>
  <si>
    <t>Quale premio era comune nei tornei storici?</t>
  </si>
  <si>
    <t>A. Denaro B. Formaggi C. Utensili D. Abiti</t>
  </si>
  <si>
    <t>Formaggi</t>
  </si>
  <si>
    <t>I vincitori ricevevano spesso grandi forme di formaggio.</t>
  </si>
  <si>
    <t>In quale secolo il gioco della Ruzzola è diventato popolare in Italia?</t>
  </si>
  <si>
    <t>A. XIII secolo B. XIV secolo C. XV secolo D. XVI secolo</t>
  </si>
  <si>
    <t>La Ruzzola si diffuse ampiamente nel XIV secolo.</t>
  </si>
  <si>
    <t>Come viene determinata la traiettoria ideale della Ruzzola?</t>
  </si>
  <si>
    <t>A. Esperienza e pratica B. Calcoli geometrici C. Osservazione del terreno D. Segnali dell’arbitro</t>
  </si>
  <si>
    <t>Esperienza e pratica</t>
  </si>
  <si>
    <t>I giocatori esperti regolano il lancio con la pratica.</t>
  </si>
  <si>
    <t>Quale tradizione accompagna i tornei di Ruzzola?</t>
  </si>
  <si>
    <t>A. Banchetti B. Fiere locali C. Canti popolari D. Danza tradizionale</t>
  </si>
  <si>
    <t>Banchetti</t>
  </si>
  <si>
    <t>I tornei spesso si concludono con banchetti festivi.</t>
  </si>
  <si>
    <t>Quale istituzione ha contribuito a regolamentare il gioco?</t>
  </si>
  <si>
    <t>A. Enti comunali B. Chiesa C. Accademie sportive D. Famiglie nobili</t>
  </si>
  <si>
    <t>Enti comunali</t>
  </si>
  <si>
    <t>Gli enti locali hanno introdotto regole per il gioco.</t>
  </si>
  <si>
    <t>Qual è l'elemento principale che determina il successo in una partita di Ruzzola?</t>
  </si>
  <si>
    <t>A. Forza B. Equilibrio C. Strategia D. Destrezza</t>
  </si>
  <si>
    <t>Strategia</t>
  </si>
  <si>
    <t>Una buona strategia è fondamentale per scegliere il percorso migliore.</t>
  </si>
  <si>
    <t>Quale pratica scaramantica è comune prima di un lancio?</t>
  </si>
  <si>
    <t>A. Baciare la Ruzzola B. Battere le mani C. Gridare un nome D. Sfregare la corda</t>
  </si>
  <si>
    <t>Baciare la Ruzzola</t>
  </si>
  <si>
    <t>Questo gesto è considerato di buon auspicio.</t>
  </si>
  <si>
    <t>Qual è la lunghezza tipica di una corda usata nella Ruzzola?</t>
  </si>
  <si>
    <t>A. 1-2 metri B. 2-3 metri C. 3-4 metri D. 4-5 metri</t>
  </si>
  <si>
    <t>2-3 metri</t>
  </si>
  <si>
    <t>Le corde sono abbastanza lunghe per avvolgere la Ruzzola.</t>
  </si>
  <si>
    <t>Cosa simboleggiava la Ruzzola nell'antica Roma?</t>
  </si>
  <si>
    <t>A. Fertilità B. Competizione C. Forza e potere D. Unione comunitaria</t>
  </si>
  <si>
    <t>Forza e potere</t>
  </si>
  <si>
    <t>Il gioco rappresentava la forza fisica e la destrezza.</t>
  </si>
  <si>
    <t>Quale tipologia di terreno è ideale per la Ruzzola?</t>
  </si>
  <si>
    <t>A. Sterrato B. Erba C. Asfalto D. Ghiaia</t>
  </si>
  <si>
    <t>Sterrato</t>
  </si>
  <si>
    <t>Un terreno sterrato consente alla Ruzzola di rotolare meglio.</t>
  </si>
  <si>
    <t>In quale periodo dell'anno si svolgono la maggior parte delle competizioni?</t>
  </si>
  <si>
    <t>Primavera</t>
  </si>
  <si>
    <t>La primavera è il periodo preferito per le gare all'aperto.</t>
  </si>
  <si>
    <t>Qual è il numero massimo di giocatori per squadra nelle competizioni ufficiali?</t>
  </si>
  <si>
    <t>A. 3 B. 5 C. 7 D. 9</t>
  </si>
  <si>
    <t>Le squadre ufficiali hanno un massimo di 5 giocatori.</t>
  </si>
  <si>
    <t>Come vengono conservate le Ruzzole tradizionali?</t>
  </si>
  <si>
    <t>A. In scatole di legno B. In sacchi di tela C. Appese a pareti D. In scatole metalliche</t>
  </si>
  <si>
    <t>In scatole di legno</t>
  </si>
  <si>
    <t>Le scatole proteggono le Ruzzole dall’umidità.</t>
  </si>
  <si>
    <t>Quale caratteristica fisica è più vantaggiosa per i giocatori?</t>
  </si>
  <si>
    <t>A. Forza B. Resistenza C. Coordinazione D. Velocità</t>
  </si>
  <si>
    <t>Coordinazione</t>
  </si>
  <si>
    <t>La coordinazione è essenziale per un lancio preciso.</t>
  </si>
  <si>
    <t>Qual è la penalità per un lancio che esce dal percorso?</t>
  </si>
  <si>
    <t>A. Perdita del turno B. Punto perso C. Squalifica D. Penalità minima</t>
  </si>
  <si>
    <t>Perdita del turno</t>
  </si>
  <si>
    <t>Il giocatore perde il turno se il lancio è fuori percorso.</t>
  </si>
  <si>
    <t>Qual è il peso medio delle Ruzzole moderne?</t>
  </si>
  <si>
    <t>A. 1-2 kg B. 3-4 kg C. 5-6 kg D. 7-8 kg</t>
  </si>
  <si>
    <t>3-4 kg</t>
  </si>
  <si>
    <t>Le Ruzzole moderne pesano tra i 3 e i 4 kg.</t>
  </si>
  <si>
    <t>Come vengono celebrate le vittorie nei tornei di Ruzzola?</t>
  </si>
  <si>
    <t>A. Premi in denaro B. Feste popolari C. Medaglie D. Formaggi stagionati</t>
  </si>
  <si>
    <t>Feste popolari</t>
  </si>
  <si>
    <t>Le vittorie sono spesso accompagnate da celebrazioni collettive.</t>
  </si>
  <si>
    <t>Quale istituzione italiana ha documentato le regole della Ruzzola?</t>
  </si>
  <si>
    <t>A. Biblioteca Nazionale B. Accademia dello Sport C. Federazione Giochi Storici D. Museo delle Tradizioni</t>
  </si>
  <si>
    <t>Federazione Giochi Storici</t>
  </si>
  <si>
    <t>Questa federazione ha standardizzato il regolamento.</t>
  </si>
  <si>
    <t>Qual è l’età media dei partecipanti ai tornei?</t>
  </si>
  <si>
    <t>A. 18-25 anni B. 26-35 anni C. 36-50 anni D. Oltre i 50 anni</t>
  </si>
  <si>
    <t>36-50 anni</t>
  </si>
  <si>
    <t>La maggior parte dei partecipanti sono adulti esperti.</t>
  </si>
  <si>
    <t>Come viene calcolata la distanza del lancio?</t>
  </si>
  <si>
    <t>A. Con un metro a nastro B. Con telemetria C. Con passi misurati D. Con segnali visivi</t>
  </si>
  <si>
    <t>Con un metro a nastro</t>
  </si>
  <si>
    <t>L’arbitro misura la distanza con precisione.</t>
  </si>
  <si>
    <t>Quale variante regionale della Ruzzola è famosa?</t>
  </si>
  <si>
    <t>A. Ruzzola del Cerchio B. Ruzzola del Disco C. Ruzzola del Palio D. Ruzzola del Borgo</t>
  </si>
  <si>
    <t>Ruzzola del Disco</t>
  </si>
  <si>
    <t>Questa variante è popolare in alcune regioni italiane.</t>
  </si>
  <si>
    <t>Come si prepara una Ruzzola tradizionale?</t>
  </si>
  <si>
    <t>A. Con incisioni a mano B. Con intagli decorativi C. Con vernice protettiva D. Con levigatura</t>
  </si>
  <si>
    <t>Con levigatura</t>
  </si>
  <si>
    <t>La levigatura migliora la scorrevolezza della Ruzzola.</t>
  </si>
  <si>
    <t>Cosa rappresenta la Ruzzola per le comunità locali?</t>
  </si>
  <si>
    <t>A. Competizione B. Tradizione C. Innovazione D. Divertimento</t>
  </si>
  <si>
    <t>Tradizione</t>
  </si>
  <si>
    <t>Il gioco simboleggia la preservazione delle tradizioni locali.</t>
  </si>
  <si>
    <t>Come vengono incoraggiati i giovani a partecipare alla Ruzzola?</t>
  </si>
  <si>
    <t>A. Campionati giovanili B. Insegnamenti scolastici C. Eventi pubblicitari D. Premi speciali</t>
  </si>
  <si>
    <t>Campionati giovanili</t>
  </si>
  <si>
    <t>Le competizioni giovanili promuovono il gioco tra i più giovani.</t>
  </si>
  <si>
    <t>Qual è la funzione della corda nel gioco?</t>
  </si>
  <si>
    <t>A. Aumentare la precisione B. Proteggere la Ruzzola C. Facilitare il lancio D. Decorare la Ruzzola</t>
  </si>
  <si>
    <t>Facilitare il lancio</t>
  </si>
  <si>
    <t>La corda permette un controllo maggiore nel lancio.</t>
  </si>
  <si>
    <t>Quale regione ha istituito il primo campionato ufficiale di Ruzzola?</t>
  </si>
  <si>
    <t>A. Lazio B. Toscana C. Marche D. Umbria</t>
  </si>
  <si>
    <t>Le Marche sono state pioniere nei campionati ufficiali.</t>
  </si>
  <si>
    <t>Quale evento storico ha contribuito alla diffusione della Ruzzola?</t>
  </si>
  <si>
    <t>A. Feste rinascimentali B. Espansione romana C. Fiere medievali D. Guerre di confine</t>
  </si>
  <si>
    <t>Feste rinascimentali</t>
  </si>
  <si>
    <t>Le feste rinascimentali includevano spesso giochi tradizionali.</t>
  </si>
  <si>
    <t>Come si chiamano i lanci successivi al primo?</t>
  </si>
  <si>
    <t>A. Lanci di recupero B. Lanci di sfida C. Lanci di tiro D. Lanci di rotolo</t>
  </si>
  <si>
    <t>Lanci di sfida</t>
  </si>
  <si>
    <t>I lanci successivi servono per superare la distanza avversaria.</t>
  </si>
  <si>
    <t>Come viene trattata una Ruzzola danneggiata?</t>
  </si>
  <si>
    <t>A. Riparazione immediata B. Sostituzione C. Rimodellamento D. Squalifica</t>
  </si>
  <si>
    <t>Sostituzione</t>
  </si>
  <si>
    <t>Una nuova Ruzzola viene fornita in caso di danni.</t>
  </si>
  <si>
    <t>Quale accessorio è opzionale per i giocatori?</t>
  </si>
  <si>
    <t>A. Guanti B. Corda di riserva C. Scarpe antiscivolo D. Fascia per il polso</t>
  </si>
  <si>
    <t>Scarpe antiscivolo</t>
  </si>
  <si>
    <t>Alcuni giocatori preferiscono maggiore stabilità durante il lancio.</t>
  </si>
  <si>
    <t>Quale ruolo ha la Ruzzola nelle feste locali?</t>
  </si>
  <si>
    <t>A. Attrazione principale B. Attività secondaria C. Gioco per bambini D. Evento conclusivo</t>
  </si>
  <si>
    <t>Attrazione principale</t>
  </si>
  <si>
    <t>È spesso il fulcro delle festività comunitarie.</t>
  </si>
  <si>
    <t>Qual è il materiale più comune per le Ruzzole tradizionali?</t>
  </si>
  <si>
    <t>A. Legno B. Metallo C. Pietra D. Plastica</t>
  </si>
  <si>
    <t>Il legno è il materiale tradizionale utilizzato per le Ruzzole.</t>
  </si>
  <si>
    <t>Qual è il nome dato al primo tiro del gioco?</t>
  </si>
  <si>
    <t>A. Tiro iniziale B. Tiro maestro C. Tiro di partenza D. Tiro guida</t>
  </si>
  <si>
    <t>Tiro maestro</t>
  </si>
  <si>
    <t>Il tiro maestro stabilisce il ritmo della partita.</t>
  </si>
  <si>
    <t>Cosa si considera quando si sceglie il percorso della Ruzzola?</t>
  </si>
  <si>
    <t>A. Terreno B. Velocità del vento C. Dimensioni della Ruzzola D. Temperatura</t>
  </si>
  <si>
    <t>Terreno</t>
  </si>
  <si>
    <t>Il terreno è fondamentale per la direzione e la distanza.</t>
  </si>
  <si>
    <t>Qual è il ruolo del giudice in una competizione di Ruzzola?</t>
  </si>
  <si>
    <t>A. Misurare la distanza B. Supervisionare il gioco C. Dare il via al gioco D. Convalidare i risultati</t>
  </si>
  <si>
    <t>Supervisionare il gioco</t>
  </si>
  <si>
    <t>Il giudice garantisce il rispetto delle regole.</t>
  </si>
  <si>
    <t>Qual è l'origine del termine "Ruzzola"?</t>
  </si>
  <si>
    <t>A. Dialetto latino B. Tradizione locale C. Lingua etrusca D. Influenza greca</t>
  </si>
  <si>
    <t>Dialetto latino</t>
  </si>
  <si>
    <t>Deriva dal verbo latino "rotulare".</t>
  </si>
  <si>
    <t>Cosa rappresentava la Ruzzola nel Medioevo?</t>
  </si>
  <si>
    <t>A. Competizione tra villaggi B. Gara tra famiglie C. Festa religiosa D. Addestramento militare</t>
  </si>
  <si>
    <t>Competizione tra villaggi</t>
  </si>
  <si>
    <t>Era un modo per sfidare i villaggi vicini.</t>
  </si>
  <si>
    <t>Qual è la tecnica più usata per lanciare la Ruzzola?</t>
  </si>
  <si>
    <t>A. Con un movimento del polso B. Con un movimento del braccio C. Con un lancio sopra la testa D. Con una spinta laterale</t>
  </si>
  <si>
    <t>Con un movimento del braccio</t>
  </si>
  <si>
    <t>Il movimento del braccio garantisce precisione.</t>
  </si>
  <si>
    <t>Qual è la penalità per chi viola le regole del percorso?</t>
  </si>
  <si>
    <t>A. Punto perso B. Squalifica C. Riduzione del punteggio D. Penalità monetaria</t>
  </si>
  <si>
    <t>Punto perso</t>
  </si>
  <si>
    <t>Il punto viene perso se non si rispetta il percorso.</t>
  </si>
  <si>
    <t>Come si chiamano le competizioni di Ruzzola a livello nazionale?</t>
  </si>
  <si>
    <t>A. Campionati Italiani B. Trofei della Tradizione C. Giochi Nazionali D. Ruzzolata d’Italia</t>
  </si>
  <si>
    <t>Campionati Italiani</t>
  </si>
  <si>
    <t>È il nome ufficiale delle gare nazionali.</t>
  </si>
  <si>
    <t>Qual è l'obiettivo principale del gioco della Ruzzola?</t>
  </si>
  <si>
    <t>A. Raggiungere la massima distanza B. Superare l’avversario C. Raggiungere un obiettivo specifico D. Evitare gli ostacoli</t>
  </si>
  <si>
    <t>Raggiungere la massima distanza</t>
  </si>
  <si>
    <t>La distanza è il criterio principale.</t>
  </si>
  <si>
    <t>Come viene premiato il vincitore di una gara locale?</t>
  </si>
  <si>
    <t>A. Medaglie B. Formaggi C. Premi in denaro D. Certificati</t>
  </si>
  <si>
    <t>Il formaggio è un premio tradizionale per il vincitore.</t>
  </si>
  <si>
    <t>Qual è la differenza principale tra le Ruzzole moderne e tradizionali?</t>
  </si>
  <si>
    <t>A. Peso B. Materiale C. Forma D. Dimensioni</t>
  </si>
  <si>
    <t>Materiale</t>
  </si>
  <si>
    <t>Le moderne possono essere fatte anche di plastica o metallo.</t>
  </si>
  <si>
    <t>Cosa distingue un campione di Ruzzola?</t>
  </si>
  <si>
    <t>A. Forza B. Precisione C. Velocità D. Stile</t>
  </si>
  <si>
    <t>La precisione nel tiro è fondamentale per vincere.</t>
  </si>
  <si>
    <t>Come vengono organizzati i tornei di Ruzzola?</t>
  </si>
  <si>
    <t>A. Attraverso associazioni B. Attraverso comitati locali C. Attraverso sponsor privati D. Attraverso governi regionali</t>
  </si>
  <si>
    <t>Attraverso comitati locali</t>
  </si>
  <si>
    <t>I comitati locali gestiscono l’organizzazione.</t>
  </si>
  <si>
    <t>Qual è il metodo tradizionale per decorare le Ruzzole?</t>
  </si>
  <si>
    <t>A. Incisioni a mano B. Vernice colorata C. Adesivi D. Fili di lana</t>
  </si>
  <si>
    <t>Incisioni a mano</t>
  </si>
  <si>
    <t>Le decorazioni manuali sono una tradizione.</t>
  </si>
  <si>
    <t>Qual è il significato simbolico della Ruzzola?</t>
  </si>
  <si>
    <t>A. Felicità comunitaria B. Vitalità C. Fiducia D. Unione</t>
  </si>
  <si>
    <t>Felicità comunitaria</t>
  </si>
  <si>
    <t>Il gioco è un’occasione di gioia per la comunità.</t>
  </si>
  <si>
    <t>In quale regione si trovano i migliori giocatori di Ruzzola?</t>
  </si>
  <si>
    <t>A. Umbria B. Lazio C. Marche D. Emilia-Romagna</t>
  </si>
  <si>
    <t>Le Marche sono rinomate per i giocatori esperti.</t>
  </si>
  <si>
    <t>Qual è la lunghezza massima del percorso di gioco?</t>
  </si>
  <si>
    <t>A. 500 metri B. 1 chilometro C. 2 chilometri D. 3 chilometri</t>
  </si>
  <si>
    <t>1 chilometro</t>
  </si>
  <si>
    <t>Un percorso tipico non supera 1 chilometro.</t>
  </si>
  <si>
    <t>Come viene incoraggiato lo spirito sportivo nella Ruzzola?</t>
  </si>
  <si>
    <t>A. Attraverso premi B. Attraverso regole etiche C. Attraverso rituali D. Attraverso doni</t>
  </si>
  <si>
    <t>Attraverso regole etiche</t>
  </si>
  <si>
    <t>Le regole enfatizzano il rispetto reciproco.</t>
  </si>
  <si>
    <t>Cosa rende difficile il gioco della Ruzzola?</t>
  </si>
  <si>
    <t>A. Il peso della Ruzzola B. Le condizioni del terreno C. La lunghezza del percorso D. Il tipo di corda</t>
  </si>
  <si>
    <t>Le condizioni del terreno</t>
  </si>
  <si>
    <t>Il terreno irregolare aumenta la difficoltà.</t>
  </si>
  <si>
    <t>Come si determinano le categorie nei tornei di Ruzzola?</t>
  </si>
  <si>
    <t>A. Per età B. Per peso della Ruzzola C. Per esperienza D. Per dimensione della Ruzzola</t>
  </si>
  <si>
    <t>Per esperienza</t>
  </si>
  <si>
    <t>Le categorie sono basate sul livello di abilità.</t>
  </si>
  <si>
    <t>Qual è l'effetto di una Ruzzola mal bilanciata?</t>
  </si>
  <si>
    <t>A. Rotola in modo irregolare B. Si rompe durante il gioco C. Non raggiunge la distanza D. Deve essere sostituita</t>
  </si>
  <si>
    <t>Rotola in modo irregolare</t>
  </si>
  <si>
    <t>Una Ruzzola mal bilanciata compromette il tiro.</t>
  </si>
  <si>
    <t>Come vengono preservate le tradizioni della Ruzzola?</t>
  </si>
  <si>
    <t>A. Attraverso festival B. Attraverso scuole C. Attraverso musei D. Attraverso pubblicazioni</t>
  </si>
  <si>
    <t>Attraverso festival</t>
  </si>
  <si>
    <t>I festival mantengono viva la tradizione.</t>
  </si>
  <si>
    <t>Come si verifica la validità di un tiro?</t>
  </si>
  <si>
    <t>A. Osservazione del giudice B. Utilizzo di strumenti di misura C. Conferma del pubblico D. Conferma dei giocatori</t>
  </si>
  <si>
    <t>Osservazione del giudice</t>
  </si>
  <si>
    <t>Il giudice controlla la validità del tiro.</t>
  </si>
  <si>
    <t>Qual è la funzione principale della corda nella Ruzzola?</t>
  </si>
  <si>
    <t>A. Evitare danni B. Facilitare il lancio C. Aumentare la velocità D. Decorare la Ruzzola</t>
  </si>
  <si>
    <t>La corda consente un controllo migliore.</t>
  </si>
  <si>
    <t>In quale contesto storico la Ruzzola veniva giocata di più?</t>
  </si>
  <si>
    <t>A. Feste popolari B. Fiere agricole C. Cerimonie religiose D. Giochi militari</t>
  </si>
  <si>
    <t>Le feste popolari erano l’occasione più comune.</t>
  </si>
  <si>
    <t>Cosa si usa per segnare il percorso di gioco?</t>
  </si>
  <si>
    <t>A. Pietre B. Linee dipinte C. Bandiere D. Segnali naturali</t>
  </si>
  <si>
    <t>Bandiere</t>
  </si>
  <si>
    <t>Le bandiere aiutano a delimitare il percorso.</t>
  </si>
  <si>
    <t>Come vengono tramandate le abilità della Ruzzola?</t>
  </si>
  <si>
    <t>A. Attraverso scuole di gioco B. Attraverso famiglie C. Attraverso corsi D. Attraverso manuali</t>
  </si>
  <si>
    <t>Attraverso famiglie</t>
  </si>
  <si>
    <t>Le famiglie tramandano le abilità da generazioni.</t>
  </si>
  <si>
    <t>Qual è il momento culminante di un torneo di Ruzzola?</t>
  </si>
  <si>
    <t>A. La finale B. La cerimonia d'apertura C. La premiazione D. Il pranzo comunitario</t>
  </si>
  <si>
    <t>La finale</t>
  </si>
  <si>
    <t>La finale determina il vincitore del torneo.</t>
  </si>
  <si>
    <t>Numero Domanda</t>
  </si>
  <si>
    <t>Request</t>
  </si>
  <si>
    <t>Qual è l'origine del gioco della Pallanuoto?</t>
  </si>
  <si>
    <t>A. In Italia nel 1800 B. In Inghilterra nel 1870 C. In Francia nel 1900 D. Negli Stati Uniti nel 1905</t>
  </si>
  <si>
    <t>In Inghilterra nel 1870</t>
  </si>
  <si>
    <t>La pallanuoto è nata come una versione acquatica del rugby in Inghilterra nel 1870.</t>
  </si>
  <si>
    <t>Chi è considerato il fondatore della Pallanuoto moderna?</t>
  </si>
  <si>
    <t>A. Giovanni C. Minervini B. William Wilson C. John Pearson D. Giovanni Paolo II</t>
  </si>
  <si>
    <t>William Wilson</t>
  </si>
  <si>
    <t>William Wilson è riconosciuto come uno dei fondatori della Pallanuoto moderna.</t>
  </si>
  <si>
    <t>In quale anno è stata introdotta la Pallanuoto nelle Olimpiadi?</t>
  </si>
  <si>
    <t>A. 1896 B. 1900 C. 1912 D. 1924</t>
  </si>
  <si>
    <t>La pallanuoto è stata introdotta nei Giochi Olimpici del 1900.</t>
  </si>
  <si>
    <t>Dove si è svolto il primo campionato mondiale di Pallanuoto?</t>
  </si>
  <si>
    <t>A. In Italia B. Negli Stati Uniti C. In Spagna D. In Francia</t>
  </si>
  <si>
    <t>In Italia</t>
  </si>
  <si>
    <t>Il primo campionato mondiale di Pallanuoto si è svolto in Italia.</t>
  </si>
  <si>
    <t>Quante squadre partecipano alla Pallanuoto nelle Olimpiadi?</t>
  </si>
  <si>
    <t>A. 6 B. 8 C. 12 D. 10</t>
  </si>
  <si>
    <t>Nei Giochi Olimpici, 8 squadre competono per la medaglia d'oro.</t>
  </si>
  <si>
    <t>Chi ha vinto il primo campionato mondiale di Pallanuoto?</t>
  </si>
  <si>
    <t>A. Italia B. Stati Uniti C. Ungheria D. Francia</t>
  </si>
  <si>
    <t>Ungheria</t>
  </si>
  <si>
    <t>L'Ungheria ha vinto il primo campionato mondiale di Pallanuoto.</t>
  </si>
  <si>
    <t>Quanti giocatori ci sono in una squadra di Pallanuoto?</t>
  </si>
  <si>
    <t>A. 7 B. 6 C. 8 D. 10</t>
  </si>
  <si>
    <t>Ogni squadra di Pallanuoto è composta da 7 giocatori, di cui uno è il portiere.</t>
  </si>
  <si>
    <t>In quale città è stato creato il primo regolamento ufficiale della Pallanuoto?</t>
  </si>
  <si>
    <t>A. Roma B. Londra C. New York D. Parigi</t>
  </si>
  <si>
    <t>Londra</t>
  </si>
  <si>
    <t>Il primo regolamento ufficiale della Pallanuoto è stato creato a Londra.</t>
  </si>
  <si>
    <t>In che anno è stata fondata la Federazione Internazionale di Pallanuoto (FINA)?</t>
  </si>
  <si>
    <t>A. 1903 B. 1912 C. 1920 D. 1930</t>
  </si>
  <si>
    <t>La FINA è stata fondata nel 1903 come organo di governo per gli sport acquatici.</t>
  </si>
  <si>
    <t>Chi ha vinto la prima edizione dei Campionati Europei di Pallanuoto?</t>
  </si>
  <si>
    <t>A. Italia B. Francia C. Germania D. Ungheria</t>
  </si>
  <si>
    <t>L'Italia ha vinto il primo Campionato Europeo di Pallanuoto.</t>
  </si>
  <si>
    <t>Qual è la durata di una partita di Pallanuoto?</t>
  </si>
  <si>
    <t>A. 30 minuti B. 40 minuti C. 45 minuti D. 60 minuti</t>
  </si>
  <si>
    <t>30 minuti</t>
  </si>
  <si>
    <t>Una partita di Pallanuoto dura 30 minuti, divisi in 4 tempi da 7,5 minuti ciascuno.</t>
  </si>
  <si>
    <t>In che anno la Pallanuoto è stata introdotta come disciplina universitaria?</t>
  </si>
  <si>
    <t>A. 1895 B. 1910 C. 1920 D. 1935</t>
  </si>
  <si>
    <t>La Pallanuoto è stata introdotta come disciplina universitaria nel 1910.</t>
  </si>
  <si>
    <t>Qual è la posizione di un giocatore in Pallanuoto che non può segnare?</t>
  </si>
  <si>
    <t>A. Portiere B. Attaccante C. Centrocampista D. Difensore</t>
  </si>
  <si>
    <t>Portiere</t>
  </si>
  <si>
    <t>Il portiere è il solo giocatore che non può segnare.</t>
  </si>
  <si>
    <t>Chi è il giocatore più premiato nella storia delle Olimpiadi di Pallanuoto?</t>
  </si>
  <si>
    <t>A. Pino Porzio B. Zoltán Szécsi C. Mihály Kállai D. György Kásás</t>
  </si>
  <si>
    <t>Pino Porzio</t>
  </si>
  <si>
    <t>Pino Porzio ha vinto numerosi medaglie olimpiche e riconoscimenti.</t>
  </si>
  <si>
    <t>In quale paese è nata la Pallanuoto?</t>
  </si>
  <si>
    <t>A. Inghilterra B. Italia C. Francia D. Germania</t>
  </si>
  <si>
    <t>Inghilterra</t>
  </si>
  <si>
    <t>La Pallanuoto è nata in Inghilterra come versione acquatica del rugby.</t>
  </si>
  <si>
    <t>Quale squadra ha vinto più titoli mondiali di Pallanuoto?</t>
  </si>
  <si>
    <t>A. Italia B. Ungheria C. Stati Uniti D. Spagna</t>
  </si>
  <si>
    <t>L'Ungheria è la squadra con più titoli mondiali di Pallanuoto.</t>
  </si>
  <si>
    <t>Quando la Pallanuoto è stata riconosciuta ufficialmente come sport dal Comitato Olimpico Internazionale?</t>
  </si>
  <si>
    <t>A. 1900 B. 1910 C. 1920 D. 1930</t>
  </si>
  <si>
    <t>La Pallanuoto è stata riconosciuta ufficialmente come sport olimpico nel 1900.</t>
  </si>
  <si>
    <t>Qual è l'obiettivo principale della Pallanuoto?</t>
  </si>
  <si>
    <t>A. Segnare punti B. Difendere il proprio portiere C. Avere più possessi D. Controllare la palla</t>
  </si>
  <si>
    <t>Segnare punti</t>
  </si>
  <si>
    <t>L'obiettivo principale del gioco è segnare più punti rispetto alla squadra avversaria.</t>
  </si>
  <si>
    <t>Chi è stato il primo allenatore italiano di successo nella Pallanuoto internazionale?</t>
  </si>
  <si>
    <t>A. Enzo Moser B. Giovanni Rossi C. Francesco Esposito D. Giuseppe Frassi</t>
  </si>
  <si>
    <t>Enzo Moser</t>
  </si>
  <si>
    <t>Enzo Moser è stato uno dei primi allenatori italiani di successo nella Pallanuoto.</t>
  </si>
  <si>
    <t>Quando si è svolta la prima edizione della Coppa dei Campioni di Pallanuoto?</t>
  </si>
  <si>
    <t>A. 1963 B. 1970 C. 1980 D. 1990</t>
  </si>
  <si>
    <t>La prima edizione della Coppa dei Campioni di Pallanuoto è stata nel 1963.</t>
  </si>
  <si>
    <t>Dove si è svolto il primo torneo internazionale di Pallanuoto?</t>
  </si>
  <si>
    <t>A. Milano B. Roma C. Londra D. New York</t>
  </si>
  <si>
    <t>Roma</t>
  </si>
  <si>
    <t>Il primo torneo internazionale di Pallanuoto si è svolto a Roma.</t>
  </si>
  <si>
    <t>Quante medaglie olimpiche ha vinto l'Italia nella Pallanuoto?</t>
  </si>
  <si>
    <t>A. 10 B. 12 C. 14 D. 16</t>
  </si>
  <si>
    <t>L'Italia ha vinto 12 medaglie olimpiche nella Pallanuoto.</t>
  </si>
  <si>
    <t>In quale anno la Pallanuoto è diventata uno sport professionale?</t>
  </si>
  <si>
    <t>A. 1970 B. 1980 C. 1990 D. 2000</t>
  </si>
  <si>
    <t>La Pallanuoto è diventata uno sport professionale a partire dagli anni '80.</t>
  </si>
  <si>
    <t>Qual è il nome del campionato italiano di Pallanuoto?</t>
  </si>
  <si>
    <t>A. Serie A B. Campionato Nazionale C. Lega Pallanuoto D. Superlega</t>
  </si>
  <si>
    <t>Serie A</t>
  </si>
  <si>
    <t>Il campionato italiano di Pallanuoto è chiamato Serie A.</t>
  </si>
  <si>
    <t>Chi ha vinto il primo campionato italiano di Pallanuoto?</t>
  </si>
  <si>
    <t>A. Pro Recco B. Ortigia C. Brescia D. Florentia</t>
  </si>
  <si>
    <t>Pro Recco</t>
  </si>
  <si>
    <t>Pro Recco ha vinto il primo campionato italiano di Pallanuoto.</t>
  </si>
  <si>
    <t>Qual è il nome del trofeo internazionale più prestigioso di Pallanuoto?</t>
  </si>
  <si>
    <t>A. World Cup B. Champions League C. Copa del Rey D. Coppa del Mondo</t>
  </si>
  <si>
    <t>Champions League</t>
  </si>
  <si>
    <t>La Champions League di Pallanuoto è il trofeo internazionale più prestigioso.</t>
  </si>
  <si>
    <t>Quando è stata introdotta la regola della fuga" in Pallanuoto?"</t>
  </si>
  <si>
    <t>A. 1910 B. 1920 C. 1930 D. 1940</t>
  </si>
  <si>
    <t>La regola della 'fuga', che riguarda l'avanzamento del pallone oltre la linea dei difensori, è stata introdotta negli anni '30.</t>
  </si>
  <si>
    <t>Chi ha vinto il maggior numero di Olimpiadi di Pallanuoto?</t>
  </si>
  <si>
    <t>A. Italia B. Stati Uniti C. Ungheria D. Russia</t>
  </si>
  <si>
    <t>L'Ungheria ha vinto il maggior numero di medaglie d'oro olimpiche nella Pallanuoto.</t>
  </si>
  <si>
    <t>In che anno l'Italia ha vinto il suo primo oro olimpico nella Pallanuoto?</t>
  </si>
  <si>
    <t>A. 1948 B. 1960 C. 1964 D. 1972</t>
  </si>
  <si>
    <t>L'Italia ha vinto il suo primo oro olimpico nella Pallanuoto nel 1964.</t>
  </si>
  <si>
    <t>Qual è la squadra più titolata nella storia dei Campionati Europei di Pallanuoto?</t>
  </si>
  <si>
    <t>A. Italia B. Ungheria C. Spagna D. Serbia</t>
  </si>
  <si>
    <t>L'Ungheria è la squadra con il maggior numero di titoli nei Campionati Europei di Pallanuoto.</t>
  </si>
  <si>
    <t>Chi ha vinto il maggior numero di Coppe del Mondo di Pallanuoto?</t>
  </si>
  <si>
    <t>A. Italia B. Spagna C. Serbia D. Ungheria</t>
  </si>
  <si>
    <t>Serbia</t>
  </si>
  <si>
    <t>La Serbia ha vinto il maggior numero di Coppe del Mondo di Pallanuoto.</t>
  </si>
  <si>
    <t>In quale anno è stata creata la Coppa del Mondo di Pallanuoto?</t>
  </si>
  <si>
    <t>A. 1956 B. 1965 C. 1973 D. 1980</t>
  </si>
  <si>
    <t>La Coppa del Mondo di Pallanuoto è stata creata nel 1973.</t>
  </si>
  <si>
    <t>Quale squadra ha vinto la prima Coppa del Mondo di Pallanuoto?</t>
  </si>
  <si>
    <t>A. Italia B. Stati Uniti C. Ungheria D. Jugoslavia</t>
  </si>
  <si>
    <t>Jugoslavia</t>
  </si>
  <si>
    <t>La Jugoslavia ha vinto la prima Coppa del Mondo di Pallanuoto nel 1973.</t>
  </si>
  <si>
    <t>In quale città si è svolto il primo torneo internazionale di Pallanuoto negli Stati Uniti?</t>
  </si>
  <si>
    <t>A. Los Angeles B. New York C. Chicago D. Miami</t>
  </si>
  <si>
    <t>New York</t>
  </si>
  <si>
    <t>Il primo torneo internazionale di Pallanuoto negli Stati Uniti si è svolto a New York.</t>
  </si>
  <si>
    <t>Quale nazione ha vinto il maggior numero di medaglie olimpiche di Pallanuoto?</t>
  </si>
  <si>
    <t>A. Ungheria B. Italia C. Stati Uniti D. Russia</t>
  </si>
  <si>
    <t>L'Ungheria ha vinto il maggior numero di medaglie olimpiche di Pallanuoto.</t>
  </si>
  <si>
    <t>Qual è il nome della principale competizione di club in Italia per la Pallanuoto?</t>
  </si>
  <si>
    <t>A. Serie A1 B. Coppa Italia C. Lega Pallanuoto D. Supercoppa</t>
  </si>
  <si>
    <t>Serie A1</t>
  </si>
  <si>
    <t>La Serie A1 è la principale competizione di club in Italia per la Pallanuoto.</t>
  </si>
  <si>
    <t>Chi ha vinto la prima Supercoppa Europea di Pallanuoto?</t>
  </si>
  <si>
    <t>A. Pro Recco B. Jugoslavia C. Milan D. Florentia</t>
  </si>
  <si>
    <t>Pro Recco ha vinto la prima Supercoppa Europea di Pallanuoto.</t>
  </si>
  <si>
    <t>Quando la Pallanuoto è diventata sport femminile nelle Olimpiadi?</t>
  </si>
  <si>
    <t>A. 1992 B. 2000 C. 2004 D. 2012</t>
  </si>
  <si>
    <t>La Pallanuoto femminile è stata introdotta nelle Olimpiadi nel 2000.</t>
  </si>
  <si>
    <t>Qual è la squadra più vincente della storia del campionato italiano di Pallanuoto?</t>
  </si>
  <si>
    <t>A. Pro Recco B. Brescia C. Ortigia D. Savona</t>
  </si>
  <si>
    <t>Pro Recco è la squadra più vincente nella storia del campionato italiano di Pallanuoto.</t>
  </si>
  <si>
    <t>In quale anno è stato istituito il campionato mondiale di Pallanuoto?</t>
  </si>
  <si>
    <t>A. 1950 B. 1960 C. 1970 D. 1980</t>
  </si>
  <si>
    <t>Il campionato mondiale di Pallanuoto è stato istituito nel 1970.</t>
  </si>
  <si>
    <t>Quale nazione ha vinto il primo campionato mondiale di Pallanuoto?</t>
  </si>
  <si>
    <t>A. Stati Uniti B. Italia C. Ungheria D. Francia</t>
  </si>
  <si>
    <t>Stati Uniti</t>
  </si>
  <si>
    <t>Gli Stati Uniti hanno vinto il primo campionato mondiale di Pallanuoto nel 1970.</t>
  </si>
  <si>
    <t>Quale nazione ospitò il primo campionato europeo di Pallanuoto?</t>
  </si>
  <si>
    <t>A. Italia B. Francia C. Spagna D. Serbia</t>
  </si>
  <si>
    <t>L'Italia ospitò il primo campionato europeo di Pallanuoto.</t>
  </si>
  <si>
    <t>In quale anno la Pallanuoto ha avuto il suo debutto nei Campionati Mondiali FINA?</t>
  </si>
  <si>
    <t>A. 1973 B. 1980 C. 1991 D. 2000</t>
  </si>
  <si>
    <t>La Pallanuoto ha fatto il suo debutto nei Campionati Mondiali FINA nel 1973.</t>
  </si>
  <si>
    <t>Chi ha vinto la medaglia d'oro nel torneo di Pallanuoto alle Olimpiadi di 2004?</t>
  </si>
  <si>
    <t>A. Italia B. Serbia C. Ungheria D. Croazia</t>
  </si>
  <si>
    <t>La Serbia ha vinto la medaglia d'oro nel torneo di Pallanuoto alle Olimpiadi di 2004.</t>
  </si>
  <si>
    <t>In che anno è stata introdotta la regola della giocata lunga" in Pallanuoto?"</t>
  </si>
  <si>
    <t>A. 1980 B. 1990 C. 2000 D. 2010</t>
  </si>
  <si>
    <t>La regola della 'giocata lunga' è stata introdotta negli anni '90.</t>
  </si>
  <si>
    <t>Quale atleta è considerato il miglior giocatore di Pallanuoto del secolo?</t>
  </si>
  <si>
    <t>A. Tibor Benedek B. Pino Porzio C. Mihály Kállai D. Giovanni C. Minervini</t>
  </si>
  <si>
    <t>Tibor Benedek</t>
  </si>
  <si>
    <t>Tibor Benedek è considerato uno dei migliori giocatori di Pallanuoto del secolo.</t>
  </si>
  <si>
    <t>Quando è stato creato il sistema di punteggio attuale nella Pallanuoto?</t>
  </si>
  <si>
    <t>A. 1912 B. 1925 C. 1938 D. 1954</t>
  </si>
  <si>
    <t>Il sistema di punteggio attuale nella Pallanuoto è stato creato nel 1938.</t>
  </si>
  <si>
    <t>Qual è la principale differenza tra la Pallanuoto e il Rugby acquatico?</t>
  </si>
  <si>
    <t>A. Numero di giocatori B. Utilizzo della palla C. Durata delle partite D. Regole difensive</t>
  </si>
  <si>
    <t>Numero di giocatori</t>
  </si>
  <si>
    <t>La principale differenza tra la Pallanuoto e il Rugby acquatico è il numero di giocatori per squadra.</t>
  </si>
  <si>
    <t>In quale anno l'Italia ha vinto il suo primo campionato europeo di Pallanuoto?</t>
  </si>
  <si>
    <t>A. 1933 B. 1950 C. 1960 D. 1970</t>
  </si>
  <si>
    <t>L'Italia ha vinto il suo primo campionato europeo di Pallanuoto nel 1960.</t>
  </si>
  <si>
    <t>Quale squadra ha vinto il Campionato Europeo di Pallanuoto nel 1980?</t>
  </si>
  <si>
    <t>A. Italia B. Serbia C. Soviet Union D. Ungheria</t>
  </si>
  <si>
    <t>L'Italia ha vinto il Campionato Europeo di Pallanuoto nel 1980.</t>
  </si>
  <si>
    <t>Dove si svolse il primo torneo internazionale di Pallanuoto tra club?</t>
  </si>
  <si>
    <t>A. Italia B. Stati Uniti C. Francia D. Spagna</t>
  </si>
  <si>
    <t>Il primo torneo internazionale di Pallanuoto tra club si svolse in Italia.</t>
  </si>
  <si>
    <t>Chi ha segnato il primo gol nella storia della Pallanuoto olimpica?</t>
  </si>
  <si>
    <t>A. Giovanni Rossi B. Pino Porzio C. William Wilson D. Zoltán Szécsi</t>
  </si>
  <si>
    <t>William Wilson segnò il primo gol nella storia della Pallanuoto olimpica.</t>
  </si>
  <si>
    <t>Qual è stato l'anno di debutto della Pallanuoto maschile alle Olimpiadi?</t>
  </si>
  <si>
    <t>A. 1900 B. 1912 C. 1924 D. 1936</t>
  </si>
  <si>
    <t>La Pallanuoto maschile fece il suo debutto alle Olimpiadi nel 1900.</t>
  </si>
  <si>
    <t>In quale anno la squadra di Pallanuoto della Jugoslavia ha vinto la medaglia d'oro olimpica?</t>
  </si>
  <si>
    <t>A. 1968 B. 1980 C. 1984 D. 1992</t>
  </si>
  <si>
    <t>La Jugoslavia vinse la medaglia d'oro olimpica nella Pallanuoto nel 1984.</t>
  </si>
  <si>
    <t>Quale nazione ha vinto il Campionato del Mondo di Pallanuoto nel 2011?</t>
  </si>
  <si>
    <t>A. Italia B. Serbia C. Croazia D. Ungheria</t>
  </si>
  <si>
    <t>La Serbia vinse il Campionato del Mondo di Pallanuoto nel 2011.</t>
  </si>
  <si>
    <t>Quando la Pallanuoto è stata introdotta nei giochi degli Stati Uniti d'America?</t>
  </si>
  <si>
    <t>La Pallanuoto fu introdotta nei giochi degli Stati Uniti nel 1900.</t>
  </si>
  <si>
    <t>Quale squadra ha vinto la medaglia d'oro ai Mondiali di Pallanuoto del 1978?</t>
  </si>
  <si>
    <t>A. Italia B. Serbia C. Jugoslavia D. Spagna</t>
  </si>
  <si>
    <t>La Jugoslavia ha vinto la medaglia d'oro ai Mondiali di Pallanuoto del 1978.</t>
  </si>
  <si>
    <t>In quale anno il campionato mondiale di Pallanuoto è stato istituito dalla FINA?</t>
  </si>
  <si>
    <t>A. 1968 B. 1970 C. 1982 D. 1992</t>
  </si>
  <si>
    <t>Il campionato mondiale di Pallanuoto è stato istituito dalla FINA nel 1970.</t>
  </si>
  <si>
    <t>Quale atleta ha vinto il maggior numero di medaglie olimpiche in Pallanuoto?</t>
  </si>
  <si>
    <t>A. Tibor Benedek B. György Kásás C. Pino Porzio D. Zoltán Szécsi</t>
  </si>
  <si>
    <t>György Kásás</t>
  </si>
  <si>
    <t>György Kásás è l'atleta con il maggior numero di medaglie olimpiche in Pallanuoto.</t>
  </si>
  <si>
    <t>Chi ha vinto la medaglia d'oro olimpica di Pallanuoto nel 1992?</t>
  </si>
  <si>
    <t>A. Italia B. Spagna C. Serbia D. Croazia</t>
  </si>
  <si>
    <t>La Spagna ha vinto la medaglia d'oro olimpica di Pallanuoto nel 1992.</t>
  </si>
  <si>
    <t>Chi ha vinto il maggior numero di medaglie d'oro olimpiche in Pallanuoto?</t>
  </si>
  <si>
    <t>A. Italia B. Serbia C. Ungheria D. Spagna</t>
  </si>
  <si>
    <t>L'Ungheria ha vinto il maggior numero di medaglie d'oro olimpiche in Pallanuoto.</t>
  </si>
  <si>
    <t>In quale anno è stata fondata la prima squadra di Pallanuoto in Italia?</t>
  </si>
  <si>
    <t>A. 1903 B. 1906 C. 1910 D. 1920</t>
  </si>
  <si>
    <t>La prima squadra di Pallanuoto in Italia fu fondata nel 1903.</t>
  </si>
  <si>
    <t>Chi ha vinto la prima medaglia d'oro nel torneo di Pallanuoto alle Olimpiadi del 2000?</t>
  </si>
  <si>
    <t>La Serbia vinse la medaglia d'oro nel torneo di Pallanuoto alle Olimpiadi del 2000.</t>
  </si>
  <si>
    <t>Quale atleta è stato il capitano della squadra italiana che ha vinto l'oro olimpico nel 1992?</t>
  </si>
  <si>
    <t>A. Pino Porzio B. Giovanni Rossi C. Francesco Esposito D. Alessandro Campagna</t>
  </si>
  <si>
    <t>Pino Porzio è stato il capitano della squadra italiana che ha vinto l'oro olimpico nel 1992.</t>
  </si>
  <si>
    <t>In quale anno la Pallanuoto è diventata uno sport professionistico in Italia?</t>
  </si>
  <si>
    <t>La Pallanuoto è diventata uno sport professionistico in Italia negli anni '90.</t>
  </si>
  <si>
    <t>Quanti giocatori ci sono in un campo di Pallanuoto durante una partita?</t>
  </si>
  <si>
    <t>A. 6 B. 7 C. 8 D. 9</t>
  </si>
  <si>
    <t>In una partita di Pallanuoto ci sono 7 giocatori per squadra, incluso il portiere.</t>
  </si>
  <si>
    <t>Dove si svolse il primo torneo di Pallanuoto a livello europeo?</t>
  </si>
  <si>
    <t>A. Londra B. Roma C. Budapest D. Madrid</t>
  </si>
  <si>
    <t>Il primo torneo di Pallanuoto a livello europeo si svolse a Roma.</t>
  </si>
  <si>
    <t>Chi ha vinto il primo torneo internazionale di Pallanuoto tra club nel 1963?</t>
  </si>
  <si>
    <t>A. Pro Recco B. Spandau 04 C. Milan D. Savona</t>
  </si>
  <si>
    <t>Pro Recco ha vinto il primo torneo internazionale di Pallanuoto tra club nel 1963.</t>
  </si>
  <si>
    <t>In quale anno la Pallanuoto è stata introdotta come sport nei Giochi del Commonwealth?</t>
  </si>
  <si>
    <t>A. 1950 B. 1966 C. 1970 D. 1980</t>
  </si>
  <si>
    <t>La Pallanuoto è stata introdotta come sport nei Giochi del Commonwealth nel 1970.</t>
  </si>
  <si>
    <t>Chi è stato il primo portiere italiano a giocare in una competizione internazionale di Pallanuoto?</t>
  </si>
  <si>
    <t>A. Pino Porzio B. Francesco Esposito C. Giuseppe Frassi D. Giovanni C. Minervini</t>
  </si>
  <si>
    <t>Giuseppe Frassi</t>
  </si>
  <si>
    <t>Giuseppe Frassi è stato uno dei primi portieri italiani a giocare in una competizione internazionale di Pallanuoto.</t>
  </si>
  <si>
    <t>In quale anno è stato istituito il Campionato Italiano di Pallanuoto?</t>
  </si>
  <si>
    <t>A. 1905 B. 1910 C. 1920 D. 1930</t>
  </si>
  <si>
    <t>Il Campionato Italiano di Pallanuoto fu istituito nel 1905.</t>
  </si>
  <si>
    <t>Chi è considerato uno dei più grandi allenatori della Pallanuoto italiana?</t>
  </si>
  <si>
    <t>A. Giuseppe Frassi B. Francesco Esposito C. Alessandro Campagna D. Enzo Moser</t>
  </si>
  <si>
    <t>Alessandro Campagna</t>
  </si>
  <si>
    <t>Alessandro Campagna è uno degli allenatori più noti della Pallanuoto italiana.</t>
  </si>
  <si>
    <t>Quando la Pallanuoto è stata riconosciuta come sport olimpico per le donne?</t>
  </si>
  <si>
    <t>A. 1964 B. 1980 C. 2000 D. 2004</t>
  </si>
  <si>
    <t>La Pallanuoto femminile è stata riconosciuta come sport olimpico nel 2000.</t>
  </si>
  <si>
    <t>In quale anno la Pallanuoto maschile ha debuttato ai Giochi Olimpici?</t>
  </si>
  <si>
    <t>La Pallanuoto maschile fece il suo debutto ai Giochi Olimpici nel 1900.</t>
  </si>
  <si>
    <t>Quale nazione ha ospitato il primo campionato mondiale di Pallanuoto?</t>
  </si>
  <si>
    <t>A. Stati Uniti B. Italia C. Serbia D. Francia</t>
  </si>
  <si>
    <t>Gli Stati Uniti hanno ospitato il primo campionato mondiale di Pallanuoto nel 1970.</t>
  </si>
  <si>
    <t>Quale nazione ha vinto il maggior numero di medaglie olimpiche nella Pallanuoto femminile?</t>
  </si>
  <si>
    <t>A. Italia B. Spagna C. Stati Uniti D. Serbia</t>
  </si>
  <si>
    <t>Gli Stati Uniti hanno vinto il maggior numero di medaglie olimpiche nella Pallanuoto femminile.</t>
  </si>
  <si>
    <t>Chi è stato il giocatore più giovane a vincere una medaglia olimpica nella Pallanuoto?</t>
  </si>
  <si>
    <t>A. Zoltán Szécsi B. Tibor Benedek C. Giovanni Porzio D. György Kásás</t>
  </si>
  <si>
    <t>Tibor Benedek è stato il giocatore più giovane a vincere una medaglia olimpica.</t>
  </si>
  <si>
    <t>Quale squadra ha vinto la medaglia d'oro olimpica di Pallanuoto nel 1964?</t>
  </si>
  <si>
    <t>L'Italia ha vinto la medaglia d'oro olimpica di Pallanuoto nel 1964.</t>
  </si>
  <si>
    <t>In quale città si è svolta la prima finale della Coppa del Mondo di Pallanuoto?</t>
  </si>
  <si>
    <t>A. Budapest B. Roma C. Los Angeles D. Belgrado</t>
  </si>
  <si>
    <t>Budapest</t>
  </si>
  <si>
    <t>La prima finale della Coppa del Mondo di Pallanuoto si è svolta a Budapest.</t>
  </si>
  <si>
    <t>Quale atleta ha vinto il maggior numero di medaglie olimpiche nella Pallanuoto?</t>
  </si>
  <si>
    <t>A. Tibor Benedek B. Zoltán Szécsi C. György Kásás D. Pino Porzio</t>
  </si>
  <si>
    <t>György Kásás ha vinto il maggior numero di medaglie olimpiche nella Pallanuoto.</t>
  </si>
  <si>
    <t>In quale anno la squadra di Pallanuoto italiana ha vinto il suo primo Campionato del Mondo?</t>
  </si>
  <si>
    <t>A. 1963 B. 1970 C. 1975 D. 1980</t>
  </si>
  <si>
    <t>L'Italia ha vinto il suo primo Campionato del Mondo di Pallanuoto nel 1975.</t>
  </si>
  <si>
    <t>Chi ha vinto il maggior numero di titoli nella Lega Europea di Pallanuoto?</t>
  </si>
  <si>
    <t>A. Pro Recco B. Jugoslavia C. Spandau 04 D. Savona</t>
  </si>
  <si>
    <t>Pro Recco ha vinto il maggior numero di titoli nella Lega Europea di Pallanuoto.</t>
  </si>
  <si>
    <t>Quale squadra ha vinto il Campionato Europeo di Pallanuoto nel 1993?</t>
  </si>
  <si>
    <t>A. Spagna B. Italia C. Serbia D. Ungheria</t>
  </si>
  <si>
    <t>L'Italia ha vinto il Campionato Europeo di Pallanuoto nel 1993.</t>
  </si>
  <si>
    <t>Quale città ha ospitato i Campionati Europei di Pallanuoto nel 2010?</t>
  </si>
  <si>
    <t>A. Roma B. Barcellona C. Belgrado D. Montpellier</t>
  </si>
  <si>
    <t>Belgrado</t>
  </si>
  <si>
    <t>Belgrado ha ospitato i Campionati Europei di Pallanuoto nel 2010.</t>
  </si>
  <si>
    <t>Quale atleta italiano è stato il capocannoniere del torneo olimpico di Pallanuoto nel 1996?</t>
  </si>
  <si>
    <t>A. Francesco Attolico B. Giovanni Porzio C. Alessandro Campagna D. Pino Porzio</t>
  </si>
  <si>
    <t>Francesco Attolico</t>
  </si>
  <si>
    <t>Francesco Attolico è stato il capocannoniere del torneo olimpico di Pallanuoto nel 1996.</t>
  </si>
  <si>
    <t>Chi ha vinto la medaglia d'oro olimpica di Pallanuoto nel 1980?</t>
  </si>
  <si>
    <t>A. Jugoslavia B. Serbia C. Italia D. Francia</t>
  </si>
  <si>
    <t>La Jugoslavia ha vinto la medaglia d'oro olimpica di Pallanuoto nel 1980.</t>
  </si>
  <si>
    <t>In quale anno la Pallanuoto è stata aggiunta come sport dimostrativo alle Olimpiadi?</t>
  </si>
  <si>
    <t>A. 1900 B. 1924 C. 1932 D. 1948</t>
  </si>
  <si>
    <t>La Pallanuoto è stata aggiunta come sport dimostrativo alle Olimpiadi nel 1924.</t>
  </si>
  <si>
    <t>Chi ha vinto la medaglia d'oro ai Campionati Mondiali di Pallanuoto del 1994?</t>
  </si>
  <si>
    <t>A. Italia B. Ungheria C. Serbia D. Spagna</t>
  </si>
  <si>
    <t>L'Italia ha vinto la medaglia d'oro ai Campionati Mondiali di Pallanuoto del 1994.</t>
  </si>
  <si>
    <t>Qual è la squadra di Pallanuoto con il maggior numero di vittorie ai Campionati Mondiali?</t>
  </si>
  <si>
    <t>A. Italia B. Serbia C. Jugoslavia D. Ungheria</t>
  </si>
  <si>
    <t>La Jugoslavia ha vinto il maggior numero di vittorie ai Campionati Mondiali di Pallanuoto.</t>
  </si>
  <si>
    <t>In quale anno è stato creato il torneo di Pallanuoto nei Giochi del Mediterraneo?</t>
  </si>
  <si>
    <t>A. 1951 B. 1961 C. 1971 D. 1981</t>
  </si>
  <si>
    <t>Il torneo di Pallanuoto è stato creato nei Giochi del Mediterraneo nel 1971.</t>
  </si>
  <si>
    <t>Qual è stato l'anno di fondazione della squadra di Pallanuoto Pro Recco?</t>
  </si>
  <si>
    <t>A. 1913 B. 1920 C. 1935 D. 1940</t>
  </si>
  <si>
    <t>Pro Recco è stata fondata nel 1913.</t>
  </si>
  <si>
    <t>Chi ha vinto la medaglia d'oro nel torneo olimpico di Pallanuoto nel 1988?</t>
  </si>
  <si>
    <t>A. Italia B. Jugoslavia C. Serbia D. Spagna</t>
  </si>
  <si>
    <t>La Jugoslavia ha vinto la medaglia d'oro nel torneo olimpico di Pallanuoto nel 1988.</t>
  </si>
  <si>
    <t>In quale anno è stato introdotto il sistema del 'gol annullato' nella Pallanuoto?</t>
  </si>
  <si>
    <t>A. 1991 B. 1992 C. 1996 D. 2000</t>
  </si>
  <si>
    <t>Il sistema del 'gol annullato' è stato introdotto nel 1991.</t>
  </si>
  <si>
    <t>Chi è stato il primo giocatore di Pallanuoto a segnare 100 gol in Coppa del Mondo?</t>
  </si>
  <si>
    <t>A. Tibor Benedek B. Zoltán Szécsi C. Francesco Attolico D. Giovanni Porzio</t>
  </si>
  <si>
    <t>Tibor Benedek è stato il primo giocatore di Pallanuoto a segnare 100 gol in Coppa del Mondo.</t>
  </si>
  <si>
    <t>In quale anno l'Italia ha vinto il Campionato del Mondo di Pallanuoto femminile?</t>
  </si>
  <si>
    <t>A. 1994 B. 2000 C. 2005 D. 2011</t>
  </si>
  <si>
    <t>L'Italia ha vinto il Campionato del Mondo di Pallanuoto femminile nel 2011.</t>
  </si>
  <si>
    <t>Quale nazione ha ospitato i primi Mondiali di Pallanuoto femminile?</t>
  </si>
  <si>
    <t>A. Italia B. Stati Uniti C. Serbia D. Australia</t>
  </si>
  <si>
    <t>L'Italia ha ospitato i primi Mondiali di Pallanuoto femminile nel 2001.</t>
  </si>
  <si>
    <t>Chi ha vinto la medaglia d'oro ai Campionati Mondiali di Pallanuoto maschile nel 1998?</t>
  </si>
  <si>
    <t>L'Ungheria ha vinto la medaglia d'oro ai Campionati Mondiali di Pallanuoto nel 1998.</t>
  </si>
  <si>
    <t>In quale anno è stata introdotta la 'sospensione temporanea' per i giocatori di Pallanuoto?</t>
  </si>
  <si>
    <t>A. 1995 B. 2000 C. 2004 D. 2008</t>
  </si>
  <si>
    <t>La sospensione temporanea è stata introdotta nel 2004.</t>
  </si>
  <si>
    <t>Quale giocatore italiano ha vinto il premio come miglior giocatore di Pallanuoto agli Europei del 2012?</t>
  </si>
  <si>
    <t>A. Giovanni Porzio B. Alessandro Campagna C. Francesco Esposito D. Pino Porzio</t>
  </si>
  <si>
    <t>Pino Porzio ha vinto il premio come miglior giocatore di Pallanuoto agli Europei del 2012.</t>
  </si>
  <si>
    <t>In quale anno la Pallanuoto è diventata parte dei Giochi Panamericani?</t>
  </si>
  <si>
    <t>A. 1959 B. 1967 C. 1971 D. 1975</t>
  </si>
  <si>
    <t>La Pallanuoto è diventata parte dei Giochi Panamericani nel 1967.</t>
  </si>
  <si>
    <t>Qual è il massimo numero di giocatori in una squadra di Pallanuoto durante le partite?</t>
  </si>
  <si>
    <t>A. 5 B. 6 C. 7 D. 8</t>
  </si>
  <si>
    <t>La Pallanuoto si gioca con 7 giocatori per squadra durante le partite, incluso il portiere.</t>
  </si>
  <si>
    <t>Qual è la squadra di Pallanuoto che ha vinto più volte la Coppa dei Campioni?</t>
  </si>
  <si>
    <t>A. Pro Recco B. Savona C. Brescia D. Florentia</t>
  </si>
  <si>
    <t>Pro Recco ha vinto più volte la Coppa dei Campioni.</t>
  </si>
  <si>
    <t>In quale città si sono svolti i Mondiali di Pallanuoto nel 2005?</t>
  </si>
  <si>
    <t>A. Roma B. Budapest C. Montpellier D. Barcellona</t>
  </si>
  <si>
    <t>Montpellier</t>
  </si>
  <si>
    <t>Montpellier ha ospitato i Mondiali di Pallanuoto nel 2005.</t>
  </si>
  <si>
    <t>Chi ha vinto il primo Campionato Europeo di Pallanuoto femminile?</t>
  </si>
  <si>
    <t>L'Italia ha vinto il primo Campionato Europeo di Pallanuoto femminile.</t>
  </si>
  <si>
    <t>Chi ha segnato il primo gol della storia nella Pallanuoto olimpica?</t>
  </si>
  <si>
    <t>A. William Wilson B. Tibor Benedek C. Zoltán Szécsi D. Giovanni Porzio</t>
  </si>
  <si>
    <t>William Wilson segnò il primo gol nella storia della Pallanuoto olimpica nel 1900.</t>
  </si>
  <si>
    <t>Quale squadra ha vinto il Campionato del Mondo di Pallanuoto nel 2015?</t>
  </si>
  <si>
    <t>A. Serbia B. Croazia C. Italia D. Ungheria</t>
  </si>
  <si>
    <t>La Serbia ha vinto il Campionato del Mondo di Pallanuoto nel 2015.</t>
  </si>
  <si>
    <t>In quale anno si è svolta la prima edizione della World League di Pallanuoto?</t>
  </si>
  <si>
    <t>A. 1990 B. 1997 C. 2000 D. 2004</t>
  </si>
  <si>
    <t>La prima edizione della World League di Pallanuoto si è svolta nel 1997.</t>
  </si>
  <si>
    <t>Quale nazione ha vinto la Coppa del Mondo di Pallanuoto maschile nel 2010?</t>
  </si>
  <si>
    <t>A. Italia B. Serbia C. Spagna D. Ungheria</t>
  </si>
  <si>
    <t>La Serbia ha vinto la Coppa del Mondo di Pallanuoto maschile nel 2010.</t>
  </si>
  <si>
    <t>Chi ha vinto il titolo di miglior giocatore ai Mondiali di Pallanuoto del 2013?</t>
  </si>
  <si>
    <t>A. Tibor Benedek B. Francesco Attolico C. Sandro Campagna D. Niko Vavic</t>
  </si>
  <si>
    <t>Tibor Benedek è stato nominato miglior giocatore ai Mondiali di Pallanuoto del 2013.</t>
  </si>
  <si>
    <t>Quale squadra di Pallanuoto ha vinto la Supercoppa Europea nel 2016?</t>
  </si>
  <si>
    <t>A. Pro Recco B. Milan C. Florentia D. Savona</t>
  </si>
  <si>
    <t>Pro Recco ha vinto la Supercoppa Europea di Pallanuoto nel 2016.</t>
  </si>
  <si>
    <t>In quale anno la Pallanuoto è stata introdotta nei Giochi del Commonwealth?</t>
  </si>
  <si>
    <t>A. 1966 B. 1970 C. 1974 D. 1980</t>
  </si>
  <si>
    <t>La Pallanuoto è stata introdotta nei Giochi del Commonwealth nel 1970.</t>
  </si>
  <si>
    <t>Chi ha vinto il Campionato Europeo di Pallanuoto nel 1999?</t>
  </si>
  <si>
    <t>La Spagna ha vinto il Campionato Europeo di Pallanuoto nel 1999.</t>
  </si>
  <si>
    <t>Chi è stato il primo italiano a vincere il titolo di miglior giocatore ai Mondiali di Pallanuoto?</t>
  </si>
  <si>
    <t>A. Giovanni Porzio B. Francesco Esposito C. Alessandro Campagna D. Pino Porzio</t>
  </si>
  <si>
    <t>Pino Porzio è stato il primo italiano a vincere il titolo di miglior giocatore ai Mondiali di Pallanuoto.</t>
  </si>
  <si>
    <t>In quale anno la squadra di Pallanuoto dei Stati Uniti ha vinto il suo primo oro olimpico?</t>
  </si>
  <si>
    <t>A. 1904 B. 1924 C. 1936 D. 1948</t>
  </si>
  <si>
    <t>Gli Stati Uniti hanno vinto il loro primo oro olimpico nella Pallanuoto nel 1904.</t>
  </si>
  <si>
    <t>Quale atleta ha segnato il maggior numero di gol nelle Olimpiadi di Pallanuoto?</t>
  </si>
  <si>
    <t>A. Tibor Benedek B. Zoltán Szécsi C. Francesco Attolico D. György Kásás</t>
  </si>
  <si>
    <t>Tibor Benedek ha segnato il maggior numero di gol nelle Olimpiadi di Pallanuoto.</t>
  </si>
  <si>
    <t>In quale anno è stato istituito il torneo internazionale di Pallanuoto per squadre giovanili?</t>
  </si>
  <si>
    <t>Il torneo internazionale di Pallanuoto per squadre giovanili è stato istituito nel 2000.</t>
  </si>
  <si>
    <t>Qual è il nome della competizione europea per le squadre di Pallanuoto femminile?</t>
  </si>
  <si>
    <t>A. Coppa delle Coppe B. Coppa Europa C. Euro League D. Champions League</t>
  </si>
  <si>
    <t>Euro League</t>
  </si>
  <si>
    <t>La Euro League è la competizione europea per le squadre di Pallanuoto femminile.</t>
  </si>
  <si>
    <t>Quale nazione ha vinto la Coppa del Mondo di Pallanuoto nel 1991?</t>
  </si>
  <si>
    <t>La Serbia ha vinto la Coppa del Mondo di Pallanuoto nel 1991.</t>
  </si>
  <si>
    <t>Chi ha vinto il titolo di miglior allenatore ai Campionati Mondiali di Pallanuoto nel 2009?</t>
  </si>
  <si>
    <t>A. Vladimir Vujasinović B. Dusan Duda C. Ádám Steinmetz D. Alessandro Campagna</t>
  </si>
  <si>
    <t>Vladimir Vujasinović</t>
  </si>
  <si>
    <t>Vladimir Vujasinović ha vinto il titolo di miglior allenatore ai Mondiali di Pallanuoto nel 2009.</t>
  </si>
  <si>
    <t>Quale squadra ha vinto il Campionato Europeo di Pallanuoto nel 2014?</t>
  </si>
  <si>
    <t>A. Serbia B. Italia C. Spagna D. Ungheria</t>
  </si>
  <si>
    <t>La Serbia ha vinto il Campionato Europeo di Pallanuoto nel 2014.</t>
  </si>
  <si>
    <t>In quale anno l'Italia ha vinto la sua prima medaglia olimpica nella Pallanuoto?</t>
  </si>
  <si>
    <t>A. 1924 B. 1932 C. 1948 D. 1964</t>
  </si>
  <si>
    <t>L'Italia ha vinto la sua prima medaglia olimpica nella Pallanuoto nel 1964.</t>
  </si>
  <si>
    <t>Chi ha vinto il Campionato Mondiale di Pallanuoto nel 2009?</t>
  </si>
  <si>
    <t>A. Serbia B. Italia C. Ungheria D. Spagna</t>
  </si>
  <si>
    <t>La Serbia ha vinto il Campionato Mondiale di Pallanuoto nel 2009.</t>
  </si>
  <si>
    <t>Quale atleta ha segnato il maggior numero di gol nella storia della Pallanuoto?</t>
  </si>
  <si>
    <t>A. Tibor Benedek B. Francesco Attolico C. Zoltán Szécsi D. Mihajlo Španović</t>
  </si>
  <si>
    <t>Tibor Benedek detiene il record di gol segnati nella storia della Pallanuoto.</t>
  </si>
  <si>
    <t>Chi ha vinto la Coppa del Mondo di Pallanuoto nel 2013?</t>
  </si>
  <si>
    <t>A. Serbia B. Italia C. Spagna D. Croazia</t>
  </si>
  <si>
    <t>La Serbia ha vinto la Coppa del Mondo di Pallanuoto nel 2013.</t>
  </si>
  <si>
    <t>In quale anno è stato fondato il club di Pallanuoto Florentia?</t>
  </si>
  <si>
    <t>A. 1910 B. 1920 C. 1930 D. 1945</t>
  </si>
  <si>
    <t>Il club di Pallanuoto Florentia è stato fondato nel 1920.</t>
  </si>
  <si>
    <t>Qual è il record di vittorie della squadra di Pallanuoto italiana nella Coppa dei Campioni?</t>
  </si>
  <si>
    <t>La squadra italiana ha vinto la Coppa dei Campioni di Pallanuoto 7 volte.</t>
  </si>
  <si>
    <t>In quale anno la Pallanuoto è stata introdotta nei Giochi Olimpici per la prima volta?</t>
  </si>
  <si>
    <t>A. 1900 B. 1912 C. 1924 D. 1932</t>
  </si>
  <si>
    <t>La Pallanuoto è stata introdotta nei Giochi Olimpici per la prima volta nel 1900.</t>
  </si>
  <si>
    <t>Quale atleta italiano ha vinto il maggior numero di medaglie olimpiche nella Pallanuoto?</t>
  </si>
  <si>
    <t>A. Giovanni Porzio B. Francesco Attolico C. Pino Porzio D. Tiberio Benedek</t>
  </si>
  <si>
    <t>Giovanni Porzio</t>
  </si>
  <si>
    <t>Giovanni Porzio ha vinto il maggior numero di medaglie olimpiche nella Pallanuoto italiana.</t>
  </si>
  <si>
    <t>Chi ha vinto la medaglia d'oro nel torneo olimpico di Pallanuoto nel 1996?</t>
  </si>
  <si>
    <t>A. Italia B. Spagna C. Serbia D. Jugoslavia</t>
  </si>
  <si>
    <t>L'Italia ha vinto la medaglia d'oro nel torneo olimpico di Pallanuoto nel 1996.</t>
  </si>
  <si>
    <t>In quale anno si è svolto il primo Campionato Europeo di Pallanuoto femminile?</t>
  </si>
  <si>
    <t>A. 1981 B. 1985 C. 1991 D. 1997</t>
  </si>
  <si>
    <t>Il primo Campionato Europeo di Pallanuoto femminile si è svolto nel 1985.</t>
  </si>
  <si>
    <t>In quale anno il club Pro Recco ha vinto la sua prima Champions League?</t>
  </si>
  <si>
    <t>A. 1963 B. 1965 C. 1968 D. 1971</t>
  </si>
  <si>
    <t>Pro Recco ha vinto la sua prima Champions League di Pallanuoto nel 1965.</t>
  </si>
  <si>
    <t>Chi è considerato uno dei più grandi allenatori di Pallanuoto della storia?</t>
  </si>
  <si>
    <t>A. Tibor Benedek B. Goran Volarevic C. Vladimir Vujasinović D. Pino Porzio</t>
  </si>
  <si>
    <t>Vladimir Vujasinović è considerato uno dei più grandi allenatori di Pallanuoto.</t>
  </si>
  <si>
    <t>Quale squadra ha vinto la Coppa dei Campioni di Pallanuoto nel 2002?</t>
  </si>
  <si>
    <t>A. Pro Recco B. Savona C. Spandau 04 D. Milan</t>
  </si>
  <si>
    <t>Pro Recco ha vinto la Coppa dei Campioni di Pallanuoto nel 2002.</t>
  </si>
  <si>
    <t>Chi ha vinto la medaglia d'argento nel torneo olimpico di Pallanuoto nel 2000?</t>
  </si>
  <si>
    <t>La Serbia ha vinto la medaglia d'argento nel torneo olimpico di Pallanuoto nel 2000.</t>
  </si>
  <si>
    <t>In quale anno è stato istituito il campionato di Pallanuoto maschile in Italia?</t>
  </si>
  <si>
    <t>A. 1922 B. 1932 C. 1940 D. 1950</t>
  </si>
  <si>
    <t>Il campionato di Pallanuoto maschile in Italia è stato istituito nel 1922.</t>
  </si>
  <si>
    <t>Chi ha vinto il primo Campionato del Mondo di Pallanuoto?</t>
  </si>
  <si>
    <t>La Serbia ha vinto il primo Campionato del Mondo di Pallanuoto nel 1973.</t>
  </si>
  <si>
    <t>Quale città ha ospitato i Campionati Europei di Pallanuoto nel 2018?</t>
  </si>
  <si>
    <t>A. Barcellona B. Budapest C. Belgrado D. Roma</t>
  </si>
  <si>
    <t>Barcellona</t>
  </si>
  <si>
    <t>Barcellona ha ospitato i Campionati Europei di Pallanuoto nel 2018.</t>
  </si>
  <si>
    <t>In quale anno la squadra di Pallanuoto italiana ha vinto il Campionato Europeo per la prima volta?</t>
  </si>
  <si>
    <t>A. 1985 B. 1992 C. 2000 D. 2004</t>
  </si>
  <si>
    <t>L'Italia ha vinto il Campionato Europeo di Pallanuoto per la prima volta nel 1992.</t>
  </si>
  <si>
    <t>Quale squadra ha vinto la Supercoppa Europea di Pallanuoto nel 2017?</t>
  </si>
  <si>
    <t>A. Pro Recco B. Spandau 04 C. Florentia D. Savona</t>
  </si>
  <si>
    <t>Pro Recco ha vinto la Supercoppa Europea di Pallanuoto nel 2017.</t>
  </si>
  <si>
    <t>Chi ha vinto il Campionato del Mondo di Pallanuoto maschile nel 2005?</t>
  </si>
  <si>
    <t>A. Serbia B. Italia C. Croazia D. Ungheria</t>
  </si>
  <si>
    <t>La Serbia ha vinto il Campionato del Mondo di Pallanuoto maschile nel 2005.</t>
  </si>
  <si>
    <t>A. 1959 B. 1967 C. 1971 D. 1980</t>
  </si>
  <si>
    <t>Chi ha vinto il torneo olimpico di Pallanuoto nel 1984?</t>
  </si>
  <si>
    <t>A. Italia B. Jugoslavia C. Serbia D. Stati Uniti</t>
  </si>
  <si>
    <t>L'Italia ha vinto il torneo olimpico di Pallanuoto nel 1984.</t>
  </si>
  <si>
    <t>In quale anno il club di Pallanuoto Spandau 04 ha vinto la Coppa dei Campioni?</t>
  </si>
  <si>
    <t>A. 1978 B. 1984 C. 1990 D. 1993</t>
  </si>
  <si>
    <t>Spandau 04 ha vinto la Coppa dei Campioni di Pallanuoto nel 1984.</t>
  </si>
  <si>
    <t>Quale squadra ha vinto il Campionato Europeo di Pallanuoto nel 2008?</t>
  </si>
  <si>
    <t>A. Serbia B. Spagna C. Croazia D. Italia</t>
  </si>
  <si>
    <t>La Serbia ha vinto il Campionato Europeo di Pallanuoto nel 2008.</t>
  </si>
  <si>
    <t>Chi è stato il capitano della squadra di Pallanuoto italiana che ha vinto il Campionato Mondiale nel 1994?</t>
  </si>
  <si>
    <t>A. Giovanni Porzio B. Francesco Esposito C. Pino Porzio D. Alessandro Campagna</t>
  </si>
  <si>
    <t>Pino Porzio è stato il capitano della squadra italiana che ha vinto il Campionato Mondiale di Pallanuoto nel 1994.</t>
  </si>
  <si>
    <t>Quale atleta ha vinto il titolo di miglior portiere nella Pallanuoto ai Campionati Mondiali del 2011?</t>
  </si>
  <si>
    <t>A. Francesco Attolico B. Giorgio Millo C. Giovanni Porzio D. Alessandro Campagna</t>
  </si>
  <si>
    <t>Francesco Attolico ha vinto il titolo di miglior portiere ai Campionati Mondiali di Pallanuoto nel 2011.</t>
  </si>
  <si>
    <t>In quale anno la squadra di Pallanuoto della Serbia ha vinto il suo primo oro olimpico?</t>
  </si>
  <si>
    <t>A. 1996 B. 2000 C. 2004 D. 2008</t>
  </si>
  <si>
    <t>La Serbia ha vinto il suo primo oro olimpico nella Pallanuoto nel 2004.</t>
  </si>
  <si>
    <t>Chi ha vinto la medaglia di bronzo nel torneo olimpico di Pallanuoto nel 1992?</t>
  </si>
  <si>
    <t>A. Italia B. Serbia C. Croazia D. Jugoslavia</t>
  </si>
  <si>
    <t>L'Italia ha vinto la medaglia di bronzo nel torneo olimpico di Pallanuoto nel 1992.</t>
  </si>
  <si>
    <t>In quale città si è svolto il torneo di Pallanuoto ai Giochi Olimpici del 2016?</t>
  </si>
  <si>
    <t>A. Rio de Janeiro B. Londra C. Pechino D. Atene</t>
  </si>
  <si>
    <t>Rio de Janeiro</t>
  </si>
  <si>
    <t>Il torneo di Pallanuoto ai Giochi Olimpici del 2016 si è svolto a Rio de Janeiro.</t>
  </si>
  <si>
    <t>Chi ha vinto il Campionato Europeo di Pallanuoto nel 2000?</t>
  </si>
  <si>
    <t>L'Italia ha vinto il Campionato Europeo di Pallanuoto nel 2000.</t>
  </si>
  <si>
    <t>Quanti giocatori ci sono in una squadra di pallanuoto?</t>
  </si>
  <si>
    <t>A. 6 B. 7 C. 11 D. 9</t>
  </si>
  <si>
    <t>Una squadra di pallanuoto è composta da 7 giocatori: 6 giocatori di campo e 1 portiere.</t>
  </si>
  <si>
    <t>Quanto dura un tempo di gioco in una partita di pallanuoto?</t>
  </si>
  <si>
    <t>A. 6 minuti B. 8 minuti C. 10 minuti D. 12 minuti</t>
  </si>
  <si>
    <t>8 minuti</t>
  </si>
  <si>
    <t>Ogni tempo di una partita di pallanuoto dura 8 minuti effettivi.</t>
  </si>
  <si>
    <t>Quante sospensioni può richiedere una squadra in una partita di pallanuoto?</t>
  </si>
  <si>
    <t>A. 2 B. 3 C. 4 D. 1</t>
  </si>
  <si>
    <t>Ogni squadra può richiedere due sospensioni per partita.</t>
  </si>
  <si>
    <t>Qual è il diametro regolamentare della palla usata nella pallanuoto maschile?</t>
  </si>
  <si>
    <t>A. 65-67 cm B. 68-70 cm C. 60-62 cm D. 72-74 cm</t>
  </si>
  <si>
    <t>68-70 cm</t>
  </si>
  <si>
    <t>La palla maschile ha un diametro regolamentare di 68-70 cm.</t>
  </si>
  <si>
    <t>Quante espulsioni temporanee può subire un giocatore prima di essere squalificato?</t>
  </si>
  <si>
    <t>Un giocatore viene squalificato dopo tre espulsioni temporanee.</t>
  </si>
  <si>
    <t>Come si avvia una partita di pallanuoto?</t>
  </si>
  <si>
    <t>A. Con una rimessa a centro campo B. Con il lancio della palla al centro C. Con una sfida di rigori D. Con un tiro libero</t>
  </si>
  <si>
    <t>Con il lancio della palla al centro</t>
  </si>
  <si>
    <t>La partita inizia con il lancio della palla al centro e i giocatori nuotano per raggiungerla.</t>
  </si>
  <si>
    <t>Quanto tempo ha una squadra per concludere un'azione offensiva?</t>
  </si>
  <si>
    <t>A. 20 secondi B. 24 secondi C. 30 secondi D. 35 secondi</t>
  </si>
  <si>
    <t>30 secondi</t>
  </si>
  <si>
    <t>Una squadra ha 30 secondi per concludere un'azione offensiva.</t>
  </si>
  <si>
    <t>Cosa accade se un giocatore tiene la palla sott'acqua intenzionalmente?</t>
  </si>
  <si>
    <t>A. È consentito B. Viene fischiato un fallo C. Viene espulso temporaneamente D. Viene ammonito</t>
  </si>
  <si>
    <t>Viene fischiato un fallo</t>
  </si>
  <si>
    <t>Non è consentito tenere la palla sott'acqua intenzionalmente per difendersi.</t>
  </si>
  <si>
    <t>Quanti metri dista il punto di rigore dalla porta?</t>
  </si>
  <si>
    <t>A. 4 metri B. 5 metri C. 6 metri D. 7 metri</t>
  </si>
  <si>
    <t>5 metri</t>
  </si>
  <si>
    <t>Il punto di rigore è situato a 5 metri dalla porta.</t>
  </si>
  <si>
    <t>Chi può toccare il fondo della piscina durante una partita?</t>
  </si>
  <si>
    <t>A. Tutti i giocatori B. Nessun giocatore C. Il portiere D. Il capitano</t>
  </si>
  <si>
    <t>Nessun giocatore</t>
  </si>
  <si>
    <t>È vietato toccare il fondo della piscina durante il gioco.</t>
  </si>
  <si>
    <t>Cosa rappresenta una bandiera bianca alzata dall'arbitro?</t>
  </si>
  <si>
    <t>A. Un gol valido B. Un fallo C. Un rigore D. Un time-out</t>
  </si>
  <si>
    <t>Un gol valido</t>
  </si>
  <si>
    <t>La bandiera bianca indica che un gol è stato convalidato.</t>
  </si>
  <si>
    <t>Quanti arbitri officiamo una partita ufficiale di pallanuoto?</t>
  </si>
  <si>
    <t>Le partite ufficiali di pallanuoto sono arbitrate da due arbitri.</t>
  </si>
  <si>
    <t>Qual è il numero massimo di giocatori in panchina per una squadra?</t>
  </si>
  <si>
    <t>A. 6 B. 7 C. 9 D. 5</t>
  </si>
  <si>
    <t>Ogni squadra può avere un massimo di 6 giocatori in panchina.</t>
  </si>
  <si>
    <t>Quanto misura una piscina regolamentare di pallanuoto in lunghezza?</t>
  </si>
  <si>
    <t>A. 20 metri B. 25 metri C. 30 metri D. 35 metri</t>
  </si>
  <si>
    <t>30 metri</t>
  </si>
  <si>
    <t>La lunghezza regolamentare di una piscina di pallanuoto è di 30 metri.</t>
  </si>
  <si>
    <t>Che colore hanno le cuffie dei portieri?</t>
  </si>
  <si>
    <t>A. Blu B. Rosse C. Bianche D. Nere</t>
  </si>
  <si>
    <t>Rosse</t>
  </si>
  <si>
    <t>I portieri indossano cuffie rosse per essere distinti dagli altri giocatori.</t>
  </si>
  <si>
    <t>Cosa accade se un portiere esce dall’area dei 5 metri con la palla?</t>
  </si>
  <si>
    <t>A. Nulla B. Perde il possesso della palla C. Viene ammonito D. Viene espulso temporaneamente</t>
  </si>
  <si>
    <t>Perde il possesso della palla</t>
  </si>
  <si>
    <t>Il portiere non può uscire dall'area dei 5 metri con la palla.</t>
  </si>
  <si>
    <t>Quanto è larga una porta regolamentare di pallanuoto?</t>
  </si>
  <si>
    <t>A. 2 metri B. 2.5 metri C. 3 metri D. 3.5 metri</t>
  </si>
  <si>
    <t>3 metri</t>
  </si>
  <si>
    <t>La larghezza di una porta regolamentare è di 3 metri.</t>
  </si>
  <si>
    <t>Cosa accade quando un fallo grave viene commesso?</t>
  </si>
  <si>
    <t>A. Viene assegnato un tiro libero B. Viene assegnato un rigore C. Il giocatore viene espulso D. Viene concesso un tiro di punizione</t>
  </si>
  <si>
    <t>Viene assegnato un rigore</t>
  </si>
  <si>
    <t>Un fallo grave può portare all’assegnazione di un rigore.</t>
  </si>
  <si>
    <t>Cosa indica una bandiera gialla alzata dall’arbitro?</t>
  </si>
  <si>
    <t>A. Un time-out tecnico B. Un rigore C. Un cambio giocatore D. Un fallo tecnico</t>
  </si>
  <si>
    <t>Un time-out tecnico</t>
  </si>
  <si>
    <t>La bandiera gialla segnala un time-out tecnico.</t>
  </si>
  <si>
    <t>Qual è il tempo massimo di permanenza di un giocatore espulso temporaneamente?</t>
  </si>
  <si>
    <t>A. 15 secondi B. 20 secondi C. 30 secondi D. 45 secondi</t>
  </si>
  <si>
    <t>20 secondi</t>
  </si>
  <si>
    <t>Un giocatore espulso temporaneamente può rientrare dopo 20 secondi o dopo un gol.</t>
  </si>
  <si>
    <t>Cosa rappresentano le linee rosse a 2 metri dalla porta?</t>
  </si>
  <si>
    <t>A. L'area di tiro libero B. L'area di rigore C. L'area del portiere D. L'area di fuorigioco</t>
  </si>
  <si>
    <t>L'area di fuorigioco</t>
  </si>
  <si>
    <t>I giocatori non possono ricevere la palla in questa area se sono già al suo interno.</t>
  </si>
  <si>
    <t>Quanto dura l’intervallo tra i tempi?</t>
  </si>
  <si>
    <t>A. 1 minuto B. 2 minuti C. 3 minuti D. 5 minuti</t>
  </si>
  <si>
    <t>2 minuti</t>
  </si>
  <si>
    <t>Tra i tempi vi è un intervallo di 2 minuti.</t>
  </si>
  <si>
    <t>Cosa indica un cartellino rosso mostrato dall’arbitro?</t>
  </si>
  <si>
    <t>A. Un'espulsione definitiva B. Un’ammonizione C. Un cambio obbligato D. Un rigore</t>
  </si>
  <si>
    <t>Un'espulsione definitiva</t>
  </si>
  <si>
    <t>Il cartellino rosso indica l'espulsione definitiva di un giocatore o allenatore.</t>
  </si>
  <si>
    <t>Chi può effettuare un tiro libero in pallanuoto?</t>
  </si>
  <si>
    <t>A. Solo il portiere B. Chiunque della squadra difensiva C. Chiunque della squadra offensiva D. Qualsiasi giocatore in campo</t>
  </si>
  <si>
    <t>Chiunque della squadra offensiva</t>
  </si>
  <si>
    <t>Il tiro libero è effettuato dalla squadra che subisce il fallo.</t>
  </si>
  <si>
    <t>Qual è l'altezza minima della piscina in una partita regolamentare?</t>
  </si>
  <si>
    <t>A. 1 metro B. 1.5 metri C. 2 metri D. 2.5 metri</t>
  </si>
  <si>
    <t>L'altezza minima della piscina deve essere di 2 metri.</t>
  </si>
  <si>
    <t>Cosa accade quando una squadra esaurisce il tempo di possesso?</t>
  </si>
  <si>
    <t>A. Nulla B. Perde la palla C. Viene assegnato un rigore D. Viene assegnata una punizione</t>
  </si>
  <si>
    <t>Perde la palla</t>
  </si>
  <si>
    <t>La squadra perde il possesso della palla.</t>
  </si>
  <si>
    <t>Cosa rappresentano le linee gialle a 5 metri dalla porta?</t>
  </si>
  <si>
    <t>A. L'area del portiere B. L'area di rigore C. L'area di tiro libero D. L'area di espulsione</t>
  </si>
  <si>
    <t>L'area di rigore</t>
  </si>
  <si>
    <t>Le linee gialle a 5 metri delimitano l'area di rigore.</t>
  </si>
  <si>
    <t>Come viene deciso un vincitore in caso di parità dopo i tempi regolamentari?</t>
  </si>
  <si>
    <t>A. Con un pareggio B. Con un lancio della moneta C. Con i tiri di rigore D. Con tempi supplementari</t>
  </si>
  <si>
    <t>Con i tiri di rigore</t>
  </si>
  <si>
    <t>In caso di parità si passa ai tiri di rigore.</t>
  </si>
  <si>
    <t>Quanti tempi supplementari si giocano in caso di parità?</t>
  </si>
  <si>
    <t>In caso di parità si giocano 2 tempi supplementari da 3 minuti ciascuno.</t>
  </si>
  <si>
    <t>Quanti arbitri monitorano il tempo di gioco in una partita di pallanuoto?</t>
  </si>
  <si>
    <t>Due arbitri sono responsabili del cronometraggio ufficiale.</t>
  </si>
  <si>
    <t>Che tipo di fallo è commesso se un giocatore colpisce intenzionalmente un avversario?</t>
  </si>
  <si>
    <t>A. Fallo minore B. Fallo grave C. Espulsione D. Fallo tecnico</t>
  </si>
  <si>
    <t>Fallo grave</t>
  </si>
  <si>
    <t>Un contatto violento intenzionale è classificato come fallo grave.</t>
  </si>
  <si>
    <t>Quanti metri dista l'area del portiere dal bordo della piscina?</t>
  </si>
  <si>
    <t>A. 1 metro B. 2 metri C. 3 metri D. 4 metri</t>
  </si>
  <si>
    <t>L'area del portiere è delimitata a 2 metri dalla porta.</t>
  </si>
  <si>
    <t>Cosa accade se un giocatore entra in acqua prima di ottenere l'autorizzazione dell'arbitro?</t>
  </si>
  <si>
    <t>A. Nulla B. La squadra subisce una penalità C. Viene assegnato un rigore D. Viene espulso</t>
  </si>
  <si>
    <t>Entrare senza autorizzazione può comportare l'assegnazione di un rigore.</t>
  </si>
  <si>
    <t>Quanto è alto il bordo superiore di una porta di pallanuoto?</t>
  </si>
  <si>
    <t>A. 1.5 metri B. 2 metri C. 0.9 metri D. 1 metro</t>
  </si>
  <si>
    <t>0.9 metri</t>
  </si>
  <si>
    <t>Il bordo superiore di una porta regolamentare è alto 0.9 metri.</t>
  </si>
  <si>
    <t>Qual è il colore della palla utilizzata nelle partite di pallanuoto femminile?</t>
  </si>
  <si>
    <t>A. Blu B. Gialla C. Rossa D. Verde</t>
  </si>
  <si>
    <t>Gialla</t>
  </si>
  <si>
    <t>La palla utilizzata nelle partite femminili è di colore giallo.</t>
  </si>
  <si>
    <t>Quale distanza deve essere mantenuta dai difensori durante un tiro libero?</t>
  </si>
  <si>
    <t>I difensori devono mantenere una distanza di almeno 2 metri durante un tiro libero.</t>
  </si>
  <si>
    <t>Cosa accade se la palla viene tenuta fuori dall'acqua per oltre 5 secondi?</t>
  </si>
  <si>
    <t>A. Nulla B. Viene fischiato un fallo C. Viene assegnato un rigore D. Il possesso cambia</t>
  </si>
  <si>
    <t>Non è consentito trattenere la palla fuori dall'acqua per troppo tempo.</t>
  </si>
  <si>
    <t>Cosa significa un cartellino giallo mostrato a un allenatore?</t>
  </si>
  <si>
    <t>A. Avvertimento ufficiale B. Espulsione immediata C. Permesso di sostituzione D. Richiamo disciplinare</t>
  </si>
  <si>
    <t>Avvertimento ufficiale</t>
  </si>
  <si>
    <t>Un cartellino giallo è un avvertimento ufficiale all'allenatore.</t>
  </si>
  <si>
    <t>Qual è il diametro della palla usata nella pallanuoto femminile?</t>
  </si>
  <si>
    <t>65-67 cm</t>
  </si>
  <si>
    <t>La palla femminile ha un diametro di 65-67 cm.</t>
  </si>
  <si>
    <t>Cosa accade se una squadra schiera più giocatori del consentito in acqua?</t>
  </si>
  <si>
    <t>A. Nulla B. La squadra avversaria riceve un rigore C. Un giocatore viene espulso temporaneamente D. Il possesso della palla cambia</t>
  </si>
  <si>
    <t>Un giocatore viene espulso temporaneamente</t>
  </si>
  <si>
    <t>Schierare troppi giocatori comporta un'espulsione temporanea.</t>
  </si>
  <si>
    <t>Cosa rappresentano le linee bianche a 5 metri dalla porta?</t>
  </si>
  <si>
    <t>A. Area del portiere B. Area di rigore C. Area di tiro diretto D. Area di rimessa laterale</t>
  </si>
  <si>
    <t>Area di tiro diretto</t>
  </si>
  <si>
    <t>Le linee bianche a 5 metri indicano la distanza per i tiri diretti.</t>
  </si>
  <si>
    <t>Quanti cambi liberi può effettuare una squadra durante una partita?</t>
  </si>
  <si>
    <t>A. 5 B. 7 C. Illimitati D. 10</t>
  </si>
  <si>
    <t>Le squadre possono effettuare un numero illimitato di cambi durante il gioco.</t>
  </si>
  <si>
    <t>Qual è il segnale usato per indicare la fine di un periodo di gioco?</t>
  </si>
  <si>
    <t>A. Un fischio B. Una sirena C. Un colpo di tamburo D. Un cartello</t>
  </si>
  <si>
    <t>Una sirena</t>
  </si>
  <si>
    <t>Una sirena indica la fine di un periodo di gioco.</t>
  </si>
  <si>
    <t>Cosa succede se un giocatore tira con entrambe le mani sulla palla?</t>
  </si>
  <si>
    <t>A. Nulla B. Viene assegnato un fallo C. Viene ammonito D. Il tiro è annullato</t>
  </si>
  <si>
    <t>Viene assegnato un fallo</t>
  </si>
  <si>
    <t>Non è permesso usare entrambe le mani per tirare.</t>
  </si>
  <si>
    <t>Cosa indica una linea di 2 metri dalla porta?</t>
  </si>
  <si>
    <t>A. Area del portiere B. Area di fuorigioco C. Area di rigore D. Area di espulsione</t>
  </si>
  <si>
    <t>Area di fuorigioco</t>
  </si>
  <si>
    <t>La linea di 2 metri indica l'area di fuorigioco per i giocatori attaccanti.</t>
  </si>
  <si>
    <t>Chi può chiamare un time-out durante la partita?</t>
  </si>
  <si>
    <t>A. Un giocatore B. Il portiere C. Un allenatore D. L'arbitro</t>
  </si>
  <si>
    <t>Un allenatore</t>
  </si>
  <si>
    <t>Soltanto gli allenatori possono chiamare un time-out.</t>
  </si>
  <si>
    <t>Quanto tempo ha un giocatore per effettuare un tiro di rigore?</t>
  </si>
  <si>
    <t>A. 5 secondi B. 6 secondi C. 8 secondi D. 10 secondi</t>
  </si>
  <si>
    <t>5 secondi</t>
  </si>
  <si>
    <t>Un giocatore ha 5 secondi per effettuare un rigore.</t>
  </si>
  <si>
    <t>Cosa accade se un portiere tocca la palla oltre la linea di metà campo?</t>
  </si>
  <si>
    <t>A. Nulla B. Viene assegnato un fallo C. Il possesso cambia D. Il portiere è ammonito</t>
  </si>
  <si>
    <t>Il possesso cambia</t>
  </si>
  <si>
    <t>Il portiere non può toccare la palla oltre la linea di metà campo.</t>
  </si>
  <si>
    <t>Che dimensioni deve avere una piscina regolamentare di pallanuoto in larghezza?</t>
  </si>
  <si>
    <t>A. 15 metri B. 20 metri C. 25 metri D. 30 metri</t>
  </si>
  <si>
    <t>La larghezza regolamentare è di 20 metri.</t>
  </si>
  <si>
    <t>Qual è la penalità per un fallo di brutalità?</t>
  </si>
  <si>
    <t>A. Espulsione definitiva B. Espulsione temporanea C. Assegnazione di un rigore D. Ammonizione</t>
  </si>
  <si>
    <t>Espulsione definitiva</t>
  </si>
  <si>
    <t>Un fallo di brutalità porta all'espulsione definitiva.</t>
  </si>
  <si>
    <t>Quanti metri deve nuotare un giocatore per un cambio libero?</t>
  </si>
  <si>
    <t>A. 2 metri B. 3 metri C. 5 metri D. 7 metri</t>
  </si>
  <si>
    <t>Un giocatore deve nuotare fino alla linea dei 3 metri per effettuare un cambio libero.</t>
  </si>
  <si>
    <t>A. Area di rigore B. Area di fuorigioco C. Area del portiere D. Area di tiro libero</t>
  </si>
  <si>
    <t>I giocatori non possono ricevere passaggi dentro l’area di 2 metri se sono già posizionati lì.</t>
  </si>
  <si>
    <t>Cosa significa se un arbitro alza entrambe le braccia?</t>
  </si>
  <si>
    <t>A. Indica un gol valido B. Indica un fallo C. Segnala il fine del possesso D. Concede un rigore</t>
  </si>
  <si>
    <t>Segnala il fine del possesso</t>
  </si>
  <si>
    <t>L'arbitro alza entrambe le braccia per indicare il fine del possesso.</t>
  </si>
  <si>
    <t>Cosa accade se un portiere colpisce un avversario?</t>
  </si>
  <si>
    <t>A. Nulla B. Viene ammonito C. Viene espulso D. Viene sostituito</t>
  </si>
  <si>
    <t>Viene espulso</t>
  </si>
  <si>
    <t>Un portiere che colpisce un avversario è soggetto a espulsione.</t>
  </si>
  <si>
    <t>Cosa succede se la palla non entra completamente in porta?</t>
  </si>
  <si>
    <t>A. Nulla B. È considerato gol C. Viene fischiato un fallo D. Il possesso cambia</t>
  </si>
  <si>
    <t>Nulla</t>
  </si>
  <si>
    <t>Un gol è valido solo se la palla attraversa completamente la linea di porta.</t>
  </si>
  <si>
    <t>Qual è l'altezza massima della piscina regolamentare per la pallanuoto?</t>
  </si>
  <si>
    <t>A. 2 metri B. 2.5 metri C. 3 metri D. Non c'è limite</t>
  </si>
  <si>
    <t>Non c'è limite</t>
  </si>
  <si>
    <t>L'altezza della piscina non ha un limite massimo stabilito.</t>
  </si>
  <si>
    <t>Come si segna un gol valido in pallanuoto?</t>
  </si>
  <si>
    <t>A. Tirando con due mani B. Tirando con una sola mano C. Spingendo la palla D. Tirando la palla oltre la linea di porta con tutta la sfera</t>
  </si>
  <si>
    <t>Tirando la palla oltre la linea di porta con tutta la sfera</t>
  </si>
  <si>
    <t>Un gol è valido solo se tutta la palla attraversa la linea di porta.</t>
  </si>
  <si>
    <t>Che tipo di fallo viene commesso quando un giocatore impedisce il movimento di un avversario con il corpo?</t>
  </si>
  <si>
    <t>A. Fallo tecnico B. Fallo grave C. Fallo minore D. Fallo di gioco</t>
  </si>
  <si>
    <t>Fallo minore</t>
  </si>
  <si>
    <t>Un contatto fisico leggero che non è intenzionale è un fallo minore.</t>
  </si>
  <si>
    <t>Cosa succede se la palla viene lanciata fuori dalla piscina durante una partita?</t>
  </si>
  <si>
    <t>A. La squadra avversaria ottiene una rimessa laterale B. Viene assegnato un rigore C. La palla è contesa D. Viene assegnato un fallo</t>
  </si>
  <si>
    <t>La squadra avversaria ottiene una rimessa laterale</t>
  </si>
  <si>
    <t>La squadra che manda fuori la palla perde il possesso.</t>
  </si>
  <si>
    <t>Chi è responsabile di determinare se un gol è valido?</t>
  </si>
  <si>
    <t>A. L'arbitro B. Il portiere C. Il capitano della squadra D. Il giudice di gara</t>
  </si>
  <si>
    <t>È compito dell'arbitro decidere se il gol è valido o meno.</t>
  </si>
  <si>
    <t>Cosa indica una linea a 1 metro dalla porta?</t>
  </si>
  <si>
    <t>A. La distanza per i tiri liberi B. La zona di esclusione C. La zona di rigore D. Il limite dell'area del portiere</t>
  </si>
  <si>
    <t>La zona di esclusione</t>
  </si>
  <si>
    <t>La linea a 1 metro segna la zona di esclusione per i giocatori in attacco.</t>
  </si>
  <si>
    <t>Quanto dura l'espulsione temporanea di un giocatore in pallanuoto?</t>
  </si>
  <si>
    <t>A. 10 secondi B. 20 secondi C. 30 secondi D. 1 minuto</t>
  </si>
  <si>
    <t>L'espulsione temporanea dura 20 secondi.</t>
  </si>
  <si>
    <t>Chi può segnare un gol in pallanuoto?</t>
  </si>
  <si>
    <t>A. Solo il portiere B. Qualsiasi giocatore di campo C. Solamente il capitano D. Solo i difensori</t>
  </si>
  <si>
    <t>Qualsiasi giocatore di campo</t>
  </si>
  <si>
    <t>Tutti i giocatori di campo possono segnare un gol.</t>
  </si>
  <si>
    <t>Cosa accade se un giocatore colpisce intenzionalmente la palla con il piede?</t>
  </si>
  <si>
    <t>A. Viene fischiato un fallo B. Non succede nulla C. Il giocatore viene ammonito D. La palla viene data alla squadra avversaria</t>
  </si>
  <si>
    <t>Colpire la palla con il piede è vietato e comporta un fallo.</t>
  </si>
  <si>
    <t>Quanto deve durare un intervallo tra i tempi supplementari?</t>
  </si>
  <si>
    <t>Ogni intervallo tra i tempi supplementari dura 2 minuti.</t>
  </si>
  <si>
    <t>Che succede se un portiere non è in grado di giocare durante una partita?</t>
  </si>
  <si>
    <t>A. Un altro giocatore può sostituirlo B. La squadra perde automaticamente C. Un sostituto entra in campo D. La squadra gioca senza portiere</t>
  </si>
  <si>
    <t>Un altro giocatore può sostituirlo</t>
  </si>
  <si>
    <t>Un altro giocatore della squadra può fare da portiere.</t>
  </si>
  <si>
    <t>Cosa accade quando un giocatore commette un fallo in attacco?</t>
  </si>
  <si>
    <t>A. La palla passa alla squadra avversaria B. Il giocatore viene espulso temporaneamente C. Viene assegnato un rigore D. Viene ammonito</t>
  </si>
  <si>
    <t>La palla passa alla squadra avversaria</t>
  </si>
  <si>
    <t>Il fallo in attacco comporta il cambio di possesso.</t>
  </si>
  <si>
    <t>In che situazione si assegna un rigore?</t>
  </si>
  <si>
    <t>A. Quando un giocatore commette un fallo grave in difesa B. Quando un giocatore segna un gol C. Quando la palla esce dalla piscina D. Quando la squadra subisce un fallo tecnico</t>
  </si>
  <si>
    <t>Quando un giocatore commette un fallo grave in difesa.</t>
  </si>
  <si>
    <t>Quanti cambi possono essere effettuati in una partita senza penalità?</t>
  </si>
  <si>
    <t>A. Illimitati B. 2 C. 4 D. 3</t>
  </si>
  <si>
    <t>Non c'è limite al numero di cambi durante una partita di pallanuoto.</t>
  </si>
  <si>
    <t>Cosa deve fare un giocatore per ricevere un passaggio da un compagno?</t>
  </si>
  <si>
    <t>A. Essere nel campo di gioco B. Essere fuori dal campo C. Essere nella zona di fuorigioco D. Essere nell'area del portiere</t>
  </si>
  <si>
    <t>Essere nel campo di gioco</t>
  </si>
  <si>
    <t>Un giocatore deve essere nel campo per ricevere un passaggio.</t>
  </si>
  <si>
    <t>Cosa rappresentano le linee a 3 metri dalla porta?</t>
  </si>
  <si>
    <t>A. Area di fuorigioco B. Area del portiere C. Area di rigore D. Area di attacco</t>
  </si>
  <si>
    <t>Area di attacco</t>
  </si>
  <si>
    <t>Le linee a 3 metri definiscono la zona di attacco per i giocatori.</t>
  </si>
  <si>
    <t>In che situazione il portiere non può toccare la palla?</t>
  </si>
  <si>
    <t>A. Quando è fuori dalla propria area B. Quando è in possesso della palla C. Quando è sotto attacco D. Quando ha la palla in mano</t>
  </si>
  <si>
    <t>Quando è fuori dalla propria area</t>
  </si>
  <si>
    <t>Il portiere non può toccare la palla se esce dalla propria area.</t>
  </si>
  <si>
    <t>Qual è la durata minima di una pausa tra i tempi?</t>
  </si>
  <si>
    <t>Ogni pausa tra i tempi dura almeno 2 minuti.</t>
  </si>
  <si>
    <t>Quanto tempo ha un giocatore per passare la palla dopo averla ricevuta?</t>
  </si>
  <si>
    <t>A. 5 secondi B. 10 secondi C. 15 secondi D. 30 secondi</t>
  </si>
  <si>
    <t>Un giocatore ha 5 secondi per passare la palla dopo averla ricevuta.</t>
  </si>
  <si>
    <t>Cosa accade se un giocatore compie un fallo fuori dall'acqua?</t>
  </si>
  <si>
    <t>A. Nulla B. Viene fischiato un fallo C. La squadra avversaria riceve la palla D. Viene espulso temporaneamente</t>
  </si>
  <si>
    <t>Un fallo commesso fuori dall'acqua porta alla perdita di possesso.</t>
  </si>
  <si>
    <t>Cosa accade se una squadra non rispetta il limite di tempo per l'azione offensiva?</t>
  </si>
  <si>
    <t>A. La squadra perde la palla B. La squadra ottiene un rigore C. Il gioco viene fermato D. La squadra subisce una penalità</t>
  </si>
  <si>
    <t>La squadra perde la palla</t>
  </si>
  <si>
    <t>Il tempo di possesso è limitato a 30 secondi.</t>
  </si>
  <si>
    <t>Qual è la lunghezza massima di un passaggio?</t>
  </si>
  <si>
    <t>A. Non c'è limite B. 5 metri C. 10 metri D. 15 metri</t>
  </si>
  <si>
    <t>Non esiste un limite massimo per la lunghezza di un passaggio.</t>
  </si>
  <si>
    <t>Che succede se un giocatore ha il pallone in mano durante un fallo?</t>
  </si>
  <si>
    <t>A. La palla passa alla squadra avversaria B. Viene ammonito C. Viene fischiato un rigore D. Viene espulso temporaneamente</t>
  </si>
  <si>
    <t>Il fallo porta alla perdita del possesso.</t>
  </si>
  <si>
    <t>Quanto tempo dura la pausa tra i due tempi supplementari?</t>
  </si>
  <si>
    <t>1 minuto</t>
  </si>
  <si>
    <t>La pausa tra i due tempi supplementari dura 1 minuto.</t>
  </si>
  <si>
    <t>Cosa accade se un giocatore non segue le istruzioni dell'arbitro?</t>
  </si>
  <si>
    <t>A. Riceve una penalità B. Subisce un ammonimento C. Subisce una sanzione D. La squadra perde un giocatore</t>
  </si>
  <si>
    <t>Subisce una sanzione</t>
  </si>
  <si>
    <t>Un giocatore che non segue le istruzioni riceve una sanzione disciplinare.</t>
  </si>
  <si>
    <t>Quanti giocatori devono essere in acqua per considerare valida una squadra in una partita?</t>
  </si>
  <si>
    <t>Ogni squadra deve avere almeno 6 giocatori in acqua durante una partita.</t>
  </si>
  <si>
    <t>Chi può intervenire durante una pausa tecnica?</t>
  </si>
  <si>
    <t>A. Solo l'allenatore B. Il capitano e l'allenatore C. Tutti i giocatori D. L'arbitro</t>
  </si>
  <si>
    <t>Il capitano e l'allenatore</t>
  </si>
  <si>
    <t>Durante una pausa tecnica solo l'allenatore e il capitano possono intervenire.</t>
  </si>
  <si>
    <t>Quanti minuti dura un tempo di gioco in una partita di pallanuoto?</t>
  </si>
  <si>
    <t>A. 4 minuti B. 5 minuti C. 6 minuti D. 7 minuti</t>
  </si>
  <si>
    <t>Un tempo di gioco dura 8 minuti.</t>
  </si>
  <si>
    <t>In quale situazione un giocatore riceve una espulsione definitiva?</t>
  </si>
  <si>
    <t>A. Quando commette un fallo grave B. Quando fa un gesto antisportivo C. Quando tocca la palla fuori gioco D. Quando interrompe il gioco</t>
  </si>
  <si>
    <t>Quando commette un fallo grave</t>
  </si>
  <si>
    <t>Un fallo grave o antisportivo comporta l'espulsione definitiva.</t>
  </si>
  <si>
    <t>Chi ha il compito di chiamare un time-out?</t>
  </si>
  <si>
    <t>A. L'arbitro B. Il portiere C. Il capitano D. Un allenatore</t>
  </si>
  <si>
    <t>È solo l'allenatore che può chiamare un time-out.</t>
  </si>
  <si>
    <t>Quando un portiere può lasciare la propria area?</t>
  </si>
  <si>
    <t>A. Mai B. Quando c'è un'azione offensiva C. Quando l'avversario è lontano D. Quando la squadra sta vincendo</t>
  </si>
  <si>
    <t>Quando c'è un'azione offensiva</t>
  </si>
  <si>
    <t>Un portiere può lasciare la propria area solo durante l'attacco.</t>
  </si>
  <si>
    <t>Quanti gol sono necessari per vincere un rigore?</t>
  </si>
  <si>
    <t>Un solo gol è necessario per vincere un rigore.</t>
  </si>
  <si>
    <t>Quanti tiri possono essere effettuati in caso di rigori?</t>
  </si>
  <si>
    <t>Ogni squadra può effettuare 3 tiri di rigore in caso di parità.</t>
  </si>
  <si>
    <t>Quante sostituzioni possono essere fatte durante la partita?</t>
  </si>
  <si>
    <t>A. Illimitate B. 2 C. 5 D. 3</t>
  </si>
  <si>
    <t>Illimitate</t>
  </si>
  <si>
    <t>Le sostituzioni sono illimitate durante una partita.</t>
  </si>
  <si>
    <t>Cosa accade se un giocatore esce dall'area durante un attacco?</t>
  </si>
  <si>
    <t>A. Non succede nulla B. Si fischia un fallo C. Il gioco viene interrotto D. Viene dato un rigore</t>
  </si>
  <si>
    <t>Si fischia un fallo</t>
  </si>
  <si>
    <t>Il giocatore non può uscire dall'area di attacco.</t>
  </si>
  <si>
    <t>Quando un portiere deve eseguire un rilancio?</t>
  </si>
  <si>
    <t>A. Quando la palla esce dalla sua area B. Quando il gioco è fermo C. Quando l'arbitro lo ordina D. Quando il portiere ha la palla in mano</t>
  </si>
  <si>
    <t>Quando la palla esce dalla sua area</t>
  </si>
  <si>
    <t>Il rilancio avviene quando la palla esce dall'area di difesa del portiere.</t>
  </si>
  <si>
    <t>Quante espulsioni temporanee può ricevere un giocatore?</t>
  </si>
  <si>
    <t>Un giocatore può ricevere al massimo 2 espulsioni temporanee durante una partita.</t>
  </si>
  <si>
    <t>Cosa accade se una squadra commette un fallo tecnico?</t>
  </si>
  <si>
    <t>A. Viene data la palla alla squadra avversaria B. Viene assegnato un rigore C. La squadra subisce un’espulsione D. Il gioco si interrompe</t>
  </si>
  <si>
    <t>Viene data la palla alla squadra avversaria</t>
  </si>
  <si>
    <t>Il fallo tecnico porta al cambio di possesso.</t>
  </si>
  <si>
    <t>In quale zona della piscina il portiere non può toccare la palla?</t>
  </si>
  <si>
    <t>A. Dentro l'area di attacco B. Fuori dalla propria area C. Dentro l'area di difesa D. In qualsiasi parte della piscina</t>
  </si>
  <si>
    <t>Fuori dalla propria area</t>
  </si>
  <si>
    <t>Il portiere non può toccare la palla fuori dalla sua area.</t>
  </si>
  <si>
    <t>Quanto dura una partita di pallanuoto?</t>
  </si>
  <si>
    <t>A. 60 minuti B. 80 minuti C. 90 minuti D. 70 minuti</t>
  </si>
  <si>
    <t>60 minuti</t>
  </si>
  <si>
    <t>Una partita di pallanuoto dura 60 minuti divisi in 4 tempi.</t>
  </si>
  <si>
    <t>Cosa succede se il portiere fa un passaggio al suo compagno?</t>
  </si>
  <si>
    <t>A. Il gioco continua B. La palla passa alla squadra avversaria C. La squadra subisce un fallo D. Il portiere viene ammonito</t>
  </si>
  <si>
    <t>Il gioco continua</t>
  </si>
  <si>
    <t>Il passaggio del portiere al compagno è una parte normale del gioco.</t>
  </si>
  <si>
    <t>Quando è permesso un cambio di ruolo durante la partita?</t>
  </si>
  <si>
    <t>A. Quando il gioco è fermo B. Quando l’arbitro lo consente C. Quando la squadra è in attacco D. Quando un giocatore è espulso</t>
  </si>
  <si>
    <t>Quando il gioco è fermo</t>
  </si>
  <si>
    <t>Il cambio di ruolo è permesso solo durante le pause.</t>
  </si>
  <si>
    <t>Cosa deve fare un giocatore per segnare un gol valido?</t>
  </si>
  <si>
    <t>A. Tirare dentro l'area del portiere B. Tirare fuori dall'area C. Colpire la palla con la testa D. Tirare oltre la linea di porta</t>
  </si>
  <si>
    <t>Tirare oltre la linea di porta</t>
  </si>
  <si>
    <t>Un gol è valido se la palla attraversa completamente la linea di porta.</t>
  </si>
  <si>
    <t>Quanti arbitri ci sono durante una partita di pallanuoto?</t>
  </si>
  <si>
    <t>A. 2 B. 3 C. 4 D. 5</t>
  </si>
  <si>
    <t>Ogni partita è controllata da 2 arbitri.</t>
  </si>
  <si>
    <t>Che tipo di passaggio è vietato in una partita di pallanuoto?</t>
  </si>
  <si>
    <t>A. Passaggio con due mani B. Passaggio con una mano sola C. Passaggio sott'acqua D. Passaggio verso la porta avversaria</t>
  </si>
  <si>
    <t>Passaggio con due mani</t>
  </si>
  <si>
    <t>È vietato effettuare passaggi con entrambe le mani contemporaneamente.</t>
  </si>
  <si>
    <t>Che accade quando un giocatore commette un fallo di gioco?</t>
  </si>
  <si>
    <t>A. La squadra subisce un'espulsione temporanea B. La squadra perde il possesso della palla C. Viene dato un rigore D. Il gioco si interrompe</t>
  </si>
  <si>
    <t>La squadra perde il possesso della palla</t>
  </si>
  <si>
    <t>Un fallo di gioco comporta il cambio di possesso.</t>
  </si>
  <si>
    <t>Quanto dura una pausa tra due tempi di gioco?</t>
  </si>
  <si>
    <t>A. 1 minuto B. 2 minuti C. 5 minuti D. 10 minuti</t>
  </si>
  <si>
    <t>La pausa tra due tempi dura 2 minuti.</t>
  </si>
  <si>
    <t>Cosa succede se la squadra che sta difendendo commette un fallo in area di rigore?</t>
  </si>
  <si>
    <t>A. Il giocatore è espulso temporaneamente B. La squadra avversaria riceve un rigore C. La squadra perde la palla D. Il gioco si ferma</t>
  </si>
  <si>
    <t>La squadra avversaria riceve un rigore.</t>
  </si>
  <si>
    <t>Quando un giocatore può usare il pallone per fare un passaggio?</t>
  </si>
  <si>
    <t>A. Solo quando la palla è ferma B. Quando si trova in possesso della palla C. Quando si trova fuori dall’acqua D. Quando la palla è sopra la superficie</t>
  </si>
  <si>
    <t>Quando si trova in possesso della palla</t>
  </si>
  <si>
    <t>Un passaggio può essere fatto solo quando il giocatore ha il possesso della palla.</t>
  </si>
  <si>
    <t>Cosa deve fare un portiere quando la squadra avversaria segna un gol?</t>
  </si>
  <si>
    <t>A. Riprendere il gioco dalla propria area B. Chiedere il time-out C. Concedere un nuovo rigore D. Cominciare con il rilancio</t>
  </si>
  <si>
    <t>Riprendere il gioco dalla propria area</t>
  </si>
  <si>
    <t>Il portiere deve eseguire il rilancio dal proprio lato della piscina.</t>
  </si>
  <si>
    <t>Quante espulsioni definitive può ricevere un giocatore durante una partita?</t>
  </si>
  <si>
    <t>Un giocatore può ricevere un'espulsione definitiva solo una volta in una partita.</t>
  </si>
  <si>
    <t>Cosa accade se un giocatore colpisce un avversario intenzionalmente?</t>
  </si>
  <si>
    <t>A. Viene ammonito B. Il gioco continua C. Viene espulso D. La squadra avversaria ottiene un rigore</t>
  </si>
  <si>
    <t>Colpire un avversario intenzionalmente porta all'espulsione del giocatore.</t>
  </si>
  <si>
    <t>Quanto tempo deve passare prima che un giocatore possa entrare in acqua dopo una sostituzione?</t>
  </si>
  <si>
    <t>Un giocatore può entrare in acqua entro 5 secondi dalla sostituzione.</t>
  </si>
  <si>
    <t>Cosa accade se il portiere lascia la sua area durante un'azione offensiva?</t>
  </si>
  <si>
    <t>A. Viene ammonito B. Il gioco continua C. Viene espulso D. Si fischia un fallo</t>
  </si>
  <si>
    <t>Viene ammonito</t>
  </si>
  <si>
    <t>Il portiere è soggetto a ammonizione se lascia la sua area durante l'attacco.</t>
  </si>
  <si>
    <t>Cosa accade se un giocatore commette un fallo durante un tiro in porta?</t>
  </si>
  <si>
    <t>A. Il tiro è annullato B. Il giocatore è espulso C. La squadra avversaria ottiene un rigore D. La squadra guadagna una rimessa</t>
  </si>
  <si>
    <t>La squadra avversaria ottiene un rigore</t>
  </si>
  <si>
    <t>Il fallo durante un tiro in porta comporta un rigore.</t>
  </si>
  <si>
    <t>Cosa succede se un portiere tocca la palla con una mano fuori dalla sua area?</t>
  </si>
  <si>
    <t>A. Viene assegnato un rigore B. Il gioco viene fermato C. Il portiere è ammonito D. La squadra perde il possesso</t>
  </si>
  <si>
    <t>Il portiere non può toccare la palla fuori dalla propria area.</t>
  </si>
  <si>
    <t>Quanto tempo ha una squadra per far partire l'azione dopo un fallo?</t>
  </si>
  <si>
    <t>Una squadra ha 5 secondi per far partire l'azione dopo un fallo.</t>
  </si>
  <si>
    <t>Cosa accade se un giocatore commette un fallo in attacco?</t>
  </si>
  <si>
    <t>A. La palla passa alla squadra avversaria B. Il giocatore viene espulso temporaneamente C. La squadra subisce una penalità D. La squadra guadagna un rigore</t>
  </si>
  <si>
    <t>Un fallo in attacco comporta il cambio di possesso.</t>
  </si>
  <si>
    <t>In che parte della piscina si svolge principalmente il gioco offensivo?</t>
  </si>
  <si>
    <t>A. Nell'area del portiere B. Fuori dalla piscina C. Al centro della piscina D. Nella zona di attacco</t>
  </si>
  <si>
    <t>Nella zona di attacco</t>
  </si>
  <si>
    <t>Il gioco offensivo si svolge principalmente nella zona di attacco.</t>
  </si>
  <si>
    <t>Cosa accade se un giocatore colpisce accidentalmente un avversario?</t>
  </si>
  <si>
    <t>A. Il gioco continua B. Si fischia un fallo C. Il giocatore è espulso D. La squadra guadagna una penalità</t>
  </si>
  <si>
    <t>Il gioco riprende dopo un fallo.</t>
  </si>
  <si>
    <t>Cosa accade se un giocatore commette un fallo tecnico?</t>
  </si>
  <si>
    <t>A. Viene assegnato un rigore B. La squadra perde il possesso della palla C. Il gioco viene interrotto D. Viene dato un fallo di punizione</t>
  </si>
  <si>
    <t>Un fallo tecnico comporta il cambio di possesso.</t>
  </si>
  <si>
    <t>Quanto dura un time-out durante una partita di pallanuoto?</t>
  </si>
  <si>
    <t>A. 1 minuto B. 2 minuti C. 3 minuti D. 4 minuti</t>
  </si>
  <si>
    <t>Ogni time-out durante una partita dura 1 minuto.</t>
  </si>
  <si>
    <t>Quando si applica una sanzione di espulsione temporanea?</t>
  </si>
  <si>
    <t>A. Quando un giocatore commette un fallo grave B. Quando il portiere lascia la propria area C. Quando il gioco è interrotto D. Quando un giocatore tocca la palla con i piedi</t>
  </si>
  <si>
    <t>Quando un giocatore commette un fallo grave.</t>
  </si>
  <si>
    <t>Quanto tempo dura l’espulsione temporanea di un giocatore?</t>
  </si>
  <si>
    <t>L’espulsione temporanea dura 20 secondi.</t>
  </si>
  <si>
    <t>Che succede se un giocatore commette un fallo mentre è in fase di attacco?</t>
  </si>
  <si>
    <t>A. Il giocatore viene espulso B. Il gioco continua C. La squadra guadagna una penalità D. Il possesso passa alla squadra avversaria</t>
  </si>
  <si>
    <t>Il possesso passa alla squadra avversaria</t>
  </si>
  <si>
    <t>Un fallo durante l'attacco comporta il cambio di possesso.</t>
  </si>
  <si>
    <t>Quando è possibile un cambio di portiere?</t>
  </si>
  <si>
    <t>A. Solo a fine tempo B. In qualsiasi momento durante la partita C. Solo durante il time-out D. Quando il portiere è espulso</t>
  </si>
  <si>
    <t>In qualsiasi momento durante la partita</t>
  </si>
  <si>
    <t>Il cambio di portiere può avvenire in qualsiasi momento.</t>
  </si>
  <si>
    <t>A. Il portiere e i difensori B. Solo gli attaccanti C. Qualsiasi giocatore di campo D. Il capitano e il portiere</t>
  </si>
  <si>
    <t>Qualsiasi giocatore in campo può segnare un gol.</t>
  </si>
  <si>
    <t>A. 60 minuti B. 70 minuti C. 80 minuti D. 90 minuti</t>
  </si>
  <si>
    <t>Una partita di pallanuoto è divisa in 4 tempi da 15 minuti per un totale di 60 minuti.</t>
  </si>
  <si>
    <t>Quando viene fischiato un rigore?</t>
  </si>
  <si>
    <t>A. Quando un fallo viene commesso in area di rigore B. Quando un giocatore non ha il possesso della palla C. Quando il gioco è fermo D. Quando il portiere fa un errore</t>
  </si>
  <si>
    <t>Quando un fallo viene commesso in area di rigore.</t>
  </si>
  <si>
    <t>Chi ha il compito di mantenere il tempo durante la partita?</t>
  </si>
  <si>
    <t>A. Il cronometrista B. L'arbitro C. Il capitano D. Il portiere</t>
  </si>
  <si>
    <t>Il cronometrista</t>
  </si>
  <si>
    <t>Il cronometrista è responsabile del controllo del tempo durante la partita.</t>
  </si>
  <si>
    <t>Cosa accade se un giocatore colpisce la palla con una mano fuori dalla sua area?</t>
  </si>
  <si>
    <t>A. Viene ammonito B. Si fischia un rigore C. Il gioco continua D. Il portiere è espulso</t>
  </si>
  <si>
    <t>Si fischia un rigore</t>
  </si>
  <si>
    <t>Un fallo fuori dall'area del portiere comporta l'assegnazione di un rigore.</t>
  </si>
  <si>
    <t>Qual è la durata di un tempo supplementare?</t>
  </si>
  <si>
    <t>A. 5 minuti B. 10 minuti C. 15 minuti D. 20 minuti</t>
  </si>
  <si>
    <t>5 minuti</t>
  </si>
  <si>
    <t>Ogni tempo supplementare dura 5 minuti.</t>
  </si>
  <si>
    <t>Cosa accade se un giocatore commette un fallo durante il passaggio?</t>
  </si>
  <si>
    <t>A. La squadra avversaria guadagna il possesso B. La palla è contesa C. Il gioco si interrompe D. Il giocatore viene ammonito</t>
  </si>
  <si>
    <t>La squadra avversaria guadagna il possesso</t>
  </si>
  <si>
    <t>Un fallo durante il passaggio comporta la perdita di possesso.</t>
  </si>
  <si>
    <t>Cosa accade se una squadra commette un fallo in attacco?</t>
  </si>
  <si>
    <t>A. Il possesso passa alla squadra avversaria B. Il giocatore è espulso temporaneamente C. Il gioco si interrompe D. La squadra subisce una penalità</t>
  </si>
  <si>
    <t>Il possesso passa alla squadra avversaria.</t>
  </si>
  <si>
    <t>Quanti minuti dura la pausa tra i due tempi supplementari?</t>
  </si>
  <si>
    <t>Cosa accade se un giocatore mette la palla in porta da fuori gioco?</t>
  </si>
  <si>
    <t>A. Il gol non è valido B. Il gioco continua C. Il gol è convalidato D. La squadra avversaria guadagna un rigore</t>
  </si>
  <si>
    <t>Il gol non è valido</t>
  </si>
  <si>
    <t>Un gol segnato da un giocatore in fuorigioco non viene convalidato.</t>
  </si>
  <si>
    <t>Cosa accade se un giocatore tira la palla fuori dalla piscina?</t>
  </si>
  <si>
    <t>A. La squadra avversaria guadagna la rimessa B. Il gioco continua C. La squadra guadagna un rigore D. Il gioco viene fermato</t>
  </si>
  <si>
    <t>La squadra avversaria guadagna la rimessa.</t>
  </si>
  <si>
    <t>Quante sostituzioni possono essere fatte in una partita di pallanuoto?</t>
  </si>
  <si>
    <t>A. Illimitate B. 2 C. 3 D. 5</t>
  </si>
  <si>
    <t>Le sostituzioni sono illimitate durante la partita.</t>
  </si>
  <si>
    <t>Qual è l'obiettivo principale nel gioco della Morra?</t>
  </si>
  <si>
    <t>A. Indovinare il numero corretto di dita B. Far passare le dita più velocemente dell'avversario C. Mostrare quante dita si hanno D. Contare il numero di movimenti</t>
  </si>
  <si>
    <t>Indovinare il numero corretto di dita</t>
  </si>
  <si>
    <t>Il gioco si basa sull'indovinare il numero di dita che l'avversario mostra.</t>
  </si>
  <si>
    <t>Qual è la tradizione storica della Morra?</t>
  </si>
  <si>
    <t>A. È un gioco di strategia mentale B. È un gioco di forza fisica C. È una forma di intrattenimento sociale D. È un gioco di guerra</t>
  </si>
  <si>
    <t>È una forma di intrattenimento sociale</t>
  </si>
  <si>
    <t>La Morra è un gioco tradizionale di piazza che coinvolge il pubblico.</t>
  </si>
  <si>
    <t>In che periodo storico si giocava spesso alla Morra?</t>
  </si>
  <si>
    <t>A. Durante l'Impero Romano B. Durante il Medioevo C. Durante il Rinascimento D. Durante il Risorgimento</t>
  </si>
  <si>
    <t>Durante il Medioevo</t>
  </si>
  <si>
    <t>La Morra era un gioco popolare durante il Medioevo in Italia.</t>
  </si>
  <si>
    <t>Qual è la principale differenza tra Morra e altri giochi simili?</t>
  </si>
  <si>
    <t>A. Non si usano strumenti B. Non ci sono squadre C. Si gioca solo con le mani D. Si indovina il numero di dita</t>
  </si>
  <si>
    <t>Si indovina il numero di dita</t>
  </si>
  <si>
    <t>La Morra è distinta per la sua dinamica di indovinare il numero esatto di dita.</t>
  </si>
  <si>
    <t>Come si chiama il gesto di mostrare le dita in Morra?</t>
  </si>
  <si>
    <t>A. Punta B. Contrario C. Sfida D. Mano</t>
  </si>
  <si>
    <t>Mano</t>
  </si>
  <si>
    <t>Il gesto di mostrare le dita è chiamato "mano" nel gioco della Morra.</t>
  </si>
  <si>
    <t>Quanti giocatori partecipano a una partita di Morra?</t>
  </si>
  <si>
    <t>A. Due B. Quattro C. Otto D. Dieci</t>
  </si>
  <si>
    <t>La Morra è generalmente giocata da due persone che si sfidano.</t>
  </si>
  <si>
    <t>In quale regione d'Italia la Morra è più popolare?</t>
  </si>
  <si>
    <t>A. Sicilia B. Lazio C. Toscana D. Puglia</t>
  </si>
  <si>
    <t>Sicilia</t>
  </si>
  <si>
    <t>La Morra è molto popolare nelle regioni meridionali come la Sicilia.</t>
  </si>
  <si>
    <t>Che tipo di competizione è la Morra?</t>
  </si>
  <si>
    <t>A. Individuale B. Squadre C. Multipla D. Giochi di gruppo</t>
  </si>
  <si>
    <t>Individuale</t>
  </si>
  <si>
    <t>La Morra è un gioco competitivo individuale tra due giocatori.</t>
  </si>
  <si>
    <t>Come si chiama la persona che sfida l'avversario in Morra?</t>
  </si>
  <si>
    <t>A. Sfidante B. Contendente C. Giocatore D. Campione</t>
  </si>
  <si>
    <t>Sfidante</t>
  </si>
  <si>
    <t>La persona che sfida l'altro giocatore è chiamata "sfidante".</t>
  </si>
  <si>
    <t>Quando si gioca tradizionalmente alla Morra?</t>
  </si>
  <si>
    <t>A. Solo in estate B. Durante le feste C. In inverno D. In primavera</t>
  </si>
  <si>
    <t>Durante le feste</t>
  </si>
  <si>
    <t>La Morra è spesso giocata durante le feste tradizionali italiane.</t>
  </si>
  <si>
    <t>In che tipo di luogo si gioca tradizionalmente alla Morra?</t>
  </si>
  <si>
    <t>A. In piazze pubbliche B. In teatri C. In case private D. In palestre</t>
  </si>
  <si>
    <t>La Morra si gioca tradizionalmente nelle piazze pubbliche delle città italiane.</t>
  </si>
  <si>
    <t>Che suono si fa quando si indovina il numero giusto in Morra?</t>
  </si>
  <si>
    <t>A. Si grida "Vittoria!" B. Si batte le mani C. Si fa un gesto con la mano D. Si urla il numero giusto</t>
  </si>
  <si>
    <t>Si grida "Vittoria!"</t>
  </si>
  <si>
    <t>Il giocatore che indovina il numero giusto grida "Vittoria!".</t>
  </si>
  <si>
    <t>La Morra è popolare in quali eventi culturali?</t>
  </si>
  <si>
    <t>A. Feste di paese B. Concorsi di cucina C. Concorsi sportivi D. Feste religiose</t>
  </si>
  <si>
    <t>Feste di paese</t>
  </si>
  <si>
    <t>La Morra è spesso giocata durante le feste di paese e eventi culturali locali.</t>
  </si>
  <si>
    <t>Qual è una regola fondamentale del gioco della Morra?</t>
  </si>
  <si>
    <t>A. Non si può usare il piede B. Non si può guardare l'avversario C. Non si può parlare D. Non si può nascondere le mani</t>
  </si>
  <si>
    <t>Non si può nascondere le mani</t>
  </si>
  <si>
    <t>Una regola importante della Morra è che le mani devono essere visibili durante il gioco.</t>
  </si>
  <si>
    <t>In che momento si mostrano le dita durante una partita di Morra?</t>
  </si>
  <si>
    <t>A. Dopo aver indovinato B. Subito prima di indovinare C. Quando l'arbitro dice "via" D. Subito dopo la chiamata</t>
  </si>
  <si>
    <t>Subito prima di indovinare</t>
  </si>
  <si>
    <t>Le dita vengono mostrate subito prima che il giocatore indovini il numero.</t>
  </si>
  <si>
    <t>Che tipo di abilità sono necessarie per giocare a Morra?</t>
  </si>
  <si>
    <t>A. Solo velocità B. Velocità e concentrazione C. Concentrazione e forza fisica D. Forza fisica e astuzia</t>
  </si>
  <si>
    <t>Velocità e concentrazione</t>
  </si>
  <si>
    <t>La Morra richiede una buona velocità e capacità di concentrazione.</t>
  </si>
  <si>
    <t>Quando si vince in Morra?</t>
  </si>
  <si>
    <t>A. Quando si indovina due volte B. Quando si indovina il numero di dita esatto C. Quando si è più veloci D. Quando si tiene la mano sulla bocca</t>
  </si>
  <si>
    <t>Quando si indovina il numero di dita esatto</t>
  </si>
  <si>
    <t>Il vincitore è colui che indovina il numero esatto di dita che l'avversario mostra.</t>
  </si>
  <si>
    <t>Quale altro nome è conosciuto il gioco della Morra?</t>
  </si>
  <si>
    <t>A. Il gioco delle dita B. Il gioco del numero C. Il gioco del giardino D. Il gioco della piazza</t>
  </si>
  <si>
    <t>Il gioco delle dita</t>
  </si>
  <si>
    <t>La Morra è anche conosciuta come "il gioco delle dita".</t>
  </si>
  <si>
    <t>Chi ha influenzato il gioco della Morra?</t>
  </si>
  <si>
    <t>A. Gli antichi Greci B. Le civiltà medievali C. Le popolazioni etrusche D. Le popolazioni arabe</t>
  </si>
  <si>
    <t>Le civiltà medievali</t>
  </si>
  <si>
    <t>Le tradizioni medievali hanno influenzato lo sviluppo della Morra.</t>
  </si>
  <si>
    <t>In quale altro paese è stato giocato un gioco simile alla Morra?</t>
  </si>
  <si>
    <t>A. Francia B. Germania C. Spagna D. Grecia</t>
  </si>
  <si>
    <t>In Francia esiste un gioco simile chiamato "Morra" o "le jeu de morra".</t>
  </si>
  <si>
    <t>Che tipo di punteggio si usa nel gioco della Morra?</t>
  </si>
  <si>
    <t>A. Punti accumulati B. Tempo di gioco C. Numero di vittorie D. Numero di mani indovinate</t>
  </si>
  <si>
    <t>Numero di vittorie</t>
  </si>
  <si>
    <t>Il punteggio nel gioco della Morra si basa sul numero di vittorie ottenute.</t>
  </si>
  <si>
    <t>In quale periodo della giornata si gioca tradizionalmente alla Morra?</t>
  </si>
  <si>
    <t>A. Al mattino B. Durante il pomeriggio C. Alla sera D. Di notte</t>
  </si>
  <si>
    <t>Durante il pomeriggio</t>
  </si>
  <si>
    <t>La Morra è spesso giocata nel pomeriggio durante le feste e gli eventi.</t>
  </si>
  <si>
    <t>Come si chiama la persona che osserva la partita di Morra?</t>
  </si>
  <si>
    <t>A. Arbitro B. Giudice C. Guardiano D. Osservatore</t>
  </si>
  <si>
    <t>Arbitro</t>
  </si>
  <si>
    <t>L'arbitro è la persona che osserva e giudica la partita di Morra.</t>
  </si>
  <si>
    <t>Qual è il principale obiettivo del gioco?</t>
  </si>
  <si>
    <t>A. Divertirsi B. Indovinare C. Allenarsi D. Competere</t>
  </si>
  <si>
    <t>Divertirsi</t>
  </si>
  <si>
    <t>Il gioco della Morra è principalmente un gioco di divertimento e intrattenimento.</t>
  </si>
  <si>
    <t>Qual è la prima cosa che fa un giocatore prima di iniziare una partita di Morra?</t>
  </si>
  <si>
    <t>A. Dichiara il numero che intende indovinare B. Mostra le mani all'avversario C. Sfida l'avversario D. Si prepara fisicamente</t>
  </si>
  <si>
    <t>Sfida l'avversario</t>
  </si>
  <si>
    <t>Il giocatore inizia la partita sfidando l'avversario prima di mostrare le dita.</t>
  </si>
  <si>
    <t>Quando un giocatore vince una mano di Morra?</t>
  </si>
  <si>
    <t>A. Quando l'altro giocatore mostra un numero errato B. Quando il giocatore indovina il numero di dita C. Quando si arriva a un numero prestabilito di mani D. Quando il tempo scade</t>
  </si>
  <si>
    <t>Quando il giocatore indovina il numero di dita</t>
  </si>
  <si>
    <t>Il giocatore vince la mano se indovina correttamente il numero di dita.</t>
  </si>
  <si>
    <t>In quale tipo di competizione sportiva la Morra è stata usata storicamente?</t>
  </si>
  <si>
    <t>A. Pugilato B. Giochi olimpici C. Giochi medievali D. Giochi tradizionali</t>
  </si>
  <si>
    <t>Giochi medievali</t>
  </si>
  <si>
    <t>La Morra era usata come gioco di intrattenimento nei tornei medievali.</t>
  </si>
  <si>
    <t>In quale secolo la Morra ha visto una forte popolarità in Italia?</t>
  </si>
  <si>
    <t>A. Nel XIII secolo B. Nel XIV secolo C. Nel XVI secolo D. Nel XIX secolo</t>
  </si>
  <si>
    <t>Nel XIV secolo</t>
  </si>
  <si>
    <t>La Morra è diventata popolare in Italia nel XIV secolo come gioco tradizionale.</t>
  </si>
  <si>
    <t>Che tipo di oggetti venivano usati per giocare a Morra in passato?</t>
  </si>
  <si>
    <t>A. Dadi B. Monete C. Oggetti di legno D. Attrezzi da giardino</t>
  </si>
  <si>
    <t>Monete</t>
  </si>
  <si>
    <t>In passato si usavano monete o altri oggetti come riferimento per determinare il vincitore.</t>
  </si>
  <si>
    <t>Qual è una delle regole fondamentali di Morra?</t>
  </si>
  <si>
    <t>A. Non si può guardare gli occhi dell'avversario B. Non si può parlare durante il gioco C. Non si può fare il gesto delle dita con due mani D. Non si può ridere durante il gioco</t>
  </si>
  <si>
    <t>Non si può parlare durante il gioco</t>
  </si>
  <si>
    <t>La regola fondamentale è che i giocatori devono rimanere concentrati e non parlare durante la partita.</t>
  </si>
  <si>
    <t>Chi decide chi inizia il gioco nella Morra?</t>
  </si>
  <si>
    <t>A. L'arbitro B. Il giocatore più giovane C. Il giocatore che arriva per primo D. L'avversario</t>
  </si>
  <si>
    <t>Il giocatore che arriva per primo</t>
  </si>
  <si>
    <t>Il giocatore che arriva per primo decide chi inizia.</t>
  </si>
  <si>
    <t>Che tipo di strategia è importante nel gioco della Morra?</t>
  </si>
  <si>
    <t>A. Velocità e astuzia B. Pensare solo al numero giusto C. Usare il corpo per distrarre D. Impersonare l'avversario</t>
  </si>
  <si>
    <t>Velocità e astuzia</t>
  </si>
  <si>
    <t>La strategia della Morra si basa su velocità e astuzia per indovinare il numero giusto.</t>
  </si>
  <si>
    <t>Quale tipo di movimento è fondamentale nel gioco della Morra?</t>
  </si>
  <si>
    <t>A. Movimento rapido delle mani B. Movimento lento delle mani C. Movimento degli occhi D. Movimento della testa</t>
  </si>
  <si>
    <t>Movimento rapido delle mani</t>
  </si>
  <si>
    <t>Il movimento rapido delle mani è fondamentale per il successo nel gioco della Morra.</t>
  </si>
  <si>
    <t>Come vengono scelti i vincitori durante una competizione di Morra?</t>
  </si>
  <si>
    <t>A. Chi indovina di più B. Chi ha il punteggio più alto C. Chi vince più mani D. Chi è il più veloce a reagire</t>
  </si>
  <si>
    <t>Chi vince più mani</t>
  </si>
  <si>
    <t>Il vincitore è determinato dal numero di mani vinte durante il gioco.</t>
  </si>
  <si>
    <t>Quando un giocatore perde una mano di Morra?</t>
  </si>
  <si>
    <t>A. Quando indovina un numero errato B. Quando il tempo finisce C. Quando si distrae D. Quando non mostra abbastanza velocemente le dita</t>
  </si>
  <si>
    <t>Quando indovina un numero errato</t>
  </si>
  <si>
    <t>Il giocatore perde la mano se indovina il numero errato.</t>
  </si>
  <si>
    <t>Come viene "giudicato" un gioco di Morra?</t>
  </si>
  <si>
    <t>A. Dall'arbitro che conta le mani B. Dal pubblico che assiste C. Dal numero di vittorie accumulato D. Da una giuria di esperti</t>
  </si>
  <si>
    <t>Dal numero di vittorie accumulato</t>
  </si>
  <si>
    <t>Il gioco viene giudicato dal numero di vittorie che un giocatore accumula.</t>
  </si>
  <si>
    <t>Che tipo di relazione c'è tra Morra e la cultura italiana?</t>
  </si>
  <si>
    <t>A. La Morra è un gioco competitivo che ha un forte impatto sulla cultura italiana B. La Morra è un gioco che rappresenta la tradizione italiana C. La Morra è solo un passatempo D. La Morra non ha nessun valore culturale</t>
  </si>
  <si>
    <t>La Morra è un gioco che rappresenta la tradizione italiana</t>
  </si>
  <si>
    <t>Il gioco della Morra ha un'importante connessione con le tradizioni culturali italiane.</t>
  </si>
  <si>
    <t>Chi ha scritto un importante libro sulla Morra?</t>
  </si>
  <si>
    <t>A. Giuseppe Verdi B. Giovanni Boccaccio C. Francesco Petrarca D. Luigi Pirandello</t>
  </si>
  <si>
    <t>Giovanni Boccaccio</t>
  </si>
  <si>
    <t>Giovanni Boccaccio ha scritto sull'importanza e la popolarità del gioco nella sua opera.</t>
  </si>
  <si>
    <t>Quale altro gioco simile alla Morra esiste?</t>
  </si>
  <si>
    <t>A. La pentolaccia B. Il gioco della corda C. Il gioco del cucù D. Il gioco del fagiolo</t>
  </si>
  <si>
    <t>Il gioco della corda</t>
  </si>
  <si>
    <t>Il gioco della corda è simile alla Morra in alcune sue regole.</t>
  </si>
  <si>
    <t>Come si chiama la variante di Morra praticata in Sardegna?</t>
  </si>
  <si>
    <t>A. Morra Sarda B. Morra Mediterranea C. Morra Siciliana D. Morra di Piazza</t>
  </si>
  <si>
    <t>Morra Sarda</t>
  </si>
  <si>
    <t>La variante praticata in Sardegna è chiamata "Morra Sarda".</t>
  </si>
  <si>
    <t>Qual è la sensazione che prova un giocatore vincente?</t>
  </si>
  <si>
    <t>A. Euforia B. Felicità C. Frustrazione D. Rilassamento</t>
  </si>
  <si>
    <t>Felicità</t>
  </si>
  <si>
    <t>Il vincitore della Morra prova generalmente un grande senso di felicità.</t>
  </si>
  <si>
    <t>Chi era il campione di Morra più famoso nel Medioevo?</t>
  </si>
  <si>
    <t>A. Luigi di Napoli B. Giovanni da Verona C. Riccardo Cuor di Leone D. Giuseppe Verdi</t>
  </si>
  <si>
    <t>Giovanni da Verona</t>
  </si>
  <si>
    <t>Giovanni da Verona era conosciuto come uno dei più grandi campioni di Morra nel Medioevo.</t>
  </si>
  <si>
    <t>In quale città italiana si svolge il campionato nazionale di Morra?</t>
  </si>
  <si>
    <t>A. Napoli B. Roma C. Firenze D. Milano</t>
  </si>
  <si>
    <t>Il campionato nazionale di Morra si tiene ogni anno a Roma.</t>
  </si>
  <si>
    <t>In quale periodo si giocava la Morra nelle piazze italiane?</t>
  </si>
  <si>
    <t>A. Solo d'inverno B. In primavera e estate C. In autunno D. Durante tutte le stagioni</t>
  </si>
  <si>
    <t>In primavera e estate</t>
  </si>
  <si>
    <t>La Morra veniva spesso giocata nelle piazze durante la primavera e l'estate.</t>
  </si>
  <si>
    <t>Come si chiama il torneo annuale di Morra?</t>
  </si>
  <si>
    <t>A. Morra Championship B. Gioco delle dita C. Campionato Italiano di Morra D. Morra Show</t>
  </si>
  <si>
    <t>Campionato Italiano di Morra</t>
  </si>
  <si>
    <t>Il torneo annuale più importante di Morra è il "Campionato Italiano di Morra".</t>
  </si>
  <si>
    <t>Chi è considerato il fondatore del gioco della Morra?</t>
  </si>
  <si>
    <t>A. Giuseppe Morra B. Giovanni da Napoli C. Luigi Bianchi D. Un anonimo</t>
  </si>
  <si>
    <t>Giovanni da Napoli</t>
  </si>
  <si>
    <t>Giovanni da Napoli è considerato uno dei principali promotori del gioco della Morra.</t>
  </si>
  <si>
    <t>In quale secolo la Morra divenne un gioco popolare nelle piazze italiane?</t>
  </si>
  <si>
    <t>A. XII secolo B. XIII secolo C. XIV secolo D. XVI secolo</t>
  </si>
  <si>
    <t>La Morra divenne popolare nelle piazze italiane nel XIII secolo.</t>
  </si>
  <si>
    <t>Qual è una delle caratteristiche principali della Morra?</t>
  </si>
  <si>
    <t>A. È un gioco di parole B. È un gioco di fortuna C. È un gioco di strategia D. È un gioco di destrezza</t>
  </si>
  <si>
    <t>È un gioco di destrezza</t>
  </si>
  <si>
    <t>La Morra si basa sulla destrezza e velocità dei giocatori nel mostrare le dita.</t>
  </si>
  <si>
    <t>Quante mani vengono giocate generalmente in un torneo di Morra?</t>
  </si>
  <si>
    <t>A. 5 mani B. 10 mani C. 20 mani D. 30 mani</t>
  </si>
  <si>
    <t>10 mani</t>
  </si>
  <si>
    <t>In un torneo di Morra generalmente si giocano 10 mani tra i partecipanti.</t>
  </si>
  <si>
    <t>Quale altro sport italiano può essere considerato simile alla Morra?</t>
  </si>
  <si>
    <t>A. Calcio B. Cinque contro cinque C. Tennis da tavolo D. Pallone col Bracciale</t>
  </si>
  <si>
    <t>Pallone col Bracciale</t>
  </si>
  <si>
    <t>Il "Pallone col Bracciale" è uno sport tradizionale italiano che può sembrare simile alla Morra.</t>
  </si>
  <si>
    <t>Quale figura storica ha scritto un poema sulla Morra?</t>
  </si>
  <si>
    <t>A. Dante Alighieri B. Giovanni Boccaccio C. Francesco Petrarca D. Giuseppe Verdi</t>
  </si>
  <si>
    <t>Giovanni Boccaccio ha scritto un poema sulla popolarità della Morra.</t>
  </si>
  <si>
    <t>Qual è la tecnica più comune per vincere a Morra?</t>
  </si>
  <si>
    <t>A. Flessibilità delle mani B. Osservazione dell'avversario C. Previsione del numero mostrato D. Reazione istantanea</t>
  </si>
  <si>
    <t>Reazione istantanea</t>
  </si>
  <si>
    <t>La chiave per vincere a Morra è la reazione istantanea e la velocità nel rispondere.</t>
  </si>
  <si>
    <t>In quale evento storico la Morra è stata usata per decidere il vincitore?</t>
  </si>
  <si>
    <t>A. Durante il Rinascimento B. Nelle battaglie medievali C. Nelle fiere religiose D. Nelle feste locali</t>
  </si>
  <si>
    <t>Nelle battaglie medievali</t>
  </si>
  <si>
    <t>La Morra veniva usata durante le battaglie medievali come un modo per decidere il vincitore.</t>
  </si>
  <si>
    <t>La Morra è stata introdotta in Italia da quale popolo?</t>
  </si>
  <si>
    <t>A. I Romani B. Gli Etruschi C. Le tribù germaniche D. Le tribù celtiche</t>
  </si>
  <si>
    <t>I Romani</t>
  </si>
  <si>
    <t>La Morra fu introdotta in Italia dai Romani come un gioco di strada.</t>
  </si>
  <si>
    <t>In che periodo si svolgevano i tornei di Morra nelle piazze italiane?</t>
  </si>
  <si>
    <t>A. Nel periodo delle feste religiose B. Durante il Carnevale C. In estate e autunno D. Durante le fiere e sagre</t>
  </si>
  <si>
    <t>Durante le fiere e sagre</t>
  </si>
  <si>
    <t>La Morra era spesso giocata durante le fiere e le sagre locali.</t>
  </si>
  <si>
    <t>Qual è l'obiettivo del gioco della Morra?</t>
  </si>
  <si>
    <t>A. Indovinare il numero esatto B. Impersonare l'avversario C. Scoprire il numero segreto D. Essere il più veloce</t>
  </si>
  <si>
    <t>Indovinare il numero esatto</t>
  </si>
  <si>
    <t>Il gioco della Morra ha come obiettivo indovinare il numero di dita mostrato dall'avversario.</t>
  </si>
  <si>
    <t>La Morra è considerata un gioco di che tipo?</t>
  </si>
  <si>
    <t>A. Di azione B. Di riflessi C. Di fortuna D. Di resistenza</t>
  </si>
  <si>
    <t>Di riflessi</t>
  </si>
  <si>
    <t>La Morra è principalmente un gioco che mette alla prova i riflessi rapidi dei giocatori.</t>
  </si>
  <si>
    <t>Il gioco della Morra viene definito in quale modo in letteratura?</t>
  </si>
  <si>
    <t>A. Gioco di socievolezza B. Gioco di competizione C. Gioco di allenamento D. Gioco di piazza</t>
  </si>
  <si>
    <t>Gioco di piazza</t>
  </si>
  <si>
    <t>La Morra è definita come un "gioco di piazza" nelle tradizioni letterarie italiane.</t>
  </si>
  <si>
    <t>In quale parte dell'Italia la Morra è meno conosciuta?</t>
  </si>
  <si>
    <t>A. Nord B. Centro C. Isola D. Sud</t>
  </si>
  <si>
    <t>Nord</t>
  </si>
  <si>
    <t>La Morra è meno conosciuta nelle regioni settentrionali dell'Italia.</t>
  </si>
  <si>
    <t>Chi è il pubblico ideale per i tornei di Morra?</t>
  </si>
  <si>
    <t>A. Solo anziani B. Giovani adulti C. Gli appassionati di giochi tradizionali D. Tutti</t>
  </si>
  <si>
    <t>Tutti</t>
  </si>
  <si>
    <t>Il pubblico ideale per i tornei di Morra è molto variegato e include persone di ogni età.</t>
  </si>
  <si>
    <t>In quale città la Morra è considerata un patrimonio culturale?</t>
  </si>
  <si>
    <t>A. Palermo B. Roma C. Firenze D. Genova</t>
  </si>
  <si>
    <t>Palermo</t>
  </si>
  <si>
    <t>Palermo ha dichiarato la Morra un patrimonio culturale della sua città.</t>
  </si>
  <si>
    <t>Qual è il principale motivo per cui la Morra è stata mantenuta viva nel tempo?</t>
  </si>
  <si>
    <t>A. Per la sua facilità di gioco B. Per la sua tradizione culturale C. Per il suo valore educativo D. Per il suo fascino sociale</t>
  </si>
  <si>
    <t>Per la sua tradizione culturale</t>
  </si>
  <si>
    <t>La Morra è stata mantenuta viva grazie alla sua forte tradizione culturale in molte città italiane.</t>
  </si>
  <si>
    <t>Quando si svolge la festa annuale dedicata alla Morra?</t>
  </si>
  <si>
    <t>A. A Natale B. A Pasqua C. Durante il Carnevale D. Durante le vacanze estive</t>
  </si>
  <si>
    <t>Durante il Carnevale</t>
  </si>
  <si>
    <t>La festa annuale dedicata alla Morra si svolge tipicamente durante il Carnevale.</t>
  </si>
  <si>
    <t>Qual è la regola più importante della Morra?</t>
  </si>
  <si>
    <t>A. Non mostrare mai la stessa cifra due volte B. Non guardare mai negli occhi l'avversario C. Indovinare sempre il numero corretto D. Essere il più veloce nel mostrare le dita</t>
  </si>
  <si>
    <t>Essere il più veloce nel mostrare le dita</t>
  </si>
  <si>
    <t>La regola più importante della Morra è la velocità nel mostrare le dita.</t>
  </si>
  <si>
    <t>Quando un giocatore può dichiarare il suo numero nella Morra?</t>
  </si>
  <si>
    <t>A. Prima di mostrare le dita B. Subito dopo aver mostrato le dita C. Quando l'avversario fa un errore D. Quando il pubblico lo incoraggia</t>
  </si>
  <si>
    <t>Prima di mostrare le dita</t>
  </si>
  <si>
    <t>Il giocatore dichiara il numero che intende indovinare prima di mostrare le dita.</t>
  </si>
  <si>
    <t>Quale parte del corpo è principalmente coinvolta nel gioco della Morra?</t>
  </si>
  <si>
    <t>A. Le mani B. Le gambe C. Il viso D. Il torace</t>
  </si>
  <si>
    <t>Le mani</t>
  </si>
  <si>
    <t>Le mani sono la parte del corpo principalmente coinvolta nel gioco della Morra.</t>
  </si>
  <si>
    <t>In quale anno il gioco della Morra è stato introdotto in Italia?</t>
  </si>
  <si>
    <t>A. Nel 1000 d.C. B. Nel 1200 d.C. C. Nel 1500 d.C. D. Nel 1800 d.C.</t>
  </si>
  <si>
    <t>Nel 1200 d.C.</t>
  </si>
  <si>
    <t>La Morra è stata introdotta in Italia nel 1200 d.C. durante il periodo medievale.</t>
  </si>
  <si>
    <t>Quale città italiana è famosa per un torneo di Morra che si svolge ogni anno?</t>
  </si>
  <si>
    <t>A. Napoli B. Bologna C. Firenze D. Palermo</t>
  </si>
  <si>
    <t>Palermo ospita un famoso torneo di Morra che attira partecipanti da tutta Italia ogni anno.</t>
  </si>
  <si>
    <t>Quale era l'usanza popolare durante le fiere per giocare a Morra?</t>
  </si>
  <si>
    <t>A. Giocare sotto il tendone della fiera B. Giocare durante il pranzo C. Giocare in strada D. Giocare al tramonto</t>
  </si>
  <si>
    <t>Giocare in strada</t>
  </si>
  <si>
    <t>La tradizione voleva che si giocasse a Morra in strada durante le fiere e sagre.</t>
  </si>
  <si>
    <t>In che periodo della storia il gioco della Morra divenne particolarmente popolare?</t>
  </si>
  <si>
    <t>A. Durante l'epoca medievale B. Durante il Rinascimento C. Durante l'occupazione romana D. Durante il periodo fascista</t>
  </si>
  <si>
    <t>Durante l'epoca medievale</t>
  </si>
  <si>
    <t>La Morra divenne molto popolare durante l'epoca medievale in Italia.</t>
  </si>
  <si>
    <t>In quale secolo la Morra ha cominciato a essere descritta nei testi letterari italiani?</t>
  </si>
  <si>
    <t>A. XV secolo B. XIV secolo C. XVI secolo D. XVII secolo</t>
  </si>
  <si>
    <t>La Morra è stata descritta nei testi letterari a partire dal XIV secolo.</t>
  </si>
  <si>
    <t>La Morra è tradizionalmente giocata da quante persone?</t>
  </si>
  <si>
    <t>A. Due B. Quattro C. Sei D. Dieci</t>
  </si>
  <si>
    <t>La Morra è tradizionalmente un gioco per due persone che si sfidano direttamente.</t>
  </si>
  <si>
    <t>In quale città della Sicilia la Morra è parte di un festival annuale?</t>
  </si>
  <si>
    <t>A. Catania B. Messina C. Palermo D. Trapani</t>
  </si>
  <si>
    <t>Palermo è la città siciliana dove la Morra è parte integrante di un festival annuale.</t>
  </si>
  <si>
    <t>La Morra è legata a quale tipo di festa tradizionale?</t>
  </si>
  <si>
    <t>A. Feste religiose B. Feste agricole C. Feste di Carnevale D. Feste di matrimonio</t>
  </si>
  <si>
    <t>Feste di Carnevale</t>
  </si>
  <si>
    <t>La Morra viene spesso giocata durante le feste di Carnevale in molte regioni italiane.</t>
  </si>
  <si>
    <t>Chi sono gli avversari principali nel gioco della Morra?</t>
  </si>
  <si>
    <t>A. Le squadre B. Due singoli giocatori C. Un singolo contro la folla D. Un singolo contro il tempo</t>
  </si>
  <si>
    <t>Due singoli giocatori</t>
  </si>
  <si>
    <t>La Morra è un gioco che vede sfidarsi due singoli giocatori.</t>
  </si>
  <si>
    <t>Quale tipo di preparazione fisica è necessaria per giocare alla Morra?</t>
  </si>
  <si>
    <t>A. Nessuna preparazione fisica B. Allenamento cardiovascolare C. Allenamento delle mani D. Allenamento mentale</t>
  </si>
  <si>
    <t>Allenamento delle mani</t>
  </si>
  <si>
    <t>La preparazione fisica principale per giocare alla Morra riguarda l'allenamento delle mani per migliorare la velocità.</t>
  </si>
  <si>
    <t>In quale secolo la Morra è stata regolamentata ufficialmente come gioco?</t>
  </si>
  <si>
    <t>A. Nel XV secolo B. Nel XVI secolo C. Nel XVIII secolo D. Nel XIX secolo</t>
  </si>
  <si>
    <t>Nel XVI secolo</t>
  </si>
  <si>
    <t>La Morra è stata regolamentata ufficialmente come gioco nel XVI secolo.</t>
  </si>
  <si>
    <t>La Morra è tradizionalmente giocata con quale oggetto?</t>
  </si>
  <si>
    <t>A. Una pietra B. Una palla C. Le mani D. Un bastone</t>
  </si>
  <si>
    <t>Il gioco della Morra si gioca tradizionalmente usando le mani per mostrare le dita.</t>
  </si>
  <si>
    <t>In quale regione italiana si trova una variante chiamata "Morra Romana"?</t>
  </si>
  <si>
    <t>A. Lazio B. Campania C. Sicilia D. Sardegna</t>
  </si>
  <si>
    <t>Lazio</t>
  </si>
  <si>
    <t>La variante chiamata "Morra Romana" è popolare nella regione del Lazio.</t>
  </si>
  <si>
    <t>Quanti giocatori possono partecipare simultaneamente alla Morra?</t>
  </si>
  <si>
    <t>A. Due B. Quattro C. Dieci D. Più di dieci</t>
  </si>
  <si>
    <t>La Morra è un gioco che vede la partecipazione di due giocatori che si sfidano direttamente.</t>
  </si>
  <si>
    <t>In quale occasione veniva giocata la Morra tra i soldati romani?</t>
  </si>
  <si>
    <t>A. Durante le guerre B. Durante le marce militari C. Durante le soste nei campi D. Durante le cerimonie religiose</t>
  </si>
  <si>
    <t>Durante le soste nei campi</t>
  </si>
  <si>
    <t>La Morra veniva giocata dai soldati romani durante le soste nei campi durante le marce.</t>
  </si>
  <si>
    <t>Qual è l'elemento chiave che rende emozionante la Morra?</t>
  </si>
  <si>
    <t>A. L'incertezza del risultato B. La forza fisica dei giocatori C. La strategia mentale D. La velocità delle mani</t>
  </si>
  <si>
    <t>L'incertezza del risultato</t>
  </si>
  <si>
    <t>La Morra è emozionante per l'incertezza del risultato e la reazione rapida dei giocatori.</t>
  </si>
  <si>
    <t>Qual è il termine tradizionale per indicare il giocatore che vince una mano di Morra?</t>
  </si>
  <si>
    <t>A. Campione B. Re della Morra C. Il Morrista D. Il vincitore</t>
  </si>
  <si>
    <t>Il Morrista</t>
  </si>
  <si>
    <t>Il termine tradizionale per il vincitore di una mano di Morra è "Morrista".</t>
  </si>
  <si>
    <t>La Morra è sempre stata un gioco di chi?</t>
  </si>
  <si>
    <t>A. Solo di adulti B. Solo di bambini C. Di persone di tutte le età D. Di uomini</t>
  </si>
  <si>
    <t>Di persone di tutte le età</t>
  </si>
  <si>
    <t>La Morra è sempre stata un gioco praticato da persone di tutte le età.</t>
  </si>
  <si>
    <t>In quale secolo la Morra è stata introdotta nelle scuole italiane come gioco tradizionale?</t>
  </si>
  <si>
    <t>A. XV secolo B. XV secolo C. XX secolo D. XVIII secolo</t>
  </si>
  <si>
    <t>La Morra è stata introdotta nelle scuole italiane nel XX secolo come gioco tradizionale.</t>
  </si>
  <si>
    <t>In quale città toscana si svolge un torneo annuale di Morra?</t>
  </si>
  <si>
    <t>A. Siena B. Lucca C. Firenze D. Pisa</t>
  </si>
  <si>
    <t>Siena</t>
  </si>
  <si>
    <t>La città di Siena ospita un torneo annuale di Morra che attira turisti e appassionati.</t>
  </si>
  <si>
    <t>Quale tipo di competizione veniva spesso abbinato alla Morra nelle feste medievali?</t>
  </si>
  <si>
    <t>A. Corsa di cavalli B. Giochi di forza C. Giochi di abilità D. Giochi di tiro</t>
  </si>
  <si>
    <t>Giochi di abilità</t>
  </si>
  <si>
    <t>La Morra veniva spesso abbinata a giochi di abilità durante le feste medievali.</t>
  </si>
  <si>
    <t>Il termine "Morrista" si riferisce a quale ruolo?</t>
  </si>
  <si>
    <t>A. Il vincitore del gioco B. Il giocatore C. Il giudice del gioco D. Il narratore</t>
  </si>
  <si>
    <t>Il giocatore</t>
  </si>
  <si>
    <t>Morrista è il termine che indica il giocatore che partecipa a una partita di Morra.</t>
  </si>
  <si>
    <t>La Morra è stata descritta come un gioco che favorisce quale abilità?</t>
  </si>
  <si>
    <t>A. Velocità mentale B. Flessibilità fisica C. Intelligenza strategica D. Reazione rapida</t>
  </si>
  <si>
    <t>Velocità mentale</t>
  </si>
  <si>
    <t>La Morra favorisce la velocità mentale e la capacità di reagire rapidamente agli avversari.</t>
  </si>
  <si>
    <t>In quale epoca la Morra divenne una tradizione nazionale in Italia?</t>
  </si>
  <si>
    <t>A. Nel Rinascimento B. Nel Medioevo C. Nell'età moderna D. Nell'epoca fascista</t>
  </si>
  <si>
    <t>Nel Medioevo</t>
  </si>
  <si>
    <t>La Morra divenne una tradizione nazionale in Italia durante il Medioevo.</t>
  </si>
  <si>
    <t>Chi ha scritto la prima descrizione dettagliata del gioco della Morra?</t>
  </si>
  <si>
    <t>A. Giovanni Boccaccio B. Francesco Petrarca C. Leonardo da Vinci D. Giambattista Vico</t>
  </si>
  <si>
    <t>Giovanni Boccaccio è il primo a scrivere una descrizione dettagliata della Morra.</t>
  </si>
  <si>
    <t>La Morra è tradizionalmente giocata con che tipo di mani?</t>
  </si>
  <si>
    <t>A. Solo con una mano B. Con entrambe le mani C. Con le mani in movimento D. Con una mano e un piede</t>
  </si>
  <si>
    <t>Con entrambe le mani</t>
  </si>
  <si>
    <t>La Morra viene giocata utilizzando entrambe le mani per mostrare i numeri.</t>
  </si>
  <si>
    <t>La Morra è una pratica tradizionale in quale tipo di eventi?</t>
  </si>
  <si>
    <t>A. Feste popolari B. Feste religiose C. Convegni sportivi D. Manifestazioni ufficiali</t>
  </si>
  <si>
    <t>La Morra è principalmente praticata durante feste popolari e sagre in Italia.</t>
  </si>
  <si>
    <t>La Morra era tradizionalmente giocata in quale tipo di ambienti?</t>
  </si>
  <si>
    <t>A. Piazze B. Teatri C. Scuole D. Palazzi</t>
  </si>
  <si>
    <t>Piazze</t>
  </si>
  <si>
    <t>La Morra era tradizionalmente giocata nelle piazze delle città italiane durante le festività e le fiere.</t>
  </si>
  <si>
    <t>Quale parte della storia romana ha visto la Morra come passatempo degli legionari?</t>
  </si>
  <si>
    <t>A. Durante le guerre B. Durante le marce C. Durante le battaglie D. Durante le cerimonie religiose</t>
  </si>
  <si>
    <t>Durante le marce</t>
  </si>
  <si>
    <t>La Morra era usata dai legionari romani durante le lunghe marce come passatempo.</t>
  </si>
  <si>
    <t>Il gioco della Morra è stato documentato in quale tipo di fonti storiche?</t>
  </si>
  <si>
    <t>A. Manoscritti religiosi B. Testi filosofici C. Testi storici D. Poemi epici</t>
  </si>
  <si>
    <t>Testi storici</t>
  </si>
  <si>
    <t>La Morra è stata documentata in testi storici fin dai tempi antichi.</t>
  </si>
  <si>
    <t>In quale regione della Puglia la Morra è stata particolarmente celebrata?</t>
  </si>
  <si>
    <t>A. Bari B. Brindisi C. Lecce D. Foggia</t>
  </si>
  <si>
    <t>Lecce</t>
  </si>
  <si>
    <t>La città di Lecce è conosciuta per la sua tradizione di Morra durante le festività locali.</t>
  </si>
  <si>
    <t>La Morra è stata menzionata in quale famoso poema italiano?</t>
  </si>
  <si>
    <t>A. Divina Commedia B. Orlando Furioso C. Decamerone D. La Gerusalemme Liberata</t>
  </si>
  <si>
    <t>Decamerone</t>
  </si>
  <si>
    <t>La Morra è menzionata nel *Decamerone* di Giovanni Boccaccio.</t>
  </si>
  <si>
    <t>La Morra è tradizionalmente giocata durante quale tipo di eventi familiari?</t>
  </si>
  <si>
    <t>A. Matrimoni B. Feste di compleanno C. Feste natalizie D. Anniversari</t>
  </si>
  <si>
    <t>Matrimoni</t>
  </si>
  <si>
    <t>La Morra è tradizionalmente giocata durante i matrimoni e altre grandi celebrazioni familiari in Italia.</t>
  </si>
  <si>
    <t>Quale figura storica italiana è conosciuta per aver promosso la Morra?</t>
  </si>
  <si>
    <t>A. Giuseppe Garibaldi B. Luigi Pirandello C. Giovanni Boccaccio D. Leonardo da Vinci</t>
  </si>
  <si>
    <t>Giovanni Boccaccio è noto per aver promosso la Morra e averla descritta nei suoi scritti.</t>
  </si>
  <si>
    <t>Qual è l'abilità chiave che un giocatore deve avere per vincere alla Morra?</t>
  </si>
  <si>
    <t>A. Velocità B. Strategia C. Memoria D. Flessibilità</t>
  </si>
  <si>
    <t>La velocità è l'abilità chiave che un giocatore deve possedere per avere successo nel gioco della Morra.</t>
  </si>
  <si>
    <t>Qual è l'origine dello sci alpino?</t>
  </si>
  <si>
    <t>A. Norvegia B. Svezia C. Alpi italiane D. Austria</t>
  </si>
  <si>
    <t>Alpi italiane</t>
  </si>
  <si>
    <t>Lo sci alpino ha avuto origine nelle Alpi italiane ed è diventato popolare nel XX secolo.</t>
  </si>
  <si>
    <t>Qual è stata la prima competizione ufficiale di sci alpino?</t>
  </si>
  <si>
    <t>A. 1905 a Cortina B. 1911 a Chamonix C. 1921 a Garmisch D. 1924 a St. Moritz</t>
  </si>
  <si>
    <t>1905 a Cortina</t>
  </si>
  <si>
    <t>La prima gara ufficiale si è svolta a Cortina nel 1905.</t>
  </si>
  <si>
    <t>Quale città italiana ha ospitato i primi Giochi Olimpici invernali nelle Alpi?</t>
  </si>
  <si>
    <t>A. Torino B. Cortina d'Ampezzo C. Milano D. Trento</t>
  </si>
  <si>
    <t>Cortina d'Ampezzo</t>
  </si>
  <si>
    <t>Cortina d'Ampezzo ha ospitato i Giochi Olimpici invernali nel 1956.</t>
  </si>
  <si>
    <t>Chi è considerato il pioniere dello sci moderno?</t>
  </si>
  <si>
    <t>A. Matteo Paganella B. Gustav Thöni C. Emilio Comici D. Hannes Schneider</t>
  </si>
  <si>
    <t>Hannes Schneider</t>
  </si>
  <si>
    <t>Hannes Schneider ha sviluppato tecniche moderne di sci alpino.</t>
  </si>
  <si>
    <t>Quando è stato introdotto lo slalom speciale come disciplina olimpica?</t>
  </si>
  <si>
    <t>A. 1936 B. 1948 C. 1964 D. 1976</t>
  </si>
  <si>
    <t>Lo slalom speciale è diventato una disciplina olimpica nel 1948.</t>
  </si>
  <si>
    <t>Qual è il materiale tradizionale degli sci utilizzati nelle Alpi?</t>
  </si>
  <si>
    <t>A. Plastica B. Metallo C. Legno D. Fibra di carbonio</t>
  </si>
  <si>
    <t>Gli sci tradizionali erano fatti di legno.</t>
  </si>
  <si>
    <t>Qual è stata la prima stazione sciistica sviluppata nelle Alpi italiane?</t>
  </si>
  <si>
    <t>A. Cervinia B. Madonna di Campiglio C. Bormio D. Cortina d'Ampezzo</t>
  </si>
  <si>
    <t>Cortina è stata una delle prime stazioni sciistiche italiane.</t>
  </si>
  <si>
    <t>Qual è il nome della tecnica che ha rivoluzionato lo sci alpino?</t>
  </si>
  <si>
    <t>A. Tecnica a spazzaneve B. Tecnica parallela C. Tecnica carving D. Tecnica telemark</t>
  </si>
  <si>
    <t>Tecnica carving</t>
  </si>
  <si>
    <t>Il carving ha rivoluzionato lo sci grazie all'uso di sci sagomati.</t>
  </si>
  <si>
    <t>Chi ha vinto la prima Coppa del Mondo di sci alpino maschile?</t>
  </si>
  <si>
    <t>A. Jean-Claude Killy B. Piero Gros C. Gustav Thöni D. Ingemar Stenmark</t>
  </si>
  <si>
    <t>Gustav Thöni</t>
  </si>
  <si>
    <t>Gustav Thöni ha vinto la prima Coppa del Mondo nel 1967.</t>
  </si>
  <si>
    <t>Qual è il nome dell'associazione internazionale dello sci?</t>
  </si>
  <si>
    <t>A. FIFA B. IAAF C. FIS D. IOC</t>
  </si>
  <si>
    <t>FIS</t>
  </si>
  <si>
    <t>La Federazione Internazionale di Sci (FIS) è l'organo di governo dello sci.</t>
  </si>
  <si>
    <t>Quando sono stati introdotti gli impianti di risalita nelle Alpi italiane?</t>
  </si>
  <si>
    <t>Gli impianti di risalita sono stati introdotti nel 1930.</t>
  </si>
  <si>
    <t>Qual è la lunghezza media di una pista di discesa libera olimpica?</t>
  </si>
  <si>
    <t>A. 1 km B. 2.5 km C. 3 km D. 3.5 km</t>
  </si>
  <si>
    <t>3 km</t>
  </si>
  <si>
    <t>Le piste di discesa libera sono generalmente lunghe circa 3 km.</t>
  </si>
  <si>
    <t>Qual è il nome della gara di sci alpino più famosa delle Dolomiti?</t>
  </si>
  <si>
    <t>A. Coppa del Mondo Val Gardena B. Discesa di Cortina C. Marcialonga D. Slalom di Trento</t>
  </si>
  <si>
    <t>Coppa del Mondo Val Gardena</t>
  </si>
  <si>
    <t>La Val Gardena ospita una famosa gara di discesa libera.</t>
  </si>
  <si>
    <t>Quale atleta italiana è famosa per lo sci alpino?</t>
  </si>
  <si>
    <t>A. Deborah Compagnoni B. Federica Pellegrini C. Sofia Goggia D. Valentina Vezzali</t>
  </si>
  <si>
    <t>Deborah Compagnoni</t>
  </si>
  <si>
    <t>Deborah Compagnoni è una leggenda dello sci alpino italiano.</t>
  </si>
  <si>
    <t>Quando è stato inventato lo sci carving?</t>
  </si>
  <si>
    <t>A. Anni '60 B. Anni '70 C. Anni '80 D. Anni '90</t>
  </si>
  <si>
    <t>Anni '90</t>
  </si>
  <si>
    <t>Lo sci carving è stato sviluppato negli anni '90.</t>
  </si>
  <si>
    <t>Qual è lo scopo principale della tecnica del telemark?</t>
  </si>
  <si>
    <t>A. Curvare con precisione B. Scendere rapidamente C. Fermarsi in sicurezza D. Rendere lo sci meno impegnativo</t>
  </si>
  <si>
    <t>Curvare con precisione</t>
  </si>
  <si>
    <t>Il telemark consente curve fluide e precise.</t>
  </si>
  <si>
    <t>Qual è il significato della parola "slalom"?</t>
  </si>
  <si>
    <t>A. Percorso tortuoso B. Disciplina veloce C. Neve soffice D. Scivolata controllata</t>
  </si>
  <si>
    <t>Percorso tortuoso</t>
  </si>
  <si>
    <t>Slalom significa letteralmente "percorso tortuoso".</t>
  </si>
  <si>
    <t>Quale città italiana è conosciuta come "la regina delle Dolomiti"?</t>
  </si>
  <si>
    <t>A. Bolzano B. Cortina d'Ampezzo C. Trento D. Bressanone</t>
  </si>
  <si>
    <t>Cortina è conosciuta come la regina delle Dolomiti.</t>
  </si>
  <si>
    <t>Quando è stato incluso lo sci alpino nei Giochi Olimpici?</t>
  </si>
  <si>
    <t>A. 1924 B. 1936 C. 1956 D. 1968</t>
  </si>
  <si>
    <t>Lo sci alpino è diventato una disciplina olimpica nel 1936.</t>
  </si>
  <si>
    <t>Quale tipo di neve è considerato ideale per lo sci alpino?</t>
  </si>
  <si>
    <t>A. Polvere B. Ghiaccio C. Neve fresca D. Neve artificiale</t>
  </si>
  <si>
    <t>Polvere</t>
  </si>
  <si>
    <t>La neve polverosa offre le migliori condizioni per lo sci.</t>
  </si>
  <si>
    <t>Qual è il simbolo distintivo delle Dolomiti?</t>
  </si>
  <si>
    <t>A. Montagne di granito B. Montagne calcaree C. Valli glaciali D. Cime vulcaniche</t>
  </si>
  <si>
    <t>Montagne calcaree</t>
  </si>
  <si>
    <t>Le Dolomiti sono note per le loro montagne calcaree.</t>
  </si>
  <si>
    <t>Qual è il termine per una pista preparata artificialmente?</t>
  </si>
  <si>
    <t>A. Fuoripista B. Pista battuta C. Pista fresca D. Pista dura</t>
  </si>
  <si>
    <t>Pista battuta</t>
  </si>
  <si>
    <t>Le piste battute sono preparate artificialmente.</t>
  </si>
  <si>
    <t>Quando si è tenuta la prima gara di sci femminile nelle Alpi?</t>
  </si>
  <si>
    <t>A. 1920 B. 1930 C. 1940 D. 1950</t>
  </si>
  <si>
    <t>Le prime gare femminili si sono svolte negli anni '30.</t>
  </si>
  <si>
    <t>Qual è il significato di "freeride" nello sci?</t>
  </si>
  <si>
    <t>A. Sci fuori pista B. Discesa veloce C. Slalom gigante D. Salto con sci</t>
  </si>
  <si>
    <t>Sci fuori pista</t>
  </si>
  <si>
    <t>Il freeride si riferisce allo sci fuori pista.</t>
  </si>
  <si>
    <t>Quale tecnica è fondamentale per la discesa libera?</t>
  </si>
  <si>
    <t>A. Controllo delle curve B. Massima velocità C. Salto con sci D. Bilanciamento costante</t>
  </si>
  <si>
    <t>Massima velocità</t>
  </si>
  <si>
    <t>La discesa libera è focalizzata sulla velocità massima.</t>
  </si>
  <si>
    <t>Qual è il vantaggio principale degli sci moderni rispetto a quelli tradizionali?</t>
  </si>
  <si>
    <t>A. Più leggeri B. Più stabili C. Migliore galleggiamento su neve D. Presa migliore su ghiaccio</t>
  </si>
  <si>
    <t>Le innovazioni includono leggerezza</t>
  </si>
  <si>
    <t>Qual è il nome della celebre gara sciistica "Sellaronda"?</t>
  </si>
  <si>
    <t>A. Discesa libera B. Slalom gigante C. Sci alpinismo D. Sci di fondo</t>
  </si>
  <si>
    <t>Sci alpinismo</t>
  </si>
  <si>
    <t>La Sellaronda è un percorso di sci alpinismo nelle Dolomiti.</t>
  </si>
  <si>
    <t>Qual è la funzione principale di uno scarpone da sci?</t>
  </si>
  <si>
    <t>A. Estetica B. Protezione C. Trasferire forza allo sci D. Mantenere i piedi caldi</t>
  </si>
  <si>
    <t>Trasferire forza allo sci</t>
  </si>
  <si>
    <t>Gli scarponi trasferiscono forza e controllo agli sci.</t>
  </si>
  <si>
    <t>Chi ha inventato lo slalom parallelo?</t>
  </si>
  <si>
    <t>A. Federazione Austriaca B. Atleti norvegesi C. Sciatori italiani D. Sciatori francesi</t>
  </si>
  <si>
    <t>Federazione Austriaca</t>
  </si>
  <si>
    <t>La Federazione Austriaca ha introdotto lo slalom parallelo.</t>
  </si>
  <si>
    <t>Qual è il ruolo del "pattinamento" nello sci?</t>
  </si>
  <si>
    <t>A. Salire le colline B. Controllare la velocità C. Aumentare la velocità D. Curvare rapidamente</t>
  </si>
  <si>
    <t>Aumentare la velocità</t>
  </si>
  <si>
    <t>Il pattinamento è usato per aumentare la velocità su terreni pianeggianti.</t>
  </si>
  <si>
    <t>Qual è il significato della parola "carving" nello sci?</t>
  </si>
  <si>
    <t>A. Tagliare B. Scivolare C. Curvare D. Salire</t>
  </si>
  <si>
    <t>Curvare</t>
  </si>
  <si>
    <t>Il termine "carving" si riferisce a curve precise e taglienti sugli sci.</t>
  </si>
  <si>
    <t>Qual è stata la prima regione italiana a sviluppare lo sci alpino?</t>
  </si>
  <si>
    <t>A. Trentino-Alto Adige B. Valle d'Aosta C. Lombardia D. Veneto</t>
  </si>
  <si>
    <t>Trentino-Alto Adige</t>
  </si>
  <si>
    <t>Il Trentino-Alto Adige è stato un punto focale per lo sviluppo dello sci alpino.</t>
  </si>
  <si>
    <t>Qual è il nome del famoso passo sciistico delle Dolomiti?</t>
  </si>
  <si>
    <t>A. Passo del Tonale B. Passo dello Stelvio C. Passo Sella D. Passo Gavia</t>
  </si>
  <si>
    <t>Passo Sella</t>
  </si>
  <si>
    <t>Il Passo Sella è noto per il suo accesso a molte piste alpine.</t>
  </si>
  <si>
    <t>Qual è il principale nemico dello sci durante le gare?</t>
  </si>
  <si>
    <t>A. Neve ghiacciata B. Pioggia C. Nebbia D. Vento</t>
  </si>
  <si>
    <t>Il vento può influire sulla velocità e sull'equilibrio degli sciatori.</t>
  </si>
  <si>
    <t>Qual è il materiale utilizzato nelle solette degli sci moderni?</t>
  </si>
  <si>
    <t>A. Plastica B. Carbonio C. Grafite D. Alluminio</t>
  </si>
  <si>
    <t>Grafite</t>
  </si>
  <si>
    <t>La grafite migliora lo scivolamento degli sci.</t>
  </si>
  <si>
    <t>Quale città italiana ha ospitato i Giochi Olimpici invernali del 2006?</t>
  </si>
  <si>
    <t>A. Cortina d'Ampezzo B. Bormio C. Milano D. Torino</t>
  </si>
  <si>
    <t>Torino ha ospitato i Giochi del 2006.</t>
  </si>
  <si>
    <t>Quando è stato creato il primo sci artificiale?</t>
  </si>
  <si>
    <t>A. 1940 B. 1950 C. 1960 D. 1970</t>
  </si>
  <si>
    <t>Gli sci artificiali in fibra di vetro sono stati introdotti negli anni '60.</t>
  </si>
  <si>
    <t>Qual è il nome della disciplina che combina sci di fondo e tiro a segno?</t>
  </si>
  <si>
    <t>A. Slalom B. Biathlon C. Freestyle D. Sci alpinismo</t>
  </si>
  <si>
    <t>Biathlon</t>
  </si>
  <si>
    <t>Il biathlon combina sci di fondo e tiro a segno.</t>
  </si>
  <si>
    <t>Qual è l'altezza media delle Dolomiti?</t>
  </si>
  <si>
    <t>A. 1500 metri B. 2000 metri C. 3000 metri D. 4000 metri</t>
  </si>
  <si>
    <t>3000 metri</t>
  </si>
  <si>
    <t>Le cime delle Dolomiti raggiungono circa 3000 metri di altezza.</t>
  </si>
  <si>
    <t>Qual è il simbolo dei Giochi Olimpici invernali?</t>
  </si>
  <si>
    <t>A. Torcia olimpica B. Cinque cerchi C. Trofeo di cristallo D. Neve</t>
  </si>
  <si>
    <t>Cinque cerchi</t>
  </si>
  <si>
    <t>I cinque cerchi rappresentano l'unione dei continenti anche nei Giochi invernali.</t>
  </si>
  <si>
    <t>Chi è l'italiano con più medaglie olimpiche nello sci alpino?</t>
  </si>
  <si>
    <t>A. Alberto Tomba B. Deborah Compagnoni C. Sofia Goggia D. Gustav Thöni</t>
  </si>
  <si>
    <t>Alberto Tomba</t>
  </si>
  <si>
    <t>Alberto Tomba è uno degli sciatori italiani più decorati.</t>
  </si>
  <si>
    <t>Qual è il principale scopo della sciolina?</t>
  </si>
  <si>
    <t>A. Ridurre l'attrito B. Aumentare l'aderenza C. Migliorare la curvatura D. Rinforzare lo sci</t>
  </si>
  <si>
    <t>Ridurre l'attrito</t>
  </si>
  <si>
    <t>La sciolina riduce l'attrito e migliora la scorrevolezza.</t>
  </si>
  <si>
    <t>Qual è il nome della famosa pista di Bormio?</t>
  </si>
  <si>
    <t>A. Stelvio B. Olimpica C. Gran Paradiso D. Sella Ronda</t>
  </si>
  <si>
    <t>Stelvio</t>
  </si>
  <si>
    <t>La Stelvio è una pista iconica di Bormio.</t>
  </si>
  <si>
    <t>Quando è nata la disciplina dello snowboard?</t>
  </si>
  <si>
    <t>Anni '70</t>
  </si>
  <si>
    <t>Lo snowboard è nato negli anni '70.</t>
  </si>
  <si>
    <t>Quale gara è considerata la "regina" dello sci alpino?</t>
  </si>
  <si>
    <t>A. Slalom gigante B. Super G C. Discesa libera D. Slalom speciale</t>
  </si>
  <si>
    <t>Discesa libera</t>
  </si>
  <si>
    <t>La discesa libera è la gara più prestigiosa dello sci alpino.</t>
  </si>
  <si>
    <t>Qual è il ruolo principale di una giacca da sci?</t>
  </si>
  <si>
    <t>A. Estetica B. Resistenza al vento C. Impermeabilità D. Calore</t>
  </si>
  <si>
    <t>Impermeabilità</t>
  </si>
  <si>
    <t>Le giacche da sci sono progettate per proteggere dall'acqua e dalla neve.</t>
  </si>
  <si>
    <t>Qual è la pendenza tipica di una pista di discesa libera?</t>
  </si>
  <si>
    <t>A. 10-20% B. 20-30% C. 30-40% D. 40-50%</t>
  </si>
  <si>
    <t>30-40%</t>
  </si>
  <si>
    <t>Le piste di discesa libera hanno pendenze ripide tra il 30 e il 40%.</t>
  </si>
  <si>
    <t>Qual è il nome del circuito internazionale di sci alpino?</t>
  </si>
  <si>
    <t>A. Coppa Europa B. Coppa del Mondo C. Trofeo FIS D. Giochi invernali</t>
  </si>
  <si>
    <t>Coppa del Mondo</t>
  </si>
  <si>
    <t>La Coppa del Mondo è il circuito principale per lo sci alpino.</t>
  </si>
  <si>
    <t>Quale italiano è famoso per la combinazione nordica?</t>
  </si>
  <si>
    <t>A. Francesco De Fabiani B. Pietro Piller Cottrer C. Stefano Gros D. Maurilio De Zolt</t>
  </si>
  <si>
    <t>Pietro Piller Cottrer</t>
  </si>
  <si>
    <t>Pietro è noto per le sue prestazioni nella combinazione nordica.</t>
  </si>
  <si>
    <t>Qual è il significato di "fuoripista" nello sci?</t>
  </si>
  <si>
    <t>A. Sciare su pista battuta B. Sciare fuori dalle piste segnalate C. Sciare su ghiaccio D. Sciare a velocità ridotta</t>
  </si>
  <si>
    <t>Sciare fuori dalle piste segnalate</t>
  </si>
  <si>
    <t>Il fuoripista si riferisce allo sci su neve non preparata.</t>
  </si>
  <si>
    <t>Qual è la lunghezza media di un Super G?</t>
  </si>
  <si>
    <t>A. 500-800 metri B. 800-1200 metri C. 1200-1800 metri D. 1800-2500 metri</t>
  </si>
  <si>
    <t>1200-1800 metri</t>
  </si>
  <si>
    <t>Il Super G ha lunghezze comprese tra 1200 e 1800 metri.</t>
  </si>
  <si>
    <t>Qual è il principale fattore di rischio nello sci alpino?</t>
  </si>
  <si>
    <t>A. Ghiaccio B. Nebbia C. Pietre nascoste D. Alta velocità</t>
  </si>
  <si>
    <t>Alta velocità</t>
  </si>
  <si>
    <t>L'alta velocità aumenta il rischio di incidenti nello sci alpino.</t>
  </si>
  <si>
    <t>Qual è la tecnica di base per principianti nello sci alpino?</t>
  </si>
  <si>
    <t>A. Slalom B. Spazzaneve C. Carving D. Telemark</t>
  </si>
  <si>
    <t>Spazzaneve</t>
  </si>
  <si>
    <t>La tecnica dello spazzaneve è fondamentale per i principianti.</t>
  </si>
  <si>
    <t>Qual è il nome della famosa gara di sci di fondo in Italia?</t>
  </si>
  <si>
    <t>A. Gran Paradiso B. Marcialonga C. Sella Ronda D. Coppa Italia</t>
  </si>
  <si>
    <t>Marcialonga</t>
  </si>
  <si>
    <t>La Marcialonga è una gara di sci di fondo iconica in Italia.</t>
  </si>
  <si>
    <t>Qual è la regione italiana famosa per il comprensorio Dolomiti Superski?</t>
  </si>
  <si>
    <t>A. Lombardia B. Trentino-Alto Adige C. Piemonte D. Valle d'Aosta</t>
  </si>
  <si>
    <t>Il Dolomiti Superski si trova nel Trentino-Alto Adige.</t>
  </si>
  <si>
    <t>Qual è il vantaggio principale degli sci twin-tip?</t>
  </si>
  <si>
    <t>A. Stabilità su neve ghiacciata B. Migliore controllo in velocità C. Facilità nelle acrobazie D. Migliore galleggiamento</t>
  </si>
  <si>
    <t>Facilità nelle acrobazie</t>
  </si>
  <si>
    <t>Gli sci twin-tip sono progettati per acrobazie e freestyle.</t>
  </si>
  <si>
    <t>Qual è il significato di "neve fresca" nello sci?</t>
  </si>
  <si>
    <t>A. Neve ghiacciata B. Neve appena caduta C. Neve battuta D. Neve artificiale</t>
  </si>
  <si>
    <t>Neve appena caduta</t>
  </si>
  <si>
    <t>La neve fresca è quella appena caduta e non ancora lavorata.</t>
  </si>
  <si>
    <t>Qual è il nome della famosa pista a Cortina d'Ampezzo?</t>
  </si>
  <si>
    <t>A. Tofane B. Olympia C. Gran Risa D. Saslong</t>
  </si>
  <si>
    <t>Tofane</t>
  </si>
  <si>
    <t>La Tofane è una delle piste più famose a Cortina.</t>
  </si>
  <si>
    <t>Qual è la differenza principale tra lo sci nordico e lo sci alpino?</t>
  </si>
  <si>
    <t>A. Pendenza delle piste B. Tipo di neve C. Tecnica di discesa D. Attrezzatura e tecnica</t>
  </si>
  <si>
    <t>Attrezzatura e tecnica</t>
  </si>
  <si>
    <t>Le differenze principali risiedono nell'attrezzatura e nella tecnica.</t>
  </si>
  <si>
    <t>Qual è il periodo migliore per sciare nelle Alpi italiane?</t>
  </si>
  <si>
    <t>A. Novembre-Dicembre B. Dicembre-Febbraio C. Febbraio-Marzo D. Marzo-Aprile</t>
  </si>
  <si>
    <t>Febbraio-Marzo</t>
  </si>
  <si>
    <t>Febbraio e marzo offrono le migliori condizioni per lo sci nelle Alpi italiane.</t>
  </si>
  <si>
    <t>Qual è il principale vantaggio delle piste artificiali?</t>
  </si>
  <si>
    <t>A. Permettono di sciare tutto l'anno B. Costano meno da mantenere C. Sono più larghe D. Sono meno ripide</t>
  </si>
  <si>
    <t>Permanentto di sciare tutto l'anno</t>
  </si>
  <si>
    <t>Le piste artificiali consentono la pratica dello sci in ogni stagione.</t>
  </si>
  <si>
    <t>Quale gara olimpica combina sci alpino e tiro con l'arco?</t>
  </si>
  <si>
    <t>A. Biathlon B. Combinata Nordica C. Slalom gigante D. Super G</t>
  </si>
  <si>
    <t>Quale tecnologia ha migliorato la sicurezza degli sciatori negli ultimi anni?</t>
  </si>
  <si>
    <t>A. Sciolina avanzata B. Sci in fibra di carbonio C. Airbag da sci D. Caschi leggeri</t>
  </si>
  <si>
    <t>Airbag da sci</t>
  </si>
  <si>
    <t>Gli airbag da sci aumentano la sicurezza durante le cadute.</t>
  </si>
  <si>
    <t>Qual è il termine per descrivere una serie di curve consecutive nello sci?</t>
  </si>
  <si>
    <t>A. Switch B. Freeride C. Slalom D. Freestyle</t>
  </si>
  <si>
    <t>Slalom</t>
  </si>
  <si>
    <t>Lo slalom è una disciplina che richiede curve rapide e consecutive.</t>
  </si>
  <si>
    <t>Qual è il ruolo delle lamine negli sci?</t>
  </si>
  <si>
    <t>A. Ridurre la velocità B. Migliorare l’aderenza C. Rendere lo sci più leggero D. Facilitare i salti</t>
  </si>
  <si>
    <t>Migliorare l’aderenza</t>
  </si>
  <si>
    <t>Le lamine migliorano l’aderenza sul ghiaccio e sulla neve dura.</t>
  </si>
  <si>
    <t>Qual è il nome del famoso circuito sciistico intorno al Gruppo del Sella?</t>
  </si>
  <si>
    <t>A. Giro delle Alpi B. Sella Ronda C. Val Gardena Tour D. Circuito delle Dolomiti</t>
  </si>
  <si>
    <t>Sella Ronda</t>
  </si>
  <si>
    <t>La Sella Ronda è un percorso sciistico noto nelle Dolomiti.</t>
  </si>
  <si>
    <t>Chi è stato il primo italiano a vincere una medaglia olimpica nello sci alpino?</t>
  </si>
  <si>
    <t>A. Zeno Colò B. Alberto Tomba C. Gustav Thöni D. Piero Gros</t>
  </si>
  <si>
    <t>Zeno Colò</t>
  </si>
  <si>
    <t>Zeno Colò ha vinto la prima medaglia d'oro per l'Italia nel 1952.</t>
  </si>
  <si>
    <t>Qual è la principale caratteristica di una pista "nera"?</t>
  </si>
  <si>
    <t>A. Lunghezza maggiore B. Pendenza elevata C. Neve fresca D. Maggior larghezza</t>
  </si>
  <si>
    <t>Pendenza elevata</t>
  </si>
  <si>
    <t>Le piste nere sono note per le loro pendenze elevate.</t>
  </si>
  <si>
    <t>Quale gara di sci si svolge al tramonto o in notturna?</t>
  </si>
  <si>
    <t>A. Slalom notturno B. Super G alpino C. Freeride alpino D. Discesa serale</t>
  </si>
  <si>
    <t>Slalom notturno</t>
  </si>
  <si>
    <t>Lo slalom notturno si svolge con illuminazione artificiale.</t>
  </si>
  <si>
    <t>Qual è il tipo di sci utilizzato per il freestyle?</t>
  </si>
  <si>
    <t>A. Sci Twin-Tip B. Sci da carving C. Sci da discesa D. Sci da fondo</t>
  </si>
  <si>
    <t>Sci Twin-Tip</t>
  </si>
  <si>
    <t>Gli sci Twin-Tip sono progettati per manovre acrobatiche e freestyle.</t>
  </si>
  <si>
    <t>Quando si è tenuta la prima edizione della Coppa del Mondo di sci alpino?</t>
  </si>
  <si>
    <t>A. 1966 B. 1967 C. 1968 D. 1969</t>
  </si>
  <si>
    <t>La prima edizione della Coppa del Mondo di sci alpino si è svolta nel 1967.</t>
  </si>
  <si>
    <t>Quale tecnica è stata sviluppata per facilitare i principianti nello sci?</t>
  </si>
  <si>
    <t>A. Tecnica del passo B. Spazzaneve C. Carving D. Telemark</t>
  </si>
  <si>
    <t>La tecnica dello spazzaneve aiuta i principianti a mantenere il controllo.</t>
  </si>
  <si>
    <t>Quale italiano ha dominato lo sci negli anni '90?</t>
  </si>
  <si>
    <t>A. Gustav Thöni B. Deborah Compagnoni C. Alberto Tomba D. Kristian Ghedina</t>
  </si>
  <si>
    <t>Alberto Tomba ha vinto numerosi titoli negli anni '90.</t>
  </si>
  <si>
    <t>Qual è il termine per una discesa su neve non preparata?</t>
  </si>
  <si>
    <t>Fuoripista</t>
  </si>
  <si>
    <t>Qual è la caratteristica principale del Super G?</t>
  </si>
  <si>
    <t>A. Curve strette B. Alta velocità C. Piccoli salti D. Neve artificiale</t>
  </si>
  <si>
    <t>Il Super G combina velocità e tecnica.</t>
  </si>
  <si>
    <t>Qual è la temperatura ideale per produrre neve artificiale?</t>
  </si>
  <si>
    <t>A. -5°C B. -2°C C. 0°C D. +2°C</t>
  </si>
  <si>
    <t>-2°C</t>
  </si>
  <si>
    <t>La neve artificiale si produce meglio a temperature intorno a -2°C.</t>
  </si>
  <si>
    <t>Qual è il significato del termine "carving" nello sci moderno?</t>
  </si>
  <si>
    <t>A. Saltare sulle piste B. Curvare con precisione C. Scendere a velocità costante D. Utilizzare solo una lamina</t>
  </si>
  <si>
    <t>Il carving si riferisce a curve precise e controllate.</t>
  </si>
  <si>
    <t>Qual è il principale evento internazionale di sci di fondo nelle Dolomiti?</t>
  </si>
  <si>
    <t>A. Marcialonga B. Coppa del Mondo C. FIS Tour D. Sella Skimarathon</t>
  </si>
  <si>
    <t>La Marcialonga è una gara iconica di sci di fondo.</t>
  </si>
  <si>
    <t>Qual è il principale vantaggio dello sci in fibra di carbonio?</t>
  </si>
  <si>
    <t>A. Maggiore resistenza B. Leggerezza C. Rigidità D. Riduzione dei costi</t>
  </si>
  <si>
    <t>Leggerezza</t>
  </si>
  <si>
    <t>Gli sci in fibra di carbonio sono più leggeri e maneggevoli.</t>
  </si>
  <si>
    <t>Qual è il tipo di attacco utilizzato nello sci nordico?</t>
  </si>
  <si>
    <t>A. Attacco fisso B. Attacco mobile C. Attacco con piastra D. Attacco magnetico</t>
  </si>
  <si>
    <t>Attacco mobile</t>
  </si>
  <si>
    <t>Gli sci nordici utilizzano un attacco mobile che consente libertà di movimento al tallone.</t>
  </si>
  <si>
    <t>Quale atleta italiana ha vinto l'oro olimpico a Pyeongchang 2018?</t>
  </si>
  <si>
    <t>A. Federica Brignone B. Sofia Goggia C. Deborah Compagnoni D. Nadia Fanchini</t>
  </si>
  <si>
    <t>Sofia Goggia</t>
  </si>
  <si>
    <t>Sofia Goggia ha vinto l'oro in discesa libera a Pyeongchang.</t>
  </si>
  <si>
    <t>Qual è il termine per una curva stretta e veloce nello sci alpino?</t>
  </si>
  <si>
    <t>A. Carving B. Slalom C. Switch D. Telemark</t>
  </si>
  <si>
    <t>Lo slalom è una disciplina che richiede curve strette e rapide.</t>
  </si>
  <si>
    <t>Qual è il significato del termine "freestyle" nello sci?</t>
  </si>
  <si>
    <t>A. Sciare velocemente B. Sciare liberamente su piste non battute C. Eseguire manovre acrobatiche D. Salire le montagne</t>
  </si>
  <si>
    <t>Eseguire manovre acrobatiche</t>
  </si>
  <si>
    <t>Il freestyle include salti e acrobazie.</t>
  </si>
  <si>
    <t>Quale città italiana ha ospitato i Campionati mondiali di sci alpino 2021?</t>
  </si>
  <si>
    <t>A. Bormio B. Val Gardena C. Cortina d'Ampezzo D. Sestriere</t>
  </si>
  <si>
    <t>Cortina d'Ampezzo ha ospitato i mondiali nel 2021.</t>
  </si>
  <si>
    <t>Qual è la differenza principale tra Super G e Discesa Libera?</t>
  </si>
  <si>
    <t>A. Velocità B. Tipologia di curve C. Lunghezza delle piste D. Pendenza</t>
  </si>
  <si>
    <t>Tipologia di curve</t>
  </si>
  <si>
    <t>Il Super G include curve più tecniche rispetto alla Discesa Libera.</t>
  </si>
  <si>
    <t>Qual è il termine per una gara di sci a squadre?</t>
  </si>
  <si>
    <t>A. Relay B. Combinata a squadre C. Slalom parallelo D. Freestyle a squadre</t>
  </si>
  <si>
    <t>Slalom parallelo</t>
  </si>
  <si>
    <t>Lo slalom parallelo è una gara che può essere svolta a squadre.</t>
  </si>
  <si>
    <t>Quale colore identifica le piste per principianti?</t>
  </si>
  <si>
    <t>A. Rosso B. Blu C. Nero D. Verde</t>
  </si>
  <si>
    <t>Blu</t>
  </si>
  <si>
    <t>Le piste blu sono adatte ai principianti per la loro facilità.</t>
  </si>
  <si>
    <t>Qual è l'attrezzatura essenziale per proteggere gli occhi durante lo sci?</t>
  </si>
  <si>
    <t>A. Occhiali da sole B. Maschera da sci C. Visiera D. Cappello</t>
  </si>
  <si>
    <t>Maschera da sci</t>
  </si>
  <si>
    <t>La maschera protegge gli occhi da vento</t>
  </si>
  <si>
    <t>Qual è il significato di "skicross" nello sci?</t>
  </si>
  <si>
    <t>A. Discesa su percorsi tecnici B. Corsa tra sciatori su percorsi con ostacoli C. Salto con sci su rampe D. Freeride su neve fresca</t>
  </si>
  <si>
    <t>Corsa tra sciatori su percorsi con ostacoli</t>
  </si>
  <si>
    <t>Lo skicross è una disciplina con percorsi tecnici e ostacoli.</t>
  </si>
  <si>
    <t>Quale atleta è considerato il più grande sciatore alpino di tutti i tempi?</t>
  </si>
  <si>
    <t>A. Alberto Tomba B. Ingemar Stenmark C. Hermann Maier D. Marcel Hirscher</t>
  </si>
  <si>
    <t>Ingemar Stenmark</t>
  </si>
  <si>
    <t>Ingemar Stenmark detiene il record per il maggior numero di vittorie in Coppa del Mondo.</t>
  </si>
  <si>
    <t>Qual è il termine per indicare il punto di partenza nelle gare di sci?</t>
  </si>
  <si>
    <t>A. Partenza libera B. Gate di partenza C. Punto zero D. Stazione di partenza</t>
  </si>
  <si>
    <t>Gate di partenza</t>
  </si>
  <si>
    <t>Il gate di partenza è il punto iniziale delle gare di sci.</t>
  </si>
  <si>
    <t>Qual è il significato di "telemark" nello sci?</t>
  </si>
  <si>
    <t>A. Tecnica di discesa B. Tipo di sci C. Stile di salto D. Nome di una pista</t>
  </si>
  <si>
    <t>Tecnica di discesa</t>
  </si>
  <si>
    <t>Il telemark è una tecnica di discesa caratterizzata da curve con il tallone libero.</t>
  </si>
  <si>
    <t>Qual è l’obiettivo principale nello slalom parallelo?</t>
  </si>
  <si>
    <t>A. Scendere con velocità B. Superare l’avversario C. Curvare con precisione D. Salire su una rampa</t>
  </si>
  <si>
    <t>Superare l’avversario</t>
  </si>
  <si>
    <t>Nello slalom parallelo i concorrenti competono direttamente.</t>
  </si>
  <si>
    <t>Qual è il materiale principale per la costruzione degli sci moderni?</t>
  </si>
  <si>
    <t>A. Legno B. Plastica C. Fibra di vetro D. Carbonio</t>
  </si>
  <si>
    <t>Fibra di vetro</t>
  </si>
  <si>
    <t>La fibra di vetro viene utilizzata per rendere gli sci resistenti e leggeri.</t>
  </si>
  <si>
    <t>Qual è il nome del famoso evento di sci alpinismo nelle Dolomiti?</t>
  </si>
  <si>
    <t>A. Sellaronda Skimarathon B. Marcialonga Skialp C. Gran Fondo delle Dolomiti D. Val Gardena Alpine Tour</t>
  </si>
  <si>
    <t>Sellaronda Skimarathon</t>
  </si>
  <si>
    <t>La Sellaronda Skimarathon è una gara iconica di sci alpinismo.</t>
  </si>
  <si>
    <t>Qual è la differenza principale tra lo sci alpinismo e lo sci alpino?</t>
  </si>
  <si>
    <t>A. Velocità B. Tipo di attrezzatura C. Disciplina D. Dislivello</t>
  </si>
  <si>
    <t>Tipo di attrezzatura</t>
  </si>
  <si>
    <t>Lo sci alpinismo richiede attrezzatura specifica per salite e discese.</t>
  </si>
  <si>
    <t>Qual è la lunghezza standard di uno sci da gara per uomini?</t>
  </si>
  <si>
    <t>A. 160 cm B. 170 cm C. 180 cm D. 200 cm</t>
  </si>
  <si>
    <t>180 cm</t>
  </si>
  <si>
    <t>Gli sci da gara per uomini solitamente misurano circa 180 cm.</t>
  </si>
  <si>
    <t>Qual è la funzione degli zaini da sci?</t>
  </si>
  <si>
    <t>A. Trasportare cibo e acqua B. Protezione in caso di caduta C. Trasportare l'attrezzatura D. Trasportare la sciolina</t>
  </si>
  <si>
    <t>Trasportare l'attrezzatura</t>
  </si>
  <si>
    <t>Gli zaini da sci sono utili per trasportare attrezzatura in montagna.</t>
  </si>
  <si>
    <t>Qual è il significato di "impianto di risalita"?</t>
  </si>
  <si>
    <t>A. Sistema per produrre neve B. Struttura per salire in montagna C. Punto di partenza delle piste D. Sistema di sicurezza per sciatori</t>
  </si>
  <si>
    <t>Struttura per salire in montagna</t>
  </si>
  <si>
    <t>Gli impianti di risalita permettono agli sciatori di raggiungere la cima delle piste.</t>
  </si>
  <si>
    <t>Qual è il nome del famoso percorso di sci in Val Gardena?</t>
  </si>
  <si>
    <t>A. Gran Risa B. Tofane C. Saslong D. Stelvio</t>
  </si>
  <si>
    <t>Saslong</t>
  </si>
  <si>
    <t>La pista Saslong è una delle più famose in Val Gardena.</t>
  </si>
  <si>
    <t>Qual è l'obiettivo principale nel freeride?</t>
  </si>
  <si>
    <t>A. Velocità B. Salti acrobatici C. Sci su neve fresca D. Superare un avversario</t>
  </si>
  <si>
    <t>Sci su neve fresca</t>
  </si>
  <si>
    <t>Il freeride si pratica su neve fresca e non battuta.</t>
  </si>
  <si>
    <t>Qual è il significato di "salto con gli sci"?</t>
  </si>
  <si>
    <t>A. Competizione di velocità B. Competizione di distanza C. Competizione di stile D. Competizione di resistenza</t>
  </si>
  <si>
    <t>Competizione di distanza</t>
  </si>
  <si>
    <t>Il salto con gli sci mira a raggiungere la distanza maggiore.</t>
  </si>
  <si>
    <t>Qual è la funzione principale dei bastoncini da sci?</t>
  </si>
  <si>
    <t>A. Stabilizzare durante la discesa B. Aiutare nelle salite C. Ridurre la fatica D. Mantenere l'equilibrio</t>
  </si>
  <si>
    <t>Mantenere l'equilibrio</t>
  </si>
  <si>
    <t>I bastoncini da sci aiutano a mantenere l'equilibrio e facilitano le curve.</t>
  </si>
  <si>
    <t>Qual è il nome dell’attrezzatura utilizzata per salire in sci alpinismo?</t>
  </si>
  <si>
    <t>A. Ramponi B. Pelli di foca C. Sciolina speciale D. Scarponi da trekking</t>
  </si>
  <si>
    <t>Pelli di foca</t>
  </si>
  <si>
    <t>Le pelli di foca permettono di aderire alla neve durante la salita.</t>
  </si>
  <si>
    <t>Quale colore identifica le piste più difficili in Italia?</t>
  </si>
  <si>
    <t>A. Blu B. Rosso C. Nero D. Verde</t>
  </si>
  <si>
    <t>Nero</t>
  </si>
  <si>
    <t>Le piste nere sono le più difficili per pendenza e tecnica richiesta.</t>
  </si>
  <si>
    <t>Qual è l’obiettivo principale nello snowboard cross?</t>
  </si>
  <si>
    <t>A. Velocità in discesa B. Superare gli ostacoli C. Superare gli avversari D. Effettuare salti tecnici</t>
  </si>
  <si>
    <t>Superare gli avversari</t>
  </si>
  <si>
    <t>Nello snowboard cross si gareggia direttamente contro altri concorrenti.</t>
  </si>
  <si>
    <t>Qual è il termine per una serie di curve rapide in discesa?</t>
  </si>
  <si>
    <t>A. Slalom B. Carving C. Freeride D. Telemark</t>
  </si>
  <si>
    <t>Lo slalom prevede una serie di curve rapide.</t>
  </si>
  <si>
    <t>Qual è il principale rischio dello sci su neve fresca?</t>
  </si>
  <si>
    <t>A. Valanghe B. Scivolamento C. Vento forte D. Ghiaccio nascosto</t>
  </si>
  <si>
    <t>Valanghe</t>
  </si>
  <si>
    <t>Lo sci su neve fresca può comportare il rischio di valanghe.</t>
  </si>
  <si>
    <t>Qual è il materiale utilizzato per migliorare la velocità sugli sci?</t>
  </si>
  <si>
    <t>A. Grafite B. Plastica C. Cera D. Fibra di vetro</t>
  </si>
  <si>
    <t>Cera</t>
  </si>
  <si>
    <t>La cera viene applicata per ridurre l'attrito e migliorare la velocità.</t>
  </si>
  <si>
    <t>Qual è la funzione di un casco nello sci?</t>
  </si>
  <si>
    <t>A. Migliorare l’aerodinamica B. Protezione contro gli urti C. Tenere la testa calda D. Stabilizzare la visione</t>
  </si>
  <si>
    <t>Protezione contro gli urti</t>
  </si>
  <si>
    <t>Il casco protegge dagli urti in caso di cadute o collisioni.</t>
  </si>
  <si>
    <t>Quale tipo di sci è progettato per la velocità?</t>
  </si>
  <si>
    <t>A. Sci da fondo B. Sci da carving C. Sci da discesa D. Sci Twin-Tip</t>
  </si>
  <si>
    <t>Sci da discesa</t>
  </si>
  <si>
    <t>Gli sci da discesa sono progettati per raggiungere alte velocità.</t>
  </si>
  <si>
    <t>Qual è il termine per l’area dove si prendono gli impianti di risalita?</t>
  </si>
  <si>
    <t>A. Base della pista B. Stazione di valle C. Punto di partenza D. Piazzola di accesso</t>
  </si>
  <si>
    <t>Stazione di valle</t>
  </si>
  <si>
    <t>La stazione di valle è l'area di accesso agli impianti di risalita.</t>
  </si>
  <si>
    <t>Qual è la tecnica base per frenare nello sci alpino?</t>
  </si>
  <si>
    <t>A. Curva parallela B. Spazzaneve C. Frenata laterale D. Scivolata</t>
  </si>
  <si>
    <t>La tecnica dello spazzaneve è la più utilizzata per frenare dai principianti.</t>
  </si>
  <si>
    <t>Qual è l’obiettivo del biathlon?</t>
  </si>
  <si>
    <t>A. Raggiungere la velocità massima B. Tirare con precisione mentre si scia C. Mantenere l’equilibrio durante i salti D. Superare un avversario</t>
  </si>
  <si>
    <t>Tirare con precisione mentre si scia</t>
  </si>
  <si>
    <t>Il biathlon combina sci di fondo e tiro al bersaglio.</t>
  </si>
  <si>
    <t>Qual è il termine per una pista preparata per il freestyle?</t>
  </si>
  <si>
    <t>A. Half-pipe B. Ski Park C. Pista acrobatica D. Pista rossa</t>
  </si>
  <si>
    <t>Half-pipe</t>
  </si>
  <si>
    <t>Il half-pipe è una pista utilizzata per acrobazie nel freestyle.</t>
  </si>
  <si>
    <t>Qual è la temperatura ideale per la conservazione della neve artificiale?</t>
  </si>
  <si>
    <t>A. -10°C B. -5°C C. 0°C D. +5°C</t>
  </si>
  <si>
    <t>-5°C</t>
  </si>
  <si>
    <t>La neve artificiale si conserva meglio a temperature intorno a -5°C.</t>
  </si>
  <si>
    <t>Qual è l’obiettivo principale nelle gare di Super G?</t>
  </si>
  <si>
    <t>A. Scendere nel minor tempo possibile B. Effettuare curve perfette C. Mantenere la velocità costante D. Superare un avversario</t>
  </si>
  <si>
    <t>Scendere nel minor tempo possibile</t>
  </si>
  <si>
    <t>Il Super G è una gara di velocità e tecnica.</t>
  </si>
  <si>
    <t>Qual è il significato di "carving" nello sci?</t>
  </si>
  <si>
    <t>A. Curvare con precisione B. Accelerare in discesa C. Salire più rapidamente D. Mantenere una linea dritta</t>
  </si>
  <si>
    <t>Il carving si riferisce a curve precise sugli sci.</t>
  </si>
  <si>
    <t>Quale dispositivo viene utilizzato per la sicurezza contro le valanghe?</t>
  </si>
  <si>
    <t>A. Transponder B. Sonda C. Airbag D. Kit di primo soccorso</t>
  </si>
  <si>
    <t>Airbag</t>
  </si>
  <si>
    <t>Gli airbag da valanga possono aumentare le possibilità di sopravvivenza.</t>
  </si>
  <si>
    <t>Qual è la lunghezza tipica di uno sci da freestyle?</t>
  </si>
  <si>
    <t>A. 160 cm B. 170 cm C. 180 cm D. 190 cm</t>
  </si>
  <si>
    <t>170 cm</t>
  </si>
  <si>
    <t>Gli sci da freestyle sono generalmente più corti per facilitare le acrobazie.</t>
  </si>
  <si>
    <t>Qual è l'obiettivo principale nelle gare di slalom gigante?</t>
  </si>
  <si>
    <t>A. Effettuare curve ampie e veloci B. Superare un avversario C. Mantenere una linea dritta D. Scendere con velocità costante</t>
  </si>
  <si>
    <t>Effettuare curve ampie e veloci</t>
  </si>
  <si>
    <t>Lo slalom gigante richiede curve tecniche e ampie a velocità sostenute.</t>
  </si>
  <si>
    <t>Qual è il nome del sistema per misurare il tempo nelle gare di sci?</t>
  </si>
  <si>
    <t>A. Cronografo B. Telemetria C. Cronometro elettronico D. Timer manuale</t>
  </si>
  <si>
    <t>Cronometro elettronico</t>
  </si>
  <si>
    <t>Il cronometro elettronico assicura misurazioni precise nelle competizioni.</t>
  </si>
  <si>
    <t>Qual è la funzione dei guanti da sci?</t>
  </si>
  <si>
    <t>A. Proteggere dal freddo B. Assorbire gli urti C. Migliorare l’aderenza D. Bloccare il vento</t>
  </si>
  <si>
    <t>Proteggere dal freddo</t>
  </si>
  <si>
    <t>I guanti da sci mantengono le mani calde durante l'attività.</t>
  </si>
  <si>
    <t>Qual è il significato di "pattinaggio" nello sci di fondo?</t>
  </si>
  <si>
    <t>A. Sciare in discesa veloce B. Utilizzare i bastoncini in modo alternato C. Spingere lateralmente con gli sci D. Effettuare curve rapide</t>
  </si>
  <si>
    <t>Spingere lateralmente con gli sci</t>
  </si>
  <si>
    <t>La tecnica del pattinaggio aumenta la velocità nel fondo.</t>
  </si>
  <si>
    <t>Qual è il nome della famosa gara di sci in discesa libera a Kitzbühel?</t>
  </si>
  <si>
    <t>A. Saslong B. Streif C. Gran Risa D. Lauberhorn</t>
  </si>
  <si>
    <t>Streif</t>
  </si>
  <si>
    <t>La Streif è una delle piste più difficili e prestigiose.</t>
  </si>
  <si>
    <t>Qual è il vantaggio degli sci rocker?</t>
  </si>
  <si>
    <t>A. Migliore galleggiamento su neve fresca B. Maggior velocità in pista C. Riduzione del peso D. Curvatura più rigida</t>
  </si>
  <si>
    <t>Migliore galleggiamento su neve fresca</t>
  </si>
  <si>
    <t>Gli sci rocker offrono maggiore maneggevolezza su neve fresca.</t>
  </si>
  <si>
    <t>Qual è il termine per un gruppo di piste collegate?</t>
  </si>
  <si>
    <t>A. Comprensorio sciistico B. Pista circolare C. Area alpina D. Anello di sci</t>
  </si>
  <si>
    <t>Comprensorio sciistico</t>
  </si>
  <si>
    <t>Un comprensorio sciistico collega diverse piste e impianti di risalita.</t>
  </si>
  <si>
    <t>Qual è l'attrezzatura essenziale per lo sci di fondo?</t>
  </si>
  <si>
    <t>A. Scioli da freestyle B. Bastoncini lunghi C. Pelli di foca D. Sci stretti e leggeri</t>
  </si>
  <si>
    <t>Sci stretti e leggeri</t>
  </si>
  <si>
    <t>Gli sci di fondo sono progettati per essere leggeri e stretti.</t>
  </si>
  <si>
    <t>Qual è il ruolo degli scarponi nello sci alpino?</t>
  </si>
  <si>
    <t>A. Fornire calore B. Proteggere dagli urti C. Trasmettere energia agli sci D. Supportare l’equilibrio</t>
  </si>
  <si>
    <t>Trasmettere energia agli sci</t>
  </si>
  <si>
    <t>Gli scarponi trasferiscono il movimento del corpo agli sci.</t>
  </si>
  <si>
    <t>Qual è il significato di "pista battuta"?</t>
  </si>
  <si>
    <t>A. Pista con neve fresca B. Pista preparata con macchinari C. Pista con ostacoli D. Pista con neve ghiacciata</t>
  </si>
  <si>
    <t>Pista preparata con macchinari</t>
  </si>
  <si>
    <t>Una pista battuta è lisciata e preparata per lo sci.</t>
  </si>
  <si>
    <t>Qual è il nome del dispositivo che permette di fissare gli sci al piede?</t>
  </si>
  <si>
    <t>A. Lamina B. Attacco C. Sciolina D. Bastoncino</t>
  </si>
  <si>
    <t>Attacco</t>
  </si>
  <si>
    <t>Gli attacchi fissano gli sci agli scarponi.</t>
  </si>
  <si>
    <t>Qual è la funzione delle maschere anti-UV nello sci?</t>
  </si>
  <si>
    <t>A. Migliorare la visibilità B. Proteggere dagli urti C. Bloccare i raggi ultravioletti D. Assorbire il sudore</t>
  </si>
  <si>
    <t>Bloccare i raggi ultravioletti</t>
  </si>
  <si>
    <t>Le maschere anti-UV proteggono gli occhi dal sole in montagna.</t>
  </si>
  <si>
    <t>Qual è la differenza principale tra lo sci di fondo e lo sci alpino?</t>
  </si>
  <si>
    <t>A. Tipo di neve B. Velocità C. Attrezzatura e tecnica D. Luogo di pratica</t>
  </si>
  <si>
    <t>Lo sci di fondo utilizza attrezzatura e tecniche diverse rispetto allo sci alpino.</t>
  </si>
  <si>
    <t>Qual è il termine per una caduta in cui gli sci si incrociano?</t>
  </si>
  <si>
    <t>A. Caduta a cuneo B. Caduta a spazzaneve C. Caduta a forbice D. Caduta parallela</t>
  </si>
  <si>
    <t>Caduta a forbice</t>
  </si>
  <si>
    <t>Le cadute a forbice avvengono quando gli sci si incrociano.</t>
  </si>
  <si>
    <t>Qual è il principale obiettivo delle lezioni di sci per principianti?</t>
  </si>
  <si>
    <t>A. Apprendere la velocità B. Apprendere il controllo C. Imparare a saltare D. Imparare a sciare in neve fresca</t>
  </si>
  <si>
    <t>Apprendere il controllo</t>
  </si>
  <si>
    <t>Le lezioni per principianti si concentrano sul controllo e sull’equilibrio.</t>
  </si>
  <si>
    <t>Qual è la funzione principale degli zaini airbag per sciatori?</t>
  </si>
  <si>
    <t>A. Aumentare la capacità di trasporto B. Protezione durante una valanga C. Facilitare i salti D. Conservare gli sci</t>
  </si>
  <si>
    <t>Protezione durante una valanga</t>
  </si>
  <si>
    <t>Gli zaini airbag aiutano a rimanere in superficie in caso di valanga.</t>
  </si>
  <si>
    <t>Qual è il termine per una gara di sci su neve artificiale?</t>
  </si>
  <si>
    <t>A. Competizione indoor B. Discesa sintetica C. Slalom artificiale D. Slalom indoor</t>
  </si>
  <si>
    <t>Competizione indoor</t>
  </si>
  <si>
    <t>Le competizioni indoor si svolgono su neve artificiale.</t>
  </si>
  <si>
    <t>Qual è il significato di "skibrake"?</t>
  </si>
  <si>
    <t>A. Dispositivo per ridurre la velocità B. Blocco automatico degli sci C. Sistema di sicurezza per evitare la perdita degli sci D. Freno per le discese ripide</t>
  </si>
  <si>
    <t>Sistema di sicurezza per evitare la perdita degli sci</t>
  </si>
  <si>
    <t>Gli skibrake impediscono agli sci di scivolare via in caso di caduta.</t>
  </si>
  <si>
    <t>Qual è la principale differenza tra snowboard e sci?</t>
  </si>
  <si>
    <t>A. Tipo di superficie B. Attrezzatura e tecnica C. Velocità massima D. Stile di gara</t>
  </si>
  <si>
    <t>Lo snowboard utilizza una tavola mentre lo sci utilizza due sci.</t>
  </si>
  <si>
    <t>Qual è la funzione delle piste segnalate in montagna?</t>
  </si>
  <si>
    <t>A. Identificare i livelli di difficoltà B. Orientare gli escursionisti C. Mantenere la sicurezza D. Indicare il percorso più veloce</t>
  </si>
  <si>
    <t>Identificare i livelli di difficoltà</t>
  </si>
  <si>
    <t>Le piste segnalate indicano i livelli di difficoltà per gli sciatori.</t>
  </si>
  <si>
    <t>Qual è il termine per una gara di slalom a due manche?</t>
  </si>
  <si>
    <t>A. Slalom parallelo B. Slalom combinato C. Slalom gigante D. Slalom speciale</t>
  </si>
  <si>
    <t>Slalom speciale</t>
  </si>
  <si>
    <t>Lo slalom speciale prevede due manche su percorsi diversi.</t>
  </si>
  <si>
    <t>Qual è il tipo di sci utilizzato per le competizioni su ghiaccio?</t>
  </si>
  <si>
    <t>A. Sci Twin-Tip B. Sci da carving C. Sci da ghiaccio D. Sci con lamine rinforzate</t>
  </si>
  <si>
    <t>Sci con lamine rinforzate</t>
  </si>
  <si>
    <t>Gli sci con lamine rinforzate offrono una migliore aderenza sul ghiaccio.</t>
  </si>
  <si>
    <t>Qual è l'obiettivo principale nella combinata nordica?</t>
  </si>
  <si>
    <t>A. Vincere la gara di salto B. Combinare sci di fondo e salto C. Effettuare il percorso più veloce D. Superare gli avversari in velocità</t>
  </si>
  <si>
    <t>Combinare sci di fondo e salto</t>
  </si>
  <si>
    <t>La combinata nordica unisce salto con gli sci e sci di fondo.</t>
  </si>
  <si>
    <t>Qual è il termine per descrivere una curva ampia in velocità?</t>
  </si>
  <si>
    <t>A. Curva da carving B. Curva in spazzaneve C. Curva in parallelo D. Curva in telemark</t>
  </si>
  <si>
    <t>Curva da carving</t>
  </si>
  <si>
    <t>Le curve da carving sono ampie e precise.</t>
  </si>
  <si>
    <t>Qual è il principale obiettivo del casco integrale nello sci?</t>
  </si>
  <si>
    <t>A. Protezione completa B. Bloccare il vento C. Migliorare l’aerodinamica D. Supportare il viso</t>
  </si>
  <si>
    <t>Protezione completa</t>
  </si>
  <si>
    <t>Il casco integrale offre protezione totale per la testa e il viso.</t>
  </si>
  <si>
    <t>Qual è il significato del termine "impianto sciistico chiuso"?</t>
  </si>
  <si>
    <t>A. Chiusura per neve fresca B. Impianto non funzionante C. Impianto senza accesso D. Impianto temporaneamente fermo</t>
  </si>
  <si>
    <t>Impianto non funzionante</t>
  </si>
  <si>
    <t>Gli impianti chiusi non sono operativi per manutenzione o condizioni avverse.</t>
  </si>
  <si>
    <t>Qual è il materiale utilizzato per costruire gli sci più leggeri?</t>
  </si>
  <si>
    <t>A. Legno B. Fibra di carbonio C. Plastica rinforzata D. Alluminio</t>
  </si>
  <si>
    <t>Fibra di carbonio</t>
  </si>
  <si>
    <t>Gli sci in fibra di carbonio sono estremamente leggeri e performanti.</t>
  </si>
  <si>
    <t>Qual è la funzione principale dei parastinchi nelle gare di slalom?</t>
  </si>
  <si>
    <t>A. Protezione dagli urti B. Migliorare la velocità C. Ridurre la resistenza al vento D. Aumentare l’equilibrio</t>
  </si>
  <si>
    <t>Protezione dagli urti</t>
  </si>
  <si>
    <t>I parastinchi proteggono dagli impatti con i pali durante lo slalom.</t>
  </si>
  <si>
    <t>Qual è il termine per una gara su pendii ripidi?</t>
  </si>
  <si>
    <t>A. Discesa estrema B. Freeride C. Slalom gigante D. Big Mountain</t>
  </si>
  <si>
    <t>Discesa estrema</t>
  </si>
  <si>
    <t>La discesa estrema si svolge su pendii molto ripidi e tecnici.</t>
  </si>
  <si>
    <t>Qual è il ruolo delle cinghie sugli zaini da sci?</t>
  </si>
  <si>
    <t>A. Distribuire il peso B. Aumentare la stabilità C. Facilitare il trasporto D. Ridurre la fatica</t>
  </si>
  <si>
    <t>Aumentare la stabilità</t>
  </si>
  <si>
    <t>Le cinghie mantengono lo zaino stabile durante la discesa.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</si>
</sst>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bottom" wrapText="0"/>
    </xf>
    <xf borderId="0" fillId="0" fontId="2" numFmtId="0" xfId="0" applyAlignment="1" applyFont="1">
      <alignment vertical="bottom"/>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readingOrder="0" vertical="bottom"/>
    </xf>
    <xf borderId="0" fillId="0" fontId="2" numFmtId="0" xfId="0" applyAlignment="1" applyFont="1">
      <alignment horizontal="left" readingOrder="0" shrinkToFit="0" vertical="bottom" wrapText="0"/>
    </xf>
    <xf quotePrefix="1" borderId="0" fillId="0" fontId="2" numFmtId="0" xfId="0" applyAlignment="1" applyFont="1">
      <alignment shrinkToFit="0" vertical="bottom" wrapText="0"/>
    </xf>
    <xf borderId="0" fillId="0" fontId="3" numFmtId="0" xfId="0" applyAlignment="1" applyFont="1">
      <alignment shrinkToFit="0" vertical="center" wrapText="0"/>
    </xf>
    <xf borderId="0" fillId="0" fontId="2" numFmtId="0" xfId="0" applyAlignment="1" applyFont="1">
      <alignment horizontal="right" readingOrder="0" shrinkToFit="0" vertical="bottom" wrapText="0"/>
    </xf>
    <xf borderId="0" fillId="0" fontId="2" numFmtId="164" xfId="0" applyAlignment="1" applyFont="1" applyNumberFormat="1">
      <alignment horizontal="right" shrinkToFit="0" vertical="bottom" wrapText="0"/>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2" numFmtId="0" xfId="0" applyAlignment="1" applyFont="1">
      <alignment horizontal="righ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8">
    <tableStyle count="4" pivot="0" name="Calcio_history-style">
      <tableStyleElement dxfId="1" type="headerRow"/>
      <tableStyleElement dxfId="2" type="firstRowStripe"/>
      <tableStyleElement dxfId="3" type="secondRowStripe"/>
      <tableStyleElement dxfId="4" size="0" type="wholeTable"/>
    </tableStyle>
    <tableStyle count="4" pivot="0" name="Calcio_history-style 2">
      <tableStyleElement dxfId="1" type="headerRow"/>
      <tableStyleElement dxfId="2" type="firstRowStripe"/>
      <tableStyleElement dxfId="3" type="secondRowStripe"/>
      <tableStyleElement dxfId="4" size="0" type="wholeTable"/>
    </tableStyle>
    <tableStyle count="4" pivot="0" name="bocce_history-style">
      <tableStyleElement dxfId="1" type="headerRow"/>
      <tableStyleElement dxfId="2" type="firstRowStripe"/>
      <tableStyleElement dxfId="3" type="secondRowStripe"/>
      <tableStyleElement dxfId="4" size="0" type="wholeTable"/>
    </tableStyle>
    <tableStyle count="4" pivot="0" name="bocce_history-style 2">
      <tableStyleElement dxfId="1" type="headerRow"/>
      <tableStyleElement dxfId="2" type="firstRowStripe"/>
      <tableStyleElement dxfId="3" type="secondRowStripe"/>
      <tableStyleElement dxfId="4" size="0" type="wholeTable"/>
    </tableStyle>
    <tableStyle count="4" pivot="0" name="Pallone_history-style">
      <tableStyleElement dxfId="1" type="headerRow"/>
      <tableStyleElement dxfId="2" type="firstRowStripe"/>
      <tableStyleElement dxfId="3" type="secondRowStripe"/>
      <tableStyleElement dxfId="4" size="0" type="wholeTable"/>
    </tableStyle>
    <tableStyle count="4" pivot="0" name="Pallone_history-style 2">
      <tableStyleElement dxfId="1" type="headerRow"/>
      <tableStyleElement dxfId="2" type="firstRowStripe"/>
      <tableStyleElement dxfId="3" type="secondRowStripe"/>
      <tableStyleElement dxfId="4" size="0" type="wholeTable"/>
    </tableStyle>
    <tableStyle count="4" pivot="0" name="palio_history-style">
      <tableStyleElement dxfId="1" type="headerRow"/>
      <tableStyleElement dxfId="2" type="firstRowStripe"/>
      <tableStyleElement dxfId="3" type="secondRowStripe"/>
      <tableStyleElement dxfId="4" size="0" type="wholeTable"/>
    </tableStyle>
    <tableStyle count="4" pivot="0" name="palio_history-style 2">
      <tableStyleElement dxfId="1" type="headerRow"/>
      <tableStyleElement dxfId="2" type="firstRowStripe"/>
      <tableStyleElement dxfId="3" type="secondRowStripe"/>
      <tableStyleElement dxfId="4" size="0" type="wholeTable"/>
    </tableStyle>
    <tableStyle count="4" pivot="0" name="Ruzzola_history-style">
      <tableStyleElement dxfId="1" type="headerRow"/>
      <tableStyleElement dxfId="2" type="firstRowStripe"/>
      <tableStyleElement dxfId="3" type="secondRowStripe"/>
      <tableStyleElement dxfId="4" size="0" type="wholeTable"/>
    </tableStyle>
    <tableStyle count="4" pivot="0" name="Ruzzola_history-style 2">
      <tableStyleElement dxfId="1" type="headerRow"/>
      <tableStyleElement dxfId="2" type="firstRowStripe"/>
      <tableStyleElement dxfId="3" type="secondRowStripe"/>
      <tableStyleElement dxfId="4" size="0" type="wholeTable"/>
    </tableStyle>
    <tableStyle count="4" pivot="0" name="pallanuto_history-style">
      <tableStyleElement dxfId="1" type="headerRow"/>
      <tableStyleElement dxfId="2" type="firstRowStripe"/>
      <tableStyleElement dxfId="3" type="secondRowStripe"/>
      <tableStyleElement dxfId="4" size="0" type="wholeTable"/>
    </tableStyle>
    <tableStyle count="4" pivot="0" name="pallanuto_history-style 2">
      <tableStyleElement dxfId="1" type="headerRow"/>
      <tableStyleElement dxfId="2" type="firstRowStripe"/>
      <tableStyleElement dxfId="3" type="secondRowStripe"/>
      <tableStyleElement dxfId="4" size="0" type="wholeTable"/>
    </tableStyle>
    <tableStyle count="4" pivot="0" name="pallavolo_history-style">
      <tableStyleElement dxfId="1" type="headerRow"/>
      <tableStyleElement dxfId="2" type="firstRowStripe"/>
      <tableStyleElement dxfId="3" type="secondRowStripe"/>
      <tableStyleElement dxfId="4" size="0" type="wholeTable"/>
    </tableStyle>
    <tableStyle count="4" pivot="0" name="pallavolo_history-style 2">
      <tableStyleElement dxfId="1" type="headerRow"/>
      <tableStyleElement dxfId="2" type="firstRowStripe"/>
      <tableStyleElement dxfId="3" type="secondRowStripe"/>
      <tableStyleElement dxfId="4" size="0" type="wholeTable"/>
    </tableStyle>
    <tableStyle count="4" pivot="0" name="morra_history-style">
      <tableStyleElement dxfId="1" type="headerRow"/>
      <tableStyleElement dxfId="2" type="firstRowStripe"/>
      <tableStyleElement dxfId="3" type="secondRowStripe"/>
      <tableStyleElement dxfId="4" size="0" type="wholeTable"/>
    </tableStyle>
    <tableStyle count="4" pivot="0" name="morra_history-style 2">
      <tableStyleElement dxfId="1" type="headerRow"/>
      <tableStyleElement dxfId="2" type="firstRowStripe"/>
      <tableStyleElement dxfId="3" type="secondRowStripe"/>
      <tableStyleElement dxfId="4" size="0" type="wholeTable"/>
    </tableStyle>
    <tableStyle count="4" pivot="0" name="skiing_history-style">
      <tableStyleElement dxfId="1" type="headerRow"/>
      <tableStyleElement dxfId="2" type="firstRowStripe"/>
      <tableStyleElement dxfId="3" type="secondRowStripe"/>
      <tableStyleElement dxfId="4" size="0" type="wholeTable"/>
    </tableStyle>
    <tableStyle count="4" pivot="0" name="skiing_history-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49" displayName="Table16" name="Table16" id="1">
  <tableColumns count="5">
    <tableColumn name="Question Number" id="1"/>
    <tableColumn name="Domanda" id="2"/>
    <tableColumn name="Opzioni" id="3"/>
    <tableColumn name="Risposta corretta" id="4"/>
    <tableColumn name="Descrizione" id="5"/>
  </tableColumns>
  <tableStyleInfo name="Calcio_history-style" showColumnStripes="0" showFirstColumn="1" showLastColumn="1" showRowStripes="1"/>
</table>
</file>

<file path=xl/tables/table2.xml><?xml version="1.0" encoding="utf-8"?>
<table xmlns="http://schemas.openxmlformats.org/spreadsheetml/2006/main" ref="G1:K149" displayName="Table17" name="Table17" id="2">
  <tableColumns count="5">
    <tableColumn name="Question Number" id="1"/>
    <tableColumn name="Question" id="2"/>
    <tableColumn name="Options" id="3"/>
    <tableColumn name="Correct Answer" id="4"/>
    <tableColumn name="Description" id="5"/>
  </tableColumns>
  <tableStyleInfo name="Calcio_history-style 2" showColumnStripes="0" showFirstColumn="1" showLastColumn="1" showRowStripes="1"/>
</table>
</file>

<file path=xl/tables/table3.xml><?xml version="1.0" encoding="utf-8"?>
<table xmlns="http://schemas.openxmlformats.org/spreadsheetml/2006/main" ref="A1:E157" displayName="Table1" name="Table1" id="3">
  <tableColumns count="5">
    <tableColumn name="Numero di Domanda" id="1"/>
    <tableColumn name="Domanda" id="2"/>
    <tableColumn name="Opzioni" id="3"/>
    <tableColumn name="Risposta Corretta" id="4"/>
    <tableColumn name="Descrizione" id="5"/>
  </tableColumns>
  <tableStyleInfo name="bocce_history-style" showColumnStripes="0" showFirstColumn="1" showLastColumn="1" showRowStripes="1"/>
</table>
</file>

<file path=xl/tables/table4.xml><?xml version="1.0" encoding="utf-8"?>
<table xmlns="http://schemas.openxmlformats.org/spreadsheetml/2006/main" ref="H1:L157" displayName="Table18" name="Table18" id="4">
  <tableColumns count="5">
    <tableColumn name="Question Number" id="1"/>
    <tableColumn name="Question" id="2"/>
    <tableColumn name="Options" id="3"/>
    <tableColumn name="Correct Answer" id="4"/>
    <tableColumn name="Description" id="5"/>
  </tableColumns>
  <tableStyleInfo name="bocce_history-style 2" showColumnStripes="0" showFirstColumn="1" showLastColumn="1" showRowStripes="1"/>
</table>
</file>

<file path=xl/tables/table5.xml><?xml version="1.0" encoding="utf-8"?>
<table xmlns="http://schemas.openxmlformats.org/spreadsheetml/2006/main" ref="A1:E166" displayName="Table14" name="Table14" id="5">
  <tableColumns count="5">
    <tableColumn name="Question Number" id="1"/>
    <tableColumn name="Domanda" id="2"/>
    <tableColumn name="Opzioni" id="3"/>
    <tableColumn name="Risposta corretta" id="4"/>
    <tableColumn name="Descrizione" id="5"/>
  </tableColumns>
  <tableStyleInfo name="Pallone_history-style" showColumnStripes="0" showFirstColumn="1" showLastColumn="1" showRowStripes="1"/>
</table>
</file>

<file path=xl/tables/table6.xml><?xml version="1.0" encoding="utf-8"?>
<table xmlns="http://schemas.openxmlformats.org/spreadsheetml/2006/main" ref="G1:K166" displayName="Table15" name="Table15" id="6">
  <tableColumns count="5">
    <tableColumn name="Question Number" id="1"/>
    <tableColumn name="Question" id="2"/>
    <tableColumn name="Options" id="3"/>
    <tableColumn name="Correct Answer" id="4"/>
    <tableColumn name="Description" id="5"/>
  </tableColumns>
  <tableStyleInfo name="Pallone_history-style 2" showColumnStripes="0" showFirstColumn="1" showLastColumn="1" showRowStripes="1"/>
</table>
</file>

<file path=xl/tables/table7.xml><?xml version="1.0" encoding="utf-8"?>
<table xmlns="http://schemas.openxmlformats.org/spreadsheetml/2006/main" ref="A1:E147" displayName="Table12" name="Table12" id="7">
  <tableColumns count="5">
    <tableColumn name="Question Number" id="1"/>
    <tableColumn name="Domanda" id="2"/>
    <tableColumn name="Opzioni" id="3"/>
    <tableColumn name="Risposta corretta" id="4"/>
    <tableColumn name="Descrizione" id="5"/>
  </tableColumns>
  <tableStyleInfo name="palio_history-style" showColumnStripes="0" showFirstColumn="1" showLastColumn="1" showRowStripes="1"/>
</table>
</file>

<file path=xl/tables/table8.xml><?xml version="1.0" encoding="utf-8"?>
<table xmlns="http://schemas.openxmlformats.org/spreadsheetml/2006/main" ref="G1:K147" displayName="Table13" name="Table13" id="8">
  <tableColumns count="5">
    <tableColumn name="Question Number" id="1"/>
    <tableColumn name="Question" id="2"/>
    <tableColumn name="Option A" id="3"/>
    <tableColumn name="Correct Answer" id="4"/>
    <tableColumn name="Description" id="5"/>
  </tableColumns>
  <tableStyleInfo name="palio_history-style 2" showColumnStripes="0" showFirstColumn="1" showLastColumn="1" showRowStripes="1"/>
</table>
</file>

<file path=xl/tables/table9.xml><?xml version="1.0" encoding="utf-8"?>
<table xmlns="http://schemas.openxmlformats.org/spreadsheetml/2006/main" ref="A1:E140" displayName="Table10" name="Table10" id="9">
  <tableColumns count="5">
    <tableColumn name="Question Number" id="1"/>
    <tableColumn name="Domanda" id="2"/>
    <tableColumn name="Opzioni" id="3"/>
    <tableColumn name="Risposta corretta" id="4"/>
    <tableColumn name="Descrizione" id="5"/>
  </tableColumns>
  <tableStyleInfo name="Ruzzola_history-style" showColumnStripes="0" showFirstColumn="1" showLastColumn="1" showRowStripes="1"/>
</table>
</file>

<file path=xl/tables/table10.xml><?xml version="1.0" encoding="utf-8"?>
<table xmlns="http://schemas.openxmlformats.org/spreadsheetml/2006/main" ref="H1:L140" displayName="Table11" name="Table11" id="10">
  <tableColumns count="5">
    <tableColumn name="Question Number" id="1"/>
    <tableColumn name="Question" id="2"/>
    <tableColumn name="Options" id="3"/>
    <tableColumn name="Correct Answer" id="4"/>
    <tableColumn name="Description" id="5"/>
  </tableColumns>
  <tableStyleInfo name="Ruzzola_history-style 2" showColumnStripes="0" showFirstColumn="1" showLastColumn="1" showRowStripes="1"/>
</table>
</file>

<file path=xl/tables/table11.xml><?xml version="1.0" encoding="utf-8"?>
<table xmlns="http://schemas.openxmlformats.org/spreadsheetml/2006/main" ref="A1:E151" displayName="Table8" name="Table8" id="11">
  <tableColumns count="5">
    <tableColumn name="Numero Domanda" id="1"/>
    <tableColumn name="Domanda" id="2"/>
    <tableColumn name="Opzioni" id="3"/>
    <tableColumn name="Risposta Corretta" id="4"/>
    <tableColumn name="Descrizione" id="5"/>
  </tableColumns>
  <tableStyleInfo name="pallanuto_history-style" showColumnStripes="0" showFirstColumn="1" showLastColumn="1" showRowStripes="1"/>
</table>
</file>

<file path=xl/tables/table12.xml><?xml version="1.0" encoding="utf-8"?>
<table xmlns="http://schemas.openxmlformats.org/spreadsheetml/2006/main" ref="G1:K151" displayName="Table9" name="Table9" id="12">
  <tableColumns count="5">
    <tableColumn name="Question Number" id="1"/>
    <tableColumn name="Request" id="2"/>
    <tableColumn name="Options" id="3"/>
    <tableColumn name="Correct Answer" id="4"/>
    <tableColumn name="Description" id="5"/>
  </tableColumns>
  <tableStyleInfo name="pallanuto_history-style 2" showColumnStripes="0" showFirstColumn="1" showLastColumn="1" showRowStripes="1"/>
</table>
</file>

<file path=xl/tables/table13.xml><?xml version="1.0" encoding="utf-8"?>
<table xmlns="http://schemas.openxmlformats.org/spreadsheetml/2006/main" ref="A1:E134" displayName="Table6" name="Table6" id="13">
  <tableColumns count="5">
    <tableColumn name="Question Number" id="1"/>
    <tableColumn name="Domanda" id="2"/>
    <tableColumn name="Opzioni" id="3"/>
    <tableColumn name="Risposta corretta" id="4"/>
    <tableColumn name="Descrizione" id="5"/>
  </tableColumns>
  <tableStyleInfo name="pallavolo_history-style" showColumnStripes="0" showFirstColumn="1" showLastColumn="1" showRowStripes="1"/>
</table>
</file>

<file path=xl/tables/table14.xml><?xml version="1.0" encoding="utf-8"?>
<table xmlns="http://schemas.openxmlformats.org/spreadsheetml/2006/main" ref="G1:K134" displayName="Table7" name="Table7" id="14">
  <tableColumns count="5">
    <tableColumn name="Question Number" id="1"/>
    <tableColumn name="Question" id="2"/>
    <tableColumn name="Options" id="3"/>
    <tableColumn name="Correct Answer" id="4"/>
    <tableColumn name="Description" id="5"/>
  </tableColumns>
  <tableStyleInfo name="pallavolo_history-style 2" showColumnStripes="0" showFirstColumn="1" showLastColumn="1" showRowStripes="1"/>
</table>
</file>

<file path=xl/tables/table15.xml><?xml version="1.0" encoding="utf-8"?>
<table xmlns="http://schemas.openxmlformats.org/spreadsheetml/2006/main" ref="A1:E102" displayName="Table4" name="Table4" id="15">
  <tableColumns count="5">
    <tableColumn name="Question Number" id="1"/>
    <tableColumn name="Domanda" id="2"/>
    <tableColumn name="Opzioni" id="3"/>
    <tableColumn name="Risposta corretta" id="4"/>
    <tableColumn name="Descrizione" id="5"/>
  </tableColumns>
  <tableStyleInfo name="morra_history-style" showColumnStripes="0" showFirstColumn="1" showLastColumn="1" showRowStripes="1"/>
</table>
</file>

<file path=xl/tables/table16.xml><?xml version="1.0" encoding="utf-8"?>
<table xmlns="http://schemas.openxmlformats.org/spreadsheetml/2006/main" ref="G1:K102" displayName="Table5" name="Table5" id="16">
  <tableColumns count="5">
    <tableColumn name="Question Number" id="1"/>
    <tableColumn name="Question" id="2"/>
    <tableColumn name="Options" id="3"/>
    <tableColumn name="Correct Answer" id="4"/>
    <tableColumn name="Description" id="5"/>
  </tableColumns>
  <tableStyleInfo name="morra_history-style 2" showColumnStripes="0" showFirstColumn="1" showLastColumn="1" showRowStripes="1"/>
</table>
</file>

<file path=xl/tables/table17.xml><?xml version="1.0" encoding="utf-8"?>
<table xmlns="http://schemas.openxmlformats.org/spreadsheetml/2006/main" ref="A1:E151" displayName="Table2" name="Table2" id="17">
  <tableColumns count="5">
    <tableColumn name="Question Number" id="1"/>
    <tableColumn name="Domanda" id="2"/>
    <tableColumn name="Opzioni" id="3"/>
    <tableColumn name="Risposta corretta" id="4"/>
    <tableColumn name="Description" id="5"/>
  </tableColumns>
  <tableStyleInfo name="skiing_history-style" showColumnStripes="0" showFirstColumn="1" showLastColumn="1" showRowStripes="1"/>
</table>
</file>

<file path=xl/tables/table18.xml><?xml version="1.0" encoding="utf-8"?>
<table xmlns="http://schemas.openxmlformats.org/spreadsheetml/2006/main" ref="H1:L151" displayName="Table3" name="Table3" id="18">
  <tableColumns count="5">
    <tableColumn name="Question Number" id="1"/>
    <tableColumn name="Question" id="2"/>
    <tableColumn name="Options" id="3"/>
    <tableColumn name="Correct Answer" id="4"/>
    <tableColumn name="Description" id="5"/>
  </tableColumns>
  <tableStyleInfo name="skiing_history-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3.xml"/><Relationship Id="rId5"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5.xml"/><Relationship Id="rId5"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7.xml"/><Relationship Id="rId5"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3" width="37.63"/>
    <col customWidth="1" min="4" max="4" width="34.0"/>
    <col customWidth="1" min="5" max="5" width="37.63"/>
    <col customWidth="1" min="7" max="7" width="19.5"/>
    <col customWidth="1" min="8" max="9" width="37.63"/>
    <col customWidth="1" min="10" max="10" width="31.38"/>
    <col customWidth="1" min="11" max="11" width="37.63"/>
  </cols>
  <sheetData>
    <row r="1" ht="22.5" customHeight="1">
      <c r="A1" s="1" t="s">
        <v>0</v>
      </c>
      <c r="B1" s="1" t="s">
        <v>1</v>
      </c>
      <c r="C1" s="2" t="s">
        <v>2</v>
      </c>
      <c r="D1" s="1" t="s">
        <v>3</v>
      </c>
      <c r="E1" s="1" t="s">
        <v>4</v>
      </c>
      <c r="F1" s="3"/>
      <c r="G1" s="1" t="s">
        <v>0</v>
      </c>
      <c r="H1" s="1" t="s">
        <v>5</v>
      </c>
      <c r="I1" s="1" t="s">
        <v>6</v>
      </c>
      <c r="J1" s="1" t="s">
        <v>7</v>
      </c>
      <c r="K1" s="1" t="s">
        <v>8</v>
      </c>
      <c r="L1" s="3"/>
      <c r="M1" s="3"/>
      <c r="N1" s="3"/>
      <c r="O1" s="3"/>
      <c r="P1" s="3"/>
      <c r="Q1" s="3"/>
      <c r="R1" s="3"/>
      <c r="S1" s="3"/>
      <c r="T1" s="3"/>
    </row>
    <row r="2" ht="22.5" customHeight="1">
      <c r="A2" s="4">
        <v>1.0</v>
      </c>
      <c r="B2" s="5" t="s">
        <v>9</v>
      </c>
      <c r="C2" s="4" t="s">
        <v>10</v>
      </c>
      <c r="D2" s="4">
        <v>27.0</v>
      </c>
      <c r="E2" s="5" t="s">
        <v>11</v>
      </c>
      <c r="F2" s="3"/>
      <c r="G2" s="5" t="str">
        <f>IFERROR(__xludf.DUMMYFUNCTION("GOOGLETRANSLATE(A2, ""it"", ""en"")"),"1")</f>
        <v>1</v>
      </c>
      <c r="H2" s="5" t="str">
        <f>IFERROR(__xludf.DUMMYFUNCTION("GOOGLETRANSLATE(B2, ""it"", ""en"")"),"How many players are there in a Calcio Storico team?")</f>
        <v>How many players are there in a Calcio Storico team?</v>
      </c>
      <c r="I2" s="5" t="str">
        <f>IFERROR(__xludf.DUMMYFUNCTION("GOOGLETRANSLATE(C2, ""it"", ""en"")"),"A. 11 B. 27 C. 15 D. 8")</f>
        <v>A. 11 B. 27 C. 15 D. 8</v>
      </c>
      <c r="J2" s="5" t="str">
        <f>IFERROR(__xludf.DUMMYFUNCTION("GOOGLETRANSLATE(D2, ""it"", ""en"")"),"27")</f>
        <v>27</v>
      </c>
      <c r="K2" s="5" t="str">
        <f>IFERROR(__xludf.DUMMYFUNCTION("GOOGLETRANSLATE(E2, ""it"", ""en"")"),"Each Calcio Storico team is made up of 27 players.")</f>
        <v>Each Calcio Storico team is made up of 27 players.</v>
      </c>
      <c r="L2" s="3"/>
      <c r="M2" s="3"/>
      <c r="N2" s="3"/>
      <c r="O2" s="3"/>
      <c r="P2" s="3"/>
      <c r="Q2" s="3"/>
      <c r="R2" s="3"/>
      <c r="S2" s="3"/>
      <c r="T2" s="3"/>
    </row>
    <row r="3" ht="22.5" customHeight="1">
      <c r="A3" s="4">
        <v>2.0</v>
      </c>
      <c r="B3" s="5" t="s">
        <v>12</v>
      </c>
      <c r="C3" s="4" t="s">
        <v>13</v>
      </c>
      <c r="D3" s="5" t="s">
        <v>14</v>
      </c>
      <c r="E3" s="5" t="s">
        <v>15</v>
      </c>
      <c r="F3" s="3"/>
      <c r="G3" s="5" t="str">
        <f>IFERROR(__xludf.DUMMYFUNCTION("GOOGLETRANSLATE(A3, ""it"", ""en"")"),"2")</f>
        <v>2</v>
      </c>
      <c r="H3" s="5" t="str">
        <f>IFERROR(__xludf.DUMMYFUNCTION("GOOGLETRANSLATE(B3, ""it"", ""en"")"),"What is the main objective of Calcio Storico?")</f>
        <v>What is the main objective of Calcio Storico?</v>
      </c>
      <c r="I3" s="5" t="str">
        <f>IFERROR(__xludf.DUMMYFUNCTION("GOOGLETRANSLATE(C3, ""it"", ""en"")"),"A. Do as much ""hunting"" as possible B. Protect the goal C. Pass the ball to the captain D. Challenge the crowd")</f>
        <v>A. Do as much "hunting" as possible B. Protect the goal C. Pass the ball to the captain D. Challenge the crowd</v>
      </c>
      <c r="J3" s="5" t="str">
        <f>IFERROR(__xludf.DUMMYFUNCTION("GOOGLETRANSLATE(D3, ""it"", ""en"")"),"Do as much ""hunting"" as possible")</f>
        <v>Do as much "hunting" as possible</v>
      </c>
      <c r="K3" s="5" t="str">
        <f>IFERROR(__xludf.DUMMYFUNCTION("GOOGLETRANSLATE(E3, ""it"", ""en"")"),"The goal is to score more ""caccia"" (goals) than the opposing team.")</f>
        <v>The goal is to score more "caccia" (goals) than the opposing team.</v>
      </c>
      <c r="L3" s="3"/>
      <c r="M3" s="3"/>
      <c r="N3" s="3"/>
      <c r="O3" s="3"/>
      <c r="P3" s="3"/>
      <c r="Q3" s="3"/>
      <c r="R3" s="3"/>
      <c r="S3" s="3"/>
      <c r="T3" s="3"/>
    </row>
    <row r="4" ht="22.5" customHeight="1">
      <c r="A4" s="4">
        <v>3.0</v>
      </c>
      <c r="B4" s="5" t="s">
        <v>16</v>
      </c>
      <c r="C4" s="4" t="s">
        <v>17</v>
      </c>
      <c r="D4" s="5" t="s">
        <v>18</v>
      </c>
      <c r="E4" s="5" t="s">
        <v>19</v>
      </c>
      <c r="F4" s="3"/>
      <c r="G4" s="5" t="str">
        <f>IFERROR(__xludf.DUMMYFUNCTION("GOOGLETRANSLATE(A4, ""it"", ""en"")"),"3")</f>
        <v>3</v>
      </c>
      <c r="H4" s="5" t="str">
        <f>IFERROR(__xludf.DUMMYFUNCTION("GOOGLETRANSLATE(B4, ""it"", ""en"")"),"How do you score a ""caccia"" in Calcio Storico?")</f>
        <v>How do you score a "caccia" in Calcio Storico?</v>
      </c>
      <c r="I4" s="5" t="str">
        <f>IFERROR(__xludf.DUMMYFUNCTION("GOOGLETRANSLATE(C4, ""it"", ""en"")"),"A. Kicking the ball into the goal B. Throwing the ball over a net C. Passing the ball over a sideline D. Putting the ball into a low net")</f>
        <v>A. Kicking the ball into the goal B. Throwing the ball over a net C. Passing the ball over a sideline D. Putting the ball into a low net</v>
      </c>
      <c r="J4" s="5" t="str">
        <f>IFERROR(__xludf.DUMMYFUNCTION("GOOGLETRANSLATE(D4, ""it"", ""en"")"),"Throwing the ball over a net")</f>
        <v>Throwing the ball over a net</v>
      </c>
      <c r="K4" s="5" t="str">
        <f>IFERROR(__xludf.DUMMYFUNCTION("GOOGLETRANSLATE(E4, ""it"", ""en"")"),"A ""caccia"" is scored by throwing the ball over the opponent's net.")</f>
        <v>A "caccia" is scored by throwing the ball over the opponent's net.</v>
      </c>
      <c r="L4" s="3"/>
      <c r="M4" s="3"/>
      <c r="N4" s="3"/>
      <c r="O4" s="3"/>
      <c r="P4" s="3"/>
      <c r="Q4" s="3"/>
      <c r="R4" s="3"/>
      <c r="S4" s="3"/>
      <c r="T4" s="3"/>
    </row>
    <row r="5" ht="22.5" customHeight="1">
      <c r="A5" s="4">
        <v>4.0</v>
      </c>
      <c r="B5" s="5" t="s">
        <v>20</v>
      </c>
      <c r="C5" s="4" t="s">
        <v>21</v>
      </c>
      <c r="D5" s="5" t="s">
        <v>22</v>
      </c>
      <c r="E5" s="5" t="s">
        <v>23</v>
      </c>
      <c r="F5" s="3"/>
      <c r="G5" s="5" t="str">
        <f>IFERROR(__xludf.DUMMYFUNCTION("GOOGLETRANSLATE(A5, ""it"", ""en"")"),"4")</f>
        <v>4</v>
      </c>
      <c r="H5" s="5" t="str">
        <f>IFERROR(__xludf.DUMMYFUNCTION("GOOGLETRANSLATE(B5, ""it"", ""en"")"),"What happens if you miss a shot in Calcio Storico?")</f>
        <v>What happens if you miss a shot in Calcio Storico?</v>
      </c>
      <c r="I5" s="5" t="str">
        <f>IFERROR(__xludf.DUMMYFUNCTION("GOOGLETRANSLATE(C5, ""it"", ""en"")"),"A. The other team earns a point B. The game stops C. The team loses a player D. The other team loses a point")</f>
        <v>A. The other team earns a point B. The game stops C. The team loses a player D. The other team loses a point</v>
      </c>
      <c r="J5" s="5" t="str">
        <f>IFERROR(__xludf.DUMMYFUNCTION("GOOGLETRANSLATE(D5, ""it"", ""en"")"),"The other team earns a point")</f>
        <v>The other team earns a point</v>
      </c>
      <c r="K5" s="5" t="str">
        <f>IFERROR(__xludf.DUMMYFUNCTION("GOOGLETRANSLATE(E5, ""it"", ""en"")"),"A missed shot awards a point to the opponents.")</f>
        <v>A missed shot awards a point to the opponents.</v>
      </c>
      <c r="L5" s="3"/>
      <c r="M5" s="3"/>
      <c r="N5" s="3"/>
      <c r="O5" s="3"/>
      <c r="P5" s="3"/>
      <c r="Q5" s="3"/>
      <c r="R5" s="3"/>
      <c r="S5" s="3"/>
      <c r="T5" s="3"/>
    </row>
    <row r="6" ht="22.5" customHeight="1">
      <c r="A6" s="4">
        <v>5.0</v>
      </c>
      <c r="B6" s="5" t="s">
        <v>24</v>
      </c>
      <c r="C6" s="4" t="s">
        <v>25</v>
      </c>
      <c r="D6" s="4">
        <v>4.0</v>
      </c>
      <c r="E6" s="5" t="s">
        <v>26</v>
      </c>
      <c r="F6" s="3"/>
      <c r="G6" s="5" t="str">
        <f>IFERROR(__xludf.DUMMYFUNCTION("GOOGLETRANSLATE(A6, ""it"", ""en"")"),"5")</f>
        <v>5</v>
      </c>
      <c r="H6" s="5" t="str">
        <f>IFERROR(__xludf.DUMMYFUNCTION("GOOGLETRANSLATE(B6, ""it"", ""en"")"),"How many teams participate in the Calcio Storico tournament?")</f>
        <v>How many teams participate in the Calcio Storico tournament?</v>
      </c>
      <c r="I6" s="5" t="str">
        <f>IFERROR(__xludf.DUMMYFUNCTION("GOOGLETRANSLATE(C6, ""it"", ""en"")"),"A. 2 B. 3 C. 4 D. 6")</f>
        <v>A. 2 B. 3 C. 4 D. 6</v>
      </c>
      <c r="J6" s="5" t="str">
        <f>IFERROR(__xludf.DUMMYFUNCTION("GOOGLETRANSLATE(D6, ""it"", ""en"")"),"4")</f>
        <v>4</v>
      </c>
      <c r="K6" s="5" t="str">
        <f>IFERROR(__xludf.DUMMYFUNCTION("GOOGLETRANSLATE(E6, ""it"", ""en"")"),"The teams represent the four historic districts of Florence.")</f>
        <v>The teams represent the four historic districts of Florence.</v>
      </c>
      <c r="L6" s="3"/>
      <c r="M6" s="3"/>
      <c r="N6" s="3"/>
      <c r="O6" s="3"/>
      <c r="P6" s="3"/>
      <c r="Q6" s="3"/>
      <c r="R6" s="3"/>
      <c r="S6" s="3"/>
      <c r="T6" s="3"/>
    </row>
    <row r="7" ht="22.5" customHeight="1">
      <c r="A7" s="4">
        <v>6.0</v>
      </c>
      <c r="B7" s="5" t="s">
        <v>27</v>
      </c>
      <c r="C7" s="4" t="s">
        <v>28</v>
      </c>
      <c r="D7" s="6" t="s">
        <v>29</v>
      </c>
      <c r="E7" s="6" t="s">
        <v>30</v>
      </c>
      <c r="F7" s="3"/>
      <c r="G7" s="5" t="str">
        <f>IFERROR(__xludf.DUMMYFUNCTION("GOOGLETRANSLATE(A7, ""it"", ""en"")"),"6")</f>
        <v>6</v>
      </c>
      <c r="H7" s="5" t="str">
        <f>IFERROR(__xludf.DUMMYFUNCTION("GOOGLETRANSLATE(B7, ""it"", ""en"")"),"What colors represent the neighborhoods of Calcio Storico?")</f>
        <v>What colors represent the neighborhoods of Calcio Storico?</v>
      </c>
      <c r="I7" s="5" t="str">
        <f>IFERROR(__xludf.DUMMYFUNCTION("GOOGLETRANSLATE(C7, ""it"", ""en"")"),"A. Red blue white green B. Yellow black white red C. Blue black green purple D. Red orange blue yellow")</f>
        <v>A. Red blue white green B. Yellow black white red C. Blue black green purple D. Red orange blue yellow</v>
      </c>
      <c r="J7" s="5" t="str">
        <f>IFERROR(__xludf.DUMMYFUNCTION("GOOGLETRANSLATE(D7, ""it"", ""en"")"),"Red orange blue yellow")</f>
        <v>Red orange blue yellow</v>
      </c>
      <c r="K7" s="5" t="str">
        <f>IFERROR(__xludf.DUMMYFUNCTION("GOOGLETRANSLATE(E7, ""it"", ""en"")"),"The colors are red (Santa Maria Novella) red orange blue yellow white (Santo Spirito) and green (San Giovanni).")</f>
        <v>The colors are red (Santa Maria Novella) red orange blue yellow white (Santo Spirito) and green (San Giovanni).</v>
      </c>
      <c r="L7" s="3"/>
      <c r="M7" s="3"/>
      <c r="N7" s="3"/>
      <c r="O7" s="3"/>
      <c r="P7" s="3"/>
      <c r="Q7" s="3"/>
      <c r="R7" s="7"/>
      <c r="S7" s="3"/>
      <c r="T7" s="3"/>
    </row>
    <row r="8" ht="22.5" customHeight="1">
      <c r="A8" s="4">
        <v>7.0</v>
      </c>
      <c r="B8" s="5" t="s">
        <v>31</v>
      </c>
      <c r="C8" s="4" t="s">
        <v>32</v>
      </c>
      <c r="D8" s="5" t="s">
        <v>33</v>
      </c>
      <c r="E8" s="5" t="s">
        <v>34</v>
      </c>
      <c r="F8" s="3"/>
      <c r="G8" s="5" t="str">
        <f>IFERROR(__xludf.DUMMYFUNCTION("GOOGLETRANSLATE(A8, ""it"", ""en"")"),"7")</f>
        <v>7</v>
      </c>
      <c r="H8" s="5" t="str">
        <f>IFERROR(__xludf.DUMMYFUNCTION("GOOGLETRANSLATE(B8, ""it"", ""en"")"),"How long does a Calcio Storico match last?")</f>
        <v>How long does a Calcio Storico match last?</v>
      </c>
      <c r="I8" s="5" t="str">
        <f>IFERROR(__xludf.DUMMYFUNCTION("GOOGLETRANSLATE(C8, ""it"", ""en"")"),"A. 60 minutes B. 40 minutes C. 50 minutes D. 20 minutes")</f>
        <v>A. 60 minutes B. 40 minutes C. 50 minutes D. 20 minutes</v>
      </c>
      <c r="J8" s="5" t="str">
        <f>IFERROR(__xludf.DUMMYFUNCTION("GOOGLETRANSLATE(D8, ""it"", ""en"")"),"50 minutes")</f>
        <v>50 minutes</v>
      </c>
      <c r="K8" s="5" t="str">
        <f>IFERROR(__xludf.DUMMYFUNCTION("GOOGLETRANSLATE(E8, ""it"", ""en"")"),"Each match lasts 50 minutes without interruptions.")</f>
        <v>Each match lasts 50 minutes without interruptions.</v>
      </c>
      <c r="L8" s="3"/>
      <c r="M8" s="3"/>
      <c r="N8" s="3"/>
      <c r="O8" s="3"/>
      <c r="P8" s="3"/>
      <c r="Q8" s="3"/>
      <c r="R8" s="3"/>
      <c r="S8" s="3"/>
      <c r="T8" s="3"/>
    </row>
    <row r="9" ht="22.5" customHeight="1">
      <c r="A9" s="4">
        <v>8.0</v>
      </c>
      <c r="B9" s="5" t="s">
        <v>35</v>
      </c>
      <c r="C9" s="4" t="s">
        <v>36</v>
      </c>
      <c r="D9" s="5" t="s">
        <v>37</v>
      </c>
      <c r="E9" s="5" t="s">
        <v>38</v>
      </c>
      <c r="F9" s="3"/>
      <c r="G9" s="5" t="str">
        <f>IFERROR(__xludf.DUMMYFUNCTION("GOOGLETRANSLATE(A9, ""it"", ""en"")"),"8")</f>
        <v>8</v>
      </c>
      <c r="H9" s="5" t="str">
        <f>IFERROR(__xludf.DUMMYFUNCTION("GOOGLETRANSLATE(B9, ""it"", ""en"")"),"Where does Calcio Storico traditionally take place?")</f>
        <v>Where does Calcio Storico traditionally take place?</v>
      </c>
      <c r="I9" s="5" t="str">
        <f>IFERROR(__xludf.DUMMYFUNCTION("GOOGLETRANSLATE(C9, ""it"", ""en"")"),"A. Republic Square B. St. Mark's Square C. Santa Croce Square D. Artemio Franchi Stadium")</f>
        <v>A. Republic Square B. St. Mark's Square C. Santa Croce Square D. Artemio Franchi Stadium</v>
      </c>
      <c r="J9" s="5" t="str">
        <f>IFERROR(__xludf.DUMMYFUNCTION("GOOGLETRANSLATE(D9, ""it"", ""en"")"),"Santa Croce Square")</f>
        <v>Santa Croce Square</v>
      </c>
      <c r="K9" s="5" t="str">
        <f>IFERROR(__xludf.DUMMYFUNCTION("GOOGLETRANSLATE(E9, ""it"", ""en"")"),"The matches are played in the historic Piazza Santa Croce in Florence.")</f>
        <v>The matches are played in the historic Piazza Santa Croce in Florence.</v>
      </c>
      <c r="L9" s="3"/>
      <c r="M9" s="3"/>
      <c r="N9" s="3"/>
      <c r="O9" s="3"/>
      <c r="P9" s="3"/>
      <c r="Q9" s="3"/>
      <c r="R9" s="3"/>
      <c r="S9" s="3"/>
      <c r="T9" s="3"/>
    </row>
    <row r="10" ht="22.5" customHeight="1">
      <c r="A10" s="4">
        <v>9.0</v>
      </c>
      <c r="B10" s="5" t="s">
        <v>39</v>
      </c>
      <c r="C10" s="4" t="s">
        <v>40</v>
      </c>
      <c r="D10" s="5" t="s">
        <v>41</v>
      </c>
      <c r="E10" s="5" t="s">
        <v>42</v>
      </c>
      <c r="F10" s="3"/>
      <c r="G10" s="5" t="str">
        <f>IFERROR(__xludf.DUMMYFUNCTION("GOOGLETRANSLATE(A10, ""it"", ""en"")"),"9")</f>
        <v>9</v>
      </c>
      <c r="H10" s="5" t="str">
        <f>IFERROR(__xludf.DUMMYFUNCTION("GOOGLETRANSLATE(B10, ""it"", ""en"")"),"When is the Calcio Storico tournament traditionally played?")</f>
        <v>When is the Calcio Storico tournament traditionally played?</v>
      </c>
      <c r="I10" s="5" t="str">
        <f>IFERROR(__xludf.DUMMYFUNCTION("GOOGLETRANSLATE(C10, ""it"", ""en"")"),"A. Christmas B. Easter C. June D. August")</f>
        <v>A. Christmas B. Easter C. June D. August</v>
      </c>
      <c r="J10" s="5" t="str">
        <f>IFERROR(__xludf.DUMMYFUNCTION("GOOGLETRANSLATE(D10, ""it"", ""en"")"),"June")</f>
        <v>June</v>
      </c>
      <c r="K10" s="5" t="str">
        <f>IFERROR(__xludf.DUMMYFUNCTION("GOOGLETRANSLATE(E10, ""it"", ""en"")"),"The tournament traditionally takes place in June.")</f>
        <v>The tournament traditionally takes place in June.</v>
      </c>
      <c r="L10" s="3"/>
      <c r="M10" s="3"/>
      <c r="N10" s="3"/>
      <c r="O10" s="3"/>
      <c r="P10" s="3"/>
      <c r="Q10" s="3"/>
      <c r="R10" s="3"/>
      <c r="S10" s="3"/>
      <c r="T10" s="3"/>
    </row>
    <row r="11" ht="22.5" customHeight="1">
      <c r="A11" s="4">
        <v>10.0</v>
      </c>
      <c r="B11" s="5" t="s">
        <v>43</v>
      </c>
      <c r="C11" s="4" t="s">
        <v>44</v>
      </c>
      <c r="D11" s="5" t="s">
        <v>45</v>
      </c>
      <c r="E11" s="5" t="s">
        <v>46</v>
      </c>
      <c r="F11" s="3"/>
      <c r="G11" s="5" t="str">
        <f>IFERROR(__xludf.DUMMYFUNCTION("GOOGLETRANSLATE(A11, ""it"", ""en"")"),"10")</f>
        <v>10</v>
      </c>
      <c r="H11" s="5" t="str">
        <f>IFERROR(__xludf.DUMMYFUNCTION("GOOGLETRANSLATE(B11, ""it"", ""en"")"),"What is the main rule regarding physical contact in Calcio Storico?")</f>
        <v>What is the main rule regarding physical contact in Calcio Storico?</v>
      </c>
      <c r="I11" s="5" t="str">
        <f>IFERROR(__xludf.DUMMYFUNCTION("GOOGLETRANSLATE(C11, ""it"", ""en"")"),"A. They are completely prohibited B. They are only allowed with a ball C. There are no restrictions D. They are allowed with limitations")</f>
        <v>A. They are completely prohibited B. They are only allowed with a ball C. There are no restrictions D. They are allowed with limitations</v>
      </c>
      <c r="J11" s="5" t="str">
        <f>IFERROR(__xludf.DUMMYFUNCTION("GOOGLETRANSLATE(D11, ""it"", ""en"")"),"They are allowed with limitations")</f>
        <v>They are allowed with limitations</v>
      </c>
      <c r="K11" s="5" t="str">
        <f>IFERROR(__xludf.DUMMYFUNCTION("GOOGLETRANSLATE(E11, ""it"", ""en"")"),"Physical contact is allowed but with some rules to avoid extreme violence.")</f>
        <v>Physical contact is allowed but with some rules to avoid extreme violence.</v>
      </c>
      <c r="L11" s="3"/>
      <c r="M11" s="3"/>
      <c r="N11" s="3"/>
      <c r="O11" s="3"/>
      <c r="P11" s="3"/>
      <c r="Q11" s="3"/>
      <c r="R11" s="3"/>
      <c r="S11" s="3"/>
      <c r="T11" s="3"/>
    </row>
    <row r="12" ht="22.5" customHeight="1">
      <c r="A12" s="4">
        <v>11.0</v>
      </c>
      <c r="B12" s="5" t="s">
        <v>47</v>
      </c>
      <c r="C12" s="4" t="s">
        <v>48</v>
      </c>
      <c r="D12" s="5" t="s">
        <v>49</v>
      </c>
      <c r="E12" s="5" t="s">
        <v>50</v>
      </c>
      <c r="F12" s="3"/>
      <c r="G12" s="5" t="str">
        <f>IFERROR(__xludf.DUMMYFUNCTION("GOOGLETRANSLATE(A12, ""it"", ""en"")"),"11")</f>
        <v>11</v>
      </c>
      <c r="H12" s="5" t="str">
        <f>IFERROR(__xludf.DUMMYFUNCTION("GOOGLETRANSLATE(B12, ""it"", ""en"")"),"Which part of the body cannot be used to throw the ball?")</f>
        <v>Which part of the body cannot be used to throw the ball?</v>
      </c>
      <c r="I12" s="5" t="str">
        <f>IFERROR(__xludf.DUMMYFUNCTION("GOOGLETRANSLATE(C12, ""it"", ""en"")"),"A. The hands B. The feet C. The head D. The arms")</f>
        <v>A. The hands B. The feet C. The head D. The arms</v>
      </c>
      <c r="J12" s="5" t="str">
        <f>IFERROR(__xludf.DUMMYFUNCTION("GOOGLETRANSLATE(D12, ""it"", ""en"")"),"The feet")</f>
        <v>The feet</v>
      </c>
      <c r="K12" s="5" t="str">
        <f>IFERROR(__xludf.DUMMYFUNCTION("GOOGLETRANSLATE(E12, ""it"", ""en"")"),"Kicking the ball with your feet is not allowed.")</f>
        <v>Kicking the ball with your feet is not allowed.</v>
      </c>
      <c r="L12" s="3"/>
      <c r="M12" s="3"/>
      <c r="N12" s="3"/>
      <c r="O12" s="3"/>
      <c r="P12" s="3"/>
      <c r="Q12" s="3"/>
      <c r="R12" s="3"/>
      <c r="S12" s="3"/>
      <c r="T12" s="3"/>
    </row>
    <row r="13" ht="22.5" customHeight="1">
      <c r="A13" s="4">
        <v>12.0</v>
      </c>
      <c r="B13" s="5" t="s">
        <v>51</v>
      </c>
      <c r="C13" s="4" t="s">
        <v>52</v>
      </c>
      <c r="D13" s="5" t="s">
        <v>53</v>
      </c>
      <c r="E13" s="5" t="s">
        <v>54</v>
      </c>
      <c r="F13" s="3"/>
      <c r="G13" s="5" t="str">
        <f>IFERROR(__xludf.DUMMYFUNCTION("GOOGLETRANSLATE(A13, ""it"", ""en"")"),"12")</f>
        <v>12</v>
      </c>
      <c r="H13" s="5" t="str">
        <f>IFERROR(__xludf.DUMMYFUNCTION("GOOGLETRANSLATE(B13, ""it"", ""en"")"),"Who referees a Calcio Storico match?")</f>
        <v>Who referees a Calcio Storico match?</v>
      </c>
      <c r="I13" s="5" t="str">
        <f>IFERROR(__xludf.DUMMYFUNCTION("GOOGLETRANSLATE(C13, ""it"", ""en"")"),"A. A single central referee B. A team of four referees C. A committee of referees D. The team captains")</f>
        <v>A. A single central referee B. A team of four referees C. A committee of referees D. The team captains</v>
      </c>
      <c r="J13" s="5" t="str">
        <f>IFERROR(__xludf.DUMMYFUNCTION("GOOGLETRANSLATE(D13, ""it"", ""en"")"),"A committee of referees")</f>
        <v>A committee of referees</v>
      </c>
      <c r="K13" s="5" t="str">
        <f>IFERROR(__xludf.DUMMYFUNCTION("GOOGLETRANSLATE(E13, ""it"", ""en"")"),"The game is supervised by a committee of referees to ensure compliance with the rules.")</f>
        <v>The game is supervised by a committee of referees to ensure compliance with the rules.</v>
      </c>
      <c r="L13" s="3"/>
      <c r="M13" s="3"/>
      <c r="N13" s="3"/>
      <c r="O13" s="3"/>
      <c r="P13" s="3"/>
      <c r="Q13" s="3"/>
      <c r="R13" s="3"/>
      <c r="S13" s="3"/>
      <c r="T13" s="3"/>
    </row>
    <row r="14" ht="22.5" customHeight="1">
      <c r="A14" s="4">
        <v>13.0</v>
      </c>
      <c r="B14" s="5" t="s">
        <v>55</v>
      </c>
      <c r="C14" s="4" t="s">
        <v>56</v>
      </c>
      <c r="D14" s="5" t="s">
        <v>57</v>
      </c>
      <c r="E14" s="5" t="s">
        <v>58</v>
      </c>
      <c r="F14" s="3"/>
      <c r="G14" s="5" t="str">
        <f>IFERROR(__xludf.DUMMYFUNCTION("GOOGLETRANSLATE(A14, ""it"", ""en"")"),"13")</f>
        <v>13</v>
      </c>
      <c r="H14" s="5" t="str">
        <f>IFERROR(__xludf.DUMMYFUNCTION("GOOGLETRANSLATE(B14, ""it"", ""en"")"),"How does a Calcio Storico match start?")</f>
        <v>How does a Calcio Storico match start?</v>
      </c>
      <c r="I14" s="5" t="str">
        <f>IFERROR(__xludf.DUMMYFUNCTION("GOOGLETRANSLATE(C14, ""it"", ""en"")"),"A. With a kick-off B. With a ball in the centre C. With the ball being thrown by the referee D. With a toss")</f>
        <v>A. With a kick-off B. With a ball in the centre C. With the ball being thrown by the referee D. With a toss</v>
      </c>
      <c r="J14" s="5" t="str">
        <f>IFERROR(__xludf.DUMMYFUNCTION("GOOGLETRANSLATE(D14, ""it"", ""en"")"),"With the throw of the ball by the referee")</f>
        <v>With the throw of the ball by the referee</v>
      </c>
      <c r="K14" s="5" t="str">
        <f>IFERROR(__xludf.DUMMYFUNCTION("GOOGLETRANSLATE(E14, ""it"", ""en"")"),"The game begins with the ball being thrown into the center of the field.")</f>
        <v>The game begins with the ball being thrown into the center of the field.</v>
      </c>
      <c r="L14" s="3"/>
      <c r="M14" s="3"/>
      <c r="N14" s="3"/>
      <c r="O14" s="3"/>
      <c r="P14" s="3"/>
      <c r="Q14" s="3"/>
      <c r="R14" s="3"/>
      <c r="S14" s="3"/>
      <c r="T14" s="3"/>
    </row>
    <row r="15" ht="22.5" customHeight="1">
      <c r="A15" s="4">
        <v>14.0</v>
      </c>
      <c r="B15" s="5" t="s">
        <v>59</v>
      </c>
      <c r="C15" s="4" t="s">
        <v>60</v>
      </c>
      <c r="D15" s="4">
        <v>5.0</v>
      </c>
      <c r="E15" s="5" t="s">
        <v>61</v>
      </c>
      <c r="F15" s="3"/>
      <c r="G15" s="5" t="str">
        <f>IFERROR(__xludf.DUMMYFUNCTION("GOOGLETRANSLATE(A15, ""it"", ""en"")"),"14")</f>
        <v>14</v>
      </c>
      <c r="H15" s="5" t="str">
        <f>IFERROR(__xludf.DUMMYFUNCTION("GOOGLETRANSLATE(B15, ""it"", ""en"")"),"How many forwards does a Calcio Storico team have?")</f>
        <v>How many forwards does a Calcio Storico team have?</v>
      </c>
      <c r="I15" s="5" t="str">
        <f>IFERROR(__xludf.DUMMYFUNCTION("GOOGLETRANSLATE(C15, ""it"", ""en"")"),"A. 3 B. 4 C. 5 D. 6")</f>
        <v>A. 3 B. 4 C. 5 D. 6</v>
      </c>
      <c r="J15" s="5" t="str">
        <f>IFERROR(__xludf.DUMMYFUNCTION("GOOGLETRANSLATE(D15, ""it"", ""en"")"),"5")</f>
        <v>5</v>
      </c>
      <c r="K15" s="5" t="str">
        <f>IFERROR(__xludf.DUMMYFUNCTION("GOOGLETRANSLATE(E15, ""it"", ""en"")"),"Each team fields 5 attackers.")</f>
        <v>Each team fields 5 attackers.</v>
      </c>
      <c r="L15" s="3"/>
      <c r="M15" s="3"/>
      <c r="N15" s="3"/>
      <c r="O15" s="3"/>
      <c r="P15" s="3"/>
      <c r="Q15" s="3"/>
      <c r="R15" s="3"/>
      <c r="S15" s="3"/>
      <c r="T15" s="3"/>
    </row>
    <row r="16" ht="22.5" customHeight="1">
      <c r="A16" s="4">
        <v>15.0</v>
      </c>
      <c r="B16" s="5" t="s">
        <v>62</v>
      </c>
      <c r="C16" s="4" t="s">
        <v>63</v>
      </c>
      <c r="D16" s="4">
        <v>4.0</v>
      </c>
      <c r="E16" s="5" t="s">
        <v>64</v>
      </c>
      <c r="F16" s="3"/>
      <c r="G16" s="5" t="str">
        <f>IFERROR(__xludf.DUMMYFUNCTION("GOOGLETRANSLATE(A16, ""it"", ""en"")"),"15")</f>
        <v>15</v>
      </c>
      <c r="H16" s="5" t="str">
        <f>IFERROR(__xludf.DUMMYFUNCTION("GOOGLETRANSLATE(B16, ""it"", ""en"")"),"How many defenders are there in a Calcio Storico team?")</f>
        <v>How many defenders are there in a Calcio Storico team?</v>
      </c>
      <c r="I16" s="5" t="str">
        <f>IFERROR(__xludf.DUMMYFUNCTION("GOOGLETRANSLATE(C16, ""it"", ""en"")"),"A. 3 B. 4 C. 8 D. 10")</f>
        <v>A. 3 B. 4 C. 8 D. 10</v>
      </c>
      <c r="J16" s="5" t="str">
        <f>IFERROR(__xludf.DUMMYFUNCTION("GOOGLETRANSLATE(D16, ""it"", ""en"")"),"4")</f>
        <v>4</v>
      </c>
      <c r="K16" s="5" t="str">
        <f>IFERROR(__xludf.DUMMYFUNCTION("GOOGLETRANSLATE(E16, ""it"", ""en"")"),"Each team has 4 defenders.")</f>
        <v>Each team has 4 defenders.</v>
      </c>
      <c r="L16" s="3"/>
      <c r="M16" s="3"/>
      <c r="N16" s="3"/>
      <c r="O16" s="3"/>
      <c r="P16" s="3"/>
      <c r="Q16" s="3"/>
      <c r="R16" s="3"/>
      <c r="S16" s="3"/>
      <c r="T16" s="3"/>
    </row>
    <row r="17" ht="22.5" customHeight="1">
      <c r="A17" s="4">
        <v>16.0</v>
      </c>
      <c r="B17" s="5" t="s">
        <v>65</v>
      </c>
      <c r="C17" s="4" t="s">
        <v>66</v>
      </c>
      <c r="D17" s="5" t="s">
        <v>67</v>
      </c>
      <c r="E17" s="5" t="s">
        <v>68</v>
      </c>
      <c r="F17" s="3"/>
      <c r="G17" s="5" t="str">
        <f>IFERROR(__xludf.DUMMYFUNCTION("GOOGLETRANSLATE(A17, ""it"", ""en"")"),"16")</f>
        <v>16</v>
      </c>
      <c r="H17" s="5" t="str">
        <f>IFERROR(__xludf.DUMMYFUNCTION("GOOGLETRANSLATE(B17, ""it"", ""en"")"),"What happens if there is a tie at the end of the match?")</f>
        <v>What happens if there is a tie at the end of the match?</v>
      </c>
      <c r="I17" s="5" t="str">
        <f>IFERROR(__xludf.DUMMYFUNCTION("GOOGLETRANSLATE(C17, ""it"", ""en"")"),"A. Extra time B. Penalties C. The team with the fewest fouls wins D. There are no ties")</f>
        <v>A. Extra time B. Penalties C. The team with the fewest fouls wins D. There are no ties</v>
      </c>
      <c r="J17" s="5" t="str">
        <f>IFERROR(__xludf.DUMMYFUNCTION("GOOGLETRANSLATE(D17, ""it"", ""en"")"),"There are no draws")</f>
        <v>There are no draws</v>
      </c>
      <c r="K17" s="5" t="str">
        <f>IFERROR(__xludf.DUMMYFUNCTION("GOOGLETRANSLATE(E17, ""it"", ""en"")"),"Calcio Storico does not allow for draws; the winner is decided.")</f>
        <v>Calcio Storico does not allow for draws; the winner is decided.</v>
      </c>
      <c r="L17" s="3"/>
      <c r="M17" s="3"/>
      <c r="N17" s="3"/>
      <c r="O17" s="3"/>
      <c r="P17" s="3"/>
      <c r="Q17" s="3"/>
      <c r="R17" s="3"/>
      <c r="S17" s="3"/>
      <c r="T17" s="3"/>
    </row>
    <row r="18" ht="22.5" customHeight="1">
      <c r="A18" s="4">
        <v>17.0</v>
      </c>
      <c r="B18" s="5" t="s">
        <v>69</v>
      </c>
      <c r="C18" s="4" t="s">
        <v>70</v>
      </c>
      <c r="D18" s="5" t="s">
        <v>71</v>
      </c>
      <c r="E18" s="5" t="s">
        <v>72</v>
      </c>
      <c r="F18" s="3"/>
      <c r="G18" s="5" t="str">
        <f>IFERROR(__xludf.DUMMYFUNCTION("GOOGLETRANSLATE(A18, ""it"", ""en"")"),"17")</f>
        <v>17</v>
      </c>
      <c r="H18" s="5" t="str">
        <f>IFERROR(__xludf.DUMMYFUNCTION("GOOGLETRANSLATE(B18, ""it"", ""en"")"),"What are ball carriers forbidden to do?")</f>
        <v>What are ball carriers forbidden to do?</v>
      </c>
      <c r="I18" s="5" t="str">
        <f>IFERROR(__xludf.DUMMYFUNCTION("GOOGLETRANSLATE(C18, ""it"", ""en"")"),"A. Running more than 10 meters B. Blocking the ball C. Passing backwards D. Hitting opponents")</f>
        <v>A. Running more than 10 meters B. Blocking the ball C. Passing backwards D. Hitting opponents</v>
      </c>
      <c r="J18" s="5" t="str">
        <f>IFERROR(__xludf.DUMMYFUNCTION("GOOGLETRANSLATE(D18, ""it"", ""en"")"),"Hitting opponents")</f>
        <v>Hitting opponents</v>
      </c>
      <c r="K18" s="5" t="str">
        <f>IFERROR(__xludf.DUMMYFUNCTION("GOOGLETRANSLATE(E18, ""it"", ""en"")"),"The ball carrier cannot hit opponents.")</f>
        <v>The ball carrier cannot hit opponents.</v>
      </c>
      <c r="L18" s="3"/>
      <c r="M18" s="3"/>
      <c r="N18" s="3"/>
      <c r="O18" s="3"/>
      <c r="P18" s="3"/>
      <c r="Q18" s="3"/>
      <c r="R18" s="3"/>
      <c r="S18" s="3"/>
      <c r="T18" s="3"/>
    </row>
    <row r="19" ht="22.5" customHeight="1">
      <c r="A19" s="4">
        <v>18.0</v>
      </c>
      <c r="B19" s="5" t="s">
        <v>73</v>
      </c>
      <c r="C19" s="4" t="s">
        <v>74</v>
      </c>
      <c r="D19" s="5" t="s">
        <v>75</v>
      </c>
      <c r="E19" s="5" t="s">
        <v>76</v>
      </c>
      <c r="F19" s="3"/>
      <c r="G19" s="5" t="str">
        <f>IFERROR(__xludf.DUMMYFUNCTION("GOOGLETRANSLATE(A19, ""it"", ""en"")"),"18")</f>
        <v>18</v>
      </c>
      <c r="H19" s="5" t="str">
        <f>IFERROR(__xludf.DUMMYFUNCTION("GOOGLETRANSLATE(B19, ""it"", ""en"")"),"What is the surface area of ​​the playing field?")</f>
        <v>What is the surface area of ​​the playing field?</v>
      </c>
      <c r="I19" s="5" t="str">
        <f>IFERROR(__xludf.DUMMYFUNCTION("GOOGLETRANSLATE(C19, ""it"", ""en"")"),"A. Synthetic grass B. Rubber mat C. Natural sand D. Asphalt")</f>
        <v>A. Synthetic grass B. Rubber mat C. Natural sand D. Asphalt</v>
      </c>
      <c r="J19" s="5" t="str">
        <f>IFERROR(__xludf.DUMMYFUNCTION("GOOGLETRANSLATE(D19, ""it"", ""en"")"),"Natural sand")</f>
        <v>Natural sand</v>
      </c>
      <c r="K19" s="5" t="str">
        <f>IFERROR(__xludf.DUMMYFUNCTION("GOOGLETRANSLATE(E19, ""it"", ""en"")"),"The pitch is covered with sand to cushion impacts.")</f>
        <v>The pitch is covered with sand to cushion impacts.</v>
      </c>
      <c r="L19" s="3"/>
      <c r="M19" s="3"/>
      <c r="N19" s="3"/>
      <c r="O19" s="3"/>
      <c r="P19" s="3"/>
      <c r="Q19" s="3"/>
      <c r="R19" s="3"/>
      <c r="S19" s="3"/>
      <c r="T19" s="3"/>
    </row>
    <row r="20" ht="22.5" customHeight="1">
      <c r="A20" s="4">
        <v>19.0</v>
      </c>
      <c r="B20" s="5" t="s">
        <v>77</v>
      </c>
      <c r="C20" s="4" t="s">
        <v>78</v>
      </c>
      <c r="D20" s="5" t="s">
        <v>79</v>
      </c>
      <c r="E20" s="5" t="s">
        <v>80</v>
      </c>
      <c r="F20" s="3"/>
      <c r="G20" s="5" t="str">
        <f>IFERROR(__xludf.DUMMYFUNCTION("GOOGLETRANSLATE(A20, ""it"", ""en"")"),"19")</f>
        <v>19</v>
      </c>
      <c r="H20" s="5" t="str">
        <f>IFERROR(__xludf.DUMMYFUNCTION("GOOGLETRANSLATE(B20, ""it"", ""en"")"),"What does Calcio Storico represent historically?")</f>
        <v>What does Calcio Storico represent historically?</v>
      </c>
      <c r="I20" s="5" t="str">
        <f>IFERROR(__xludf.DUMMYFUNCTION("GOOGLETRANSLATE(C20, ""it"", ""en"")"),"A. A religious exercise B. A pastime of the nobles C. A battle simulation D. A game for peasants")</f>
        <v>A. A religious exercise B. A pastime of the nobles C. A battle simulation D. A game for peasants</v>
      </c>
      <c r="J20" s="5" t="str">
        <f>IFERROR(__xludf.DUMMYFUNCTION("GOOGLETRANSLATE(D20, ""it"", ""en"")"),"A battle simulation")</f>
        <v>A battle simulation</v>
      </c>
      <c r="K20" s="5" t="str">
        <f>IFERROR(__xludf.DUMMYFUNCTION("GOOGLETRANSLATE(E20, ""it"", ""en"")"),"The game was born as military training.")</f>
        <v>The game was born as military training.</v>
      </c>
      <c r="L20" s="3"/>
      <c r="M20" s="3"/>
      <c r="N20" s="3"/>
      <c r="O20" s="3"/>
      <c r="P20" s="3"/>
      <c r="Q20" s="3"/>
      <c r="R20" s="3"/>
      <c r="S20" s="3"/>
      <c r="T20" s="3"/>
    </row>
    <row r="21" ht="22.5" customHeight="1">
      <c r="A21" s="4">
        <v>20.0</v>
      </c>
      <c r="B21" s="5" t="s">
        <v>81</v>
      </c>
      <c r="C21" s="4" t="s">
        <v>82</v>
      </c>
      <c r="D21" s="5" t="s">
        <v>83</v>
      </c>
      <c r="E21" s="5" t="s">
        <v>84</v>
      </c>
      <c r="F21" s="3"/>
      <c r="G21" s="5" t="str">
        <f>IFERROR(__xludf.DUMMYFUNCTION("GOOGLETRANSLATE(A21, ""it"", ""en"")"),"20")</f>
        <v>20</v>
      </c>
      <c r="H21" s="5" t="str">
        <f>IFERROR(__xludf.DUMMYFUNCTION("GOOGLETRANSLATE(B21, ""it"", ""en"")"),"Who wins the Calcio Storico tournament?")</f>
        <v>Who wins the Calcio Storico tournament?</v>
      </c>
      <c r="I21" s="5" t="str">
        <f>IFERROR(__xludf.DUMMYFUNCTION("GOOGLETRANSLATE(C21, ""it"", ""en"")"),"A. He receives a gold trophy B. He receives a free dinner C. He receives a cow D. There is no specific prize")</f>
        <v>A. He receives a gold trophy B. He receives a free dinner C. He receives a cow D. There is no specific prize</v>
      </c>
      <c r="J21" s="5" t="str">
        <f>IFERROR(__xludf.DUMMYFUNCTION("GOOGLETRANSLATE(D21, ""it"", ""en"")"),"He receives a cow")</f>
        <v>He receives a cow</v>
      </c>
      <c r="K21" s="5" t="str">
        <f>IFERROR(__xludf.DUMMYFUNCTION("GOOGLETRANSLATE(E21, ""it"", ""en"")"),"The winner traditionally receives a cow.")</f>
        <v>The winner traditionally receives a cow.</v>
      </c>
      <c r="L21" s="3"/>
      <c r="M21" s="3"/>
      <c r="N21" s="3"/>
      <c r="O21" s="3"/>
      <c r="P21" s="3"/>
      <c r="Q21" s="3"/>
      <c r="R21" s="3"/>
      <c r="S21" s="3"/>
      <c r="T21" s="3"/>
    </row>
    <row r="22" ht="22.5" customHeight="1">
      <c r="A22" s="4">
        <v>21.0</v>
      </c>
      <c r="B22" s="5" t="s">
        <v>85</v>
      </c>
      <c r="C22" s="4" t="s">
        <v>86</v>
      </c>
      <c r="D22" s="5" t="s">
        <v>87</v>
      </c>
      <c r="E22" s="5" t="s">
        <v>88</v>
      </c>
      <c r="F22" s="3"/>
      <c r="G22" s="5" t="str">
        <f>IFERROR(__xludf.DUMMYFUNCTION("GOOGLETRANSLATE(A22, ""it"", ""en"")"),"21")</f>
        <v>21</v>
      </c>
      <c r="H22" s="5" t="str">
        <f>IFERROR(__xludf.DUMMYFUNCTION("GOOGLETRANSLATE(B22, ""it"", ""en"")"),"How many consecutive passes are allowed before a shot?")</f>
        <v>How many consecutive passes are allowed before a shot?</v>
      </c>
      <c r="I22" s="5" t="str">
        <f>IFERROR(__xludf.DUMMYFUNCTION("GOOGLETRANSLATE(C22, ""it"", ""en"")"),"A. 1 B. 2 C. Unlimited D. 5")</f>
        <v>A. 1 B. 2 C. Unlimited D. 5</v>
      </c>
      <c r="J22" s="5" t="str">
        <f>IFERROR(__xludf.DUMMYFUNCTION("GOOGLETRANSLATE(D22, ""it"", ""en"")"),"Unlimited")</f>
        <v>Unlimited</v>
      </c>
      <c r="K22" s="5" t="str">
        <f>IFERROR(__xludf.DUMMYFUNCTION("GOOGLETRANSLATE(E22, ""it"", ""en"")"),"There is no limit to the number of steps.")</f>
        <v>There is no limit to the number of steps.</v>
      </c>
      <c r="L22" s="3"/>
      <c r="M22" s="3"/>
      <c r="N22" s="3"/>
      <c r="O22" s="3"/>
      <c r="P22" s="3"/>
      <c r="Q22" s="3"/>
      <c r="R22" s="3"/>
      <c r="S22" s="3"/>
      <c r="T22" s="3"/>
    </row>
    <row r="23" ht="22.5" customHeight="1">
      <c r="A23" s="4">
        <v>22.0</v>
      </c>
      <c r="B23" s="5" t="s">
        <v>89</v>
      </c>
      <c r="C23" s="4" t="s">
        <v>90</v>
      </c>
      <c r="D23" s="5" t="s">
        <v>91</v>
      </c>
      <c r="E23" s="5" t="s">
        <v>92</v>
      </c>
      <c r="F23" s="3"/>
      <c r="G23" s="5" t="str">
        <f>IFERROR(__xludf.DUMMYFUNCTION("GOOGLETRANSLATE(A23, ""it"", ""en"")"),"22")</f>
        <v>22</v>
      </c>
      <c r="H23" s="5" t="str">
        <f>IFERROR(__xludf.DUMMYFUNCTION("GOOGLETRANSLATE(B23, ""it"", ""en"")"),"What is the length of the playing field?")</f>
        <v>What is the length of the playing field?</v>
      </c>
      <c r="I23" s="5" t="str">
        <f>IFERROR(__xludf.DUMMYFUNCTION("GOOGLETRANSLATE(C23, ""it"", ""en"")"),"A. 50 meters B. 80 meters C. 100 meters D. 120 meters")</f>
        <v>A. 50 meters B. 80 meters C. 100 meters D. 120 meters</v>
      </c>
      <c r="J23" s="5" t="str">
        <f>IFERROR(__xludf.DUMMYFUNCTION("GOOGLETRANSLATE(D23, ""it"", ""en"")"),"80 meters")</f>
        <v>80 meters</v>
      </c>
      <c r="K23" s="5" t="str">
        <f>IFERROR(__xludf.DUMMYFUNCTION("GOOGLETRANSLATE(E23, ""it"", ""en"")"),"The field is approximately 80 meters long.")</f>
        <v>The field is approximately 80 meters long.</v>
      </c>
      <c r="L23" s="3"/>
      <c r="M23" s="3"/>
      <c r="N23" s="3"/>
      <c r="O23" s="3"/>
      <c r="P23" s="3"/>
      <c r="Q23" s="3"/>
      <c r="R23" s="3"/>
      <c r="S23" s="3"/>
      <c r="T23" s="3"/>
    </row>
    <row r="24" ht="22.5" customHeight="1">
      <c r="A24" s="4">
        <v>23.0</v>
      </c>
      <c r="B24" s="5" t="s">
        <v>93</v>
      </c>
      <c r="C24" s="4" t="s">
        <v>94</v>
      </c>
      <c r="D24" s="5" t="s">
        <v>95</v>
      </c>
      <c r="E24" s="5" t="s">
        <v>96</v>
      </c>
      <c r="F24" s="3"/>
      <c r="G24" s="5" t="str">
        <f>IFERROR(__xludf.DUMMYFUNCTION("GOOGLETRANSLATE(A24, ""it"", ""en"")"),"23")</f>
        <v>23</v>
      </c>
      <c r="H24" s="5" t="str">
        <f>IFERROR(__xludf.DUMMYFUNCTION("GOOGLETRANSLATE(B24, ""it"", ""en"")"),"What is the width of the field?")</f>
        <v>What is the width of the field?</v>
      </c>
      <c r="I24" s="5" t="str">
        <f>IFERROR(__xludf.DUMMYFUNCTION("GOOGLETRANSLATE(C24, ""it"", ""en"")"),"A. 30 meters B. 40 meters C. 50 meters D. 60 meters")</f>
        <v>A. 30 meters B. 40 meters C. 50 meters D. 60 meters</v>
      </c>
      <c r="J24" s="5" t="str">
        <f>IFERROR(__xludf.DUMMYFUNCTION("GOOGLETRANSLATE(D24, ""it"", ""en"")"),"40 meters")</f>
        <v>40 meters</v>
      </c>
      <c r="K24" s="5" t="str">
        <f>IFERROR(__xludf.DUMMYFUNCTION("GOOGLETRANSLATE(E24, ""it"", ""en"")"),"The field is approximately 40 meters wide.")</f>
        <v>The field is approximately 40 meters wide.</v>
      </c>
      <c r="L24" s="3"/>
      <c r="M24" s="3"/>
      <c r="N24" s="3"/>
      <c r="O24" s="3"/>
      <c r="P24" s="3"/>
      <c r="Q24" s="3"/>
      <c r="R24" s="3"/>
      <c r="S24" s="3"/>
      <c r="T24" s="3"/>
    </row>
    <row r="25" ht="22.5" customHeight="1">
      <c r="A25" s="4">
        <v>24.0</v>
      </c>
      <c r="B25" s="5" t="s">
        <v>97</v>
      </c>
      <c r="C25" s="4" t="s">
        <v>98</v>
      </c>
      <c r="D25" s="5" t="s">
        <v>99</v>
      </c>
      <c r="E25" s="5" t="s">
        <v>100</v>
      </c>
      <c r="F25" s="3"/>
      <c r="G25" s="5" t="str">
        <f>IFERROR(__xludf.DUMMYFUNCTION("GOOGLETRANSLATE(A25, ""it"", ""en"")"),"24")</f>
        <v>24</v>
      </c>
      <c r="H25" s="5" t="str">
        <f>IFERROR(__xludf.DUMMYFUNCTION("GOOGLETRANSLATE(B25, ""it"", ""en"")"),"What happens if a player is sent off?")</f>
        <v>What happens if a player is sent off?</v>
      </c>
      <c r="I25" s="5" t="str">
        <f>IFERROR(__xludf.DUMMYFUNCTION("GOOGLETRANSLATE(C25, ""it"", ""en"")"),"A. The team can replace him B. The team remains numerically inferior C. The player returns after 10 minutes D. The match ends")</f>
        <v>A. The team can replace him B. The team remains numerically inferior C. The player returns after 10 minutes D. The match ends</v>
      </c>
      <c r="J25" s="5" t="str">
        <f>IFERROR(__xludf.DUMMYFUNCTION("GOOGLETRANSLATE(D25, ""it"", ""en"")"),"The team remains outnumbered")</f>
        <v>The team remains outnumbered</v>
      </c>
      <c r="K25" s="5" t="str">
        <f>IFERROR(__xludf.DUMMYFUNCTION("GOOGLETRANSLATE(E25, ""it"", ""en"")"),"A sent off player cannot be replaced.")</f>
        <v>A sent off player cannot be replaced.</v>
      </c>
      <c r="L25" s="3"/>
      <c r="M25" s="3"/>
      <c r="N25" s="3"/>
      <c r="O25" s="3"/>
      <c r="P25" s="3"/>
      <c r="Q25" s="3"/>
      <c r="R25" s="3"/>
      <c r="S25" s="3"/>
      <c r="T25" s="3"/>
    </row>
    <row r="26" ht="22.5" customHeight="1">
      <c r="A26" s="4">
        <v>25.0</v>
      </c>
      <c r="B26" s="5" t="s">
        <v>101</v>
      </c>
      <c r="C26" s="4" t="s">
        <v>102</v>
      </c>
      <c r="D26" s="5" t="s">
        <v>103</v>
      </c>
      <c r="E26" s="5" t="s">
        <v>104</v>
      </c>
      <c r="F26" s="3"/>
      <c r="G26" s="5" t="str">
        <f>IFERROR(__xludf.DUMMYFUNCTION("GOOGLETRANSLATE(A26, ""it"", ""en"")"),"25")</f>
        <v>25</v>
      </c>
      <c r="H26" s="5" t="str">
        <f>IFERROR(__xludf.DUMMYFUNCTION("GOOGLETRANSLATE(B26, ""it"", ""en"")"),"What is the name of the chief referee?")</f>
        <v>What is the name of the chief referee?</v>
      </c>
      <c r="I26" s="5" t="str">
        <f>IFERROR(__xludf.DUMMYFUNCTION("GOOGLETRANSLATE(C26, ""it"", ""en"")"),"A. Master of the Camp B. Commander C. Guarantor D. Captain")</f>
        <v>A. Master of the Camp B. Commander C. Guarantor D. Captain</v>
      </c>
      <c r="J26" s="5" t="str">
        <f>IFERROR(__xludf.DUMMYFUNCTION("GOOGLETRANSLATE(D26, ""it"", ""en"")"),"Master of the Field")</f>
        <v>Master of the Field</v>
      </c>
      <c r="K26" s="5" t="str">
        <f>IFERROR(__xludf.DUMMYFUNCTION("GOOGLETRANSLATE(E26, ""it"", ""en"")"),"The Field Master is the main referee of the game.")</f>
        <v>The Field Master is the main referee of the game.</v>
      </c>
      <c r="L26" s="3"/>
      <c r="M26" s="3"/>
      <c r="N26" s="3"/>
      <c r="O26" s="3"/>
      <c r="P26" s="3"/>
      <c r="Q26" s="3"/>
      <c r="R26" s="3"/>
      <c r="S26" s="3"/>
      <c r="T26" s="3"/>
    </row>
    <row r="27" ht="22.5" customHeight="1">
      <c r="A27" s="4">
        <v>26.0</v>
      </c>
      <c r="B27" s="5" t="s">
        <v>105</v>
      </c>
      <c r="C27" s="4" t="s">
        <v>106</v>
      </c>
      <c r="D27" s="4">
        <v>2.0</v>
      </c>
      <c r="E27" s="5" t="s">
        <v>107</v>
      </c>
      <c r="F27" s="3"/>
      <c r="G27" s="5" t="str">
        <f>IFERROR(__xludf.DUMMYFUNCTION("GOOGLETRANSLATE(A27, ""it"", ""en"")"),"26")</f>
        <v>26</v>
      </c>
      <c r="H27" s="5" t="str">
        <f>IFERROR(__xludf.DUMMYFUNCTION("GOOGLETRANSLATE(B27, ""it"", ""en"")"),"How many center lines does the field have?")</f>
        <v>How many center lines does the field have?</v>
      </c>
      <c r="I27" s="5" t="str">
        <f>IFERROR(__xludf.DUMMYFUNCTION("GOOGLETRANSLATE(C27, ""it"", ""en"")"),"A. 1 B. 2 C. 3 D. 4")</f>
        <v>A. 1 B. 2 C. 3 D. 4</v>
      </c>
      <c r="J27" s="5" t="str">
        <f>IFERROR(__xludf.DUMMYFUNCTION("GOOGLETRANSLATE(D27, ""it"", ""en"")"),"2")</f>
        <v>2</v>
      </c>
      <c r="K27" s="5" t="str">
        <f>IFERROR(__xludf.DUMMYFUNCTION("GOOGLETRANSLATE(E27, ""it"", ""en"")"),"The field is divided by two central lines.")</f>
        <v>The field is divided by two central lines.</v>
      </c>
      <c r="L27" s="3"/>
      <c r="M27" s="3"/>
      <c r="N27" s="3"/>
      <c r="O27" s="3"/>
      <c r="P27" s="3"/>
      <c r="Q27" s="3"/>
      <c r="R27" s="3"/>
      <c r="S27" s="3"/>
      <c r="T27" s="3"/>
    </row>
    <row r="28" ht="22.5" customHeight="1">
      <c r="A28" s="4">
        <v>27.0</v>
      </c>
      <c r="B28" s="5" t="s">
        <v>108</v>
      </c>
      <c r="C28" s="4" t="s">
        <v>109</v>
      </c>
      <c r="D28" s="5" t="s">
        <v>110</v>
      </c>
      <c r="E28" s="5" t="s">
        <v>111</v>
      </c>
      <c r="F28" s="3"/>
      <c r="G28" s="5" t="str">
        <f>IFERROR(__xludf.DUMMYFUNCTION("GOOGLETRANSLATE(A28, ""it"", ""en"")"),"27")</f>
        <v>27</v>
      </c>
      <c r="H28" s="5" t="str">
        <f>IFERROR(__xludf.DUMMYFUNCTION("GOOGLETRANSLATE(B28, ""it"", ""en"")"),"When was Calcio Storico born?")</f>
        <v>When was Calcio Storico born?</v>
      </c>
      <c r="I28" s="5" t="str">
        <f>IFERROR(__xludf.DUMMYFUNCTION("GOOGLETRANSLATE(C28, ""it"", ""en"")"),"A. In the 13th century B. In the 15th century C. In the 17th century D. In the 19th century")</f>
        <v>A. In the 13th century B. In the 15th century C. In the 17th century D. In the 19th century</v>
      </c>
      <c r="J28" s="5" t="str">
        <f>IFERROR(__xludf.DUMMYFUNCTION("GOOGLETRANSLATE(D28, ""it"", ""en"")"),"In the 13th century")</f>
        <v>In the 13th century</v>
      </c>
      <c r="K28" s="5" t="str">
        <f>IFERROR(__xludf.DUMMYFUNCTION("GOOGLETRANSLATE(E28, ""it"", ""en"")"),"The game originated in the 13th century.")</f>
        <v>The game originated in the 13th century.</v>
      </c>
      <c r="L28" s="3"/>
      <c r="M28" s="3"/>
      <c r="N28" s="3"/>
      <c r="O28" s="3"/>
      <c r="P28" s="3"/>
      <c r="Q28" s="3"/>
      <c r="R28" s="3"/>
      <c r="S28" s="3"/>
      <c r="T28" s="3"/>
    </row>
    <row r="29" ht="22.5" customHeight="1">
      <c r="A29" s="4">
        <v>28.0</v>
      </c>
      <c r="B29" s="5" t="s">
        <v>112</v>
      </c>
      <c r="C29" s="4" t="s">
        <v>113</v>
      </c>
      <c r="D29" s="4">
        <v>0.0</v>
      </c>
      <c r="E29" s="5" t="s">
        <v>114</v>
      </c>
      <c r="F29" s="3"/>
      <c r="G29" s="5" t="str">
        <f>IFERROR(__xludf.DUMMYFUNCTION("GOOGLETRANSLATE(A29, ""it"", ""en"")"),"28")</f>
        <v>28</v>
      </c>
      <c r="H29" s="5" t="str">
        <f>IFERROR(__xludf.DUMMYFUNCTION("GOOGLETRANSLATE(B29, ""it"", ""en"")"),"How many points is a ""half hunt"" worth?")</f>
        <v>How many points is a "half hunt" worth?</v>
      </c>
      <c r="I29" s="5" t="str">
        <f>IFERROR(__xludf.DUMMYFUNCTION("GOOGLETRANSLATE(C29, ""it"", ""en"")"),"A. 1 B. 2 C. 3 D. 0")</f>
        <v>A. 1 B. 2 C. 3 D. 0</v>
      </c>
      <c r="J29" s="5" t="str">
        <f>IFERROR(__xludf.DUMMYFUNCTION("GOOGLETRANSLATE(D29, ""it"", ""en"")"),"0")</f>
        <v>0</v>
      </c>
      <c r="K29" s="5" t="str">
        <f>IFERROR(__xludf.DUMMYFUNCTION("GOOGLETRANSLATE(E29, ""it"", ""en"")"),"A half hunt is worth no points.")</f>
        <v>A half hunt is worth no points.</v>
      </c>
      <c r="L29" s="3"/>
      <c r="M29" s="3"/>
      <c r="N29" s="3"/>
      <c r="O29" s="3"/>
      <c r="P29" s="3"/>
      <c r="Q29" s="3"/>
      <c r="R29" s="3"/>
      <c r="S29" s="3"/>
      <c r="T29" s="3"/>
    </row>
    <row r="30" ht="22.5" customHeight="1">
      <c r="A30" s="4">
        <v>29.0</v>
      </c>
      <c r="B30" s="5" t="s">
        <v>115</v>
      </c>
      <c r="C30" s="4" t="s">
        <v>116</v>
      </c>
      <c r="D30" s="5" t="s">
        <v>117</v>
      </c>
      <c r="E30" s="5" t="s">
        <v>118</v>
      </c>
      <c r="F30" s="3"/>
      <c r="G30" s="5" t="str">
        <f>IFERROR(__xludf.DUMMYFUNCTION("GOOGLETRANSLATE(A30, ""it"", ""en"")"),"29")</f>
        <v>29</v>
      </c>
      <c r="H30" s="5" t="str">
        <f>IFERROR(__xludf.DUMMYFUNCTION("GOOGLETRANSLATE(B30, ""it"", ""en"")"),"What action is considered unsportsmanlike?")</f>
        <v>What action is considered unsportsmanlike?</v>
      </c>
      <c r="I30" s="5" t="str">
        <f>IFERROR(__xludf.DUMMYFUNCTION("GOOGLETRANSLATE(C30, ""it"", ""en"")"),"A. Passing laterally B. Blocking the ball C. Hitting an opponent for no reason D. Shouting")</f>
        <v>A. Passing laterally B. Blocking the ball C. Hitting an opponent for no reason D. Shouting</v>
      </c>
      <c r="J30" s="5" t="str">
        <f>IFERROR(__xludf.DUMMYFUNCTION("GOOGLETRANSLATE(D30, ""it"", ""en"")"),"Hitting an opponent without reason")</f>
        <v>Hitting an opponent without reason</v>
      </c>
      <c r="K30" s="5" t="str">
        <f>IFERROR(__xludf.DUMMYFUNCTION("GOOGLETRANSLATE(E30, ""it"", ""en"")"),"Unnecessary acts of violence are considered unsportsmanlike.")</f>
        <v>Unnecessary acts of violence are considered unsportsmanlike.</v>
      </c>
      <c r="L30" s="3"/>
      <c r="M30" s="3"/>
      <c r="N30" s="3"/>
      <c r="O30" s="3"/>
      <c r="P30" s="3"/>
      <c r="Q30" s="3"/>
      <c r="R30" s="3"/>
      <c r="S30" s="3"/>
      <c r="T30" s="3"/>
    </row>
    <row r="31" ht="22.5" customHeight="1">
      <c r="A31" s="4">
        <v>30.0</v>
      </c>
      <c r="B31" s="5" t="s">
        <v>119</v>
      </c>
      <c r="C31" s="4" t="s">
        <v>120</v>
      </c>
      <c r="D31" s="5" t="s">
        <v>121</v>
      </c>
      <c r="E31" s="5" t="s">
        <v>122</v>
      </c>
      <c r="F31" s="3"/>
      <c r="G31" s="5" t="str">
        <f>IFERROR(__xludf.DUMMYFUNCTION("GOOGLETRANSLATE(A31, ""it"", ""en"")"),"30")</f>
        <v>30</v>
      </c>
      <c r="H31" s="5" t="str">
        <f>IFERROR(__xludf.DUMMYFUNCTION("GOOGLETRANSLATE(B31, ""it"", ""en"")"),"What happens if a player gets injured?")</f>
        <v>What happens if a player gets injured?</v>
      </c>
      <c r="I31" s="5" t="str">
        <f>IFERROR(__xludf.DUMMYFUNCTION("GOOGLETRANSLATE(C31, ""it"", ""en"")"),"A. He is substituted B. He must leave the pitch C. He continues playing D. The match is suspended")</f>
        <v>A. He is substituted B. He must leave the pitch C. He continues playing D. The match is suspended</v>
      </c>
      <c r="J31" s="5" t="str">
        <f>IFERROR(__xludf.DUMMYFUNCTION("GOOGLETRANSLATE(D31, ""it"", ""en"")"),"He must leave the field")</f>
        <v>He must leave the field</v>
      </c>
      <c r="K31" s="5" t="str">
        <f>IFERROR(__xludf.DUMMYFUNCTION("GOOGLETRANSLATE(E31, ""it"", ""en"")"),"An injured player must leave the field.")</f>
        <v>An injured player must leave the field.</v>
      </c>
      <c r="L31" s="3"/>
      <c r="M31" s="3"/>
      <c r="N31" s="3"/>
      <c r="O31" s="3"/>
      <c r="P31" s="3"/>
      <c r="Q31" s="3"/>
      <c r="R31" s="3"/>
      <c r="S31" s="3"/>
      <c r="T31" s="3"/>
    </row>
    <row r="32" ht="22.5" customHeight="1">
      <c r="A32" s="4">
        <v>31.0</v>
      </c>
      <c r="B32" s="5" t="s">
        <v>123</v>
      </c>
      <c r="C32" s="4" t="s">
        <v>124</v>
      </c>
      <c r="D32" s="5" t="s">
        <v>125</v>
      </c>
      <c r="E32" s="5" t="s">
        <v>126</v>
      </c>
      <c r="F32" s="3"/>
      <c r="G32" s="5" t="str">
        <f>IFERROR(__xludf.DUMMYFUNCTION("GOOGLETRANSLATE(A32, ""it"", ""en"")"),"31")</f>
        <v>31</v>
      </c>
      <c r="H32" s="5" t="str">
        <f>IFERROR(__xludf.DUMMYFUNCTION("GOOGLETRANSLATE(B32, ""it"", ""en"")"),"What is the role of the ""Portatori"" in Calcio Storico?")</f>
        <v>What is the role of the "Portatori" in Calcio Storico?</v>
      </c>
      <c r="I32" s="5" t="str">
        <f>IFERROR(__xludf.DUMMYFUNCTION("GOOGLETRANSLATE(C32, ""it"", ""en"")"),"A. Mark the chases B. Protect the defenders C. Maintain possession D. Block the passes")</f>
        <v>A. Mark the chases B. Protect the defenders C. Maintain possession D. Block the passes</v>
      </c>
      <c r="J32" s="5" t="str">
        <f>IFERROR(__xludf.DUMMYFUNCTION("GOOGLETRANSLATE(D32, ""it"", ""en"")"),"Maintain possession of the ball")</f>
        <v>Maintain possession of the ball</v>
      </c>
      <c r="K32" s="5" t="str">
        <f>IFERROR(__xludf.DUMMYFUNCTION("GOOGLETRANSLATE(E32, ""it"", ""en"")"),"The ""Carriers"" are responsible for maintaining control of the ball.")</f>
        <v>The "Carriers" are responsible for maintaining control of the ball.</v>
      </c>
      <c r="L32" s="3"/>
      <c r="M32" s="3"/>
      <c r="N32" s="3"/>
      <c r="O32" s="3"/>
      <c r="P32" s="3"/>
      <c r="Q32" s="3"/>
      <c r="R32" s="3"/>
      <c r="S32" s="3"/>
      <c r="T32" s="3"/>
    </row>
    <row r="33" ht="22.5" customHeight="1">
      <c r="A33" s="4">
        <v>32.0</v>
      </c>
      <c r="B33" s="5" t="s">
        <v>127</v>
      </c>
      <c r="C33" s="4" t="s">
        <v>128</v>
      </c>
      <c r="D33" s="5" t="s">
        <v>129</v>
      </c>
      <c r="E33" s="5" t="s">
        <v>130</v>
      </c>
      <c r="F33" s="3"/>
      <c r="G33" s="5" t="str">
        <f>IFERROR(__xludf.DUMMYFUNCTION("GOOGLETRANSLATE(A33, ""it"", ""en"")"),"32")</f>
        <v>32</v>
      </c>
      <c r="H33" s="5" t="str">
        <f>IFERROR(__xludf.DUMMYFUNCTION("GOOGLETRANSLATE(B33, ""it"", ""en"")"),"What is the importance of the ""Captain"" in a Calcio Storico team?")</f>
        <v>What is the importance of the "Captain" in a Calcio Storico team?</v>
      </c>
      <c r="I33" s="5" t="str">
        <f>IFERROR(__xludf.DUMMYFUNCTION("GOOGLETRANSLATE(C33, ""it"", ""en"")"),"A. Marks the hunts B. Referees the match C. Coordinates the strategy D. Assumes defensive roles")</f>
        <v>A. Marks the hunts B. Referees the match C. Coordinates the strategy D. Assumes defensive roles</v>
      </c>
      <c r="J33" s="5" t="str">
        <f>IFERROR(__xludf.DUMMYFUNCTION("GOOGLETRANSLATE(D33, ""it"", ""en"")"),"Coordinate the strategy")</f>
        <v>Coordinate the strategy</v>
      </c>
      <c r="K33" s="5" t="str">
        <f>IFERROR(__xludf.DUMMYFUNCTION("GOOGLETRANSLATE(E33, ""it"", ""en"")"),"The Captain leads the team and decides the tactics.")</f>
        <v>The Captain leads the team and decides the tactics.</v>
      </c>
      <c r="L33" s="3"/>
      <c r="M33" s="3"/>
      <c r="N33" s="3"/>
      <c r="O33" s="3"/>
      <c r="P33" s="3"/>
      <c r="Q33" s="3"/>
      <c r="R33" s="3"/>
      <c r="S33" s="3"/>
      <c r="T33" s="3"/>
    </row>
    <row r="34" ht="22.5" customHeight="1">
      <c r="A34" s="4">
        <v>33.0</v>
      </c>
      <c r="B34" s="5" t="s">
        <v>131</v>
      </c>
      <c r="C34" s="4" t="s">
        <v>132</v>
      </c>
      <c r="D34" s="5" t="s">
        <v>133</v>
      </c>
      <c r="E34" s="5" t="s">
        <v>134</v>
      </c>
      <c r="F34" s="3"/>
      <c r="G34" s="5" t="str">
        <f>IFERROR(__xludf.DUMMYFUNCTION("GOOGLETRANSLATE(A34, ""it"", ""en"")"),"33")</f>
        <v>33</v>
      </c>
      <c r="H34" s="5" t="str">
        <f>IFERROR(__xludf.DUMMYFUNCTION("GOOGLETRANSLATE(B34, ""it"", ""en"")"),"What is not allowed during physical contact?")</f>
        <v>What is not allowed during physical contact?</v>
      </c>
      <c r="I34" s="5" t="str">
        <f>IFERROR(__xludf.DUMMYFUNCTION("GOOGLETRANSLATE(C34, ""it"", ""en"")"),"A. Blocking the opponent B. Tugging on the shirt C. Hitting in the face D. Pushing")</f>
        <v>A. Blocking the opponent B. Tugging on the shirt C. Hitting in the face D. Pushing</v>
      </c>
      <c r="J34" s="5" t="str">
        <f>IFERROR(__xludf.DUMMYFUNCTION("GOOGLETRANSLATE(D34, ""it"", ""en"")"),"Hitting in the face")</f>
        <v>Hitting in the face</v>
      </c>
      <c r="K34" s="5" t="str">
        <f>IFERROR(__xludf.DUMMYFUNCTION("GOOGLETRANSLATE(E34, ""it"", ""en"")"),"Hitting someone in the face is considered bad behavior.")</f>
        <v>Hitting someone in the face is considered bad behavior.</v>
      </c>
      <c r="L34" s="3"/>
      <c r="M34" s="3"/>
      <c r="N34" s="3"/>
      <c r="O34" s="3"/>
      <c r="P34" s="3"/>
      <c r="Q34" s="3"/>
      <c r="R34" s="3"/>
      <c r="S34" s="3"/>
      <c r="T34" s="3"/>
    </row>
    <row r="35" ht="22.5" customHeight="1">
      <c r="A35" s="4">
        <v>34.0</v>
      </c>
      <c r="B35" s="5" t="s">
        <v>135</v>
      </c>
      <c r="C35" s="4" t="s">
        <v>136</v>
      </c>
      <c r="D35" s="5" t="s">
        <v>137</v>
      </c>
      <c r="E35" s="5" t="s">
        <v>138</v>
      </c>
      <c r="F35" s="3"/>
      <c r="G35" s="5" t="str">
        <f>IFERROR(__xludf.DUMMYFUNCTION("GOOGLETRANSLATE(A35, ""it"", ""en"")"),"34")</f>
        <v>34</v>
      </c>
      <c r="H35" s="5" t="str">
        <f>IFERROR(__xludf.DUMMYFUNCTION("GOOGLETRANSLATE(B35, ""it"", ""en"")"),"What is the importance of the ""Guards""?")</f>
        <v>What is the importance of the "Guards"?</v>
      </c>
      <c r="I35" s="5" t="str">
        <f>IFERROR(__xludf.DUMMYFUNCTION("GOOGLETRANSLATE(C35, ""it"", ""en"")"),"A. Defend the goal area B. Prevent long passes C. Block attackers D. Protect the Captain")</f>
        <v>A. Defend the goal area B. Prevent long passes C. Block attackers D. Protect the Captain</v>
      </c>
      <c r="J35" s="5" t="str">
        <f>IFERROR(__xludf.DUMMYFUNCTION("GOOGLETRANSLATE(D35, ""it"", ""en"")"),"Block the attackers")</f>
        <v>Block the attackers</v>
      </c>
      <c r="K35" s="5" t="str">
        <f>IFERROR(__xludf.DUMMYFUNCTION("GOOGLETRANSLATE(E35, ""it"", ""en"")"),"The Guards are responsible for stopping opposing attackers.")</f>
        <v>The Guards are responsible for stopping opposing attackers.</v>
      </c>
      <c r="L35" s="3"/>
      <c r="M35" s="3"/>
      <c r="N35" s="3"/>
      <c r="O35" s="3"/>
      <c r="P35" s="3"/>
      <c r="Q35" s="3"/>
      <c r="R35" s="3"/>
      <c r="S35" s="3"/>
      <c r="T35" s="3"/>
    </row>
    <row r="36" ht="22.5" customHeight="1">
      <c r="A36" s="4">
        <v>35.0</v>
      </c>
      <c r="B36" s="5" t="s">
        <v>139</v>
      </c>
      <c r="C36" s="4" t="s">
        <v>140</v>
      </c>
      <c r="D36" s="5" t="s">
        <v>141</v>
      </c>
      <c r="E36" s="5" t="s">
        <v>142</v>
      </c>
      <c r="F36" s="3"/>
      <c r="G36" s="5" t="str">
        <f>IFERROR(__xludf.DUMMYFUNCTION("GOOGLETRANSLATE(A36, ""it"", ""en"")"),"35")</f>
        <v>35</v>
      </c>
      <c r="H36" s="5" t="str">
        <f>IFERROR(__xludf.DUMMYFUNCTION("GOOGLETRANSLATE(B36, ""it"", ""en"")"),"What attitude is considered respectful towards the opponent?")</f>
        <v>What attitude is considered respectful towards the opponent?</v>
      </c>
      <c r="I36" s="5" t="str">
        <f>IFERROR(__xludf.DUMMYFUNCTION("GOOGLETRANSLATE(C36, ""it"", ""en"")"),"A. Avoid physical contact B. Avoid insults and violence C. Do not score too many points D. Apologize during the game")</f>
        <v>A. Avoid physical contact B. Avoid insults and violence C. Do not score too many points D. Apologize during the game</v>
      </c>
      <c r="J36" s="5" t="str">
        <f>IFERROR(__xludf.DUMMYFUNCTION("GOOGLETRANSLATE(D36, ""it"", ""en"")"),"Avoid insults and violence")</f>
        <v>Avoid insults and violence</v>
      </c>
      <c r="K36" s="5" t="str">
        <f>IFERROR(__xludf.DUMMYFUNCTION("GOOGLETRANSLATE(E36, ""it"", ""en"")"),"Respect is fundamental in Calcio Storico.")</f>
        <v>Respect is fundamental in Calcio Storico.</v>
      </c>
      <c r="L36" s="3"/>
      <c r="M36" s="3"/>
      <c r="N36" s="3"/>
      <c r="O36" s="3"/>
      <c r="P36" s="3"/>
      <c r="Q36" s="3"/>
      <c r="R36" s="3"/>
      <c r="S36" s="3"/>
      <c r="T36" s="3"/>
    </row>
    <row r="37" ht="22.5" customHeight="1">
      <c r="A37" s="4">
        <v>36.0</v>
      </c>
      <c r="B37" s="5" t="s">
        <v>143</v>
      </c>
      <c r="C37" s="4" t="s">
        <v>144</v>
      </c>
      <c r="D37" s="5" t="s">
        <v>145</v>
      </c>
      <c r="E37" s="5" t="s">
        <v>146</v>
      </c>
      <c r="F37" s="3"/>
      <c r="G37" s="5" t="str">
        <f>IFERROR(__xludf.DUMMYFUNCTION("GOOGLETRANSLATE(A37, ""it"", ""en"")"),"36")</f>
        <v>36</v>
      </c>
      <c r="H37" s="5" t="str">
        <f>IFERROR(__xludf.DUMMYFUNCTION("GOOGLETRANSLATE(B37, ""it"", ""en"")"),"What does a ""half hunt"" represent?")</f>
        <v>What does a "half hunt" represent?</v>
      </c>
      <c r="I37" s="5" t="str">
        <f>IFERROR(__xludf.DUMMYFUNCTION("GOOGLETRANSLATE(C37, ""it"", ""en"")"),"A. A completed goal B. An aiming error C. A disallowed goal D. A bonus point")</f>
        <v>A. A completed goal B. An aiming error C. A disallowed goal D. A bonus point</v>
      </c>
      <c r="J37" s="5" t="str">
        <f>IFERROR(__xludf.DUMMYFUNCTION("GOOGLETRANSLATE(D37, ""it"", ""en"")"),"An aiming error")</f>
        <v>An aiming error</v>
      </c>
      <c r="K37" s="5" t="str">
        <f>IFERROR(__xludf.DUMMYFUNCTION("GOOGLETRANSLATE(E37, ""it"", ""en"")"),"A ""half-shot"" is a shot that misses the target.")</f>
        <v>A "half-shot" is a shot that misses the target.</v>
      </c>
      <c r="L37" s="3"/>
      <c r="M37" s="3"/>
      <c r="N37" s="3"/>
      <c r="O37" s="3"/>
      <c r="P37" s="3"/>
      <c r="Q37" s="3"/>
      <c r="R37" s="3"/>
      <c r="S37" s="3"/>
      <c r="T37" s="3"/>
    </row>
    <row r="38" ht="22.5" customHeight="1">
      <c r="A38" s="4">
        <v>37.0</v>
      </c>
      <c r="B38" s="5" t="s">
        <v>147</v>
      </c>
      <c r="C38" s="4" t="s">
        <v>148</v>
      </c>
      <c r="D38" s="5" t="s">
        <v>149</v>
      </c>
      <c r="E38" s="5" t="s">
        <v>150</v>
      </c>
      <c r="F38" s="3"/>
      <c r="G38" s="5" t="str">
        <f>IFERROR(__xludf.DUMMYFUNCTION("GOOGLETRANSLATE(A38, ""it"", ""en"")"),"37")</f>
        <v>37</v>
      </c>
      <c r="H38" s="5" t="str">
        <f>IFERROR(__xludf.DUMMYFUNCTION("GOOGLETRANSLATE(B38, ""it"", ""en"")"),"When can the public attend Calcio Storico?")</f>
        <v>When can the public attend Calcio Storico?</v>
      </c>
      <c r="I38" s="5" t="str">
        <f>IFERROR(__xludf.DUMMYFUNCTION("GOOGLETRANSLATE(C38, ""it"", ""en"")"),"A. Never B. After a foul C. During the initial toss D. Only at the end of the match")</f>
        <v>A. Never B. After a foul C. During the initial toss D. Only at the end of the match</v>
      </c>
      <c r="J38" s="5" t="str">
        <f>IFERROR(__xludf.DUMMYFUNCTION("GOOGLETRANSLATE(D38, ""it"", ""en"")"),"Never")</f>
        <v>Never</v>
      </c>
      <c r="K38" s="5" t="str">
        <f>IFERROR(__xludf.DUMMYFUNCTION("GOOGLETRANSLATE(E38, ""it"", ""en"")"),"The public is not allowed to intervene in the game.")</f>
        <v>The public is not allowed to intervene in the game.</v>
      </c>
      <c r="L38" s="3"/>
      <c r="M38" s="3"/>
      <c r="N38" s="3"/>
      <c r="O38" s="3"/>
      <c r="P38" s="3"/>
      <c r="Q38" s="3"/>
      <c r="R38" s="3"/>
      <c r="S38" s="3"/>
      <c r="T38" s="3"/>
    </row>
    <row r="39" ht="22.5" customHeight="1">
      <c r="A39" s="4">
        <v>38.0</v>
      </c>
      <c r="B39" s="5" t="s">
        <v>151</v>
      </c>
      <c r="C39" s="4" t="s">
        <v>152</v>
      </c>
      <c r="D39" s="5" t="s">
        <v>153</v>
      </c>
      <c r="E39" s="5" t="s">
        <v>154</v>
      </c>
      <c r="F39" s="3"/>
      <c r="G39" s="5" t="str">
        <f>IFERROR(__xludf.DUMMYFUNCTION("GOOGLETRANSLATE(A39, ""it"", ""en"")"),"38")</f>
        <v>38</v>
      </c>
      <c r="H39" s="5" t="str">
        <f>IFERROR(__xludf.DUMMYFUNCTION("GOOGLETRANSLATE(B39, ""it"", ""en"")"),"What type of clothing is used in Calcio Storico?")</f>
        <v>What type of clothing is used in Calcio Storico?</v>
      </c>
      <c r="I39" s="5" t="str">
        <f>IFERROR(__xludf.DUMMYFUNCTION("GOOGLETRANSLATE(C39, ""it"", ""en"")"),"A. Modern T-shirts B. Medieval uniforms C. Traditional costumes D. Linen tunics")</f>
        <v>A. Modern T-shirts B. Medieval uniforms C. Traditional costumes D. Linen tunics</v>
      </c>
      <c r="J39" s="5" t="str">
        <f>IFERROR(__xludf.DUMMYFUNCTION("GOOGLETRANSLATE(D39, ""it"", ""en"")"),"Linen shirts")</f>
        <v>Linen shirts</v>
      </c>
      <c r="K39" s="5" t="str">
        <f>IFERROR(__xludf.DUMMYFUNCTION("GOOGLETRANSLATE(E39, ""it"", ""en"")"),"The players wear traditional linen jerseys.")</f>
        <v>The players wear traditional linen jerseys.</v>
      </c>
      <c r="L39" s="3"/>
      <c r="M39" s="3"/>
      <c r="N39" s="3"/>
      <c r="O39" s="3"/>
      <c r="P39" s="3"/>
      <c r="Q39" s="3"/>
      <c r="R39" s="3"/>
      <c r="S39" s="3"/>
      <c r="T39" s="3"/>
    </row>
    <row r="40" ht="22.5" customHeight="1">
      <c r="A40" s="4">
        <v>39.0</v>
      </c>
      <c r="B40" s="5" t="s">
        <v>155</v>
      </c>
      <c r="C40" s="4" t="s">
        <v>156</v>
      </c>
      <c r="D40" s="5" t="s">
        <v>157</v>
      </c>
      <c r="E40" s="5" t="s">
        <v>158</v>
      </c>
      <c r="F40" s="3"/>
      <c r="G40" s="5" t="str">
        <f>IFERROR(__xludf.DUMMYFUNCTION("GOOGLETRANSLATE(A40, ""it"", ""en"")"),"39")</f>
        <v>39</v>
      </c>
      <c r="H40" s="5" t="str">
        <f>IFERROR(__xludf.DUMMYFUNCTION("GOOGLETRANSLATE(B40, ""it"", ""en"")"),"What materials are used to make the ball?")</f>
        <v>What materials are used to make the ball?</v>
      </c>
      <c r="I40" s="5" t="str">
        <f>IFERROR(__xludf.DUMMYFUNCTION("GOOGLETRANSLATE(C40, ""it"", ""en"")"),"A. Synthetic leather B. Plastic C. Animal skin D. Wood")</f>
        <v>A. Synthetic leather B. Plastic C. Animal skin D. Wood</v>
      </c>
      <c r="J40" s="5" t="str">
        <f>IFERROR(__xludf.DUMMYFUNCTION("GOOGLETRANSLATE(D40, ""it"", ""en"")"),"Animal skin")</f>
        <v>Animal skin</v>
      </c>
      <c r="K40" s="5" t="str">
        <f>IFERROR(__xludf.DUMMYFUNCTION("GOOGLETRANSLATE(E40, ""it"", ""en"")"),"The balls are made of animal skin.")</f>
        <v>The balls are made of animal skin.</v>
      </c>
      <c r="L40" s="3"/>
      <c r="M40" s="3"/>
      <c r="N40" s="3"/>
      <c r="O40" s="3"/>
      <c r="P40" s="3"/>
      <c r="Q40" s="3"/>
      <c r="R40" s="3"/>
      <c r="S40" s="3"/>
      <c r="T40" s="3"/>
    </row>
    <row r="41" ht="22.5" customHeight="1">
      <c r="A41" s="4">
        <v>40.0</v>
      </c>
      <c r="B41" s="5" t="s">
        <v>159</v>
      </c>
      <c r="C41" s="4" t="s">
        <v>160</v>
      </c>
      <c r="D41" s="5" t="s">
        <v>161</v>
      </c>
      <c r="E41" s="5" t="s">
        <v>162</v>
      </c>
      <c r="F41" s="3"/>
      <c r="G41" s="5" t="str">
        <f>IFERROR(__xludf.DUMMYFUNCTION("GOOGLETRANSLATE(A41, ""it"", ""en"")"),"40")</f>
        <v>40</v>
      </c>
      <c r="H41" s="5" t="str">
        <f>IFERROR(__xludf.DUMMYFUNCTION("GOOGLETRANSLATE(B41, ""it"", ""en"")"),"How is fair play considered in Calcio Storico?")</f>
        <v>How is fair play considered in Calcio Storico?</v>
      </c>
      <c r="I41" s="5" t="str">
        <f>IFERROR(__xludf.DUMMYFUNCTION("GOOGLETRANSLATE(C41, ""it"", ""en"")"),"A. Not necessary B. Essential C. Marginal D. Optional")</f>
        <v>A. Not necessary B. Essential C. Marginal D. Optional</v>
      </c>
      <c r="J41" s="5" t="str">
        <f>IFERROR(__xludf.DUMMYFUNCTION("GOOGLETRANSLATE(D41, ""it"", ""en"")"),"Essential")</f>
        <v>Essential</v>
      </c>
      <c r="K41" s="5" t="str">
        <f>IFERROR(__xludf.DUMMYFUNCTION("GOOGLETRANSLATE(E41, ""it"", ""en"")"),"Fair play is a fundamental value in the game.")</f>
        <v>Fair play is a fundamental value in the game.</v>
      </c>
      <c r="L41" s="3"/>
      <c r="M41" s="3"/>
      <c r="N41" s="3"/>
      <c r="O41" s="3"/>
      <c r="P41" s="3"/>
      <c r="Q41" s="3"/>
      <c r="R41" s="3"/>
      <c r="S41" s="3"/>
      <c r="T41" s="3"/>
    </row>
    <row r="42" ht="22.5" customHeight="1">
      <c r="A42" s="4">
        <v>41.0</v>
      </c>
      <c r="B42" s="5" t="s">
        <v>163</v>
      </c>
      <c r="C42" s="4" t="s">
        <v>164</v>
      </c>
      <c r="D42" s="5" t="s">
        <v>165</v>
      </c>
      <c r="E42" s="5" t="s">
        <v>166</v>
      </c>
      <c r="F42" s="3"/>
      <c r="G42" s="5" t="str">
        <f>IFERROR(__xludf.DUMMYFUNCTION("GOOGLETRANSLATE(A42, ""it"", ""en"")"),"41")</f>
        <v>41</v>
      </c>
      <c r="H42" s="5" t="str">
        <f>IFERROR(__xludf.DUMMYFUNCTION("GOOGLETRANSLATE(B42, ""it"", ""en"")"),"What is the role of the public during Calcio Storico?")</f>
        <v>What is the role of the public during Calcio Storico?</v>
      </c>
      <c r="I42" s="5" t="str">
        <f>IFERROR(__xludf.DUMMYFUNCTION("GOOGLETRANSLATE(C42, ""it"", ""en"")"),"A. Cheer on your team B. Suggest strategies C. Interrupt the game D. Influence the referees")</f>
        <v>A. Cheer on your team B. Suggest strategies C. Interrupt the game D. Influence the referees</v>
      </c>
      <c r="J42" s="5" t="str">
        <f>IFERROR(__xludf.DUMMYFUNCTION("GOOGLETRANSLATE(D42, ""it"", ""en"")"),"Cheer on your team")</f>
        <v>Cheer on your team</v>
      </c>
      <c r="K42" s="5" t="str">
        <f>IFERROR(__xludf.DUMMYFUNCTION("GOOGLETRANSLATE(E42, ""it"", ""en"")"),"The crowd can only cheer for their own team.")</f>
        <v>The crowd can only cheer for their own team.</v>
      </c>
      <c r="L42" s="3"/>
      <c r="M42" s="3"/>
      <c r="N42" s="3"/>
      <c r="O42" s="3"/>
      <c r="P42" s="3"/>
      <c r="Q42" s="3"/>
      <c r="R42" s="3"/>
      <c r="S42" s="3"/>
      <c r="T42" s="3"/>
    </row>
    <row r="43" ht="22.5" customHeight="1">
      <c r="A43" s="4">
        <v>42.0</v>
      </c>
      <c r="B43" s="5" t="s">
        <v>167</v>
      </c>
      <c r="C43" s="4" t="s">
        <v>168</v>
      </c>
      <c r="D43" s="5" t="s">
        <v>169</v>
      </c>
      <c r="E43" s="5" t="s">
        <v>170</v>
      </c>
      <c r="F43" s="3"/>
      <c r="G43" s="5" t="str">
        <f>IFERROR(__xludf.DUMMYFUNCTION("GOOGLETRANSLATE(A43, ""it"", ""en"")"),"42")</f>
        <v>42</v>
      </c>
      <c r="H43" s="5" t="str">
        <f>IFERROR(__xludf.DUMMYFUNCTION("GOOGLETRANSLATE(B43, ""it"", ""en"")"),"What is not allowed during the game?")</f>
        <v>What is not allowed during the game?</v>
      </c>
      <c r="I43" s="5" t="str">
        <f>IFERROR(__xludf.DUMMYFUNCTION("GOOGLETRANSLATE(C43, ""it"", ""en"")"),"A. Diving to catch the ball B. Using external objects C. Talking to the officials D. Running towards the crowd")</f>
        <v>A. Diving to catch the ball B. Using external objects C. Talking to the officials D. Running towards the crowd</v>
      </c>
      <c r="J43" s="5" t="str">
        <f>IFERROR(__xludf.DUMMYFUNCTION("GOOGLETRANSLATE(D43, ""it"", ""en"")"),"Using external objects")</f>
        <v>Using external objects</v>
      </c>
      <c r="K43" s="5" t="str">
        <f>IFERROR(__xludf.DUMMYFUNCTION("GOOGLETRANSLATE(E43, ""it"", ""en"")"),"No external objects are allowed during gameplay.")</f>
        <v>No external objects are allowed during gameplay.</v>
      </c>
      <c r="L43" s="3"/>
      <c r="M43" s="3"/>
      <c r="N43" s="3"/>
      <c r="O43" s="3"/>
      <c r="P43" s="3"/>
      <c r="Q43" s="3"/>
      <c r="R43" s="3"/>
      <c r="S43" s="3"/>
      <c r="T43" s="3"/>
    </row>
    <row r="44" ht="22.5" customHeight="1">
      <c r="A44" s="4">
        <v>43.0</v>
      </c>
      <c r="B44" s="5" t="s">
        <v>171</v>
      </c>
      <c r="C44" s="4" t="s">
        <v>172</v>
      </c>
      <c r="D44" s="5" t="s">
        <v>173</v>
      </c>
      <c r="E44" s="5" t="s">
        <v>174</v>
      </c>
      <c r="F44" s="3"/>
      <c r="G44" s="5" t="str">
        <f>IFERROR(__xludf.DUMMYFUNCTION("GOOGLETRANSLATE(A44, ""it"", ""en"")"),"43")</f>
        <v>43</v>
      </c>
      <c r="H44" s="5" t="str">
        <f>IFERROR(__xludf.DUMMYFUNCTION("GOOGLETRANSLATE(B44, ""it"", ""en"")"),"How is a serious foul handled?")</f>
        <v>How is a serious foul handled?</v>
      </c>
      <c r="I44" s="5" t="str">
        <f>IFERROR(__xludf.DUMMYFUNCTION("GOOGLETRANSLATE(C44, ""it"", ""en"")"),"A. With a warning B. With an ejection C. With a point penalty D. With a pause in play")</f>
        <v>A. With a warning B. With an ejection C. With a point penalty D. With a pause in play</v>
      </c>
      <c r="J44" s="5" t="str">
        <f>IFERROR(__xludf.DUMMYFUNCTION("GOOGLETRANSLATE(D44, ""it"", ""en"")"),"With an expulsion")</f>
        <v>With an expulsion</v>
      </c>
      <c r="K44" s="5" t="str">
        <f>IFERROR(__xludf.DUMMYFUNCTION("GOOGLETRANSLATE(E44, ""it"", ""en"")"),"Serious fouls lead to the player being sent off.")</f>
        <v>Serious fouls lead to the player being sent off.</v>
      </c>
      <c r="L44" s="3"/>
      <c r="M44" s="3"/>
      <c r="N44" s="3"/>
      <c r="O44" s="3"/>
      <c r="P44" s="3"/>
      <c r="Q44" s="3"/>
      <c r="R44" s="3"/>
      <c r="S44" s="3"/>
      <c r="T44" s="3"/>
    </row>
    <row r="45" ht="22.5" customHeight="1">
      <c r="A45" s="4">
        <v>44.0</v>
      </c>
      <c r="B45" s="5" t="s">
        <v>175</v>
      </c>
      <c r="C45" s="4" t="s">
        <v>176</v>
      </c>
      <c r="D45" s="5" t="s">
        <v>53</v>
      </c>
      <c r="E45" s="5" t="s">
        <v>177</v>
      </c>
      <c r="F45" s="3"/>
      <c r="G45" s="5" t="str">
        <f>IFERROR(__xludf.DUMMYFUNCTION("GOOGLETRANSLATE(A45, ""it"", ""en"")"),"44")</f>
        <v>44</v>
      </c>
      <c r="H45" s="5" t="str">
        <f>IFERROR(__xludf.DUMMYFUNCTION("GOOGLETRANSLATE(B45, ""it"", ""en"")"),"Who decides the winner of the tournament?")</f>
        <v>Who decides the winner of the tournament?</v>
      </c>
      <c r="I45" s="5" t="str">
        <f>IFERROR(__xludf.DUMMYFUNCTION("GOOGLETRANSLATE(C45, ""it"", ""en"")"),"A. A popular jury B. The public C. A committee of referees D. The mayor of Florence")</f>
        <v>A. A popular jury B. The public C. A committee of referees D. The mayor of Florence</v>
      </c>
      <c r="J45" s="5" t="str">
        <f>IFERROR(__xludf.DUMMYFUNCTION("GOOGLETRANSLATE(D45, ""it"", ""en"")"),"A committee of referees")</f>
        <v>A committee of referees</v>
      </c>
      <c r="K45" s="5" t="str">
        <f>IFERROR(__xludf.DUMMYFUNCTION("GOOGLETRANSLATE(E45, ""it"", ""en"")"),"The referee committee declares the official winner.")</f>
        <v>The referee committee declares the official winner.</v>
      </c>
      <c r="L45" s="3"/>
      <c r="M45" s="3"/>
      <c r="N45" s="3"/>
      <c r="O45" s="3"/>
      <c r="P45" s="3"/>
      <c r="Q45" s="3"/>
      <c r="R45" s="3"/>
      <c r="S45" s="3"/>
      <c r="T45" s="3"/>
    </row>
    <row r="46" ht="22.5" customHeight="1">
      <c r="A46" s="4">
        <v>45.0</v>
      </c>
      <c r="B46" s="5" t="s">
        <v>178</v>
      </c>
      <c r="C46" s="4" t="s">
        <v>179</v>
      </c>
      <c r="D46" s="5" t="s">
        <v>180</v>
      </c>
      <c r="E46" s="5" t="s">
        <v>181</v>
      </c>
      <c r="F46" s="3"/>
      <c r="G46" s="5" t="str">
        <f>IFERROR(__xludf.DUMMYFUNCTION("GOOGLETRANSLATE(A46, ""it"", ""en"")"),"45")</f>
        <v>45</v>
      </c>
      <c r="H46" s="5" t="str">
        <f>IFERROR(__xludf.DUMMYFUNCTION("GOOGLETRANSLATE(B46, ""it"", ""en"")"),"What distinguishes Calcio Storico from modern sports?")</f>
        <v>What distinguishes Calcio Storico from modern sports?</v>
      </c>
      <c r="I46" s="5" t="str">
        <f>IFERROR(__xludf.DUMMYFUNCTION("GOOGLETRANSLATE(C46, ""it"", ""en"")"),"A. The absence of referees B. The rigid rules C. The historical context D. The presence of neutral fans")</f>
        <v>A. The absence of referees B. The rigid rules C. The historical context D. The presence of neutral fans</v>
      </c>
      <c r="J46" s="5" t="str">
        <f>IFERROR(__xludf.DUMMYFUNCTION("GOOGLETRANSLATE(D46, ""it"", ""en"")"),"The historical context")</f>
        <v>The historical context</v>
      </c>
      <c r="K46" s="5" t="str">
        <f>IFERROR(__xludf.DUMMYFUNCTION("GOOGLETRANSLATE(E46, ""it"", ""en"")"),"Calcio Storico has unique historical roots.")</f>
        <v>Calcio Storico has unique historical roots.</v>
      </c>
      <c r="L46" s="3"/>
      <c r="M46" s="3"/>
      <c r="N46" s="3"/>
      <c r="O46" s="3"/>
      <c r="P46" s="3"/>
      <c r="Q46" s="3"/>
      <c r="R46" s="3"/>
      <c r="S46" s="3"/>
      <c r="T46" s="3"/>
    </row>
    <row r="47" ht="22.5" customHeight="1">
      <c r="A47" s="4">
        <v>46.0</v>
      </c>
      <c r="B47" s="5" t="s">
        <v>182</v>
      </c>
      <c r="C47" s="4" t="s">
        <v>183</v>
      </c>
      <c r="D47" s="5" t="s">
        <v>184</v>
      </c>
      <c r="E47" s="5" t="s">
        <v>185</v>
      </c>
      <c r="F47" s="3"/>
      <c r="G47" s="5" t="str">
        <f>IFERROR(__xludf.DUMMYFUNCTION("GOOGLETRANSLATE(A47, ""it"", ""en"")"),"46")</f>
        <v>46</v>
      </c>
      <c r="H47" s="5" t="str">
        <f>IFERROR(__xludf.DUMMYFUNCTION("GOOGLETRANSLATE(B47, ""it"", ""en"")"),"What happens during a ""scrum""?")</f>
        <v>What happens during a "scrum"?</v>
      </c>
      <c r="I47" s="5" t="str">
        <f>IFERROR(__xludf.DUMMYFUNCTION("GOOGLETRANSLATE(C47, ""it"", ""en"")"),"A. The game is stopped B. There is a fight for possession of the ball C. A foul is called D. A timeout is called")</f>
        <v>A. The game is stopped B. There is a fight for possession of the ball C. A foul is called D. A timeout is called</v>
      </c>
      <c r="J47" s="5" t="str">
        <f>IFERROR(__xludf.DUMMYFUNCTION("GOOGLETRANSLATE(D47, ""it"", ""en"")"),"The fight is for ball possession")</f>
        <v>The fight is for ball possession</v>
      </c>
      <c r="K47" s="5" t="str">
        <f>IFERROR(__xludf.DUMMYFUNCTION("GOOGLETRANSLATE(E47, ""it"", ""en"")"),"""Scrums"" are fights for control of the ball.")</f>
        <v>"Scrums" are fights for control of the ball.</v>
      </c>
      <c r="L47" s="3"/>
      <c r="M47" s="3"/>
      <c r="N47" s="3"/>
      <c r="O47" s="3"/>
      <c r="P47" s="3"/>
      <c r="Q47" s="3"/>
      <c r="R47" s="3"/>
      <c r="S47" s="3"/>
      <c r="T47" s="3"/>
    </row>
    <row r="48" ht="22.5" customHeight="1">
      <c r="A48" s="4">
        <v>47.0</v>
      </c>
      <c r="B48" s="5" t="s">
        <v>186</v>
      </c>
      <c r="C48" s="4" t="s">
        <v>187</v>
      </c>
      <c r="D48" s="5" t="s">
        <v>188</v>
      </c>
      <c r="E48" s="5" t="s">
        <v>189</v>
      </c>
      <c r="F48" s="3"/>
      <c r="G48" s="5" t="str">
        <f>IFERROR(__xludf.DUMMYFUNCTION("GOOGLETRANSLATE(A48, ""it"", ""en"")"),"47")</f>
        <v>47</v>
      </c>
      <c r="H48" s="5" t="str">
        <f>IFERROR(__xludf.DUMMYFUNCTION("GOOGLETRANSLATE(B48, ""it"", ""en"")"),"What does the Calcio Storico tournament symbolize?")</f>
        <v>What does the Calcio Storico tournament symbolize?</v>
      </c>
      <c r="I48" s="5" t="str">
        <f>IFERROR(__xludf.DUMMYFUNCTION("GOOGLETRANSLATE(C48, ""it"", ""en"")"),"A. National unity B. Courage and skill C. Physical strength D. The glory of the neighborhoods")</f>
        <v>A. National unity B. Courage and skill C. Physical strength D. The glory of the neighborhoods</v>
      </c>
      <c r="J48" s="5" t="str">
        <f>IFERROR(__xludf.DUMMYFUNCTION("GOOGLETRANSLATE(D48, ""it"", ""en"")"),"National unity")</f>
        <v>National unity</v>
      </c>
      <c r="K48" s="5" t="str">
        <f>IFERROR(__xludf.DUMMYFUNCTION("GOOGLETRANSLATE(E48, ""it"", ""en"")"),"The tournament celebrates Florentine identity and history.")</f>
        <v>The tournament celebrates Florentine identity and history.</v>
      </c>
      <c r="L48" s="3"/>
      <c r="M48" s="3"/>
      <c r="N48" s="3"/>
      <c r="O48" s="3"/>
      <c r="P48" s="3"/>
      <c r="Q48" s="3"/>
      <c r="R48" s="3"/>
      <c r="S48" s="3"/>
      <c r="T48" s="3"/>
    </row>
    <row r="49" ht="22.5" customHeight="1">
      <c r="A49" s="4">
        <v>49.0</v>
      </c>
      <c r="B49" s="5" t="s">
        <v>190</v>
      </c>
      <c r="C49" s="4" t="s">
        <v>191</v>
      </c>
      <c r="D49" s="5" t="s">
        <v>192</v>
      </c>
      <c r="E49" s="5" t="s">
        <v>193</v>
      </c>
      <c r="F49" s="3"/>
      <c r="G49" s="5" t="str">
        <f>IFERROR(__xludf.DUMMYFUNCTION("GOOGLETRANSLATE(A49, ""it"", ""en"")"),"49")</f>
        <v>49</v>
      </c>
      <c r="H49" s="5" t="str">
        <f>IFERROR(__xludf.DUMMYFUNCTION("GOOGLETRANSLATE(B49, ""it"", ""en"")"),"What is the first criterion for joining a Calcio Storico team?")</f>
        <v>What is the first criterion for joining a Calcio Storico team?</v>
      </c>
      <c r="I49" s="5" t="str">
        <f>IFERROR(__xludf.DUMMYFUNCTION("GOOGLETRANSLATE(C49, ""it"", ""en"")"),"A. Physical strength B. Agility C. Neighborhood affiliation D. Sports experience")</f>
        <v>A. Physical strength B. Agility C. Neighborhood affiliation D. Sports experience</v>
      </c>
      <c r="J49" s="5" t="str">
        <f>IFERROR(__xludf.DUMMYFUNCTION("GOOGLETRANSLATE(D49, ""it"", ""en"")"),"Belonging to the neighborhood")</f>
        <v>Belonging to the neighborhood</v>
      </c>
      <c r="K49" s="5" t="str">
        <f>IFERROR(__xludf.DUMMYFUNCTION("GOOGLETRANSLATE(E49, ""it"", ""en"")"),"Each player must represent their own neighborhood.")</f>
        <v>Each player must represent their own neighborhood.</v>
      </c>
      <c r="L49" s="3"/>
      <c r="M49" s="3"/>
      <c r="N49" s="3"/>
      <c r="O49" s="3"/>
      <c r="P49" s="3"/>
      <c r="Q49" s="3"/>
      <c r="R49" s="3"/>
      <c r="S49" s="3"/>
      <c r="T49" s="3"/>
    </row>
    <row r="50" ht="22.5" customHeight="1">
      <c r="A50" s="4">
        <v>50.0</v>
      </c>
      <c r="B50" s="5" t="s">
        <v>194</v>
      </c>
      <c r="C50" s="4" t="s">
        <v>195</v>
      </c>
      <c r="D50" s="5" t="s">
        <v>196</v>
      </c>
      <c r="E50" s="5" t="s">
        <v>197</v>
      </c>
      <c r="F50" s="3"/>
      <c r="G50" s="5" t="str">
        <f>IFERROR(__xludf.DUMMYFUNCTION("GOOGLETRANSLATE(A50, ""it"", ""en"")"),"50")</f>
        <v>50</v>
      </c>
      <c r="H50" s="5" t="str">
        <f>IFERROR(__xludf.DUMMYFUNCTION("GOOGLETRANSLATE(B50, ""it"", ""en"")"),"What do the team colors represent?")</f>
        <v>What do the team colors represent?</v>
      </c>
      <c r="I50" s="5" t="str">
        <f>IFERROR(__xludf.DUMMYFUNCTION("GOOGLETRANSLATE(C50, ""it"", ""en"")"),"A. Personal identity B. Historical origin of the neighborhoods C. Game strategies D. Player roles")</f>
        <v>A. Personal identity B. Historical origin of the neighborhoods C. Game strategies D. Player roles</v>
      </c>
      <c r="J50" s="5" t="str">
        <f>IFERROR(__xludf.DUMMYFUNCTION("GOOGLETRANSLATE(D50, ""it"", ""en"")"),"Historical origin of the neighborhoods")</f>
        <v>Historical origin of the neighborhoods</v>
      </c>
      <c r="K50" s="5" t="str">
        <f>IFERROR(__xludf.DUMMYFUNCTION("GOOGLETRANSLATE(E50, ""it"", ""en"")"),"The colors represent the historic neighborhoods of Florence.")</f>
        <v>The colors represent the historic neighborhoods of Florence.</v>
      </c>
      <c r="L50" s="3"/>
      <c r="M50" s="3"/>
      <c r="N50" s="3"/>
      <c r="O50" s="3"/>
      <c r="P50" s="3"/>
      <c r="Q50" s="3"/>
      <c r="R50" s="3"/>
      <c r="S50" s="3"/>
      <c r="T50" s="3"/>
    </row>
    <row r="51" ht="22.5" customHeight="1">
      <c r="A51" s="4">
        <v>51.0</v>
      </c>
      <c r="B51" s="5" t="s">
        <v>198</v>
      </c>
      <c r="C51" s="4" t="s">
        <v>199</v>
      </c>
      <c r="D51" s="5" t="s">
        <v>200</v>
      </c>
      <c r="E51" s="5" t="s">
        <v>201</v>
      </c>
      <c r="F51" s="3"/>
      <c r="G51" s="5" t="str">
        <f>IFERROR(__xludf.DUMMYFUNCTION("GOOGLETRANSLATE(A51, ""it"", ""en"")"),"51")</f>
        <v>51</v>
      </c>
      <c r="H51" s="5" t="str">
        <f>IFERROR(__xludf.DUMMYFUNCTION("GOOGLETRANSLATE(B51, ""it"", ""en"")"),"Who can stop the match due to injuries?")</f>
        <v>Who can stop the match due to injuries?</v>
      </c>
      <c r="I51" s="5" t="str">
        <f>IFERROR(__xludf.DUMMYFUNCTION("GOOGLETRANSLATE(C51, ""it"", ""en"")"),"A. The Captain B. The Audience C. The Referees D. The Ball Carrier")</f>
        <v>A. The Captain B. The Audience C. The Referees D. The Ball Carrier</v>
      </c>
      <c r="J51" s="5" t="str">
        <f>IFERROR(__xludf.DUMMYFUNCTION("GOOGLETRANSLATE(D51, ""it"", ""en"")"),"The Referees")</f>
        <v>The Referees</v>
      </c>
      <c r="K51" s="5" t="str">
        <f>IFERROR(__xludf.DUMMYFUNCTION("GOOGLETRANSLATE(E51, ""it"", ""en"")"),"Referees can stop the game in case of serious injuries.")</f>
        <v>Referees can stop the game in case of serious injuries.</v>
      </c>
      <c r="L51" s="3"/>
      <c r="M51" s="3"/>
      <c r="N51" s="3"/>
      <c r="O51" s="3"/>
      <c r="P51" s="3"/>
      <c r="Q51" s="3"/>
      <c r="R51" s="3"/>
      <c r="S51" s="3"/>
      <c r="T51" s="3"/>
    </row>
    <row r="52" ht="22.5" customHeight="1">
      <c r="A52" s="4">
        <v>52.0</v>
      </c>
      <c r="B52" s="5" t="s">
        <v>202</v>
      </c>
      <c r="C52" s="4" t="s">
        <v>203</v>
      </c>
      <c r="D52" s="5" t="s">
        <v>204</v>
      </c>
      <c r="E52" s="5" t="s">
        <v>205</v>
      </c>
      <c r="F52" s="3"/>
      <c r="G52" s="5" t="str">
        <f>IFERROR(__xludf.DUMMYFUNCTION("GOOGLETRANSLATE(A52, ""it"", ""en"")"),"52")</f>
        <v>52</v>
      </c>
      <c r="H52" s="5" t="str">
        <f>IFERROR(__xludf.DUMMYFUNCTION("GOOGLETRANSLATE(B52, ""it"", ""en"")"),"What distinguishes a traditional tournament?")</f>
        <v>What distinguishes a traditional tournament?</v>
      </c>
      <c r="I52" s="5" t="str">
        <f>IFERROR(__xludf.DUMMYFUNCTION("GOOGLETRANSLATE(C52, ""it"", ""en"")"),"A. The duration of the matches B. The number of teams C. The final prize D. The historical celebration")</f>
        <v>A. The duration of the matches B. The number of teams C. The final prize D. The historical celebration</v>
      </c>
      <c r="J52" s="5" t="str">
        <f>IFERROR(__xludf.DUMMYFUNCTION("GOOGLETRANSLATE(D52, ""it"", ""en"")"),"The historic celebration")</f>
        <v>The historic celebration</v>
      </c>
      <c r="K52" s="5" t="str">
        <f>IFERROR(__xludf.DUMMYFUNCTION("GOOGLETRANSLATE(E52, ""it"", ""en"")"),"The tournament is an event that honors tradition.")</f>
        <v>The tournament is an event that honors tradition.</v>
      </c>
      <c r="L52" s="3"/>
      <c r="M52" s="3"/>
      <c r="N52" s="3"/>
      <c r="O52" s="3"/>
      <c r="P52" s="3"/>
      <c r="Q52" s="3"/>
      <c r="R52" s="3"/>
      <c r="S52" s="3"/>
      <c r="T52" s="3"/>
    </row>
    <row r="53" ht="22.5" customHeight="1">
      <c r="A53" s="4">
        <v>53.0</v>
      </c>
      <c r="B53" s="5" t="s">
        <v>206</v>
      </c>
      <c r="C53" s="4" t="s">
        <v>207</v>
      </c>
      <c r="D53" s="5" t="s">
        <v>208</v>
      </c>
      <c r="E53" s="5" t="s">
        <v>209</v>
      </c>
      <c r="F53" s="3"/>
      <c r="G53" s="5" t="str">
        <f>IFERROR(__xludf.DUMMYFUNCTION("GOOGLETRANSLATE(A53, ""it"", ""en"")"),"53")</f>
        <v>53</v>
      </c>
      <c r="H53" s="5" t="str">
        <f>IFERROR(__xludf.DUMMYFUNCTION("GOOGLETRANSLATE(B53, ""it"", ""en"")"),"How are conflicts between players resolved?")</f>
        <v>How are conflicts between players resolved?</v>
      </c>
      <c r="I53" s="5" t="str">
        <f>IFERROR(__xludf.DUMMYFUNCTION("GOOGLETRANSLATE(C53, ""it"", ""en"")"),"A. Through dialogue B. Through referee decisions C. Through financial sanctions D. Through team penalties")</f>
        <v>A. Through dialogue B. Through referee decisions C. Through financial sanctions D. Through team penalties</v>
      </c>
      <c r="J53" s="5" t="str">
        <f>IFERROR(__xludf.DUMMYFUNCTION("GOOGLETRANSLATE(D53, ""it"", ""en"")"),"With arbitration decisions")</f>
        <v>With arbitration decisions</v>
      </c>
      <c r="K53" s="5" t="str">
        <f>IFERROR(__xludf.DUMMYFUNCTION("GOOGLETRANSLATE(E53, ""it"", ""en"")"),"The referees resolve any disputes on the field.")</f>
        <v>The referees resolve any disputes on the field.</v>
      </c>
      <c r="L53" s="3"/>
      <c r="M53" s="3"/>
      <c r="N53" s="3"/>
      <c r="O53" s="3"/>
      <c r="P53" s="3"/>
      <c r="Q53" s="3"/>
      <c r="R53" s="3"/>
      <c r="S53" s="3"/>
      <c r="T53" s="3"/>
    </row>
    <row r="54" ht="22.5" customHeight="1">
      <c r="A54" s="4">
        <v>54.0</v>
      </c>
      <c r="B54" s="5" t="s">
        <v>210</v>
      </c>
      <c r="C54" s="4" t="s">
        <v>211</v>
      </c>
      <c r="D54" s="5" t="s">
        <v>212</v>
      </c>
      <c r="E54" s="5" t="s">
        <v>213</v>
      </c>
      <c r="F54" s="3"/>
      <c r="G54" s="5" t="str">
        <f>IFERROR(__xludf.DUMMYFUNCTION("GOOGLETRANSLATE(A54, ""it"", ""en"")"),"54")</f>
        <v>54</v>
      </c>
      <c r="H54" s="5" t="str">
        <f>IFERROR(__xludf.DUMMYFUNCTION("GOOGLETRANSLATE(B54, ""it"", ""en"")"),"What are you not allowed to do with the ball?")</f>
        <v>What are you not allowed to do with the ball?</v>
      </c>
      <c r="I54" s="5" t="str">
        <f>IFERROR(__xludf.DUMMYFUNCTION("GOOGLETRANSLATE(C54, ""it"", ""en"")"),"A. Pass it sideways B. Block it on the ground C. Kick it towards an opponent D. Throw it back")</f>
        <v>A. Pass it sideways B. Block it on the ground C. Kick it towards an opponent D. Throw it back</v>
      </c>
      <c r="J54" s="5" t="str">
        <f>IFERROR(__xludf.DUMMYFUNCTION("GOOGLETRANSLATE(D54, ""it"", ""en"")"),"Kick it towards an opponent")</f>
        <v>Kick it towards an opponent</v>
      </c>
      <c r="K54" s="5" t="str">
        <f>IFERROR(__xludf.DUMMYFUNCTION("GOOGLETRANSLATE(E54, ""it"", ""en"")"),"Throwing the ball towards an opponent is prohibited.")</f>
        <v>Throwing the ball towards an opponent is prohibited.</v>
      </c>
      <c r="L54" s="3"/>
      <c r="M54" s="3"/>
      <c r="N54" s="3"/>
      <c r="O54" s="3"/>
      <c r="P54" s="3"/>
      <c r="Q54" s="3"/>
      <c r="R54" s="3"/>
      <c r="S54" s="3"/>
      <c r="T54" s="3"/>
    </row>
    <row r="55" ht="22.5" customHeight="1">
      <c r="A55" s="4">
        <v>55.0</v>
      </c>
      <c r="B55" s="5" t="s">
        <v>214</v>
      </c>
      <c r="C55" s="4" t="s">
        <v>215</v>
      </c>
      <c r="D55" s="5" t="s">
        <v>216</v>
      </c>
      <c r="E55" s="5" t="s">
        <v>217</v>
      </c>
      <c r="F55" s="3"/>
      <c r="G55" s="5" t="str">
        <f>IFERROR(__xludf.DUMMYFUNCTION("GOOGLETRANSLATE(A55, ""it"", ""en"")"),"55")</f>
        <v>55</v>
      </c>
      <c r="H55" s="5" t="str">
        <f>IFERROR(__xludf.DUMMYFUNCTION("GOOGLETRANSLATE(B55, ""it"", ""en"")"),"What is the main quality required for a striker?")</f>
        <v>What is the main quality required for a striker?</v>
      </c>
      <c r="I55" s="5" t="str">
        <f>IFERROR(__xludf.DUMMYFUNCTION("GOOGLETRANSLATE(C55, ""it"", ""en"")"),"A. Speed ​​B. Accuracy C. Physical strength D. Strategy")</f>
        <v>A. Speed ​​B. Accuracy C. Physical strength D. Strategy</v>
      </c>
      <c r="J55" s="5" t="str">
        <f>IFERROR(__xludf.DUMMYFUNCTION("GOOGLETRANSLATE(D55, ""it"", ""en"")"),"Precision")</f>
        <v>Precision</v>
      </c>
      <c r="K55" s="5" t="str">
        <f>IFERROR(__xludf.DUMMYFUNCTION("GOOGLETRANSLATE(E55, ""it"", ""en"")"),"Attackers must have great accuracy to score shots.")</f>
        <v>Attackers must have great accuracy to score shots.</v>
      </c>
      <c r="L55" s="3"/>
      <c r="M55" s="3"/>
      <c r="N55" s="3"/>
      <c r="O55" s="3"/>
      <c r="P55" s="3"/>
      <c r="Q55" s="3"/>
      <c r="R55" s="3"/>
      <c r="S55" s="3"/>
      <c r="T55" s="3"/>
    </row>
    <row r="56" ht="22.5" customHeight="1">
      <c r="A56" s="4">
        <v>56.0</v>
      </c>
      <c r="B56" s="5" t="s">
        <v>218</v>
      </c>
      <c r="C56" s="4" t="s">
        <v>219</v>
      </c>
      <c r="D56" s="5" t="s">
        <v>220</v>
      </c>
      <c r="E56" s="5" t="s">
        <v>221</v>
      </c>
      <c r="F56" s="3"/>
      <c r="G56" s="5" t="str">
        <f>IFERROR(__xludf.DUMMYFUNCTION("GOOGLETRANSLATE(A56, ""it"", ""en"")"),"56")</f>
        <v>56</v>
      </c>
      <c r="H56" s="5" t="str">
        <f>IFERROR(__xludf.DUMMYFUNCTION("GOOGLETRANSLATE(B56, ""it"", ""en"")"),"What makes Calcio Storico unique?")</f>
        <v>What makes Calcio Storico unique?</v>
      </c>
      <c r="I56" s="5" t="str">
        <f>IFERROR(__xludf.DUMMYFUNCTION("GOOGLETRANSLATE(C56, ""it"", ""en"")"),"A. The use of modern technologies B. The complicated rules C. The combination of sport and history D. The lack of referees")</f>
        <v>A. The use of modern technologies B. The complicated rules C. The combination of sport and history D. The lack of referees</v>
      </c>
      <c r="J56" s="5" t="str">
        <f>IFERROR(__xludf.DUMMYFUNCTION("GOOGLETRANSLATE(D56, ""it"", ""en"")"),"The combination of sport and history")</f>
        <v>The combination of sport and history</v>
      </c>
      <c r="K56" s="5" t="str">
        <f>IFERROR(__xludf.DUMMYFUNCTION("GOOGLETRANSLATE(E56, ""it"", ""en"")"),"The game mixes athletic competition and historical tradition.")</f>
        <v>The game mixes athletic competition and historical tradition.</v>
      </c>
      <c r="L56" s="3"/>
      <c r="M56" s="3"/>
      <c r="N56" s="3"/>
      <c r="O56" s="3"/>
      <c r="P56" s="3"/>
      <c r="Q56" s="3"/>
      <c r="R56" s="3"/>
      <c r="S56" s="3"/>
      <c r="T56" s="3"/>
    </row>
    <row r="57" ht="22.5" customHeight="1">
      <c r="A57" s="4">
        <v>57.0</v>
      </c>
      <c r="B57" s="5" t="s">
        <v>222</v>
      </c>
      <c r="C57" s="4" t="s">
        <v>223</v>
      </c>
      <c r="D57" s="4">
        <v>1930.0</v>
      </c>
      <c r="E57" s="5" t="s">
        <v>224</v>
      </c>
      <c r="F57" s="3"/>
      <c r="G57" s="5" t="str">
        <f>IFERROR(__xludf.DUMMYFUNCTION("GOOGLETRANSLATE(A57, ""it"", ""en"")"),"57")</f>
        <v>57</v>
      </c>
      <c r="H57" s="5" t="str">
        <f>IFERROR(__xludf.DUMMYFUNCTION("GOOGLETRANSLATE(B57, ""it"", ""en"")"),"When was Calcio Storico officially regulated?")</f>
        <v>When was Calcio Storico officially regulated?</v>
      </c>
      <c r="I57" s="5" t="str">
        <f>IFERROR(__xludf.DUMMYFUNCTION("GOOGLETRANSLATE(C57, ""it"", ""en"")"),"A. 1600 B. 1700 C. 1900 D. 1930")</f>
        <v>A. 1600 B. 1700 C. 1900 D. 1930</v>
      </c>
      <c r="J57" s="5" t="str">
        <f>IFERROR(__xludf.DUMMYFUNCTION("GOOGLETRANSLATE(D57, ""it"", ""en"")"),"1930")</f>
        <v>1930</v>
      </c>
      <c r="K57" s="5" t="str">
        <f>IFERROR(__xludf.DUMMYFUNCTION("GOOGLETRANSLATE(E57, ""it"", ""en"")"),"The official rules were written in 1930.")</f>
        <v>The official rules were written in 1930.</v>
      </c>
      <c r="L57" s="3"/>
      <c r="M57" s="3"/>
      <c r="N57" s="3"/>
      <c r="O57" s="3"/>
      <c r="P57" s="3"/>
      <c r="Q57" s="3"/>
      <c r="R57" s="3"/>
      <c r="S57" s="3"/>
      <c r="T57" s="3"/>
    </row>
    <row r="58" ht="22.5" customHeight="1">
      <c r="A58" s="4">
        <v>58.0</v>
      </c>
      <c r="B58" s="5" t="s">
        <v>225</v>
      </c>
      <c r="C58" s="4" t="s">
        <v>226</v>
      </c>
      <c r="D58" s="5" t="s">
        <v>227</v>
      </c>
      <c r="E58" s="5" t="s">
        <v>228</v>
      </c>
      <c r="F58" s="3"/>
      <c r="G58" s="5" t="str">
        <f>IFERROR(__xludf.DUMMYFUNCTION("GOOGLETRANSLATE(A58, ""it"", ""en"")"),"58")</f>
        <v>58</v>
      </c>
      <c r="H58" s="5" t="str">
        <f>IFERROR(__xludf.DUMMYFUNCTION("GOOGLETRANSLATE(B58, ""it"", ""en"")"),"What quality is crucial for defenders?")</f>
        <v>What quality is crucial for defenders?</v>
      </c>
      <c r="I58" s="5" t="str">
        <f>IFERROR(__xludf.DUMMYFUNCTION("GOOGLETRANSLATE(C58, ""it"", ""en"")"),"A. Agility B. Endurance C. Physical strength D. Speed")</f>
        <v>A. Agility B. Endurance C. Physical strength D. Speed</v>
      </c>
      <c r="J58" s="5" t="str">
        <f>IFERROR(__xludf.DUMMYFUNCTION("GOOGLETRANSLATE(D58, ""it"", ""en"")"),"Physical strength")</f>
        <v>Physical strength</v>
      </c>
      <c r="K58" s="5" t="str">
        <f>IFERROR(__xludf.DUMMYFUNCTION("GOOGLETRANSLATE(E58, ""it"", ""en"")"),"Defenders must have strength to stop opponents.")</f>
        <v>Defenders must have strength to stop opponents.</v>
      </c>
      <c r="L58" s="3"/>
      <c r="M58" s="3"/>
      <c r="N58" s="3"/>
      <c r="O58" s="3"/>
      <c r="P58" s="3"/>
      <c r="Q58" s="3"/>
      <c r="R58" s="3"/>
      <c r="S58" s="3"/>
      <c r="T58" s="3"/>
    </row>
    <row r="59" ht="22.5" customHeight="1">
      <c r="A59" s="4">
        <v>59.0</v>
      </c>
      <c r="B59" s="5" t="s">
        <v>229</v>
      </c>
      <c r="C59" s="4" t="s">
        <v>230</v>
      </c>
      <c r="D59" s="5" t="s">
        <v>231</v>
      </c>
      <c r="E59" s="5" t="s">
        <v>232</v>
      </c>
      <c r="F59" s="3"/>
      <c r="G59" s="5" t="str">
        <f>IFERROR(__xludf.DUMMYFUNCTION("GOOGLETRANSLATE(A59, ""it"", ""en"")"),"59")</f>
        <v>59</v>
      </c>
      <c r="H59" s="5" t="str">
        <f>IFERROR(__xludf.DUMMYFUNCTION("GOOGLETRANSLATE(B59, ""it"", ""en"")"),"What happens if a team abandons the match?")</f>
        <v>What happens if a team abandons the match?</v>
      </c>
      <c r="I59" s="5" t="str">
        <f>IFERROR(__xludf.DUMMYFUNCTION("GOOGLETRANSLATE(C59, ""it"", ""en"")"),"A. She automatically loses B. She is disqualified C. She receives a penalty D. The match is replayed")</f>
        <v>A. She automatically loses B. She is disqualified C. She receives a penalty D. The match is replayed</v>
      </c>
      <c r="J59" s="5" t="str">
        <f>IFERROR(__xludf.DUMMYFUNCTION("GOOGLETRANSLATE(D59, ""it"", ""en"")"),"It automatically loses")</f>
        <v>It automatically loses</v>
      </c>
      <c r="K59" s="5" t="str">
        <f>IFERROR(__xludf.DUMMYFUNCTION("GOOGLETRANSLATE(E59, ""it"", ""en"")"),"Abandonment equals defeat.")</f>
        <v>Abandonment equals defeat.</v>
      </c>
      <c r="L59" s="3"/>
      <c r="M59" s="3"/>
      <c r="N59" s="3"/>
      <c r="O59" s="3"/>
      <c r="P59" s="3"/>
      <c r="Q59" s="3"/>
      <c r="R59" s="3"/>
      <c r="S59" s="3"/>
      <c r="T59" s="3"/>
    </row>
    <row r="60" ht="22.5" customHeight="1">
      <c r="A60" s="4">
        <v>60.0</v>
      </c>
      <c r="B60" s="5" t="s">
        <v>233</v>
      </c>
      <c r="C60" s="4" t="s">
        <v>234</v>
      </c>
      <c r="D60" s="5" t="s">
        <v>235</v>
      </c>
      <c r="E60" s="5" t="s">
        <v>236</v>
      </c>
      <c r="F60" s="3"/>
      <c r="G60" s="5" t="str">
        <f>IFERROR(__xludf.DUMMYFUNCTION("GOOGLETRANSLATE(A60, ""it"", ""en"")"),"60")</f>
        <v>60</v>
      </c>
      <c r="H60" s="5" t="str">
        <f>IFERROR(__xludf.DUMMYFUNCTION("GOOGLETRANSLATE(B60, ""it"", ""en"")"),"How is the Calcio Storico tournament celebrated?")</f>
        <v>How is the Calcio Storico tournament celebrated?</v>
      </c>
      <c r="I60" s="5" t="str">
        <f>IFERROR(__xludf.DUMMYFUNCTION("GOOGLETRANSLATE(C60, ""it"", ""en"")"),"A. With a historical parade B. With a televised awards ceremony C. With a private party D. With a public lottery")</f>
        <v>A. With a historical parade B. With a televised awards ceremony C. With a private party D. With a public lottery</v>
      </c>
      <c r="J60" s="5" t="str">
        <f>IFERROR(__xludf.DUMMYFUNCTION("GOOGLETRANSLATE(D60, ""it"", ""en"")"),"With a historic parade")</f>
        <v>With a historic parade</v>
      </c>
      <c r="K60" s="5" t="str">
        <f>IFERROR(__xludf.DUMMYFUNCTION("GOOGLETRANSLATE(E60, ""it"", ""en"")"),"The tournament is introduced by a historical costume parade.")</f>
        <v>The tournament is introduced by a historical costume parade.</v>
      </c>
      <c r="L60" s="3"/>
      <c r="M60" s="3"/>
      <c r="N60" s="3"/>
      <c r="O60" s="3"/>
      <c r="P60" s="3"/>
      <c r="Q60" s="3"/>
      <c r="R60" s="3"/>
      <c r="S60" s="3"/>
      <c r="T60" s="3"/>
    </row>
    <row r="61" ht="22.5" customHeight="1">
      <c r="A61" s="4">
        <v>61.0</v>
      </c>
      <c r="B61" s="5" t="s">
        <v>237</v>
      </c>
      <c r="C61" s="4" t="s">
        <v>238</v>
      </c>
      <c r="D61" s="5" t="s">
        <v>33</v>
      </c>
      <c r="E61" s="5" t="s">
        <v>239</v>
      </c>
      <c r="F61" s="3"/>
      <c r="G61" s="5" t="str">
        <f>IFERROR(__xludf.DUMMYFUNCTION("GOOGLETRANSLATE(A61, ""it"", ""en"")"),"61")</f>
        <v>61</v>
      </c>
      <c r="H61" s="5" t="str">
        <f>IFERROR(__xludf.DUMMYFUNCTION("GOOGLETRANSLATE(B61, ""it"", ""en"")"),"How long does a Calcio Storico match typically last?")</f>
        <v>How long does a Calcio Storico match typically last?</v>
      </c>
      <c r="I61" s="5" t="str">
        <f>IFERROR(__xludf.DUMMYFUNCTION("GOOGLETRANSLATE(C61, ""it"", ""en"")"),"A. 50 minutes B. 80 minutes C. 20 minutes D. 40 minutes")</f>
        <v>A. 50 minutes B. 80 minutes C. 20 minutes D. 40 minutes</v>
      </c>
      <c r="J61" s="5" t="str">
        <f>IFERROR(__xludf.DUMMYFUNCTION("GOOGLETRANSLATE(D61, ""it"", ""en"")"),"50 minutes")</f>
        <v>50 minutes</v>
      </c>
      <c r="K61" s="5" t="str">
        <f>IFERROR(__xludf.DUMMYFUNCTION("GOOGLETRANSLATE(E61, ""it"", ""en"")"),"Each match lasts approximately 50 minutes without significant interruptions.")</f>
        <v>Each match lasts approximately 50 minutes without significant interruptions.</v>
      </c>
      <c r="L61" s="3"/>
      <c r="M61" s="3"/>
      <c r="N61" s="3"/>
      <c r="O61" s="3"/>
      <c r="P61" s="3"/>
      <c r="Q61" s="3"/>
      <c r="R61" s="3"/>
      <c r="S61" s="3"/>
      <c r="T61" s="3"/>
    </row>
    <row r="62" ht="22.5" customHeight="1">
      <c r="A62" s="4">
        <v>62.0</v>
      </c>
      <c r="B62" s="5" t="s">
        <v>240</v>
      </c>
      <c r="C62" s="4" t="s">
        <v>241</v>
      </c>
      <c r="D62" s="4">
        <v>27.0</v>
      </c>
      <c r="E62" s="5" t="s">
        <v>242</v>
      </c>
      <c r="F62" s="3"/>
      <c r="G62" s="5" t="str">
        <f>IFERROR(__xludf.DUMMYFUNCTION("GOOGLETRANSLATE(A62, ""it"", ""en"")"),"62")</f>
        <v>62</v>
      </c>
      <c r="H62" s="5" t="str">
        <f>IFERROR(__xludf.DUMMYFUNCTION("GOOGLETRANSLATE(B62, ""it"", ""en"")"),"How many players are on each team?")</f>
        <v>How many players are on each team?</v>
      </c>
      <c r="I62" s="5" t="str">
        <f>IFERROR(__xludf.DUMMYFUNCTION("GOOGLETRANSLATE(C62, ""it"", ""en"")"),"A. 20 B. 27 C. 15 D. 22")</f>
        <v>A. 20 B. 27 C. 15 D. 22</v>
      </c>
      <c r="J62" s="5" t="str">
        <f>IFERROR(__xludf.DUMMYFUNCTION("GOOGLETRANSLATE(D62, ""it"", ""en"")"),"27")</f>
        <v>27</v>
      </c>
      <c r="K62" s="5" t="str">
        <f>IFERROR(__xludf.DUMMYFUNCTION("GOOGLETRANSLATE(E62, ""it"", ""en"")"),"Each team consists of 27 players.")</f>
        <v>Each team consists of 27 players.</v>
      </c>
      <c r="L62" s="3"/>
      <c r="M62" s="3"/>
      <c r="N62" s="3"/>
      <c r="O62" s="3"/>
      <c r="P62" s="3"/>
      <c r="Q62" s="3"/>
      <c r="R62" s="3"/>
      <c r="S62" s="3"/>
      <c r="T62" s="3"/>
    </row>
    <row r="63" ht="22.5" customHeight="1">
      <c r="A63" s="4">
        <v>63.0</v>
      </c>
      <c r="B63" s="5" t="s">
        <v>243</v>
      </c>
      <c r="C63" s="4" t="s">
        <v>244</v>
      </c>
      <c r="D63" s="5" t="s">
        <v>245</v>
      </c>
      <c r="E63" s="5" t="s">
        <v>246</v>
      </c>
      <c r="F63" s="3"/>
      <c r="G63" s="5" t="str">
        <f>IFERROR(__xludf.DUMMYFUNCTION("GOOGLETRANSLATE(A63, ""it"", ""en"")"),"63")</f>
        <v>63</v>
      </c>
      <c r="H63" s="5" t="str">
        <f>IFERROR(__xludf.DUMMYFUNCTION("GOOGLETRANSLATE(B63, ""it"", ""en"")"),"What is not allowed during a hunt?")</f>
        <v>What is not allowed during a hunt?</v>
      </c>
      <c r="I63" s="5" t="str">
        <f>IFERROR(__xludf.DUMMYFUNCTION("GOOGLETRANSLATE(C63, ""it"", ""en"")"),"A. Using your hands B. Using your feet C. Pulling an opponent's shirt D. Passing the ball backwards")</f>
        <v>A. Using your hands B. Using your feet C. Pulling an opponent's shirt D. Passing the ball backwards</v>
      </c>
      <c r="J63" s="5" t="str">
        <f>IFERROR(__xludf.DUMMYFUNCTION("GOOGLETRANSLATE(D63, ""it"", ""en"")"),"Pulling an opponent's shirt")</f>
        <v>Pulling an opponent's shirt</v>
      </c>
      <c r="K63" s="5" t="str">
        <f>IFERROR(__xludf.DUMMYFUNCTION("GOOGLETRANSLATE(E63, ""it"", ""en"")"),"Pulling the shirt is considered unfair.")</f>
        <v>Pulling the shirt is considered unfair.</v>
      </c>
      <c r="L63" s="3"/>
      <c r="M63" s="3"/>
      <c r="N63" s="3"/>
      <c r="O63" s="3"/>
      <c r="P63" s="3"/>
      <c r="Q63" s="3"/>
      <c r="R63" s="3"/>
      <c r="S63" s="3"/>
      <c r="T63" s="3"/>
    </row>
    <row r="64" ht="22.5" customHeight="1">
      <c r="A64" s="4">
        <v>64.0</v>
      </c>
      <c r="B64" s="5" t="s">
        <v>247</v>
      </c>
      <c r="C64" s="4" t="s">
        <v>248</v>
      </c>
      <c r="D64" s="5" t="s">
        <v>249</v>
      </c>
      <c r="E64" s="5" t="s">
        <v>42</v>
      </c>
      <c r="F64" s="3"/>
      <c r="G64" s="5" t="str">
        <f>IFERROR(__xludf.DUMMYFUNCTION("GOOGLETRANSLATE(A64, ""it"", ""en"")"),"64")</f>
        <v>64</v>
      </c>
      <c r="H64" s="5" t="str">
        <f>IFERROR(__xludf.DUMMYFUNCTION("GOOGLETRANSLATE(B64, ""it"", ""en"")"),"What time of year is the Calcio Storico tournament held?")</f>
        <v>What time of year is the Calcio Storico tournament held?</v>
      </c>
      <c r="I64" s="5" t="str">
        <f>IFERROR(__xludf.DUMMYFUNCTION("GOOGLETRANSLATE(C64, ""it"", ""en"")"),"A. Spring B. Summer C. Autumn D. Winter")</f>
        <v>A. Spring B. Summer C. Autumn D. Winter</v>
      </c>
      <c r="J64" s="5" t="str">
        <f>IFERROR(__xludf.DUMMYFUNCTION("GOOGLETRANSLATE(D64, ""it"", ""en"")"),"Summer")</f>
        <v>Summer</v>
      </c>
      <c r="K64" s="5" t="str">
        <f>IFERROR(__xludf.DUMMYFUNCTION("GOOGLETRANSLATE(E64, ""it"", ""en"")"),"The tournament traditionally takes place in June.")</f>
        <v>The tournament traditionally takes place in June.</v>
      </c>
      <c r="L64" s="3"/>
      <c r="M64" s="3"/>
      <c r="N64" s="3"/>
      <c r="O64" s="3"/>
      <c r="P64" s="3"/>
      <c r="Q64" s="3"/>
      <c r="R64" s="3"/>
      <c r="S64" s="3"/>
      <c r="T64" s="3"/>
    </row>
    <row r="65" ht="22.5" customHeight="1">
      <c r="A65" s="4">
        <v>65.0</v>
      </c>
      <c r="B65" s="5" t="s">
        <v>250</v>
      </c>
      <c r="C65" s="4" t="s">
        <v>251</v>
      </c>
      <c r="D65" s="5" t="s">
        <v>252</v>
      </c>
      <c r="E65" s="5" t="s">
        <v>253</v>
      </c>
      <c r="F65" s="3"/>
      <c r="G65" s="5" t="str">
        <f>IFERROR(__xludf.DUMMYFUNCTION("GOOGLETRANSLATE(A65, ""it"", ""en"")"),"65")</f>
        <v>65</v>
      </c>
      <c r="H65" s="5" t="str">
        <f>IFERROR(__xludf.DUMMYFUNCTION("GOOGLETRANSLATE(B65, ""it"", ""en"")"),"What is the main purpose of the game?")</f>
        <v>What is the main purpose of the game?</v>
      </c>
      <c r="I65" s="5" t="str">
        <f>IFERROR(__xludf.DUMMYFUNCTION("GOOGLETRANSLATE(C65, ""it"", ""en"")"),"A. Defend your area B. Score more shots C. Block opponents D. Make spectacular moves")</f>
        <v>A. Defend your area B. Score more shots C. Block opponents D. Make spectacular moves</v>
      </c>
      <c r="J65" s="5" t="str">
        <f>IFERROR(__xludf.DUMMYFUNCTION("GOOGLETRANSLATE(D65, ""it"", ""en"")"),"Score more hunts")</f>
        <v>Score more hunts</v>
      </c>
      <c r="K65" s="5" t="str">
        <f>IFERROR(__xludf.DUMMYFUNCTION("GOOGLETRANSLATE(E65, ""it"", ""en"")"),"The team that scores the most hunts wins.")</f>
        <v>The team that scores the most hunts wins.</v>
      </c>
      <c r="L65" s="3"/>
      <c r="M65" s="3"/>
      <c r="N65" s="3"/>
      <c r="O65" s="3"/>
      <c r="P65" s="3"/>
      <c r="Q65" s="3"/>
      <c r="R65" s="3"/>
      <c r="S65" s="3"/>
      <c r="T65" s="3"/>
    </row>
    <row r="66" ht="22.5" customHeight="1">
      <c r="A66" s="4">
        <v>66.0</v>
      </c>
      <c r="B66" s="5" t="s">
        <v>254</v>
      </c>
      <c r="C66" s="4" t="s">
        <v>255</v>
      </c>
      <c r="D66" s="5" t="s">
        <v>256</v>
      </c>
      <c r="E66" s="5" t="s">
        <v>257</v>
      </c>
      <c r="F66" s="3"/>
      <c r="G66" s="5" t="str">
        <f>IFERROR(__xludf.DUMMYFUNCTION("GOOGLETRANSLATE(A66, ""it"", ""en"")"),"66")</f>
        <v>66</v>
      </c>
      <c r="H66" s="5" t="str">
        <f>IFERROR(__xludf.DUMMYFUNCTION("GOOGLETRANSLATE(B66, ""it"", ""en"")"),"What do the ""hunts"" represent in Calcio Storico?")</f>
        <v>What do the "hunts" represent in Calcio Storico?</v>
      </c>
      <c r="I66" s="5" t="str">
        <f>IFERROR(__xludf.DUMMYFUNCTION("GOOGLETRANSLATE(C66, ""it"", ""en"")"),"A. Points B. Penalties C. Bonuses D. Expulsions")</f>
        <v>A. Points B. Penalties C. Bonuses D. Expulsions</v>
      </c>
      <c r="J66" s="5" t="str">
        <f>IFERROR(__xludf.DUMMYFUNCTION("GOOGLETRANSLATE(D66, ""it"", ""en"")"),"Points")</f>
        <v>Points</v>
      </c>
      <c r="K66" s="5" t="str">
        <f>IFERROR(__xludf.DUMMYFUNCTION("GOOGLETRANSLATE(E66, ""it"", ""en"")"),"Hunts represent points earned.")</f>
        <v>Hunts represent points earned.</v>
      </c>
      <c r="L66" s="3"/>
      <c r="M66" s="3"/>
      <c r="N66" s="3"/>
      <c r="O66" s="3"/>
      <c r="P66" s="3"/>
      <c r="Q66" s="3"/>
      <c r="R66" s="3"/>
      <c r="S66" s="3"/>
      <c r="T66" s="3"/>
    </row>
    <row r="67" ht="22.5" customHeight="1">
      <c r="A67" s="4">
        <v>67.0</v>
      </c>
      <c r="B67" s="5" t="s">
        <v>258</v>
      </c>
      <c r="C67" s="4" t="s">
        <v>259</v>
      </c>
      <c r="D67" s="5" t="s">
        <v>260</v>
      </c>
      <c r="E67" s="5" t="s">
        <v>261</v>
      </c>
      <c r="F67" s="3"/>
      <c r="G67" s="5" t="str">
        <f>IFERROR(__xludf.DUMMYFUNCTION("GOOGLETRANSLATE(A67, ""it"", ""en"")"),"67")</f>
        <v>67</v>
      </c>
      <c r="H67" s="5" t="str">
        <f>IFERROR(__xludf.DUMMYFUNCTION("GOOGLETRANSLATE(B67, ""it"", ""en"")"),"What happens when the ball goes out of bounds?")</f>
        <v>What happens when the ball goes out of bounds?</v>
      </c>
      <c r="I67" s="5" t="str">
        <f>IFERROR(__xludf.DUMMYFUNCTION("GOOGLETRANSLATE(C67, ""it"", ""en"")"),"A. The game continues B. A foul is called C. It is stopped and restarted by the referees D. A disallowed point is scored")</f>
        <v>A. The game continues B. A foul is called C. It is stopped and restarted by the referees D. A disallowed point is scored</v>
      </c>
      <c r="J67" s="5" t="str">
        <f>IFERROR(__xludf.DUMMYFUNCTION("GOOGLETRANSLATE(D67, ""it"", ""en"")"),"It is stopped and restarted by the referees")</f>
        <v>It is stopped and restarted by the referees</v>
      </c>
      <c r="K67" s="5" t="str">
        <f>IFERROR(__xludf.DUMMYFUNCTION("GOOGLETRANSLATE(E67, ""it"", ""en"")"),"The referees decide when to restart the game.")</f>
        <v>The referees decide when to restart the game.</v>
      </c>
      <c r="L67" s="3"/>
      <c r="M67" s="3"/>
      <c r="N67" s="3"/>
      <c r="O67" s="3"/>
      <c r="P67" s="3"/>
      <c r="Q67" s="3"/>
      <c r="R67" s="3"/>
      <c r="S67" s="3"/>
      <c r="T67" s="3"/>
    </row>
    <row r="68" ht="22.5" customHeight="1">
      <c r="A68" s="4">
        <v>68.0</v>
      </c>
      <c r="B68" s="5" t="s">
        <v>262</v>
      </c>
      <c r="C68" s="4" t="s">
        <v>263</v>
      </c>
      <c r="D68" s="5" t="s">
        <v>264</v>
      </c>
      <c r="E68" s="5" t="s">
        <v>265</v>
      </c>
      <c r="F68" s="3"/>
      <c r="G68" s="5" t="str">
        <f>IFERROR(__xludf.DUMMYFUNCTION("GOOGLETRANSLATE(A68, ""it"", ""en"")"),"68")</f>
        <v>68</v>
      </c>
      <c r="H68" s="5" t="str">
        <f>IFERROR(__xludf.DUMMYFUNCTION("GOOGLETRANSLATE(B68, ""it"", ""en"")"),"Who referees Calcio Storico matches?")</f>
        <v>Who referees Calcio Storico matches?</v>
      </c>
      <c r="I68" s="5" t="str">
        <f>IFERROR(__xludf.DUMMYFUNCTION("GOOGLETRANSLATE(C68, ""it"", ""en"")"),"A. A single referee B. Two referees C. A team of referees D. Veteran players")</f>
        <v>A. A single referee B. Two referees C. A team of referees D. Veteran players</v>
      </c>
      <c r="J68" s="5" t="str">
        <f>IFERROR(__xludf.DUMMYFUNCTION("GOOGLETRANSLATE(D68, ""it"", ""en"")"),"A team of referees")</f>
        <v>A team of referees</v>
      </c>
      <c r="K68" s="5" t="str">
        <f>IFERROR(__xludf.DUMMYFUNCTION("GOOGLETRANSLATE(E68, ""it"", ""en"")"),"A group of referees monitors the game.")</f>
        <v>A group of referees monitors the game.</v>
      </c>
      <c r="L68" s="3"/>
      <c r="M68" s="3"/>
      <c r="N68" s="3"/>
      <c r="O68" s="3"/>
      <c r="P68" s="3"/>
      <c r="Q68" s="3"/>
      <c r="R68" s="3"/>
      <c r="S68" s="3"/>
      <c r="T68" s="3"/>
    </row>
    <row r="69" ht="22.5" customHeight="1">
      <c r="A69" s="4">
        <v>69.0</v>
      </c>
      <c r="B69" s="5" t="s">
        <v>266</v>
      </c>
      <c r="C69" s="4" t="s">
        <v>267</v>
      </c>
      <c r="D69" s="6" t="s">
        <v>268</v>
      </c>
      <c r="E69" s="5" t="s">
        <v>269</v>
      </c>
      <c r="F69" s="3"/>
      <c r="G69" s="5" t="str">
        <f>IFERROR(__xludf.DUMMYFUNCTION("GOOGLETRANSLATE(A69, ""it"", ""en"")"),"69")</f>
        <v>69</v>
      </c>
      <c r="H69" s="5" t="str">
        <f>IFERROR(__xludf.DUMMYFUNCTION("GOOGLETRANSLATE(B69, ""it"", ""en"")"),"What are the team colors?")</f>
        <v>What are the team colors?</v>
      </c>
      <c r="I69" s="5" t="str">
        <f>IFERROR(__xludf.DUMMYFUNCTION("GOOGLETRANSLATE(C69, ""it"", ""en"")"),"A. Red, blue, white, and green B. Red, yellow, black, and purple C. Blue, black, yellow, and orange D. Green, orange, red, and black")</f>
        <v>A. Red, blue, white, and green B. Red, yellow, black, and purple C. Blue, black, yellow, and orange D. Green, orange, red, and black</v>
      </c>
      <c r="J69" s="5" t="str">
        <f>IFERROR(__xludf.DUMMYFUNCTION("GOOGLETRANSLATE(D69, ""it"", ""en"")"),"Red, blue, white and green")</f>
        <v>Red, blue, white and green</v>
      </c>
      <c r="K69" s="5" t="str">
        <f>IFERROR(__xludf.DUMMYFUNCTION("GOOGLETRANSLATE(E69, ""it"", ""en"")"),"These colors represent the neighborhoods of Florence.")</f>
        <v>These colors represent the neighborhoods of Florence.</v>
      </c>
      <c r="L69" s="3"/>
      <c r="M69" s="3"/>
      <c r="N69" s="3"/>
      <c r="O69" s="3"/>
      <c r="P69" s="3"/>
      <c r="Q69" s="3"/>
      <c r="R69" s="3"/>
      <c r="S69" s="3"/>
      <c r="T69" s="3"/>
    </row>
    <row r="70" ht="22.5" customHeight="1">
      <c r="A70" s="4">
        <v>70.0</v>
      </c>
      <c r="B70" s="5" t="s">
        <v>270</v>
      </c>
      <c r="C70" s="4" t="s">
        <v>271</v>
      </c>
      <c r="D70" s="5" t="s">
        <v>272</v>
      </c>
      <c r="E70" s="5" t="s">
        <v>273</v>
      </c>
      <c r="F70" s="3"/>
      <c r="G70" s="5" t="str">
        <f>IFERROR(__xludf.DUMMYFUNCTION("GOOGLETRANSLATE(A70, ""it"", ""en"")"),"70")</f>
        <v>70</v>
      </c>
      <c r="H70" s="5" t="str">
        <f>IFERROR(__xludf.DUMMYFUNCTION("GOOGLETRANSLATE(B70, ""it"", ""en"")"),"What is not allowed when passing the ball?")</f>
        <v>What is not allowed when passing the ball?</v>
      </c>
      <c r="I70" s="5" t="str">
        <f>IFERROR(__xludf.DUMMYFUNCTION("GOOGLETRANSLATE(C70, ""it"", ""en"")"),"A. Throwing too high B. Throwing too far C. Passing directly to opponents D. Using your head to pass")</f>
        <v>A. Throwing too high B. Throwing too far C. Passing directly to opponents D. Using your head to pass</v>
      </c>
      <c r="J70" s="5" t="str">
        <f>IFERROR(__xludf.DUMMYFUNCTION("GOOGLETRANSLATE(D70, ""it"", ""en"")"),"Go directly to the opponents")</f>
        <v>Go directly to the opponents</v>
      </c>
      <c r="K70" s="5" t="str">
        <f>IFERROR(__xludf.DUMMYFUNCTION("GOOGLETRANSLATE(E70, ""it"", ""en"")"),"Passing to opponents is incorrect.")</f>
        <v>Passing to opponents is incorrect.</v>
      </c>
      <c r="L70" s="3"/>
      <c r="M70" s="3"/>
      <c r="N70" s="3"/>
      <c r="O70" s="3"/>
      <c r="P70" s="3"/>
      <c r="Q70" s="3"/>
      <c r="R70" s="3"/>
      <c r="S70" s="3"/>
      <c r="T70" s="3"/>
    </row>
    <row r="71" ht="22.5" customHeight="1">
      <c r="A71" s="4">
        <v>71.0</v>
      </c>
      <c r="B71" s="5" t="s">
        <v>274</v>
      </c>
      <c r="C71" s="4" t="s">
        <v>275</v>
      </c>
      <c r="D71" s="5" t="s">
        <v>276</v>
      </c>
      <c r="E71" s="5" t="s">
        <v>277</v>
      </c>
      <c r="F71" s="3"/>
      <c r="G71" s="5" t="str">
        <f>IFERROR(__xludf.DUMMYFUNCTION("GOOGLETRANSLATE(A71, ""it"", ""en"")"),"71")</f>
        <v>71</v>
      </c>
      <c r="H71" s="5" t="str">
        <f>IFERROR(__xludf.DUMMYFUNCTION("GOOGLETRANSLATE(B71, ""it"", ""en"")"),"What is the historical origin of Calcio Storico?")</f>
        <v>What is the historical origin of Calcio Storico?</v>
      </c>
      <c r="I71" s="5" t="str">
        <f>IFERROR(__xludf.DUMMYFUNCTION("GOOGLETRANSLATE(C71, ""it"", ""en"")"),"A. Roman era B. Renaissance C. Middle Ages D. Modern era")</f>
        <v>A. Roman era B. Renaissance C. Middle Ages D. Modern era</v>
      </c>
      <c r="J71" s="5" t="str">
        <f>IFERROR(__xludf.DUMMYFUNCTION("GOOGLETRANSLATE(D71, ""it"", ""en"")"),"Renaissance")</f>
        <v>Renaissance</v>
      </c>
      <c r="K71" s="5" t="str">
        <f>IFERROR(__xludf.DUMMYFUNCTION("GOOGLETRANSLATE(E71, ""it"", ""en"")"),"The game dates back to the Florentine Renaissance.")</f>
        <v>The game dates back to the Florentine Renaissance.</v>
      </c>
      <c r="L71" s="3"/>
      <c r="M71" s="3"/>
      <c r="N71" s="3"/>
      <c r="O71" s="3"/>
      <c r="P71" s="3"/>
      <c r="Q71" s="3"/>
      <c r="R71" s="3"/>
      <c r="S71" s="3"/>
      <c r="T71" s="3"/>
    </row>
    <row r="72" ht="22.5" customHeight="1">
      <c r="A72" s="4">
        <v>72.0</v>
      </c>
      <c r="B72" s="5" t="s">
        <v>278</v>
      </c>
      <c r="C72" s="4" t="s">
        <v>279</v>
      </c>
      <c r="D72" s="5" t="s">
        <v>280</v>
      </c>
      <c r="E72" s="5" t="s">
        <v>281</v>
      </c>
      <c r="F72" s="3"/>
      <c r="G72" s="5" t="str">
        <f>IFERROR(__xludf.DUMMYFUNCTION("GOOGLETRANSLATE(A72, ""it"", ""en"")"),"72")</f>
        <v>72</v>
      </c>
      <c r="H72" s="5" t="str">
        <f>IFERROR(__xludf.DUMMYFUNCTION("GOOGLETRANSLATE(B72, ""it"", ""en"")"),"How do you score a hunt?")</f>
        <v>How do you score a hunt?</v>
      </c>
      <c r="I72" s="5" t="str">
        <f>IFERROR(__xludf.DUMMYFUNCTION("GOOGLETRANSLATE(C72, ""it"", ""en"")"),"A. With a kick into the net B. With a throw into a specific area C. With a direct hit D. With a strategic pass")</f>
        <v>A. With a kick into the net B. With a throw into a specific area C. With a direct hit D. With a strategic pass</v>
      </c>
      <c r="J72" s="5" t="str">
        <f>IFERROR(__xludf.DUMMYFUNCTION("GOOGLETRANSLATE(D72, ""it"", ""en"")"),"With a launch in a specific area")</f>
        <v>With a launch in a specific area</v>
      </c>
      <c r="K72" s="5" t="str">
        <f>IFERROR(__xludf.DUMMYFUNCTION("GOOGLETRANSLATE(E72, ""it"", ""en"")"),"The chase is scored by throwing the ball into the opponent's net.")</f>
        <v>The chase is scored by throwing the ball into the opponent's net.</v>
      </c>
      <c r="L72" s="3"/>
      <c r="M72" s="3"/>
      <c r="N72" s="3"/>
      <c r="O72" s="3"/>
      <c r="P72" s="3"/>
      <c r="Q72" s="3"/>
      <c r="R72" s="3"/>
      <c r="S72" s="3"/>
      <c r="T72" s="3"/>
    </row>
    <row r="73" ht="22.5" customHeight="1">
      <c r="A73" s="4">
        <v>73.0</v>
      </c>
      <c r="B73" s="5" t="s">
        <v>282</v>
      </c>
      <c r="C73" s="4" t="s">
        <v>283</v>
      </c>
      <c r="D73" s="5" t="s">
        <v>284</v>
      </c>
      <c r="E73" s="5" t="s">
        <v>285</v>
      </c>
      <c r="F73" s="3"/>
      <c r="G73" s="5" t="str">
        <f>IFERROR(__xludf.DUMMYFUNCTION("GOOGLETRANSLATE(A73, ""it"", ""en"")"),"73")</f>
        <v>73</v>
      </c>
      <c r="H73" s="5" t="str">
        <f>IFERROR(__xludf.DUMMYFUNCTION("GOOGLETRANSLATE(B73, ""it"", ""en"")"),"What is considered unsportsmanlike conduct?")</f>
        <v>What is considered unsportsmanlike conduct?</v>
      </c>
      <c r="I73" s="5" t="str">
        <f>IFERROR(__xludf.DUMMYFUNCTION("GOOGLETRANSLATE(C73, ""it"", ""en"")"),"A. Avoid physical contact B. Insulting opponents C. Not passing the ball D. Avoiding physical play")</f>
        <v>A. Avoid physical contact B. Insulting opponents C. Not passing the ball D. Avoiding physical play</v>
      </c>
      <c r="J73" s="5" t="str">
        <f>IFERROR(__xludf.DUMMYFUNCTION("GOOGLETRANSLATE(D73, ""it"", ""en"")"),"Insulting opponents")</f>
        <v>Insulting opponents</v>
      </c>
      <c r="K73" s="5" t="str">
        <f>IFERROR(__xludf.DUMMYFUNCTION("GOOGLETRANSLATE(E73, ""it"", ""en"")"),"Insults and verbal abuse are prohibited.")</f>
        <v>Insults and verbal abuse are prohibited.</v>
      </c>
      <c r="L73" s="3"/>
      <c r="M73" s="3"/>
      <c r="N73" s="3"/>
      <c r="O73" s="3"/>
      <c r="P73" s="3"/>
      <c r="Q73" s="3"/>
      <c r="R73" s="3"/>
      <c r="S73" s="3"/>
      <c r="T73" s="3"/>
    </row>
    <row r="74" ht="22.5" customHeight="1">
      <c r="A74" s="4">
        <v>74.0</v>
      </c>
      <c r="B74" s="5" t="s">
        <v>286</v>
      </c>
      <c r="C74" s="4" t="s">
        <v>287</v>
      </c>
      <c r="D74" s="5" t="s">
        <v>288</v>
      </c>
      <c r="E74" s="5" t="s">
        <v>289</v>
      </c>
      <c r="F74" s="3"/>
      <c r="G74" s="5" t="str">
        <f>IFERROR(__xludf.DUMMYFUNCTION("GOOGLETRANSLATE(A74, ""it"", ""en"")"),"74")</f>
        <v>74</v>
      </c>
      <c r="H74" s="5" t="str">
        <f>IFERROR(__xludf.DUMMYFUNCTION("GOOGLETRANSLATE(B74, ""it"", ""en"")"),"What is the prize for the winning team?")</f>
        <v>What is the prize for the winning team?</v>
      </c>
      <c r="I74" s="5" t="str">
        <f>IFERROR(__xludf.DUMMYFUNCTION("GOOGLETRANSLATE(C74, ""it"", ""en"")"),"A. A trophy B. Money C. A cow D. A wreath")</f>
        <v>A. A trophy B. Money C. A cow D. A wreath</v>
      </c>
      <c r="J74" s="5" t="str">
        <f>IFERROR(__xludf.DUMMYFUNCTION("GOOGLETRANSLATE(D74, ""it"", ""en"")"),"A cow")</f>
        <v>A cow</v>
      </c>
      <c r="K74" s="5" t="str">
        <f>IFERROR(__xludf.DUMMYFUNCTION("GOOGLETRANSLATE(E74, ""it"", ""en"")"),"The winning team receives a cow as a symbolic prize.")</f>
        <v>The winning team receives a cow as a symbolic prize.</v>
      </c>
      <c r="L74" s="3"/>
      <c r="M74" s="3"/>
      <c r="N74" s="3"/>
      <c r="O74" s="3"/>
      <c r="P74" s="3"/>
      <c r="Q74" s="3"/>
      <c r="R74" s="3"/>
      <c r="S74" s="3"/>
      <c r="T74" s="3"/>
    </row>
    <row r="75" ht="22.5" customHeight="1">
      <c r="A75" s="4">
        <v>75.0</v>
      </c>
      <c r="B75" s="5" t="s">
        <v>290</v>
      </c>
      <c r="C75" s="4" t="s">
        <v>291</v>
      </c>
      <c r="D75" s="5" t="s">
        <v>292</v>
      </c>
      <c r="E75" s="5" t="s">
        <v>293</v>
      </c>
      <c r="F75" s="3"/>
      <c r="G75" s="5" t="str">
        <f>IFERROR(__xludf.DUMMYFUNCTION("GOOGLETRANSLATE(A75, ""it"", ""en"")"),"75")</f>
        <v>75</v>
      </c>
      <c r="H75" s="5" t="str">
        <f>IFERROR(__xludf.DUMMYFUNCTION("GOOGLETRANSLATE(B75, ""it"", ""en"")"),"What do the rules of the game symbolize?")</f>
        <v>What do the rules of the game symbolize?</v>
      </c>
      <c r="I75" s="5" t="str">
        <f>IFERROR(__xludf.DUMMYFUNCTION("GOOGLETRANSLATE(C75, ""it"", ""en"")"),"A. Fair competition B. Controlled disorder C. Unrestricted entertainment D. Tradition and respect")</f>
        <v>A. Fair competition B. Controlled disorder C. Unrestricted entertainment D. Tradition and respect</v>
      </c>
      <c r="J75" s="5" t="str">
        <f>IFERROR(__xludf.DUMMYFUNCTION("GOOGLETRANSLATE(D75, ""it"", ""en"")"),"Tradition and respect")</f>
        <v>Tradition and respect</v>
      </c>
      <c r="K75" s="5" t="str">
        <f>IFERROR(__xludf.DUMMYFUNCTION("GOOGLETRANSLATE(E75, ""it"", ""en"")"),"The rules honor historical traditions.")</f>
        <v>The rules honor historical traditions.</v>
      </c>
      <c r="L75" s="3"/>
      <c r="M75" s="3"/>
      <c r="N75" s="3"/>
      <c r="O75" s="3"/>
      <c r="P75" s="3"/>
      <c r="Q75" s="3"/>
      <c r="R75" s="3"/>
      <c r="S75" s="3"/>
      <c r="T75" s="3"/>
    </row>
    <row r="76" ht="22.5" customHeight="1">
      <c r="A76" s="4">
        <v>76.0</v>
      </c>
      <c r="B76" s="5" t="s">
        <v>294</v>
      </c>
      <c r="C76" s="4" t="s">
        <v>295</v>
      </c>
      <c r="D76" s="5" t="s">
        <v>296</v>
      </c>
      <c r="E76" s="5" t="s">
        <v>297</v>
      </c>
      <c r="F76" s="3"/>
      <c r="G76" s="5" t="str">
        <f>IFERROR(__xludf.DUMMYFUNCTION("GOOGLETRANSLATE(A76, ""it"", ""en"")"),"76")</f>
        <v>76</v>
      </c>
      <c r="H76" s="5" t="str">
        <f>IFERROR(__xludf.DUMMYFUNCTION("GOOGLETRANSLATE(B76, ""it"", ""en"")"),"How is initial possession of the ball decided?")</f>
        <v>How is initial possession of the ball decided?</v>
      </c>
      <c r="I76" s="5" t="str">
        <f>IFERROR(__xludf.DUMMYFUNCTION("GOOGLETRANSLATE(C76, ""it"", ""en"")"),"A. Draw B. Physical competition C. Captain's decision D. Public choice")</f>
        <v>A. Draw B. Physical competition C. Captain's decision D. Public choice</v>
      </c>
      <c r="J76" s="5" t="str">
        <f>IFERROR(__xludf.DUMMYFUNCTION("GOOGLETRANSLATE(D76, ""it"", ""en"")"),"Draw")</f>
        <v>Draw</v>
      </c>
      <c r="K76" s="5" t="str">
        <f>IFERROR(__xludf.DUMMYFUNCTION("GOOGLETRANSLATE(E76, ""it"", ""en"")"),"The toss determines who starts with the ball.")</f>
        <v>The toss determines who starts with the ball.</v>
      </c>
      <c r="L76" s="3"/>
      <c r="M76" s="3"/>
      <c r="N76" s="3"/>
      <c r="O76" s="3"/>
      <c r="P76" s="3"/>
      <c r="Q76" s="3"/>
      <c r="R76" s="3"/>
      <c r="S76" s="3"/>
      <c r="T76" s="3"/>
    </row>
    <row r="77" ht="22.5" customHeight="1">
      <c r="A77" s="4">
        <v>77.0</v>
      </c>
      <c r="B77" s="5" t="s">
        <v>298</v>
      </c>
      <c r="C77" s="4" t="s">
        <v>299</v>
      </c>
      <c r="D77" s="5" t="s">
        <v>300</v>
      </c>
      <c r="E77" s="5" t="s">
        <v>301</v>
      </c>
      <c r="F77" s="3"/>
      <c r="G77" s="5" t="str">
        <f>IFERROR(__xludf.DUMMYFUNCTION("GOOGLETRANSLATE(A77, ""it"", ""en"")"),"77")</f>
        <v>77</v>
      </c>
      <c r="H77" s="5" t="str">
        <f>IFERROR(__xludf.DUMMYFUNCTION("GOOGLETRANSLATE(B77, ""it"", ""en"")"),"What are you not allowed to do during scrums?")</f>
        <v>What are you not allowed to do during scrums?</v>
      </c>
      <c r="I77" s="5" t="str">
        <f>IFERROR(__xludf.DUMMYFUNCTION("GOOGLETRANSLATE(C77, ""it"", ""en"")"),"A. Pushing the opponent B. Holding the ball C. Intentionally hitting D. Blocking the ball")</f>
        <v>A. Pushing the opponent B. Holding the ball C. Intentionally hitting D. Blocking the ball</v>
      </c>
      <c r="J77" s="5" t="str">
        <f>IFERROR(__xludf.DUMMYFUNCTION("GOOGLETRANSLATE(D77, ""it"", ""en"")"),"To intentionally strike")</f>
        <v>To intentionally strike</v>
      </c>
      <c r="K77" s="5" t="str">
        <f>IFERROR(__xludf.DUMMYFUNCTION("GOOGLETRANSLATE(E77, ""it"", ""en"")"),"Intentional hitting is prohibited.")</f>
        <v>Intentional hitting is prohibited.</v>
      </c>
      <c r="L77" s="3"/>
      <c r="M77" s="3"/>
      <c r="N77" s="3"/>
      <c r="O77" s="3"/>
      <c r="P77" s="3"/>
      <c r="Q77" s="3"/>
      <c r="R77" s="3"/>
      <c r="S77" s="3"/>
      <c r="T77" s="3"/>
    </row>
    <row r="78" ht="22.5" customHeight="1">
      <c r="A78" s="4">
        <v>78.0</v>
      </c>
      <c r="B78" s="5" t="s">
        <v>302</v>
      </c>
      <c r="C78" s="4" t="s">
        <v>303</v>
      </c>
      <c r="D78" s="5" t="s">
        <v>304</v>
      </c>
      <c r="E78" s="5" t="s">
        <v>305</v>
      </c>
      <c r="F78" s="3"/>
      <c r="G78" s="5" t="str">
        <f>IFERROR(__xludf.DUMMYFUNCTION("GOOGLETRANSLATE(A78, ""it"", ""en"")"),"78")</f>
        <v>78</v>
      </c>
      <c r="H78" s="5" t="str">
        <f>IFERROR(__xludf.DUMMYFUNCTION("GOOGLETRANSLATE(B78, ""it"", ""en"")"),"What happens if there is a tie at the end of the half?")</f>
        <v>What happens if there is a tie at the end of the half?</v>
      </c>
      <c r="I78" s="5" t="str">
        <f>IFERROR(__xludf.DUMMYFUNCTION("GOOGLETRANSLATE(C78, ""it"", ""en"")"),"A. The team with the fewest fouls wins B. Extra time is played C. The score remains tied D. A new toss is made")</f>
        <v>A. The team with the fewest fouls wins B. Extra time is played C. The score remains tied D. A new toss is made</v>
      </c>
      <c r="J78" s="5" t="str">
        <f>IFERROR(__xludf.DUMMYFUNCTION("GOOGLETRANSLATE(D78, ""it"", ""en"")"),"The result remains tied")</f>
        <v>The result remains tied</v>
      </c>
      <c r="K78" s="5" t="str">
        <f>IFERROR(__xludf.DUMMYFUNCTION("GOOGLETRANSLATE(E78, ""it"", ""en"")"),"No extra charges are foreseen.")</f>
        <v>No extra charges are foreseen.</v>
      </c>
      <c r="L78" s="3"/>
      <c r="M78" s="3"/>
      <c r="N78" s="3"/>
      <c r="O78" s="3"/>
      <c r="P78" s="3"/>
      <c r="Q78" s="3"/>
      <c r="R78" s="3"/>
      <c r="S78" s="3"/>
      <c r="T78" s="3"/>
    </row>
    <row r="79" ht="22.5" customHeight="1">
      <c r="A79" s="4">
        <v>79.0</v>
      </c>
      <c r="B79" s="5" t="s">
        <v>306</v>
      </c>
      <c r="C79" s="4" t="s">
        <v>307</v>
      </c>
      <c r="D79" s="5" t="s">
        <v>308</v>
      </c>
      <c r="E79" s="5" t="s">
        <v>309</v>
      </c>
      <c r="F79" s="3"/>
      <c r="G79" s="5" t="str">
        <f>IFERROR(__xludf.DUMMYFUNCTION("GOOGLETRANSLATE(A79, ""it"", ""en"")"),"79")</f>
        <v>79</v>
      </c>
      <c r="H79" s="5" t="str">
        <f>IFERROR(__xludf.DUMMYFUNCTION("GOOGLETRANSLATE(B79, ""it"", ""en"")"),"Who supervises compliance with the rules?")</f>
        <v>Who supervises compliance with the rules?</v>
      </c>
      <c r="I79" s="5" t="str">
        <f>IFERROR(__xludf.DUMMYFUNCTION("GOOGLETRANSLATE(C79, ""it"", ""en"")"),"A. The captains B. The public C. The referees D. The mayor")</f>
        <v>A. The captains B. The public C. The referees D. The mayor</v>
      </c>
      <c r="J79" s="5" t="str">
        <f>IFERROR(__xludf.DUMMYFUNCTION("GOOGLETRANSLATE(D79, ""it"", ""en"")"),"The referees")</f>
        <v>The referees</v>
      </c>
      <c r="K79" s="5" t="str">
        <f>IFERROR(__xludf.DUMMYFUNCTION("GOOGLETRANSLATE(E79, ""it"", ""en"")"),"The referees ensure that the rules are respected.")</f>
        <v>The referees ensure that the rules are respected.</v>
      </c>
      <c r="L79" s="3"/>
      <c r="M79" s="3"/>
      <c r="N79" s="3"/>
      <c r="O79" s="3"/>
      <c r="P79" s="3"/>
      <c r="Q79" s="3"/>
      <c r="R79" s="3"/>
      <c r="S79" s="3"/>
      <c r="T79" s="3"/>
    </row>
    <row r="80" ht="22.5" customHeight="1">
      <c r="A80" s="4">
        <v>80.0</v>
      </c>
      <c r="B80" s="5" t="s">
        <v>310</v>
      </c>
      <c r="C80" s="4" t="s">
        <v>311</v>
      </c>
      <c r="D80" s="5" t="s">
        <v>312</v>
      </c>
      <c r="E80" s="5" t="s">
        <v>313</v>
      </c>
      <c r="F80" s="3"/>
      <c r="G80" s="5" t="str">
        <f>IFERROR(__xludf.DUMMYFUNCTION("GOOGLETRANSLATE(A80, ""it"", ""en"")"),"80")</f>
        <v>80</v>
      </c>
      <c r="H80" s="5" t="str">
        <f>IFERROR(__xludf.DUMMYFUNCTION("GOOGLETRANSLATE(B80, ""it"", ""en"")"),"What is the position of the net in the field?")</f>
        <v>What is the position of the net in the field?</v>
      </c>
      <c r="I80" s="5" t="str">
        <f>IFERROR(__xludf.DUMMYFUNCTION("GOOGLETRANSLATE(C80, ""it"", ""en"")"),"A. In the center B. At the corners C. At the ends of the field D. Along the sides")</f>
        <v>A. In the center B. At the corners C. At the ends of the field D. Along the sides</v>
      </c>
      <c r="J80" s="5" t="str">
        <f>IFERROR(__xludf.DUMMYFUNCTION("GOOGLETRANSLATE(D80, ""it"", ""en"")"),"At the ends of the field")</f>
        <v>At the ends of the field</v>
      </c>
      <c r="K80" s="5" t="str">
        <f>IFERROR(__xludf.DUMMYFUNCTION("GOOGLETRANSLATE(E80, ""it"", ""en"")"),"The networks are at opposite ends.")</f>
        <v>The networks are at opposite ends.</v>
      </c>
      <c r="L80" s="3"/>
      <c r="M80" s="3"/>
      <c r="N80" s="3"/>
      <c r="O80" s="3"/>
      <c r="P80" s="3"/>
      <c r="Q80" s="3"/>
      <c r="R80" s="3"/>
      <c r="S80" s="3"/>
      <c r="T80" s="3"/>
    </row>
    <row r="81" ht="22.5" customHeight="1">
      <c r="A81" s="4">
        <v>81.0</v>
      </c>
      <c r="B81" s="5" t="s">
        <v>314</v>
      </c>
      <c r="C81" s="4" t="s">
        <v>315</v>
      </c>
      <c r="D81" s="5" t="s">
        <v>316</v>
      </c>
      <c r="E81" s="5" t="s">
        <v>317</v>
      </c>
      <c r="F81" s="3"/>
      <c r="G81" s="5" t="str">
        <f>IFERROR(__xludf.DUMMYFUNCTION("GOOGLETRANSLATE(A81, ""it"", ""en"")"),"81")</f>
        <v>81</v>
      </c>
      <c r="H81" s="5" t="str">
        <f>IFERROR(__xludf.DUMMYFUNCTION("GOOGLETRANSLATE(B81, ""it"", ""en"")"),"How do you manage violent behavior?")</f>
        <v>How do you manage violent behavior?</v>
      </c>
      <c r="I81" s="5" t="str">
        <f>IFERROR(__xludf.DUMMYFUNCTION("GOOGLETRANSLATE(C81, ""it"", ""en"")"),"A. With warnings B. Immediate expulsion C. Suspension of play D. Verbal warning")</f>
        <v>A. With warnings B. Immediate expulsion C. Suspension of play D. Verbal warning</v>
      </c>
      <c r="J81" s="5" t="str">
        <f>IFERROR(__xludf.DUMMYFUNCTION("GOOGLETRANSLATE(D81, ""it"", ""en"")"),"Immediate expulsion")</f>
        <v>Immediate expulsion</v>
      </c>
      <c r="K81" s="5" t="str">
        <f>IFERROR(__xludf.DUMMYFUNCTION("GOOGLETRANSLATE(E81, ""it"", ""en"")"),"Violence leads to immediate expulsion.")</f>
        <v>Violence leads to immediate expulsion.</v>
      </c>
      <c r="L81" s="3"/>
      <c r="M81" s="3"/>
      <c r="N81" s="3"/>
      <c r="O81" s="3"/>
      <c r="P81" s="3"/>
      <c r="Q81" s="3"/>
      <c r="R81" s="3"/>
      <c r="S81" s="3"/>
      <c r="T81" s="3"/>
    </row>
    <row r="82" ht="22.5" customHeight="1">
      <c r="A82" s="4">
        <v>82.0</v>
      </c>
      <c r="B82" s="5" t="s">
        <v>318</v>
      </c>
      <c r="C82" s="4" t="s">
        <v>319</v>
      </c>
      <c r="D82" s="5" t="s">
        <v>320</v>
      </c>
      <c r="E82" s="5" t="s">
        <v>321</v>
      </c>
      <c r="F82" s="3"/>
      <c r="G82" s="5" t="str">
        <f>IFERROR(__xludf.DUMMYFUNCTION("GOOGLETRANSLATE(A82, ""it"", ""en"")"),"82")</f>
        <v>82</v>
      </c>
      <c r="H82" s="5" t="str">
        <f>IFERROR(__xludf.DUMMYFUNCTION("GOOGLETRANSLATE(B82, ""it"", ""en"")"),"What distinguishes Calcio Storico from modern football?")</f>
        <v>What distinguishes Calcio Storico from modern football?</v>
      </c>
      <c r="I82" s="5" t="str">
        <f>IFERROR(__xludf.DUMMYFUNCTION("GOOGLETRANSLATE(C82, ""it"", ""en"")"),"A. The speed of the game B. The intense physicality C. The lack of referees D. The number of players")</f>
        <v>A. The speed of the game B. The intense physicality C. The lack of referees D. The number of players</v>
      </c>
      <c r="J82" s="5" t="str">
        <f>IFERROR(__xludf.DUMMYFUNCTION("GOOGLETRANSLATE(D82, ""it"", ""en"")"),"The intense physicality")</f>
        <v>The intense physicality</v>
      </c>
      <c r="K82" s="5" t="str">
        <f>IFERROR(__xludf.DUMMYFUNCTION("GOOGLETRANSLATE(E82, ""it"", ""en"")"),"Calcio Storico is known for its physical contact.")</f>
        <v>Calcio Storico is known for its physical contact.</v>
      </c>
      <c r="L82" s="3"/>
      <c r="M82" s="3"/>
      <c r="N82" s="3"/>
      <c r="O82" s="3"/>
      <c r="P82" s="3"/>
      <c r="Q82" s="3"/>
      <c r="R82" s="3"/>
      <c r="S82" s="3"/>
      <c r="T82" s="3"/>
    </row>
    <row r="83" ht="22.5" customHeight="1">
      <c r="A83" s="4">
        <v>83.0</v>
      </c>
      <c r="B83" s="5" t="s">
        <v>322</v>
      </c>
      <c r="C83" s="4" t="s">
        <v>323</v>
      </c>
      <c r="D83" s="5" t="s">
        <v>324</v>
      </c>
      <c r="E83" s="5" t="s">
        <v>325</v>
      </c>
      <c r="F83" s="3"/>
      <c r="G83" s="5" t="str">
        <f>IFERROR(__xludf.DUMMYFUNCTION("GOOGLETRANSLATE(A83, ""it"", ""en"")"),"83")</f>
        <v>83</v>
      </c>
      <c r="H83" s="5" t="str">
        <f>IFERROR(__xludf.DUMMYFUNCTION("GOOGLETRANSLATE(B83, ""it"", ""en"")"),"How do you celebrate victory?")</f>
        <v>How do you celebrate victory?</v>
      </c>
      <c r="I83" s="5" t="str">
        <f>IFERROR(__xludf.DUMMYFUNCTION("GOOGLETRANSLATE(C83, ""it"", ""en"")"),"A. With a parade through the streets of the city B. With a private ceremony C. With a press conference D. With a party among the players")</f>
        <v>A. With a parade through the streets of the city B. With a private ceremony C. With a press conference D. With a party among the players</v>
      </c>
      <c r="J83" s="5" t="str">
        <f>IFERROR(__xludf.DUMMYFUNCTION("GOOGLETRANSLATE(D83, ""it"", ""en"")"),"With a parade through the streets of the city")</f>
        <v>With a parade through the streets of the city</v>
      </c>
      <c r="K83" s="5" t="str">
        <f>IFERROR(__xludf.DUMMYFUNCTION("GOOGLETRANSLATE(E83, ""it"", ""en"")"),"The victory is celebrated with a public parade.")</f>
        <v>The victory is celebrated with a public parade.</v>
      </c>
      <c r="L83" s="3"/>
      <c r="M83" s="3"/>
      <c r="N83" s="3"/>
      <c r="O83" s="3"/>
      <c r="P83" s="3"/>
      <c r="Q83" s="3"/>
      <c r="R83" s="3"/>
      <c r="S83" s="3"/>
      <c r="T83" s="3"/>
    </row>
    <row r="84" ht="22.5" customHeight="1">
      <c r="A84" s="4">
        <v>84.0</v>
      </c>
      <c r="B84" s="5" t="s">
        <v>326</v>
      </c>
      <c r="C84" s="4" t="s">
        <v>327</v>
      </c>
      <c r="D84" s="5" t="s">
        <v>328</v>
      </c>
      <c r="E84" s="5" t="s">
        <v>329</v>
      </c>
      <c r="F84" s="3"/>
      <c r="G84" s="5" t="str">
        <f>IFERROR(__xludf.DUMMYFUNCTION("GOOGLETRANSLATE(A84, ""it"", ""en"")"),"84")</f>
        <v>84</v>
      </c>
      <c r="H84" s="5" t="str">
        <f>IFERROR(__xludf.DUMMYFUNCTION("GOOGLETRANSLATE(B84, ""it"", ""en"")"),"What is the structure of the field?")</f>
        <v>What is the structure of the field?</v>
      </c>
      <c r="I84" s="5" t="str">
        <f>IFERROR(__xludf.DUMMYFUNCTION("GOOGLETRANSLATE(C84, ""it"", ""en"")"),"A. Square B. Rectangular C. Oval D. Irregular")</f>
        <v>A. Square B. Rectangular C. Oval D. Irregular</v>
      </c>
      <c r="J84" s="5" t="str">
        <f>IFERROR(__xludf.DUMMYFUNCTION("GOOGLETRANSLATE(D84, ""it"", ""en"")"),"Rectangular")</f>
        <v>Rectangular</v>
      </c>
      <c r="K84" s="5" t="str">
        <f>IFERROR(__xludf.DUMMYFUNCTION("GOOGLETRANSLATE(E84, ""it"", ""en"")"),"The field has a rectangular shape.")</f>
        <v>The field has a rectangular shape.</v>
      </c>
      <c r="L84" s="3"/>
      <c r="M84" s="3"/>
      <c r="N84" s="3"/>
      <c r="O84" s="3"/>
      <c r="P84" s="3"/>
      <c r="Q84" s="3"/>
      <c r="R84" s="3"/>
      <c r="S84" s="3"/>
      <c r="T84" s="3"/>
    </row>
    <row r="85" ht="22.5" customHeight="1">
      <c r="A85" s="4">
        <v>85.0</v>
      </c>
      <c r="B85" s="5" t="s">
        <v>330</v>
      </c>
      <c r="C85" s="4" t="s">
        <v>331</v>
      </c>
      <c r="D85" s="5" t="s">
        <v>332</v>
      </c>
      <c r="E85" s="5" t="s">
        <v>333</v>
      </c>
      <c r="F85" s="3"/>
      <c r="G85" s="5" t="str">
        <f>IFERROR(__xludf.DUMMYFUNCTION("GOOGLETRANSLATE(A85, ""it"", ""en"")"),"85")</f>
        <v>85</v>
      </c>
      <c r="H85" s="5" t="str">
        <f>IFERROR(__xludf.DUMMYFUNCTION("GOOGLETRANSLATE(B85, ""it"", ""en"")"),"What is the task of the attackers?")</f>
        <v>What is the task of the attackers?</v>
      </c>
      <c r="I85" s="5" t="str">
        <f>IFERROR(__xludf.DUMMYFUNCTION("GOOGLETRANSLATE(C85, ""it"", ""en"")"),"A. Defending the team B. Stopping the opponents C. Scoring shots D. Refereeing the game")</f>
        <v>A. Defending the team B. Stopping the opponents C. Scoring shots D. Refereeing the game</v>
      </c>
      <c r="J85" s="5" t="str">
        <f>IFERROR(__xludf.DUMMYFUNCTION("GOOGLETRANSLATE(D85, ""it"", ""en"")"),"Mark hunts")</f>
        <v>Mark hunts</v>
      </c>
      <c r="K85" s="5" t="str">
        <f>IFERROR(__xludf.DUMMYFUNCTION("GOOGLETRANSLATE(E85, ""it"", ""en"")"),"The attackers focus on scoring.")</f>
        <v>The attackers focus on scoring.</v>
      </c>
      <c r="L85" s="3"/>
      <c r="M85" s="3"/>
      <c r="N85" s="3"/>
      <c r="O85" s="3"/>
      <c r="P85" s="3"/>
      <c r="Q85" s="3"/>
      <c r="R85" s="3"/>
      <c r="S85" s="3"/>
      <c r="T85" s="3"/>
    </row>
    <row r="86" ht="22.5" customHeight="1">
      <c r="A86" s="4">
        <v>86.0</v>
      </c>
      <c r="B86" s="5" t="s">
        <v>334</v>
      </c>
      <c r="C86" s="4" t="s">
        <v>335</v>
      </c>
      <c r="D86" s="5" t="s">
        <v>200</v>
      </c>
      <c r="E86" s="5" t="s">
        <v>336</v>
      </c>
      <c r="F86" s="3"/>
      <c r="G86" s="5" t="str">
        <f>IFERROR(__xludf.DUMMYFUNCTION("GOOGLETRANSLATE(A86, ""it"", ""en"")"),"86")</f>
        <v>86</v>
      </c>
      <c r="H86" s="5" t="str">
        <f>IFERROR(__xludf.DUMMYFUNCTION("GOOGLETRANSLATE(B86, ""it"", ""en"")"),"Who can interrupt the game?")</f>
        <v>Who can interrupt the game?</v>
      </c>
      <c r="I86" s="5" t="str">
        <f>IFERROR(__xludf.DUMMYFUNCTION("GOOGLETRANSLATE(C86, ""it"", ""en"")"),"A. The spectators B. The captains C. The referees D. The mayor")</f>
        <v>A. The spectators B. The captains C. The referees D. The mayor</v>
      </c>
      <c r="J86" s="5" t="str">
        <f>IFERROR(__xludf.DUMMYFUNCTION("GOOGLETRANSLATE(D86, ""it"", ""en"")"),"The Referees")</f>
        <v>The Referees</v>
      </c>
      <c r="K86" s="5" t="str">
        <f>IFERROR(__xludf.DUMMYFUNCTION("GOOGLETRANSLATE(E86, ""it"", ""en"")"),"Only the referees have the authority to stop the game.")</f>
        <v>Only the referees have the authority to stop the game.</v>
      </c>
      <c r="L86" s="3"/>
      <c r="M86" s="3"/>
      <c r="N86" s="3"/>
      <c r="O86" s="3"/>
      <c r="P86" s="3"/>
      <c r="Q86" s="3"/>
      <c r="R86" s="3"/>
      <c r="S86" s="3"/>
      <c r="T86" s="3"/>
    </row>
    <row r="87" ht="22.5" customHeight="1">
      <c r="A87" s="4">
        <v>87.0</v>
      </c>
      <c r="B87" s="5" t="s">
        <v>337</v>
      </c>
      <c r="C87" s="4" t="s">
        <v>338</v>
      </c>
      <c r="D87" s="5" t="s">
        <v>339</v>
      </c>
      <c r="E87" s="5" t="s">
        <v>340</v>
      </c>
      <c r="F87" s="3"/>
      <c r="G87" s="5" t="str">
        <f>IFERROR(__xludf.DUMMYFUNCTION("GOOGLETRANSLATE(A87, ""it"", ""en"")"),"87")</f>
        <v>87</v>
      </c>
      <c r="H87" s="5" t="str">
        <f>IFERROR(__xludf.DUMMYFUNCTION("GOOGLETRANSLATE(B87, ""it"", ""en"")"),"What is the function of the guards?")</f>
        <v>What is the function of the guards?</v>
      </c>
      <c r="I87" s="5" t="str">
        <f>IFERROR(__xludf.DUMMYFUNCTION("GOOGLETRANSLATE(C87, ""it"", ""en"")"),"A. Protect the Captain B. Stop the opposing attackers C. Score points D. Referee")</f>
        <v>A. Protect the Captain B. Stop the opposing attackers C. Score points D. Referee</v>
      </c>
      <c r="J87" s="5" t="str">
        <f>IFERROR(__xludf.DUMMYFUNCTION("GOOGLETRANSLATE(D87, ""it"", ""en"")"),"Stop opposing attackers")</f>
        <v>Stop opposing attackers</v>
      </c>
      <c r="K87" s="5" t="str">
        <f>IFERROR(__xludf.DUMMYFUNCTION("GOOGLETRANSLATE(E87, ""it"", ""en"")"),"The guards protect the defense.")</f>
        <v>The guards protect the defense.</v>
      </c>
      <c r="L87" s="3"/>
      <c r="M87" s="3"/>
      <c r="N87" s="3"/>
      <c r="O87" s="3"/>
      <c r="P87" s="3"/>
      <c r="Q87" s="3"/>
      <c r="R87" s="3"/>
      <c r="S87" s="3"/>
      <c r="T87" s="3"/>
    </row>
    <row r="88" ht="22.5" customHeight="1">
      <c r="A88" s="4">
        <v>88.0</v>
      </c>
      <c r="B88" s="5" t="s">
        <v>89</v>
      </c>
      <c r="C88" s="4" t="s">
        <v>90</v>
      </c>
      <c r="D88" s="5" t="s">
        <v>91</v>
      </c>
      <c r="E88" s="5" t="s">
        <v>92</v>
      </c>
      <c r="F88" s="3"/>
      <c r="G88" s="5" t="str">
        <f>IFERROR(__xludf.DUMMYFUNCTION("GOOGLETRANSLATE(A88, ""it"", ""en"")"),"88")</f>
        <v>88</v>
      </c>
      <c r="H88" s="5" t="str">
        <f>IFERROR(__xludf.DUMMYFUNCTION("GOOGLETRANSLATE(B88, ""it"", ""en"")"),"What is the length of the playing field?")</f>
        <v>What is the length of the playing field?</v>
      </c>
      <c r="I88" s="5" t="str">
        <f>IFERROR(__xludf.DUMMYFUNCTION("GOOGLETRANSLATE(C88, ""it"", ""en"")"),"A. 50 meters B. 80 meters C. 100 meters D. 120 meters")</f>
        <v>A. 50 meters B. 80 meters C. 100 meters D. 120 meters</v>
      </c>
      <c r="J88" s="5" t="str">
        <f>IFERROR(__xludf.DUMMYFUNCTION("GOOGLETRANSLATE(D88, ""it"", ""en"")"),"80 meters")</f>
        <v>80 meters</v>
      </c>
      <c r="K88" s="5" t="str">
        <f>IFERROR(__xludf.DUMMYFUNCTION("GOOGLETRANSLATE(E88, ""it"", ""en"")"),"The field is approximately 80 meters long.")</f>
        <v>The field is approximately 80 meters long.</v>
      </c>
      <c r="L88" s="3"/>
      <c r="M88" s="3"/>
      <c r="N88" s="3"/>
      <c r="O88" s="3"/>
      <c r="P88" s="3"/>
      <c r="Q88" s="3"/>
      <c r="R88" s="3"/>
      <c r="S88" s="3"/>
      <c r="T88" s="3"/>
    </row>
    <row r="89" ht="22.5" customHeight="1">
      <c r="A89" s="4">
        <v>89.0</v>
      </c>
      <c r="B89" s="5" t="s">
        <v>341</v>
      </c>
      <c r="C89" s="4" t="s">
        <v>342</v>
      </c>
      <c r="D89" s="5" t="s">
        <v>343</v>
      </c>
      <c r="E89" s="5" t="s">
        <v>344</v>
      </c>
      <c r="F89" s="3"/>
      <c r="G89" s="5" t="str">
        <f>IFERROR(__xludf.DUMMYFUNCTION("GOOGLETRANSLATE(A89, ""it"", ""en"")"),"89")</f>
        <v>89</v>
      </c>
      <c r="H89" s="5" t="str">
        <f>IFERROR(__xludf.DUMMYFUNCTION("GOOGLETRANSLATE(B89, ""it"", ""en"")"),"What are the physical requirements to play?")</f>
        <v>What are the physical requirements to play?</v>
      </c>
      <c r="I89" s="5" t="str">
        <f>IFERROR(__xludf.DUMMYFUNCTION("GOOGLETRANSLATE(C89, ""it"", ""en"")"),"A. Speed ​​only B. Stamina and physical strength C. Agility and precision D. Intelligence and tactics")</f>
        <v>A. Speed ​​only B. Stamina and physical strength C. Agility and precision D. Intelligence and tactics</v>
      </c>
      <c r="J89" s="5" t="str">
        <f>IFERROR(__xludf.DUMMYFUNCTION("GOOGLETRANSLATE(D89, ""it"", ""en"")"),"Endurance and physical strength")</f>
        <v>Endurance and physical strength</v>
      </c>
      <c r="K89" s="5" t="str">
        <f>IFERROR(__xludf.DUMMYFUNCTION("GOOGLETRANSLATE(E89, ""it"", ""en"")"),"Endurance and strength are essential.")</f>
        <v>Endurance and strength are essential.</v>
      </c>
      <c r="L89" s="3"/>
      <c r="M89" s="3"/>
      <c r="N89" s="3"/>
      <c r="O89" s="3"/>
      <c r="P89" s="3"/>
      <c r="Q89" s="3"/>
      <c r="R89" s="3"/>
      <c r="S89" s="3"/>
      <c r="T89" s="3"/>
    </row>
    <row r="90" ht="22.5" customHeight="1">
      <c r="A90" s="4">
        <v>90.0</v>
      </c>
      <c r="B90" s="5" t="s">
        <v>345</v>
      </c>
      <c r="C90" s="4" t="s">
        <v>346</v>
      </c>
      <c r="D90" s="5" t="s">
        <v>347</v>
      </c>
      <c r="E90" s="5" t="s">
        <v>348</v>
      </c>
      <c r="F90" s="3"/>
      <c r="G90" s="5" t="str">
        <f>IFERROR(__xludf.DUMMYFUNCTION("GOOGLETRANSLATE(A90, ""it"", ""en"")"),"90")</f>
        <v>90</v>
      </c>
      <c r="H90" s="5" t="str">
        <f>IFERROR(__xludf.DUMMYFUNCTION("GOOGLETRANSLATE(B90, ""it"", ""en"")"),"What is celebrated with Calcio Storico?")</f>
        <v>What is celebrated with Calcio Storico?</v>
      </c>
      <c r="I90" s="5" t="str">
        <f>IFERROR(__xludf.DUMMYFUNCTION("GOOGLETRANSLATE(C90, ""it"", ""en"")"),"A. Modern sporting history B. The history of Florence C. National culture D. Personal victory")</f>
        <v>A. Modern sporting history B. The history of Florence C. National culture D. Personal victory</v>
      </c>
      <c r="J90" s="5" t="str">
        <f>IFERROR(__xludf.DUMMYFUNCTION("GOOGLETRANSLATE(D90, ""it"", ""en"")"),"The history of Florence")</f>
        <v>The history of Florence</v>
      </c>
      <c r="K90" s="5" t="str">
        <f>IFERROR(__xludf.DUMMYFUNCTION("GOOGLETRANSLATE(E90, ""it"", ""en"")"),"The tournament celebrates the city's historical heritage.")</f>
        <v>The tournament celebrates the city's historical heritage.</v>
      </c>
      <c r="L90" s="3"/>
      <c r="M90" s="3"/>
      <c r="N90" s="3"/>
      <c r="O90" s="3"/>
      <c r="P90" s="3"/>
      <c r="Q90" s="3"/>
      <c r="R90" s="3"/>
      <c r="S90" s="3"/>
      <c r="T90" s="3"/>
    </row>
    <row r="91" ht="22.5" customHeight="1">
      <c r="A91" s="4">
        <v>91.0</v>
      </c>
      <c r="B91" s="5" t="s">
        <v>349</v>
      </c>
      <c r="C91" s="4" t="s">
        <v>350</v>
      </c>
      <c r="D91" s="5" t="s">
        <v>351</v>
      </c>
      <c r="E91" s="5" t="s">
        <v>352</v>
      </c>
      <c r="F91" s="3"/>
      <c r="G91" s="5" t="str">
        <f>IFERROR(__xludf.DUMMYFUNCTION("GOOGLETRANSLATE(A91, ""it"", ""en"")"),"91")</f>
        <v>91</v>
      </c>
      <c r="H91" s="5" t="str">
        <f>IFERROR(__xludf.DUMMYFUNCTION("GOOGLETRANSLATE(B91, ""it"", ""en"")"),"What is the role of the Captain in a Calcio Storico team?")</f>
        <v>What is the role of the Captain in a Calcio Storico team?</v>
      </c>
      <c r="I91" s="5" t="str">
        <f>IFERROR(__xludf.DUMMYFUNCTION("GOOGLETRANSLATE(C91, ""it"", ""en"")"),"A. Scoring shots B. Refereeing the game C. Motivating the players and guiding the strategy D. Stopping the opponents")</f>
        <v>A. Scoring shots B. Refereeing the game C. Motivating the players and guiding the strategy D. Stopping the opponents</v>
      </c>
      <c r="J91" s="5" t="str">
        <f>IFERROR(__xludf.DUMMYFUNCTION("GOOGLETRANSLATE(D91, ""it"", ""en"")"),"Motivate players and drive strategy")</f>
        <v>Motivate players and drive strategy</v>
      </c>
      <c r="K91" s="5" t="str">
        <f>IFERROR(__xludf.DUMMYFUNCTION("GOOGLETRANSLATE(E91, ""it"", ""en"")"),"The Captain leads the team and develops the strategy.")</f>
        <v>The Captain leads the team and develops the strategy.</v>
      </c>
      <c r="L91" s="3"/>
      <c r="M91" s="3"/>
      <c r="N91" s="3"/>
      <c r="O91" s="3"/>
      <c r="P91" s="3"/>
      <c r="Q91" s="3"/>
      <c r="R91" s="3"/>
      <c r="S91" s="3"/>
      <c r="T91" s="3"/>
    </row>
    <row r="92" ht="22.5" customHeight="1">
      <c r="A92" s="4">
        <v>93.0</v>
      </c>
      <c r="B92" s="5" t="s">
        <v>353</v>
      </c>
      <c r="C92" s="4" t="s">
        <v>354</v>
      </c>
      <c r="D92" s="5" t="s">
        <v>355</v>
      </c>
      <c r="E92" s="5" t="s">
        <v>301</v>
      </c>
      <c r="F92" s="3"/>
      <c r="G92" s="5" t="str">
        <f>IFERROR(__xludf.DUMMYFUNCTION("GOOGLETRANSLATE(A92, ""it"", ""en"")"),"93")</f>
        <v>93</v>
      </c>
      <c r="H92" s="5" t="str">
        <f>IFERROR(__xludf.DUMMYFUNCTION("GOOGLETRANSLATE(B92, ""it"", ""en"")"),"What are defenders not allowed to do during the game?")</f>
        <v>What are defenders not allowed to do during the game?</v>
      </c>
      <c r="I92" s="5" t="str">
        <f>IFERROR(__xludf.DUMMYFUNCTION("GOOGLETRANSLATE(C92, ""it"", ""en"")"),"A. Using hands B. Pushing opponents C. Blocking the ball D. Intentionally hitting attackers")</f>
        <v>A. Using hands B. Pushing opponents C. Blocking the ball D. Intentionally hitting attackers</v>
      </c>
      <c r="J92" s="5" t="str">
        <f>IFERROR(__xludf.DUMMYFUNCTION("GOOGLETRANSLATE(D92, ""it"", ""en"")"),"Intentionally hitting attackers")</f>
        <v>Intentionally hitting attackers</v>
      </c>
      <c r="K92" s="5" t="str">
        <f>IFERROR(__xludf.DUMMYFUNCTION("GOOGLETRANSLATE(E92, ""it"", ""en"")"),"Intentional hitting is prohibited.")</f>
        <v>Intentional hitting is prohibited.</v>
      </c>
      <c r="L92" s="3"/>
      <c r="M92" s="3"/>
      <c r="N92" s="3"/>
      <c r="O92" s="3"/>
      <c r="P92" s="3"/>
      <c r="Q92" s="3"/>
      <c r="R92" s="3"/>
      <c r="S92" s="3"/>
      <c r="T92" s="3"/>
    </row>
    <row r="93" ht="22.5" customHeight="1">
      <c r="A93" s="4">
        <v>94.0</v>
      </c>
      <c r="B93" s="5" t="s">
        <v>356</v>
      </c>
      <c r="C93" s="4" t="s">
        <v>357</v>
      </c>
      <c r="D93" s="5" t="s">
        <v>358</v>
      </c>
      <c r="E93" s="5" t="s">
        <v>359</v>
      </c>
      <c r="F93" s="3"/>
      <c r="G93" s="5" t="str">
        <f>IFERROR(__xludf.DUMMYFUNCTION("GOOGLETRANSLATE(A93, ""it"", ""en"")"),"94")</f>
        <v>94</v>
      </c>
      <c r="H93" s="5" t="str">
        <f>IFERROR(__xludf.DUMMYFUNCTION("GOOGLETRANSLATE(B93, ""it"", ""en"")"),"What do the costumes worn by the players represent?")</f>
        <v>What do the costumes worn by the players represent?</v>
      </c>
      <c r="I93" s="5" t="str">
        <f>IFERROR(__xludf.DUMMYFUNCTION("GOOGLETRANSLATE(C93, ""it"", ""en"")"),"A. Tradition and pride of the neighborhood B. A game strategy C. A tribute to sporting modernity D. A standard uniform")</f>
        <v>A. Tradition and pride of the neighborhood B. A game strategy C. A tribute to sporting modernity D. A standard uniform</v>
      </c>
      <c r="J93" s="5" t="str">
        <f>IFERROR(__xludf.DUMMYFUNCTION("GOOGLETRANSLATE(D93, ""it"", ""en"")"),"Tradition and pride of the neighborhood")</f>
        <v>Tradition and pride of the neighborhood</v>
      </c>
      <c r="K93" s="5" t="str">
        <f>IFERROR(__xludf.DUMMYFUNCTION("GOOGLETRANSLATE(E93, ""it"", ""en"")"),"The costumes recall the historical origins and neighborhoods of Florence.")</f>
        <v>The costumes recall the historical origins and neighborhoods of Florence.</v>
      </c>
      <c r="L93" s="3"/>
      <c r="M93" s="3"/>
      <c r="N93" s="3"/>
      <c r="O93" s="3"/>
      <c r="P93" s="3"/>
      <c r="Q93" s="3"/>
      <c r="R93" s="3"/>
      <c r="S93" s="3"/>
      <c r="T93" s="3"/>
    </row>
    <row r="94" ht="22.5" customHeight="1">
      <c r="A94" s="4">
        <v>95.0</v>
      </c>
      <c r="B94" s="5" t="s">
        <v>360</v>
      </c>
      <c r="C94" s="4" t="s">
        <v>361</v>
      </c>
      <c r="D94" s="5" t="s">
        <v>362</v>
      </c>
      <c r="E94" s="5" t="s">
        <v>363</v>
      </c>
      <c r="F94" s="3"/>
      <c r="G94" s="5" t="str">
        <f>IFERROR(__xludf.DUMMYFUNCTION("GOOGLETRANSLATE(A94, ""it"", ""en"")"),"95")</f>
        <v>95</v>
      </c>
      <c r="H94" s="5" t="str">
        <f>IFERROR(__xludf.DUMMYFUNCTION("GOOGLETRANSLATE(B94, ""it"", ""en"")"),"What do the four team colors symbolize?")</f>
        <v>What do the four team colors symbolize?</v>
      </c>
      <c r="I94" s="5" t="str">
        <f>IFERROR(__xludf.DUMMYFUNCTION("GOOGLETRANSLATE(C94, ""it"", ""en"")"),"A. The seasons B. The arts C. The virtues D. Districts of Florence")</f>
        <v>A. The seasons B. The arts C. The virtues D. Districts of Florence</v>
      </c>
      <c r="J94" s="5" t="str">
        <f>IFERROR(__xludf.DUMMYFUNCTION("GOOGLETRANSLATE(D94, ""it"", ""en"")"),"Neighborhoods of Florence")</f>
        <v>Neighborhoods of Florence</v>
      </c>
      <c r="K94" s="5" t="str">
        <f>IFERROR(__xludf.DUMMYFUNCTION("GOOGLETRANSLATE(E94, ""it"", ""en"")"),"The colors represent the city's historic neighborhoods.")</f>
        <v>The colors represent the city's historic neighborhoods.</v>
      </c>
      <c r="L94" s="3"/>
      <c r="M94" s="3"/>
      <c r="N94" s="3"/>
      <c r="O94" s="3"/>
      <c r="P94" s="3"/>
      <c r="Q94" s="3"/>
      <c r="R94" s="3"/>
      <c r="S94" s="3"/>
      <c r="T94" s="3"/>
    </row>
    <row r="95" ht="22.5" customHeight="1">
      <c r="A95" s="4">
        <v>96.0</v>
      </c>
      <c r="B95" s="5" t="s">
        <v>364</v>
      </c>
      <c r="C95" s="4" t="s">
        <v>365</v>
      </c>
      <c r="D95" s="5" t="s">
        <v>366</v>
      </c>
      <c r="E95" s="5" t="s">
        <v>367</v>
      </c>
      <c r="F95" s="3"/>
      <c r="G95" s="5" t="str">
        <f>IFERROR(__xludf.DUMMYFUNCTION("GOOGLETRANSLATE(A95, ""it"", ""en"")"),"96")</f>
        <v>96</v>
      </c>
      <c r="H95" s="5" t="str">
        <f>IFERROR(__xludf.DUMMYFUNCTION("GOOGLETRANSLATE(B95, ""it"", ""en"")"),"How is first possession of the ball awarded?")</f>
        <v>How is first possession of the ball awarded?</v>
      </c>
      <c r="I95" s="5" t="str">
        <f>IFERROR(__xludf.DUMMYFUNCTION("GOOGLETRANSLATE(C95, ""it"", ""en"")"),"A. With a coin B. With a physical challenge C. With the Captain's drawing D. With the consent of the public")</f>
        <v>A. With a coin B. With a physical challenge C. With the Captain's drawing D. With the consent of the public</v>
      </c>
      <c r="J95" s="5" t="str">
        <f>IFERROR(__xludf.DUMMYFUNCTION("GOOGLETRANSLATE(D95, ""it"", ""en"")"),"With a coin")</f>
        <v>With a coin</v>
      </c>
      <c r="K95" s="5" t="str">
        <f>IFERROR(__xludf.DUMMYFUNCTION("GOOGLETRANSLATE(E95, ""it"", ""en"")"),"Initial possession is decided by a coin toss.")</f>
        <v>Initial possession is decided by a coin toss.</v>
      </c>
      <c r="L95" s="3"/>
      <c r="M95" s="3"/>
      <c r="N95" s="3"/>
      <c r="O95" s="3"/>
      <c r="P95" s="3"/>
      <c r="Q95" s="3"/>
      <c r="R95" s="3"/>
      <c r="S95" s="3"/>
      <c r="T95" s="3"/>
    </row>
    <row r="96" ht="22.5" customHeight="1">
      <c r="A96" s="4">
        <v>97.0</v>
      </c>
      <c r="B96" s="5" t="s">
        <v>368</v>
      </c>
      <c r="C96" s="4" t="s">
        <v>369</v>
      </c>
      <c r="D96" s="5" t="s">
        <v>370</v>
      </c>
      <c r="E96" s="5" t="s">
        <v>371</v>
      </c>
      <c r="F96" s="3"/>
      <c r="G96" s="5" t="str">
        <f>IFERROR(__xludf.DUMMYFUNCTION("GOOGLETRANSLATE(A96, ""it"", ""en"")"),"97")</f>
        <v>97</v>
      </c>
      <c r="H96" s="5" t="str">
        <f>IFERROR(__xludf.DUMMYFUNCTION("GOOGLETRANSLATE(B96, ""it"", ""en"")"),"What is the historical importance of Calcio Storico?")</f>
        <v>What is the historical importance of Calcio Storico?</v>
      </c>
      <c r="I96" s="5" t="str">
        <f>IFERROR(__xludf.DUMMYFUNCTION("GOOGLETRANSLATE(C96, ""it"", ""en"")"),"A. Promote equality in sport B. Foster civic unity C. Commemorate the Battle of Florence D. Pay homage to great athletes")</f>
        <v>A. Promote equality in sport B. Foster civic unity C. Commemorate the Battle of Florence D. Pay homage to great athletes</v>
      </c>
      <c r="J96" s="5" t="str">
        <f>IFERROR(__xludf.DUMMYFUNCTION("GOOGLETRANSLATE(D96, ""it"", ""en"")"),"Commemorating the Battle of Florence")</f>
        <v>Commemorating the Battle of Florence</v>
      </c>
      <c r="K96" s="5" t="str">
        <f>IFERROR(__xludf.DUMMYFUNCTION("GOOGLETRANSLATE(E96, ""it"", ""en"")"),"The game was created to celebrate historical events in the city.")</f>
        <v>The game was created to celebrate historical events in the city.</v>
      </c>
      <c r="L96" s="3"/>
      <c r="M96" s="3"/>
      <c r="N96" s="3"/>
      <c r="O96" s="3"/>
      <c r="P96" s="3"/>
      <c r="Q96" s="3"/>
      <c r="R96" s="3"/>
      <c r="S96" s="3"/>
      <c r="T96" s="3"/>
    </row>
    <row r="97" ht="22.5" customHeight="1">
      <c r="A97" s="4">
        <v>98.0</v>
      </c>
      <c r="B97" s="5" t="s">
        <v>372</v>
      </c>
      <c r="C97" s="4" t="s">
        <v>373</v>
      </c>
      <c r="D97" s="5" t="s">
        <v>374</v>
      </c>
      <c r="E97" s="5" t="s">
        <v>375</v>
      </c>
      <c r="F97" s="3"/>
      <c r="G97" s="5" t="str">
        <f>IFERROR(__xludf.DUMMYFUNCTION("GOOGLETRANSLATE(A97, ""it"", ""en"")"),"98")</f>
        <v>98</v>
      </c>
      <c r="H97" s="5" t="str">
        <f>IFERROR(__xludf.DUMMYFUNCTION("GOOGLETRANSLATE(B97, ""it"", ""en"")"),"How are serious fouls punished?")</f>
        <v>How are serious fouls punished?</v>
      </c>
      <c r="I97" s="5" t="str">
        <f>IFERROR(__xludf.DUMMYFUNCTION("GOOGLETRANSLATE(C97, ""it"", ""en"")"),"A. With a red card B. With the expulsion of the player C. With a penalty to the team D. With the cancellation of a hunt")</f>
        <v>A. With a red card B. With the expulsion of the player C. With a penalty to the team D. With the cancellation of a hunt</v>
      </c>
      <c r="J97" s="5" t="str">
        <f>IFERROR(__xludf.DUMMYFUNCTION("GOOGLETRANSLATE(D97, ""it"", ""en"")"),"With the expulsion of the player")</f>
        <v>With the expulsion of the player</v>
      </c>
      <c r="K97" s="5" t="str">
        <f>IFERROR(__xludf.DUMMYFUNCTION("GOOGLETRANSLATE(E97, ""it"", ""en"")"),"Serious fouls lead to immediate expulsion.")</f>
        <v>Serious fouls lead to immediate expulsion.</v>
      </c>
      <c r="L97" s="3"/>
      <c r="M97" s="3"/>
      <c r="N97" s="3"/>
      <c r="O97" s="3"/>
      <c r="P97" s="3"/>
      <c r="Q97" s="3"/>
      <c r="R97" s="3"/>
      <c r="S97" s="3"/>
      <c r="T97" s="3"/>
    </row>
    <row r="98" ht="22.5" customHeight="1">
      <c r="A98" s="4">
        <v>99.0</v>
      </c>
      <c r="B98" s="5" t="s">
        <v>376</v>
      </c>
      <c r="C98" s="4" t="s">
        <v>377</v>
      </c>
      <c r="D98" s="5" t="s">
        <v>378</v>
      </c>
      <c r="E98" s="5" t="s">
        <v>379</v>
      </c>
      <c r="F98" s="3"/>
      <c r="G98" s="5" t="str">
        <f>IFERROR(__xludf.DUMMYFUNCTION("GOOGLETRANSLATE(A98, ""it"", ""en"")"),"99")</f>
        <v>99</v>
      </c>
      <c r="H98" s="5" t="str">
        <f>IFERROR(__xludf.DUMMYFUNCTION("GOOGLETRANSLATE(B98, ""it"", ""en"")"),"Who sets the rules of the game?")</f>
        <v>Who sets the rules of the game?</v>
      </c>
      <c r="I98" s="5" t="str">
        <f>IFERROR(__xludf.DUMMYFUNCTION("GOOGLETRANSLATE(C98, ""it"", ""en"")"),"A. The public B. The tournament organizers C. The referees D. The mayor")</f>
        <v>A. The public B. The tournament organizers C. The referees D. The mayor</v>
      </c>
      <c r="J98" s="5" t="str">
        <f>IFERROR(__xludf.DUMMYFUNCTION("GOOGLETRANSLATE(D98, ""it"", ""en"")"),"The organizers of the tournament")</f>
        <v>The organizers of the tournament</v>
      </c>
      <c r="K98" s="5" t="str">
        <f>IFERROR(__xludf.DUMMYFUNCTION("GOOGLETRANSLATE(E98, ""it"", ""en"")"),"The rules are decided by the organizers.")</f>
        <v>The rules are decided by the organizers.</v>
      </c>
      <c r="L98" s="3"/>
      <c r="M98" s="3"/>
      <c r="N98" s="3"/>
      <c r="O98" s="3"/>
      <c r="P98" s="3"/>
      <c r="Q98" s="3"/>
      <c r="R98" s="3"/>
      <c r="S98" s="3"/>
      <c r="T98" s="3"/>
    </row>
    <row r="99" ht="22.5" customHeight="1">
      <c r="A99" s="4">
        <v>100.0</v>
      </c>
      <c r="B99" s="5" t="s">
        <v>380</v>
      </c>
      <c r="C99" s="4" t="s">
        <v>381</v>
      </c>
      <c r="D99" s="5" t="s">
        <v>37</v>
      </c>
      <c r="E99" s="5" t="s">
        <v>382</v>
      </c>
      <c r="F99" s="3"/>
      <c r="G99" s="5" t="str">
        <f>IFERROR(__xludf.DUMMYFUNCTION("GOOGLETRANSLATE(A99, ""it"", ""en"")"),"100")</f>
        <v>100</v>
      </c>
      <c r="H99" s="5" t="str">
        <f>IFERROR(__xludf.DUMMYFUNCTION("GOOGLETRANSLATE(B99, ""it"", ""en"")"),"What is the main area where the game is played?")</f>
        <v>What is the main area where the game is played?</v>
      </c>
      <c r="I99" s="5" t="str">
        <f>IFERROR(__xludf.DUMMYFUNCTION("GOOGLETRANSLATE(C99, ""it"", ""en"")"),"A. Santa Croce Square B. Cathedral Square C. Signoria Square D. Liberty Square")</f>
        <v>A. Santa Croce Square B. Cathedral Square C. Signoria Square D. Liberty Square</v>
      </c>
      <c r="J99" s="5" t="str">
        <f>IFERROR(__xludf.DUMMYFUNCTION("GOOGLETRANSLATE(D99, ""it"", ""en"")"),"Santa Croce Square")</f>
        <v>Santa Croce Square</v>
      </c>
      <c r="K99" s="5" t="str">
        <f>IFERROR(__xludf.DUMMYFUNCTION("GOOGLETRANSLATE(E99, ""it"", ""en"")"),"The game takes place in the historic Piazza Santa Croce.")</f>
        <v>The game takes place in the historic Piazza Santa Croce.</v>
      </c>
      <c r="L99" s="3"/>
      <c r="M99" s="3"/>
      <c r="N99" s="3"/>
      <c r="O99" s="3"/>
      <c r="P99" s="3"/>
      <c r="Q99" s="3"/>
      <c r="R99" s="3"/>
      <c r="S99" s="3"/>
      <c r="T99" s="3"/>
    </row>
    <row r="100" ht="22.5" customHeight="1">
      <c r="A100" s="4">
        <v>101.0</v>
      </c>
      <c r="B100" s="5" t="s">
        <v>383</v>
      </c>
      <c r="C100" s="4" t="s">
        <v>384</v>
      </c>
      <c r="D100" s="5" t="s">
        <v>385</v>
      </c>
      <c r="E100" s="5" t="s">
        <v>386</v>
      </c>
      <c r="F100" s="3"/>
      <c r="G100" s="5" t="str">
        <f>IFERROR(__xludf.DUMMYFUNCTION("GOOGLETRANSLATE(A100, ""it"", ""en"")"),"101")</f>
        <v>101</v>
      </c>
      <c r="H100" s="5" t="str">
        <f>IFERROR(__xludf.DUMMYFUNCTION("GOOGLETRANSLATE(B100, ""it"", ""en"")"),"Who are the main rivals in the tournament?")</f>
        <v>Who are the main rivals in the tournament?</v>
      </c>
      <c r="I100" s="5" t="str">
        <f>IFERROR(__xludf.DUMMYFUNCTION("GOOGLETRANSLATE(C100, ""it"", ""en"")"),"A. Teams from the same neighborhood B. Teams from opposite neighborhoods C. Teams from other cities D. International teams")</f>
        <v>A. Teams from the same neighborhood B. Teams from opposite neighborhoods C. Teams from other cities D. International teams</v>
      </c>
      <c r="J100" s="5" t="str">
        <f>IFERROR(__xludf.DUMMYFUNCTION("GOOGLETRANSLATE(D100, ""it"", ""en"")"),"Teams from opposing neighborhoods")</f>
        <v>Teams from opposing neighborhoods</v>
      </c>
      <c r="K100" s="5" t="str">
        <f>IFERROR(__xludf.DUMMYFUNCTION("GOOGLETRANSLATE(E100, ""it"", ""en"")"),"Rival neighborhoods traditionally challenge each other.")</f>
        <v>Rival neighborhoods traditionally challenge each other.</v>
      </c>
      <c r="L100" s="3"/>
      <c r="M100" s="3"/>
      <c r="N100" s="3"/>
      <c r="O100" s="3"/>
      <c r="P100" s="3"/>
      <c r="Q100" s="3"/>
      <c r="R100" s="3"/>
      <c r="S100" s="3"/>
      <c r="T100" s="3"/>
    </row>
    <row r="101" ht="22.5" customHeight="1">
      <c r="A101" s="4">
        <v>102.0</v>
      </c>
      <c r="B101" s="5" t="s">
        <v>387</v>
      </c>
      <c r="C101" s="4" t="s">
        <v>388</v>
      </c>
      <c r="D101" s="5" t="s">
        <v>389</v>
      </c>
      <c r="E101" s="5" t="s">
        <v>390</v>
      </c>
      <c r="F101" s="3"/>
      <c r="G101" s="5" t="str">
        <f>IFERROR(__xludf.DUMMYFUNCTION("GOOGLETRANSLATE(A101, ""it"", ""en"")"),"102")</f>
        <v>102</v>
      </c>
      <c r="H101" s="5" t="str">
        <f>IFERROR(__xludf.DUMMYFUNCTION("GOOGLETRANSLATE(B101, ""it"", ""en"")"),"What can't a player do when he has the ball?")</f>
        <v>What can't a player do when he has the ball?</v>
      </c>
      <c r="I101" s="5" t="str">
        <f>IFERROR(__xludf.DUMMYFUNCTION("GOOGLETRANSLATE(C101, ""it"", ""en"")"),"A. Pass it to the Captain B. Block the opponents C. Run towards the opponent's goal D. Kick an opponent")</f>
        <v>A. Pass it to the Captain B. Block the opponents C. Run towards the opponent's goal D. Kick an opponent</v>
      </c>
      <c r="J101" s="5" t="str">
        <f>IFERROR(__xludf.DUMMYFUNCTION("GOOGLETRANSLATE(D101, ""it"", ""en"")"),"Kick an opponent")</f>
        <v>Kick an opponent</v>
      </c>
      <c r="K101" s="5" t="str">
        <f>IFERROR(__xludf.DUMMYFUNCTION("GOOGLETRANSLATE(E101, ""it"", ""en"")"),"Kicking is prohibited in any situation.")</f>
        <v>Kicking is prohibited in any situation.</v>
      </c>
      <c r="L101" s="3"/>
      <c r="M101" s="3"/>
      <c r="N101" s="3"/>
      <c r="O101" s="3"/>
      <c r="P101" s="3"/>
      <c r="Q101" s="3"/>
      <c r="R101" s="3"/>
      <c r="S101" s="3"/>
      <c r="T101" s="3"/>
    </row>
    <row r="102" ht="22.5" customHeight="1">
      <c r="A102" s="4">
        <v>103.0</v>
      </c>
      <c r="B102" s="5" t="s">
        <v>391</v>
      </c>
      <c r="C102" s="4" t="s">
        <v>392</v>
      </c>
      <c r="D102" s="5" t="s">
        <v>393</v>
      </c>
      <c r="E102" s="5" t="s">
        <v>394</v>
      </c>
      <c r="F102" s="3"/>
      <c r="G102" s="5" t="str">
        <f>IFERROR(__xludf.DUMMYFUNCTION("GOOGLETRANSLATE(A102, ""it"", ""en"")"),"103")</f>
        <v>103</v>
      </c>
      <c r="H102" s="5" t="str">
        <f>IFERROR(__xludf.DUMMYFUNCTION("GOOGLETRANSLATE(B102, ""it"", ""en"")"),"What is the meaning of the flags displayed during the game?")</f>
        <v>What is the meaning of the flags displayed during the game?</v>
      </c>
      <c r="I102" s="5" t="str">
        <f>IFERROR(__xludf.DUMMYFUNCTION("GOOGLETRANSLATE(C102, ""it"", ""en"")"),"A. Indicate the score B. Symbols of the neighborhoods C. Historical memories D. Entertainment for the public")</f>
        <v>A. Indicate the score B. Symbols of the neighborhoods C. Historical memories D. Entertainment for the public</v>
      </c>
      <c r="J102" s="5" t="str">
        <f>IFERROR(__xludf.DUMMYFUNCTION("GOOGLETRANSLATE(D102, ""it"", ""en"")"),"Neighborhood symbols")</f>
        <v>Neighborhood symbols</v>
      </c>
      <c r="K102" s="5" t="str">
        <f>IFERROR(__xludf.DUMMYFUNCTION("GOOGLETRANSLATE(E102, ""it"", ""en"")"),"The flags represent the competing neighborhoods.")</f>
        <v>The flags represent the competing neighborhoods.</v>
      </c>
      <c r="L102" s="3"/>
      <c r="M102" s="3"/>
      <c r="N102" s="3"/>
      <c r="O102" s="3"/>
      <c r="P102" s="3"/>
      <c r="Q102" s="3"/>
      <c r="R102" s="3"/>
      <c r="S102" s="3"/>
      <c r="T102" s="3"/>
    </row>
    <row r="103" ht="22.5" customHeight="1">
      <c r="A103" s="4">
        <v>104.0</v>
      </c>
      <c r="B103" s="5" t="s">
        <v>395</v>
      </c>
      <c r="C103" s="4" t="s">
        <v>396</v>
      </c>
      <c r="D103" s="5" t="s">
        <v>397</v>
      </c>
      <c r="E103" s="5" t="s">
        <v>398</v>
      </c>
      <c r="F103" s="3"/>
      <c r="G103" s="5" t="str">
        <f>IFERROR(__xludf.DUMMYFUNCTION("GOOGLETRANSLATE(A103, ""it"", ""en"")"),"104")</f>
        <v>104</v>
      </c>
      <c r="H103" s="5" t="str">
        <f>IFERROR(__xludf.DUMMYFUNCTION("GOOGLETRANSLATE(B103, ""it"", ""en"")"),"What kind of shoes are used in the game?")</f>
        <v>What kind of shoes are used in the game?</v>
      </c>
      <c r="I103" s="5" t="str">
        <f>IFERROR(__xludf.DUMMYFUNCTION("GOOGLETRANSLATE(C103, ""it"", ""en"")"),"A. Soccer shoes B. Sandals C. Custom historical shoes D. Running shoes")</f>
        <v>A. Soccer shoes B. Sandals C. Custom historical shoes D. Running shoes</v>
      </c>
      <c r="J103" s="5" t="str">
        <f>IFERROR(__xludf.DUMMYFUNCTION("GOOGLETRANSLATE(D103, ""it"", ""en"")"),"Custom historical shoes")</f>
        <v>Custom historical shoes</v>
      </c>
      <c r="K103" s="5" t="str">
        <f>IFERROR(__xludf.DUMMYFUNCTION("GOOGLETRANSLATE(E103, ""it"", ""en"")"),"The footwear is in line with historical tradition.")</f>
        <v>The footwear is in line with historical tradition.</v>
      </c>
      <c r="L103" s="3"/>
      <c r="M103" s="3"/>
      <c r="N103" s="3"/>
      <c r="O103" s="3"/>
      <c r="P103" s="3"/>
      <c r="Q103" s="3"/>
      <c r="R103" s="3"/>
      <c r="S103" s="3"/>
      <c r="T103" s="3"/>
    </row>
    <row r="104" ht="22.5" customHeight="1">
      <c r="A104" s="4">
        <v>105.0</v>
      </c>
      <c r="B104" s="5" t="s">
        <v>119</v>
      </c>
      <c r="C104" s="4" t="s">
        <v>399</v>
      </c>
      <c r="D104" s="5" t="s">
        <v>400</v>
      </c>
      <c r="E104" s="5" t="s">
        <v>401</v>
      </c>
      <c r="F104" s="3"/>
      <c r="G104" s="5" t="str">
        <f>IFERROR(__xludf.DUMMYFUNCTION("GOOGLETRANSLATE(A104, ""it"", ""en"")"),"105")</f>
        <v>105</v>
      </c>
      <c r="H104" s="5" t="str">
        <f>IFERROR(__xludf.DUMMYFUNCTION("GOOGLETRANSLATE(B104, ""it"", ""en"")"),"What happens if a player gets injured?")</f>
        <v>What happens if a player gets injured?</v>
      </c>
      <c r="I104" s="5" t="str">
        <f>IFERROR(__xludf.DUMMYFUNCTION("GOOGLETRANSLATE(C104, ""it"", ""en"")"),"A. The team plays with fewer members B. The game stops C. The player is replaced D. The Captain decides the change")</f>
        <v>A. The team plays with fewer members B. The game stops C. The player is replaced D. The Captain decides the change</v>
      </c>
      <c r="J104" s="5" t="str">
        <f>IFERROR(__xludf.DUMMYFUNCTION("GOOGLETRANSLATE(D104, ""it"", ""en"")"),"The player is replaced")</f>
        <v>The player is replaced</v>
      </c>
      <c r="K104" s="5" t="str">
        <f>IFERROR(__xludf.DUMMYFUNCTION("GOOGLETRANSLATE(E104, ""it"", ""en"")"),"The substitute can enter the field.")</f>
        <v>The substitute can enter the field.</v>
      </c>
      <c r="L104" s="3"/>
      <c r="M104" s="3"/>
      <c r="N104" s="3"/>
      <c r="O104" s="3"/>
      <c r="P104" s="3"/>
      <c r="Q104" s="3"/>
      <c r="R104" s="3"/>
      <c r="S104" s="3"/>
      <c r="T104" s="3"/>
    </row>
    <row r="105" ht="22.5" customHeight="1">
      <c r="A105" s="4">
        <v>106.0</v>
      </c>
      <c r="B105" s="5" t="s">
        <v>402</v>
      </c>
      <c r="C105" s="4" t="s">
        <v>403</v>
      </c>
      <c r="D105" s="5" t="s">
        <v>404</v>
      </c>
      <c r="E105" s="5" t="s">
        <v>405</v>
      </c>
      <c r="F105" s="3"/>
      <c r="G105" s="5" t="str">
        <f>IFERROR(__xludf.DUMMYFUNCTION("GOOGLETRANSLATE(A105, ""it"", ""en"")"),"106")</f>
        <v>106</v>
      </c>
      <c r="H105" s="5" t="str">
        <f>IFERROR(__xludf.DUMMYFUNCTION("GOOGLETRANSLATE(B105, ""it"", ""en"")"),"What is the goalkeepers' responsibility?")</f>
        <v>What is the goalkeepers' responsibility?</v>
      </c>
      <c r="I105" s="5" t="str">
        <f>IFERROR(__xludf.DUMMYFUNCTION("GOOGLETRANSLATE(C105, ""it"", ""en"")"),"A. Defending the net B. Scoring shots C. Stopping scrums D. Blocking opposing attackers")</f>
        <v>A. Defending the net B. Scoring shots C. Stopping scrums D. Blocking opposing attackers</v>
      </c>
      <c r="J105" s="5" t="str">
        <f>IFERROR(__xludf.DUMMYFUNCTION("GOOGLETRANSLATE(D105, ""it"", ""en"")"),"Defending the network")</f>
        <v>Defending the network</v>
      </c>
      <c r="K105" s="5" t="str">
        <f>IFERROR(__xludf.DUMMYFUNCTION("GOOGLETRANSLATE(E105, ""it"", ""en"")"),"Goalkeepers protect their hunting area.")</f>
        <v>Goalkeepers protect their hunting area.</v>
      </c>
      <c r="L105" s="3"/>
      <c r="M105" s="3"/>
      <c r="N105" s="3"/>
      <c r="O105" s="3"/>
      <c r="P105" s="3"/>
      <c r="Q105" s="3"/>
      <c r="R105" s="3"/>
      <c r="S105" s="3"/>
      <c r="T105" s="3"/>
    </row>
    <row r="106" ht="22.5" customHeight="1">
      <c r="A106" s="4">
        <v>107.0</v>
      </c>
      <c r="B106" s="5" t="s">
        <v>406</v>
      </c>
      <c r="C106" s="4" t="s">
        <v>407</v>
      </c>
      <c r="D106" s="5" t="s">
        <v>408</v>
      </c>
      <c r="E106" s="5" t="s">
        <v>409</v>
      </c>
      <c r="F106" s="3"/>
      <c r="G106" s="5" t="str">
        <f>IFERROR(__xludf.DUMMYFUNCTION("GOOGLETRANSLATE(A106, ""it"", ""en"")"),"107")</f>
        <v>107</v>
      </c>
      <c r="H106" s="5" t="str">
        <f>IFERROR(__xludf.DUMMYFUNCTION("GOOGLETRANSLATE(B106, ""it"", ""en"")"),"What does the opponent's net represent?")</f>
        <v>What does the opponent's net represent?</v>
      </c>
      <c r="I106" s="5" t="str">
        <f>IFERROR(__xludf.DUMMYFUNCTION("GOOGLETRANSLATE(C106, ""it"", ""en"")"),"A. Glory for the neighborhood B. The sporting result C. The symbolic conquest D. The individual score")</f>
        <v>A. Glory for the neighborhood B. The sporting result C. The symbolic conquest D. The individual score</v>
      </c>
      <c r="J106" s="5" t="str">
        <f>IFERROR(__xludf.DUMMYFUNCTION("GOOGLETRANSLATE(D106, ""it"", ""en"")"),"The symbolic conquest")</f>
        <v>The symbolic conquest</v>
      </c>
      <c r="K106" s="5" t="str">
        <f>IFERROR(__xludf.DUMMYFUNCTION("GOOGLETRANSLATE(E106, ""it"", ""en"")"),"The goal represents a victory for the team.")</f>
        <v>The goal represents a victory for the team.</v>
      </c>
      <c r="L106" s="3"/>
      <c r="M106" s="3"/>
      <c r="N106" s="3"/>
      <c r="O106" s="3"/>
      <c r="P106" s="3"/>
      <c r="Q106" s="3"/>
      <c r="R106" s="3"/>
      <c r="S106" s="3"/>
      <c r="T106" s="3"/>
    </row>
    <row r="107" ht="22.5" customHeight="1">
      <c r="A107" s="4">
        <v>108.0</v>
      </c>
      <c r="B107" s="5" t="s">
        <v>410</v>
      </c>
      <c r="C107" s="4" t="s">
        <v>411</v>
      </c>
      <c r="D107" s="5" t="s">
        <v>412</v>
      </c>
      <c r="E107" s="5" t="s">
        <v>413</v>
      </c>
      <c r="F107" s="3"/>
      <c r="G107" s="5" t="str">
        <f>IFERROR(__xludf.DUMMYFUNCTION("GOOGLETRANSLATE(A107, ""it"", ""en"")"),"108")</f>
        <v>108</v>
      </c>
      <c r="H107" s="5" t="str">
        <f>IFERROR(__xludf.DUMMYFUNCTION("GOOGLETRANSLATE(B107, ""it"", ""en"")"),"How are spectators treated during the game?")</f>
        <v>How are spectators treated during the game?</v>
      </c>
      <c r="I107" s="5" t="str">
        <f>IFERROR(__xludf.DUMMYFUNCTION("GOOGLETRANSLATE(C107, ""it"", ""en"")"),"A. As simple observers B. As active participants C. As judges D. As guests of honor")</f>
        <v>A. As simple observers B. As active participants C. As judges D. As guests of honor</v>
      </c>
      <c r="J107" s="5" t="str">
        <f>IFERROR(__xludf.DUMMYFUNCTION("GOOGLETRANSLATE(D107, ""it"", ""en"")"),"As active participants")</f>
        <v>As active participants</v>
      </c>
      <c r="K107" s="5" t="str">
        <f>IFERROR(__xludf.DUMMYFUNCTION("GOOGLETRANSLATE(E107, ""it"", ""en"")"),"Spectators are engaged and encouraged to participate in the atmosphere.")</f>
        <v>Spectators are engaged and encouraged to participate in the atmosphere.</v>
      </c>
      <c r="L107" s="3"/>
      <c r="M107" s="3"/>
      <c r="N107" s="3"/>
      <c r="O107" s="3"/>
      <c r="P107" s="3"/>
      <c r="Q107" s="3"/>
      <c r="R107" s="3"/>
      <c r="S107" s="3"/>
      <c r="T107" s="3"/>
    </row>
    <row r="108" ht="22.5" customHeight="1">
      <c r="A108" s="4">
        <v>109.0</v>
      </c>
      <c r="B108" s="5" t="s">
        <v>414</v>
      </c>
      <c r="C108" s="4" t="s">
        <v>415</v>
      </c>
      <c r="D108" s="5" t="s">
        <v>416</v>
      </c>
      <c r="E108" s="5" t="s">
        <v>417</v>
      </c>
      <c r="F108" s="3"/>
      <c r="G108" s="5" t="str">
        <f>IFERROR(__xludf.DUMMYFUNCTION("GOOGLETRANSLATE(A108, ""it"", ""en"")"),"109")</f>
        <v>109</v>
      </c>
      <c r="H108" s="5" t="str">
        <f>IFERROR(__xludf.DUMMYFUNCTION("GOOGLETRANSLATE(B108, ""it"", ""en"")"),"What is celebrated during Calcio Storico?")</f>
        <v>What is celebrated during Calcio Storico?</v>
      </c>
      <c r="I108" s="5" t="str">
        <f>IFERROR(__xludf.DUMMYFUNCTION("GOOGLETRANSLATE(C108, ""it"", ""en"")"),"A. Contemporary culture B. Medieval wars C. Florentine traditions D. Personal victory")</f>
        <v>A. Contemporary culture B. Medieval wars C. Florentine traditions D. Personal victory</v>
      </c>
      <c r="J108" s="5" t="str">
        <f>IFERROR(__xludf.DUMMYFUNCTION("GOOGLETRANSLATE(D108, ""it"", ""en"")"),"Florentine traditions")</f>
        <v>Florentine traditions</v>
      </c>
      <c r="K108" s="5" t="str">
        <f>IFERROR(__xludf.DUMMYFUNCTION("GOOGLETRANSLATE(E108, ""it"", ""en"")"),"The game celebrates the city's ancient traditions.")</f>
        <v>The game celebrates the city's ancient traditions.</v>
      </c>
      <c r="L108" s="3"/>
      <c r="M108" s="3"/>
      <c r="N108" s="3"/>
      <c r="O108" s="3"/>
      <c r="P108" s="3"/>
      <c r="Q108" s="3"/>
      <c r="R108" s="3"/>
      <c r="S108" s="3"/>
      <c r="T108" s="3"/>
    </row>
    <row r="109" ht="22.5" customHeight="1">
      <c r="A109" s="4">
        <v>110.0</v>
      </c>
      <c r="B109" s="5" t="s">
        <v>418</v>
      </c>
      <c r="C109" s="4" t="s">
        <v>419</v>
      </c>
      <c r="D109" s="5" t="s">
        <v>420</v>
      </c>
      <c r="E109" s="5" t="s">
        <v>421</v>
      </c>
      <c r="F109" s="3"/>
      <c r="G109" s="5" t="str">
        <f>IFERROR(__xludf.DUMMYFUNCTION("GOOGLETRANSLATE(A109, ""it"", ""en"")"),"110")</f>
        <v>110</v>
      </c>
      <c r="H109" s="5" t="str">
        <f>IFERROR(__xludf.DUMMYFUNCTION("GOOGLETRANSLATE(B109, ""it"", ""en"")"),"What is the minimum age to participate in the tournament?")</f>
        <v>What is the minimum age to participate in the tournament?</v>
      </c>
      <c r="I109" s="5" t="str">
        <f>IFERROR(__xludf.DUMMYFUNCTION("GOOGLETRANSLATE(C109, ""it"", ""en"")"),"A. 18 years B. 16 years C. 20 years D. 21 years")</f>
        <v>A. 18 years B. 16 years C. 20 years D. 21 years</v>
      </c>
      <c r="J109" s="5" t="str">
        <f>IFERROR(__xludf.DUMMYFUNCTION("GOOGLETRANSLATE(D109, ""it"", ""en"")"),"18 years old")</f>
        <v>18 years old</v>
      </c>
      <c r="K109" s="5" t="str">
        <f>IFERROR(__xludf.DUMMYFUNCTION("GOOGLETRANSLATE(E109, ""it"", ""en"")"),"You must be at least 18 years old to participate.")</f>
        <v>You must be at least 18 years old to participate.</v>
      </c>
      <c r="L109" s="3"/>
      <c r="M109" s="3"/>
      <c r="N109" s="3"/>
      <c r="O109" s="3"/>
      <c r="P109" s="3"/>
      <c r="Q109" s="3"/>
      <c r="R109" s="3"/>
      <c r="S109" s="3"/>
      <c r="T109" s="3"/>
    </row>
    <row r="110" ht="22.5" customHeight="1">
      <c r="A110" s="4">
        <v>111.0</v>
      </c>
      <c r="B110" s="5" t="s">
        <v>422</v>
      </c>
      <c r="C110" s="4" t="s">
        <v>423</v>
      </c>
      <c r="D110" s="5" t="s">
        <v>424</v>
      </c>
      <c r="E110" s="5" t="s">
        <v>425</v>
      </c>
      <c r="F110" s="3"/>
      <c r="G110" s="5" t="str">
        <f>IFERROR(__xludf.DUMMYFUNCTION("GOOGLETRANSLATE(A110, ""it"", ""en"")"),"111")</f>
        <v>111</v>
      </c>
      <c r="H110" s="5" t="str">
        <f>IFERROR(__xludf.DUMMYFUNCTION("GOOGLETRANSLATE(B110, ""it"", ""en"")"),"What is the ""big ball""?")</f>
        <v>What is the "big ball"?</v>
      </c>
      <c r="I110" s="5" t="str">
        <f>IFERROR(__xludf.DUMMYFUNCTION("GOOGLETRANSLATE(C110, ""it"", ""en"")"),"A. A specific ball for the game B. A defensive strategy C. A penalty D. A term for the Captain")</f>
        <v>A. A specific ball for the game B. A defensive strategy C. A penalty D. A term for the Captain</v>
      </c>
      <c r="J110" s="5" t="str">
        <f>IFERROR(__xludf.DUMMYFUNCTION("GOOGLETRANSLATE(D110, ""it"", ""en"")"),"A specific ball for the game")</f>
        <v>A specific ball for the game</v>
      </c>
      <c r="K110" s="5" t="str">
        <f>IFERROR(__xludf.DUMMYFUNCTION("GOOGLETRANSLATE(E110, ""it"", ""en"")"),"The ""big ball"" is the ball used in the game.")</f>
        <v>The "big ball" is the ball used in the game.</v>
      </c>
      <c r="L110" s="3"/>
      <c r="M110" s="3"/>
      <c r="N110" s="3"/>
      <c r="O110" s="3"/>
      <c r="P110" s="3"/>
      <c r="Q110" s="3"/>
      <c r="R110" s="3"/>
      <c r="S110" s="3"/>
      <c r="T110" s="3"/>
    </row>
    <row r="111" ht="22.5" customHeight="1">
      <c r="A111" s="4">
        <v>112.0</v>
      </c>
      <c r="B111" s="5" t="s">
        <v>426</v>
      </c>
      <c r="C111" s="4" t="s">
        <v>427</v>
      </c>
      <c r="D111" s="5" t="s">
        <v>428</v>
      </c>
      <c r="E111" s="5" t="s">
        <v>429</v>
      </c>
      <c r="F111" s="3"/>
      <c r="G111" s="5" t="str">
        <f>IFERROR(__xludf.DUMMYFUNCTION("GOOGLETRANSLATE(A111, ""it"", ""en"")"),"112")</f>
        <v>112</v>
      </c>
      <c r="H111" s="5" t="str">
        <f>IFERROR(__xludf.DUMMYFUNCTION("GOOGLETRANSLATE(B111, ""it"", ""en"")"),"How is the field divided?")</f>
        <v>How is the field divided?</v>
      </c>
      <c r="I111" s="5" t="str">
        <f>IFERROR(__xludf.DUMMYFUNCTION("GOOGLETRANSLATE(C111, ""it"", ""en"")"),"A. In four quadrants B. In two halves C. In three zones D. In six areas")</f>
        <v>A. In four quadrants B. In two halves C. In three zones D. In six areas</v>
      </c>
      <c r="J111" s="5" t="str">
        <f>IFERROR(__xludf.DUMMYFUNCTION("GOOGLETRANSLATE(D111, ""it"", ""en"")"),"In two halves")</f>
        <v>In two halves</v>
      </c>
      <c r="K111" s="5" t="str">
        <f>IFERROR(__xludf.DUMMYFUNCTION("GOOGLETRANSLATE(E111, ""it"", ""en"")"),"The field is divided into two main halves.")</f>
        <v>The field is divided into two main halves.</v>
      </c>
      <c r="L111" s="3"/>
      <c r="M111" s="3"/>
      <c r="N111" s="3"/>
      <c r="O111" s="3"/>
      <c r="P111" s="3"/>
      <c r="Q111" s="3"/>
      <c r="R111" s="3"/>
      <c r="S111" s="3"/>
      <c r="T111" s="3"/>
    </row>
    <row r="112" ht="22.5" customHeight="1">
      <c r="A112" s="4">
        <v>113.0</v>
      </c>
      <c r="B112" s="5" t="s">
        <v>430</v>
      </c>
      <c r="C112" s="4" t="s">
        <v>431</v>
      </c>
      <c r="D112" s="5" t="s">
        <v>432</v>
      </c>
      <c r="E112" s="5" t="s">
        <v>433</v>
      </c>
      <c r="F112" s="3"/>
      <c r="G112" s="5" t="str">
        <f>IFERROR(__xludf.DUMMYFUNCTION("GOOGLETRANSLATE(A112, ""it"", ""en"")"),"113")</f>
        <v>113</v>
      </c>
      <c r="H112" s="5" t="str">
        <f>IFERROR(__xludf.DUMMYFUNCTION("GOOGLETRANSLATE(B112, ""it"", ""en"")"),"What is the purpose of the tournament?")</f>
        <v>What is the purpose of the tournament?</v>
      </c>
      <c r="I112" s="5" t="str">
        <f>IFERROR(__xludf.DUMMYFUNCTION("GOOGLETRANSLATE(C112, ""it"", ""en"")"),"A. Entertain the public B. Resolve historical rivalries C. Promote tourism D. Teach traditions")</f>
        <v>A. Entertain the public B. Resolve historical rivalries C. Promote tourism D. Teach traditions</v>
      </c>
      <c r="J112" s="5" t="str">
        <f>IFERROR(__xludf.DUMMYFUNCTION("GOOGLETRANSLATE(D112, ""it"", ""en"")"),"Resolving historical rivalries")</f>
        <v>Resolving historical rivalries</v>
      </c>
      <c r="K112" s="5" t="str">
        <f>IFERROR(__xludf.DUMMYFUNCTION("GOOGLETRANSLATE(E112, ""it"", ""en"")"),"The tournament allows you to challenge rival neighborhoods in a sporting context.")</f>
        <v>The tournament allows you to challenge rival neighborhoods in a sporting context.</v>
      </c>
      <c r="L112" s="3"/>
      <c r="M112" s="3"/>
      <c r="N112" s="3"/>
      <c r="O112" s="3"/>
      <c r="P112" s="3"/>
      <c r="Q112" s="3"/>
      <c r="R112" s="3"/>
      <c r="S112" s="3"/>
      <c r="T112" s="3"/>
    </row>
    <row r="113" ht="22.5" customHeight="1">
      <c r="A113" s="4">
        <v>114.0</v>
      </c>
      <c r="B113" s="5" t="s">
        <v>434</v>
      </c>
      <c r="C113" s="4" t="s">
        <v>435</v>
      </c>
      <c r="D113" s="5" t="s">
        <v>436</v>
      </c>
      <c r="E113" s="5" t="s">
        <v>437</v>
      </c>
      <c r="F113" s="3"/>
      <c r="G113" s="5" t="str">
        <f>IFERROR(__xludf.DUMMYFUNCTION("GOOGLETRANSLATE(A113, ""it"", ""en"")"),"114")</f>
        <v>114</v>
      </c>
      <c r="H113" s="5" t="str">
        <f>IFERROR(__xludf.DUMMYFUNCTION("GOOGLETRANSLATE(B113, ""it"", ""en"")"),"How many referees are present during a match?")</f>
        <v>How many referees are present during a match?</v>
      </c>
      <c r="I113" s="5" t="str">
        <f>IFERROR(__xludf.DUMMYFUNCTION("GOOGLETRANSLATE(C113, ""it"", ""en"")"),"A. One B. Three C. Six D. Two")</f>
        <v>A. One B. Three C. Six D. Two</v>
      </c>
      <c r="J113" s="5" t="str">
        <f>IFERROR(__xludf.DUMMYFUNCTION("GOOGLETRANSLATE(D113, ""it"", ""en"")"),"Three")</f>
        <v>Three</v>
      </c>
      <c r="K113" s="5" t="str">
        <f>IFERROR(__xludf.DUMMYFUNCTION("GOOGLETRANSLATE(E113, ""it"", ""en"")"),"There are three referees who supervise the game.")</f>
        <v>There are three referees who supervise the game.</v>
      </c>
      <c r="L113" s="3"/>
      <c r="M113" s="3"/>
      <c r="N113" s="3"/>
      <c r="O113" s="3"/>
      <c r="P113" s="3"/>
      <c r="Q113" s="3"/>
      <c r="R113" s="3"/>
      <c r="S113" s="3"/>
      <c r="T113" s="3"/>
    </row>
    <row r="114" ht="22.5" customHeight="1">
      <c r="A114" s="4">
        <v>115.0</v>
      </c>
      <c r="B114" s="5" t="s">
        <v>438</v>
      </c>
      <c r="C114" s="4" t="s">
        <v>439</v>
      </c>
      <c r="D114" s="5" t="s">
        <v>440</v>
      </c>
      <c r="E114" s="5" t="s">
        <v>441</v>
      </c>
      <c r="F114" s="3"/>
      <c r="G114" s="5" t="str">
        <f>IFERROR(__xludf.DUMMYFUNCTION("GOOGLETRANSLATE(A114, ""it"", ""en"")"),"115")</f>
        <v>115</v>
      </c>
      <c r="H114" s="5" t="str">
        <f>IFERROR(__xludf.DUMMYFUNCTION("GOOGLETRANSLATE(B114, ""it"", ""en"")"),"What is required of spectators?")</f>
        <v>What is required of spectators?</v>
      </c>
      <c r="I114" s="5" t="str">
        <f>IFERROR(__xludf.DUMMYFUNCTION("GOOGLETRANSLATE(C114, ""it"", ""en"")"),"A. Cheering for a team B. Remaining silent C. Following the rules D. Making monetary donations")</f>
        <v>A. Cheering for a team B. Remaining silent C. Following the rules D. Making monetary donations</v>
      </c>
      <c r="J114" s="5" t="str">
        <f>IFERROR(__xludf.DUMMYFUNCTION("GOOGLETRANSLATE(D114, ""it"", ""en"")"),"Cheering for a team")</f>
        <v>Cheering for a team</v>
      </c>
      <c r="K114" s="5" t="str">
        <f>IFERROR(__xludf.DUMMYFUNCTION("GOOGLETRANSLATE(E114, ""it"", ""en"")"),"Spectators are encouraged to actively support their team.")</f>
        <v>Spectators are encouraged to actively support their team.</v>
      </c>
      <c r="L114" s="3"/>
      <c r="M114" s="3"/>
      <c r="N114" s="3"/>
      <c r="O114" s="3"/>
      <c r="P114" s="3"/>
      <c r="Q114" s="3"/>
      <c r="R114" s="3"/>
      <c r="S114" s="3"/>
      <c r="T114" s="3"/>
    </row>
    <row r="115" ht="22.5" customHeight="1">
      <c r="A115" s="4">
        <v>116.0</v>
      </c>
      <c r="B115" s="5" t="s">
        <v>442</v>
      </c>
      <c r="C115" s="4" t="s">
        <v>443</v>
      </c>
      <c r="D115" s="5" t="s">
        <v>444</v>
      </c>
      <c r="E115" s="5" t="s">
        <v>445</v>
      </c>
      <c r="F115" s="3"/>
      <c r="G115" s="5" t="str">
        <f>IFERROR(__xludf.DUMMYFUNCTION("GOOGLETRANSLATE(A115, ""it"", ""en"")"),"116")</f>
        <v>116</v>
      </c>
      <c r="H115" s="5" t="str">
        <f>IFERROR(__xludf.DUMMYFUNCTION("GOOGLETRANSLATE(B115, ""it"", ""en"")"),"What is the symbolic prize for victory?")</f>
        <v>What is the symbolic prize for victory?</v>
      </c>
      <c r="I115" s="5" t="str">
        <f>IFERROR(__xludf.DUMMYFUNCTION("GOOGLETRANSLATE(C115, ""it"", ""en"")"),"A. A gold trophy B. A set of footballs C. A white cow D. A bouquet of flowers")</f>
        <v>A. A gold trophy B. A set of footballs C. A white cow D. A bouquet of flowers</v>
      </c>
      <c r="J115" s="5" t="str">
        <f>IFERROR(__xludf.DUMMYFUNCTION("GOOGLETRANSLATE(D115, ""it"", ""en"")"),"A white cow")</f>
        <v>A white cow</v>
      </c>
      <c r="K115" s="5" t="str">
        <f>IFERROR(__xludf.DUMMYFUNCTION("GOOGLETRANSLATE(E115, ""it"", ""en"")"),"The traditional prize is a white cow.")</f>
        <v>The traditional prize is a white cow.</v>
      </c>
      <c r="L115" s="3"/>
      <c r="M115" s="3"/>
      <c r="N115" s="3"/>
      <c r="O115" s="3"/>
      <c r="P115" s="3"/>
      <c r="Q115" s="3"/>
      <c r="R115" s="3"/>
      <c r="S115" s="3"/>
      <c r="T115" s="3"/>
    </row>
    <row r="116" ht="22.5" customHeight="1">
      <c r="A116" s="4">
        <v>117.0</v>
      </c>
      <c r="B116" s="5" t="s">
        <v>446</v>
      </c>
      <c r="C116" s="4" t="s">
        <v>447</v>
      </c>
      <c r="D116" s="5" t="s">
        <v>448</v>
      </c>
      <c r="E116" s="5" t="s">
        <v>449</v>
      </c>
      <c r="F116" s="3"/>
      <c r="G116" s="5" t="str">
        <f>IFERROR(__xludf.DUMMYFUNCTION("GOOGLETRANSLATE(A116, ""it"", ""en"")"),"117")</f>
        <v>117</v>
      </c>
      <c r="H116" s="5" t="str">
        <f>IFERROR(__xludf.DUMMYFUNCTION("GOOGLETRANSLATE(B116, ""it"", ""en"")"),"What is prohibited during scrums?")</f>
        <v>What is prohibited during scrums?</v>
      </c>
      <c r="I116" s="5" t="str">
        <f>IFERROR(__xludf.DUMMYFUNCTION("GOOGLETRANSLATE(C116, ""it"", ""en"")"),"A. Hitting with the elbow B. Using the hands to push C. Holding opponents D. Intentionally blocking the game")</f>
        <v>A. Hitting with the elbow B. Using the hands to push C. Holding opponents D. Intentionally blocking the game</v>
      </c>
      <c r="J116" s="5" t="str">
        <f>IFERROR(__xludf.DUMMYFUNCTION("GOOGLETRANSLATE(D116, ""it"", ""en"")"),"Hit with the elbow")</f>
        <v>Hit with the elbow</v>
      </c>
      <c r="K116" s="5" t="str">
        <f>IFERROR(__xludf.DUMMYFUNCTION("GOOGLETRANSLATE(E116, ""it"", ""en"")"),"Hitting with the elbow is considered incorrect.")</f>
        <v>Hitting with the elbow is considered incorrect.</v>
      </c>
      <c r="L116" s="3"/>
      <c r="M116" s="3"/>
      <c r="N116" s="3"/>
      <c r="O116" s="3"/>
      <c r="P116" s="3"/>
      <c r="Q116" s="3"/>
      <c r="R116" s="3"/>
      <c r="S116" s="3"/>
      <c r="T116" s="3"/>
    </row>
    <row r="117" ht="22.5" customHeight="1">
      <c r="A117" s="4">
        <v>118.0</v>
      </c>
      <c r="B117" s="5" t="s">
        <v>450</v>
      </c>
      <c r="C117" s="4" t="s">
        <v>451</v>
      </c>
      <c r="D117" s="5" t="s">
        <v>452</v>
      </c>
      <c r="E117" s="5" t="s">
        <v>453</v>
      </c>
      <c r="F117" s="3"/>
      <c r="G117" s="5" t="str">
        <f>IFERROR(__xludf.DUMMYFUNCTION("GOOGLETRANSLATE(A117, ""it"", ""en"")"),"118")</f>
        <v>118</v>
      </c>
      <c r="H117" s="5" t="str">
        <f>IFERROR(__xludf.DUMMYFUNCTION("GOOGLETRANSLATE(B117, ""it"", ""en"")"),"What sets veteran players apart?")</f>
        <v>What sets veteran players apart?</v>
      </c>
      <c r="I117" s="5" t="str">
        <f>IFERROR(__xludf.DUMMYFUNCTION("GOOGLETRANSLATE(C117, ""it"", ""en"")"),"A. Experience and tactics B. Superior physical ability C. Knowledge of the rules D. Natural leadership")</f>
        <v>A. Experience and tactics B. Superior physical ability C. Knowledge of the rules D. Natural leadership</v>
      </c>
      <c r="J117" s="5" t="str">
        <f>IFERROR(__xludf.DUMMYFUNCTION("GOOGLETRANSLATE(D117, ""it"", ""en"")"),"Experience and tactics")</f>
        <v>Experience and tactics</v>
      </c>
      <c r="K117" s="5" t="str">
        <f>IFERROR(__xludf.DUMMYFUNCTION("GOOGLETRANSLATE(E117, ""it"", ""en"")"),"Veterans stand out for their experience and strategic ability.")</f>
        <v>Veterans stand out for their experience and strategic ability.</v>
      </c>
      <c r="L117" s="3"/>
      <c r="M117" s="3"/>
      <c r="N117" s="3"/>
      <c r="O117" s="3"/>
      <c r="P117" s="3"/>
      <c r="Q117" s="3"/>
      <c r="R117" s="3"/>
      <c r="S117" s="3"/>
      <c r="T117" s="3"/>
    </row>
    <row r="118" ht="22.5" customHeight="1">
      <c r="A118" s="4">
        <v>119.0</v>
      </c>
      <c r="B118" s="5" t="s">
        <v>454</v>
      </c>
      <c r="C118" s="4" t="s">
        <v>455</v>
      </c>
      <c r="D118" s="5" t="s">
        <v>456</v>
      </c>
      <c r="E118" s="5" t="s">
        <v>457</v>
      </c>
      <c r="F118" s="3"/>
      <c r="G118" s="5" t="str">
        <f>IFERROR(__xludf.DUMMYFUNCTION("GOOGLETRANSLATE(A118, ""it"", ""en"")"),"119")</f>
        <v>119</v>
      </c>
      <c r="H118" s="5" t="str">
        <f>IFERROR(__xludf.DUMMYFUNCTION("GOOGLETRANSLATE(B118, ""it"", ""en"")"),"What is the importance of Calcio Storico today?")</f>
        <v>What is the importance of Calcio Storico today?</v>
      </c>
      <c r="I118" s="5" t="str">
        <f>IFERROR(__xludf.DUMMYFUNCTION("GOOGLETRANSLATE(C118, ""it"", ""en"")"),"A. A symbol of modernity B. A celebration of tradition C. A commercial event D. A global tournament")</f>
        <v>A. A symbol of modernity B. A celebration of tradition C. A commercial event D. A global tournament</v>
      </c>
      <c r="J118" s="5" t="str">
        <f>IFERROR(__xludf.DUMMYFUNCTION("GOOGLETRANSLATE(D118, ""it"", ""en"")"),"A celebration of tradition")</f>
        <v>A celebration of tradition</v>
      </c>
      <c r="K118" s="5" t="str">
        <f>IFERROR(__xludf.DUMMYFUNCTION("GOOGLETRANSLATE(E118, ""it"", ""en"")"),"Calcio Storico preserves the Florentine traditions.")</f>
        <v>Calcio Storico preserves the Florentine traditions.</v>
      </c>
      <c r="L118" s="3"/>
      <c r="M118" s="3"/>
      <c r="N118" s="3"/>
      <c r="O118" s="3"/>
      <c r="P118" s="3"/>
      <c r="Q118" s="3"/>
      <c r="R118" s="3"/>
      <c r="S118" s="3"/>
      <c r="T118" s="3"/>
    </row>
    <row r="119" ht="22.5" customHeight="1">
      <c r="A119" s="4">
        <v>120.0</v>
      </c>
      <c r="B119" s="5" t="s">
        <v>458</v>
      </c>
      <c r="C119" s="4" t="s">
        <v>459</v>
      </c>
      <c r="D119" s="5" t="s">
        <v>460</v>
      </c>
      <c r="E119" s="5" t="s">
        <v>461</v>
      </c>
      <c r="F119" s="3"/>
      <c r="G119" s="5" t="str">
        <f>IFERROR(__xludf.DUMMYFUNCTION("GOOGLETRANSLATE(A119, ""it"", ""en"")"),"120")</f>
        <v>120</v>
      </c>
      <c r="H119" s="5" t="str">
        <f>IFERROR(__xludf.DUMMYFUNCTION("GOOGLETRANSLATE(B119, ""it"", ""en"")"),"What is not expected during the match?")</f>
        <v>What is not expected during the match?</v>
      </c>
      <c r="I119" s="5" t="str">
        <f>IFERROR(__xludf.DUMMYFUNCTION("GOOGLETRANSLATE(C119, ""it"", ""en"")"),"A. Pauses for reflection B. Intervals for the public C. Time-outs for the teams D. Unnecessary arbitrary stops")</f>
        <v>A. Pauses for reflection B. Intervals for the public C. Time-outs for the teams D. Unnecessary arbitrary stops</v>
      </c>
      <c r="J119" s="5" t="str">
        <f>IFERROR(__xludf.DUMMYFUNCTION("GOOGLETRANSLATE(D119, ""it"", ""en"")"),"Time-out for teams")</f>
        <v>Time-out for teams</v>
      </c>
      <c r="K119" s="5" t="str">
        <f>IFERROR(__xludf.DUMMYFUNCTION("GOOGLETRANSLATE(E119, ""it"", ""en"")"),"There are no team timeouts.")</f>
        <v>There are no team timeouts.</v>
      </c>
      <c r="L119" s="3"/>
      <c r="M119" s="3"/>
      <c r="N119" s="3"/>
      <c r="O119" s="3"/>
      <c r="P119" s="3"/>
      <c r="Q119" s="3"/>
      <c r="R119" s="3"/>
      <c r="S119" s="3"/>
      <c r="T119" s="3"/>
    </row>
    <row r="120" ht="22.5" customHeight="1">
      <c r="A120" s="4">
        <v>121.0</v>
      </c>
      <c r="B120" s="5" t="s">
        <v>462</v>
      </c>
      <c r="C120" s="4" t="s">
        <v>463</v>
      </c>
      <c r="D120" s="5" t="s">
        <v>464</v>
      </c>
      <c r="E120" s="5" t="s">
        <v>465</v>
      </c>
      <c r="F120" s="3"/>
      <c r="G120" s="5" t="str">
        <f>IFERROR(__xludf.DUMMYFUNCTION("GOOGLETRANSLATE(A120, ""it"", ""en"")"),"121")</f>
        <v>121</v>
      </c>
      <c r="H120" s="5" t="str">
        <f>IFERROR(__xludf.DUMMYFUNCTION("GOOGLETRANSLATE(B120, ""it"", ""en"")"),"How is the length of a Calcio Storico match determined?")</f>
        <v>How is the length of a Calcio Storico match determined?</v>
      </c>
      <c r="I120" s="5" t="str">
        <f>IFERROR(__xludf.DUMMYFUNCTION("GOOGLETRANSLATE(C120, ""it"", ""en"")"),"A. It is established based on the score B. It is decided by the referees C. It has a fixed duration of 50 minutes D. It ends when a team scores 10 hunts")</f>
        <v>A. It is established based on the score B. It is decided by the referees C. It has a fixed duration of 50 minutes D. It ends when a team scores 10 hunts</v>
      </c>
      <c r="J120" s="5" t="str">
        <f>IFERROR(__xludf.DUMMYFUNCTION("GOOGLETRANSLATE(D120, ""it"", ""en"")"),"It has a fixed duration of 50 minutes")</f>
        <v>It has a fixed duration of 50 minutes</v>
      </c>
      <c r="K120" s="5" t="str">
        <f>IFERROR(__xludf.DUMMYFUNCTION("GOOGLETRANSLATE(E120, ""it"", ""en"")"),"Matches last exactly 50 minutes without interruptions.")</f>
        <v>Matches last exactly 50 minutes without interruptions.</v>
      </c>
      <c r="L120" s="3"/>
      <c r="M120" s="3"/>
      <c r="N120" s="3"/>
      <c r="O120" s="3"/>
      <c r="P120" s="3"/>
      <c r="Q120" s="3"/>
      <c r="R120" s="3"/>
      <c r="S120" s="3"/>
      <c r="T120" s="3"/>
    </row>
    <row r="121" ht="22.5" customHeight="1">
      <c r="A121" s="4">
        <v>122.0</v>
      </c>
      <c r="B121" s="5" t="s">
        <v>466</v>
      </c>
      <c r="C121" s="4" t="s">
        <v>467</v>
      </c>
      <c r="D121" s="5" t="s">
        <v>468</v>
      </c>
      <c r="E121" s="5" t="s">
        <v>469</v>
      </c>
      <c r="F121" s="3"/>
      <c r="G121" s="5" t="str">
        <f>IFERROR(__xludf.DUMMYFUNCTION("GOOGLETRANSLATE(A121, ""it"", ""en"")"),"122")</f>
        <v>122</v>
      </c>
      <c r="H121" s="5" t="str">
        <f>IFERROR(__xludf.DUMMYFUNCTION("GOOGLETRANSLATE(B121, ""it"", ""en"")"),"What does the midfield line represent in Calcio Storico?")</f>
        <v>What does the midfield line represent in Calcio Storico?</v>
      </c>
      <c r="I121" s="5" t="str">
        <f>IFERROR(__xludf.DUMMYFUNCTION("GOOGLETRANSLATE(C121, ""it"", ""en"")"),"A. The starting point B. A neutral zone C. A penalty area D. The boundary between the teams")</f>
        <v>A. The starting point B. A neutral zone C. A penalty area D. The boundary between the teams</v>
      </c>
      <c r="J121" s="5" t="str">
        <f>IFERROR(__xludf.DUMMYFUNCTION("GOOGLETRANSLATE(D121, ""it"", ""en"")"),"The starting point")</f>
        <v>The starting point</v>
      </c>
      <c r="K121" s="5" t="str">
        <f>IFERROR(__xludf.DUMMYFUNCTION("GOOGLETRANSLATE(E121, ""it"", ""en"")"),"The midfield line is the point from which the game starts.")</f>
        <v>The midfield line is the point from which the game starts.</v>
      </c>
      <c r="L121" s="3"/>
      <c r="M121" s="3"/>
      <c r="N121" s="3"/>
      <c r="O121" s="3"/>
      <c r="P121" s="3"/>
      <c r="Q121" s="3"/>
      <c r="R121" s="3"/>
      <c r="S121" s="3"/>
      <c r="T121" s="3"/>
    </row>
    <row r="122" ht="22.5" customHeight="1">
      <c r="A122" s="4">
        <v>123.0</v>
      </c>
      <c r="B122" s="5" t="s">
        <v>274</v>
      </c>
      <c r="C122" s="4" t="s">
        <v>470</v>
      </c>
      <c r="D122" s="5" t="s">
        <v>471</v>
      </c>
      <c r="E122" s="5" t="s">
        <v>472</v>
      </c>
      <c r="F122" s="3"/>
      <c r="G122" s="5" t="str">
        <f>IFERROR(__xludf.DUMMYFUNCTION("GOOGLETRANSLATE(A122, ""it"", ""en"")"),"123")</f>
        <v>123</v>
      </c>
      <c r="H122" s="5" t="str">
        <f>IFERROR(__xludf.DUMMYFUNCTION("GOOGLETRANSLATE(B122, ""it"", ""en"")"),"What is the historical origin of Calcio Storico?")</f>
        <v>What is the historical origin of Calcio Storico?</v>
      </c>
      <c r="I122" s="5" t="str">
        <f>IFERROR(__xludf.DUMMYFUNCTION("GOOGLETRANSLATE(C122, ""it"", ""en"")"),"A. A religious festival B. A military exercise C. A children's game D. A commercial event")</f>
        <v>A. A religious festival B. A military exercise C. A children's game D. A commercial event</v>
      </c>
      <c r="J122" s="5" t="str">
        <f>IFERROR(__xludf.DUMMYFUNCTION("GOOGLETRANSLATE(D122, ""it"", ""en"")"),"A military exercise")</f>
        <v>A military exercise</v>
      </c>
      <c r="K122" s="5" t="str">
        <f>IFERROR(__xludf.DUMMYFUNCTION("GOOGLETRANSLATE(E122, ""it"", ""en"")"),"Calcio Storico was originally a training game for soldiers.")</f>
        <v>Calcio Storico was originally a training game for soldiers.</v>
      </c>
      <c r="L122" s="3"/>
      <c r="M122" s="3"/>
      <c r="N122" s="3"/>
      <c r="O122" s="3"/>
      <c r="P122" s="3"/>
      <c r="Q122" s="3"/>
      <c r="R122" s="3"/>
      <c r="S122" s="3"/>
      <c r="T122" s="3"/>
    </row>
    <row r="123" ht="22.5" customHeight="1">
      <c r="A123" s="4">
        <v>124.0</v>
      </c>
      <c r="B123" s="5" t="s">
        <v>473</v>
      </c>
      <c r="C123" s="4" t="s">
        <v>474</v>
      </c>
      <c r="D123" s="5" t="s">
        <v>475</v>
      </c>
      <c r="E123" s="5" t="s">
        <v>476</v>
      </c>
      <c r="F123" s="3"/>
      <c r="G123" s="5" t="str">
        <f>IFERROR(__xludf.DUMMYFUNCTION("GOOGLETRANSLATE(A123, ""it"", ""en"")"),"124")</f>
        <v>124</v>
      </c>
      <c r="H123" s="5" t="str">
        <f>IFERROR(__xludf.DUMMYFUNCTION("GOOGLETRANSLATE(B123, ""it"", ""en"")"),"What happens if a player leaves the field without reason?")</f>
        <v>What happens if a player leaves the field without reason?</v>
      </c>
      <c r="I123" s="5" t="str">
        <f>IFERROR(__xludf.DUMMYFUNCTION("GOOGLETRANSLATE(C123, ""it"", ""en"")"),"A. The team loses points B. The player is disqualified C. The Captain receives a penalty D. The team loses a member")</f>
        <v>A. The team loses points B. The player is disqualified C. The Captain receives a penalty D. The team loses a member</v>
      </c>
      <c r="J123" s="5" t="str">
        <f>IFERROR(__xludf.DUMMYFUNCTION("GOOGLETRANSLATE(D123, ""it"", ""en"")"),"The player is disqualified")</f>
        <v>The player is disqualified</v>
      </c>
      <c r="K123" s="5" t="str">
        <f>IFERROR(__xludf.DUMMYFUNCTION("GOOGLETRANSLATE(E123, ""it"", ""en"")"),"Unjustified abandonment will result in immediate disqualification.")</f>
        <v>Unjustified abandonment will result in immediate disqualification.</v>
      </c>
      <c r="L123" s="3"/>
      <c r="M123" s="3"/>
      <c r="N123" s="3"/>
      <c r="O123" s="3"/>
      <c r="P123" s="3"/>
      <c r="Q123" s="3"/>
      <c r="R123" s="3"/>
      <c r="S123" s="3"/>
      <c r="T123" s="3"/>
    </row>
    <row r="124" ht="22.5" customHeight="1">
      <c r="A124" s="4">
        <v>125.0</v>
      </c>
      <c r="B124" s="5" t="s">
        <v>477</v>
      </c>
      <c r="C124" s="4" t="s">
        <v>478</v>
      </c>
      <c r="D124" s="5" t="s">
        <v>479</v>
      </c>
      <c r="E124" s="5" t="s">
        <v>480</v>
      </c>
      <c r="F124" s="3"/>
      <c r="G124" s="5" t="str">
        <f>IFERROR(__xludf.DUMMYFUNCTION("GOOGLETRANSLATE(A124, ""it"", ""en"")"),"125")</f>
        <v>125</v>
      </c>
      <c r="H124" s="5" t="str">
        <f>IFERROR(__xludf.DUMMYFUNCTION("GOOGLETRANSLATE(B124, ""it"", ""en"")"),"How is a hunt scored?")</f>
        <v>How is a hunt scored?</v>
      </c>
      <c r="I124" s="5" t="str">
        <f>IFERROR(__xludf.DUMMYFUNCTION("GOOGLETRANSLATE(C124, ""it"", ""en"")"),"A. Throwing the ball into the net B. Hitting an opponent with the ball C. Passing through the goal line D. Kicking the ball into the goal")</f>
        <v>A. Throwing the ball into the net B. Hitting an opponent with the ball C. Passing through the goal line D. Kicking the ball into the goal</v>
      </c>
      <c r="J124" s="5" t="str">
        <f>IFERROR(__xludf.DUMMYFUNCTION("GOOGLETRANSLATE(D124, ""it"", ""en"")"),"Throwing the ball into the net")</f>
        <v>Throwing the ball into the net</v>
      </c>
      <c r="K124" s="5" t="str">
        <f>IFERROR(__xludf.DUMMYFUNCTION("GOOGLETRANSLATE(E124, ""it"", ""en"")"),"A chase is scored when the ball goes through the opponent's net.")</f>
        <v>A chase is scored when the ball goes through the opponent's net.</v>
      </c>
      <c r="L124" s="3"/>
      <c r="M124" s="3"/>
      <c r="N124" s="3"/>
      <c r="O124" s="3"/>
      <c r="P124" s="3"/>
      <c r="Q124" s="3"/>
      <c r="R124" s="3"/>
      <c r="S124" s="3"/>
      <c r="T124" s="3"/>
    </row>
    <row r="125" ht="22.5" customHeight="1">
      <c r="A125" s="4">
        <v>126.0</v>
      </c>
      <c r="B125" s="5" t="s">
        <v>481</v>
      </c>
      <c r="C125" s="4" t="s">
        <v>482</v>
      </c>
      <c r="D125" s="5" t="s">
        <v>483</v>
      </c>
      <c r="E125" s="5" t="s">
        <v>484</v>
      </c>
      <c r="F125" s="3"/>
      <c r="G125" s="5" t="str">
        <f>IFERROR(__xludf.DUMMYFUNCTION("GOOGLETRANSLATE(A125, ""it"", ""en"")"),"126")</f>
        <v>126</v>
      </c>
      <c r="H125" s="5" t="str">
        <f>IFERROR(__xludf.DUMMYFUNCTION("GOOGLETRANSLATE(B125, ""it"", ""en"")"),"What happens if a hunt is marked incorrectly?")</f>
        <v>What happens if a hunt is marked incorrectly?</v>
      </c>
      <c r="I125" s="5" t="str">
        <f>IFERROR(__xludf.DUMMYFUNCTION("GOOGLETRANSLATE(C125, ""it"", ""en"")"),"A. It is awarded to the opposing team B. It is cancelled C. It leads to a penalty for the team D. It is counted as half a hunt")</f>
        <v>A. It is awarded to the opposing team B. It is cancelled C. It leads to a penalty for the team D. It is counted as half a hunt</v>
      </c>
      <c r="J125" s="5" t="str">
        <f>IFERROR(__xludf.DUMMYFUNCTION("GOOGLETRANSLATE(D125, ""it"", ""en"")"),"It is cancelled")</f>
        <v>It is cancelled</v>
      </c>
      <c r="K125" s="5" t="str">
        <f>IFERROR(__xludf.DUMMYFUNCTION("GOOGLETRANSLATE(E125, ""it"", ""en"")"),"Irregular hunts are invalid.")</f>
        <v>Irregular hunts are invalid.</v>
      </c>
      <c r="L125" s="3"/>
      <c r="M125" s="3"/>
      <c r="N125" s="3"/>
      <c r="O125" s="3"/>
      <c r="P125" s="3"/>
      <c r="Q125" s="3"/>
      <c r="R125" s="3"/>
      <c r="S125" s="3"/>
      <c r="T125" s="3"/>
    </row>
    <row r="126" ht="22.5" customHeight="1">
      <c r="A126" s="4">
        <v>127.0</v>
      </c>
      <c r="B126" s="5" t="s">
        <v>485</v>
      </c>
      <c r="C126" s="4" t="s">
        <v>486</v>
      </c>
      <c r="D126" s="5" t="s">
        <v>487</v>
      </c>
      <c r="E126" s="5" t="s">
        <v>488</v>
      </c>
      <c r="F126" s="3"/>
      <c r="G126" s="5" t="str">
        <f>IFERROR(__xludf.DUMMYFUNCTION("GOOGLETRANSLATE(A126, ""it"", ""en"")"),"127")</f>
        <v>127</v>
      </c>
      <c r="H126" s="5" t="str">
        <f>IFERROR(__xludf.DUMMYFUNCTION("GOOGLETRANSLATE(B126, ""it"", ""en"")"),"How are players selected for a team?")</f>
        <v>How are players selected for a team?</v>
      </c>
      <c r="I126" s="5" t="str">
        <f>IFERROR(__xludf.DUMMYFUNCTION("GOOGLETRANSLATE(C126, ""it"", ""en"")"),"A. By seniority B. By physical ability C. By family tradition D. By random selection")</f>
        <v>A. By seniority B. By physical ability C. By family tradition D. By random selection</v>
      </c>
      <c r="J126" s="5" t="str">
        <f>IFERROR(__xludf.DUMMYFUNCTION("GOOGLETRANSLATE(D126, ""it"", ""en"")"),"For physical abilities")</f>
        <v>For physical abilities</v>
      </c>
      <c r="K126" s="5" t="str">
        <f>IFERROR(__xludf.DUMMYFUNCTION("GOOGLETRANSLATE(E126, ""it"", ""en"")"),"Teams select the best available athletes.")</f>
        <v>Teams select the best available athletes.</v>
      </c>
      <c r="L126" s="3"/>
      <c r="M126" s="3"/>
      <c r="N126" s="3"/>
      <c r="O126" s="3"/>
      <c r="P126" s="3"/>
      <c r="Q126" s="3"/>
      <c r="R126" s="3"/>
      <c r="S126" s="3"/>
      <c r="T126" s="3"/>
    </row>
    <row r="127" ht="22.5" customHeight="1">
      <c r="A127" s="4">
        <v>128.0</v>
      </c>
      <c r="B127" s="5" t="s">
        <v>489</v>
      </c>
      <c r="C127" s="4" t="s">
        <v>490</v>
      </c>
      <c r="D127" s="5" t="s">
        <v>491</v>
      </c>
      <c r="E127" s="5" t="s">
        <v>492</v>
      </c>
      <c r="F127" s="3"/>
      <c r="G127" s="5" t="str">
        <f>IFERROR(__xludf.DUMMYFUNCTION("GOOGLETRANSLATE(A127, ""it"", ""en"")"),"128")</f>
        <v>128</v>
      </c>
      <c r="H127" s="5" t="str">
        <f>IFERROR(__xludf.DUMMYFUNCTION("GOOGLETRANSLATE(B127, ""it"", ""en"")"),"What role does the public have during Calcio Storico?")</f>
        <v>What role does the public have during Calcio Storico?</v>
      </c>
      <c r="I127" s="5" t="str">
        <f>IFERROR(__xludf.DUMMYFUNCTION("GOOGLETRANSLATE(C127, ""it"", ""en"")"),"A. Remain a passive spectator B. Participate in the game C. Support your team D. Be a judge")</f>
        <v>A. Remain a passive spectator B. Participate in the game C. Support your team D. Be a judge</v>
      </c>
      <c r="J127" s="5" t="str">
        <f>IFERROR(__xludf.DUMMYFUNCTION("GOOGLETRANSLATE(D127, ""it"", ""en"")"),"Support your team")</f>
        <v>Support your team</v>
      </c>
      <c r="K127" s="5" t="str">
        <f>IFERROR(__xludf.DUMMYFUNCTION("GOOGLETRANSLATE(E127, ""it"", ""en"")"),"The audience is essential to creating the atmosphere.")</f>
        <v>The audience is essential to creating the atmosphere.</v>
      </c>
      <c r="L127" s="3"/>
      <c r="M127" s="3"/>
      <c r="N127" s="3"/>
      <c r="O127" s="3"/>
      <c r="P127" s="3"/>
      <c r="Q127" s="3"/>
      <c r="R127" s="3"/>
      <c r="S127" s="3"/>
      <c r="T127" s="3"/>
    </row>
    <row r="128" ht="22.5" customHeight="1">
      <c r="A128" s="4">
        <v>129.0</v>
      </c>
      <c r="B128" s="5" t="s">
        <v>493</v>
      </c>
      <c r="C128" s="4" t="s">
        <v>494</v>
      </c>
      <c r="D128" s="5" t="s">
        <v>495</v>
      </c>
      <c r="E128" s="5" t="s">
        <v>496</v>
      </c>
      <c r="F128" s="3"/>
      <c r="G128" s="5" t="str">
        <f>IFERROR(__xludf.DUMMYFUNCTION("GOOGLETRANSLATE(A128, ""it"", ""en"")"),"129")</f>
        <v>129</v>
      </c>
      <c r="H128" s="5" t="str">
        <f>IFERROR(__xludf.DUMMYFUNCTION("GOOGLETRANSLATE(B128, ""it"", ""en"")"),"What do you do before a Calcio Storico match?")</f>
        <v>What do you do before a Calcio Storico match?</v>
      </c>
      <c r="I128" s="5" t="str">
        <f>IFERROR(__xludf.DUMMYFUNCTION("GOOGLETRANSLATE(C128, ""it"", ""en"")"),"A. A draw for the field B. An official prayer C. A historical procession D. A common training session")</f>
        <v>A. A draw for the field B. An official prayer C. A historical procession D. A common training session</v>
      </c>
      <c r="J128" s="5" t="str">
        <f>IFERROR(__xludf.DUMMYFUNCTION("GOOGLETRANSLATE(D128, ""it"", ""en"")"),"A historical procession")</f>
        <v>A historical procession</v>
      </c>
      <c r="K128" s="5" t="str">
        <f>IFERROR(__xludf.DUMMYFUNCTION("GOOGLETRANSLATE(E128, ""it"", ""en"")"),"The game is preceded by a historical reenactment.")</f>
        <v>The game is preceded by a historical reenactment.</v>
      </c>
      <c r="L128" s="3"/>
      <c r="M128" s="3"/>
      <c r="N128" s="3"/>
      <c r="O128" s="3"/>
      <c r="P128" s="3"/>
      <c r="Q128" s="3"/>
      <c r="R128" s="3"/>
      <c r="S128" s="3"/>
      <c r="T128" s="3"/>
    </row>
    <row r="129" ht="22.5" customHeight="1">
      <c r="A129" s="4">
        <v>130.0</v>
      </c>
      <c r="B129" s="5" t="s">
        <v>497</v>
      </c>
      <c r="C129" s="4" t="s">
        <v>498</v>
      </c>
      <c r="D129" s="5" t="s">
        <v>499</v>
      </c>
      <c r="E129" s="5" t="s">
        <v>500</v>
      </c>
      <c r="F129" s="3"/>
      <c r="G129" s="5" t="str">
        <f>IFERROR(__xludf.DUMMYFUNCTION("GOOGLETRANSLATE(A129, ""it"", ""en"")"),"130")</f>
        <v>130</v>
      </c>
      <c r="H129" s="5" t="str">
        <f>IFERROR(__xludf.DUMMYFUNCTION("GOOGLETRANSLATE(B129, ""it"", ""en"")"),"What is the significance of music during the tournament?")</f>
        <v>What is the significance of music during the tournament?</v>
      </c>
      <c r="I129" s="5" t="str">
        <f>IFERROR(__xludf.DUMMYFUNCTION("GOOGLETRANSLATE(C129, ""it"", ""en"")"),"A. Festive decoration B. Cheering on the players C. Creating a historical atmosphere D. Entertaining the referees")</f>
        <v>A. Festive decoration B. Cheering on the players C. Creating a historical atmosphere D. Entertaining the referees</v>
      </c>
      <c r="J129" s="5" t="str">
        <f>IFERROR(__xludf.DUMMYFUNCTION("GOOGLETRANSLATE(D129, ""it"", ""en"")"),"Creating a historical atmosphere")</f>
        <v>Creating a historical atmosphere</v>
      </c>
      <c r="K129" s="5" t="str">
        <f>IFERROR(__xludf.DUMMYFUNCTION("GOOGLETRANSLATE(E129, ""it"", ""en"")"),"The music accompanies the game and recalls its origins.")</f>
        <v>The music accompanies the game and recalls its origins.</v>
      </c>
      <c r="L129" s="3"/>
      <c r="M129" s="3"/>
      <c r="N129" s="3"/>
      <c r="O129" s="3"/>
      <c r="P129" s="3"/>
      <c r="Q129" s="3"/>
      <c r="R129" s="3"/>
      <c r="S129" s="3"/>
      <c r="T129" s="3"/>
    </row>
    <row r="130" ht="22.5" customHeight="1">
      <c r="A130" s="4">
        <v>131.0</v>
      </c>
      <c r="B130" s="5" t="s">
        <v>501</v>
      </c>
      <c r="C130" s="4" t="s">
        <v>502</v>
      </c>
      <c r="D130" s="5" t="s">
        <v>503</v>
      </c>
      <c r="E130" s="5" t="s">
        <v>504</v>
      </c>
      <c r="F130" s="3"/>
      <c r="G130" s="5" t="str">
        <f>IFERROR(__xludf.DUMMYFUNCTION("GOOGLETRANSLATE(A130, ""it"", ""en"")"),"131")</f>
        <v>131</v>
      </c>
      <c r="H130" s="5" t="str">
        <f>IFERROR(__xludf.DUMMYFUNCTION("GOOGLETRANSLATE(B130, ""it"", ""en"")"),"What qualities are essential for a player?")</f>
        <v>What qualities are essential for a player?</v>
      </c>
      <c r="I130" s="5" t="str">
        <f>IFERROR(__xludf.DUMMYFUNCTION("GOOGLETRANSLATE(C130, ""it"", ""en"")"),"A. Physical strength and endurance B. Agility and speed C. Only physical strength D. Only strategy")</f>
        <v>A. Physical strength and endurance B. Agility and speed C. Only physical strength D. Only strategy</v>
      </c>
      <c r="J130" s="5" t="str">
        <f>IFERROR(__xludf.DUMMYFUNCTION("GOOGLETRANSLATE(D130, ""it"", ""en"")"),"Physical strength and endurance")</f>
        <v>Physical strength and endurance</v>
      </c>
      <c r="K130" s="5" t="str">
        <f>IFERROR(__xludf.DUMMYFUNCTION("GOOGLETRANSLATE(E130, ""it"", ""en"")"),"Strength and endurance are fundamental in Calcio Storico.")</f>
        <v>Strength and endurance are fundamental in Calcio Storico.</v>
      </c>
      <c r="L130" s="3"/>
      <c r="M130" s="3"/>
      <c r="N130" s="3"/>
      <c r="O130" s="3"/>
      <c r="P130" s="3"/>
      <c r="Q130" s="3"/>
      <c r="R130" s="3"/>
      <c r="S130" s="3"/>
      <c r="T130" s="3"/>
    </row>
    <row r="131" ht="22.5" customHeight="1">
      <c r="A131" s="4">
        <v>132.0</v>
      </c>
      <c r="B131" s="5" t="s">
        <v>505</v>
      </c>
      <c r="C131" s="4" t="s">
        <v>506</v>
      </c>
      <c r="D131" s="5" t="s">
        <v>507</v>
      </c>
      <c r="E131" s="5" t="s">
        <v>508</v>
      </c>
      <c r="F131" s="3"/>
      <c r="G131" s="5" t="str">
        <f>IFERROR(__xludf.DUMMYFUNCTION("GOOGLETRANSLATE(A131, ""it"", ""en"")"),"132")</f>
        <v>132</v>
      </c>
      <c r="H131" s="5" t="str">
        <f>IFERROR(__xludf.DUMMYFUNCTION("GOOGLETRANSLATE(B131, ""it"", ""en"")"),"What happens if there is a draw after 50 minutes?")</f>
        <v>What happens if there is a draw after 50 minutes?</v>
      </c>
      <c r="I131" s="5" t="str">
        <f>IFERROR(__xludf.DUMMYFUNCTION("GOOGLETRANSLATE(C131, ""it"", ""en"")"),"A. An extra period B. A replay of the match C. The score is considered final D. A decision by the referees")</f>
        <v>A. An extra period B. A replay of the match C. The score is considered final D. A decision by the referees</v>
      </c>
      <c r="J131" s="5" t="str">
        <f>IFERROR(__xludf.DUMMYFUNCTION("GOOGLETRANSLATE(D131, ""it"", ""en"")"),"The score is considered final")</f>
        <v>The score is considered final</v>
      </c>
      <c r="K131" s="5" t="str">
        <f>IFERROR(__xludf.DUMMYFUNCTION("GOOGLETRANSLATE(E131, ""it"", ""en"")"),"There is no extra time.")</f>
        <v>There is no extra time.</v>
      </c>
      <c r="L131" s="3"/>
      <c r="M131" s="3"/>
      <c r="N131" s="3"/>
      <c r="O131" s="3"/>
      <c r="P131" s="3"/>
      <c r="Q131" s="3"/>
      <c r="R131" s="3"/>
      <c r="S131" s="3"/>
      <c r="T131" s="3"/>
    </row>
    <row r="132" ht="22.5" customHeight="1">
      <c r="A132" s="4">
        <v>133.0</v>
      </c>
      <c r="B132" s="5" t="s">
        <v>509</v>
      </c>
      <c r="C132" s="4" t="s">
        <v>510</v>
      </c>
      <c r="D132" s="5" t="s">
        <v>511</v>
      </c>
      <c r="E132" s="5" t="s">
        <v>512</v>
      </c>
      <c r="F132" s="3"/>
      <c r="G132" s="5" t="str">
        <f>IFERROR(__xludf.DUMMYFUNCTION("GOOGLETRANSLATE(A132, ""it"", ""en"")"),"133")</f>
        <v>133</v>
      </c>
      <c r="H132" s="5" t="str">
        <f>IFERROR(__xludf.DUMMYFUNCTION("GOOGLETRANSLATE(B132, ""it"", ""en"")"),"What do the historical costumes worn by referees represent?")</f>
        <v>What do the historical costumes worn by referees represent?</v>
      </c>
      <c r="I132" s="5" t="str">
        <f>IFERROR(__xludf.DUMMYFUNCTION("GOOGLETRANSLATE(C132, ""it"", ""en"")"),"A. Role of neutrality B. Sign of authority C. Connection with tradition D. A modern decoration")</f>
        <v>A. Role of neutrality B. Sign of authority C. Connection with tradition D. A modern decoration</v>
      </c>
      <c r="J132" s="5" t="str">
        <f>IFERROR(__xludf.DUMMYFUNCTION("GOOGLETRANSLATE(D132, ""it"", ""en"")"),"Connection with tradition")</f>
        <v>Connection with tradition</v>
      </c>
      <c r="K132" s="5" t="str">
        <f>IFERROR(__xludf.DUMMYFUNCTION("GOOGLETRANSLATE(E132, ""it"", ""en"")"),"Referees wear costumes that reflect the historical roots of the game.")</f>
        <v>Referees wear costumes that reflect the historical roots of the game.</v>
      </c>
      <c r="L132" s="3"/>
      <c r="M132" s="3"/>
      <c r="N132" s="3"/>
      <c r="O132" s="3"/>
      <c r="P132" s="3"/>
      <c r="Q132" s="3"/>
      <c r="R132" s="3"/>
      <c r="S132" s="3"/>
      <c r="T132" s="3"/>
    </row>
    <row r="133" ht="22.5" customHeight="1">
      <c r="A133" s="4">
        <v>134.0</v>
      </c>
      <c r="B133" s="5" t="s">
        <v>513</v>
      </c>
      <c r="C133" s="4" t="s">
        <v>514</v>
      </c>
      <c r="D133" s="5" t="s">
        <v>515</v>
      </c>
      <c r="E133" s="5" t="s">
        <v>516</v>
      </c>
      <c r="F133" s="3"/>
      <c r="G133" s="5" t="str">
        <f>IFERROR(__xludf.DUMMYFUNCTION("GOOGLETRANSLATE(A133, ""it"", ""en"")"),"134")</f>
        <v>134</v>
      </c>
      <c r="H133" s="5" t="str">
        <f>IFERROR(__xludf.DUMMYFUNCTION("GOOGLETRANSLATE(B133, ""it"", ""en"")"),"How are victories celebrated?")</f>
        <v>How are victories celebrated?</v>
      </c>
      <c r="I133" s="5" t="str">
        <f>IFERROR(__xludf.DUMMYFUNCTION("GOOGLETRANSLATE(C133, ""it"", ""en"")"),"A. With a trophy B. With a neighborhood procession C. With a banquet D. With a cash prize")</f>
        <v>A. With a trophy B. With a neighborhood procession C. With a banquet D. With a cash prize</v>
      </c>
      <c r="J133" s="5" t="str">
        <f>IFERROR(__xludf.DUMMYFUNCTION("GOOGLETRANSLATE(D133, ""it"", ""en"")"),"With a neighborhood procession")</f>
        <v>With a neighborhood procession</v>
      </c>
      <c r="K133" s="5" t="str">
        <f>IFERROR(__xludf.DUMMYFUNCTION("GOOGLETRANSLATE(E133, ""it"", ""en"")"),"The celebration includes a traditional procession.")</f>
        <v>The celebration includes a traditional procession.</v>
      </c>
      <c r="L133" s="3"/>
      <c r="M133" s="3"/>
      <c r="N133" s="3"/>
      <c r="O133" s="3"/>
      <c r="P133" s="3"/>
      <c r="Q133" s="3"/>
      <c r="R133" s="3"/>
      <c r="S133" s="3"/>
      <c r="T133" s="3"/>
    </row>
    <row r="134" ht="22.5" customHeight="1">
      <c r="A134" s="4">
        <v>135.0</v>
      </c>
      <c r="B134" s="5" t="s">
        <v>517</v>
      </c>
      <c r="C134" s="4" t="s">
        <v>518</v>
      </c>
      <c r="D134" s="5" t="s">
        <v>519</v>
      </c>
      <c r="E134" s="5" t="s">
        <v>520</v>
      </c>
      <c r="F134" s="3"/>
      <c r="G134" s="5" t="str">
        <f>IFERROR(__xludf.DUMMYFUNCTION("GOOGLETRANSLATE(A134, ""it"", ""en"")"),"135")</f>
        <v>135</v>
      </c>
      <c r="H134" s="5" t="str">
        <f>IFERROR(__xludf.DUMMYFUNCTION("GOOGLETRANSLATE(B134, ""it"", ""en"")"),"What skills are essential for a defender?")</f>
        <v>What skills are essential for a defender?</v>
      </c>
      <c r="I134" s="5" t="str">
        <f>IFERROR(__xludf.DUMMYFUNCTION("GOOGLETRANSLATE(C134, ""it"", ""en"")"),"A. Speed ​​and tactics B. Strength and strategy C. Agility and dexterity D. Precision and intuition")</f>
        <v>A. Speed ​​and tactics B. Strength and strategy C. Agility and dexterity D. Precision and intuition</v>
      </c>
      <c r="J134" s="5" t="str">
        <f>IFERROR(__xludf.DUMMYFUNCTION("GOOGLETRANSLATE(D134, ""it"", ""en"")"),"Strength and strategy")</f>
        <v>Strength and strategy</v>
      </c>
      <c r="K134" s="5" t="str">
        <f>IFERROR(__xludf.DUMMYFUNCTION("GOOGLETRANSLATE(E134, ""it"", ""en"")"),"Defenders must be physically strong and tactical.")</f>
        <v>Defenders must be physically strong and tactical.</v>
      </c>
      <c r="L134" s="3"/>
      <c r="M134" s="3"/>
      <c r="N134" s="3"/>
      <c r="O134" s="3"/>
      <c r="P134" s="3"/>
      <c r="Q134" s="3"/>
      <c r="R134" s="3"/>
      <c r="S134" s="3"/>
      <c r="T134" s="3"/>
    </row>
    <row r="135" ht="22.5" customHeight="1">
      <c r="A135" s="4">
        <v>136.0</v>
      </c>
      <c r="B135" s="5" t="s">
        <v>521</v>
      </c>
      <c r="C135" s="4" t="s">
        <v>522</v>
      </c>
      <c r="D135" s="4">
        <v>27.0</v>
      </c>
      <c r="E135" s="5" t="s">
        <v>523</v>
      </c>
      <c r="F135" s="3"/>
      <c r="G135" s="5" t="str">
        <f>IFERROR(__xludf.DUMMYFUNCTION("GOOGLETRANSLATE(A135, ""it"", ""en"")"),"136")</f>
        <v>136</v>
      </c>
      <c r="H135" s="5" t="str">
        <f>IFERROR(__xludf.DUMMYFUNCTION("GOOGLETRANSLATE(B135, ""it"", ""en"")"),"What is the maximum number of players per team?")</f>
        <v>What is the maximum number of players per team?</v>
      </c>
      <c r="I135" s="5" t="str">
        <f>IFERROR(__xludf.DUMMYFUNCTION("GOOGLETRANSLATE(C135, ""it"", ""en"")"),"A. 21 B. 22 C. 27 D. 30")</f>
        <v>A. 21 B. 22 C. 27 D. 30</v>
      </c>
      <c r="J135" s="5" t="str">
        <f>IFERROR(__xludf.DUMMYFUNCTION("GOOGLETRANSLATE(D135, ""it"", ""en"")"),"27")</f>
        <v>27</v>
      </c>
      <c r="K135" s="5" t="str">
        <f>IFERROR(__xludf.DUMMYFUNCTION("GOOGLETRANSLATE(E135, ""it"", ""en"")"),"Each team can field up to 27 players.")</f>
        <v>Each team can field up to 27 players.</v>
      </c>
      <c r="L135" s="3"/>
      <c r="M135" s="3"/>
      <c r="N135" s="3"/>
      <c r="O135" s="3"/>
      <c r="P135" s="3"/>
      <c r="Q135" s="3"/>
      <c r="R135" s="3"/>
      <c r="S135" s="3"/>
      <c r="T135" s="3"/>
    </row>
    <row r="136" ht="22.5" customHeight="1">
      <c r="A136" s="4">
        <v>137.0</v>
      </c>
      <c r="B136" s="5" t="s">
        <v>524</v>
      </c>
      <c r="C136" s="4" t="s">
        <v>525</v>
      </c>
      <c r="D136" s="5" t="s">
        <v>526</v>
      </c>
      <c r="E136" s="5" t="s">
        <v>527</v>
      </c>
      <c r="F136" s="3"/>
      <c r="G136" s="5" t="str">
        <f>IFERROR(__xludf.DUMMYFUNCTION("GOOGLETRANSLATE(A136, ""it"", ""en"")"),"137")</f>
        <v>137</v>
      </c>
      <c r="H136" s="5" t="str">
        <f>IFERROR(__xludf.DUMMYFUNCTION("GOOGLETRANSLATE(B136, ""it"", ""en"")"),"What happens if a referee detects foul play?")</f>
        <v>What happens if a referee detects foul play?</v>
      </c>
      <c r="I136" s="5" t="str">
        <f>IFERROR(__xludf.DUMMYFUNCTION("GOOGLETRANSLATE(C136, ""it"", ""en"")"),"A. Assigns a penalty B. Stops the game C. Ejects the player D. Requests a meeting")</f>
        <v>A. Assigns a penalty B. Stops the game C. Ejects the player D. Requests a meeting</v>
      </c>
      <c r="J136" s="5" t="str">
        <f>IFERROR(__xludf.DUMMYFUNCTION("GOOGLETRANSLATE(D136, ""it"", ""en"")"),"Assign a penalty")</f>
        <v>Assign a penalty</v>
      </c>
      <c r="K136" s="5" t="str">
        <f>IFERROR(__xludf.DUMMYFUNCTION("GOOGLETRANSLATE(E136, ""it"", ""en"")"),"Incorrect practices lead to penalties.")</f>
        <v>Incorrect practices lead to penalties.</v>
      </c>
      <c r="L136" s="3"/>
      <c r="M136" s="3"/>
      <c r="N136" s="3"/>
      <c r="O136" s="3"/>
      <c r="P136" s="3"/>
      <c r="Q136" s="3"/>
      <c r="R136" s="3"/>
      <c r="S136" s="3"/>
      <c r="T136" s="3"/>
    </row>
    <row r="137" ht="22.5" customHeight="1">
      <c r="A137" s="4">
        <v>138.0</v>
      </c>
      <c r="B137" s="5" t="s">
        <v>528</v>
      </c>
      <c r="C137" s="4" t="s">
        <v>529</v>
      </c>
      <c r="D137" s="5" t="s">
        <v>530</v>
      </c>
      <c r="E137" s="5" t="s">
        <v>531</v>
      </c>
      <c r="F137" s="3"/>
      <c r="G137" s="5" t="str">
        <f>IFERROR(__xludf.DUMMYFUNCTION("GOOGLETRANSLATE(A137, ""it"", ""en"")"),"138")</f>
        <v>138</v>
      </c>
      <c r="H137" s="5" t="str">
        <f>IFERROR(__xludf.DUMMYFUNCTION("GOOGLETRANSLATE(B137, ""it"", ""en"")"),"How are players from different teams distinguished?")</f>
        <v>How are players from different teams distinguished?</v>
      </c>
      <c r="I137" s="5" t="str">
        <f>IFERROR(__xludf.DUMMYFUNCTION("GOOGLETRANSLATE(C137, ""it"", ""en"")"),"A. By shirt number B. By costume color C. By position on the field D. By an accessory")</f>
        <v>A. By shirt number B. By costume color C. By position on the field D. By an accessory</v>
      </c>
      <c r="J137" s="5" t="str">
        <f>IFERROR(__xludf.DUMMYFUNCTION("GOOGLETRANSLATE(D137, ""it"", ""en"")"),"By costume color")</f>
        <v>By costume color</v>
      </c>
      <c r="K137" s="5" t="str">
        <f>IFERROR(__xludf.DUMMYFUNCTION("GOOGLETRANSLATE(E137, ""it"", ""en"")"),"The colors of the costumes represent the neighborhoods.")</f>
        <v>The colors of the costumes represent the neighborhoods.</v>
      </c>
      <c r="L137" s="3"/>
      <c r="M137" s="3"/>
      <c r="N137" s="3"/>
      <c r="O137" s="3"/>
      <c r="P137" s="3"/>
      <c r="Q137" s="3"/>
      <c r="R137" s="3"/>
      <c r="S137" s="3"/>
      <c r="T137" s="3"/>
    </row>
    <row r="138" ht="22.5" customHeight="1">
      <c r="A138" s="4">
        <v>139.0</v>
      </c>
      <c r="B138" s="5" t="s">
        <v>532</v>
      </c>
      <c r="C138" s="4" t="s">
        <v>533</v>
      </c>
      <c r="D138" s="5" t="s">
        <v>534</v>
      </c>
      <c r="E138" s="5" t="s">
        <v>535</v>
      </c>
      <c r="F138" s="3"/>
      <c r="G138" s="5" t="str">
        <f>IFERROR(__xludf.DUMMYFUNCTION("GOOGLETRANSLATE(A138, ""it"", ""en"")"),"139")</f>
        <v>139</v>
      </c>
      <c r="H138" s="5" t="str">
        <f>IFERROR(__xludf.DUMMYFUNCTION("GOOGLETRANSLATE(B138, ""it"", ""en"")"),"What is not allowed in the game?")</f>
        <v>What is not allowed in the game?</v>
      </c>
      <c r="I138" s="5" t="str">
        <f>IFERROR(__xludf.DUMMYFUNCTION("GOOGLETRANSLATE(C138, ""it"", ""en"")"),"A. The use of foreign objects B. Cooperation between opponents C. Self-defense D. Group strategy")</f>
        <v>A. The use of foreign objects B. Cooperation between opponents C. Self-defense D. Group strategy</v>
      </c>
      <c r="J138" s="5" t="str">
        <f>IFERROR(__xludf.DUMMYFUNCTION("GOOGLETRANSLATE(D138, ""it"", ""en"")"),"The use of foreign objects")</f>
        <v>The use of foreign objects</v>
      </c>
      <c r="K138" s="5" t="str">
        <f>IFERROR(__xludf.DUMMYFUNCTION("GOOGLETRANSLATE(E138, ""it"", ""en"")"),"Any external accessories are prohibited.")</f>
        <v>Any external accessories are prohibited.</v>
      </c>
      <c r="L138" s="3"/>
      <c r="M138" s="3"/>
      <c r="N138" s="3"/>
      <c r="O138" s="3"/>
      <c r="P138" s="3"/>
      <c r="Q138" s="3"/>
      <c r="R138" s="3"/>
      <c r="S138" s="3"/>
      <c r="T138" s="3"/>
    </row>
    <row r="139" ht="22.5" customHeight="1">
      <c r="A139" s="4">
        <v>140.0</v>
      </c>
      <c r="B139" s="5" t="s">
        <v>536</v>
      </c>
      <c r="C139" s="4" t="s">
        <v>537</v>
      </c>
      <c r="D139" s="5" t="s">
        <v>538</v>
      </c>
      <c r="E139" s="5" t="s">
        <v>539</v>
      </c>
      <c r="F139" s="3"/>
      <c r="G139" s="5" t="str">
        <f>IFERROR(__xludf.DUMMYFUNCTION("GOOGLETRANSLATE(A139, ""it"", ""en"")"),"140")</f>
        <v>140</v>
      </c>
      <c r="H139" s="5" t="str">
        <f>IFERROR(__xludf.DUMMYFUNCTION("GOOGLETRANSLATE(B139, ""it"", ""en"")"),"Who has the right to stop the game in case of emergency?")</f>
        <v>Who has the right to stop the game in case of emergency?</v>
      </c>
      <c r="I139" s="5" t="str">
        <f>IFERROR(__xludf.DUMMYFUNCTION("GOOGLETRANSLATE(C139, ""it"", ""en"")"),"A. The Captain B. The crowd C. A referee D. A goalkeeper")</f>
        <v>A. The Captain B. The crowd C. A referee D. A goalkeeper</v>
      </c>
      <c r="J139" s="5" t="str">
        <f>IFERROR(__xludf.DUMMYFUNCTION("GOOGLETRANSLATE(D139, ""it"", ""en"")"),"A referee")</f>
        <v>A referee</v>
      </c>
      <c r="K139" s="5" t="str">
        <f>IFERROR(__xludf.DUMMYFUNCTION("GOOGLETRANSLATE(E139, ""it"", ""en"")"),"Referees can stop play at any time.")</f>
        <v>Referees can stop play at any time.</v>
      </c>
      <c r="L139" s="3"/>
      <c r="M139" s="3"/>
      <c r="N139" s="3"/>
      <c r="O139" s="3"/>
      <c r="P139" s="3"/>
      <c r="Q139" s="3"/>
      <c r="R139" s="3"/>
      <c r="S139" s="3"/>
      <c r="T139" s="3"/>
    </row>
    <row r="140" ht="22.5" customHeight="1">
      <c r="A140" s="4">
        <v>141.0</v>
      </c>
      <c r="B140" s="5" t="s">
        <v>540</v>
      </c>
      <c r="C140" s="4" t="s">
        <v>541</v>
      </c>
      <c r="D140" s="5" t="s">
        <v>542</v>
      </c>
      <c r="E140" s="5" t="s">
        <v>543</v>
      </c>
      <c r="F140" s="3"/>
      <c r="G140" s="5" t="str">
        <f>IFERROR(__xludf.DUMMYFUNCTION("GOOGLETRANSLATE(A140, ""it"", ""en"")"),"141")</f>
        <v>141</v>
      </c>
      <c r="H140" s="5" t="str">
        <f>IFERROR(__xludf.DUMMYFUNCTION("GOOGLETRANSLATE(B140, ""it"", ""en"")"),"How does a match officially end?")</f>
        <v>How does a match officially end?</v>
      </c>
      <c r="I140" s="5" t="str">
        <f>IFERROR(__xludf.DUMMYFUNCTION("GOOGLETRANSLATE(C140, ""it"", ""en"")"),"A. With the referee's whistle B. With the final score C. Closing ceremony D. End of 50 minutes")</f>
        <v>A. With the referee's whistle B. With the final score C. Closing ceremony D. End of 50 minutes</v>
      </c>
      <c r="J140" s="5" t="str">
        <f>IFERROR(__xludf.DUMMYFUNCTION("GOOGLETRANSLATE(D140, ""it"", ""en"")"),"With a whistle from the referee")</f>
        <v>With a whistle from the referee</v>
      </c>
      <c r="K140" s="5" t="str">
        <f>IFERROR(__xludf.DUMMYFUNCTION("GOOGLETRANSLATE(E140, ""it"", ""en"")"),"The whistle signals the end of the game.")</f>
        <v>The whistle signals the end of the game.</v>
      </c>
      <c r="L140" s="3"/>
      <c r="M140" s="3"/>
      <c r="N140" s="3"/>
      <c r="O140" s="3"/>
      <c r="P140" s="3"/>
      <c r="Q140" s="3"/>
      <c r="R140" s="3"/>
      <c r="S140" s="3"/>
      <c r="T140" s="3"/>
    </row>
    <row r="141" ht="22.5" customHeight="1">
      <c r="A141" s="4">
        <v>142.0</v>
      </c>
      <c r="B141" s="5" t="s">
        <v>544</v>
      </c>
      <c r="C141" s="4" t="s">
        <v>545</v>
      </c>
      <c r="D141" s="5" t="s">
        <v>546</v>
      </c>
      <c r="E141" s="5" t="s">
        <v>547</v>
      </c>
      <c r="F141" s="3"/>
      <c r="G141" s="5" t="str">
        <f>IFERROR(__xludf.DUMMYFUNCTION("GOOGLETRANSLATE(A141, ""it"", ""en"")"),"142")</f>
        <v>142</v>
      </c>
      <c r="H141" s="5" t="str">
        <f>IFERROR(__xludf.DUMMYFUNCTION("GOOGLETRANSLATE(B141, ""it"", ""en"")"),"What do the hunts symbolize?")</f>
        <v>What do the hunts symbolize?</v>
      </c>
      <c r="I141" s="5" t="str">
        <f>IFERROR(__xludf.DUMMYFUNCTION("GOOGLETRANSLATE(C141, ""it"", ""en"")"),"A. Sports supremacy B. Neighborhood unity C. Strategic victory D. Physical ability")</f>
        <v>A. Sports supremacy B. Neighborhood unity C. Strategic victory D. Physical ability</v>
      </c>
      <c r="J141" s="5" t="str">
        <f>IFERROR(__xludf.DUMMYFUNCTION("GOOGLETRANSLATE(D141, ""it"", ""en"")"),"Strategic victory")</f>
        <v>Strategic victory</v>
      </c>
      <c r="K141" s="5" t="str">
        <f>IFERROR(__xludf.DUMMYFUNCTION("GOOGLETRANSLATE(E141, ""it"", ""en"")"),"Hunts represent the team's strategic success.")</f>
        <v>Hunts represent the team's strategic success.</v>
      </c>
      <c r="L141" s="3"/>
      <c r="M141" s="3"/>
      <c r="N141" s="3"/>
      <c r="O141" s="3"/>
      <c r="P141" s="3"/>
      <c r="Q141" s="3"/>
      <c r="R141" s="3"/>
      <c r="S141" s="3"/>
      <c r="T141" s="3"/>
    </row>
    <row r="142" ht="22.5" customHeight="1">
      <c r="A142" s="4">
        <v>143.0</v>
      </c>
      <c r="B142" s="5" t="s">
        <v>548</v>
      </c>
      <c r="C142" s="4" t="s">
        <v>549</v>
      </c>
      <c r="D142" s="5" t="s">
        <v>550</v>
      </c>
      <c r="E142" s="5" t="s">
        <v>551</v>
      </c>
      <c r="F142" s="3"/>
      <c r="G142" s="5" t="str">
        <f>IFERROR(__xludf.DUMMYFUNCTION("GOOGLETRANSLATE(A142, ""it"", ""en"")"),"143")</f>
        <v>143</v>
      </c>
      <c r="H142" s="5" t="str">
        <f>IFERROR(__xludf.DUMMYFUNCTION("GOOGLETRANSLATE(B142, ""it"", ""en"")"),"What is the approximate weight of the ball used?")</f>
        <v>What is the approximate weight of the ball used?</v>
      </c>
      <c r="I142" s="5" t="str">
        <f>IFERROR(__xludf.DUMMYFUNCTION("GOOGLETRANSLATE(C142, ""it"", ""en"")"),"A. 1 kg B. 1.5 kg C. 2 kg D. 2.5 kg")</f>
        <v>A. 1 kg B. 1.5 kg C. 2 kg D. 2.5 kg</v>
      </c>
      <c r="J142" s="5" t="str">
        <f>IFERROR(__xludf.DUMMYFUNCTION("GOOGLETRANSLATE(D142, ""it"", ""en"")"),"1.5 kg")</f>
        <v>1.5 kg</v>
      </c>
      <c r="K142" s="5" t="str">
        <f>IFERROR(__xludf.DUMMYFUNCTION("GOOGLETRANSLATE(E142, ""it"", ""en"")"),"The ball is designed for intense physical play.")</f>
        <v>The ball is designed for intense physical play.</v>
      </c>
      <c r="L142" s="3"/>
      <c r="M142" s="3"/>
      <c r="N142" s="3"/>
      <c r="O142" s="3"/>
      <c r="P142" s="3"/>
      <c r="Q142" s="3"/>
      <c r="R142" s="3"/>
      <c r="S142" s="3"/>
      <c r="T142" s="3"/>
    </row>
    <row r="143" ht="22.5" customHeight="1">
      <c r="A143" s="4">
        <v>144.0</v>
      </c>
      <c r="B143" s="5" t="s">
        <v>552</v>
      </c>
      <c r="C143" s="4" t="s">
        <v>553</v>
      </c>
      <c r="D143" s="5" t="s">
        <v>554</v>
      </c>
      <c r="E143" s="5" t="s">
        <v>555</v>
      </c>
      <c r="F143" s="3"/>
      <c r="G143" s="5" t="str">
        <f>IFERROR(__xludf.DUMMYFUNCTION("GOOGLETRANSLATE(A143, ""it"", ""en"")"),"144")</f>
        <v>144</v>
      </c>
      <c r="H143" s="5" t="str">
        <f>IFERROR(__xludf.DUMMYFUNCTION("GOOGLETRANSLATE(B143, ""it"", ""en"")"),"What can't a Captain do during the game?")</f>
        <v>What can't a Captain do during the game?</v>
      </c>
      <c r="I143" s="5" t="str">
        <f>IFERROR(__xludf.DUMMYFUNCTION("GOOGLETRANSLATE(C143, ""it"", ""en"")"),"A. Give directions B. Defend the net C. Score shots D. Participate in scrums")</f>
        <v>A. Give directions B. Defend the net C. Score shots D. Participate in scrums</v>
      </c>
      <c r="J143" s="5" t="str">
        <f>IFERROR(__xludf.DUMMYFUNCTION("GOOGLETRANSLATE(D143, ""it"", ""en"")"),"Participate in scrums")</f>
        <v>Participate in scrums</v>
      </c>
      <c r="K143" s="5" t="str">
        <f>IFERROR(__xludf.DUMMYFUNCTION("GOOGLETRANSLATE(E143, ""it"", ""en"")"),"The Captain focuses on leading the team.")</f>
        <v>The Captain focuses on leading the team.</v>
      </c>
      <c r="L143" s="3"/>
      <c r="M143" s="3"/>
      <c r="N143" s="3"/>
      <c r="O143" s="3"/>
      <c r="P143" s="3"/>
      <c r="Q143" s="3"/>
      <c r="R143" s="3"/>
      <c r="S143" s="3"/>
      <c r="T143" s="3"/>
    </row>
    <row r="144" ht="22.5" customHeight="1">
      <c r="A144" s="4">
        <v>145.0</v>
      </c>
      <c r="B144" s="5" t="s">
        <v>556</v>
      </c>
      <c r="C144" s="4" t="s">
        <v>557</v>
      </c>
      <c r="D144" s="5" t="s">
        <v>558</v>
      </c>
      <c r="E144" s="5" t="s">
        <v>559</v>
      </c>
      <c r="F144" s="3"/>
      <c r="G144" s="5" t="str">
        <f>IFERROR(__xludf.DUMMYFUNCTION("GOOGLETRANSLATE(A144, ""it"", ""en"")"),"145")</f>
        <v>145</v>
      </c>
      <c r="H144" s="5" t="str">
        <f>IFERROR(__xludf.DUMMYFUNCTION("GOOGLETRANSLATE(B144, ""it"", ""en"")"),"How is fairness maintained between teams?")</f>
        <v>How is fairness maintained between teams?</v>
      </c>
      <c r="I144" s="5" t="str">
        <f>IFERROR(__xludf.DUMMYFUNCTION("GOOGLETRANSLATE(C144, ""it"", ""en"")"),"A. With a penalty system B. With strict refereeing C. With player rotation D. With the public as judge")</f>
        <v>A. With a penalty system B. With strict refereeing C. With player rotation D. With the public as judge</v>
      </c>
      <c r="J144" s="5" t="str">
        <f>IFERROR(__xludf.DUMMYFUNCTION("GOOGLETRANSLATE(D144, ""it"", ""en"")"),"With strict refereeing")</f>
        <v>With strict refereeing</v>
      </c>
      <c r="K144" s="5" t="str">
        <f>IFERROR(__xludf.DUMMYFUNCTION("GOOGLETRANSLATE(E144, ""it"", ""en"")"),"Referees ensure fair play.")</f>
        <v>Referees ensure fair play.</v>
      </c>
      <c r="L144" s="3"/>
      <c r="M144" s="3"/>
      <c r="N144" s="3"/>
      <c r="O144" s="3"/>
      <c r="P144" s="3"/>
      <c r="Q144" s="3"/>
      <c r="R144" s="3"/>
      <c r="S144" s="3"/>
      <c r="T144" s="3"/>
    </row>
    <row r="145" ht="22.5" customHeight="1">
      <c r="A145" s="4">
        <v>146.0</v>
      </c>
      <c r="B145" s="5" t="s">
        <v>560</v>
      </c>
      <c r="C145" s="4" t="s">
        <v>561</v>
      </c>
      <c r="D145" s="5" t="s">
        <v>300</v>
      </c>
      <c r="E145" s="5" t="s">
        <v>562</v>
      </c>
      <c r="F145" s="3"/>
      <c r="G145" s="5" t="str">
        <f>IFERROR(__xludf.DUMMYFUNCTION("GOOGLETRANSLATE(A145, ""it"", ""en"")"),"146")</f>
        <v>146</v>
      </c>
      <c r="H145" s="5" t="str">
        <f>IFERROR(__xludf.DUMMYFUNCTION("GOOGLETRANSLATE(B145, ""it"", ""en"")"),"What are defensive players not allowed to do?")</f>
        <v>What are defensive players not allowed to do?</v>
      </c>
      <c r="I145" s="5" t="str">
        <f>IFERROR(__xludf.DUMMYFUNCTION("GOOGLETRANSLATE(C145, ""it"", ""en"")"),"A. Push B. Block the ball C. Intentionally hit D. Form a barrier")</f>
        <v>A. Push B. Block the ball C. Intentionally hit D. Form a barrier</v>
      </c>
      <c r="J145" s="5" t="str">
        <f>IFERROR(__xludf.DUMMYFUNCTION("GOOGLETRANSLATE(D145, ""it"", ""en"")"),"To intentionally strike")</f>
        <v>To intentionally strike</v>
      </c>
      <c r="K145" s="5" t="str">
        <f>IFERROR(__xludf.DUMMYFUNCTION("GOOGLETRANSLATE(E145, ""it"", ""en"")"),"Violence is not tolerated.")</f>
        <v>Violence is not tolerated.</v>
      </c>
      <c r="L145" s="3"/>
      <c r="M145" s="3"/>
      <c r="N145" s="3"/>
      <c r="O145" s="3"/>
      <c r="P145" s="3"/>
      <c r="Q145" s="3"/>
      <c r="R145" s="3"/>
      <c r="S145" s="3"/>
      <c r="T145" s="3"/>
    </row>
    <row r="146" ht="22.5" customHeight="1">
      <c r="A146" s="4">
        <v>147.0</v>
      </c>
      <c r="B146" s="5" t="s">
        <v>563</v>
      </c>
      <c r="C146" s="4" t="s">
        <v>564</v>
      </c>
      <c r="D146" s="5" t="s">
        <v>565</v>
      </c>
      <c r="E146" s="5" t="s">
        <v>566</v>
      </c>
      <c r="F146" s="3"/>
      <c r="G146" s="5" t="str">
        <f>IFERROR(__xludf.DUMMYFUNCTION("GOOGLETRANSLATE(A146, ""it"", ""en"")"),"147")</f>
        <v>147</v>
      </c>
      <c r="H146" s="5" t="str">
        <f>IFERROR(__xludf.DUMMYFUNCTION("GOOGLETRANSLATE(B146, ""it"", ""en"")"),"What does the event represent for Florence today?")</f>
        <v>What does the event represent for Florence today?</v>
      </c>
      <c r="I146" s="5" t="str">
        <f>IFERROR(__xludf.DUMMYFUNCTION("GOOGLETRANSLATE(C146, ""it"", ""en"")"),"A. A modern sporting event B. A cultural attraction C. A tourist opportunity D. A city festival")</f>
        <v>A. A modern sporting event B. A cultural attraction C. A tourist opportunity D. A city festival</v>
      </c>
      <c r="J146" s="5" t="str">
        <f>IFERROR(__xludf.DUMMYFUNCTION("GOOGLETRANSLATE(D146, ""it"", ""en"")"),"A cultural reminder")</f>
        <v>A cultural reminder</v>
      </c>
      <c r="K146" s="5" t="str">
        <f>IFERROR(__xludf.DUMMYFUNCTION("GOOGLETRANSLATE(E146, ""it"", ""en"")"),"Calcio Storico is a cultural symbol for the city.")</f>
        <v>Calcio Storico is a cultural symbol for the city.</v>
      </c>
      <c r="L146" s="3"/>
      <c r="M146" s="3"/>
      <c r="N146" s="3"/>
      <c r="O146" s="3"/>
      <c r="P146" s="3"/>
      <c r="Q146" s="3"/>
      <c r="R146" s="3"/>
      <c r="S146" s="3"/>
      <c r="T146" s="3"/>
    </row>
    <row r="147" ht="22.5" customHeight="1">
      <c r="A147" s="4">
        <v>148.0</v>
      </c>
      <c r="B147" s="5" t="s">
        <v>567</v>
      </c>
      <c r="C147" s="4" t="s">
        <v>568</v>
      </c>
      <c r="D147" s="5" t="s">
        <v>569</v>
      </c>
      <c r="E147" s="5" t="s">
        <v>570</v>
      </c>
      <c r="F147" s="3"/>
      <c r="G147" s="5" t="str">
        <f>IFERROR(__xludf.DUMMYFUNCTION("GOOGLETRANSLATE(A147, ""it"", ""en"")"),"148")</f>
        <v>148</v>
      </c>
      <c r="H147" s="5" t="str">
        <f>IFERROR(__xludf.DUMMYFUNCTION("GOOGLETRANSLATE(B147, ""it"", ""en"")"),"How are the player roles distributed?")</f>
        <v>How are the player roles distributed?</v>
      </c>
      <c r="I147" s="5" t="str">
        <f>IFERROR(__xludf.DUMMYFUNCTION("GOOGLETRANSLATE(C147, ""it"", ""en"")"),"A. Based on age B. Based on strategy C. Based on strength D. Based on the draw")</f>
        <v>A. Based on age B. Based on strategy C. Based on strength D. Based on the draw</v>
      </c>
      <c r="J147" s="5" t="str">
        <f>IFERROR(__xludf.DUMMYFUNCTION("GOOGLETRANSLATE(D147, ""it"", ""en"")"),"Based on the strategy")</f>
        <v>Based on the strategy</v>
      </c>
      <c r="K147" s="5" t="str">
        <f>IFERROR(__xludf.DUMMYFUNCTION("GOOGLETRANSLATE(E147, ""it"", ""en"")"),"Roles are decided based on the team's tactics.")</f>
        <v>Roles are decided based on the team's tactics.</v>
      </c>
      <c r="L147" s="3"/>
      <c r="M147" s="3"/>
      <c r="N147" s="3"/>
      <c r="O147" s="3"/>
      <c r="P147" s="3"/>
      <c r="Q147" s="3"/>
      <c r="R147" s="3"/>
      <c r="S147" s="3"/>
      <c r="T147" s="3"/>
    </row>
    <row r="148" ht="22.5" customHeight="1">
      <c r="A148" s="4">
        <v>149.0</v>
      </c>
      <c r="B148" s="5" t="s">
        <v>571</v>
      </c>
      <c r="C148" s="4" t="s">
        <v>572</v>
      </c>
      <c r="D148" s="5" t="s">
        <v>573</v>
      </c>
      <c r="E148" s="5" t="s">
        <v>574</v>
      </c>
      <c r="F148" s="3"/>
      <c r="G148" s="5" t="str">
        <f>IFERROR(__xludf.DUMMYFUNCTION("GOOGLETRANSLATE(A148, ""it"", ""en"")"),"149")</f>
        <v>149</v>
      </c>
      <c r="H148" s="5" t="str">
        <f>IFERROR(__xludf.DUMMYFUNCTION("GOOGLETRANSLATE(B148, ""it"", ""en"")"),"What is the role of the secondary referees?")</f>
        <v>What is the role of the secondary referees?</v>
      </c>
      <c r="I148" s="5" t="str">
        <f>IFERROR(__xludf.DUMMYFUNCTION("GOOGLETRANSLATE(C148, ""it"", ""en"")"),"A. Supervise scrums B. Manage substitutions C. Keep score D. Report fouls")</f>
        <v>A. Supervise scrums B. Manage substitutions C. Keep score D. Report fouls</v>
      </c>
      <c r="J148" s="5" t="str">
        <f>IFERROR(__xludf.DUMMYFUNCTION("GOOGLETRANSLATE(D148, ""it"", ""en"")"),"Reporting misconduct")</f>
        <v>Reporting misconduct</v>
      </c>
      <c r="K148" s="5" t="str">
        <f>IFERROR(__xludf.DUMMYFUNCTION("GOOGLETRANSLATE(E148, ""it"", ""en"")"),"Secondary referees help detect fouls and misconduct.")</f>
        <v>Secondary referees help detect fouls and misconduct.</v>
      </c>
      <c r="L148" s="3"/>
      <c r="M148" s="3"/>
      <c r="N148" s="3"/>
      <c r="O148" s="3"/>
      <c r="P148" s="3"/>
      <c r="Q148" s="3"/>
      <c r="R148" s="3"/>
      <c r="S148" s="3"/>
      <c r="T148" s="3"/>
    </row>
    <row r="149" ht="22.5" customHeight="1">
      <c r="A149" s="4">
        <v>150.0</v>
      </c>
      <c r="B149" s="5" t="s">
        <v>575</v>
      </c>
      <c r="C149" s="4" t="s">
        <v>576</v>
      </c>
      <c r="D149" s="5" t="s">
        <v>577</v>
      </c>
      <c r="E149" s="5" t="s">
        <v>578</v>
      </c>
      <c r="F149" s="3"/>
      <c r="G149" s="5" t="str">
        <f>IFERROR(__xludf.DUMMYFUNCTION("GOOGLETRANSLATE(A149, ""it"", ""en"")"),"150")</f>
        <v>150</v>
      </c>
      <c r="H149" s="5" t="str">
        <f>IFERROR(__xludf.DUMMYFUNCTION("GOOGLETRANSLATE(B149, ""it"", ""en"")"),"What does ""playing for the neighborhood"" mean?")</f>
        <v>What does "playing for the neighborhood" mean?</v>
      </c>
      <c r="I149" s="5" t="str">
        <f>IFERROR(__xludf.DUMMYFUNCTION("GOOGLETRANSLATE(C149, ""it"", ""en"")"),"A. Defend the colors B. Compete for the prize C. Have fun together D. Promote the city")</f>
        <v>A. Defend the colors B. Compete for the prize C. Have fun together D. Promote the city</v>
      </c>
      <c r="J149" s="5" t="str">
        <f>IFERROR(__xludf.DUMMYFUNCTION("GOOGLETRANSLATE(D149, ""it"", ""en"")"),"Defending the colors")</f>
        <v>Defending the colors</v>
      </c>
      <c r="K149" s="5" t="str">
        <f>IFERROR(__xludf.DUMMYFUNCTION("GOOGLETRANSLATE(E149, ""it"", ""en"")"),"The game represents the pride and identity of the neighborhood.")</f>
        <v>The game represents the pride and identity of the neighborhood.</v>
      </c>
      <c r="L149" s="3"/>
      <c r="M149" s="3"/>
      <c r="N149" s="3"/>
      <c r="O149" s="3"/>
      <c r="P149" s="3"/>
      <c r="Q149" s="3"/>
      <c r="R149" s="3"/>
      <c r="S149" s="3"/>
      <c r="T149" s="3"/>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88"/>
    <col customWidth="1" min="2" max="2" width="37.63"/>
    <col customWidth="1" min="3" max="3" width="31.75"/>
    <col customWidth="1" min="4" max="4" width="37.63"/>
    <col customWidth="1" min="8" max="8" width="18.5"/>
    <col customWidth="1" min="9" max="10" width="37.63"/>
    <col customWidth="1" min="11" max="11" width="36.38"/>
    <col customWidth="1" min="12" max="12" width="37.63"/>
  </cols>
  <sheetData>
    <row r="1" ht="22.5" customHeight="1">
      <c r="A1" s="8" t="s">
        <v>579</v>
      </c>
      <c r="B1" s="8" t="s">
        <v>1</v>
      </c>
      <c r="C1" s="2" t="s">
        <v>2</v>
      </c>
      <c r="D1" s="8" t="s">
        <v>580</v>
      </c>
      <c r="E1" s="8" t="s">
        <v>4</v>
      </c>
      <c r="F1" s="3"/>
      <c r="G1" s="3"/>
      <c r="H1" s="2" t="s">
        <v>0</v>
      </c>
      <c r="I1" s="2" t="s">
        <v>5</v>
      </c>
      <c r="J1" s="2" t="s">
        <v>6</v>
      </c>
      <c r="K1" s="8" t="s">
        <v>7</v>
      </c>
      <c r="L1" s="8" t="s">
        <v>8</v>
      </c>
    </row>
    <row r="2" ht="22.5" customHeight="1">
      <c r="A2" s="4">
        <v>1.0</v>
      </c>
      <c r="B2" s="5" t="s">
        <v>581</v>
      </c>
      <c r="C2" s="5" t="s">
        <v>582</v>
      </c>
      <c r="D2" s="5" t="s">
        <v>583</v>
      </c>
      <c r="E2" s="5" t="s">
        <v>584</v>
      </c>
      <c r="F2" s="3"/>
      <c r="G2" s="3"/>
      <c r="H2" s="5" t="str">
        <f>IFERROR(__xludf.DUMMYFUNCTION("GOOGLETRANSLATE(A2,""it"",""en"")"),"1")</f>
        <v>1</v>
      </c>
      <c r="I2" s="5" t="str">
        <f>IFERROR(__xludf.DUMMYFUNCTION("GOOGLETRANSLATE(B2,""it"",""en"")"),"What is the origin of the game of Bocce?")</f>
        <v>What is the origin of the game of Bocce?</v>
      </c>
      <c r="J2" s="5" t="str">
        <f>IFERROR(__xludf.DUMMYFUNCTION("GOOGLETRANSLATE(C2,""it"",""en"")"),"A. Italy B. France C. Greece D. Spain")</f>
        <v>A. Italy B. France C. Greece D. Spain</v>
      </c>
      <c r="K2" s="5" t="str">
        <f>IFERROR(__xludf.DUMMYFUNCTION("GOOGLETRANSLATE(D2,""it"",""en"")"),"Italy")</f>
        <v>Italy</v>
      </c>
      <c r="L2" s="5" t="str">
        <f>IFERROR(__xludf.DUMMYFUNCTION("GOOGLETRANSLATE(E2,""it"",""en"")"),"The game of Bocce has ancient origins in Italy, dating back to Roman times.")</f>
        <v>The game of Bocce has ancient origins in Italy, dating back to Roman times.</v>
      </c>
    </row>
    <row r="3" ht="22.5" customHeight="1">
      <c r="A3" s="4">
        <v>2.0</v>
      </c>
      <c r="B3" s="5" t="s">
        <v>585</v>
      </c>
      <c r="C3" s="5" t="s">
        <v>586</v>
      </c>
      <c r="D3" s="5" t="s">
        <v>587</v>
      </c>
      <c r="E3" s="5" t="s">
        <v>588</v>
      </c>
      <c r="F3" s="3"/>
      <c r="G3" s="3"/>
      <c r="H3" s="5" t="str">
        <f>IFERROR(__xludf.DUMMYFUNCTION("GOOGLETRANSLATE(A3,""it"",""en"")"),"2")</f>
        <v>2</v>
      </c>
      <c r="I3" s="5" t="str">
        <f>IFERROR(__xludf.DUMMYFUNCTION("GOOGLETRANSLATE(B3,""it"",""en"")"),"In which century did the game of Bocce develop?")</f>
        <v>In which century did the game of Bocce develop?</v>
      </c>
      <c r="J3" s="5" t="str">
        <f>IFERROR(__xludf.DUMMYFUNCTION("GOOGLETRANSLATE(C3,""it"",""en"")"),"A. 8th century BC B. 15th century C. 17th century D. 20th century")</f>
        <v>A. 8th century BC B. 15th century C. 17th century D. 20th century</v>
      </c>
      <c r="K3" s="5" t="str">
        <f>IFERROR(__xludf.DUMMYFUNCTION("GOOGLETRANSLATE(D3,""it"",""en"")"),"15th century")</f>
        <v>15th century</v>
      </c>
      <c r="L3" s="5" t="str">
        <f>IFERROR(__xludf.DUMMYFUNCTION("GOOGLETRANSLATE(E3,""it"",""en"")"),"The game of Bocce evolved during the Italian Renaissance.")</f>
        <v>The game of Bocce evolved during the Italian Renaissance.</v>
      </c>
    </row>
    <row r="4" ht="22.5" customHeight="1">
      <c r="A4" s="4">
        <v>3.0</v>
      </c>
      <c r="B4" s="5" t="s">
        <v>589</v>
      </c>
      <c r="C4" s="5" t="s">
        <v>590</v>
      </c>
      <c r="D4" s="5" t="s">
        <v>591</v>
      </c>
      <c r="E4" s="5" t="s">
        <v>592</v>
      </c>
      <c r="F4" s="3"/>
      <c r="G4" s="3"/>
      <c r="H4" s="5" t="str">
        <f>IFERROR(__xludf.DUMMYFUNCTION("GOOGLETRANSLATE(A4,""it"",""en"")"),"3")</f>
        <v>3</v>
      </c>
      <c r="I4" s="5" t="str">
        <f>IFERROR(__xludf.DUMMYFUNCTION("GOOGLETRANSLATE(B4,""it"",""en"")"),"What is the name of the smallest ball in Bocce?")</f>
        <v>What is the name of the smallest ball in Bocce?</v>
      </c>
      <c r="J4" s="5" t="str">
        <f>IFERROR(__xludf.DUMMYFUNCTION("GOOGLETRANSLATE(C4,""it"",""en"")"),"A. Bowl B. Ball C. Jack D. Throwing ball")</f>
        <v>A. Bowl B. Ball C. Jack D. Throwing ball</v>
      </c>
      <c r="K4" s="5" t="str">
        <f>IFERROR(__xludf.DUMMYFUNCTION("GOOGLETRANSLATE(D4,""it"",""en"")"),"Jack")</f>
        <v>Jack</v>
      </c>
      <c r="L4" s="5" t="str">
        <f>IFERROR(__xludf.DUMMYFUNCTION("GOOGLETRANSLATE(E4,""it"",""en"")"),"The smallest ball is called the 'Jack' or 'snitch'.")</f>
        <v>The smallest ball is called the 'Jack' or 'snitch'.</v>
      </c>
    </row>
    <row r="5" ht="22.5" customHeight="1">
      <c r="A5" s="4">
        <v>4.0</v>
      </c>
      <c r="B5" s="5" t="s">
        <v>593</v>
      </c>
      <c r="C5" s="5" t="s">
        <v>594</v>
      </c>
      <c r="D5" s="5" t="s">
        <v>595</v>
      </c>
      <c r="E5" s="5" t="s">
        <v>596</v>
      </c>
      <c r="F5" s="3"/>
      <c r="G5" s="3"/>
      <c r="H5" s="5" t="str">
        <f>IFERROR(__xludf.DUMMYFUNCTION("GOOGLETRANSLATE(A5,""it"",""en"")"),"4")</f>
        <v>4</v>
      </c>
      <c r="I5" s="5" t="str">
        <f>IFERROR(__xludf.DUMMYFUNCTION("GOOGLETRANSLATE(B5,""it"",""en"")"),"Where is Bocce traditionally played in Italy?")</f>
        <v>Where is Bocce traditionally played in Italy?</v>
      </c>
      <c r="J5" s="5" t="str">
        <f>IFERROR(__xludf.DUMMYFUNCTION("GOOGLETRANSLATE(C5,""it"",""en"")"),"A. On beaches B. In public parks C. On dirt tracks D. At home")</f>
        <v>A. On beaches B. In public parks C. On dirt tracks D. At home</v>
      </c>
      <c r="K5" s="5" t="str">
        <f>IFERROR(__xludf.DUMMYFUNCTION("GOOGLETRANSLATE(D5,""it"",""en"")"),"On dirt tracks")</f>
        <v>On dirt tracks</v>
      </c>
      <c r="L5" s="5" t="str">
        <f>IFERROR(__xludf.DUMMYFUNCTION("GOOGLETRANSLATE(E5,""it"",""en"")"),"Traditionally, Bocce is played on clay courts.")</f>
        <v>Traditionally, Bocce is played on clay courts.</v>
      </c>
    </row>
    <row r="6" ht="22.5" customHeight="1">
      <c r="A6" s="4">
        <v>5.0</v>
      </c>
      <c r="B6" s="5" t="s">
        <v>597</v>
      </c>
      <c r="C6" s="5" t="s">
        <v>598</v>
      </c>
      <c r="D6" s="5" t="s">
        <v>599</v>
      </c>
      <c r="E6" s="5" t="s">
        <v>600</v>
      </c>
      <c r="F6" s="3"/>
      <c r="G6" s="3"/>
      <c r="H6" s="5" t="str">
        <f>IFERROR(__xludf.DUMMYFUNCTION("GOOGLETRANSLATE(A6,""it"",""en"")"),"5")</f>
        <v>5</v>
      </c>
      <c r="I6" s="5" t="str">
        <f>IFERROR(__xludf.DUMMYFUNCTION("GOOGLETRANSLATE(B6,""it"",""en"")"),"In which Italian city was the game of Bocce born?")</f>
        <v>In which Italian city was the game of Bocce born?</v>
      </c>
      <c r="J6" s="5" t="str">
        <f>IFERROR(__xludf.DUMMYFUNCTION("GOOGLETRANSLATE(C6,""it"",""en"")"),"A. Rome B. Naples C. Milan D. Genoa")</f>
        <v>A. Rome B. Naples C. Milan D. Genoa</v>
      </c>
      <c r="K6" s="5" t="str">
        <f>IFERROR(__xludf.DUMMYFUNCTION("GOOGLETRANSLATE(D6,""it"",""en"")"),"Genoa")</f>
        <v>Genoa</v>
      </c>
      <c r="L6" s="5" t="str">
        <f>IFERROR(__xludf.DUMMYFUNCTION("GOOGLETRANSLATE(E6,""it"",""en"")"),"The origins of Bocce are linked to the city of Genoa.")</f>
        <v>The origins of Bocce are linked to the city of Genoa.</v>
      </c>
    </row>
    <row r="7" ht="22.5" customHeight="1">
      <c r="A7" s="4">
        <v>6.0</v>
      </c>
      <c r="B7" s="5" t="s">
        <v>601</v>
      </c>
      <c r="C7" s="5" t="s">
        <v>602</v>
      </c>
      <c r="D7" s="5" t="s">
        <v>603</v>
      </c>
      <c r="E7" s="5" t="s">
        <v>604</v>
      </c>
      <c r="F7" s="3"/>
      <c r="G7" s="3"/>
      <c r="H7" s="5" t="str">
        <f>IFERROR(__xludf.DUMMYFUNCTION("GOOGLETRANSLATE(A7,""it"",""en"")"),"6")</f>
        <v>6</v>
      </c>
      <c r="I7" s="5" t="str">
        <f>IFERROR(__xludf.DUMMYFUNCTION("GOOGLETRANSLATE(B7,""it"",""en"")"),"How many bowls are used in a standard game?")</f>
        <v>How many bowls are used in a standard game?</v>
      </c>
      <c r="J7" s="5" t="str">
        <f>IFERROR(__xludf.DUMMYFUNCTION("GOOGLETRANSLATE(C7,""it"",""en"")"),"A. 4 bowls B. 6 bowls C. 8 bowls D. 10 bowls")</f>
        <v>A. 4 bowls B. 6 bowls C. 8 bowls D. 10 bowls</v>
      </c>
      <c r="K7" s="5" t="str">
        <f>IFERROR(__xludf.DUMMYFUNCTION("GOOGLETRANSLATE(D7,""it"",""en"")"),"8 bowls")</f>
        <v>8 bowls</v>
      </c>
      <c r="L7" s="5" t="str">
        <f>IFERROR(__xludf.DUMMYFUNCTION("GOOGLETRANSLATE(E7,""it"",""en"")"),"In a standard game of Bocce, each player uses 4 bocce.")</f>
        <v>In a standard game of Bocce, each player uses 4 bocce.</v>
      </c>
    </row>
    <row r="8" ht="22.5" customHeight="1">
      <c r="A8" s="4">
        <v>7.0</v>
      </c>
      <c r="B8" s="5" t="s">
        <v>605</v>
      </c>
      <c r="C8" s="5" t="s">
        <v>606</v>
      </c>
      <c r="D8" s="5" t="s">
        <v>607</v>
      </c>
      <c r="E8" s="5" t="s">
        <v>608</v>
      </c>
      <c r="F8" s="3"/>
      <c r="G8" s="3"/>
      <c r="H8" s="5" t="str">
        <f>IFERROR(__xludf.DUMMYFUNCTION("GOOGLETRANSLATE(A8,""it"",""en"")"),"7")</f>
        <v>7</v>
      </c>
      <c r="I8" s="5" t="str">
        <f>IFERROR(__xludf.DUMMYFUNCTION("GOOGLETRANSLATE(B8,""it"",""en"")"),"What is the purpose of the game of Bocce?")</f>
        <v>What is the purpose of the game of Bocce?</v>
      </c>
      <c r="J8" s="5" t="str">
        <f>IFERROR(__xludf.DUMMYFUNCTION("GOOGLETRANSLATE(C8,""it"",""en"")"),"A. Throw the ball as far as possible B. Score points by throwing the ball close to the jack C. Bounce it on the sand D. Pass it through a hoop")</f>
        <v>A. Throw the ball as far as possible B. Score points by throwing the ball close to the jack C. Bounce it on the sand D. Pass it through a hoop</v>
      </c>
      <c r="K8" s="5" t="str">
        <f>IFERROR(__xludf.DUMMYFUNCTION("GOOGLETRANSLATE(D8,""it"",""en"")"),"Score points by throwing the ball near the jack")</f>
        <v>Score points by throwing the ball near the jack</v>
      </c>
      <c r="L8" s="5" t="str">
        <f>IFERROR(__xludf.DUMMYFUNCTION("GOOGLETRANSLATE(E8,""it"",""en"")"),"The objective of the game is to throw the ball as close to the jack as possible.")</f>
        <v>The objective of the game is to throw the ball as close to the jack as possible.</v>
      </c>
    </row>
    <row r="9" ht="22.5" customHeight="1">
      <c r="A9" s="4">
        <v>8.0</v>
      </c>
      <c r="B9" s="5" t="s">
        <v>609</v>
      </c>
      <c r="C9" s="5" t="s">
        <v>610</v>
      </c>
      <c r="D9" s="5" t="s">
        <v>611</v>
      </c>
      <c r="E9" s="5" t="s">
        <v>612</v>
      </c>
      <c r="F9" s="3"/>
      <c r="G9" s="3"/>
      <c r="H9" s="5" t="str">
        <f>IFERROR(__xludf.DUMMYFUNCTION("GOOGLETRANSLATE(A9,""it"",""en"")"),"8")</f>
        <v>8</v>
      </c>
      <c r="I9" s="5" t="str">
        <f>IFERROR(__xludf.DUMMYFUNCTION("GOOGLETRANSLATE(B9,""it"",""en"")"),"What is the name of the area where the ball is thrown in the game of Bocce?")</f>
        <v>What is the name of the area where the ball is thrown in the game of Bocce?</v>
      </c>
      <c r="J9" s="5" t="str">
        <f>IFERROR(__xludf.DUMMYFUNCTION("GOOGLETRANSLATE(C9,""it"",""en"")"),"A. Field B. Runway C. Launch area D. Pit")</f>
        <v>A. Field B. Runway C. Launch area D. Pit</v>
      </c>
      <c r="K9" s="5" t="str">
        <f>IFERROR(__xludf.DUMMYFUNCTION("GOOGLETRANSLATE(D9,""it"",""en"")"),"Track")</f>
        <v>Track</v>
      </c>
      <c r="L9" s="5" t="str">
        <f>IFERROR(__xludf.DUMMYFUNCTION("GOOGLETRANSLATE(E9,""it"",""en"")"),"The game takes place on a dedicated track.")</f>
        <v>The game takes place on a dedicated track.</v>
      </c>
    </row>
    <row r="10" ht="22.5" customHeight="1">
      <c r="A10" s="4">
        <v>9.0</v>
      </c>
      <c r="B10" s="5" t="s">
        <v>613</v>
      </c>
      <c r="C10" s="5" t="s">
        <v>614</v>
      </c>
      <c r="D10" s="5" t="s">
        <v>615</v>
      </c>
      <c r="E10" s="5" t="s">
        <v>616</v>
      </c>
      <c r="F10" s="3"/>
      <c r="G10" s="3"/>
      <c r="H10" s="5" t="str">
        <f>IFERROR(__xludf.DUMMYFUNCTION("GOOGLETRANSLATE(A10,""it"",""en"")"),"9")</f>
        <v>9</v>
      </c>
      <c r="I10" s="5" t="str">
        <f>IFERROR(__xludf.DUMMYFUNCTION("GOOGLETRANSLATE(B10,""it"",""en"")"),"What happens if a ball hits the jack?")</f>
        <v>What happens if a ball hits the jack?</v>
      </c>
      <c r="J10" s="5" t="str">
        <f>IFERROR(__xludf.DUMMYFUNCTION("GOOGLETRANSLATE(C10,""it"",""en"")"),"A. A point is lost B. A point is gained C. The ball is rejected D. Nothing happens")</f>
        <v>A. A point is lost B. A point is gained C. The ball is rejected D. Nothing happens</v>
      </c>
      <c r="K10" s="5" t="str">
        <f>IFERROR(__xludf.DUMMYFUNCTION("GOOGLETRANSLATE(D10,""it"",""en"")"),"You earn a point")</f>
        <v>You earn a point</v>
      </c>
      <c r="L10" s="5" t="str">
        <f>IFERROR(__xludf.DUMMYFUNCTION("GOOGLETRANSLATE(E10,""it"",""en"")"),"Hitting the snitch gives the player points.")</f>
        <v>Hitting the snitch gives the player points.</v>
      </c>
    </row>
    <row r="11" ht="22.5" customHeight="1">
      <c r="A11" s="4">
        <v>10.0</v>
      </c>
      <c r="B11" s="5" t="s">
        <v>617</v>
      </c>
      <c r="C11" s="5" t="s">
        <v>618</v>
      </c>
      <c r="D11" s="5" t="s">
        <v>619</v>
      </c>
      <c r="E11" s="5" t="s">
        <v>620</v>
      </c>
      <c r="F11" s="3"/>
      <c r="G11" s="3"/>
      <c r="H11" s="5" t="str">
        <f>IFERROR(__xludf.DUMMYFUNCTION("GOOGLETRANSLATE(A11,""it"",""en"")"),"10")</f>
        <v>10</v>
      </c>
      <c r="I11" s="5" t="str">
        <f>IFERROR(__xludf.DUMMYFUNCTION("GOOGLETRANSLATE(B11,""it"",""en"")"),"In which international competition is Bocce played?")</f>
        <v>In which international competition is Bocce played?</v>
      </c>
      <c r="J11" s="5" t="str">
        <f>IFERROR(__xludf.DUMMYFUNCTION("GOOGLETRANSLATE(C11,""it"",""en"")"),"A. Olympics B. World Bowls Championships C. European Bowls Championships D. World Games")</f>
        <v>A. Olympics B. World Bowls Championships C. European Bowls Championships D. World Games</v>
      </c>
      <c r="K11" s="5" t="str">
        <f>IFERROR(__xludf.DUMMYFUNCTION("GOOGLETRANSLATE(D11,""it"",""en"")"),"World Bowls Championships")</f>
        <v>World Bowls Championships</v>
      </c>
      <c r="L11" s="5" t="str">
        <f>IFERROR(__xludf.DUMMYFUNCTION("GOOGLETRANSLATE(E11,""it"",""en"")"),"The Bocce World Championships are the main international competition.")</f>
        <v>The Bocce World Championships are the main international competition.</v>
      </c>
    </row>
    <row r="12" ht="22.5" customHeight="1">
      <c r="A12" s="4">
        <v>11.0</v>
      </c>
      <c r="B12" s="5" t="s">
        <v>621</v>
      </c>
      <c r="C12" s="5" t="s">
        <v>622</v>
      </c>
      <c r="D12" s="5" t="s">
        <v>623</v>
      </c>
      <c r="E12" s="5" t="s">
        <v>624</v>
      </c>
      <c r="F12" s="3"/>
      <c r="G12" s="3"/>
      <c r="H12" s="5" t="str">
        <f>IFERROR(__xludf.DUMMYFUNCTION("GOOGLETRANSLATE(A12,""it"",""en"")"),"11")</f>
        <v>11</v>
      </c>
      <c r="I12" s="5" t="str">
        <f>IFERROR(__xludf.DUMMYFUNCTION("GOOGLETRANSLATE(B12,""it"",""en"")"),"When were the Bocce rules formalized?")</f>
        <v>When were the Bocce rules formalized?</v>
      </c>
      <c r="J12" s="5" t="str">
        <f>IFERROR(__xludf.DUMMYFUNCTION("GOOGLETRANSLATE(C12,""it"",""en"")"),"A. In 1840 B. In 1900 C. In 1928 D. In 1934")</f>
        <v>A. In 1840 B. In 1900 C. In 1928 D. In 1934</v>
      </c>
      <c r="K12" s="5" t="str">
        <f>IFERROR(__xludf.DUMMYFUNCTION("GOOGLETRANSLATE(D12,""it"",""en"")"),"In 1900")</f>
        <v>In 1900</v>
      </c>
      <c r="L12" s="5" t="str">
        <f>IFERROR(__xludf.DUMMYFUNCTION("GOOGLETRANSLATE(E12,""it"",""en"")"),"The formal rules of Bocce were established at the end of the 19th century.")</f>
        <v>The formal rules of Bocce were established at the end of the 19th century.</v>
      </c>
    </row>
    <row r="13" ht="22.5" customHeight="1">
      <c r="A13" s="4">
        <v>12.0</v>
      </c>
      <c r="B13" s="5" t="s">
        <v>625</v>
      </c>
      <c r="C13" s="5" t="s">
        <v>626</v>
      </c>
      <c r="D13" s="5" t="s">
        <v>627</v>
      </c>
      <c r="E13" s="5" t="s">
        <v>628</v>
      </c>
      <c r="F13" s="3"/>
      <c r="G13" s="3"/>
      <c r="H13" s="5" t="str">
        <f>IFERROR(__xludf.DUMMYFUNCTION("GOOGLETRANSLATE(A13,""it"",""en"")"),"12")</f>
        <v>12</v>
      </c>
      <c r="I13" s="5" t="str">
        <f>IFERROR(__xludf.DUMMYFUNCTION("GOOGLETRANSLATE(B13,""it"",""en"")"),"What is the typical length of a Bocce lane?")</f>
        <v>What is the typical length of a Bocce lane?</v>
      </c>
      <c r="J13" s="5" t="str">
        <f>IFERROR(__xludf.DUMMYFUNCTION("GOOGLETRANSLATE(C13,""it"",""en"")"),"A. 6 meters B. 12 meters C. 18 meters D. 25 meters")</f>
        <v>A. 6 meters B. 12 meters C. 18 meters D. 25 meters</v>
      </c>
      <c r="K13" s="5" t="str">
        <f>IFERROR(__xludf.DUMMYFUNCTION("GOOGLETRANSLATE(D13,""it"",""en"")"),"18 meters")</f>
        <v>18 meters</v>
      </c>
      <c r="L13" s="5" t="str">
        <f>IFERROR(__xludf.DUMMYFUNCTION("GOOGLETRANSLATE(E13,""it"",""en"")"),"The length of a Bocce alley is usually 18 meters.")</f>
        <v>The length of a Bocce alley is usually 18 meters.</v>
      </c>
    </row>
    <row r="14" ht="22.5" customHeight="1">
      <c r="A14" s="4">
        <v>13.0</v>
      </c>
      <c r="B14" s="5" t="s">
        <v>629</v>
      </c>
      <c r="C14" s="5" t="s">
        <v>630</v>
      </c>
      <c r="D14" s="5" t="s">
        <v>631</v>
      </c>
      <c r="E14" s="5" t="s">
        <v>632</v>
      </c>
      <c r="F14" s="3"/>
      <c r="G14" s="3"/>
      <c r="H14" s="5" t="str">
        <f>IFERROR(__xludf.DUMMYFUNCTION("GOOGLETRANSLATE(A14,""it"",""en"")"),"13")</f>
        <v>13</v>
      </c>
      <c r="I14" s="5" t="str">
        <f>IFERROR(__xludf.DUMMYFUNCTION("GOOGLETRANSLATE(B14,""it"",""en"")"),"How many people typically play in a game of Bocce?")</f>
        <v>How many people typically play in a game of Bocce?</v>
      </c>
      <c r="J14" s="5" t="str">
        <f>IFERROR(__xludf.DUMMYFUNCTION("GOOGLETRANSLATE(C14,""it"",""en"")"),"A. 1 or 2 players per team B. 3 or 4 players per team C. 5 or 6 players per team D. 7 or 8 players per team")</f>
        <v>A. 1 or 2 players per team B. 3 or 4 players per team C. 5 or 6 players per team D. 7 or 8 players per team</v>
      </c>
      <c r="K14" s="5" t="str">
        <f>IFERROR(__xludf.DUMMYFUNCTION("GOOGLETRANSLATE(D14,""it"",""en"")"),"1 or 2 players per team")</f>
        <v>1 or 2 players per team</v>
      </c>
      <c r="L14" s="5" t="str">
        <f>IFERROR(__xludf.DUMMYFUNCTION("GOOGLETRANSLATE(E14,""it"",""en"")"),"In a game of Bocce, the game is generally played with 1 or 2 players per team.")</f>
        <v>In a game of Bocce, the game is generally played with 1 or 2 players per team.</v>
      </c>
    </row>
    <row r="15" ht="22.5" customHeight="1">
      <c r="A15" s="4">
        <v>14.0</v>
      </c>
      <c r="B15" s="5" t="s">
        <v>633</v>
      </c>
      <c r="C15" s="5" t="s">
        <v>634</v>
      </c>
      <c r="D15" s="5" t="s">
        <v>635</v>
      </c>
      <c r="E15" s="5" t="s">
        <v>636</v>
      </c>
      <c r="F15" s="3"/>
      <c r="G15" s="3"/>
      <c r="H15" s="5" t="str">
        <f>IFERROR(__xludf.DUMMYFUNCTION("GOOGLETRANSLATE(A15,""it"",""en"")"),"14")</f>
        <v>14</v>
      </c>
      <c r="I15" s="5" t="str">
        <f>IFERROR(__xludf.DUMMYFUNCTION("GOOGLETRANSLATE(B15,""it"",""en"")"),"What is the name of the organization that governs Bocce worldwide?")</f>
        <v>What is the name of the organization that governs Bocce worldwide?</v>
      </c>
      <c r="J15" s="5" t="str">
        <f>IFERROR(__xludf.DUMMYFUNCTION("GOOGLETRANSLATE(C15,""it"",""en"")"),"A. International Bocce Federation (FIB) B. World Bocce Association C. International Bocce Federation D. World Bocce Federation")</f>
        <v>A. International Bocce Federation (FIB) B. World Bocce Association C. International Bocce Federation D. World Bocce Federation</v>
      </c>
      <c r="K15" s="5" t="str">
        <f>IFERROR(__xludf.DUMMYFUNCTION("GOOGLETRANSLATE(D15,""it"",""en"")"),"International Bocce Federation (FIB)")</f>
        <v>International Bocce Federation (FIB)</v>
      </c>
      <c r="L15" s="5" t="str">
        <f>IFERROR(__xludf.DUMMYFUNCTION("GOOGLETRANSLATE(E15,""it"",""en"")"),"FIB manages Bocce globally.")</f>
        <v>FIB manages Bocce globally.</v>
      </c>
    </row>
    <row r="16" ht="22.5" customHeight="1">
      <c r="A16" s="4">
        <v>15.0</v>
      </c>
      <c r="B16" s="5" t="s">
        <v>637</v>
      </c>
      <c r="C16" s="5" t="s">
        <v>638</v>
      </c>
      <c r="D16" s="5" t="s">
        <v>249</v>
      </c>
      <c r="E16" s="5" t="s">
        <v>639</v>
      </c>
      <c r="F16" s="3"/>
      <c r="G16" s="3"/>
      <c r="H16" s="5" t="str">
        <f>IFERROR(__xludf.DUMMYFUNCTION("GOOGLETRANSLATE(A16,""it"",""en"")"),"15")</f>
        <v>15</v>
      </c>
      <c r="I16" s="5" t="str">
        <f>IFERROR(__xludf.DUMMYFUNCTION("GOOGLETRANSLATE(B16,""it"",""en"")"),"What time of year do Bocce tournaments usually take place?")</f>
        <v>What time of year do Bocce tournaments usually take place?</v>
      </c>
      <c r="J16" s="5" t="str">
        <f>IFERROR(__xludf.DUMMYFUNCTION("GOOGLETRANSLATE(C16,""it"",""en"")"),"A. Summer B. Autumn C. Spring D. Winter")</f>
        <v>A. Summer B. Autumn C. Spring D. Winter</v>
      </c>
      <c r="K16" s="5" t="str">
        <f>IFERROR(__xludf.DUMMYFUNCTION("GOOGLETRANSLATE(D16,""it"",""en"")"),"Summer")</f>
        <v>Summer</v>
      </c>
      <c r="L16" s="5" t="str">
        <f>IFERROR(__xludf.DUMMYFUNCTION("GOOGLETRANSLATE(E16,""it"",""en"")"),"Bocce tournaments are mainly held in the summer, when the weather is favorable.")</f>
        <v>Bocce tournaments are mainly held in the summer, when the weather is favorable.</v>
      </c>
    </row>
    <row r="17" ht="22.5" customHeight="1">
      <c r="A17" s="4">
        <v>16.0</v>
      </c>
      <c r="B17" s="5" t="s">
        <v>640</v>
      </c>
      <c r="C17" s="5" t="s">
        <v>641</v>
      </c>
      <c r="D17" s="5" t="s">
        <v>642</v>
      </c>
      <c r="E17" s="5" t="s">
        <v>643</v>
      </c>
      <c r="F17" s="3"/>
      <c r="G17" s="3"/>
      <c r="H17" s="5" t="str">
        <f>IFERROR(__xludf.DUMMYFUNCTION("GOOGLETRANSLATE(A17,""it"",""en"")"),"16")</f>
        <v>16</v>
      </c>
      <c r="I17" s="5" t="str">
        <f>IFERROR(__xludf.DUMMYFUNCTION("GOOGLETRANSLATE(B17,""it"",""en"")"),"What is the term used to indicate a game of Bocce in Italy?")</f>
        <v>What is the term used to indicate a game of Bocce in Italy?</v>
      </c>
      <c r="J17" s="5" t="str">
        <f>IFERROR(__xludf.DUMMYFUNCTION("GOOGLETRANSLATE(C17,""it"",""en"")"),"A. Bowls game B. Bowls game C. Challenge D. Match")</f>
        <v>A. Bowls game B. Bowls game C. Challenge D. Match</v>
      </c>
      <c r="K17" s="5" t="str">
        <f>IFERROR(__xludf.DUMMYFUNCTION("GOOGLETRANSLATE(D17,""it"",""en"")"),"Bowls game")</f>
        <v>Bowls game</v>
      </c>
      <c r="L17" s="5" t="str">
        <f>IFERROR(__xludf.DUMMYFUNCTION("GOOGLETRANSLATE(E17,""it"",""en"")"),"In Italy, a game of Bocce is simply called a 'partita di bocce'.")</f>
        <v>In Italy, a game of Bocce is simply called a 'partita di bocce'.</v>
      </c>
    </row>
    <row r="18" ht="22.5" customHeight="1">
      <c r="A18" s="4">
        <v>17.0</v>
      </c>
      <c r="B18" s="5" t="s">
        <v>644</v>
      </c>
      <c r="C18" s="5" t="s">
        <v>645</v>
      </c>
      <c r="D18" s="5" t="s">
        <v>646</v>
      </c>
      <c r="E18" s="5" t="s">
        <v>647</v>
      </c>
      <c r="F18" s="3"/>
      <c r="G18" s="3"/>
      <c r="H18" s="5" t="str">
        <f>IFERROR(__xludf.DUMMYFUNCTION("GOOGLETRANSLATE(A18,""it"",""en"")"),"17")</f>
        <v>17</v>
      </c>
      <c r="I18" s="5" t="str">
        <f>IFERROR(__xludf.DUMMYFUNCTION("GOOGLETRANSLATE(B18,""it"",""en"")"),"In which Italian city was the first Bocce championship established?")</f>
        <v>In which Italian city was the first Bocce championship established?</v>
      </c>
      <c r="J18" s="5" t="str">
        <f>IFERROR(__xludf.DUMMYFUNCTION("GOOGLETRANSLATE(C18,""it"",""en"")"),"A. Rome B. Naples C. Turin D. Genoa")</f>
        <v>A. Rome B. Naples C. Turin D. Genoa</v>
      </c>
      <c r="K18" s="5" t="str">
        <f>IFERROR(__xludf.DUMMYFUNCTION("GOOGLETRANSLATE(D18,""it"",""en"")"),"Turin")</f>
        <v>Turin</v>
      </c>
      <c r="L18" s="5" t="str">
        <f>IFERROR(__xludf.DUMMYFUNCTION("GOOGLETRANSLATE(E18,""it"",""en"")"),"The first Italian Bocce championship was established in Turin in 1928.")</f>
        <v>The first Italian Bocce championship was established in Turin in 1928.</v>
      </c>
    </row>
    <row r="19" ht="22.5" customHeight="1">
      <c r="A19" s="4">
        <v>18.0</v>
      </c>
      <c r="B19" s="5" t="s">
        <v>648</v>
      </c>
      <c r="C19" s="5" t="s">
        <v>649</v>
      </c>
      <c r="D19" s="5" t="s">
        <v>650</v>
      </c>
      <c r="E19" s="5" t="s">
        <v>651</v>
      </c>
      <c r="F19" s="3"/>
      <c r="G19" s="3"/>
      <c r="H19" s="5" t="str">
        <f>IFERROR(__xludf.DUMMYFUNCTION("GOOGLETRANSLATE(A19,""it"",""en"")"),"18")</f>
        <v>18</v>
      </c>
      <c r="I19" s="5" t="str">
        <f>IFERROR(__xludf.DUMMYFUNCTION("GOOGLETRANSLATE(B19,""it"",""en"")"),"How many points does a team need to win a Bocce match?")</f>
        <v>How many points does a team need to win a Bocce match?</v>
      </c>
      <c r="J19" s="5" t="str">
        <f>IFERROR(__xludf.DUMMYFUNCTION("GOOGLETRANSLATE(C19,""it"",""en"")"),"A. 8 points B. 10 points C. 12 points D. 15 points")</f>
        <v>A. 8 points B. 10 points C. 12 points D. 15 points</v>
      </c>
      <c r="K19" s="5" t="str">
        <f>IFERROR(__xludf.DUMMYFUNCTION("GOOGLETRANSLATE(D19,""it"",""en"")"),"12 points")</f>
        <v>12 points</v>
      </c>
      <c r="L19" s="5" t="str">
        <f>IFERROR(__xludf.DUMMYFUNCTION("GOOGLETRANSLATE(E19,""it"",""en"")"),"A game of Bocce is won when one team reaches 12 points.")</f>
        <v>A game of Bocce is won when one team reaches 12 points.</v>
      </c>
    </row>
    <row r="20" ht="22.5" customHeight="1">
      <c r="A20" s="4">
        <v>19.0</v>
      </c>
      <c r="B20" s="5" t="s">
        <v>652</v>
      </c>
      <c r="C20" s="5" t="s">
        <v>653</v>
      </c>
      <c r="D20" s="5" t="s">
        <v>654</v>
      </c>
      <c r="E20" s="5" t="s">
        <v>655</v>
      </c>
      <c r="F20" s="3"/>
      <c r="G20" s="3"/>
      <c r="H20" s="5" t="str">
        <f>IFERROR(__xludf.DUMMYFUNCTION("GOOGLETRANSLATE(A20,""it"",""en"")"),"19")</f>
        <v>19</v>
      </c>
      <c r="I20" s="5" t="str">
        <f>IFERROR(__xludf.DUMMYFUNCTION("GOOGLETRANSLATE(B20,""it"",""en"")"),"What is the traditional material that bocce balls are made of?")</f>
        <v>What is the traditional material that bocce balls are made of?</v>
      </c>
      <c r="J20" s="5" t="str">
        <f>IFERROR(__xludf.DUMMYFUNCTION("GOOGLETRANSLATE(C20,""it"",""en"")"),"A. Wood B. Special plastics C. Metal D. Ceramics")</f>
        <v>A. Wood B. Special plastics C. Metal D. Ceramics</v>
      </c>
      <c r="K20" s="5" t="str">
        <f>IFERROR(__xludf.DUMMYFUNCTION("GOOGLETRANSLATE(D20,""it"",""en"")"),"Wood")</f>
        <v>Wood</v>
      </c>
      <c r="L20" s="5" t="str">
        <f>IFERROR(__xludf.DUMMYFUNCTION("GOOGLETRANSLATE(E20,""it"",""en"")"),"Traditional bowls were made of wood, although more modern materials are used today.")</f>
        <v>Traditional bowls were made of wood, although more modern materials are used today.</v>
      </c>
    </row>
    <row r="21" ht="22.5" customHeight="1">
      <c r="A21" s="4">
        <v>20.0</v>
      </c>
      <c r="B21" s="5" t="s">
        <v>656</v>
      </c>
      <c r="C21" s="5" t="s">
        <v>657</v>
      </c>
      <c r="D21" s="5" t="s">
        <v>658</v>
      </c>
      <c r="E21" s="5" t="s">
        <v>659</v>
      </c>
      <c r="F21" s="3"/>
      <c r="G21" s="3"/>
      <c r="H21" s="5" t="str">
        <f>IFERROR(__xludf.DUMMYFUNCTION("GOOGLETRANSLATE(A21,""it"",""en"")"),"20")</f>
        <v>20</v>
      </c>
      <c r="I21" s="5" t="str">
        <f>IFERROR(__xludf.DUMMYFUNCTION("GOOGLETRANSLATE(B21,""it"",""en"")"),"How long does a Bocce game typically last?")</f>
        <v>How long does a Bocce game typically last?</v>
      </c>
      <c r="J21" s="5" t="str">
        <f>IFERROR(__xludf.DUMMYFUNCTION("GOOGLETRANSLATE(C21,""it"",""en"")"),"A. 30 minutes B. 45 minutes C. 60 minutes D. 90 minutes")</f>
        <v>A. 30 minutes B. 45 minutes C. 60 minutes D. 90 minutes</v>
      </c>
      <c r="K21" s="5" t="str">
        <f>IFERROR(__xludf.DUMMYFUNCTION("GOOGLETRANSLATE(D21,""it"",""en"")"),"45 minutes")</f>
        <v>45 minutes</v>
      </c>
      <c r="L21" s="5" t="str">
        <f>IFERROR(__xludf.DUMMYFUNCTION("GOOGLETRANSLATE(E21,""it"",""en"")"),"The average duration of a game of Bocce is approximately 45 minutes.")</f>
        <v>The average duration of a game of Bocce is approximately 45 minutes.</v>
      </c>
    </row>
    <row r="22" ht="22.5" customHeight="1">
      <c r="A22" s="4">
        <v>21.0</v>
      </c>
      <c r="B22" s="5" t="s">
        <v>660</v>
      </c>
      <c r="C22" s="5" t="s">
        <v>661</v>
      </c>
      <c r="D22" s="5" t="s">
        <v>662</v>
      </c>
      <c r="E22" s="5" t="s">
        <v>663</v>
      </c>
      <c r="F22" s="3"/>
      <c r="G22" s="3"/>
      <c r="H22" s="5" t="str">
        <f>IFERROR(__xludf.DUMMYFUNCTION("GOOGLETRANSLATE(A22,""it"",""en"")"),"21")</f>
        <v>21</v>
      </c>
      <c r="I22" s="5" t="str">
        <f>IFERROR(__xludf.DUMMYFUNCTION("GOOGLETRANSLATE(B22,""it"",""en"")"),"What type of pitch is preferred for playing Bocce?")</f>
        <v>What type of pitch is preferred for playing Bocce?</v>
      </c>
      <c r="J22" s="5" t="str">
        <f>IFERROR(__xludf.DUMMYFUNCTION("GOOGLETRANSLATE(C22,""it"",""en"")"),"A. Grass B. Sand C. Clay D. Ice")</f>
        <v>A. Grass B. Sand C. Clay D. Ice</v>
      </c>
      <c r="K22" s="5" t="str">
        <f>IFERROR(__xludf.DUMMYFUNCTION("GOOGLETRANSLATE(D22,""it"",""en"")"),"beaten earth")</f>
        <v>beaten earth</v>
      </c>
      <c r="L22" s="5" t="str">
        <f>IFERROR(__xludf.DUMMYFUNCTION("GOOGLETRANSLATE(E22,""it"",""en"")"),"The ideal court for playing Bocce is a clay court.")</f>
        <v>The ideal court for playing Bocce is a clay court.</v>
      </c>
    </row>
    <row r="23" ht="22.5" customHeight="1">
      <c r="A23" s="4">
        <v>22.0</v>
      </c>
      <c r="B23" s="5" t="s">
        <v>664</v>
      </c>
      <c r="C23" s="5" t="s">
        <v>665</v>
      </c>
      <c r="D23" s="5" t="s">
        <v>666</v>
      </c>
      <c r="E23" s="5" t="s">
        <v>667</v>
      </c>
      <c r="F23" s="3"/>
      <c r="G23" s="3"/>
      <c r="H23" s="5" t="str">
        <f>IFERROR(__xludf.DUMMYFUNCTION("GOOGLETRANSLATE(A23,""it"",""en"")"),"22")</f>
        <v>22</v>
      </c>
      <c r="I23" s="5" t="str">
        <f>IFERROR(__xludf.DUMMYFUNCTION("GOOGLETRANSLATE(B23,""it"",""en"")"),"What is the technique of throwing the ball with one hand in Bocce called?")</f>
        <v>What is the technique of throwing the ball with one hand in Bocce called?</v>
      </c>
      <c r="J23" s="5" t="str">
        <f>IFERROR(__xludf.DUMMYFUNCTION("GOOGLETRANSLATE(C23,""it"",""en"")"),"A. Normal grip B. Freehand throw C. Spinning grip D. Flying throw")</f>
        <v>A. Normal grip B. Freehand throw C. Spinning grip D. Flying throw</v>
      </c>
      <c r="K23" s="5" t="str">
        <f>IFERROR(__xludf.DUMMYFUNCTION("GOOGLETRANSLATE(D23,""it"",""en"")"),"Freehand throw")</f>
        <v>Freehand throw</v>
      </c>
      <c r="L23" s="5" t="str">
        <f>IFERROR(__xludf.DUMMYFUNCTION("GOOGLETRANSLATE(E23,""it"",""en"")"),"The traditional boccia throw is performed with a freehand grip.")</f>
        <v>The traditional boccia throw is performed with a freehand grip.</v>
      </c>
    </row>
    <row r="24" ht="22.5" customHeight="1">
      <c r="A24" s="4">
        <v>23.0</v>
      </c>
      <c r="B24" s="5" t="s">
        <v>668</v>
      </c>
      <c r="C24" s="5" t="s">
        <v>669</v>
      </c>
      <c r="D24" s="5" t="s">
        <v>670</v>
      </c>
      <c r="E24" s="5" t="s">
        <v>671</v>
      </c>
      <c r="F24" s="3"/>
      <c r="G24" s="3"/>
      <c r="H24" s="5" t="str">
        <f>IFERROR(__xludf.DUMMYFUNCTION("GOOGLETRANSLATE(A24,""it"",""en"")"),"23")</f>
        <v>23</v>
      </c>
      <c r="I24" s="5" t="str">
        <f>IFERROR(__xludf.DUMMYFUNCTION("GOOGLETRANSLATE(B24,""it"",""en"")"),"In Bocce, what is the primary objective of throwing each ball?")</f>
        <v>In Bocce, what is the primary objective of throwing each ball?</v>
      </c>
      <c r="J24" s="5" t="str">
        <f>IFERROR(__xludf.DUMMYFUNCTION("GOOGLETRANSLATE(C24,""it"",""en"")"),"A. Throw yourself as far as possible B. Hit the jack C. Hit an opponent D. Roll the ball as fast as possible")</f>
        <v>A. Throw yourself as far as possible B. Hit the jack C. Hit an opponent D. Roll the ball as fast as possible</v>
      </c>
      <c r="K24" s="5" t="str">
        <f>IFERROR(__xludf.DUMMYFUNCTION("GOOGLETRANSLATE(D24,""it"",""en"")"),"Hit the snitch")</f>
        <v>Hit the snitch</v>
      </c>
      <c r="L24" s="5" t="str">
        <f>IFERROR(__xludf.DUMMYFUNCTION("GOOGLETRANSLATE(E24,""it"",""en"")"),"The main goal is to try to get as close to the jack as possible.")</f>
        <v>The main goal is to try to get as close to the jack as possible.</v>
      </c>
    </row>
    <row r="25" ht="22.5" customHeight="1">
      <c r="A25" s="4">
        <v>24.0</v>
      </c>
      <c r="B25" s="5" t="s">
        <v>672</v>
      </c>
      <c r="C25" s="5" t="s">
        <v>673</v>
      </c>
      <c r="D25" s="5" t="s">
        <v>674</v>
      </c>
      <c r="E25" s="5" t="s">
        <v>675</v>
      </c>
      <c r="F25" s="3"/>
      <c r="G25" s="3"/>
      <c r="H25" s="5" t="str">
        <f>IFERROR(__xludf.DUMMYFUNCTION("GOOGLETRANSLATE(A25,""it"",""en"")"),"24")</f>
        <v>24</v>
      </c>
      <c r="I25" s="5" t="str">
        <f>IFERROR(__xludf.DUMMYFUNCTION("GOOGLETRANSLATE(B25,""it"",""en"")"),"What kind of training is required to become a good Bocce player?")</f>
        <v>What kind of training is required to become a good Bocce player?</v>
      </c>
      <c r="J25" s="5" t="str">
        <f>IFERROR(__xludf.DUMMYFUNCTION("GOOGLETRANSLATE(C25,""it"",""en"")"),"A. Physical strength B. Agility C. Precision and strategy D. Endurance")</f>
        <v>A. Physical strength B. Agility C. Precision and strategy D. Endurance</v>
      </c>
      <c r="K25" s="5" t="str">
        <f>IFERROR(__xludf.DUMMYFUNCTION("GOOGLETRANSLATE(D25,""it"",""en"")"),"Precision and strategy")</f>
        <v>Precision and strategy</v>
      </c>
      <c r="L25" s="5" t="str">
        <f>IFERROR(__xludf.DUMMYFUNCTION("GOOGLETRANSLATE(E25,""it"",""en"")"),"The game of Bocce requires great precision and strategic ability.")</f>
        <v>The game of Bocce requires great precision and strategic ability.</v>
      </c>
    </row>
    <row r="26" ht="22.5" customHeight="1">
      <c r="A26" s="4">
        <v>25.0</v>
      </c>
      <c r="B26" s="5" t="s">
        <v>676</v>
      </c>
      <c r="C26" s="5" t="s">
        <v>677</v>
      </c>
      <c r="D26" s="5" t="s">
        <v>678</v>
      </c>
      <c r="E26" s="5" t="s">
        <v>679</v>
      </c>
      <c r="F26" s="3"/>
      <c r="G26" s="3"/>
      <c r="H26" s="5" t="str">
        <f>IFERROR(__xludf.DUMMYFUNCTION("GOOGLETRANSLATE(A26,""it"",""en"")"),"25")</f>
        <v>25</v>
      </c>
      <c r="I26" s="5" t="str">
        <f>IFERROR(__xludf.DUMMYFUNCTION("GOOGLETRANSLATE(B26,""it"",""en"")"),"In Bocce, what is a 'valid boccia'?")</f>
        <v>In Bocce, what is a 'valid boccia'?</v>
      </c>
      <c r="J26" s="5" t="str">
        <f>IFERROR(__xludf.DUMMYFUNCTION("GOOGLETRANSLATE(C26,""it"",""en"")"),"A. A ball that touches the jack B. A ball that goes beyond the baseline C. A ball that hits the other ball D. A ball that does not leave the lane")</f>
        <v>A. A ball that touches the jack B. A ball that goes beyond the baseline C. A ball that hits the other ball D. A ball that does not leave the lane</v>
      </c>
      <c r="K26" s="5" t="str">
        <f>IFERROR(__xludf.DUMMYFUNCTION("GOOGLETRANSLATE(D26,""it"",""en"")"),"A ball that touches the jack")</f>
        <v>A ball that touches the jack</v>
      </c>
      <c r="L26" s="5" t="str">
        <f>IFERROR(__xludf.DUMMYFUNCTION("GOOGLETRANSLATE(E26,""it"",""en"")"),"A ball is valid if it touches the jack during the throw.")</f>
        <v>A ball is valid if it touches the jack during the throw.</v>
      </c>
    </row>
    <row r="27" ht="22.5" customHeight="1">
      <c r="A27" s="4">
        <v>26.0</v>
      </c>
      <c r="B27" s="5" t="s">
        <v>680</v>
      </c>
      <c r="C27" s="5" t="s">
        <v>681</v>
      </c>
      <c r="D27" s="5" t="s">
        <v>682</v>
      </c>
      <c r="E27" s="5" t="s">
        <v>683</v>
      </c>
      <c r="F27" s="3"/>
      <c r="G27" s="3"/>
      <c r="H27" s="5" t="str">
        <f>IFERROR(__xludf.DUMMYFUNCTION("GOOGLETRANSLATE(A27,""it"",""en"")"),"26")</f>
        <v>26</v>
      </c>
      <c r="I27" s="5" t="str">
        <f>IFERROR(__xludf.DUMMYFUNCTION("GOOGLETRANSLATE(B27,""it"",""en"")"),"What strategic component is important in the game of Bocce?")</f>
        <v>What strategic component is important in the game of Bocce?</v>
      </c>
      <c r="J27" s="5" t="str">
        <f>IFERROR(__xludf.DUMMYFUNCTION("GOOGLETRANSLATE(C27,""it"",""en"")"),"A. Speed ​​B. Positioning of the balls C. Height of the throw D. Physical endurance")</f>
        <v>A. Speed ​​B. Positioning of the balls C. Height of the throw D. Physical endurance</v>
      </c>
      <c r="K27" s="5" t="str">
        <f>IFERROR(__xludf.DUMMYFUNCTION("GOOGLETRANSLATE(D27,""it"",""en"")"),"Positioning of the balls")</f>
        <v>Positioning of the balls</v>
      </c>
      <c r="L27" s="5" t="str">
        <f>IFERROR(__xludf.DUMMYFUNCTION("GOOGLETRANSLATE(E27,""it"",""en"")"),"The most important strategy in Bocce is the positioning of the balls.")</f>
        <v>The most important strategy in Bocce is the positioning of the balls.</v>
      </c>
    </row>
    <row r="28" ht="22.5" customHeight="1">
      <c r="A28" s="4">
        <v>27.0</v>
      </c>
      <c r="B28" s="5" t="s">
        <v>684</v>
      </c>
      <c r="C28" s="5" t="s">
        <v>685</v>
      </c>
      <c r="D28" s="5" t="s">
        <v>686</v>
      </c>
      <c r="E28" s="5" t="s">
        <v>687</v>
      </c>
      <c r="F28" s="3"/>
      <c r="G28" s="3"/>
      <c r="H28" s="5" t="str">
        <f>IFERROR(__xludf.DUMMYFUNCTION("GOOGLETRANSLATE(A28,""it"",""en"")"),"27")</f>
        <v>27</v>
      </c>
      <c r="I28" s="5" t="str">
        <f>IFERROR(__xludf.DUMMYFUNCTION("GOOGLETRANSLATE(B28,""it"",""en"")"),"How many teams usually participate in a Bocce tournament?")</f>
        <v>How many teams usually participate in a Bocce tournament?</v>
      </c>
      <c r="J28" s="5" t="str">
        <f>IFERROR(__xludf.DUMMYFUNCTION("GOOGLETRANSLATE(C28,""it"",""en"")"),"A. 2 teams B. 4 teams C. 6 teams D. 8 teams")</f>
        <v>A. 2 teams B. 4 teams C. 6 teams D. 8 teams</v>
      </c>
      <c r="K28" s="5" t="str">
        <f>IFERROR(__xludf.DUMMYFUNCTION("GOOGLETRANSLATE(D28,""it"",""en"")"),"2 teams")</f>
        <v>2 teams</v>
      </c>
      <c r="L28" s="5" t="str">
        <f>IFERROR(__xludf.DUMMYFUNCTION("GOOGLETRANSLATE(E28,""it"",""en"")"),"In a Bocce tournament, two teams usually compete against each other.")</f>
        <v>In a Bocce tournament, two teams usually compete against each other.</v>
      </c>
    </row>
    <row r="29" ht="22.5" customHeight="1">
      <c r="A29" s="4">
        <v>28.0</v>
      </c>
      <c r="B29" s="5" t="s">
        <v>688</v>
      </c>
      <c r="C29" s="5" t="s">
        <v>689</v>
      </c>
      <c r="D29" s="5" t="s">
        <v>690</v>
      </c>
      <c r="E29" s="5" t="s">
        <v>691</v>
      </c>
      <c r="F29" s="3"/>
      <c r="G29" s="3"/>
      <c r="H29" s="5" t="str">
        <f>IFERROR(__xludf.DUMMYFUNCTION("GOOGLETRANSLATE(A29,""it"",""en"")"),"28")</f>
        <v>28</v>
      </c>
      <c r="I29" s="5" t="str">
        <f>IFERROR(__xludf.DUMMYFUNCTION("GOOGLETRANSLATE(B29,""it"",""en"")"),"When was Bocce's official debut in the Olympics?")</f>
        <v>When was Bocce's official debut in the Olympics?</v>
      </c>
      <c r="J29" s="5" t="str">
        <f>IFERROR(__xludf.DUMMYFUNCTION("GOOGLETRANSLATE(C29,""it"",""en"")"),"A. It has never been included in the Olympics B. In 1900 C. In 1924 D. In 1960")</f>
        <v>A. It has never been included in the Olympics B. In 1900 C. In 1924 D. In 1960</v>
      </c>
      <c r="K29" s="5" t="str">
        <f>IFERROR(__xludf.DUMMYFUNCTION("GOOGLETRANSLATE(D29,""it"",""en"")"),"It has never been included in the Olympics")</f>
        <v>It has never been included in the Olympics</v>
      </c>
      <c r="L29" s="5" t="str">
        <f>IFERROR(__xludf.DUMMYFUNCTION("GOOGLETRANSLATE(E29,""it"",""en"")"),"Bocce has never been officially included in the Olympics.")</f>
        <v>Bocce has never been officially included in the Olympics.</v>
      </c>
    </row>
    <row r="30" ht="22.5" customHeight="1">
      <c r="A30" s="4">
        <v>29.0</v>
      </c>
      <c r="B30" s="5" t="s">
        <v>692</v>
      </c>
      <c r="C30" s="5" t="s">
        <v>693</v>
      </c>
      <c r="D30" s="5" t="s">
        <v>694</v>
      </c>
      <c r="E30" s="5" t="s">
        <v>695</v>
      </c>
      <c r="F30" s="3"/>
      <c r="G30" s="3"/>
      <c r="H30" s="5" t="str">
        <f>IFERROR(__xludf.DUMMYFUNCTION("GOOGLETRANSLATE(A30,""it"",""en"")"),"29")</f>
        <v>29</v>
      </c>
      <c r="I30" s="5" t="str">
        <f>IFERROR(__xludf.DUMMYFUNCTION("GOOGLETRANSLATE(B30,""it"",""en"")"),"What is the name of the body that regulates the game of Bocce in Italy?")</f>
        <v>What is the name of the body that regulates the game of Bocce in Italy?</v>
      </c>
      <c r="J30" s="5" t="str">
        <f>IFERROR(__xludf.DUMMYFUNCTION("GOOGLETRANSLATE(C30,""it"",""en"")"),"A. Italian Bowls Federation B. National Bowls Committee C. National Bowls Sports Federation D. Bowls Sports Association")</f>
        <v>A. Italian Bowls Federation B. National Bowls Committee C. National Bowls Sports Federation D. Bowls Sports Association</v>
      </c>
      <c r="K30" s="5" t="str">
        <f>IFERROR(__xludf.DUMMYFUNCTION("GOOGLETRANSLATE(D30,""it"",""en"")"),"Italian Bowls Federation")</f>
        <v>Italian Bowls Federation</v>
      </c>
      <c r="L30" s="5" t="str">
        <f>IFERROR(__xludf.DUMMYFUNCTION("GOOGLETRANSLATE(E30,""it"",""en"")"),"The Italian Bocce Federation regulates the game in Italy.")</f>
        <v>The Italian Bocce Federation regulates the game in Italy.</v>
      </c>
    </row>
    <row r="31" ht="22.5" customHeight="1">
      <c r="A31" s="4">
        <v>30.0</v>
      </c>
      <c r="B31" s="5" t="s">
        <v>696</v>
      </c>
      <c r="C31" s="5" t="s">
        <v>697</v>
      </c>
      <c r="D31" s="5" t="s">
        <v>619</v>
      </c>
      <c r="E31" s="5" t="s">
        <v>698</v>
      </c>
      <c r="F31" s="3"/>
      <c r="G31" s="3"/>
      <c r="H31" s="5" t="str">
        <f>IFERROR(__xludf.DUMMYFUNCTION("GOOGLETRANSLATE(A31,""it"",""en"")"),"30")</f>
        <v>30</v>
      </c>
      <c r="I31" s="5" t="str">
        <f>IFERROR(__xludf.DUMMYFUNCTION("GOOGLETRANSLATE(B31,""it"",""en"")"),"What is the most prestigious event in the world of Bocce?")</f>
        <v>What is the most prestigious event in the world of Bocce?</v>
      </c>
      <c r="J31" s="5" t="str">
        <f>IFERROR(__xludf.DUMMYFUNCTION("GOOGLETRANSLATE(C31,""it"",""en"")"),"A. National Bowls Championships B. World Bowls Championships C. Bowls Olympics D. European Bowls Championships")</f>
        <v>A. National Bowls Championships B. World Bowls Championships C. Bowls Olympics D. European Bowls Championships</v>
      </c>
      <c r="K31" s="5" t="str">
        <f>IFERROR(__xludf.DUMMYFUNCTION("GOOGLETRANSLATE(D31,""it"",""en"")"),"World Bowls Championships")</f>
        <v>World Bowls Championships</v>
      </c>
      <c r="L31" s="5" t="str">
        <f>IFERROR(__xludf.DUMMYFUNCTION("GOOGLETRANSLATE(E31,""it"",""en"")"),"The World Bowls Championships are considered the most prestigious event.")</f>
        <v>The World Bowls Championships are considered the most prestigious event.</v>
      </c>
    </row>
    <row r="32" ht="22.5" customHeight="1">
      <c r="A32" s="4">
        <v>31.0</v>
      </c>
      <c r="B32" s="5" t="s">
        <v>699</v>
      </c>
      <c r="C32" s="5" t="s">
        <v>700</v>
      </c>
      <c r="D32" s="5" t="s">
        <v>701</v>
      </c>
      <c r="E32" s="5" t="s">
        <v>702</v>
      </c>
      <c r="F32" s="3"/>
      <c r="G32" s="3"/>
      <c r="H32" s="5" t="str">
        <f>IFERROR(__xludf.DUMMYFUNCTION("GOOGLETRANSLATE(A32,""it"",""en"")"),"31")</f>
        <v>31</v>
      </c>
      <c r="I32" s="5" t="str">
        <f>IFERROR(__xludf.DUMMYFUNCTION("GOOGLETRANSLATE(B32,""it"",""en"")"),"When was Bocce played in ancient Rome?")</f>
        <v>When was Bocce played in ancient Rome?</v>
      </c>
      <c r="J32" s="5" t="str">
        <f>IFERROR(__xludf.DUMMYFUNCTION("GOOGLETRANSLATE(C32,""it"",""en"")"),"A. In winter B. In summer C. During the holidays D. All year round")</f>
        <v>A. In winter B. In summer C. During the holidays D. All year round</v>
      </c>
      <c r="K32" s="5" t="str">
        <f>IFERROR(__xludf.DUMMYFUNCTION("GOOGLETRANSLATE(D32,""it"",""en"")"),"All year round")</f>
        <v>All year round</v>
      </c>
      <c r="L32" s="5" t="str">
        <f>IFERROR(__xludf.DUMMYFUNCTION("GOOGLETRANSLATE(E32,""it"",""en"")"),"The game of Bocce has been played throughout the seasons, but especially during holidays and social events.")</f>
        <v>The game of Bocce has been played throughout the seasons, but especially during holidays and social events.</v>
      </c>
    </row>
    <row r="33" ht="22.5" customHeight="1">
      <c r="A33" s="4">
        <v>32.0</v>
      </c>
      <c r="B33" s="5" t="s">
        <v>703</v>
      </c>
      <c r="C33" s="5" t="s">
        <v>704</v>
      </c>
      <c r="D33" s="5" t="s">
        <v>705</v>
      </c>
      <c r="E33" s="5" t="s">
        <v>706</v>
      </c>
      <c r="F33" s="3"/>
      <c r="G33" s="3"/>
      <c r="H33" s="5" t="str">
        <f>IFERROR(__xludf.DUMMYFUNCTION("GOOGLETRANSLATE(A33,""it"",""en"")"),"32")</f>
        <v>32</v>
      </c>
      <c r="I33" s="5" t="str">
        <f>IFERROR(__xludf.DUMMYFUNCTION("GOOGLETRANSLATE(B33,""it"",""en"")"),"What was the name of the ancient game from which Bocce is believed to derive?")</f>
        <v>What was the name of the ancient game from which Bocce is believed to derive?</v>
      </c>
      <c r="J33" s="5" t="str">
        <f>IFERROR(__xludf.DUMMYFUNCTION("GOOGLETRANSLATE(C33,""it"",""en"")"),"A. Petanque B. Snitch Ball C. Ancient Boccia D. Jeu de boules")</f>
        <v>A. Petanque B. Snitch Ball C. Ancient Boccia D. Jeu de boules</v>
      </c>
      <c r="K33" s="5" t="str">
        <f>IFERROR(__xludf.DUMMYFUNCTION("GOOGLETRANSLATE(D33,""it"",""en"")"),"Ball with the Snitch")</f>
        <v>Ball with the Snitch</v>
      </c>
      <c r="L33" s="5" t="str">
        <f>IFERROR(__xludf.DUMMYFUNCTION("GOOGLETRANSLATE(E33,""it"",""en"")"),"The game of Bocce is an evolution of the ball game played in ancient Rome.")</f>
        <v>The game of Bocce is an evolution of the ball game played in ancient Rome.</v>
      </c>
    </row>
    <row r="34" ht="22.5" customHeight="1">
      <c r="A34" s="4">
        <v>33.0</v>
      </c>
      <c r="B34" s="5" t="s">
        <v>707</v>
      </c>
      <c r="C34" s="5" t="s">
        <v>708</v>
      </c>
      <c r="D34" s="5" t="s">
        <v>709</v>
      </c>
      <c r="E34" s="5" t="s">
        <v>710</v>
      </c>
      <c r="F34" s="3"/>
      <c r="G34" s="3"/>
      <c r="H34" s="5" t="str">
        <f>IFERROR(__xludf.DUMMYFUNCTION("GOOGLETRANSLATE(A34,""it"",""en"")"),"33")</f>
        <v>33</v>
      </c>
      <c r="I34" s="5" t="str">
        <f>IFERROR(__xludf.DUMMYFUNCTION("GOOGLETRANSLATE(B34,""it"",""en"")"),"In Bocce, what is the rule for determining the winner of a round?")</f>
        <v>In Bocce, what is the rule for determining the winner of a round?</v>
      </c>
      <c r="J34" s="5" t="str">
        <f>IFERROR(__xludf.DUMMYFUNCTION("GOOGLETRANSLATE(C34,""it"",""en"")"),"A. Who has the most balls close to the jack B. Who throws first C. Who has the most balls of different colors D. Who hits the jack")</f>
        <v>A. Who has the most balls close to the jack B. Who throws first C. Who has the most balls of different colors D. Who hits the jack</v>
      </c>
      <c r="K34" s="5" t="str">
        <f>IFERROR(__xludf.DUMMYFUNCTION("GOOGLETRANSLATE(D34,""it"",""en"")"),"Whoever has the most balls close to the jack?")</f>
        <v>Whoever has the most balls close to the jack?</v>
      </c>
      <c r="L34" s="5" t="str">
        <f>IFERROR(__xludf.DUMMYFUNCTION("GOOGLETRANSLATE(E34,""it"",""en"")"),"The winner of each round is determined by the ball closest to the jack.")</f>
        <v>The winner of each round is determined by the ball closest to the jack.</v>
      </c>
    </row>
    <row r="35" ht="22.5" customHeight="1">
      <c r="A35" s="4">
        <v>34.0</v>
      </c>
      <c r="B35" s="5" t="s">
        <v>711</v>
      </c>
      <c r="C35" s="5" t="s">
        <v>712</v>
      </c>
      <c r="D35" s="5" t="s">
        <v>662</v>
      </c>
      <c r="E35" s="5" t="s">
        <v>713</v>
      </c>
      <c r="F35" s="3"/>
      <c r="G35" s="3"/>
      <c r="H35" s="5" t="str">
        <f>IFERROR(__xludf.DUMMYFUNCTION("GOOGLETRANSLATE(A35,""it"",""en"")"),"34")</f>
        <v>34</v>
      </c>
      <c r="I35" s="5" t="str">
        <f>IFERROR(__xludf.DUMMYFUNCTION("GOOGLETRANSLATE(B35,""it"",""en"")"),"What type of surface is preferable for a professional bocce alley?")</f>
        <v>What type of surface is preferable for a professional bocce alley?</v>
      </c>
      <c r="J35" s="5" t="str">
        <f>IFERROR(__xludf.DUMMYFUNCTION("GOOGLETRANSLATE(C35,""it"",""en"")"),"A. Synthetic grass B. Asphalt C. Sandy ground D. Clay")</f>
        <v>A. Synthetic grass B. Asphalt C. Sandy ground D. Clay</v>
      </c>
      <c r="K35" s="5" t="str">
        <f>IFERROR(__xludf.DUMMYFUNCTION("GOOGLETRANSLATE(D35,""it"",""en"")"),"beaten earth")</f>
        <v>beaten earth</v>
      </c>
      <c r="L35" s="5" t="str">
        <f>IFERROR(__xludf.DUMMYFUNCTION("GOOGLETRANSLATE(E35,""it"",""en"")"),"The ideal surface for a professional bocce court is clay.")</f>
        <v>The ideal surface for a professional bocce court is clay.</v>
      </c>
    </row>
    <row r="36" ht="22.5" customHeight="1">
      <c r="A36" s="4">
        <v>35.0</v>
      </c>
      <c r="B36" s="5" t="s">
        <v>714</v>
      </c>
      <c r="C36" s="5" t="s">
        <v>715</v>
      </c>
      <c r="D36" s="5" t="s">
        <v>716</v>
      </c>
      <c r="E36" s="5" t="s">
        <v>717</v>
      </c>
      <c r="F36" s="3"/>
      <c r="G36" s="3"/>
      <c r="H36" s="5" t="str">
        <f>IFERROR(__xludf.DUMMYFUNCTION("GOOGLETRANSLATE(A36,""it"",""en"")"),"35")</f>
        <v>35</v>
      </c>
      <c r="I36" s="5" t="str">
        <f>IFERROR(__xludf.DUMMYFUNCTION("GOOGLETRANSLATE(B36,""it"",""en"")"),"In the game of Bocce, what is the small object you aim with called?")</f>
        <v>In the game of Bocce, what is the small object you aim with called?</v>
      </c>
      <c r="J36" s="5" t="str">
        <f>IFERROR(__xludf.DUMMYFUNCTION("GOOGLETRANSLATE(C36,""it"",""en"")"),"A. Jack B. Starting string C. Cue ball D. Jack")</f>
        <v>A. Jack B. Starting string C. Cue ball D. Jack</v>
      </c>
      <c r="K36" s="5" t="str">
        <f>IFERROR(__xludf.DUMMYFUNCTION("GOOGLETRANSLATE(D36,""it"",""en"")"),"Snitch")</f>
        <v>Snitch</v>
      </c>
      <c r="L36" s="5" t="str">
        <f>IFERROR(__xludf.DUMMYFUNCTION("GOOGLETRANSLATE(E36,""it"",""en"")"),"The small object you aim with is called the jack or cue ball.")</f>
        <v>The small object you aim with is called the jack or cue ball.</v>
      </c>
    </row>
    <row r="37" ht="22.5" customHeight="1">
      <c r="A37" s="4">
        <v>36.0</v>
      </c>
      <c r="B37" s="5" t="s">
        <v>718</v>
      </c>
      <c r="C37" s="5" t="s">
        <v>719</v>
      </c>
      <c r="D37" s="5" t="s">
        <v>720</v>
      </c>
      <c r="E37" s="5" t="s">
        <v>721</v>
      </c>
      <c r="F37" s="3"/>
      <c r="G37" s="3"/>
      <c r="H37" s="5" t="str">
        <f>IFERROR(__xludf.DUMMYFUNCTION("GOOGLETRANSLATE(A37,""it"",""en"")"),"36")</f>
        <v>36</v>
      </c>
      <c r="I37" s="5" t="str">
        <f>IFERROR(__xludf.DUMMYFUNCTION("GOOGLETRANSLATE(B37,""it"",""en"")"),"What is the name of the movement a player makes to throw the ball in Bocce?")</f>
        <v>What is the name of the movement a player makes to throw the ball in Bocce?</v>
      </c>
      <c r="J37" s="5" t="str">
        <f>IFERROR(__xludf.DUMMYFUNCTION("GOOGLETRANSLATE(C37,""it"",""en"")"),"A. Straight shot B. Trap shot C. Direct throw D. Normal catch")</f>
        <v>A. Straight shot B. Trap shot C. Direct throw D. Normal catch</v>
      </c>
      <c r="K37" s="5" t="str">
        <f>IFERROR(__xludf.DUMMYFUNCTION("GOOGLETRANSLATE(D37,""it"",""en"")"),"Normal socket")</f>
        <v>Normal socket</v>
      </c>
      <c r="L37" s="5" t="str">
        <f>IFERROR(__xludf.DUMMYFUNCTION("GOOGLETRANSLATE(E37,""it"",""en"")"),"The standard movement for throwing a boccia is called the 'normal grip'.")</f>
        <v>The standard movement for throwing a boccia is called the 'normal grip'.</v>
      </c>
    </row>
    <row r="38" ht="22.5" customHeight="1">
      <c r="A38" s="4">
        <v>37.0</v>
      </c>
      <c r="B38" s="5" t="s">
        <v>722</v>
      </c>
      <c r="C38" s="5" t="s">
        <v>723</v>
      </c>
      <c r="D38" s="5" t="s">
        <v>724</v>
      </c>
      <c r="E38" s="5" t="s">
        <v>725</v>
      </c>
      <c r="F38" s="3"/>
      <c r="G38" s="3"/>
      <c r="H38" s="5" t="str">
        <f>IFERROR(__xludf.DUMMYFUNCTION("GOOGLETRANSLATE(A38,""it"",""en"")"),"37")</f>
        <v>37</v>
      </c>
      <c r="I38" s="5" t="str">
        <f>IFERROR(__xludf.DUMMYFUNCTION("GOOGLETRANSLATE(B38,""it"",""en"")"),"What is the maximum width of a bocce alley?")</f>
        <v>What is the maximum width of a bocce alley?</v>
      </c>
      <c r="J38" s="5" t="str">
        <f>IFERROR(__xludf.DUMMYFUNCTION("GOOGLETRANSLATE(C38,""it"",""en"")"),"A. 2 meters B. 4 meters C. 6 meters D. 8 meters")</f>
        <v>A. 2 meters B. 4 meters C. 6 meters D. 8 meters</v>
      </c>
      <c r="K38" s="5" t="str">
        <f>IFERROR(__xludf.DUMMYFUNCTION("GOOGLETRANSLATE(D38,""it"",""en"")"),"4 meters")</f>
        <v>4 meters</v>
      </c>
      <c r="L38" s="5" t="str">
        <f>IFERROR(__xludf.DUMMYFUNCTION("GOOGLETRANSLATE(E38,""it"",""en"")"),"The maximum width of a bocce alley is 4 meters.")</f>
        <v>The maximum width of a bocce alley is 4 meters.</v>
      </c>
    </row>
    <row r="39" ht="22.5" customHeight="1">
      <c r="A39" s="4">
        <v>38.0</v>
      </c>
      <c r="B39" s="5" t="s">
        <v>726</v>
      </c>
      <c r="C39" s="5" t="s">
        <v>727</v>
      </c>
      <c r="D39" s="5" t="s">
        <v>728</v>
      </c>
      <c r="E39" s="5" t="s">
        <v>729</v>
      </c>
      <c r="F39" s="3"/>
      <c r="G39" s="3"/>
      <c r="H39" s="5" t="str">
        <f>IFERROR(__xludf.DUMMYFUNCTION("GOOGLETRANSLATE(A39,""it"",""en"")"),"38")</f>
        <v>38</v>
      </c>
      <c r="I39" s="5" t="str">
        <f>IFERROR(__xludf.DUMMYFUNCTION("GOOGLETRANSLATE(B39,""it"",""en"")"),"When did competitive Bocce begin?")</f>
        <v>When did competitive Bocce begin?</v>
      </c>
      <c r="J39" s="5" t="str">
        <f>IFERROR(__xludf.DUMMYFUNCTION("GOOGLETRANSLATE(C39,""it"",""en"")"),"A. In the 18th century B. In the 19th century C. In the 20th century D. In the 17th century")</f>
        <v>A. In the 18th century B. In the 19th century C. In the 20th century D. In the 17th century</v>
      </c>
      <c r="K39" s="5" t="str">
        <f>IFERROR(__xludf.DUMMYFUNCTION("GOOGLETRANSLATE(D39,""it"",""en"")"),"In the 19th century")</f>
        <v>In the 19th century</v>
      </c>
      <c r="L39" s="5" t="str">
        <f>IFERROR(__xludf.DUMMYFUNCTION("GOOGLETRANSLATE(E39,""it"",""en"")"),"The game of Bocce became competitive in the 19th century.")</f>
        <v>The game of Bocce became competitive in the 19th century.</v>
      </c>
    </row>
    <row r="40" ht="22.5" customHeight="1">
      <c r="A40" s="4">
        <v>39.0</v>
      </c>
      <c r="B40" s="5" t="s">
        <v>730</v>
      </c>
      <c r="C40" s="5" t="s">
        <v>731</v>
      </c>
      <c r="D40" s="5" t="s">
        <v>732</v>
      </c>
      <c r="E40" s="5" t="s">
        <v>733</v>
      </c>
      <c r="F40" s="3"/>
      <c r="G40" s="3"/>
      <c r="H40" s="5" t="str">
        <f>IFERROR(__xludf.DUMMYFUNCTION("GOOGLETRANSLATE(A40,""it"",""en"")"),"39")</f>
        <v>39</v>
      </c>
      <c r="I40" s="5" t="str">
        <f>IFERROR(__xludf.DUMMYFUNCTION("GOOGLETRANSLATE(B40,""it"",""en"")"),"Which of these nations does not have a Bocce tradition?")</f>
        <v>Which of these nations does not have a Bocce tradition?</v>
      </c>
      <c r="J40" s="5" t="str">
        <f>IFERROR(__xludf.DUMMYFUNCTION("GOOGLETRANSLATE(C40,""it"",""en"")"),"A. France B. Italy C. Spain D. Germany")</f>
        <v>A. France B. Italy C. Spain D. Germany</v>
      </c>
      <c r="K40" s="5" t="str">
        <f>IFERROR(__xludf.DUMMYFUNCTION("GOOGLETRANSLATE(D40,""it"",""en"")"),"Germany")</f>
        <v>Germany</v>
      </c>
      <c r="L40" s="5" t="str">
        <f>IFERROR(__xludf.DUMMYFUNCTION("GOOGLETRANSLATE(E40,""it"",""en"")"),"Germany does not have a well-established Bocce tradition like other countries.")</f>
        <v>Germany does not have a well-established Bocce tradition like other countries.</v>
      </c>
    </row>
    <row r="41" ht="22.5" customHeight="1">
      <c r="A41" s="4">
        <v>40.0</v>
      </c>
      <c r="B41" s="5" t="s">
        <v>734</v>
      </c>
      <c r="C41" s="5" t="s">
        <v>735</v>
      </c>
      <c r="D41" s="5" t="s">
        <v>736</v>
      </c>
      <c r="E41" s="5" t="s">
        <v>737</v>
      </c>
      <c r="F41" s="3"/>
      <c r="G41" s="3"/>
      <c r="H41" s="5" t="str">
        <f>IFERROR(__xludf.DUMMYFUNCTION("GOOGLETRANSLATE(A41,""it"",""en"")"),"40")</f>
        <v>40</v>
      </c>
      <c r="I41" s="5" t="str">
        <f>IFERROR(__xludf.DUMMYFUNCTION("GOOGLETRANSLATE(B41,""it"",""en"")"),"In Bocce, how are points counted?")</f>
        <v>In Bocce, how are points counted?</v>
      </c>
      <c r="J41" s="5" t="str">
        <f>IFERROR(__xludf.DUMMYFUNCTION("GOOGLETRANSLATE(C41,""it"",""en"")"),"A. Each ball won is worth one point B. Each ball counts as half a point C. Each ball hit is worth one point D. Points are earned only for the jack")</f>
        <v>A. Each ball won is worth one point B. Each ball counts as half a point C. Each ball hit is worth one point D. Points are earned only for the jack</v>
      </c>
      <c r="K41" s="5" t="str">
        <f>IFERROR(__xludf.DUMMYFUNCTION("GOOGLETRANSLATE(D41,""it"",""en"")"),"Each bowl won is worth one point")</f>
        <v>Each bowl won is worth one point</v>
      </c>
      <c r="L41" s="5" t="str">
        <f>IFERROR(__xludf.DUMMYFUNCTION("GOOGLETRANSLATE(E41,""it"",""en"")"),"In each round, one point is earned for each ball closest to the jack.")</f>
        <v>In each round, one point is earned for each ball closest to the jack.</v>
      </c>
    </row>
    <row r="42" ht="22.5" customHeight="1">
      <c r="A42" s="4">
        <v>41.0</v>
      </c>
      <c r="B42" s="5" t="s">
        <v>738</v>
      </c>
      <c r="C42" s="5" t="s">
        <v>739</v>
      </c>
      <c r="D42" s="5" t="s">
        <v>740</v>
      </c>
      <c r="E42" s="5" t="s">
        <v>741</v>
      </c>
      <c r="F42" s="3"/>
      <c r="G42" s="3"/>
      <c r="H42" s="5" t="str">
        <f>IFERROR(__xludf.DUMMYFUNCTION("GOOGLETRANSLATE(A42,""it"",""en"")"),"41")</f>
        <v>41</v>
      </c>
      <c r="I42" s="5" t="str">
        <f>IFERROR(__xludf.DUMMYFUNCTION("GOOGLETRANSLATE(B42,""it"",""en"")"),"What is the minimum length of a bocce lane?")</f>
        <v>What is the minimum length of a bocce lane?</v>
      </c>
      <c r="J42" s="5" t="str">
        <f>IFERROR(__xludf.DUMMYFUNCTION("GOOGLETRANSLATE(C42,""it"",""en"")"),"A. 10 meters B. 12 meters C. 14 meters D. 16 meters")</f>
        <v>A. 10 meters B. 12 meters C. 14 meters D. 16 meters</v>
      </c>
      <c r="K42" s="5" t="str">
        <f>IFERROR(__xludf.DUMMYFUNCTION("GOOGLETRANSLATE(D42,""it"",""en"")"),"12 meters")</f>
        <v>12 meters</v>
      </c>
      <c r="L42" s="5" t="str">
        <f>IFERROR(__xludf.DUMMYFUNCTION("GOOGLETRANSLATE(E42,""it"",""en"")"),"The minimum length for a bocce lane is 12 meters.")</f>
        <v>The minimum length for a bocce lane is 12 meters.</v>
      </c>
    </row>
    <row r="43" ht="22.5" customHeight="1">
      <c r="A43" s="4">
        <v>42.0</v>
      </c>
      <c r="B43" s="5" t="s">
        <v>742</v>
      </c>
      <c r="C43" s="5" t="s">
        <v>743</v>
      </c>
      <c r="D43" s="5" t="s">
        <v>744</v>
      </c>
      <c r="E43" s="9" t="s">
        <v>745</v>
      </c>
      <c r="F43" s="3"/>
      <c r="G43" s="3"/>
      <c r="H43" s="5" t="str">
        <f>IFERROR(__xludf.DUMMYFUNCTION("GOOGLETRANSLATE(A43,""it"",""en"")"),"42")</f>
        <v>42</v>
      </c>
      <c r="I43" s="5" t="str">
        <f>IFERROR(__xludf.DUMMYFUNCTION("GOOGLETRANSLATE(B43,""it"",""en"")"),"In the game of Bocce, what does 'shooting at goal' mean?")</f>
        <v>In the game of Bocce, what does 'shooting at goal' mean?</v>
      </c>
      <c r="J43" s="5" t="str">
        <f>IFERROR(__xludf.DUMMYFUNCTION("GOOGLETRANSLATE(C43,""it"",""en"")"),"A. Throwing the ball too hard B. Rolling it precisely towards the jack C. Putting the ball off the lane D. Throwing the ball at the jack")</f>
        <v>A. Throwing the ball too hard B. Rolling it precisely towards the jack C. Putting the ball off the lane D. Throwing the ball at the jack</v>
      </c>
      <c r="K43" s="5" t="str">
        <f>IFERROR(__xludf.DUMMYFUNCTION("GOOGLETRANSLATE(D43,""it"",""en"")"),"Roll it precisely towards the jack")</f>
        <v>Roll it precisely towards the jack</v>
      </c>
      <c r="L43" s="5" t="str">
        <f>IFERROR(__xludf.DUMMYFUNCTION("GOOGLETRANSLATE(E43,""it"",""en"")"),"'To throw a goal' means to throw the ball precisely towards the jack.")</f>
        <v>'To throw a goal' means to throw the ball precisely towards the jack.</v>
      </c>
    </row>
    <row r="44" ht="22.5" customHeight="1">
      <c r="A44" s="4">
        <v>43.0</v>
      </c>
      <c r="B44" s="5" t="s">
        <v>746</v>
      </c>
      <c r="C44" s="5" t="s">
        <v>747</v>
      </c>
      <c r="D44" s="5" t="s">
        <v>748</v>
      </c>
      <c r="E44" s="5" t="s">
        <v>749</v>
      </c>
      <c r="F44" s="3"/>
      <c r="G44" s="3"/>
      <c r="H44" s="5" t="str">
        <f>IFERROR(__xludf.DUMMYFUNCTION("GOOGLETRANSLATE(A44,""it"",""en"")"),"43")</f>
        <v>43</v>
      </c>
      <c r="I44" s="5" t="str">
        <f>IFERROR(__xludf.DUMMYFUNCTION("GOOGLETRANSLATE(B44,""it"",""en"")"),"In Bocce, what happens if a ball goes off the lane?")</f>
        <v>In Bocce, what happens if a ball goes off the lane?</v>
      </c>
      <c r="J44" s="5" t="str">
        <f>IFERROR(__xludf.DUMMYFUNCTION("GOOGLETRANSLATE(C44,""it"",""en"")"),"A. It is put back into play B. It is discarded C. It is taken as a point D. It is returned to the player")</f>
        <v>A. It is put back into play B. It is discarded C. It is taken as a point D. It is returned to the player</v>
      </c>
      <c r="K44" s="5" t="str">
        <f>IFERROR(__xludf.DUMMYFUNCTION("GOOGLETRANSLATE(D44,""it"",""en"")"),"It is discarded")</f>
        <v>It is discarded</v>
      </c>
      <c r="L44" s="5" t="str">
        <f>IFERROR(__xludf.DUMMYFUNCTION("GOOGLETRANSLATE(E44,""it"",""en"")"),"If a ball leaves the lane, it is considered discarded.")</f>
        <v>If a ball leaves the lane, it is considered discarded.</v>
      </c>
    </row>
    <row r="45" ht="22.5" customHeight="1">
      <c r="A45" s="4">
        <v>44.0</v>
      </c>
      <c r="B45" s="5" t="s">
        <v>750</v>
      </c>
      <c r="C45" s="5" t="s">
        <v>751</v>
      </c>
      <c r="D45" s="5" t="s">
        <v>752</v>
      </c>
      <c r="E45" s="5" t="s">
        <v>753</v>
      </c>
      <c r="F45" s="3"/>
      <c r="G45" s="3"/>
      <c r="H45" s="5" t="str">
        <f>IFERROR(__xludf.DUMMYFUNCTION("GOOGLETRANSLATE(A45,""it"",""en"")"),"44")</f>
        <v>44</v>
      </c>
      <c r="I45" s="5" t="str">
        <f>IFERROR(__xludf.DUMMYFUNCTION("GOOGLETRANSLATE(B45,""it"",""en"")"),"In the game of Bocce, how many bowls does each player have in a two-player game?")</f>
        <v>In the game of Bocce, how many bowls does each player have in a two-player game?</v>
      </c>
      <c r="J45" s="5" t="str">
        <f>IFERROR(__xludf.DUMMYFUNCTION("GOOGLETRANSLATE(C45,""it"",""en"")"),"A. 4 bowls B. 5 bowls C. 6 bowls D. 3 bowls")</f>
        <v>A. 4 bowls B. 5 bowls C. 6 bowls D. 3 bowls</v>
      </c>
      <c r="K45" s="5" t="str">
        <f>IFERROR(__xludf.DUMMYFUNCTION("GOOGLETRANSLATE(D45,""it"",""en"")"),"4 bowls")</f>
        <v>4 bowls</v>
      </c>
      <c r="L45" s="5" t="str">
        <f>IFERROR(__xludf.DUMMYFUNCTION("GOOGLETRANSLATE(E45,""it"",""en"")"),"In a two-player game, each player has 4 bowls.")</f>
        <v>In a two-player game, each player has 4 bowls.</v>
      </c>
    </row>
    <row r="46" ht="22.5" customHeight="1">
      <c r="A46" s="4">
        <v>45.0</v>
      </c>
      <c r="B46" s="5" t="s">
        <v>754</v>
      </c>
      <c r="C46" s="5" t="s">
        <v>755</v>
      </c>
      <c r="D46" s="5" t="s">
        <v>756</v>
      </c>
      <c r="E46" s="5" t="s">
        <v>757</v>
      </c>
      <c r="F46" s="3"/>
      <c r="G46" s="3"/>
      <c r="H46" s="5" t="str">
        <f>IFERROR(__xludf.DUMMYFUNCTION("GOOGLETRANSLATE(A46,""it"",""en"")"),"45")</f>
        <v>45</v>
      </c>
      <c r="I46" s="5" t="str">
        <f>IFERROR(__xludf.DUMMYFUNCTION("GOOGLETRANSLATE(B46,""it"",""en"")"),"Who is considered the founder of the Italian Bocce Federation?")</f>
        <v>Who is considered the founder of the Italian Bocce Federation?</v>
      </c>
      <c r="J46" s="5" t="str">
        <f>IFERROR(__xludf.DUMMYFUNCTION("GOOGLETRANSLATE(C46,""it"",""en"")"),"A. Luigi Giacomini B. Giovanni Zamboni C. Francesco Dapporto D. Antonio Zamboni")</f>
        <v>A. Luigi Giacomini B. Giovanni Zamboni C. Francesco Dapporto D. Antonio Zamboni</v>
      </c>
      <c r="K46" s="5" t="str">
        <f>IFERROR(__xludf.DUMMYFUNCTION("GOOGLETRANSLATE(D46,""it"",""en"")"),"Antonio Zamboni")</f>
        <v>Antonio Zamboni</v>
      </c>
      <c r="L46" s="5" t="str">
        <f>IFERROR(__xludf.DUMMYFUNCTION("GOOGLETRANSLATE(E46,""it"",""en"")"),"Antonio Zamboni was the founder of the Italian Bocce Federation.")</f>
        <v>Antonio Zamboni was the founder of the Italian Bocce Federation.</v>
      </c>
    </row>
    <row r="47" ht="22.5" customHeight="1">
      <c r="A47" s="4">
        <v>46.0</v>
      </c>
      <c r="B47" s="5" t="s">
        <v>758</v>
      </c>
      <c r="C47" s="5" t="s">
        <v>759</v>
      </c>
      <c r="D47" s="5" t="s">
        <v>760</v>
      </c>
      <c r="E47" s="5" t="s">
        <v>761</v>
      </c>
      <c r="F47" s="3"/>
      <c r="G47" s="3"/>
      <c r="H47" s="5" t="str">
        <f>IFERROR(__xludf.DUMMYFUNCTION("GOOGLETRANSLATE(A47,""it"",""en"")"),"46")</f>
        <v>46</v>
      </c>
      <c r="I47" s="5" t="str">
        <f>IFERROR(__xludf.DUMMYFUNCTION("GOOGLETRANSLATE(B47,""it"",""en"")"),"In the game of Bocce, what is the value of the ball furthest from the jack at the end of the round?")</f>
        <v>In the game of Bocce, what is the value of the ball furthest from the jack at the end of the round?</v>
      </c>
      <c r="J47" s="5" t="str">
        <f>IFERROR(__xludf.DUMMYFUNCTION("GOOGLETRANSLATE(C47,""it"",""en"")"),"A. 0 points B. 1 point C. 2 points D. It is removed from the game")</f>
        <v>A. 0 points B. 1 point C. 2 points D. It is removed from the game</v>
      </c>
      <c r="K47" s="5" t="str">
        <f>IFERROR(__xludf.DUMMYFUNCTION("GOOGLETRANSLATE(D47,""it"",""en"")"),"0 points")</f>
        <v>0 points</v>
      </c>
      <c r="L47" s="5" t="str">
        <f>IFERROR(__xludf.DUMMYFUNCTION("GOOGLETRANSLATE(E47,""it"",""en"")"),"The ball furthest from the jack does not contribute to scoring.")</f>
        <v>The ball furthest from the jack does not contribute to scoring.</v>
      </c>
    </row>
    <row r="48" ht="22.5" customHeight="1">
      <c r="A48" s="4">
        <v>47.0</v>
      </c>
      <c r="B48" s="5" t="s">
        <v>762</v>
      </c>
      <c r="C48" s="5" t="s">
        <v>763</v>
      </c>
      <c r="D48" s="5" t="s">
        <v>599</v>
      </c>
      <c r="E48" s="5" t="s">
        <v>764</v>
      </c>
      <c r="F48" s="3"/>
      <c r="G48" s="3"/>
      <c r="H48" s="5" t="str">
        <f>IFERROR(__xludf.DUMMYFUNCTION("GOOGLETRANSLATE(A48,""it"",""en"")"),"47")</f>
        <v>47</v>
      </c>
      <c r="I48" s="5" t="str">
        <f>IFERROR(__xludf.DUMMYFUNCTION("GOOGLETRANSLATE(B48,""it"",""en"")"),"Where was the first national Bocce association founded in Italy?")</f>
        <v>Where was the first national Bocce association founded in Italy?</v>
      </c>
      <c r="J48" s="5" t="str">
        <f>IFERROR(__xludf.DUMMYFUNCTION("GOOGLETRANSLATE(C48,""it"",""en"")"),"A. Rome B. Genoa C. Milan D. Naples")</f>
        <v>A. Rome B. Genoa C. Milan D. Naples</v>
      </c>
      <c r="K48" s="5" t="str">
        <f>IFERROR(__xludf.DUMMYFUNCTION("GOOGLETRANSLATE(D48,""it"",""en"")"),"Genoa")</f>
        <v>Genoa</v>
      </c>
      <c r="L48" s="5" t="str">
        <f>IFERROR(__xludf.DUMMYFUNCTION("GOOGLETRANSLATE(E48,""it"",""en"")"),"The first national Bocce association was founded in Genoa.")</f>
        <v>The first national Bocce association was founded in Genoa.</v>
      </c>
    </row>
    <row r="49" ht="22.5" customHeight="1">
      <c r="A49" s="4">
        <v>48.0</v>
      </c>
      <c r="B49" s="5" t="s">
        <v>765</v>
      </c>
      <c r="C49" s="5" t="s">
        <v>766</v>
      </c>
      <c r="D49" s="5" t="s">
        <v>767</v>
      </c>
      <c r="E49" s="9" t="s">
        <v>768</v>
      </c>
      <c r="F49" s="3"/>
      <c r="G49" s="3"/>
      <c r="H49" s="5" t="str">
        <f>IFERROR(__xludf.DUMMYFUNCTION("GOOGLETRANSLATE(A49,""it"",""en"")"),"48")</f>
        <v>48</v>
      </c>
      <c r="I49" s="5" t="str">
        <f>IFERROR(__xludf.DUMMYFUNCTION("GOOGLETRANSLATE(B49,""it"",""en"")"),"In the game of Bocce, what does the term 'covering' a ball mean?")</f>
        <v>In the game of Bocce, what does the term 'covering' a ball mean?</v>
      </c>
      <c r="J49" s="5" t="str">
        <f>IFERROR(__xludf.DUMMYFUNCTION("GOOGLETRANSLATE(C49,""it"",""en"")"),"A. Place a ball near the jack B. Remove an opponent's ball C. Throw the ball over the opponent D. Place the ball above the baseline")</f>
        <v>A. Place a ball near the jack B. Remove an opponent's ball C. Throw the ball over the opponent D. Place the ball above the baseline</v>
      </c>
      <c r="K49" s="5" t="str">
        <f>IFERROR(__xludf.DUMMYFUNCTION("GOOGLETRANSLATE(D49,""it"",""en"")"),"Place a ball near the jack")</f>
        <v>Place a ball near the jack</v>
      </c>
      <c r="L49" s="5" t="str">
        <f>IFERROR(__xludf.DUMMYFUNCTION("GOOGLETRANSLATE(E49,""it"",""en"")"),"'Cover' refers to the positioning of the ball near the jack.")</f>
        <v>'Cover' refers to the positioning of the ball near the jack.</v>
      </c>
    </row>
    <row r="50" ht="22.5" customHeight="1">
      <c r="A50" s="4">
        <v>49.0</v>
      </c>
      <c r="B50" s="5" t="s">
        <v>769</v>
      </c>
      <c r="C50" s="5" t="s">
        <v>770</v>
      </c>
      <c r="D50" s="5" t="s">
        <v>771</v>
      </c>
      <c r="E50" s="5" t="s">
        <v>772</v>
      </c>
      <c r="F50" s="3"/>
      <c r="G50" s="3"/>
      <c r="H50" s="5" t="str">
        <f>IFERROR(__xludf.DUMMYFUNCTION("GOOGLETRANSLATE(A50,""it"",""en"")"),"49")</f>
        <v>49</v>
      </c>
      <c r="I50" s="5" t="str">
        <f>IFERROR(__xludf.DUMMYFUNCTION("GOOGLETRANSLATE(B50,""it"",""en"")"),"In Bocce, which of these techniques is most used?")</f>
        <v>In Bocce, which of these techniques is most used?</v>
      </c>
      <c r="J50" s="5" t="str">
        <f>IFERROR(__xludf.DUMMYFUNCTION("GOOGLETRANSLATE(C50,""it"",""en"")"),"A. Parabolic throw B. Straight throw C. Spinning throw D. Jump throw")</f>
        <v>A. Parabolic throw B. Straight throw C. Spinning throw D. Jump throw</v>
      </c>
      <c r="K50" s="5" t="str">
        <f>IFERROR(__xludf.DUMMYFUNCTION("GOOGLETRANSLATE(D50,""it"",""en"")"),"Straight shot")</f>
        <v>Straight shot</v>
      </c>
      <c r="L50" s="5" t="str">
        <f>IFERROR(__xludf.DUMMYFUNCTION("GOOGLETRANSLATE(E50,""it"",""en"")"),"The straight shot is the most used technique in the game of Bocce.")</f>
        <v>The straight shot is the most used technique in the game of Bocce.</v>
      </c>
    </row>
    <row r="51" ht="22.5" customHeight="1">
      <c r="A51" s="4">
        <v>50.0</v>
      </c>
      <c r="B51" s="5" t="s">
        <v>773</v>
      </c>
      <c r="C51" s="5" t="s">
        <v>774</v>
      </c>
      <c r="D51" s="5" t="s">
        <v>775</v>
      </c>
      <c r="E51" s="5" t="s">
        <v>776</v>
      </c>
      <c r="F51" s="3"/>
      <c r="G51" s="3"/>
      <c r="H51" s="5" t="str">
        <f>IFERROR(__xludf.DUMMYFUNCTION("GOOGLETRANSLATE(A51,""it"",""en"")"),"50")</f>
        <v>50</v>
      </c>
      <c r="I51" s="5" t="str">
        <f>IFERROR(__xludf.DUMMYFUNCTION("GOOGLETRANSLATE(B51,""it"",""en"")"),"What is the main international Bocce championship?")</f>
        <v>What is the main international Bocce championship?</v>
      </c>
      <c r="J51" s="5" t="str">
        <f>IFERROR(__xludf.DUMMYFUNCTION("GOOGLETRANSLATE(C51,""it"",""en"")"),"A. World Bowls Championship B. European Bowls Cup C. Olympic Bowls Games D. Continental Bowls Championship")</f>
        <v>A. World Bowls Championship B. European Bowls Cup C. Olympic Bowls Games D. Continental Bowls Championship</v>
      </c>
      <c r="K51" s="5" t="str">
        <f>IFERROR(__xludf.DUMMYFUNCTION("GOOGLETRANSLATE(D51,""it"",""en"")"),"World Bowls Championship")</f>
        <v>World Bowls Championship</v>
      </c>
      <c r="L51" s="5" t="str">
        <f>IFERROR(__xludf.DUMMYFUNCTION("GOOGLETRANSLATE(E51,""it"",""en"")"),"The Bocce World Championship is the premier international competitive event.")</f>
        <v>The Bocce World Championship is the premier international competitive event.</v>
      </c>
    </row>
    <row r="52" ht="22.5" customHeight="1">
      <c r="A52" s="4">
        <v>51.0</v>
      </c>
      <c r="B52" s="5" t="s">
        <v>777</v>
      </c>
      <c r="C52" s="5" t="s">
        <v>778</v>
      </c>
      <c r="D52" s="5" t="s">
        <v>779</v>
      </c>
      <c r="E52" s="5" t="s">
        <v>780</v>
      </c>
      <c r="F52" s="3"/>
      <c r="G52" s="3"/>
      <c r="H52" s="5" t="str">
        <f>IFERROR(__xludf.DUMMYFUNCTION("GOOGLETRANSLATE(A52,""it"",""en"")"),"51")</f>
        <v>51</v>
      </c>
      <c r="I52" s="5" t="str">
        <f>IFERROR(__xludf.DUMMYFUNCTION("GOOGLETRANSLATE(B52,""it"",""en"")"),"Which of the following is a variation of the game of Bocce?")</f>
        <v>Which of the following is a variation of the game of Bocce?</v>
      </c>
      <c r="J52" s="5" t="str">
        <f>IFERROR(__xludf.DUMMYFUNCTION("GOOGLETRANSLATE(C52,""it"",""en"")"),"A. Snitch ball B. Petanque C. Bocce football D. Boules Lyonnaise")</f>
        <v>A. Snitch ball B. Petanque C. Bocce football D. Boules Lyonnaise</v>
      </c>
      <c r="K52" s="5" t="str">
        <f>IFERROR(__xludf.DUMMYFUNCTION("GOOGLETRANSLATE(D52,""it"",""en"")"),"Pétanque")</f>
        <v>Pétanque</v>
      </c>
      <c r="L52" s="5" t="str">
        <f>IFERROR(__xludf.DUMMYFUNCTION("GOOGLETRANSLATE(E52,""it"",""en"")"),"Pétanque is a variation of the game of bocce, very popular in France.")</f>
        <v>Pétanque is a variation of the game of bocce, very popular in France.</v>
      </c>
    </row>
    <row r="53" ht="22.5" customHeight="1">
      <c r="A53" s="4">
        <v>52.0</v>
      </c>
      <c r="B53" s="5" t="s">
        <v>781</v>
      </c>
      <c r="C53" s="5" t="s">
        <v>782</v>
      </c>
      <c r="D53" s="5" t="s">
        <v>783</v>
      </c>
      <c r="E53" s="5" t="s">
        <v>784</v>
      </c>
      <c r="F53" s="3"/>
      <c r="G53" s="3"/>
      <c r="H53" s="5" t="str">
        <f>IFERROR(__xludf.DUMMYFUNCTION("GOOGLETRANSLATE(A53,""it"",""en"")"),"52")</f>
        <v>52</v>
      </c>
      <c r="I53" s="5" t="str">
        <f>IFERROR(__xludf.DUMMYFUNCTION("GOOGLETRANSLATE(B53,""it"",""en"")"),"What happens if a player throws the ball without catching it correctly?")</f>
        <v>What happens if a player throws the ball without catching it correctly?</v>
      </c>
      <c r="J53" s="5" t="str">
        <f>IFERROR(__xludf.DUMMYFUNCTION("GOOGLETRANSLATE(C53,""it"",""en"")"),"A. The ball is discarded B. The ball is refused C. The shot is repeated D. It is penalized by one point")</f>
        <v>A. The ball is discarded B. The ball is refused C. The shot is repeated D. It is penalized by one point</v>
      </c>
      <c r="K53" s="5" t="str">
        <f>IFERROR(__xludf.DUMMYFUNCTION("GOOGLETRANSLATE(D53,""it"",""en"")"),"The shot is repeated")</f>
        <v>The shot is repeated</v>
      </c>
      <c r="L53" s="5" t="str">
        <f>IFERROR(__xludf.DUMMYFUNCTION("GOOGLETRANSLATE(E53,""it"",""en"")"),"If the throw is not executed correctly, the player may retry the throw.")</f>
        <v>If the throw is not executed correctly, the player may retry the throw.</v>
      </c>
    </row>
    <row r="54" ht="22.5" customHeight="1">
      <c r="A54" s="4">
        <v>53.0</v>
      </c>
      <c r="B54" s="5" t="s">
        <v>785</v>
      </c>
      <c r="C54" s="5" t="s">
        <v>786</v>
      </c>
      <c r="D54" s="5" t="s">
        <v>787</v>
      </c>
      <c r="E54" s="5" t="s">
        <v>788</v>
      </c>
      <c r="F54" s="3"/>
      <c r="G54" s="3"/>
      <c r="H54" s="5" t="str">
        <f>IFERROR(__xludf.DUMMYFUNCTION("GOOGLETRANSLATE(A54,""it"",""en"")"),"53")</f>
        <v>53</v>
      </c>
      <c r="I54" s="5" t="str">
        <f>IFERROR(__xludf.DUMMYFUNCTION("GOOGLETRANSLATE(B54,""it"",""en"")"),"What is the story behind the introduction of Bocce as an official sport?")</f>
        <v>What is the story behind the introduction of Bocce as an official sport?</v>
      </c>
      <c r="J54" s="5" t="str">
        <f>IFERROR(__xludf.DUMMYFUNCTION("GOOGLETRANSLATE(C54,""it"",""en"")"),"A. It has military origins B. It was created as an aristocratic pastime C. It was promoted by the Italian government D. It originated as a playground game")</f>
        <v>A. It has military origins B. It was created as an aristocratic pastime C. It was promoted by the Italian government D. It originated as a playground game</v>
      </c>
      <c r="K54" s="5" t="str">
        <f>IFERROR(__xludf.DUMMYFUNCTION("GOOGLETRANSLATE(D54,""it"",""en"")"),"It was created as an aristocratic pastime")</f>
        <v>It was created as an aristocratic pastime</v>
      </c>
      <c r="L54" s="5" t="str">
        <f>IFERROR(__xludf.DUMMYFUNCTION("GOOGLETRANSLATE(E54,""it"",""en"")"),"Bocce was played as a pastime by nobles and aristocrats during the Renaissance.")</f>
        <v>Bocce was played as a pastime by nobles and aristocrats during the Renaissance.</v>
      </c>
    </row>
    <row r="55" ht="22.5" customHeight="1">
      <c r="A55" s="4">
        <v>54.0</v>
      </c>
      <c r="B55" s="5" t="s">
        <v>789</v>
      </c>
      <c r="C55" s="5" t="s">
        <v>790</v>
      </c>
      <c r="D55" s="5" t="s">
        <v>791</v>
      </c>
      <c r="E55" s="5" t="s">
        <v>792</v>
      </c>
      <c r="F55" s="3"/>
      <c r="G55" s="3"/>
      <c r="H55" s="5" t="str">
        <f>IFERROR(__xludf.DUMMYFUNCTION("GOOGLETRANSLATE(A55,""it"",""en"")"),"54")</f>
        <v>54</v>
      </c>
      <c r="I55" s="5" t="str">
        <f>IFERROR(__xludf.DUMMYFUNCTION("GOOGLETRANSLATE(B55,""it"",""en"")"),"How long did the longest recorded Bocce championship last?")</f>
        <v>How long did the longest recorded Bocce championship last?</v>
      </c>
      <c r="J55" s="5" t="str">
        <f>IFERROR(__xludf.DUMMYFUNCTION("GOOGLETRANSLATE(C55,""it"",""en"")"),"A. 5 hours B. 8 hours C. 12 hours D. 24 hours")</f>
        <v>A. 5 hours B. 8 hours C. 12 hours D. 24 hours</v>
      </c>
      <c r="K55" s="5" t="str">
        <f>IFERROR(__xludf.DUMMYFUNCTION("GOOGLETRANSLATE(D55,""it"",""en"")"),"12 hours")</f>
        <v>12 hours</v>
      </c>
      <c r="L55" s="5" t="str">
        <f>IFERROR(__xludf.DUMMYFUNCTION("GOOGLETRANSLATE(E55,""it"",""en"")"),"The longest Bocce championship in history lasted 12 hours.")</f>
        <v>The longest Bocce championship in history lasted 12 hours.</v>
      </c>
    </row>
    <row r="56" ht="22.5" customHeight="1">
      <c r="A56" s="4">
        <v>55.0</v>
      </c>
      <c r="B56" s="5" t="s">
        <v>793</v>
      </c>
      <c r="C56" s="5" t="s">
        <v>794</v>
      </c>
      <c r="D56" s="5" t="s">
        <v>795</v>
      </c>
      <c r="E56" s="9" t="s">
        <v>796</v>
      </c>
      <c r="F56" s="3"/>
      <c r="G56" s="3"/>
      <c r="H56" s="5" t="str">
        <f>IFERROR(__xludf.DUMMYFUNCTION("GOOGLETRANSLATE(A56,""it"",""en"")"),"55")</f>
        <v>55</v>
      </c>
      <c r="I56" s="5" t="str">
        <f>IFERROR(__xludf.DUMMYFUNCTION("GOOGLETRANSLATE(B56,""it"",""en"")"),"What does 'boccia in campo' mean in Bocce parlance?")</f>
        <v>What does 'boccia in campo' mean in Bocce parlance?</v>
      </c>
      <c r="J56" s="5" t="str">
        <f>IFERROR(__xludf.DUMMYFUNCTION("GOOGLETRANSLATE(C56,""it"",""en"")"),"A. A ball that hits the jack B. A ball that goes out of the lane C. A ball that stops on the baseline D. A ball that remains inside the lane")</f>
        <v>A. A ball that hits the jack B. A ball that goes out of the lane C. A ball that stops on the baseline D. A ball that remains inside the lane</v>
      </c>
      <c r="K56" s="5" t="str">
        <f>IFERROR(__xludf.DUMMYFUNCTION("GOOGLETRANSLATE(D56,""it"",""en"")"),"A ball that stays inside the lane")</f>
        <v>A ball that stays inside the lane</v>
      </c>
      <c r="L56" s="5" t="str">
        <f>IFERROR(__xludf.DUMMYFUNCTION("GOOGLETRANSLATE(E56,""it"",""en"")"),"'Boccia in campo' means that the boccia is still valid and remains on the lane.")</f>
        <v>'Boccia in campo' means that the boccia is still valid and remains on the lane.</v>
      </c>
    </row>
    <row r="57" ht="22.5" customHeight="1">
      <c r="A57" s="4">
        <v>56.0</v>
      </c>
      <c r="B57" s="5" t="s">
        <v>797</v>
      </c>
      <c r="C57" s="5" t="s">
        <v>798</v>
      </c>
      <c r="D57" s="5" t="s">
        <v>799</v>
      </c>
      <c r="E57" s="5" t="s">
        <v>800</v>
      </c>
      <c r="F57" s="3"/>
      <c r="G57" s="3"/>
      <c r="H57" s="5" t="str">
        <f>IFERROR(__xludf.DUMMYFUNCTION("GOOGLETRANSLATE(A57,""it"",""en"")"),"56")</f>
        <v>56</v>
      </c>
      <c r="I57" s="5" t="str">
        <f>IFERROR(__xludf.DUMMYFUNCTION("GOOGLETRANSLATE(B57,""it"",""en"")"),"What is the main difference between Bocce and Pétanque?")</f>
        <v>What is the main difference between Bocce and Pétanque?</v>
      </c>
      <c r="J57" s="5" t="str">
        <f>IFERROR(__xludf.DUMMYFUNCTION("GOOGLETRANSLATE(C57,""it"",""en"")"),"A. Petanque is played with a smaller jack B. Petanque is played with larger boules C. Petanque is played without lanes D. Petanque is played without throwing the boules by hand")</f>
        <v>A. Petanque is played with a smaller jack B. Petanque is played with larger boules C. Petanque is played without lanes D. Petanque is played without throwing the boules by hand</v>
      </c>
      <c r="K57" s="5" t="str">
        <f>IFERROR(__xludf.DUMMYFUNCTION("GOOGLETRANSLATE(D57,""it"",""en"")"),"Petanque is played without lanes")</f>
        <v>Petanque is played without lanes</v>
      </c>
      <c r="L57" s="5" t="str">
        <f>IFERROR(__xludf.DUMMYFUNCTION("GOOGLETRANSLATE(E57,""it"",""en"")"),"Unlike Bocce, Pétanque is played on terrain that is not necessarily defined by lanes.")</f>
        <v>Unlike Bocce, Pétanque is played on terrain that is not necessarily defined by lanes.</v>
      </c>
    </row>
    <row r="58" ht="22.5" customHeight="1">
      <c r="A58" s="4">
        <v>57.0</v>
      </c>
      <c r="B58" s="5" t="s">
        <v>801</v>
      </c>
      <c r="C58" s="5" t="s">
        <v>802</v>
      </c>
      <c r="D58" s="5" t="s">
        <v>803</v>
      </c>
      <c r="E58" s="9" t="s">
        <v>804</v>
      </c>
      <c r="F58" s="3"/>
      <c r="G58" s="3"/>
      <c r="H58" s="5" t="str">
        <f>IFERROR(__xludf.DUMMYFUNCTION("GOOGLETRANSLATE(A58,""it"",""en"")"),"57")</f>
        <v>57</v>
      </c>
      <c r="I58" s="5" t="str">
        <f>IFERROR(__xludf.DUMMYFUNCTION("GOOGLETRANSLATE(B58,""it"",""en"")"),"In Bocce, what does 'catching the jack' mean?")</f>
        <v>In Bocce, what does 'catching the jack' mean?</v>
      </c>
      <c r="J58" s="5" t="str">
        <f>IFERROR(__xludf.DUMMYFUNCTION("GOOGLETRANSLATE(C58,""it"",""en"")"),"A. Place the ball closest to the jack B. Throw the ball directly at the jack C. Hit the jack and move it D. Bounce it on the court")</f>
        <v>A. Place the ball closest to the jack B. Throw the ball directly at the jack C. Hit the jack and move it D. Bounce it on the court</v>
      </c>
      <c r="K58" s="5" t="str">
        <f>IFERROR(__xludf.DUMMYFUNCTION("GOOGLETRANSLATE(D58,""it"",""en"")"),"Hit the snitch and move it")</f>
        <v>Hit the snitch and move it</v>
      </c>
      <c r="L58" s="5" t="str">
        <f>IFERROR(__xludf.DUMMYFUNCTION("GOOGLETRANSLATE(E58,""it"",""en"")"),"'To catch the snitch' means to move the snitch with a ball.")</f>
        <v>'To catch the snitch' means to move the snitch with a ball.</v>
      </c>
    </row>
    <row r="59" ht="22.5" customHeight="1">
      <c r="A59" s="4">
        <v>58.0</v>
      </c>
      <c r="B59" s="5" t="s">
        <v>805</v>
      </c>
      <c r="C59" s="5" t="s">
        <v>806</v>
      </c>
      <c r="D59" s="5" t="s">
        <v>807</v>
      </c>
      <c r="E59" s="5" t="s">
        <v>808</v>
      </c>
      <c r="F59" s="3"/>
      <c r="G59" s="3"/>
      <c r="H59" s="5" t="str">
        <f>IFERROR(__xludf.DUMMYFUNCTION("GOOGLETRANSLATE(A59,""it"",""en"")"),"58")</f>
        <v>58</v>
      </c>
      <c r="I59" s="5" t="str">
        <f>IFERROR(__xludf.DUMMYFUNCTION("GOOGLETRANSLATE(B59,""it"",""en"")"),"When was the game of Bocce introduced in Italy?")</f>
        <v>When was the game of Bocce introduced in Italy?</v>
      </c>
      <c r="J59" s="5" t="str">
        <f>IFERROR(__xludf.DUMMYFUNCTION("GOOGLETRANSLATE(C59,""it"",""en"")"),"A. In the Middle Ages B. In the Renaissance C. In the 1800s D. In the 1600s")</f>
        <v>A. In the Middle Ages B. In the Renaissance C. In the 1800s D. In the 1600s</v>
      </c>
      <c r="K59" s="5" t="str">
        <f>IFERROR(__xludf.DUMMYFUNCTION("GOOGLETRANSLATE(D59,""it"",""en"")"),"In the Renaissance")</f>
        <v>In the Renaissance</v>
      </c>
      <c r="L59" s="5" t="str">
        <f>IFERROR(__xludf.DUMMYFUNCTION("GOOGLETRANSLATE(E59,""it"",""en"")"),"Bocce was introduced to Italy during the Renaissance as a game for
59""")</f>
        <v>Bocce was introduced to Italy during the Renaissance as a game for
59"</v>
      </c>
    </row>
    <row r="60" ht="22.5" customHeight="1">
      <c r="A60" s="4">
        <v>60.0</v>
      </c>
      <c r="B60" s="5" t="s">
        <v>809</v>
      </c>
      <c r="C60" s="5" t="s">
        <v>810</v>
      </c>
      <c r="D60" s="5" t="s">
        <v>811</v>
      </c>
      <c r="E60" s="5" t="s">
        <v>812</v>
      </c>
      <c r="F60" s="3"/>
      <c r="G60" s="3"/>
      <c r="H60" s="5" t="str">
        <f>IFERROR(__xludf.DUMMYFUNCTION("GOOGLETRANSLATE(A60,""it"",""en"")"),"60")</f>
        <v>60</v>
      </c>
      <c r="I60" s="5" t="str">
        <f>IFERROR(__xludf.DUMMYFUNCTION("GOOGLETRANSLATE(B60,""it"",""en"")"),"In the game of Bocce, what is the main difference between a 'push' shot and a 'bounce' shot?")</f>
        <v>In the game of Bocce, what is the main difference between a 'push' shot and a 'bounce' shot?</v>
      </c>
      <c r="J60" s="5" t="str">
        <f>IFERROR(__xludf.DUMMYFUNCTION("GOOGLETRANSLATE(C60,""it"",""en"")"),"A. The push shot is stronger B. The bounce shot touches the jack C. The push shot goes further D. The bounce shot bounces before coming to rest")</f>
        <v>A. The push shot is stronger B. The bounce shot touches the jack C. The push shot goes further D. The bounce shot bounces before coming to rest</v>
      </c>
      <c r="K60" s="5" t="str">
        <f>IFERROR(__xludf.DUMMYFUNCTION("GOOGLETRANSLATE(D60,""it"",""en"")"),"The rebound shot bounces before coming to rest")</f>
        <v>The rebound shot bounces before coming to rest</v>
      </c>
      <c r="L60" s="5" t="str">
        <f>IFERROR(__xludf.DUMMYFUNCTION("GOOGLETRANSLATE(E60,""it"",""en"")"),"The drop shot hits the ground first and bounces toward the jack.")</f>
        <v>The drop shot hits the ground first and bounces toward the jack.</v>
      </c>
    </row>
    <row r="61" ht="22.5" customHeight="1">
      <c r="A61" s="4">
        <v>61.0</v>
      </c>
      <c r="B61" s="5" t="s">
        <v>813</v>
      </c>
      <c r="C61" s="5" t="s">
        <v>814</v>
      </c>
      <c r="D61" s="5" t="s">
        <v>815</v>
      </c>
      <c r="E61" s="5" t="s">
        <v>816</v>
      </c>
      <c r="F61" s="3"/>
      <c r="G61" s="3"/>
      <c r="H61" s="5" t="str">
        <f>IFERROR(__xludf.DUMMYFUNCTION("GOOGLETRANSLATE(A61,""it"",""en"")"),"61")</f>
        <v>61</v>
      </c>
      <c r="I61" s="5" t="str">
        <f>IFERROR(__xludf.DUMMYFUNCTION("GOOGLETRANSLATE(B61,""it"",""en"")"),"What is the term used when a team is close to winning a Bocce match?")</f>
        <v>What is the term used when a team is close to winning a Bocce match?</v>
      </c>
      <c r="J61" s="5" t="str">
        <f>IFERROR(__xludf.DUMMYFUNCTION("GOOGLETRANSLATE(C61,""it"",""en"")"),"A. Easy win B. Final set C. Last round D. Game point")</f>
        <v>A. Easy win B. Final set C. Last round D. Game point</v>
      </c>
      <c r="K61" s="5" t="str">
        <f>IFERROR(__xludf.DUMMYFUNCTION("GOOGLETRANSLATE(D61,""it"",""en"")"),"Last round")</f>
        <v>Last round</v>
      </c>
      <c r="L61" s="5" t="str">
        <f>IFERROR(__xludf.DUMMYFUNCTION("GOOGLETRANSLATE(E61,""it"",""en"")"),"When a team is close to winning, it is called the 'last round'.")</f>
        <v>When a team is close to winning, it is called the 'last round'.</v>
      </c>
    </row>
    <row r="62" ht="22.5" customHeight="1">
      <c r="A62" s="4">
        <v>62.0</v>
      </c>
      <c r="B62" s="5" t="s">
        <v>817</v>
      </c>
      <c r="C62" s="5" t="s">
        <v>818</v>
      </c>
      <c r="D62" s="5" t="s">
        <v>819</v>
      </c>
      <c r="E62" s="5" t="s">
        <v>820</v>
      </c>
      <c r="F62" s="3"/>
      <c r="G62" s="3"/>
      <c r="H62" s="5" t="str">
        <f>IFERROR(__xludf.DUMMYFUNCTION("GOOGLETRANSLATE(A62,""it"",""en"")"),"62")</f>
        <v>62</v>
      </c>
      <c r="I62" s="5" t="str">
        <f>IFERROR(__xludf.DUMMYFUNCTION("GOOGLETRANSLATE(B62,""it"",""en"")"),"What is the ideal surface for an outdoor bocce game?")</f>
        <v>What is the ideal surface for an outdoor bocce game?</v>
      </c>
      <c r="J62" s="5" t="str">
        <f>IFERROR(__xludf.DUMMYFUNCTION("GOOGLETRANSLATE(C62,""it"",""en"")"),"A. Compacted sand B. Asphalt C. Grass D. Packed earth")</f>
        <v>A. Compacted sand B. Asphalt C. Grass D. Packed earth</v>
      </c>
      <c r="K62" s="5" t="str">
        <f>IFERROR(__xludf.DUMMYFUNCTION("GOOGLETRANSLATE(D62,""it"",""en"")"),"Grass")</f>
        <v>Grass</v>
      </c>
      <c r="L62" s="5" t="str">
        <f>IFERROR(__xludf.DUMMYFUNCTION("GOOGLETRANSLATE(E62,""it"",""en"")"),"Grass is an ideal surface when playing Bocce outdoors.")</f>
        <v>Grass is an ideal surface when playing Bocce outdoors.</v>
      </c>
    </row>
    <row r="63" ht="22.5" customHeight="1">
      <c r="A63" s="4">
        <v>63.0</v>
      </c>
      <c r="B63" s="5" t="s">
        <v>821</v>
      </c>
      <c r="C63" s="5" t="s">
        <v>822</v>
      </c>
      <c r="D63" s="5" t="s">
        <v>823</v>
      </c>
      <c r="E63" s="5" t="s">
        <v>824</v>
      </c>
      <c r="F63" s="3"/>
      <c r="G63" s="3"/>
      <c r="H63" s="5" t="str">
        <f>IFERROR(__xludf.DUMMYFUNCTION("GOOGLETRANSLATE(A63,""it"",""en"")"),"63")</f>
        <v>63</v>
      </c>
      <c r="I63" s="5" t="str">
        <f>IFERROR(__xludf.DUMMYFUNCTION("GOOGLETRANSLATE(B63,""it"",""en"")"),"Who created the first official rules of Bocce in Italy?")</f>
        <v>Who created the first official rules of Bocce in Italy?</v>
      </c>
      <c r="J63" s="5" t="str">
        <f>IFERROR(__xludf.DUMMYFUNCTION("GOOGLETRANSLATE(C63,""it"",""en"")"),"A. Italian Bowls Federation B. Giovanni Dall'Asta C. Giuseppe Malaspina D. Luca Ricci")</f>
        <v>A. Italian Bowls Federation B. Giovanni Dall'Asta C. Giuseppe Malaspina D. Luca Ricci</v>
      </c>
      <c r="K63" s="5" t="str">
        <f>IFERROR(__xludf.DUMMYFUNCTION("GOOGLETRANSLATE(D63,""it"",""en"")"),"John Dall'Asta")</f>
        <v>John Dall'Asta</v>
      </c>
      <c r="L63" s="5" t="str">
        <f>IFERROR(__xludf.DUMMYFUNCTION("GOOGLETRANSLATE(E63,""it"",""en"")"),"Giovanni Dall'Asta was one of the main proponents of the official rules of Bocce in Italy.")</f>
        <v>Giovanni Dall'Asta was one of the main proponents of the official rules of Bocce in Italy.</v>
      </c>
    </row>
    <row r="64" ht="22.5" customHeight="1">
      <c r="A64" s="4">
        <v>64.0</v>
      </c>
      <c r="B64" s="5" t="s">
        <v>825</v>
      </c>
      <c r="C64" s="5" t="s">
        <v>826</v>
      </c>
      <c r="D64" s="4">
        <v>1840.0</v>
      </c>
      <c r="E64" s="5" t="s">
        <v>827</v>
      </c>
      <c r="F64" s="3"/>
      <c r="G64" s="3"/>
      <c r="H64" s="5" t="str">
        <f>IFERROR(__xludf.DUMMYFUNCTION("GOOGLETRANSLATE(A64,""it"",""en"")"),"64")</f>
        <v>64</v>
      </c>
      <c r="I64" s="5" t="str">
        <f>IFERROR(__xludf.DUMMYFUNCTION("GOOGLETRANSLATE(B64,""it"",""en"")"),"In what year was the first official Bocce tournament organized in Italy?")</f>
        <v>In what year was the first official Bocce tournament organized in Italy?</v>
      </c>
      <c r="J64" s="5" t="str">
        <f>IFERROR(__xludf.DUMMYFUNCTION("GOOGLETRANSLATE(C64,""it"",""en"")"),"A. 1825 B. 1840 C. 1860 D. 1880")</f>
        <v>A. 1825 B. 1840 C. 1860 D. 1880</v>
      </c>
      <c r="K64" s="5" t="str">
        <f>IFERROR(__xludf.DUMMYFUNCTION("GOOGLETRANSLATE(D64,""it"",""en"")"),"1840")</f>
        <v>1840</v>
      </c>
      <c r="L64" s="5" t="str">
        <f>IFERROR(__xludf.DUMMYFUNCTION("GOOGLETRANSLATE(E64,""it"",""en"")"),"The first official Bocce tournament in Italy was organised in 1840.")</f>
        <v>The first official Bocce tournament in Italy was organised in 1840.</v>
      </c>
    </row>
    <row r="65" ht="22.5" customHeight="1">
      <c r="A65" s="4">
        <v>65.0</v>
      </c>
      <c r="B65" s="5" t="s">
        <v>828</v>
      </c>
      <c r="C65" s="5" t="s">
        <v>829</v>
      </c>
      <c r="D65" s="5" t="s">
        <v>646</v>
      </c>
      <c r="E65" s="5" t="s">
        <v>830</v>
      </c>
      <c r="F65" s="3"/>
      <c r="G65" s="3"/>
      <c r="H65" s="5" t="str">
        <f>IFERROR(__xludf.DUMMYFUNCTION("GOOGLETRANSLATE(A65,""it"",""en"")"),"65")</f>
        <v>65</v>
      </c>
      <c r="I65" s="5" t="str">
        <f>IFERROR(__xludf.DUMMYFUNCTION("GOOGLETRANSLATE(B65,""it"",""en"")"),"In which Italian city does one of the most prestigious bocce tournaments take place?")</f>
        <v>In which Italian city does one of the most prestigious bocce tournaments take place?</v>
      </c>
      <c r="J65" s="5" t="str">
        <f>IFERROR(__xludf.DUMMYFUNCTION("GOOGLETRANSLATE(C65,""it"",""en"")"),"A. Milan B. Turin C. Rome D. Naples")</f>
        <v>A. Milan B. Turin C. Rome D. Naples</v>
      </c>
      <c r="K65" s="5" t="str">
        <f>IFERROR(__xludf.DUMMYFUNCTION("GOOGLETRANSLATE(D65,""it"",""en"")"),"Turin")</f>
        <v>Turin</v>
      </c>
      <c r="L65" s="5" t="str">
        <f>IFERROR(__xludf.DUMMYFUNCTION("GOOGLETRANSLATE(E65,""it"",""en"")"),"Turin is home to one of the most prestigious Bocce tournaments.")</f>
        <v>Turin is home to one of the most prestigious Bocce tournaments.</v>
      </c>
    </row>
    <row r="66" ht="22.5" customHeight="1">
      <c r="A66" s="4">
        <v>66.0</v>
      </c>
      <c r="B66" s="5" t="s">
        <v>831</v>
      </c>
      <c r="C66" s="5" t="s">
        <v>832</v>
      </c>
      <c r="D66" s="5" t="s">
        <v>833</v>
      </c>
      <c r="E66" s="5" t="s">
        <v>834</v>
      </c>
      <c r="F66" s="3"/>
      <c r="G66" s="3"/>
      <c r="H66" s="5" t="str">
        <f>IFERROR(__xludf.DUMMYFUNCTION("GOOGLETRANSLATE(A66,""it"",""en"")"),"66")</f>
        <v>66</v>
      </c>
      <c r="I66" s="5" t="str">
        <f>IFERROR(__xludf.DUMMYFUNCTION("GOOGLETRANSLATE(B66,""it"",""en"")"),"What does the jack represent in the game of Bocce?")</f>
        <v>What does the jack represent in the game of Bocce?</v>
      </c>
      <c r="J66" s="5" t="str">
        <f>IFERROR(__xludf.DUMMYFUNCTION("GOOGLETRANSLATE(C66,""it"",""en"")"),"A. The main target B. The starting point C. The victory symbol D. A natural obstacle")</f>
        <v>A. The main target B. The starting point C. The victory symbol D. A natural obstacle</v>
      </c>
      <c r="K66" s="5" t="str">
        <f>IFERROR(__xludf.DUMMYFUNCTION("GOOGLETRANSLATE(D66,""it"",""en"")"),"The main target")</f>
        <v>The main target</v>
      </c>
      <c r="L66" s="5" t="str">
        <f>IFERROR(__xludf.DUMMYFUNCTION("GOOGLETRANSLATE(E66,""it"",""en"")"),"The jack is the target that players aim at with their balls.")</f>
        <v>The jack is the target that players aim at with their balls.</v>
      </c>
    </row>
    <row r="67" ht="22.5" customHeight="1">
      <c r="A67" s="4">
        <v>67.0</v>
      </c>
      <c r="B67" s="5" t="s">
        <v>835</v>
      </c>
      <c r="C67" s="5" t="s">
        <v>836</v>
      </c>
      <c r="D67" s="5" t="s">
        <v>837</v>
      </c>
      <c r="E67" s="5" t="s">
        <v>838</v>
      </c>
      <c r="F67" s="3"/>
      <c r="G67" s="3"/>
      <c r="H67" s="5" t="str">
        <f>IFERROR(__xludf.DUMMYFUNCTION("GOOGLETRANSLATE(A67,""it"",""en"")"),"67")</f>
        <v>67</v>
      </c>
      <c r="I67" s="5" t="str">
        <f>IFERROR(__xludf.DUMMYFUNCTION("GOOGLETRANSLATE(B67,""it"",""en"")"),"In Bocce, what is the 'shooter'?")</f>
        <v>In Bocce, what is the 'shooter'?</v>
      </c>
      <c r="J67" s="5" t="str">
        <f>IFERROR(__xludf.DUMMYFUNCTION("GOOGLETRANSLATE(C67,""it"",""en"")"),"A. The player who throws the ball B. The player who defends the opposing team C. The player who leads the team D. The player who chooses the side")</f>
        <v>A. The player who throws the ball B. The player who defends the opposing team C. The player who leads the team D. The player who chooses the side</v>
      </c>
      <c r="K67" s="5" t="str">
        <f>IFERROR(__xludf.DUMMYFUNCTION("GOOGLETRANSLATE(D67,""it"",""en"")"),"The player who throws the bowl")</f>
        <v>The player who throws the bowl</v>
      </c>
      <c r="L67" s="5" t="str">
        <f>IFERROR(__xludf.DUMMYFUNCTION("GOOGLETRANSLATE(E67,""it"",""en"")"),"The 'thrower' is the player who throws the ball in the game.")</f>
        <v>The 'thrower' is the player who throws the ball in the game.</v>
      </c>
    </row>
    <row r="68" ht="22.5" customHeight="1">
      <c r="A68" s="4">
        <v>68.0</v>
      </c>
      <c r="B68" s="5" t="s">
        <v>839</v>
      </c>
      <c r="C68" s="5" t="s">
        <v>840</v>
      </c>
      <c r="D68" s="5" t="s">
        <v>841</v>
      </c>
      <c r="E68" s="5" t="s">
        <v>842</v>
      </c>
      <c r="F68" s="3"/>
      <c r="G68" s="3"/>
      <c r="H68" s="5" t="str">
        <f>IFERROR(__xludf.DUMMYFUNCTION("GOOGLETRANSLATE(A68,""it"",""en"")"),"68")</f>
        <v>68</v>
      </c>
      <c r="I68" s="5" t="str">
        <f>IFERROR(__xludf.DUMMYFUNCTION("GOOGLETRANSLATE(B68,""it"",""en"")"),"How many points are needed to win a game of Bocce in some regional variants?")</f>
        <v>How many points are needed to win a game of Bocce in some regional variants?</v>
      </c>
      <c r="J68" s="5" t="str">
        <f>IFERROR(__xludf.DUMMYFUNCTION("GOOGLETRANSLATE(C68,""it"",""en"")"),"A. 5 points B. 10 points C. 15 points D. 21 points")</f>
        <v>A. 5 points B. 10 points C. 15 points D. 21 points</v>
      </c>
      <c r="K68" s="5" t="str">
        <f>IFERROR(__xludf.DUMMYFUNCTION("GOOGLETRANSLATE(D68,""it"",""en"")"),"15 points")</f>
        <v>15 points</v>
      </c>
      <c r="L68" s="5" t="str">
        <f>IFERROR(__xludf.DUMMYFUNCTION("GOOGLETRANSLATE(E68,""it"",""en"")"),"In some regional variations, 15 points are needed to win a game of Bocce.")</f>
        <v>In some regional variations, 15 points are needed to win a game of Bocce.</v>
      </c>
    </row>
    <row r="69" ht="22.5" customHeight="1">
      <c r="A69" s="4">
        <v>69.0</v>
      </c>
      <c r="B69" s="5" t="s">
        <v>843</v>
      </c>
      <c r="C69" s="5" t="s">
        <v>844</v>
      </c>
      <c r="D69" s="5" t="s">
        <v>845</v>
      </c>
      <c r="E69" s="5" t="s">
        <v>846</v>
      </c>
      <c r="F69" s="3"/>
      <c r="G69" s="3"/>
      <c r="H69" s="5" t="str">
        <f>IFERROR(__xludf.DUMMYFUNCTION("GOOGLETRANSLATE(A69,""it"",""en"")"),"69")</f>
        <v>69</v>
      </c>
      <c r="I69" s="5" t="str">
        <f>IFERROR(__xludf.DUMMYFUNCTION("GOOGLETRANSLATE(B69,""it"",""en"")"),"What is the game of Bocce called in France?")</f>
        <v>What is the game of Bocce called in France?</v>
      </c>
      <c r="J69" s="5" t="str">
        <f>IFERROR(__xludf.DUMMYFUNCTION("GOOGLETRANSLATE(C69,""it"",""en"")"),"A. Boules B. Pétanque C. Jeu de boules D. Boccia")</f>
        <v>A. Boules B. Pétanque C. Jeu de boules D. Boccia</v>
      </c>
      <c r="K69" s="5" t="str">
        <f>IFERROR(__xludf.DUMMYFUNCTION("GOOGLETRANSLATE(D69,""it"",""en"")"),"Pétanque")</f>
        <v>Pétanque</v>
      </c>
      <c r="L69" s="5" t="str">
        <f>IFERROR(__xludf.DUMMYFUNCTION("GOOGLETRANSLATE(E69,""it"",""en"")"),"In France, the game of Bocce is known as Pétanque.")</f>
        <v>In France, the game of Bocce is known as Pétanque.</v>
      </c>
    </row>
    <row r="70" ht="22.5" customHeight="1">
      <c r="A70" s="4">
        <v>70.0</v>
      </c>
      <c r="B70" s="5" t="s">
        <v>847</v>
      </c>
      <c r="C70" s="5" t="s">
        <v>848</v>
      </c>
      <c r="D70" s="5" t="s">
        <v>849</v>
      </c>
      <c r="E70" s="5" t="s">
        <v>850</v>
      </c>
      <c r="F70" s="3"/>
      <c r="G70" s="3"/>
      <c r="H70" s="5" t="str">
        <f>IFERROR(__xludf.DUMMYFUNCTION("GOOGLETRANSLATE(A70,""it"",""en"")"),"70")</f>
        <v>70</v>
      </c>
      <c r="I70" s="5" t="str">
        <f>IFERROR(__xludf.DUMMYFUNCTION("GOOGLETRANSLATE(B70,""it"",""en"")"),"What is the main strategy for playing Bocce?")</f>
        <v>What is the main strategy for playing Bocce?</v>
      </c>
      <c r="J70" s="5" t="str">
        <f>IFERROR(__xludf.DUMMYFUNCTION("GOOGLETRANSLATE(C70,""it"",""en"")"),"A. Throw hard B. Throw accurately C. Throw quickly D. Hit the jack")</f>
        <v>A. Throw hard B. Throw accurately C. Throw quickly D. Hit the jack</v>
      </c>
      <c r="K70" s="5" t="str">
        <f>IFERROR(__xludf.DUMMYFUNCTION("GOOGLETRANSLATE(D70,""it"",""en"")"),"Throw accurately")</f>
        <v>Throw accurately</v>
      </c>
      <c r="L70" s="5" t="str">
        <f>IFERROR(__xludf.DUMMYFUNCTION("GOOGLETRANSLATE(E70,""it"",""en"")"),"The main strategy of Bocce is to throw the ball accurately close to the jack.")</f>
        <v>The main strategy of Bocce is to throw the ball accurately close to the jack.</v>
      </c>
    </row>
    <row r="71" ht="22.5" customHeight="1">
      <c r="A71" s="4">
        <v>71.0</v>
      </c>
      <c r="B71" s="5" t="s">
        <v>851</v>
      </c>
      <c r="C71" s="5" t="s">
        <v>852</v>
      </c>
      <c r="D71" s="5" t="s">
        <v>853</v>
      </c>
      <c r="E71" s="5" t="s">
        <v>854</v>
      </c>
      <c r="F71" s="3"/>
      <c r="G71" s="3"/>
      <c r="H71" s="5" t="str">
        <f>IFERROR(__xludf.DUMMYFUNCTION("GOOGLETRANSLATE(A71,""it"",""en"")"),"71")</f>
        <v>71</v>
      </c>
      <c r="I71" s="5" t="str">
        <f>IFERROR(__xludf.DUMMYFUNCTION("GOOGLETRANSLATE(B71,""it"",""en"")"),"What kind of sport is Bocce?")</f>
        <v>What kind of sport is Bocce?</v>
      </c>
      <c r="J71" s="5" t="str">
        <f>IFERROR(__xludf.DUMMYFUNCTION("GOOGLETRANSLATE(C71,""it"",""en"")"),"A. Endurance sports B. Precision sports C. Speed ​​sports D. Team sports")</f>
        <v>A. Endurance sports B. Precision sports C. Speed ​​sports D. Team sports</v>
      </c>
      <c r="K71" s="5" t="str">
        <f>IFERROR(__xludf.DUMMYFUNCTION("GOOGLETRANSLATE(D71,""it"",""en"")"),"Precision sports")</f>
        <v>Precision sports</v>
      </c>
      <c r="L71" s="5" t="str">
        <f>IFERROR(__xludf.DUMMYFUNCTION("GOOGLETRANSLATE(E71,""it"",""en"")"),"Bocce is considered a precision sport.")</f>
        <v>Bocce is considered a precision sport.</v>
      </c>
    </row>
    <row r="72" ht="22.5" customHeight="1">
      <c r="A72" s="4">
        <v>72.0</v>
      </c>
      <c r="B72" s="5" t="s">
        <v>855</v>
      </c>
      <c r="C72" s="5" t="s">
        <v>856</v>
      </c>
      <c r="D72" s="5" t="s">
        <v>857</v>
      </c>
      <c r="E72" s="5" t="s">
        <v>858</v>
      </c>
      <c r="F72" s="3"/>
      <c r="G72" s="3"/>
      <c r="H72" s="5" t="str">
        <f>IFERROR(__xludf.DUMMYFUNCTION("GOOGLETRANSLATE(A72,""it"",""en"")"),"72")</f>
        <v>72</v>
      </c>
      <c r="I72" s="5" t="str">
        <f>IFERROR(__xludf.DUMMYFUNCTION("GOOGLETRANSLATE(B72,""it"",""en"")"),"What is the term used when one ball lands further from the jack than all the others?")</f>
        <v>What is the term used when one ball lands further from the jack than all the others?</v>
      </c>
      <c r="J72" s="5" t="str">
        <f>IFERROR(__xludf.DUMMYFUNCTION("GOOGLETRANSLATE(C72,""it"",""en"")"),"A. Fake ball B. Final ball C. Losing ball D. Out of play ball")</f>
        <v>A. Fake ball B. Final ball C. Losing ball D. Out of play ball</v>
      </c>
      <c r="K72" s="5" t="str">
        <f>IFERROR(__xludf.DUMMYFUNCTION("GOOGLETRANSLATE(D72,""it"",""en"")"),"Boccia out of play")</f>
        <v>Boccia out of play</v>
      </c>
      <c r="L72" s="5" t="str">
        <f>IFERROR(__xludf.DUMMYFUNCTION("GOOGLETRANSLATE(E72,""it"",""en"")"),"The ball that lands furthest from the jack is called the 'ball out of play'.")</f>
        <v>The ball that lands furthest from the jack is called the 'ball out of play'.</v>
      </c>
    </row>
    <row r="73" ht="22.5" customHeight="1">
      <c r="A73" s="4">
        <v>73.0</v>
      </c>
      <c r="B73" s="5" t="s">
        <v>859</v>
      </c>
      <c r="C73" s="5" t="s">
        <v>860</v>
      </c>
      <c r="D73" s="5" t="s">
        <v>627</v>
      </c>
      <c r="E73" s="5" t="s">
        <v>861</v>
      </c>
      <c r="F73" s="3"/>
      <c r="G73" s="3"/>
      <c r="H73" s="5" t="str">
        <f>IFERROR(__xludf.DUMMYFUNCTION("GOOGLETRANSLATE(A73,""it"",""en"")"),"73")</f>
        <v>73</v>
      </c>
      <c r="I73" s="5" t="str">
        <f>IFERROR(__xludf.DUMMYFUNCTION("GOOGLETRANSLATE(B73,""it"",""en"")"),"When playing Bocce, how long is the lane in official competitions?")</f>
        <v>When playing Bocce, how long is the lane in official competitions?</v>
      </c>
      <c r="J73" s="5" t="str">
        <f>IFERROR(__xludf.DUMMYFUNCTION("GOOGLETRANSLATE(C73,""it"",""en"")"),"A. 12 meters B. 14 meters C. 16 meters D. 18 meters")</f>
        <v>A. 12 meters B. 14 meters C. 16 meters D. 18 meters</v>
      </c>
      <c r="K73" s="5" t="str">
        <f>IFERROR(__xludf.DUMMYFUNCTION("GOOGLETRANSLATE(D73,""it"",""en"")"),"18 meters")</f>
        <v>18 meters</v>
      </c>
      <c r="L73" s="5" t="str">
        <f>IFERROR(__xludf.DUMMYFUNCTION("GOOGLETRANSLATE(E73,""it"",""en"")"),"The official length of a Bocce lane in competitions is 18 meters.")</f>
        <v>The official length of a Bocce lane in competitions is 18 meters.</v>
      </c>
    </row>
    <row r="74" ht="22.5" customHeight="1">
      <c r="A74" s="4">
        <v>74.0</v>
      </c>
      <c r="B74" s="5" t="s">
        <v>862</v>
      </c>
      <c r="C74" s="5" t="s">
        <v>863</v>
      </c>
      <c r="D74" s="5" t="s">
        <v>864</v>
      </c>
      <c r="E74" s="5" t="s">
        <v>865</v>
      </c>
      <c r="F74" s="3"/>
      <c r="G74" s="3"/>
      <c r="H74" s="5" t="str">
        <f>IFERROR(__xludf.DUMMYFUNCTION("GOOGLETRANSLATE(A74,""it"",""en"")"),"74")</f>
        <v>74</v>
      </c>
      <c r="I74" s="5" t="str">
        <f>IFERROR(__xludf.DUMMYFUNCTION("GOOGLETRANSLATE(B74,""it"",""en"")"),"What event marks the beginning of competitive Bocce in Italy?")</f>
        <v>What event marks the beginning of competitive Bocce in Italy?</v>
      </c>
      <c r="J74" s="5" t="str">
        <f>IFERROR(__xludf.DUMMYFUNCTION("GOOGLETRANSLATE(C74,""it"",""en"")"),"A. The Rome Olympics B. The first Bocce tournament in Milan C. The creation of the Italian Bocce Federation D. The first national Bocce competition")</f>
        <v>A. The Rome Olympics B. The first Bocce tournament in Milan C. The creation of the Italian Bocce Federation D. The first national Bocce competition</v>
      </c>
      <c r="K74" s="5" t="str">
        <f>IFERROR(__xludf.DUMMYFUNCTION("GOOGLETRANSLATE(D74,""it"",""en"")"),"The creation of the Italian Bowls Federation")</f>
        <v>The creation of the Italian Bowls Federation</v>
      </c>
      <c r="L74" s="5" t="str">
        <f>IFERROR(__xludf.DUMMYFUNCTION("GOOGLETRANSLATE(E74,""it"",""en"")"),"The beginning of competitive Bocce in Italy is marked by the creation of the Italian Bocce Federation.")</f>
        <v>The beginning of competitive Bocce in Italy is marked by the creation of the Italian Bocce Federation.</v>
      </c>
    </row>
    <row r="75" ht="22.5" customHeight="1">
      <c r="A75" s="4">
        <v>75.0</v>
      </c>
      <c r="B75" s="5" t="s">
        <v>866</v>
      </c>
      <c r="C75" s="5" t="s">
        <v>867</v>
      </c>
      <c r="D75" s="5" t="s">
        <v>868</v>
      </c>
      <c r="E75" s="5" t="s">
        <v>869</v>
      </c>
      <c r="F75" s="3"/>
      <c r="G75" s="3"/>
      <c r="H75" s="5" t="str">
        <f>IFERROR(__xludf.DUMMYFUNCTION("GOOGLETRANSLATE(A75,""it"",""en"")"),"75")</f>
        <v>75</v>
      </c>
      <c r="I75" s="5" t="str">
        <f>IFERROR(__xludf.DUMMYFUNCTION("GOOGLETRANSLATE(B75,""it"",""en"")"),"In the game of Bocce, what type of throws can a player make?")</f>
        <v>In the game of Bocce, what type of throws can a player make?</v>
      </c>
      <c r="J75" s="5" t="str">
        <f>IFERROR(__xludf.DUMMYFUNCTION("GOOGLETRANSLATE(C75,""it"",""en"")"),"A. Straight and parabolic throw B. Powerful throw C. Lateral throw D. Jump throw")</f>
        <v>A. Straight and parabolic throw B. Powerful throw C. Lateral throw D. Jump throw</v>
      </c>
      <c r="K75" s="5" t="str">
        <f>IFERROR(__xludf.DUMMYFUNCTION("GOOGLETRANSLATE(D75,""it"",""en"")"),"Straight and parabolic throw")</f>
        <v>Straight and parabolic throw</v>
      </c>
      <c r="L75" s="5" t="str">
        <f>IFERROR(__xludf.DUMMYFUNCTION("GOOGLETRANSLATE(E75,""it"",""en"")"),"The player can take straight or parabolic shots, depending on the situation.")</f>
        <v>The player can take straight or parabolic shots, depending on the situation.</v>
      </c>
    </row>
    <row r="76" ht="22.5" customHeight="1">
      <c r="A76" s="4">
        <v>76.0</v>
      </c>
      <c r="B76" s="5" t="s">
        <v>870</v>
      </c>
      <c r="C76" s="5" t="s">
        <v>871</v>
      </c>
      <c r="D76" s="5" t="s">
        <v>872</v>
      </c>
      <c r="E76" s="5" t="s">
        <v>873</v>
      </c>
      <c r="F76" s="3"/>
      <c r="G76" s="3"/>
      <c r="H76" s="5" t="str">
        <f>IFERROR(__xludf.DUMMYFUNCTION("GOOGLETRANSLATE(A76,""it"",""en"")"),"76")</f>
        <v>76</v>
      </c>
      <c r="I76" s="5" t="str">
        <f>IFERROR(__xludf.DUMMYFUNCTION("GOOGLETRANSLATE(B76,""it"",""en"")"),"In Bocce, what type of strategy is used to 'block' the opponent?")</f>
        <v>In Bocce, what type of strategy is used to 'block' the opponent?</v>
      </c>
      <c r="J76" s="5" t="str">
        <f>IFERROR(__xludf.DUMMYFUNCTION("GOOGLETRANSLATE(C76,""it"",""en"")"),"A. Throw the balls as far as possible B. Place the balls near the jack C. Hit the other opponent's ball D. Place a ball in its trajectory")</f>
        <v>A. Throw the balls as far as possible B. Place the balls near the jack C. Hit the other opponent's ball D. Place a ball in its trajectory</v>
      </c>
      <c r="K76" s="5" t="str">
        <f>IFERROR(__xludf.DUMMYFUNCTION("GOOGLETRANSLATE(D76,""it"",""en"")"),"Place the balls near the jack")</f>
        <v>Place the balls near the jack</v>
      </c>
      <c r="L76" s="5" t="str">
        <f>IFERROR(__xludf.DUMMYFUNCTION("GOOGLETRANSLATE(E76,""it"",""en"")"),"A common strategy is to place the balls close to the jack to gain an advantage.")</f>
        <v>A common strategy is to place the balls close to the jack to gain an advantage.</v>
      </c>
    </row>
    <row r="77" ht="22.5" customHeight="1">
      <c r="A77" s="4">
        <v>77.0</v>
      </c>
      <c r="B77" s="5" t="s">
        <v>874</v>
      </c>
      <c r="C77" s="5" t="s">
        <v>875</v>
      </c>
      <c r="D77" s="5" t="s">
        <v>876</v>
      </c>
      <c r="E77" s="5" t="s">
        <v>877</v>
      </c>
      <c r="F77" s="3"/>
      <c r="G77" s="3"/>
      <c r="H77" s="5" t="str">
        <f>IFERROR(__xludf.DUMMYFUNCTION("GOOGLETRANSLATE(A77,""it"",""en"")"),"77")</f>
        <v>77</v>
      </c>
      <c r="I77" s="5" t="str">
        <f>IFERROR(__xludf.DUMMYFUNCTION("GOOGLETRANSLATE(B77,""it"",""en"")"),"What is the term used for a game of Bocce between two teams?")</f>
        <v>What is the term used for a game of Bocce between two teams?</v>
      </c>
      <c r="J77" s="5" t="str">
        <f>IFERROR(__xludf.DUMMYFUNCTION("GOOGLETRANSLATE(C77,""it"",""en"")"),"A. Doubles B. Singles C. Team match D. Match")</f>
        <v>A. Doubles B. Singles C. Team match D. Match</v>
      </c>
      <c r="K77" s="5" t="str">
        <f>IFERROR(__xludf.DUMMYFUNCTION("GOOGLETRANSLATE(D77,""it"",""en"")"),"Team match")</f>
        <v>Team match</v>
      </c>
      <c r="L77" s="5" t="str">
        <f>IFERROR(__xludf.DUMMYFUNCTION("GOOGLETRANSLATE(E77,""it"",""en"")"),"A Bocce match between two teams is called a 'team match'.")</f>
        <v>A Bocce match between two teams is called a 'team match'.</v>
      </c>
    </row>
    <row r="78" ht="22.5" customHeight="1">
      <c r="A78" s="4">
        <v>78.0</v>
      </c>
      <c r="B78" s="5" t="s">
        <v>878</v>
      </c>
      <c r="C78" s="5" t="s">
        <v>879</v>
      </c>
      <c r="D78" s="5" t="s">
        <v>880</v>
      </c>
      <c r="E78" s="5" t="s">
        <v>881</v>
      </c>
      <c r="F78" s="3"/>
      <c r="G78" s="3"/>
      <c r="H78" s="5" t="str">
        <f>IFERROR(__xludf.DUMMYFUNCTION("GOOGLETRANSLATE(A78,""it"",""en"")"),"78")</f>
        <v>78</v>
      </c>
      <c r="I78" s="5" t="str">
        <f>IFERROR(__xludf.DUMMYFUNCTION("GOOGLETRANSLATE(B78,""it"",""en"")"),"Where are the most bocce alleys in Italy?")</f>
        <v>Where are the most bocce alleys in Italy?</v>
      </c>
      <c r="J78" s="5" t="str">
        <f>IFERROR(__xludf.DUMMYFUNCTION("GOOGLETRANSLATE(C78,""it"",""en"")"),"A. Milan B. Naples C. Rome D. Liguria")</f>
        <v>A. Milan B. Naples C. Rome D. Liguria</v>
      </c>
      <c r="K78" s="5" t="str">
        <f>IFERROR(__xludf.DUMMYFUNCTION("GOOGLETRANSLATE(D78,""it"",""en"")"),"Liguria")</f>
        <v>Liguria</v>
      </c>
      <c r="L78" s="5" t="str">
        <f>IFERROR(__xludf.DUMMYFUNCTION("GOOGLETRANSLATE(E78,""it"",""en"")"),"Liguria has a large number of bocce alleys, being a region traditionally linked to the game.")</f>
        <v>Liguria has a large number of bocce alleys, being a region traditionally linked to the game.</v>
      </c>
    </row>
    <row r="79" ht="22.5" customHeight="1">
      <c r="A79" s="4">
        <v>79.0</v>
      </c>
      <c r="B79" s="5" t="s">
        <v>882</v>
      </c>
      <c r="C79" s="5" t="s">
        <v>883</v>
      </c>
      <c r="D79" s="5" t="s">
        <v>884</v>
      </c>
      <c r="E79" s="5" t="s">
        <v>885</v>
      </c>
      <c r="F79" s="3"/>
      <c r="G79" s="3"/>
      <c r="H79" s="5" t="str">
        <f>IFERROR(__xludf.DUMMYFUNCTION("GOOGLETRANSLATE(A79,""it"",""en"")"),"79")</f>
        <v>79</v>
      </c>
      <c r="I79" s="5" t="str">
        <f>IFERROR(__xludf.DUMMYFUNCTION("GOOGLETRANSLATE(B79,""it"",""en"")"),"In the game of Bocce, how is it determined who goes first?")</f>
        <v>In the game of Bocce, how is it determined who goes first?</v>
      </c>
      <c r="J79" s="5" t="str">
        <f>IFERROR(__xludf.DUMMYFUNCTION("GOOGLETRANSLATE(C79,""it"",""en"")"),"A. Who won the previous game B. Toss C. Who gets to the field first D. Who has the heaviest ball")</f>
        <v>A. Who won the previous game B. Toss C. Who gets to the field first D. Who has the heaviest ball</v>
      </c>
      <c r="K79" s="5" t="str">
        <f>IFERROR(__xludf.DUMMYFUNCTION("GOOGLETRANSLATE(D79,""it"",""en"")"),"Draw toss")</f>
        <v>Draw toss</v>
      </c>
      <c r="L79" s="5" t="str">
        <f>IFERROR(__xludf.DUMMYFUNCTION("GOOGLETRANSLATE(E79,""it"",""en"")"),"The first player is determined by a toss.")</f>
        <v>The first player is determined by a toss.</v>
      </c>
    </row>
    <row r="80" ht="22.5" customHeight="1">
      <c r="A80" s="4">
        <v>80.0</v>
      </c>
      <c r="B80" s="5" t="s">
        <v>886</v>
      </c>
      <c r="C80" s="5" t="s">
        <v>887</v>
      </c>
      <c r="D80" s="5" t="s">
        <v>888</v>
      </c>
      <c r="E80" s="5" t="s">
        <v>889</v>
      </c>
      <c r="F80" s="3"/>
      <c r="G80" s="3"/>
      <c r="H80" s="5" t="str">
        <f>IFERROR(__xludf.DUMMYFUNCTION("GOOGLETRANSLATE(A80,""it"",""en"")"),"80")</f>
        <v>80</v>
      </c>
      <c r="I80" s="5" t="str">
        <f>IFERROR(__xludf.DUMMYFUNCTION("GOOGLETRANSLATE(B80,""it"",""en"")"),"What is the main difference between Bocce and Paralympic Boccia?")</f>
        <v>What is the main difference between Bocce and Paralympic Boccia?</v>
      </c>
      <c r="J80" s="5" t="str">
        <f>IFERROR(__xludf.DUMMYFUNCTION("GOOGLETRANSLATE(C80,""it"",""en"")"),"A. The speed of the game B. The dimensions of the field C. The scoring rules D. The presence of athletes with disabilities")</f>
        <v>A. The speed of the game B. The dimensions of the field C. The scoring rules D. The presence of athletes with disabilities</v>
      </c>
      <c r="K80" s="5" t="str">
        <f>IFERROR(__xludf.DUMMYFUNCTION("GOOGLETRANSLATE(D80,""it"",""en"")"),"The presence of athletes with disabilities")</f>
        <v>The presence of athletes with disabilities</v>
      </c>
      <c r="L80" s="5" t="str">
        <f>IFERROR(__xludf.DUMMYFUNCTION("GOOGLETRANSLATE(E80,""it"",""en"")"),"Paralympic Boccia is played by athletes with disabilities and has some adapted rules.")</f>
        <v>Paralympic Boccia is played by athletes with disabilities and has some adapted rules.</v>
      </c>
    </row>
    <row r="81" ht="22.5" customHeight="1">
      <c r="A81" s="4">
        <v>81.0</v>
      </c>
      <c r="B81" s="5" t="s">
        <v>890</v>
      </c>
      <c r="C81" s="5" t="s">
        <v>891</v>
      </c>
      <c r="D81" s="5" t="s">
        <v>892</v>
      </c>
      <c r="E81" s="9" t="s">
        <v>893</v>
      </c>
      <c r="F81" s="3"/>
      <c r="G81" s="3"/>
      <c r="H81" s="5" t="str">
        <f>IFERROR(__xludf.DUMMYFUNCTION("GOOGLETRANSLATE(A81,""it"",""en"")"),"81")</f>
        <v>81</v>
      </c>
      <c r="I81" s="5" t="str">
        <f>IFERROR(__xludf.DUMMYFUNCTION("GOOGLETRANSLATE(B81,""it"",""en"")"),"In Bocce, what does it mean to 'split' the ball?")</f>
        <v>In Bocce, what does it mean to 'split' the ball?</v>
      </c>
      <c r="J81" s="5" t="str">
        <f>IFERROR(__xludf.DUMMYFUNCTION("GOOGLETRANSLATE(C81,""it"",""en"")"),"A. Throw the ball in two parts B. Bounce the ball in two places C. Stop it without touching the jack D. Throw the ball in multiple directions")</f>
        <v>A. Throw the ball in two parts B. Bounce the ball in two places C. Stop it without touching the jack D. Throw the ball in multiple directions</v>
      </c>
      <c r="K81" s="5" t="str">
        <f>IFERROR(__xludf.DUMMYFUNCTION("GOOGLETRANSLATE(D81,""it"",""en"")"),"Make her stop without touching the snitch")</f>
        <v>Make her stop without touching the snitch</v>
      </c>
      <c r="L81" s="5" t="str">
        <f>IFERROR(__xludf.DUMMYFUNCTION("GOOGLETRANSLATE(E81,""it"",""en"")"),"To 'break' the ball means to stop it without hitting the jack.")</f>
        <v>To 'break' the ball means to stop it without hitting the jack.</v>
      </c>
    </row>
    <row r="82" ht="22.5" customHeight="1">
      <c r="A82" s="4">
        <v>82.0</v>
      </c>
      <c r="B82" s="5" t="s">
        <v>894</v>
      </c>
      <c r="C82" s="5" t="s">
        <v>895</v>
      </c>
      <c r="D82" s="5" t="s">
        <v>896</v>
      </c>
      <c r="E82" s="5" t="s">
        <v>897</v>
      </c>
      <c r="F82" s="3"/>
      <c r="G82" s="3"/>
      <c r="H82" s="5" t="str">
        <f>IFERROR(__xludf.DUMMYFUNCTION("GOOGLETRANSLATE(A82,""it"",""en"")"),"82")</f>
        <v>82</v>
      </c>
      <c r="I82" s="5" t="str">
        <f>IFERROR(__xludf.DUMMYFUNCTION("GOOGLETRANSLATE(B82,""it"",""en"")"),"In which century did bocce become a national sport in Italy?")</f>
        <v>In which century did bocce become a national sport in Italy?</v>
      </c>
      <c r="J82" s="5" t="str">
        <f>IFERROR(__xludf.DUMMYFUNCTION("GOOGLETRANSLATE(C82,""it"",""en"")"),"A. 15th century B. 16th century C. 17th century D. 18th century")</f>
        <v>A. 15th century B. 16th century C. 17th century D. 18th century</v>
      </c>
      <c r="K82" s="5" t="str">
        <f>IFERROR(__xludf.DUMMYFUNCTION("GOOGLETRANSLATE(D82,""it"",""en"")"),"16th century")</f>
        <v>16th century</v>
      </c>
      <c r="L82" s="5" t="str">
        <f>IFERROR(__xludf.DUMMYFUNCTION("GOOGLETRANSLATE(E82,""it"",""en"")"),"Bocce became a national sport in Italy in the 16th century.")</f>
        <v>Bocce became a national sport in Italy in the 16th century.</v>
      </c>
    </row>
    <row r="83" ht="22.5" customHeight="1">
      <c r="A83" s="4">
        <v>83.0</v>
      </c>
      <c r="B83" s="5" t="s">
        <v>898</v>
      </c>
      <c r="C83" s="5" t="s">
        <v>899</v>
      </c>
      <c r="D83" s="5" t="s">
        <v>900</v>
      </c>
      <c r="E83" s="5" t="s">
        <v>901</v>
      </c>
      <c r="F83" s="3"/>
      <c r="G83" s="3"/>
      <c r="H83" s="5" t="str">
        <f>IFERROR(__xludf.DUMMYFUNCTION("GOOGLETRANSLATE(A83,""it"",""en"")"),"83")</f>
        <v>83</v>
      </c>
      <c r="I83" s="5" t="str">
        <f>IFERROR(__xludf.DUMMYFUNCTION("GOOGLETRANSLATE(B83,""it"",""en"")"),"What happens if a ball touches another ball during a shot?")</f>
        <v>What happens if a ball touches another ball during a shot?</v>
      </c>
      <c r="J83" s="5" t="str">
        <f>IFERROR(__xludf.DUMMYFUNCTION("GOOGLETRANSLATE(C83,""it"",""en"")"),"A. The ball is discarded B. The ball earns a point C. The shot is repeated D. The ball remains in play")</f>
        <v>A. The ball is discarded B. The ball earns a point C. The shot is repeated D. The ball remains in play</v>
      </c>
      <c r="K83" s="5" t="str">
        <f>IFERROR(__xludf.DUMMYFUNCTION("GOOGLETRANSLATE(D83,""it"",""en"")"),"The bowl remains in play")</f>
        <v>The bowl remains in play</v>
      </c>
      <c r="L83" s="5" t="str">
        <f>IFERROR(__xludf.DUMMYFUNCTION("GOOGLETRANSLATE(E83,""it"",""en"")"),"If a ball touches another ball during a shot, both balls remain valid.")</f>
        <v>If a ball touches another ball during a shot, both balls remain valid.</v>
      </c>
    </row>
    <row r="84" ht="22.5" customHeight="1">
      <c r="A84" s="4">
        <v>84.0</v>
      </c>
      <c r="B84" s="5" t="s">
        <v>902</v>
      </c>
      <c r="C84" s="5" t="s">
        <v>903</v>
      </c>
      <c r="D84" s="5" t="s">
        <v>904</v>
      </c>
      <c r="E84" s="5" t="s">
        <v>905</v>
      </c>
      <c r="F84" s="3"/>
      <c r="G84" s="3"/>
      <c r="H84" s="5" t="str">
        <f>IFERROR(__xludf.DUMMYFUNCTION("GOOGLETRANSLATE(A84,""it"",""en"")"),"84")</f>
        <v>84</v>
      </c>
      <c r="I84" s="5" t="str">
        <f>IFERROR(__xludf.DUMMYFUNCTION("GOOGLETRANSLATE(B84,""it"",""en"")"),"In Bocce, what is the term for the shot that makes the ball bounce?")</f>
        <v>In Bocce, what is the term for the shot that makes the ball bounce?</v>
      </c>
      <c r="J84" s="5" t="str">
        <f>IFERROR(__xludf.DUMMYFUNCTION("GOOGLETRANSLATE(C84,""it"",""en"")"),"A. Rebound shot B. Parabolic shot C. Push shot D. Run-up shot")</f>
        <v>A. Rebound shot B. Parabolic shot C. Push shot D. Run-up shot</v>
      </c>
      <c r="K84" s="5" t="str">
        <f>IFERROR(__xludf.DUMMYFUNCTION("GOOGLETRANSLATE(D84,""it"",""en"")"),"Rebound")</f>
        <v>Rebound</v>
      </c>
      <c r="L84" s="5" t="str">
        <f>IFERROR(__xludf.DUMMYFUNCTION("GOOGLETRANSLATE(E84,""it"",""en"")"),"The 'bounce' is the term used when the ball hits the ground and bounces back towards the jack.")</f>
        <v>The 'bounce' is the term used when the ball hits the ground and bounces back towards the jack.</v>
      </c>
    </row>
    <row r="85" ht="22.5" customHeight="1">
      <c r="A85" s="4">
        <v>85.0</v>
      </c>
      <c r="B85" s="5" t="s">
        <v>906</v>
      </c>
      <c r="C85" s="5" t="s">
        <v>907</v>
      </c>
      <c r="D85" s="5" t="s">
        <v>908</v>
      </c>
      <c r="E85" s="5" t="s">
        <v>909</v>
      </c>
      <c r="F85" s="3"/>
      <c r="G85" s="3"/>
      <c r="H85" s="5" t="str">
        <f>IFERROR(__xludf.DUMMYFUNCTION("GOOGLETRANSLATE(A85,""it"",""en"")"),"85")</f>
        <v>85</v>
      </c>
      <c r="I85" s="5" t="str">
        <f>IFERROR(__xludf.DUMMYFUNCTION("GOOGLETRANSLATE(B85,""it"",""en"")"),"In Bocce, what is the minimum distance between the jack and the first ball thrown?")</f>
        <v>In Bocce, what is the minimum distance between the jack and the first ball thrown?</v>
      </c>
      <c r="J85" s="5" t="str">
        <f>IFERROR(__xludf.DUMMYFUNCTION("GOOGLETRANSLATE(C85,""it"",""en"")"),"A. 1 meter B. 2 meters C. 5 meters D. 10 meters")</f>
        <v>A. 1 meter B. 2 meters C. 5 meters D. 10 meters</v>
      </c>
      <c r="K85" s="5" t="str">
        <f>IFERROR(__xludf.DUMMYFUNCTION("GOOGLETRANSLATE(D85,""it"",""en"")"),"2 meters")</f>
        <v>2 meters</v>
      </c>
      <c r="L85" s="5" t="str">
        <f>IFERROR(__xludf.DUMMYFUNCTION("GOOGLETRANSLATE(E85,""it"",""en"")"),"The minimum distance between the jack and the first ball thrown is 2 meters.")</f>
        <v>The minimum distance between the jack and the first ball thrown is 2 meters.</v>
      </c>
    </row>
    <row r="86" ht="22.5" customHeight="1">
      <c r="A86" s="4">
        <v>86.0</v>
      </c>
      <c r="B86" s="5" t="s">
        <v>910</v>
      </c>
      <c r="C86" s="5" t="s">
        <v>911</v>
      </c>
      <c r="D86" s="5" t="s">
        <v>912</v>
      </c>
      <c r="E86" s="5" t="s">
        <v>913</v>
      </c>
      <c r="F86" s="3"/>
      <c r="G86" s="3"/>
      <c r="H86" s="5" t="str">
        <f>IFERROR(__xludf.DUMMYFUNCTION("GOOGLETRANSLATE(A86,""it"",""en"")"),"86")</f>
        <v>86</v>
      </c>
      <c r="I86" s="5" t="str">
        <f>IFERROR(__xludf.DUMMYFUNCTION("GOOGLETRANSLATE(B86,""it"",""en"")"),"What other game similar to Bocce is played in France?")</f>
        <v>What other game similar to Bocce is played in France?</v>
      </c>
      <c r="J86" s="5" t="str">
        <f>IFERROR(__xludf.DUMMYFUNCTION("GOOGLETRANSLATE(C86,""it"",""en"")"),"A. Boules Lyonnaise B. Pétanque C. French Bowl D. Jeu de boules")</f>
        <v>A. Boules Lyonnaise B. Pétanque C. French Bowl D. Jeu de boules</v>
      </c>
      <c r="K86" s="5" t="str">
        <f>IFERROR(__xludf.DUMMYFUNCTION("GOOGLETRANSLATE(D86,""it"",""en"")"),"Lyonnaise Boules")</f>
        <v>Lyonnaise Boules</v>
      </c>
      <c r="L86" s="5" t="str">
        <f>IFERROR(__xludf.DUMMYFUNCTION("GOOGLETRANSLATE(E86,""it"",""en"")"),"Boules Lyonnaise is a game similar to Bocce played in France.")</f>
        <v>Boules Lyonnaise is a game similar to Bocce played in France.</v>
      </c>
    </row>
    <row r="87" ht="22.5" customHeight="1">
      <c r="A87" s="4">
        <v>87.0</v>
      </c>
      <c r="B87" s="5" t="s">
        <v>914</v>
      </c>
      <c r="C87" s="5" t="s">
        <v>915</v>
      </c>
      <c r="D87" s="5" t="s">
        <v>916</v>
      </c>
      <c r="E87" s="5" t="s">
        <v>917</v>
      </c>
      <c r="F87" s="3"/>
      <c r="G87" s="3"/>
      <c r="H87" s="5" t="str">
        <f>IFERROR(__xludf.DUMMYFUNCTION("GOOGLETRANSLATE(A87,""it"",""en"")"),"87")</f>
        <v>87</v>
      </c>
      <c r="I87" s="5" t="str">
        <f>IFERROR(__xludf.DUMMYFUNCTION("GOOGLETRANSLATE(B87,""it"",""en"")"),"In Bocce, what does it mean when a ball is 'out of play'?")</f>
        <v>In Bocce, what does it mean when a ball is 'out of play'?</v>
      </c>
      <c r="J87" s="5" t="str">
        <f>IFERROR(__xludf.DUMMYFUNCTION("GOOGLETRANSLATE(C87,""it"",""en"")"),"A. The ball is too
88"" B. In the game of Bocce, what technique is used to hit an opponent? C. Rebound shot D. Push shot")</f>
        <v>A. The ball is too
88" B. In the game of Bocce, what technique is used to hit an opponent? C. Rebound shot D. Push shot</v>
      </c>
      <c r="K87" s="5" t="str">
        <f>IFERROR(__xludf.DUMMYFUNCTION("GOOGLETRANSLATE(D87,""it"",""en"")"),"Parabolic shot")</f>
        <v>Parabolic shot</v>
      </c>
      <c r="L87" s="5" t="str">
        <f>IFERROR(__xludf.DUMMYFUNCTION("GOOGLETRANSLATE(E87,""it"",""en"")"),"Covering shot")</f>
        <v>Covering shot</v>
      </c>
    </row>
    <row r="88" ht="22.5" customHeight="1">
      <c r="A88" s="4">
        <v>89.0</v>
      </c>
      <c r="B88" s="5" t="s">
        <v>918</v>
      </c>
      <c r="C88" s="5" t="s">
        <v>919</v>
      </c>
      <c r="D88" s="5" t="s">
        <v>920</v>
      </c>
      <c r="E88" s="9" t="s">
        <v>921</v>
      </c>
      <c r="F88" s="3"/>
      <c r="G88" s="3"/>
      <c r="H88" s="5" t="str">
        <f>IFERROR(__xludf.DUMMYFUNCTION("GOOGLETRANSLATE(A88,""it"",""en"")"),"89")</f>
        <v>89</v>
      </c>
      <c r="I88" s="5" t="str">
        <f>IFERROR(__xludf.DUMMYFUNCTION("GOOGLETRANSLATE(B88,""it"",""en"")"),"What does 'boccia dentro' mean in the game of Bocce?")</f>
        <v>What does 'boccia dentro' mean in the game of Bocce?</v>
      </c>
      <c r="J88" s="5" t="str">
        <f>IFERROR(__xludf.DUMMYFUNCTION("GOOGLETRANSLATE(C88,""it"",""en"")"),"A. A ball that is out of bounds B. A ball that touches the jack C. A ball that is still in play D. A ball that hits another ball")</f>
        <v>A. A ball that is out of bounds B. A ball that touches the jack C. A ball that is still in play D. A ball that hits another ball</v>
      </c>
      <c r="K88" s="5" t="str">
        <f>IFERROR(__xludf.DUMMYFUNCTION("GOOGLETRANSLATE(D88,""it"",""en"")"),"A bowl that is still in the game")</f>
        <v>A bowl that is still in the game</v>
      </c>
      <c r="L88" s="5" t="str">
        <f>IFERROR(__xludf.DUMMYFUNCTION("GOOGLETRANSLATE(E88,""it"",""en"")"),"'Boccia dentro' means that the boccia is still inside the lane and in play.")</f>
        <v>'Boccia dentro' means that the boccia is still inside the lane and in play.</v>
      </c>
    </row>
    <row r="89" ht="22.5" customHeight="1">
      <c r="A89" s="4">
        <v>90.0</v>
      </c>
      <c r="B89" s="5" t="s">
        <v>922</v>
      </c>
      <c r="C89" s="5" t="s">
        <v>923</v>
      </c>
      <c r="D89" s="5" t="s">
        <v>924</v>
      </c>
      <c r="E89" s="5" t="s">
        <v>925</v>
      </c>
      <c r="F89" s="3"/>
      <c r="G89" s="3"/>
      <c r="H89" s="5" t="str">
        <f>IFERROR(__xludf.DUMMYFUNCTION("GOOGLETRANSLATE(A89,""it"",""en"")"),"90")</f>
        <v>90</v>
      </c>
      <c r="I89" s="5" t="str">
        <f>IFERROR(__xludf.DUMMYFUNCTION("GOOGLETRANSLATE(B89,""it"",""en"")"),"In Bocce, how long does a throwing turn last for each player?")</f>
        <v>In Bocce, how long does a throwing turn last for each player?</v>
      </c>
      <c r="J89" s="5" t="str">
        <f>IFERROR(__xludf.DUMMYFUNCTION("GOOGLETRANSLATE(C89,""it"",""en"")"),"A. 5 seconds B. 10 seconds C. 15 seconds D. 20 seconds")</f>
        <v>A. 5 seconds B. 10 seconds C. 15 seconds D. 20 seconds</v>
      </c>
      <c r="K89" s="5" t="str">
        <f>IFERROR(__xludf.DUMMYFUNCTION("GOOGLETRANSLATE(D89,""it"",""en"")"),"10 seconds")</f>
        <v>10 seconds</v>
      </c>
      <c r="L89" s="5" t="str">
        <f>IFERROR(__xludf.DUMMYFUNCTION("GOOGLETRANSLATE(E89,""it"",""en"")"),"Each player has 10 seconds to throw the ball during his turn.")</f>
        <v>Each player has 10 seconds to throw the ball during his turn.</v>
      </c>
    </row>
    <row r="90" ht="22.5" customHeight="1">
      <c r="A90" s="4">
        <v>91.0</v>
      </c>
      <c r="B90" s="5" t="s">
        <v>926</v>
      </c>
      <c r="C90" s="5" t="s">
        <v>927</v>
      </c>
      <c r="D90" s="5" t="s">
        <v>928</v>
      </c>
      <c r="E90" s="9" t="s">
        <v>929</v>
      </c>
      <c r="F90" s="3"/>
      <c r="G90" s="3"/>
      <c r="H90" s="5" t="str">
        <f>IFERROR(__xludf.DUMMYFUNCTION("GOOGLETRANSLATE(A90,""it"",""en"")"),"91")</f>
        <v>91</v>
      </c>
      <c r="I90" s="5" t="str">
        <f>IFERROR(__xludf.DUMMYFUNCTION("GOOGLETRANSLATE(B90,""it"",""en"")"),"In Bocce, what does the term 'long boccia' mean?")</f>
        <v>In Bocce, what does the term 'long boccia' mean?</v>
      </c>
      <c r="J90" s="5" t="str">
        <f>IFERROR(__xludf.DUMMYFUNCTION("GOOGLETRANSLATE(C90,""it"",""en"")"),"A. A ball that goes off track B. A ball that is too far from the jack C. A ball that hits another object D. A ball that is close to the jack")</f>
        <v>A. A ball that goes off track B. A ball that is too far from the jack C. A ball that hits another object D. A ball that is close to the jack</v>
      </c>
      <c r="K90" s="5" t="str">
        <f>IFERROR(__xludf.DUMMYFUNCTION("GOOGLETRANSLATE(D90,""it"",""en"")"),"A ball that is too far from the jack")</f>
        <v>A ball that is too far from the jack</v>
      </c>
      <c r="L90" s="5" t="str">
        <f>IFERROR(__xludf.DUMMYFUNCTION("GOOGLETRANSLATE(E90,""it"",""en"")"),"'Long ball' refers to a ball that is thrown too far from the jack.")</f>
        <v>'Long ball' refers to a ball that is thrown too far from the jack.</v>
      </c>
    </row>
    <row r="91" ht="22.5" customHeight="1">
      <c r="A91" s="4">
        <v>92.0</v>
      </c>
      <c r="B91" s="5" t="s">
        <v>930</v>
      </c>
      <c r="C91" s="5" t="s">
        <v>931</v>
      </c>
      <c r="D91" s="5" t="s">
        <v>932</v>
      </c>
      <c r="E91" s="9" t="s">
        <v>933</v>
      </c>
      <c r="F91" s="3"/>
      <c r="G91" s="3"/>
      <c r="H91" s="5" t="str">
        <f>IFERROR(__xludf.DUMMYFUNCTION("GOOGLETRANSLATE(A91,""it"",""en"")"),"92")</f>
        <v>92</v>
      </c>
      <c r="I91" s="5" t="str">
        <f>IFERROR(__xludf.DUMMYFUNCTION("GOOGLETRANSLATE(B91,""it"",""en"")"),"What does 'shooting to the center' mean in the game of Bocce?")</f>
        <v>What does 'shooting to the center' mean in the game of Bocce?</v>
      </c>
      <c r="J91" s="5" t="str">
        <f>IFERROR(__xludf.DUMMYFUNCTION("GOOGLETRANSLATE(C91,""it"",""en"")"),"A. Aim at the center of the lane B. Hit the jack accurately C. Throw the ball to the farthest point D. Place the ball in the center of the trajectory")</f>
        <v>A. Aim at the center of the lane B. Hit the jack accurately C. Throw the ball to the farthest point D. Place the ball in the center of the trajectory</v>
      </c>
      <c r="K91" s="5" t="str">
        <f>IFERROR(__xludf.DUMMYFUNCTION("GOOGLETRANSLATE(D91,""it"",""en"")"),"Aim for the center of the track")</f>
        <v>Aim for the center of the track</v>
      </c>
      <c r="L91" s="5" t="str">
        <f>IFERROR(__xludf.DUMMYFUNCTION("GOOGLETRANSLATE(E91,""it"",""en"")"),"'Centering' means aiming for the center of the track for a precise trajectory.")</f>
        <v>'Centering' means aiming for the center of the track for a precise trajectory.</v>
      </c>
    </row>
    <row r="92" ht="22.5" customHeight="1">
      <c r="A92" s="4">
        <v>93.0</v>
      </c>
      <c r="B92" s="5" t="s">
        <v>934</v>
      </c>
      <c r="C92" s="5" t="s">
        <v>935</v>
      </c>
      <c r="D92" s="5" t="s">
        <v>936</v>
      </c>
      <c r="E92" s="5" t="s">
        <v>937</v>
      </c>
      <c r="F92" s="3"/>
      <c r="G92" s="3"/>
      <c r="H92" s="5" t="str">
        <f>IFERROR(__xludf.DUMMYFUNCTION("GOOGLETRANSLATE(A92,""it"",""en"")"),"93")</f>
        <v>93</v>
      </c>
      <c r="I92" s="5" t="str">
        <f>IFERROR(__xludf.DUMMYFUNCTION("GOOGLETRANSLATE(B92,""it"",""en"")"),"What is the term used for the game of Bocce in the regions of Southern Italy?")</f>
        <v>What is the term used for the game of Bocce in the regions of Southern Italy?</v>
      </c>
      <c r="J92" s="5" t="str">
        <f>IFERROR(__xludf.DUMMYFUNCTION("GOOGLETRANSLATE(C92,""it"",""en"")"),"A. Volleyball B. Traditional bowls C. Scopone D. Calabrese bowls")</f>
        <v>A. Volleyball B. Traditional bowls C. Scopone D. Calabrese bowls</v>
      </c>
      <c r="K92" s="5" t="str">
        <f>IFERROR(__xludf.DUMMYFUNCTION("GOOGLETRANSLATE(D92,""it"",""en"")"),"Calabrese Bowls")</f>
        <v>Calabrese Bowls</v>
      </c>
      <c r="L92" s="5" t="str">
        <f>IFERROR(__xludf.DUMMYFUNCTION("GOOGLETRANSLATE(E92,""it"",""en"")"),"In southern Italy, the game of Bocce is often called Bocce Calabrese.")</f>
        <v>In southern Italy, the game of Bocce is often called Bocce Calabrese.</v>
      </c>
    </row>
    <row r="93" ht="22.5" customHeight="1">
      <c r="A93" s="4">
        <v>94.0</v>
      </c>
      <c r="B93" s="5" t="s">
        <v>938</v>
      </c>
      <c r="C93" s="5" t="s">
        <v>939</v>
      </c>
      <c r="D93" s="5" t="s">
        <v>940</v>
      </c>
      <c r="E93" s="5" t="s">
        <v>941</v>
      </c>
      <c r="F93" s="3"/>
      <c r="G93" s="3"/>
      <c r="H93" s="5" t="str">
        <f>IFERROR(__xludf.DUMMYFUNCTION("GOOGLETRANSLATE(A93,""it"",""en"")"),"94")</f>
        <v>94</v>
      </c>
      <c r="I93" s="5" t="str">
        <f>IFERROR(__xludf.DUMMYFUNCTION("GOOGLETRANSLATE(B93,""it"",""en"")"),"In the game of Bocce, how often do you change sides of the lane between rounds?")</f>
        <v>In the game of Bocce, how often do you change sides of the lane between rounds?</v>
      </c>
      <c r="J93" s="5" t="str">
        <f>IFERROR(__xludf.DUMMYFUNCTION("GOOGLETRANSLATE(C93,""it"",""en"")"),"A. Every 5 minutes B. After each round C. Every 2 rounds D. Every 3 rounds")</f>
        <v>A. Every 5 minutes B. After each round C. Every 2 rounds D. Every 3 rounds</v>
      </c>
      <c r="K93" s="5" t="str">
        <f>IFERROR(__xludf.DUMMYFUNCTION("GOOGLETRANSLATE(D93,""it"",""en"")"),"After each heat")</f>
        <v>After each heat</v>
      </c>
      <c r="L93" s="5" t="str">
        <f>IFERROR(__xludf.DUMMYFUNCTION("GOOGLETRANSLATE(E93,""it"",""en"")"),"Players change sides of the lane after each round.")</f>
        <v>Players change sides of the lane after each round.</v>
      </c>
    </row>
    <row r="94" ht="22.5" customHeight="1">
      <c r="A94" s="4">
        <v>95.0</v>
      </c>
      <c r="B94" s="5" t="s">
        <v>942</v>
      </c>
      <c r="C94" s="5" t="s">
        <v>943</v>
      </c>
      <c r="D94" s="5" t="s">
        <v>944</v>
      </c>
      <c r="E94" s="5" t="s">
        <v>945</v>
      </c>
      <c r="F94" s="3"/>
      <c r="G94" s="3"/>
      <c r="H94" s="5" t="str">
        <f>IFERROR(__xludf.DUMMYFUNCTION("GOOGLETRANSLATE(A94,""it"",""en"")"),"95")</f>
        <v>95</v>
      </c>
      <c r="I94" s="5" t="str">
        <f>IFERROR(__xludf.DUMMYFUNCTION("GOOGLETRANSLATE(B94,""it"",""en"")"),"What kind of materials are used to make bocce balls?")</f>
        <v>What kind of materials are used to make bocce balls?</v>
      </c>
      <c r="J94" s="5" t="str">
        <f>IFERROR(__xludf.DUMMYFUNCTION("GOOGLETRANSLATE(C94,""it"",""en"")"),"A. Wood and plastic B. Stone and metal C. Carbon fiber D. Metal and resin")</f>
        <v>A. Wood and plastic B. Stone and metal C. Carbon fiber D. Metal and resin</v>
      </c>
      <c r="K94" s="5" t="str">
        <f>IFERROR(__xludf.DUMMYFUNCTION("GOOGLETRANSLATE(D94,""it"",""en"")"),"Metal and resin")</f>
        <v>Metal and resin</v>
      </c>
      <c r="L94" s="5" t="str">
        <f>IFERROR(__xludf.DUMMYFUNCTION("GOOGLETRANSLATE(E94,""it"",""en"")"),"Professional bowls are mainly made of metal and resin.")</f>
        <v>Professional bowls are mainly made of metal and resin.</v>
      </c>
    </row>
    <row r="95" ht="22.5" customHeight="1">
      <c r="A95" s="4">
        <v>96.0</v>
      </c>
      <c r="B95" s="5" t="s">
        <v>946</v>
      </c>
      <c r="C95" s="5" t="s">
        <v>947</v>
      </c>
      <c r="D95" s="5" t="s">
        <v>948</v>
      </c>
      <c r="E95" s="5" t="s">
        <v>949</v>
      </c>
      <c r="F95" s="3"/>
      <c r="G95" s="3"/>
      <c r="H95" s="5" t="str">
        <f>IFERROR(__xludf.DUMMYFUNCTION("GOOGLETRANSLATE(A95,""it"",""en"")"),"96")</f>
        <v>96</v>
      </c>
      <c r="I95" s="5" t="str">
        <f>IFERROR(__xludf.DUMMYFUNCTION("GOOGLETRANSLATE(B95,""it"",""en"")"),"Which player on a Bocce team should take the first throw?")</f>
        <v>Which player on a Bocce team should take the first throw?</v>
      </c>
      <c r="J95" s="5" t="str">
        <f>IFERROR(__xludf.DUMMYFUNCTION("GOOGLETRANSLATE(C95,""it"",""en"")"),"A. The main shooter B. The team captain C. The most experienced player D. The designated player")</f>
        <v>A. The main shooter B. The team captain C. The most experienced player D. The designated player</v>
      </c>
      <c r="K95" s="5" t="str">
        <f>IFERROR(__xludf.DUMMYFUNCTION("GOOGLETRANSLATE(D95,""it"",""en"")"),"The designated player")</f>
        <v>The designated player</v>
      </c>
      <c r="L95" s="5" t="str">
        <f>IFERROR(__xludf.DUMMYFUNCTION("GOOGLETRANSLATE(E95,""it"",""en"")"),"In each Bocce team, a designated player takes the first throw.")</f>
        <v>In each Bocce team, a designated player takes the first throw.</v>
      </c>
    </row>
    <row r="96" ht="22.5" customHeight="1">
      <c r="A96" s="4">
        <v>97.0</v>
      </c>
      <c r="B96" s="5" t="s">
        <v>950</v>
      </c>
      <c r="C96" s="5" t="s">
        <v>951</v>
      </c>
      <c r="D96" s="5" t="s">
        <v>216</v>
      </c>
      <c r="E96" s="5" t="s">
        <v>952</v>
      </c>
      <c r="F96" s="3"/>
      <c r="G96" s="3"/>
      <c r="H96" s="5" t="str">
        <f>IFERROR(__xludf.DUMMYFUNCTION("GOOGLETRANSLATE(A96,""it"",""en"")"),"97")</f>
        <v>97</v>
      </c>
      <c r="I96" s="5" t="str">
        <f>IFERROR(__xludf.DUMMYFUNCTION("GOOGLETRANSLATE(B96,""it"",""en"")"),"What is the main skill a Bocce player must have?")</f>
        <v>What is the main skill a Bocce player must have?</v>
      </c>
      <c r="J96" s="5" t="str">
        <f>IFERROR(__xludf.DUMMYFUNCTION("GOOGLETRANSLATE(C96,""it"",""en"")"),"A. Speed ​​B. Strength C. Accuracy D. Athletic ability")</f>
        <v>A. Speed ​​B. Strength C. Accuracy D. Athletic ability</v>
      </c>
      <c r="K96" s="5" t="str">
        <f>IFERROR(__xludf.DUMMYFUNCTION("GOOGLETRANSLATE(D96,""it"",""en"")"),"Precision")</f>
        <v>Precision</v>
      </c>
      <c r="L96" s="5" t="str">
        <f>IFERROR(__xludf.DUMMYFUNCTION("GOOGLETRANSLATE(E96,""it"",""en"")"),"Accuracy is the main skill required in Bocce to be able to hit the jack with the balls.")</f>
        <v>Accuracy is the main skill required in Bocce to be able to hit the jack with the balls.</v>
      </c>
    </row>
    <row r="97" ht="22.5" customHeight="1">
      <c r="A97" s="4">
        <v>98.0</v>
      </c>
      <c r="B97" s="5" t="s">
        <v>953</v>
      </c>
      <c r="C97" s="5" t="s">
        <v>954</v>
      </c>
      <c r="D97" s="5" t="s">
        <v>896</v>
      </c>
      <c r="E97" s="5" t="s">
        <v>955</v>
      </c>
      <c r="F97" s="3"/>
      <c r="G97" s="3"/>
      <c r="H97" s="5" t="str">
        <f>IFERROR(__xludf.DUMMYFUNCTION("GOOGLETRANSLATE(A97,""it"",""en"")"),"98")</f>
        <v>98</v>
      </c>
      <c r="I97" s="5" t="str">
        <f>IFERROR(__xludf.DUMMYFUNCTION("GOOGLETRANSLATE(B97,""it"",""en"")"),"In which century was Bocce first officially recorded in Italy?")</f>
        <v>In which century was Bocce first officially recorded in Italy?</v>
      </c>
      <c r="J97" s="5" t="str">
        <f>IFERROR(__xludf.DUMMYFUNCTION("GOOGLETRANSLATE(C97,""it"",""en"")"),"A. 15th century B. 16th century C. 17th century D. 19th century")</f>
        <v>A. 15th century B. 16th century C. 17th century D. 19th century</v>
      </c>
      <c r="K97" s="5" t="str">
        <f>IFERROR(__xludf.DUMMYFUNCTION("GOOGLETRANSLATE(D97,""it"",""en"")"),"16th century")</f>
        <v>16th century</v>
      </c>
      <c r="L97" s="5" t="str">
        <f>IFERROR(__xludf.DUMMYFUNCTION("GOOGLETRANSLATE(E97,""it"",""en"")"),"Bocce was officially registered as a sport in Italy in the 16th century.")</f>
        <v>Bocce was officially registered as a sport in Italy in the 16th century.</v>
      </c>
    </row>
    <row r="98" ht="22.5" customHeight="1">
      <c r="A98" s="4">
        <v>99.0</v>
      </c>
      <c r="B98" s="5" t="s">
        <v>956</v>
      </c>
      <c r="C98" s="5" t="s">
        <v>957</v>
      </c>
      <c r="D98" s="5" t="s">
        <v>958</v>
      </c>
      <c r="E98" s="5" t="s">
        <v>959</v>
      </c>
      <c r="F98" s="3"/>
      <c r="G98" s="3"/>
      <c r="H98" s="5" t="str">
        <f>IFERROR(__xludf.DUMMYFUNCTION("GOOGLETRANSLATE(A98,""it"",""en"")"),"99")</f>
        <v>99</v>
      </c>
      <c r="I98" s="5" t="str">
        <f>IFERROR(__xludf.DUMMYFUNCTION("GOOGLETRANSLATE(B98,""it"",""en"")"),"What type of international competition is Bocce played in?")</f>
        <v>What type of international competition is Bocce played in?</v>
      </c>
      <c r="J98" s="5" t="str">
        <f>IFERROR(__xludf.DUMMYFUNCTION("GOOGLETRANSLATE(C98,""it"",""en"")"),"A. World Cup B. World Championship C. European Cup D. Olympic Championship")</f>
        <v>A. World Cup B. World Championship C. European Cup D. Olympic Championship</v>
      </c>
      <c r="K98" s="5" t="str">
        <f>IFERROR(__xludf.DUMMYFUNCTION("GOOGLETRANSLATE(D98,""it"",""en"")"),"World Championship")</f>
        <v>World Championship</v>
      </c>
      <c r="L98" s="5" t="str">
        <f>IFERROR(__xludf.DUMMYFUNCTION("GOOGLETRANSLATE(E98,""it"",""en"")"),"The World Bowls Championship is the most important international competition.")</f>
        <v>The World Bowls Championship is the most important international competition.</v>
      </c>
    </row>
    <row r="99" ht="22.5" customHeight="1">
      <c r="A99" s="4">
        <v>100.0</v>
      </c>
      <c r="B99" s="5" t="s">
        <v>960</v>
      </c>
      <c r="C99" s="5" t="s">
        <v>961</v>
      </c>
      <c r="D99" s="5" t="s">
        <v>962</v>
      </c>
      <c r="E99" s="9" t="s">
        <v>963</v>
      </c>
      <c r="F99" s="3"/>
      <c r="G99" s="3"/>
      <c r="H99" s="5" t="str">
        <f>IFERROR(__xludf.DUMMYFUNCTION("GOOGLETRANSLATE(A99,""it"",""en"")"),"100")</f>
        <v>100</v>
      </c>
      <c r="I99" s="5" t="str">
        <f>IFERROR(__xludf.DUMMYFUNCTION("GOOGLETRANSLATE(B99,""it"",""en"")"),"In the game of Bocce, what is a 'pallina'?")</f>
        <v>In the game of Bocce, what is a 'pallina'?</v>
      </c>
      <c r="J99" s="5" t="str">
        <f>IFERROR(__xludf.DUMMYFUNCTION("GOOGLETRANSLATE(C99,""it"",""en"")"),"A. Another name for the jack B. Another name for the ball C. A special type of ball D. An obstacle in the lane")</f>
        <v>A. Another name for the jack B. Another name for the ball C. A special type of ball D. An obstacle in the lane</v>
      </c>
      <c r="K99" s="5" t="str">
        <f>IFERROR(__xludf.DUMMYFUNCTION("GOOGLETRANSLATE(D99,""it"",""en"")"),"Another name for the snitch")</f>
        <v>Another name for the snitch</v>
      </c>
      <c r="L99" s="5" t="str">
        <f>IFERROR(__xludf.DUMMYFUNCTION("GOOGLETRANSLATE(E99,""it"",""en"")"),"Pallina' is another name for the jack in the game of Bocce.")</f>
        <v>Pallina' is another name for the jack in the game of Bocce.</v>
      </c>
    </row>
    <row r="100" ht="22.5" customHeight="1">
      <c r="A100" s="4">
        <v>101.0</v>
      </c>
      <c r="B100" s="5" t="s">
        <v>964</v>
      </c>
      <c r="C100" s="5" t="s">
        <v>965</v>
      </c>
      <c r="D100" s="5" t="s">
        <v>966</v>
      </c>
      <c r="E100" s="5" t="s">
        <v>967</v>
      </c>
      <c r="F100" s="3"/>
      <c r="G100" s="3"/>
      <c r="H100" s="5" t="str">
        <f>IFERROR(__xludf.DUMMYFUNCTION("GOOGLETRANSLATE(A100,""it"",""en"")"),"101")</f>
        <v>101</v>
      </c>
      <c r="I100" s="5" t="str">
        <f>IFERROR(__xludf.DUMMYFUNCTION("GOOGLETRANSLATE(B100,""it"",""en"")"),"What is the term used to describe when a player throws the bocce ball but fails to hit the jack?")</f>
        <v>What is the term used to describe when a player throws the bocce ball but fails to hit the jack?</v>
      </c>
      <c r="J100" s="5" t="str">
        <f>IFERROR(__xludf.DUMMYFUNCTION("GOOGLETRANSLATE(C100,""it"",""en"")"),"A. Missed throw B. Unlucky throw C. Failed throw D. Incorrect throw")</f>
        <v>A. Missed throw B. Unlucky throw C. Failed throw D. Incorrect throw</v>
      </c>
      <c r="K100" s="5" t="str">
        <f>IFERROR(__xludf.DUMMYFUNCTION("GOOGLETRANSLATE(D100,""it"",""en"")"),"No shot")</f>
        <v>No shot</v>
      </c>
      <c r="L100" s="5" t="str">
        <f>IFERROR(__xludf.DUMMYFUNCTION("GOOGLETRANSLATE(E100,""it"",""en"")"),"When a player fails to hit the jack, the shot is called a 'let'.")</f>
        <v>When a player fails to hit the jack, the shot is called a 'let'.</v>
      </c>
    </row>
    <row r="101" ht="22.5" customHeight="1">
      <c r="A101" s="4">
        <v>102.0</v>
      </c>
      <c r="B101" s="5" t="s">
        <v>968</v>
      </c>
      <c r="C101" s="5" t="s">
        <v>969</v>
      </c>
      <c r="D101" s="5" t="s">
        <v>970</v>
      </c>
      <c r="E101" s="5" t="s">
        <v>971</v>
      </c>
      <c r="F101" s="3"/>
      <c r="G101" s="3"/>
      <c r="H101" s="5" t="str">
        <f>IFERROR(__xludf.DUMMYFUNCTION("GOOGLETRANSLATE(A101,""it"",""en"")"),"102")</f>
        <v>102</v>
      </c>
      <c r="I101" s="5" t="str">
        <f>IFERROR(__xludf.DUMMYFUNCTION("GOOGLETRANSLATE(B101,""it"",""en"")"),"What is the main difference between Bocce and Pétanque?")</f>
        <v>What is the main difference between Bocce and Pétanque?</v>
      </c>
      <c r="J101" s="5" t="str">
        <f>IFERROR(__xludf.DUMMYFUNCTION("GOOGLETRANSLATE(C101,""it"",""en"")"),"A. The size of the balls B. The throwing rules C. The playing technique D. The surface of the court")</f>
        <v>A. The size of the balls B. The throwing rules C. The playing technique D. The surface of the court</v>
      </c>
      <c r="K101" s="5" t="str">
        <f>IFERROR(__xludf.DUMMYFUNCTION("GOOGLETRANSLATE(D101,""it"",""en"")"),"The surface of the field")</f>
        <v>The surface of the field</v>
      </c>
      <c r="L101" s="5" t="str">
        <f>IFERROR(__xludf.DUMMYFUNCTION("GOOGLETRANSLATE(E101,""it"",""en"")"),"The main difference is the surface of the court: Bocce is played on a smooth court while Pétanque is played on uneven terrain.")</f>
        <v>The main difference is the surface of the court: Bocce is played on a smooth court while Pétanque is played on uneven terrain.</v>
      </c>
    </row>
    <row r="102" ht="22.5" customHeight="1">
      <c r="A102" s="4">
        <v>103.0</v>
      </c>
      <c r="B102" s="5" t="s">
        <v>972</v>
      </c>
      <c r="C102" s="5" t="s">
        <v>973</v>
      </c>
      <c r="D102" s="5" t="s">
        <v>974</v>
      </c>
      <c r="E102" s="5" t="s">
        <v>975</v>
      </c>
      <c r="F102" s="3"/>
      <c r="G102" s="3"/>
      <c r="H102" s="5" t="str">
        <f>IFERROR(__xludf.DUMMYFUNCTION("GOOGLETRANSLATE(A102,""it"",""en"")"),"103")</f>
        <v>103</v>
      </c>
      <c r="I102" s="5" t="str">
        <f>IFERROR(__xludf.DUMMYFUNCTION("GOOGLETRANSLATE(B102,""it"",""en"")"),"In Bocce, what does 'change of sides' mean?")</f>
        <v>In Bocce, what does 'change of sides' mean?</v>
      </c>
      <c r="J102" s="5" t="str">
        <f>IFERROR(__xludf.DUMMYFUNCTION("GOOGLETRANSLATE(C102,""it"",""en"")"),"A. Change the direction of the shot B. Change the position of the jack C. Move from one side of the lane to the other D. Replace the balls with others")</f>
        <v>A. Change the direction of the shot B. Change the position of the jack C. Move from one side of the lane to the other D. Replace the balls with others</v>
      </c>
      <c r="K102" s="5" t="str">
        <f>IFERROR(__xludf.DUMMYFUNCTION("GOOGLETRANSLATE(D102,""it"",""en"")"),"Cross from one side of the track to the other")</f>
        <v>Cross from one side of the track to the other</v>
      </c>
      <c r="L102" s="5" t="str">
        <f>IFERROR(__xludf.DUMMYFUNCTION("GOOGLETRANSLATE(E102,""it"",""en"")"),"A 'change of ends' involves players switching sides of the rink during the game.")</f>
        <v>A 'change of ends' involves players switching sides of the rink during the game.</v>
      </c>
    </row>
    <row r="103" ht="22.5" customHeight="1">
      <c r="A103" s="4">
        <v>104.0</v>
      </c>
      <c r="B103" s="5" t="s">
        <v>976</v>
      </c>
      <c r="C103" s="5" t="s">
        <v>977</v>
      </c>
      <c r="D103" s="4">
        <v>1905.0</v>
      </c>
      <c r="E103" s="5" t="s">
        <v>978</v>
      </c>
      <c r="F103" s="3"/>
      <c r="G103" s="3"/>
      <c r="H103" s="5" t="str">
        <f>IFERROR(__xludf.DUMMYFUNCTION("GOOGLETRANSLATE(A103,""it"",""en"")"),"104")</f>
        <v>104</v>
      </c>
      <c r="I103" s="5" t="str">
        <f>IFERROR(__xludf.DUMMYFUNCTION("GOOGLETRANSLATE(B103,""it"",""en"")"),"In what year were the official regulations of the Italian Bocce Federation established?")</f>
        <v>In what year were the official regulations of the Italian Bocce Federation established?</v>
      </c>
      <c r="J103" s="5" t="str">
        <f>IFERROR(__xludf.DUMMYFUNCTION("GOOGLETRANSLATE(C103,""it"",""en"")"),"A. 1880 B. 1905 C. 1921 D. 1940")</f>
        <v>A. 1880 B. 1905 C. 1921 D. 1940</v>
      </c>
      <c r="K103" s="5" t="str">
        <f>IFERROR(__xludf.DUMMYFUNCTION("GOOGLETRANSLATE(D103,""it"",""en"")"),"1905")</f>
        <v>1905</v>
      </c>
      <c r="L103" s="5" t="str">
        <f>IFERROR(__xludf.DUMMYFUNCTION("GOOGLETRANSLATE(E103,""it"",""en"")"),"The official regulations of the Italian Bocce Federation were established in 1905.")</f>
        <v>The official regulations of the Italian Bocce Federation were established in 1905.</v>
      </c>
    </row>
    <row r="104" ht="22.5" customHeight="1">
      <c r="A104" s="4">
        <v>105.0</v>
      </c>
      <c r="B104" s="5" t="s">
        <v>979</v>
      </c>
      <c r="C104" s="5" t="s">
        <v>980</v>
      </c>
      <c r="D104" s="5" t="s">
        <v>981</v>
      </c>
      <c r="E104" s="5" t="s">
        <v>982</v>
      </c>
      <c r="F104" s="3"/>
      <c r="G104" s="3"/>
      <c r="H104" s="5" t="str">
        <f>IFERROR(__xludf.DUMMYFUNCTION("GOOGLETRANSLATE(A104,""it"",""en"")"),"105")</f>
        <v>105</v>
      </c>
      <c r="I104" s="5" t="str">
        <f>IFERROR(__xludf.DUMMYFUNCTION("GOOGLETRANSLATE(B104,""it"",""en"")"),"In the game of Bocce, what role does the 'bocciatore' have on a team?")</f>
        <v>In the game of Bocce, what role does the 'bocciatore' have on a team?</v>
      </c>
      <c r="J104" s="5" t="str">
        <f>IFERROR(__xludf.DUMMYFUNCTION("GOOGLETRANSLATE(C104,""it"",""en"")"),"A. Throw the jack B. Throw the opponent's balls C. Throw the ball as far as possible D. Throw your own balls towards the jack")</f>
        <v>A. Throw the jack B. Throw the opponent's balls C. Throw the ball as far as possible D. Throw your own balls towards the jack</v>
      </c>
      <c r="K104" s="5" t="str">
        <f>IFERROR(__xludf.DUMMYFUNCTION("GOOGLETRANSLATE(D104,""it"",""en"")"),"Throw your own balls towards the jack")</f>
        <v>Throw your own balls towards the jack</v>
      </c>
      <c r="L104" s="5" t="str">
        <f>IFERROR(__xludf.DUMMYFUNCTION("GOOGLETRANSLATE(E104,""it"",""en"")"),"The 'bocciatore' is the player who throws the balls towards the jack.")</f>
        <v>The 'bocciatore' is the player who throws the balls towards the jack.</v>
      </c>
    </row>
    <row r="105" ht="22.5" customHeight="1">
      <c r="A105" s="4">
        <v>106.0</v>
      </c>
      <c r="B105" s="5" t="s">
        <v>983</v>
      </c>
      <c r="C105" s="5" t="s">
        <v>984</v>
      </c>
      <c r="D105" s="5" t="s">
        <v>985</v>
      </c>
      <c r="E105" s="5" t="s">
        <v>986</v>
      </c>
      <c r="F105" s="3"/>
      <c r="G105" s="3"/>
      <c r="H105" s="5" t="str">
        <f>IFERROR(__xludf.DUMMYFUNCTION("GOOGLETRANSLATE(A105,""it"",""en"")"),"106")</f>
        <v>106</v>
      </c>
      <c r="I105" s="5" t="str">
        <f>IFERROR(__xludf.DUMMYFUNCTION("GOOGLETRANSLATE(B105,""it"",""en"")"),"In Bocce, what happens when a ball hits the jack?")</f>
        <v>In Bocce, what happens when a ball hits the jack?</v>
      </c>
      <c r="J105" s="5" t="str">
        <f>IFERROR(__xludf.DUMMYFUNCTION("GOOGLETRANSLATE(C105,""it"",""en"")"),"A. Scores points B. Is removed from the game C. The shot is cancelled D. Nothing happens")</f>
        <v>A. Scores points B. Is removed from the game C. The shot is cancelled D. Nothing happens</v>
      </c>
      <c r="K105" s="5" t="str">
        <f>IFERROR(__xludf.DUMMYFUNCTION("GOOGLETRANSLATE(D105,""it"",""en"")"),"Earn points")</f>
        <v>Earn points</v>
      </c>
      <c r="L105" s="5" t="str">
        <f>IFERROR(__xludf.DUMMYFUNCTION("GOOGLETRANSLATE(E105,""it"",""en"")"),"When a ball hits the jack, the team scores points.")</f>
        <v>When a ball hits the jack, the team scores points.</v>
      </c>
    </row>
    <row r="106" ht="22.5" customHeight="1">
      <c r="A106" s="4">
        <v>107.0</v>
      </c>
      <c r="B106" s="5" t="s">
        <v>987</v>
      </c>
      <c r="C106" s="5" t="s">
        <v>954</v>
      </c>
      <c r="D106" s="5" t="s">
        <v>896</v>
      </c>
      <c r="E106" s="5" t="s">
        <v>988</v>
      </c>
      <c r="F106" s="3"/>
      <c r="G106" s="3"/>
      <c r="H106" s="5" t="str">
        <f>IFERROR(__xludf.DUMMYFUNCTION("GOOGLETRANSLATE(A106,""it"",""en"")"),"107")</f>
        <v>107</v>
      </c>
      <c r="I106" s="5" t="str">
        <f>IFERROR(__xludf.DUMMYFUNCTION("GOOGLETRANSLATE(B106,""it"",""en"")"),"In which century was Bocce introduced to France?")</f>
        <v>In which century was Bocce introduced to France?</v>
      </c>
      <c r="J106" s="5" t="str">
        <f>IFERROR(__xludf.DUMMYFUNCTION("GOOGLETRANSLATE(C106,""it"",""en"")"),"A. 15th century B. 16th century C. 17th century D. 19th century")</f>
        <v>A. 15th century B. 16th century C. 17th century D. 19th century</v>
      </c>
      <c r="K106" s="5" t="str">
        <f>IFERROR(__xludf.DUMMYFUNCTION("GOOGLETRANSLATE(D106,""it"",""en"")"),"16th century")</f>
        <v>16th century</v>
      </c>
      <c r="L106" s="5" t="str">
        <f>IFERROR(__xludf.DUMMYFUNCTION("GOOGLETRANSLATE(E106,""it"",""en"")"),"Bocce was introduced to France in the 16th century, brought from Italian traditions.")</f>
        <v>Bocce was introduced to France in the 16th century, brought from Italian traditions.</v>
      </c>
    </row>
    <row r="107" ht="22.5" customHeight="1">
      <c r="A107" s="4">
        <v>108.0</v>
      </c>
      <c r="B107" s="5" t="s">
        <v>989</v>
      </c>
      <c r="C107" s="5" t="s">
        <v>990</v>
      </c>
      <c r="D107" s="5" t="s">
        <v>991</v>
      </c>
      <c r="E107" s="5" t="s">
        <v>992</v>
      </c>
      <c r="F107" s="3"/>
      <c r="G107" s="3"/>
      <c r="H107" s="5" t="str">
        <f>IFERROR(__xludf.DUMMYFUNCTION("GOOGLETRANSLATE(A107,""it"",""en"")"),"108")</f>
        <v>108</v>
      </c>
      <c r="I107" s="5" t="str">
        <f>IFERROR(__xludf.DUMMYFUNCTION("GOOGLETRANSLATE(B107,""it"",""en"")"),"What is the most important Bocce competition for Italian professional players?")</f>
        <v>What is the most important Bocce competition for Italian professional players?</v>
      </c>
      <c r="J107" s="5" t="str">
        <f>IFERROR(__xludf.DUMMYFUNCTION("GOOGLETRANSLATE(C107,""it"",""en"")"),"A. Italian Cup B. National Championship C. World Championship D. Italian Super Cup")</f>
        <v>A. Italian Cup B. National Championship C. World Championship D. Italian Super Cup</v>
      </c>
      <c r="K107" s="5" t="str">
        <f>IFERROR(__xludf.DUMMYFUNCTION("GOOGLETRANSLATE(D107,""it"",""en"")"),"National Championship")</f>
        <v>National Championship</v>
      </c>
      <c r="L107" s="5" t="str">
        <f>IFERROR(__xludf.DUMMYFUNCTION("GOOGLETRANSLATE(E107,""it"",""en"")"),"The National Bocce Championship is the most important competition for Italian professional players.")</f>
        <v>The National Bocce Championship is the most important competition for Italian professional players.</v>
      </c>
    </row>
    <row r="108" ht="22.5" customHeight="1">
      <c r="A108" s="4">
        <v>109.0</v>
      </c>
      <c r="B108" s="5" t="s">
        <v>993</v>
      </c>
      <c r="C108" s="5" t="s">
        <v>994</v>
      </c>
      <c r="D108" s="5" t="s">
        <v>995</v>
      </c>
      <c r="E108" s="5" t="s">
        <v>996</v>
      </c>
      <c r="F108" s="3"/>
      <c r="G108" s="3"/>
      <c r="H108" s="5" t="str">
        <f>IFERROR(__xludf.DUMMYFUNCTION("GOOGLETRANSLATE(A108,""it"",""en"")"),"109")</f>
        <v>109</v>
      </c>
      <c r="I108" s="5" t="str">
        <f>IFERROR(__xludf.DUMMYFUNCTION("GOOGLETRANSLATE(B108,""it"",""en"")"),"On what historical occasion did Bocce gain popularity in Italy?")</f>
        <v>On what historical occasion did Bocce gain popularity in Italy?</v>
      </c>
      <c r="J108" s="5" t="str">
        <f>IFERROR(__xludf.DUMMYFUNCTION("GOOGLETRANSLATE(C108,""it"",""en"")"),"A. During the Renaissance B. During the Middle Ages C. In the Roman period D. In the Baroque period")</f>
        <v>A. During the Renaissance B. During the Middle Ages C. In the Roman period D. In the Baroque period</v>
      </c>
      <c r="K108" s="5" t="str">
        <f>IFERROR(__xludf.DUMMYFUNCTION("GOOGLETRANSLATE(D108,""it"",""en"")"),"During the Renaissance")</f>
        <v>During the Renaissance</v>
      </c>
      <c r="L108" s="5" t="str">
        <f>IFERROR(__xludf.DUMMYFUNCTION("GOOGLETRANSLATE(E108,""it"",""en"")"),"Bocce gained popularity during the Renaissance, when it became a pastime among the nobility.")</f>
        <v>Bocce gained popularity during the Renaissance, when it became a pastime among the nobility.</v>
      </c>
    </row>
    <row r="109" ht="22.5" customHeight="1">
      <c r="A109" s="4">
        <v>110.0</v>
      </c>
      <c r="B109" s="5" t="s">
        <v>997</v>
      </c>
      <c r="C109" s="5" t="s">
        <v>998</v>
      </c>
      <c r="D109" s="5" t="s">
        <v>999</v>
      </c>
      <c r="E109" s="5" t="s">
        <v>1000</v>
      </c>
      <c r="F109" s="3"/>
      <c r="G109" s="3"/>
      <c r="H109" s="5" t="str">
        <f>IFERROR(__xludf.DUMMYFUNCTION("GOOGLETRANSLATE(A109,""it"",""en"")"),"110")</f>
        <v>110</v>
      </c>
      <c r="I109" s="5" t="str">
        <f>IFERROR(__xludf.DUMMYFUNCTION("GOOGLETRANSLATE(B109,""it"",""en"")"),"In the game of Bocce, what is the central part of the lane called?")</f>
        <v>In the game of Bocce, what is the central part of the lane called?</v>
      </c>
      <c r="J109" s="5" t="str">
        <f>IFERROR(__xludf.DUMMYFUNCTION("GOOGLETRANSLATE(C109,""it"",""en"")"),"A. Shooting area B. Playing field C. Center area D. Throwing area")</f>
        <v>A. Shooting area B. Playing field C. Center area D. Throwing area</v>
      </c>
      <c r="K109" s="5" t="str">
        <f>IFERROR(__xludf.DUMMYFUNCTION("GOOGLETRANSLATE(D109,""it"",""en"")"),"Playing field")</f>
        <v>Playing field</v>
      </c>
      <c r="L109" s="5" t="str">
        <f>IFERROR(__xludf.DUMMYFUNCTION("GOOGLETRANSLATE(E109,""it"",""en"")"),"The central part of the track is called the 'playing field'.")</f>
        <v>The central part of the track is called the 'playing field'.</v>
      </c>
    </row>
    <row r="110" ht="22.5" customHeight="1">
      <c r="A110" s="4">
        <v>111.0</v>
      </c>
      <c r="B110" s="5" t="s">
        <v>1001</v>
      </c>
      <c r="C110" s="5" t="s">
        <v>1002</v>
      </c>
      <c r="D110" s="5" t="s">
        <v>1003</v>
      </c>
      <c r="E110" s="5" t="s">
        <v>1004</v>
      </c>
      <c r="F110" s="3"/>
      <c r="G110" s="3"/>
      <c r="H110" s="5" t="str">
        <f>IFERROR(__xludf.DUMMYFUNCTION("GOOGLETRANSLATE(A110,""it"",""en"")"),"111")</f>
        <v>111</v>
      </c>
      <c r="I110" s="5" t="str">
        <f>IFERROR(__xludf.DUMMYFUNCTION("GOOGLETRANSLATE(B110,""it"",""en"")"),"In Bocce, what is the starting position for a player who has to throw?")</f>
        <v>In Bocce, what is the starting position for a player who has to throw?</v>
      </c>
      <c r="J110" s="5" t="str">
        <f>IFERROR(__xludf.DUMMYFUNCTION("GOOGLETRANSLATE(C110,""it"",""en"")"),"A. Launch point B. Baseline C. Neutral position D. Gliding area")</f>
        <v>A. Launch point B. Baseline C. Neutral position D. Gliding area</v>
      </c>
      <c r="K110" s="5" t="str">
        <f>IFERROR(__xludf.DUMMYFUNCTION("GOOGLETRANSLATE(D110,""it"",""en"")"),"Bottom line")</f>
        <v>Bottom line</v>
      </c>
      <c r="L110" s="5" t="str">
        <f>IFERROR(__xludf.DUMMYFUNCTION("GOOGLETRANSLATE(E110,""it"",""en"")"),"The player starts from the baseline to throw the ball.")</f>
        <v>The player starts from the baseline to throw the ball.</v>
      </c>
    </row>
    <row r="111" ht="22.5" customHeight="1">
      <c r="A111" s="4">
        <v>112.0</v>
      </c>
      <c r="B111" s="5" t="s">
        <v>1005</v>
      </c>
      <c r="C111" s="5" t="s">
        <v>1006</v>
      </c>
      <c r="D111" s="5" t="s">
        <v>1007</v>
      </c>
      <c r="E111" s="5" t="s">
        <v>1008</v>
      </c>
      <c r="F111" s="3"/>
      <c r="G111" s="3"/>
      <c r="H111" s="5" t="str">
        <f>IFERROR(__xludf.DUMMYFUNCTION("GOOGLETRANSLATE(A111,""it"",""en"")"),"112")</f>
        <v>112</v>
      </c>
      <c r="I111" s="5" t="str">
        <f>IFERROR(__xludf.DUMMYFUNCTION("GOOGLETRANSLATE(B111,""it"",""en"")"),"When a player wins a game of Bocce, what type of prize does he usually receive?")</f>
        <v>When a player wins a game of Bocce, what type of prize does he usually receive?</v>
      </c>
      <c r="J111" s="5" t="str">
        <f>IFERROR(__xludf.DUMMYFUNCTION("GOOGLETRANSLATE(C111,""it"",""en"")"),"A. Trophy B. Medal C. Bonus score D. Recognition cup")</f>
        <v>A. Trophy B. Medal C. Bonus score D. Recognition cup</v>
      </c>
      <c r="K111" s="5" t="str">
        <f>IFERROR(__xludf.DUMMYFUNCTION("GOOGLETRANSLATE(D111,""it"",""en"")"),"Trophy")</f>
        <v>Trophy</v>
      </c>
      <c r="L111" s="5" t="str">
        <f>IFERROR(__xludf.DUMMYFUNCTION("GOOGLETRANSLATE(E111,""it"",""en"")"),"Typically, the winner of a Bocce match receives a trophy.")</f>
        <v>Typically, the winner of a Bocce match receives a trophy.</v>
      </c>
    </row>
    <row r="112" ht="22.5" customHeight="1">
      <c r="A112" s="4">
        <v>113.0</v>
      </c>
      <c r="B112" s="5" t="s">
        <v>1009</v>
      </c>
      <c r="C112" s="5" t="s">
        <v>1010</v>
      </c>
      <c r="D112" s="5" t="s">
        <v>771</v>
      </c>
      <c r="E112" s="5" t="s">
        <v>1011</v>
      </c>
      <c r="F112" s="3"/>
      <c r="G112" s="3"/>
      <c r="H112" s="5" t="str">
        <f>IFERROR(__xludf.DUMMYFUNCTION("GOOGLETRANSLATE(A112,""it"",""en"")"),"113")</f>
        <v>113</v>
      </c>
      <c r="I112" s="5" t="str">
        <f>IFERROR(__xludf.DUMMYFUNCTION("GOOGLETRANSLATE(B112,""it"",""en"")"),"In the game of Bocce, what motion is used to throw the ball accurately?")</f>
        <v>In the game of Bocce, what motion is used to throw the ball accurately?</v>
      </c>
      <c r="J112" s="5" t="str">
        <f>IFERROR(__xludf.DUMMYFUNCTION("GOOGLETRANSLATE(C112,""it"",""en"")"),"A. Manual push B. Volley throw C. Parabolic throw D. Straight throw")</f>
        <v>A. Manual push B. Volley throw C. Parabolic throw D. Straight throw</v>
      </c>
      <c r="K112" s="5" t="str">
        <f>IFERROR(__xludf.DUMMYFUNCTION("GOOGLETRANSLATE(D112,""it"",""en"")"),"Straight shot")</f>
        <v>Straight shot</v>
      </c>
      <c r="L112" s="5" t="str">
        <f>IFERROR(__xludf.DUMMYFUNCTION("GOOGLETRANSLATE(E112,""it"",""en"")"),"The most common movement in the game of Bocce is the straight shot, to ensure accuracy.")</f>
        <v>The most common movement in the game of Bocce is the straight shot, to ensure accuracy.</v>
      </c>
    </row>
    <row r="113" ht="22.5" customHeight="1">
      <c r="A113" s="4">
        <v>114.0</v>
      </c>
      <c r="B113" s="5" t="s">
        <v>1012</v>
      </c>
      <c r="C113" s="5" t="s">
        <v>1013</v>
      </c>
      <c r="D113" s="5" t="s">
        <v>627</v>
      </c>
      <c r="E113" s="5" t="s">
        <v>1014</v>
      </c>
      <c r="F113" s="3"/>
      <c r="G113" s="3"/>
      <c r="H113" s="5" t="str">
        <f>IFERROR(__xludf.DUMMYFUNCTION("GOOGLETRANSLATE(A113,""it"",""en"")"),"114")</f>
        <v>114</v>
      </c>
      <c r="I113" s="5" t="str">
        <f>IFERROR(__xludf.DUMMYFUNCTION("GOOGLETRANSLATE(B113,""it"",""en"")"),"What is the maximum length of a Bocce lane in official competitions?")</f>
        <v>What is the maximum length of a Bocce lane in official competitions?</v>
      </c>
      <c r="J113" s="5" t="str">
        <f>IFERROR(__xludf.DUMMYFUNCTION("GOOGLETRANSLATE(C113,""it"",""en"")"),"A. 14 meters B. 16 meters C. 18 meters D. 20 meters")</f>
        <v>A. 14 meters B. 16 meters C. 18 meters D. 20 meters</v>
      </c>
      <c r="K113" s="5" t="str">
        <f>IFERROR(__xludf.DUMMYFUNCTION("GOOGLETRANSLATE(D113,""it"",""en"")"),"18 meters")</f>
        <v>18 meters</v>
      </c>
      <c r="L113" s="5" t="str">
        <f>IFERROR(__xludf.DUMMYFUNCTION("GOOGLETRANSLATE(E113,""it"",""en"")"),"The maximum length of a Bocce lane in official competitions is 18 metres.")</f>
        <v>The maximum length of a Bocce lane in official competitions is 18 metres.</v>
      </c>
    </row>
    <row r="114" ht="22.5" customHeight="1">
      <c r="A114" s="4">
        <v>115.0</v>
      </c>
      <c r="B114" s="5" t="s">
        <v>1015</v>
      </c>
      <c r="C114" s="5" t="s">
        <v>1016</v>
      </c>
      <c r="D114" s="5" t="s">
        <v>1017</v>
      </c>
      <c r="E114" s="5" t="s">
        <v>1018</v>
      </c>
      <c r="F114" s="3"/>
      <c r="G114" s="3"/>
      <c r="H114" s="5" t="str">
        <f>IFERROR(__xludf.DUMMYFUNCTION("GOOGLETRANSLATE(A114,""it"",""en"")"),"115")</f>
        <v>115</v>
      </c>
      <c r="I114" s="5" t="str">
        <f>IFERROR(__xludf.DUMMYFUNCTION("GOOGLETRANSLATE(B114,""it"",""en"")"),"In the game of Bocce, what does it mean when a ball is 'close to the jack'?")</f>
        <v>In the game of Bocce, what does it mean when a ball is 'close to the jack'?</v>
      </c>
      <c r="J114" s="5" t="str">
        <f>IFERROR(__xludf.DUMMYFUNCTION("GOOGLETRANSLATE(C114,""it"",""en"")"),"A. The ball is less than 1 meter from the jack B. The ball is in the center of the court C. The ball is out of play D. The ball is further away than all the others")</f>
        <v>A. The ball is less than 1 meter from the jack B. The ball is in the center of the court C. The ball is out of play D. The ball is further away than all the others</v>
      </c>
      <c r="K114" s="5" t="str">
        <f>IFERROR(__xludf.DUMMYFUNCTION("GOOGLETRANSLATE(D114,""it"",""en"")"),"The ball is less than 1 meter from the jack")</f>
        <v>The ball is less than 1 meter from the jack</v>
      </c>
      <c r="L114" s="5" t="str">
        <f>IFERROR(__xludf.DUMMYFUNCTION("GOOGLETRANSLATE(E114,""it"",""en"")"),"When a ball is close to the jack, it means that it is less than 1 meter from the jack.")</f>
        <v>When a ball is close to the jack, it means that it is less than 1 meter from the jack.</v>
      </c>
    </row>
    <row r="115" ht="22.5" customHeight="1">
      <c r="A115" s="4">
        <v>116.0</v>
      </c>
      <c r="B115" s="5" t="s">
        <v>1019</v>
      </c>
      <c r="C115" s="5" t="s">
        <v>1020</v>
      </c>
      <c r="D115" s="5" t="s">
        <v>1021</v>
      </c>
      <c r="E115" s="5" t="s">
        <v>1022</v>
      </c>
      <c r="F115" s="3"/>
      <c r="G115" s="3"/>
      <c r="H115" s="5" t="str">
        <f>IFERROR(__xludf.DUMMYFUNCTION("GOOGLETRANSLATE(A115,""it"",""en"")"),"116")</f>
        <v>116</v>
      </c>
      <c r="I115" s="5" t="str">
        <f>IFERROR(__xludf.DUMMYFUNCTION("GOOGLETRANSLATE(B115,""it"",""en"")"),"What technique is used to push the ball towards the jack in Bocce?")</f>
        <v>What technique is used to push the ball towards the jack in Bocce?</v>
      </c>
      <c r="J115" s="5" t="str">
        <f>IFERROR(__xludf.DUMMYFUNCTION("GOOGLETRANSLATE(C115,""it"",""en"")"),"A. Forward shot B. Volley shot C. Cover shot D. Push shot")</f>
        <v>A. Forward shot B. Volley shot C. Cover shot D. Push shot</v>
      </c>
      <c r="K115" s="5" t="str">
        <f>IFERROR(__xludf.DUMMYFUNCTION("GOOGLETRANSLATE(D115,""it"",""en"")"),"Push shot")</f>
        <v>Push shot</v>
      </c>
      <c r="L115" s="5" t="str">
        <f>IFERROR(__xludf.DUMMYFUNCTION("GOOGLETRANSLATE(E115,""it"",""en"")"),"The push shot is used to bring the ball closer to the jack with a firm push.")</f>
        <v>The push shot is used to bring the ball closer to the jack with a firm push.</v>
      </c>
    </row>
    <row r="116" ht="22.5" customHeight="1">
      <c r="A116" s="4">
        <v>117.0</v>
      </c>
      <c r="B116" s="5" t="s">
        <v>1023</v>
      </c>
      <c r="C116" s="5" t="s">
        <v>1024</v>
      </c>
      <c r="D116" s="5" t="s">
        <v>1025</v>
      </c>
      <c r="E116" s="5" t="s">
        <v>1026</v>
      </c>
      <c r="F116" s="3"/>
      <c r="G116" s="3"/>
      <c r="H116" s="5" t="str">
        <f>IFERROR(__xludf.DUMMYFUNCTION("GOOGLETRANSLATE(A116,""it"",""en"")"),"117")</f>
        <v>117</v>
      </c>
      <c r="I116" s="5" t="str">
        <f>IFERROR(__xludf.DUMMYFUNCTION("GOOGLETRANSLATE(B116,""it"",""en"")"),"In Bocce, what type of strategy is common to prevent the opponent from getting close to the jack?")</f>
        <v>In Bocce, what type of strategy is common to prevent the opponent from getting close to the jack?</v>
      </c>
      <c r="J116" s="5" t="str">
        <f>IFERROR(__xludf.DUMMYFUNCTION("GOOGLETRANSLATE(C116,""it"",""en"")"),"A. Throw the long ball B. Block the opponent's trajectory C. Hit the jack D. Throw the fast ball")</f>
        <v>A. Throw the long ball B. Block the opponent's trajectory C. Hit the jack D. Throw the fast ball</v>
      </c>
      <c r="K116" s="5" t="str">
        <f>IFERROR(__xludf.DUMMYFUNCTION("GOOGLETRANSLATE(D116,""it"",""en"")"),"Block the opponent's trajectory")</f>
        <v>Block the opponent's trajectory</v>
      </c>
      <c r="L116" s="5" t="str">
        <f>IFERROR(__xludf.DUMMYFUNCTION("GOOGLETRANSLATE(E116,""it"",""en"")"),"A common strategy is to block the opponent's trajectory by placing a ball near the jack.")</f>
        <v>A common strategy is to block the opponent's trajectory by placing a ball near the jack.</v>
      </c>
    </row>
    <row r="117" ht="22.5" customHeight="1">
      <c r="A117" s="4">
        <v>118.0</v>
      </c>
      <c r="B117" s="5" t="s">
        <v>1027</v>
      </c>
      <c r="C117" s="5" t="s">
        <v>1028</v>
      </c>
      <c r="D117" s="5" t="s">
        <v>1029</v>
      </c>
      <c r="E117" s="5" t="s">
        <v>1030</v>
      </c>
      <c r="F117" s="3"/>
      <c r="G117" s="3"/>
      <c r="H117" s="5" t="str">
        <f>IFERROR(__xludf.DUMMYFUNCTION("GOOGLETRANSLATE(A117,""it"",""en"")"),"118")</f>
        <v>118</v>
      </c>
      <c r="I117" s="5" t="str">
        <f>IFERROR(__xludf.DUMMYFUNCTION("GOOGLETRANSLATE(B117,""it"",""en"")"),"What is the term used for the game of Bocce in Lombardy?")</f>
        <v>What is the term used for the game of Bocce in Lombardy?</v>
      </c>
      <c r="J117" s="5" t="str">
        <f>IFERROR(__xludf.DUMMYFUNCTION("GOOGLETRANSLATE(C117,""it"",""en"")"),"A. Milanese Bocce B. Traditional Bocce C. Lombardy Bocce D. High-class Bocce")</f>
        <v>A. Milanese Bocce B. Traditional Bocce C. Lombardy Bocce D. High-class Bocce</v>
      </c>
      <c r="K117" s="5" t="str">
        <f>IFERROR(__xludf.DUMMYFUNCTION("GOOGLETRANSLATE(D117,""it"",""en"")"),"Lombard Bocce")</f>
        <v>Lombard Bocce</v>
      </c>
      <c r="L117" s="5" t="str">
        <f>IFERROR(__xludf.DUMMYFUNCTION("GOOGLETRANSLATE(E117,""it"",""en"")"),"In Lombardy, the game of Bocce is often called Bocce Lombarda.")</f>
        <v>In Lombardy, the game of Bocce is often called Bocce Lombarda.</v>
      </c>
    </row>
    <row r="118" ht="22.5" customHeight="1">
      <c r="A118" s="4">
        <v>119.0</v>
      </c>
      <c r="B118" s="5" t="s">
        <v>1031</v>
      </c>
      <c r="C118" s="5" t="s">
        <v>1032</v>
      </c>
      <c r="D118" s="5" t="s">
        <v>1033</v>
      </c>
      <c r="E118" s="5" t="s">
        <v>1034</v>
      </c>
      <c r="F118" s="3"/>
      <c r="G118" s="3"/>
      <c r="H118" s="5" t="str">
        <f>IFERROR(__xludf.DUMMYFUNCTION("GOOGLETRANSLATE(A118,""it"",""en"")"),"119")</f>
        <v>119</v>
      </c>
      <c r="I118" s="5" t="str">
        <f>IFERROR(__xludf.DUMMYFUNCTION("GOOGLETRANSLATE(B118,""it"",""en"")"),"What is the name of the shot that hits the jack in Bocce?")</f>
        <v>What is the name of the shot that hits the jack in Bocce?</v>
      </c>
      <c r="J118" s="5" t="str">
        <f>IFERROR(__xludf.DUMMYFUNCTION("GOOGLETRANSLATE(C118,""it"",""en"")"),"A. Point shot B. Reconnaissance shot C. Rebound shot D. Attack shot")</f>
        <v>A. Point shot B. Reconnaissance shot C. Rebound shot D. Attack shot</v>
      </c>
      <c r="K118" s="5" t="str">
        <f>IFERROR(__xludf.DUMMYFUNCTION("GOOGLETRANSLATE(D118,""it"",""en"")"),"Tip shot")</f>
        <v>Tip shot</v>
      </c>
      <c r="L118" s="5" t="str">
        <f>IFERROR(__xludf.DUMMYFUNCTION("GOOGLETRANSLATE(E118,""it"",""en"")"),"The shot that hits the jack is called the 'point shot'.")</f>
        <v>The shot that hits the jack is called the 'point shot'.</v>
      </c>
    </row>
    <row r="119" ht="22.5" customHeight="1">
      <c r="A119" s="4">
        <v>120.0</v>
      </c>
      <c r="B119" s="5" t="s">
        <v>1035</v>
      </c>
      <c r="C119" s="5" t="s">
        <v>907</v>
      </c>
      <c r="D119" s="5" t="s">
        <v>908</v>
      </c>
      <c r="E119" s="5" t="s">
        <v>1036</v>
      </c>
      <c r="F119" s="3"/>
      <c r="G119" s="3"/>
      <c r="H119" s="5" t="str">
        <f>IFERROR(__xludf.DUMMYFUNCTION("GOOGLETRANSLATE(A119,""it"",""en"")"),"120")</f>
        <v>120</v>
      </c>
      <c r="I119" s="5" t="str">
        <f>IFERROR(__xludf.DUMMYFUNCTION("GOOGLETRANSLATE(B119,""it"",""en"")"),"What is the minimum distance between the jack and the balls in a game of Bocce?")</f>
        <v>What is the minimum distance between the jack and the balls in a game of Bocce?</v>
      </c>
      <c r="J119" s="5" t="str">
        <f>IFERROR(__xludf.DUMMYFUNCTION("GOOGLETRANSLATE(C119,""it"",""en"")"),"A. 1 meter B. 2 meters C. 5 meters D. 10 meters")</f>
        <v>A. 1 meter B. 2 meters C. 5 meters D. 10 meters</v>
      </c>
      <c r="K119" s="5" t="str">
        <f>IFERROR(__xludf.DUMMYFUNCTION("GOOGLETRANSLATE(D119,""it"",""en"")"),"2 meters")</f>
        <v>2 meters</v>
      </c>
      <c r="L119" s="5" t="str">
        <f>IFERROR(__xludf.DUMMYFUNCTION("GOOGLETRANSLATE(E119,""it"",""en"")"),"The minimum distance between the jack and the balls in play must be at least 2 meters.")</f>
        <v>The minimum distance between the jack and the balls in play must be at least 2 meters.</v>
      </c>
    </row>
    <row r="120" ht="22.5" customHeight="1">
      <c r="A120" s="4">
        <v>121.0</v>
      </c>
      <c r="B120" s="5" t="s">
        <v>1037</v>
      </c>
      <c r="C120" s="5" t="s">
        <v>1038</v>
      </c>
      <c r="D120" s="5" t="s">
        <v>1039</v>
      </c>
      <c r="E120" s="5" t="s">
        <v>1040</v>
      </c>
      <c r="F120" s="3"/>
      <c r="G120" s="3"/>
      <c r="H120" s="5" t="str">
        <f>IFERROR(__xludf.DUMMYFUNCTION("GOOGLETRANSLATE(A120,""it"",""en"")"),"121")</f>
        <v>121</v>
      </c>
      <c r="I120" s="5" t="str">
        <f>IFERROR(__xludf.DUMMYFUNCTION("GOOGLETRANSLATE(B120,""it"",""en"")"),"In which century was Bocce first regulated by the Italian Federation?")</f>
        <v>In which century was Bocce first regulated by the Italian Federation?</v>
      </c>
      <c r="J120" s="5" t="str">
        <f>IFERROR(__xludf.DUMMYFUNCTION("GOOGLETRANSLATE(C120,""it"",""en"")"),"A. 14th century B. 15th century C. 16th century D. 20th century")</f>
        <v>A. 14th century B. 15th century C. 16th century D. 20th century</v>
      </c>
      <c r="K120" s="5" t="str">
        <f>IFERROR(__xludf.DUMMYFUNCTION("GOOGLETRANSLATE(D120,""it"",""en"")"),"20th century")</f>
        <v>20th century</v>
      </c>
      <c r="L120" s="5" t="str">
        <f>IFERROR(__xludf.DUMMYFUNCTION("GOOGLETRANSLATE(E120,""it"",""en"")"),"The Italian Bocce Federation officially regulated the game in the 20th century.")</f>
        <v>The Italian Bocce Federation officially regulated the game in the 20th century.</v>
      </c>
    </row>
    <row r="121" ht="22.5" customHeight="1">
      <c r="A121" s="4">
        <v>122.0</v>
      </c>
      <c r="B121" s="5" t="s">
        <v>1041</v>
      </c>
      <c r="C121" s="5" t="s">
        <v>1042</v>
      </c>
      <c r="D121" s="5" t="s">
        <v>1043</v>
      </c>
      <c r="E121" s="9" t="s">
        <v>1044</v>
      </c>
      <c r="F121" s="3"/>
      <c r="G121" s="3"/>
      <c r="H121" s="5" t="str">
        <f>IFERROR(__xludf.DUMMYFUNCTION("GOOGLETRANSLATE(A121,""it"",""en"")"),"122")</f>
        <v>122</v>
      </c>
      <c r="I121" s="5" t="str">
        <f>IFERROR(__xludf.DUMMYFUNCTION("GOOGLETRANSLATE(B121,""it"",""en"")"),"In the game of Bocce, what does 'making a hole' mean?")</f>
        <v>In the game of Bocce, what does 'making a hole' mean?</v>
      </c>
      <c r="J121" s="5" t="str">
        <f>IFERROR(__xludf.DUMMYFUNCTION("GOOGLETRANSLATE(C121,""it"",""en"")"),"A. Sliding down the court B. Bouncing the ball off the track C. Throwing a ball into the jack D. Leaving a ball in a difficult position for the opponent")</f>
        <v>A. Sliding down the court B. Bouncing the ball off the track C. Throwing a ball into the jack D. Leaving a ball in a difficult position for the opponent</v>
      </c>
      <c r="K121" s="5" t="str">
        <f>IFERROR(__xludf.DUMMYFUNCTION("GOOGLETRANSLATE(D121,""it"",""en"")"),"Leaving a ball in a difficult position for the opponent")</f>
        <v>Leaving a ball in a difficult position for the opponent</v>
      </c>
      <c r="L121" s="5" t="str">
        <f>IFERROR(__xludf.DUMMYFUNCTION("GOOGLETRANSLATE(E121,""it"",""en"")"),"To 'make a hole' means to position a ball so that it is difficult for the opponent to move it.")</f>
        <v>To 'make a hole' means to position a ball so that it is difficult for the opponent to move it.</v>
      </c>
    </row>
    <row r="122" ht="22.5" customHeight="1">
      <c r="A122" s="4">
        <v>123.0</v>
      </c>
      <c r="B122" s="5" t="s">
        <v>1045</v>
      </c>
      <c r="C122" s="5" t="s">
        <v>1046</v>
      </c>
      <c r="D122" s="5" t="s">
        <v>1047</v>
      </c>
      <c r="E122" s="5" t="s">
        <v>1048</v>
      </c>
      <c r="F122" s="3"/>
      <c r="G122" s="3"/>
      <c r="H122" s="5" t="str">
        <f>IFERROR(__xludf.DUMMYFUNCTION("GOOGLETRANSLATE(A122,""it"",""en"")"),"123")</f>
        <v>123</v>
      </c>
      <c r="I122" s="5" t="str">
        <f>IFERROR(__xludf.DUMMYFUNCTION("GOOGLETRANSLATE(B122,""it"",""en"")"),"In Bocce, who is responsible for determining the position of the ball on the field?")</f>
        <v>In Bocce, who is responsible for determining the position of the ball on the field?</v>
      </c>
      <c r="J122" s="5" t="str">
        <f>IFERROR(__xludf.DUMMYFUNCTION("GOOGLETRANSLATE(C122,""it"",""en"")"),"A. The umpire B. The player who bowls first C. The team captain D. The crowd")</f>
        <v>A. The umpire B. The player who bowls first C. The team captain D. The crowd</v>
      </c>
      <c r="K122" s="5" t="str">
        <f>IFERROR(__xludf.DUMMYFUNCTION("GOOGLETRANSLATE(D122,""it"",""en"")"),"The referee")</f>
        <v>The referee</v>
      </c>
      <c r="L122" s="5" t="str">
        <f>IFERROR(__xludf.DUMMYFUNCTION("GOOGLETRANSLATE(E122,""it"",""en"")"),"The referee is responsible for determining the position of the ball on the court.")</f>
        <v>The referee is responsible for determining the position of the ball on the court.</v>
      </c>
    </row>
    <row r="123" ht="22.5" customHeight="1">
      <c r="A123" s="4">
        <v>124.0</v>
      </c>
      <c r="B123" s="5" t="s">
        <v>1049</v>
      </c>
      <c r="C123" s="5" t="s">
        <v>1050</v>
      </c>
      <c r="D123" s="5" t="s">
        <v>1051</v>
      </c>
      <c r="E123" s="9" t="s">
        <v>1052</v>
      </c>
      <c r="F123" s="3"/>
      <c r="G123" s="3"/>
      <c r="H123" s="5" t="str">
        <f>IFERROR(__xludf.DUMMYFUNCTION("GOOGLETRANSLATE(A123,""it"",""en"")"),"124")</f>
        <v>124</v>
      </c>
      <c r="I123" s="5" t="str">
        <f>IFERROR(__xludf.DUMMYFUNCTION("GOOGLETRANSLATE(B123,""it"",""en"")"),"In the game of Bocce, what does 'holding the center' mean?")</f>
        <v>In the game of Bocce, what does 'holding the center' mean?</v>
      </c>
      <c r="J123" s="5" t="str">
        <f>IFERROR(__xludf.DUMMYFUNCTION("GOOGLETRANSLATE(C123,""it"",""en"")"),"A. Throw all the balls in one direction B. Place the ball as close to the center of the court as possible C. Control the central part of the court with the strategy D. Throw the ball close to the jack")</f>
        <v>A. Throw all the balls in one direction B. Place the ball as close to the center of the court as possible C. Control the central part of the court with the strategy D. Throw the ball close to the jack</v>
      </c>
      <c r="K123" s="5" t="str">
        <f>IFERROR(__xludf.DUMMYFUNCTION("GOOGLETRANSLATE(D123,""it"",""en"")"),"Place the ball as close to the center of the court as possible.")</f>
        <v>Place the ball as close to the center of the court as possible.</v>
      </c>
      <c r="L123" s="5" t="str">
        <f>IFERROR(__xludf.DUMMYFUNCTION("GOOGLETRANSLATE(E123,""it"",""en"")"),"'Hold the center' means trying to position the ball closer to the center of the court to dominate the game.")</f>
        <v>'Hold the center' means trying to position the ball closer to the center of the court to dominate the game.</v>
      </c>
    </row>
    <row r="124" ht="22.5" customHeight="1">
      <c r="A124" s="4">
        <v>125.0</v>
      </c>
      <c r="B124" s="5" t="s">
        <v>1053</v>
      </c>
      <c r="C124" s="5" t="s">
        <v>1054</v>
      </c>
      <c r="D124" s="5" t="s">
        <v>1055</v>
      </c>
      <c r="E124" s="5" t="s">
        <v>1056</v>
      </c>
      <c r="F124" s="3"/>
      <c r="G124" s="3"/>
      <c r="H124" s="5" t="str">
        <f>IFERROR(__xludf.DUMMYFUNCTION("GOOGLETRANSLATE(A124,""it"",""en"")"),"125")</f>
        <v>125</v>
      </c>
      <c r="I124" s="5" t="str">
        <f>IFERROR(__xludf.DUMMYFUNCTION("GOOGLETRANSLATE(B124,""it"",""en"")"),"What happens if a ball hits another player or person during play?")</f>
        <v>What happens if a ball hits another player or person during play?</v>
      </c>
      <c r="J124" s="5" t="str">
        <f>IFERROR(__xludf.DUMMYFUNCTION("GOOGLETRANSLATE(C124,""it"",""en"")"),"A. The shot is cancelled B. The ball is considered out of play C. The player is disqualified D. The game continues normally")</f>
        <v>A. The shot is cancelled B. The ball is considered out of play C. The player is disqualified D. The game continues normally</v>
      </c>
      <c r="K124" s="5" t="str">
        <f>IFERROR(__xludf.DUMMYFUNCTION("GOOGLETRANSLATE(D124,""it"",""en"")"),"The shot is disallowed")</f>
        <v>The shot is disallowed</v>
      </c>
      <c r="L124" s="5" t="str">
        <f>IFERROR(__xludf.DUMMYFUNCTION("GOOGLETRANSLATE(E124,""it"",""en"")"),"If a ball hits another player or person, the shot is cancelled.")</f>
        <v>If a ball hits another player or person, the shot is cancelled.</v>
      </c>
    </row>
    <row r="125" ht="22.5" customHeight="1">
      <c r="A125" s="4">
        <v>126.0</v>
      </c>
      <c r="B125" s="5" t="s">
        <v>1057</v>
      </c>
      <c r="C125" s="5" t="s">
        <v>1058</v>
      </c>
      <c r="D125" s="4">
        <v>8.0</v>
      </c>
      <c r="E125" s="5" t="s">
        <v>1059</v>
      </c>
      <c r="F125" s="3"/>
      <c r="G125" s="3"/>
      <c r="H125" s="5" t="str">
        <f>IFERROR(__xludf.DUMMYFUNCTION("GOOGLETRANSLATE(A125,""it"",""en"")"),"126")</f>
        <v>126</v>
      </c>
      <c r="I125" s="5" t="str">
        <f>IFERROR(__xludf.DUMMYFUNCTION("GOOGLETRANSLATE(B125,""it"",""en"")"),"How many bowls are used in a game of Bocce?")</f>
        <v>How many bowls are used in a game of Bocce?</v>
      </c>
      <c r="J125" s="5" t="str">
        <f>IFERROR(__xludf.DUMMYFUNCTION("GOOGLETRANSLATE(C125,""it"",""en"")"),"A. 6 B. 8 C. 10 D. 12")</f>
        <v>A. 6 B. 8 C. 10 D. 12</v>
      </c>
      <c r="K125" s="5" t="str">
        <f>IFERROR(__xludf.DUMMYFUNCTION("GOOGLETRANSLATE(D125,""it"",""en"")"),"8")</f>
        <v>8</v>
      </c>
      <c r="L125" s="5" t="str">
        <f>IFERROR(__xludf.DUMMYFUNCTION("GOOGLETRANSLATE(E125,""it"",""en"")"),"In a game of Bocce, each team uses 4 bocce, for a total of 8 bocce on the field.")</f>
        <v>In a game of Bocce, each team uses 4 bocce, for a total of 8 bocce on the field.</v>
      </c>
    </row>
    <row r="126" ht="22.5" customHeight="1">
      <c r="A126" s="4">
        <v>127.0</v>
      </c>
      <c r="B126" s="5" t="s">
        <v>1060</v>
      </c>
      <c r="C126" s="5" t="s">
        <v>1061</v>
      </c>
      <c r="D126" s="5" t="s">
        <v>1062</v>
      </c>
      <c r="E126" s="5" t="s">
        <v>1063</v>
      </c>
      <c r="F126" s="3"/>
      <c r="G126" s="3"/>
      <c r="H126" s="5" t="str">
        <f>IFERROR(__xludf.DUMMYFUNCTION("GOOGLETRANSLATE(A126,""it"",""en"")"),"127")</f>
        <v>127</v>
      </c>
      <c r="I126" s="5" t="str">
        <f>IFERROR(__xludf.DUMMYFUNCTION("GOOGLETRANSLATE(B126,""it"",""en"")"),"What is the main difference between the game of Bocce and Pétanque?")</f>
        <v>What is the main difference between the game of Bocce and Pétanque?</v>
      </c>
      <c r="J126" s="5" t="str">
        <f>IFERROR(__xludf.DUMMYFUNCTION("GOOGLETRANSLATE(C126,""it"",""en"")"),"A. The throwing technique B. The playing surface C. The number of bowls D. The number of players per team")</f>
        <v>A. The throwing technique B. The playing surface C. The number of bowls D. The number of players per team</v>
      </c>
      <c r="K126" s="5" t="str">
        <f>IFERROR(__xludf.DUMMYFUNCTION("GOOGLETRANSLATE(D126,""it"",""en"")"),"The playing surface")</f>
        <v>The playing surface</v>
      </c>
      <c r="L126" s="5" t="str">
        <f>IFERROR(__xludf.DUMMYFUNCTION("GOOGLETRANSLATE(E126,""it"",""en"")"),"The main difference between Bocce and Pétanque is the playing surface: Bocce is played on a smooth court, while Pétanque is played on uneven terrain.")</f>
        <v>The main difference between Bocce and Pétanque is the playing surface: Bocce is played on a smooth court, while Pétanque is played on uneven terrain.</v>
      </c>
    </row>
    <row r="127" ht="22.5" customHeight="1">
      <c r="A127" s="4">
        <v>128.0</v>
      </c>
      <c r="B127" s="5" t="s">
        <v>1064</v>
      </c>
      <c r="C127" s="5" t="s">
        <v>1065</v>
      </c>
      <c r="D127" s="5" t="s">
        <v>833</v>
      </c>
      <c r="E127" s="5" t="s">
        <v>1066</v>
      </c>
      <c r="F127" s="3"/>
      <c r="G127" s="3"/>
      <c r="H127" s="5" t="str">
        <f>IFERROR(__xludf.DUMMYFUNCTION("GOOGLETRANSLATE(A127,""it"",""en"")"),"128")</f>
        <v>128</v>
      </c>
      <c r="I127" s="5" t="str">
        <f>IFERROR(__xludf.DUMMYFUNCTION("GOOGLETRANSLATE(B127,""it"",""en"")"),"In the game of Bocce, what does the jack represent?")</f>
        <v>In the game of Bocce, what does the jack represent?</v>
      </c>
      <c r="J127" s="5" t="str">
        <f>IFERROR(__xludf.DUMMYFUNCTION("GOOGLETRANSLATE(C127,""it"",""en"")"),"A. The first shot B. The starting point C. The main target D. The final score")</f>
        <v>A. The first shot B. The starting point C. The main target D. The final score</v>
      </c>
      <c r="K127" s="5" t="str">
        <f>IFERROR(__xludf.DUMMYFUNCTION("GOOGLETRANSLATE(D127,""it"",""en"")"),"The main target")</f>
        <v>The main target</v>
      </c>
      <c r="L127" s="5" t="str">
        <f>IFERROR(__xludf.DUMMYFUNCTION("GOOGLETRANSLATE(E127,""it"",""en"")"),"The snitch is the main target that players aim for with their balls.")</f>
        <v>The snitch is the main target that players aim for with their balls.</v>
      </c>
    </row>
    <row r="128" ht="22.5" customHeight="1">
      <c r="A128" s="4">
        <v>129.0</v>
      </c>
      <c r="B128" s="5" t="s">
        <v>1067</v>
      </c>
      <c r="C128" s="5" t="s">
        <v>1068</v>
      </c>
      <c r="D128" s="5" t="s">
        <v>1069</v>
      </c>
      <c r="E128" s="5" t="s">
        <v>1070</v>
      </c>
      <c r="F128" s="3"/>
      <c r="G128" s="3"/>
      <c r="H128" s="5" t="str">
        <f>IFERROR(__xludf.DUMMYFUNCTION("GOOGLETRANSLATE(A128,""it"",""en"")"),"129")</f>
        <v>129</v>
      </c>
      <c r="I128" s="5" t="str">
        <f>IFERROR(__xludf.DUMMYFUNCTION("GOOGLETRANSLATE(B128,""it"",""en"")"),"In Bocce, what is a 'double game'?")</f>
        <v>In Bocce, what is a 'double game'?</v>
      </c>
      <c r="J128" s="5" t="str">
        <f>IFERROR(__xludf.DUMMYFUNCTION("GOOGLETRANSLATE(C128,""it"",""en"")"),"A. A game with two teams B. A game in which each player throws two bowls C. A game that lasts twice as long D. A game with two players on each team")</f>
        <v>A. A game with two teams B. A game in which each player throws two bowls C. A game that lasts twice as long D. A game with two players on each team</v>
      </c>
      <c r="K128" s="5" t="str">
        <f>IFERROR(__xludf.DUMMYFUNCTION("GOOGLETRANSLATE(D128,""it"",""en"")"),"A game with two players per team")</f>
        <v>A game with two players per team</v>
      </c>
      <c r="L128" s="5" t="str">
        <f>IFERROR(__xludf.DUMMYFUNCTION("GOOGLETRANSLATE(E128,""it"",""en"")"),"A 'double game' is one in which there are two players on each team.")</f>
        <v>A 'double game' is one in which there are two players on each team.</v>
      </c>
    </row>
    <row r="129" ht="22.5" customHeight="1">
      <c r="A129" s="4">
        <v>130.0</v>
      </c>
      <c r="B129" s="5" t="s">
        <v>1071</v>
      </c>
      <c r="C129" s="5" t="s">
        <v>1072</v>
      </c>
      <c r="D129" s="5" t="s">
        <v>1073</v>
      </c>
      <c r="E129" s="5" t="s">
        <v>1074</v>
      </c>
      <c r="F129" s="3"/>
      <c r="G129" s="3"/>
      <c r="H129" s="5" t="str">
        <f>IFERROR(__xludf.DUMMYFUNCTION("GOOGLETRANSLATE(A129,""it"",""en"")"),"130")</f>
        <v>130</v>
      </c>
      <c r="I129" s="5" t="str">
        <f>IFERROR(__xludf.DUMMYFUNCTION("GOOGLETRANSLATE(B129,""it"",""en"")"),"When a ball is thrown 'parabola' in the game of Bocce, what does it mean?")</f>
        <v>When a ball is thrown 'parabola' in the game of Bocce, what does it mean?</v>
      </c>
      <c r="J129" s="5" t="str">
        <f>IFERROR(__xludf.DUMMYFUNCTION("GOOGLETRANSLATE(C129,""it"",""en"")"),"A. The ball bounces before coming to rest B. The ball goes very far C. The ball follows a curved path in the air D. The ball hits the jack directly")</f>
        <v>A. The ball bounces before coming to rest B. The ball goes very far C. The ball follows a curved path in the air D. The ball hits the jack directly</v>
      </c>
      <c r="K129" s="5" t="str">
        <f>IFERROR(__xludf.DUMMYFUNCTION("GOOGLETRANSLATE(D129,""it"",""en"")"),"The ball follows a curved trajectory in the air")</f>
        <v>The ball follows a curved trajectory in the air</v>
      </c>
      <c r="L129" s="5" t="str">
        <f>IFERROR(__xludf.DUMMYFUNCTION("GOOGLETRANSLATE(E129,""it"",""en"")"),"A 'parabolic' shot means that the ball follows a curved path through the air.")</f>
        <v>A 'parabolic' shot means that the ball follows a curved path through the air.</v>
      </c>
    </row>
    <row r="130" ht="22.5" customHeight="1">
      <c r="A130" s="4">
        <v>131.0</v>
      </c>
      <c r="B130" s="5" t="s">
        <v>1075</v>
      </c>
      <c r="C130" s="5" t="s">
        <v>1076</v>
      </c>
      <c r="D130" s="5" t="s">
        <v>1077</v>
      </c>
      <c r="E130" s="5" t="s">
        <v>1078</v>
      </c>
      <c r="F130" s="3"/>
      <c r="G130" s="3"/>
      <c r="H130" s="5" t="str">
        <f>IFERROR(__xludf.DUMMYFUNCTION("GOOGLETRANSLATE(A130,""it"",""en"")"),"131")</f>
        <v>131</v>
      </c>
      <c r="I130" s="5" t="str">
        <f>IFERROR(__xludf.DUMMYFUNCTION("GOOGLETRANSLATE(B130,""it"",""en"")"),"In the game of Bocce, what is the term for when a team loses all its points in a round?")</f>
        <v>In the game of Bocce, what is the term for when a team loses all its points in a round?</v>
      </c>
      <c r="J130" s="5" t="str">
        <f>IFERROR(__xludf.DUMMYFUNCTION("GOOGLETRANSLATE(C130,""it"",""en"")"),"A. No score B. Negative score C. Empty round D. Opponent wins")</f>
        <v>A. No score B. Negative score C. Empty round D. Opponent wins</v>
      </c>
      <c r="K130" s="5" t="str">
        <f>IFERROR(__xludf.DUMMYFUNCTION("GOOGLETRANSLATE(D130,""it"",""en"")"),"Empty heat")</f>
        <v>Empty heat</v>
      </c>
      <c r="L130" s="5" t="str">
        <f>IFERROR(__xludf.DUMMYFUNCTION("GOOGLETRANSLATE(E130,""it"",""en"")"),"If a team does not score any points in a heat, it is called an 'empty heat'.")</f>
        <v>If a team does not score any points in a heat, it is called an 'empty heat'.</v>
      </c>
    </row>
    <row r="131" ht="22.5" customHeight="1">
      <c r="A131" s="4">
        <v>132.0</v>
      </c>
      <c r="B131" s="5" t="s">
        <v>1079</v>
      </c>
      <c r="C131" s="5" t="s">
        <v>1080</v>
      </c>
      <c r="D131" s="5" t="s">
        <v>1081</v>
      </c>
      <c r="E131" s="5" t="s">
        <v>1082</v>
      </c>
      <c r="F131" s="3"/>
      <c r="G131" s="3"/>
      <c r="H131" s="5" t="str">
        <f>IFERROR(__xludf.DUMMYFUNCTION("GOOGLETRANSLATE(A131,""it"",""en"")"),"132")</f>
        <v>132</v>
      </c>
      <c r="I131" s="5" t="str">
        <f>IFERROR(__xludf.DUMMYFUNCTION("GOOGLETRANSLATE(B131,""it"",""en"")"),"What is the main objective in the game of Bocce?")</f>
        <v>What is the main objective in the game of Bocce?</v>
      </c>
      <c r="J131" s="5" t="str">
        <f>IFERROR(__xludf.DUMMYFUNCTION("GOOGLETRANSLATE(C131,""it"",""en"")"),"A. Take more shots B. Place the balls as far away as possible C. Move your ball closer to the jack D. Hit the jack with force")</f>
        <v>A. Take more shots B. Place the balls as far away as possible C. Move your ball closer to the jack D. Hit the jack with force</v>
      </c>
      <c r="K131" s="5" t="str">
        <f>IFERROR(__xludf.DUMMYFUNCTION("GOOGLETRANSLATE(D131,""it"",""en"")"),"Bring your ball closer to the jack")</f>
        <v>Bring your ball closer to the jack</v>
      </c>
      <c r="L131" s="5" t="str">
        <f>IFERROR(__xludf.DUMMYFUNCTION("GOOGLETRANSLATE(E131,""it"",""en"")"),"The main objective in Bocce is to get your ball as close to the jack as possible.")</f>
        <v>The main objective in Bocce is to get your ball as close to the jack as possible.</v>
      </c>
    </row>
    <row r="132" ht="22.5" customHeight="1">
      <c r="A132" s="4">
        <v>133.0</v>
      </c>
      <c r="B132" s="5" t="s">
        <v>1083</v>
      </c>
      <c r="C132" s="5" t="s">
        <v>1084</v>
      </c>
      <c r="D132" s="5" t="s">
        <v>1085</v>
      </c>
      <c r="E132" s="5" t="s">
        <v>1086</v>
      </c>
      <c r="F132" s="3"/>
      <c r="G132" s="3"/>
      <c r="H132" s="5" t="str">
        <f>IFERROR(__xludf.DUMMYFUNCTION("GOOGLETRANSLATE(A132,""it"",""en"")"),"133")</f>
        <v>133</v>
      </c>
      <c r="I132" s="5" t="str">
        <f>IFERROR(__xludf.DUMMYFUNCTION("GOOGLETRANSLATE(B132,""it"",""en"")"),"In Bocce, which part of the ball hits the ground first on a drop shot?")</f>
        <v>In Bocce, which part of the ball hits the ground first on a drop shot?</v>
      </c>
      <c r="J132" s="5" t="str">
        <f>IFERROR(__xludf.DUMMYFUNCTION("GOOGLETRANSLATE(C132,""it"",""en"")"),"A. The central part B. The lateral part C. The lower part D. The upper part")</f>
        <v>A. The central part B. The lateral part C. The lower part D. The upper part</v>
      </c>
      <c r="K132" s="5" t="str">
        <f>IFERROR(__xludf.DUMMYFUNCTION("GOOGLETRANSLATE(D132,""it"",""en"")"),"The lower part")</f>
        <v>The lower part</v>
      </c>
      <c r="L132" s="5" t="str">
        <f>IFERROR(__xludf.DUMMYFUNCTION("GOOGLETRANSLATE(E132,""it"",""en"")"),"In the drop shot, the bottom of the ball hits the ground first.")</f>
        <v>In the drop shot, the bottom of the ball hits the ground first.</v>
      </c>
    </row>
    <row r="133" ht="22.5" customHeight="1">
      <c r="A133" s="4">
        <v>134.0</v>
      </c>
      <c r="B133" s="5" t="s">
        <v>1087</v>
      </c>
      <c r="C133" s="5" t="s">
        <v>1088</v>
      </c>
      <c r="D133" s="5" t="s">
        <v>1089</v>
      </c>
      <c r="E133" s="9" t="s">
        <v>1090</v>
      </c>
      <c r="F133" s="3"/>
      <c r="G133" s="3"/>
      <c r="H133" s="5" t="str">
        <f>IFERROR(__xludf.DUMMYFUNCTION("GOOGLETRANSLATE(A133,""it"",""en"")"),"134")</f>
        <v>134</v>
      </c>
      <c r="I133" s="5" t="str">
        <f>IFERROR(__xludf.DUMMYFUNCTION("GOOGLETRANSLATE(B133,""it"",""en"")"),"What does 'boccia fuori' mean in the game of Bocce?")</f>
        <v>What does 'boccia fuori' mean in the game of Bocce?</v>
      </c>
      <c r="J133" s="5" t="str">
        <f>IFERROR(__xludf.DUMMYFUNCTION("GOOGLETRANSLATE(C133,""it"",""en"")"),"A. A ball that is out of bounds B. A ball that has not hit the jack C. A ball that has touched another object D. A ball that is too close to the jack")</f>
        <v>A. A ball that is out of bounds B. A ball that has not hit the jack C. A ball that has touched another object D. A ball that is too close to the jack</v>
      </c>
      <c r="K133" s="5" t="str">
        <f>IFERROR(__xludf.DUMMYFUNCTION("GOOGLETRANSLATE(D133,""it"",""en"")"),"A bowl that is out of bounds")</f>
        <v>A bowl that is out of bounds</v>
      </c>
      <c r="L133" s="5" t="str">
        <f>IFERROR(__xludf.DUMMYFUNCTION("GOOGLETRANSLATE(E133,""it"",""en"")"),"'Boccia fuori' means that the boccia has left the playing field.")</f>
        <v>'Boccia fuori' means that the boccia has left the playing field.</v>
      </c>
    </row>
    <row r="134" ht="22.5" customHeight="1">
      <c r="A134" s="4">
        <v>135.0</v>
      </c>
      <c r="B134" s="5" t="s">
        <v>1091</v>
      </c>
      <c r="C134" s="5" t="s">
        <v>1092</v>
      </c>
      <c r="D134" s="5" t="s">
        <v>1093</v>
      </c>
      <c r="E134" s="5" t="s">
        <v>1094</v>
      </c>
      <c r="F134" s="3"/>
      <c r="G134" s="3"/>
      <c r="H134" s="5" t="str">
        <f>IFERROR(__xludf.DUMMYFUNCTION("GOOGLETRANSLATE(A134,""it"",""en"")"),"135")</f>
        <v>135</v>
      </c>
      <c r="I134" s="5" t="str">
        <f>IFERROR(__xludf.DUMMYFUNCTION("GOOGLETRANSLATE(B134,""it"",""en"")"),"Which of the following countries also plays a version of the game of Bocce?")</f>
        <v>Which of the following countries also plays a version of the game of Bocce?</v>
      </c>
      <c r="J134" s="5" t="str">
        <f>IFERROR(__xludf.DUMMYFUNCTION("GOOGLETRANSLATE(C134,""it"",""en"")"),"A. Spain B. France C. Germany D. Sweden")</f>
        <v>A. Spain B. France C. Germany D. Sweden</v>
      </c>
      <c r="K134" s="5" t="str">
        <f>IFERROR(__xludf.DUMMYFUNCTION("GOOGLETRANSLATE(D134,""it"",""en"")"),"France")</f>
        <v>France</v>
      </c>
      <c r="L134" s="5" t="str">
        <f>IFERROR(__xludf.DUMMYFUNCTION("GOOGLETRANSLATE(E134,""it"",""en"")"),"France plays a similar version of Bocce, called Pétanque.")</f>
        <v>France plays a similar version of Bocce, called Pétanque.</v>
      </c>
    </row>
    <row r="135" ht="22.5" customHeight="1">
      <c r="A135" s="4">
        <v>136.0</v>
      </c>
      <c r="B135" s="5" t="s">
        <v>1095</v>
      </c>
      <c r="C135" s="5" t="s">
        <v>1096</v>
      </c>
      <c r="D135" s="5" t="s">
        <v>1097</v>
      </c>
      <c r="E135" s="5" t="s">
        <v>1098</v>
      </c>
      <c r="F135" s="3"/>
      <c r="G135" s="3"/>
      <c r="H135" s="5" t="str">
        <f>IFERROR(__xludf.DUMMYFUNCTION("GOOGLETRANSLATE(A135,""it"",""en"")"),"136")</f>
        <v>136</v>
      </c>
      <c r="I135" s="5" t="str">
        <f>IFERROR(__xludf.DUMMYFUNCTION("GOOGLETRANSLATE(B135,""it"",""en"")"),"What type of field is traditionally used to play Bocce in Italy?")</f>
        <v>What type of field is traditionally used to play Bocce in Italy?</v>
      </c>
      <c r="J135" s="5" t="str">
        <f>IFERROR(__xludf.DUMMYFUNCTION("GOOGLETRANSLATE(C135,""it"",""en"")"),"A. Asphalt track B. Sand field C. Grass track D. Dirt track")</f>
        <v>A. Asphalt track B. Sand field C. Grass track D. Dirt track</v>
      </c>
      <c r="K135" s="5" t="str">
        <f>IFERROR(__xludf.DUMMYFUNCTION("GOOGLETRANSLATE(D135,""it"",""en"")"),"Dirt track")</f>
        <v>Dirt track</v>
      </c>
      <c r="L135" s="5" t="str">
        <f>IFERROR(__xludf.DUMMYFUNCTION("GOOGLETRANSLATE(E135,""it"",""en"")"),"The clay court is the type of field traditionally used in Italy to play Bocce.")</f>
        <v>The clay court is the type of field traditionally used in Italy to play Bocce.</v>
      </c>
    </row>
    <row r="136" ht="22.5" customHeight="1">
      <c r="A136" s="4">
        <v>137.0</v>
      </c>
      <c r="B136" s="5" t="s">
        <v>1099</v>
      </c>
      <c r="C136" s="5" t="s">
        <v>1100</v>
      </c>
      <c r="D136" s="5" t="s">
        <v>1101</v>
      </c>
      <c r="E136" s="5" t="s">
        <v>1102</v>
      </c>
      <c r="F136" s="3"/>
      <c r="G136" s="3"/>
      <c r="H136" s="5" t="str">
        <f>IFERROR(__xludf.DUMMYFUNCTION("GOOGLETRANSLATE(A136,""it"",""en"")"),"137")</f>
        <v>137</v>
      </c>
      <c r="I136" s="5" t="str">
        <f>IFERROR(__xludf.DUMMYFUNCTION("GOOGLETRANSLATE(B136,""it"",""en"")"),"In the game of Bocce, what strategy is used to 'push' the opponent's ball out of play?")</f>
        <v>In the game of Bocce, what strategy is used to 'push' the opponent's ball out of play?</v>
      </c>
      <c r="J136" s="5" t="str">
        <f>IFERROR(__xludf.DUMMYFUNCTION("GOOGLETRANSLATE(C136,""it"",""en"")"),"A. Throwing a long ball B. Throwing a ball with great force C. Throwing the ball accurately towards the opponent's ball D. Hitting the jack")</f>
        <v>A. Throwing a long ball B. Throwing a ball with great force C. Throwing the ball accurately towards the opponent's ball D. Hitting the jack</v>
      </c>
      <c r="K136" s="5" t="str">
        <f>IFERROR(__xludf.DUMMYFUNCTION("GOOGLETRANSLATE(D136,""it"",""en"")"),"Throw the ball accurately towards the opponent's ball")</f>
        <v>Throw the ball accurately towards the opponent's ball</v>
      </c>
      <c r="L136" s="5" t="str">
        <f>IFERROR(__xludf.DUMMYFUNCTION("GOOGLETRANSLATE(E136,""it"",""en"")"),"To 'push' the opponent's ball out of play, you throw the ball precisely to hit it directly.")</f>
        <v>To 'push' the opponent's ball out of play, you throw the ball precisely to hit it directly.</v>
      </c>
    </row>
    <row r="137" ht="22.5" customHeight="1">
      <c r="A137" s="4">
        <v>138.0</v>
      </c>
      <c r="B137" s="5" t="s">
        <v>1103</v>
      </c>
      <c r="C137" s="5" t="s">
        <v>1104</v>
      </c>
      <c r="D137" s="5" t="s">
        <v>1105</v>
      </c>
      <c r="E137" s="5" t="s">
        <v>1106</v>
      </c>
      <c r="F137" s="3"/>
      <c r="G137" s="3"/>
      <c r="H137" s="5" t="str">
        <f>IFERROR(__xludf.DUMMYFUNCTION("GOOGLETRANSLATE(A137,""it"",""en"")"),"138")</f>
        <v>138</v>
      </c>
      <c r="I137" s="5" t="str">
        <f>IFERROR(__xludf.DUMMYFUNCTION("GOOGLETRANSLATE(B137,""it"",""en"")"),"In Bocce, which team wins at the end of a match?")</f>
        <v>In Bocce, which team wins at the end of a match?</v>
      </c>
      <c r="J137" s="5" t="str">
        <f>IFERROR(__xludf.DUMMYFUNCTION("GOOGLETRANSLATE(C137,""it"",""en"")"),"A. The team with the most balls B. The team that reaches the jack first C. The team with the highest score D. The team that has thrown the most balls")</f>
        <v>A. The team with the most balls B. The team that reaches the jack first C. The team with the highest score D. The team that has thrown the most balls</v>
      </c>
      <c r="K137" s="5" t="str">
        <f>IFERROR(__xludf.DUMMYFUNCTION("GOOGLETRANSLATE(D137,""it"",""en"")"),"The team with the highest score")</f>
        <v>The team with the highest score</v>
      </c>
      <c r="L137" s="5" t="str">
        <f>IFERROR(__xludf.DUMMYFUNCTION("GOOGLETRANSLATE(E137,""it"",""en"")"),"The team that accumulates the most points during the various rounds wins the match.")</f>
        <v>The team that accumulates the most points during the various rounds wins the match.</v>
      </c>
    </row>
    <row r="138" ht="22.5" customHeight="1">
      <c r="A138" s="4">
        <v>139.0</v>
      </c>
      <c r="B138" s="5" t="s">
        <v>1107</v>
      </c>
      <c r="C138" s="5" t="s">
        <v>1108</v>
      </c>
      <c r="D138" s="5" t="s">
        <v>1109</v>
      </c>
      <c r="E138" s="5" t="s">
        <v>1110</v>
      </c>
      <c r="F138" s="3"/>
      <c r="G138" s="3"/>
      <c r="H138" s="5" t="str">
        <f>IFERROR(__xludf.DUMMYFUNCTION("GOOGLETRANSLATE(A138,""it"",""en"")"),"139")</f>
        <v>139</v>
      </c>
      <c r="I138" s="5" t="str">
        <f>IFERROR(__xludf.DUMMYFUNCTION("GOOGLETRANSLATE(B138,""it"",""en"")"),"What type of surface is commonly used in Bocce competitions?")</f>
        <v>What type of surface is commonly used in Bocce competitions?</v>
      </c>
      <c r="J138" s="5" t="str">
        <f>IFERROR(__xludf.DUMMYFUNCTION("GOOGLETRANSLATE(C138,""it"",""en"")"),"A. Asphalt B. Concrete track C. Sand track D. Dirt track")</f>
        <v>A. Asphalt B. Concrete track C. Sand track D. Dirt track</v>
      </c>
      <c r="K138" s="5" t="str">
        <f>IFERROR(__xludf.DUMMYFUNCTION("GOOGLETRANSLATE(D138,""it"",""en"")"),"Dirt track")</f>
        <v>Dirt track</v>
      </c>
      <c r="L138" s="5" t="str">
        <f>IFERROR(__xludf.DUMMYFUNCTION("GOOGLETRANSLATE(E138,""it"",""en"")"),"Official Bocce competitions take place on a clay court.")</f>
        <v>Official Bocce competitions take place on a clay court.</v>
      </c>
    </row>
    <row r="139" ht="22.5" customHeight="1">
      <c r="A139" s="4">
        <v>140.0</v>
      </c>
      <c r="B139" s="5" t="s">
        <v>882</v>
      </c>
      <c r="C139" s="5" t="s">
        <v>1111</v>
      </c>
      <c r="D139" s="5" t="s">
        <v>1112</v>
      </c>
      <c r="E139" s="5" t="s">
        <v>1113</v>
      </c>
      <c r="F139" s="3"/>
      <c r="G139" s="3"/>
      <c r="H139" s="5" t="str">
        <f>IFERROR(__xludf.DUMMYFUNCTION("GOOGLETRANSLATE(A139,""it"",""en"")"),"140")</f>
        <v>140</v>
      </c>
      <c r="I139" s="5" t="str">
        <f>IFERROR(__xludf.DUMMYFUNCTION("GOOGLETRANSLATE(B139,""it"",""en"")"),"In the game of Bocce, how is it determined who goes first?")</f>
        <v>In the game of Bocce, how is it determined who goes first?</v>
      </c>
      <c r="J139" s="5" t="str">
        <f>IFERROR(__xludf.DUMMYFUNCTION("GOOGLETRANSLATE(C139,""it"",""en"")"),"A. The player with the lowest score B. The player with the lightest ball C. The player who throws a trial shot first D. The player who wins a coin")</f>
        <v>A. The player with the lowest score B. The player with the lightest ball C. The player who throws a trial shot first D. The player who wins a coin</v>
      </c>
      <c r="K139" s="5" t="str">
        <f>IFERROR(__xludf.DUMMYFUNCTION("GOOGLETRANSLATE(D139,""it"",""en"")"),"The player who first throws a test shot")</f>
        <v>The player who first throws a test shot</v>
      </c>
      <c r="L139" s="5" t="str">
        <f>IFERROR(__xludf.DUMMYFUNCTION("GOOGLETRANSLATE(E139,""it"",""en"")"),"The player who first rolls a test shot determines who goes first.")</f>
        <v>The player who first rolls a test shot determines who goes first.</v>
      </c>
    </row>
    <row r="140" ht="22.5" customHeight="1">
      <c r="A140" s="4">
        <v>141.0</v>
      </c>
      <c r="B140" s="5" t="s">
        <v>1114</v>
      </c>
      <c r="C140" s="5" t="s">
        <v>1115</v>
      </c>
      <c r="D140" s="5" t="s">
        <v>1116</v>
      </c>
      <c r="E140" s="5" t="s">
        <v>1117</v>
      </c>
      <c r="F140" s="3"/>
      <c r="G140" s="3"/>
      <c r="H140" s="5" t="str">
        <f>IFERROR(__xludf.DUMMYFUNCTION("GOOGLETRANSLATE(A140,""it"",""en"")"),"141")</f>
        <v>141</v>
      </c>
      <c r="I140" s="5" t="str">
        <f>IFERROR(__xludf.DUMMYFUNCTION("GOOGLETRANSLATE(B140,""it"",""en"")"),"What is the main objective of the player who is throwing in Bocce?")</f>
        <v>What is the main objective of the player who is throwing in Bocce?</v>
      </c>
      <c r="J140" s="5" t="str">
        <f>IFERROR(__xludf.DUMMYFUNCTION("GOOGLETRANSLATE(C140,""it"",""en"")"),"A. Hit the jack B. Stay on the court C. Throw the ball as far as possible D. Place the ball closest to the jack")</f>
        <v>A. Hit the jack B. Stay on the court C. Throw the ball as far as possible D. Place the ball closest to the jack</v>
      </c>
      <c r="K140" s="5" t="str">
        <f>IFERROR(__xludf.DUMMYFUNCTION("GOOGLETRANSLATE(D140,""it"",""en"")"),"Place the ball closest to the jack")</f>
        <v>Place the ball closest to the jack</v>
      </c>
      <c r="L140" s="5" t="str">
        <f>IFERROR(__xludf.DUMMYFUNCTION("GOOGLETRANSLATE(E140,""it"",""en"")"),"The main objective is to get your ball closer to the jack.")</f>
        <v>The main objective is to get your ball closer to the jack.</v>
      </c>
    </row>
    <row r="141" ht="22.5" customHeight="1">
      <c r="A141" s="4">
        <v>142.0</v>
      </c>
      <c r="B141" s="5" t="s">
        <v>1118</v>
      </c>
      <c r="C141" s="5" t="s">
        <v>1119</v>
      </c>
      <c r="D141" s="5" t="s">
        <v>1120</v>
      </c>
      <c r="E141" s="9" t="s">
        <v>1121</v>
      </c>
      <c r="F141" s="3"/>
      <c r="G141" s="3"/>
      <c r="H141" s="5" t="str">
        <f>IFERROR(__xludf.DUMMYFUNCTION("GOOGLETRANSLATE(A141,""it"",""en"")"),"142")</f>
        <v>142</v>
      </c>
      <c r="I141" s="5" t="str">
        <f>IFERROR(__xludf.DUMMYFUNCTION("GOOGLETRANSLATE(B141,""it"",""en"")"),"In the game of Bocce, what does 'boccia battuta' mean?")</f>
        <v>In the game of Bocce, what does 'boccia battuta' mean?</v>
      </c>
      <c r="J141" s="5" t="str">
        <f>IFERROR(__xludf.DUMMYFUNCTION("GOOGLETRANSLATE(C141,""it"",""en"")"),"A. A ball that has touched the ground B. A ball that has hit another ball C. A ball that has hit the jack D. A ball that has been thrown off the lane")</f>
        <v>A. A ball that has touched the ground B. A ball that has hit another ball C. A ball that has hit the jack D. A ball that has been thrown off the lane</v>
      </c>
      <c r="K141" s="5" t="str">
        <f>IFERROR(__xludf.DUMMYFUNCTION("GOOGLETRANSLATE(D141,""it"",""en"")"),"A ball that hit another ball")</f>
        <v>A ball that hit another ball</v>
      </c>
      <c r="L141" s="5" t="str">
        <f>IFERROR(__xludf.DUMMYFUNCTION("GOOGLETRANSLATE(E141,""it"",""en"")"),"'Boccia battuta' means that a boccia has hit another boccia during play.")</f>
        <v>'Boccia battuta' means that a boccia has hit another boccia during play.</v>
      </c>
    </row>
    <row r="142" ht="22.5" customHeight="1">
      <c r="A142" s="4">
        <v>143.0</v>
      </c>
      <c r="B142" s="5" t="s">
        <v>1122</v>
      </c>
      <c r="C142" s="5" t="s">
        <v>1123</v>
      </c>
      <c r="D142" s="5" t="s">
        <v>1124</v>
      </c>
      <c r="E142" s="5" t="s">
        <v>1125</v>
      </c>
      <c r="F142" s="3"/>
      <c r="G142" s="3"/>
      <c r="H142" s="5" t="str">
        <f>IFERROR(__xludf.DUMMYFUNCTION("GOOGLETRANSLATE(A142,""it"",""en"")"),"143")</f>
        <v>143</v>
      </c>
      <c r="I142" s="5" t="str">
        <f>IFERROR(__xludf.DUMMYFUNCTION("GOOGLETRANSLATE(B142,""it"",""en"")"),"What is the typical length of a competitive Bocce game?")</f>
        <v>What is the typical length of a competitive Bocce game?</v>
      </c>
      <c r="J142" s="5" t="str">
        <f>IFERROR(__xludf.DUMMYFUNCTION("GOOGLETRANSLATE(C142,""it"",""en"")"),"A. 30 minutes B. 1 hour C. 2 hours D. 3 hours")</f>
        <v>A. 30 minutes B. 1 hour C. 2 hours D. 3 hours</v>
      </c>
      <c r="K142" s="5" t="str">
        <f>IFERROR(__xludf.DUMMYFUNCTION("GOOGLETRANSLATE(D142,""it"",""en"")"),"1 hour")</f>
        <v>1 hour</v>
      </c>
      <c r="L142" s="5" t="str">
        <f>IFERROR(__xludf.DUMMYFUNCTION("GOOGLETRANSLATE(E142,""it"",""en"")"),"Bocce games in official competitions generally last about 1 hour.")</f>
        <v>Bocce games in official competitions generally last about 1 hour.</v>
      </c>
    </row>
    <row r="143" ht="22.5" customHeight="1">
      <c r="A143" s="4">
        <v>144.0</v>
      </c>
      <c r="B143" s="5" t="s">
        <v>1126</v>
      </c>
      <c r="C143" s="5" t="s">
        <v>1127</v>
      </c>
      <c r="D143" s="5" t="s">
        <v>1128</v>
      </c>
      <c r="E143" s="5" t="s">
        <v>1129</v>
      </c>
      <c r="F143" s="3"/>
      <c r="G143" s="3"/>
      <c r="H143" s="5" t="str">
        <f>IFERROR(__xludf.DUMMYFUNCTION("GOOGLETRANSLATE(A143,""it"",""en"")"),"144")</f>
        <v>144</v>
      </c>
      <c r="I143" s="5" t="str">
        <f>IFERROR(__xludf.DUMMYFUNCTION("GOOGLETRANSLATE(B143,""it"",""en"")"),"In the game of Bocce, what is the name of the area where players throw their balls?")</f>
        <v>In the game of Bocce, what is the name of the area where players throw their balls?</v>
      </c>
      <c r="J143" s="5" t="str">
        <f>IFERROR(__xludf.DUMMYFUNCTION("GOOGLETRANSLATE(C143,""it"",""en"")"),"A. Playing field B. Throwing area C. Shooting area D. Playing side")</f>
        <v>A. Playing field B. Throwing area C. Shooting area D. Playing side</v>
      </c>
      <c r="K143" s="5" t="str">
        <f>IFERROR(__xludf.DUMMYFUNCTION("GOOGLETRANSLATE(D143,""it"",""en"")"),"Launch area")</f>
        <v>Launch area</v>
      </c>
      <c r="L143" s="5" t="str">
        <f>IFERROR(__xludf.DUMMYFUNCTION("GOOGLETRANSLATE(E143,""it"",""en"")"),"The area where players throw their balls is called the 'throwing area'.")</f>
        <v>The area where players throw their balls is called the 'throwing area'.</v>
      </c>
    </row>
    <row r="144" ht="22.5" customHeight="1">
      <c r="A144" s="4">
        <v>145.0</v>
      </c>
      <c r="B144" s="5" t="s">
        <v>1130</v>
      </c>
      <c r="C144" s="5" t="s">
        <v>1131</v>
      </c>
      <c r="D144" s="5" t="s">
        <v>1132</v>
      </c>
      <c r="E144" s="5" t="s">
        <v>1133</v>
      </c>
      <c r="F144" s="3"/>
      <c r="G144" s="3"/>
      <c r="H144" s="5" t="str">
        <f>IFERROR(__xludf.DUMMYFUNCTION("GOOGLETRANSLATE(A144,""it"",""en"")"),"145")</f>
        <v>145</v>
      </c>
      <c r="I144" s="5" t="str">
        <f>IFERROR(__xludf.DUMMYFUNCTION("GOOGLETRANSLATE(B144,""it"",""en"")"),"In Bocce, what type of throws are used to hit another ball in an offensive strategy?")</f>
        <v>In Bocce, what type of throws are used to hit another ball in an offensive strategy?</v>
      </c>
      <c r="J144" s="5" t="str">
        <f>IFERROR(__xludf.DUMMYFUNCTION("GOOGLETRANSLATE(C144,""it"",""en"")"),"A. Parabolic throw B. Force throw C. Bounce throw D. Direct throw")</f>
        <v>A. Parabolic throw B. Force throw C. Bounce throw D. Direct throw</v>
      </c>
      <c r="K144" s="5" t="str">
        <f>IFERROR(__xludf.DUMMYFUNCTION("GOOGLETRANSLATE(D144,""it"",""en"")"),"Direct launch")</f>
        <v>Direct launch</v>
      </c>
      <c r="L144" s="5" t="str">
        <f>IFERROR(__xludf.DUMMYFUNCTION("GOOGLETRANSLATE(E144,""it"",""en"")"),"The 'straight throw' is used to hit another ball in an offensive strategy.")</f>
        <v>The 'straight throw' is used to hit another ball in an offensive strategy.</v>
      </c>
    </row>
    <row r="145" ht="22.5" customHeight="1">
      <c r="A145" s="4">
        <v>146.0</v>
      </c>
      <c r="B145" s="5" t="s">
        <v>1134</v>
      </c>
      <c r="C145" s="5" t="s">
        <v>1135</v>
      </c>
      <c r="D145" s="5" t="s">
        <v>1136</v>
      </c>
      <c r="E145" s="5" t="s">
        <v>1137</v>
      </c>
      <c r="F145" s="3"/>
      <c r="G145" s="3"/>
      <c r="H145" s="5" t="str">
        <f>IFERROR(__xludf.DUMMYFUNCTION("GOOGLETRANSLATE(A145,""it"",""en"")"),"146")</f>
        <v>146</v>
      </c>
      <c r="I145" s="5" t="str">
        <f>IFERROR(__xludf.DUMMYFUNCTION("GOOGLETRANSLATE(B145,""it"",""en"")"),"In Bocce, what happens if a ball misses the starting line?")</f>
        <v>In Bocce, what happens if a ball misses the starting line?</v>
      </c>
      <c r="J145" s="5" t="str">
        <f>IFERROR(__xludf.DUMMYFUNCTION("GOOGLETRANSLATE(C145,""it"",""en"")"),"A. The shot is cancelled B. The ball is removed C. The shot is retaken D. The ball is considered out of play")</f>
        <v>A. The shot is cancelled B. The ball is removed C. The shot is retaken D. The ball is considered out of play</v>
      </c>
      <c r="K145" s="5" t="str">
        <f>IFERROR(__xludf.DUMMYFUNCTION("GOOGLETRANSLATE(D145,""it"",""en"")"),"The shot is cancelled")</f>
        <v>The shot is cancelled</v>
      </c>
      <c r="L145" s="5" t="str">
        <f>IFERROR(__xludf.DUMMYFUNCTION("GOOGLETRANSLATE(E145,""it"",""en"")"),"If a ball does not cross the starting line, the shot is cancelled.")</f>
        <v>If a ball does not cross the starting line, the shot is cancelled.</v>
      </c>
    </row>
    <row r="146" ht="22.5" customHeight="1">
      <c r="A146" s="4">
        <v>147.0</v>
      </c>
      <c r="B146" s="5" t="s">
        <v>1138</v>
      </c>
      <c r="C146" s="5" t="s">
        <v>907</v>
      </c>
      <c r="D146" s="5" t="s">
        <v>1139</v>
      </c>
      <c r="E146" s="5" t="s">
        <v>1140</v>
      </c>
      <c r="F146" s="3"/>
      <c r="G146" s="3"/>
      <c r="H146" s="5" t="str">
        <f>IFERROR(__xludf.DUMMYFUNCTION("GOOGLETRANSLATE(A146,""it"",""en"")"),"147")</f>
        <v>147</v>
      </c>
      <c r="I146" s="5" t="str">
        <f>IFERROR(__xludf.DUMMYFUNCTION("GOOGLETRANSLATE(B146,""it"",""en"")"),"What is the maximum distance between the jack and the nearest ball at the end of a round to earn points?")</f>
        <v>What is the maximum distance between the jack and the nearest ball at the end of a round to earn points?</v>
      </c>
      <c r="J146" s="5" t="str">
        <f>IFERROR(__xludf.DUMMYFUNCTION("GOOGLETRANSLATE(C146,""it"",""en"")"),"A. 1 meter B. 2 meters C. 5 meters D. 10 meters")</f>
        <v>A. 1 meter B. 2 meters C. 5 meters D. 10 meters</v>
      </c>
      <c r="K146" s="5" t="str">
        <f>IFERROR(__xludf.DUMMYFUNCTION("GOOGLETRANSLATE(D146,""it"",""en"")"),"1 meter")</f>
        <v>1 meter</v>
      </c>
      <c r="L146" s="5" t="str">
        <f>IFERROR(__xludf.DUMMYFUNCTION("GOOGLETRANSLATE(E146,""it"",""en"")"),"To score points, the ball must be within 1 meter of the jack.")</f>
        <v>To score points, the ball must be within 1 meter of the jack.</v>
      </c>
    </row>
    <row r="147" ht="22.5" customHeight="1">
      <c r="A147" s="4">
        <v>148.0</v>
      </c>
      <c r="B147" s="5" t="s">
        <v>1141</v>
      </c>
      <c r="C147" s="5" t="s">
        <v>1142</v>
      </c>
      <c r="D147" s="4">
        <v>1924.0</v>
      </c>
      <c r="E147" s="5" t="s">
        <v>1143</v>
      </c>
      <c r="F147" s="3"/>
      <c r="G147" s="3"/>
      <c r="H147" s="5" t="str">
        <f>IFERROR(__xludf.DUMMYFUNCTION("GOOGLETRANSLATE(A147,""it"",""en"")"),"148")</f>
        <v>148</v>
      </c>
      <c r="I147" s="5" t="str">
        <f>IFERROR(__xludf.DUMMYFUNCTION("GOOGLETRANSLATE(B147,""it"",""en"")"),"In what year was the International Bocce Committee founded?")</f>
        <v>In what year was the International Bocce Committee founded?</v>
      </c>
      <c r="J147" s="5" t="str">
        <f>IFERROR(__xludf.DUMMYFUNCTION("GOOGLETRANSLATE(C147,""it"",""en"")"),"A. 1900 B. 1924 C. 1948 D. 1960")</f>
        <v>A. 1900 B. 1924 C. 1948 D. 1960</v>
      </c>
      <c r="K147" s="5" t="str">
        <f>IFERROR(__xludf.DUMMYFUNCTION("GOOGLETRANSLATE(D147,""it"",""en"")"),"1924")</f>
        <v>1924</v>
      </c>
      <c r="L147" s="5" t="str">
        <f>IFERROR(__xludf.DUMMYFUNCTION("GOOGLETRANSLATE(E147,""it"",""en"")"),"The International Bocce Committee was founded in 1924.")</f>
        <v>The International Bocce Committee was founded in 1924.</v>
      </c>
    </row>
    <row r="148" ht="22.5" customHeight="1">
      <c r="A148" s="4">
        <v>149.0</v>
      </c>
      <c r="B148" s="5" t="s">
        <v>1144</v>
      </c>
      <c r="C148" s="5" t="s">
        <v>1145</v>
      </c>
      <c r="D148" s="5" t="s">
        <v>1146</v>
      </c>
      <c r="E148" s="5" t="s">
        <v>1147</v>
      </c>
      <c r="F148" s="3"/>
      <c r="G148" s="3"/>
      <c r="H148" s="5" t="str">
        <f>IFERROR(__xludf.DUMMYFUNCTION("GOOGLETRANSLATE(A148,""it"",""en"")"),"149")</f>
        <v>149</v>
      </c>
      <c r="I148" s="5" t="str">
        <f>IFERROR(__xludf.DUMMYFUNCTION("GOOGLETRANSLATE(B148,""it"",""en"")"),"In Bocce, what happens when both teams have a ball at the same level as the jack?")</f>
        <v>In Bocce, what happens when both teams have a ball at the same level as the jack?</v>
      </c>
      <c r="J148" s="5" t="str">
        <f>IFERROR(__xludf.DUMMYFUNCTION("GOOGLETRANSLATE(C148,""it"",""en"")"),"A. The team that threw first wins. B. The balls are removed from the field. C. The throw is repeated. D. The team with the closest ball wins.")</f>
        <v>A. The team that threw first wins. B. The balls are removed from the field. C. The throw is repeated. D. The team with the closest ball wins.</v>
      </c>
      <c r="K148" s="5" t="str">
        <f>IFERROR(__xludf.DUMMYFUNCTION("GOOGLETRANSLATE(D148,""it"",""en"")"),"The team that throws first wins")</f>
        <v>The team that throws first wins</v>
      </c>
      <c r="L148" s="5" t="str">
        <f>IFERROR(__xludf.DUMMYFUNCTION("GOOGLETRANSLATE(E148,""it"",""en"")"),"When the balls are level with the jack, the team that threw first wins.")</f>
        <v>When the balls are level with the jack, the team that threw first wins.</v>
      </c>
    </row>
    <row r="149" ht="22.5" customHeight="1">
      <c r="A149" s="4">
        <v>150.0</v>
      </c>
      <c r="B149" s="5" t="s">
        <v>1148</v>
      </c>
      <c r="C149" s="5" t="s">
        <v>1149</v>
      </c>
      <c r="D149" s="5" t="s">
        <v>1150</v>
      </c>
      <c r="E149" s="9" t="s">
        <v>1151</v>
      </c>
      <c r="F149" s="3"/>
      <c r="G149" s="3"/>
      <c r="H149" s="5" t="str">
        <f>IFERROR(__xludf.DUMMYFUNCTION("GOOGLETRANSLATE(A149,""it"",""en"")"),"150")</f>
        <v>150</v>
      </c>
      <c r="I149" s="5" t="str">
        <f>IFERROR(__xludf.DUMMYFUNCTION("GOOGLETRANSLATE(B149,""it"",""en"")"),"In Bocce, what does the term 'boccia fuori campo' mean?")</f>
        <v>In Bocce, what does the term 'boccia fuori campo' mean?</v>
      </c>
      <c r="J149" s="5" t="str">
        <f>IFERROR(__xludf.DUMMYFUNCTION("GOOGLETRANSLATE(C149,""it"",""en"")"),"A. A ball that has touched the jack B. A ball that has been thrown outside the boundaries of the court C. A ball that has hit another object D. A ball that has stopped before reaching the jack")</f>
        <v>A. A ball that has touched the jack B. A ball that has been thrown outside the boundaries of the court C. A ball that has hit another object D. A ball that has stopped before reaching the jack</v>
      </c>
      <c r="K149" s="5" t="str">
        <f>IFERROR(__xludf.DUMMYFUNCTION("GOOGLETRANSLATE(D149,""it"",""en"")"),"A ball that has been thrown outside the boundaries of the field")</f>
        <v>A ball that has been thrown outside the boundaries of the field</v>
      </c>
      <c r="L149" s="5" t="str">
        <f>IFERROR(__xludf.DUMMYFUNCTION("GOOGLETRANSLATE(E149,""it"",""en"")"),"'Boccia fuori campo' refers to a boccia that has been thrown outside the boundaries of the field.")</f>
        <v>'Boccia fuori campo' refers to a boccia that has been thrown outside the boundaries of the field.</v>
      </c>
    </row>
    <row r="150" ht="22.5" customHeight="1">
      <c r="A150" s="4">
        <v>151.0</v>
      </c>
      <c r="B150" s="5" t="s">
        <v>1152</v>
      </c>
      <c r="C150" s="5" t="s">
        <v>1153</v>
      </c>
      <c r="D150" s="5" t="s">
        <v>1154</v>
      </c>
      <c r="E150" s="5" t="s">
        <v>1155</v>
      </c>
      <c r="F150" s="3"/>
      <c r="G150" s="3"/>
      <c r="H150" s="5" t="str">
        <f>IFERROR(__xludf.DUMMYFUNCTION("GOOGLETRANSLATE(A150,""it"",""en"")"),"151")</f>
        <v>151</v>
      </c>
      <c r="I150" s="5" t="str">
        <f>IFERROR(__xludf.DUMMYFUNCTION("GOOGLETRANSLATE(B150,""it"",""en"")"),"In the game of Bocce, what type of shot is used to prevent the opponent's ball from interfering with the jack?")</f>
        <v>In the game of Bocce, what type of shot is used to prevent the opponent's ball from interfering with the jack?</v>
      </c>
      <c r="J150" s="5" t="str">
        <f>IFERROR(__xludf.DUMMYFUNCTION("GOOGLETRANSLATE(C150,""it"",""en"")"),"A. Defensive shot B. Parabolic shot C. Precision shot D. Reconnaissance shot")</f>
        <v>A. Defensive shot B. Parabolic shot C. Precision shot D. Reconnaissance shot</v>
      </c>
      <c r="K150" s="5" t="str">
        <f>IFERROR(__xludf.DUMMYFUNCTION("GOOGLETRANSLATE(D150,""it"",""en"")"),"Defensive shot")</f>
        <v>Defensive shot</v>
      </c>
      <c r="L150" s="5" t="str">
        <f>IFERROR(__xludf.DUMMYFUNCTION("GOOGLETRANSLATE(E150,""it"",""en"")"),"The 'defense shot' is used to prevent the opponent's ball from interfering with the jack.")</f>
        <v>The 'defense shot' is used to prevent the opponent's ball from interfering with the jack.</v>
      </c>
    </row>
    <row r="151" ht="22.5" customHeight="1">
      <c r="A151" s="4">
        <v>152.0</v>
      </c>
      <c r="B151" s="5" t="s">
        <v>1156</v>
      </c>
      <c r="C151" s="5" t="s">
        <v>1157</v>
      </c>
      <c r="D151" s="5" t="s">
        <v>1158</v>
      </c>
      <c r="E151" s="5" t="s">
        <v>1159</v>
      </c>
      <c r="F151" s="3"/>
      <c r="G151" s="3"/>
      <c r="H151" s="5" t="str">
        <f>IFERROR(__xludf.DUMMYFUNCTION("GOOGLETRANSLATE(A151,""it"",""en"")"),"152")</f>
        <v>152</v>
      </c>
      <c r="I151" s="5" t="str">
        <f>IFERROR(__xludf.DUMMYFUNCTION("GOOGLETRANSLATE(B151,""it"",""en"")"),"In Bocce, which of the following factors is important for a successful throw?")</f>
        <v>In Bocce, which of the following factors is important for a successful throw?</v>
      </c>
      <c r="J151" s="5" t="str">
        <f>IFERROR(__xludf.DUMMYFUNCTION("GOOGLETRANSLATE(C151,""it"",""en"")"),"A. Position of the jack B. Control of the force of the shot C. Type of court surface D. Type of ball")</f>
        <v>A. Position of the jack B. Control of the force of the shot C. Type of court surface D. Type of ball</v>
      </c>
      <c r="K151" s="5" t="str">
        <f>IFERROR(__xludf.DUMMYFUNCTION("GOOGLETRANSLATE(D151,""it"",""en"")"),"Controlling the force of the shot")</f>
        <v>Controlling the force of the shot</v>
      </c>
      <c r="L151" s="5" t="str">
        <f>IFERROR(__xludf.DUMMYFUNCTION("GOOGLETRANSLATE(E151,""it"",""en"")"),"Controlling the force of the shot is essential to correctly position the ball.")</f>
        <v>Controlling the force of the shot is essential to correctly position the ball.</v>
      </c>
    </row>
    <row r="152" ht="22.5" customHeight="1">
      <c r="A152" s="4">
        <v>153.0</v>
      </c>
      <c r="B152" s="5" t="s">
        <v>1160</v>
      </c>
      <c r="C152" s="5" t="s">
        <v>1161</v>
      </c>
      <c r="D152" s="5" t="s">
        <v>1021</v>
      </c>
      <c r="E152" s="5" t="s">
        <v>1162</v>
      </c>
      <c r="F152" s="3"/>
      <c r="G152" s="3"/>
      <c r="H152" s="5" t="str">
        <f>IFERROR(__xludf.DUMMYFUNCTION("GOOGLETRANSLATE(A152,""it"",""en"")"),"153")</f>
        <v>153</v>
      </c>
      <c r="I152" s="5" t="str">
        <f>IFERROR(__xludf.DUMMYFUNCTION("GOOGLETRANSLATE(B152,""it"",""en"")"),"In the game of Bocce, what term describes when a ball hits the jack and moves it?")</f>
        <v>In the game of Bocce, what term describes when a ball hits the jack and moves it?</v>
      </c>
      <c r="J152" s="5" t="str">
        <f>IFERROR(__xludf.DUMMYFUNCTION("GOOGLETRANSLATE(C152,""it"",""en"")"),"A. Control shot B. Rebound shot C. Push shot D. Attack shot")</f>
        <v>A. Control shot B. Rebound shot C. Push shot D. Attack shot</v>
      </c>
      <c r="K152" s="5" t="str">
        <f>IFERROR(__xludf.DUMMYFUNCTION("GOOGLETRANSLATE(D152,""it"",""en"")"),"Push shot")</f>
        <v>Push shot</v>
      </c>
      <c r="L152" s="5" t="str">
        <f>IFERROR(__xludf.DUMMYFUNCTION("GOOGLETRANSLATE(E152,""it"",""en"")"),"A 'push shot' occurs when a ball hits the jack and dislodges it.")</f>
        <v>A 'push shot' occurs when a ball hits the jack and dislodges it.</v>
      </c>
    </row>
    <row r="153" ht="22.5" customHeight="1">
      <c r="A153" s="4">
        <v>154.0</v>
      </c>
      <c r="B153" s="5" t="s">
        <v>1163</v>
      </c>
      <c r="C153" s="5" t="s">
        <v>1164</v>
      </c>
      <c r="D153" s="5" t="s">
        <v>1165</v>
      </c>
      <c r="E153" s="5" t="s">
        <v>1166</v>
      </c>
      <c r="F153" s="3"/>
      <c r="G153" s="3"/>
      <c r="H153" s="5" t="str">
        <f>IFERROR(__xludf.DUMMYFUNCTION("GOOGLETRANSLATE(A153,""it"",""en"")"),"154")</f>
        <v>154</v>
      </c>
      <c r="I153" s="5" t="str">
        <f>IFERROR(__xludf.DUMMYFUNCTION("GOOGLETRANSLATE(B153,""it"",""en"")"),"In the game of Bocce, what happens if a ball touches the jack and knocks it off the lane?")</f>
        <v>In the game of Bocce, what happens if a ball touches the jack and knocks it off the lane?</v>
      </c>
      <c r="J153" s="5" t="str">
        <f>IFERROR(__xludf.DUMMYFUNCTION("GOOGLETRANSLATE(C153,""it"",""en"")"),"A. The ball that hits the jack is eliminated. B. The opposing team earns a point. C. The game is cancelled. D. The ball that hits the jack is put back into play.")</f>
        <v>A. The ball that hits the jack is eliminated. B. The opposing team earns a point. C. The game is cancelled. D. The ball that hits the jack is put back into play.</v>
      </c>
      <c r="K153" s="5" t="str">
        <f>IFERROR(__xludf.DUMMYFUNCTION("GOOGLETRANSLATE(D153,""it"",""en"")"),"The opposing team earns a point")</f>
        <v>The opposing team earns a point</v>
      </c>
      <c r="L153" s="5" t="str">
        <f>IFERROR(__xludf.DUMMYFUNCTION("GOOGLETRANSLATE(E153,""it"",""en"")"),"If a ball knocks the jack off the track, the opposing team scores a point.")</f>
        <v>If a ball knocks the jack off the track, the opposing team scores a point.</v>
      </c>
    </row>
    <row r="154" ht="22.5" customHeight="1">
      <c r="A154" s="4">
        <v>155.0</v>
      </c>
      <c r="B154" s="5" t="s">
        <v>1167</v>
      </c>
      <c r="C154" s="5" t="s">
        <v>1168</v>
      </c>
      <c r="D154" s="5" t="s">
        <v>1169</v>
      </c>
      <c r="E154" s="9" t="s">
        <v>1170</v>
      </c>
      <c r="F154" s="3"/>
      <c r="G154" s="3"/>
      <c r="H154" s="5" t="str">
        <f>IFERROR(__xludf.DUMMYFUNCTION("GOOGLETRANSLATE(A154,""it"",""en"")"),"155")</f>
        <v>155</v>
      </c>
      <c r="I154" s="5" t="str">
        <f>IFERROR(__xludf.DUMMYFUNCTION("GOOGLETRANSLATE(B154,""it"",""en"")"),"What does it mean to 'score a point' in the game of Bocce?")</f>
        <v>What does it mean to 'score a point' in the game of Bocce?</v>
      </c>
      <c r="J154" s="5" t="str">
        <f>IFERROR(__xludf.DUMMYFUNCTION("GOOGLETRANSLATE(C154,""it"",""en"")"),"A. When the ball reaches the center of the court B. When the ball is closer to the jack than the opponent's ball C. When it hits another player D. When the ball goes out of court")</f>
        <v>A. When the ball reaches the center of the court B. When the ball is closer to the jack than the opponent's ball C. When it hits another player D. When the ball goes out of court</v>
      </c>
      <c r="K154" s="5" t="str">
        <f>IFERROR(__xludf.DUMMYFUNCTION("GOOGLETRANSLATE(D154,""it"",""en"")"),"When the ball is closer to the jack than the opponent's ball")</f>
        <v>When the ball is closer to the jack than the opponent's ball</v>
      </c>
      <c r="L154" s="5" t="str">
        <f>IFERROR(__xludf.DUMMYFUNCTION("GOOGLETRANSLATE(E154,""it"",""en"")"),"Scoring a point means that the ball is closer to the jack than the opponent's.")</f>
        <v>Scoring a point means that the ball is closer to the jack than the opponent's.</v>
      </c>
    </row>
    <row r="155" ht="22.5" customHeight="1">
      <c r="A155" s="4">
        <v>156.0</v>
      </c>
      <c r="B155" s="5" t="s">
        <v>1171</v>
      </c>
      <c r="C155" s="5" t="s">
        <v>1172</v>
      </c>
      <c r="D155" s="5" t="s">
        <v>1173</v>
      </c>
      <c r="E155" s="5" t="s">
        <v>1174</v>
      </c>
      <c r="F155" s="3"/>
      <c r="G155" s="3"/>
      <c r="H155" s="5" t="str">
        <f>IFERROR(__xludf.DUMMYFUNCTION("GOOGLETRANSLATE(A155,""it"",""en"")"),"156")</f>
        <v>156</v>
      </c>
      <c r="I155" s="5" t="str">
        <f>IFERROR(__xludf.DUMMYFUNCTION("GOOGLETRANSLATE(B155,""it"",""en"")"),"What is the main objective in the game of Bocce?")</f>
        <v>What is the main objective in the game of Bocce?</v>
      </c>
      <c r="J155" s="5" t="str">
        <f>IFERROR(__xludf.DUMMYFUNCTION("GOOGLETRANSLATE(C155,""it"",""en"")"),"A. Hit the jack with all your balls B. Place your balls as far away from the jack as possible C. Place your ball closer to the jack than your opponent's D. Move the jack out of bounds")</f>
        <v>A. Hit the jack with all your balls B. Place your balls as far away from the jack as possible C. Place your ball closer to the jack than your opponent's D. Move the jack out of bounds</v>
      </c>
      <c r="K155" s="5" t="str">
        <f>IFERROR(__xludf.DUMMYFUNCTION("GOOGLETRANSLATE(D155,""it"",""en"")"),"Place your ball closer to the jack than your opponent's")</f>
        <v>Place your ball closer to the jack than your opponent's</v>
      </c>
      <c r="L155" s="5" t="str">
        <f>IFERROR(__xludf.DUMMYFUNCTION("GOOGLETRANSLATE(E155,""it"",""en"")"),"The main objective of the game of Bocce is to place your own ball closer to the jack than your opponent's.")</f>
        <v>The main objective of the game of Bocce is to place your own ball closer to the jack than your opponent's.</v>
      </c>
    </row>
    <row r="156" ht="22.5" customHeight="1">
      <c r="A156" s="4">
        <v>157.0</v>
      </c>
      <c r="B156" s="5" t="s">
        <v>1175</v>
      </c>
      <c r="C156" s="5" t="s">
        <v>1176</v>
      </c>
      <c r="D156" s="5" t="s">
        <v>1177</v>
      </c>
      <c r="E156" s="5" t="s">
        <v>1178</v>
      </c>
      <c r="F156" s="3"/>
      <c r="G156" s="3"/>
      <c r="H156" s="5" t="str">
        <f>IFERROR(__xludf.DUMMYFUNCTION("GOOGLETRANSLATE(A156,""it"",""en"")"),"157")</f>
        <v>157</v>
      </c>
      <c r="I156" s="5" t="str">
        <f>IFERROR(__xludf.DUMMYFUNCTION("GOOGLETRANSLATE(B156,""it"",""en"")"),"In the game of Bocce, what is meant by 'long ball'?")</f>
        <v>In the game of Bocce, what is meant by 'long ball'?</v>
      </c>
      <c r="J156" s="5" t="str">
        <f>IFERROR(__xludf.DUMMYFUNCTION("GOOGLETRANSLATE(C156,""it"",""en"")"),"A. A ball that is out of play B. A ball thrown with great force C. A ball thrown beyond the jack D. A ball that is further from the jack than all the others")</f>
        <v>A. A ball that is out of play B. A ball thrown with great force C. A ball thrown beyond the jack D. A ball that is further from the jack than all the others</v>
      </c>
      <c r="K156" s="5" t="str">
        <f>IFERROR(__xludf.DUMMYFUNCTION("GOOGLETRANSLATE(D156,""it"",""en"")"),"A ball thrown with great force")</f>
        <v>A ball thrown with great force</v>
      </c>
      <c r="L156" s="5" t="str">
        <f>IFERROR(__xludf.DUMMYFUNCTION("GOOGLETRANSLATE(E156,""it"",""en"")"),"A 'long ball' refers to a bowling ball that is thrown with a lot of force.")</f>
        <v>A 'long ball' refers to a bowling ball that is thrown with a lot of force.</v>
      </c>
    </row>
    <row r="157" ht="22.5" customHeight="1">
      <c r="A157" s="4">
        <v>158.0</v>
      </c>
      <c r="B157" s="5" t="s">
        <v>1179</v>
      </c>
      <c r="C157" s="5" t="s">
        <v>1180</v>
      </c>
      <c r="D157" s="5" t="s">
        <v>1181</v>
      </c>
      <c r="E157" s="5"/>
      <c r="F157" s="3"/>
      <c r="G157" s="3"/>
      <c r="H157" s="5" t="str">
        <f>IFERROR(__xludf.DUMMYFUNCTION("GOOGLETRANSLATE(A157,""it"",""en"")"),"158")</f>
        <v>158</v>
      </c>
      <c r="I157" s="5" t="str">
        <f>IFERROR(__xludf.DUMMYFUNCTION("GOOGLETRANSLATE(B157,""it"",""en"")"),"In the game of Bocce, what must a player do to win a round?")</f>
        <v>In the game of Bocce, what must a player do to win a round?</v>
      </c>
      <c r="J157" s="5" t="str">
        <f>IFERROR(__xludf.DUMMYFUNCTION("GOOGLETRANSLATE(C157,""it"",""en"")"),"A. Place the ball as far away from the jack as possible B. Place the ball closer to the opponent's jack C. Place your ball closer to the jack than your opponent's D. Hit the jack")</f>
        <v>A. Place the ball as far away from the jack as possible B. Place the ball closer to the opponent's jack C. Place your ball closer to the jack than your opponent's D. Hit the jack</v>
      </c>
      <c r="K157" s="5" t="str">
        <f>IFERROR(__xludf.DUMMYFUNCTION("GOOGLETRANSLATE(D157,""it"",""en"")"),"Place your ball closer to the jack than the opponent")</f>
        <v>Place your ball closer to the jack than the opponent</v>
      </c>
      <c r="L157" s="5"/>
    </row>
    <row r="158">
      <c r="G158" s="3"/>
      <c r="H158" s="3"/>
      <c r="I158" s="3"/>
      <c r="J158" s="3"/>
      <c r="K158" s="3"/>
    </row>
    <row r="159">
      <c r="G159" s="3"/>
      <c r="H159" s="3"/>
      <c r="I159" s="3"/>
      <c r="J159" s="3"/>
      <c r="K159" s="3"/>
    </row>
    <row r="160">
      <c r="G160" s="3"/>
      <c r="H160" s="3"/>
      <c r="I160" s="3"/>
      <c r="J160" s="3"/>
      <c r="K160" s="3"/>
    </row>
    <row r="161">
      <c r="G161" s="3"/>
      <c r="H161" s="3"/>
      <c r="I161" s="3"/>
      <c r="J161" s="3"/>
      <c r="K161" s="3"/>
    </row>
    <row r="162">
      <c r="G162" s="3"/>
      <c r="H162" s="3"/>
      <c r="I162" s="3"/>
      <c r="J162" s="3"/>
      <c r="K162" s="3"/>
    </row>
    <row r="163">
      <c r="G163" s="3"/>
      <c r="H163" s="3"/>
      <c r="I163" s="3"/>
      <c r="J163" s="3"/>
      <c r="K163" s="3"/>
    </row>
    <row r="164">
      <c r="G164" s="3"/>
      <c r="H164" s="3"/>
      <c r="I164" s="3"/>
      <c r="J164" s="3"/>
      <c r="K164" s="3"/>
    </row>
    <row r="165">
      <c r="G165" s="3"/>
      <c r="H165" s="3"/>
      <c r="I165" s="3"/>
      <c r="J165" s="3"/>
      <c r="K165" s="3"/>
    </row>
    <row r="166">
      <c r="G166" s="3"/>
      <c r="H166" s="3"/>
      <c r="I166" s="3"/>
      <c r="J166" s="3"/>
      <c r="K166" s="3"/>
    </row>
    <row r="167">
      <c r="G167" s="3"/>
      <c r="H167" s="3"/>
      <c r="I167" s="3"/>
      <c r="J167" s="3"/>
      <c r="K167" s="3"/>
    </row>
    <row r="168">
      <c r="G168" s="3"/>
      <c r="H168" s="3"/>
      <c r="I168" s="3"/>
      <c r="J168" s="3"/>
      <c r="K168" s="3"/>
    </row>
    <row r="169">
      <c r="G169" s="3"/>
      <c r="H169" s="3"/>
      <c r="I169" s="3"/>
      <c r="J169" s="3"/>
      <c r="K169" s="3"/>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3" width="37.63"/>
    <col customWidth="1" min="4" max="4" width="35.0"/>
    <col customWidth="1" min="5" max="5" width="37.63"/>
    <col customWidth="1" min="7" max="7" width="18.5"/>
    <col customWidth="1" min="8" max="9" width="37.63"/>
    <col customWidth="1" min="10" max="10" width="33.25"/>
    <col customWidth="1" min="11" max="11" width="37.63"/>
  </cols>
  <sheetData>
    <row r="1" ht="22.5" customHeight="1">
      <c r="A1" s="8" t="s">
        <v>0</v>
      </c>
      <c r="B1" s="8" t="s">
        <v>1</v>
      </c>
      <c r="C1" s="2" t="s">
        <v>2</v>
      </c>
      <c r="D1" s="8" t="s">
        <v>3</v>
      </c>
      <c r="E1" s="8" t="s">
        <v>4</v>
      </c>
      <c r="F1" s="3"/>
      <c r="G1" s="8" t="s">
        <v>0</v>
      </c>
      <c r="H1" s="8" t="s">
        <v>5</v>
      </c>
      <c r="I1" s="2" t="s">
        <v>6</v>
      </c>
      <c r="J1" s="8" t="s">
        <v>7</v>
      </c>
      <c r="K1" s="8" t="s">
        <v>8</v>
      </c>
      <c r="L1" s="3"/>
      <c r="M1" s="3"/>
      <c r="N1" s="3"/>
      <c r="O1" s="3"/>
      <c r="P1" s="3"/>
      <c r="Q1" s="3"/>
      <c r="R1" s="3"/>
    </row>
    <row r="2" ht="22.5" customHeight="1">
      <c r="A2" s="4">
        <v>1.0</v>
      </c>
      <c r="B2" s="5" t="s">
        <v>1182</v>
      </c>
      <c r="C2" s="5" t="s">
        <v>1183</v>
      </c>
      <c r="D2" s="5" t="s">
        <v>583</v>
      </c>
      <c r="E2" s="5" t="s">
        <v>1184</v>
      </c>
      <c r="F2" s="3"/>
      <c r="G2" s="4">
        <v>1.0</v>
      </c>
      <c r="H2" s="5" t="str">
        <f>IFERROR(__xludf.DUMMYFUNCTION("GOOGLETRANSLATE(B2,""it"",""en"")"),"What is the historical origin of the game Pallone col Bracciale?")</f>
        <v>What is the historical origin of the game Pallone col Bracciale?</v>
      </c>
      <c r="I2" s="5" t="str">
        <f>IFERROR(__xludf.DUMMYFUNCTION("GOOGLETRANSLATE(C2,""it"",""en"")"),"A. France B. Italy C. Spain D. England")</f>
        <v>A. France B. Italy C. Spain D. England</v>
      </c>
      <c r="J2" s="5" t="str">
        <f>IFERROR(__xludf.DUMMYFUNCTION("GOOGLETRANSLATE(D2,""it"",""en"")"),"Italy")</f>
        <v>Italy</v>
      </c>
      <c r="K2" s="5" t="str">
        <f>IFERROR(__xludf.DUMMYFUNCTION("GOOGLETRANSLATE(E2,""it"",""en"")"),"The game Pallone col Bracciale has Italian origins, dating back to the Middle Ages.")</f>
        <v>The game Pallone col Bracciale has Italian origins, dating back to the Middle Ages.</v>
      </c>
    </row>
    <row r="3" ht="22.5" customHeight="1">
      <c r="A3" s="4">
        <v>2.0</v>
      </c>
      <c r="B3" s="5" t="s">
        <v>1185</v>
      </c>
      <c r="C3" s="5" t="s">
        <v>1186</v>
      </c>
      <c r="D3" s="5" t="s">
        <v>1187</v>
      </c>
      <c r="E3" s="5" t="s">
        <v>1188</v>
      </c>
      <c r="F3" s="3"/>
      <c r="G3" s="4">
        <v>2.0</v>
      </c>
      <c r="H3" s="5" t="str">
        <f>IFERROR(__xludf.DUMMYFUNCTION("GOOGLETRANSLATE(B3,""it"",""en"")"),"Where is Pallone col Bracciale traditionally played?")</f>
        <v>Where is Pallone col Bracciale traditionally played?</v>
      </c>
      <c r="I3" s="5" t="str">
        <f>IFERROR(__xludf.DUMMYFUNCTION("GOOGLETRANSLATE(C3,""it"",""en"")"),"A. Rome B. Florence C. Milan D. Pesaro")</f>
        <v>A. Rome B. Florence C. Milan D. Pesaro</v>
      </c>
      <c r="J3" s="5" t="str">
        <f>IFERROR(__xludf.DUMMYFUNCTION("GOOGLETRANSLATE(D3,""it"",""en"")"),"Pesaro")</f>
        <v>Pesaro</v>
      </c>
      <c r="K3" s="5" t="str">
        <f>IFERROR(__xludf.DUMMYFUNCTION("GOOGLETRANSLATE(E3,""it"",""en"")"),"Pesaro is one of the historic cities where gambling is most popular.")</f>
        <v>Pesaro is one of the historic cities where gambling is most popular.</v>
      </c>
    </row>
    <row r="4" ht="22.5" customHeight="1">
      <c r="A4" s="4">
        <v>3.0</v>
      </c>
      <c r="B4" s="5" t="s">
        <v>1189</v>
      </c>
      <c r="C4" s="5" t="s">
        <v>1190</v>
      </c>
      <c r="D4" s="4">
        <v>1888.0</v>
      </c>
      <c r="E4" s="5" t="s">
        <v>1191</v>
      </c>
      <c r="F4" s="3"/>
      <c r="G4" s="4">
        <v>3.0</v>
      </c>
      <c r="H4" s="5" t="str">
        <f>IFERROR(__xludf.DUMMYFUNCTION("GOOGLETRANSLATE(B4,""it"",""en"")"),"When were the Pallone col Bracciale regulations formalized?")</f>
        <v>When were the Pallone col Bracciale regulations formalized?</v>
      </c>
      <c r="I4" s="5" t="str">
        <f>IFERROR(__xludf.DUMMYFUNCTION("GOOGLETRANSLATE(C4,""it"",""en"")"),"A. 1900 B. 1850 C. 1920 D. 1888")</f>
        <v>A. 1900 B. 1850 C. 1920 D. 1888</v>
      </c>
      <c r="J4" s="5" t="str">
        <f>IFERROR(__xludf.DUMMYFUNCTION("GOOGLETRANSLATE(D4,""it"",""en"")"),"1888")</f>
        <v>1888</v>
      </c>
      <c r="K4" s="5" t="str">
        <f>IFERROR(__xludf.DUMMYFUNCTION("GOOGLETRANSLATE(E4,""it"",""en"")"),"The official regulation was formalized at the end of the 19th century.")</f>
        <v>The official regulation was formalized at the end of the 19th century.</v>
      </c>
    </row>
    <row r="5" ht="22.5" customHeight="1">
      <c r="A5" s="4">
        <v>4.0</v>
      </c>
      <c r="B5" s="5" t="s">
        <v>1192</v>
      </c>
      <c r="C5" s="5" t="s">
        <v>1193</v>
      </c>
      <c r="D5" s="5" t="s">
        <v>1194</v>
      </c>
      <c r="E5" s="5" t="s">
        <v>1195</v>
      </c>
      <c r="F5" s="3"/>
      <c r="G5" s="4">
        <v>4.0</v>
      </c>
      <c r="H5" s="5" t="str">
        <f>IFERROR(__xludf.DUMMYFUNCTION("GOOGLETRANSLATE(B5,""it"",""en"")"),"What is the other name by which the Pallone col Bracciale is known?")</f>
        <v>What is the other name by which the Pallone col Bracciale is known?</v>
      </c>
      <c r="I5" s="5" t="str">
        <f>IFERROR(__xludf.DUMMYFUNCTION("GOOGLETRANSLATE(C5,""it"",""en"")"),"A. Football with bracelet B. Tennis with bracelet C. Racket ball D. Handball")</f>
        <v>A. Football with bracelet B. Tennis with bracelet C. Racket ball D. Handball</v>
      </c>
      <c r="J5" s="5" t="str">
        <f>IFERROR(__xludf.DUMMYFUNCTION("GOOGLETRANSLATE(D5,""it"",""en"")"),"Handball")</f>
        <v>Handball</v>
      </c>
      <c r="K5" s="5" t="str">
        <f>IFERROR(__xludf.DUMMYFUNCTION("GOOGLETRANSLATE(E5,""it"",""en"")"),"The alternative name is 'Handball'.")</f>
        <v>The alternative name is 'Handball'.</v>
      </c>
    </row>
    <row r="6" ht="22.5" customHeight="1">
      <c r="A6" s="4">
        <v>5.0</v>
      </c>
      <c r="B6" s="5" t="s">
        <v>1196</v>
      </c>
      <c r="C6" s="5" t="s">
        <v>1197</v>
      </c>
      <c r="D6" s="5" t="s">
        <v>1198</v>
      </c>
      <c r="E6" s="5" t="s">
        <v>1199</v>
      </c>
      <c r="F6" s="3"/>
      <c r="G6" s="4">
        <v>5.0</v>
      </c>
      <c r="H6" s="5" t="str">
        <f>IFERROR(__xludf.DUMMYFUNCTION("GOOGLETRANSLATE(B6,""it"",""en"")"),"Who can play Pallone col Bracciale?")</f>
        <v>Who can play Pallone col Bracciale?</v>
      </c>
      <c r="I6" s="5" t="str">
        <f>IFERROR(__xludf.DUMMYFUNCTION("GOOGLETRANSLATE(C6,""it"",""en"")"),"A. Men only B. Women only C. Men and women D. Children only")</f>
        <v>A. Men only B. Women only C. Men and women D. Children only</v>
      </c>
      <c r="J6" s="5" t="str">
        <f>IFERROR(__xludf.DUMMYFUNCTION("GOOGLETRANSLATE(D6,""it"",""en"")"),"Men and women")</f>
        <v>Men and women</v>
      </c>
      <c r="K6" s="5" t="str">
        <f>IFERROR(__xludf.DUMMYFUNCTION("GOOGLETRANSLATE(E6,""it"",""en"")"),"Pallone col Bracciale is a game played by both genders.")</f>
        <v>Pallone col Bracciale is a game played by both genders.</v>
      </c>
    </row>
    <row r="7" ht="22.5" customHeight="1">
      <c r="A7" s="4">
        <v>6.0</v>
      </c>
      <c r="B7" s="5" t="s">
        <v>1200</v>
      </c>
      <c r="C7" s="5" t="s">
        <v>1201</v>
      </c>
      <c r="D7" s="5" t="s">
        <v>1202</v>
      </c>
      <c r="E7" s="5" t="s">
        <v>1203</v>
      </c>
      <c r="F7" s="3"/>
      <c r="G7" s="4">
        <v>6.0</v>
      </c>
      <c r="H7" s="5" t="str">
        <f>IFERROR(__xludf.DUMMYFUNCTION("GOOGLETRANSLATE(B7,""it"",""en"")"),"What do you use to play Pallone col Bracciale?")</f>
        <v>What do you use to play Pallone col Bracciale?</v>
      </c>
      <c r="I7" s="5" t="str">
        <f>IFERROR(__xludf.DUMMYFUNCTION("GOOGLETRANSLATE(C7,""it"",""en"")"),"A. A racket B. A bracelet C. A ball D. A stick")</f>
        <v>A. A racket B. A bracelet C. A ball D. A stick</v>
      </c>
      <c r="J7" s="5" t="str">
        <f>IFERROR(__xludf.DUMMYFUNCTION("GOOGLETRANSLATE(D7,""it"",""en"")"),"A bracelet")</f>
        <v>A bracelet</v>
      </c>
      <c r="K7" s="5" t="str">
        <f>IFERROR(__xludf.DUMMYFUNCTION("GOOGLETRANSLATE(E7,""it"",""en"")"),"The game is played using a leather bracelet worn on the arm.")</f>
        <v>The game is played using a leather bracelet worn on the arm.</v>
      </c>
    </row>
    <row r="8" ht="22.5" customHeight="1">
      <c r="A8" s="4">
        <v>7.0</v>
      </c>
      <c r="B8" s="5" t="s">
        <v>1204</v>
      </c>
      <c r="C8" s="5" t="s">
        <v>1205</v>
      </c>
      <c r="D8" s="5" t="s">
        <v>1206</v>
      </c>
      <c r="E8" s="5" t="s">
        <v>1207</v>
      </c>
      <c r="F8" s="3"/>
      <c r="G8" s="4">
        <v>7.0</v>
      </c>
      <c r="H8" s="5" t="str">
        <f>IFERROR(__xludf.DUMMYFUNCTION("GOOGLETRANSLATE(B8,""it"",""en"")"),"What is the main object of the game Ball and Bracelet?")</f>
        <v>What is the main object of the game Ball and Bracelet?</v>
      </c>
      <c r="I8" s="5" t="str">
        <f>IFERROR(__xludf.DUMMYFUNCTION("GOOGLETRANSLATE(C8,""it"",""en"")"),"A. A leather ball B. A wooden ball C. A rubber ball D. A leather ball")</f>
        <v>A. A leather ball B. A wooden ball C. A rubber ball D. A leather ball</v>
      </c>
      <c r="J8" s="5" t="str">
        <f>IFERROR(__xludf.DUMMYFUNCTION("GOOGLETRANSLATE(D8,""it"",""en"")"),"A leather ball")</f>
        <v>A leather ball</v>
      </c>
      <c r="K8" s="5" t="str">
        <f>IFERROR(__xludf.DUMMYFUNCTION("GOOGLETRANSLATE(E8,""it"",""en"")"),"The game uses a leather ball, which is hit with the bracelet.")</f>
        <v>The game uses a leather ball, which is hit with the bracelet.</v>
      </c>
    </row>
    <row r="9" ht="22.5" customHeight="1">
      <c r="A9" s="4">
        <v>8.0</v>
      </c>
      <c r="B9" s="5" t="s">
        <v>1208</v>
      </c>
      <c r="C9" s="5" t="s">
        <v>1209</v>
      </c>
      <c r="D9" s="5" t="s">
        <v>1210</v>
      </c>
      <c r="E9" s="5" t="s">
        <v>1211</v>
      </c>
      <c r="F9" s="3"/>
      <c r="G9" s="4">
        <v>8.0</v>
      </c>
      <c r="H9" s="5" t="str">
        <f>IFERROR(__xludf.DUMMYFUNCTION("GOOGLETRANSLATE(B9,""it"",""en"")"),"During what time of day did Pallone col Bracciale matches traditionally take place?")</f>
        <v>During what time of day did Pallone col Bracciale matches traditionally take place?</v>
      </c>
      <c r="I9" s="5" t="str">
        <f>IFERROR(__xludf.DUMMYFUNCTION("GOOGLETRANSLATE(C9,""it"",""en"")"),"A. Morning B. Afternoon C. Evening D. During the night")</f>
        <v>A. Morning B. Afternoon C. Evening D. During the night</v>
      </c>
      <c r="J9" s="5" t="str">
        <f>IFERROR(__xludf.DUMMYFUNCTION("GOOGLETRANSLATE(D9,""it"",""en"")"),"Afternoon")</f>
        <v>Afternoon</v>
      </c>
      <c r="K9" s="5" t="str">
        <f>IFERROR(__xludf.DUMMYFUNCTION("GOOGLETRANSLATE(E9,""it"",""en"")"),"Matches traditionally took place in the afternoon, like many other outdoor activities.")</f>
        <v>Matches traditionally took place in the afternoon, like many other outdoor activities.</v>
      </c>
    </row>
    <row r="10" ht="22.5" customHeight="1">
      <c r="A10" s="4">
        <v>9.0</v>
      </c>
      <c r="B10" s="5" t="s">
        <v>1212</v>
      </c>
      <c r="C10" s="5" t="s">
        <v>1213</v>
      </c>
      <c r="D10" s="5" t="s">
        <v>1214</v>
      </c>
      <c r="E10" s="5" t="s">
        <v>1215</v>
      </c>
      <c r="F10" s="3"/>
      <c r="G10" s="4">
        <v>9.0</v>
      </c>
      <c r="H10" s="5" t="str">
        <f>IFERROR(__xludf.DUMMYFUNCTION("GOOGLETRANSLATE(B10,""it"",""en"")"),"How do you win a game of Pallone col Bracciale?")</f>
        <v>How do you win a game of Pallone col Bracciale?</v>
      </c>
      <c r="I10" s="5" t="str">
        <f>IFERROR(__xludf.DUMMYFUNCTION("GOOGLETRANSLATE(C10,""it"",""en"")"),"A. Hitting the ball multiple times B. Putting the ball into a net C. Reaching a set score D. Trying to hit the wall")</f>
        <v>A. Hitting the ball multiple times B. Putting the ball into a net C. Reaching a set score D. Trying to hit the wall</v>
      </c>
      <c r="J10" s="5" t="str">
        <f>IFERROR(__xludf.DUMMYFUNCTION("GOOGLETRANSLATE(D10,""it"",""en"")"),"Reaching a set score")</f>
        <v>Reaching a set score</v>
      </c>
      <c r="K10" s="5" t="str">
        <f>IFERROR(__xludf.DUMMYFUNCTION("GOOGLETRANSLATE(E10,""it"",""en"")"),"The game is based on a scoring system where you win by reaching a predetermined score.")</f>
        <v>The game is based on a scoring system where you win by reaching a predetermined score.</v>
      </c>
    </row>
    <row r="11" ht="22.5" customHeight="1">
      <c r="A11" s="4">
        <v>10.0</v>
      </c>
      <c r="B11" s="5" t="s">
        <v>1216</v>
      </c>
      <c r="C11" s="5" t="s">
        <v>1217</v>
      </c>
      <c r="D11" s="5" t="s">
        <v>1218</v>
      </c>
      <c r="E11" s="5" t="s">
        <v>1219</v>
      </c>
      <c r="F11" s="3"/>
      <c r="G11" s="4">
        <v>10.0</v>
      </c>
      <c r="H11" s="5" t="str">
        <f>IFERROR(__xludf.DUMMYFUNCTION("GOOGLETRANSLATE(B11,""it"",""en"")"),"What is the role of the wall in the game Pallone col Bracciale?")</f>
        <v>What is the role of the wall in the game Pallone col Bracciale?</v>
      </c>
      <c r="I11" s="5" t="str">
        <f>IFERROR(__xludf.DUMMYFUNCTION("GOOGLETRANSLATE(C11,""it"",""en"")"),"A. The wall is not used B. The wall is only decorative C. The wall serves as part of the playing field D. The wall is where the ball is thrown")</f>
        <v>A. The wall is not used B. The wall is only decorative C. The wall serves as part of the playing field D. The wall is where the ball is thrown</v>
      </c>
      <c r="J11" s="5" t="str">
        <f>IFERROR(__xludf.DUMMYFUNCTION("GOOGLETRANSLATE(D11,""it"",""en"")"),"The wall serves as part of the playing field")</f>
        <v>The wall serves as part of the playing field</v>
      </c>
      <c r="K11" s="5" t="str">
        <f>IFERROR(__xludf.DUMMYFUNCTION("GOOGLETRANSLATE(E11,""it"",""en"")"),"The wall is an integral part of the game, on which the ball must bounce.")</f>
        <v>The wall is an integral part of the game, on which the ball must bounce.</v>
      </c>
    </row>
    <row r="12" ht="22.5" customHeight="1">
      <c r="A12" s="4">
        <v>11.0</v>
      </c>
      <c r="B12" s="5" t="s">
        <v>1220</v>
      </c>
      <c r="C12" s="5" t="s">
        <v>106</v>
      </c>
      <c r="D12" s="4">
        <v>2.0</v>
      </c>
      <c r="E12" s="5" t="s">
        <v>1221</v>
      </c>
      <c r="F12" s="3"/>
      <c r="G12" s="4">
        <v>11.0</v>
      </c>
      <c r="H12" s="5" t="str">
        <f>IFERROR(__xludf.DUMMYFUNCTION("GOOGLETRANSLATE(B12,""it"",""en"")"),"What is the typical number of players on a Pallone col Bracciale team?")</f>
        <v>What is the typical number of players on a Pallone col Bracciale team?</v>
      </c>
      <c r="I12" s="5" t="str">
        <f>IFERROR(__xludf.DUMMYFUNCTION("GOOGLETRANSLATE(C12,""it"",""en"")"),"A. 1 B. 2 C. 3 D. 4")</f>
        <v>A. 1 B. 2 C. 3 D. 4</v>
      </c>
      <c r="J12" s="5" t="str">
        <f>IFERROR(__xludf.DUMMYFUNCTION("GOOGLETRANSLATE(D12,""it"",""en"")"),"2")</f>
        <v>2</v>
      </c>
      <c r="K12" s="5" t="str">
        <f>IFERROR(__xludf.DUMMYFUNCTION("GOOGLETRANSLATE(E12,""it"",""en"")"),"Pallone col Bracciale teams are usually made up of two players.")</f>
        <v>Pallone col Bracciale teams are usually made up of two players.</v>
      </c>
    </row>
    <row r="13" ht="22.5" customHeight="1">
      <c r="A13" s="4">
        <v>12.0</v>
      </c>
      <c r="B13" s="5" t="s">
        <v>1222</v>
      </c>
      <c r="C13" s="5" t="s">
        <v>1223</v>
      </c>
      <c r="D13" s="5" t="s">
        <v>1224</v>
      </c>
      <c r="E13" s="5" t="s">
        <v>1225</v>
      </c>
      <c r="F13" s="3"/>
      <c r="G13" s="4">
        <v>12.0</v>
      </c>
      <c r="H13" s="5" t="str">
        <f>IFERROR(__xludf.DUMMYFUNCTION("GOOGLETRANSLATE(B13,""it"",""en"")"),"In which century did Pallone col Bracciale develop as a competitive game?")</f>
        <v>In which century did Pallone col Bracciale develop as a competitive game?</v>
      </c>
      <c r="I13" s="5" t="str">
        <f>IFERROR(__xludf.DUMMYFUNCTION("GOOGLETRANSLATE(C13,""it"",""en"")"),"A. 11th century B. 14th century C. 15th century D. 16th century")</f>
        <v>A. 11th century B. 14th century C. 15th century D. 16th century</v>
      </c>
      <c r="J13" s="5" t="str">
        <f>IFERROR(__xludf.DUMMYFUNCTION("GOOGLETRANSLATE(D13,""it"",""en"")"),"14th century")</f>
        <v>14th century</v>
      </c>
      <c r="K13" s="5" t="str">
        <f>IFERROR(__xludf.DUMMYFUNCTION("GOOGLETRANSLATE(E13,""it"",""en"")"),"The game began to develop as a competition in the 14th century in Italy.")</f>
        <v>The game began to develop as a competition in the 14th century in Italy.</v>
      </c>
    </row>
    <row r="14" ht="22.5" customHeight="1">
      <c r="A14" s="4">
        <v>13.0</v>
      </c>
      <c r="B14" s="5" t="s">
        <v>1226</v>
      </c>
      <c r="C14" s="5" t="s">
        <v>1227</v>
      </c>
      <c r="D14" s="5" t="s">
        <v>1228</v>
      </c>
      <c r="E14" s="5" t="s">
        <v>1229</v>
      </c>
      <c r="F14" s="3"/>
      <c r="G14" s="4">
        <v>13.0</v>
      </c>
      <c r="H14" s="5" t="str">
        <f>IFERROR(__xludf.DUMMYFUNCTION("GOOGLETRANSLATE(B14,""it"",""en"")"),"What does the 'Bracelet' in the game's name represent?")</f>
        <v>What does the 'Bracelet' in the game's name represent?</v>
      </c>
      <c r="I14" s="5" t="str">
        <f>IFERROR(__xludf.DUMMYFUNCTION("GOOGLETRANSLATE(C14,""it"",""en"")"),"A. An ornamental object B. A piece of armor C. A type of ball D. An accessory to protect the arm")</f>
        <v>A. An ornamental object B. A piece of armor C. A type of ball D. An accessory to protect the arm</v>
      </c>
      <c r="J14" s="5" t="str">
        <f>IFERROR(__xludf.DUMMYFUNCTION("GOOGLETRANSLATE(D14,""it"",""en"")"),"An accessory to protect your arm")</f>
        <v>An accessory to protect your arm</v>
      </c>
      <c r="K14" s="5" t="str">
        <f>IFERROR(__xludf.DUMMYFUNCTION("GOOGLETRANSLATE(E14,""it"",""en"")"),"The armband is a tool that players wear on their arm to hit the ball.")</f>
        <v>The armband is a tool that players wear on their arm to hit the ball.</v>
      </c>
    </row>
    <row r="15" ht="22.5" customHeight="1">
      <c r="A15" s="4">
        <v>14.0</v>
      </c>
      <c r="B15" s="5" t="s">
        <v>1230</v>
      </c>
      <c r="C15" s="5" t="s">
        <v>1231</v>
      </c>
      <c r="D15" s="5" t="s">
        <v>1232</v>
      </c>
      <c r="E15" s="5" t="s">
        <v>1233</v>
      </c>
      <c r="F15" s="3"/>
      <c r="G15" s="4">
        <v>14.0</v>
      </c>
      <c r="H15" s="5" t="str">
        <f>IFERROR(__xludf.DUMMYFUNCTION("GOOGLETRANSLATE(B15,""it"",""en"")"),"In which part of Italy was the Pallone col Bracciale born?")</f>
        <v>In which part of Italy was the Pallone col Bracciale born?</v>
      </c>
      <c r="I15" s="5" t="str">
        <f>IFERROR(__xludf.DUMMYFUNCTION("GOOGLETRANSLATE(C15,""it"",""en"")"),"A. Tuscany B. Lazio C. Marche D. Veneto")</f>
        <v>A. Tuscany B. Lazio C. Marche D. Veneto</v>
      </c>
      <c r="J15" s="5" t="str">
        <f>IFERROR(__xludf.DUMMYFUNCTION("GOOGLETRANSLATE(D15,""it"",""en"")"),"Marche")</f>
        <v>Marche</v>
      </c>
      <c r="K15" s="5" t="str">
        <f>IFERROR(__xludf.DUMMYFUNCTION("GOOGLETRANSLATE(E15,""it"",""en"")"),"The Pallone col Bracciale originates in the Marche, a central region of Italy.")</f>
        <v>The Pallone col Bracciale originates in the Marche, a central region of Italy.</v>
      </c>
    </row>
    <row r="16" ht="22.5" customHeight="1">
      <c r="A16" s="4">
        <v>15.0</v>
      </c>
      <c r="B16" s="5" t="s">
        <v>1234</v>
      </c>
      <c r="C16" s="5" t="s">
        <v>1235</v>
      </c>
      <c r="D16" s="5" t="s">
        <v>1236</v>
      </c>
      <c r="E16" s="5" t="s">
        <v>1237</v>
      </c>
      <c r="F16" s="3"/>
      <c r="G16" s="4">
        <v>15.0</v>
      </c>
      <c r="H16" s="5" t="str">
        <f>IFERROR(__xludf.DUMMYFUNCTION("GOOGLETRANSLATE(B16,""it"",""en"")"),"Who were the main opponents in the game of Pallone col Bracciale in the Middle Ages?")</f>
        <v>Who were the main opponents in the game of Pallone col Bracciale in the Middle Ages?</v>
      </c>
      <c r="I16" s="5" t="str">
        <f>IFERROR(__xludf.DUMMYFUNCTION("GOOGLETRANSLATE(C16,""it"",""en"")"),"A. Italian cities B. Peasants against nobles C. Schools against universities D. Foreigners against Italians")</f>
        <v>A. Italian cities B. Peasants against nobles C. Schools against universities D. Foreigners against Italians</v>
      </c>
      <c r="J16" s="5" t="str">
        <f>IFERROR(__xludf.DUMMYFUNCTION("GOOGLETRANSLATE(D16,""it"",""en"")"),"Italian cities")</f>
        <v>Italian cities</v>
      </c>
      <c r="K16" s="5" t="str">
        <f>IFERROR(__xludf.DUMMYFUNCTION("GOOGLETRANSLATE(E16,""it"",""en"")"),"Pallone col Bracciale matches often saw different Italian cities compete against each other.")</f>
        <v>Pallone col Bracciale matches often saw different Italian cities compete against each other.</v>
      </c>
    </row>
    <row r="17" ht="22.5" customHeight="1">
      <c r="A17" s="4">
        <v>16.0</v>
      </c>
      <c r="B17" s="5" t="s">
        <v>1238</v>
      </c>
      <c r="C17" s="5" t="s">
        <v>1239</v>
      </c>
      <c r="D17" s="5" t="s">
        <v>1240</v>
      </c>
      <c r="E17" s="5" t="s">
        <v>1241</v>
      </c>
      <c r="F17" s="3"/>
      <c r="G17" s="4">
        <v>16.0</v>
      </c>
      <c r="H17" s="5" t="str">
        <f>IFERROR(__xludf.DUMMYFUNCTION("GOOGLETRANSLATE(B17,""it"",""en"")"),"What are the points called in a Pallone col Bracciale game?")</f>
        <v>What are the points called in a Pallone col Bracciale game?</v>
      </c>
      <c r="I17" s="5" t="str">
        <f>IFERROR(__xludf.DUMMYFUNCTION("GOOGLETRANSLATE(C17,""it"",""en"")"),"A. Goals B. Sets C. Games D. Cases")</f>
        <v>A. Goals B. Sets C. Games D. Cases</v>
      </c>
      <c r="J17" s="5" t="str">
        <f>IFERROR(__xludf.DUMMYFUNCTION("GOOGLETRANSLATE(D17,""it"",""en"")"),"Cases")</f>
        <v>Cases</v>
      </c>
      <c r="K17" s="5" t="str">
        <f>IFERROR(__xludf.DUMMYFUNCTION("GOOGLETRANSLATE(E17,""it"",""en"")"),"The term used for points in the game is 'cases'.")</f>
        <v>The term used for points in the game is 'cases'.</v>
      </c>
    </row>
    <row r="18" ht="22.5" customHeight="1">
      <c r="A18" s="4">
        <v>17.0</v>
      </c>
      <c r="B18" s="5" t="s">
        <v>1242</v>
      </c>
      <c r="C18" s="5" t="s">
        <v>1243</v>
      </c>
      <c r="D18" s="5" t="s">
        <v>1244</v>
      </c>
      <c r="E18" s="5" t="s">
        <v>1245</v>
      </c>
      <c r="F18" s="3"/>
      <c r="G18" s="4">
        <v>17.0</v>
      </c>
      <c r="H18" s="5" t="str">
        <f>IFERROR(__xludf.DUMMYFUNCTION("GOOGLETRANSLATE(B18,""it"",""en"")"),"How were the playing fields of Pallone col Bracciale determined?")</f>
        <v>How were the playing fields of Pallone col Bracciale determined?</v>
      </c>
      <c r="I18" s="5" t="str">
        <f>IFERROR(__xludf.DUMMYFUNCTION("GOOGLETRANSLATE(C18,""it"",""en"")"),"A. According to the position of the sun B. According to the number of spectators C. According to the availability of the wall D. According to the season of the year")</f>
        <v>A. According to the position of the sun B. According to the number of spectators C. According to the availability of the wall D. According to the season of the year</v>
      </c>
      <c r="J18" s="5" t="str">
        <f>IFERROR(__xludf.DUMMYFUNCTION("GOOGLETRANSLATE(D18,""it"",""en"")"),"According to the availability of the wall")</f>
        <v>According to the availability of the wall</v>
      </c>
      <c r="K18" s="5" t="str">
        <f>IFERROR(__xludf.DUMMYFUNCTION("GOOGLETRANSLATE(E18,""it"",""en"")"),"The fields were chosen based on the availability of a suitable wall.")</f>
        <v>The fields were chosen based on the availability of a suitable wall.</v>
      </c>
    </row>
    <row r="19" ht="22.5" customHeight="1">
      <c r="A19" s="4">
        <v>18.0</v>
      </c>
      <c r="B19" s="5" t="s">
        <v>1246</v>
      </c>
      <c r="C19" s="5" t="s">
        <v>1247</v>
      </c>
      <c r="D19" s="5" t="s">
        <v>1248</v>
      </c>
      <c r="E19" s="5" t="s">
        <v>1249</v>
      </c>
      <c r="F19" s="3"/>
      <c r="G19" s="4">
        <v>18.0</v>
      </c>
      <c r="H19" s="5" t="str">
        <f>IFERROR(__xludf.DUMMYFUNCTION("GOOGLETRANSLATE(B19,""it"",""en"")"),"What is one of the main aspects that differentiates Pallone col Bracciale from other team games?")</f>
        <v>What is one of the main aspects that differentiates Pallone col Bracciale from other team games?</v>
      </c>
      <c r="I19" s="5" t="str">
        <f>IFERROR(__xludf.DUMMYFUNCTION("GOOGLETRANSLATE(C19,""it"",""en"")"),"A. The use of the bracelet to hit the ball B. The ball is bigger C. It is played only with the hands D. The game has no scores")</f>
        <v>A. The use of the bracelet to hit the ball B. The ball is bigger C. It is played only with the hands D. The game has no scores</v>
      </c>
      <c r="J19" s="5" t="str">
        <f>IFERROR(__xludf.DUMMYFUNCTION("GOOGLETRANSLATE(D19,""it"",""en"")"),"Using the bracelet to hit the ball")</f>
        <v>Using the bracelet to hit the ball</v>
      </c>
      <c r="K19" s="5" t="str">
        <f>IFERROR(__xludf.DUMMYFUNCTION("GOOGLETRANSLATE(E19,""it"",""en"")"),"Unlike many other games, in Pallone col Bracciale you use a bracelet to hit the ball.")</f>
        <v>Unlike many other games, in Pallone col Bracciale you use a bracelet to hit the ball.</v>
      </c>
    </row>
    <row r="20" ht="22.5" customHeight="1">
      <c r="A20" s="4">
        <v>19.0</v>
      </c>
      <c r="B20" s="5" t="s">
        <v>1250</v>
      </c>
      <c r="C20" s="5" t="s">
        <v>1251</v>
      </c>
      <c r="D20" s="5" t="s">
        <v>1252</v>
      </c>
      <c r="E20" s="5" t="s">
        <v>1253</v>
      </c>
      <c r="F20" s="3"/>
      <c r="G20" s="4">
        <v>19.0</v>
      </c>
      <c r="H20" s="5" t="str">
        <f>IFERROR(__xludf.DUMMYFUNCTION("GOOGLETRANSLATE(B20,""it"",""en"")"),"What were the characteristics of the crowd that attended Pallone col Bracciale matches in the past?")</f>
        <v>What were the characteristics of the crowd that attended Pallone col Bracciale matches in the past?</v>
      </c>
      <c r="I20" s="5" t="str">
        <f>IFERROR(__xludf.DUMMYFUNCTION("GOOGLETRANSLATE(C20,""it"",""en"")"),"A. Only nobles B. Only peasants C. A wide range of people D. Only soldiers")</f>
        <v>A. Only nobles B. Only peasants C. A wide range of people D. Only soldiers</v>
      </c>
      <c r="J20" s="5" t="str">
        <f>IFERROR(__xludf.DUMMYFUNCTION("GOOGLETRANSLATE(D20,""it"",""en"")"),"A wide range of people")</f>
        <v>A wide range of people</v>
      </c>
      <c r="K20" s="5" t="str">
        <f>IFERROR(__xludf.DUMMYFUNCTION("GOOGLETRANSLATE(E20,""it"",""en"")"),"The game attracted a variety of spectators, including nobles and peasants.")</f>
        <v>The game attracted a variety of spectators, including nobles and peasants.</v>
      </c>
    </row>
    <row r="21" ht="22.5" customHeight="1">
      <c r="A21" s="4">
        <v>20.0</v>
      </c>
      <c r="B21" s="5" t="s">
        <v>1254</v>
      </c>
      <c r="C21" s="5" t="s">
        <v>1255</v>
      </c>
      <c r="D21" s="5" t="s">
        <v>1256</v>
      </c>
      <c r="E21" s="5" t="s">
        <v>1257</v>
      </c>
      <c r="F21" s="3"/>
      <c r="G21" s="4">
        <v>20.0</v>
      </c>
      <c r="H21" s="5" t="str">
        <f>IFERROR(__xludf.DUMMYFUNCTION("GOOGLETRANSLATE(B21,""it"",""en"")"),"When was Pallone col Bracciale played during the Renaissance?")</f>
        <v>When was Pallone col Bracciale played during the Renaissance?</v>
      </c>
      <c r="I21" s="5" t="str">
        <f>IFERROR(__xludf.DUMMYFUNCTION("GOOGLETRANSLATE(C21,""it"",""en"")"),"A. Only during religious holidays B. Only in the summer months C. In every season of the year D. Only during hunting tournaments")</f>
        <v>A. Only during religious holidays B. Only in the summer months C. In every season of the year D. Only during hunting tournaments</v>
      </c>
      <c r="J21" s="5" t="str">
        <f>IFERROR(__xludf.DUMMYFUNCTION("GOOGLETRANSLATE(D21,""it"",""en"")"),"In every season of the year")</f>
        <v>In every season of the year</v>
      </c>
      <c r="K21" s="5" t="str">
        <f>IFERROR(__xludf.DUMMYFUNCTION("GOOGLETRANSLATE(E21,""it"",""en"")"),"During the Renaissance, the game was played all year round.")</f>
        <v>During the Renaissance, the game was played all year round.</v>
      </c>
    </row>
    <row r="22" ht="22.5" customHeight="1">
      <c r="A22" s="4">
        <v>21.0</v>
      </c>
      <c r="B22" s="5" t="s">
        <v>1258</v>
      </c>
      <c r="C22" s="5" t="s">
        <v>1259</v>
      </c>
      <c r="D22" s="5" t="s">
        <v>1260</v>
      </c>
      <c r="E22" s="5" t="s">
        <v>1261</v>
      </c>
      <c r="F22" s="3"/>
      <c r="G22" s="4">
        <v>21.0</v>
      </c>
      <c r="H22" s="5" t="str">
        <f>IFERROR(__xludf.DUMMYFUNCTION("GOOGLETRANSLATE(B22,""it"",""en"")"),"Who tried to revive the Pallone col Bracciale in the 20th century?")</f>
        <v>Who tried to revive the Pallone col Bracciale in the 20th century?</v>
      </c>
      <c r="I22" s="5" t="str">
        <f>IFERROR(__xludf.DUMMYFUNCTION("GOOGLETRANSLATE(C22,""it"",""en"")"),"A. Frederick II of Swabia B. Alessandro Manzoni C. Charles Albert of Savoy D. The Italian Federation of Football with the Bracelet")</f>
        <v>A. Frederick II of Swabia B. Alessandro Manzoni C. Charles Albert of Savoy D. The Italian Federation of Football with the Bracelet</v>
      </c>
      <c r="J22" s="5" t="str">
        <f>IFERROR(__xludf.DUMMYFUNCTION("GOOGLETRANSLATE(D22,""it"",""en"")"),"The Italian Federation of Balls with Bracelet")</f>
        <v>The Italian Federation of Balls with Bracelet</v>
      </c>
      <c r="K22" s="5" t="str">
        <f>IFERROR(__xludf.DUMMYFUNCTION("GOOGLETRANSLATE(E22,""it"",""en"")"),"The Italian Federation of Ball and Bracelet was instrumental in revitalizing the game in the 20th century.")</f>
        <v>The Italian Federation of Ball and Bracelet was instrumental in revitalizing the game in the 20th century.</v>
      </c>
    </row>
    <row r="23" ht="22.5" customHeight="1">
      <c r="A23" s="4">
        <v>22.0</v>
      </c>
      <c r="B23" s="5" t="s">
        <v>1262</v>
      </c>
      <c r="C23" s="5" t="s">
        <v>1263</v>
      </c>
      <c r="D23" s="5" t="s">
        <v>1264</v>
      </c>
      <c r="E23" s="5" t="s">
        <v>1265</v>
      </c>
      <c r="F23" s="3"/>
      <c r="G23" s="4">
        <v>22.0</v>
      </c>
      <c r="H23" s="5" t="str">
        <f>IFERROR(__xludf.DUMMYFUNCTION("GOOGLETRANSLATE(B23,""it"",""en"")"),"What is the typical distance between the lines in Pallone col Bracciale?")</f>
        <v>What is the typical distance between the lines in Pallone col Bracciale?</v>
      </c>
      <c r="I23" s="5" t="str">
        <f>IFERROR(__xludf.DUMMYFUNCTION("GOOGLETRANSLATE(C23,""it"",""en"")"),"A. 10 meters B. 15 meters C. 20 meters D. 30 meters")</f>
        <v>A. 10 meters B. 15 meters C. 20 meters D. 30 meters</v>
      </c>
      <c r="J23" s="5" t="str">
        <f>IFERROR(__xludf.DUMMYFUNCTION("GOOGLETRANSLATE(D23,""it"",""en"")"),"20 meters")</f>
        <v>20 meters</v>
      </c>
      <c r="K23" s="5" t="str">
        <f>IFERROR(__xludf.DUMMYFUNCTION("GOOGLETRANSLATE(E23,""it"",""en"")"),"The Pallone col Bracciale playing field is typically about 20 meters long.")</f>
        <v>The Pallone col Bracciale playing field is typically about 20 meters long.</v>
      </c>
    </row>
    <row r="24" ht="22.5" customHeight="1">
      <c r="A24" s="4">
        <v>23.0</v>
      </c>
      <c r="B24" s="5" t="s">
        <v>1266</v>
      </c>
      <c r="C24" s="5" t="s">
        <v>1267</v>
      </c>
      <c r="D24" s="5" t="s">
        <v>1268</v>
      </c>
      <c r="E24" s="5" t="s">
        <v>1269</v>
      </c>
      <c r="F24" s="3"/>
      <c r="G24" s="4">
        <v>23.0</v>
      </c>
      <c r="H24" s="5" t="str">
        <f>IFERROR(__xludf.DUMMYFUNCTION("GOOGLETRANSLATE(B24,""it"",""en"")"),"Which historical figure has been associated with the game of Pallone col Bracciale?")</f>
        <v>Which historical figure has been associated with the game of Pallone col Bracciale?</v>
      </c>
      <c r="I24" s="5" t="str">
        <f>IFERROR(__xludf.DUMMYFUNCTION("GOOGLETRANSLATE(C24,""it"",""en"")"),"A. Giovanni Boccaccio B. Ludovico Ariosto C. Pietro Aretino D. Niccolò Machiavelli")</f>
        <v>A. Giovanni Boccaccio B. Ludovico Ariosto C. Pietro Aretino D. Niccolò Machiavelli</v>
      </c>
      <c r="J24" s="5" t="str">
        <f>IFERROR(__xludf.DUMMYFUNCTION("GOOGLETRANSLATE(D24,""it"",""en"")"),"Ludovico Ariosto")</f>
        <v>Ludovico Ariosto</v>
      </c>
      <c r="K24" s="5" t="str">
        <f>IFERROR(__xludf.DUMMYFUNCTION("GOOGLETRANSLATE(E24,""it"",""en"")"),"Ludovico Ariosto, the famous author, was a great fan of Pallone col Bracciale.")</f>
        <v>Ludovico Ariosto, the famous author, was a great fan of Pallone col Bracciale.</v>
      </c>
    </row>
    <row r="25" ht="22.5" customHeight="1">
      <c r="A25" s="4">
        <v>24.0</v>
      </c>
      <c r="B25" s="5" t="s">
        <v>1270</v>
      </c>
      <c r="C25" s="5" t="s">
        <v>1271</v>
      </c>
      <c r="D25" s="5" t="s">
        <v>1272</v>
      </c>
      <c r="E25" s="5" t="s">
        <v>1273</v>
      </c>
      <c r="F25" s="3"/>
      <c r="G25" s="4">
        <v>24.0</v>
      </c>
      <c r="H25" s="5" t="str">
        <f>IFERROR(__xludf.DUMMYFUNCTION("GOOGLETRANSLATE(B25,""it"",""en"")"),"In the Middle Ages, who sponsored Pallone col Bracciale matches?")</f>
        <v>In the Middle Ages, who sponsored Pallone col Bracciale matches?</v>
      </c>
      <c r="I25" s="5" t="str">
        <f>IFERROR(__xludf.DUMMYFUNCTION("GOOGLETRANSLATE(C25,""it"",""en"")"),"A. Religious corporations B. Kings and nobles C. Merchants D. Mercenary soldiers")</f>
        <v>A. Religious corporations B. Kings and nobles C. Merchants D. Mercenary soldiers</v>
      </c>
      <c r="J25" s="5" t="str">
        <f>IFERROR(__xludf.DUMMYFUNCTION("GOOGLETRANSLATE(D25,""it"",""en"")"),"The kings and the nobles")</f>
        <v>The kings and the nobles</v>
      </c>
      <c r="K25" s="5" t="str">
        <f>IFERROR(__xludf.DUMMYFUNCTION("GOOGLETRANSLATE(E25,""it"",""en"")"),"The matches were often sponsored by kings, nobles and wealthy families.")</f>
        <v>The matches were often sponsored by kings, nobles and wealthy families.</v>
      </c>
    </row>
    <row r="26" ht="22.5" customHeight="1">
      <c r="A26" s="4">
        <v>25.0</v>
      </c>
      <c r="B26" s="5" t="s">
        <v>1274</v>
      </c>
      <c r="C26" s="5" t="s">
        <v>1275</v>
      </c>
      <c r="D26" s="5" t="s">
        <v>1276</v>
      </c>
      <c r="E26" s="5" t="s">
        <v>1277</v>
      </c>
      <c r="F26" s="3"/>
      <c r="G26" s="4">
        <v>25.0</v>
      </c>
      <c r="H26" s="5" t="str">
        <f>IFERROR(__xludf.DUMMYFUNCTION("GOOGLETRANSLATE(B26,""it"",""en"")"),"What was the purpose of the Pallone col Bracciale in medieval courts?")</f>
        <v>What was the purpose of the Pallone col Bracciale in medieval courts?</v>
      </c>
      <c r="I26" s="5" t="str">
        <f>IFERROR(__xludf.DUMMYFUNCTION("GOOGLETRANSLATE(C26,""it"",""en"")"),"A. Entertainment and military training B. Religious education C. Hunting training D. Political meetings")</f>
        <v>A. Entertainment and military training B. Religious education C. Hunting training D. Political meetings</v>
      </c>
      <c r="J26" s="5" t="str">
        <f>IFERROR(__xludf.DUMMYFUNCTION("GOOGLETRANSLATE(D26,""it"",""en"")"),"Fun and military training")</f>
        <v>Fun and military training</v>
      </c>
      <c r="K26" s="5" t="str">
        <f>IFERROR(__xludf.DUMMYFUNCTION("GOOGLETRANSLATE(E26,""it"",""en"")"),"In the Middle Ages, Pallone col Bracciale was also seen as a useful exercise for combat.")</f>
        <v>In the Middle Ages, Pallone col Bracciale was also seen as a useful exercise for combat.</v>
      </c>
    </row>
    <row r="27" ht="22.5" customHeight="1">
      <c r="A27" s="4">
        <v>26.0</v>
      </c>
      <c r="B27" s="5" t="s">
        <v>1278</v>
      </c>
      <c r="C27" s="5" t="s">
        <v>1279</v>
      </c>
      <c r="D27" s="5" t="s">
        <v>1280</v>
      </c>
      <c r="E27" s="5" t="s">
        <v>1281</v>
      </c>
      <c r="F27" s="3"/>
      <c r="G27" s="4">
        <v>26.0</v>
      </c>
      <c r="H27" s="5" t="str">
        <f>IFERROR(__xludf.DUMMYFUNCTION("GOOGLETRANSLATE(B27,""it"",""en"")"),"How was victory celebrated in a Pallone col Bracciale match?")</f>
        <v>How was victory celebrated in a Pallone col Bracciale match?</v>
      </c>
      <c r="I27" s="5" t="str">
        <f>IFERROR(__xludf.DUMMYFUNCTION("GOOGLETRANSLATE(C27,""it"",""en"")"),"A. With a big party B. With a banquet C. With a knights' tournament D. With a parade")</f>
        <v>A. With a big party B. With a banquet C. With a knights' tournament D. With a parade</v>
      </c>
      <c r="J27" s="5" t="str">
        <f>IFERROR(__xludf.DUMMYFUNCTION("GOOGLETRANSLATE(D27,""it"",""en"")"),"With a big party")</f>
        <v>With a big party</v>
      </c>
      <c r="K27" s="5" t="str">
        <f>IFERROR(__xludf.DUMMYFUNCTION("GOOGLETRANSLATE(E27,""it"",""en"")"),"Victory was followed by public celebrations, which often included large feasts.")</f>
        <v>Victory was followed by public celebrations, which often included large feasts.</v>
      </c>
    </row>
    <row r="28" ht="22.5" customHeight="1">
      <c r="A28" s="4">
        <v>27.0</v>
      </c>
      <c r="B28" s="5" t="s">
        <v>1282</v>
      </c>
      <c r="C28" s="5" t="s">
        <v>1283</v>
      </c>
      <c r="D28" s="5" t="s">
        <v>1284</v>
      </c>
      <c r="E28" s="5" t="s">
        <v>1285</v>
      </c>
      <c r="F28" s="3"/>
      <c r="G28" s="4">
        <v>27.0</v>
      </c>
      <c r="H28" s="5" t="str">
        <f>IFERROR(__xludf.DUMMYFUNCTION("GOOGLETRANSLATE(B28,""it"",""en"")"),"Which social class was most involved in the games of Pallone col Bracciale during the Renaissance?")</f>
        <v>Which social class was most involved in the games of Pallone col Bracciale during the Renaissance?</v>
      </c>
      <c r="I28" s="5" t="str">
        <f>IFERROR(__xludf.DUMMYFUNCTION("GOOGLETRANSLATE(C28,""it"",""en"")"),"A. Peasants B. Nobles C. Merchants D. Artisans")</f>
        <v>A. Peasants B. Nobles C. Merchants D. Artisans</v>
      </c>
      <c r="J28" s="5" t="str">
        <f>IFERROR(__xludf.DUMMYFUNCTION("GOOGLETRANSLATE(D28,""it"",""en"")"),"Nobles")</f>
        <v>Nobles</v>
      </c>
      <c r="K28" s="5" t="str">
        <f>IFERROR(__xludf.DUMMYFUNCTION("GOOGLETRANSLATE(E28,""it"",""en"")"),"Nobles were the main participants in the Pallone col Bracciale tournaments during the Renaissance.")</f>
        <v>Nobles were the main participants in the Pallone col Bracciale tournaments during the Renaissance.</v>
      </c>
    </row>
    <row r="29" ht="22.5" customHeight="1">
      <c r="A29" s="4">
        <v>30.0</v>
      </c>
      <c r="B29" s="5" t="s">
        <v>1286</v>
      </c>
      <c r="C29" s="5" t="s">
        <v>1287</v>
      </c>
      <c r="D29" s="5" t="s">
        <v>1124</v>
      </c>
      <c r="E29" s="5" t="s">
        <v>1288</v>
      </c>
      <c r="F29" s="3"/>
      <c r="G29" s="4">
        <v>30.0</v>
      </c>
      <c r="H29" s="5" t="str">
        <f>IFERROR(__xludf.DUMMYFUNCTION("GOOGLETRANSLATE(B29,""it"",""en"")"),"What is the average length of a game of Pallone col Bracciale?")</f>
        <v>What is the average length of a game of Pallone col Bracciale?</v>
      </c>
      <c r="I29" s="5" t="str">
        <f>IFERROR(__xludf.DUMMYFUNCTION("GOOGLETRANSLATE(C29,""it"",""en"")"),"A. 1 hour B. 30 minutes C. 2 hours D. 3 hours")</f>
        <v>A. 1 hour B. 30 minutes C. 2 hours D. 3 hours</v>
      </c>
      <c r="J29" s="5" t="str">
        <f>IFERROR(__xludf.DUMMYFUNCTION("GOOGLETRANSLATE(D29,""it"",""en"")"),"1 hour")</f>
        <v>1 hour</v>
      </c>
      <c r="K29" s="5" t="str">
        <f>IFERROR(__xludf.DUMMYFUNCTION("GOOGLETRANSLATE(E29,""it"",""en"")"),"Pallone col Bracciale games last on average about an hour.")</f>
        <v>Pallone col Bracciale games last on average about an hour.</v>
      </c>
    </row>
    <row r="30" ht="22.5" customHeight="1">
      <c r="A30" s="4">
        <v>31.0</v>
      </c>
      <c r="B30" s="5" t="s">
        <v>1289</v>
      </c>
      <c r="C30" s="5" t="s">
        <v>1290</v>
      </c>
      <c r="D30" s="5" t="s">
        <v>1291</v>
      </c>
      <c r="E30" s="5" t="s">
        <v>1292</v>
      </c>
      <c r="F30" s="3"/>
      <c r="G30" s="4">
        <v>31.0</v>
      </c>
      <c r="H30" s="5" t="str">
        <f>IFERROR(__xludf.DUMMYFUNCTION("GOOGLETRANSLATE(B30,""it"",""en"")"),"When did Pallone col Bracciale matches take place during the Middle Ages?")</f>
        <v>When did Pallone col Bracciale matches take place during the Middle Ages?</v>
      </c>
      <c r="I30" s="5" t="str">
        <f>IFERROR(__xludf.DUMMYFUNCTION("GOOGLETRANSLATE(C30,""it"",""en"")"),"A. Only in winter B. Only on weekends C. During holidays D. Only on weekdays")</f>
        <v>A. Only in winter B. Only on weekends C. During holidays D. Only on weekdays</v>
      </c>
      <c r="J30" s="5" t="str">
        <f>IFERROR(__xludf.DUMMYFUNCTION("GOOGLETRANSLATE(D30,""it"",""en"")"),"During the holidays")</f>
        <v>During the holidays</v>
      </c>
      <c r="K30" s="5" t="str">
        <f>IFERROR(__xludf.DUMMYFUNCTION("GOOGLETRANSLATE(E30,""it"",""en"")"),"Matches were played mainly during religious and civil holidays.")</f>
        <v>Matches were played mainly during religious and civil holidays.</v>
      </c>
    </row>
    <row r="31" ht="22.5" customHeight="1">
      <c r="A31" s="4">
        <v>32.0</v>
      </c>
      <c r="B31" s="5" t="s">
        <v>1293</v>
      </c>
      <c r="C31" s="5" t="s">
        <v>1294</v>
      </c>
      <c r="D31" s="5" t="s">
        <v>1295</v>
      </c>
      <c r="E31" s="5" t="s">
        <v>1296</v>
      </c>
      <c r="F31" s="3"/>
      <c r="G31" s="4">
        <v>32.0</v>
      </c>
      <c r="H31" s="5" t="str">
        <f>IFERROR(__xludf.DUMMYFUNCTION("GOOGLETRANSLATE(B31,""it"",""en"")"),"What was the main difficulty in playing Pallone col Bracciale?")</f>
        <v>What was the main difficulty in playing Pallone col Bracciale?</v>
      </c>
      <c r="I31" s="5" t="str">
        <f>IFERROR(__xludf.DUMMYFUNCTION("GOOGLETRANSLATE(C31,""it"",""en"")"),"A. The height of the wall B. The weight of the ball C. The speed of the ball D. The strength of the bracelet")</f>
        <v>A. The height of the wall B. The weight of the ball C. The speed of the ball D. The strength of the bracelet</v>
      </c>
      <c r="J31" s="5" t="str">
        <f>IFERROR(__xludf.DUMMYFUNCTION("GOOGLETRANSLATE(D31,""it"",""en"")"),"The strength of the bracelet")</f>
        <v>The strength of the bracelet</v>
      </c>
      <c r="K31" s="5" t="str">
        <f>IFERROR(__xludf.DUMMYFUNCTION("GOOGLETRANSLATE(E31,""it"",""en"")"),"Using the bracelet required a lot of strength and skill to hit the ball correctly.")</f>
        <v>Using the bracelet required a lot of strength and skill to hit the ball correctly.</v>
      </c>
    </row>
    <row r="32" ht="22.5" customHeight="1">
      <c r="A32" s="4">
        <v>33.0</v>
      </c>
      <c r="B32" s="5" t="s">
        <v>1297</v>
      </c>
      <c r="C32" s="5" t="s">
        <v>1298</v>
      </c>
      <c r="D32" s="5" t="s">
        <v>1299</v>
      </c>
      <c r="E32" s="5" t="s">
        <v>1300</v>
      </c>
      <c r="F32" s="3"/>
      <c r="G32" s="4">
        <v>33.0</v>
      </c>
      <c r="H32" s="5" t="str">
        <f>IFERROR(__xludf.DUMMYFUNCTION("GOOGLETRANSLATE(B32,""it"",""en"")"),"What is the other name given to the ball used in the game?")</f>
        <v>What is the other name given to the ball used in the game?</v>
      </c>
      <c r="I32" s="5" t="str">
        <f>IFERROR(__xludf.DUMMYFUNCTION("GOOGLETRANSLATE(C32,""it"",""en"")"),"A. Leather ball B. Iron ball C. Wooden ball D. Rubber ball")</f>
        <v>A. Leather ball B. Iron ball C. Wooden ball D. Rubber ball</v>
      </c>
      <c r="J32" s="5" t="str">
        <f>IFERROR(__xludf.DUMMYFUNCTION("GOOGLETRANSLATE(D32,""it"",""en"")"),"Leather ball")</f>
        <v>Leather ball</v>
      </c>
      <c r="K32" s="5" t="str">
        <f>IFERROR(__xludf.DUMMYFUNCTION("GOOGLETRANSLATE(E32,""it"",""en"")"),"The ball used in the game is a leather ball, specially prepared for strength and bounce.")</f>
        <v>The ball used in the game is a leather ball, specially prepared for strength and bounce.</v>
      </c>
    </row>
    <row r="33" ht="22.5" customHeight="1">
      <c r="A33" s="4">
        <v>34.0</v>
      </c>
      <c r="B33" s="5" t="s">
        <v>1301</v>
      </c>
      <c r="C33" s="5" t="s">
        <v>1302</v>
      </c>
      <c r="D33" s="5" t="s">
        <v>1303</v>
      </c>
      <c r="E33" s="5" t="s">
        <v>1304</v>
      </c>
      <c r="F33" s="3"/>
      <c r="G33" s="4">
        <v>34.0</v>
      </c>
      <c r="H33" s="5" t="str">
        <f>IFERROR(__xludf.DUMMYFUNCTION("GOOGLETRANSLATE(B33,""it"",""en"")"),"Which Italian cities have a historic tradition of Pallone col Bracciale?")</f>
        <v>Which Italian cities have a historic tradition of Pallone col Bracciale?</v>
      </c>
      <c r="I33" s="5" t="str">
        <f>IFERROR(__xludf.DUMMYFUNCTION("GOOGLETRANSLATE(C33,""it"",""en"")"),"A. Venice and Naples B. Florence and Rome C. Pesaro and Urbino D. Bologna and Milan")</f>
        <v>A. Venice and Naples B. Florence and Rome C. Pesaro and Urbino D. Bologna and Milan</v>
      </c>
      <c r="J33" s="5" t="str">
        <f>IFERROR(__xludf.DUMMYFUNCTION("GOOGLETRANSLATE(D33,""it"",""en"")"),"Pesaro and Urbino")</f>
        <v>Pesaro and Urbino</v>
      </c>
      <c r="K33" s="5" t="str">
        <f>IFERROR(__xludf.DUMMYFUNCTION("GOOGLETRANSLATE(E33,""it"",""en"")"),"Pesaro and Urbino are the cities that have a long tradition of Pallone col Bracciale.")</f>
        <v>Pesaro and Urbino are the cities that have a long tradition of Pallone col Bracciale.</v>
      </c>
    </row>
    <row r="34" ht="22.5" customHeight="1">
      <c r="A34" s="4">
        <v>35.0</v>
      </c>
      <c r="B34" s="5" t="s">
        <v>1305</v>
      </c>
      <c r="C34" s="5" t="s">
        <v>1306</v>
      </c>
      <c r="D34" s="5" t="s">
        <v>1307</v>
      </c>
      <c r="E34" s="5" t="s">
        <v>1308</v>
      </c>
      <c r="F34" s="3"/>
      <c r="G34" s="4">
        <v>35.0</v>
      </c>
      <c r="H34" s="5" t="str">
        <f>IFERROR(__xludf.DUMMYFUNCTION("GOOGLETRANSLATE(B34,""it"",""en"")"),"In the 16th century, which social group dominated the game of Pallone col Bracciale?")</f>
        <v>In the 16th century, which social group dominated the game of Pallone col Bracciale?</v>
      </c>
      <c r="I34" s="5" t="str">
        <f>IFERROR(__xludf.DUMMYFUNCTION("GOOGLETRANSLATE(C34,""it"",""en"")"),"A. The soldiers B. The nobles C. The merchants D. The monks")</f>
        <v>A. The soldiers B. The nobles C. The merchants D. The monks</v>
      </c>
      <c r="J34" s="5" t="str">
        <f>IFERROR(__xludf.DUMMYFUNCTION("GOOGLETRANSLATE(D34,""it"",""en"")"),"The nobles")</f>
        <v>The nobles</v>
      </c>
      <c r="K34" s="5" t="str">
        <f>IFERROR(__xludf.DUMMYFUNCTION("GOOGLETRANSLATE(E34,""it"",""en"")"),"In the 16th century, the game was mainly played by the nobility and the ruling class.")</f>
        <v>In the 16th century, the game was mainly played by the nobility and the ruling class.</v>
      </c>
    </row>
    <row r="35" ht="22.5" customHeight="1">
      <c r="A35" s="4">
        <v>36.0</v>
      </c>
      <c r="B35" s="5" t="s">
        <v>1309</v>
      </c>
      <c r="C35" s="5" t="s">
        <v>1310</v>
      </c>
      <c r="D35" s="5" t="s">
        <v>1311</v>
      </c>
      <c r="E35" s="5" t="s">
        <v>1312</v>
      </c>
      <c r="F35" s="3"/>
      <c r="G35" s="4">
        <v>36.0</v>
      </c>
      <c r="H35" s="5" t="str">
        <f>IFERROR(__xludf.DUMMYFUNCTION("GOOGLETRANSLATE(B35,""it"",""en"")"),"In which other region of Italy is Pallone col Bracciale popular besides Marche?")</f>
        <v>In which other region of Italy is Pallone col Bracciale popular besides Marche?</v>
      </c>
      <c r="I35" s="5" t="str">
        <f>IFERROR(__xludf.DUMMYFUNCTION("GOOGLETRANSLATE(C35,""it"",""en"")"),"A. Tuscany B. Lazio C. Liguria D. Sicily")</f>
        <v>A. Tuscany B. Lazio C. Liguria D. Sicily</v>
      </c>
      <c r="J35" s="5" t="str">
        <f>IFERROR(__xludf.DUMMYFUNCTION("GOOGLETRANSLATE(D35,""it"",""en"")"),"Tuscany")</f>
        <v>Tuscany</v>
      </c>
      <c r="K35" s="5" t="str">
        <f>IFERROR(__xludf.DUMMYFUNCTION("GOOGLETRANSLATE(E35,""it"",""en"")"),"Even in Tuscany, particularly in the Florence area, the Pallone col Bracciale was popular.")</f>
        <v>Even in Tuscany, particularly in the Florence area, the Pallone col Bracciale was popular.</v>
      </c>
    </row>
    <row r="36" ht="22.5" customHeight="1">
      <c r="A36" s="4">
        <v>37.0</v>
      </c>
      <c r="B36" s="5" t="s">
        <v>1313</v>
      </c>
      <c r="C36" s="5" t="s">
        <v>1314</v>
      </c>
      <c r="D36" s="5" t="s">
        <v>1315</v>
      </c>
      <c r="E36" s="5" t="s">
        <v>1316</v>
      </c>
      <c r="F36" s="3"/>
      <c r="G36" s="4">
        <v>37.0</v>
      </c>
      <c r="H36" s="5" t="str">
        <f>IFERROR(__xludf.DUMMYFUNCTION("GOOGLETRANSLATE(B36,""it"",""en"")"),"What is the main difference between the Bracelet Ball and the game of tennis?")</f>
        <v>What is the main difference between the Bracelet Ball and the game of tennis?</v>
      </c>
      <c r="I36" s="5" t="str">
        <f>IFERROR(__xludf.DUMMYFUNCTION("GOOGLETRANSLATE(C36,""it"",""en"")"),"A. The use of a racket B. The type of ball C. The presence of the wall D. The duration of the game")</f>
        <v>A. The use of a racket B. The type of ball C. The presence of the wall D. The duration of the game</v>
      </c>
      <c r="J36" s="5" t="str">
        <f>IFERROR(__xludf.DUMMYFUNCTION("GOOGLETRANSLATE(D36,""it"",""en"")"),"The presence of the wall")</f>
        <v>The presence of the wall</v>
      </c>
      <c r="K36" s="5" t="str">
        <f>IFERROR(__xludf.DUMMYFUNCTION("GOOGLETRANSLATE(E36,""it"",""en"")"),"Ball with Bracelet is played against a wall, while tennis is not.")</f>
        <v>Ball with Bracelet is played against a wall, while tennis is not.</v>
      </c>
    </row>
    <row r="37" ht="22.5" customHeight="1">
      <c r="A37" s="4">
        <v>38.0</v>
      </c>
      <c r="B37" s="5" t="s">
        <v>1317</v>
      </c>
      <c r="C37" s="5" t="s">
        <v>1318</v>
      </c>
      <c r="D37" s="5" t="s">
        <v>1319</v>
      </c>
      <c r="E37" s="5" t="s">
        <v>1320</v>
      </c>
      <c r="F37" s="3"/>
      <c r="G37" s="4">
        <v>38.0</v>
      </c>
      <c r="H37" s="5" t="str">
        <f>IFERROR(__xludf.DUMMYFUNCTION("GOOGLETRANSLATE(B37,""it"",""en"")"),"Which historical figure is linked to the game of Pallone col Bracciale during the Renaissance?")</f>
        <v>Which historical figure is linked to the game of Pallone col Bracciale during the Renaissance?</v>
      </c>
      <c r="I37" s="5" t="str">
        <f>IFERROR(__xludf.DUMMYFUNCTION("GOOGLETRANSLATE(C37,""it"",""en"")"),"A. Leonardo da Vinci B. Michelangelo C. Giovanni Boccaccio D. Niccolò Machiavelli")</f>
        <v>A. Leonardo da Vinci B. Michelangelo C. Giovanni Boccaccio D. Niccolò Machiavelli</v>
      </c>
      <c r="J37" s="5" t="str">
        <f>IFERROR(__xludf.DUMMYFUNCTION("GOOGLETRANSLATE(D37,""it"",""en"")"),"Leonardo da Vinci")</f>
        <v>Leonardo da Vinci</v>
      </c>
      <c r="K37" s="5" t="str">
        <f>IFERROR(__xludf.DUMMYFUNCTION("GOOGLETRANSLATE(E37,""it"",""en"")"),"Leonardo da Vinci was a great admirer of the game and described it in his writings.")</f>
        <v>Leonardo da Vinci was a great admirer of the game and described it in his writings.</v>
      </c>
    </row>
    <row r="38" ht="22.5" customHeight="1">
      <c r="A38" s="4">
        <v>39.0</v>
      </c>
      <c r="B38" s="5" t="s">
        <v>1321</v>
      </c>
      <c r="C38" s="5" t="s">
        <v>1322</v>
      </c>
      <c r="D38" s="5" t="s">
        <v>1260</v>
      </c>
      <c r="E38" s="5" t="s">
        <v>1323</v>
      </c>
      <c r="F38" s="3"/>
      <c r="G38" s="4">
        <v>39.0</v>
      </c>
      <c r="H38" s="5" t="str">
        <f>IFERROR(__xludf.DUMMYFUNCTION("GOOGLETRANSLATE(B38,""it"",""en"")"),"Who tried to preserve the Pallone col Bracciale in the 20th century?")</f>
        <v>Who tried to preserve the Pallone col Bracciale in the 20th century?</v>
      </c>
      <c r="I38" s="5" t="str">
        <f>IFERROR(__xludf.DUMMYFUNCTION("GOOGLETRANSLATE(C38,""it"",""en"")"),"A. The Italian government B. The Italian Federation of the Pallone col Bracciale C. The Italian National Olympic Committee D. Italian schools")</f>
        <v>A. The Italian government B. The Italian Federation of the Pallone col Bracciale C. The Italian National Olympic Committee D. Italian schools</v>
      </c>
      <c r="J38" s="5" t="str">
        <f>IFERROR(__xludf.DUMMYFUNCTION("GOOGLETRANSLATE(D38,""it"",""en"")"),"The Italian Federation of Balls with Bracelet")</f>
        <v>The Italian Federation of Balls with Bracelet</v>
      </c>
      <c r="K38" s="5" t="str">
        <f>IFERROR(__xludf.DUMMYFUNCTION("GOOGLETRANSLATE(E38,""it"",""en"")"),"In the 20th century, the federation worked to preserve and revitalize the game.")</f>
        <v>In the 20th century, the federation worked to preserve and revitalize the game.</v>
      </c>
    </row>
    <row r="39" ht="22.5" customHeight="1">
      <c r="A39" s="4">
        <v>40.0</v>
      </c>
      <c r="B39" s="5" t="s">
        <v>1324</v>
      </c>
      <c r="C39" s="5" t="s">
        <v>1325</v>
      </c>
      <c r="D39" s="5" t="s">
        <v>1326</v>
      </c>
      <c r="E39" s="5" t="s">
        <v>1327</v>
      </c>
      <c r="F39" s="3"/>
      <c r="G39" s="4">
        <v>40.0</v>
      </c>
      <c r="H39" s="5" t="str">
        <f>IFERROR(__xludf.DUMMYFUNCTION("GOOGLETRANSLATE(B39,""it"",""en"")"),"What is the tradition associated with the ball thrown during Pallone col Bracciale games?")</f>
        <v>What is the tradition associated with the ball thrown during Pallone col Bracciale games?</v>
      </c>
      <c r="I39" s="5" t="str">
        <f>IFERROR(__xludf.DUMMYFUNCTION("GOOGLETRANSLATE(C39,""it"",""en"")"),"A. It must be hit with the hand B. It must bounce off the wall before being hit C. It must be thrown with the bracelet D. It must be hit in the air")</f>
        <v>A. It must be hit with the hand B. It must bounce off the wall before being hit C. It must be thrown with the bracelet D. It must be hit in the air</v>
      </c>
      <c r="J39" s="5" t="str">
        <f>IFERROR(__xludf.DUMMYFUNCTION("GOOGLETRANSLATE(D39,""it"",""en"")"),"You must be hit with the bracelet")</f>
        <v>You must be hit with the bracelet</v>
      </c>
      <c r="K39" s="5" t="str">
        <f>IFERROR(__xludf.DUMMYFUNCTION("GOOGLETRANSLATE(E39,""it"",""en"")"),"Tradition requires that the ball be hit with the armband and not with the hand.")</f>
        <v>Tradition requires that the ball be hit with the armband and not with the hand.</v>
      </c>
    </row>
    <row r="40" ht="22.5" customHeight="1">
      <c r="A40" s="4">
        <v>41.0</v>
      </c>
      <c r="B40" s="5" t="s">
        <v>1328</v>
      </c>
      <c r="C40" s="5" t="s">
        <v>1329</v>
      </c>
      <c r="D40" s="5" t="s">
        <v>1307</v>
      </c>
      <c r="E40" s="5" t="s">
        <v>1330</v>
      </c>
      <c r="F40" s="3"/>
      <c r="G40" s="4">
        <v>41.0</v>
      </c>
      <c r="H40" s="5" t="str">
        <f>IFERROR(__xludf.DUMMYFUNCTION("GOOGLETRANSLATE(B40,""it"",""en"")"),"During the Renaissance, who was in charge of organizing the Pallone col Bracciale matches?")</f>
        <v>During the Renaissance, who was in charge of organizing the Pallone col Bracciale matches?</v>
      </c>
      <c r="I40" s="5" t="str">
        <f>IFERROR(__xludf.DUMMYFUNCTION("GOOGLETRANSLATE(C40,""it"",""en"")"),"A. The bishops B. The nobles C. The merchants D. The ambassadors")</f>
        <v>A. The bishops B. The nobles C. The merchants D. The ambassadors</v>
      </c>
      <c r="J40" s="5" t="str">
        <f>IFERROR(__xludf.DUMMYFUNCTION("GOOGLETRANSLATE(D40,""it"",""en"")"),"The nobles")</f>
        <v>The nobles</v>
      </c>
      <c r="K40" s="5" t="str">
        <f>IFERROR(__xludf.DUMMYFUNCTION("GOOGLETRANSLATE(E40,""it"",""en"")"),"Matches were often organized by nobles to celebrate public events and festivals.")</f>
        <v>Matches were often organized by nobles to celebrate public events and festivals.</v>
      </c>
    </row>
    <row r="41" ht="22.5" customHeight="1">
      <c r="A41" s="4">
        <v>42.0</v>
      </c>
      <c r="B41" s="5" t="s">
        <v>1331</v>
      </c>
      <c r="C41" s="5" t="s">
        <v>1332</v>
      </c>
      <c r="D41" s="5" t="s">
        <v>1333</v>
      </c>
      <c r="E41" s="5" t="s">
        <v>1334</v>
      </c>
      <c r="F41" s="3"/>
      <c r="G41" s="4">
        <v>42.0</v>
      </c>
      <c r="H41" s="5" t="str">
        <f>IFERROR(__xludf.DUMMYFUNCTION("GOOGLETRANSLATE(B41,""it"",""en"")"),"What is the main difficulty for Pallone col Bracciale players?")</f>
        <v>What is the main difficulty for Pallone col Bracciale players?</v>
      </c>
      <c r="I41" s="5" t="str">
        <f>IFERROR(__xludf.DUMMYFUNCTION("GOOGLETRANSLATE(C41,""it"",""en"")"),"A. Keeping score B. Hitting the ball correctly C. Building the court D. Choosing the right bracelet")</f>
        <v>A. Keeping score B. Hitting the ball correctly C. Building the court D. Choosing the right bracelet</v>
      </c>
      <c r="J41" s="5" t="str">
        <f>IFERROR(__xludf.DUMMYFUNCTION("GOOGLETRANSLATE(D41,""it"",""en"")"),"Hitting the ball correctly")</f>
        <v>Hitting the ball correctly</v>
      </c>
      <c r="K41" s="5" t="str">
        <f>IFERROR(__xludf.DUMMYFUNCTION("GOOGLETRANSLATE(E41,""it"",""en"")"),"The game requires high precision in hitting the ball with the bracelet.")</f>
        <v>The game requires high precision in hitting the ball with the bracelet.</v>
      </c>
    </row>
    <row r="42" ht="22.5" customHeight="1">
      <c r="A42" s="4">
        <v>43.0</v>
      </c>
      <c r="B42" s="5" t="s">
        <v>1335</v>
      </c>
      <c r="C42" s="5" t="s">
        <v>1336</v>
      </c>
      <c r="D42" s="5" t="s">
        <v>1232</v>
      </c>
      <c r="E42" s="5" t="s">
        <v>1337</v>
      </c>
      <c r="F42" s="3"/>
      <c r="G42" s="4">
        <v>43.0</v>
      </c>
      <c r="H42" s="5" t="str">
        <f>IFERROR(__xludf.DUMMYFUNCTION("GOOGLETRANSLATE(B42,""it"",""en"")"),"Which region of Italy has seen the most historic Pallone col Bracciale matches?")</f>
        <v>Which region of Italy has seen the most historic Pallone col Bracciale matches?</v>
      </c>
      <c r="I42" s="5" t="str">
        <f>IFERROR(__xludf.DUMMYFUNCTION("GOOGLETRANSLATE(C42,""it"",""en"")"),"A. Puglia B. Marche C. Sicily D. Lazio")</f>
        <v>A. Puglia B. Marche C. Sicily D. Lazio</v>
      </c>
      <c r="J42" s="5" t="str">
        <f>IFERROR(__xludf.DUMMYFUNCTION("GOOGLETRANSLATE(D42,""it"",""en"")"),"Marche")</f>
        <v>Marche</v>
      </c>
      <c r="K42" s="5" t="str">
        <f>IFERROR(__xludf.DUMMYFUNCTION("GOOGLETRANSLATE(E42,""it"",""en"")"),"Marche is the region that has seen the greatest number of historic Pallone col Bracciale matches.")</f>
        <v>Marche is the region that has seen the greatest number of historic Pallone col Bracciale matches.</v>
      </c>
    </row>
    <row r="43" ht="22.5" customHeight="1">
      <c r="A43" s="4">
        <v>44.0</v>
      </c>
      <c r="B43" s="5" t="s">
        <v>1338</v>
      </c>
      <c r="C43" s="5" t="s">
        <v>1339</v>
      </c>
      <c r="D43" s="4">
        <v>1940.0</v>
      </c>
      <c r="E43" s="5" t="s">
        <v>1340</v>
      </c>
      <c r="F43" s="3"/>
      <c r="G43" s="4">
        <v>44.0</v>
      </c>
      <c r="H43" s="5" t="str">
        <f>IFERROR(__xludf.DUMMYFUNCTION("GOOGLETRANSLATE(B43,""it"",""en"")"),"When was the Italian Federation of Ball and Bracelets founded?")</f>
        <v>When was the Italian Federation of Ball and Bracelets founded?</v>
      </c>
      <c r="I43" s="5" t="str">
        <f>IFERROR(__xludf.DUMMYFUNCTION("GOOGLETRANSLATE(C43,""it"",""en"")"),"A. 1910 B. 1940 C. 1970 D. 2000")</f>
        <v>A. 1910 B. 1940 C. 1970 D. 2000</v>
      </c>
      <c r="J43" s="5" t="str">
        <f>IFERROR(__xludf.DUMMYFUNCTION("GOOGLETRANSLATE(D43,""it"",""en"")"),"1940")</f>
        <v>1940</v>
      </c>
      <c r="K43" s="5" t="str">
        <f>IFERROR(__xludf.DUMMYFUNCTION("GOOGLETRANSLATE(E43,""it"",""en"")"),"The Italian Federation of Pallone col Bracciale was founded in 1940 to promote the game.")</f>
        <v>The Italian Federation of Pallone col Bracciale was founded in 1940 to promote the game.</v>
      </c>
    </row>
    <row r="44" ht="22.5" customHeight="1">
      <c r="A44" s="4">
        <v>45.0</v>
      </c>
      <c r="B44" s="5" t="s">
        <v>1341</v>
      </c>
      <c r="C44" s="5" t="s">
        <v>1342</v>
      </c>
      <c r="D44" s="5" t="s">
        <v>1343</v>
      </c>
      <c r="E44" s="5" t="s">
        <v>1344</v>
      </c>
      <c r="F44" s="3"/>
      <c r="G44" s="4">
        <v>45.0</v>
      </c>
      <c r="H44" s="5" t="str">
        <f>IFERROR(__xludf.DUMMYFUNCTION("GOOGLETRANSLATE(B44,""it"",""en"")"),"What is the main difficulty for beginners in Pallone col Bracciale?")</f>
        <v>What is the main difficulty for beginners in Pallone col Bracciale?</v>
      </c>
      <c r="I44" s="5" t="str">
        <f>IFERROR(__xludf.DUMMYFUNCTION("GOOGLETRANSLATE(C44,""it"",""en"")"),"A. Understanding the rules B. Avoiding injuries C. Throwing the ball accurately D. Wearing the bracelet correctly")</f>
        <v>A. Understanding the rules B. Avoiding injuries C. Throwing the ball accurately D. Wearing the bracelet correctly</v>
      </c>
      <c r="J44" s="5" t="str">
        <f>IFERROR(__xludf.DUMMYFUNCTION("GOOGLETRANSLATE(D44,""it"",""en"")"),"Wear the bracelet correctly")</f>
        <v>Wear the bracelet correctly</v>
      </c>
      <c r="K44" s="5" t="str">
        <f>IFERROR(__xludf.DUMMYFUNCTION("GOOGLETRANSLATE(E44,""it"",""en"")"),"Correct placement of the bracelet is essential to avoid injuries and play effectively.")</f>
        <v>Correct placement of the bracelet is essential to avoid injuries and play effectively.</v>
      </c>
    </row>
    <row r="45" ht="22.5" customHeight="1">
      <c r="A45" s="4">
        <v>46.0</v>
      </c>
      <c r="B45" s="5" t="s">
        <v>1345</v>
      </c>
      <c r="C45" s="5" t="s">
        <v>1346</v>
      </c>
      <c r="D45" s="5" t="s">
        <v>1347</v>
      </c>
      <c r="E45" s="5" t="s">
        <v>1348</v>
      </c>
      <c r="F45" s="3"/>
      <c r="G45" s="4">
        <v>46.0</v>
      </c>
      <c r="H45" s="5" t="str">
        <f>IFERROR(__xludf.DUMMYFUNCTION("GOOGLETRANSLATE(B45,""it"",""en"")"),"What event marks the end of a game of Pallone col Bracciale?")</f>
        <v>What event marks the end of a game of Pallone col Bracciale?</v>
      </c>
      <c r="I45" s="5" t="str">
        <f>IFERROR(__xludf.DUMMYFUNCTION("GOOGLETRANSLATE(C45,""it"",""en"")"),"A. The final score being reached B. The ringing of a bell C. The referee's whistle D. The last touch of the ball")</f>
        <v>A. The final score being reached B. The ringing of a bell C. The referee's whistle D. The last touch of the ball</v>
      </c>
      <c r="J45" s="5" t="str">
        <f>IFERROR(__xludf.DUMMYFUNCTION("GOOGLETRANSLATE(D45,""it"",""en"")"),"Reaching the final score")</f>
        <v>Reaching the final score</v>
      </c>
      <c r="K45" s="5" t="str">
        <f>IFERROR(__xludf.DUMMYFUNCTION("GOOGLETRANSLATE(E45,""it"",""en"")"),"The game ends when one of the players reaches the established final score.")</f>
        <v>The game ends when one of the players reaches the established final score.</v>
      </c>
    </row>
    <row r="46" ht="22.5" customHeight="1">
      <c r="A46" s="4">
        <v>47.0</v>
      </c>
      <c r="B46" s="5" t="s">
        <v>1349</v>
      </c>
      <c r="C46" s="5" t="s">
        <v>1350</v>
      </c>
      <c r="D46" s="5" t="s">
        <v>1351</v>
      </c>
      <c r="E46" s="5" t="s">
        <v>1352</v>
      </c>
      <c r="F46" s="3"/>
      <c r="G46" s="4">
        <v>47.0</v>
      </c>
      <c r="H46" s="5" t="str">
        <f>IFERROR(__xludf.DUMMYFUNCTION("GOOGLETRANSLATE(B46,""it"",""en"")"),"How were the winners of Pallone col Bracciale matches rewarded?")</f>
        <v>How were the winners of Pallone col Bracciale matches rewarded?</v>
      </c>
      <c r="I46" s="5" t="str">
        <f>IFERROR(__xludf.DUMMYFUNCTION("GOOGLETRANSLATE(C46,""it"",""en"")"),"A. With gold medals B. With wooden trophies C. With money D. With a laurel wreath")</f>
        <v>A. With gold medals B. With wooden trophies C. With money D. With a laurel wreath</v>
      </c>
      <c r="J46" s="5" t="str">
        <f>IFERROR(__xludf.DUMMYFUNCTION("GOOGLETRANSLATE(D46,""it"",""en"")"),"With a laurel wreath")</f>
        <v>With a laurel wreath</v>
      </c>
      <c r="K46" s="5" t="str">
        <f>IFERROR(__xludf.DUMMYFUNCTION("GOOGLETRANSLATE(E46,""it"",""en"")"),"Winners were traditionally awarded a laurel wreath as a symbol of honor.")</f>
        <v>Winners were traditionally awarded a laurel wreath as a symbol of honor.</v>
      </c>
    </row>
    <row r="47" ht="22.5" customHeight="1">
      <c r="A47" s="4">
        <v>48.0</v>
      </c>
      <c r="B47" s="5" t="s">
        <v>1353</v>
      </c>
      <c r="C47" s="5" t="s">
        <v>1354</v>
      </c>
      <c r="D47" s="5" t="s">
        <v>1355</v>
      </c>
      <c r="E47" s="5" t="s">
        <v>1356</v>
      </c>
      <c r="F47" s="3"/>
      <c r="G47" s="4">
        <v>48.0</v>
      </c>
      <c r="H47" s="5" t="str">
        <f>IFERROR(__xludf.DUMMYFUNCTION("GOOGLETRANSLATE(B47,""it"",""en"")"),"In the 18th century, who was the main audience for the game of Pallone col Bracciale?")</f>
        <v>In the 18th century, who was the main audience for the game of Pallone col Bracciale?</v>
      </c>
      <c r="I47" s="5" t="str">
        <f>IFERROR(__xludf.DUMMYFUNCTION("GOOGLETRANSLATE(C47,""it"",""en"")"),"A. The peasants B. The nobles and rich merchants C. The soldiers D. The university students")</f>
        <v>A. The peasants B. The nobles and rich merchants C. The soldiers D. The university students</v>
      </c>
      <c r="J47" s="5" t="str">
        <f>IFERROR(__xludf.DUMMYFUNCTION("GOOGLETRANSLATE(D47,""it"",""en"")"),"The nobles and rich merchants")</f>
        <v>The nobles and rich merchants</v>
      </c>
      <c r="K47" s="5" t="str">
        <f>IFERROR(__xludf.DUMMYFUNCTION("GOOGLETRANSLATE(E47,""it"",""en"")"),"The game was particularly popular with nobles and wealthy merchants who considered it a refined pastime.")</f>
        <v>The game was particularly popular with nobles and wealthy merchants who considered it a refined pastime.</v>
      </c>
    </row>
    <row r="48" ht="22.5" customHeight="1">
      <c r="A48" s="4">
        <v>49.0</v>
      </c>
      <c r="B48" s="5" t="s">
        <v>1357</v>
      </c>
      <c r="C48" s="5" t="s">
        <v>1358</v>
      </c>
      <c r="D48" s="5" t="s">
        <v>1359</v>
      </c>
      <c r="E48" s="5" t="s">
        <v>1360</v>
      </c>
      <c r="F48" s="3"/>
      <c r="G48" s="4">
        <v>49.0</v>
      </c>
      <c r="H48" s="5" t="str">
        <f>IFERROR(__xludf.DUMMYFUNCTION("GOOGLETRANSLATE(B48,""it"",""en"")"),"Where were the great Pallone col Bracciale matches held in the 19th century?")</f>
        <v>Where were the great Pallone col Bracciale matches held in the 19th century?</v>
      </c>
      <c r="I48" s="5" t="str">
        <f>IFERROR(__xludf.DUMMYFUNCTION("GOOGLETRANSLATE(C48,""it"",""en"")"),"A. In private courtyards B. In open-air theatres C. In city squares D. In sports halls")</f>
        <v>A. In private courtyards B. In open-air theatres C. In city squares D. In sports halls</v>
      </c>
      <c r="J48" s="5" t="str">
        <f>IFERROR(__xludf.DUMMYFUNCTION("GOOGLETRANSLATE(D48,""it"",""en"")"),"In the city squares")</f>
        <v>In the city squares</v>
      </c>
      <c r="K48" s="5" t="str">
        <f>IFERROR(__xludf.DUMMYFUNCTION("GOOGLETRANSLATE(E48,""it"",""en"")"),"Large matches were often held in the main squares of Italian cities.")</f>
        <v>Large matches were often held in the main squares of Italian cities.</v>
      </c>
    </row>
    <row r="49" ht="22.5" customHeight="1">
      <c r="A49" s="4">
        <v>50.0</v>
      </c>
      <c r="B49" s="5" t="s">
        <v>1361</v>
      </c>
      <c r="C49" s="5" t="s">
        <v>1362</v>
      </c>
      <c r="D49" s="5" t="s">
        <v>1363</v>
      </c>
      <c r="E49" s="5" t="s">
        <v>1364</v>
      </c>
      <c r="F49" s="3"/>
      <c r="G49" s="4">
        <v>50.0</v>
      </c>
      <c r="H49" s="5" t="str">
        <f>IFERROR(__xludf.DUMMYFUNCTION("GOOGLETRANSLATE(B49,""it"",""en"")"),"In 2000, what changes were made to the Pallone col Bracciale to attract young people?")</f>
        <v>In 2000, what changes were made to the Pallone col Bracciale to attract young people?</v>
      </c>
      <c r="I49" s="5" t="str">
        <f>IFERROR(__xludf.DUMMYFUNCTION("GOOGLETRANSLATE(C49,""it"",""en"")"),"A. Introduction of new rules B. Simplification of equipment C. Reduction of the length of matches D. Integration with football")</f>
        <v>A. Introduction of new rules B. Simplification of equipment C. Reduction of the length of matches D. Integration with football</v>
      </c>
      <c r="J49" s="5" t="str">
        <f>IFERROR(__xludf.DUMMYFUNCTION("GOOGLETRANSLATE(D49,""it"",""en"")"),"Introduction of new rules")</f>
        <v>Introduction of new rules</v>
      </c>
      <c r="K49" s="5" t="str">
        <f>IFERROR(__xludf.DUMMYFUNCTION("GOOGLETRANSLATE(E49,""it"",""en"")"),"To attract young people, new rules have been introduced to make the game more dynamic and interesting.")</f>
        <v>To attract young people, new rules have been introduced to make the game more dynamic and interesting.</v>
      </c>
    </row>
    <row r="50" ht="22.5" customHeight="1">
      <c r="A50" s="4">
        <v>51.0</v>
      </c>
      <c r="B50" s="5" t="s">
        <v>1365</v>
      </c>
      <c r="C50" s="5" t="s">
        <v>1366</v>
      </c>
      <c r="D50" s="5" t="s">
        <v>1367</v>
      </c>
      <c r="E50" s="5" t="s">
        <v>1368</v>
      </c>
      <c r="F50" s="3"/>
      <c r="G50" s="4">
        <v>51.0</v>
      </c>
      <c r="H50" s="5" t="str">
        <f>IFERROR(__xludf.DUMMYFUNCTION("GOOGLETRANSLATE(B50,""it"",""en"")"),"What type of ball is used in the Pallone col Bracciale?")</f>
        <v>What type of ball is used in the Pallone col Bracciale?</v>
      </c>
      <c r="I50" s="5" t="str">
        <f>IFERROR(__xludf.DUMMYFUNCTION("GOOGLETRANSLATE(C50,""it"",""en"")"),"A. Rubber ball B. Leather ball C. Leather ball D. Plastic ball")</f>
        <v>A. Rubber ball B. Leather ball C. Leather ball D. Plastic ball</v>
      </c>
      <c r="J50" s="5" t="str">
        <f>IFERROR(__xludf.DUMMYFUNCTION("GOOGLETRANSLATE(D50,""it"",""en"")"),"Leather ball")</f>
        <v>Leather ball</v>
      </c>
      <c r="K50" s="5" t="str">
        <f>IFERROR(__xludf.DUMMYFUNCTION("GOOGLETRANSLATE(E50,""it"",""en"")"),"The ball used is made of leather, which makes it resistant and suitable for shots with the armband.")</f>
        <v>The ball used is made of leather, which makes it resistant and suitable for shots with the armband.</v>
      </c>
    </row>
    <row r="51" ht="22.5" customHeight="1">
      <c r="A51" s="4">
        <v>52.0</v>
      </c>
      <c r="B51" s="5" t="s">
        <v>1369</v>
      </c>
      <c r="C51" s="5" t="s">
        <v>1370</v>
      </c>
      <c r="D51" s="5" t="s">
        <v>1371</v>
      </c>
      <c r="E51" s="5" t="s">
        <v>1372</v>
      </c>
      <c r="F51" s="3"/>
      <c r="G51" s="4">
        <v>52.0</v>
      </c>
      <c r="H51" s="5" t="str">
        <f>IFERROR(__xludf.DUMMYFUNCTION("GOOGLETRANSLATE(B51,""it"",""en"")"),"Who is considered one of the founders of the modern Pallone col Bracciale?")</f>
        <v>Who is considered one of the founders of the modern Pallone col Bracciale?</v>
      </c>
      <c r="I51" s="5" t="str">
        <f>IFERROR(__xludf.DUMMYFUNCTION("GOOGLETRANSLATE(C51,""it"",""en"")"),"A. Giovanni da Verrazzano B. Francesco Petrarca C. Girolamo Riario D. Giovanni Sforza")</f>
        <v>A. Giovanni da Verrazzano B. Francesco Petrarca C. Girolamo Riario D. Giovanni Sforza</v>
      </c>
      <c r="J51" s="5" t="str">
        <f>IFERROR(__xludf.DUMMYFUNCTION("GOOGLETRANSLATE(D51,""it"",""en"")"),"Jerome Riario")</f>
        <v>Jerome Riario</v>
      </c>
      <c r="K51" s="5" t="str">
        <f>IFERROR(__xludf.DUMMYFUNCTION("GOOGLETRANSLATE(E51,""it"",""en"")"),"Girolamo Riario was an important figure in the formalization of the game during the Renaissance.")</f>
        <v>Girolamo Riario was an important figure in the formalization of the game during the Renaissance.</v>
      </c>
    </row>
    <row r="52" ht="22.5" customHeight="1">
      <c r="A52" s="4">
        <v>53.0</v>
      </c>
      <c r="B52" s="5" t="s">
        <v>1373</v>
      </c>
      <c r="C52" s="5" t="s">
        <v>895</v>
      </c>
      <c r="D52" s="5" t="s">
        <v>896</v>
      </c>
      <c r="E52" s="5" t="s">
        <v>1374</v>
      </c>
      <c r="F52" s="3"/>
      <c r="G52" s="4">
        <v>53.0</v>
      </c>
      <c r="H52" s="5" t="str">
        <f>IFERROR(__xludf.DUMMYFUNCTION("GOOGLETRANSLATE(B52,""it"",""en"")"),"In which century did Pallone col Bracciale begin to be known as an official sport?")</f>
        <v>In which century did Pallone col Bracciale begin to be known as an official sport?</v>
      </c>
      <c r="I52" s="5" t="str">
        <f>IFERROR(__xludf.DUMMYFUNCTION("GOOGLETRANSLATE(C52,""it"",""en"")"),"A. 15th century B. 16th century C. 17th century D. 18th century")</f>
        <v>A. 15th century B. 16th century C. 17th century D. 18th century</v>
      </c>
      <c r="J52" s="5" t="str">
        <f>IFERROR(__xludf.DUMMYFUNCTION("GOOGLETRANSLATE(D52,""it"",""en"")"),"16th century")</f>
        <v>16th century</v>
      </c>
      <c r="K52" s="5" t="str">
        <f>IFERROR(__xludf.DUMMYFUNCTION("GOOGLETRANSLATE(E52,""it"",""en"")"),"In the 16th century, Pallone col Bracciale began to gain greater attention as an official sport.")</f>
        <v>In the 16th century, Pallone col Bracciale began to gain greater attention as an official sport.</v>
      </c>
    </row>
    <row r="53" ht="22.5" customHeight="1">
      <c r="A53" s="4">
        <v>54.0</v>
      </c>
      <c r="B53" s="5" t="s">
        <v>1375</v>
      </c>
      <c r="C53" s="5" t="s">
        <v>1376</v>
      </c>
      <c r="D53" s="5" t="s">
        <v>1187</v>
      </c>
      <c r="E53" s="5" t="s">
        <v>1377</v>
      </c>
      <c r="F53" s="3"/>
      <c r="G53" s="4">
        <v>54.0</v>
      </c>
      <c r="H53" s="5" t="str">
        <f>IFERROR(__xludf.DUMMYFUNCTION("GOOGLETRANSLATE(B53,""it"",""en"")"),"Which of the following cities has a tradition of annual Pallone col Bracciale events?")</f>
        <v>Which of the following cities has a tradition of annual Pallone col Bracciale events?</v>
      </c>
      <c r="I53" s="5" t="str">
        <f>IFERROR(__xludf.DUMMYFUNCTION("GOOGLETRANSLATE(C53,""it"",""en"")"),"A. Naples B. Rome C. Pesaro D. Venice")</f>
        <v>A. Naples B. Rome C. Pesaro D. Venice</v>
      </c>
      <c r="J53" s="5" t="str">
        <f>IFERROR(__xludf.DUMMYFUNCTION("GOOGLETRANSLATE(D53,""it"",""en"")"),"Pesaro")</f>
        <v>Pesaro</v>
      </c>
      <c r="K53" s="5" t="str">
        <f>IFERROR(__xludf.DUMMYFUNCTION("GOOGLETRANSLATE(E53,""it"",""en"")"),"Pesaro is famous for its annual Pallone col Bracciale tournaments.")</f>
        <v>Pesaro is famous for its annual Pallone col Bracciale tournaments.</v>
      </c>
    </row>
    <row r="54" ht="22.5" customHeight="1">
      <c r="A54" s="4">
        <v>55.0</v>
      </c>
      <c r="B54" s="5" t="s">
        <v>1378</v>
      </c>
      <c r="C54" s="5" t="s">
        <v>1379</v>
      </c>
      <c r="D54" s="5" t="s">
        <v>1380</v>
      </c>
      <c r="E54" s="5" t="s">
        <v>1381</v>
      </c>
      <c r="F54" s="3"/>
      <c r="G54" s="4">
        <v>55.0</v>
      </c>
      <c r="H54" s="5" t="str">
        <f>IFERROR(__xludf.DUMMYFUNCTION("GOOGLETRANSLATE(B54,""it"",""en"")"),"What are the fields where Pallone col Bracciale is played called?")</f>
        <v>What are the fields where Pallone col Bracciale is played called?</v>
      </c>
      <c r="I54" s="5" t="str">
        <f>IFERROR(__xludf.DUMMYFUNCTION("GOOGLETRANSLATE(C54,""it"",""en"")"),"A. Sports fields B. Gyms C. Historic squares D. Play walls")</f>
        <v>A. Sports fields B. Gyms C. Historic squares D. Play walls</v>
      </c>
      <c r="J54" s="5" t="str">
        <f>IFERROR(__xludf.DUMMYFUNCTION("GOOGLETRANSLATE(D54,""it"",""en"")"),"Play walls")</f>
        <v>Play walls</v>
      </c>
      <c r="K54" s="5" t="str">
        <f>IFERROR(__xludf.DUMMYFUNCTION("GOOGLETRANSLATE(E54,""it"",""en"")"),"The game is played on 'play walls,' which are walls specially prepared for the ball to bounce on.")</f>
        <v>The game is played on 'play walls,' which are walls specially prepared for the ball to bounce on.</v>
      </c>
    </row>
    <row r="55" ht="22.5" customHeight="1">
      <c r="A55" s="4">
        <v>56.0</v>
      </c>
      <c r="B55" s="5" t="s">
        <v>1382</v>
      </c>
      <c r="C55" s="5" t="s">
        <v>1383</v>
      </c>
      <c r="D55" s="5" t="s">
        <v>1384</v>
      </c>
      <c r="E55" s="5" t="s">
        <v>1385</v>
      </c>
      <c r="F55" s="3"/>
      <c r="G55" s="4">
        <v>56.0</v>
      </c>
      <c r="H55" s="5" t="str">
        <f>IFERROR(__xludf.DUMMYFUNCTION("GOOGLETRANSLATE(B55,""it"",""en"")"),"What kind of audience followed Pallone col Bracciale matches in the past?")</f>
        <v>What kind of audience followed Pallone col Bracciale matches in the past?</v>
      </c>
      <c r="I55" s="5" t="str">
        <f>IFERROR(__xludf.DUMMYFUNCTION("GOOGLETRANSLATE(C55,""it"",""en"")"),"A. Only nobles B. Only peasants C. A varied audience D. Only rich merchants")</f>
        <v>A. Only nobles B. Only peasants C. A varied audience D. Only rich merchants</v>
      </c>
      <c r="J55" s="5" t="str">
        <f>IFERROR(__xludf.DUMMYFUNCTION("GOOGLETRANSLATE(D55,""it"",""en"")"),"A varied audience")</f>
        <v>A varied audience</v>
      </c>
      <c r="K55" s="5" t="str">
        <f>IFERROR(__xludf.DUMMYFUNCTION("GOOGLETRANSLATE(E55,""it"",""en"")"),"The matches attracted a wide range of spectators, from nobles to peasants.")</f>
        <v>The matches attracted a wide range of spectators, from nobles to peasants.</v>
      </c>
    </row>
    <row r="56" ht="22.5" customHeight="1">
      <c r="A56" s="4">
        <v>57.0</v>
      </c>
      <c r="B56" s="5" t="s">
        <v>1386</v>
      </c>
      <c r="C56" s="5" t="s">
        <v>1387</v>
      </c>
      <c r="D56" s="5" t="s">
        <v>1388</v>
      </c>
      <c r="E56" s="5" t="s">
        <v>1389</v>
      </c>
      <c r="F56" s="3"/>
      <c r="G56" s="4">
        <v>57.0</v>
      </c>
      <c r="H56" s="5" t="str">
        <f>IFERROR(__xludf.DUMMYFUNCTION("GOOGLETRANSLATE(B56,""it"",""en"")"),"Which of the following is a famous historical Pallone col Bracciale competition?")</f>
        <v>Which of the following is a famous historical Pallone col Bracciale competition?</v>
      </c>
      <c r="I56" s="5" t="str">
        <f>IFERROR(__xludf.DUMMYFUNCTION("GOOGLETRANSLATE(C56,""it"",""en"")"),"A. The Palio of Siena B. The Palio of Pesaro C. The World Cup D. The Florence Tournament")</f>
        <v>A. The Palio of Siena B. The Palio of Pesaro C. The World Cup D. The Florence Tournament</v>
      </c>
      <c r="J56" s="5" t="str">
        <f>IFERROR(__xludf.DUMMYFUNCTION("GOOGLETRANSLATE(D56,""it"",""en"")"),"The Palio of Pesaro")</f>
        <v>The Palio of Pesaro</v>
      </c>
      <c r="K56" s="5" t="str">
        <f>IFERROR(__xludf.DUMMYFUNCTION("GOOGLETRANSLATE(E56,""it"",""en"")"),"The Palio di Pesaro is one of the most famous historical Pallone col Bracciale competitions.")</f>
        <v>The Palio di Pesaro is one of the most famous historical Pallone col Bracciale competitions.</v>
      </c>
    </row>
    <row r="57" ht="22.5" customHeight="1">
      <c r="A57" s="4">
        <v>58.0</v>
      </c>
      <c r="B57" s="5" t="s">
        <v>1238</v>
      </c>
      <c r="C57" s="5" t="s">
        <v>1390</v>
      </c>
      <c r="D57" s="5" t="s">
        <v>1240</v>
      </c>
      <c r="E57" s="5" t="s">
        <v>1391</v>
      </c>
      <c r="F57" s="3"/>
      <c r="G57" s="4">
        <v>58.0</v>
      </c>
      <c r="H57" s="5" t="str">
        <f>IFERROR(__xludf.DUMMYFUNCTION("GOOGLETRANSLATE(B57,""it"",""en"")"),"What are the points called in a Pallone col Bracciale game?")</f>
        <v>What are the points called in a Pallone col Bracciale game?</v>
      </c>
      <c r="I57" s="5" t="str">
        <f>IFERROR(__xludf.DUMMYFUNCTION("GOOGLETRANSLATE(C57,""it"",""en"")"),"A. Games B. Cases C. Sets D. Rounds")</f>
        <v>A. Games B. Cases C. Sets D. Rounds</v>
      </c>
      <c r="J57" s="5" t="str">
        <f>IFERROR(__xludf.DUMMYFUNCTION("GOOGLETRANSLATE(D57,""it"",""en"")"),"Cases")</f>
        <v>Cases</v>
      </c>
      <c r="K57" s="5" t="str">
        <f>IFERROR(__xludf.DUMMYFUNCTION("GOOGLETRANSLATE(E57,""it"",""en"")"),"Points in Pallone col Bracciale are called 'cases'.")</f>
        <v>Points in Pallone col Bracciale are called 'cases'.</v>
      </c>
    </row>
    <row r="58" ht="22.5" customHeight="1">
      <c r="A58" s="4">
        <v>59.0</v>
      </c>
      <c r="B58" s="5" t="s">
        <v>1392</v>
      </c>
      <c r="C58" s="5" t="s">
        <v>1393</v>
      </c>
      <c r="D58" s="5" t="s">
        <v>1394</v>
      </c>
      <c r="E58" s="5" t="s">
        <v>1395</v>
      </c>
      <c r="F58" s="3"/>
      <c r="G58" s="4">
        <v>59.0</v>
      </c>
      <c r="H58" s="5" t="str">
        <f>IFERROR(__xludf.DUMMYFUNCTION("GOOGLETRANSLATE(B58,""it"",""en"")"),"What is the main objective during a game of Pallone col Bracciale?")</f>
        <v>What is the main objective during a game of Pallone col Bracciale?</v>
      </c>
      <c r="I58" s="5" t="str">
        <f>IFERROR(__xludf.DUMMYFUNCTION("GOOGLETRANSLATE(C58,""it"",""en"")"),"A. Hit the ball multiple times B. Hit the ball into a target C. Bounce the ball off the wall D. Avoid injuries")</f>
        <v>A. Hit the ball multiple times B. Hit the ball into a target C. Bounce the ball off the wall D. Avoid injuries</v>
      </c>
      <c r="J58" s="5" t="str">
        <f>IFERROR(__xludf.DUMMYFUNCTION("GOOGLETRANSLATE(D58,""it"",""en"")"),"Bouncing the ball off the wall")</f>
        <v>Bouncing the ball off the wall</v>
      </c>
      <c r="K58" s="5" t="str">
        <f>IFERROR(__xludf.DUMMYFUNCTION("GOOGLETRANSLATE(E58,""it"",""en"")"),"The main goal is to hit the ball so that it bounces correctly off the wall.")</f>
        <v>The main goal is to hit the ball so that it bounces correctly off the wall.</v>
      </c>
    </row>
    <row r="59" ht="22.5" customHeight="1">
      <c r="A59" s="4">
        <v>60.0</v>
      </c>
      <c r="B59" s="5" t="s">
        <v>1396</v>
      </c>
      <c r="C59" s="5" t="s">
        <v>1397</v>
      </c>
      <c r="D59" s="5" t="s">
        <v>1398</v>
      </c>
      <c r="E59" s="5" t="s">
        <v>1399</v>
      </c>
      <c r="F59" s="3"/>
      <c r="G59" s="4">
        <v>60.0</v>
      </c>
      <c r="H59" s="5" t="str">
        <f>IFERROR(__xludf.DUMMYFUNCTION("GOOGLETRANSLATE(B59,""it"",""en"")"),"What is the position of the players during a game of Pallone col Bracciale?")</f>
        <v>What is the position of the players during a game of Pallone col Bracciale?</v>
      </c>
      <c r="I59" s="5" t="str">
        <f>IFERROR(__xludf.DUMMYFUNCTION("GOOGLETRANSLATE(C59,""it"",""en"")"),"A. Squatting B. Standing against the wall C. Sitting on the floor D. Continuously moving")</f>
        <v>A. Squatting B. Standing against the wall C. Sitting on the floor D. Continuously moving</v>
      </c>
      <c r="J59" s="5" t="str">
        <f>IFERROR(__xludf.DUMMYFUNCTION("GOOGLETRANSLATE(D59,""it"",""en"")"),"Standing against the wall")</f>
        <v>Standing against the wall</v>
      </c>
      <c r="K59" s="5" t="str">
        <f>IFERROR(__xludf.DUMMYFUNCTION("GOOGLETRANSLATE(E59,""it"",""en"")"),"Players must be positioned against the wall during the game.")</f>
        <v>Players must be positioned against the wall during the game.</v>
      </c>
    </row>
    <row r="60" ht="22.5" customHeight="1">
      <c r="A60" s="4">
        <v>61.0</v>
      </c>
      <c r="B60" s="5" t="s">
        <v>1212</v>
      </c>
      <c r="C60" s="5" t="s">
        <v>1400</v>
      </c>
      <c r="D60" s="5" t="s">
        <v>1214</v>
      </c>
      <c r="E60" s="5" t="s">
        <v>1401</v>
      </c>
      <c r="F60" s="3"/>
      <c r="G60" s="4">
        <v>61.0</v>
      </c>
      <c r="H60" s="5" t="str">
        <f>IFERROR(__xludf.DUMMYFUNCTION("GOOGLETRANSLATE(B60,""it"",""en"")"),"How do you win a game of Pallone col Bracciale?")</f>
        <v>How do you win a game of Pallone col Bracciale?</v>
      </c>
      <c r="I60" s="5" t="str">
        <f>IFERROR(__xludf.DUMMYFUNCTION("GOOGLETRANSLATE(C60,""it"",""en"")"),"A. Reaching a set score B. Hitting the ball multiple times C. Throwing the ball into the target D. Overtaking another player")</f>
        <v>A. Reaching a set score B. Hitting the ball multiple times C. Throwing the ball into the target D. Overtaking another player</v>
      </c>
      <c r="J60" s="5" t="str">
        <f>IFERROR(__xludf.DUMMYFUNCTION("GOOGLETRANSLATE(D60,""it"",""en"")"),"Reaching a set score")</f>
        <v>Reaching a set score</v>
      </c>
      <c r="K60" s="5" t="str">
        <f>IFERROR(__xludf.DUMMYFUNCTION("GOOGLETRANSLATE(E60,""it"",""en"")"),"A game of Pallone col Bracciale is won when a player reaches the established score.")</f>
        <v>A game of Pallone col Bracciale is won when a player reaches the established score.</v>
      </c>
    </row>
    <row r="61" ht="22.5" customHeight="1">
      <c r="A61" s="4">
        <v>62.0</v>
      </c>
      <c r="B61" s="5" t="s">
        <v>1402</v>
      </c>
      <c r="C61" s="5" t="s">
        <v>1403</v>
      </c>
      <c r="D61" s="5" t="s">
        <v>1404</v>
      </c>
      <c r="E61" s="5" t="s">
        <v>1405</v>
      </c>
      <c r="F61" s="3"/>
      <c r="G61" s="4">
        <v>62.0</v>
      </c>
      <c r="H61" s="5" t="str">
        <f>IFERROR(__xludf.DUMMYFUNCTION("GOOGLETRANSLATE(B61,""it"",""en"")"),"What was one of the main features of the bracelet used in the game?")</f>
        <v>What was one of the main features of the bracelet used in the game?</v>
      </c>
      <c r="I61" s="5" t="str">
        <f>IFERROR(__xludf.DUMMYFUNCTION("GOOGLETRANSLATE(C61,""it"",""en"")"),"A. It was made of wood B. It was very heavy C. It protected the players' arms D. It was made of metal")</f>
        <v>A. It was made of wood B. It was very heavy C. It protected the players' arms D. It was made of metal</v>
      </c>
      <c r="J61" s="5" t="str">
        <f>IFERROR(__xludf.DUMMYFUNCTION("GOOGLETRANSLATE(D61,""it"",""en"")"),"It protected the players' arm")</f>
        <v>It protected the players' arm</v>
      </c>
      <c r="K61" s="5" t="str">
        <f>IFERROR(__xludf.DUMMYFUNCTION("GOOGLETRANSLATE(E61,""it"",""en"")"),"The armband was designed to protect the arm during gameplay.")</f>
        <v>The armband was designed to protect the arm during gameplay.</v>
      </c>
    </row>
    <row r="62" ht="22.5" customHeight="1">
      <c r="A62" s="4">
        <v>63.0</v>
      </c>
      <c r="B62" s="5" t="s">
        <v>1406</v>
      </c>
      <c r="C62" s="5" t="s">
        <v>1407</v>
      </c>
      <c r="D62" s="5" t="s">
        <v>1408</v>
      </c>
      <c r="E62" s="5" t="s">
        <v>1409</v>
      </c>
      <c r="F62" s="3"/>
      <c r="G62" s="4">
        <v>63.0</v>
      </c>
      <c r="H62" s="5" t="str">
        <f>IFERROR(__xludf.DUMMYFUNCTION("GOOGLETRANSLATE(B62,""it"",""en"")"),"What is one of the features that distinguishes the Bracelet Ball from other ball sports?")</f>
        <v>What is one of the features that distinguishes the Bracelet Ball from other ball sports?</v>
      </c>
      <c r="I62" s="5" t="str">
        <f>IFERROR(__xludf.DUMMYFUNCTION("GOOGLETRANSLATE(C62,""it"",""en"")"),"A. The bracelet for hitting the ball B. The absence of a defined field C. The number of players D. The larger ball")</f>
        <v>A. The bracelet for hitting the ball B. The absence of a defined field C. The number of players D. The larger ball</v>
      </c>
      <c r="J62" s="5" t="str">
        <f>IFERROR(__xludf.DUMMYFUNCTION("GOOGLETRANSLATE(D62,""it"",""en"")"),"The bracelet for hitting the ball")</f>
        <v>The bracelet for hitting the ball</v>
      </c>
      <c r="K62" s="5" t="str">
        <f>IFERROR(__xludf.DUMMYFUNCTION("GOOGLETRANSLATE(E62,""it"",""en"")"),"Unlike other sports, in Pallone col Bracciale you use a bracelet to hit the ball.")</f>
        <v>Unlike other sports, in Pallone col Bracciale you use a bracelet to hit the ball.</v>
      </c>
    </row>
    <row r="63" ht="22.5" customHeight="1">
      <c r="A63" s="4">
        <v>64.0</v>
      </c>
      <c r="B63" s="5" t="s">
        <v>1410</v>
      </c>
      <c r="C63" s="5" t="s">
        <v>1411</v>
      </c>
      <c r="D63" s="5" t="s">
        <v>1412</v>
      </c>
      <c r="E63" s="5" t="s">
        <v>1413</v>
      </c>
      <c r="F63" s="3"/>
      <c r="G63" s="4">
        <v>64.0</v>
      </c>
      <c r="H63" s="5" t="str">
        <f>IFERROR(__xludf.DUMMYFUNCTION("GOOGLETRANSLATE(B63,""it"",""en"")"),"In the game of Pallone col Bracciale, where is the ball thrown?")</f>
        <v>In the game of Pallone col Bracciale, where is the ball thrown?</v>
      </c>
      <c r="I63" s="5" t="str">
        <f>IFERROR(__xludf.DUMMYFUNCTION("GOOGLETRANSLATE(C63,""it"",""en"")"),"A. In a sand field B. Against a wall C. Towards a net D. In the center circle")</f>
        <v>A. In a sand field B. Against a wall C. Towards a net D. In the center circle</v>
      </c>
      <c r="J63" s="5" t="str">
        <f>IFERROR(__xludf.DUMMYFUNCTION("GOOGLETRANSLATE(D63,""it"",""en"")"),"Against a wall")</f>
        <v>Against a wall</v>
      </c>
      <c r="K63" s="5" t="str">
        <f>IFERROR(__xludf.DUMMYFUNCTION("GOOGLETRANSLATE(E63,""it"",""en"")"),"In the game, the ball must bounce off a wall before being hit again.")</f>
        <v>In the game, the ball must bounce off a wall before being hit again.</v>
      </c>
    </row>
    <row r="64" ht="22.5" customHeight="1">
      <c r="A64" s="4">
        <v>65.0</v>
      </c>
      <c r="B64" s="5" t="s">
        <v>1414</v>
      </c>
      <c r="C64" s="5" t="s">
        <v>1415</v>
      </c>
      <c r="D64" s="5" t="s">
        <v>1416</v>
      </c>
      <c r="E64" s="5" t="s">
        <v>1417</v>
      </c>
      <c r="F64" s="3"/>
      <c r="G64" s="4">
        <v>65.0</v>
      </c>
      <c r="H64" s="5" t="str">
        <f>IFERROR(__xludf.DUMMYFUNCTION("GOOGLETRANSLATE(B64,""it"",""en"")"),"When were Pallone col Bracciale matches played during the Renaissance?")</f>
        <v>When were Pallone col Bracciale matches played during the Renaissance?</v>
      </c>
      <c r="I64" s="5" t="str">
        <f>IFERROR(__xludf.DUMMYFUNCTION("GOOGLETRANSLATE(C64,""it"",""en"")"),"A. Only during the summer months B. Only during religious holidays C. Throughout the year D. Only during fairs")</f>
        <v>A. Only during the summer months B. Only during religious holidays C. Throughout the year D. Only during fairs</v>
      </c>
      <c r="J64" s="5" t="str">
        <f>IFERROR(__xludf.DUMMYFUNCTION("GOOGLETRANSLATE(D64,""it"",""en"")"),"Throughout the year")</f>
        <v>Throughout the year</v>
      </c>
      <c r="K64" s="5" t="str">
        <f>IFERROR(__xludf.DUMMYFUNCTION("GOOGLETRANSLATE(E64,""it"",""en"")"),"Pallone col Bracciale matches were played throughout the year, but especially during public events.")</f>
        <v>Pallone col Bracciale matches were played throughout the year, but especially during public events.</v>
      </c>
    </row>
    <row r="65" ht="22.5" customHeight="1">
      <c r="A65" s="4">
        <v>66.0</v>
      </c>
      <c r="B65" s="5" t="s">
        <v>1418</v>
      </c>
      <c r="C65" s="5" t="s">
        <v>1419</v>
      </c>
      <c r="D65" s="5" t="s">
        <v>1420</v>
      </c>
      <c r="E65" s="5" t="s">
        <v>1421</v>
      </c>
      <c r="F65" s="3"/>
      <c r="G65" s="4">
        <v>66.0</v>
      </c>
      <c r="H65" s="5" t="str">
        <f>IFERROR(__xludf.DUMMYFUNCTION("GOOGLETRANSLATE(B65,""it"",""en"")"),"What is the role of the wall in the game?")</f>
        <v>What is the role of the wall in the game?</v>
      </c>
      <c r="I65" s="5" t="str">
        <f>IFERROR(__xludf.DUMMYFUNCTION("GOOGLETRANSLATE(C65,""it"",""en"")"),"A. It serves as a playing field B. It serves as a barrier against the public C. It serves as a reference point for the score D. It serves to contain the ball")</f>
        <v>A. It serves as a playing field B. It serves as a barrier against the public C. It serves as a reference point for the score D. It serves to contain the ball</v>
      </c>
      <c r="J65" s="5" t="str">
        <f>IFERROR(__xludf.DUMMYFUNCTION("GOOGLETRANSLATE(D65,""it"",""en"")"),"It serves as a playing field")</f>
        <v>It serves as a playing field</v>
      </c>
      <c r="K65" s="5" t="str">
        <f>IFERROR(__xludf.DUMMYFUNCTION("GOOGLETRANSLATE(E65,""it"",""en"")"),"The wall is a fundamental part of the playing field, where the ball must bounce.")</f>
        <v>The wall is a fundamental part of the playing field, where the ball must bounce.</v>
      </c>
    </row>
    <row r="66" ht="22.5" customHeight="1">
      <c r="A66" s="4">
        <v>67.0</v>
      </c>
      <c r="B66" s="5" t="s">
        <v>1422</v>
      </c>
      <c r="C66" s="5" t="s">
        <v>1423</v>
      </c>
      <c r="D66" s="5" t="s">
        <v>1424</v>
      </c>
      <c r="E66" s="5" t="s">
        <v>1425</v>
      </c>
      <c r="F66" s="3"/>
      <c r="G66" s="4">
        <v>67.0</v>
      </c>
      <c r="H66" s="5" t="str">
        <f>IFERROR(__xludf.DUMMYFUNCTION("GOOGLETRANSLATE(B66,""it"",""en"")"),"Which country has a tradition similar to the Pallone col Bracciale?")</f>
        <v>Which country has a tradition similar to the Pallone col Bracciale?</v>
      </c>
      <c r="I66" s="5" t="str">
        <f>IFERROR(__xludf.DUMMYFUNCTION("GOOGLETRANSLATE(C66,""it"",""en"")"),"A. Spain B. France C. Portugal D. England")</f>
        <v>A. Spain B. France C. Portugal D. England</v>
      </c>
      <c r="J66" s="5" t="str">
        <f>IFERROR(__xludf.DUMMYFUNCTION("GOOGLETRANSLATE(D66,""it"",""en"")"),"Spain")</f>
        <v>Spain</v>
      </c>
      <c r="K66" s="5" t="str">
        <f>IFERROR(__xludf.DUMMYFUNCTION("GOOGLETRANSLATE(E66,""it"",""en"")"),"Spain has a similar tradition with the game of 'Pelota', which shares many characteristics with Pallone col Bracciale.")</f>
        <v>Spain has a similar tradition with the game of 'Pelota', which shares many characteristics with Pallone col Bracciale.</v>
      </c>
    </row>
    <row r="67" ht="22.5" customHeight="1">
      <c r="A67" s="4">
        <v>68.0</v>
      </c>
      <c r="B67" s="5" t="s">
        <v>1426</v>
      </c>
      <c r="C67" s="5" t="s">
        <v>1427</v>
      </c>
      <c r="D67" s="5" t="s">
        <v>1428</v>
      </c>
      <c r="E67" s="5" t="s">
        <v>1429</v>
      </c>
      <c r="F67" s="3"/>
      <c r="G67" s="4">
        <v>68.0</v>
      </c>
      <c r="H67" s="5" t="str">
        <f>IFERROR(__xludf.DUMMYFUNCTION("GOOGLETRANSLATE(B67,""it"",""en"")"),"In which part of Italy is Pallone col Bracciale most popular?")</f>
        <v>In which part of Italy is Pallone col Bracciale most popular?</v>
      </c>
      <c r="I67" s="5" t="str">
        <f>IFERROR(__xludf.DUMMYFUNCTION("GOOGLETRANSLATE(C67,""it"",""en"")"),"A. In southern Italy B. In northern Italy C. In central Italy D. In north-western Italy")</f>
        <v>A. In southern Italy B. In northern Italy C. In central Italy D. In north-western Italy</v>
      </c>
      <c r="J67" s="5" t="str">
        <f>IFERROR(__xludf.DUMMYFUNCTION("GOOGLETRANSLATE(D67,""it"",""en"")"),"In central Italy")</f>
        <v>In central Italy</v>
      </c>
      <c r="K67" s="5" t="str">
        <f>IFERROR(__xludf.DUMMYFUNCTION("GOOGLETRANSLATE(E67,""it"",""en"")"),"Pallone col Bracciale is mainly practiced in the central regions, particularly in the Marche region.")</f>
        <v>Pallone col Bracciale is mainly practiced in the central regions, particularly in the Marche region.</v>
      </c>
    </row>
    <row r="68" ht="22.5" customHeight="1">
      <c r="A68" s="4">
        <v>69.0</v>
      </c>
      <c r="B68" s="5" t="s">
        <v>1430</v>
      </c>
      <c r="C68" s="5" t="s">
        <v>1431</v>
      </c>
      <c r="D68" s="5" t="s">
        <v>1432</v>
      </c>
      <c r="E68" s="5" t="s">
        <v>1433</v>
      </c>
      <c r="F68" s="3"/>
      <c r="G68" s="4">
        <v>69.0</v>
      </c>
      <c r="H68" s="5" t="str">
        <f>IFERROR(__xludf.DUMMYFUNCTION("GOOGLETRANSLATE(B68,""it"",""en"")"),"What is the function of the score in a Pallone col Bracciale game?")</f>
        <v>What is the function of the score in a Pallone col Bracciale game?</v>
      </c>
      <c r="I68" s="5" t="str">
        <f>IFERROR(__xludf.DUMMYFUNCTION("GOOGLETRANSLATE(C68,""it"",""en"")"),"A. Determine the winner B. Maintain discipline among the players C. Add excitement to the game D. Count the number of shots")</f>
        <v>A. Determine the winner B. Maintain discipline among the players C. Add excitement to the game D. Count the number of shots</v>
      </c>
      <c r="J68" s="5" t="str">
        <f>IFERROR(__xludf.DUMMYFUNCTION("GOOGLETRANSLATE(D68,""it"",""en"")"),"Determine the winner")</f>
        <v>Determine the winner</v>
      </c>
      <c r="K68" s="5" t="str">
        <f>IFERROR(__xludf.DUMMYFUNCTION("GOOGLETRANSLATE(E68,""it"",""en"")"),"The score is used to determine who wins the match, based on successful shots.")</f>
        <v>The score is used to determine who wins the match, based on successful shots.</v>
      </c>
    </row>
    <row r="69" ht="22.5" customHeight="1">
      <c r="A69" s="4">
        <v>70.0</v>
      </c>
      <c r="B69" s="5" t="s">
        <v>1434</v>
      </c>
      <c r="C69" s="5" t="s">
        <v>1435</v>
      </c>
      <c r="D69" s="5" t="s">
        <v>1436</v>
      </c>
      <c r="E69" s="5" t="s">
        <v>1437</v>
      </c>
      <c r="F69" s="3"/>
      <c r="G69" s="4">
        <v>70.0</v>
      </c>
      <c r="H69" s="5" t="str">
        <f>IFERROR(__xludf.DUMMYFUNCTION("GOOGLETRANSLATE(B69,""it"",""en"")"),"What are the main risks in playing Pallone col Bracciale?")</f>
        <v>What are the main risks in playing Pallone col Bracciale?</v>
      </c>
      <c r="I69" s="5" t="str">
        <f>IFERROR(__xludf.DUMMYFUNCTION("GOOGLETRANSLATE(C69,""it"",""en"")"),"A. Neck injuries B. Leg injuries C. Arm injuries D. Head bruises")</f>
        <v>A. Neck injuries B. Leg injuries C. Arm injuries D. Head bruises</v>
      </c>
      <c r="J69" s="5" t="str">
        <f>IFERROR(__xludf.DUMMYFUNCTION("GOOGLETRANSLATE(D69,""it"",""en"")"),"Arm injuries")</f>
        <v>Arm injuries</v>
      </c>
      <c r="K69" s="5" t="str">
        <f>IFERROR(__xludf.DUMMYFUNCTION("GOOGLETRANSLATE(E69,""it"",""en"")"),"The main risk for players is arm injury due to the intensity of the blow delivered with the armband.")</f>
        <v>The main risk for players is arm injury due to the intensity of the blow delivered with the armband.</v>
      </c>
    </row>
    <row r="70" ht="22.5" customHeight="1">
      <c r="A70" s="4">
        <v>71.0</v>
      </c>
      <c r="B70" s="5" t="s">
        <v>1438</v>
      </c>
      <c r="C70" s="5" t="s">
        <v>1439</v>
      </c>
      <c r="D70" s="5" t="s">
        <v>1440</v>
      </c>
      <c r="E70" s="5" t="s">
        <v>1441</v>
      </c>
      <c r="F70" s="3"/>
      <c r="G70" s="4">
        <v>71.0</v>
      </c>
      <c r="H70" s="5" t="str">
        <f>IFERROR(__xludf.DUMMYFUNCTION("GOOGLETRANSLATE(B70,""it"",""en"")"),"How were Pallone col Bracciale tournaments organized in the Middle Ages?")</f>
        <v>How were Pallone col Bracciale tournaments organized in the Middle Ages?</v>
      </c>
      <c r="I70" s="5" t="str">
        <f>IFERROR(__xludf.DUMMYFUNCTION("GOOGLETRANSLATE(C70,""it"",""en"")"),"A. With public tournaments B. With matches between noble families C. With competitions between monasteries D. With religious festivals")</f>
        <v>A. With public tournaments B. With matches between noble families C. With competitions between monasteries D. With religious festivals</v>
      </c>
      <c r="J70" s="5" t="str">
        <f>IFERROR(__xludf.DUMMYFUNCTION("GOOGLETRANSLATE(D70,""it"",""en"")"),"With public tournaments")</f>
        <v>With public tournaments</v>
      </c>
      <c r="K70" s="5" t="str">
        <f>IFERROR(__xludf.DUMMYFUNCTION("GOOGLETRANSLATE(E70,""it"",""en"")"),"Tournaments were held publicly, attracting large crowds of spectators.")</f>
        <v>Tournaments were held publicly, attracting large crowds of spectators.</v>
      </c>
    </row>
    <row r="71" ht="22.5" customHeight="1">
      <c r="A71" s="4">
        <v>72.0</v>
      </c>
      <c r="B71" s="5" t="s">
        <v>1442</v>
      </c>
      <c r="C71" s="5" t="s">
        <v>1443</v>
      </c>
      <c r="D71" s="5" t="s">
        <v>1444</v>
      </c>
      <c r="E71" s="5" t="s">
        <v>1445</v>
      </c>
      <c r="F71" s="3"/>
      <c r="G71" s="4">
        <v>72.0</v>
      </c>
      <c r="H71" s="5" t="str">
        <f>IFERROR(__xludf.DUMMYFUNCTION("GOOGLETRANSLATE(B71,""it"",""en"")"),"What did the Ball with Bracelet symbolize during the Renaissance?")</f>
        <v>What did the Ball with Bracelet symbolize during the Renaissance?</v>
      </c>
      <c r="I71" s="5" t="str">
        <f>IFERROR(__xludf.DUMMYFUNCTION("GOOGLETRANSLATE(C71,""it"",""en"")"),"A. A challenge between cities B. A contest of strength between aristocrats C. A pastime for the royal court D. A symbol of power and prestige")</f>
        <v>A. A challenge between cities B. A contest of strength between aristocrats C. A pastime for the royal court D. A symbol of power and prestige</v>
      </c>
      <c r="J71" s="5" t="str">
        <f>IFERROR(__xludf.DUMMYFUNCTION("GOOGLETRANSLATE(D71,""it"",""en"")"),"A symbol of power and prestige")</f>
        <v>A symbol of power and prestige</v>
      </c>
      <c r="K71" s="5" t="str">
        <f>IFERROR(__xludf.DUMMYFUNCTION("GOOGLETRANSLATE(E71,""it"",""en"")"),"During the Renaissance, gambling was seen as a sign of prestige and power by the ruling classes.")</f>
        <v>During the Renaissance, gambling was seen as a sign of prestige and power by the ruling classes.</v>
      </c>
    </row>
    <row r="72" ht="22.5" customHeight="1">
      <c r="A72" s="4">
        <v>73.0</v>
      </c>
      <c r="B72" s="5" t="s">
        <v>1446</v>
      </c>
      <c r="C72" s="5" t="s">
        <v>1447</v>
      </c>
      <c r="D72" s="5" t="s">
        <v>1448</v>
      </c>
      <c r="E72" s="5" t="s">
        <v>1449</v>
      </c>
      <c r="F72" s="3"/>
      <c r="G72" s="4">
        <v>73.0</v>
      </c>
      <c r="H72" s="5" t="str">
        <f>IFERROR(__xludf.DUMMYFUNCTION("GOOGLETRANSLATE(B72,""it"",""en"")"),"How was success celebrated in a Pallone col Bracciale match in the past?")</f>
        <v>How was success celebrated in a Pallone col Bracciale match in the past?</v>
      </c>
      <c r="I72" s="5" t="str">
        <f>IFERROR(__xludf.DUMMYFUNCTION("GOOGLETRANSLATE(C72,""it"",""en"")"),"A. With a parade B. With a banquet C. With a concert D. With a traditional dance")</f>
        <v>A. With a parade B. With a banquet C. With a concert D. With a traditional dance</v>
      </c>
      <c r="J72" s="5" t="str">
        <f>IFERROR(__xludf.DUMMYFUNCTION("GOOGLETRANSLATE(D72,""it"",""en"")"),"With a banquet")</f>
        <v>With a banquet</v>
      </c>
      <c r="K72" s="5" t="str">
        <f>IFERROR(__xludf.DUMMYFUNCTION("GOOGLETRANSLATE(E72,""it"",""en"")"),"Success was celebrated with banquets and parties, which also included dancing and music.")</f>
        <v>Success was celebrated with banquets and parties, which also included dancing and music.</v>
      </c>
    </row>
    <row r="73" ht="22.5" customHeight="1">
      <c r="A73" s="4">
        <v>74.0</v>
      </c>
      <c r="B73" s="5" t="s">
        <v>1450</v>
      </c>
      <c r="C73" s="5" t="s">
        <v>1451</v>
      </c>
      <c r="D73" s="5" t="s">
        <v>1202</v>
      </c>
      <c r="E73" s="5" t="s">
        <v>1452</v>
      </c>
      <c r="F73" s="3"/>
      <c r="G73" s="4">
        <v>74.0</v>
      </c>
      <c r="H73" s="5" t="str">
        <f>IFERROR(__xludf.DUMMYFUNCTION("GOOGLETRANSLATE(B73,""it"",""en"")"),"Which of these objects was used by players to hit the ball?")</f>
        <v>Which of these objects was used by players to hit the ball?</v>
      </c>
      <c r="I73" s="5" t="str">
        <f>IFERROR(__xludf.DUMMYFUNCTION("GOOGLETRANSLATE(C73,""it"",""en"")"),"A. A racket B. A bracelet C. A stick D. A glove")</f>
        <v>A. A racket B. A bracelet C. A stick D. A glove</v>
      </c>
      <c r="J73" s="5" t="str">
        <f>IFERROR(__xludf.DUMMYFUNCTION("GOOGLETRANSLATE(D73,""it"",""en"")"),"A bracelet")</f>
        <v>A bracelet</v>
      </c>
      <c r="K73" s="5" t="str">
        <f>IFERROR(__xludf.DUMMYFUNCTION("GOOGLETRANSLATE(E73,""it"",""en"")"),"The bracelet was the only tool used to hit the ball in the game.")</f>
        <v>The bracelet was the only tool used to hit the ball in the game.</v>
      </c>
    </row>
    <row r="74" ht="22.5" customHeight="1">
      <c r="A74" s="4">
        <v>75.0</v>
      </c>
      <c r="B74" s="5" t="s">
        <v>1453</v>
      </c>
      <c r="C74" s="5" t="s">
        <v>1454</v>
      </c>
      <c r="D74" s="5" t="s">
        <v>1455</v>
      </c>
      <c r="E74" s="5" t="s">
        <v>1456</v>
      </c>
      <c r="F74" s="3"/>
      <c r="G74" s="4">
        <v>75.0</v>
      </c>
      <c r="H74" s="5" t="str">
        <f>IFERROR(__xludf.DUMMYFUNCTION("GOOGLETRANSLATE(B74,""it"",""en"")"),"In the game of Pallone col Bracciale, which part of the body was most stressed?")</f>
        <v>In the game of Pallone col Bracciale, which part of the body was most stressed?</v>
      </c>
      <c r="I74" s="5" t="str">
        <f>IFERROR(__xludf.DUMMYFUNCTION("GOOGLETRANSLATE(C74,""it"",""en"")"),"A. The legs B. The neck C. The hands D. The arm")</f>
        <v>A. The legs B. The neck C. The hands D. The arm</v>
      </c>
      <c r="J74" s="5" t="str">
        <f>IFERROR(__xludf.DUMMYFUNCTION("GOOGLETRANSLATE(D74,""it"",""en"")"),"The arm")</f>
        <v>The arm</v>
      </c>
      <c r="K74" s="5" t="str">
        <f>IFERROR(__xludf.DUMMYFUNCTION("GOOGLETRANSLATE(E74,""it"",""en"")"),"The arm was the most stressed part of the body, being used to hit the ball with the armband.")</f>
        <v>The arm was the most stressed part of the body, being used to hit the ball with the armband.</v>
      </c>
    </row>
    <row r="75" ht="22.5" customHeight="1">
      <c r="A75" s="4">
        <v>76.0</v>
      </c>
      <c r="B75" s="5" t="s">
        <v>1457</v>
      </c>
      <c r="C75" s="5" t="s">
        <v>1458</v>
      </c>
      <c r="D75" s="5" t="s">
        <v>1459</v>
      </c>
      <c r="E75" s="5" t="s">
        <v>1460</v>
      </c>
      <c r="F75" s="3"/>
      <c r="G75" s="4">
        <v>76.0</v>
      </c>
      <c r="H75" s="5" t="str">
        <f>IFERROR(__xludf.DUMMYFUNCTION("GOOGLETRANSLATE(B75,""it"",""en"")"),"What is used to track the score in Pallone col Bracciale games?")</f>
        <v>What is used to track the score in Pallone col Bracciale games?</v>
      </c>
      <c r="I75" s="5" t="str">
        <f>IFERROR(__xludf.DUMMYFUNCTION("GOOGLETRANSLATE(C75,""it"",""en"")"),"A. A board B. A card C. A register D. A bell")</f>
        <v>A. A board B. A card C. A register D. A bell</v>
      </c>
      <c r="J75" s="5" t="str">
        <f>IFERROR(__xludf.DUMMYFUNCTION("GOOGLETRANSLATE(D75,""it"",""en"")"),"A scoreboard")</f>
        <v>A scoreboard</v>
      </c>
      <c r="K75" s="5" t="str">
        <f>IFERROR(__xludf.DUMMYFUNCTION("GOOGLETRANSLATE(E75,""it"",""en"")"),"The score was traditionally kept on a scoreboard visible to all spectators.")</f>
        <v>The score was traditionally kept on a scoreboard visible to all spectators.</v>
      </c>
    </row>
    <row r="76" ht="22.5" customHeight="1">
      <c r="A76" s="4">
        <v>79.0</v>
      </c>
      <c r="B76" s="5" t="s">
        <v>1461</v>
      </c>
      <c r="C76" s="5" t="s">
        <v>1462</v>
      </c>
      <c r="D76" s="5" t="s">
        <v>1463</v>
      </c>
      <c r="E76" s="5" t="s">
        <v>1464</v>
      </c>
      <c r="F76" s="3"/>
      <c r="G76" s="4">
        <v>79.0</v>
      </c>
      <c r="H76" s="5" t="str">
        <f>IFERROR(__xludf.DUMMYFUNCTION("GOOGLETRANSLATE(B76,""it"",""en"")"),"What are the names of the people who participate in Pallone col Bracciale matches?")</f>
        <v>What are the names of the people who participate in Pallone col Bracciale matches?</v>
      </c>
      <c r="I76" s="5" t="str">
        <f>IFERROR(__xludf.DUMMYFUNCTION("GOOGLETRANSLATE(C76,""it"",""en"")"),"A. Players B. Athletes C. Competitors D. Bracelet players")</f>
        <v>A. Players B. Athletes C. Competitors D. Bracelet players</v>
      </c>
      <c r="J76" s="5" t="str">
        <f>IFERROR(__xludf.DUMMYFUNCTION("GOOGLETRANSLATE(D76,""it"",""en"")"),"Bracelet players")</f>
        <v>Bracelet players</v>
      </c>
      <c r="K76" s="5" t="str">
        <f>IFERROR(__xludf.DUMMYFUNCTION("GOOGLETRANSLATE(E76,""it"",""en"")"),"Participants in Pallone col Bracciale matches are called 'bracelet players'.")</f>
        <v>Participants in Pallone col Bracciale matches are called 'bracelet players'.</v>
      </c>
    </row>
    <row r="77" ht="22.5" customHeight="1">
      <c r="A77" s="4">
        <v>80.0</v>
      </c>
      <c r="B77" s="5" t="s">
        <v>1465</v>
      </c>
      <c r="C77" s="5" t="s">
        <v>1466</v>
      </c>
      <c r="D77" s="5" t="s">
        <v>1187</v>
      </c>
      <c r="E77" s="5" t="s">
        <v>1467</v>
      </c>
      <c r="F77" s="3"/>
      <c r="G77" s="4">
        <v>80.0</v>
      </c>
      <c r="H77" s="5" t="str">
        <f>IFERROR(__xludf.DUMMYFUNCTION("GOOGLETRANSLATE(B77,""it"",""en"")"),"Which of the following cities is famous for hosting a major Pallone col Bracciale tournament in the 19th century?")</f>
        <v>Which of the following cities is famous for hosting a major Pallone col Bracciale tournament in the 19th century?</v>
      </c>
      <c r="I77" s="5" t="str">
        <f>IFERROR(__xludf.DUMMYFUNCTION("GOOGLETRANSLATE(C77,""it"",""en"")"),"A. Milan B. Naples C. Pesaro D. Venice")</f>
        <v>A. Milan B. Naples C. Pesaro D. Venice</v>
      </c>
      <c r="J77" s="5" t="str">
        <f>IFERROR(__xludf.DUMMYFUNCTION("GOOGLETRANSLATE(D77,""it"",""en"")"),"Pesaro")</f>
        <v>Pesaro</v>
      </c>
      <c r="K77" s="5" t="str">
        <f>IFERROR(__xludf.DUMMYFUNCTION("GOOGLETRANSLATE(E77,""it"",""en"")"),"Pesaro is a city known for having hosted major historic Pallone col Bracciale tournaments.")</f>
        <v>Pesaro is a city known for having hosted major historic Pallone col Bracciale tournaments.</v>
      </c>
    </row>
    <row r="78" ht="22.5" customHeight="1">
      <c r="A78" s="4">
        <v>81.0</v>
      </c>
      <c r="B78" s="5" t="s">
        <v>1468</v>
      </c>
      <c r="C78" s="5" t="s">
        <v>1469</v>
      </c>
      <c r="D78" s="5" t="s">
        <v>1470</v>
      </c>
      <c r="E78" s="5" t="s">
        <v>1471</v>
      </c>
      <c r="F78" s="3"/>
      <c r="G78" s="4">
        <v>81.0</v>
      </c>
      <c r="H78" s="5" t="str">
        <f>IFERROR(__xludf.DUMMYFUNCTION("GOOGLETRANSLATE(B78,""it"",""en"")"),"In the past, what tools were used to protect players during matches?")</f>
        <v>In the past, what tools were used to protect players during matches?</v>
      </c>
      <c r="I78" s="5" t="str">
        <f>IFERROR(__xludf.DUMMYFUNCTION("GOOGLETRANSLATE(C78,""it"",""en"")"),"A. Helmets B. Knee pads C. Leather bracers D. Metal protectors")</f>
        <v>A. Helmets B. Knee pads C. Leather bracers D. Metal protectors</v>
      </c>
      <c r="J78" s="5" t="str">
        <f>IFERROR(__xludf.DUMMYFUNCTION("GOOGLETRANSLATE(D78,""it"",""en"")"),"Leather bracelets")</f>
        <v>Leather bracelets</v>
      </c>
      <c r="K78" s="5" t="str">
        <f>IFERROR(__xludf.DUMMYFUNCTION("GOOGLETRANSLATE(E78,""it"",""en"")"),"Players used leather bracers to protect their forearms during the game.")</f>
        <v>Players used leather bracers to protect their forearms during the game.</v>
      </c>
    </row>
    <row r="79" ht="22.5" customHeight="1">
      <c r="A79" s="4">
        <v>82.0</v>
      </c>
      <c r="B79" s="5" t="s">
        <v>1472</v>
      </c>
      <c r="C79" s="5" t="s">
        <v>1473</v>
      </c>
      <c r="D79" s="5" t="s">
        <v>1388</v>
      </c>
      <c r="E79" s="5" t="s">
        <v>1474</v>
      </c>
      <c r="F79" s="3"/>
      <c r="G79" s="4">
        <v>82.0</v>
      </c>
      <c r="H79" s="5" t="str">
        <f>IFERROR(__xludf.DUMMYFUNCTION("GOOGLETRANSLATE(B79,""it"",""en"")"),"Which annual event is famous for including a Pallone col Bracciale match?")</f>
        <v>Which annual event is famous for including a Pallone col Bracciale match?</v>
      </c>
      <c r="I79" s="5" t="str">
        <f>IFERROR(__xludf.DUMMYFUNCTION("GOOGLETRANSLATE(C79,""it"",""en"")"),"A. The Fair of San Giovanni B. The Palio of Siena C. The Carnival of Venice D. The Feast of the Madonna della Cintura")</f>
        <v>A. The Fair of San Giovanni B. The Palio of Siena C. The Carnival of Venice D. The Feast of the Madonna della Cintura</v>
      </c>
      <c r="J79" s="5" t="str">
        <f>IFERROR(__xludf.DUMMYFUNCTION("GOOGLETRANSLATE(D79,""it"",""en"")"),"The Palio of Pesaro")</f>
        <v>The Palio of Pesaro</v>
      </c>
      <c r="K79" s="5" t="str">
        <f>IFERROR(__xludf.DUMMYFUNCTION("GOOGLETRANSLATE(E79,""it"",""en"")"),"The Palio di Pesaro is an annual event famous for including matches of Pallone col Bracciale.")</f>
        <v>The Palio di Pesaro is an annual event famous for including matches of Pallone col Bracciale.</v>
      </c>
    </row>
    <row r="80" ht="22.5" customHeight="1">
      <c r="A80" s="4">
        <v>83.0</v>
      </c>
      <c r="B80" s="5" t="s">
        <v>1475</v>
      </c>
      <c r="C80" s="5" t="s">
        <v>1476</v>
      </c>
      <c r="D80" s="5" t="s">
        <v>1240</v>
      </c>
      <c r="E80" s="5" t="s">
        <v>1477</v>
      </c>
      <c r="F80" s="3"/>
      <c r="G80" s="4">
        <v>83.0</v>
      </c>
      <c r="H80" s="5" t="str">
        <f>IFERROR(__xludf.DUMMYFUNCTION("GOOGLETRANSLATE(B80,""it"",""en"")"),"What are the points earned during a Pallone col Bracciale game called?")</f>
        <v>What are the points earned during a Pallone col Bracciale game called?</v>
      </c>
      <c r="I80" s="5" t="str">
        <f>IFERROR(__xludf.DUMMYFUNCTION("GOOGLETRANSLATE(C80,""it"",""en"")"),"A. Cases B. Games C. Spins D. Rounds")</f>
        <v>A. Cases B. Games C. Spins D. Rounds</v>
      </c>
      <c r="J80" s="5" t="str">
        <f>IFERROR(__xludf.DUMMYFUNCTION("GOOGLETRANSLATE(D80,""it"",""en"")"),"Cases")</f>
        <v>Cases</v>
      </c>
      <c r="K80" s="5" t="str">
        <f>IFERROR(__xludf.DUMMYFUNCTION("GOOGLETRANSLATE(E80,""it"",""en"")"),"Points earned during a match are called 'cases'.")</f>
        <v>Points earned during a match are called 'cases'.</v>
      </c>
    </row>
    <row r="81" ht="22.5" customHeight="1">
      <c r="A81" s="4">
        <v>84.0</v>
      </c>
      <c r="B81" s="5" t="s">
        <v>1478</v>
      </c>
      <c r="C81" s="5" t="s">
        <v>1479</v>
      </c>
      <c r="D81" s="5" t="s">
        <v>1480</v>
      </c>
      <c r="E81" s="5" t="s">
        <v>1481</v>
      </c>
      <c r="F81" s="3"/>
      <c r="G81" s="4">
        <v>84.0</v>
      </c>
      <c r="H81" s="5" t="str">
        <f>IFERROR(__xludf.DUMMYFUNCTION("GOOGLETRANSLATE(B81,""it"",""en"")"),"In the 16th century, what game similar to Pallone col Bracciale was played in France?")</f>
        <v>In the 16th century, what game similar to Pallone col Bracciale was played in France?</v>
      </c>
      <c r="I81" s="5" t="str">
        <f>IFERROR(__xludf.DUMMYFUNCTION("GOOGLETRANSLATE(C81,""it"",""en"")"),"A. Pelota B. Jeu de Paume C. Balloon at the Lunette D. Choule")</f>
        <v>A. Pelota B. Jeu de Paume C. Balloon at the Lunette D. Choule</v>
      </c>
      <c r="J81" s="5" t="str">
        <f>IFERROR(__xludf.DUMMYFUNCTION("GOOGLETRANSLATE(D81,""it"",""en"")"),"Jeu de Paume")</f>
        <v>Jeu de Paume</v>
      </c>
      <c r="K81" s="5" t="str">
        <f>IFERROR(__xludf.DUMMYFUNCTION("GOOGLETRANSLATE(E81,""it"",""en"")"),"The 'Jeu de Paume' in France is similar to the Pallone col Bracciale and has had an impact on the development of sports such as tennis.")</f>
        <v>The 'Jeu de Paume' in France is similar to the Pallone col Bracciale and has had an impact on the development of sports such as tennis.</v>
      </c>
    </row>
    <row r="82" ht="22.5" customHeight="1">
      <c r="A82" s="4">
        <v>85.0</v>
      </c>
      <c r="B82" s="5" t="s">
        <v>1482</v>
      </c>
      <c r="C82" s="5" t="s">
        <v>1483</v>
      </c>
      <c r="D82" s="5" t="s">
        <v>1484</v>
      </c>
      <c r="E82" s="5" t="s">
        <v>1485</v>
      </c>
      <c r="F82" s="3"/>
      <c r="G82" s="4">
        <v>85.0</v>
      </c>
      <c r="H82" s="5" t="str">
        <f>IFERROR(__xludf.DUMMYFUNCTION("GOOGLETRANSLATE(B82,""it"",""en"")"),"Where were the Pallone col Bracciale competitions held during the Renaissance?")</f>
        <v>Where were the Pallone col Bracciale competitions held during the Renaissance?</v>
      </c>
      <c r="I82" s="5" t="str">
        <f>IFERROR(__xludf.DUMMYFUNCTION("GOOGLETRANSLATE(C82,""it"",""en"")"),"A. In royal palaces B. In public squares and courtyards C. In specially built stadiums D. In large covered halls")</f>
        <v>A. In royal palaces B. In public squares and courtyards C. In specially built stadiums D. In large covered halls</v>
      </c>
      <c r="J82" s="5" t="str">
        <f>IFERROR(__xludf.DUMMYFUNCTION("GOOGLETRANSLATE(D82,""it"",""en"")"),"In public squares and courtyards")</f>
        <v>In public squares and courtyards</v>
      </c>
      <c r="K82" s="5" t="str">
        <f>IFERROR(__xludf.DUMMYFUNCTION("GOOGLETRANSLATE(E82,""it"",""en"")"),"The competitions were held in public squares and courtyards, open to a wide audience.")</f>
        <v>The competitions were held in public squares and courtyards, open to a wide audience.</v>
      </c>
    </row>
    <row r="83" ht="22.5" customHeight="1">
      <c r="A83" s="4">
        <v>86.0</v>
      </c>
      <c r="B83" s="5" t="s">
        <v>1486</v>
      </c>
      <c r="C83" s="5" t="s">
        <v>1487</v>
      </c>
      <c r="D83" s="5" t="s">
        <v>1202</v>
      </c>
      <c r="E83" s="5" t="s">
        <v>1488</v>
      </c>
      <c r="F83" s="3"/>
      <c r="G83" s="4">
        <v>86.0</v>
      </c>
      <c r="H83" s="5" t="str">
        <f>IFERROR(__xludf.DUMMYFUNCTION("GOOGLETRANSLATE(B83,""it"",""en"")"),"Which of the following tools is essential for playing Pallone col Bracciale?")</f>
        <v>Which of the following tools is essential for playing Pallone col Bracciale?</v>
      </c>
      <c r="I83" s="5" t="str">
        <f>IFERROR(__xludf.DUMMYFUNCTION("GOOGLETRANSLATE(C83,""it"",""en"")"),"A. A racket B. A bracelet C. A soccer ball D. A net")</f>
        <v>A. A racket B. A bracelet C. A soccer ball D. A net</v>
      </c>
      <c r="J83" s="5" t="str">
        <f>IFERROR(__xludf.DUMMYFUNCTION("GOOGLETRANSLATE(D83,""it"",""en"")"),"A bracelet")</f>
        <v>A bracelet</v>
      </c>
      <c r="K83" s="5" t="str">
        <f>IFERROR(__xludf.DUMMYFUNCTION("GOOGLETRANSLATE(E83,""it"",""en"")"),"The bracelet is essential for hitting the ball in the game of Ball with Bracelet.")</f>
        <v>The bracelet is essential for hitting the ball in the game of Ball with Bracelet.</v>
      </c>
    </row>
    <row r="84" ht="22.5" customHeight="1">
      <c r="A84" s="4">
        <v>87.0</v>
      </c>
      <c r="B84" s="5" t="s">
        <v>1489</v>
      </c>
      <c r="C84" s="5" t="s">
        <v>1490</v>
      </c>
      <c r="D84" s="5" t="s">
        <v>1491</v>
      </c>
      <c r="E84" s="5" t="s">
        <v>1492</v>
      </c>
      <c r="F84" s="3"/>
      <c r="G84" s="4">
        <v>87.0</v>
      </c>
      <c r="H84" s="5" t="str">
        <f>IFERROR(__xludf.DUMMYFUNCTION("GOOGLETRANSLATE(B84,""it"",""en"")"),"In the 19th century, how were Pallone col Bracciale matches promoted?")</f>
        <v>In the 19th century, how were Pallone col Bracciale matches promoted?</v>
      </c>
      <c r="I84" s="5" t="str">
        <f>IFERROR(__xludf.DUMMYFUNCTION("GOOGLETRANSLATE(C84,""it"",""en"")"),"A. With advertisements in newspapers B. With theatrical performances C. With television events D. With public events and fairs")</f>
        <v>A. With advertisements in newspapers B. With theatrical performances C. With television events D. With public events and fairs</v>
      </c>
      <c r="J84" s="5" t="str">
        <f>IFERROR(__xludf.DUMMYFUNCTION("GOOGLETRANSLATE(D84,""it"",""en"")"),"With public events and fairs")</f>
        <v>With public events and fairs</v>
      </c>
      <c r="K84" s="5" t="str">
        <f>IFERROR(__xludf.DUMMYFUNCTION("GOOGLETRANSLATE(E84,""it"",""en"")"),"The matches were promoted with public events and fairs, attracting large audiences.")</f>
        <v>The matches were promoted with public events and fairs, attracting large audiences.</v>
      </c>
    </row>
    <row r="85" ht="22.5" customHeight="1">
      <c r="A85" s="4">
        <v>88.0</v>
      </c>
      <c r="B85" s="5" t="s">
        <v>1493</v>
      </c>
      <c r="C85" s="5" t="s">
        <v>1494</v>
      </c>
      <c r="D85" s="5" t="s">
        <v>1495</v>
      </c>
      <c r="E85" s="5" t="s">
        <v>1496</v>
      </c>
      <c r="F85" s="3"/>
      <c r="G85" s="4">
        <v>88.0</v>
      </c>
      <c r="H85" s="5" t="str">
        <f>IFERROR(__xludf.DUMMYFUNCTION("GOOGLETRANSLATE(B85,""it"",""en"")"),"What activity is part of Pallone col Bracciale besides the game?")</f>
        <v>What activity is part of Pallone col Bracciale besides the game?</v>
      </c>
      <c r="I85" s="5" t="str">
        <f>IFERROR(__xludf.DUMMYFUNCTION("GOOGLETRANSLATE(C85,""it"",""en"")"),"A. Fishing B. Horseback riding C. Traditional cuisine D. Folk music and dances")</f>
        <v>A. Fishing B. Horseback riding C. Traditional cuisine D. Folk music and dances</v>
      </c>
      <c r="J85" s="5" t="str">
        <f>IFERROR(__xludf.DUMMYFUNCTION("GOOGLETRANSLATE(D85,""it"",""en"")"),"Folk music and dances")</f>
        <v>Folk music and dances</v>
      </c>
      <c r="K85" s="5" t="str">
        <f>IFERROR(__xludf.DUMMYFUNCTION("GOOGLETRANSLATE(E85,""it"",""en"")"),"The matches were often accompanied by music and folk dances during the festivities.")</f>
        <v>The matches were often accompanied by music and folk dances during the festivities.</v>
      </c>
    </row>
    <row r="86" ht="22.5" customHeight="1">
      <c r="A86" s="4">
        <v>89.0</v>
      </c>
      <c r="B86" s="5" t="s">
        <v>1497</v>
      </c>
      <c r="C86" s="5" t="s">
        <v>1498</v>
      </c>
      <c r="D86" s="5" t="s">
        <v>1499</v>
      </c>
      <c r="E86" s="5" t="s">
        <v>1500</v>
      </c>
      <c r="F86" s="3"/>
      <c r="G86" s="4">
        <v>89.0</v>
      </c>
      <c r="H86" s="5" t="str">
        <f>IFERROR(__xludf.DUMMYFUNCTION("GOOGLETRANSLATE(B86,""it"",""en"")"),"What are the Pallone col Bracciale tournaments called today?")</f>
        <v>What are the Pallone col Bracciale tournaments called today?</v>
      </c>
      <c r="I86" s="5" t="str">
        <f>IFERROR(__xludf.DUMMYFUNCTION("GOOGLETRANSLATE(C86,""it"",""en"")"),"A. Bracelet Cup B. Pesaro Trophy C. National Bracelet Football Championship D. Golden Ball")</f>
        <v>A. Bracelet Cup B. Pesaro Trophy C. National Bracelet Football Championship D. Golden Ball</v>
      </c>
      <c r="J86" s="5" t="str">
        <f>IFERROR(__xludf.DUMMYFUNCTION("GOOGLETRANSLATE(D86,""it"",""en"")"),"National Bracelet Ball Championship")</f>
        <v>National Bracelet Ball Championship</v>
      </c>
      <c r="K86" s="5" t="str">
        <f>IFERROR(__xludf.DUMMYFUNCTION("GOOGLETRANSLATE(E86,""it"",""en"")"),"Today, the main Pallone col Bracciale championship is the National Pallone col Bracciale Championship.")</f>
        <v>Today, the main Pallone col Bracciale championship is the National Pallone col Bracciale Championship.</v>
      </c>
    </row>
    <row r="87" ht="22.5" customHeight="1">
      <c r="A87" s="4">
        <v>90.0</v>
      </c>
      <c r="B87" s="5" t="s">
        <v>1501</v>
      </c>
      <c r="C87" s="5" t="s">
        <v>1502</v>
      </c>
      <c r="D87" s="5" t="s">
        <v>1503</v>
      </c>
      <c r="E87" s="5" t="s">
        <v>1504</v>
      </c>
      <c r="F87" s="3"/>
      <c r="G87" s="4">
        <v>90.0</v>
      </c>
      <c r="H87" s="5" t="str">
        <f>IFERROR(__xludf.DUMMYFUNCTION("GOOGLETRANSLATE(B87,""it"",""en"")"),"What type of surface is ideal for playing Pallone col Bracciale?")</f>
        <v>What type of surface is ideal for playing Pallone col Bracciale?</v>
      </c>
      <c r="I87" s="5" t="str">
        <f>IFERROR(__xludf.DUMMYFUNCTION("GOOGLETRANSLATE(C87,""it"",""en"")"),"A. Soft surface B. Hard and smooth surface C. Grassy surface D. Sandy surface")</f>
        <v>A. Soft surface B. Hard and smooth surface C. Grassy surface D. Sandy surface</v>
      </c>
      <c r="J87" s="5" t="str">
        <f>IFERROR(__xludf.DUMMYFUNCTION("GOOGLETRANSLATE(D87,""it"",""en"")"),"Hard and smooth surface")</f>
        <v>Hard and smooth surface</v>
      </c>
      <c r="K87" s="5" t="str">
        <f>IFERROR(__xludf.DUMMYFUNCTION("GOOGLETRANSLATE(E87,""it"",""en"")"),"The ideal surface for playing is hard and smooth to allow the ball to bounce correctly.")</f>
        <v>The ideal surface for playing is hard and smooth to allow the ball to bounce correctly.</v>
      </c>
    </row>
    <row r="88" ht="22.5" customHeight="1">
      <c r="A88" s="4">
        <v>91.0</v>
      </c>
      <c r="B88" s="5" t="s">
        <v>1505</v>
      </c>
      <c r="C88" s="5" t="s">
        <v>1506</v>
      </c>
      <c r="D88" s="5" t="s">
        <v>1507</v>
      </c>
      <c r="E88" s="5" t="s">
        <v>1508</v>
      </c>
      <c r="F88" s="3"/>
      <c r="G88" s="4">
        <v>91.0</v>
      </c>
      <c r="H88" s="5" t="str">
        <f>IFERROR(__xludf.DUMMYFUNCTION("GOOGLETRANSLATE(B88,""it"",""en"")"),"Which of the following is an important rule in Bracelet Ball?")</f>
        <v>Which of the following is an important rule in Bracelet Ball?</v>
      </c>
      <c r="I88" s="5" t="str">
        <f>IFERROR(__xludf.DUMMYFUNCTION("GOOGLETRANSLATE(C88,""it"",""en"")"),"A. The player must always stand B. The ball must never touch the ground C. The ball must bounce against the wall D. The score cannot exceed 10 points")</f>
        <v>A. The player must always stand B. The ball must never touch the ground C. The ball must bounce against the wall D. The score cannot exceed 10 points</v>
      </c>
      <c r="J88" s="5" t="str">
        <f>IFERROR(__xludf.DUMMYFUNCTION("GOOGLETRANSLATE(D88,""it"",""en"")"),"The ball must bounce against the wall")</f>
        <v>The ball must bounce against the wall</v>
      </c>
      <c r="K88" s="5" t="str">
        <f>IFERROR(__xludf.DUMMYFUNCTION("GOOGLETRANSLATE(E88,""it"",""en"")"),"A fundamental rule is that the ball must bounce off the wall before being hit again.")</f>
        <v>A fundamental rule is that the ball must bounce off the wall before being hit again.</v>
      </c>
    </row>
    <row r="89" ht="22.5" customHeight="1">
      <c r="A89" s="4">
        <v>92.0</v>
      </c>
      <c r="B89" s="5" t="s">
        <v>1509</v>
      </c>
      <c r="C89" s="5" t="s">
        <v>1510</v>
      </c>
      <c r="D89" s="5" t="s">
        <v>1511</v>
      </c>
      <c r="E89" s="5" t="s">
        <v>1512</v>
      </c>
      <c r="F89" s="3"/>
      <c r="G89" s="4">
        <v>92.0</v>
      </c>
      <c r="H89" s="5" t="str">
        <f>IFERROR(__xludf.DUMMYFUNCTION("GOOGLETRANSLATE(B89,""it"",""en"")"),"What is the name of the team that competes in the game of Pallone col Bracciale?")</f>
        <v>What is the name of the team that competes in the game of Pallone col Bracciale?</v>
      </c>
      <c r="I89" s="5" t="str">
        <f>IFERROR(__xludf.DUMMYFUNCTION("GOOGLETRANSLATE(C89,""it"",""en"")"),"A. Football team B. Bracelet team C. There are no teams, it is individual D. Team of local players")</f>
        <v>A. Football team B. Bracelet team C. There are no teams, it is individual D. Team of local players</v>
      </c>
      <c r="J89" s="5" t="str">
        <f>IFERROR(__xludf.DUMMYFUNCTION("GOOGLETRANSLATE(D89,""it"",""en"")"),"There are no teams, it's individual")</f>
        <v>There are no teams, it's individual</v>
      </c>
      <c r="K89" s="5" t="str">
        <f>IFERROR(__xludf.DUMMYFUNCTION("GOOGLETRANSLATE(E89,""it"",""en"")"),"The game of Pallone col Bracciale is generally individual, without formal teams.")</f>
        <v>The game of Pallone col Bracciale is generally individual, without formal teams.</v>
      </c>
    </row>
    <row r="90" ht="22.5" customHeight="1">
      <c r="A90" s="4">
        <v>93.0</v>
      </c>
      <c r="B90" s="5" t="s">
        <v>1513</v>
      </c>
      <c r="C90" s="5" t="s">
        <v>1514</v>
      </c>
      <c r="D90" s="5" t="s">
        <v>1515</v>
      </c>
      <c r="E90" s="5" t="s">
        <v>1516</v>
      </c>
      <c r="F90" s="3"/>
      <c r="G90" s="4">
        <v>93.0</v>
      </c>
      <c r="H90" s="5" t="str">
        <f>IFERROR(__xludf.DUMMYFUNCTION("GOOGLETRANSLATE(B90,""it"",""en"")"),"What type of bracelet is used in the game of Pallone col Bracciale?")</f>
        <v>What type of bracelet is used in the game of Pallone col Bracciale?</v>
      </c>
      <c r="I90" s="5" t="str">
        <f>IFERROR(__xludf.DUMMYFUNCTION("GOOGLETRANSLATE(C90,""it"",""en"")"),"A. A rigid bracelet B. An elastic bracelet C. A metal bracelet D. A leather or wooden bracelet")</f>
        <v>A. A rigid bracelet B. An elastic bracelet C. A metal bracelet D. A leather or wooden bracelet</v>
      </c>
      <c r="J90" s="5" t="str">
        <f>IFERROR(__xludf.DUMMYFUNCTION("GOOGLETRANSLATE(D90,""it"",""en"")"),"A leather or wooden bracelet")</f>
        <v>A leather or wooden bracelet</v>
      </c>
      <c r="K90" s="5" t="str">
        <f>IFERROR(__xludf.DUMMYFUNCTION("GOOGLETRANSLATE(E90,""it"",""en"")"),"The armband used in the game is traditionally made of leather or wood, to protect the arm during strikes.")</f>
        <v>The armband used in the game is traditionally made of leather or wood, to protect the arm during strikes.</v>
      </c>
    </row>
    <row r="91" ht="22.5" customHeight="1">
      <c r="A91" s="4">
        <v>94.0</v>
      </c>
      <c r="B91" s="5" t="s">
        <v>1517</v>
      </c>
      <c r="C91" s="5" t="s">
        <v>1518</v>
      </c>
      <c r="D91" s="5" t="s">
        <v>1519</v>
      </c>
      <c r="E91" s="5" t="s">
        <v>1520</v>
      </c>
      <c r="F91" s="3"/>
      <c r="G91" s="4">
        <v>94.0</v>
      </c>
      <c r="H91" s="5" t="str">
        <f>IFERROR(__xludf.DUMMYFUNCTION("GOOGLETRANSLATE(B91,""it"",""en"")"),"In what historical period did the Pallone col Bracciale begin to decline in popularity?")</f>
        <v>In what historical period did the Pallone col Bracciale begin to decline in popularity?</v>
      </c>
      <c r="I91" s="5" t="str">
        <f>IFERROR(__xludf.DUMMYFUNCTION("GOOGLETRANSLATE(C91,""it"",""en"")"),"A. During Antiquity B. During the Renaissance C. In the 18th century D. In the 20th century")</f>
        <v>A. During Antiquity B. During the Renaissance C. In the 18th century D. In the 20th century</v>
      </c>
      <c r="J91" s="5" t="str">
        <f>IFERROR(__xludf.DUMMYFUNCTION("GOOGLETRANSLATE(D91,""it"",""en"")"),"In the 20th century")</f>
        <v>In the 20th century</v>
      </c>
      <c r="K91" s="5" t="str">
        <f>IFERROR(__xludf.DUMMYFUNCTION("GOOGLETRANSLATE(E91,""it"",""en"")"),"Pallone col Bracciale began to decline in the 20th century due to the growing popularity of other sports.")</f>
        <v>Pallone col Bracciale began to decline in the 20th century due to the growing popularity of other sports.</v>
      </c>
    </row>
    <row r="92" ht="22.5" customHeight="1">
      <c r="A92" s="4">
        <v>95.0</v>
      </c>
      <c r="B92" s="5" t="s">
        <v>1521</v>
      </c>
      <c r="C92" s="5" t="s">
        <v>1522</v>
      </c>
      <c r="D92" s="5" t="s">
        <v>1523</v>
      </c>
      <c r="E92" s="5" t="s">
        <v>1524</v>
      </c>
      <c r="F92" s="3"/>
      <c r="G92" s="4">
        <v>95.0</v>
      </c>
      <c r="H92" s="5" t="str">
        <f>IFERROR(__xludf.DUMMYFUNCTION("GOOGLETRANSLATE(B92,""it"",""en"")"),"What kind of audience attended matches during the Renaissance?")</f>
        <v>What kind of audience attended matches during the Renaissance?</v>
      </c>
      <c r="I92" s="5" t="str">
        <f>IFERROR(__xludf.DUMMYFUNCTION("GOOGLETRANSLATE(C92,""it"",""en"")"),"A. Only the nobility B. Only the peasants C. A varied audience of all social classes D. Only the soldiers")</f>
        <v>A. Only the nobility B. Only the peasants C. A varied audience of all social classes D. Only the soldiers</v>
      </c>
      <c r="J92" s="5" t="str">
        <f>IFERROR(__xludf.DUMMYFUNCTION("GOOGLETRANSLATE(D92,""it"",""en"")"),"A diverse audience from all social classes")</f>
        <v>A diverse audience from all social classes</v>
      </c>
      <c r="K92" s="5" t="str">
        <f>IFERROR(__xludf.DUMMYFUNCTION("GOOGLETRANSLATE(E92,""it"",""en"")"),"During the Renaissance, the game attracted a diverse audience, including people from all social classes.")</f>
        <v>During the Renaissance, the game attracted a diverse audience, including people from all social classes.</v>
      </c>
    </row>
    <row r="93" ht="22.5" customHeight="1">
      <c r="A93" s="4">
        <v>96.0</v>
      </c>
      <c r="B93" s="5" t="s">
        <v>1525</v>
      </c>
      <c r="C93" s="5" t="s">
        <v>1526</v>
      </c>
      <c r="D93" s="5" t="s">
        <v>1527</v>
      </c>
      <c r="E93" s="5" t="s">
        <v>1528</v>
      </c>
      <c r="F93" s="3"/>
      <c r="G93" s="4">
        <v>96.0</v>
      </c>
      <c r="H93" s="5" t="str">
        <f>IFERROR(__xludf.DUMMYFUNCTION("GOOGLETRANSLATE(B93,""it"",""en"")"),"What characterized professional Pallone col Bracciale players during the Renaissance?")</f>
        <v>What characterized professional Pallone col Bracciale players during the Renaissance?</v>
      </c>
      <c r="I93" s="5" t="str">
        <f>IFERROR(__xludf.DUMMYFUNCTION("GOOGLETRANSLATE(C93,""it"",""en"")"),"A. They had intensive training B. They played only for money C. They wore traditional costumes D. They were very young")</f>
        <v>A. They had intensive training B. They played only for money C. They wore traditional costumes D. They were very young</v>
      </c>
      <c r="J93" s="5" t="str">
        <f>IFERROR(__xludf.DUMMYFUNCTION("GOOGLETRANSLATE(D93,""it"",""en"")"),"They had intensive training")</f>
        <v>They had intensive training</v>
      </c>
      <c r="K93" s="5" t="str">
        <f>IFERROR(__xludf.DUMMYFUNCTION("GOOGLETRANSLATE(E93,""it"",""en"")"),"Professional players in the Renaissance were highly trained and specialized in the game.")</f>
        <v>Professional players in the Renaissance were highly trained and specialized in the game.</v>
      </c>
    </row>
    <row r="94" ht="22.5" customHeight="1">
      <c r="A94" s="4">
        <v>97.0</v>
      </c>
      <c r="B94" s="5" t="s">
        <v>1529</v>
      </c>
      <c r="C94" s="5" t="s">
        <v>1530</v>
      </c>
      <c r="D94" s="5" t="s">
        <v>1531</v>
      </c>
      <c r="E94" s="5" t="s">
        <v>1532</v>
      </c>
      <c r="F94" s="3"/>
      <c r="G94" s="4">
        <v>97.0</v>
      </c>
      <c r="H94" s="5" t="str">
        <f>IFERROR(__xludf.DUMMYFUNCTION("GOOGLETRANSLATE(B94,""it"",""en"")"),"In which city was one of the most important Pallone col Bracciale tournaments of the 16th century organized?")</f>
        <v>In which city was one of the most important Pallone col Bracciale tournaments of the 16th century organized?</v>
      </c>
      <c r="I94" s="5" t="str">
        <f>IFERROR(__xludf.DUMMYFUNCTION("GOOGLETRANSLATE(C94,""it"",""en"")"),"A. Naples B. Florence C. Pesaro D. Rome")</f>
        <v>A. Naples B. Florence C. Pesaro D. Rome</v>
      </c>
      <c r="J94" s="5" t="str">
        <f>IFERROR(__xludf.DUMMYFUNCTION("GOOGLETRANSLATE(D94,""it"",""en"")"),"Florence")</f>
        <v>Florence</v>
      </c>
      <c r="K94" s="5" t="str">
        <f>IFERROR(__xludf.DUMMYFUNCTION("GOOGLETRANSLATE(E94,""it"",""en"")"),"Florence was one of the cities that hosted important Pallone col Bracciale tournaments in the 16th century.")</f>
        <v>Florence was one of the cities that hosted important Pallone col Bracciale tournaments in the 16th century.</v>
      </c>
    </row>
    <row r="95" ht="22.5" customHeight="1">
      <c r="A95" s="4">
        <v>98.0</v>
      </c>
      <c r="B95" s="5" t="s">
        <v>1533</v>
      </c>
      <c r="C95" s="5" t="s">
        <v>1534</v>
      </c>
      <c r="D95" s="5" t="s">
        <v>1535</v>
      </c>
      <c r="E95" s="5" t="s">
        <v>1536</v>
      </c>
      <c r="F95" s="3"/>
      <c r="G95" s="4">
        <v>98.0</v>
      </c>
      <c r="H95" s="5" t="str">
        <f>IFERROR(__xludf.DUMMYFUNCTION("GOOGLETRANSLATE(B95,""it"",""en"")"),"What is the main function of the wall in the game of Pallone col Bracciale?")</f>
        <v>What is the main function of the wall in the game of Pallone col Bracciale?</v>
      </c>
      <c r="I95" s="5" t="str">
        <f>IFERROR(__xludf.DUMMYFUNCTION("GOOGLETRANSLATE(C95,""it"",""en"")"),"A. Bounce the ball B. Engage the audience C. Keep score D. Mark the playing field")</f>
        <v>A. Bounce the ball B. Engage the audience C. Keep score D. Mark the playing field</v>
      </c>
      <c r="J95" s="5" t="str">
        <f>IFERROR(__xludf.DUMMYFUNCTION("GOOGLETRANSLATE(D95,""it"",""en"")"),"Bounce the ball")</f>
        <v>Bounce the ball</v>
      </c>
      <c r="K95" s="5" t="str">
        <f>IFERROR(__xludf.DUMMYFUNCTION("GOOGLETRANSLATE(E95,""it"",""en"")"),"The wall serves primarily to bounce the ball, a central aspect of the game.")</f>
        <v>The wall serves primarily to bounce the ball, a central aspect of the game.</v>
      </c>
    </row>
    <row r="96" ht="22.5" customHeight="1">
      <c r="A96" s="4">
        <v>99.0</v>
      </c>
      <c r="B96" s="5" t="s">
        <v>1537</v>
      </c>
      <c r="C96" s="5" t="s">
        <v>1538</v>
      </c>
      <c r="D96" s="5" t="s">
        <v>1539</v>
      </c>
      <c r="E96" s="5" t="s">
        <v>1540</v>
      </c>
      <c r="F96" s="3"/>
      <c r="G96" s="4">
        <v>99.0</v>
      </c>
      <c r="H96" s="5" t="str">
        <f>IFERROR(__xludf.DUMMYFUNCTION("GOOGLETRANSLATE(B96,""it"",""en"")"),"In the game of Pallone col Bracciale, which of the following shots is considered the most difficult?")</f>
        <v>In the game of Pallone col Bracciale, which of the following shots is considered the most difficult?</v>
      </c>
      <c r="I96" s="5" t="str">
        <f>IFERROR(__xludf.DUMMYFUNCTION("GOOGLETRANSLATE(C96,""it"",""en"")"),"A. Hitting the ball with the hand B. Hitting the ball on the fly C. Hitting the ball with the wristband in motion D. Hitting the ball with the head")</f>
        <v>A. Hitting the ball with the hand B. Hitting the ball on the fly C. Hitting the ball with the wristband in motion D. Hitting the ball with the head</v>
      </c>
      <c r="J96" s="5" t="str">
        <f>IFERROR(__xludf.DUMMYFUNCTION("GOOGLETRANSLATE(D96,""it"",""en"")"),"Hit the ball with the bracelet in motion")</f>
        <v>Hit the ball with the bracelet in motion</v>
      </c>
      <c r="K96" s="5" t="str">
        <f>IFERROR(__xludf.DUMMYFUNCTION("GOOGLETRANSLATE(E96,""it"",""en"")"),"Hitting the ball with the wristband while moving is one of the most difficult shots in the game.")</f>
        <v>Hitting the ball with the wristband while moving is one of the most difficult shots in the game.</v>
      </c>
    </row>
    <row r="97" ht="22.5" customHeight="1">
      <c r="A97" s="4">
        <v>100.0</v>
      </c>
      <c r="B97" s="5" t="s">
        <v>1541</v>
      </c>
      <c r="C97" s="5" t="s">
        <v>1542</v>
      </c>
      <c r="D97" s="5" t="s">
        <v>1543</v>
      </c>
      <c r="E97" s="5" t="s">
        <v>1544</v>
      </c>
      <c r="F97" s="3"/>
      <c r="G97" s="4">
        <v>100.0</v>
      </c>
      <c r="H97" s="5" t="str">
        <f>IFERROR(__xludf.DUMMYFUNCTION("GOOGLETRANSLATE(B97,""it"",""en"")"),"What is one of the main characteristics of the Pallone col Bracciale tradition?")</f>
        <v>What is one of the main characteristics of the Pallone col Bracciale tradition?</v>
      </c>
      <c r="I97" s="5" t="str">
        <f>IFERROR(__xludf.DUMMYFUNCTION("GOOGLETRANSLATE(C97,""it"",""en"")"),"A. It is played only in winter B. It involves only young people C. The matches are linked to holidays and celebrations D. The game is played only by professionals")</f>
        <v>A. It is played only in winter B. It involves only young people C. The matches are linked to holidays and celebrations D. The game is played only by professionals</v>
      </c>
      <c r="J97" s="5" t="str">
        <f>IFERROR(__xludf.DUMMYFUNCTION("GOOGLETRANSLATE(D97,""it"",""en"")"),"The matches are linked to holidays and celebrations")</f>
        <v>The matches are linked to holidays and celebrations</v>
      </c>
      <c r="K97" s="5" t="str">
        <f>IFERROR(__xludf.DUMMYFUNCTION("GOOGLETRANSLATE(E97,""it"",""en"")"),"The game is traditionally linked to popular holidays and celebrations.")</f>
        <v>The game is traditionally linked to popular holidays and celebrations.</v>
      </c>
    </row>
    <row r="98" ht="22.5" customHeight="1">
      <c r="A98" s="4">
        <v>101.0</v>
      </c>
      <c r="B98" s="5" t="s">
        <v>1545</v>
      </c>
      <c r="C98" s="5" t="s">
        <v>1546</v>
      </c>
      <c r="D98" s="5" t="s">
        <v>1547</v>
      </c>
      <c r="E98" s="5" t="s">
        <v>1548</v>
      </c>
      <c r="F98" s="3"/>
      <c r="G98" s="4">
        <v>101.0</v>
      </c>
      <c r="H98" s="5" t="str">
        <f>IFERROR(__xludf.DUMMYFUNCTION("GOOGLETRANSLATE(B98,""it"",""en"")"),"What type of bracelet was most common in medieval Italy?")</f>
        <v>What type of bracelet was most common in medieval Italy?</v>
      </c>
      <c r="I98" s="5" t="str">
        <f>IFERROR(__xludf.DUMMYFUNCTION("GOOGLETRANSLATE(C98,""it"",""en"")"),"A. Wooden bracelet B. Steel bracelet C. Leather bracelet D. Fabric bracelet")</f>
        <v>A. Wooden bracelet B. Steel bracelet C. Leather bracelet D. Fabric bracelet</v>
      </c>
      <c r="J98" s="5" t="str">
        <f>IFERROR(__xludf.DUMMYFUNCTION("GOOGLETRANSLATE(D98,""it"",""en"")"),"Leather bracelet")</f>
        <v>Leather bracelet</v>
      </c>
      <c r="K98" s="5" t="str">
        <f>IFERROR(__xludf.DUMMYFUNCTION("GOOGLETRANSLATE(E98,""it"",""en"")"),"In the Middle Ages, the most common bracelet was made of leather, as it offered good protection and flexibility.")</f>
        <v>In the Middle Ages, the most common bracelet was made of leather, as it offered good protection and flexibility.</v>
      </c>
    </row>
    <row r="99" ht="22.5" customHeight="1">
      <c r="A99" s="4">
        <v>102.0</v>
      </c>
      <c r="B99" s="5" t="s">
        <v>1549</v>
      </c>
      <c r="C99" s="5" t="s">
        <v>1550</v>
      </c>
      <c r="D99" s="5" t="s">
        <v>1551</v>
      </c>
      <c r="E99" s="5" t="s">
        <v>1552</v>
      </c>
      <c r="F99" s="3"/>
      <c r="G99" s="4">
        <v>102.0</v>
      </c>
      <c r="H99" s="5" t="str">
        <f>IFERROR(__xludf.DUMMYFUNCTION("GOOGLETRANSLATE(B99,""it"",""en"")"),"In which century did the Pallone col Bracciale become very popular in Italy?")</f>
        <v>In which century did the Pallone col Bracciale become very popular in Italy?</v>
      </c>
      <c r="I99" s="5" t="str">
        <f>IFERROR(__xludf.DUMMYFUNCTION("GOOGLETRANSLATE(C99,""it"",""en"")"),"A. 12th century B. 13th century C. 14th century D. 15th century")</f>
        <v>A. 12th century B. 13th century C. 14th century D. 15th century</v>
      </c>
      <c r="J99" s="5" t="str">
        <f>IFERROR(__xludf.DUMMYFUNCTION("GOOGLETRANSLATE(D99,""it"",""en"")"),"13th century")</f>
        <v>13th century</v>
      </c>
      <c r="K99" s="5" t="str">
        <f>IFERROR(__xludf.DUMMYFUNCTION("GOOGLETRANSLATE(E99,""it"",""en"")"),"The Pallone col Bracciale became very popular in Italy in the 13th century, especially in aristocratic courts.")</f>
        <v>The Pallone col Bracciale became very popular in Italy in the 13th century, especially in aristocratic courts.</v>
      </c>
    </row>
    <row r="100" ht="22.5" customHeight="1">
      <c r="A100" s="4">
        <v>103.0</v>
      </c>
      <c r="B100" s="5" t="s">
        <v>1553</v>
      </c>
      <c r="C100" s="5" t="s">
        <v>1554</v>
      </c>
      <c r="D100" s="5" t="s">
        <v>1187</v>
      </c>
      <c r="E100" s="5" t="s">
        <v>1555</v>
      </c>
      <c r="F100" s="3"/>
      <c r="G100" s="4">
        <v>103.0</v>
      </c>
      <c r="H100" s="5" t="str">
        <f>IFERROR(__xludf.DUMMYFUNCTION("GOOGLETRANSLATE(B100,""it"",""en"")"),"Which Italian city is famous for hosting historic Pallone col Bracciale tournaments?")</f>
        <v>Which Italian city is famous for hosting historic Pallone col Bracciale tournaments?</v>
      </c>
      <c r="I100" s="5" t="str">
        <f>IFERROR(__xludf.DUMMYFUNCTION("GOOGLETRANSLATE(C100,""it"",""en"")"),"A. Florence B. Milan C. Venice D. Pesaro")</f>
        <v>A. Florence B. Milan C. Venice D. Pesaro</v>
      </c>
      <c r="J100" s="5" t="str">
        <f>IFERROR(__xludf.DUMMYFUNCTION("GOOGLETRANSLATE(D100,""it"",""en"")"),"Pesaro")</f>
        <v>Pesaro</v>
      </c>
      <c r="K100" s="5" t="str">
        <f>IFERROR(__xludf.DUMMYFUNCTION("GOOGLETRANSLATE(E100,""it"",""en"")"),"Pesaro has been known for hosting historic Pallone col Bracciale tournaments since the Renaissance.")</f>
        <v>Pesaro has been known for hosting historic Pallone col Bracciale tournaments since the Renaissance.</v>
      </c>
    </row>
    <row r="101" ht="22.5" customHeight="1">
      <c r="A101" s="4">
        <v>104.0</v>
      </c>
      <c r="B101" s="5" t="s">
        <v>1556</v>
      </c>
      <c r="C101" s="5" t="s">
        <v>1557</v>
      </c>
      <c r="D101" s="5" t="s">
        <v>1558</v>
      </c>
      <c r="E101" s="5" t="s">
        <v>1559</v>
      </c>
      <c r="F101" s="3"/>
      <c r="G101" s="4">
        <v>104.0</v>
      </c>
      <c r="H101" s="5" t="str">
        <f>IFERROR(__xludf.DUMMYFUNCTION("GOOGLETRANSLATE(B101,""it"",""en"")"),"Which of the following elements was essential in the game of Pallone col Bracciale?")</f>
        <v>Which of the following elements was essential in the game of Pallone col Bracciale?</v>
      </c>
      <c r="I101" s="5" t="str">
        <f>IFERROR(__xludf.DUMMYFUNCTION("GOOGLETRANSLATE(C101,""it"",""en"")"),"A. An enclosed arena B. A protective armband C. A net D. An inflatable ball")</f>
        <v>A. An enclosed arena B. A protective armband C. A net D. An inflatable ball</v>
      </c>
      <c r="J101" s="5" t="str">
        <f>IFERROR(__xludf.DUMMYFUNCTION("GOOGLETRANSLATE(D101,""it"",""en"")"),"A protective bracelet")</f>
        <v>A protective bracelet</v>
      </c>
      <c r="K101" s="5" t="str">
        <f>IFERROR(__xludf.DUMMYFUNCTION("GOOGLETRANSLATE(E101,""it"",""en"")"),"The protective armband was essential to protect the players' arms during the game.")</f>
        <v>The protective armband was essential to protect the players' arms during the game.</v>
      </c>
    </row>
    <row r="102" ht="22.5" customHeight="1">
      <c r="A102" s="4">
        <v>105.0</v>
      </c>
      <c r="B102" s="5" t="s">
        <v>1560</v>
      </c>
      <c r="C102" s="5" t="s">
        <v>1561</v>
      </c>
      <c r="D102" s="5" t="s">
        <v>1562</v>
      </c>
      <c r="E102" s="5" t="s">
        <v>1563</v>
      </c>
      <c r="F102" s="3"/>
      <c r="G102" s="4">
        <v>105.0</v>
      </c>
      <c r="H102" s="5" t="str">
        <f>IFERROR(__xludf.DUMMYFUNCTION("GOOGLETRANSLATE(B102,""it"",""en"")"),"What did the Pallone col Bracciale represent for the upper classes during the Renaissance?")</f>
        <v>What did the Pallone col Bracciale represent for the upper classes during the Renaissance?</v>
      </c>
      <c r="I102" s="5" t="str">
        <f>IFERROR(__xludf.DUMMYFUNCTION("GOOGLETRANSLATE(C102,""it"",""en"")"),"A. A court pastime B. A war game C. An educational sport D. A sign of prestige and power")</f>
        <v>A. A court pastime B. A war game C. An educational sport D. A sign of prestige and power</v>
      </c>
      <c r="J102" s="5" t="str">
        <f>IFERROR(__xludf.DUMMYFUNCTION("GOOGLETRANSLATE(D102,""it"",""en"")"),"A sign of prestige and power")</f>
        <v>A sign of prestige and power</v>
      </c>
      <c r="K102" s="5" t="str">
        <f>IFERROR(__xludf.DUMMYFUNCTION("GOOGLETRANSLATE(E102,""it"",""en"")"),"During the Renaissance, the Pallone col Bracciale was considered a sign of prestige and power for the aristocratic classes.")</f>
        <v>During the Renaissance, the Pallone col Bracciale was considered a sign of prestige and power for the aristocratic classes.</v>
      </c>
    </row>
    <row r="103" ht="22.5" customHeight="1">
      <c r="A103" s="4">
        <v>106.0</v>
      </c>
      <c r="B103" s="5" t="s">
        <v>1564</v>
      </c>
      <c r="C103" s="5" t="s">
        <v>1565</v>
      </c>
      <c r="D103" s="5" t="s">
        <v>1566</v>
      </c>
      <c r="E103" s="5" t="s">
        <v>1567</v>
      </c>
      <c r="F103" s="3"/>
      <c r="G103" s="4">
        <v>106.0</v>
      </c>
      <c r="H103" s="5" t="str">
        <f>IFERROR(__xludf.DUMMYFUNCTION("GOOGLETRANSLATE(B103,""it"",""en"")"),"How were Pallone col Bracciale tournaments organized during the Renaissance?")</f>
        <v>How were Pallone col Bracciale tournaments organized during the Renaissance?</v>
      </c>
      <c r="I103" s="5" t="str">
        <f>IFERROR(__xludf.DUMMYFUNCTION("GOOGLETRANSLATE(C103,""it"",""en"")"),"A. They were private and rare B. They were public and festive events C. They were reserved for the nobility D. They were solitary games")</f>
        <v>A. They were private and rare B. They were public and festive events C. They were reserved for the nobility D. They were solitary games</v>
      </c>
      <c r="J103" s="5" t="str">
        <f>IFERROR(__xludf.DUMMYFUNCTION("GOOGLETRANSLATE(D103,""it"",""en"")"),"They were public and festive events")</f>
        <v>They were public and festive events</v>
      </c>
      <c r="K103" s="5" t="str">
        <f>IFERROR(__xludf.DUMMYFUNCTION("GOOGLETRANSLATE(E103,""it"",""en"")"),"Tournaments were organized as public and festive events, attracting large crowds.")</f>
        <v>Tournaments were organized as public and festive events, attracting large crowds.</v>
      </c>
    </row>
    <row r="104" ht="22.5" customHeight="1">
      <c r="A104" s="4">
        <v>107.0</v>
      </c>
      <c r="B104" s="5" t="s">
        <v>1568</v>
      </c>
      <c r="C104" s="5" t="s">
        <v>1569</v>
      </c>
      <c r="D104" s="5" t="s">
        <v>1570</v>
      </c>
      <c r="E104" s="5" t="s">
        <v>1571</v>
      </c>
      <c r="F104" s="3"/>
      <c r="G104" s="4">
        <v>107.0</v>
      </c>
      <c r="H104" s="5" t="str">
        <f>IFERROR(__xludf.DUMMYFUNCTION("GOOGLETRANSLATE(B104,""it"",""en"")"),"In the game of Ball and Bracelet, what happens if the ball doesn't bounce correctly against the wall?")</f>
        <v>In the game of Ball and Bracelet, what happens if the ball doesn't bounce correctly against the wall?</v>
      </c>
      <c r="I104" s="5" t="str">
        <f>IFERROR(__xludf.DUMMYFUNCTION("GOOGLETRANSLATE(C104,""it"",""en"")"),"A. The game continues B. The point is cancelled C. The point is won by the opponent D. The game is suspended")</f>
        <v>A. The game continues B. The point is cancelled C. The point is won by the opponent D. The game is suspended</v>
      </c>
      <c r="J104" s="5" t="str">
        <f>IFERROR(__xludf.DUMMYFUNCTION("GOOGLETRANSLATE(D104,""it"",""en"")"),"The point is cancelled")</f>
        <v>The point is cancelled</v>
      </c>
      <c r="K104" s="5" t="str">
        <f>IFERROR(__xludf.DUMMYFUNCTION("GOOGLETRANSLATE(E104,""it"",""en"")"),"If the ball does not bounce correctly against the wall, the point is cancelled.")</f>
        <v>If the ball does not bounce correctly against the wall, the point is cancelled.</v>
      </c>
    </row>
    <row r="105" ht="22.5" customHeight="1">
      <c r="A105" s="4">
        <v>108.0</v>
      </c>
      <c r="B105" s="5" t="s">
        <v>1572</v>
      </c>
      <c r="C105" s="5" t="s">
        <v>1573</v>
      </c>
      <c r="D105" s="5" t="s">
        <v>1574</v>
      </c>
      <c r="E105" s="5" t="s">
        <v>1575</v>
      </c>
      <c r="F105" s="3"/>
      <c r="G105" s="4">
        <v>108.0</v>
      </c>
      <c r="H105" s="5" t="str">
        <f>IFERROR(__xludf.DUMMYFUNCTION("GOOGLETRANSLATE(B105,""it"",""en"")"),"What other sport similar to Pallone col Bracciale is played in Spain?")</f>
        <v>What other sport similar to Pallone col Bracciale is played in Spain?</v>
      </c>
      <c r="I105" s="5" t="str">
        <f>IFERROR(__xludf.DUMMYFUNCTION("GOOGLETRANSLATE(C105,""it"",""en"")"),"A. Pelota B. Basque pelota C. Frontón D. Squash")</f>
        <v>A. Pelota B. Basque pelota C. Frontón D. Squash</v>
      </c>
      <c r="J105" s="5" t="str">
        <f>IFERROR(__xludf.DUMMYFUNCTION("GOOGLETRANSLATE(D105,""it"",""en"")"),"Basque pelota")</f>
        <v>Basque pelota</v>
      </c>
      <c r="K105" s="5" t="str">
        <f>IFERROR(__xludf.DUMMYFUNCTION("GOOGLETRANSLATE(E105,""it"",""en"")"),"The similar game in Spain is Basque pelota, which shares many similarities with Pallone col Bracciale.")</f>
        <v>The similar game in Spain is Basque pelota, which shares many similarities with Pallone col Bracciale.</v>
      </c>
    </row>
    <row r="106" ht="22.5" customHeight="1">
      <c r="A106" s="4">
        <v>109.0</v>
      </c>
      <c r="B106" s="5" t="s">
        <v>1576</v>
      </c>
      <c r="C106" s="5" t="s">
        <v>1577</v>
      </c>
      <c r="D106" s="5" t="s">
        <v>1578</v>
      </c>
      <c r="E106" s="5" t="s">
        <v>1579</v>
      </c>
      <c r="F106" s="3"/>
      <c r="G106" s="4">
        <v>109.0</v>
      </c>
      <c r="H106" s="5" t="str">
        <f>IFERROR(__xludf.DUMMYFUNCTION("GOOGLETRANSLATE(B106,""it"",""en"")"),"In what kind of environment did the historic Pallone col Bracciale matches take place?")</f>
        <v>In what kind of environment did the historic Pallone col Bracciale matches take place?</v>
      </c>
      <c r="I106" s="5" t="str">
        <f>IFERROR(__xludf.DUMMYFUNCTION("GOOGLETRANSLATE(C106,""it"",""en"")"),"A. In modern stadiums B. In covered gyms C. In public squares D. In private courtyards")</f>
        <v>A. In modern stadiums B. In covered gyms C. In public squares D. In private courtyards</v>
      </c>
      <c r="J106" s="5" t="str">
        <f>IFERROR(__xludf.DUMMYFUNCTION("GOOGLETRANSLATE(D106,""it"",""en"")"),"In public squares")</f>
        <v>In public squares</v>
      </c>
      <c r="K106" s="5" t="str">
        <f>IFERROR(__xludf.DUMMYFUNCTION("GOOGLETRANSLATE(E106,""it"",""en"")"),"Historical matches were mainly held in public squares, places easily accessible to the population.")</f>
        <v>Historical matches were mainly held in public squares, places easily accessible to the population.</v>
      </c>
    </row>
    <row r="107" ht="22.5" customHeight="1">
      <c r="A107" s="4">
        <v>110.0</v>
      </c>
      <c r="B107" s="5" t="s">
        <v>1580</v>
      </c>
      <c r="C107" s="5" t="s">
        <v>1581</v>
      </c>
      <c r="D107" s="5" t="s">
        <v>1582</v>
      </c>
      <c r="E107" s="5" t="s">
        <v>1583</v>
      </c>
      <c r="F107" s="3"/>
      <c r="G107" s="4">
        <v>110.0</v>
      </c>
      <c r="H107" s="5" t="str">
        <f>IFERROR(__xludf.DUMMYFUNCTION("GOOGLETRANSLATE(B107,""it"",""en"")"),"What is the main objective of the players in a game of Pallone col Bracciale?")</f>
        <v>What is the main objective of the players in a game of Pallone col Bracciale?</v>
      </c>
      <c r="I107" s="5" t="str">
        <f>IFERROR(__xludf.DUMMYFUNCTION("GOOGLETRANSLATE(C107,""it"",""en"")"),"A. Hit the ball on the fly B. Get noticed by the nobility C. Bounce the ball against the wall D. Get the highest score possible")</f>
        <v>A. Hit the ball on the fly B. Get noticed by the nobility C. Bounce the ball against the wall D. Get the highest score possible</v>
      </c>
      <c r="J107" s="5" t="str">
        <f>IFERROR(__xludf.DUMMYFUNCTION("GOOGLETRANSLATE(D107,""it"",""en"")"),"Bounce the ball against the wall")</f>
        <v>Bounce the ball against the wall</v>
      </c>
      <c r="K107" s="5" t="str">
        <f>IFERROR(__xludf.DUMMYFUNCTION("GOOGLETRANSLATE(E107,""it"",""en"")"),"The main goal of the players is to bounce the ball against the wall in a strategic way.")</f>
        <v>The main goal of the players is to bounce the ball against the wall in a strategic way.</v>
      </c>
    </row>
    <row r="108" ht="22.5" customHeight="1">
      <c r="A108" s="4">
        <v>111.0</v>
      </c>
      <c r="B108" s="5" t="s">
        <v>1584</v>
      </c>
      <c r="C108" s="5" t="s">
        <v>1585</v>
      </c>
      <c r="D108" s="5" t="s">
        <v>1586</v>
      </c>
      <c r="E108" s="5" t="s">
        <v>1587</v>
      </c>
      <c r="F108" s="3"/>
      <c r="G108" s="4">
        <v>111.0</v>
      </c>
      <c r="H108" s="5" t="str">
        <f>IFERROR(__xludf.DUMMYFUNCTION("GOOGLETRANSLATE(B108,""it"",""en"")"),"In Pallone col Bracciale, how long does a match last?")</f>
        <v>In Pallone col Bracciale, how long does a match last?</v>
      </c>
      <c r="I108" s="5" t="str">
        <f>IFERROR(__xludf.DUMMYFUNCTION("GOOGLETRANSLATE(C108,""it"",""en"")"),"A. Until a team scores B. Up to 10 points C. Up to 15 points D. Until a set score is reached")</f>
        <v>A. Until a team scores B. Up to 10 points C. Up to 15 points D. Until a set score is reached</v>
      </c>
      <c r="J108" s="5" t="str">
        <f>IFERROR(__xludf.DUMMYFUNCTION("GOOGLETRANSLATE(D108,""it"",""en"")"),"Until a set score is reached")</f>
        <v>Until a set score is reached</v>
      </c>
      <c r="K108" s="5" t="str">
        <f>IFERROR(__xludf.DUMMYFUNCTION("GOOGLETRANSLATE(E108,""it"",""en"")"),"Matches last until a predetermined score is reached, which can vary.")</f>
        <v>Matches last until a predetermined score is reached, which can vary.</v>
      </c>
    </row>
    <row r="109" ht="22.5" customHeight="1">
      <c r="A109" s="4">
        <v>112.0</v>
      </c>
      <c r="B109" s="5" t="s">
        <v>1588</v>
      </c>
      <c r="C109" s="5" t="s">
        <v>1589</v>
      </c>
      <c r="D109" s="5" t="s">
        <v>1590</v>
      </c>
      <c r="E109" s="5" t="s">
        <v>1591</v>
      </c>
      <c r="F109" s="3"/>
      <c r="G109" s="4">
        <v>112.0</v>
      </c>
      <c r="H109" s="5" t="str">
        <f>IFERROR(__xludf.DUMMYFUNCTION("GOOGLETRANSLATE(B109,""it"",""en"")"),"In the game, what are the main risks for players?")</f>
        <v>In the game, what are the main risks for players?</v>
      </c>
      <c r="I109" s="5" t="str">
        <f>IFERROR(__xludf.DUMMYFUNCTION("GOOGLETRANSLATE(C109,""it"",""en"")"),"A. Back injuries B. Head bruises C. Hand and arm injuries D. Breathing problems")</f>
        <v>A. Back injuries B. Head bruises C. Hand and arm injuries D. Breathing problems</v>
      </c>
      <c r="J109" s="5" t="str">
        <f>IFERROR(__xludf.DUMMYFUNCTION("GOOGLETRANSLATE(D109,""it"",""en"")"),"Hand and arm injuries")</f>
        <v>Hand and arm injuries</v>
      </c>
      <c r="K109" s="5" t="str">
        <f>IFERROR(__xludf.DUMMYFUNCTION("GOOGLETRANSLATE(E109,""it"",""en"")"),"Players are at risk of hand and arm injuries from using the wristband to hit the ball.")</f>
        <v>Players are at risk of hand and arm injuries from using the wristband to hit the ball.</v>
      </c>
    </row>
    <row r="110" ht="22.5" customHeight="1">
      <c r="A110" s="4">
        <v>113.0</v>
      </c>
      <c r="B110" s="5" t="s">
        <v>1592</v>
      </c>
      <c r="C110" s="5" t="s">
        <v>1223</v>
      </c>
      <c r="D110" s="5" t="s">
        <v>1224</v>
      </c>
      <c r="E110" s="5" t="s">
        <v>1593</v>
      </c>
      <c r="F110" s="3"/>
      <c r="G110" s="4">
        <v>113.0</v>
      </c>
      <c r="H110" s="5" t="str">
        <f>IFERROR(__xludf.DUMMYFUNCTION("GOOGLETRANSLATE(B110,""it"",""en"")"),"In which century did Pallone col Bracciale become a popular pastime for noble courts?")</f>
        <v>In which century did Pallone col Bracciale become a popular pastime for noble courts?</v>
      </c>
      <c r="I110" s="5" t="str">
        <f>IFERROR(__xludf.DUMMYFUNCTION("GOOGLETRANSLATE(C110,""it"",""en"")"),"A. 11th century B. 14th century C. 15th century D. 16th century")</f>
        <v>A. 11th century B. 14th century C. 15th century D. 16th century</v>
      </c>
      <c r="J110" s="5" t="str">
        <f>IFERROR(__xludf.DUMMYFUNCTION("GOOGLETRANSLATE(D110,""it"",""en"")"),"14th century")</f>
        <v>14th century</v>
      </c>
      <c r="K110" s="5" t="str">
        <f>IFERROR(__xludf.DUMMYFUNCTION("GOOGLETRANSLATE(E110,""it"",""en"")"),"Pallone col Bracciale became popular among noble courts in the 14th century, when the game spread among the aristocracy.")</f>
        <v>Pallone col Bracciale became popular among noble courts in the 14th century, when the game spread among the aristocracy.</v>
      </c>
    </row>
    <row r="111" ht="22.5" customHeight="1">
      <c r="A111" s="4">
        <v>114.0</v>
      </c>
      <c r="B111" s="5" t="s">
        <v>1594</v>
      </c>
      <c r="C111" s="5" t="s">
        <v>1595</v>
      </c>
      <c r="D111" s="5" t="s">
        <v>1424</v>
      </c>
      <c r="E111" s="5" t="s">
        <v>1596</v>
      </c>
      <c r="F111" s="3"/>
      <c r="G111" s="4">
        <v>114.0</v>
      </c>
      <c r="H111" s="5" t="str">
        <f>IFERROR(__xludf.DUMMYFUNCTION("GOOGLETRANSLATE(B111,""it"",""en"")"),"In which European country did a game similar to Pallone col Bracciale, called 'La Pelota', originate?")</f>
        <v>In which European country did a game similar to Pallone col Bracciale, called 'La Pelota', originate?</v>
      </c>
      <c r="I111" s="5" t="str">
        <f>IFERROR(__xludf.DUMMYFUNCTION("GOOGLETRANSLATE(C111,""it"",""en"")"),"A. France B. Italy C. Spain D. Portugal")</f>
        <v>A. France B. Italy C. Spain D. Portugal</v>
      </c>
      <c r="J111" s="5" t="str">
        <f>IFERROR(__xludf.DUMMYFUNCTION("GOOGLETRANSLATE(D111,""it"",""en"")"),"Spain")</f>
        <v>Spain</v>
      </c>
      <c r="K111" s="5" t="str">
        <f>IFERROR(__xludf.DUMMYFUNCTION("GOOGLETRANSLATE(E111,""it"",""en"")"),"Pelota is a similar game that originated in Spain and shares many characteristics with Pallone col Bracciale.")</f>
        <v>Pelota is a similar game that originated in Spain and shares many characteristics with Pallone col Bracciale.</v>
      </c>
    </row>
    <row r="112" ht="22.5" customHeight="1">
      <c r="A112" s="4">
        <v>115.0</v>
      </c>
      <c r="B112" s="5" t="s">
        <v>1597</v>
      </c>
      <c r="C112" s="5" t="s">
        <v>1598</v>
      </c>
      <c r="D112" s="5" t="s">
        <v>1599</v>
      </c>
      <c r="E112" s="5" t="s">
        <v>1600</v>
      </c>
      <c r="F112" s="3"/>
      <c r="G112" s="4">
        <v>115.0</v>
      </c>
      <c r="H112" s="5" t="str">
        <f>IFERROR(__xludf.DUMMYFUNCTION("GOOGLETRANSLATE(B112,""it"",""en"")"),"Which historical period marks the peak of the development of the Pallone col Bracciale in Italy?")</f>
        <v>Which historical period marks the peak of the development of the Pallone col Bracciale in Italy?</v>
      </c>
      <c r="I112" s="5" t="str">
        <f>IFERROR(__xludf.DUMMYFUNCTION("GOOGLETRANSLATE(C112,""it"",""en"")"),"A. The Renaissance B. The Middle Ages C. The Modern Era D. The Baroque")</f>
        <v>A. The Renaissance B. The Middle Ages C. The Modern Era D. The Baroque</v>
      </c>
      <c r="J112" s="5" t="str">
        <f>IFERROR(__xludf.DUMMYFUNCTION("GOOGLETRANSLATE(D112,""it"",""en"")"),"The Renaissance")</f>
        <v>The Renaissance</v>
      </c>
      <c r="K112" s="5" t="str">
        <f>IFERROR(__xludf.DUMMYFUNCTION("GOOGLETRANSLATE(E112,""it"",""en"")"),"The maximum development of the Pallone col Bracciale in Italy occurred during the Renaissance.")</f>
        <v>The maximum development of the Pallone col Bracciale in Italy occurred during the Renaissance.</v>
      </c>
    </row>
    <row r="113" ht="22.5" customHeight="1">
      <c r="A113" s="4">
        <v>116.0</v>
      </c>
      <c r="B113" s="5" t="s">
        <v>1601</v>
      </c>
      <c r="C113" s="5" t="s">
        <v>1602</v>
      </c>
      <c r="D113" s="5" t="s">
        <v>1232</v>
      </c>
      <c r="E113" s="5" t="s">
        <v>1603</v>
      </c>
      <c r="F113" s="3"/>
      <c r="G113" s="4">
        <v>116.0</v>
      </c>
      <c r="H113" s="5" t="str">
        <f>IFERROR(__xludf.DUMMYFUNCTION("GOOGLETRANSLATE(B113,""it"",""en"")"),"In which region of Italy is the game of Pallone col Bracciale particularly popular?")</f>
        <v>In which region of Italy is the game of Pallone col Bracciale particularly popular?</v>
      </c>
      <c r="I113" s="5" t="str">
        <f>IFERROR(__xludf.DUMMYFUNCTION("GOOGLETRANSLATE(C113,""it"",""en"")"),"A. Marche B. Tuscany C. Lazio D. Sicily")</f>
        <v>A. Marche B. Tuscany C. Lazio D. Sicily</v>
      </c>
      <c r="J113" s="5" t="str">
        <f>IFERROR(__xludf.DUMMYFUNCTION("GOOGLETRANSLATE(D113,""it"",""en"")"),"Marche")</f>
        <v>Marche</v>
      </c>
      <c r="K113" s="5" t="str">
        <f>IFERROR(__xludf.DUMMYFUNCTION("GOOGLETRANSLATE(E113,""it"",""en"")"),"The game is particularly popular in the Marche region, especially in the city of Pesaro.")</f>
        <v>The game is particularly popular in the Marche region, especially in the city of Pesaro.</v>
      </c>
    </row>
    <row r="114" ht="22.5" customHeight="1">
      <c r="A114" s="4">
        <v>117.0</v>
      </c>
      <c r="B114" s="5" t="s">
        <v>1604</v>
      </c>
      <c r="C114" s="5" t="s">
        <v>1605</v>
      </c>
      <c r="D114" s="5" t="s">
        <v>1448</v>
      </c>
      <c r="E114" s="5" t="s">
        <v>1606</v>
      </c>
      <c r="F114" s="3"/>
      <c r="G114" s="4">
        <v>117.0</v>
      </c>
      <c r="H114" s="5" t="str">
        <f>IFERROR(__xludf.DUMMYFUNCTION("GOOGLETRANSLATE(B114,""it"",""en"")"),"How was success in a Pallone col Bracciale tournament celebrated in the past?")</f>
        <v>How was success in a Pallone col Bracciale tournament celebrated in the past?</v>
      </c>
      <c r="I114" s="5" t="str">
        <f>IFERROR(__xludf.DUMMYFUNCTION("GOOGLETRANSLATE(C114,""it"",""en"")"),"A. With a banquet B. With a toast C. With a religious celebration D. With a public award ceremony")</f>
        <v>A. With a banquet B. With a toast C. With a religious celebration D. With a public award ceremony</v>
      </c>
      <c r="J114" s="5" t="str">
        <f>IFERROR(__xludf.DUMMYFUNCTION("GOOGLETRANSLATE(D114,""it"",""en"")"),"With a banquet")</f>
        <v>With a banquet</v>
      </c>
      <c r="K114" s="5" t="str">
        <f>IFERROR(__xludf.DUMMYFUNCTION("GOOGLETRANSLATE(E114,""it"",""en"")"),"Success in historical tournaments was celebrated with banquets and public festivities.")</f>
        <v>Success in historical tournaments was celebrated with banquets and public festivities.</v>
      </c>
    </row>
    <row r="115" ht="22.5" customHeight="1">
      <c r="A115" s="4">
        <v>118.0</v>
      </c>
      <c r="B115" s="5" t="s">
        <v>1607</v>
      </c>
      <c r="C115" s="5" t="s">
        <v>1608</v>
      </c>
      <c r="D115" s="5" t="s">
        <v>1206</v>
      </c>
      <c r="E115" s="5" t="s">
        <v>1609</v>
      </c>
      <c r="F115" s="3"/>
      <c r="G115" s="4">
        <v>118.0</v>
      </c>
      <c r="H115" s="5" t="str">
        <f>IFERROR(__xludf.DUMMYFUNCTION("GOOGLETRANSLATE(B115,""it"",""en"")"),"What type of ball was used in the Pallone col Bracciale?")</f>
        <v>What type of ball was used in the Pallone col Bracciale?</v>
      </c>
      <c r="I115" s="5" t="str">
        <f>IFERROR(__xludf.DUMMYFUNCTION("GOOGLETRANSLATE(C115,""it"",""en"")"),"A. A leather ball B. A wooden ball C. A rubber ball D. A leather ball")</f>
        <v>A. A leather ball B. A wooden ball C. A rubber ball D. A leather ball</v>
      </c>
      <c r="J115" s="5" t="str">
        <f>IFERROR(__xludf.DUMMYFUNCTION("GOOGLETRANSLATE(D115,""it"",""en"")"),"A leather ball")</f>
        <v>A leather ball</v>
      </c>
      <c r="K115" s="5" t="str">
        <f>IFERROR(__xludf.DUMMYFUNCTION("GOOGLETRANSLATE(E115,""it"",""en"")"),"The ball used in Pallone col Bracciale was made of leather, a durable material for bracelet shots.")</f>
        <v>The ball used in Pallone col Bracciale was made of leather, a durable material for bracelet shots.</v>
      </c>
    </row>
    <row r="116" ht="22.5" customHeight="1">
      <c r="A116" s="4">
        <v>119.0</v>
      </c>
      <c r="B116" s="5" t="s">
        <v>1610</v>
      </c>
      <c r="C116" s="5" t="s">
        <v>1611</v>
      </c>
      <c r="D116" s="5" t="s">
        <v>1612</v>
      </c>
      <c r="E116" s="5" t="s">
        <v>1613</v>
      </c>
      <c r="F116" s="3"/>
      <c r="G116" s="4">
        <v>119.0</v>
      </c>
      <c r="H116" s="5" t="str">
        <f>IFERROR(__xludf.DUMMYFUNCTION("GOOGLETRANSLATE(B116,""it"",""en"")"),"Which of the following objects is not used in the game of Ball and Bracelet?")</f>
        <v>Which of the following objects is not used in the game of Ball and Bracelet?</v>
      </c>
      <c r="I116" s="5" t="str">
        <f>IFERROR(__xludf.DUMMYFUNCTION("GOOGLETRANSLATE(C116,""it"",""en"")"),"A. A bracelet B. A ball C. A net D. A wall")</f>
        <v>A. A bracelet B. A ball C. A net D. A wall</v>
      </c>
      <c r="J116" s="5" t="str">
        <f>IFERROR(__xludf.DUMMYFUNCTION("GOOGLETRANSLATE(D116,""it"",""en"")"),"A network")</f>
        <v>A network</v>
      </c>
      <c r="K116" s="5" t="str">
        <f>IFERROR(__xludf.DUMMYFUNCTION("GOOGLETRANSLATE(E116,""it"",""en"")"),"In Pallone col Bracciale, a net is not used; the game focuses on the wall as the main element.")</f>
        <v>In Pallone col Bracciale, a net is not used; the game focuses on the wall as the main element.</v>
      </c>
    </row>
    <row r="117" ht="22.5" customHeight="1">
      <c r="A117" s="4">
        <v>120.0</v>
      </c>
      <c r="B117" s="5" t="s">
        <v>1614</v>
      </c>
      <c r="C117" s="5" t="s">
        <v>1615</v>
      </c>
      <c r="D117" s="5" t="s">
        <v>1531</v>
      </c>
      <c r="E117" s="5" t="s">
        <v>1616</v>
      </c>
      <c r="F117" s="3"/>
      <c r="G117" s="4">
        <v>120.0</v>
      </c>
      <c r="H117" s="5" t="str">
        <f>IFERROR(__xludf.DUMMYFUNCTION("GOOGLETRANSLATE(B117,""it"",""en"")"),"During the Renaissance, which of the following cities was known for its tradition of Pallone col Bracciale?")</f>
        <v>During the Renaissance, which of the following cities was known for its tradition of Pallone col Bracciale?</v>
      </c>
      <c r="I117" s="5" t="str">
        <f>IFERROR(__xludf.DUMMYFUNCTION("GOOGLETRANSLATE(C117,""it"",""en"")"),"A. Florence B. Bologna C. Verona D. Padua")</f>
        <v>A. Florence B. Bologna C. Verona D. Padua</v>
      </c>
      <c r="J117" s="5" t="str">
        <f>IFERROR(__xludf.DUMMYFUNCTION("GOOGLETRANSLATE(D117,""it"",""en"")"),"Florence")</f>
        <v>Florence</v>
      </c>
      <c r="K117" s="5" t="str">
        <f>IFERROR(__xludf.DUMMYFUNCTION("GOOGLETRANSLATE(E117,""it"",""en"")"),"Florence was one of the Italian cities best known for its tradition of Pallone col Bracciale during the Renaissance.")</f>
        <v>Florence was one of the Italian cities best known for its tradition of Pallone col Bracciale during the Renaissance.</v>
      </c>
    </row>
    <row r="118" ht="22.5" customHeight="1">
      <c r="A118" s="4">
        <v>121.0</v>
      </c>
      <c r="B118" s="5" t="s">
        <v>1617</v>
      </c>
      <c r="C118" s="5" t="s">
        <v>1618</v>
      </c>
      <c r="D118" s="5" t="s">
        <v>1619</v>
      </c>
      <c r="E118" s="5" t="s">
        <v>1620</v>
      </c>
      <c r="F118" s="3"/>
      <c r="G118" s="4">
        <v>121.0</v>
      </c>
      <c r="H118" s="5" t="str">
        <f>IFERROR(__xludf.DUMMYFUNCTION("GOOGLETRANSLATE(B118,""it"",""en"")"),"In the game of Ball and Bracelet, which of the following is a common strategy?")</f>
        <v>In the game of Ball and Bracelet, which of the following is a common strategy?</v>
      </c>
      <c r="I118" s="5" t="str">
        <f>IFERROR(__xludf.DUMMYFUNCTION("GOOGLETRANSLATE(C118,""it"",""en"")"),"A. Hitting the ball on the fly B. Tipping the ball over the wall C. Controlling the ball without bouncing it D. Having the ball passed to you by your opponent")</f>
        <v>A. Hitting the ball on the fly B. Tipping the ball over the wall C. Controlling the ball without bouncing it D. Having the ball passed to you by your opponent</v>
      </c>
      <c r="J118" s="5" t="str">
        <f>IFERROR(__xludf.DUMMYFUNCTION("GOOGLETRANSLATE(D118,""it"",""en"")"),"Hit the ball on the fly")</f>
        <v>Hit the ball on the fly</v>
      </c>
      <c r="K118" s="5" t="str">
        <f>IFERROR(__xludf.DUMMYFUNCTION("GOOGLETRANSLATE(E118,""it"",""en"")"),"A common strategy is to hit the ball on the fly to keep it moving and exploit the opponent's weaknesses.")</f>
        <v>A common strategy is to hit the ball on the fly to keep it moving and exploit the opponent's weaknesses.</v>
      </c>
    </row>
    <row r="119" ht="22.5" customHeight="1">
      <c r="A119" s="4">
        <v>122.0</v>
      </c>
      <c r="B119" s="5" t="s">
        <v>1621</v>
      </c>
      <c r="C119" s="5" t="s">
        <v>1622</v>
      </c>
      <c r="D119" s="5" t="s">
        <v>1623</v>
      </c>
      <c r="E119" s="5" t="s">
        <v>1624</v>
      </c>
      <c r="F119" s="3"/>
      <c r="G119" s="4">
        <v>122.0</v>
      </c>
      <c r="H119" s="5" t="str">
        <f>IFERROR(__xludf.DUMMYFUNCTION("GOOGLETRANSLATE(B119,""it"",""en"")"),"How were the fields prepared for the Pallone col Bracciale in the past?")</f>
        <v>How were the fields prepared for the Pallone col Bracciale in the past?</v>
      </c>
      <c r="I119" s="5" t="str">
        <f>IFERROR(__xludf.DUMMYFUNCTION("GOOGLETRANSLATE(C119,""it"",""en"")"),"A. Walls were built specifically for the purpose B. Existing playing fields were used C. Covered gyms were built D. Open spaces were used without preparation")</f>
        <v>A. Walls were built specifically for the purpose B. Existing playing fields were used C. Covered gyms were built D. Open spaces were used without preparation</v>
      </c>
      <c r="J119" s="5" t="str">
        <f>IFERROR(__xludf.DUMMYFUNCTION("GOOGLETRANSLATE(D119,""it"",""en"")"),"Walls were built ad hoc")</f>
        <v>Walls were built ad hoc</v>
      </c>
      <c r="K119" s="5" t="str">
        <f>IFERROR(__xludf.DUMMYFUNCTION("GOOGLETRANSLATE(E119,""it"",""en"")"),"The fields for Pallone col Bracciale were prepared by building specific walls for the game.")</f>
        <v>The fields for Pallone col Bracciale were prepared by building specific walls for the game.</v>
      </c>
    </row>
    <row r="120" ht="22.5" customHeight="1">
      <c r="A120" s="4">
        <v>123.0</v>
      </c>
      <c r="B120" s="5" t="s">
        <v>1625</v>
      </c>
      <c r="C120" s="5" t="s">
        <v>1626</v>
      </c>
      <c r="D120" s="5" t="s">
        <v>1627</v>
      </c>
      <c r="E120" s="5" t="s">
        <v>1628</v>
      </c>
      <c r="F120" s="3"/>
      <c r="G120" s="4">
        <v>123.0</v>
      </c>
      <c r="H120" s="5" t="str">
        <f>IFERROR(__xludf.DUMMYFUNCTION("GOOGLETRANSLATE(B120,""it"",""en"")"),"What was the characteristic of the Pallone col Bracciale in the Renaissance period?")</f>
        <v>What was the characteristic of the Pallone col Bracciale in the Renaissance period?</v>
      </c>
      <c r="I120" s="5" t="str">
        <f>IFERROR(__xludf.DUMMYFUNCTION("GOOGLETRANSLATE(C120,""it"",""en"")"),"A. It was practiced only in private gardens B. It was limited to court games C. It was a public game and accessible to all D. It was exclusively for men")</f>
        <v>A. It was practiced only in private gardens B. It was limited to court games C. It was a public game and accessible to all D. It was exclusively for men</v>
      </c>
      <c r="J120" s="5" t="str">
        <f>IFERROR(__xludf.DUMMYFUNCTION("GOOGLETRANSLATE(D120,""it"",""en"")"),"It was a public game and accessible to everyone")</f>
        <v>It was a public game and accessible to everyone</v>
      </c>
      <c r="K120" s="5" t="str">
        <f>IFERROR(__xludf.DUMMYFUNCTION("GOOGLETRANSLATE(E120,""it"",""en"")"),"During the Renaissance, Pallone col Bracciale was practiced publicly and accessible to many people of different social classes.")</f>
        <v>During the Renaissance, Pallone col Bracciale was practiced publicly and accessible to many people of different social classes.</v>
      </c>
    </row>
    <row r="121" ht="22.5" customHeight="1">
      <c r="A121" s="4">
        <v>126.0</v>
      </c>
      <c r="B121" s="5" t="s">
        <v>1629</v>
      </c>
      <c r="C121" s="5" t="s">
        <v>1630</v>
      </c>
      <c r="D121" s="5" t="s">
        <v>1631</v>
      </c>
      <c r="E121" s="5" t="s">
        <v>1632</v>
      </c>
      <c r="F121" s="3"/>
      <c r="G121" s="4">
        <v>126.0</v>
      </c>
      <c r="H121" s="5" t="str">
        <f>IFERROR(__xludf.DUMMYFUNCTION("GOOGLETRANSLATE(B121,""it"",""en"")"),"What was the name of the most prestigious Pallone col Bracciale tournament during the Renaissance?")</f>
        <v>What was the name of the most prestigious Pallone col Bracciale tournament during the Renaissance?</v>
      </c>
      <c r="I121" s="5" t="str">
        <f>IFERROR(__xludf.DUMMYFUNCTION("GOOGLETRANSLATE(C121,""it"",""en"")"),"A. The Palio della Palla B. The Bracciale Tournament C. The Palla Grand Prix D. The Courts Tournament")</f>
        <v>A. The Palio della Palla B. The Bracciale Tournament C. The Palla Grand Prix D. The Courts Tournament</v>
      </c>
      <c r="J121" s="5" t="str">
        <f>IFERROR(__xludf.DUMMYFUNCTION("GOOGLETRANSLATE(D121,""it"",""en"")"),"The Courts Tournament")</f>
        <v>The Courts Tournament</v>
      </c>
      <c r="K121" s="5" t="str">
        <f>IFERROR(__xludf.DUMMYFUNCTION("GOOGLETRANSLATE(E121,""it"",""en"")"),"During the Renaissance, the Torneo delle Corti was considered the most prestigious tournament of the Pallone col Bracciale.")</f>
        <v>During the Renaissance, the Torneo delle Corti was considered the most prestigious tournament of the Pallone col Bracciale.</v>
      </c>
    </row>
    <row r="122" ht="22.5" customHeight="1">
      <c r="A122" s="4">
        <v>127.0</v>
      </c>
      <c r="B122" s="5" t="s">
        <v>1633</v>
      </c>
      <c r="C122" s="5" t="s">
        <v>1634</v>
      </c>
      <c r="D122" s="5" t="s">
        <v>1232</v>
      </c>
      <c r="E122" s="5" t="s">
        <v>1635</v>
      </c>
      <c r="F122" s="3"/>
      <c r="G122" s="4">
        <v>127.0</v>
      </c>
      <c r="H122" s="5" t="str">
        <f>IFERROR(__xludf.DUMMYFUNCTION("GOOGLETRANSLATE(B122,""it"",""en"")"),"Which Italian region is known for its Pallone col Bracciale tradition?")</f>
        <v>Which Italian region is known for its Pallone col Bracciale tradition?</v>
      </c>
      <c r="I122" s="5" t="str">
        <f>IFERROR(__xludf.DUMMYFUNCTION("GOOGLETRANSLATE(C122,""it"",""en"")"),"A. Emilia-Romagna B. Lazio C. Marche D. Tuscany")</f>
        <v>A. Emilia-Romagna B. Lazio C. Marche D. Tuscany</v>
      </c>
      <c r="J122" s="5" t="str">
        <f>IFERROR(__xludf.DUMMYFUNCTION("GOOGLETRANSLATE(D122,""it"",""en"")"),"Marche")</f>
        <v>Marche</v>
      </c>
      <c r="K122" s="5" t="str">
        <f>IFERROR(__xludf.DUMMYFUNCTION("GOOGLETRANSLATE(E122,""it"",""en"")"),"The Marche region, especially Pesaro, is famous for its tradition of Pallone col Bracciale.")</f>
        <v>The Marche region, especially Pesaro, is famous for its tradition of Pallone col Bracciale.</v>
      </c>
    </row>
    <row r="123" ht="22.5" customHeight="1">
      <c r="A123" s="4">
        <v>128.0</v>
      </c>
      <c r="B123" s="5" t="s">
        <v>1636</v>
      </c>
      <c r="C123" s="5" t="s">
        <v>1637</v>
      </c>
      <c r="D123" s="5" t="s">
        <v>1638</v>
      </c>
      <c r="E123" s="5" t="s">
        <v>1639</v>
      </c>
      <c r="F123" s="3"/>
      <c r="G123" s="4">
        <v>128.0</v>
      </c>
      <c r="H123" s="5" t="str">
        <f>IFERROR(__xludf.DUMMYFUNCTION("GOOGLETRANSLATE(B123,""it"",""en"")"),"Who is considered the founder of the Pallone col Bracciale?")</f>
        <v>Who is considered the founder of the Pallone col Bracciale?</v>
      </c>
      <c r="I123" s="5" t="str">
        <f>IFERROR(__xludf.DUMMYFUNCTION("GOOGLETRANSLATE(C123,""it"",""en"")"),"A. Gianlorenzo Bernini B. Francesco de' Medici C. No specific founder is known D. Giovanni di Bicci de' Medici")</f>
        <v>A. Gianlorenzo Bernini B. Francesco de' Medici C. No specific founder is known D. Giovanni di Bicci de' Medici</v>
      </c>
      <c r="J123" s="5" t="str">
        <f>IFERROR(__xludf.DUMMYFUNCTION("GOOGLETRANSLATE(D123,""it"",""en"")"),"A specific founder is not known")</f>
        <v>A specific founder is not known</v>
      </c>
      <c r="K123" s="5" t="str">
        <f>IFERROR(__xludf.DUMMYFUNCTION("GOOGLETRANSLATE(E123,""it"",""en"")"),"There is no specific founder of Pallone col Bracciale, but the game has evolved over the centuries.")</f>
        <v>There is no specific founder of Pallone col Bracciale, but the game has evolved over the centuries.</v>
      </c>
    </row>
    <row r="124" ht="22.5" customHeight="1">
      <c r="A124" s="4">
        <v>129.0</v>
      </c>
      <c r="B124" s="5" t="s">
        <v>1640</v>
      </c>
      <c r="C124" s="5" t="s">
        <v>1641</v>
      </c>
      <c r="D124" s="5" t="s">
        <v>1642</v>
      </c>
      <c r="E124" s="5" t="s">
        <v>1643</v>
      </c>
      <c r="F124" s="3"/>
      <c r="G124" s="4">
        <v>129.0</v>
      </c>
      <c r="H124" s="5" t="str">
        <f>IFERROR(__xludf.DUMMYFUNCTION("GOOGLETRANSLATE(B124,""it"",""en"")"),"On which part of the body is the bracelet worn in the game of Pallone col Bracciale?")</f>
        <v>On which part of the body is the bracelet worn in the game of Pallone col Bracciale?</v>
      </c>
      <c r="I124" s="5" t="str">
        <f>IFERROR(__xludf.DUMMYFUNCTION("GOOGLETRANSLATE(C124,""it"",""en"")"),"A. On the wrist B. On the ankle C. On the forearm D. On the knee")</f>
        <v>A. On the wrist B. On the ankle C. On the forearm D. On the knee</v>
      </c>
      <c r="J124" s="5" t="str">
        <f>IFERROR(__xludf.DUMMYFUNCTION("GOOGLETRANSLATE(D124,""it"",""en"")"),"On the forearm")</f>
        <v>On the forearm</v>
      </c>
      <c r="K124" s="5" t="str">
        <f>IFERROR(__xludf.DUMMYFUNCTION("GOOGLETRANSLATE(E124,""it"",""en"")"),"The bracelet is worn on the forearm to protect the player during the shot.")</f>
        <v>The bracelet is worn on the forearm to protect the player during the shot.</v>
      </c>
    </row>
    <row r="125" ht="22.5" customHeight="1">
      <c r="A125" s="4">
        <v>130.0</v>
      </c>
      <c r="B125" s="5" t="s">
        <v>1644</v>
      </c>
      <c r="C125" s="5" t="s">
        <v>1645</v>
      </c>
      <c r="D125" s="5" t="s">
        <v>1646</v>
      </c>
      <c r="E125" s="5" t="s">
        <v>1647</v>
      </c>
      <c r="F125" s="3"/>
      <c r="G125" s="4">
        <v>130.0</v>
      </c>
      <c r="H125" s="5" t="str">
        <f>IFERROR(__xludf.DUMMYFUNCTION("GOOGLETRANSLATE(B125,""it"",""en"")"),"How long does a Pallone col Bracciale match last?")</f>
        <v>How long does a Pallone col Bracciale match last?</v>
      </c>
      <c r="I125" s="5" t="str">
        <f>IFERROR(__xludf.DUMMYFUNCTION("GOOGLETRANSLATE(C125,""it"",""en"")"),"A. Depends on the number of points B. 30 minutes C. 45 minutes D. One hour")</f>
        <v>A. Depends on the number of points B. 30 minutes C. 45 minutes D. One hour</v>
      </c>
      <c r="J125" s="5" t="str">
        <f>IFERROR(__xludf.DUMMYFUNCTION("GOOGLETRANSLATE(D125,""it"",""en"")"),"It depends on the number of points")</f>
        <v>It depends on the number of points</v>
      </c>
      <c r="K125" s="5" t="str">
        <f>IFERROR(__xludf.DUMMYFUNCTION("GOOGLETRANSLATE(E125,""it"",""en"")"),"The length of a match depends on the number of points to be achieved.")</f>
        <v>The length of a match depends on the number of points to be achieved.</v>
      </c>
    </row>
    <row r="126" ht="22.5" customHeight="1">
      <c r="A126" s="4">
        <v>131.0</v>
      </c>
      <c r="B126" s="5" t="s">
        <v>1648</v>
      </c>
      <c r="C126" s="5" t="s">
        <v>1649</v>
      </c>
      <c r="D126" s="5" t="s">
        <v>1650</v>
      </c>
      <c r="E126" s="5" t="s">
        <v>1651</v>
      </c>
      <c r="F126" s="3"/>
      <c r="G126" s="4">
        <v>131.0</v>
      </c>
      <c r="H126" s="5" t="str">
        <f>IFERROR(__xludf.DUMMYFUNCTION("GOOGLETRANSLATE(B126,""it"",""en"")"),"What is the name of the place where Pallone col Bracciale was traditionally played?")</f>
        <v>What is the name of the place where Pallone col Bracciale was traditionally played?</v>
      </c>
      <c r="I126" s="5" t="str">
        <f>IFERROR(__xludf.DUMMYFUNCTION("GOOGLETRANSLATE(C126,""it"",""en"")"),"A. The gym B. The playing field C. The courtyard D. The ball wall")</f>
        <v>A. The gym B. The playing field C. The courtyard D. The ball wall</v>
      </c>
      <c r="J126" s="5" t="str">
        <f>IFERROR(__xludf.DUMMYFUNCTION("GOOGLETRANSLATE(D126,""it"",""en"")"),"The Balloon Wall")</f>
        <v>The Balloon Wall</v>
      </c>
      <c r="K126" s="5" t="str">
        <f>IFERROR(__xludf.DUMMYFUNCTION("GOOGLETRANSLATE(E126,""it"",""en"")"),"Traditionally, the game was played near a wall, which was the fundamental part of the playing field.")</f>
        <v>Traditionally, the game was played near a wall, which was the fundamental part of the playing field.</v>
      </c>
    </row>
    <row r="127" ht="22.5" customHeight="1">
      <c r="A127" s="4">
        <v>132.0</v>
      </c>
      <c r="B127" s="5" t="s">
        <v>1652</v>
      </c>
      <c r="C127" s="5" t="s">
        <v>1653</v>
      </c>
      <c r="D127" s="5" t="s">
        <v>1531</v>
      </c>
      <c r="E127" s="5" t="s">
        <v>1654</v>
      </c>
      <c r="F127" s="3"/>
      <c r="G127" s="4">
        <v>132.0</v>
      </c>
      <c r="H127" s="5" t="str">
        <f>IFERROR(__xludf.DUMMYFUNCTION("GOOGLETRANSLATE(B127,""it"",""en"")"),"Which city hosted one of the most important Pallone col Bracciale competitions during the Renaissance?")</f>
        <v>Which city hosted one of the most important Pallone col Bracciale competitions during the Renaissance?</v>
      </c>
      <c r="I127" s="5" t="str">
        <f>IFERROR(__xludf.DUMMYFUNCTION("GOOGLETRANSLATE(C127,""it"",""en"")"),"A. Naples B. Milan C. Florence D. Venice")</f>
        <v>A. Naples B. Milan C. Florence D. Venice</v>
      </c>
      <c r="J127" s="5" t="str">
        <f>IFERROR(__xludf.DUMMYFUNCTION("GOOGLETRANSLATE(D127,""it"",""en"")"),"Florence")</f>
        <v>Florence</v>
      </c>
      <c r="K127" s="5" t="str">
        <f>IFERROR(__xludf.DUMMYFUNCTION("GOOGLETRANSLATE(E127,""it"",""en"")"),"Florence hosted numerous Pallone col Bracciale tournaments during the Renaissance.")</f>
        <v>Florence hosted numerous Pallone col Bracciale tournaments during the Renaissance.</v>
      </c>
    </row>
    <row r="128" ht="22.5" customHeight="1">
      <c r="A128" s="4">
        <v>133.0</v>
      </c>
      <c r="B128" s="5" t="s">
        <v>1655</v>
      </c>
      <c r="C128" s="5" t="s">
        <v>1656</v>
      </c>
      <c r="D128" s="5" t="s">
        <v>1657</v>
      </c>
      <c r="E128" s="5" t="s">
        <v>1658</v>
      </c>
      <c r="F128" s="3"/>
      <c r="G128" s="4">
        <v>133.0</v>
      </c>
      <c r="H128" s="5" t="str">
        <f>IFERROR(__xludf.DUMMYFUNCTION("GOOGLETRANSLATE(B128,""it"",""en"")"),"In the Ball with Bracelet, which part of the ball was hit with the bracelet?")</f>
        <v>In the Ball with Bracelet, which part of the ball was hit with the bracelet?</v>
      </c>
      <c r="I128" s="5" t="str">
        <f>IFERROR(__xludf.DUMMYFUNCTION("GOOGLETRANSLATE(C128,""it"",""en"")"),"A. The center of the ball B. The side of the ball C. The edge of the ball D. The bottom of the ball")</f>
        <v>A. The center of the ball B. The side of the ball C. The edge of the ball D. The bottom of the ball</v>
      </c>
      <c r="J128" s="5" t="str">
        <f>IFERROR(__xludf.DUMMYFUNCTION("GOOGLETRANSLATE(D128,""it"",""en"")"),"The side of the ball")</f>
        <v>The side of the ball</v>
      </c>
      <c r="K128" s="5" t="str">
        <f>IFERROR(__xludf.DUMMYFUNCTION("GOOGLETRANSLATE(E128,""it"",""en"")"),"The bracelet hit the side of the ball to make it bounce against the wall.")</f>
        <v>The bracelet hit the side of the ball to make it bounce against the wall.</v>
      </c>
    </row>
    <row r="129" ht="22.5" customHeight="1">
      <c r="A129" s="4">
        <v>134.0</v>
      </c>
      <c r="B129" s="5" t="s">
        <v>1659</v>
      </c>
      <c r="C129" s="5" t="s">
        <v>1660</v>
      </c>
      <c r="D129" s="5" t="s">
        <v>1661</v>
      </c>
      <c r="E129" s="5" t="s">
        <v>1662</v>
      </c>
      <c r="F129" s="3"/>
      <c r="G129" s="4">
        <v>134.0</v>
      </c>
      <c r="H129" s="5" t="str">
        <f>IFERROR(__xludf.DUMMYFUNCTION("GOOGLETRANSLATE(B129,""it"",""en"")"),"In the game of Pallone col Bracciale, which of the following characteristics was essential to winning?")</f>
        <v>In the game of Pallone col Bracciale, which of the following characteristics was essential to winning?</v>
      </c>
      <c r="I129" s="5" t="str">
        <f>IFERROR(__xludf.DUMMYFUNCTION("GOOGLETRANSLATE(C129,""it"",""en"")"),"A. Having more physical strength B. Having a good wall C. Having a good strategy D. Being faster")</f>
        <v>A. Having more physical strength B. Having a good wall C. Having a good strategy D. Being faster</v>
      </c>
      <c r="J129" s="5" t="str">
        <f>IFERROR(__xludf.DUMMYFUNCTION("GOOGLETRANSLATE(D129,""it"",""en"")"),"Have a good strategy")</f>
        <v>Have a good strategy</v>
      </c>
      <c r="K129" s="5" t="str">
        <f>IFERROR(__xludf.DUMMYFUNCTION("GOOGLETRANSLATE(E129,""it"",""en"")"),"Game strategy was essential to winning, as well as physical strength.")</f>
        <v>Game strategy was essential to winning, as well as physical strength.</v>
      </c>
    </row>
    <row r="130" ht="22.5" customHeight="1">
      <c r="A130" s="4">
        <v>135.0</v>
      </c>
      <c r="B130" s="5" t="s">
        <v>1663</v>
      </c>
      <c r="C130" s="5" t="s">
        <v>1664</v>
      </c>
      <c r="D130" s="5" t="s">
        <v>1665</v>
      </c>
      <c r="E130" s="5" t="s">
        <v>1666</v>
      </c>
      <c r="F130" s="3"/>
      <c r="G130" s="4">
        <v>135.0</v>
      </c>
      <c r="H130" s="5" t="str">
        <f>IFERROR(__xludf.DUMMYFUNCTION("GOOGLETRANSLATE(B130,""it"",""en"")"),"What is the main objective of the game of Pallone col Bracciale?")</f>
        <v>What is the main objective of the game of Pallone col Bracciale?</v>
      </c>
      <c r="I130" s="5" t="str">
        <f>IFERROR(__xludf.DUMMYFUNCTION("GOOGLETRANSLATE(C130,""it"",""en"")"),"A. Hitting the ball with your hand B. Scoring points by bouncing the ball against a wall C. Hitting the ball over a wall D. Getting the highest score possible")</f>
        <v>A. Hitting the ball with your hand B. Scoring points by bouncing the ball against a wall C. Hitting the ball over a wall D. Getting the highest score possible</v>
      </c>
      <c r="J130" s="5" t="str">
        <f>IFERROR(__xludf.DUMMYFUNCTION("GOOGLETRANSLATE(D130,""it"",""en"")"),"Score points by bouncing the ball against the wall")</f>
        <v>Score points by bouncing the ball against the wall</v>
      </c>
      <c r="K130" s="5" t="str">
        <f>IFERROR(__xludf.DUMMYFUNCTION("GOOGLETRANSLATE(E130,""it"",""en"")"),"The main objective is to score points by bouncing the ball against the wall.")</f>
        <v>The main objective is to score points by bouncing the ball against the wall.</v>
      </c>
    </row>
    <row r="131" ht="22.5" customHeight="1">
      <c r="A131" s="4">
        <v>136.0</v>
      </c>
      <c r="B131" s="5" t="s">
        <v>1667</v>
      </c>
      <c r="C131" s="5" t="s">
        <v>1668</v>
      </c>
      <c r="D131" s="5" t="s">
        <v>1669</v>
      </c>
      <c r="E131" s="5" t="s">
        <v>1670</v>
      </c>
      <c r="F131" s="3"/>
      <c r="G131" s="4">
        <v>136.0</v>
      </c>
      <c r="H131" s="5" t="str">
        <f>IFERROR(__xludf.DUMMYFUNCTION("GOOGLETRANSLATE(B131,""it"",""en"")"),"In the past, how was success in a Pallone col Bracciale tournament celebrated?")</f>
        <v>In the past, how was success in a Pallone col Bracciale tournament celebrated?</v>
      </c>
      <c r="I131" s="5" t="str">
        <f>IFERROR(__xludf.DUMMYFUNCTION("GOOGLETRANSLATE(C131,""it"",""en"")"),"A. With a gold medal B. With a public banquet and celebrations C. With a public proclamation D. With a silver trophy")</f>
        <v>A. With a gold medal B. With a public banquet and celebrations C. With a public proclamation D. With a silver trophy</v>
      </c>
      <c r="J131" s="5" t="str">
        <f>IFERROR(__xludf.DUMMYFUNCTION("GOOGLETRANSLATE(D131,""it"",""en"")"),"With a banquet and public celebrations")</f>
        <v>With a banquet and public celebrations</v>
      </c>
      <c r="K131" s="5" t="str">
        <f>IFERROR(__xludf.DUMMYFUNCTION("GOOGLETRANSLATE(E131,""it"",""en"")"),"Success in a tournament was celebrated with banquets and public festivities.")</f>
        <v>Success in a tournament was celebrated with banquets and public festivities.</v>
      </c>
    </row>
    <row r="132" ht="22.5" customHeight="1">
      <c r="A132" s="4">
        <v>137.0</v>
      </c>
      <c r="B132" s="5" t="s">
        <v>1671</v>
      </c>
      <c r="C132" s="5" t="s">
        <v>1672</v>
      </c>
      <c r="D132" s="5" t="s">
        <v>1673</v>
      </c>
      <c r="E132" s="5" t="s">
        <v>1674</v>
      </c>
      <c r="F132" s="3"/>
      <c r="G132" s="4">
        <v>137.0</v>
      </c>
      <c r="H132" s="5" t="str">
        <f>IFERROR(__xludf.DUMMYFUNCTION("GOOGLETRANSLATE(B132,""it"",""en"")"),"In the game of Pallone col Bracciale, what was the function of the wall?")</f>
        <v>In the game of Pallone col Bracciale, what was the function of the wall?</v>
      </c>
      <c r="I132" s="5" t="str">
        <f>IFERROR(__xludf.DUMMYFUNCTION("GOOGLETRANSLATE(C132,""it"",""en"")"),"A. Provide a backdrop for the ball B. Bounce the ball during play C. Separate the players D. Increase the difficulty of the game")</f>
        <v>A. Provide a backdrop for the ball B. Bounce the ball during play C. Separate the players D. Increase the difficulty of the game</v>
      </c>
      <c r="J132" s="5" t="str">
        <f>IFERROR(__xludf.DUMMYFUNCTION("GOOGLETRANSLATE(D132,""it"",""en"")"),"Bouncing the ball during the game")</f>
        <v>Bouncing the ball during the game</v>
      </c>
      <c r="K132" s="5" t="str">
        <f>IFERROR(__xludf.DUMMYFUNCTION("GOOGLETRANSLATE(E132,""it"",""en"")"),"The wall had the function of bouncing the ball, an essential aspect of the game.")</f>
        <v>The wall had the function of bouncing the ball, an essential aspect of the game.</v>
      </c>
    </row>
    <row r="133" ht="22.5" customHeight="1">
      <c r="A133" s="4">
        <v>138.0</v>
      </c>
      <c r="B133" s="5" t="s">
        <v>1675</v>
      </c>
      <c r="C133" s="5" t="s">
        <v>1676</v>
      </c>
      <c r="D133" s="5" t="s">
        <v>807</v>
      </c>
      <c r="E133" s="5" t="s">
        <v>1677</v>
      </c>
      <c r="F133" s="3"/>
      <c r="G133" s="4">
        <v>138.0</v>
      </c>
      <c r="H133" s="5" t="str">
        <f>IFERROR(__xludf.DUMMYFUNCTION("GOOGLETRANSLATE(B133,""it"",""en"")"),"In what historical period did the Pallone col Bracciale become an official sport?")</f>
        <v>In what historical period did the Pallone col Bracciale become an official sport?</v>
      </c>
      <c r="I133" s="5" t="str">
        <f>IFERROR(__xludf.DUMMYFUNCTION("GOOGLETRANSLATE(C133,""it"",""en"")"),"A. In the Middle Ages B. In the Renaissance C. In the 18th century D. In the 19th century")</f>
        <v>A. In the Middle Ages B. In the Renaissance C. In the 18th century D. In the 19th century</v>
      </c>
      <c r="J133" s="5" t="str">
        <f>IFERROR(__xludf.DUMMYFUNCTION("GOOGLETRANSLATE(D133,""it"",""en"")"),"In the Renaissance")</f>
        <v>In the Renaissance</v>
      </c>
      <c r="K133" s="5" t="str">
        <f>IFERROR(__xludf.DUMMYFUNCTION("GOOGLETRANSLATE(E133,""it"",""en"")"),"During the Renaissance, Pallone col Bracciale became an official sport in Italian courts.")</f>
        <v>During the Renaissance, Pallone col Bracciale became an official sport in Italian courts.</v>
      </c>
    </row>
    <row r="134" ht="22.5" customHeight="1">
      <c r="A134" s="4">
        <v>139.0</v>
      </c>
      <c r="B134" s="5" t="s">
        <v>1678</v>
      </c>
      <c r="C134" s="5" t="s">
        <v>1679</v>
      </c>
      <c r="D134" s="5" t="s">
        <v>1680</v>
      </c>
      <c r="E134" s="5" t="s">
        <v>1681</v>
      </c>
      <c r="F134" s="3"/>
      <c r="G134" s="4">
        <v>139.0</v>
      </c>
      <c r="H134" s="5" t="str">
        <f>IFERROR(__xludf.DUMMYFUNCTION("GOOGLETRANSLATE(B134,""it"",""en"")"),"How were Pallone col Bracciale competitions organized during the Renaissance?")</f>
        <v>How were Pallone col Bracciale competitions organized during the Renaissance?</v>
      </c>
      <c r="I134" s="5" t="str">
        <f>IFERROR(__xludf.DUMMYFUNCTION("GOOGLETRANSLATE(C134,""it"",""en"")"),"A. With direct clashes between participants B. With team games C. With weekly qualifiers D. With training matches")</f>
        <v>A. With direct clashes between participants B. With team games C. With weekly qualifiers D. With training matches</v>
      </c>
      <c r="J134" s="5" t="str">
        <f>IFERROR(__xludf.DUMMYFUNCTION("GOOGLETRANSLATE(D134,""it"",""en"")"),"With direct clashes between the participants")</f>
        <v>With direct clashes between the participants</v>
      </c>
      <c r="K134" s="5" t="str">
        <f>IFERROR(__xludf.DUMMYFUNCTION("GOOGLETRANSLATE(E134,""it"",""en"")"),"The competitions were organized with direct clashes between players, who challenged each other to win the tournament.")</f>
        <v>The competitions were organized with direct clashes between players, who challenged each other to win the tournament.</v>
      </c>
    </row>
    <row r="135" ht="22.5" customHeight="1">
      <c r="A135" s="4">
        <v>140.0</v>
      </c>
      <c r="B135" s="5" t="s">
        <v>1682</v>
      </c>
      <c r="C135" s="5" t="s">
        <v>1683</v>
      </c>
      <c r="D135" s="5" t="s">
        <v>1684</v>
      </c>
      <c r="E135" s="5" t="s">
        <v>1685</v>
      </c>
      <c r="F135" s="3"/>
      <c r="G135" s="4">
        <v>140.0</v>
      </c>
      <c r="H135" s="5" t="str">
        <f>IFERROR(__xludf.DUMMYFUNCTION("GOOGLETRANSLATE(B135,""it"",""en"")"),"What material was used to make the ball in the Pallone col Bracciale?")</f>
        <v>What material was used to make the ball in the Pallone col Bracciale?</v>
      </c>
      <c r="I135" s="5" t="str">
        <f>IFERROR(__xludf.DUMMYFUNCTION("GOOGLETRANSLATE(C135,""it"",""en"")"),"A. Steel B. Leather C. Rubber D. Wood")</f>
        <v>A. Steel B. Leather C. Rubber D. Wood</v>
      </c>
      <c r="J135" s="5" t="str">
        <f>IFERROR(__xludf.DUMMYFUNCTION("GOOGLETRANSLATE(D135,""it"",""en"")"),"Leather")</f>
        <v>Leather</v>
      </c>
      <c r="K135" s="5" t="str">
        <f>IFERROR(__xludf.DUMMYFUNCTION("GOOGLETRANSLATE(E135,""it"",""en"")"),"The ball was made of leather, a durable material for the game.")</f>
        <v>The ball was made of leather, a durable material for the game.</v>
      </c>
    </row>
    <row r="136" ht="22.5" customHeight="1">
      <c r="A136" s="4">
        <v>141.0</v>
      </c>
      <c r="B136" s="5" t="s">
        <v>1686</v>
      </c>
      <c r="C136" s="5" t="s">
        <v>1687</v>
      </c>
      <c r="D136" s="5" t="s">
        <v>1688</v>
      </c>
      <c r="E136" s="5" t="s">
        <v>1689</v>
      </c>
      <c r="F136" s="3"/>
      <c r="G136" s="4">
        <v>141.0</v>
      </c>
      <c r="H136" s="5" t="str">
        <f>IFERROR(__xludf.DUMMYFUNCTION("GOOGLETRANSLATE(B136,""it"",""en"")"),"In the game of Pallone col Bracciale, what must a player do to get a point?")</f>
        <v>In the game of Pallone col Bracciale, what must a player do to get a point?</v>
      </c>
      <c r="I136" s="5" t="str">
        <f>IFERROR(__xludf.DUMMYFUNCTION("GOOGLETRANSLATE(C136,""it"",""en"")"),"A. Hitting the ball before it touches the wall B. Bounce the ball against the wall and let it stay in play C. Hit the ball after bouncing it D. Pass the ball over the wall")</f>
        <v>A. Hitting the ball before it touches the wall B. Bounce the ball against the wall and let it stay in play C. Hit the ball after bouncing it D. Pass the ball over the wall</v>
      </c>
      <c r="J136" s="5" t="str">
        <f>IFERROR(__xludf.DUMMYFUNCTION("GOOGLETRANSLATE(D136,""it"",""en"")"),"Bounce the ball against the wall and keep it in play")</f>
        <v>Bounce the ball against the wall and keep it in play</v>
      </c>
      <c r="K136" s="5" t="str">
        <f>IFERROR(__xludf.DUMMYFUNCTION("GOOGLETRANSLATE(E136,""it"",""en"")"),"To score a point, the player must bounce the ball against the wall and keep it in play.")</f>
        <v>To score a point, the player must bounce the ball against the wall and keep it in play.</v>
      </c>
    </row>
    <row r="137" ht="22.5" customHeight="1">
      <c r="A137" s="4">
        <v>142.0</v>
      </c>
      <c r="B137" s="5" t="s">
        <v>1331</v>
      </c>
      <c r="C137" s="5" t="s">
        <v>1690</v>
      </c>
      <c r="D137" s="5" t="s">
        <v>1691</v>
      </c>
      <c r="E137" s="5" t="s">
        <v>1692</v>
      </c>
      <c r="F137" s="3"/>
      <c r="G137" s="4">
        <v>142.0</v>
      </c>
      <c r="H137" s="5" t="str">
        <f>IFERROR(__xludf.DUMMYFUNCTION("GOOGLETRANSLATE(B137,""it"",""en"")"),"What is the main difficulty for Pallone col Bracciale players?")</f>
        <v>What is the main difficulty for Pallone col Bracciale players?</v>
      </c>
      <c r="I137" s="5" t="str">
        <f>IFERROR(__xludf.DUMMYFUNCTION("GOOGLETRANSLATE(C137,""it"",""en"")"),"A. The speed of the ball B. The lack of space C. The precise shot with the bracelet D. The difficulty in keeping score")</f>
        <v>A. The speed of the ball B. The lack of space C. The precise shot with the bracelet D. The difficulty in keeping score</v>
      </c>
      <c r="J137" s="5" t="str">
        <f>IFERROR(__xludf.DUMMYFUNCTION("GOOGLETRANSLATE(D137,""it"",""en"")"),"The precise shot with the bracelet")</f>
        <v>The precise shot with the bracelet</v>
      </c>
      <c r="K137" s="5" t="str">
        <f>IFERROR(__xludf.DUMMYFUNCTION("GOOGLETRANSLATE(E137,""it"",""en"")"),"The main difficulty is to execute an accurate shot with the bracelet, since the ball must be hit in a targeted manner.")</f>
        <v>The main difficulty is to execute an accurate shot with the bracelet, since the ball must be hit in a targeted manner.</v>
      </c>
    </row>
    <row r="138" ht="22.5" customHeight="1">
      <c r="A138" s="4">
        <v>143.0</v>
      </c>
      <c r="B138" s="5" t="s">
        <v>1693</v>
      </c>
      <c r="C138" s="5" t="s">
        <v>1694</v>
      </c>
      <c r="D138" s="5" t="s">
        <v>1695</v>
      </c>
      <c r="E138" s="5" t="s">
        <v>1696</v>
      </c>
      <c r="F138" s="3"/>
      <c r="G138" s="4">
        <v>143.0</v>
      </c>
      <c r="H138" s="5" t="str">
        <f>IFERROR(__xludf.DUMMYFUNCTION("GOOGLETRANSLATE(B138,""it"",""en"")"),"In Pallone col Bracciale, what is the importance of the wall during the game?")</f>
        <v>In Pallone col Bracciale, what is the importance of the wall during the game?</v>
      </c>
      <c r="I138" s="5" t="str">
        <f>IFERROR(__xludf.DUMMYFUNCTION("GOOGLETRANSLATE(C138,""it"",""en"")"),"A. Protects the players B. Determines the length of the game C. Serves as a reference point for scores D. Bounces the ball to keep the game going")</f>
        <v>A. Protects the players B. Determines the length of the game C. Serves as a reference point for scores D. Bounces the ball to keep the game going</v>
      </c>
      <c r="J138" s="5" t="str">
        <f>IFERROR(__xludf.DUMMYFUNCTION("GOOGLETRANSLATE(D138,""it"",""en"")"),"Bounce the ball to keep the game going")</f>
        <v>Bounce the ball to keep the game going</v>
      </c>
      <c r="K138" s="5" t="str">
        <f>IFERROR(__xludf.DUMMYFUNCTION("GOOGLETRANSLATE(E138,""it"",""en"")"),"The wall bounces the ball, allowing players to continue the game.")</f>
        <v>The wall bounces the ball, allowing players to continue the game.</v>
      </c>
    </row>
    <row r="139" ht="22.5" customHeight="1">
      <c r="A139" s="4">
        <v>144.0</v>
      </c>
      <c r="B139" s="5" t="s">
        <v>1697</v>
      </c>
      <c r="C139" s="5" t="s">
        <v>1698</v>
      </c>
      <c r="D139" s="5" t="s">
        <v>1699</v>
      </c>
      <c r="E139" s="5" t="s">
        <v>1700</v>
      </c>
      <c r="F139" s="3"/>
      <c r="G139" s="4">
        <v>144.0</v>
      </c>
      <c r="H139" s="5" t="str">
        <f>IFERROR(__xludf.DUMMYFUNCTION("GOOGLETRANSLATE(B139,""it"",""en"")"),"What role does tradition play in keeping the practice of Pallone col Bracciale alive?")</f>
        <v>What role does tradition play in keeping the practice of Pallone col Bracciale alive?</v>
      </c>
      <c r="I139" s="5" t="str">
        <f>IFERROR(__xludf.DUMMYFUNCTION("GOOGLETRANSLATE(C139,""it"",""en"")"),"A. No role B. Marginal role C. Fundamental role D. Role with little impact")</f>
        <v>A. No role B. Marginal role C. Fundamental role D. Role with little impact</v>
      </c>
      <c r="J139" s="5" t="str">
        <f>IFERROR(__xludf.DUMMYFUNCTION("GOOGLETRANSLATE(D139,""it"",""en"")"),"Fundamental role")</f>
        <v>Fundamental role</v>
      </c>
      <c r="K139" s="5" t="str">
        <f>IFERROR(__xludf.DUMMYFUNCTION("GOOGLETRANSLATE(E139,""it"",""en"")"),"Tradition is essential in keeping the practice of Pallone col Bracciale alive, passing the game down from generation to generation.")</f>
        <v>Tradition is essential in keeping the practice of Pallone col Bracciale alive, passing the game down from generation to generation.</v>
      </c>
    </row>
    <row r="140" ht="22.5" customHeight="1">
      <c r="A140" s="4">
        <v>145.0</v>
      </c>
      <c r="B140" s="5" t="s">
        <v>1701</v>
      </c>
      <c r="C140" s="5" t="s">
        <v>1702</v>
      </c>
      <c r="D140" s="5" t="s">
        <v>1703</v>
      </c>
      <c r="E140" s="5" t="s">
        <v>1704</v>
      </c>
      <c r="F140" s="3"/>
      <c r="G140" s="4">
        <v>145.0</v>
      </c>
      <c r="H140" s="5" t="str">
        <f>IFERROR(__xludf.DUMMYFUNCTION("GOOGLETRANSLATE(B140,""it"",""en"")"),"In which event did the Pallone col Bracciale see a significant increase in participation in the 20th century?")</f>
        <v>In which event did the Pallone col Bracciale see a significant increase in participation in the 20th century?</v>
      </c>
      <c r="I140" s="5" t="str">
        <f>IFERROR(__xludf.DUMMYFUNCTION("GOOGLETRANSLATE(C140,""it"",""en"")"),"A. The Olympics B. Popular games and local fairs C. University competitions D. International tournaments")</f>
        <v>A. The Olympics B. Popular games and local fairs C. University competitions D. International tournaments</v>
      </c>
      <c r="J140" s="5" t="str">
        <f>IFERROR(__xludf.DUMMYFUNCTION("GOOGLETRANSLATE(D140,""it"",""en"")"),"Popular games and local fairs")</f>
        <v>Popular games and local fairs</v>
      </c>
      <c r="K140" s="5" t="str">
        <f>IFERROR(__xludf.DUMMYFUNCTION("GOOGLETRANSLATE(E140,""it"",""en"")"),"In the 20th century, increased participation occurred during folk games and local fairs.")</f>
        <v>In the 20th century, increased participation occurred during folk games and local fairs.</v>
      </c>
    </row>
    <row r="141" ht="22.5" customHeight="1">
      <c r="A141" s="4">
        <v>146.0</v>
      </c>
      <c r="B141" s="5" t="s">
        <v>1705</v>
      </c>
      <c r="C141" s="5" t="s">
        <v>1706</v>
      </c>
      <c r="D141" s="5" t="s">
        <v>1707</v>
      </c>
      <c r="E141" s="5" t="s">
        <v>1708</v>
      </c>
      <c r="F141" s="3"/>
      <c r="G141" s="4">
        <v>146.0</v>
      </c>
      <c r="H141" s="5" t="str">
        <f>IFERROR(__xludf.DUMMYFUNCTION("GOOGLETRANSLATE(B141,""it"",""en"")"),"What is the importance of the Pallone col Bracciale to Italian culture?")</f>
        <v>What is the importance of the Pallone col Bracciale to Italian culture?</v>
      </c>
      <c r="I141" s="5" t="str">
        <f>IFERROR(__xludf.DUMMYFUNCTION("GOOGLETRANSLATE(C141,""it"",""en"")"),"A. A pastime of the people B. A symbol of historical tradition C. A game for the nobility D. A pastime for the young")</f>
        <v>A. A pastime of the people B. A symbol of historical tradition C. A game for the nobility D. A pastime for the young</v>
      </c>
      <c r="J141" s="5" t="str">
        <f>IFERROR(__xludf.DUMMYFUNCTION("GOOGLETRANSLATE(D141,""it"",""en"")"),"A symbol of historical tradition")</f>
        <v>A symbol of historical tradition</v>
      </c>
      <c r="K141" s="5" t="str">
        <f>IFERROR(__xludf.DUMMYFUNCTION("GOOGLETRANSLATE(E141,""it"",""en"")"),"The Pallone col Bracciale is considered a symbol of Italian historical and cultural tradition.")</f>
        <v>The Pallone col Bracciale is considered a symbol of Italian historical and cultural tradition.</v>
      </c>
    </row>
    <row r="142" ht="22.5" customHeight="1">
      <c r="A142" s="4">
        <v>147.0</v>
      </c>
      <c r="B142" s="5" t="s">
        <v>1709</v>
      </c>
      <c r="C142" s="5" t="s">
        <v>1710</v>
      </c>
      <c r="D142" s="5" t="s">
        <v>1455</v>
      </c>
      <c r="E142" s="5" t="s">
        <v>1711</v>
      </c>
      <c r="F142" s="3"/>
      <c r="G142" s="4">
        <v>147.0</v>
      </c>
      <c r="H142" s="5" t="str">
        <f>IFERROR(__xludf.DUMMYFUNCTION("GOOGLETRANSLATE(B142,""it"",""en"")"),"In the game of Pallone col Bracciale, what part of the body is mainly used to hit the ball?")</f>
        <v>In the game of Pallone col Bracciale, what part of the body is mainly used to hit the ball?</v>
      </c>
      <c r="I142" s="5" t="str">
        <f>IFERROR(__xludf.DUMMYFUNCTION("GOOGLETRANSLATE(C142,""it"",""en"")"),"A. The head B. The legs C. The arm D. The hand")</f>
        <v>A. The head B. The legs C. The arm D. The hand</v>
      </c>
      <c r="J142" s="5" t="str">
        <f>IFERROR(__xludf.DUMMYFUNCTION("GOOGLETRANSLATE(D142,""it"",""en"")"),"The arm")</f>
        <v>The arm</v>
      </c>
      <c r="K142" s="5" t="str">
        <f>IFERROR(__xludf.DUMMYFUNCTION("GOOGLETRANSLATE(E142,""it"",""en"")"),"The arm, protected by the armband, is the main part of the body used to hit the ball.")</f>
        <v>The arm, protected by the armband, is the main part of the body used to hit the ball.</v>
      </c>
    </row>
    <row r="143" ht="22.5" customHeight="1">
      <c r="A143" s="4">
        <v>148.0</v>
      </c>
      <c r="B143" s="5" t="s">
        <v>1712</v>
      </c>
      <c r="C143" s="5" t="s">
        <v>1713</v>
      </c>
      <c r="D143" s="5" t="s">
        <v>1187</v>
      </c>
      <c r="E143" s="5" t="s">
        <v>1714</v>
      </c>
      <c r="F143" s="3"/>
      <c r="G143" s="4">
        <v>148.0</v>
      </c>
      <c r="H143" s="5" t="str">
        <f>IFERROR(__xludf.DUMMYFUNCTION("GOOGLETRANSLATE(B143,""it"",""en"")"),"Which city hosted some of the most famous Pallone col Bracciale tournaments in the 19th century?")</f>
        <v>Which city hosted some of the most famous Pallone col Bracciale tournaments in the 19th century?</v>
      </c>
      <c r="I143" s="5" t="str">
        <f>IFERROR(__xludf.DUMMYFUNCTION("GOOGLETRANSLATE(C143,""it"",""en"")"),"A. Venice B. Naples C. Rome D. Pesaro")</f>
        <v>A. Venice B. Naples C. Rome D. Pesaro</v>
      </c>
      <c r="J143" s="5" t="str">
        <f>IFERROR(__xludf.DUMMYFUNCTION("GOOGLETRANSLATE(D143,""it"",""en"")"),"Pesaro")</f>
        <v>Pesaro</v>
      </c>
      <c r="K143" s="5" t="str">
        <f>IFERROR(__xludf.DUMMYFUNCTION("GOOGLETRANSLATE(E143,""it"",""en"")"),"Pesaro hosted famous Pallone col Bracciale tournaments in the 19th century, consolidating its tradition.")</f>
        <v>Pesaro hosted famous Pallone col Bracciale tournaments in the 19th century, consolidating its tradition.</v>
      </c>
    </row>
    <row r="144" ht="22.5" customHeight="1">
      <c r="A144" s="4">
        <v>149.0</v>
      </c>
      <c r="B144" s="5" t="s">
        <v>1715</v>
      </c>
      <c r="C144" s="5" t="s">
        <v>1716</v>
      </c>
      <c r="D144" s="5" t="s">
        <v>1717</v>
      </c>
      <c r="E144" s="5" t="s">
        <v>1718</v>
      </c>
      <c r="F144" s="3"/>
      <c r="G144" s="4">
        <v>149.0</v>
      </c>
      <c r="H144" s="5" t="str">
        <f>IFERROR(__xludf.DUMMYFUNCTION("GOOGLETRANSLATE(B144,""it"",""en"")"),"Which modern sport has influences from the Pallone col Bracciale?")</f>
        <v>Which modern sport has influences from the Pallone col Bracciale?</v>
      </c>
      <c r="I144" s="5" t="str">
        <f>IFERROR(__xludf.DUMMYFUNCTION("GOOGLETRANSLATE(C144,""it"",""en"")"),"A. Tennis B. Handball C. Squash D. Ball with Bracelet has no modern influences")</f>
        <v>A. Tennis B. Handball C. Squash D. Ball with Bracelet has no modern influences</v>
      </c>
      <c r="J144" s="5" t="str">
        <f>IFERROR(__xludf.DUMMYFUNCTION("GOOGLETRANSLATE(D144,""it"",""en"")"),"Squash")</f>
        <v>Squash</v>
      </c>
      <c r="K144" s="5" t="str">
        <f>IFERROR(__xludf.DUMMYFUNCTION("GOOGLETRANSLATE(E144,""it"",""en"")"),"Squash shares some similarities with Ball and Bracelet, most notably the use of a wall to rebound the ball.")</f>
        <v>Squash shares some similarities with Ball and Bracelet, most notably the use of a wall to rebound the ball.</v>
      </c>
    </row>
    <row r="145" ht="22.5" customHeight="1">
      <c r="A145" s="4">
        <v>150.0</v>
      </c>
      <c r="B145" s="5" t="s">
        <v>1719</v>
      </c>
      <c r="C145" s="5" t="s">
        <v>1720</v>
      </c>
      <c r="D145" s="5" t="s">
        <v>1684</v>
      </c>
      <c r="E145" s="5" t="s">
        <v>1721</v>
      </c>
      <c r="F145" s="3"/>
      <c r="G145" s="4">
        <v>150.0</v>
      </c>
      <c r="H145" s="5" t="str">
        <f>IFERROR(__xludf.DUMMYFUNCTION("GOOGLETRANSLATE(B145,""it"",""en"")"),"What material was commonly used for the bracelet in the medieval Pallone col Bracciale?")</f>
        <v>What material was commonly used for the bracelet in the medieval Pallone col Bracciale?</v>
      </c>
      <c r="I145" s="5" t="str">
        <f>IFERROR(__xludf.DUMMYFUNCTION("GOOGLETRANSLATE(C145,""it"",""en"")"),"A. Steel B. Leather C. Bronze D. Wood")</f>
        <v>A. Steel B. Leather C. Bronze D. Wood</v>
      </c>
      <c r="J145" s="5" t="str">
        <f>IFERROR(__xludf.DUMMYFUNCTION("GOOGLETRANSLATE(D145,""it"",""en"")"),"Leather")</f>
        <v>Leather</v>
      </c>
      <c r="K145" s="5" t="str">
        <f>IFERROR(__xludf.DUMMYFUNCTION("GOOGLETRANSLATE(E145,""it"",""en"")"),"In the Middle Ages, the bracelet was made mainly of leather, a strong and flexible material.")</f>
        <v>In the Middle Ages, the bracelet was made mainly of leather, a strong and flexible material.</v>
      </c>
    </row>
    <row r="146" ht="22.5" customHeight="1">
      <c r="A146" s="4">
        <v>151.0</v>
      </c>
      <c r="B146" s="5" t="s">
        <v>1722</v>
      </c>
      <c r="C146" s="5" t="s">
        <v>1723</v>
      </c>
      <c r="D146" s="5" t="s">
        <v>1724</v>
      </c>
      <c r="E146" s="5" t="s">
        <v>1725</v>
      </c>
      <c r="F146" s="3"/>
      <c r="G146" s="4">
        <v>151.0</v>
      </c>
      <c r="H146" s="5" t="str">
        <f>IFERROR(__xludf.DUMMYFUNCTION("GOOGLETRANSLATE(B146,""it"",""en"")"),"In Pallone col Bracciale, what happens if the ball bounces out of the playing field?")</f>
        <v>In Pallone col Bracciale, what happens if the ball bounces out of the playing field?</v>
      </c>
      <c r="I146" s="5" t="str">
        <f>IFERROR(__xludf.DUMMYFUNCTION("GOOGLETRANSLATE(C146,""it"",""en"")"),"A. It is returned to the player B. The point is cancelled C. The point goes to the opponent D. The game continues without penalty")</f>
        <v>A. It is returned to the player B. The point is cancelled C. The point goes to the opponent D. The game continues without penalty</v>
      </c>
      <c r="J146" s="5" t="str">
        <f>IFERROR(__xludf.DUMMYFUNCTION("GOOGLETRANSLATE(D146,""it"",""en"")"),"The point goes to the opponent")</f>
        <v>The point goes to the opponent</v>
      </c>
      <c r="K146" s="5" t="str">
        <f>IFERROR(__xludf.DUMMYFUNCTION("GOOGLETRANSLATE(E146,""it"",""en"")"),"If the ball bounces out of bounds, the point is awarded to the opponent.")</f>
        <v>If the ball bounces out of bounds, the point is awarded to the opponent.</v>
      </c>
    </row>
    <row r="147" ht="22.5" customHeight="1">
      <c r="A147" s="4">
        <v>152.0</v>
      </c>
      <c r="B147" s="5" t="s">
        <v>1726</v>
      </c>
      <c r="C147" s="5" t="s">
        <v>1727</v>
      </c>
      <c r="D147" s="5" t="s">
        <v>1728</v>
      </c>
      <c r="E147" s="5" t="s">
        <v>1729</v>
      </c>
      <c r="F147" s="3"/>
      <c r="G147" s="4">
        <v>152.0</v>
      </c>
      <c r="H147" s="5" t="str">
        <f>IFERROR(__xludf.DUMMYFUNCTION("GOOGLETRANSLATE(B147,""it"",""en"")"),"In the game of Pallone col Bracciale, what is one of the main rules?")</f>
        <v>In the game of Pallone col Bracciale, what is one of the main rules?</v>
      </c>
      <c r="I147" s="5" t="str">
        <f>IFERROR(__xludf.DUMMYFUNCTION("GOOGLETRANSLATE(C147,""it"",""en"")"),"A. Players must hit the ball with their hands only B. Each game has a fixed duration of 30 minutes C. Points are earned by hitting the wall D. Players cannot wear shoes")</f>
        <v>A. Players must hit the ball with their hands only B. Each game has a fixed duration of 30 minutes C. Points are earned by hitting the wall D. Players cannot wear shoes</v>
      </c>
      <c r="J147" s="5" t="str">
        <f>IFERROR(__xludf.DUMMYFUNCTION("GOOGLETRANSLATE(D147,""it"",""en"")"),"Points are earned by hitting the wall")</f>
        <v>Points are earned by hitting the wall</v>
      </c>
      <c r="K147" s="5" t="str">
        <f>IFERROR(__xludf.DUMMYFUNCTION("GOOGLETRANSLATE(E147,""it"",""en"")"),"One of the main rules is to score points by hitting the ball against the wall.")</f>
        <v>One of the main rules is to score points by hitting the ball against the wall.</v>
      </c>
    </row>
    <row r="148" ht="22.5" customHeight="1">
      <c r="A148" s="4">
        <v>153.0</v>
      </c>
      <c r="B148" s="5" t="s">
        <v>1730</v>
      </c>
      <c r="C148" s="5" t="s">
        <v>1731</v>
      </c>
      <c r="D148" s="5" t="s">
        <v>1732</v>
      </c>
      <c r="E148" s="5" t="s">
        <v>1733</v>
      </c>
      <c r="F148" s="3"/>
      <c r="G148" s="4">
        <v>153.0</v>
      </c>
      <c r="H148" s="5" t="str">
        <f>IFERROR(__xludf.DUMMYFUNCTION("GOOGLETRANSLATE(B148,""it"",""en"")"),"What is the role of the bracelet in the game of Pallone col Bracciale?")</f>
        <v>What is the role of the bracelet in the game of Pallone col Bracciale?</v>
      </c>
      <c r="I148" s="5" t="str">
        <f>IFERROR(__xludf.DUMMYFUNCTION("GOOGLETRANSLATE(C148,""it"",""en"")"),"A. Increases the speed of the ball B. Protects the arm during the shot C. Helps direct the ball more accurately D. Makes the ball bounce off the wall")</f>
        <v>A. Increases the speed of the ball B. Protects the arm during the shot C. Helps direct the ball more accurately D. Makes the ball bounce off the wall</v>
      </c>
      <c r="J148" s="5" t="str">
        <f>IFERROR(__xludf.DUMMYFUNCTION("GOOGLETRANSLATE(D148,""it"",""en"")"),"Protects the arm during the stroke")</f>
        <v>Protects the arm during the stroke</v>
      </c>
      <c r="K148" s="5" t="str">
        <f>IFERROR(__xludf.DUMMYFUNCTION("GOOGLETRANSLATE(E148,""it"",""en"")"),"The armband is used to protect the players' arm while hitting the ball.")</f>
        <v>The armband is used to protect the players' arm while hitting the ball.</v>
      </c>
    </row>
    <row r="149" ht="22.5" customHeight="1">
      <c r="A149" s="4">
        <v>154.0</v>
      </c>
      <c r="B149" s="5" t="s">
        <v>1734</v>
      </c>
      <c r="C149" s="5" t="s">
        <v>1735</v>
      </c>
      <c r="D149" s="5" t="s">
        <v>1551</v>
      </c>
      <c r="E149" s="5" t="s">
        <v>1736</v>
      </c>
      <c r="F149" s="3"/>
      <c r="G149" s="4">
        <v>154.0</v>
      </c>
      <c r="H149" s="5" t="str">
        <f>IFERROR(__xludf.DUMMYFUNCTION("GOOGLETRANSLATE(B149,""it"",""en"")"),"In which century did Pallone col Bracciale become a popular sport throughout Italy?")</f>
        <v>In which century did Pallone col Bracciale become a popular sport throughout Italy?</v>
      </c>
      <c r="I149" s="5" t="str">
        <f>IFERROR(__xludf.DUMMYFUNCTION("GOOGLETRANSLATE(C149,""it"",""en"")"),"A. 11th century B. 12th century C. 13th century D. 14th century")</f>
        <v>A. 11th century B. 12th century C. 13th century D. 14th century</v>
      </c>
      <c r="J149" s="5" t="str">
        <f>IFERROR(__xludf.DUMMYFUNCTION("GOOGLETRANSLATE(D149,""it"",""en"")"),"13th century")</f>
        <v>13th century</v>
      </c>
      <c r="K149" s="5" t="str">
        <f>IFERROR(__xludf.DUMMYFUNCTION("GOOGLETRANSLATE(E149,""it"",""en"")"),"Pallone col Bracciale became a popular sport throughout Italy in the 13th century.")</f>
        <v>Pallone col Bracciale became a popular sport throughout Italy in the 13th century.</v>
      </c>
    </row>
    <row r="150" ht="22.5" customHeight="1">
      <c r="A150" s="4">
        <v>155.0</v>
      </c>
      <c r="B150" s="5" t="s">
        <v>1737</v>
      </c>
      <c r="C150" s="5" t="s">
        <v>1738</v>
      </c>
      <c r="D150" s="5" t="s">
        <v>1739</v>
      </c>
      <c r="E150" s="5" t="s">
        <v>1740</v>
      </c>
      <c r="F150" s="3"/>
      <c r="G150" s="4">
        <v>155.0</v>
      </c>
      <c r="H150" s="5" t="str">
        <f>IFERROR(__xludf.DUMMYFUNCTION("GOOGLETRANSLATE(B150,""it"",""en"")"),"In the game of Pallone col Bracciale, who were the players' main opponents?")</f>
        <v>In the game of Pallone col Bracciale, who were the players' main opponents?</v>
      </c>
      <c r="I150" s="5" t="str">
        <f>IFERROR(__xludf.DUMMYFUNCTION("GOOGLETRANSLATE(C150,""it"",""en"")"),"A. Natural forces B. Other players C. Spectators D. Your teammates")</f>
        <v>A. Natural forces B. Other players C. Spectators D. Your teammates</v>
      </c>
      <c r="J150" s="5" t="str">
        <f>IFERROR(__xludf.DUMMYFUNCTION("GOOGLETRANSLATE(D150,""it"",""en"")"),"The other players")</f>
        <v>The other players</v>
      </c>
      <c r="K150" s="5" t="str">
        <f>IFERROR(__xludf.DUMMYFUNCTION("GOOGLETRANSLATE(E150,""it"",""en"")"),"In the game of Pallone col Bracciale, the main opponents were the other players during the competitions.")</f>
        <v>In the game of Pallone col Bracciale, the main opponents were the other players during the competitions.</v>
      </c>
    </row>
    <row r="151" ht="22.5" customHeight="1">
      <c r="A151" s="4">
        <v>156.0</v>
      </c>
      <c r="B151" s="5" t="s">
        <v>1741</v>
      </c>
      <c r="C151" s="5" t="s">
        <v>1742</v>
      </c>
      <c r="D151" s="5" t="s">
        <v>1743</v>
      </c>
      <c r="E151" s="5" t="s">
        <v>1744</v>
      </c>
      <c r="F151" s="3"/>
      <c r="G151" s="4">
        <v>156.0</v>
      </c>
      <c r="H151" s="5" t="str">
        <f>IFERROR(__xludf.DUMMYFUNCTION("GOOGLETRANSLATE(B151,""it"",""en"")"),"In Ball and Bracelet, how long did a single round last?")</f>
        <v>In Ball and Bracelet, how long did a single round last?</v>
      </c>
      <c r="I151" s="5" t="str">
        <f>IFERROR(__xludf.DUMMYFUNCTION("GOOGLETRANSLATE(C151,""it"",""en"")"),"A. 5-10 minutes B. 10-15 minutes C. 15-20 minutes D. Depends on the speed of the game")</f>
        <v>A. 5-10 minutes B. 10-15 minutes C. 15-20 minutes D. Depends on the speed of the game</v>
      </c>
      <c r="J151" s="5" t="str">
        <f>IFERROR(__xludf.DUMMYFUNCTION("GOOGLETRANSLATE(D151,""it"",""en"")"),"It depends on the speed of the game")</f>
        <v>It depends on the speed of the game</v>
      </c>
      <c r="K151" s="5" t="str">
        <f>IFERROR(__xludf.DUMMYFUNCTION("GOOGLETRANSLATE(E151,""it"",""en"")"),"The length of a round depends on the speed and pace of the game, which can vary.")</f>
        <v>The length of a round depends on the speed and pace of the game, which can vary.</v>
      </c>
    </row>
    <row r="152" ht="22.5" customHeight="1">
      <c r="A152" s="4">
        <v>157.0</v>
      </c>
      <c r="B152" s="5" t="s">
        <v>1745</v>
      </c>
      <c r="C152" s="5" t="s">
        <v>1746</v>
      </c>
      <c r="D152" s="5" t="s">
        <v>1747</v>
      </c>
      <c r="E152" s="5" t="s">
        <v>1748</v>
      </c>
      <c r="F152" s="3"/>
      <c r="G152" s="4">
        <v>157.0</v>
      </c>
      <c r="H152" s="5" t="str">
        <f>IFERROR(__xludf.DUMMYFUNCTION("GOOGLETRANSLATE(B152,""it"",""en"")"),"Where were Pallone col Bracciale tournaments traditionally held during the Renaissance?")</f>
        <v>Where were Pallone col Bracciale tournaments traditionally held during the Renaissance?</v>
      </c>
      <c r="I152" s="5" t="str">
        <f>IFERROR(__xludf.DUMMYFUNCTION("GOOGLETRANSLATE(C152,""it"",""en"")"),"A. In modern stadiums B. In courtyards and squares C. In covered gyms D. In large halls")</f>
        <v>A. In modern stadiums B. In courtyards and squares C. In covered gyms D. In large halls</v>
      </c>
      <c r="J152" s="5" t="str">
        <f>IFERROR(__xludf.DUMMYFUNCTION("GOOGLETRANSLATE(D152,""it"",""en"")"),"In courtyards and squares")</f>
        <v>In courtyards and squares</v>
      </c>
      <c r="K152" s="5" t="str">
        <f>IFERROR(__xludf.DUMMYFUNCTION("GOOGLETRANSLATE(E152,""it"",""en"")"),"Tournaments were traditionally held in public courtyards and squares.")</f>
        <v>Tournaments were traditionally held in public courtyards and squares.</v>
      </c>
    </row>
    <row r="153" ht="22.5" customHeight="1">
      <c r="A153" s="4">
        <v>158.0</v>
      </c>
      <c r="B153" s="5" t="s">
        <v>1749</v>
      </c>
      <c r="C153" s="5" t="s">
        <v>1750</v>
      </c>
      <c r="D153" s="5" t="s">
        <v>1751</v>
      </c>
      <c r="E153" s="5" t="s">
        <v>1752</v>
      </c>
      <c r="F153" s="3"/>
      <c r="G153" s="4">
        <v>158.0</v>
      </c>
      <c r="H153" s="5" t="str">
        <f>IFERROR(__xludf.DUMMYFUNCTION("GOOGLETRANSLATE(B153,""it"",""en"")"),"Which of the following materials was not used in the Pallone col Bracciale?")</f>
        <v>Which of the following materials was not used in the Pallone col Bracciale?</v>
      </c>
      <c r="I153" s="5" t="str">
        <f>IFERROR(__xludf.DUMMYFUNCTION("GOOGLETRANSLATE(C153,""it"",""en"")"),"A. Leather B. Steel C. Rope D. Wood")</f>
        <v>A. Leather B. Steel C. Rope D. Wood</v>
      </c>
      <c r="J153" s="5" t="str">
        <f>IFERROR(__xludf.DUMMYFUNCTION("GOOGLETRANSLATE(D153,""it"",""en"")"),"Rope")</f>
        <v>Rope</v>
      </c>
      <c r="K153" s="5" t="str">
        <f>IFERROR(__xludf.DUMMYFUNCTION("GOOGLETRANSLATE(E153,""it"",""en"")"),"Rope was not used in the Pallone col Bracciale, while leather, steel and wood were more common.")</f>
        <v>Rope was not used in the Pallone col Bracciale, while leather, steel and wood were more common.</v>
      </c>
    </row>
    <row r="154" ht="22.5" customHeight="1">
      <c r="A154" s="4">
        <v>159.0</v>
      </c>
      <c r="B154" s="5" t="s">
        <v>1753</v>
      </c>
      <c r="C154" s="5" t="s">
        <v>1754</v>
      </c>
      <c r="D154" s="5" t="s">
        <v>1755</v>
      </c>
      <c r="E154" s="5" t="s">
        <v>1756</v>
      </c>
      <c r="F154" s="3"/>
      <c r="G154" s="4">
        <v>159.0</v>
      </c>
      <c r="H154" s="5" t="str">
        <f>IFERROR(__xludf.DUMMYFUNCTION("GOOGLETRANSLATE(B154,""it"",""en"")"),"In Pallone col Bracciale, what happened if the ball hit the ground?")</f>
        <v>In Pallone col Bracciale, what happened if the ball hit the ground?</v>
      </c>
      <c r="I154" s="5" t="str">
        <f>IFERROR(__xludf.DUMMYFUNCTION("GOOGLETRANSLATE(C154,""it"",""en"")"),"A. The game was stopped B. The point was awarded to the opponent C. The point was cancelled D. The game continued without penalty")</f>
        <v>A. The game was stopped B. The point was awarded to the opponent C. The point was cancelled D. The game continued without penalty</v>
      </c>
      <c r="J154" s="5" t="str">
        <f>IFERROR(__xludf.DUMMYFUNCTION("GOOGLETRANSLATE(D154,""it"",""en"")"),"The point was awarded to the opponent")</f>
        <v>The point was awarded to the opponent</v>
      </c>
      <c r="K154" s="5" t="str">
        <f>IFERROR(__xludf.DUMMYFUNCTION("GOOGLETRANSLATE(E154,""it"",""en"")"),"If the ball touched the ground, the point was awarded to the opponent.")</f>
        <v>If the ball touched the ground, the point was awarded to the opponent.</v>
      </c>
    </row>
    <row r="155" ht="22.5" customHeight="1">
      <c r="A155" s="4">
        <v>160.0</v>
      </c>
      <c r="B155" s="5" t="s">
        <v>1757</v>
      </c>
      <c r="C155" s="5" t="s">
        <v>1758</v>
      </c>
      <c r="D155" s="5" t="s">
        <v>1759</v>
      </c>
      <c r="E155" s="5" t="s">
        <v>1760</v>
      </c>
      <c r="F155" s="3"/>
      <c r="G155" s="4">
        <v>160.0</v>
      </c>
      <c r="H155" s="5" t="str">
        <f>IFERROR(__xludf.DUMMYFUNCTION("GOOGLETRANSLATE(B155,""it"",""en"")"),"What role did nobles have in the Pallone col Bracciale during the Renaissance?")</f>
        <v>What role did nobles have in the Pallone col Bracciale during the Renaissance?</v>
      </c>
      <c r="I155" s="5" t="str">
        <f>IFERROR(__xludf.DUMMYFUNCTION("GOOGLETRANSLATE(C155,""it"",""en"")"),"A. They supported the tournaments financially B. They were passive spectators C. They participated as active players D. They were the main coaches")</f>
        <v>A. They supported the tournaments financially B. They were passive spectators C. They participated as active players D. They were the main coaches</v>
      </c>
      <c r="J155" s="5" t="str">
        <f>IFERROR(__xludf.DUMMYFUNCTION("GOOGLETRANSLATE(D155,""it"",""en"")"),"They participated as active players")</f>
        <v>They participated as active players</v>
      </c>
      <c r="K155" s="5" t="str">
        <f>IFERROR(__xludf.DUMMYFUNCTION("GOOGLETRANSLATE(E155,""it"",""en"")"),"The nobles actively participated as players and were often protagonists in the Pallone col Bracciale tournaments.")</f>
        <v>The nobles actively participated as players and were often protagonists in the Pallone col Bracciale tournaments.</v>
      </c>
    </row>
    <row r="156" ht="22.5" customHeight="1">
      <c r="A156" s="4">
        <v>161.0</v>
      </c>
      <c r="B156" s="5" t="s">
        <v>1761</v>
      </c>
      <c r="C156" s="5" t="s">
        <v>1762</v>
      </c>
      <c r="D156" s="5" t="s">
        <v>1763</v>
      </c>
      <c r="E156" s="5" t="s">
        <v>1764</v>
      </c>
      <c r="F156" s="3"/>
      <c r="G156" s="4">
        <v>161.0</v>
      </c>
      <c r="H156" s="5" t="str">
        <f>IFERROR(__xludf.DUMMYFUNCTION("GOOGLETRANSLATE(B156,""it"",""en"")"),"What other historical discipline influenced the game of Pallone col Bracciale?")</f>
        <v>What other historical discipline influenced the game of Pallone col Bracciale?</v>
      </c>
      <c r="I156" s="5" t="str">
        <f>IFERROR(__xludf.DUMMYFUNCTION("GOOGLETRANSLATE(C156,""it"",""en"")"),"A. Basque pelota B. Medieval football C. Table tennis D. Greco-Roman wrestling")</f>
        <v>A. Basque pelota B. Medieval football C. Table tennis D. Greco-Roman wrestling</v>
      </c>
      <c r="J156" s="5" t="str">
        <f>IFERROR(__xludf.DUMMYFUNCTION("GOOGLETRANSLATE(D156,""it"",""en"")"),"Basque pelota")</f>
        <v>Basque pelota</v>
      </c>
      <c r="K156" s="5" t="str">
        <f>IFERROR(__xludf.DUMMYFUNCTION("GOOGLETRANSLATE(E156,""it"",""en"")"),"Basque pelota, a similar game, had an influence on the development of Pallone col Bracciale.")</f>
        <v>Basque pelota, a similar game, had an influence on the development of Pallone col Bracciale.</v>
      </c>
    </row>
    <row r="157" ht="22.5" customHeight="1">
      <c r="A157" s="4">
        <v>162.0</v>
      </c>
      <c r="B157" s="5" t="s">
        <v>1765</v>
      </c>
      <c r="C157" s="5" t="s">
        <v>1766</v>
      </c>
      <c r="D157" s="5" t="s">
        <v>1767</v>
      </c>
      <c r="E157" s="5" t="s">
        <v>1768</v>
      </c>
      <c r="F157" s="3"/>
      <c r="G157" s="4">
        <v>162.0</v>
      </c>
      <c r="H157" s="5" t="str">
        <f>IFERROR(__xludf.DUMMYFUNCTION("GOOGLETRANSLATE(B157,""it"",""en"")"),"In the Pallone col Bracciale, who was awarded at the end of a tournament?")</f>
        <v>In the Pallone col Bracciale, who was awarded at the end of a tournament?</v>
      </c>
      <c r="I157" s="5" t="str">
        <f>IFERROR(__xludf.DUMMYFUNCTION("GOOGLETRANSLATE(C157,""it"",""en"")"),"A. The winner and his team B. The best player of the match C. The team captain D. The best coach")</f>
        <v>A. The winner and his team B. The best player of the match C. The team captain D. The best coach</v>
      </c>
      <c r="J157" s="5" t="str">
        <f>IFERROR(__xludf.DUMMYFUNCTION("GOOGLETRANSLATE(D157,""it"",""en"")"),"The best player of the match")</f>
        <v>The best player of the match</v>
      </c>
      <c r="K157" s="5" t="str">
        <f>IFERROR(__xludf.DUMMYFUNCTION("GOOGLETRANSLATE(E157,""it"",""en"")"),"At the end of a tournament, the best player of the match was awarded.")</f>
        <v>At the end of a tournament, the best player of the match was awarded.</v>
      </c>
    </row>
    <row r="158" ht="22.5" customHeight="1">
      <c r="A158" s="4">
        <v>163.0</v>
      </c>
      <c r="B158" s="5" t="s">
        <v>1769</v>
      </c>
      <c r="C158" s="5" t="s">
        <v>1770</v>
      </c>
      <c r="D158" s="5" t="s">
        <v>1771</v>
      </c>
      <c r="E158" s="5" t="s">
        <v>1772</v>
      </c>
      <c r="F158" s="3"/>
      <c r="G158" s="4">
        <v>163.0</v>
      </c>
      <c r="H158" s="5" t="str">
        <f>IFERROR(__xludf.DUMMYFUNCTION("GOOGLETRANSLATE(B158,""it"",""en"")"),"What is the name of the movement involving the bracelet in the game Pallone col Bracciale?")</f>
        <v>What is the name of the movement involving the bracelet in the game Pallone col Bracciale?</v>
      </c>
      <c r="I158" s="5" t="str">
        <f>IFERROR(__xludf.DUMMYFUNCTION("GOOGLETRANSLATE(C158,""it"",""en"")"),"A. The volley B. The wall shot C. The hand shot D. The arm shot")</f>
        <v>A. The volley B. The wall shot C. The hand shot D. The arm shot</v>
      </c>
      <c r="J158" s="5" t="str">
        <f>IFERROR(__xludf.DUMMYFUNCTION("GOOGLETRANSLATE(D158,""it"",""en"")"),"The wall shot")</f>
        <v>The wall shot</v>
      </c>
      <c r="K158" s="5" t="str">
        <f>IFERROR(__xludf.DUMMYFUNCTION("GOOGLETRANSLATE(E158,""it"",""en"")"),"The wall shot is the movement with which the ball is thrown against the wall using the bracelet.")</f>
        <v>The wall shot is the movement with which the ball is thrown against the wall using the bracelet.</v>
      </c>
    </row>
    <row r="159" ht="22.5" customHeight="1">
      <c r="A159" s="4">
        <v>164.0</v>
      </c>
      <c r="B159" s="5" t="s">
        <v>1773</v>
      </c>
      <c r="C159" s="5" t="s">
        <v>1774</v>
      </c>
      <c r="D159" s="5" t="s">
        <v>1775</v>
      </c>
      <c r="E159" s="5" t="s">
        <v>1776</v>
      </c>
      <c r="F159" s="3"/>
      <c r="G159" s="4">
        <v>164.0</v>
      </c>
      <c r="H159" s="5" t="str">
        <f>IFERROR(__xludf.DUMMYFUNCTION("GOOGLETRANSLATE(B159,""it"",""en"")"),"In Pallone col Bracciale, what is the importance of the wall?")</f>
        <v>In Pallone col Bracciale, what is the importance of the wall?</v>
      </c>
      <c r="I159" s="5" t="str">
        <f>IFERROR(__xludf.DUMMYFUNCTION("GOOGLETRANSLATE(C159,""it"",""en"")"),"A. Increases the difficulty of the game B. Serves as a thrower C. Serves as a point of contact with the ball D. Bounces the ball to keep it in play")</f>
        <v>A. Increases the difficulty of the game B. Serves as a thrower C. Serves as a point of contact with the ball D. Bounces the ball to keep it in play</v>
      </c>
      <c r="J159" s="5" t="str">
        <f>IFERROR(__xludf.DUMMYFUNCTION("GOOGLETRANSLATE(D159,""it"",""en"")"),"Bounce the ball to keep it in play")</f>
        <v>Bounce the ball to keep it in play</v>
      </c>
      <c r="K159" s="5" t="str">
        <f>IFERROR(__xludf.DUMMYFUNCTION("GOOGLETRANSLATE(E159,""it"",""en"")"),"The wall is essential for bouncing the ball and keeping it in play.")</f>
        <v>The wall is essential for bouncing the ball and keeping it in play.</v>
      </c>
    </row>
    <row r="160" ht="22.5" customHeight="1">
      <c r="A160" s="4">
        <v>165.0</v>
      </c>
      <c r="B160" s="5" t="s">
        <v>1777</v>
      </c>
      <c r="C160" s="5" t="s">
        <v>1778</v>
      </c>
      <c r="D160" s="5" t="s">
        <v>1779</v>
      </c>
      <c r="E160" s="5" t="s">
        <v>1780</v>
      </c>
      <c r="F160" s="3"/>
      <c r="G160" s="4">
        <v>165.0</v>
      </c>
      <c r="H160" s="5" t="str">
        <f>IFERROR(__xludf.DUMMYFUNCTION("GOOGLETRANSLATE(B160,""it"",""en"")"),"What did the Pallone col Bracciale represent in the social context of the Renaissance?")</f>
        <v>What did the Pallone col Bracciale represent in the social context of the Renaissance?</v>
      </c>
      <c r="I160" s="5" t="str">
        <f>IFERROR(__xludf.DUMMYFUNCTION("GOOGLETRANSLATE(C160,""it"",""en"")"),"A. A pastime for the working class B. A symbol of status and power C. A pastime for royal families D. An exclusive game for merchants")</f>
        <v>A. A pastime for the working class B. A symbol of status and power C. A pastime for royal families D. An exclusive game for merchants</v>
      </c>
      <c r="J160" s="5" t="str">
        <f>IFERROR(__xludf.DUMMYFUNCTION("GOOGLETRANSLATE(D160,""it"",""en"")"),"A symbol of status and power")</f>
        <v>A symbol of status and power</v>
      </c>
      <c r="K160" s="5" t="str">
        <f>IFERROR(__xludf.DUMMYFUNCTION("GOOGLETRANSLATE(E160,""it"",""en"")"),"The Ball with Bracelet was a symbol of status and power, practiced by the upper classes.")</f>
        <v>The Ball with Bracelet was a symbol of status and power, practiced by the upper classes.</v>
      </c>
    </row>
    <row r="161" ht="22.5" customHeight="1">
      <c r="A161" s="4">
        <v>166.0</v>
      </c>
      <c r="B161" s="5" t="s">
        <v>1781</v>
      </c>
      <c r="C161" s="5" t="s">
        <v>1782</v>
      </c>
      <c r="D161" s="5" t="s">
        <v>1783</v>
      </c>
      <c r="E161" s="5" t="s">
        <v>1784</v>
      </c>
      <c r="F161" s="3"/>
      <c r="G161" s="4">
        <v>166.0</v>
      </c>
      <c r="H161" s="5" t="str">
        <f>IFERROR(__xludf.DUMMYFUNCTION("GOOGLETRANSLATE(B161,""it"",""en"")"),"In Pallone col Bracciale, which aspect of the game was fundamental for the player's defense?")</f>
        <v>In Pallone col Bracciale, which aspect of the game was fundamental for the player's defense?</v>
      </c>
      <c r="I161" s="5" t="str">
        <f>IFERROR(__xludf.DUMMYFUNCTION("GOOGLETRANSLATE(C161,""it"",""en"")"),"A. The ability to throw B. The speed of movement C. The use of the armband to protect the arm D. The ability to anticipate the blow")</f>
        <v>A. The ability to throw B. The speed of movement C. The use of the armband to protect the arm D. The ability to anticipate the blow</v>
      </c>
      <c r="J161" s="5" t="str">
        <f>IFERROR(__xludf.DUMMYFUNCTION("GOOGLETRANSLATE(D161,""it"",""en"")"),"Using the bracelet to protect the arm")</f>
        <v>Using the bracelet to protect the arm</v>
      </c>
      <c r="K161" s="5" t="str">
        <f>IFERROR(__xludf.DUMMYFUNCTION("GOOGLETRANSLATE(E161,""it"",""en"")"),"The armband was essential to protect the player's arm during the shot.")</f>
        <v>The armband was essential to protect the player's arm during the shot.</v>
      </c>
    </row>
    <row r="162" ht="22.5" customHeight="1">
      <c r="A162" s="4">
        <v>167.0</v>
      </c>
      <c r="B162" s="5" t="s">
        <v>1785</v>
      </c>
      <c r="C162" s="5" t="s">
        <v>1786</v>
      </c>
      <c r="D162" s="5" t="s">
        <v>1787</v>
      </c>
      <c r="E162" s="5" t="s">
        <v>1788</v>
      </c>
      <c r="F162" s="3"/>
      <c r="G162" s="4">
        <v>167.0</v>
      </c>
      <c r="H162" s="5" t="str">
        <f>IFERROR(__xludf.DUMMYFUNCTION("GOOGLETRANSLATE(B162,""it"",""en"")"),"What is the main difficulty in the Bracelet Ball?")</f>
        <v>What is the main difficulty in the Bracelet Ball?</v>
      </c>
      <c r="I162" s="5" t="str">
        <f>IFERROR(__xludf.DUMMYFUNCTION("GOOGLETRANSLATE(C162,""it"",""en"")"),"A. Maintain control of the ball B. Prevent the ball from hitting the wall C. Hit the ball with the wristband D. Manage the score")</f>
        <v>A. Maintain control of the ball B. Prevent the ball from hitting the wall C. Hit the ball with the wristband D. Manage the score</v>
      </c>
      <c r="J162" s="5" t="str">
        <f>IFERROR(__xludf.DUMMYFUNCTION("GOOGLETRANSLATE(D162,""it"",""en"")"),"Hit the ball with the bracelet")</f>
        <v>Hit the ball with the bracelet</v>
      </c>
      <c r="K162" s="5" t="str">
        <f>IFERROR(__xludf.DUMMYFUNCTION("GOOGLETRANSLATE(E162,""it"",""en"")"),"The main difficulty in the game is hitting the ball correctly with the bracelet.")</f>
        <v>The main difficulty in the game is hitting the ball correctly with the bracelet.</v>
      </c>
    </row>
    <row r="163" ht="22.5" customHeight="1">
      <c r="A163" s="4">
        <v>168.0</v>
      </c>
      <c r="B163" s="5" t="s">
        <v>1789</v>
      </c>
      <c r="C163" s="5" t="s">
        <v>1790</v>
      </c>
      <c r="D163" s="5" t="s">
        <v>1791</v>
      </c>
      <c r="E163" s="5" t="s">
        <v>1792</v>
      </c>
      <c r="F163" s="3"/>
      <c r="G163" s="4">
        <v>168.0</v>
      </c>
      <c r="H163" s="5" t="str">
        <f>IFERROR(__xludf.DUMMYFUNCTION("GOOGLETRANSLATE(B163,""it"",""en"")"),"What made Pallone col Bracciale special compared to other medieval games?")</f>
        <v>What made Pallone col Bracciale special compared to other medieval games?</v>
      </c>
      <c r="I163" s="5" t="str">
        <f>IFERROR(__xludf.DUMMYFUNCTION("GOOGLETRANSLATE(C163,""it"",""en"")"),"A. The use of a wall B. The participation of multiple teams C. The duration of the tournaments D. The use of the horse")</f>
        <v>A. The use of a wall B. The participation of multiple teams C. The duration of the tournaments D. The use of the horse</v>
      </c>
      <c r="J163" s="5" t="str">
        <f>IFERROR(__xludf.DUMMYFUNCTION("GOOGLETRANSLATE(D163,""it"",""en"")"),"Using a wall")</f>
        <v>Using a wall</v>
      </c>
      <c r="K163" s="5" t="str">
        <f>IFERROR(__xludf.DUMMYFUNCTION("GOOGLETRANSLATE(E163,""it"",""en"")"),"The use of the wall to bounce the ball made Ball with Bracelet unique from other games.")</f>
        <v>The use of the wall to bounce the ball made Ball with Bracelet unique from other games.</v>
      </c>
    </row>
    <row r="164" ht="22.5" customHeight="1">
      <c r="A164" s="4">
        <v>169.0</v>
      </c>
      <c r="B164" s="5" t="s">
        <v>1793</v>
      </c>
      <c r="C164" s="5" t="s">
        <v>1794</v>
      </c>
      <c r="D164" s="5" t="s">
        <v>1795</v>
      </c>
      <c r="E164" s="5" t="s">
        <v>1796</v>
      </c>
      <c r="F164" s="3"/>
      <c r="G164" s="4">
        <v>169.0</v>
      </c>
      <c r="H164" s="5" t="str">
        <f>IFERROR(__xludf.DUMMYFUNCTION("GOOGLETRANSLATE(B164,""it"",""en"")"),"In Pallone col Bracciale, which physical skill is most important for a player?")</f>
        <v>In Pallone col Bracciale, which physical skill is most important for a player?</v>
      </c>
      <c r="I164" s="5" t="str">
        <f>IFERROR(__xludf.DUMMYFUNCTION("GOOGLETRANSLATE(C164,""it"",""en"")"),"A. Flexibility B. Speed ​​C. Muscular strength D. Endurance")</f>
        <v>A. Flexibility B. Speed ​​C. Muscular strength D. Endurance</v>
      </c>
      <c r="J164" s="5" t="str">
        <f>IFERROR(__xludf.DUMMYFUNCTION("GOOGLETRANSLATE(D164,""it"",""en"")"),"Speed")</f>
        <v>Speed</v>
      </c>
      <c r="K164" s="5" t="str">
        <f>IFERROR(__xludf.DUMMYFUNCTION("GOOGLETRANSLATE(E164,""it"",""en"")"),"In Pallone col Bracciale, speed is one of the most important physical skills for executing quick and effective shots.")</f>
        <v>In Pallone col Bracciale, speed is one of the most important physical skills for executing quick and effective shots.</v>
      </c>
    </row>
    <row r="165" ht="22.5" customHeight="1">
      <c r="A165" s="4">
        <v>170.0</v>
      </c>
      <c r="B165" s="5" t="s">
        <v>1797</v>
      </c>
      <c r="C165" s="5" t="s">
        <v>1798</v>
      </c>
      <c r="D165" s="5" t="s">
        <v>1799</v>
      </c>
      <c r="E165" s="5" t="s">
        <v>1800</v>
      </c>
      <c r="F165" s="3"/>
      <c r="G165" s="4">
        <v>170.0</v>
      </c>
      <c r="H165" s="5" t="str">
        <f>IFERROR(__xludf.DUMMYFUNCTION("GOOGLETRANSLATE(B165,""it"",""en"")"),"During the Renaissance, what was one of the main reasons why nobles played Pallone col Bracciale?")</f>
        <v>During the Renaissance, what was one of the main reasons why nobles played Pallone col Bracciale?</v>
      </c>
      <c r="I165" s="5" t="str">
        <f>IFERROR(__xludf.DUMMYFUNCTION("GOOGLETRANSLATE(C165,""it"",""en"")"),"A. Improve their endurance B. Maintain good physical shape C. Strengthen their social prestige D. Have fun in private")</f>
        <v>A. Improve their endurance B. Maintain good physical shape C. Strengthen their social prestige D. Have fun in private</v>
      </c>
      <c r="J165" s="5" t="str">
        <f>IFERROR(__xludf.DUMMYFUNCTION("GOOGLETRANSLATE(D165,""it"",""en"")"),"Strengthen their social prestige")</f>
        <v>Strengthen their social prestige</v>
      </c>
      <c r="K165" s="5" t="str">
        <f>IFERROR(__xludf.DUMMYFUNCTION("GOOGLETRANSLATE(E165,""it"",""en"")"),"The nobles played to strengthen their social prestige and demonstrate their superiority.")</f>
        <v>The nobles played to strengthen their social prestige and demonstrate their superiority.</v>
      </c>
    </row>
    <row r="166" ht="22.5" customHeight="1">
      <c r="A166" s="4">
        <v>171.0</v>
      </c>
      <c r="B166" s="5" t="s">
        <v>1801</v>
      </c>
      <c r="C166" s="5" t="s">
        <v>1802</v>
      </c>
      <c r="D166" s="5" t="s">
        <v>1803</v>
      </c>
      <c r="E166" s="5" t="s">
        <v>1804</v>
      </c>
      <c r="F166" s="3"/>
      <c r="G166" s="4">
        <v>171.0</v>
      </c>
      <c r="H166" s="5" t="str">
        <f>IFERROR(__xludf.DUMMYFUNCTION("GOOGLETRANSLATE(B166,""it"",""en"")"),"What type of tournaments were held in Pallone col Bracciale during the medieval era?")</f>
        <v>What type of tournaments were held in Pallone col Bracciale during the medieval era?</v>
      </c>
      <c r="I166" s="5" t="str">
        <f>IFERROR(__xludf.DUMMYFUNCTION("GOOGLETRANSLATE(C166,""it"",""en"")"),"A. Team tournaments B. Individual tournaments C. Mixed tournaments D. Endurance tournaments")</f>
        <v>A. Team tournaments B. Individual tournaments C. Mixed tournaments D. Endurance tournaments</v>
      </c>
      <c r="J166" s="5" t="str">
        <f>IFERROR(__xludf.DUMMYFUNCTION("GOOGLETRANSLATE(D166,""it"",""en"")"),"Individual tournaments")</f>
        <v>Individual tournaments</v>
      </c>
      <c r="K166" s="5" t="str">
        <f>IFERROR(__xludf.DUMMYFUNCTION("GOOGLETRANSLATE(E166,""it"",""en"")"),"Pallone col Bracciale tournaments during the medieval era were usually individual tournaments.")</f>
        <v>Pallone col Bracciale tournaments during the medieval era were usually individual tournaments.</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3" width="37.63"/>
    <col customWidth="1" min="4" max="4" width="29.25"/>
    <col customWidth="1" min="5" max="5" width="37.63"/>
    <col customWidth="1" min="7" max="7" width="18.5"/>
    <col customWidth="1" min="8" max="9" width="37.63"/>
    <col customWidth="1" min="10" max="10" width="30.0"/>
    <col customWidth="1" min="11" max="11" width="37.63"/>
  </cols>
  <sheetData>
    <row r="1" ht="22.5" customHeight="1">
      <c r="A1" s="8" t="s">
        <v>0</v>
      </c>
      <c r="B1" s="8" t="s">
        <v>1</v>
      </c>
      <c r="C1" s="2" t="s">
        <v>2</v>
      </c>
      <c r="D1" s="8" t="s">
        <v>3</v>
      </c>
      <c r="E1" s="8" t="s">
        <v>4</v>
      </c>
      <c r="F1" s="3"/>
      <c r="G1" s="8" t="s">
        <v>0</v>
      </c>
      <c r="H1" s="8" t="s">
        <v>5</v>
      </c>
      <c r="I1" s="8" t="s">
        <v>1805</v>
      </c>
      <c r="J1" s="8" t="s">
        <v>7</v>
      </c>
      <c r="K1" s="8" t="s">
        <v>8</v>
      </c>
      <c r="L1" s="3"/>
    </row>
    <row r="2" ht="22.5" customHeight="1">
      <c r="A2" s="4">
        <v>1.0</v>
      </c>
      <c r="B2" s="5" t="s">
        <v>1806</v>
      </c>
      <c r="C2" s="5" t="s">
        <v>1807</v>
      </c>
      <c r="D2" s="5" t="s">
        <v>1808</v>
      </c>
      <c r="E2" s="5" t="s">
        <v>1809</v>
      </c>
      <c r="F2" s="3"/>
      <c r="G2" s="4">
        <v>1.0</v>
      </c>
      <c r="H2" s="10" t="str">
        <f>IFERROR(__xludf.DUMMYFUNCTION("GOOGLETRANSLATE(B2,""it"",""en"")"),"What is the main objective of the Palio di Siena?")</f>
        <v>What is the main objective of the Palio di Siena?</v>
      </c>
      <c r="I2" s="10" t="str">
        <f>IFERROR(__xludf.DUMMYFUNCTION("GOOGLETRANSLATE(C2,""it"",""en"")"),"A. Win the most laps B. Win the first lap C. Win the race by completing three laps D. Win by remaining last in the field")</f>
        <v>A. Win the most laps B. Win the first lap C. Win the race by completing three laps D. Win by remaining last in the field</v>
      </c>
      <c r="J2" s="10" t="str">
        <f>IFERROR(__xludf.DUMMYFUNCTION("GOOGLETRANSLATE(D2,""it"",""en"")"),"Win the race by completing three laps")</f>
        <v>Win the race by completing three laps</v>
      </c>
      <c r="K2" s="10" t="str">
        <f>IFERROR(__xludf.DUMMYFUNCTION("GOOGLETRANSLATE(E2,""it"",""en"")"),"The Palio is won by the horse that completes three laps of the square first.")</f>
        <v>The Palio is won by the horse that completes three laps of the square first.</v>
      </c>
    </row>
    <row r="3" ht="22.5" customHeight="1">
      <c r="A3" s="11">
        <v>2.0</v>
      </c>
      <c r="B3" s="5" t="s">
        <v>1810</v>
      </c>
      <c r="C3" s="5" t="s">
        <v>1811</v>
      </c>
      <c r="D3" s="5" t="s">
        <v>1812</v>
      </c>
      <c r="E3" s="5" t="s">
        <v>1813</v>
      </c>
      <c r="F3" s="3"/>
      <c r="G3" s="11">
        <v>2.0</v>
      </c>
      <c r="H3" s="10" t="str">
        <f>IFERROR(__xludf.DUMMYFUNCTION("GOOGLETRANSLATE(B3,""it"",""en"")"),"Where does the Palio di Siena take place?")</f>
        <v>Where does the Palio di Siena take place?</v>
      </c>
      <c r="I3" s="10" t="str">
        <f>IFERROR(__xludf.DUMMYFUNCTION("GOOGLETRANSLATE(C3,""it"",""en"")"),"A. In the Piazza del Campo B. In the Piazza della Repubblica C. In the Piazza San Marco D. In the Colosseum")</f>
        <v>A. In the Piazza del Campo B. In the Piazza della Repubblica C. In the Piazza San Marco D. In the Colosseum</v>
      </c>
      <c r="J3" s="10" t="str">
        <f>IFERROR(__xludf.DUMMYFUNCTION("GOOGLETRANSLATE(D3,""it"",""en"")"),"In the Piazza del Campo")</f>
        <v>In the Piazza del Campo</v>
      </c>
      <c r="K3" s="10" t="str">
        <f>IFERROR(__xludf.DUMMYFUNCTION("GOOGLETRANSLATE(E3,""it"",""en"")"),"The Palio takes place in Siena's historic Piazza del Campo.")</f>
        <v>The Palio takes place in Siena's historic Piazza del Campo.</v>
      </c>
    </row>
    <row r="4" ht="22.5" customHeight="1">
      <c r="A4" s="11">
        <v>3.0</v>
      </c>
      <c r="B4" s="5" t="s">
        <v>1814</v>
      </c>
      <c r="C4" s="5" t="s">
        <v>1815</v>
      </c>
      <c r="D4" s="5" t="s">
        <v>1816</v>
      </c>
      <c r="E4" s="5" t="s">
        <v>1817</v>
      </c>
      <c r="F4" s="3"/>
      <c r="G4" s="11">
        <v>3.0</v>
      </c>
      <c r="H4" s="10" t="str">
        <f>IFERROR(__xludf.DUMMYFUNCTION("GOOGLETRANSLATE(B4,""it"",""en"")"),"How many Palios are held each year?")</f>
        <v>How many Palios are held each year?</v>
      </c>
      <c r="I4" s="10" t="str">
        <f>IFERROR(__xludf.DUMMYFUNCTION("GOOGLETRANSLATE(C4,""it"",""en"")"),"A. One B. Two C. Three D. Four")</f>
        <v>A. One B. Two C. Three D. Four</v>
      </c>
      <c r="J4" s="10" t="str">
        <f>IFERROR(__xludf.DUMMYFUNCTION("GOOGLETRANSLATE(D4,""it"",""en"")"),"Two")</f>
        <v>Two</v>
      </c>
      <c r="K4" s="10" t="str">
        <f>IFERROR(__xludf.DUMMYFUNCTION("GOOGLETRANSLATE(E4,""it"",""en"")"),"Two Palios are held each year: on July 2nd and August 16th.")</f>
        <v>Two Palios are held each year: on July 2nd and August 16th.</v>
      </c>
    </row>
    <row r="5" ht="22.5" customHeight="1">
      <c r="A5" s="11">
        <v>4.0</v>
      </c>
      <c r="B5" s="5" t="s">
        <v>1818</v>
      </c>
      <c r="C5" s="5" t="s">
        <v>1819</v>
      </c>
      <c r="D5" s="5" t="s">
        <v>1820</v>
      </c>
      <c r="E5" s="5" t="s">
        <v>1821</v>
      </c>
      <c r="F5" s="3"/>
      <c r="G5" s="11">
        <v>4.0</v>
      </c>
      <c r="H5" s="10" t="str">
        <f>IFERROR(__xludf.DUMMYFUNCTION("GOOGLETRANSLATE(B5,""it"",""en"")"),"What do the contrade represent in the Palio?")</f>
        <v>What do the contrade represent in the Palio?</v>
      </c>
      <c r="I5" s="10" t="str">
        <f>IFERROR(__xludf.DUMMYFUNCTION("GOOGLETRANSLATE(C5,""it"",""en"")"),"A. Noble families B. Districts of Siena C. Military schools D. Maritime republics")</f>
        <v>A. Noble families B. Districts of Siena C. Military schools D. Maritime republics</v>
      </c>
      <c r="J5" s="10" t="str">
        <f>IFERROR(__xludf.DUMMYFUNCTION("GOOGLETRANSLATE(D5,""it"",""en"")"),"Neighborhoods of Siena")</f>
        <v>Neighborhoods of Siena</v>
      </c>
      <c r="K5" s="10" t="str">
        <f>IFERROR(__xludf.DUMMYFUNCTION("GOOGLETRANSLATE(E5,""it"",""en"")"),"The contrade represent the historic neighborhoods of Siena.")</f>
        <v>The contrade represent the historic neighborhoods of Siena.</v>
      </c>
    </row>
    <row r="6" ht="22.5" customHeight="1">
      <c r="A6" s="11">
        <v>5.0</v>
      </c>
      <c r="B6" s="5" t="s">
        <v>1822</v>
      </c>
      <c r="C6" s="5" t="s">
        <v>1823</v>
      </c>
      <c r="D6" s="5" t="s">
        <v>1824</v>
      </c>
      <c r="E6" s="5" t="s">
        <v>1825</v>
      </c>
      <c r="F6" s="3"/>
      <c r="G6" s="11">
        <v>5.0</v>
      </c>
      <c r="H6" s="10" t="str">
        <f>IFERROR(__xludf.DUMMYFUNCTION("GOOGLETRANSLATE(B6,""it"",""en"")"),"What is the name of the riderless horse that wins the Palio?")</f>
        <v>What is the name of the riderless horse that wins the Palio?</v>
      </c>
      <c r="I6" s="10" t="str">
        <f>IFERROR(__xludf.DUMMYFUNCTION("GOOGLETRANSLATE(C6,""it"",""en"")"),"A. Loose horse B. Shaken horse C. Loose horse D. Injured horse")</f>
        <v>A. Loose horse B. Shaken horse C. Loose horse D. Injured horse</v>
      </c>
      <c r="J6" s="10" t="str">
        <f>IFERROR(__xludf.DUMMYFUNCTION("GOOGLETRANSLATE(D6,""it"",""en"")"),"Shaken horse")</f>
        <v>Shaken horse</v>
      </c>
      <c r="K6" s="10" t="str">
        <f>IFERROR(__xludf.DUMMYFUNCTION("GOOGLETRANSLATE(E6,""it"",""en"")"),"Even a riderless horse can win if it finishes first.")</f>
        <v>Even a riderless horse can win if it finishes first.</v>
      </c>
    </row>
    <row r="7" ht="22.5" customHeight="1">
      <c r="A7" s="4">
        <v>6.0</v>
      </c>
      <c r="B7" s="5" t="s">
        <v>1826</v>
      </c>
      <c r="C7" s="5" t="s">
        <v>1827</v>
      </c>
      <c r="D7" s="5" t="s">
        <v>1828</v>
      </c>
      <c r="E7" s="5" t="s">
        <v>1829</v>
      </c>
      <c r="F7" s="3"/>
      <c r="G7" s="4">
        <v>6.0</v>
      </c>
      <c r="H7" s="10" t="str">
        <f>IFERROR(__xludf.DUMMYFUNCTION("GOOGLETRANSLATE(B7,""it"",""en"")"),"What is the name of the ceremony that assigns the horses to the districts?")</f>
        <v>What is the name of the ceremony that assigns the horses to the districts?</v>
      </c>
      <c r="I7" s="10" t="str">
        <f>IFERROR(__xludf.DUMMYFUNCTION("GOOGLETRANSLATE(C7,""it"",""en"")"),"A. Route B. Joust C. Preliminary race D. Draw")</f>
        <v>A. Route B. Joust C. Preliminary race D. Draw</v>
      </c>
      <c r="J7" s="10" t="str">
        <f>IFERROR(__xludf.DUMMYFUNCTION("GOOGLETRANSLATE(D7,""it"",""en"")"),"Deals with")</f>
        <v>Deals with</v>
      </c>
      <c r="K7" s="10" t="str">
        <f>IFERROR(__xludf.DUMMYFUNCTION("GOOGLETRANSLATE(E7,""it"",""en"")"),"The Tratta is the official ceremony for assigning the horses.")</f>
        <v>The Tratta is the official ceremony for assigning the horses.</v>
      </c>
    </row>
    <row r="8" ht="22.5" customHeight="1">
      <c r="A8" s="11">
        <v>7.0</v>
      </c>
      <c r="B8" s="5" t="s">
        <v>1830</v>
      </c>
      <c r="C8" s="5" t="s">
        <v>1831</v>
      </c>
      <c r="D8" s="5" t="s">
        <v>1832</v>
      </c>
      <c r="E8" s="5" t="s">
        <v>1833</v>
      </c>
      <c r="F8" s="3"/>
      <c r="G8" s="11">
        <v>7.0</v>
      </c>
      <c r="H8" s="10" t="str">
        <f>IFERROR(__xludf.DUMMYFUNCTION("GOOGLETRANSLATE(B8,""it"",""en"")"),"How many rehearsals are held before the main race?")</f>
        <v>How many rehearsals are held before the main race?</v>
      </c>
      <c r="I8" s="10" t="str">
        <f>IFERROR(__xludf.DUMMYFUNCTION("GOOGLETRANSLATE(C8,""it"",""en"")"),"A. Two B. Four C. Six D. Eight")</f>
        <v>A. Two B. Four C. Six D. Eight</v>
      </c>
      <c r="J8" s="10" t="str">
        <f>IFERROR(__xludf.DUMMYFUNCTION("GOOGLETRANSLATE(D8,""it"",""en"")"),"Six")</f>
        <v>Six</v>
      </c>
      <c r="K8" s="10" t="str">
        <f>IFERROR(__xludf.DUMMYFUNCTION("GOOGLETRANSLATE(E8,""it"",""en"")"),"Six trials are held before the final race.")</f>
        <v>Six trials are held before the final race.</v>
      </c>
    </row>
    <row r="9" ht="22.5" customHeight="1">
      <c r="A9" s="11">
        <v>8.0</v>
      </c>
      <c r="B9" s="5" t="s">
        <v>1834</v>
      </c>
      <c r="C9" s="5" t="s">
        <v>1835</v>
      </c>
      <c r="D9" s="5" t="s">
        <v>1836</v>
      </c>
      <c r="E9" s="5" t="s">
        <v>1837</v>
      </c>
      <c r="F9" s="3"/>
      <c r="G9" s="11">
        <v>8.0</v>
      </c>
      <c r="H9" s="10" t="str">
        <f>IFERROR(__xludf.DUMMYFUNCTION("GOOGLETRANSLATE(B9,""it"",""en"")"),"Who is the starter?")</f>
        <v>Who is the starter?</v>
      </c>
      <c r="I9" s="10" t="str">
        <f>IFERROR(__xludf.DUMMYFUNCTION("GOOGLETRANSLATE(C9,""it"",""en"")"),"A. The race referee B. The oldest jockey C. A representative of the districts D. The winning rider")</f>
        <v>A. The race referee B. The oldest jockey C. A representative of the districts D. The winning rider</v>
      </c>
      <c r="J9" s="10" t="str">
        <f>IFERROR(__xludf.DUMMYFUNCTION("GOOGLETRANSLATE(D9,""it"",""en"")"),"The race referee")</f>
        <v>The race referee</v>
      </c>
      <c r="K9" s="10" t="str">
        <f>IFERROR(__xludf.DUMMYFUNCTION("GOOGLETRANSLATE(E9,""it"",""en"")"),"The starter controls the start and starts the race.")</f>
        <v>The starter controls the start and starts the race.</v>
      </c>
    </row>
    <row r="10" ht="22.5" customHeight="1">
      <c r="A10" s="11">
        <v>9.0</v>
      </c>
      <c r="B10" s="5" t="s">
        <v>1838</v>
      </c>
      <c r="C10" s="5" t="s">
        <v>1839</v>
      </c>
      <c r="D10" s="5" t="s">
        <v>1840</v>
      </c>
      <c r="E10" s="5" t="s">
        <v>1841</v>
      </c>
      <c r="F10" s="3"/>
      <c r="G10" s="11">
        <v>9.0</v>
      </c>
      <c r="H10" s="10" t="str">
        <f>IFERROR(__xludf.DUMMYFUNCTION("GOOGLETRANSLATE(B10,""it"",""en"")"),"What prize does the winning contrada receive?")</f>
        <v>What prize does the winning contrada receive?</v>
      </c>
      <c r="I10" s="10" t="str">
        <f>IFERROR(__xludf.DUMMYFUNCTION("GOOGLETRANSLATE(C10,""it"",""en"")"),"A. A golden crown B. A banner C. A bronze trophy D. A new horse")</f>
        <v>A. A golden crown B. A banner C. A bronze trophy D. A new horse</v>
      </c>
      <c r="J10" s="10" t="str">
        <f>IFERROR(__xludf.DUMMYFUNCTION("GOOGLETRANSLATE(D10,""it"",""en"")"),"A large banner")</f>
        <v>A large banner</v>
      </c>
      <c r="K10" s="10" t="str">
        <f>IFERROR(__xludf.DUMMYFUNCTION("GOOGLETRANSLATE(E10,""it"",""en"")"),"The banner is the symbolic prize for the winning contrada.")</f>
        <v>The banner is the symbolic prize for the winning contrada.</v>
      </c>
    </row>
    <row r="11" ht="22.5" customHeight="1">
      <c r="A11" s="11">
        <v>10.0</v>
      </c>
      <c r="B11" s="5" t="s">
        <v>1842</v>
      </c>
      <c r="C11" s="5" t="s">
        <v>1843</v>
      </c>
      <c r="D11" s="5" t="s">
        <v>1844</v>
      </c>
      <c r="E11" s="5" t="s">
        <v>1845</v>
      </c>
      <c r="F11" s="3"/>
      <c r="G11" s="11">
        <v>10.0</v>
      </c>
      <c r="H11" s="10" t="str">
        <f>IFERROR(__xludf.DUMMYFUNCTION("GOOGLETRANSLATE(B11,""it"",""en"")"),"What does the banner symbolize?")</f>
        <v>What does the banner symbolize?</v>
      </c>
      <c r="I11" s="10" t="str">
        <f>IFERROR(__xludf.DUMMYFUNCTION("GOOGLETRANSLATE(C11,""it"",""en"")"),"A. The victory of the contrada B. The winning horse C. The history of Siena D. The glory of the jockeys")</f>
        <v>A. The victory of the contrada B. The winning horse C. The history of Siena D. The glory of the jockeys</v>
      </c>
      <c r="J11" s="10" t="str">
        <f>IFERROR(__xludf.DUMMYFUNCTION("GOOGLETRANSLATE(D11,""it"",""en"")"),"The victory of the contrada")</f>
        <v>The victory of the contrada</v>
      </c>
      <c r="K11" s="10" t="str">
        <f>IFERROR(__xludf.DUMMYFUNCTION("GOOGLETRANSLATE(E11,""it"",""en"")"),"The banner celebrates the victory of the contrada.")</f>
        <v>The banner celebrates the victory of the contrada.</v>
      </c>
    </row>
    <row r="12" ht="22.5" customHeight="1">
      <c r="A12" s="4">
        <v>11.0</v>
      </c>
      <c r="B12" s="5" t="s">
        <v>1846</v>
      </c>
      <c r="C12" s="5" t="s">
        <v>1847</v>
      </c>
      <c r="D12" s="5" t="s">
        <v>1848</v>
      </c>
      <c r="E12" s="5" t="s">
        <v>1849</v>
      </c>
      <c r="F12" s="3"/>
      <c r="G12" s="4">
        <v>11.0</v>
      </c>
      <c r="H12" s="10" t="str">
        <f>IFERROR(__xludf.DUMMYFUNCTION("GOOGLETRANSLATE(B12,""it"",""en"")"),"Who designs the banner?")</f>
        <v>Who designs the banner?</v>
      </c>
      <c r="I12" s="10" t="str">
        <f>IFERROR(__xludf.DUMMYFUNCTION("GOOGLETRANSLATE(C12,""it"",""en"")"),"A. A local artist B. A jockey C. A craftsman D. A starter")</f>
        <v>A. A local artist B. A jockey C. A craftsman D. A starter</v>
      </c>
      <c r="J12" s="10" t="str">
        <f>IFERROR(__xludf.DUMMYFUNCTION("GOOGLETRANSLATE(D12,""it"",""en"")"),"A local artist")</f>
        <v>A local artist</v>
      </c>
      <c r="K12" s="10" t="str">
        <f>IFERROR(__xludf.DUMMYFUNCTION("GOOGLETRANSLATE(E12,""it"",""en"")"),"The banner is designed by an artist chosen each year.")</f>
        <v>The banner is designed by an artist chosen each year.</v>
      </c>
    </row>
    <row r="13" ht="22.5" customHeight="1">
      <c r="A13" s="11">
        <v>12.0</v>
      </c>
      <c r="B13" s="5" t="s">
        <v>1850</v>
      </c>
      <c r="C13" s="5" t="s">
        <v>1851</v>
      </c>
      <c r="D13" s="5" t="s">
        <v>1852</v>
      </c>
      <c r="E13" s="5" t="s">
        <v>1853</v>
      </c>
      <c r="F13" s="3"/>
      <c r="G13" s="11">
        <v>12.0</v>
      </c>
      <c r="H13" s="10" t="str">
        <f>IFERROR(__xludf.DUMMYFUNCTION("GOOGLETRANSLATE(B13,""it"",""en"")"),"What is the meaning of the Palio?")</f>
        <v>What is the meaning of the Palio?</v>
      </c>
      <c r="I13" s="10" t="str">
        <f>IFERROR(__xludf.DUMMYFUNCTION("GOOGLETRANSLATE(C13,""it"",""en"")"),"A. A religious celebration B. A tourism competition C. A military showdown D. A commercial event")</f>
        <v>A. A religious celebration B. A tourism competition C. A military showdown D. A commercial event</v>
      </c>
      <c r="J13" s="10" t="str">
        <f>IFERROR(__xludf.DUMMYFUNCTION("GOOGLETRANSLATE(D13,""it"",""en"")"),"A religious celebration")</f>
        <v>A religious celebration</v>
      </c>
      <c r="K13" s="10" t="str">
        <f>IFERROR(__xludf.DUMMYFUNCTION("GOOGLETRANSLATE(E13,""it"",""en"")"),"The Palio has origins linked to religious celebrations.")</f>
        <v>The Palio has origins linked to religious celebrations.</v>
      </c>
    </row>
    <row r="14" ht="22.5" customHeight="1">
      <c r="A14" s="11">
        <v>13.0</v>
      </c>
      <c r="B14" s="5" t="s">
        <v>1854</v>
      </c>
      <c r="C14" s="5" t="s">
        <v>1855</v>
      </c>
      <c r="D14" s="5" t="s">
        <v>1856</v>
      </c>
      <c r="E14" s="5" t="s">
        <v>1857</v>
      </c>
      <c r="F14" s="3"/>
      <c r="G14" s="11">
        <v>13.0</v>
      </c>
      <c r="H14" s="10" t="str">
        <f>IFERROR(__xludf.DUMMYFUNCTION("GOOGLETRANSLATE(B14,""it"",""en"")"),"What is the role of the jockey?")</f>
        <v>What is the role of the jockey?</v>
      </c>
      <c r="I14" s="10" t="str">
        <f>IFERROR(__xludf.DUMMYFUNCTION("GOOGLETRANSLATE(C14,""it"",""en"")"),"A. Lead the horse during the race B. Push the horse by hand C. Set up the banner D. Conduct the opening ceremony")</f>
        <v>A. Lead the horse during the race B. Push the horse by hand C. Set up the banner D. Conduct the opening ceremony</v>
      </c>
      <c r="J14" s="10" t="str">
        <f>IFERROR(__xludf.DUMMYFUNCTION("GOOGLETRANSLATE(D14,""it"",""en"")"),"Leading the horse during the race")</f>
        <v>Leading the horse during the race</v>
      </c>
      <c r="K14" s="10" t="str">
        <f>IFERROR(__xludf.DUMMYFUNCTION("GOOGLETRANSLATE(E14,""it"",""en"")"),"The jockey guides the horse during the race.")</f>
        <v>The jockey guides the horse during the race.</v>
      </c>
    </row>
    <row r="15" ht="22.5" customHeight="1">
      <c r="A15" s="11">
        <v>14.0</v>
      </c>
      <c r="B15" s="5" t="s">
        <v>1858</v>
      </c>
      <c r="C15" s="5" t="s">
        <v>1859</v>
      </c>
      <c r="D15" s="5" t="s">
        <v>1860</v>
      </c>
      <c r="E15" s="5" t="s">
        <v>1861</v>
      </c>
      <c r="F15" s="3"/>
      <c r="G15" s="11">
        <v>14.0</v>
      </c>
      <c r="H15" s="10" t="str">
        <f>IFERROR(__xludf.DUMMYFUNCTION("GOOGLETRANSLATE(B15,""it"",""en"")"),"Where do the horses start in the Palio?")</f>
        <v>Where do the horses start in the Palio?</v>
      </c>
      <c r="I15" s="10" t="str">
        <f>IFERROR(__xludf.DUMMYFUNCTION("GOOGLETRANSLATE(C15,""it"",""en"")"),"A. From a fixed gate B. From a taut rope C. From a line drawn on the ground D. From a fence")</f>
        <v>A. From a fixed gate B. From a taut rope C. From a line drawn on the ground D. From a fence</v>
      </c>
      <c r="J15" s="10" t="str">
        <f>IFERROR(__xludf.DUMMYFUNCTION("GOOGLETRANSLATE(D15,""it"",""en"")"),"From a tightrope")</f>
        <v>From a tightrope</v>
      </c>
      <c r="K15" s="10" t="str">
        <f>IFERROR(__xludf.DUMMYFUNCTION("GOOGLETRANSLATE(E15,""it"",""en"")"),"The start takes place behind a rope called a canape.")</f>
        <v>The start takes place behind a rope called a canape.</v>
      </c>
    </row>
    <row r="16" ht="22.5" customHeight="1">
      <c r="A16" s="11">
        <v>15.0</v>
      </c>
      <c r="B16" s="5" t="s">
        <v>1862</v>
      </c>
      <c r="C16" s="5" t="s">
        <v>1863</v>
      </c>
      <c r="D16" s="5" t="s">
        <v>1864</v>
      </c>
      <c r="E16" s="5" t="s">
        <v>1865</v>
      </c>
      <c r="F16" s="3"/>
      <c r="G16" s="11">
        <v>15.0</v>
      </c>
      <c r="H16" s="10" t="str">
        <f>IFERROR(__xludf.DUMMYFUNCTION("GOOGLETRANSLATE(B16,""it"",""en"")"),"Who decides the starting order?")</f>
        <v>Who decides the starting order?</v>
      </c>
      <c r="I16" s="10" t="str">
        <f>IFERROR(__xludf.DUMMYFUNCTION("GOOGLETRANSLATE(C16,""it"",""en"")"),"A. The mayor B. The starter C. A draw D. The district captain")</f>
        <v>A. The mayor B. The starter C. A draw D. The district captain</v>
      </c>
      <c r="J16" s="10" t="str">
        <f>IFERROR(__xludf.DUMMYFUNCTION("GOOGLETRANSLATE(D16,""it"",""en"")"),"A draw")</f>
        <v>A draw</v>
      </c>
      <c r="K16" s="10" t="str">
        <f>IFERROR(__xludf.DUMMYFUNCTION("GOOGLETRANSLATE(E16,""it"",""en"")"),"The starting order is decided by drawing lots.")</f>
        <v>The starting order is decided by drawing lots.</v>
      </c>
    </row>
    <row r="17" ht="22.5" customHeight="1">
      <c r="A17" s="4">
        <v>16.0</v>
      </c>
      <c r="B17" s="5" t="s">
        <v>1866</v>
      </c>
      <c r="C17" s="5" t="s">
        <v>1867</v>
      </c>
      <c r="D17" s="5" t="s">
        <v>1868</v>
      </c>
      <c r="E17" s="5" t="s">
        <v>1869</v>
      </c>
      <c r="F17" s="3"/>
      <c r="G17" s="4">
        <v>16.0</v>
      </c>
      <c r="H17" s="10" t="str">
        <f>IFERROR(__xludf.DUMMYFUNCTION("GOOGLETRANSLATE(B17,""it"",""en"")"),"How long does the Palio race last?")</f>
        <v>How long does the Palio race last?</v>
      </c>
      <c r="I17" s="10" t="str">
        <f>IFERROR(__xludf.DUMMYFUNCTION("GOOGLETRANSLATE(C17,""it"",""en"")"),"A. About 90 seconds B. About 3 minutes C. About 10 minutes D. About 30 minutes")</f>
        <v>A. About 90 seconds B. About 3 minutes C. About 10 minutes D. About 30 minutes</v>
      </c>
      <c r="J17" s="10" t="str">
        <f>IFERROR(__xludf.DUMMYFUNCTION("GOOGLETRANSLATE(D17,""it"",""en"")"),"About 90 seconds")</f>
        <v>About 90 seconds</v>
      </c>
      <c r="K17" s="10" t="str">
        <f>IFERROR(__xludf.DUMMYFUNCTION("GOOGLETRANSLATE(E17,""it"",""en"")"),"The race lasts just over a minute and a half.")</f>
        <v>The race lasts just over a minute and a half.</v>
      </c>
    </row>
    <row r="18" ht="22.5" customHeight="1">
      <c r="A18" s="11">
        <v>17.0</v>
      </c>
      <c r="B18" s="5" t="s">
        <v>1870</v>
      </c>
      <c r="C18" s="5" t="s">
        <v>1871</v>
      </c>
      <c r="D18" s="5" t="s">
        <v>1872</v>
      </c>
      <c r="E18" s="5" t="s">
        <v>1873</v>
      </c>
      <c r="F18" s="3"/>
      <c r="G18" s="11">
        <v>17.0</v>
      </c>
      <c r="H18" s="10" t="str">
        <f>IFERROR(__xludf.DUMMYFUNCTION("GOOGLETRANSLATE(B18,""it"",""en"")"),"Which contrada has the record for victories?")</f>
        <v>Which contrada has the record for victories?</v>
      </c>
      <c r="I18" s="10" t="str">
        <f>IFERROR(__xludf.DUMMYFUNCTION("GOOGLETRANSLATE(C18,""it"",""en"")"),"A. Goose B. Giraffe C. Tower D. Dragon")</f>
        <v>A. Goose B. Giraffe C. Tower D. Dragon</v>
      </c>
      <c r="J18" s="10" t="str">
        <f>IFERROR(__xludf.DUMMYFUNCTION("GOOGLETRANSLATE(D18,""it"",""en"")"),"Goose")</f>
        <v>Goose</v>
      </c>
      <c r="K18" s="10" t="str">
        <f>IFERROR(__xludf.DUMMYFUNCTION("GOOGLETRANSLATE(E18,""it"",""en"")"),"The Oca contrada has the historical record for victories.")</f>
        <v>The Oca contrada has the historical record for victories.</v>
      </c>
    </row>
    <row r="19" ht="22.5" customHeight="1">
      <c r="A19" s="11">
        <v>18.0</v>
      </c>
      <c r="B19" s="5" t="s">
        <v>1874</v>
      </c>
      <c r="C19" s="5" t="s">
        <v>1875</v>
      </c>
      <c r="D19" s="5" t="s">
        <v>1876</v>
      </c>
      <c r="E19" s="5" t="s">
        <v>1877</v>
      </c>
      <c r="F19" s="3"/>
      <c r="G19" s="11">
        <v>18.0</v>
      </c>
      <c r="H19" s="10" t="str">
        <f>IFERROR(__xludf.DUMMYFUNCTION("GOOGLETRANSLATE(B19,""it"",""en"")"),"How is the jockey chosen?")</f>
        <v>How is the jockey chosen?</v>
      </c>
      <c r="I19" s="10" t="str">
        <f>IFERROR(__xludf.DUMMYFUNCTION("GOOGLETRANSLATE(C19,""it"",""en"")"),"A. Through an auction B. By a district committee C. Through family succession D. Through a public competition")</f>
        <v>A. Through an auction B. By a district committee C. Through family succession D. Through a public competition</v>
      </c>
      <c r="J19" s="10" t="str">
        <f>IFERROR(__xludf.DUMMYFUNCTION("GOOGLETRANSLATE(D19,""it"",""en"")"),"From a district committee")</f>
        <v>From a district committee</v>
      </c>
      <c r="K19" s="10" t="str">
        <f>IFERROR(__xludf.DUMMYFUNCTION("GOOGLETRANSLATE(E19,""it"",""en"")"),"Each district chooses its own jockey.")</f>
        <v>Each district chooses its own jockey.</v>
      </c>
    </row>
    <row r="20" ht="22.5" customHeight="1">
      <c r="A20" s="11">
        <v>19.0</v>
      </c>
      <c r="B20" s="5" t="s">
        <v>1878</v>
      </c>
      <c r="C20" s="5" t="s">
        <v>1879</v>
      </c>
      <c r="D20" s="5" t="s">
        <v>1880</v>
      </c>
      <c r="E20" s="5" t="s">
        <v>1881</v>
      </c>
      <c r="F20" s="3"/>
      <c r="G20" s="11">
        <v>19.0</v>
      </c>
      <c r="H20" s="10" t="str">
        <f>IFERROR(__xludf.DUMMYFUNCTION("GOOGLETRANSLATE(B20,""it"",""en"")"),"What happens if the departure is not regular?")</f>
        <v>What happens if the departure is not regular?</v>
      </c>
      <c r="I20" s="10" t="str">
        <f>IFERROR(__xludf.DUMMYFUNCTION("GOOGLETRANSLATE(C20,""it"",""en"")"),"A. The starter stops the race B. The jockey is punished C. The race continues with penalties D. The horse is disqualified")</f>
        <v>A. The starter stops the race B. The jockey is punished C. The race continues with penalties D. The horse is disqualified</v>
      </c>
      <c r="J20" s="10" t="str">
        <f>IFERROR(__xludf.DUMMYFUNCTION("GOOGLETRANSLATE(D20,""it"",""en"")"),"The starter stops the race")</f>
        <v>The starter stops the race</v>
      </c>
      <c r="K20" s="10" t="str">
        <f>IFERROR(__xludf.DUMMYFUNCTION("GOOGLETRANSLATE(E20,""it"",""en"")"),"The starter must ensure a regular start.")</f>
        <v>The starter must ensure a regular start.</v>
      </c>
    </row>
    <row r="21" ht="22.5" customHeight="1">
      <c r="A21" s="11">
        <v>20.0</v>
      </c>
      <c r="B21" s="5" t="s">
        <v>1882</v>
      </c>
      <c r="C21" s="5" t="s">
        <v>1883</v>
      </c>
      <c r="D21" s="5" t="s">
        <v>1884</v>
      </c>
      <c r="E21" s="5" t="s">
        <v>1885</v>
      </c>
      <c r="F21" s="3"/>
      <c r="G21" s="11">
        <v>20.0</v>
      </c>
      <c r="H21" s="10" t="str">
        <f>IFERROR(__xludf.DUMMYFUNCTION("GOOGLETRANSLATE(B21,""it"",""en"")"),"What does ""provaccia"" mean?")</f>
        <v>What does "provaccia" mean?</v>
      </c>
      <c r="I21" s="10" t="str">
        <f>IFERROR(__xludf.DUMMYFUNCTION("GOOGLETRANSLATE(C21,""it"",""en"")"),"A. A dress rehearsal B. A reserve run C. A test for the starter D. A final celebration")</f>
        <v>A. A dress rehearsal B. A reserve run C. A test for the starter D. A final celebration</v>
      </c>
      <c r="J21" s="10" t="str">
        <f>IFERROR(__xludf.DUMMYFUNCTION("GOOGLETRANSLATE(D21,""it"",""en"")"),"A dress rehearsal")</f>
        <v>A dress rehearsal</v>
      </c>
      <c r="K21" s="10" t="str">
        <f>IFERROR(__xludf.DUMMYFUNCTION("GOOGLETRANSLATE(E21,""it"",""en"")"),"The trial run is the last test before the race.")</f>
        <v>The trial run is the last test before the race.</v>
      </c>
    </row>
    <row r="22" ht="22.5" customHeight="1">
      <c r="A22" s="4">
        <v>21.0</v>
      </c>
      <c r="B22" s="5" t="s">
        <v>1886</v>
      </c>
      <c r="C22" s="5" t="s">
        <v>1887</v>
      </c>
      <c r="D22" s="5" t="s">
        <v>1888</v>
      </c>
      <c r="E22" s="5" t="s">
        <v>1889</v>
      </c>
      <c r="F22" s="3"/>
      <c r="G22" s="4">
        <v>21.0</v>
      </c>
      <c r="H22" s="10" t="str">
        <f>IFERROR(__xludf.DUMMYFUNCTION("GOOGLETRANSLATE(B22,""it"",""en"")"),"What is forbidden to jockeys during the race?")</f>
        <v>What is forbidden to jockeys during the race?</v>
      </c>
      <c r="I22" s="10" t="str">
        <f>IFERROR(__xludf.DUMMYFUNCTION("GOOGLETRANSLATE(C22,""it"",""en"")"),"A. Using whips B. Talking to each other C. Falling intentionally D. Blocking other horses")</f>
        <v>A. Using whips B. Talking to each other C. Falling intentionally D. Blocking other horses</v>
      </c>
      <c r="J22" s="10" t="str">
        <f>IFERROR(__xludf.DUMMYFUNCTION("GOOGLETRANSLATE(D22,""it"",""en"")"),"Block other horses")</f>
        <v>Block other horses</v>
      </c>
      <c r="K22" s="10" t="str">
        <f>IFERROR(__xludf.DUMMYFUNCTION("GOOGLETRANSLATE(E22,""it"",""en"")"),"Intentionally blocking or obstructing is prohibited.")</f>
        <v>Intentionally blocking or obstructing is prohibited.</v>
      </c>
    </row>
    <row r="23" ht="22.5" customHeight="1">
      <c r="A23" s="11">
        <v>22.0</v>
      </c>
      <c r="B23" s="5" t="s">
        <v>1890</v>
      </c>
      <c r="C23" s="5" t="s">
        <v>1891</v>
      </c>
      <c r="D23" s="5" t="s">
        <v>1892</v>
      </c>
      <c r="E23" s="5" t="s">
        <v>1893</v>
      </c>
      <c r="F23" s="3"/>
      <c r="G23" s="11">
        <v>22.0</v>
      </c>
      <c r="H23" s="10" t="str">
        <f>IFERROR(__xludf.DUMMYFUNCTION("GOOGLETRANSLATE(B23,""it"",""en"")"),"What happens to the banner after the victory?")</f>
        <v>What happens to the banner after the victory?</v>
      </c>
      <c r="I23" s="10" t="str">
        <f>IFERROR(__xludf.DUMMYFUNCTION("GOOGLETRANSLATE(C23,""it"",""en"")"),"A. It is displayed in the winning contrada B. It is destroyed C. It is returned D. It is kept by the starter")</f>
        <v>A. It is displayed in the winning contrada B. It is destroyed C. It is returned D. It is kept by the starter</v>
      </c>
      <c r="J23" s="10" t="str">
        <f>IFERROR(__xludf.DUMMYFUNCTION("GOOGLETRANSLATE(D23,""it"",""en"")"),"It is displayed in the winning contrada")</f>
        <v>It is displayed in the winning contrada</v>
      </c>
      <c r="K23" s="10" t="str">
        <f>IFERROR(__xludf.DUMMYFUNCTION("GOOGLETRANSLATE(E23,""it"",""en"")"),"The banner is kept as a symbol of victory.")</f>
        <v>The banner is kept as a symbol of victory.</v>
      </c>
    </row>
    <row r="24" ht="22.5" customHeight="1">
      <c r="A24" s="11">
        <v>23.0</v>
      </c>
      <c r="B24" s="5" t="s">
        <v>1894</v>
      </c>
      <c r="C24" s="5" t="s">
        <v>1895</v>
      </c>
      <c r="D24" s="5" t="s">
        <v>1896</v>
      </c>
      <c r="E24" s="5" t="s">
        <v>1897</v>
      </c>
      <c r="F24" s="3"/>
      <c r="G24" s="11">
        <v>23.0</v>
      </c>
      <c r="H24" s="10" t="str">
        <f>IFERROR(__xludf.DUMMYFUNCTION("GOOGLETRANSLATE(B24,""it"",""en"")"),"What is the symbol of the districts?")</f>
        <v>What is the symbol of the districts?</v>
      </c>
      <c r="I24" s="10" t="str">
        <f>IFERROR(__xludf.DUMMYFUNCTION("GOOGLETRANSLATE(C24,""it"",""en"")"),"A. Coat of Arms B. Horse C. Jockey D. Shield")</f>
        <v>A. Coat of Arms B. Horse C. Jockey D. Shield</v>
      </c>
      <c r="J24" s="10" t="str">
        <f>IFERROR(__xludf.DUMMYFUNCTION("GOOGLETRANSLATE(D24,""it"",""en"")"),"Coat of arms")</f>
        <v>Coat of arms</v>
      </c>
      <c r="K24" s="10" t="str">
        <f>IFERROR(__xludf.DUMMYFUNCTION("GOOGLETRANSLATE(E24,""it"",""en"")"),"Each contrada has its own unique coat of arms.")</f>
        <v>Each contrada has its own unique coat of arms.</v>
      </c>
    </row>
    <row r="25" ht="22.5" customHeight="1">
      <c r="A25" s="11">
        <v>24.0</v>
      </c>
      <c r="B25" s="5" t="s">
        <v>1898</v>
      </c>
      <c r="C25" s="5" t="s">
        <v>1899</v>
      </c>
      <c r="D25" s="5" t="s">
        <v>1900</v>
      </c>
      <c r="E25" s="5" t="s">
        <v>1901</v>
      </c>
      <c r="F25" s="3"/>
      <c r="G25" s="11">
        <v>24.0</v>
      </c>
      <c r="H25" s="10" t="str">
        <f>IFERROR(__xludf.DUMMYFUNCTION("GOOGLETRANSLATE(B25,""it"",""en"")"),"What happens to the horses after the Palio?")</f>
        <v>What happens to the horses after the Palio?</v>
      </c>
      <c r="I25" s="10" t="str">
        <f>IFERROR(__xludf.DUMMYFUNCTION("GOOGLETRANSLATE(C25,""it"",""en"")"),"A. They return to their owners B. They remain with the district C. They retire from racing D. They participate in another race")</f>
        <v>A. They return to their owners B. They remain with the district C. They retire from racing D. They participate in another race</v>
      </c>
      <c r="J25" s="10" t="str">
        <f>IFERROR(__xludf.DUMMYFUNCTION("GOOGLETRANSLATE(D25,""it"",""en"")"),"They return to their owners")</f>
        <v>They return to their owners</v>
      </c>
      <c r="K25" s="10" t="str">
        <f>IFERROR(__xludf.DUMMYFUNCTION("GOOGLETRANSLATE(E25,""it"",""en"")"),"The horses are returned to their owners after the Palio.")</f>
        <v>The horses are returned to their owners after the Palio.</v>
      </c>
    </row>
    <row r="26" ht="22.5" customHeight="1">
      <c r="A26" s="11">
        <v>25.0</v>
      </c>
      <c r="B26" s="5" t="s">
        <v>1902</v>
      </c>
      <c r="C26" s="5" t="s">
        <v>1903</v>
      </c>
      <c r="D26" s="5" t="s">
        <v>1904</v>
      </c>
      <c r="E26" s="5" t="s">
        <v>1905</v>
      </c>
      <c r="F26" s="3"/>
      <c r="G26" s="11">
        <v>25.0</v>
      </c>
      <c r="H26" s="10" t="str">
        <f>IFERROR(__xludf.DUMMYFUNCTION("GOOGLETRANSLATE(B26,""it"",""en"")"),"What is the historical origin of the Palio?")</f>
        <v>What is the historical origin of the Palio?</v>
      </c>
      <c r="I26" s="10" t="str">
        <f>IFERROR(__xludf.DUMMYFUNCTION("GOOGLETRANSLATE(C26,""it"",""en"")"),"A. Medieval competitions B. Roman festivals C. Renaissance competitions D. Napoleonic events")</f>
        <v>A. Medieval competitions B. Roman festivals C. Renaissance competitions D. Napoleonic events</v>
      </c>
      <c r="J26" s="10" t="str">
        <f>IFERROR(__xludf.DUMMYFUNCTION("GOOGLETRANSLATE(D26,""it"",""en"")"),"Medieval competitions")</f>
        <v>Medieval competitions</v>
      </c>
      <c r="K26" s="10" t="str">
        <f>IFERROR(__xludf.DUMMYFUNCTION("GOOGLETRANSLATE(E26,""it"",""en"")"),"The Palio has its origins in medieval competitions.")</f>
        <v>The Palio has its origins in medieval competitions.</v>
      </c>
    </row>
    <row r="27" ht="22.5" customHeight="1">
      <c r="A27" s="4">
        <v>26.0</v>
      </c>
      <c r="B27" s="5" t="s">
        <v>1906</v>
      </c>
      <c r="C27" s="5" t="s">
        <v>1907</v>
      </c>
      <c r="D27" s="5" t="s">
        <v>1908</v>
      </c>
      <c r="E27" s="5" t="s">
        <v>1909</v>
      </c>
      <c r="F27" s="3"/>
      <c r="G27" s="4">
        <v>26.0</v>
      </c>
      <c r="H27" s="10" t="str">
        <f>IFERROR(__xludf.DUMMYFUNCTION("GOOGLETRANSLATE(B27,""it"",""en"")"),"What is the Palio celebration dinner called?")</f>
        <v>What is the Palio celebration dinner called?</v>
      </c>
      <c r="I27" s="10" t="str">
        <f>IFERROR(__xludf.DUMMYFUNCTION("GOOGLETRANSLATE(C27,""it"",""en"")"),"A. Victory Dinner B. Race Dinner C. Camp Dinner D. Jockey Dinner")</f>
        <v>A. Victory Dinner B. Race Dinner C. Camp Dinner D. Jockey Dinner</v>
      </c>
      <c r="J27" s="10" t="str">
        <f>IFERROR(__xludf.DUMMYFUNCTION("GOOGLETRANSLATE(D27,""it"",""en"")"),"Victory Dinner")</f>
        <v>Victory Dinner</v>
      </c>
      <c r="K27" s="10" t="str">
        <f>IFERROR(__xludf.DUMMYFUNCTION("GOOGLETRANSLATE(E27,""it"",""en"")"),"The winning contrada organizes a dinner to celebrate.")</f>
        <v>The winning contrada organizes a dinner to celebrate.</v>
      </c>
    </row>
    <row r="28" ht="22.5" customHeight="1">
      <c r="A28" s="11">
        <v>27.0</v>
      </c>
      <c r="B28" s="5" t="s">
        <v>1910</v>
      </c>
      <c r="C28" s="5" t="s">
        <v>1911</v>
      </c>
      <c r="D28" s="5" t="s">
        <v>1912</v>
      </c>
      <c r="E28" s="5" t="s">
        <v>1913</v>
      </c>
      <c r="F28" s="3"/>
      <c r="G28" s="11">
        <v>27.0</v>
      </c>
      <c r="H28" s="10" t="str">
        <f>IFERROR(__xludf.DUMMYFUNCTION("GOOGLETRANSLATE(B28,""it"",""en"")"),"What is the role of the contrada captain?")</f>
        <v>What is the role of the contrada captain?</v>
      </c>
      <c r="I28" s="10" t="str">
        <f>IFERROR(__xludf.DUMMYFUNCTION("GOOGLETRANSLATE(C28,""it"",""en"")"),"A. Organize strategies for victory B. Lead the horse C. Create the team D. Be the starter")</f>
        <v>A. Organize strategies for victory B. Lead the horse C. Create the team D. Be the starter</v>
      </c>
      <c r="J28" s="10" t="str">
        <f>IFERROR(__xludf.DUMMYFUNCTION("GOOGLETRANSLATE(D28,""it"",""en"")"),"Organizing strategies for victory")</f>
        <v>Organizing strategies for victory</v>
      </c>
      <c r="K28" s="10" t="str">
        <f>IFERROR(__xludf.DUMMYFUNCTION("GOOGLETRANSLATE(E28,""it"",""en"")"),"The captain coordinates the contrada to achieve success.")</f>
        <v>The captain coordinates the contrada to achieve success.</v>
      </c>
    </row>
    <row r="29" ht="22.5" customHeight="1">
      <c r="A29" s="11">
        <v>28.0</v>
      </c>
      <c r="B29" s="5" t="s">
        <v>1914</v>
      </c>
      <c r="C29" s="5" t="s">
        <v>1915</v>
      </c>
      <c r="D29" s="5" t="s">
        <v>1916</v>
      </c>
      <c r="E29" s="5" t="s">
        <v>1917</v>
      </c>
      <c r="F29" s="3"/>
      <c r="G29" s="11">
        <v>28.0</v>
      </c>
      <c r="H29" s="10" t="str">
        <f>IFERROR(__xludf.DUMMYFUNCTION("GOOGLETRANSLATE(B29,""it"",""en"")"),"What do the colors of a contrada represent?")</f>
        <v>What do the colors of a contrada represent?</v>
      </c>
      <c r="I29" s="10" t="str">
        <f>IFERROR(__xludf.DUMMYFUNCTION("GOOGLETRANSLATE(C29,""it"",""en"")"),"A. The contrada's horse B. The contrada's values ​​and history C. The year's banner D. The traditions of the mossiere")</f>
        <v>A. The contrada's horse B. The contrada's values ​​and history C. The year's banner D. The traditions of the mossiere</v>
      </c>
      <c r="J29" s="10" t="str">
        <f>IFERROR(__xludf.DUMMYFUNCTION("GOOGLETRANSLATE(D29,""it"",""en"")"),"The values ​​and history of the contrada")</f>
        <v>The values ​​and history of the contrada</v>
      </c>
      <c r="K29" s="10" t="str">
        <f>IFERROR(__xludf.DUMMYFUNCTION("GOOGLETRANSLATE(E29,""it"",""en"")"),"The colors symbolize the historical and cultural identity of each contrada.")</f>
        <v>The colors symbolize the historical and cultural identity of each contrada.</v>
      </c>
    </row>
    <row r="30" ht="22.5" customHeight="1">
      <c r="A30" s="11">
        <v>29.0</v>
      </c>
      <c r="B30" s="5" t="s">
        <v>1918</v>
      </c>
      <c r="C30" s="5" t="s">
        <v>1919</v>
      </c>
      <c r="D30" s="5" t="s">
        <v>1920</v>
      </c>
      <c r="E30" s="5" t="s">
        <v>1921</v>
      </c>
      <c r="F30" s="3"/>
      <c r="G30" s="11">
        <v>29.0</v>
      </c>
      <c r="H30" s="10" t="str">
        <f>IFERROR(__xludf.DUMMYFUNCTION("GOOGLETRANSLATE(B30,""it"",""en"")"),"What happens if a horse gets injured while racing?")</f>
        <v>What happens if a horse gets injured while racing?</v>
      </c>
      <c r="I30" s="10" t="str">
        <f>IFERROR(__xludf.DUMMYFUNCTION("GOOGLETRANSLATE(C30,""it"",""en"")"),"A. He is treated immediately B. He is withdrawn C. He is replaced D. He is allowed to continue the race")</f>
        <v>A. He is treated immediately B. He is withdrawn C. He is replaced D. He is allowed to continue the race</v>
      </c>
      <c r="J30" s="10" t="str">
        <f>IFERROR(__xludf.DUMMYFUNCTION("GOOGLETRANSLATE(D30,""it"",""en"")"),"It is withdrawn")</f>
        <v>It is withdrawn</v>
      </c>
      <c r="K30" s="10" t="str">
        <f>IFERROR(__xludf.DUMMYFUNCTION("GOOGLETRANSLATE(E30,""it"",""en"")"),"An injured horse is quickly withdrawn for safety.")</f>
        <v>An injured horse is quickly withdrawn for safety.</v>
      </c>
    </row>
    <row r="31" ht="22.5" customHeight="1">
      <c r="A31" s="11">
        <v>30.0</v>
      </c>
      <c r="B31" s="5" t="s">
        <v>1922</v>
      </c>
      <c r="C31" s="5" t="s">
        <v>1923</v>
      </c>
      <c r="D31" s="5" t="s">
        <v>1924</v>
      </c>
      <c r="E31" s="5" t="s">
        <v>1925</v>
      </c>
      <c r="F31" s="3"/>
      <c r="G31" s="11">
        <v>30.0</v>
      </c>
      <c r="H31" s="10" t="str">
        <f>IFERROR(__xludf.DUMMYFUNCTION("GOOGLETRANSLATE(B31,""it"",""en"")"),"Which district is nicknamed ""grandmother""?")</f>
        <v>Which district is nicknamed "grandmother"?</v>
      </c>
      <c r="I31" s="10" t="str">
        <f>IFERROR(__xludf.DUMMYFUNCTION("GOOGLETRANSLATE(C31,""it"",""en"")"),"A. Eagle B. Tower C. Niche D. Snail")</f>
        <v>A. Eagle B. Tower C. Niche D. Snail</v>
      </c>
      <c r="J31" s="10" t="str">
        <f>IFERROR(__xludf.DUMMYFUNCTION("GOOGLETRANSLATE(D31,""it"",""en"")"),"Niche")</f>
        <v>Niche</v>
      </c>
      <c r="K31" s="10" t="str">
        <f>IFERROR(__xludf.DUMMYFUNCTION("GOOGLETRANSLATE(E31,""it"",""en"")"),"The ""grandmother"" contrada is the one that hasn't won for the longest time.")</f>
        <v>The "grandmother" contrada is the one that hasn't won for the longest time.</v>
      </c>
    </row>
    <row r="32" ht="22.5" customHeight="1">
      <c r="A32" s="4">
        <v>31.0</v>
      </c>
      <c r="B32" s="5" t="s">
        <v>1926</v>
      </c>
      <c r="C32" s="5" t="s">
        <v>1927</v>
      </c>
      <c r="D32" s="5" t="s">
        <v>1928</v>
      </c>
      <c r="E32" s="5" t="s">
        <v>1929</v>
      </c>
      <c r="F32" s="3"/>
      <c r="G32" s="4">
        <v>31.0</v>
      </c>
      <c r="H32" s="10" t="str">
        <f>IFERROR(__xludf.DUMMYFUNCTION("GOOGLETRANSLATE(B32,""it"",""en"")"),"What is the meaning of the contrada flag?")</f>
        <v>What is the meaning of the contrada flag?</v>
      </c>
      <c r="I32" s="10" t="str">
        <f>IFERROR(__xludf.DUMMYFUNCTION("GOOGLETRANSLATE(C32,""it"",""en"")"),"A. Symbolizes victory B. Identifies the contrada C. Indicates the starter D. Decorates the banner")</f>
        <v>A. Symbolizes victory B. Identifies the contrada C. Indicates the starter D. Decorates the banner</v>
      </c>
      <c r="J32" s="10" t="str">
        <f>IFERROR(__xludf.DUMMYFUNCTION("GOOGLETRANSLATE(D32,""it"",""en"")"),"Identify the district")</f>
        <v>Identify the district</v>
      </c>
      <c r="K32" s="10" t="str">
        <f>IFERROR(__xludf.DUMMYFUNCTION("GOOGLETRANSLATE(E32,""it"",""en"")"),"The flag is a distinctive symbol of the contrada.")</f>
        <v>The flag is a distinctive symbol of the contrada.</v>
      </c>
    </row>
    <row r="33" ht="22.5" customHeight="1">
      <c r="A33" s="11">
        <v>32.0</v>
      </c>
      <c r="B33" s="5" t="s">
        <v>1930</v>
      </c>
      <c r="C33" s="5" t="s">
        <v>1931</v>
      </c>
      <c r="D33" s="5" t="s">
        <v>1932</v>
      </c>
      <c r="E33" s="5" t="s">
        <v>1933</v>
      </c>
      <c r="F33" s="3"/>
      <c r="G33" s="11">
        <v>32.0</v>
      </c>
      <c r="H33" s="10" t="str">
        <f>IFERROR(__xludf.DUMMYFUNCTION("GOOGLETRANSLATE(B33,""it"",""en"")"),"What is the name of the religious ritual before the Palio?")</f>
        <v>What is the name of the religious ritual before the Palio?</v>
      </c>
      <c r="I33" s="10" t="str">
        <f>IFERROR(__xludf.DUMMYFUNCTION("GOOGLETRANSLATE(C33,""it"",""en"")"),"A. Jockey's Mass B. Blessing of the Horse C. Starter's Prayer D. Offering of the Banner")</f>
        <v>A. Jockey's Mass B. Blessing of the Horse C. Starter's Prayer D. Offering of the Banner</v>
      </c>
      <c r="J33" s="10" t="str">
        <f>IFERROR(__xludf.DUMMYFUNCTION("GOOGLETRANSLATE(D33,""it"",""en"")"),"Blessing of the Horse")</f>
        <v>Blessing of the Horse</v>
      </c>
      <c r="K33" s="10" t="str">
        <f>IFERROR(__xludf.DUMMYFUNCTION("GOOGLETRANSLATE(E33,""it"",""en"")"),"Each horse is blessed before the race.")</f>
        <v>Each horse is blessed before the race.</v>
      </c>
    </row>
    <row r="34" ht="22.5" customHeight="1">
      <c r="A34" s="11">
        <v>33.0</v>
      </c>
      <c r="B34" s="5" t="s">
        <v>1934</v>
      </c>
      <c r="C34" s="5" t="s">
        <v>1935</v>
      </c>
      <c r="D34" s="4">
        <v>10.0</v>
      </c>
      <c r="E34" s="5" t="s">
        <v>1936</v>
      </c>
      <c r="F34" s="3"/>
      <c r="G34" s="11">
        <v>33.0</v>
      </c>
      <c r="H34" s="10" t="str">
        <f>IFERROR(__xludf.DUMMYFUNCTION("GOOGLETRANSLATE(B34,""it"",""en"")"),"How many horses are taking part in the race?")</f>
        <v>How many horses are taking part in the race?</v>
      </c>
      <c r="I34" s="10" t="str">
        <f>IFERROR(__xludf.DUMMYFUNCTION("GOOGLETRANSLATE(C34,""it"",""en"")"),"A. 7 B. 10 C. 15 D. 17")</f>
        <v>A. 7 B. 10 C. 15 D. 17</v>
      </c>
      <c r="J34" s="10" t="str">
        <f>IFERROR(__xludf.DUMMYFUNCTION("GOOGLETRANSLATE(D34,""it"",""en"")"),"10")</f>
        <v>10</v>
      </c>
      <c r="K34" s="10" t="str">
        <f>IFERROR(__xludf.DUMMYFUNCTION("GOOGLETRANSLATE(E34,""it"",""en"")"),"Ten horses compete in the race.")</f>
        <v>Ten horses compete in the race.</v>
      </c>
    </row>
    <row r="35" ht="22.5" customHeight="1">
      <c r="A35" s="11">
        <v>34.0</v>
      </c>
      <c r="B35" s="5" t="s">
        <v>1937</v>
      </c>
      <c r="C35" s="5" t="s">
        <v>1938</v>
      </c>
      <c r="D35" s="5" t="s">
        <v>1939</v>
      </c>
      <c r="E35" s="5" t="s">
        <v>1940</v>
      </c>
      <c r="F35" s="3"/>
      <c r="G35" s="11">
        <v>34.0</v>
      </c>
      <c r="H35" s="10" t="str">
        <f>IFERROR(__xludf.DUMMYFUNCTION("GOOGLETRANSLATE(B35,""it"",""en"")"),"What is celebrated on July 2nd during the Palio?")</f>
        <v>What is celebrated on July 2nd during the Palio?</v>
      </c>
      <c r="I35" s="10" t="str">
        <f>IFERROR(__xludf.DUMMYFUNCTION("GOOGLETRANSLATE(C35,""it"",""en"")"),"A. The Madonna of Provenzano B. The birth of Siena C. The glory of the districts D. The end of the wars")</f>
        <v>A. The Madonna of Provenzano B. The birth of Siena C. The glory of the districts D. The end of the wars</v>
      </c>
      <c r="J35" s="10" t="str">
        <f>IFERROR(__xludf.DUMMYFUNCTION("GOOGLETRANSLATE(D35,""it"",""en"")"),"The Madonna of Provenzano")</f>
        <v>The Madonna of Provenzano</v>
      </c>
      <c r="K35" s="10" t="str">
        <f>IFERROR(__xludf.DUMMYFUNCTION("GOOGLETRANSLATE(E35,""it"",""en"")"),"The Palio of July 2nd is dedicated to the Madonna of Provenzano.")</f>
        <v>The Palio of July 2nd is dedicated to the Madonna of Provenzano.</v>
      </c>
    </row>
    <row r="36" ht="22.5" customHeight="1">
      <c r="A36" s="11">
        <v>35.0</v>
      </c>
      <c r="B36" s="5" t="s">
        <v>1941</v>
      </c>
      <c r="C36" s="5" t="s">
        <v>1942</v>
      </c>
      <c r="D36" s="5" t="s">
        <v>1943</v>
      </c>
      <c r="E36" s="5" t="s">
        <v>1944</v>
      </c>
      <c r="F36" s="3"/>
      <c r="G36" s="11">
        <v>35.0</v>
      </c>
      <c r="H36" s="10" t="str">
        <f>IFERROR(__xludf.DUMMYFUNCTION("GOOGLETRANSLATE(B36,""it"",""en"")"),"What is celebrated on August 16th during the Palio?")</f>
        <v>What is celebrated on August 16th during the Palio?</v>
      </c>
      <c r="I36" s="10" t="str">
        <f>IFERROR(__xludf.DUMMYFUNCTION("GOOGLETRANSLATE(C36,""it"",""en"")"),"A. The Assumption of the Virgin B. Peace between the districts C. Siena's victory D. The jockey's celebration")</f>
        <v>A. The Assumption of the Virgin B. Peace between the districts C. Siena's victory D. The jockey's celebration</v>
      </c>
      <c r="J36" s="10" t="str">
        <f>IFERROR(__xludf.DUMMYFUNCTION("GOOGLETRANSLATE(D36,""it"",""en"")"),"Our Lady of the Assumption")</f>
        <v>Our Lady of the Assumption</v>
      </c>
      <c r="K36" s="10" t="str">
        <f>IFERROR(__xludf.DUMMYFUNCTION("GOOGLETRANSLATE(E36,""it"",""en"")"),"The Palio of August 16th is dedicated to the Madonna Assunta.")</f>
        <v>The Palio of August 16th is dedicated to the Madonna Assunta.</v>
      </c>
    </row>
    <row r="37" ht="22.5" customHeight="1">
      <c r="A37" s="4">
        <v>36.0</v>
      </c>
      <c r="B37" s="5" t="s">
        <v>1945</v>
      </c>
      <c r="C37" s="5" t="s">
        <v>1946</v>
      </c>
      <c r="D37" s="5" t="s">
        <v>1947</v>
      </c>
      <c r="E37" s="5" t="s">
        <v>1948</v>
      </c>
      <c r="F37" s="3"/>
      <c r="G37" s="4">
        <v>36.0</v>
      </c>
      <c r="H37" s="10" t="str">
        <f>IFERROR(__xludf.DUMMYFUNCTION("GOOGLETRANSLATE(B37,""it"",""en"")"),"What role does the appearance of a contrada have?")</f>
        <v>What role does the appearance of a contrada have?</v>
      </c>
      <c r="I37" s="10" t="str">
        <f>IFERROR(__xludf.DUMMYFUNCTION("GOOGLETRANSLATE(C37,""it"",""en"")"),"A. Represent the contrada during the parade B. Guide the horse C. Mark the route D. Conduct the awards ceremony")</f>
        <v>A. Represent the contrada during the parade B. Guide the horse C. Mark the route D. Conduct the awards ceremony</v>
      </c>
      <c r="J37" s="10" t="str">
        <f>IFERROR(__xludf.DUMMYFUNCTION("GOOGLETRANSLATE(D37,""it"",""en"")"),"Represent the contrada during the parade")</f>
        <v>Represent the contrada during the parade</v>
      </c>
      <c r="K37" s="10" t="str">
        <f>IFERROR(__xludf.DUMMYFUNCTION("GOOGLETRANSLATE(E37,""it"",""en"")"),"The comparsa is made up of extras who represent the contrada.")</f>
        <v>The comparsa is made up of extras who represent the contrada.</v>
      </c>
    </row>
    <row r="38" ht="22.5" customHeight="1">
      <c r="A38" s="11">
        <v>37.0</v>
      </c>
      <c r="B38" s="5" t="s">
        <v>1949</v>
      </c>
      <c r="C38" s="5" t="s">
        <v>1950</v>
      </c>
      <c r="D38" s="5" t="s">
        <v>1951</v>
      </c>
      <c r="E38" s="5" t="s">
        <v>1952</v>
      </c>
      <c r="F38" s="3"/>
      <c r="G38" s="11">
        <v>37.0</v>
      </c>
      <c r="H38" s="10" t="str">
        <f>IFERROR(__xludf.DUMMYFUNCTION("GOOGLETRANSLATE(B38,""it"",""en"")"),"What is the role of the prior of a contrada?")</f>
        <v>What is the role of the prior of a contrada?</v>
      </c>
      <c r="I38" s="10" t="str">
        <f>IFERROR(__xludf.DUMMYFUNCTION("GOOGLETRANSLATE(C38,""it"",""en"")"),"A. Manage the internal affairs of the contrada B. Lead the horse C. Trace the route D. Create the banner")</f>
        <v>A. Manage the internal affairs of the contrada B. Lead the horse C. Trace the route D. Create the banner</v>
      </c>
      <c r="J38" s="10" t="str">
        <f>IFERROR(__xludf.DUMMYFUNCTION("GOOGLETRANSLATE(D38,""it"",""en"")"),"Manage the internal affairs of the district")</f>
        <v>Manage the internal affairs of the district</v>
      </c>
      <c r="K38" s="10" t="str">
        <f>IFERROR(__xludf.DUMMYFUNCTION("GOOGLETRANSLATE(E38,""it"",""en"")"),"The prior is responsible for the management of the district.")</f>
        <v>The prior is responsible for the management of the district.</v>
      </c>
    </row>
    <row r="39" ht="22.5" customHeight="1">
      <c r="A39" s="11">
        <v>38.0</v>
      </c>
      <c r="B39" s="5" t="s">
        <v>1953</v>
      </c>
      <c r="C39" s="5" t="s">
        <v>1954</v>
      </c>
      <c r="D39" s="5" t="s">
        <v>1955</v>
      </c>
      <c r="E39" s="5" t="s">
        <v>1956</v>
      </c>
      <c r="F39" s="3"/>
      <c r="G39" s="11">
        <v>38.0</v>
      </c>
      <c r="H39" s="10" t="str">
        <f>IFERROR(__xludf.DUMMYFUNCTION("GOOGLETRANSLATE(B39,""it"",""en"")"),"What happens if two horses cross the finish line together?")</f>
        <v>What happens if two horses cross the finish line together?</v>
      </c>
      <c r="I39" s="10" t="str">
        <f>IFERROR(__xludf.DUMMYFUNCTION("GOOGLETRANSLATE(C39,""it"",""en"")"),"A. Another race is held B. The shaken horse wins C. The horse closest to the starter wins D. A tie is declared")</f>
        <v>A. Another race is held B. The shaken horse wins C. The horse closest to the starter wins D. A tie is declared</v>
      </c>
      <c r="J39" s="10" t="str">
        <f>IFERROR(__xludf.DUMMYFUNCTION("GOOGLETRANSLATE(D39,""it"",""en"")"),"A tie is declared")</f>
        <v>A tie is declared</v>
      </c>
      <c r="K39" s="10" t="str">
        <f>IFERROR(__xludf.DUMMYFUNCTION("GOOGLETRANSLATE(E39,""it"",""en"")"),"A tie is accepted if the horses finish together.")</f>
        <v>A tie is accepted if the horses finish together.</v>
      </c>
    </row>
    <row r="40" ht="22.5" customHeight="1">
      <c r="A40" s="11">
        <v>39.0</v>
      </c>
      <c r="B40" s="5" t="s">
        <v>1957</v>
      </c>
      <c r="C40" s="5" t="s">
        <v>1958</v>
      </c>
      <c r="D40" s="5" t="s">
        <v>1959</v>
      </c>
      <c r="E40" s="5" t="s">
        <v>1960</v>
      </c>
      <c r="F40" s="3"/>
      <c r="G40" s="11">
        <v>39.0</v>
      </c>
      <c r="H40" s="10" t="str">
        <f>IFERROR(__xludf.DUMMYFUNCTION("GOOGLETRANSLATE(B40,""it"",""en"")"),"Who can participate as a jockey?")</f>
        <v>Who can participate as a jockey?</v>
      </c>
      <c r="I40" s="10" t="str">
        <f>IFERROR(__xludf.DUMMYFUNCTION("GOOGLETRANSLATE(C40,""it"",""en"")"),"A. Only citizens of Siena B. Only members of the contradas C. Anyone hired by the contrada D. Jockeys chosen by the State")</f>
        <v>A. Only citizens of Siena B. Only members of the contradas C. Anyone hired by the contrada D. Jockeys chosen by the State</v>
      </c>
      <c r="J40" s="10" t="str">
        <f>IFERROR(__xludf.DUMMYFUNCTION("GOOGLETRANSLATE(D40,""it"",""en"")"),"Anyone hired by the contrada")</f>
        <v>Anyone hired by the contrada</v>
      </c>
      <c r="K40" s="10" t="str">
        <f>IFERROR(__xludf.DUMMYFUNCTION("GOOGLETRANSLATE(E40,""it"",""en"")"),"The districts can choose external jockeys.")</f>
        <v>The districts can choose external jockeys.</v>
      </c>
    </row>
    <row r="41" ht="22.5" customHeight="1">
      <c r="A41" s="11">
        <v>40.0</v>
      </c>
      <c r="B41" s="5" t="s">
        <v>1961</v>
      </c>
      <c r="C41" s="5" t="s">
        <v>1962</v>
      </c>
      <c r="D41" s="5" t="s">
        <v>296</v>
      </c>
      <c r="E41" s="5" t="s">
        <v>1963</v>
      </c>
      <c r="F41" s="3"/>
      <c r="G41" s="11">
        <v>40.0</v>
      </c>
      <c r="H41" s="10" t="str">
        <f>IFERROR(__xludf.DUMMYFUNCTION("GOOGLETRANSLATE(B41,""it"",""en"")"),"How are the horses chosen for the Palio?")</f>
        <v>How are the horses chosen for the Palio?</v>
      </c>
      <c r="I41" s="10" t="str">
        <f>IFERROR(__xludf.DUMMYFUNCTION("GOOGLETRANSLATE(C41,""it"",""en"")"),"A. Lottery B. Selection by speed C. Selection by experience D. Public competition")</f>
        <v>A. Lottery B. Selection by speed C. Selection by experience D. Public competition</v>
      </c>
      <c r="J41" s="10" t="str">
        <f>IFERROR(__xludf.DUMMYFUNCTION("GOOGLETRANSLATE(D41,""it"",""en"")"),"Draw")</f>
        <v>Draw</v>
      </c>
      <c r="K41" s="10" t="str">
        <f>IFERROR(__xludf.DUMMYFUNCTION("GOOGLETRANSLATE(E41,""it"",""en"")"),"The horses are assigned by official drawing.")</f>
        <v>The horses are assigned by official drawing.</v>
      </c>
    </row>
    <row r="42" ht="22.5" customHeight="1">
      <c r="A42" s="4">
        <v>41.0</v>
      </c>
      <c r="B42" s="5" t="s">
        <v>1964</v>
      </c>
      <c r="C42" s="5" t="s">
        <v>1965</v>
      </c>
      <c r="D42" s="5" t="s">
        <v>1966</v>
      </c>
      <c r="E42" s="5" t="s">
        <v>1967</v>
      </c>
      <c r="F42" s="3"/>
      <c r="G42" s="4">
        <v>41.0</v>
      </c>
      <c r="H42" s="10" t="str">
        <f>IFERROR(__xludf.DUMMYFUNCTION("GOOGLETRANSLATE(B42,""it"",""en"")"),"What does it mean to ""make the move""?")</f>
        <v>What does it mean to "make the move"?</v>
      </c>
      <c r="I42" s="10" t="str">
        <f>IFERROR(__xludf.DUMMYFUNCTION("GOOGLETRANSLATE(C42,""it"",""en"")"),"A. Prepare the banner B. Approach the start C. Position yourself at the starting line D. Stop after the first lap")</f>
        <v>A. Prepare the banner B. Approach the start C. Position yourself at the starting line D. Stop after the first lap</v>
      </c>
      <c r="J42" s="10" t="str">
        <f>IFERROR(__xludf.DUMMYFUNCTION("GOOGLETRANSLATE(D42,""it"",""en"")"),"Position yourself at the canape")</f>
        <v>Position yourself at the canape</v>
      </c>
      <c r="K42" s="10" t="str">
        <f>IFERROR(__xludf.DUMMYFUNCTION("GOOGLETRANSLATE(E42,""it"",""en"")"),"Making the move means positioning yourself for the start.")</f>
        <v>Making the move means positioning yourself for the start.</v>
      </c>
    </row>
    <row r="43" ht="22.5" customHeight="1">
      <c r="A43" s="11">
        <v>42.0</v>
      </c>
      <c r="B43" s="5" t="s">
        <v>1968</v>
      </c>
      <c r="C43" s="5" t="s">
        <v>1969</v>
      </c>
      <c r="D43" s="5" t="s">
        <v>1970</v>
      </c>
      <c r="E43" s="5" t="s">
        <v>1971</v>
      </c>
      <c r="F43" s="3"/>
      <c r="G43" s="11">
        <v>42.0</v>
      </c>
      <c r="H43" s="10" t="str">
        <f>IFERROR(__xludf.DUMMYFUNCTION("GOOGLETRANSLATE(B43,""it"",""en"")"),"Which district has a giraffe as its symbol?")</f>
        <v>Which district has a giraffe as its symbol?</v>
      </c>
      <c r="I43" s="10" t="str">
        <f>IFERROR(__xludf.DUMMYFUNCTION("GOOGLETRANSLATE(C43,""it"",""en"")"),"A. Goose B. Giraffe C. Dragon D. Snail")</f>
        <v>A. Goose B. Giraffe C. Dragon D. Snail</v>
      </c>
      <c r="J43" s="10" t="str">
        <f>IFERROR(__xludf.DUMMYFUNCTION("GOOGLETRANSLATE(D43,""it"",""en"")"),"Giraffe")</f>
        <v>Giraffe</v>
      </c>
      <c r="K43" s="10" t="str">
        <f>IFERROR(__xludf.DUMMYFUNCTION("GOOGLETRANSLATE(E43,""it"",""en"")"),"The Giraffa district has a giraffe as its symbol.")</f>
        <v>The Giraffa district has a giraffe as its symbol.</v>
      </c>
    </row>
    <row r="44" ht="22.5" customHeight="1">
      <c r="A44" s="11">
        <v>43.0</v>
      </c>
      <c r="B44" s="5" t="s">
        <v>1972</v>
      </c>
      <c r="C44" s="5" t="s">
        <v>1973</v>
      </c>
      <c r="D44" s="5" t="s">
        <v>1974</v>
      </c>
      <c r="E44" s="5" t="s">
        <v>1975</v>
      </c>
      <c r="F44" s="3"/>
      <c r="G44" s="11">
        <v>43.0</v>
      </c>
      <c r="H44" s="10" t="str">
        <f>IFERROR(__xludf.DUMMYFUNCTION("GOOGLETRANSLATE(B44,""it"",""en"")"),"What is the deadline for a repeat victory by the same contrada?")</f>
        <v>What is the deadline for a repeat victory by the same contrada?</v>
      </c>
      <c r="I44" s="10" t="str">
        <f>IFERROR(__xludf.DUMMYFUNCTION("GOOGLETRANSLATE(C44,""it"",""en"")"),"A. Double B. Three of a Kind C. Rematch D. Conquest")</f>
        <v>A. Double B. Three of a Kind C. Rematch D. Conquest</v>
      </c>
      <c r="J44" s="10" t="str">
        <f>IFERROR(__xludf.DUMMYFUNCTION("GOOGLETRANSLATE(D44,""it"",""en"")"),"Double")</f>
        <v>Double</v>
      </c>
      <c r="K44" s="10" t="str">
        <f>IFERROR(__xludf.DUMMYFUNCTION("GOOGLETRANSLATE(E44,""it"",""en"")"),"A double occurs when a contrada wins two consecutive Palios.")</f>
        <v>A double occurs when a contrada wins two consecutive Palios.</v>
      </c>
    </row>
    <row r="45" ht="22.5" customHeight="1">
      <c r="A45" s="11">
        <v>44.0</v>
      </c>
      <c r="B45" s="5" t="s">
        <v>1976</v>
      </c>
      <c r="C45" s="5" t="s">
        <v>1977</v>
      </c>
      <c r="D45" s="5" t="s">
        <v>1978</v>
      </c>
      <c r="E45" s="5" t="s">
        <v>1979</v>
      </c>
      <c r="F45" s="3"/>
      <c r="G45" s="11">
        <v>44.0</v>
      </c>
      <c r="H45" s="10" t="str">
        <f>IFERROR(__xludf.DUMMYFUNCTION("GOOGLETRANSLATE(B45,""it"",""en"")"),"What does ""drawing lots"" mean?")</f>
        <v>What does "drawing lots" mean?</v>
      </c>
      <c r="I45" s="10" t="str">
        <f>IFERROR(__xludf.DUMMYFUNCTION("GOOGLETRANSLATE(C45,""it"",""en"")"),"A. Selection of the starter B. Choice of horses C. Choice of participating districts D. Distribution of the banner")</f>
        <v>A. Selection of the starter B. Choice of horses C. Choice of participating districts D. Distribution of the banner</v>
      </c>
      <c r="J45" s="10" t="str">
        <f>IFERROR(__xludf.DUMMYFUNCTION("GOOGLETRANSLATE(D45,""it"",""en"")"),"Choice of participating districts")</f>
        <v>Choice of participating districts</v>
      </c>
      <c r="K45" s="10" t="str">
        <f>IFERROR(__xludf.DUMMYFUNCTION("GOOGLETRANSLATE(E45,""it"",""en"")"),"Seven districts are drawn by lot to participate in the Palio.")</f>
        <v>Seven districts are drawn by lot to participate in the Palio.</v>
      </c>
    </row>
    <row r="46" ht="22.5" customHeight="1">
      <c r="A46" s="11">
        <v>45.0</v>
      </c>
      <c r="B46" s="5" t="s">
        <v>1980</v>
      </c>
      <c r="C46" s="5" t="s">
        <v>1981</v>
      </c>
      <c r="D46" s="5" t="s">
        <v>1982</v>
      </c>
      <c r="E46" s="5" t="s">
        <v>1983</v>
      </c>
      <c r="F46" s="3"/>
      <c r="G46" s="11">
        <v>45.0</v>
      </c>
      <c r="H46" s="10" t="str">
        <f>IFERROR(__xludf.DUMMYFUNCTION("GOOGLETRANSLATE(B46,""it"",""en"")"),"What is the main rule for horses?")</f>
        <v>What is the main rule for horses?</v>
      </c>
      <c r="I46" s="10" t="str">
        <f>IFERROR(__xludf.DUMMYFUNCTION("GOOGLETRANSLATE(C46,""it"",""en"")"),"A. They must be purebred B. They must come from Siena C. They must be half-blood D. They must be white")</f>
        <v>A. They must be purebred B. They must come from Siena C. They must be half-blood D. They must be white</v>
      </c>
      <c r="J46" s="10" t="str">
        <f>IFERROR(__xludf.DUMMYFUNCTION("GOOGLETRANSLATE(D46,""it"",""en"")"),"They must be half-bloods")</f>
        <v>They must be half-bloods</v>
      </c>
      <c r="K46" s="10" t="str">
        <f>IFERROR(__xludf.DUMMYFUNCTION("GOOGLETRANSLATE(E46,""it"",""en"")"),"For safety and tradition, half-blood horses are used.")</f>
        <v>For safety and tradition, half-blood horses are used.</v>
      </c>
    </row>
    <row r="47" ht="22.5" customHeight="1">
      <c r="A47" s="4">
        <v>46.0</v>
      </c>
      <c r="B47" s="5" t="s">
        <v>1984</v>
      </c>
      <c r="C47" s="5" t="s">
        <v>1985</v>
      </c>
      <c r="D47" s="5" t="s">
        <v>1986</v>
      </c>
      <c r="E47" s="5" t="s">
        <v>1987</v>
      </c>
      <c r="F47" s="3"/>
      <c r="G47" s="4">
        <v>46.0</v>
      </c>
      <c r="H47" s="10" t="str">
        <f>IFERROR(__xludf.DUMMYFUNCTION("GOOGLETRANSLATE(B47,""it"",""en"")"),"What do the drums represent during the parade?")</f>
        <v>What do the drums represent during the parade?</v>
      </c>
      <c r="I47" s="10" t="str">
        <f>IFERROR(__xludf.DUMMYFUNCTION("GOOGLETRANSLATE(C47,""it"",""en"")"),"A. The pace of the race B. The call to the competition C. The history of the contrada D. The glory of the winner")</f>
        <v>A. The pace of the race B. The call to the competition C. The history of the contrada D. The glory of the winner</v>
      </c>
      <c r="J47" s="10" t="str">
        <f>IFERROR(__xludf.DUMMYFUNCTION("GOOGLETRANSLATE(D47,""it"",""en"")"),"The call to competition")</f>
        <v>The call to competition</v>
      </c>
      <c r="K47" s="10" t="str">
        <f>IFERROR(__xludf.DUMMYFUNCTION("GOOGLETRANSLATE(E47,""it"",""en"")"),"The drums mark the rhythm and draw attention.")</f>
        <v>The drums mark the rhythm and draw attention.</v>
      </c>
    </row>
    <row r="48" ht="22.5" customHeight="1">
      <c r="A48" s="11">
        <v>47.0</v>
      </c>
      <c r="B48" s="5" t="s">
        <v>1988</v>
      </c>
      <c r="C48" s="5" t="s">
        <v>1815</v>
      </c>
      <c r="D48" s="5" t="s">
        <v>436</v>
      </c>
      <c r="E48" s="5" t="s">
        <v>1989</v>
      </c>
      <c r="F48" s="3"/>
      <c r="G48" s="11">
        <v>47.0</v>
      </c>
      <c r="H48" s="10" t="str">
        <f>IFERROR(__xludf.DUMMYFUNCTION("GOOGLETRANSLATE(B48,""it"",""en"")"),"How many days before does the journey begin?")</f>
        <v>How many days before does the journey begin?</v>
      </c>
      <c r="I48" s="10" t="str">
        <f>IFERROR(__xludf.DUMMYFUNCTION("GOOGLETRANSLATE(C48,""it"",""en"")"),"A. One B. Two C. Three D. Four")</f>
        <v>A. One B. Two C. Three D. Four</v>
      </c>
      <c r="J48" s="10" t="str">
        <f>IFERROR(__xludf.DUMMYFUNCTION("GOOGLETRANSLATE(D48,""it"",""en"")"),"Three")</f>
        <v>Three</v>
      </c>
      <c r="K48" s="10" t="str">
        <f>IFERROR(__xludf.DUMMYFUNCTION("GOOGLETRANSLATE(E48,""it"",""en"")"),"The Tratta takes place three days before the race.")</f>
        <v>The Tratta takes place three days before the race.</v>
      </c>
    </row>
    <row r="49" ht="22.5" customHeight="1">
      <c r="A49" s="11">
        <v>48.0</v>
      </c>
      <c r="B49" s="5" t="s">
        <v>1990</v>
      </c>
      <c r="C49" s="5" t="s">
        <v>1991</v>
      </c>
      <c r="D49" s="5" t="s">
        <v>1992</v>
      </c>
      <c r="E49" s="5" t="s">
        <v>1993</v>
      </c>
      <c r="F49" s="3"/>
      <c r="G49" s="11">
        <v>48.0</v>
      </c>
      <c r="H49" s="10" t="str">
        <f>IFERROR(__xludf.DUMMYFUNCTION("GOOGLETRANSLATE(B49,""it"",""en"")"),"What does the jockey's jacket symbolize?")</f>
        <v>What does the jockey's jacket symbolize?</v>
      </c>
      <c r="I49" s="10" t="str">
        <f>IFERROR(__xludf.DUMMYFUNCTION("GOOGLETRANSLATE(C49,""it"",""en"")"),"A. The contrada flag B. The banner C. The history of Siena D. The contrada colors")</f>
        <v>A. The contrada flag B. The banner C. The history of Siena D. The contrada colors</v>
      </c>
      <c r="J49" s="10" t="str">
        <f>IFERROR(__xludf.DUMMYFUNCTION("GOOGLETRANSLATE(D49,""it"",""en"")"),"The colors of the contrada")</f>
        <v>The colors of the contrada</v>
      </c>
      <c r="K49" s="10" t="str">
        <f>IFERROR(__xludf.DUMMYFUNCTION("GOOGLETRANSLATE(E49,""it"",""en"")"),"The jacket features the distinctive colours of the contrada.")</f>
        <v>The jacket features the distinctive colours of the contrada.</v>
      </c>
    </row>
    <row r="50" ht="22.5" customHeight="1">
      <c r="A50" s="11">
        <v>49.0</v>
      </c>
      <c r="B50" s="5" t="s">
        <v>1994</v>
      </c>
      <c r="C50" s="5" t="s">
        <v>1995</v>
      </c>
      <c r="D50" s="5" t="s">
        <v>1996</v>
      </c>
      <c r="E50" s="5" t="s">
        <v>1997</v>
      </c>
      <c r="F50" s="3"/>
      <c r="G50" s="11">
        <v>49.0</v>
      </c>
      <c r="H50" s="10" t="str">
        <f>IFERROR(__xludf.DUMMYFUNCTION("GOOGLETRANSLATE(B50,""it"",""en"")"),"What is the name of the test where the jockeys practice the start?")</f>
        <v>What is the name of the test where the jockeys practice the start?</v>
      </c>
      <c r="I50" s="10" t="str">
        <f>IFERROR(__xludf.DUMMYFUNCTION("GOOGLETRANSLATE(C50,""it"",""en"")"),"A. Move rehearsal B. Dress rehearsal C. Starter rehearsal D. Night rehearsal")</f>
        <v>A. Move rehearsal B. Dress rehearsal C. Starter rehearsal D. Night rehearsal</v>
      </c>
      <c r="J50" s="10" t="str">
        <f>IFERROR(__xludf.DUMMYFUNCTION("GOOGLETRANSLATE(D50,""it"",""en"")"),"Proof of the move")</f>
        <v>Proof of the move</v>
      </c>
      <c r="K50" s="10" t="str">
        <f>IFERROR(__xludf.DUMMYFUNCTION("GOOGLETRANSLATE(E50,""it"",""en"")"),"The move test is dedicated to the start.")</f>
        <v>The move test is dedicated to the start.</v>
      </c>
    </row>
    <row r="51" ht="22.5" customHeight="1">
      <c r="A51" s="11">
        <v>50.0</v>
      </c>
      <c r="B51" s="5" t="s">
        <v>1998</v>
      </c>
      <c r="C51" s="5" t="s">
        <v>1999</v>
      </c>
      <c r="D51" s="5" t="s">
        <v>2000</v>
      </c>
      <c r="E51" s="5" t="s">
        <v>2001</v>
      </c>
      <c r="F51" s="3"/>
      <c r="G51" s="11">
        <v>50.0</v>
      </c>
      <c r="H51" s="10" t="str">
        <f>IFERROR(__xludf.DUMMYFUNCTION("GOOGLETRANSLATE(B51,""it"",""en"")"),"Who celebrates the mass before the Palio?")</f>
        <v>Who celebrates the mass before the Palio?</v>
      </c>
      <c r="I51" s="10" t="str">
        <f>IFERROR(__xludf.DUMMYFUNCTION("GOOGLETRANSLATE(C51,""it"",""en"")"),"A. The prior B. The mayor C. The bishop D. A jockey")</f>
        <v>A. The prior B. The mayor C. The bishop D. A jockey</v>
      </c>
      <c r="J51" s="10" t="str">
        <f>IFERROR(__xludf.DUMMYFUNCTION("GOOGLETRANSLATE(D51,""it"",""en"")"),"The bishop")</f>
        <v>The bishop</v>
      </c>
      <c r="K51" s="10" t="str">
        <f>IFERROR(__xludf.DUMMYFUNCTION("GOOGLETRANSLATE(E51,""it"",""en"")"),"The mass is celebrated by the bishop of Siena.")</f>
        <v>The mass is celebrated by the bishop of Siena.</v>
      </c>
    </row>
    <row r="52" ht="22.5" customHeight="1">
      <c r="A52" s="4">
        <v>51.0</v>
      </c>
      <c r="B52" s="5" t="s">
        <v>2002</v>
      </c>
      <c r="C52" s="5" t="s">
        <v>2003</v>
      </c>
      <c r="D52" s="5" t="s">
        <v>2004</v>
      </c>
      <c r="E52" s="5" t="s">
        <v>2005</v>
      </c>
      <c r="F52" s="3"/>
      <c r="G52" s="4">
        <v>51.0</v>
      </c>
      <c r="H52" s="10" t="str">
        <f>IFERROR(__xludf.DUMMYFUNCTION("GOOGLETRANSLATE(B52,""it"",""en"")"),"What happens at the victory dinner?")</f>
        <v>What happens at the victory dinner?</v>
      </c>
      <c r="I52" s="10" t="str">
        <f>IFERROR(__xludf.DUMMYFUNCTION("GOOGLETRANSLATE(C52,""it"",""en"")"),"A. The banner is handed out B. The horse is prepared C. The winning contrada is celebrated D. The starter is chosen")</f>
        <v>A. The banner is handed out B. The horse is prepared C. The winning contrada is celebrated D. The starter is chosen</v>
      </c>
      <c r="J52" s="10" t="str">
        <f>IFERROR(__xludf.DUMMYFUNCTION("GOOGLETRANSLATE(D52,""it"",""en"")"),"The winning contrada is celebrated")</f>
        <v>The winning contrada is celebrated</v>
      </c>
      <c r="K52" s="10" t="str">
        <f>IFERROR(__xludf.DUMMYFUNCTION("GOOGLETRANSLATE(E52,""it"",""en"")"),"It's a moment of celebration for the winning contrada.")</f>
        <v>It's a moment of celebration for the winning contrada.</v>
      </c>
    </row>
    <row r="53" ht="22.5" customHeight="1">
      <c r="A53" s="11">
        <v>52.0</v>
      </c>
      <c r="B53" s="5" t="s">
        <v>2006</v>
      </c>
      <c r="C53" s="5" t="s">
        <v>2007</v>
      </c>
      <c r="D53" s="5" t="s">
        <v>2008</v>
      </c>
      <c r="E53" s="5" t="s">
        <v>2009</v>
      </c>
      <c r="F53" s="3"/>
      <c r="G53" s="11">
        <v>52.0</v>
      </c>
      <c r="H53" s="10" t="str">
        <f>IFERROR(__xludf.DUMMYFUNCTION("GOOGLETRANSLATE(B53,""it"",""en"")"),"What is the preliminary race called?")</f>
        <v>What is the preliminary race called?</v>
      </c>
      <c r="I53" s="10" t="str">
        <f>IFERROR(__xludf.DUMMYFUNCTION("GOOGLETRANSLATE(C53,""it"",""en"")"),"A. Test run B. Night test C. Route D. Joust")</f>
        <v>A. Test run B. Night test C. Route D. Joust</v>
      </c>
      <c r="J53" s="10" t="str">
        <f>IFERROR(__xludf.DUMMYFUNCTION("GOOGLETRANSLATE(D53,""it"",""en"")"),"Test")</f>
        <v>Test</v>
      </c>
      <c r="K53" s="10" t="str">
        <f>IFERROR(__xludf.DUMMYFUNCTION("GOOGLETRANSLATE(E53,""it"",""en"")"),"The provaccia is a preliminary race before the Palio.")</f>
        <v>The provaccia is a preliminary race before the Palio.</v>
      </c>
    </row>
    <row r="54" ht="22.5" customHeight="1">
      <c r="A54" s="11">
        <v>53.0</v>
      </c>
      <c r="B54" s="5" t="s">
        <v>2010</v>
      </c>
      <c r="C54" s="5" t="s">
        <v>2011</v>
      </c>
      <c r="D54" s="5" t="s">
        <v>2012</v>
      </c>
      <c r="E54" s="5" t="s">
        <v>2013</v>
      </c>
      <c r="F54" s="3"/>
      <c r="G54" s="11">
        <v>53.0</v>
      </c>
      <c r="H54" s="10" t="str">
        <f>IFERROR(__xludf.DUMMYFUNCTION("GOOGLETRANSLATE(B54,""it"",""en"")"),"What happens if a shaken horse crosses the finish line first?")</f>
        <v>What happens if a shaken horse crosses the finish line first?</v>
      </c>
      <c r="I54" s="10" t="str">
        <f>IFERROR(__xludf.DUMMYFUNCTION("GOOGLETRANSLATE(C54,""it"",""en"")"),"A. He wins the race B. He is eliminated C. The banner is reassigned D. Another race is run")</f>
        <v>A. He wins the race B. He is eliminated C. The banner is reassigned D. Another race is run</v>
      </c>
      <c r="J54" s="10" t="str">
        <f>IFERROR(__xludf.DUMMYFUNCTION("GOOGLETRANSLATE(D54,""it"",""en"")"),"He wins the race")</f>
        <v>He wins the race</v>
      </c>
      <c r="K54" s="10" t="str">
        <f>IFERROR(__xludf.DUMMYFUNCTION("GOOGLETRANSLATE(E54,""it"",""en"")"),"Even a horse without a jockey can win the Palio.")</f>
        <v>Even a horse without a jockey can win the Palio.</v>
      </c>
    </row>
    <row r="55" ht="22.5" customHeight="1">
      <c r="A55" s="11">
        <v>54.0</v>
      </c>
      <c r="B55" s="5" t="s">
        <v>2014</v>
      </c>
      <c r="C55" s="5" t="s">
        <v>2015</v>
      </c>
      <c r="D55" s="5" t="s">
        <v>2016</v>
      </c>
      <c r="E55" s="5" t="s">
        <v>2017</v>
      </c>
      <c r="F55" s="3"/>
      <c r="G55" s="11">
        <v>54.0</v>
      </c>
      <c r="H55" s="10" t="str">
        <f>IFERROR(__xludf.DUMMYFUNCTION("GOOGLETRANSLATE(B55,""it"",""en"")"),"Who coordinates security in the square during the Palio?")</f>
        <v>Who coordinates security in the square during the Palio?</v>
      </c>
      <c r="I55" s="10" t="str">
        <f>IFERROR(__xludf.DUMMYFUNCTION("GOOGLETRANSLATE(C55,""it"",""en"")"),"A. The prior B. The starter C. The police D. The captain of the contrada")</f>
        <v>A. The prior B. The starter C. The police D. The captain of the contrada</v>
      </c>
      <c r="J55" s="10" t="str">
        <f>IFERROR(__xludf.DUMMYFUNCTION("GOOGLETRANSLATE(D55,""it"",""en"")"),"The police forces")</f>
        <v>The police forces</v>
      </c>
      <c r="K55" s="10" t="str">
        <f>IFERROR(__xludf.DUMMYFUNCTION("GOOGLETRANSLATE(E55,""it"",""en"")"),"Security is handled by law enforcement.")</f>
        <v>Security is handled by law enforcement.</v>
      </c>
    </row>
    <row r="56" ht="22.5" customHeight="1">
      <c r="A56" s="11">
        <v>55.0</v>
      </c>
      <c r="B56" s="5" t="s">
        <v>2018</v>
      </c>
      <c r="C56" s="5" t="s">
        <v>2019</v>
      </c>
      <c r="D56" s="5" t="s">
        <v>2020</v>
      </c>
      <c r="E56" s="5" t="s">
        <v>2021</v>
      </c>
      <c r="F56" s="3"/>
      <c r="G56" s="11">
        <v>55.0</v>
      </c>
      <c r="H56" s="10" t="str">
        <f>IFERROR(__xludf.DUMMYFUNCTION("GOOGLETRANSLATE(B56,""it"",""en"")"),"How many times can a contrada participate in the Palio in a year?")</f>
        <v>How many times can a contrada participate in the Palio in a year?</v>
      </c>
      <c r="I56" s="10" t="str">
        <f>IFERROR(__xludf.DUMMYFUNCTION("GOOGLETRANSLATE(C56,""it"",""en"")"),"A. Once B. Twice C. Three times D. Unlimited")</f>
        <v>A. Once B. Twice C. Three times D. Unlimited</v>
      </c>
      <c r="J56" s="10" t="str">
        <f>IFERROR(__xludf.DUMMYFUNCTION("GOOGLETRANSLATE(D56,""it"",""en"")"),"Twice")</f>
        <v>Twice</v>
      </c>
      <c r="K56" s="10" t="str">
        <f>IFERROR(__xludf.DUMMYFUNCTION("GOOGLETRANSLATE(E56,""it"",""en"")"),"Each contrada can participate in the two Palios of the year.")</f>
        <v>Each contrada can participate in the two Palios of the year.</v>
      </c>
    </row>
    <row r="57" ht="22.5" customHeight="1">
      <c r="A57" s="4">
        <v>56.0</v>
      </c>
      <c r="B57" s="5" t="s">
        <v>2022</v>
      </c>
      <c r="C57" s="5" t="s">
        <v>2023</v>
      </c>
      <c r="D57" s="5" t="s">
        <v>2024</v>
      </c>
      <c r="E57" s="5" t="s">
        <v>2025</v>
      </c>
      <c r="F57" s="3"/>
      <c r="G57" s="4">
        <v>56.0</v>
      </c>
      <c r="H57" s="10" t="str">
        <f>IFERROR(__xludf.DUMMYFUNCTION("GOOGLETRANSLATE(B57,""it"",""en"")"),"Which district has a dragon as its symbol?")</f>
        <v>Which district has a dragon as its symbol?</v>
      </c>
      <c r="I57" s="10" t="str">
        <f>IFERROR(__xludf.DUMMYFUNCTION("GOOGLETRANSLATE(C57,""it"",""en"")"),"A. Giraffe B. Tower C. Goose D. Dragon")</f>
        <v>A. Giraffe B. Tower C. Goose D. Dragon</v>
      </c>
      <c r="J57" s="10" t="str">
        <f>IFERROR(__xludf.DUMMYFUNCTION("GOOGLETRANSLATE(D57,""it"",""en"")"),"Dragon")</f>
        <v>Dragon</v>
      </c>
      <c r="K57" s="10" t="str">
        <f>IFERROR(__xludf.DUMMYFUNCTION("GOOGLETRANSLATE(E57,""it"",""en"")"),"The Drago district has a dragon as its symbol.")</f>
        <v>The Drago district has a dragon as its symbol.</v>
      </c>
    </row>
    <row r="58" ht="22.5" customHeight="1">
      <c r="A58" s="11">
        <v>57.0</v>
      </c>
      <c r="B58" s="5" t="s">
        <v>2026</v>
      </c>
      <c r="C58" s="5" t="s">
        <v>2027</v>
      </c>
      <c r="D58" s="5" t="s">
        <v>2028</v>
      </c>
      <c r="E58" s="5" t="s">
        <v>2029</v>
      </c>
      <c r="F58" s="3"/>
      <c r="G58" s="11">
        <v>57.0</v>
      </c>
      <c r="H58" s="10" t="str">
        <f>IFERROR(__xludf.DUMMYFUNCTION("GOOGLETRANSLATE(B58,""it"",""en"")"),"Who decides the winners in case of disputes?")</f>
        <v>Who decides the winners in case of disputes?</v>
      </c>
      <c r="I58" s="10" t="str">
        <f>IFERROR(__xludf.DUMMYFUNCTION("GOOGLETRANSLATE(C58,""it"",""en"")"),"A. The starter B. The prior C. The judge of the Palio D. The mayor")</f>
        <v>A. The starter B. The prior C. The judge of the Palio D. The mayor</v>
      </c>
      <c r="J58" s="10" t="str">
        <f>IFERROR(__xludf.DUMMYFUNCTION("GOOGLETRANSLATE(D58,""it"",""en"")"),"The judge of the Palio")</f>
        <v>The judge of the Palio</v>
      </c>
      <c r="K58" s="10" t="str">
        <f>IFERROR(__xludf.DUMMYFUNCTION("GOOGLETRANSLATE(E58,""it"",""en"")"),"The Palio judge intervenes in case of disputes.")</f>
        <v>The Palio judge intervenes in case of disputes.</v>
      </c>
    </row>
    <row r="59" ht="22.5" customHeight="1">
      <c r="A59" s="11">
        <v>58.0</v>
      </c>
      <c r="B59" s="5" t="s">
        <v>2030</v>
      </c>
      <c r="C59" s="5" t="s">
        <v>2031</v>
      </c>
      <c r="D59" s="5" t="s">
        <v>2032</v>
      </c>
      <c r="E59" s="5" t="s">
        <v>2033</v>
      </c>
      <c r="F59" s="3"/>
      <c r="G59" s="11">
        <v>58.0</v>
      </c>
      <c r="H59" s="10" t="str">
        <f>IFERROR(__xludf.DUMMYFUNCTION("GOOGLETRANSLATE(B59,""it"",""en"")"),"What is celebrated during the historical Palio procession?")</f>
        <v>What is celebrated during the historical Palio procession?</v>
      </c>
      <c r="I59" s="10" t="str">
        <f>IFERROR(__xludf.DUMMYFUNCTION("GOOGLETRANSLATE(C59,""it"",""en"")"),"A. The origins of Siena B. The glory of the districts C. The ancient medieval traditions D. The victory of the district")</f>
        <v>A. The origins of Siena B. The glory of the districts C. The ancient medieval traditions D. The victory of the district</v>
      </c>
      <c r="J59" s="10" t="str">
        <f>IFERROR(__xludf.DUMMYFUNCTION("GOOGLETRANSLATE(D59,""it"",""en"")"),"The ancient medieval traditions")</f>
        <v>The ancient medieval traditions</v>
      </c>
      <c r="K59" s="10" t="str">
        <f>IFERROR(__xludf.DUMMYFUNCTION("GOOGLETRANSLATE(E59,""it"",""en"")"),"The historical procession recalls the city's medieval traditions.")</f>
        <v>The historical procession recalls the city's medieval traditions.</v>
      </c>
    </row>
    <row r="60" ht="22.5" customHeight="1">
      <c r="A60" s="11">
        <v>59.0</v>
      </c>
      <c r="B60" s="5" t="s">
        <v>2034</v>
      </c>
      <c r="C60" s="5" t="s">
        <v>2035</v>
      </c>
      <c r="D60" s="5" t="s">
        <v>2036</v>
      </c>
      <c r="E60" s="5" t="s">
        <v>2037</v>
      </c>
      <c r="F60" s="3"/>
      <c r="G60" s="11">
        <v>59.0</v>
      </c>
      <c r="H60" s="10" t="str">
        <f>IFERROR(__xludf.DUMMYFUNCTION("GOOGLETRANSLATE(B60,""it"",""en"")"),"What is the function of the canape during the Palio?")</f>
        <v>What is the function of the canape during the Palio?</v>
      </c>
      <c r="I60" s="10" t="str">
        <f>IFERROR(__xludf.DUMMYFUNCTION("GOOGLETRANSLATE(C60,""it"",""en"")"),"A. Mark the finish line B. Separate the districts C. Indicate the starting point D. Delimit the square")</f>
        <v>A. Mark the finish line B. Separate the districts C. Indicate the starting point D. Delimit the square</v>
      </c>
      <c r="J60" s="10" t="str">
        <f>IFERROR(__xludf.DUMMYFUNCTION("GOOGLETRANSLATE(D60,""it"",""en"")"),"Indicate the departure")</f>
        <v>Indicate the departure</v>
      </c>
      <c r="K60" s="10" t="str">
        <f>IFERROR(__xludf.DUMMYFUNCTION("GOOGLETRANSLATE(E60,""it"",""en"")"),"The hemp is the rope that marks the starting line.")</f>
        <v>The hemp is the rope that marks the starting line.</v>
      </c>
    </row>
    <row r="61" ht="22.5" customHeight="1">
      <c r="A61" s="11">
        <v>60.0</v>
      </c>
      <c r="B61" s="5" t="s">
        <v>2038</v>
      </c>
      <c r="C61" s="5" t="s">
        <v>2039</v>
      </c>
      <c r="D61" s="5" t="s">
        <v>2040</v>
      </c>
      <c r="E61" s="5" t="s">
        <v>2041</v>
      </c>
      <c r="F61" s="3"/>
      <c r="G61" s="11">
        <v>60.0</v>
      </c>
      <c r="H61" s="10" t="str">
        <f>IFERROR(__xludf.DUMMYFUNCTION("GOOGLETRANSLATE(B61,""it"",""en"")"),"What is the role of the horse in the Palio tradition?")</f>
        <v>What is the role of the horse in the Palio tradition?</v>
      </c>
      <c r="I61" s="10" t="str">
        <f>IFERROR(__xludf.DUMMYFUNCTION("GOOGLETRANSLATE(C61,""it"",""en"")"),"A. Be a symbol of strength B. Be a purely decorative element C. Be the true protagonist D. Be a tribute to the Madonna")</f>
        <v>A. Be a symbol of strength B. Be a purely decorative element C. Be the true protagonist D. Be a tribute to the Madonna</v>
      </c>
      <c r="J61" s="10" t="str">
        <f>IFERROR(__xludf.DUMMYFUNCTION("GOOGLETRANSLATE(D61,""it"",""en"")"),"Being the real protagonist")</f>
        <v>Being the real protagonist</v>
      </c>
      <c r="K61" s="10" t="str">
        <f>IFERROR(__xludf.DUMMYFUNCTION("GOOGLETRANSLATE(E61,""it"",""en"")"),"The horse is the true protagonist of the race.")</f>
        <v>The horse is the true protagonist of the race.</v>
      </c>
    </row>
    <row r="62" ht="22.5" customHeight="1">
      <c r="A62" s="4">
        <v>61.0</v>
      </c>
      <c r="B62" s="5" t="s">
        <v>2042</v>
      </c>
      <c r="C62" s="5" t="s">
        <v>2043</v>
      </c>
      <c r="D62" s="4">
        <v>7.0</v>
      </c>
      <c r="E62" s="5" t="s">
        <v>2044</v>
      </c>
      <c r="F62" s="3"/>
      <c r="G62" s="4">
        <v>61.0</v>
      </c>
      <c r="H62" s="10" t="str">
        <f>IFERROR(__xludf.DUMMYFUNCTION("GOOGLETRANSLATE(B62,""it"",""en"")"),"How many districts are excluded from the Palio each year?")</f>
        <v>How many districts are excluded from the Palio each year?</v>
      </c>
      <c r="I62" s="10" t="str">
        <f>IFERROR(__xludf.DUMMYFUNCTION("GOOGLETRANSLATE(C62,""it"",""en"")"),"A. 1 B. 3 C. 5 D. 7")</f>
        <v>A. 1 B. 3 C. 5 D. 7</v>
      </c>
      <c r="J62" s="10" t="str">
        <f>IFERROR(__xludf.DUMMYFUNCTION("GOOGLETRANSLATE(D62,""it"",""en"")"),"7")</f>
        <v>7</v>
      </c>
      <c r="K62" s="10" t="str">
        <f>IFERROR(__xludf.DUMMYFUNCTION("GOOGLETRANSLATE(E62,""it"",""en"")"),"Seven districts are excluded on a rotating basis each year.")</f>
        <v>Seven districts are excluded on a rotating basis each year.</v>
      </c>
    </row>
    <row r="63" ht="22.5" customHeight="1">
      <c r="A63" s="11">
        <v>62.0</v>
      </c>
      <c r="B63" s="5" t="s">
        <v>2045</v>
      </c>
      <c r="C63" s="5" t="s">
        <v>2046</v>
      </c>
      <c r="D63" s="5" t="s">
        <v>2047</v>
      </c>
      <c r="E63" s="5" t="s">
        <v>2048</v>
      </c>
      <c r="F63" s="3"/>
      <c r="G63" s="11">
        <v>62.0</v>
      </c>
      <c r="H63" s="10" t="str">
        <f>IFERROR(__xludf.DUMMYFUNCTION("GOOGLETRANSLATE(B63,""it"",""en"")"),"Who decides the design of the banner?")</f>
        <v>Who decides the design of the banner?</v>
      </c>
      <c r="I63" s="10" t="str">
        <f>IFERROR(__xludf.DUMMYFUNCTION("GOOGLETRANSLATE(C63,""it"",""en"")"),"A. The municipality of Siena B. The starter C. The prior of the winning contrada D. The bishop")</f>
        <v>A. The municipality of Siena B. The starter C. The prior of the winning contrada D. The bishop</v>
      </c>
      <c r="J63" s="10" t="str">
        <f>IFERROR(__xludf.DUMMYFUNCTION("GOOGLETRANSLATE(D63,""it"",""en"")"),"The municipality of Siena")</f>
        <v>The municipality of Siena</v>
      </c>
      <c r="K63" s="10" t="str">
        <f>IFERROR(__xludf.DUMMYFUNCTION("GOOGLETRANSLATE(E63,""it"",""en"")"),"The municipality selects an artist to create it.")</f>
        <v>The municipality selects an artist to create it.</v>
      </c>
    </row>
    <row r="64" ht="22.5" customHeight="1">
      <c r="A64" s="11">
        <v>63.0</v>
      </c>
      <c r="B64" s="5" t="s">
        <v>2049</v>
      </c>
      <c r="C64" s="5" t="s">
        <v>2050</v>
      </c>
      <c r="D64" s="5" t="s">
        <v>2051</v>
      </c>
      <c r="E64" s="5" t="s">
        <v>2052</v>
      </c>
      <c r="F64" s="3"/>
      <c r="G64" s="11">
        <v>63.0</v>
      </c>
      <c r="H64" s="10" t="str">
        <f>IFERROR(__xludf.DUMMYFUNCTION("GOOGLETRANSLATE(B64,""it"",""en"")"),"What do the banners carried during the procession represent?")</f>
        <v>What do the banners carried during the procession represent?</v>
      </c>
      <c r="I64" s="10" t="str">
        <f>IFERROR(__xludf.DUMMYFUNCTION("GOOGLETRANSLATE(C64,""it"",""en"")"),"A. The alliances between the districts B. The medieval wars C. The history and identity of the districts D. The Peace of Siena")</f>
        <v>A. The alliances between the districts B. The medieval wars C. The history and identity of the districts D. The Peace of Siena</v>
      </c>
      <c r="J64" s="10" t="str">
        <f>IFERROR(__xludf.DUMMYFUNCTION("GOOGLETRANSLATE(D64,""it"",""en"")"),"The history and identity of the districts")</f>
        <v>The history and identity of the districts</v>
      </c>
      <c r="K64" s="10" t="str">
        <f>IFERROR(__xludf.DUMMYFUNCTION("GOOGLETRANSLATE(E64,""it"",""en"")"),"The banners tell the story and identity of each contrada.")</f>
        <v>The banners tell the story and identity of each contrada.</v>
      </c>
    </row>
    <row r="65" ht="22.5" customHeight="1">
      <c r="A65" s="11">
        <v>64.0</v>
      </c>
      <c r="B65" s="5" t="s">
        <v>2053</v>
      </c>
      <c r="C65" s="5" t="s">
        <v>2054</v>
      </c>
      <c r="D65" s="5" t="s">
        <v>2055</v>
      </c>
      <c r="E65" s="5" t="s">
        <v>2056</v>
      </c>
      <c r="F65" s="3"/>
      <c r="G65" s="11">
        <v>64.0</v>
      </c>
      <c r="H65" s="10" t="str">
        <f>IFERROR(__xludf.DUMMYFUNCTION("GOOGLETRANSLATE(B65,""it"",""en"")"),"Who can participate in the historical parade?")</f>
        <v>Who can participate in the historical parade?</v>
      </c>
      <c r="I65" s="10" t="str">
        <f>IFERROR(__xludf.DUMMYFUNCTION("GOOGLETRANSLATE(C65,""it"",""en"")"),"A. Only citizens of Siena B. All members of the districts C. People chosen by the municipality D. Anyone who wishes")</f>
        <v>A. Only citizens of Siena B. All members of the districts C. People chosen by the municipality D. Anyone who wishes</v>
      </c>
      <c r="J65" s="10" t="str">
        <f>IFERROR(__xludf.DUMMYFUNCTION("GOOGLETRANSLATE(D65,""it"",""en"")"),"All members of the districts")</f>
        <v>All members of the districts</v>
      </c>
      <c r="K65" s="10" t="str">
        <f>IFERROR(__xludf.DUMMYFUNCTION("GOOGLETRANSLATE(E65,""it"",""en"")"),"The procession is made up of members of the contrade.")</f>
        <v>The procession is made up of members of the contrade.</v>
      </c>
    </row>
    <row r="66" ht="22.5" customHeight="1">
      <c r="A66" s="11">
        <v>65.0</v>
      </c>
      <c r="B66" s="5" t="s">
        <v>2057</v>
      </c>
      <c r="C66" s="5" t="s">
        <v>2058</v>
      </c>
      <c r="D66" s="5" t="s">
        <v>2059</v>
      </c>
      <c r="E66" s="5" t="s">
        <v>2060</v>
      </c>
      <c r="F66" s="3"/>
      <c r="G66" s="11">
        <v>65.0</v>
      </c>
      <c r="H66" s="10" t="str">
        <f>IFERROR(__xludf.DUMMYFUNCTION("GOOGLETRANSLATE(B66,""it"",""en"")"),"What happens during the ""flag in the wind""?")</f>
        <v>What happens during the "flag in the wind"?</v>
      </c>
      <c r="I66" s="10" t="str">
        <f>IFERROR(__xludf.DUMMYFUNCTION("GOOGLETRANSLATE(C66,""it"",""en"")"),"A. The banner is awarded B. The victory is celebrated C. The standard-bearers of the districts are displayed D. The starter is announced")</f>
        <v>A. The banner is awarded B. The victory is celebrated C. The standard-bearers of the districts are displayed D. The starter is announced</v>
      </c>
      <c r="J66" s="10" t="str">
        <f>IFERROR(__xludf.DUMMYFUNCTION("GOOGLETRANSLATE(D66,""it"",""en"")"),"The standard-bearers of the districts perform")</f>
        <v>The standard-bearers of the districts perform</v>
      </c>
      <c r="K66" s="10" t="str">
        <f>IFERROR(__xludf.DUMMYFUNCTION("GOOGLETRANSLATE(E66,""it"",""en"")"),"The flag wavers perform choreographies with the flags.")</f>
        <v>The flag wavers perform choreographies with the flags.</v>
      </c>
    </row>
    <row r="67" ht="22.5" customHeight="1">
      <c r="A67" s="4">
        <v>66.0</v>
      </c>
      <c r="B67" s="5" t="s">
        <v>2061</v>
      </c>
      <c r="C67" s="5" t="s">
        <v>2062</v>
      </c>
      <c r="D67" s="5" t="s">
        <v>2063</v>
      </c>
      <c r="E67" s="5" t="s">
        <v>2064</v>
      </c>
      <c r="F67" s="3"/>
      <c r="G67" s="4">
        <v>66.0</v>
      </c>
      <c r="H67" s="10" t="str">
        <f>IFERROR(__xludf.DUMMYFUNCTION("GOOGLETRANSLATE(B67,""it"",""en"")"),"What is the traditional material of the banner?")</f>
        <v>What is the traditional material of the banner?</v>
      </c>
      <c r="I67" s="10" t="str">
        <f>IFERROR(__xludf.DUMMYFUNCTION("GOOGLETRANSLATE(C67,""it"",""en"")"),"A. Silk B. Linen C. Cotton D. Velvet")</f>
        <v>A. Silk B. Linen C. Cotton D. Velvet</v>
      </c>
      <c r="J67" s="10" t="str">
        <f>IFERROR(__xludf.DUMMYFUNCTION("GOOGLETRANSLATE(D67,""it"",""en"")"),"Silk")</f>
        <v>Silk</v>
      </c>
      <c r="K67" s="10" t="str">
        <f>IFERROR(__xludf.DUMMYFUNCTION("GOOGLETRANSLATE(E67,""it"",""en"")"),"The banner is traditionally painted on silk.")</f>
        <v>The banner is traditionally painted on silk.</v>
      </c>
    </row>
    <row r="68" ht="22.5" customHeight="1">
      <c r="A68" s="11">
        <v>67.0</v>
      </c>
      <c r="B68" s="5" t="s">
        <v>2065</v>
      </c>
      <c r="C68" s="5" t="s">
        <v>2066</v>
      </c>
      <c r="D68" s="5" t="s">
        <v>2067</v>
      </c>
      <c r="E68" s="5" t="s">
        <v>2068</v>
      </c>
      <c r="F68" s="3"/>
      <c r="G68" s="11">
        <v>67.0</v>
      </c>
      <c r="H68" s="10" t="str">
        <f>IFERROR(__xludf.DUMMYFUNCTION("GOOGLETRANSLATE(B68,""it"",""en"")"),"What is the name of the access road to Piazza del Campo?")</f>
        <v>What is the name of the access road to Piazza del Campo?</v>
      </c>
      <c r="I68" s="10" t="str">
        <f>IFERROR(__xludf.DUMMYFUNCTION("GOOGLETRANSLATE(C68,""it"",""en"")"),"A. Drappellone Street B. Victory Street C. Casato Street D. Contrade Street")</f>
        <v>A. Drappellone Street B. Victory Street C. Casato Street D. Contrade Street</v>
      </c>
      <c r="J68" s="10" t="str">
        <f>IFERROR(__xludf.DUMMYFUNCTION("GOOGLETRANSLATE(D68,""it"",""en"")"),"Casato Street")</f>
        <v>Casato Street</v>
      </c>
      <c r="K68" s="10" t="str">
        <f>IFERROR(__xludf.DUMMYFUNCTION("GOOGLETRANSLATE(E68,""it"",""en"")"),"Via del Casato is one of the main entrances to the square.")</f>
        <v>Via del Casato is one of the main entrances to the square.</v>
      </c>
    </row>
    <row r="69" ht="22.5" customHeight="1">
      <c r="A69" s="11">
        <v>68.0</v>
      </c>
      <c r="B69" s="5" t="s">
        <v>2069</v>
      </c>
      <c r="C69" s="5" t="s">
        <v>2070</v>
      </c>
      <c r="D69" s="5" t="s">
        <v>2071</v>
      </c>
      <c r="E69" s="5" t="s">
        <v>2072</v>
      </c>
      <c r="F69" s="3"/>
      <c r="G69" s="11">
        <v>68.0</v>
      </c>
      <c r="H69" s="10" t="str">
        <f>IFERROR(__xludf.DUMMYFUNCTION("GOOGLETRANSLATE(B69,""it"",""en"")"),"What does ""Palio alla lunga"" mean?")</f>
        <v>What does "Palio alla lunga" mean?</v>
      </c>
      <c r="I69" s="10" t="str">
        <f>IFERROR(__xludf.DUMMYFUNCTION("GOOGLETRANSLATE(C69,""it"",""en"")"),"A. A longer than usual race B. A competition outside Siena C. A Palio held on a straight course D. A Palio with more than 10 contrade")</f>
        <v>A. A longer than usual race B. A competition outside Siena C. A Palio held on a straight course D. A Palio with more than 10 contrade</v>
      </c>
      <c r="J69" s="10" t="str">
        <f>IFERROR(__xludf.DUMMYFUNCTION("GOOGLETRANSLATE(D69,""it"",""en"")"),"A Palio contested on a straight course")</f>
        <v>A Palio contested on a straight course</v>
      </c>
      <c r="K69" s="10" t="str">
        <f>IFERROR(__xludf.DUMMYFUNCTION("GOOGLETRANSLATE(E69,""it"",""en"")"),"The ""Palio alla lunga"" was run on straight courses outside the city.")</f>
        <v>The "Palio alla lunga" was run on straight courses outside the city.</v>
      </c>
    </row>
    <row r="70" ht="22.5" customHeight="1">
      <c r="A70" s="11">
        <v>69.0</v>
      </c>
      <c r="B70" s="5" t="s">
        <v>2073</v>
      </c>
      <c r="C70" s="5" t="s">
        <v>2074</v>
      </c>
      <c r="D70" s="5" t="s">
        <v>2075</v>
      </c>
      <c r="E70" s="5" t="s">
        <v>2076</v>
      </c>
      <c r="F70" s="3"/>
      <c r="G70" s="11">
        <v>69.0</v>
      </c>
      <c r="H70" s="10" t="str">
        <f>IFERROR(__xludf.DUMMYFUNCTION("GOOGLETRANSLATE(B70,""it"",""en"")"),"What does the presence of a white horse in the historical procession indicate?")</f>
        <v>What does the presence of a white horse in the historical procession indicate?</v>
      </c>
      <c r="I70" s="10" t="str">
        <f>IFERROR(__xludf.DUMMYFUNCTION("GOOGLETRANSLATE(C70,""it"",""en"")"),"A. A guest district B. A symbol of purity C. The Madonna D. A tribute to the banner")</f>
        <v>A. A guest district B. A symbol of purity C. The Madonna D. A tribute to the banner</v>
      </c>
      <c r="J70" s="10" t="str">
        <f>IFERROR(__xludf.DUMMYFUNCTION("GOOGLETRANSLATE(D70,""it"",""en"")"),"A symbol of purity")</f>
        <v>A symbol of purity</v>
      </c>
      <c r="K70" s="10" t="str">
        <f>IFERROR(__xludf.DUMMYFUNCTION("GOOGLETRANSLATE(E70,""it"",""en"")"),"The white horse represents purity and devotion.")</f>
        <v>The white horse represents purity and devotion.</v>
      </c>
    </row>
    <row r="71" ht="22.5" customHeight="1">
      <c r="A71" s="11">
        <v>70.0</v>
      </c>
      <c r="B71" s="5" t="s">
        <v>2077</v>
      </c>
      <c r="C71" s="5" t="s">
        <v>2078</v>
      </c>
      <c r="D71" s="5" t="s">
        <v>2079</v>
      </c>
      <c r="E71" s="5" t="s">
        <v>2080</v>
      </c>
      <c r="F71" s="3"/>
      <c r="G71" s="11">
        <v>70.0</v>
      </c>
      <c r="H71" s="10" t="str">
        <f>IFERROR(__xludf.DUMMYFUNCTION("GOOGLETRANSLATE(B71,""it"",""en"")"),"What happens if the rope breaks during departure?")</f>
        <v>What happens if the rope breaks during departure?</v>
      </c>
      <c r="I71" s="10" t="str">
        <f>IFERROR(__xludf.DUMMYFUNCTION("GOOGLETRANSLATE(C71,""it"",""en"")"),"A. The race is postponed B. The race continues C. The Palio is cancelled D. A new move is made")</f>
        <v>A. The race is postponed B. The race continues C. The Palio is cancelled D. A new move is made</v>
      </c>
      <c r="J71" s="10" t="str">
        <f>IFERROR(__xludf.DUMMYFUNCTION("GOOGLETRANSLATE(D71,""it"",""en"")"),"A new move is underway")</f>
        <v>A new move is underway</v>
      </c>
      <c r="K71" s="10" t="str">
        <f>IFERROR(__xludf.DUMMYFUNCTION("GOOGLETRANSLATE(E71,""it"",""en"")"),"A new move is needed to ensure fairness.")</f>
        <v>A new move is needed to ensure fairness.</v>
      </c>
    </row>
    <row r="72" ht="22.5" customHeight="1">
      <c r="A72" s="4">
        <v>71.0</v>
      </c>
      <c r="B72" s="5" t="s">
        <v>2081</v>
      </c>
      <c r="C72" s="5" t="s">
        <v>2082</v>
      </c>
      <c r="D72" s="5" t="s">
        <v>2083</v>
      </c>
      <c r="E72" s="5" t="s">
        <v>2084</v>
      </c>
      <c r="F72" s="3"/>
      <c r="G72" s="4">
        <v>71.0</v>
      </c>
      <c r="H72" s="10" t="str">
        <f>IFERROR(__xludf.DUMMYFUNCTION("GOOGLETRANSLATE(B72,""it"",""en"")"),"How many times can a horse participate in the Palio?")</f>
        <v>How many times can a horse participate in the Palio?</v>
      </c>
      <c r="I72" s="10" t="str">
        <f>IFERROR(__xludf.DUMMYFUNCTION("GOOGLETRANSLATE(C72,""it"",""en"")"),"A. Only once B. As often as selected C. Up to three times D. Once every two years")</f>
        <v>A. Only once B. As often as selected C. Up to three times D. Once every two years</v>
      </c>
      <c r="J72" s="10" t="str">
        <f>IFERROR(__xludf.DUMMYFUNCTION("GOOGLETRANSLATE(D72,""it"",""en"")"),"Every time it is selected")</f>
        <v>Every time it is selected</v>
      </c>
      <c r="K72" s="10" t="str">
        <f>IFERROR(__xludf.DUMMYFUNCTION("GOOGLETRANSLATE(E72,""it"",""en"")"),"A horse can participate multiple times if deemed suitable.")</f>
        <v>A horse can participate multiple times if deemed suitable.</v>
      </c>
    </row>
    <row r="73" ht="22.5" customHeight="1">
      <c r="A73" s="11">
        <v>72.0</v>
      </c>
      <c r="B73" s="5" t="s">
        <v>2085</v>
      </c>
      <c r="C73" s="5" t="s">
        <v>2086</v>
      </c>
      <c r="D73" s="5" t="s">
        <v>2087</v>
      </c>
      <c r="E73" s="5" t="s">
        <v>2088</v>
      </c>
      <c r="F73" s="3"/>
      <c r="G73" s="11">
        <v>72.0</v>
      </c>
      <c r="H73" s="10" t="str">
        <f>IFERROR(__xludf.DUMMYFUNCTION("GOOGLETRANSLATE(B73,""it"",""en"")"),"What does the figure of the drummer represent in the historical parade?")</f>
        <v>What does the figure of the drummer represent in the historical parade?</v>
      </c>
      <c r="I73" s="10" t="str">
        <f>IFERROR(__xludf.DUMMYFUNCTION("GOOGLETRANSLATE(C73,""it"",""en"")"),"A. The rhythm of the parade B. A symbol of battle C. The celebration of the contrada D. A tribute to the Madonna")</f>
        <v>A. The rhythm of the parade B. A symbol of battle C. The celebration of the contrada D. A tribute to the Madonna</v>
      </c>
      <c r="J73" s="10" t="str">
        <f>IFERROR(__xludf.DUMMYFUNCTION("GOOGLETRANSLATE(D73,""it"",""en"")"),"The rhythm of the parade")</f>
        <v>The rhythm of the parade</v>
      </c>
      <c r="K73" s="10" t="str">
        <f>IFERROR(__xludf.DUMMYFUNCTION("GOOGLETRANSLATE(E73,""it"",""en"")"),"The drummer marks the rhythm of the parade.")</f>
        <v>The drummer marks the rhythm of the parade.</v>
      </c>
    </row>
    <row r="74" ht="22.5" customHeight="1">
      <c r="A74" s="11">
        <v>73.0</v>
      </c>
      <c r="B74" s="5" t="s">
        <v>2089</v>
      </c>
      <c r="C74" s="5" t="s">
        <v>2090</v>
      </c>
      <c r="D74" s="5" t="s">
        <v>2091</v>
      </c>
      <c r="E74" s="5" t="s">
        <v>2092</v>
      </c>
      <c r="F74" s="3"/>
      <c r="G74" s="11">
        <v>73.0</v>
      </c>
      <c r="H74" s="10" t="str">
        <f>IFERROR(__xludf.DUMMYFUNCTION("GOOGLETRANSLATE(B74,""it"",""en"")"),"Which district has an eagle as its symbol?")</f>
        <v>Which district has an eagle as its symbol?</v>
      </c>
      <c r="I74" s="10" t="str">
        <f>IFERROR(__xludf.DUMMYFUNCTION("GOOGLETRANSLATE(C74,""it"",""en"")"),"A. Dragon B. Goose C. Eagle D. Panther")</f>
        <v>A. Dragon B. Goose C. Eagle D. Panther</v>
      </c>
      <c r="J74" s="10" t="str">
        <f>IFERROR(__xludf.DUMMYFUNCTION("GOOGLETRANSLATE(D74,""it"",""en"")"),"Eagle")</f>
        <v>Eagle</v>
      </c>
      <c r="K74" s="10" t="str">
        <f>IFERROR(__xludf.DUMMYFUNCTION("GOOGLETRANSLATE(E74,""it"",""en"")"),"The Eagle has an eagle as its symbol.")</f>
        <v>The Eagle has an eagle as its symbol.</v>
      </c>
    </row>
    <row r="75" ht="22.5" customHeight="1">
      <c r="A75" s="11">
        <v>74.0</v>
      </c>
      <c r="B75" s="5" t="s">
        <v>2093</v>
      </c>
      <c r="C75" s="5" t="s">
        <v>2094</v>
      </c>
      <c r="D75" s="5" t="s">
        <v>2095</v>
      </c>
      <c r="E75" s="5" t="s">
        <v>2096</v>
      </c>
      <c r="F75" s="3"/>
      <c r="G75" s="11">
        <v>74.0</v>
      </c>
      <c r="H75" s="10" t="str">
        <f>IFERROR(__xludf.DUMMYFUNCTION("GOOGLETRANSLATE(B75,""it"",""en"")"),"Who writes the anthem of a district?")</f>
        <v>Who writes the anthem of a district?</v>
      </c>
      <c r="I75" s="10" t="str">
        <f>IFERROR(__xludf.DUMMYFUNCTION("GOOGLETRANSLATE(C75,""it"",""en"")"),"A. The starter B. A member of the contrada C. A local artist D. A jockey")</f>
        <v>A. The starter B. A member of the contrada C. A local artist D. A jockey</v>
      </c>
      <c r="J75" s="10" t="str">
        <f>IFERROR(__xludf.DUMMYFUNCTION("GOOGLETRANSLATE(D75,""it"",""en"")"),"A member of the contrada")</f>
        <v>A member of the contrada</v>
      </c>
      <c r="K75" s="10" t="str">
        <f>IFERROR(__xludf.DUMMYFUNCTION("GOOGLETRANSLATE(E75,""it"",""en"")"),"The hymns are composed by members or supporters of the contrada.")</f>
        <v>The hymns are composed by members or supporters of the contrada.</v>
      </c>
    </row>
    <row r="76" ht="22.5" customHeight="1">
      <c r="A76" s="11">
        <v>75.0</v>
      </c>
      <c r="B76" s="5" t="s">
        <v>2097</v>
      </c>
      <c r="C76" s="5" t="s">
        <v>2098</v>
      </c>
      <c r="D76" s="5" t="s">
        <v>2099</v>
      </c>
      <c r="E76" s="5" t="s">
        <v>2100</v>
      </c>
      <c r="F76" s="3"/>
      <c r="G76" s="11">
        <v>75.0</v>
      </c>
      <c r="H76" s="10" t="str">
        <f>IFERROR(__xludf.DUMMYFUNCTION("GOOGLETRANSLATE(B76,""it"",""en"")"),"What do the harnessed horses represent during the historical parade?")</f>
        <v>What do the harnessed horses represent during the historical parade?</v>
      </c>
      <c r="I76" s="10" t="str">
        <f>IFERROR(__xludf.DUMMYFUNCTION("GOOGLETRANSLATE(C76,""it"",""en"")"),"A. The ancient medieval knights B. The strength of the districts C. A tribute to the Madonna D. The glory of the Palio")</f>
        <v>A. The ancient medieval knights B. The strength of the districts C. A tribute to the Madonna D. The glory of the Palio</v>
      </c>
      <c r="J76" s="10" t="str">
        <f>IFERROR(__xludf.DUMMYFUNCTION("GOOGLETRANSLATE(D76,""it"",""en"")"),"The ancient medieval knights")</f>
        <v>The ancient medieval knights</v>
      </c>
      <c r="K76" s="10" t="str">
        <f>IFERROR(__xludf.DUMMYFUNCTION("GOOGLETRANSLATE(E76,""it"",""en"")"),"The barded horses recall medieval knights.")</f>
        <v>The barded horses recall medieval knights.</v>
      </c>
    </row>
    <row r="77" ht="22.5" customHeight="1">
      <c r="A77" s="4">
        <v>76.0</v>
      </c>
      <c r="B77" s="5" t="s">
        <v>2101</v>
      </c>
      <c r="C77" s="5" t="s">
        <v>2102</v>
      </c>
      <c r="D77" s="5" t="s">
        <v>2103</v>
      </c>
      <c r="E77" s="5" t="s">
        <v>2104</v>
      </c>
      <c r="F77" s="3"/>
      <c r="G77" s="4">
        <v>76.0</v>
      </c>
      <c r="H77" s="10" t="str">
        <f>IFERROR(__xludf.DUMMYFUNCTION("GOOGLETRANSLATE(B77,""it"",""en"")"),"What is the role of the sign holder?")</f>
        <v>What is the role of the sign holder?</v>
      </c>
      <c r="I77" s="10" t="str">
        <f>IFERROR(__xludf.DUMMYFUNCTION("GOOGLETRANSLATE(C77,""it"",""en"")"),"A. Carry the banner B. Lead the historical procession C. Carry the contrada's banner D. Signal the start of the race")</f>
        <v>A. Carry the banner B. Lead the historical procession C. Carry the contrada's banner D. Signal the start of the race</v>
      </c>
      <c r="J77" s="10" t="str">
        <f>IFERROR(__xludf.DUMMYFUNCTION("GOOGLETRANSLATE(D77,""it"",""en"")"),"Carry the contrada's banner")</f>
        <v>Carry the contrada's banner</v>
      </c>
      <c r="K77" s="10" t="str">
        <f>IFERROR(__xludf.DUMMYFUNCTION("GOOGLETRANSLATE(E77,""it"",""en"")"),"The banner holder represents the contrada with its banner.")</f>
        <v>The banner holder represents the contrada with its banner.</v>
      </c>
    </row>
    <row r="78" ht="22.5" customHeight="1">
      <c r="A78" s="11">
        <v>77.0</v>
      </c>
      <c r="B78" s="5" t="s">
        <v>2105</v>
      </c>
      <c r="C78" s="5" t="s">
        <v>2106</v>
      </c>
      <c r="D78" s="5" t="s">
        <v>2107</v>
      </c>
      <c r="E78" s="5" t="s">
        <v>2108</v>
      </c>
      <c r="F78" s="3"/>
      <c r="G78" s="11">
        <v>77.0</v>
      </c>
      <c r="H78" s="10" t="str">
        <f>IFERROR(__xludf.DUMMYFUNCTION("GOOGLETRANSLATE(B78,""it"",""en"")"),"What does ""fare cappotto"" mean?")</f>
        <v>What does "fare cappotto" mean?</v>
      </c>
      <c r="I78" s="10" t="str">
        <f>IFERROR(__xludf.DUMMYFUNCTION("GOOGLETRANSLATE(C78,""it"",""en"")"),"A. Win two consecutive Palios B. Win without a jockey C. Win all the trials D. Win every year")</f>
        <v>A. Win two consecutive Palios B. Win without a jockey C. Win all the trials D. Win every year</v>
      </c>
      <c r="J78" s="10" t="str">
        <f>IFERROR(__xludf.DUMMYFUNCTION("GOOGLETRANSLATE(D78,""it"",""en"")"),"Win two consecutive Palios")</f>
        <v>Win two consecutive Palios</v>
      </c>
      <c r="K78" s="10" t="str">
        <f>IFERROR(__xludf.DUMMYFUNCTION("GOOGLETRANSLATE(E78,""it"",""en"")"),"A contrada pulls off a ""landmark"" by winning both Palios of the year.")</f>
        <v>A contrada pulls off a "landmark" by winning both Palios of the year.</v>
      </c>
    </row>
    <row r="79" ht="22.5" customHeight="1">
      <c r="A79" s="11">
        <v>78.0</v>
      </c>
      <c r="B79" s="5" t="s">
        <v>2109</v>
      </c>
      <c r="C79" s="5" t="s">
        <v>2110</v>
      </c>
      <c r="D79" s="5" t="s">
        <v>2111</v>
      </c>
      <c r="E79" s="5" t="s">
        <v>2112</v>
      </c>
      <c r="F79" s="3"/>
      <c r="G79" s="11">
        <v>78.0</v>
      </c>
      <c r="H79" s="10" t="str">
        <f>IFERROR(__xludf.DUMMYFUNCTION("GOOGLETRANSLATE(B79,""it"",""en"")"),"What do you call a winning horse without a jockey?")</f>
        <v>What do you call a winning horse without a jockey?</v>
      </c>
      <c r="I79" s="10" t="str">
        <f>IFERROR(__xludf.DUMMYFUNCTION("GOOGLETRANSLATE(C79,""it"",""en"")"),"A. Shaken B. Free C. Loose D. Abandoned")</f>
        <v>A. Shaken B. Free C. Loose D. Abandoned</v>
      </c>
      <c r="J79" s="10" t="str">
        <f>IFERROR(__xludf.DUMMYFUNCTION("GOOGLETRANSLATE(D79,""it"",""en"")"),"Shaken")</f>
        <v>Shaken</v>
      </c>
      <c r="K79" s="10" t="str">
        <f>IFERROR(__xludf.DUMMYFUNCTION("GOOGLETRANSLATE(E79,""it"",""en"")"),"The winning horse without a jockey is called ""scosso"".")</f>
        <v>The winning horse without a jockey is called "scosso".</v>
      </c>
    </row>
    <row r="80" ht="22.5" customHeight="1">
      <c r="A80" s="11">
        <v>79.0</v>
      </c>
      <c r="B80" s="5" t="s">
        <v>2113</v>
      </c>
      <c r="C80" s="5" t="s">
        <v>2114</v>
      </c>
      <c r="D80" s="5" t="s">
        <v>2115</v>
      </c>
      <c r="E80" s="5" t="s">
        <v>2116</v>
      </c>
      <c r="F80" s="3"/>
      <c r="G80" s="11">
        <v>79.0</v>
      </c>
      <c r="H80" s="10" t="str">
        <f>IFERROR(__xludf.DUMMYFUNCTION("GOOGLETRANSLATE(B80,""it"",""en"")"),"Which contrada has a panther as its symbol?")</f>
        <v>Which contrada has a panther as its symbol?</v>
      </c>
      <c r="I80" s="10" t="str">
        <f>IFERROR(__xludf.DUMMYFUNCTION("GOOGLETRANSLATE(C80,""it"",""en"")"),"A. Goose B. Rook C. Panther D. Porcupine")</f>
        <v>A. Goose B. Rook C. Panther D. Porcupine</v>
      </c>
      <c r="J80" s="10" t="str">
        <f>IFERROR(__xludf.DUMMYFUNCTION("GOOGLETRANSLATE(D80,""it"",""en"")"),"Panther")</f>
        <v>Panther</v>
      </c>
      <c r="K80" s="10" t="str">
        <f>IFERROR(__xludf.DUMMYFUNCTION("GOOGLETRANSLATE(E80,""it"",""en"")"),"The Panther has a panther as its symbol.")</f>
        <v>The Panther has a panther as its symbol.</v>
      </c>
    </row>
    <row r="81" ht="22.5" customHeight="1">
      <c r="A81" s="11">
        <v>80.0</v>
      </c>
      <c r="B81" s="5" t="s">
        <v>2117</v>
      </c>
      <c r="C81" s="5" t="s">
        <v>2118</v>
      </c>
      <c r="D81" s="5" t="s">
        <v>2119</v>
      </c>
      <c r="E81" s="5" t="s">
        <v>2120</v>
      </c>
      <c r="F81" s="3"/>
      <c r="G81" s="11">
        <v>80.0</v>
      </c>
      <c r="H81" s="10" t="str">
        <f>IFERROR(__xludf.DUMMYFUNCTION("GOOGLETRANSLATE(B81,""it"",""en"")"),"What does the crown worn during the historical parade symbolize?")</f>
        <v>What does the crown worn during the historical parade symbolize?</v>
      </c>
      <c r="I81" s="10" t="str">
        <f>IFERROR(__xludf.DUMMYFUNCTION("GOOGLETRANSLATE(C81,""it"",""en"")"),"A. The victory of the contrada B. The power of the prior C. The homage to the Madonna D. The glory of Siena")</f>
        <v>A. The victory of the contrada B. The power of the prior C. The homage to the Madonna D. The glory of Siena</v>
      </c>
      <c r="J81" s="10" t="str">
        <f>IFERROR(__xludf.DUMMYFUNCTION("GOOGLETRANSLATE(D81,""it"",""en"")"),"Homage to the Madonna")</f>
        <v>Homage to the Madonna</v>
      </c>
      <c r="K81" s="10" t="str">
        <f>IFERROR(__xludf.DUMMYFUNCTION("GOOGLETRANSLATE(E81,""it"",""en"")"),"The crown is a religious symbol.")</f>
        <v>The crown is a religious symbol.</v>
      </c>
    </row>
    <row r="82" ht="22.5" customHeight="1">
      <c r="A82" s="4">
        <v>81.0</v>
      </c>
      <c r="B82" s="5" t="s">
        <v>2121</v>
      </c>
      <c r="C82" s="5" t="s">
        <v>2122</v>
      </c>
      <c r="D82" s="5" t="s">
        <v>2123</v>
      </c>
      <c r="E82" s="5" t="s">
        <v>2124</v>
      </c>
      <c r="F82" s="3"/>
      <c r="G82" s="4">
        <v>81.0</v>
      </c>
      <c r="H82" s="10" t="str">
        <f>IFERROR(__xludf.DUMMYFUNCTION("GOOGLETRANSLATE(B82,""it"",""en"")"),"Which district has a porcupine as its symbol?")</f>
        <v>Which district has a porcupine as its symbol?</v>
      </c>
      <c r="I82" s="10" t="str">
        <f>IFERROR(__xludf.DUMMYFUNCTION("GOOGLETRANSLATE(C82,""it"",""en"")"),"A. Tower B. Porcupine C. Goose D. She-wolf")</f>
        <v>A. Tower B. Porcupine C. Goose D. She-wolf</v>
      </c>
      <c r="J82" s="10" t="str">
        <f>IFERROR(__xludf.DUMMYFUNCTION("GOOGLETRANSLATE(D82,""it"",""en"")"),"Porcupine")</f>
        <v>Porcupine</v>
      </c>
      <c r="K82" s="10" t="str">
        <f>IFERROR(__xludf.DUMMYFUNCTION("GOOGLETRANSLATE(E82,""it"",""en"")"),"The Porcupine has a porcupine as its symbol.")</f>
        <v>The Porcupine has a porcupine as its symbol.</v>
      </c>
    </row>
    <row r="83" ht="22.5" customHeight="1">
      <c r="A83" s="11">
        <v>82.0</v>
      </c>
      <c r="B83" s="5" t="s">
        <v>2125</v>
      </c>
      <c r="C83" s="5" t="s">
        <v>2126</v>
      </c>
      <c r="D83" s="5" t="s">
        <v>2127</v>
      </c>
      <c r="E83" s="5" t="s">
        <v>2128</v>
      </c>
      <c r="F83" s="3"/>
      <c r="G83" s="11">
        <v>82.0</v>
      </c>
      <c r="H83" s="10" t="str">
        <f>IFERROR(__xludf.DUMMYFUNCTION("GOOGLETRANSLATE(B83,""it"",""en"")"),"Who chooses the starter?")</f>
        <v>Who chooses the starter?</v>
      </c>
      <c r="I83" s="10" t="str">
        <f>IFERROR(__xludf.DUMMYFUNCTION("GOOGLETRANSLATE(C83,""it"",""en"")"),"A. The municipality B. The districts C. A citizens' committee D. The prior of the winning district")</f>
        <v>A. The municipality B. The districts C. A citizens' committee D. The prior of the winning district</v>
      </c>
      <c r="J83" s="10" t="str">
        <f>IFERROR(__xludf.DUMMYFUNCTION("GOOGLETRANSLATE(D83,""it"",""en"")"),"The municipality")</f>
        <v>The municipality</v>
      </c>
      <c r="K83" s="10" t="str">
        <f>IFERROR(__xludf.DUMMYFUNCTION("GOOGLETRANSLATE(E83,""it"",""en"")"),"The starter is chosen by the municipality.")</f>
        <v>The starter is chosen by the municipality.</v>
      </c>
    </row>
    <row r="84" ht="22.5" customHeight="1">
      <c r="A84" s="11">
        <v>83.0</v>
      </c>
      <c r="B84" s="5" t="s">
        <v>2129</v>
      </c>
      <c r="C84" s="5" t="s">
        <v>2130</v>
      </c>
      <c r="D84" s="5" t="s">
        <v>2131</v>
      </c>
      <c r="E84" s="5" t="s">
        <v>2132</v>
      </c>
      <c r="F84" s="3"/>
      <c r="G84" s="11">
        <v>83.0</v>
      </c>
      <c r="H84" s="10" t="str">
        <f>IFERROR(__xludf.DUMMYFUNCTION("GOOGLETRANSLATE(B84,""it"",""en"")"),"What do the torches represent during the historical parade?")</f>
        <v>What do the torches represent during the historical parade?</v>
      </c>
      <c r="I84" s="10" t="str">
        <f>IFERROR(__xludf.DUMMYFUNCTION("GOOGLETRANSLATE(C84,""it"",""en"")"),"A. Peace B. Night celebrations C. The light of the Madonna D. The guide through the districts")</f>
        <v>A. Peace B. Night celebrations C. The light of the Madonna D. The guide through the districts</v>
      </c>
      <c r="J84" s="10" t="str">
        <f>IFERROR(__xludf.DUMMYFUNCTION("GOOGLETRANSLATE(D84,""it"",""en"")"),"The light of the Madonna")</f>
        <v>The light of the Madonna</v>
      </c>
      <c r="K84" s="10" t="str">
        <f>IFERROR(__xludf.DUMMYFUNCTION("GOOGLETRANSLATE(E84,""it"",""en"")"),"The torches symbolize devotion to the Madonna.")</f>
        <v>The torches symbolize devotion to the Madonna.</v>
      </c>
    </row>
    <row r="85" ht="22.5" customHeight="1">
      <c r="A85" s="11">
        <v>84.0</v>
      </c>
      <c r="B85" s="5" t="s">
        <v>2133</v>
      </c>
      <c r="C85" s="5" t="s">
        <v>2134</v>
      </c>
      <c r="D85" s="5" t="s">
        <v>2135</v>
      </c>
      <c r="E85" s="5" t="s">
        <v>2136</v>
      </c>
      <c r="F85" s="3"/>
      <c r="G85" s="11">
        <v>84.0</v>
      </c>
      <c r="H85" s="10" t="str">
        <f>IFERROR(__xludf.DUMMYFUNCTION("GOOGLETRANSLATE(B85,""it"",""en"")"),"What happens if two contradas get in each other's way during a race?")</f>
        <v>What happens if two contradas get in each other's way during a race?</v>
      </c>
      <c r="I85" s="10" t="str">
        <f>IFERROR(__xludf.DUMMYFUNCTION("GOOGLETRANSLATE(C85,""it"",""en"")"),"A. Both are disqualified B. A penalty is given C. The first to arrive wins D. The starter intervenes")</f>
        <v>A. Both are disqualified B. A penalty is given C. The first to arrive wins D. The starter intervenes</v>
      </c>
      <c r="J85" s="10" t="str">
        <f>IFERROR(__xludf.DUMMYFUNCTION("GOOGLETRANSLATE(D85,""it"",""en"")"),"A penalty is awarded")</f>
        <v>A penalty is awarded</v>
      </c>
      <c r="K85" s="10" t="str">
        <f>IFERROR(__xludf.DUMMYFUNCTION("GOOGLETRANSLATE(E85,""it"",""en"")"),"Interference is punishable by penalty.")</f>
        <v>Interference is punishable by penalty.</v>
      </c>
    </row>
    <row r="86" ht="22.5" customHeight="1">
      <c r="A86" s="11">
        <v>85.0</v>
      </c>
      <c r="B86" s="5" t="s">
        <v>2137</v>
      </c>
      <c r="C86" s="5" t="s">
        <v>2138</v>
      </c>
      <c r="D86" s="5" t="s">
        <v>2139</v>
      </c>
      <c r="E86" s="5" t="s">
        <v>2140</v>
      </c>
      <c r="F86" s="3"/>
      <c r="G86" s="11">
        <v>85.0</v>
      </c>
      <c r="H86" s="10" t="str">
        <f>IFERROR(__xludf.DUMMYFUNCTION("GOOGLETRANSLATE(B86,""it"",""en"")"),"What is the meaning of ""career""?")</f>
        <v>What is the meaning of "career"?</v>
      </c>
      <c r="I86" s="10" t="str">
        <f>IFERROR(__xludf.DUMMYFUNCTION("GOOGLETRANSLATE(C86,""it"",""en"")"),"A. The race itself B. The history of the contrada C. The banner D. The victory of the shaken horse")</f>
        <v>A. The race itself B. The history of the contrada C. The banner D. The victory of the shaken horse</v>
      </c>
      <c r="J86" s="10" t="str">
        <f>IFERROR(__xludf.DUMMYFUNCTION("GOOGLETRANSLATE(D86,""it"",""en"")"),"The race itself")</f>
        <v>The race itself</v>
      </c>
      <c r="K86" s="10" t="str">
        <f>IFERROR(__xludf.DUMMYFUNCTION("GOOGLETRANSLATE(E86,""it"",""en"")"),"The ""carriera"" is the term that indicates the Palio race.")</f>
        <v>The "carriera" is the term that indicates the Palio race.</v>
      </c>
    </row>
    <row r="87" ht="22.5" customHeight="1">
      <c r="A87" s="4">
        <v>86.0</v>
      </c>
      <c r="B87" s="5" t="s">
        <v>2141</v>
      </c>
      <c r="C87" s="5" t="s">
        <v>2142</v>
      </c>
      <c r="D87" s="5" t="s">
        <v>2143</v>
      </c>
      <c r="E87" s="5" t="s">
        <v>2144</v>
      </c>
      <c r="F87" s="3"/>
      <c r="G87" s="4">
        <v>86.0</v>
      </c>
      <c r="H87" s="10" t="str">
        <f>IFERROR(__xludf.DUMMYFUNCTION("GOOGLETRANSLATE(B87,""it"",""en"")"),"Who assists the jockey during preparation?")</f>
        <v>Who assists the jockey during preparation?</v>
      </c>
      <c r="I87" s="10" t="str">
        <f>IFERROR(__xludf.DUMMYFUNCTION("GOOGLETRANSLATE(C87,""it"",""en"")"),"A. The prior B. The captain of the district C. The starter D. A fellow jockey")</f>
        <v>A. The prior B. The captain of the district C. The starter D. A fellow jockey</v>
      </c>
      <c r="J87" s="10" t="str">
        <f>IFERROR(__xludf.DUMMYFUNCTION("GOOGLETRANSLATE(D87,""it"",""en"")"),"The captain of the district")</f>
        <v>The captain of the district</v>
      </c>
      <c r="K87" s="10" t="str">
        <f>IFERROR(__xludf.DUMMYFUNCTION("GOOGLETRANSLATE(E87,""it"",""en"")"),"The captain provides strategic and logistical support.")</f>
        <v>The captain provides strategic and logistical support.</v>
      </c>
    </row>
    <row r="88" ht="22.5" customHeight="1">
      <c r="A88" s="11">
        <v>87.0</v>
      </c>
      <c r="B88" s="5" t="s">
        <v>2145</v>
      </c>
      <c r="C88" s="5" t="s">
        <v>2146</v>
      </c>
      <c r="D88" s="5" t="s">
        <v>2147</v>
      </c>
      <c r="E88" s="5" t="s">
        <v>2148</v>
      </c>
      <c r="F88" s="3"/>
      <c r="G88" s="11">
        <v>87.0</v>
      </c>
      <c r="H88" s="10" t="str">
        <f>IFERROR(__xludf.DUMMYFUNCTION("GOOGLETRANSLATE(B88,""it"",""en"")"),"What is the name of the narrowest stretch of Piazza del Campo?")</f>
        <v>What is the name of the narrowest stretch of Piazza del Campo?</v>
      </c>
      <c r="I88" s="10" t="str">
        <f>IFERROR(__xludf.DUMMYFUNCTION("GOOGLETRANSLATE(C88,""it"",""en"")"),"A. San Martino B. Casato C. Mattarella D. Costarella di Fontebranda")</f>
        <v>A. San Martino B. Casato C. Mattarella D. Costarella di Fontebranda</v>
      </c>
      <c r="J88" s="10" t="str">
        <f>IFERROR(__xludf.DUMMYFUNCTION("GOOGLETRANSLATE(D88,""it"",""en"")"),"Saint Martin")</f>
        <v>Saint Martin</v>
      </c>
      <c r="K88" s="10" t="str">
        <f>IFERROR(__xludf.DUMMYFUNCTION("GOOGLETRANSLATE(E88,""it"",""en"")"),"The San Martino curve is famous for its difficulty.")</f>
        <v>The San Martino curve is famous for its difficulty.</v>
      </c>
    </row>
    <row r="89" ht="22.5" customHeight="1">
      <c r="A89" s="11">
        <v>88.0</v>
      </c>
      <c r="B89" s="5" t="s">
        <v>2149</v>
      </c>
      <c r="C89" s="5" t="s">
        <v>2150</v>
      </c>
      <c r="D89" s="5" t="s">
        <v>2151</v>
      </c>
      <c r="E89" s="5" t="s">
        <v>2152</v>
      </c>
      <c r="F89" s="3"/>
      <c r="G89" s="11">
        <v>88.0</v>
      </c>
      <c r="H89" s="10" t="str">
        <f>IFERROR(__xludf.DUMMYFUNCTION("GOOGLETRANSLATE(B89,""it"",""en"")"),"What is the meaning of the term ""barbaresco""?")</f>
        <v>What is the meaning of the term "barbaresco"?</v>
      </c>
      <c r="I89" s="10" t="str">
        <f>IFERROR(__xludf.DUMMYFUNCTION("GOOGLETRANSLATE(C89,""it"",""en"")"),"A. The person who takes care of the horse B. A representative of the contrada C. The reserve jockey D. The starter")</f>
        <v>A. The person who takes care of the horse B. A representative of the contrada C. The reserve jockey D. The starter</v>
      </c>
      <c r="J89" s="10" t="str">
        <f>IFERROR(__xludf.DUMMYFUNCTION("GOOGLETRANSLATE(D89,""it"",""en"")"),"The one who takes care of the horse")</f>
        <v>The one who takes care of the horse</v>
      </c>
      <c r="K89" s="10" t="str">
        <f>IFERROR(__xludf.DUMMYFUNCTION("GOOGLETRANSLATE(E89,""it"",""en"")"),"The Barbaresco is the guardian of the contrada's horse.")</f>
        <v>The Barbaresco is the guardian of the contrada's horse.</v>
      </c>
    </row>
    <row r="90" ht="22.5" customHeight="1">
      <c r="A90" s="11">
        <v>89.0</v>
      </c>
      <c r="B90" s="5" t="s">
        <v>2153</v>
      </c>
      <c r="C90" s="5" t="s">
        <v>2154</v>
      </c>
      <c r="D90" s="5" t="s">
        <v>2155</v>
      </c>
      <c r="E90" s="5" t="s">
        <v>2156</v>
      </c>
      <c r="F90" s="3"/>
      <c r="G90" s="11">
        <v>89.0</v>
      </c>
      <c r="H90" s="10" t="str">
        <f>IFERROR(__xludf.DUMMYFUNCTION("GOOGLETRANSLATE(B90,""it"",""en"")"),"What happens if a horse is deemed unfit?")</f>
        <v>What happens if a horse is deemed unfit?</v>
      </c>
      <c r="I90" s="10" t="str">
        <f>IFERROR(__xludf.DUMMYFUNCTION("GOOGLETRANSLATE(C90,""it"",""en"")"),"A. He is replaced B. He is disqualified C. He is assigned to another contrada D. He cannot participate in the Palio")</f>
        <v>A. He is replaced B. He is disqualified C. He is assigned to another contrada D. He cannot participate in the Palio</v>
      </c>
      <c r="J90" s="10" t="str">
        <f>IFERROR(__xludf.DUMMYFUNCTION("GOOGLETRANSLATE(D90,""it"",""en"")"),"It is replaced")</f>
        <v>It is replaced</v>
      </c>
      <c r="K90" s="10" t="str">
        <f>IFERROR(__xludf.DUMMYFUNCTION("GOOGLETRANSLATE(E90,""it"",""en"")"),"An unfit horse is replaced before the race.")</f>
        <v>An unfit horse is replaced before the race.</v>
      </c>
    </row>
    <row r="91" ht="22.5" customHeight="1">
      <c r="A91" s="11">
        <v>90.0</v>
      </c>
      <c r="B91" s="5" t="s">
        <v>2157</v>
      </c>
      <c r="C91" s="5" t="s">
        <v>25</v>
      </c>
      <c r="D91" s="4">
        <v>6.0</v>
      </c>
      <c r="E91" s="5" t="s">
        <v>2158</v>
      </c>
      <c r="F91" s="3"/>
      <c r="G91" s="11">
        <v>90.0</v>
      </c>
      <c r="H91" s="10" t="str">
        <f>IFERROR(__xludf.DUMMYFUNCTION("GOOGLETRANSLATE(B91,""it"",""en"")"),"How many trials are held before the Palio?")</f>
        <v>How many trials are held before the Palio?</v>
      </c>
      <c r="I91" s="10" t="str">
        <f>IFERROR(__xludf.DUMMYFUNCTION("GOOGLETRANSLATE(C91,""it"",""en"")"),"A. 2 B. 3 C. 4 D. 6")</f>
        <v>A. 2 B. 3 C. 4 D. 6</v>
      </c>
      <c r="J91" s="10" t="str">
        <f>IFERROR(__xludf.DUMMYFUNCTION("GOOGLETRANSLATE(D91,""it"",""en"")"),"6")</f>
        <v>6</v>
      </c>
      <c r="K91" s="10" t="str">
        <f>IFERROR(__xludf.DUMMYFUNCTION("GOOGLETRANSLATE(E91,""it"",""en"")"),"Six official trials take place before the Palio.")</f>
        <v>Six official trials take place before the Palio.</v>
      </c>
    </row>
    <row r="92" ht="22.5" customHeight="1">
      <c r="A92" s="4">
        <v>91.0</v>
      </c>
      <c r="B92" s="5" t="s">
        <v>2159</v>
      </c>
      <c r="C92" s="5" t="s">
        <v>2160</v>
      </c>
      <c r="D92" s="5" t="s">
        <v>2161</v>
      </c>
      <c r="E92" s="5" t="s">
        <v>2162</v>
      </c>
      <c r="F92" s="3"/>
      <c r="G92" s="4">
        <v>91.0</v>
      </c>
      <c r="H92" s="10" t="str">
        <f>IFERROR(__xludf.DUMMYFUNCTION("GOOGLETRANSLATE(B92,""it"",""en"")"),"Who delivers the banner to the winning contrada?")</f>
        <v>Who delivers the banner to the winning contrada?</v>
      </c>
      <c r="I92" s="10" t="str">
        <f>IFERROR(__xludf.DUMMYFUNCTION("GOOGLETRANSLATE(C92,""it"",""en"")"),"A. The mayor B. The starter C. The captain of the district D. The prior")</f>
        <v>A. The mayor B. The starter C. The captain of the district D. The prior</v>
      </c>
      <c r="J92" s="10" t="str">
        <f>IFERROR(__xludf.DUMMYFUNCTION("GOOGLETRANSLATE(D92,""it"",""en"")"),"The mayor")</f>
        <v>The mayor</v>
      </c>
      <c r="K92" s="10" t="str">
        <f>IFERROR(__xludf.DUMMYFUNCTION("GOOGLETRANSLATE(E92,""it"",""en"")"),"The mayor of Siena hands over the banner.")</f>
        <v>The mayor of Siena hands over the banner.</v>
      </c>
    </row>
    <row r="93" ht="22.5" customHeight="1">
      <c r="A93" s="11">
        <v>92.0</v>
      </c>
      <c r="B93" s="5" t="s">
        <v>2163</v>
      </c>
      <c r="C93" s="5" t="s">
        <v>2164</v>
      </c>
      <c r="D93" s="5" t="s">
        <v>2165</v>
      </c>
      <c r="E93" s="5" t="s">
        <v>2166</v>
      </c>
      <c r="F93" s="3"/>
      <c r="G93" s="11">
        <v>92.0</v>
      </c>
      <c r="H93" s="10" t="str">
        <f>IFERROR(__xludf.DUMMYFUNCTION("GOOGLETRANSLATE(B93,""it"",""en"")"),"What do the colors of the banner represent?")</f>
        <v>What do the colors of the banner represent?</v>
      </c>
      <c r="I93" s="10" t="str">
        <f>IFERROR(__xludf.DUMMYFUNCTION("GOOGLETRANSLATE(C93,""it"",""en"")"),"A. The participating districts B. The religious celebration C. The victory of the Palio D. Local art")</f>
        <v>A. The participating districts B. The religious celebration C. The victory of the Palio D. Local art</v>
      </c>
      <c r="J93" s="10" t="str">
        <f>IFERROR(__xludf.DUMMYFUNCTION("GOOGLETRANSLATE(D93,""it"",""en"")"),"The religious celebration")</f>
        <v>The religious celebration</v>
      </c>
      <c r="K93" s="10" t="str">
        <f>IFERROR(__xludf.DUMMYFUNCTION("GOOGLETRANSLATE(E93,""it"",""en"")"),"The banner symbolizes devotion to the Madonna.")</f>
        <v>The banner symbolizes devotion to the Madonna.</v>
      </c>
    </row>
    <row r="94" ht="22.5" customHeight="1">
      <c r="A94" s="11">
        <v>93.0</v>
      </c>
      <c r="B94" s="5" t="s">
        <v>2167</v>
      </c>
      <c r="C94" s="5" t="s">
        <v>2168</v>
      </c>
      <c r="D94" s="5" t="s">
        <v>1884</v>
      </c>
      <c r="E94" s="5" t="s">
        <v>2169</v>
      </c>
      <c r="F94" s="3"/>
      <c r="G94" s="11">
        <v>93.0</v>
      </c>
      <c r="H94" s="10" t="str">
        <f>IFERROR(__xludf.DUMMYFUNCTION("GOOGLETRANSLATE(B94,""it"",""en"")"),"What happens during the ""trial""?")</f>
        <v>What happens during the "trial"?</v>
      </c>
      <c r="I94" s="10" t="str">
        <f>IFERROR(__xludf.DUMMYFUNCTION("GOOGLETRANSLATE(C94,""it"",""en"")"),"A. The awarding of the banner B. A dress rehearsal C. The opening ceremony D. The choice of the starter")</f>
        <v>A. The awarding of the banner B. A dress rehearsal C. The opening ceremony D. The choice of the starter</v>
      </c>
      <c r="J94" s="10" t="str">
        <f>IFERROR(__xludf.DUMMYFUNCTION("GOOGLETRANSLATE(D94,""it"",""en"")"),"A dress rehearsal")</f>
        <v>A dress rehearsal</v>
      </c>
      <c r="K94" s="10" t="str">
        <f>IFERROR(__xludf.DUMMYFUNCTION("GOOGLETRANSLATE(E94,""it"",""en"")"),"The provaccia is a test before the official race.")</f>
        <v>The provaccia is a test before the official race.</v>
      </c>
    </row>
    <row r="95" ht="22.5" customHeight="1">
      <c r="A95" s="11">
        <v>94.0</v>
      </c>
      <c r="B95" s="5" t="s">
        <v>2170</v>
      </c>
      <c r="C95" s="5" t="s">
        <v>2171</v>
      </c>
      <c r="D95" s="5" t="s">
        <v>2172</v>
      </c>
      <c r="E95" s="5" t="s">
        <v>2173</v>
      </c>
      <c r="F95" s="3"/>
      <c r="G95" s="11">
        <v>94.0</v>
      </c>
      <c r="H95" s="10" t="str">
        <f>IFERROR(__xludf.DUMMYFUNCTION("GOOGLETRANSLATE(B95,""it"",""en"")"),"What is the name of the youngest jockey to ever win the Palio?")</f>
        <v>What is the name of the youngest jockey to ever win the Palio?</v>
      </c>
      <c r="I95" s="10" t="str">
        <f>IFERROR(__xludf.DUMMYFUNCTION("GOOGLETRANSLATE(C95,""it"",""en"")"),"A. The Mossiere B. The Barbaresco C. The Virgin D. The Novice")</f>
        <v>A. The Mossiere B. The Barbaresco C. The Virgin D. The Novice</v>
      </c>
      <c r="J95" s="10" t="str">
        <f>IFERROR(__xludf.DUMMYFUNCTION("GOOGLETRANSLATE(D95,""it"",""en"")"),"The Novice")</f>
        <v>The Novice</v>
      </c>
      <c r="K95" s="10" t="str">
        <f>IFERROR(__xludf.DUMMYFUNCTION("GOOGLETRANSLATE(E95,""it"",""en"")"),"The youngest jockey is known as the ""Novice"".")</f>
        <v>The youngest jockey is known as the "Novice".</v>
      </c>
    </row>
    <row r="96" ht="22.5" customHeight="1">
      <c r="A96" s="11">
        <v>95.0</v>
      </c>
      <c r="B96" s="5" t="s">
        <v>2174</v>
      </c>
      <c r="C96" s="5" t="s">
        <v>2175</v>
      </c>
      <c r="D96" s="5" t="s">
        <v>2176</v>
      </c>
      <c r="E96" s="5" t="s">
        <v>2177</v>
      </c>
      <c r="F96" s="3"/>
      <c r="G96" s="11">
        <v>95.0</v>
      </c>
      <c r="H96" s="10" t="str">
        <f>IFERROR(__xludf.DUMMYFUNCTION("GOOGLETRANSLATE(B96,""it"",""en"")"),"What is the most dangerous part of the Palio route?")</f>
        <v>What is the most dangerous part of the Palio route?</v>
      </c>
      <c r="I96" s="10" t="str">
        <f>IFERROR(__xludf.DUMMYFUNCTION("GOOGLETRANSLATE(C96,""it"",""en"")"),"A. The San Martino curve B. The start C. The final straight D. The Casato curve")</f>
        <v>A. The San Martino curve B. The start C. The final straight D. The Casato curve</v>
      </c>
      <c r="J96" s="10" t="str">
        <f>IFERROR(__xludf.DUMMYFUNCTION("GOOGLETRANSLATE(D96,""it"",""en"")"),"The San Martino curve")</f>
        <v>The San Martino curve</v>
      </c>
      <c r="K96" s="10" t="str">
        <f>IFERROR(__xludf.DUMMYFUNCTION("GOOGLETRANSLATE(E96,""it"",""en"")"),"The San Martino curve is known for its danger.")</f>
        <v>The San Martino curve is known for its danger.</v>
      </c>
    </row>
    <row r="97" ht="22.5" customHeight="1">
      <c r="A97" s="4">
        <v>96.0</v>
      </c>
      <c r="B97" s="5" t="s">
        <v>2178</v>
      </c>
      <c r="C97" s="5" t="s">
        <v>2179</v>
      </c>
      <c r="D97" s="5" t="s">
        <v>2180</v>
      </c>
      <c r="E97" s="5" t="s">
        <v>2181</v>
      </c>
      <c r="F97" s="3"/>
      <c r="G97" s="4">
        <v>96.0</v>
      </c>
      <c r="H97" s="10" t="str">
        <f>IFERROR(__xludf.DUMMYFUNCTION("GOOGLETRANSLATE(B97,""it"",""en"")"),"What does ""fare melina"" mean during the Palio?")</f>
        <v>What does "fare melina" mean during the Palio?</v>
      </c>
      <c r="I97" s="10" t="str">
        <f>IFERROR(__xludf.DUMMYFUNCTION("GOOGLETRANSLATE(C97,""it"",""en"")"),"A. Obstructing opponents B. Intentionally slowing down C. Avoiding the race D. Pushing the horse to the maximum")</f>
        <v>A. Obstructing opponents B. Intentionally slowing down C. Avoiding the race D. Pushing the horse to the maximum</v>
      </c>
      <c r="J97" s="10" t="str">
        <f>IFERROR(__xludf.DUMMYFUNCTION("GOOGLETRANSLATE(D97,""it"",""en"")"),"Slow down intentionally")</f>
        <v>Slow down intentionally</v>
      </c>
      <c r="K97" s="10" t="str">
        <f>IFERROR(__xludf.DUMMYFUNCTION("GOOGLETRANSLATE(E97,""it"",""en"")"),"Playing for time means slowing down for the sake of a strategy.")</f>
        <v>Playing for time means slowing down for the sake of a strategy.</v>
      </c>
    </row>
    <row r="98" ht="22.5" customHeight="1">
      <c r="A98" s="11">
        <v>97.0</v>
      </c>
      <c r="B98" s="5" t="s">
        <v>2182</v>
      </c>
      <c r="C98" s="5" t="s">
        <v>2183</v>
      </c>
      <c r="D98" s="5" t="s">
        <v>2184</v>
      </c>
      <c r="E98" s="5" t="s">
        <v>2185</v>
      </c>
      <c r="F98" s="3"/>
      <c r="G98" s="11">
        <v>97.0</v>
      </c>
      <c r="H98" s="10" t="str">
        <f>IFERROR(__xludf.DUMMYFUNCTION("GOOGLETRANSLATE(B98,""it"",""en"")"),"Which district has a she-wolf as its symbol?")</f>
        <v>Which district has a she-wolf as its symbol?</v>
      </c>
      <c r="I98" s="10" t="str">
        <f>IFERROR(__xludf.DUMMYFUNCTION("GOOGLETRANSLATE(C98,""it"",""en"")"),"A. Goose B. Wolf C. Dragon D. Giraffe")</f>
        <v>A. Goose B. Wolf C. Dragon D. Giraffe</v>
      </c>
      <c r="J98" s="10" t="str">
        <f>IFERROR(__xludf.DUMMYFUNCTION("GOOGLETRANSLATE(D98,""it"",""en"")"),"She-wolf")</f>
        <v>She-wolf</v>
      </c>
      <c r="K98" s="10" t="str">
        <f>IFERROR(__xludf.DUMMYFUNCTION("GOOGLETRANSLATE(E98,""it"",""en"")"),"The Wolf has a she-wolf as its symbol.")</f>
        <v>The Wolf has a she-wolf as its symbol.</v>
      </c>
    </row>
    <row r="99" ht="22.5" customHeight="1">
      <c r="A99" s="11">
        <v>98.0</v>
      </c>
      <c r="B99" s="5" t="s">
        <v>2186</v>
      </c>
      <c r="C99" s="5" t="s">
        <v>2187</v>
      </c>
      <c r="D99" s="5" t="s">
        <v>2188</v>
      </c>
      <c r="E99" s="5" t="s">
        <v>2189</v>
      </c>
      <c r="F99" s="3"/>
      <c r="G99" s="11">
        <v>98.0</v>
      </c>
      <c r="H99" s="10" t="str">
        <f>IFERROR(__xludf.DUMMYFUNCTION("GOOGLETRANSLATE(B99,""it"",""en"")"),"What happens to the winning horse?")</f>
        <v>What happens to the winning horse?</v>
      </c>
      <c r="I99" s="10" t="str">
        <f>IFERROR(__xludf.DUMMYFUNCTION("GOOGLETRANSLATE(C99,""it"",""en"")"),"A. He is awarded with the banner B. He is celebrated in the church C. He is freed in the square D. He is hosted by the prior")</f>
        <v>A. He is awarded with the banner B. He is celebrated in the church C. He is freed in the square D. He is hosted by the prior</v>
      </c>
      <c r="J99" s="10" t="str">
        <f>IFERROR(__xludf.DUMMYFUNCTION("GOOGLETRANSLATE(D99,""it"",""en"")"),"It is celebrated in church")</f>
        <v>It is celebrated in church</v>
      </c>
      <c r="K99" s="10" t="str">
        <f>IFERROR(__xludf.DUMMYFUNCTION("GOOGLETRANSLATE(E99,""it"",""en"")"),"The winning horse is blessed in church.")</f>
        <v>The winning horse is blessed in church.</v>
      </c>
    </row>
    <row r="100" ht="22.5" customHeight="1">
      <c r="A100" s="11">
        <v>99.0</v>
      </c>
      <c r="B100" s="5" t="s">
        <v>2190</v>
      </c>
      <c r="C100" s="5" t="s">
        <v>2191</v>
      </c>
      <c r="D100" s="5" t="s">
        <v>2192</v>
      </c>
      <c r="E100" s="5" t="s">
        <v>2193</v>
      </c>
      <c r="F100" s="3"/>
      <c r="G100" s="11">
        <v>99.0</v>
      </c>
      <c r="H100" s="10" t="str">
        <f>IFERROR(__xludf.DUMMYFUNCTION("GOOGLETRANSLATE(B100,""it"",""en"")"),"Who is responsible for the contrada's tactical decisions?")</f>
        <v>Who is responsible for the contrada's tactical decisions?</v>
      </c>
      <c r="I100" s="10" t="str">
        <f>IFERROR(__xludf.DUMMYFUNCTION("GOOGLETRANSLATE(C100,""it"",""en"")"),"A. The prior B. The captain C. The starter D. The jockey")</f>
        <v>A. The prior B. The captain C. The starter D. The jockey</v>
      </c>
      <c r="J100" s="10" t="str">
        <f>IFERROR(__xludf.DUMMYFUNCTION("GOOGLETRANSLATE(D100,""it"",""en"")"),"The Captain")</f>
        <v>The Captain</v>
      </c>
      <c r="K100" s="10" t="str">
        <f>IFERROR(__xludf.DUMMYFUNCTION("GOOGLETRANSLATE(E100,""it"",""en"")"),"The captain leads the contrada's tactical choices.")</f>
        <v>The captain leads the contrada's tactical choices.</v>
      </c>
    </row>
    <row r="101" ht="22.5" customHeight="1">
      <c r="A101" s="11">
        <v>100.0</v>
      </c>
      <c r="B101" s="5" t="s">
        <v>2194</v>
      </c>
      <c r="C101" s="5" t="s">
        <v>2195</v>
      </c>
      <c r="D101" s="5" t="s">
        <v>2196</v>
      </c>
      <c r="E101" s="5" t="s">
        <v>2197</v>
      </c>
      <c r="F101" s="3"/>
      <c r="G101" s="11">
        <v>100.0</v>
      </c>
      <c r="H101" s="10" t="str">
        <f>IFERROR(__xludf.DUMMYFUNCTION("GOOGLETRANSLATE(B101,""it"",""en"")"),"What do the medieval costumes of the historical parade symbolize?")</f>
        <v>What do the medieval costumes of the historical parade symbolize?</v>
      </c>
      <c r="I101" s="10" t="str">
        <f>IFERROR(__xludf.DUMMYFUNCTION("GOOGLETRANSLATE(C101,""it"",""en"")"),"A. The wealth of the district B. The history of Siena C. The military tradition D. The religious faith")</f>
        <v>A. The wealth of the district B. The history of Siena C. The military tradition D. The religious faith</v>
      </c>
      <c r="J101" s="10" t="str">
        <f>IFERROR(__xludf.DUMMYFUNCTION("GOOGLETRANSLATE(D101,""it"",""en"")"),"The history of Siena")</f>
        <v>The history of Siena</v>
      </c>
      <c r="K101" s="10" t="str">
        <f>IFERROR(__xludf.DUMMYFUNCTION("GOOGLETRANSLATE(E101,""it"",""en"")"),"The medieval costumes recall the historical origins of the city.")</f>
        <v>The medieval costumes recall the historical origins of the city.</v>
      </c>
    </row>
    <row r="102" ht="22.5" customHeight="1">
      <c r="A102" s="4">
        <v>101.0</v>
      </c>
      <c r="B102" s="5" t="s">
        <v>2198</v>
      </c>
      <c r="C102" s="5" t="s">
        <v>2199</v>
      </c>
      <c r="D102" s="5" t="s">
        <v>1872</v>
      </c>
      <c r="E102" s="5" t="s">
        <v>2200</v>
      </c>
      <c r="F102" s="3"/>
      <c r="G102" s="4">
        <v>101.0</v>
      </c>
      <c r="H102" s="10" t="str">
        <f>IFERROR(__xludf.DUMMYFUNCTION("GOOGLETRANSLATE(B102,""it"",""en"")"),"Which district has a goose as its symbol?")</f>
        <v>Which district has a goose as its symbol?</v>
      </c>
      <c r="I102" s="10" t="str">
        <f>IFERROR(__xludf.DUMMYFUNCTION("GOOGLETRANSLATE(C102,""it"",""en"")"),"A. Dragon B. Goose C. Porcupine D. She-wolf")</f>
        <v>A. Dragon B. Goose C. Porcupine D. She-wolf</v>
      </c>
      <c r="J102" s="10" t="str">
        <f>IFERROR(__xludf.DUMMYFUNCTION("GOOGLETRANSLATE(D102,""it"",""en"")"),"Goose")</f>
        <v>Goose</v>
      </c>
      <c r="K102" s="10" t="str">
        <f>IFERROR(__xludf.DUMMYFUNCTION("GOOGLETRANSLATE(E102,""it"",""en"")"),"The Goose has a goose as its symbol.")</f>
        <v>The Goose has a goose as its symbol.</v>
      </c>
    </row>
    <row r="103" ht="22.5" customHeight="1">
      <c r="A103" s="11">
        <v>102.0</v>
      </c>
      <c r="B103" s="5" t="s">
        <v>2201</v>
      </c>
      <c r="C103" s="5" t="s">
        <v>2202</v>
      </c>
      <c r="D103" s="5" t="s">
        <v>2203</v>
      </c>
      <c r="E103" s="5" t="s">
        <v>2204</v>
      </c>
      <c r="F103" s="3"/>
      <c r="G103" s="11">
        <v>102.0</v>
      </c>
      <c r="H103" s="10" t="str">
        <f>IFERROR(__xludf.DUMMYFUNCTION("GOOGLETRANSLATE(B103,""it"",""en"")"),"What happens if the jockey falls during the race?")</f>
        <v>What happens if the jockey falls during the race?</v>
      </c>
      <c r="I103" s="10" t="str">
        <f>IFERROR(__xludf.DUMMYFUNCTION("GOOGLETRANSLATE(C103,""it"",""en"")"),"A. The contrada loses B. The horse continues to run C. It is disqualified D. The race stops")</f>
        <v>A. The contrada loses B. The horse continues to run C. It is disqualified D. The race stops</v>
      </c>
      <c r="J103" s="10" t="str">
        <f>IFERROR(__xludf.DUMMYFUNCTION("GOOGLETRANSLATE(D103,""it"",""en"")"),"The horse keeps running")</f>
        <v>The horse keeps running</v>
      </c>
      <c r="K103" s="10" t="str">
        <f>IFERROR(__xludf.DUMMYFUNCTION("GOOGLETRANSLATE(E103,""it"",""en"")"),"The horse can win even without a jockey.")</f>
        <v>The horse can win even without a jockey.</v>
      </c>
    </row>
    <row r="104" ht="22.5" customHeight="1">
      <c r="A104" s="11">
        <v>103.0</v>
      </c>
      <c r="B104" s="5" t="s">
        <v>2205</v>
      </c>
      <c r="C104" s="5" t="s">
        <v>2206</v>
      </c>
      <c r="D104" s="5" t="s">
        <v>2207</v>
      </c>
      <c r="E104" s="5" t="s">
        <v>2208</v>
      </c>
      <c r="F104" s="3"/>
      <c r="G104" s="11">
        <v>103.0</v>
      </c>
      <c r="H104" s="10" t="str">
        <f>IFERROR(__xludf.DUMMYFUNCTION("GOOGLETRANSLATE(B104,""it"",""en"")"),"What does the term ""move"" mean?")</f>
        <v>What does the term "move" mean?</v>
      </c>
      <c r="I104" s="10" t="str">
        <f>IFERROR(__xludf.DUMMYFUNCTION("GOOGLETRANSLATE(C104,""it"",""en"")"),"A. The start of the race B. The end of the race C. The distribution of the banner D. The selection of the starter")</f>
        <v>A. The start of the race B. The end of the race C. The distribution of the banner D. The selection of the starter</v>
      </c>
      <c r="J104" s="10" t="str">
        <f>IFERROR(__xludf.DUMMYFUNCTION("GOOGLETRANSLATE(D104,""it"",""en"")"),"The start of the race")</f>
        <v>The start of the race</v>
      </c>
      <c r="K104" s="10" t="str">
        <f>IFERROR(__xludf.DUMMYFUNCTION("GOOGLETRANSLATE(E104,""it"",""en"")"),"The ""move"" is the moment of departure.")</f>
        <v>The "move" is the moment of departure.</v>
      </c>
    </row>
    <row r="105" ht="22.5" customHeight="1">
      <c r="A105" s="11">
        <v>104.0</v>
      </c>
      <c r="B105" s="5" t="s">
        <v>2209</v>
      </c>
      <c r="C105" s="5" t="s">
        <v>2210</v>
      </c>
      <c r="D105" s="5" t="s">
        <v>2211</v>
      </c>
      <c r="E105" s="5" t="s">
        <v>2212</v>
      </c>
      <c r="F105" s="3"/>
      <c r="G105" s="11">
        <v>104.0</v>
      </c>
      <c r="H105" s="10" t="str">
        <f>IFERROR(__xludf.DUMMYFUNCTION("GOOGLETRANSLATE(B105,""it"",""en"")"),"What is the name of the painting that decorates the banner?")</f>
        <v>What is the name of the painting that decorates the banner?</v>
      </c>
      <c r="I105" s="10" t="str">
        <f>IFERROR(__xludf.DUMMYFUNCTION("GOOGLETRANSLATE(C105,""it"",""en"")"),"A. The Palio B. The Assumption C. The Rag D. The Triumph")</f>
        <v>A. The Palio B. The Assumption C. The Rag D. The Triumph</v>
      </c>
      <c r="J105" s="10" t="str">
        <f>IFERROR(__xludf.DUMMYFUNCTION("GOOGLETRANSLATE(D105,""it"",""en"")"),"The Rag")</f>
        <v>The Rag</v>
      </c>
      <c r="K105" s="10" t="str">
        <f>IFERROR(__xludf.DUMMYFUNCTION("GOOGLETRANSLATE(E105,""it"",""en"")"),"The banner is commonly called ""Cencio"".")</f>
        <v>The banner is commonly called "Cencio".</v>
      </c>
    </row>
    <row r="106" ht="22.5" customHeight="1">
      <c r="A106" s="11">
        <v>105.0</v>
      </c>
      <c r="B106" s="5" t="s">
        <v>2213</v>
      </c>
      <c r="C106" s="5" t="s">
        <v>2214</v>
      </c>
      <c r="D106" s="5" t="s">
        <v>2215</v>
      </c>
      <c r="E106" s="5" t="s">
        <v>2216</v>
      </c>
      <c r="F106" s="3"/>
      <c r="G106" s="11">
        <v>105.0</v>
      </c>
      <c r="H106" s="10" t="str">
        <f>IFERROR(__xludf.DUMMYFUNCTION("GOOGLETRANSLATE(B106,""it"",""en"")"),"How are horses assigned to the contrade?")</f>
        <v>How are horses assigned to the contrade?</v>
      </c>
      <c r="I106" s="10" t="str">
        <f>IFERROR(__xludf.DUMMYFUNCTION("GOOGLETRANSLATE(C106,""it"",""en"")"),"A. By selection B. By vote C. By drawing lots D. By the prior's preference")</f>
        <v>A. By selection B. By vote C. By drawing lots D. By the prior's preference</v>
      </c>
      <c r="J106" s="10" t="str">
        <f>IFERROR(__xludf.DUMMYFUNCTION("GOOGLETRANSLATE(D106,""it"",""en"")"),"By drawing lots")</f>
        <v>By drawing lots</v>
      </c>
      <c r="K106" s="10" t="str">
        <f>IFERROR(__xludf.DUMMYFUNCTION("GOOGLETRANSLATE(E106,""it"",""en"")"),"The horses are assigned by drawing lots.")</f>
        <v>The horses are assigned by drawing lots.</v>
      </c>
    </row>
    <row r="107" ht="22.5" customHeight="1">
      <c r="A107" s="4">
        <v>106.0</v>
      </c>
      <c r="B107" s="5" t="s">
        <v>2217</v>
      </c>
      <c r="C107" s="5" t="s">
        <v>2218</v>
      </c>
      <c r="D107" s="5" t="s">
        <v>2219</v>
      </c>
      <c r="E107" s="5" t="s">
        <v>2220</v>
      </c>
      <c r="F107" s="3"/>
      <c r="G107" s="4">
        <v>106.0</v>
      </c>
      <c r="H107" s="10" t="str">
        <f>IFERROR(__xludf.DUMMYFUNCTION("GOOGLETRANSLATE(B107,""it"",""en"")"),"What do the shields carried in the historical procession represent?")</f>
        <v>What do the shields carried in the historical procession represent?</v>
      </c>
      <c r="I107" s="10" t="str">
        <f>IFERROR(__xludf.DUMMYFUNCTION("GOOGLETRANSLATE(C107,""it"",""en"")"),"A. The victories of the districts B. The alliances between districts C. The medieval weapons D. The participating districts")</f>
        <v>A. The victories of the districts B. The alliances between districts C. The medieval weapons D. The participating districts</v>
      </c>
      <c r="J107" s="10" t="str">
        <f>IFERROR(__xludf.DUMMYFUNCTION("GOOGLETRANSLATE(D107,""it"",""en"")"),"The participating districts")</f>
        <v>The participating districts</v>
      </c>
      <c r="K107" s="10" t="str">
        <f>IFERROR(__xludf.DUMMYFUNCTION("GOOGLETRANSLATE(E107,""it"",""en"")"),"The shields show the symbols of the districts.")</f>
        <v>The shields show the symbols of the districts.</v>
      </c>
    </row>
    <row r="108" ht="22.5" customHeight="1">
      <c r="A108" s="11">
        <v>107.0</v>
      </c>
      <c r="B108" s="5" t="s">
        <v>2221</v>
      </c>
      <c r="C108" s="5" t="s">
        <v>2222</v>
      </c>
      <c r="D108" s="5" t="s">
        <v>2223</v>
      </c>
      <c r="E108" s="5" t="s">
        <v>2224</v>
      </c>
      <c r="F108" s="3"/>
      <c r="G108" s="11">
        <v>107.0</v>
      </c>
      <c r="H108" s="10" t="str">
        <f>IFERROR(__xludf.DUMMYFUNCTION("GOOGLETRANSLATE(B108,""it"",""en"")"),"What happens if two districts end in a tie?")</f>
        <v>What happens if two districts end in a tie?</v>
      </c>
      <c r="I108" s="10" t="str">
        <f>IFERROR(__xludf.DUMMYFUNCTION("GOOGLETRANSLATE(C108,""it"",""en"")"),"A. The contrada with the jockey wins B. A new race is run C. The Palio is cancelled D. The victory is shared")</f>
        <v>A. The contrada with the jockey wins B. A new race is run C. The Palio is cancelled D. The victory is shared</v>
      </c>
      <c r="J108" s="10" t="str">
        <f>IFERROR(__xludf.DUMMYFUNCTION("GOOGLETRANSLATE(D108,""it"",""en"")"),"The victory is shared")</f>
        <v>The victory is shared</v>
      </c>
      <c r="K108" s="10" t="str">
        <f>IFERROR(__xludf.DUMMYFUNCTION("GOOGLETRANSLATE(E108,""it"",""en"")"),"A draw results in a shared victory.")</f>
        <v>A draw results in a shared victory.</v>
      </c>
    </row>
    <row r="109" ht="22.5" customHeight="1">
      <c r="A109" s="11">
        <v>108.0</v>
      </c>
      <c r="B109" s="5" t="s">
        <v>2225</v>
      </c>
      <c r="C109" s="5" t="s">
        <v>2226</v>
      </c>
      <c r="D109" s="5" t="s">
        <v>2227</v>
      </c>
      <c r="E109" s="5" t="s">
        <v>2228</v>
      </c>
      <c r="F109" s="3"/>
      <c r="G109" s="11">
        <v>108.0</v>
      </c>
      <c r="H109" s="10" t="str">
        <f>IFERROR(__xludf.DUMMYFUNCTION("GOOGLETRANSLATE(B109,""it"",""en"")"),"What is the function of the starter?")</f>
        <v>What is the function of the starter?</v>
      </c>
      <c r="I109" s="10" t="str">
        <f>IFERROR(__xludf.DUMMYFUNCTION("GOOGLETRANSLATE(C109,""it"",""en"")"),"A. Manage the start B. Enforce the rules C. Reward the winner D. Choose the horses")</f>
        <v>A. Manage the start B. Enforce the rules C. Reward the winner D. Choose the horses</v>
      </c>
      <c r="J109" s="10" t="str">
        <f>IFERROR(__xludf.DUMMYFUNCTION("GOOGLETRANSLATE(D109,""it"",""en"")"),"Manage the departure")</f>
        <v>Manage the departure</v>
      </c>
      <c r="K109" s="10" t="str">
        <f>IFERROR(__xludf.DUMMYFUNCTION("GOOGLETRANSLATE(E109,""it"",""en"")"),"The starter supervises the start.")</f>
        <v>The starter supervises the start.</v>
      </c>
    </row>
    <row r="110" ht="22.5" customHeight="1">
      <c r="A110" s="11">
        <v>109.0</v>
      </c>
      <c r="B110" s="5" t="s">
        <v>2229</v>
      </c>
      <c r="C110" s="5" t="s">
        <v>2230</v>
      </c>
      <c r="D110" s="5" t="s">
        <v>2231</v>
      </c>
      <c r="E110" s="5" t="s">
        <v>2232</v>
      </c>
      <c r="F110" s="3"/>
      <c r="G110" s="11">
        <v>109.0</v>
      </c>
      <c r="H110" s="10" t="str">
        <f>IFERROR(__xludf.DUMMYFUNCTION("GOOGLETRANSLATE(B110,""it"",""en"")"),"Which district has a tower as its symbol?")</f>
        <v>Which district has a tower as its symbol?</v>
      </c>
      <c r="I110" s="10" t="str">
        <f>IFERROR(__xludf.DUMMYFUNCTION("GOOGLETRANSLATE(C110,""it"",""en"")"),"A. Eagle B. Snail C. Goose D. Tower")</f>
        <v>A. Eagle B. Snail C. Goose D. Tower</v>
      </c>
      <c r="J110" s="10" t="str">
        <f>IFERROR(__xludf.DUMMYFUNCTION("GOOGLETRANSLATE(D110,""it"",""en"")"),"Tower")</f>
        <v>Tower</v>
      </c>
      <c r="K110" s="10" t="str">
        <f>IFERROR(__xludf.DUMMYFUNCTION("GOOGLETRANSLATE(E110,""it"",""en"")"),"The Tower has a tower as its symbol.")</f>
        <v>The Tower has a tower as its symbol.</v>
      </c>
    </row>
    <row r="111" ht="22.5" customHeight="1">
      <c r="A111" s="11">
        <v>110.0</v>
      </c>
      <c r="B111" s="5" t="s">
        <v>2233</v>
      </c>
      <c r="C111" s="5" t="s">
        <v>2234</v>
      </c>
      <c r="D111" s="5" t="s">
        <v>2235</v>
      </c>
      <c r="E111" s="5" t="s">
        <v>2236</v>
      </c>
      <c r="F111" s="3"/>
      <c r="G111" s="11">
        <v>110.0</v>
      </c>
      <c r="H111" s="10" t="str">
        <f>IFERROR(__xludf.DUMMYFUNCTION("GOOGLETRANSLATE(B111,""it"",""en"")"),"What is meant by ""enemy regions""?")</f>
        <v>What is meant by "enemy regions"?</v>
      </c>
      <c r="I111" s="10" t="str">
        <f>IFERROR(__xludf.DUMMYFUNCTION("GOOGLETRANSLATE(C111,""it"",""en"")"),"A. Contradas with historical rivalry B. Contradas excluded from the Palio C. Contradas without alliances D. Defeated Contradas")</f>
        <v>A. Contradas with historical rivalry B. Contradas excluded from the Palio C. Contradas without alliances D. Defeated Contradas</v>
      </c>
      <c r="J111" s="10" t="str">
        <f>IFERROR(__xludf.DUMMYFUNCTION("GOOGLETRANSLATE(D111,""it"",""en"")"),"Districts with historical rivalry")</f>
        <v>Districts with historical rivalry</v>
      </c>
      <c r="K111" s="10" t="str">
        <f>IFERROR(__xludf.DUMMYFUNCTION("GOOGLETRANSLATE(E111,""it"",""en"")"),"The ""enemy districts"" have historical rivalries.")</f>
        <v>The "enemy districts" have historical rivalries.</v>
      </c>
    </row>
    <row r="112" ht="22.5" customHeight="1">
      <c r="A112" s="4">
        <v>111.0</v>
      </c>
      <c r="B112" s="5" t="s">
        <v>2237</v>
      </c>
      <c r="C112" s="5" t="s">
        <v>2238</v>
      </c>
      <c r="D112" s="5" t="s">
        <v>2239</v>
      </c>
      <c r="E112" s="5" t="s">
        <v>2240</v>
      </c>
      <c r="F112" s="3"/>
      <c r="G112" s="4">
        <v>111.0</v>
      </c>
      <c r="H112" s="10" t="str">
        <f>IFERROR(__xludf.DUMMYFUNCTION("GOOGLETRANSLATE(B112,""it"",""en"")"),"What do the flags in the procession represent?")</f>
        <v>What do the flags in the procession represent?</v>
      </c>
      <c r="I112" s="10" t="str">
        <f>IFERROR(__xludf.DUMMYFUNCTION("GOOGLETRANSLATE(C112,""it"",""en"")"),"A. The borders of Siena B. The city's neighborhoods C. The contrade D. The victories of the Palio")</f>
        <v>A. The borders of Siena B. The city's neighborhoods C. The contrade D. The victories of the Palio</v>
      </c>
      <c r="J112" s="10" t="str">
        <f>IFERROR(__xludf.DUMMYFUNCTION("GOOGLETRANSLATE(D112,""it"",""en"")"),"The districts")</f>
        <v>The districts</v>
      </c>
      <c r="K112" s="10" t="str">
        <f>IFERROR(__xludf.DUMMYFUNCTION("GOOGLETRANSLATE(E112,""it"",""en"")"),"The flags identify the districts.")</f>
        <v>The flags identify the districts.</v>
      </c>
    </row>
    <row r="113" ht="22.5" customHeight="1">
      <c r="A113" s="11">
        <v>112.0</v>
      </c>
      <c r="B113" s="5" t="s">
        <v>2241</v>
      </c>
      <c r="C113" s="5" t="s">
        <v>2242</v>
      </c>
      <c r="D113" s="5" t="s">
        <v>2243</v>
      </c>
      <c r="E113" s="5" t="s">
        <v>2244</v>
      </c>
      <c r="F113" s="3"/>
      <c r="G113" s="11">
        <v>112.0</v>
      </c>
      <c r="H113" s="10" t="str">
        <f>IFERROR(__xludf.DUMMYFUNCTION("GOOGLETRANSLATE(B113,""it"",""en"")"),"What happens during the blessing of the horse?")</f>
        <v>What happens during the blessing of the horse?</v>
      </c>
      <c r="I113" s="10" t="str">
        <f>IFERROR(__xludf.DUMMYFUNCTION("GOOGLETRANSLATE(C113,""it"",""en"")"),"A. The horse is decorated B. The horse is prepared for the race C. The horse is blessed with holy water D. The horse receives the banner")</f>
        <v>A. The horse is decorated B. The horse is prepared for the race C. The horse is blessed with holy water D. The horse receives the banner</v>
      </c>
      <c r="J113" s="10" t="str">
        <f>IFERROR(__xludf.DUMMYFUNCTION("GOOGLETRANSLATE(D113,""it"",""en"")"),"The horse is blessed with holy water")</f>
        <v>The horse is blessed with holy water</v>
      </c>
      <c r="K113" s="10" t="str">
        <f>IFERROR(__xludf.DUMMYFUNCTION("GOOGLETRANSLATE(E113,""it"",""en"")"),"The blessing is a traditional rite.")</f>
        <v>The blessing is a traditional rite.</v>
      </c>
    </row>
    <row r="114" ht="22.5" customHeight="1">
      <c r="A114" s="11">
        <v>113.0</v>
      </c>
      <c r="B114" s="5" t="s">
        <v>2245</v>
      </c>
      <c r="C114" s="5" t="s">
        <v>2246</v>
      </c>
      <c r="D114" s="5" t="s">
        <v>2247</v>
      </c>
      <c r="E114" s="5" t="s">
        <v>2248</v>
      </c>
      <c r="F114" s="3"/>
      <c r="G114" s="11">
        <v>113.0</v>
      </c>
      <c r="H114" s="10" t="str">
        <f>IFERROR(__xludf.DUMMYFUNCTION("GOOGLETRANSLATE(B114,""it"",""en"")"),"What is the meaning of the word ""contrada""?")</f>
        <v>What is the meaning of the word "contrada"?</v>
      </c>
      <c r="I114" s="10" t="str">
        <f>IFERROR(__xludf.DUMMYFUNCTION("GOOGLETRANSLATE(C114,""it"",""en"")"),"A. A religious group B. A city district C. A symbol of the Palio D. A noble family")</f>
        <v>A. A religious group B. A city district C. A symbol of the Palio D. A noble family</v>
      </c>
      <c r="J114" s="10" t="str">
        <f>IFERROR(__xludf.DUMMYFUNCTION("GOOGLETRANSLATE(D114,""it"",""en"")"),"A city district")</f>
        <v>A city district</v>
      </c>
      <c r="K114" s="10" t="str">
        <f>IFERROR(__xludf.DUMMYFUNCTION("GOOGLETRANSLATE(E114,""it"",""en"")"),"The contrade are historical divisions of Siena.")</f>
        <v>The contrade are historical divisions of Siena.</v>
      </c>
    </row>
    <row r="115" ht="22.5" customHeight="1">
      <c r="A115" s="11">
        <v>114.0</v>
      </c>
      <c r="B115" s="5" t="s">
        <v>2249</v>
      </c>
      <c r="C115" s="5" t="s">
        <v>2250</v>
      </c>
      <c r="D115" s="5" t="s">
        <v>2251</v>
      </c>
      <c r="E115" s="5" t="s">
        <v>2252</v>
      </c>
      <c r="F115" s="3"/>
      <c r="G115" s="11">
        <v>114.0</v>
      </c>
      <c r="H115" s="10" t="str">
        <f>IFERROR(__xludf.DUMMYFUNCTION("GOOGLETRANSLATE(B115,""it"",""en"")"),"What is the prize for the winning contrada?")</f>
        <v>What is the prize for the winning contrada?</v>
      </c>
      <c r="I115" s="10" t="str">
        <f>IFERROR(__xludf.DUMMYFUNCTION("GOOGLETRANSLATE(C115,""it"",""en"")"),"A. A golden trophy B. The banner C. A crown D. An honorary title")</f>
        <v>A. A golden trophy B. The banner C. A crown D. An honorary title</v>
      </c>
      <c r="J115" s="10" t="str">
        <f>IFERROR(__xludf.DUMMYFUNCTION("GOOGLETRANSLATE(D115,""it"",""en"")"),"The banner")</f>
        <v>The banner</v>
      </c>
      <c r="K115" s="10" t="str">
        <f>IFERROR(__xludf.DUMMYFUNCTION("GOOGLETRANSLATE(E115,""it"",""en"")"),"The winning contrada receives the banner.")</f>
        <v>The winning contrada receives the banner.</v>
      </c>
    </row>
    <row r="116" ht="22.5" customHeight="1">
      <c r="A116" s="11">
        <v>115.0</v>
      </c>
      <c r="B116" s="5" t="s">
        <v>2253</v>
      </c>
      <c r="C116" s="5" t="s">
        <v>2254</v>
      </c>
      <c r="D116" s="5" t="s">
        <v>2255</v>
      </c>
      <c r="E116" s="5" t="s">
        <v>2256</v>
      </c>
      <c r="F116" s="3"/>
      <c r="G116" s="11">
        <v>115.0</v>
      </c>
      <c r="H116" s="10" t="str">
        <f>IFERROR(__xludf.DUMMYFUNCTION("GOOGLETRANSLATE(B116,""it"",""en"")"),"What is the name of the contrada leader?")</f>
        <v>What is the name of the contrada leader?</v>
      </c>
      <c r="I116" s="10" t="str">
        <f>IFERROR(__xludf.DUMMYFUNCTION("GOOGLETRANSLATE(C116,""it"",""en"")"),"A. The starter B. The captain C. The prior D. The Barbaresco")</f>
        <v>A. The starter B. The captain C. The prior D. The Barbaresco</v>
      </c>
      <c r="J116" s="10" t="str">
        <f>IFERROR(__xludf.DUMMYFUNCTION("GOOGLETRANSLATE(D116,""it"",""en"")"),"The prior")</f>
        <v>The prior</v>
      </c>
      <c r="K116" s="10" t="str">
        <f>IFERROR(__xludf.DUMMYFUNCTION("GOOGLETRANSLATE(E116,""it"",""en"")"),"The prior is the leader of the contrada.")</f>
        <v>The prior is the leader of the contrada.</v>
      </c>
    </row>
    <row r="117" ht="22.5" customHeight="1">
      <c r="A117" s="4">
        <v>116.0</v>
      </c>
      <c r="B117" s="5" t="s">
        <v>2257</v>
      </c>
      <c r="C117" s="5" t="s">
        <v>2258</v>
      </c>
      <c r="D117" s="5" t="s">
        <v>2259</v>
      </c>
      <c r="E117" s="5" t="s">
        <v>2260</v>
      </c>
      <c r="F117" s="3"/>
      <c r="G117" s="4">
        <v>116.0</v>
      </c>
      <c r="H117" s="10" t="str">
        <f>IFERROR(__xludf.DUMMYFUNCTION("GOOGLETRANSLATE(B117,""it"",""en"")"),"What happens after the Palio race?")</f>
        <v>What happens after the Palio race?</v>
      </c>
      <c r="I117" s="10" t="str">
        <f>IFERROR(__xludf.DUMMYFUNCTION("GOOGLETRANSLATE(C117,""it"",""en"")"),"A. The distribution of prizes B. The victory dinner C. A new assignment of horses D. A religious ceremony")</f>
        <v>A. The distribution of prizes B. The victory dinner C. A new assignment of horses D. A religious ceremony</v>
      </c>
      <c r="J117" s="10" t="str">
        <f>IFERROR(__xludf.DUMMYFUNCTION("GOOGLETRANSLATE(D117,""it"",""en"")"),"The Victory Dinner")</f>
        <v>The Victory Dinner</v>
      </c>
      <c r="K117" s="10" t="str">
        <f>IFERROR(__xludf.DUMMYFUNCTION("GOOGLETRANSLATE(E117,""it"",""en"")"),"The winning contrada celebrates with a dinner.")</f>
        <v>The winning contrada celebrates with a dinner.</v>
      </c>
    </row>
    <row r="118" ht="22.5" customHeight="1">
      <c r="A118" s="11">
        <v>117.0</v>
      </c>
      <c r="B118" s="5" t="s">
        <v>2261</v>
      </c>
      <c r="C118" s="5" t="s">
        <v>2262</v>
      </c>
      <c r="D118" s="5" t="s">
        <v>2263</v>
      </c>
      <c r="E118" s="5" t="s">
        <v>2264</v>
      </c>
      <c r="F118" s="3"/>
      <c r="G118" s="11">
        <v>117.0</v>
      </c>
      <c r="H118" s="10" t="str">
        <f>IFERROR(__xludf.DUMMYFUNCTION("GOOGLETRANSLATE(B118,""it"",""en"")"),"What is the role of the jockey in the contrada?")</f>
        <v>What is the role of the jockey in the contrada?</v>
      </c>
      <c r="I118" s="10" t="str">
        <f>IFERROR(__xludf.DUMMYFUNCTION("GOOGLETRANSLATE(C118,""it"",""en"")"),"A. Only run in the Palio B. Represent the contrada in all races C. Be an ambassador for the contrada D. Be part of the strategic decisions")</f>
        <v>A. Only run in the Palio B. Represent the contrada in all races C. Be an ambassador for the contrada D. Be part of the strategic decisions</v>
      </c>
      <c r="J118" s="10" t="str">
        <f>IFERROR(__xludf.DUMMYFUNCTION("GOOGLETRANSLATE(D118,""it"",""en"")"),"Be part of strategic decisions")</f>
        <v>Be part of strategic decisions</v>
      </c>
      <c r="K118" s="10" t="str">
        <f>IFERROR(__xludf.DUMMYFUNCTION("GOOGLETRANSLATE(E118,""it"",""en"")"),"The jockey also contributes to the race strategy.")</f>
        <v>The jockey also contributes to the race strategy.</v>
      </c>
    </row>
    <row r="119" ht="22.5" customHeight="1">
      <c r="A119" s="11">
        <v>118.0</v>
      </c>
      <c r="B119" s="5" t="s">
        <v>2265</v>
      </c>
      <c r="C119" s="5" t="s">
        <v>2266</v>
      </c>
      <c r="D119" s="5" t="s">
        <v>2267</v>
      </c>
      <c r="E119" s="5" t="s">
        <v>2268</v>
      </c>
      <c r="F119" s="3"/>
      <c r="G119" s="11">
        <v>118.0</v>
      </c>
      <c r="H119" s="10" t="str">
        <f>IFERROR(__xludf.DUMMYFUNCTION("GOOGLETRANSLATE(B119,""it"",""en"")"),"What does the float carried in the historical procession symbolize?")</f>
        <v>What does the float carried in the historical procession symbolize?</v>
      </c>
      <c r="I119" s="10" t="str">
        <f>IFERROR(__xludf.DUMMYFUNCTION("GOOGLETRANSLATE(C119,""it"",""en"")"),"A. The victory of the Palio B. The glory of the city C. The ancient medieval festivals D. The alliances between districts")</f>
        <v>A. The victory of the Palio B. The glory of the city C. The ancient medieval festivals D. The alliances between districts</v>
      </c>
      <c r="J119" s="10" t="str">
        <f>IFERROR(__xludf.DUMMYFUNCTION("GOOGLETRANSLATE(D119,""it"",""en"")"),"The ancient medieval festivals")</f>
        <v>The ancient medieval festivals</v>
      </c>
      <c r="K119" s="10" t="str">
        <f>IFERROR(__xludf.DUMMYFUNCTION("GOOGLETRANSLATE(E119,""it"",""en"")"),"The chariot represents medieval celebrations.")</f>
        <v>The chariot represents medieval celebrations.</v>
      </c>
    </row>
    <row r="120" ht="22.5" customHeight="1">
      <c r="A120" s="11">
        <v>119.0</v>
      </c>
      <c r="B120" s="5" t="s">
        <v>2022</v>
      </c>
      <c r="C120" s="5" t="s">
        <v>2269</v>
      </c>
      <c r="D120" s="5" t="s">
        <v>2024</v>
      </c>
      <c r="E120" s="5" t="s">
        <v>2270</v>
      </c>
      <c r="F120" s="3"/>
      <c r="G120" s="11">
        <v>119.0</v>
      </c>
      <c r="H120" s="10" t="str">
        <f>IFERROR(__xludf.DUMMYFUNCTION("GOOGLETRANSLATE(B120,""it"",""en"")"),"Which district has a dragon as its symbol?")</f>
        <v>Which district has a dragon as its symbol?</v>
      </c>
      <c r="I120" s="10" t="str">
        <f>IFERROR(__xludf.DUMMYFUNCTION("GOOGLETRANSLATE(C120,""it"",""en"")"),"A. Snail B. Dragon C. Goose D. Porcupine")</f>
        <v>A. Snail B. Dragon C. Goose D. Porcupine</v>
      </c>
      <c r="J120" s="10" t="str">
        <f>IFERROR(__xludf.DUMMYFUNCTION("GOOGLETRANSLATE(D120,""it"",""en"")"),"Dragon")</f>
        <v>Dragon</v>
      </c>
      <c r="K120" s="10" t="str">
        <f>IFERROR(__xludf.DUMMYFUNCTION("GOOGLETRANSLATE(E120,""it"",""en"")"),"The Dragon has a dragon as its symbol.")</f>
        <v>The Dragon has a dragon as its symbol.</v>
      </c>
    </row>
    <row r="121" ht="22.5" customHeight="1">
      <c r="A121" s="11">
        <v>120.0</v>
      </c>
      <c r="B121" s="5" t="s">
        <v>2271</v>
      </c>
      <c r="C121" s="5" t="s">
        <v>2272</v>
      </c>
      <c r="D121" s="5" t="s">
        <v>2161</v>
      </c>
      <c r="E121" s="5" t="s">
        <v>2273</v>
      </c>
      <c r="F121" s="3"/>
      <c r="G121" s="11">
        <v>120.0</v>
      </c>
      <c r="H121" s="10" t="str">
        <f>IFERROR(__xludf.DUMMYFUNCTION("GOOGLETRANSLATE(B121,""it"",""en"")"),"Who supervises the historical procession?")</f>
        <v>Who supervises the historical procession?</v>
      </c>
      <c r="I121" s="10" t="str">
        <f>IFERROR(__xludf.DUMMYFUNCTION("GOOGLETRANSLATE(C121,""it"",""en"")"),"A. The prior B. The starter C. The mayor D. The captain of the procession")</f>
        <v>A. The prior B. The starter C. The mayor D. The captain of the procession</v>
      </c>
      <c r="J121" s="10" t="str">
        <f>IFERROR(__xludf.DUMMYFUNCTION("GOOGLETRANSLATE(D121,""it"",""en"")"),"The mayor")</f>
        <v>The mayor</v>
      </c>
      <c r="K121" s="10" t="str">
        <f>IFERROR(__xludf.DUMMYFUNCTION("GOOGLETRANSLATE(E121,""it"",""en"")"),"The mayor of Siena supervises the historical procession.")</f>
        <v>The mayor of Siena supervises the historical procession.</v>
      </c>
    </row>
    <row r="122" ht="22.5" customHeight="1">
      <c r="A122" s="4">
        <v>121.0</v>
      </c>
      <c r="B122" s="5" t="s">
        <v>2274</v>
      </c>
      <c r="C122" s="5" t="s">
        <v>2275</v>
      </c>
      <c r="D122" s="5" t="s">
        <v>2276</v>
      </c>
      <c r="E122" s="5" t="s">
        <v>2277</v>
      </c>
      <c r="F122" s="3"/>
      <c r="G122" s="4">
        <v>121.0</v>
      </c>
      <c r="H122" s="10" t="str">
        <f>IFERROR(__xludf.DUMMYFUNCTION("GOOGLETRANSLATE(B122,""it"",""en"")"),"What does the drum represent in the historical parade?")</f>
        <v>What does the drum represent in the historical parade?</v>
      </c>
      <c r="I122" s="10" t="str">
        <f>IFERROR(__xludf.DUMMYFUNCTION("GOOGLETRANSLATE(C122,""it"",""en"")"),"A. The voice of the districts B. The rhythm of the parade C. The strength of the district D. A religious symbol")</f>
        <v>A. The voice of the districts B. The rhythm of the parade C. The strength of the district D. A religious symbol</v>
      </c>
      <c r="J122" s="10" t="str">
        <f>IFERROR(__xludf.DUMMYFUNCTION("GOOGLETRANSLATE(D122,""it"",""en"")"),"The rhythm of the parade")</f>
        <v>The rhythm of the parade</v>
      </c>
      <c r="K122" s="10" t="str">
        <f>IFERROR(__xludf.DUMMYFUNCTION("GOOGLETRANSLATE(E122,""it"",""en"")"),"The drum gives rhythm and intensity to the parade.")</f>
        <v>The drum gives rhythm and intensity to the parade.</v>
      </c>
    </row>
    <row r="123" ht="22.5" customHeight="1">
      <c r="A123" s="11">
        <v>122.0</v>
      </c>
      <c r="B123" s="5" t="s">
        <v>2278</v>
      </c>
      <c r="C123" s="5" t="s">
        <v>2279</v>
      </c>
      <c r="D123" s="5" t="s">
        <v>2280</v>
      </c>
      <c r="E123" s="5" t="s">
        <v>2281</v>
      </c>
      <c r="F123" s="3"/>
      <c r="G123" s="11">
        <v>122.0</v>
      </c>
      <c r="H123" s="10" t="str">
        <f>IFERROR(__xludf.DUMMYFUNCTION("GOOGLETRANSLATE(B123,""it"",""en"")"),"Which district has a snail as its symbol?")</f>
        <v>Which district has a snail as its symbol?</v>
      </c>
      <c r="I123" s="10" t="str">
        <f>IFERROR(__xludf.DUMMYFUNCTION("GOOGLETRANSLATE(C123,""it"",""en"")"),"A. Dragon B. Porcupine C. Snail D. She-wolf")</f>
        <v>A. Dragon B. Porcupine C. Snail D. She-wolf</v>
      </c>
      <c r="J123" s="10" t="str">
        <f>IFERROR(__xludf.DUMMYFUNCTION("GOOGLETRANSLATE(D123,""it"",""en"")"),"Snail")</f>
        <v>Snail</v>
      </c>
      <c r="K123" s="10" t="str">
        <f>IFERROR(__xludf.DUMMYFUNCTION("GOOGLETRANSLATE(E123,""it"",""en"")"),"The Snail has a snail as its symbol.")</f>
        <v>The Snail has a snail as its symbol.</v>
      </c>
    </row>
    <row r="124" ht="22.5" customHeight="1">
      <c r="A124" s="11">
        <v>123.0</v>
      </c>
      <c r="B124" s="5" t="s">
        <v>2282</v>
      </c>
      <c r="C124" s="5" t="s">
        <v>2283</v>
      </c>
      <c r="D124" s="5" t="s">
        <v>2284</v>
      </c>
      <c r="E124" s="5" t="s">
        <v>2285</v>
      </c>
      <c r="F124" s="3"/>
      <c r="G124" s="11">
        <v>123.0</v>
      </c>
      <c r="H124" s="10" t="str">
        <f>IFERROR(__xludf.DUMMYFUNCTION("GOOGLETRANSLATE(B124,""it"",""en"")"),"What does ""provaccia"" mean?")</f>
        <v>What does "provaccia" mean?</v>
      </c>
      <c r="I124" s="10" t="str">
        <f>IFERROR(__xludf.DUMMYFUNCTION("GOOGLETRANSLATE(C124,""it"",""en"")"),"A. The last test before the Palio B. A performance by the contrada C. The choice of the jockey D. The blessing of the horses")</f>
        <v>A. The last test before the Palio B. A performance by the contrada C. The choice of the jockey D. The blessing of the horses</v>
      </c>
      <c r="J124" s="10" t="str">
        <f>IFERROR(__xludf.DUMMYFUNCTION("GOOGLETRANSLATE(D124,""it"",""en"")"),"The last test before the Palio")</f>
        <v>The last test before the Palio</v>
      </c>
      <c r="K124" s="10" t="str">
        <f>IFERROR(__xludf.DUMMYFUNCTION("GOOGLETRANSLATE(E124,""it"",""en"")"),"The provaccia is the final test before the race.")</f>
        <v>The provaccia is the final test before the race.</v>
      </c>
    </row>
    <row r="125" ht="22.5" customHeight="1">
      <c r="A125" s="11">
        <v>124.0</v>
      </c>
      <c r="B125" s="5" t="s">
        <v>2286</v>
      </c>
      <c r="C125" s="5" t="s">
        <v>2287</v>
      </c>
      <c r="D125" s="5" t="s">
        <v>2288</v>
      </c>
      <c r="E125" s="5" t="s">
        <v>2289</v>
      </c>
      <c r="F125" s="3"/>
      <c r="G125" s="11">
        <v>124.0</v>
      </c>
      <c r="H125" s="10" t="str">
        <f>IFERROR(__xludf.DUMMYFUNCTION("GOOGLETRANSLATE(B125,""it"",""en"")"),"What is the meaning of the horse blessing?")</f>
        <v>What is the meaning of the horse blessing?</v>
      </c>
      <c r="I125" s="10" t="str">
        <f>IFERROR(__xludf.DUMMYFUNCTION("GOOGLETRANSLATE(C125,""it"",""en"")"),"A. To ensure divine protection B. To guarantee victory C. To prepare the horse for the race D. To celebrate its strength")</f>
        <v>A. To ensure divine protection B. To guarantee victory C. To prepare the horse for the race D. To celebrate its strength</v>
      </c>
      <c r="J125" s="10" t="str">
        <f>IFERROR(__xludf.DUMMYFUNCTION("GOOGLETRANSLATE(D125,""it"",""en"")"),"Ensure divine protection")</f>
        <v>Ensure divine protection</v>
      </c>
      <c r="K125" s="10" t="str">
        <f>IFERROR(__xludf.DUMMYFUNCTION("GOOGLETRANSLATE(E125,""it"",""en"")"),"The blessing invokes protection and success.")</f>
        <v>The blessing invokes protection and success.</v>
      </c>
    </row>
    <row r="126" ht="22.5" customHeight="1">
      <c r="A126" s="11">
        <v>125.0</v>
      </c>
      <c r="B126" s="5" t="s">
        <v>2290</v>
      </c>
      <c r="C126" s="5" t="s">
        <v>2291</v>
      </c>
      <c r="D126" s="5" t="s">
        <v>2292</v>
      </c>
      <c r="E126" s="5" t="s">
        <v>2293</v>
      </c>
      <c r="F126" s="3"/>
      <c r="G126" s="11">
        <v>125.0</v>
      </c>
      <c r="H126" s="10" t="str">
        <f>IFERROR(__xludf.DUMMYFUNCTION("GOOGLETRANSLATE(B126,""it"",""en"")"),"What happens if the banner gets damaged?")</f>
        <v>What happens if the banner gets damaged?</v>
      </c>
      <c r="I126" s="10" t="str">
        <f>IFERROR(__xludf.DUMMYFUNCTION("GOOGLETRANSLATE(C126,""it"",""en"")"),"A. It is repaired and delivered B. It is replaced C. The race is cancelled D. The winning contrada receives a new one")</f>
        <v>A. It is repaired and delivered B. It is replaced C. The race is cancelled D. The winning contrada receives a new one</v>
      </c>
      <c r="J126" s="10" t="str">
        <f>IFERROR(__xludf.DUMMYFUNCTION("GOOGLETRANSLATE(D126,""it"",""en"")"),"It is repaired and delivered")</f>
        <v>It is repaired and delivered</v>
      </c>
      <c r="K126" s="10" t="str">
        <f>IFERROR(__xludf.DUMMYFUNCTION("GOOGLETRANSLATE(E126,""it"",""en"")"),"A damaged banner is restored.")</f>
        <v>A damaged banner is restored.</v>
      </c>
    </row>
    <row r="127" ht="22.5" customHeight="1">
      <c r="A127" s="4">
        <v>126.0</v>
      </c>
      <c r="B127" s="5" t="s">
        <v>2294</v>
      </c>
      <c r="C127" s="5" t="s">
        <v>2295</v>
      </c>
      <c r="D127" s="5" t="s">
        <v>2296</v>
      </c>
      <c r="E127" s="5" t="s">
        <v>2297</v>
      </c>
      <c r="F127" s="3"/>
      <c r="G127" s="4">
        <v>126.0</v>
      </c>
      <c r="H127" s="10" t="str">
        <f>IFERROR(__xludf.DUMMYFUNCTION("GOOGLETRANSLATE(B127,""it"",""en"")"),"What is the name of the church where the horse is blessed?")</f>
        <v>What is the name of the church where the horse is blessed?</v>
      </c>
      <c r="I127" s="10" t="str">
        <f>IFERROR(__xludf.DUMMYFUNCTION("GOOGLETRANSLATE(C127,""it"",""en"")"),"A. Church of the Drappellone B. Siena Cathedral C. Church of the Contrada D. Church of San Martino")</f>
        <v>A. Church of the Drappellone B. Siena Cathedral C. Church of the Contrada D. Church of San Martino</v>
      </c>
      <c r="J127" s="10" t="str">
        <f>IFERROR(__xludf.DUMMYFUNCTION("GOOGLETRANSLATE(D127,""it"",""en"")"),"Church of the Contrada")</f>
        <v>Church of the Contrada</v>
      </c>
      <c r="K127" s="10" t="str">
        <f>IFERROR(__xludf.DUMMYFUNCTION("GOOGLETRANSLATE(E127,""it"",""en"")"),"Each district has a dedicated church for the blessing.")</f>
        <v>Each district has a dedicated church for the blessing.</v>
      </c>
    </row>
    <row r="128" ht="22.5" customHeight="1">
      <c r="A128" s="11">
        <v>127.0</v>
      </c>
      <c r="B128" s="5" t="s">
        <v>2298</v>
      </c>
      <c r="C128" s="5" t="s">
        <v>2299</v>
      </c>
      <c r="D128" s="5" t="s">
        <v>2300</v>
      </c>
      <c r="E128" s="5" t="s">
        <v>2301</v>
      </c>
      <c r="F128" s="3"/>
      <c r="G128" s="11">
        <v>127.0</v>
      </c>
      <c r="H128" s="10" t="str">
        <f>IFERROR(__xludf.DUMMYFUNCTION("GOOGLETRANSLATE(B128,""it"",""en"")"),"What does ""career"" represent in the Palio?")</f>
        <v>What does "career" represent in the Palio?</v>
      </c>
      <c r="I128" s="10" t="str">
        <f>IFERROR(__xludf.DUMMYFUNCTION("GOOGLETRANSLATE(C128,""it"",""en"")"),"A. The race route B. The history of the districts C. The prize awarded D. The role of the jockey")</f>
        <v>A. The race route B. The history of the districts C. The prize awarded D. The role of the jockey</v>
      </c>
      <c r="J128" s="10" t="str">
        <f>IFERROR(__xludf.DUMMYFUNCTION("GOOGLETRANSLATE(D128,""it"",""en"")"),"The race route")</f>
        <v>The race route</v>
      </c>
      <c r="K128" s="10" t="str">
        <f>IFERROR(__xludf.DUMMYFUNCTION("GOOGLETRANSLATE(E128,""it"",""en"")"),"Career is the term that describes the course of the race.")</f>
        <v>Career is the term that describes the course of the race.</v>
      </c>
    </row>
    <row r="129" ht="22.5" customHeight="1">
      <c r="A129" s="11">
        <v>128.0</v>
      </c>
      <c r="B129" s="5" t="s">
        <v>2302</v>
      </c>
      <c r="C129" s="5" t="s">
        <v>2303</v>
      </c>
      <c r="D129" s="5" t="s">
        <v>2304</v>
      </c>
      <c r="E129" s="5" t="s">
        <v>2305</v>
      </c>
      <c r="F129" s="3"/>
      <c r="G129" s="11">
        <v>128.0</v>
      </c>
      <c r="H129" s="10" t="str">
        <f>IFERROR(__xludf.DUMMYFUNCTION("GOOGLETRANSLATE(B129,""it"",""en"")"),"What does the term ""partito"" mean in the Palio?")</f>
        <v>What does the term "partito" mean in the Palio?</v>
      </c>
      <c r="I129" s="10" t="str">
        <f>IFERROR(__xludf.DUMMYFUNCTION("GOOGLETRANSLATE(C129,""it"",""en"")"),"A. An alliance between districts B. A celebratory event C. The distribution of horses D. The rivalry between two districts")</f>
        <v>A. An alliance between districts B. A celebratory event C. The distribution of horses D. The rivalry between two districts</v>
      </c>
      <c r="J129" s="10" t="str">
        <f>IFERROR(__xludf.DUMMYFUNCTION("GOOGLETRANSLATE(D129,""it"",""en"")"),"An alliance between districts")</f>
        <v>An alliance between districts</v>
      </c>
      <c r="K129" s="10" t="str">
        <f>IFERROR(__xludf.DUMMYFUNCTION("GOOGLETRANSLATE(E129,""it"",""en"")"),"A party indicates a tactical alliance.")</f>
        <v>A party indicates a tactical alliance.</v>
      </c>
    </row>
    <row r="130" ht="22.5" customHeight="1">
      <c r="A130" s="11">
        <v>129.0</v>
      </c>
      <c r="B130" s="5" t="s">
        <v>1968</v>
      </c>
      <c r="C130" s="5" t="s">
        <v>2306</v>
      </c>
      <c r="D130" s="5" t="s">
        <v>1970</v>
      </c>
      <c r="E130" s="5" t="s">
        <v>2307</v>
      </c>
      <c r="F130" s="3"/>
      <c r="G130" s="11">
        <v>129.0</v>
      </c>
      <c r="H130" s="10" t="str">
        <f>IFERROR(__xludf.DUMMYFUNCTION("GOOGLETRANSLATE(B130,""it"",""en"")"),"Which district has a giraffe as its symbol?")</f>
        <v>Which district has a giraffe as its symbol?</v>
      </c>
      <c r="I130" s="10" t="str">
        <f>IFERROR(__xludf.DUMMYFUNCTION("GOOGLETRANSLATE(C130,""it"",""en"")"),"A. Goose B. Wolf C. Giraffe D. Panther")</f>
        <v>A. Goose B. Wolf C. Giraffe D. Panther</v>
      </c>
      <c r="J130" s="10" t="str">
        <f>IFERROR(__xludf.DUMMYFUNCTION("GOOGLETRANSLATE(D130,""it"",""en"")"),"Giraffe")</f>
        <v>Giraffe</v>
      </c>
      <c r="K130" s="10" t="str">
        <f>IFERROR(__xludf.DUMMYFUNCTION("GOOGLETRANSLATE(E130,""it"",""en"")"),"The Giraffe has a giraffe as its symbol.")</f>
        <v>The Giraffe has a giraffe as its symbol.</v>
      </c>
    </row>
    <row r="131" ht="22.5" customHeight="1">
      <c r="A131" s="11">
        <v>130.0</v>
      </c>
      <c r="B131" s="5" t="s">
        <v>2308</v>
      </c>
      <c r="C131" s="5" t="s">
        <v>2309</v>
      </c>
      <c r="D131" s="5" t="s">
        <v>2310</v>
      </c>
      <c r="E131" s="5" t="s">
        <v>2311</v>
      </c>
      <c r="F131" s="3"/>
      <c r="G131" s="11">
        <v>130.0</v>
      </c>
      <c r="H131" s="10" t="str">
        <f>IFERROR(__xludf.DUMMYFUNCTION("GOOGLETRANSLATE(B131,""it"",""en"")"),"What happens during the ""move""?")</f>
        <v>What happens during the "move"?</v>
      </c>
      <c r="I131" s="10" t="str">
        <f>IFERROR(__xludf.DUMMYFUNCTION("GOOGLETRANSLATE(C131,""it"",""en"")"),"A. The beginning of the procession B. The assignment of the horses C. The start of the race D. The blessing of the horse")</f>
        <v>A. The beginning of the procession B. The assignment of the horses C. The start of the race D. The blessing of the horse</v>
      </c>
      <c r="J131" s="10" t="str">
        <f>IFERROR(__xludf.DUMMYFUNCTION("GOOGLETRANSLATE(D131,""it"",""en"")"),"The start of the race")</f>
        <v>The start of the race</v>
      </c>
      <c r="K131" s="10" t="str">
        <f>IFERROR(__xludf.DUMMYFUNCTION("GOOGLETRANSLATE(E131,""it"",""en"")"),"The move is the crucial moment of the start.")</f>
        <v>The move is the crucial moment of the start.</v>
      </c>
    </row>
    <row r="132" ht="22.5" customHeight="1">
      <c r="A132" s="4">
        <v>131.0</v>
      </c>
      <c r="B132" s="5" t="s">
        <v>2312</v>
      </c>
      <c r="C132" s="5" t="s">
        <v>2313</v>
      </c>
      <c r="D132" s="5" t="s">
        <v>2314</v>
      </c>
      <c r="E132" s="5" t="s">
        <v>2315</v>
      </c>
      <c r="F132" s="3"/>
      <c r="G132" s="4">
        <v>131.0</v>
      </c>
      <c r="H132" s="10" t="str">
        <f>IFERROR(__xludf.DUMMYFUNCTION("GOOGLETRANSLATE(B132,""it"",""en"")"),"What does the Piazza del Campo symbolize during the Palio?")</f>
        <v>What does the Piazza del Campo symbolize during the Palio?</v>
      </c>
      <c r="I132" s="10" t="str">
        <f>IFERROR(__xludf.DUMMYFUNCTION("GOOGLETRANSLATE(C132,""it"",""en"")"),"A. The strength of the districts B. The history of Siena C. Religious devotion D. The centrality of the city")</f>
        <v>A. The strength of the districts B. The history of Siena C. Religious devotion D. The centrality of the city</v>
      </c>
      <c r="J132" s="10" t="str">
        <f>IFERROR(__xludf.DUMMYFUNCTION("GOOGLETRANSLATE(D132,""it"",""en"")"),"The centrality of the city")</f>
        <v>The centrality of the city</v>
      </c>
      <c r="K132" s="10" t="str">
        <f>IFERROR(__xludf.DUMMYFUNCTION("GOOGLETRANSLATE(E132,""it"",""en"")"),"The Piazza del Campo is the symbolic heart of the city.")</f>
        <v>The Piazza del Campo is the symbolic heart of the city.</v>
      </c>
    </row>
    <row r="133" ht="22.5" customHeight="1">
      <c r="A133" s="11">
        <v>132.0</v>
      </c>
      <c r="B133" s="5" t="s">
        <v>2316</v>
      </c>
      <c r="C133" s="5" t="s">
        <v>2317</v>
      </c>
      <c r="D133" s="5" t="s">
        <v>2318</v>
      </c>
      <c r="E133" s="5" t="s">
        <v>2319</v>
      </c>
      <c r="F133" s="3"/>
      <c r="G133" s="11">
        <v>132.0</v>
      </c>
      <c r="H133" s="10" t="str">
        <f>IFERROR(__xludf.DUMMYFUNCTION("GOOGLETRANSLATE(B133,""it"",""en"")"),"Which district has a lion as its symbol?")</f>
        <v>Which district has a lion as its symbol?</v>
      </c>
      <c r="I133" s="10" t="str">
        <f>IFERROR(__xludf.DUMMYFUNCTION("GOOGLETRANSLATE(C133,""it"",""en"")"),"A. Eagle B. Unicorn C. Panther D. Wave")</f>
        <v>A. Eagle B. Unicorn C. Panther D. Wave</v>
      </c>
      <c r="J133" s="10" t="str">
        <f>IFERROR(__xludf.DUMMYFUNCTION("GOOGLETRANSLATE(D133,""it"",""en"")"),"Unicorn")</f>
        <v>Unicorn</v>
      </c>
      <c r="K133" s="10" t="str">
        <f>IFERROR(__xludf.DUMMYFUNCTION("GOOGLETRANSLATE(E133,""it"",""en"")"),"The Leocorno has a lion as its symbol.")</f>
        <v>The Leocorno has a lion as its symbol.</v>
      </c>
    </row>
    <row r="134" ht="22.5" customHeight="1">
      <c r="A134" s="11">
        <v>133.0</v>
      </c>
      <c r="B134" s="5" t="s">
        <v>2320</v>
      </c>
      <c r="C134" s="5" t="s">
        <v>2321</v>
      </c>
      <c r="D134" s="5" t="s">
        <v>2322</v>
      </c>
      <c r="E134" s="5" t="s">
        <v>2323</v>
      </c>
      <c r="F134" s="3"/>
      <c r="G134" s="11">
        <v>133.0</v>
      </c>
      <c r="H134" s="10" t="str">
        <f>IFERROR(__xludf.DUMMYFUNCTION("GOOGLETRANSLATE(B134,""it"",""en"")"),"What does the wave represent in the symbol of the homonymous district?")</f>
        <v>What does the wave represent in the symbol of the homonymous district?</v>
      </c>
      <c r="I134" s="10" t="str">
        <f>IFERROR(__xludf.DUMMYFUNCTION("GOOGLETRANSLATE(C134,""it"",""en"")"),"A. The power of the waters B. Maritime trade C. The defense of Siena D. The purity of the Madonna")</f>
        <v>A. The power of the waters B. Maritime trade C. The defense of Siena D. The purity of the Madonna</v>
      </c>
      <c r="J134" s="10" t="str">
        <f>IFERROR(__xludf.DUMMYFUNCTION("GOOGLETRANSLATE(D134,""it"",""en"")"),"Maritime trade")</f>
        <v>Maritime trade</v>
      </c>
      <c r="K134" s="10" t="str">
        <f>IFERROR(__xludf.DUMMYFUNCTION("GOOGLETRANSLATE(E134,""it"",""en"")"),"The Wave represents the link with maritime trade.")</f>
        <v>The Wave represents the link with maritime trade.</v>
      </c>
    </row>
    <row r="135" ht="22.5" customHeight="1">
      <c r="A135" s="11">
        <v>134.0</v>
      </c>
      <c r="B135" s="5" t="s">
        <v>2324</v>
      </c>
      <c r="C135" s="5" t="s">
        <v>2325</v>
      </c>
      <c r="D135" s="5" t="s">
        <v>1924</v>
      </c>
      <c r="E135" s="5" t="s">
        <v>2326</v>
      </c>
      <c r="F135" s="3"/>
      <c r="G135" s="11">
        <v>134.0</v>
      </c>
      <c r="H135" s="10" t="str">
        <f>IFERROR(__xludf.DUMMYFUNCTION("GOOGLETRANSLATE(B135,""it"",""en"")"),"Which contrada has a horse as its symbol?")</f>
        <v>Which contrada has a horse as its symbol?</v>
      </c>
      <c r="I135" s="10" t="str">
        <f>IFERROR(__xludf.DUMMYFUNCTION("GOOGLETRANSLATE(C135,""it"",""en"")"),"A. Goose B. Nicchio C. Wave D. Owl")</f>
        <v>A. Goose B. Nicchio C. Wave D. Owl</v>
      </c>
      <c r="J135" s="10" t="str">
        <f>IFERROR(__xludf.DUMMYFUNCTION("GOOGLETRANSLATE(D135,""it"",""en"")"),"Niche")</f>
        <v>Niche</v>
      </c>
      <c r="K135" s="10" t="str">
        <f>IFERROR(__xludf.DUMMYFUNCTION("GOOGLETRANSLATE(E135,""it"",""en"")"),"The Nicchio has a horse as its symbol.")</f>
        <v>The Nicchio has a horse as its symbol.</v>
      </c>
    </row>
    <row r="136" ht="22.5" customHeight="1">
      <c r="A136" s="11">
        <v>135.0</v>
      </c>
      <c r="B136" s="5" t="s">
        <v>2327</v>
      </c>
      <c r="C136" s="5" t="s">
        <v>2328</v>
      </c>
      <c r="D136" s="5" t="s">
        <v>2329</v>
      </c>
      <c r="E136" s="5" t="s">
        <v>2330</v>
      </c>
      <c r="F136" s="3"/>
      <c r="G136" s="11">
        <v>135.0</v>
      </c>
      <c r="H136" s="10" t="str">
        <f>IFERROR(__xludf.DUMMYFUNCTION("GOOGLETRANSLATE(B136,""it"",""en"")"),"What is the meaning of the ""tratta"" in the Palio?")</f>
        <v>What is the meaning of the "tratta" in the Palio?</v>
      </c>
      <c r="I136" s="10" t="str">
        <f>IFERROR(__xludf.DUMMYFUNCTION("GOOGLETRANSLATE(C136,""it"",""en"")"),"A. The distribution of the horses B. The blessing of the horses C. The historical procession D. The selection of the starter")</f>
        <v>A. The distribution of the horses B. The blessing of the horses C. The historical procession D. The selection of the starter</v>
      </c>
      <c r="J136" s="10" t="str">
        <f>IFERROR(__xludf.DUMMYFUNCTION("GOOGLETRANSLATE(D136,""it"",""en"")"),"The distribution of horses")</f>
        <v>The distribution of horses</v>
      </c>
      <c r="K136" s="10" t="str">
        <f>IFERROR(__xludf.DUMMYFUNCTION("GOOGLETRANSLATE(E136,""it"",""en"")"),"The tratta is the drawing of lots for horses between the districts.")</f>
        <v>The tratta is the drawing of lots for horses between the districts.</v>
      </c>
    </row>
    <row r="137" ht="22.5" customHeight="1">
      <c r="A137" s="4">
        <v>136.0</v>
      </c>
      <c r="B137" s="5" t="s">
        <v>2331</v>
      </c>
      <c r="C137" s="5" t="s">
        <v>2332</v>
      </c>
      <c r="D137" s="5" t="s">
        <v>2333</v>
      </c>
      <c r="E137" s="5" t="s">
        <v>2334</v>
      </c>
      <c r="F137" s="3"/>
      <c r="G137" s="4">
        <v>136.0</v>
      </c>
      <c r="H137" s="10" t="str">
        <f>IFERROR(__xludf.DUMMYFUNCTION("GOOGLETRANSLATE(B137,""it"",""en"")"),"What does ""shaken jockey"" mean?")</f>
        <v>What does "shaken jockey" mean?</v>
      </c>
      <c r="I137" s="10" t="str">
        <f>IFERROR(__xludf.DUMMYFUNCTION("GOOGLETRANSLATE(C137,""it"",""en"")"),"A. A jockey who does not participate B. A jockey in difficulty C. A horse that runs without a jockey D. A replaced jockey")</f>
        <v>A. A jockey who does not participate B. A jockey in difficulty C. A horse that runs without a jockey D. A replaced jockey</v>
      </c>
      <c r="J137" s="10" t="str">
        <f>IFERROR(__xludf.DUMMYFUNCTION("GOOGLETRANSLATE(D137,""it"",""en"")"),"A horse that runs without a rider")</f>
        <v>A horse that runs without a rider</v>
      </c>
      <c r="K137" s="10" t="str">
        <f>IFERROR(__xludf.DUMMYFUNCTION("GOOGLETRANSLATE(E137,""it"",""en"")"),"The jockey who was shaken is the one who fell during the race.")</f>
        <v>The jockey who was shaken is the one who fell during the race.</v>
      </c>
    </row>
    <row r="138" ht="22.5" customHeight="1">
      <c r="A138" s="11">
        <v>137.0</v>
      </c>
      <c r="B138" s="5" t="s">
        <v>2335</v>
      </c>
      <c r="C138" s="5" t="s">
        <v>2336</v>
      </c>
      <c r="D138" s="5" t="s">
        <v>2337</v>
      </c>
      <c r="E138" s="5" t="s">
        <v>2338</v>
      </c>
      <c r="F138" s="3"/>
      <c r="G138" s="11">
        <v>137.0</v>
      </c>
      <c r="H138" s="10" t="str">
        <f>IFERROR(__xludf.DUMMYFUNCTION("GOOGLETRANSLATE(B138,""it"",""en"")"),"What happens if a horse is injured during the Palio?")</f>
        <v>What happens if a horse is injured during the Palio?</v>
      </c>
      <c r="I138" s="10" t="str">
        <f>IFERROR(__xludf.DUMMYFUNCTION("GOOGLETRANSLATE(C138,""it"",""en"")"),"A. He is excluded from the race B. He is immediately assisted C. The contrada is disqualified D. The race is suspended")</f>
        <v>A. He is excluded from the race B. He is immediately assisted C. The contrada is disqualified D. The race is suspended</v>
      </c>
      <c r="J138" s="10" t="str">
        <f>IFERROR(__xludf.DUMMYFUNCTION("GOOGLETRANSLATE(D138,""it"",""en"")"),"He is assisted immediately")</f>
        <v>He is assisted immediately</v>
      </c>
      <c r="K138" s="10" t="str">
        <f>IFERROR(__xludf.DUMMYFUNCTION("GOOGLETRANSLATE(E138,""it"",""en"")"),"The horse receives immediate treatment.")</f>
        <v>The horse receives immediate treatment.</v>
      </c>
    </row>
    <row r="139" ht="22.5" customHeight="1">
      <c r="A139" s="11">
        <v>138.0</v>
      </c>
      <c r="B139" s="5" t="s">
        <v>2149</v>
      </c>
      <c r="C139" s="5" t="s">
        <v>2339</v>
      </c>
      <c r="D139" s="5" t="s">
        <v>2340</v>
      </c>
      <c r="E139" s="5" t="s">
        <v>2341</v>
      </c>
      <c r="F139" s="3"/>
      <c r="G139" s="11">
        <v>138.0</v>
      </c>
      <c r="H139" s="10" t="str">
        <f>IFERROR(__xludf.DUMMYFUNCTION("GOOGLETRANSLATE(B139,""it"",""en"")"),"What is the meaning of the term ""barbaresco""?")</f>
        <v>What is the meaning of the term "barbaresco"?</v>
      </c>
      <c r="I139" s="10" t="str">
        <f>IFERROR(__xludf.DUMMYFUNCTION("GOOGLETRANSLATE(C139,""it"",""en"")"),"A. The horse keeper B. A role in the historical parade C. A judge of the Palio D. A term for the starter")</f>
        <v>A. The horse keeper B. A role in the historical parade C. A judge of the Palio D. A term for the starter</v>
      </c>
      <c r="J139" s="10" t="str">
        <f>IFERROR(__xludf.DUMMYFUNCTION("GOOGLETRANSLATE(D139,""it"",""en"")"),"The horse keeper")</f>
        <v>The horse keeper</v>
      </c>
      <c r="K139" s="10" t="str">
        <f>IFERROR(__xludf.DUMMYFUNCTION("GOOGLETRANSLATE(E139,""it"",""en"")"),"The Barbaresco takes care of the contrada's horse.")</f>
        <v>The Barbaresco takes care of the contrada's horse.</v>
      </c>
    </row>
    <row r="140" ht="22.5" customHeight="1">
      <c r="A140" s="11">
        <v>139.0</v>
      </c>
      <c r="B140" s="5" t="s">
        <v>2342</v>
      </c>
      <c r="C140" s="5" t="s">
        <v>2343</v>
      </c>
      <c r="D140" s="5" t="s">
        <v>2344</v>
      </c>
      <c r="E140" s="5" t="s">
        <v>2345</v>
      </c>
      <c r="F140" s="3"/>
      <c r="G140" s="11">
        <v>139.0</v>
      </c>
      <c r="H140" s="10" t="str">
        <f>IFERROR(__xludf.DUMMYFUNCTION("GOOGLETRANSLATE(B140,""it"",""en"")"),"What is the average length of the Palio race?")</f>
        <v>What is the average length of the Palio race?</v>
      </c>
      <c r="I140" s="10" t="str">
        <f>IFERROR(__xludf.DUMMYFUNCTION("GOOGLETRANSLATE(C140,""it"",""en"")"),"A. 30 seconds B. 1 minute C. 90 seconds D. 2 minutes")</f>
        <v>A. 30 seconds B. 1 minute C. 90 seconds D. 2 minutes</v>
      </c>
      <c r="J140" s="10" t="str">
        <f>IFERROR(__xludf.DUMMYFUNCTION("GOOGLETRANSLATE(D140,""it"",""en"")"),"90 seconds")</f>
        <v>90 seconds</v>
      </c>
      <c r="K140" s="10" t="str">
        <f>IFERROR(__xludf.DUMMYFUNCTION("GOOGLETRANSLATE(E140,""it"",""en"")"),"The Palio race lasts approximately 90 seconds.")</f>
        <v>The Palio race lasts approximately 90 seconds.</v>
      </c>
    </row>
    <row r="141" ht="22.5" customHeight="1">
      <c r="A141" s="11">
        <v>140.0</v>
      </c>
      <c r="B141" s="5" t="s">
        <v>2346</v>
      </c>
      <c r="C141" s="5" t="s">
        <v>2347</v>
      </c>
      <c r="D141" s="5" t="s">
        <v>2348</v>
      </c>
      <c r="E141" s="5" t="s">
        <v>2349</v>
      </c>
      <c r="F141" s="3"/>
      <c r="G141" s="11">
        <v>140.0</v>
      </c>
      <c r="H141" s="10" t="str">
        <f>IFERROR(__xludf.DUMMYFUNCTION("GOOGLETRANSLATE(B141,""it"",""en"")"),"Which district has an elephant as its symbol?")</f>
        <v>Which district has an elephant as its symbol?</v>
      </c>
      <c r="I141" s="10" t="str">
        <f>IFERROR(__xludf.DUMMYFUNCTION("GOOGLETRANSLATE(C141,""it"",""en"")"),"A. Eagle B. Turtle C. Dragon D. Wave")</f>
        <v>A. Eagle B. Turtle C. Dragon D. Wave</v>
      </c>
      <c r="J141" s="10" t="str">
        <f>IFERROR(__xludf.DUMMYFUNCTION("GOOGLETRANSLATE(D141,""it"",""en"")"),"Turtle")</f>
        <v>Turtle</v>
      </c>
      <c r="K141" s="10" t="str">
        <f>IFERROR(__xludf.DUMMYFUNCTION("GOOGLETRANSLATE(E141,""it"",""en"")"),"The Tartuca has an elephant as its symbol.")</f>
        <v>The Tartuca has an elephant as its symbol.</v>
      </c>
    </row>
    <row r="142" ht="22.5" customHeight="1">
      <c r="A142" s="4">
        <v>141.0</v>
      </c>
      <c r="B142" s="5" t="s">
        <v>2350</v>
      </c>
      <c r="C142" s="5" t="s">
        <v>2351</v>
      </c>
      <c r="D142" s="5" t="s">
        <v>2352</v>
      </c>
      <c r="E142" s="5" t="s">
        <v>2353</v>
      </c>
      <c r="F142" s="3"/>
      <c r="G142" s="4">
        <v>141.0</v>
      </c>
      <c r="H142" s="10" t="str">
        <f>IFERROR(__xludf.DUMMYFUNCTION("GOOGLETRANSLATE(B142,""it"",""en"")"),"What does the symbol of the Oca contrada represent?")</f>
        <v>What does the symbol of the Oca contrada represent?</v>
      </c>
      <c r="I142" s="10" t="str">
        <f>IFERROR(__xludf.DUMMYFUNCTION("GOOGLETRANSLATE(C142,""it"",""en"")"),"A. Devotion to the Madonna B. The purity of water C. The connection with nature D. Luck and success")</f>
        <v>A. Devotion to the Madonna B. The purity of water C. The connection with nature D. Luck and success</v>
      </c>
      <c r="J142" s="10" t="str">
        <f>IFERROR(__xludf.DUMMYFUNCTION("GOOGLETRANSLATE(D142,""it"",""en"")"),"Devotion to Our Lady")</f>
        <v>Devotion to Our Lady</v>
      </c>
      <c r="K142" s="10" t="str">
        <f>IFERROR(__xludf.DUMMYFUNCTION("GOOGLETRANSLATE(E142,""it"",""en"")"),"The Goose symbolizes devotion to the Madonna.")</f>
        <v>The Goose symbolizes devotion to the Madonna.</v>
      </c>
    </row>
    <row r="143" ht="22.5" customHeight="1">
      <c r="A143" s="11">
        <v>142.0</v>
      </c>
      <c r="B143" s="5" t="s">
        <v>2354</v>
      </c>
      <c r="C143" s="5" t="s">
        <v>2355</v>
      </c>
      <c r="D143" s="5" t="s">
        <v>2356</v>
      </c>
      <c r="E143" s="5" t="s">
        <v>2357</v>
      </c>
      <c r="F143" s="3"/>
      <c r="G143" s="11">
        <v>142.0</v>
      </c>
      <c r="H143" s="10" t="str">
        <f>IFERROR(__xludf.DUMMYFUNCTION("GOOGLETRANSLATE(B143,""it"",""en"")"),"What happens if a horse completes the race without a jockey?")</f>
        <v>What happens if a horse completes the race without a jockey?</v>
      </c>
      <c r="I143" s="10" t="str">
        <f>IFERROR(__xludf.DUMMYFUNCTION("GOOGLETRANSLATE(C143,""it"",""en"")"),"A. He is disqualified B. The contrada loses C. He can win the Palio D. The race is cancelled")</f>
        <v>A. He is disqualified B. The contrada loses C. He can win the Palio D. The race is cancelled</v>
      </c>
      <c r="J143" s="10" t="str">
        <f>IFERROR(__xludf.DUMMYFUNCTION("GOOGLETRANSLATE(D143,""it"",""en"")"),"He can win the Palio")</f>
        <v>He can win the Palio</v>
      </c>
      <c r="K143" s="10" t="str">
        <f>IFERROR(__xludf.DUMMYFUNCTION("GOOGLETRANSLATE(E143,""it"",""en"")"),"A shaken horse can still win.")</f>
        <v>A shaken horse can still win.</v>
      </c>
    </row>
    <row r="144" ht="22.5" customHeight="1">
      <c r="A144" s="11">
        <v>143.0</v>
      </c>
      <c r="B144" s="5" t="s">
        <v>2358</v>
      </c>
      <c r="C144" s="5" t="s">
        <v>2359</v>
      </c>
      <c r="D144" s="5" t="s">
        <v>1872</v>
      </c>
      <c r="E144" s="5" t="s">
        <v>2360</v>
      </c>
      <c r="F144" s="3"/>
      <c r="G144" s="11">
        <v>143.0</v>
      </c>
      <c r="H144" s="10" t="str">
        <f>IFERROR(__xludf.DUMMYFUNCTION("GOOGLETRANSLATE(B144,""it"",""en"")"),"Which contrada has won the most victories in the history of the Palio?")</f>
        <v>Which contrada has won the most victories in the history of the Palio?</v>
      </c>
      <c r="I144" s="10" t="str">
        <f>IFERROR(__xludf.DUMMYFUNCTION("GOOGLETRANSLATE(C144,""it"",""en"")"),"A. Goose B. Giraffe C. Wolf D. Tower")</f>
        <v>A. Goose B. Giraffe C. Wolf D. Tower</v>
      </c>
      <c r="J144" s="10" t="str">
        <f>IFERROR(__xludf.DUMMYFUNCTION("GOOGLETRANSLATE(D144,""it"",""en"")"),"Goose")</f>
        <v>Goose</v>
      </c>
      <c r="K144" s="10" t="str">
        <f>IFERROR(__xludf.DUMMYFUNCTION("GOOGLETRANSLATE(E144,""it"",""en"")"),"The Goose is known for having the most victories.")</f>
        <v>The Goose is known for having the most victories.</v>
      </c>
    </row>
    <row r="145" ht="22.5" customHeight="1">
      <c r="A145" s="11">
        <v>144.0</v>
      </c>
      <c r="B145" s="5" t="s">
        <v>2361</v>
      </c>
      <c r="C145" s="5" t="s">
        <v>2362</v>
      </c>
      <c r="D145" s="5" t="s">
        <v>2251</v>
      </c>
      <c r="E145" s="5" t="s">
        <v>2363</v>
      </c>
      <c r="F145" s="3"/>
      <c r="G145" s="11">
        <v>144.0</v>
      </c>
      <c r="H145" s="10" t="str">
        <f>IFERROR(__xludf.DUMMYFUNCTION("GOOGLETRANSLATE(B145,""it"",""en"")"),"What does the term ""cencio"" mean?")</f>
        <v>What does the term "cencio" mean?</v>
      </c>
      <c r="I145" s="10" t="str">
        <f>IFERROR(__xludf.DUMMYFUNCTION("GOOGLETRANSLATE(C145,""it"",""en"")"),"A. The banner B. The symbol of the contrada C. A shaken horse D. The historical procession")</f>
        <v>A. The banner B. The symbol of the contrada C. A shaken horse D. The historical procession</v>
      </c>
      <c r="J145" s="10" t="str">
        <f>IFERROR(__xludf.DUMMYFUNCTION("GOOGLETRANSLATE(D145,""it"",""en"")"),"The banner")</f>
        <v>The banner</v>
      </c>
      <c r="K145" s="10" t="str">
        <f>IFERROR(__xludf.DUMMYFUNCTION("GOOGLETRANSLATE(E145,""it"",""en"")"),"The ""cencio"" is the nickname of the banner.")</f>
        <v>The "cencio" is the nickname of the banner.</v>
      </c>
    </row>
    <row r="146" ht="22.5" customHeight="1">
      <c r="A146" s="11">
        <v>145.0</v>
      </c>
      <c r="B146" s="5" t="s">
        <v>2364</v>
      </c>
      <c r="C146" s="5" t="s">
        <v>2365</v>
      </c>
      <c r="D146" s="5" t="s">
        <v>2366</v>
      </c>
      <c r="E146" s="5" t="s">
        <v>2367</v>
      </c>
      <c r="F146" s="3"/>
      <c r="G146" s="11">
        <v>145.0</v>
      </c>
      <c r="H146" s="10" t="str">
        <f>IFERROR(__xludf.DUMMYFUNCTION("GOOGLETRANSLATE(B146,""it"",""en"")"),"What happens if a contrada doesn't present a horse?")</f>
        <v>What happens if a contrada doesn't present a horse?</v>
      </c>
      <c r="I146" s="10" t="str">
        <f>IFERROR(__xludf.DUMMYFUNCTION("GOOGLETRANSLATE(C146,""it"",""en"")"),"A. She is disqualified B. She participates with a horse drawn by lot C. She is excluded from the Palio D. She is penalized")</f>
        <v>A. She is disqualified B. She participates with a horse drawn by lot C. She is excluded from the Palio D. She is penalized</v>
      </c>
      <c r="J146" s="10" t="str">
        <f>IFERROR(__xludf.DUMMYFUNCTION("GOOGLETRANSLATE(D146,""it"",""en"")"),"Participate with a horse drawn by lot")</f>
        <v>Participate with a horse drawn by lot</v>
      </c>
      <c r="K146" s="10" t="str">
        <f>IFERROR(__xludf.DUMMYFUNCTION("GOOGLETRANSLATE(E146,""it"",""en"")"),"The contrada can use a horse drawn by lot.")</f>
        <v>The contrada can use a horse drawn by lot.</v>
      </c>
    </row>
    <row r="147" ht="22.5" customHeight="1">
      <c r="A147" s="4">
        <v>146.0</v>
      </c>
      <c r="B147" s="5" t="s">
        <v>2368</v>
      </c>
      <c r="C147" s="5" t="s">
        <v>2369</v>
      </c>
      <c r="D147" s="5" t="s">
        <v>2370</v>
      </c>
      <c r="E147" s="5" t="s">
        <v>2371</v>
      </c>
      <c r="F147" s="3"/>
      <c r="G147" s="4">
        <v>146.0</v>
      </c>
      <c r="H147" s="10" t="str">
        <f>IFERROR(__xludf.DUMMYFUNCTION("GOOGLETRANSLATE(B147,""it"",""en"")"),"How is the jockey of each contrada decided?")</f>
        <v>How is the jockey of each contrada decided?</v>
      </c>
      <c r="I147" s="10" t="str">
        <f>IFERROR(__xludf.DUMMYFUNCTION("GOOGLETRANSLATE(C147,""it"",""en"")"),"A. By vote B. By drawing lots C. By decision of the captain D. By invitation of the starter")</f>
        <v>A. By vote B. By drawing lots C. By decision of the captain D. By invitation of the starter</v>
      </c>
      <c r="J147" s="10" t="str">
        <f>IFERROR(__xludf.DUMMYFUNCTION("GOOGLETRANSLATE(D147,""it"",""en"")"),"At the captain's decision")</f>
        <v>At the captain's decision</v>
      </c>
      <c r="K147" s="10" t="str">
        <f>IFERROR(__xludf.DUMMYFUNCTION("GOOGLETRANSLATE(E147,""it"",""en"")"),"The captain decides which jockey will represent the contrada.")</f>
        <v>The captain decides which jockey will represent the contrada.</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3" width="37.63"/>
    <col customWidth="1" min="4" max="4" width="33.5"/>
    <col customWidth="1" min="5" max="5" width="37.63"/>
    <col customWidth="1" min="8" max="8" width="18.5"/>
    <col customWidth="1" min="9" max="10" width="37.63"/>
    <col customWidth="1" min="11" max="11" width="32.63"/>
    <col customWidth="1" min="12" max="12" width="37.63"/>
  </cols>
  <sheetData>
    <row r="1" ht="22.5" customHeight="1">
      <c r="A1" s="8" t="s">
        <v>0</v>
      </c>
      <c r="B1" s="8" t="s">
        <v>1</v>
      </c>
      <c r="C1" s="2" t="s">
        <v>2</v>
      </c>
      <c r="D1" s="8" t="s">
        <v>3</v>
      </c>
      <c r="E1" s="8" t="s">
        <v>4</v>
      </c>
      <c r="F1" s="3"/>
      <c r="G1" s="3"/>
      <c r="H1" s="8" t="s">
        <v>0</v>
      </c>
      <c r="I1" s="8" t="s">
        <v>5</v>
      </c>
      <c r="J1" s="2" t="s">
        <v>6</v>
      </c>
      <c r="K1" s="8" t="s">
        <v>7</v>
      </c>
      <c r="L1" s="8" t="s">
        <v>8</v>
      </c>
      <c r="M1" s="3"/>
      <c r="N1" s="3"/>
    </row>
    <row r="2" ht="22.5" customHeight="1">
      <c r="A2" s="11">
        <v>1.0</v>
      </c>
      <c r="B2" s="5" t="s">
        <v>2372</v>
      </c>
      <c r="C2" s="5" t="s">
        <v>2373</v>
      </c>
      <c r="D2" s="5" t="s">
        <v>2374</v>
      </c>
      <c r="E2" s="5" t="s">
        <v>2375</v>
      </c>
      <c r="F2" s="3"/>
      <c r="G2" s="3"/>
      <c r="H2" s="11">
        <v>1.0</v>
      </c>
      <c r="I2" s="10" t="str">
        <f>IFERROR(__xludf.DUMMYFUNCTION("GOOGLETRANSLATE(B2,""it"",""en"")"),"What did cheese represent in the traditional game of Ruzzola?")</f>
        <v>What did cheese represent in the traditional game of Ruzzola?</v>
      </c>
      <c r="J2" s="10" t="str">
        <f>IFERROR(__xludf.DUMMYFUNCTION("GOOGLETRANSLATE(C2,""it"",""en"")"),"A. A sacred object B. A prize for winners C. A symbol of prosperity D. A simple gaming tool")</f>
        <v>A. A sacred object B. A prize for winners C. A symbol of prosperity D. A simple gaming tool</v>
      </c>
      <c r="K2" s="10" t="str">
        <f>IFERROR(__xludf.DUMMYFUNCTION("GOOGLETRANSLATE(D2,""it"",""en"")"),"A prize for the winners")</f>
        <v>A prize for the winners</v>
      </c>
      <c r="L2" s="10" t="str">
        <f>IFERROR(__xludf.DUMMYFUNCTION("GOOGLETRANSLATE(E2,""it"",""en"")"),"Cheese was the traditional prize for the winners of the game.")</f>
        <v>Cheese was the traditional prize for the winners of the game.</v>
      </c>
    </row>
    <row r="3" ht="22.5" customHeight="1">
      <c r="A3" s="11">
        <v>2.0</v>
      </c>
      <c r="B3" s="5" t="s">
        <v>2376</v>
      </c>
      <c r="C3" s="5" t="s">
        <v>2377</v>
      </c>
      <c r="D3" s="5" t="s">
        <v>2378</v>
      </c>
      <c r="E3" s="5" t="s">
        <v>2379</v>
      </c>
      <c r="F3" s="3"/>
      <c r="G3" s="3"/>
      <c r="H3" s="11">
        <v>2.0</v>
      </c>
      <c r="I3" s="10" t="str">
        <f>IFERROR(__xludf.DUMMYFUNCTION("GOOGLETRANSLATE(B3,""it"",""en"")"),"In which Italian region is the game of Ruzzola most popular?")</f>
        <v>In which Italian region is the game of Ruzzola most popular?</v>
      </c>
      <c r="J3" s="10" t="str">
        <f>IFERROR(__xludf.DUMMYFUNCTION("GOOGLETRANSLATE(C3,""it"",""en"")"),"A. Sicily B. Tuscany C. Umbria D. Piedmont")</f>
        <v>A. Sicily B. Tuscany C. Umbria D. Piedmont</v>
      </c>
      <c r="K3" s="10" t="str">
        <f>IFERROR(__xludf.DUMMYFUNCTION("GOOGLETRANSLATE(D3,""it"",""en"")"),"Umbria")</f>
        <v>Umbria</v>
      </c>
      <c r="L3" s="10" t="str">
        <f>IFERROR(__xludf.DUMMYFUNCTION("GOOGLETRANSLATE(E3,""it"",""en"")"),"The game is particularly popular in Umbria and Marche.")</f>
        <v>The game is particularly popular in Umbria and Marche.</v>
      </c>
    </row>
    <row r="4" ht="22.5" customHeight="1">
      <c r="A4" s="11">
        <v>3.0</v>
      </c>
      <c r="B4" s="5" t="s">
        <v>2380</v>
      </c>
      <c r="C4" s="5" t="s">
        <v>2381</v>
      </c>
      <c r="D4" s="5" t="s">
        <v>2382</v>
      </c>
      <c r="E4" s="5" t="s">
        <v>2383</v>
      </c>
      <c r="F4" s="3"/>
      <c r="G4" s="3"/>
      <c r="H4" s="11">
        <v>3.0</v>
      </c>
      <c r="I4" s="10" t="str">
        <f>IFERROR(__xludf.DUMMYFUNCTION("GOOGLETRANSLATE(B4,""it"",""en"")"),"How was Ruzzola used in the Middle Ages?")</f>
        <v>How was Ruzzola used in the Middle Ages?</v>
      </c>
      <c r="J4" s="10" t="str">
        <f>IFERROR(__xludf.DUMMYFUNCTION("GOOGLETRANSLATE(C4,""it"",""en"")"),"A. For sports competitions B. For religious practices C. For agricultural purposes D. For military training")</f>
        <v>A. For sports competitions B. For religious practices C. For agricultural purposes D. For military training</v>
      </c>
      <c r="K4" s="10" t="str">
        <f>IFERROR(__xludf.DUMMYFUNCTION("GOOGLETRANSLATE(D4,""it"",""en"")"),"For sports competitions")</f>
        <v>For sports competitions</v>
      </c>
      <c r="L4" s="10" t="str">
        <f>IFERROR(__xludf.DUMMYFUNCTION("GOOGLETRANSLATE(E4,""it"",""en"")"),"The game was a form of entertainment and sporting competition in the Middle Ages.")</f>
        <v>The game was a form of entertainment and sporting competition in the Middle Ages.</v>
      </c>
    </row>
    <row r="5" ht="22.5" customHeight="1">
      <c r="A5" s="11">
        <v>4.0</v>
      </c>
      <c r="B5" s="5" t="s">
        <v>2384</v>
      </c>
      <c r="C5" s="5" t="s">
        <v>2385</v>
      </c>
      <c r="D5" s="5" t="s">
        <v>2386</v>
      </c>
      <c r="E5" s="5" t="s">
        <v>2387</v>
      </c>
      <c r="F5" s="3"/>
      <c r="G5" s="3"/>
      <c r="H5" s="11">
        <v>4.0</v>
      </c>
      <c r="I5" s="10" t="str">
        <f>IFERROR(__xludf.DUMMYFUNCTION("GOOGLETRANSLATE(B5,""it"",""en"")"),"When were the traditional Ruzzola races held?")</f>
        <v>When were the traditional Ruzzola races held?</v>
      </c>
      <c r="J5" s="10" t="str">
        <f>IFERROR(__xludf.DUMMYFUNCTION("GOOGLETRANSLATE(C5,""it"",""en"")"),"A. During religious holidays B. During breaks in agricultural work C. During weddings D. During medieval wars")</f>
        <v>A. During religious holidays B. During breaks in agricultural work C. During weddings D. During medieval wars</v>
      </c>
      <c r="K5" s="10" t="str">
        <f>IFERROR(__xludf.DUMMYFUNCTION("GOOGLETRANSLATE(D5,""it"",""en"")"),"During religious holidays")</f>
        <v>During religious holidays</v>
      </c>
      <c r="L5" s="10" t="str">
        <f>IFERROR(__xludf.DUMMYFUNCTION("GOOGLETRANSLATE(E5,""it"",""en"")"),"The competitions often took place during religious celebrations.")</f>
        <v>The competitions often took place during religious celebrations.</v>
      </c>
    </row>
    <row r="6" ht="22.5" customHeight="1">
      <c r="A6" s="11">
        <v>5.0</v>
      </c>
      <c r="B6" s="5" t="s">
        <v>2388</v>
      </c>
      <c r="C6" s="5" t="s">
        <v>2389</v>
      </c>
      <c r="D6" s="5" t="s">
        <v>2390</v>
      </c>
      <c r="E6" s="5" t="s">
        <v>2391</v>
      </c>
      <c r="F6" s="3"/>
      <c r="G6" s="3"/>
      <c r="H6" s="11">
        <v>5.0</v>
      </c>
      <c r="I6" s="10" t="str">
        <f>IFERROR(__xludf.DUMMYFUNCTION("GOOGLETRANSLATE(B6,""it"",""en"")"),"What is the main purpose of the Ruzzola game?")</f>
        <v>What is the main purpose of the Ruzzola game?</v>
      </c>
      <c r="J6" s="10" t="str">
        <f>IFERROR(__xludf.DUMMYFUNCTION("GOOGLETRANSLATE(C6,""it"",""en"")"),"A. Throw the Tumbler as far as possible B. Hit a target with the Tumbler C. Throw the Tumbler into a circle D. Collect the most Tumblers")</f>
        <v>A. Throw the Tumbler as far as possible B. Hit a target with the Tumbler C. Throw the Tumbler into a circle D. Collect the most Tumblers</v>
      </c>
      <c r="K6" s="10" t="str">
        <f>IFERROR(__xludf.DUMMYFUNCTION("GOOGLETRANSLATE(D6,""it"",""en"")"),"Throw the Ruzzola as far as possible")</f>
        <v>Throw the Ruzzola as far as possible</v>
      </c>
      <c r="L6" s="10" t="str">
        <f>IFERROR(__xludf.DUMMYFUNCTION("GOOGLETRANSLATE(E6,""it"",""en"")"),"The winner is the one who throws the Ruzzola the greatest distance.")</f>
        <v>The winner is the one who throws the Ruzzola the greatest distance.</v>
      </c>
    </row>
    <row r="7" ht="22.5" customHeight="1">
      <c r="A7" s="11">
        <v>6.0</v>
      </c>
      <c r="B7" s="5" t="s">
        <v>2392</v>
      </c>
      <c r="C7" s="5" t="s">
        <v>2393</v>
      </c>
      <c r="D7" s="5" t="s">
        <v>2394</v>
      </c>
      <c r="E7" s="5" t="s">
        <v>2395</v>
      </c>
      <c r="F7" s="3"/>
      <c r="G7" s="3"/>
      <c r="H7" s="11">
        <v>6.0</v>
      </c>
      <c r="I7" s="10" t="str">
        <f>IFERROR(__xludf.DUMMYFUNCTION("GOOGLETRANSLATE(B7,""it"",""en"")"),"What tool is used to throw the Ruzzola?")</f>
        <v>What tool is used to throw the Ruzzola?</v>
      </c>
      <c r="J7" s="10" t="str">
        <f>IFERROR(__xludf.DUMMYFUNCTION("GOOGLETRANSLATE(C7,""it"",""en"")"),"A. A stick B. A rope C. Hands D. A glove")</f>
        <v>A. A stick B. A rope C. Hands D. A glove</v>
      </c>
      <c r="K7" s="10" t="str">
        <f>IFERROR(__xludf.DUMMYFUNCTION("GOOGLETRANSLATE(D7,""it"",""en"")"),"A rope")</f>
        <v>A rope</v>
      </c>
      <c r="L7" s="10" t="str">
        <f>IFERROR(__xludf.DUMMYFUNCTION("GOOGLETRANSLATE(E7,""it"",""en"")"),"The Ruzzola is wrapped with a rope to make it easier to throw.")</f>
        <v>The Ruzzola is wrapped with a rope to make it easier to throw.</v>
      </c>
    </row>
    <row r="8" ht="22.5" customHeight="1">
      <c r="A8" s="11">
        <v>7.0</v>
      </c>
      <c r="B8" s="5" t="s">
        <v>2396</v>
      </c>
      <c r="C8" s="5" t="s">
        <v>2397</v>
      </c>
      <c r="D8" s="5" t="s">
        <v>1519</v>
      </c>
      <c r="E8" s="5" t="s">
        <v>2398</v>
      </c>
      <c r="F8" s="3"/>
      <c r="G8" s="3"/>
      <c r="H8" s="11">
        <v>7.0</v>
      </c>
      <c r="I8" s="10" t="str">
        <f>IFERROR(__xludf.DUMMYFUNCTION("GOOGLETRANSLATE(B8,""it"",""en"")"),"When did modern Ruzzola begin to be regulated?")</f>
        <v>When did modern Ruzzola begin to be regulated?</v>
      </c>
      <c r="J8" s="10" t="str">
        <f>IFERROR(__xludf.DUMMYFUNCTION("GOOGLETRANSLATE(C8,""it"",""en"")"),"A. In the 16th century B. In the 19th century C. In the 20th century D. In the 21st century")</f>
        <v>A. In the 16th century B. In the 19th century C. In the 20th century D. In the 21st century</v>
      </c>
      <c r="K8" s="10" t="str">
        <f>IFERROR(__xludf.DUMMYFUNCTION("GOOGLETRANSLATE(D8,""it"",""en"")"),"In the 20th century")</f>
        <v>In the 20th century</v>
      </c>
      <c r="L8" s="10" t="str">
        <f>IFERROR(__xludf.DUMMYFUNCTION("GOOGLETRANSLATE(E8,""it"",""en"")"),"The first official regulations date back to the 20th century.")</f>
        <v>The first official regulations date back to the 20th century.</v>
      </c>
    </row>
    <row r="9" ht="22.5" customHeight="1">
      <c r="A9" s="11">
        <v>8.0</v>
      </c>
      <c r="B9" s="5" t="s">
        <v>2399</v>
      </c>
      <c r="C9" s="5" t="s">
        <v>2400</v>
      </c>
      <c r="D9" s="5" t="s">
        <v>2401</v>
      </c>
      <c r="E9" s="5" t="s">
        <v>2402</v>
      </c>
      <c r="F9" s="3"/>
      <c r="G9" s="3"/>
      <c r="H9" s="11">
        <v>8.0</v>
      </c>
      <c r="I9" s="10" t="str">
        <f>IFERROR(__xludf.DUMMYFUNCTION("GOOGLETRANSLATE(B9,""it"",""en"")"),"What is the traditional shape of Ruzzola?")</f>
        <v>What is the traditional shape of Ruzzola?</v>
      </c>
      <c r="J9" s="10" t="str">
        <f>IFERROR(__xludf.DUMMYFUNCTION("GOOGLETRANSLATE(C9,""it"",""en"")"),"A. Cylindrical B. Spherical C. Conical D. Square")</f>
        <v>A. Cylindrical B. Spherical C. Conical D. Square</v>
      </c>
      <c r="K9" s="10" t="str">
        <f>IFERROR(__xludf.DUMMYFUNCTION("GOOGLETRANSLATE(D9,""it"",""en"")"),"Cylindrical")</f>
        <v>Cylindrical</v>
      </c>
      <c r="L9" s="10" t="str">
        <f>IFERROR(__xludf.DUMMYFUNCTION("GOOGLETRANSLATE(E9,""it"",""en"")"),"Ruzzola has a cylindrical shape similar to a cheese wheel.")</f>
        <v>Ruzzola has a cylindrical shape similar to a cheese wheel.</v>
      </c>
    </row>
    <row r="10" ht="22.5" customHeight="1">
      <c r="A10" s="11">
        <v>9.0</v>
      </c>
      <c r="B10" s="5" t="s">
        <v>2403</v>
      </c>
      <c r="C10" s="5" t="s">
        <v>2404</v>
      </c>
      <c r="D10" s="5" t="s">
        <v>2405</v>
      </c>
      <c r="E10" s="5" t="s">
        <v>2406</v>
      </c>
      <c r="F10" s="3"/>
      <c r="G10" s="3"/>
      <c r="H10" s="11">
        <v>9.0</v>
      </c>
      <c r="I10" s="10" t="str">
        <f>IFERROR(__xludf.DUMMYFUNCTION("GOOGLETRANSLATE(B10,""it"",""en"")"),"How was the game of Ruzzola regarded in peasant society?")</f>
        <v>How was the game of Ruzzola regarded in peasant society?</v>
      </c>
      <c r="J10" s="10" t="str">
        <f>IFERROR(__xludf.DUMMYFUNCTION("GOOGLETRANSLATE(C10,""it"",""en"")"),"A. A useless pastime B. A form of physical exercise C. A children's game D. A way for villages to compete")</f>
        <v>A. A useless pastime B. A form of physical exercise C. A children's game D. A way for villages to compete</v>
      </c>
      <c r="K10" s="10" t="str">
        <f>IFERROR(__xludf.DUMMYFUNCTION("GOOGLETRANSLATE(D10,""it"",""en"")"),"A way for villages to compete")</f>
        <v>A way for villages to compete</v>
      </c>
      <c r="L10" s="10" t="str">
        <f>IFERROR(__xludf.DUMMYFUNCTION("GOOGLETRANSLATE(E10,""it"",""en"")"),"The Ruzzola was an opportunity to demonstrate strength and skill.")</f>
        <v>The Ruzzola was an opportunity to demonstrate strength and skill.</v>
      </c>
    </row>
    <row r="11" ht="22.5" customHeight="1">
      <c r="A11" s="11">
        <v>10.0</v>
      </c>
      <c r="B11" s="5" t="s">
        <v>2407</v>
      </c>
      <c r="C11" s="5" t="s">
        <v>2408</v>
      </c>
      <c r="D11" s="5" t="s">
        <v>2409</v>
      </c>
      <c r="E11" s="5" t="s">
        <v>2410</v>
      </c>
      <c r="F11" s="3"/>
      <c r="G11" s="3"/>
      <c r="H11" s="11">
        <v>10.0</v>
      </c>
      <c r="I11" s="10" t="str">
        <f>IFERROR(__xludf.DUMMYFUNCTION("GOOGLETRANSLATE(B11,""it"",""en"")"),"What is the symbolic meaning of cheese in Ruzzola?")</f>
        <v>What is the symbolic meaning of cheese in Ruzzola?</v>
      </c>
      <c r="J11" s="10" t="str">
        <f>IFERROR(__xludf.DUMMYFUNCTION("GOOGLETRANSLATE(C11,""it"",""en"")"),"A. Wealth B. Fortune C. Abundance D. Tradition")</f>
        <v>A. Wealth B. Fortune C. Abundance D. Tradition</v>
      </c>
      <c r="K11" s="10" t="str">
        <f>IFERROR(__xludf.DUMMYFUNCTION("GOOGLETRANSLATE(D11,""it"",""en"")"),"Abundance")</f>
        <v>Abundance</v>
      </c>
      <c r="L11" s="10" t="str">
        <f>IFERROR(__xludf.DUMMYFUNCTION("GOOGLETRANSLATE(E11,""it"",""en"")"),"Cheese symbolizes abundance and prosperity.")</f>
        <v>Cheese symbolizes abundance and prosperity.</v>
      </c>
    </row>
    <row r="12" ht="22.5" customHeight="1">
      <c r="A12" s="11">
        <v>11.0</v>
      </c>
      <c r="B12" s="5" t="s">
        <v>2411</v>
      </c>
      <c r="C12" s="5" t="s">
        <v>2412</v>
      </c>
      <c r="D12" s="5" t="s">
        <v>2413</v>
      </c>
      <c r="E12" s="5" t="s">
        <v>2414</v>
      </c>
      <c r="F12" s="3"/>
      <c r="G12" s="3"/>
      <c r="H12" s="11">
        <v>11.0</v>
      </c>
      <c r="I12" s="10" t="str">
        <f>IFERROR(__xludf.DUMMYFUNCTION("GOOGLETRANSLATE(B12,""it"",""en"")"),"What role did the Ruzzola have during religious celebrations?")</f>
        <v>What role did the Ruzzola have during religious celebrations?</v>
      </c>
      <c r="J12" s="10" t="str">
        <f>IFERROR(__xludf.DUMMYFUNCTION("GOOGLETRANSLATE(C12,""it"",""en"")"),"A. A sacred ritual B. A moment of celebration and play C. An offering to the saints D. A symbol of purification")</f>
        <v>A. A sacred ritual B. A moment of celebration and play C. An offering to the saints D. A symbol of purification</v>
      </c>
      <c r="K12" s="10" t="str">
        <f>IFERROR(__xludf.DUMMYFUNCTION("GOOGLETRANSLATE(D12,""it"",""en"")"),"A moment of celebration and play")</f>
        <v>A moment of celebration and play</v>
      </c>
      <c r="L12" s="10" t="str">
        <f>IFERROR(__xludf.DUMMYFUNCTION("GOOGLETRANSLATE(E12,""it"",""en"")"),"Religious celebrations included the Ruzzola as entertainment.")</f>
        <v>Religious celebrations included the Ruzzola as entertainment.</v>
      </c>
    </row>
    <row r="13" ht="22.5" customHeight="1">
      <c r="A13" s="11">
        <v>12.0</v>
      </c>
      <c r="B13" s="5" t="s">
        <v>2415</v>
      </c>
      <c r="C13" s="5" t="s">
        <v>2416</v>
      </c>
      <c r="D13" s="5" t="s">
        <v>2417</v>
      </c>
      <c r="E13" s="5" t="s">
        <v>2418</v>
      </c>
      <c r="F13" s="3"/>
      <c r="G13" s="3"/>
      <c r="H13" s="11">
        <v>12.0</v>
      </c>
      <c r="I13" s="10" t="str">
        <f>IFERROR(__xludf.DUMMYFUNCTION("GOOGLETRANSLATE(B13,""it"",""en"")"),"What is the average length of the slopes in Ruzzola?")</f>
        <v>What is the average length of the slopes in Ruzzola?</v>
      </c>
      <c r="J13" s="10" t="str">
        <f>IFERROR(__xludf.DUMMYFUNCTION("GOOGLETRANSLATE(C13,""it"",""en"")"),"A. 50 meters B. 100 meters C. 150 meters D. 200 meters")</f>
        <v>A. 50 meters B. 100 meters C. 150 meters D. 200 meters</v>
      </c>
      <c r="K13" s="10" t="str">
        <f>IFERROR(__xludf.DUMMYFUNCTION("GOOGLETRANSLATE(D13,""it"",""en"")"),"100 meters")</f>
        <v>100 meters</v>
      </c>
      <c r="L13" s="10" t="str">
        <f>IFERROR(__xludf.DUMMYFUNCTION("GOOGLETRANSLATE(E13,""it"",""en"")"),"The traditional slopes of Ruzzola are about 100 meters long.")</f>
        <v>The traditional slopes of Ruzzola are about 100 meters long.</v>
      </c>
    </row>
    <row r="14" ht="22.5" customHeight="1">
      <c r="A14" s="11">
        <v>13.0</v>
      </c>
      <c r="B14" s="5" t="s">
        <v>2419</v>
      </c>
      <c r="C14" s="5" t="s">
        <v>2420</v>
      </c>
      <c r="D14" s="5" t="s">
        <v>2421</v>
      </c>
      <c r="E14" s="5" t="s">
        <v>2422</v>
      </c>
      <c r="F14" s="3"/>
      <c r="G14" s="3"/>
      <c r="H14" s="11">
        <v>13.0</v>
      </c>
      <c r="I14" s="10" t="str">
        <f>IFERROR(__xludf.DUMMYFUNCTION("GOOGLETRANSLATE(B14,""it"",""en"")"),"What are the modern materials used for Ruzzola?")</f>
        <v>What are the modern materials used for Ruzzola?</v>
      </c>
      <c r="J14" s="10" t="str">
        <f>IFERROR(__xludf.DUMMYFUNCTION("GOOGLETRANSLATE(C14,""it"",""en"")"),"A. Wood and metal B. Rubber and plastic C. Cheese and rope D. Iron and steel")</f>
        <v>A. Wood and metal B. Rubber and plastic C. Cheese and rope D. Iron and steel</v>
      </c>
      <c r="K14" s="10" t="str">
        <f>IFERROR(__xludf.DUMMYFUNCTION("GOOGLETRANSLATE(D14,""it"",""en"")"),"Wood and metal")</f>
        <v>Wood and metal</v>
      </c>
      <c r="L14" s="10" t="str">
        <f>IFERROR(__xludf.DUMMYFUNCTION("GOOGLETRANSLATE(E14,""it"",""en"")"),"Modern Ruzzole are often made of wood or metal to last longer.")</f>
        <v>Modern Ruzzole are often made of wood or metal to last longer.</v>
      </c>
    </row>
    <row r="15" ht="22.5" customHeight="1">
      <c r="A15" s="11">
        <v>14.0</v>
      </c>
      <c r="B15" s="5" t="s">
        <v>2423</v>
      </c>
      <c r="C15" s="5" t="s">
        <v>2424</v>
      </c>
      <c r="D15" s="5" t="s">
        <v>2425</v>
      </c>
      <c r="E15" s="5" t="s">
        <v>2426</v>
      </c>
      <c r="F15" s="3"/>
      <c r="G15" s="3"/>
      <c r="H15" s="11">
        <v>14.0</v>
      </c>
      <c r="I15" s="10" t="str">
        <f>IFERROR(__xludf.DUMMYFUNCTION("GOOGLETRANSLATE(B15,""it"",""en"")"),"How is the winner determined in the Ruzzola game?")</f>
        <v>How is the winner determined in the Ruzzola game?</v>
      </c>
      <c r="J15" s="10" t="str">
        <f>IFERROR(__xludf.DUMMYFUNCTION("GOOGLETRANSLATE(C15,""it"",""en"")"),"A. Who scores the most points B. Who reaches the end of the lane first C. Who throws the farthest D. Who hits the most targets")</f>
        <v>A. Who scores the most points B. Who reaches the end of the lane first C. Who throws the farthest D. Who hits the most targets</v>
      </c>
      <c r="K15" s="10" t="str">
        <f>IFERROR(__xludf.DUMMYFUNCTION("GOOGLETRANSLATE(D15,""it"",""en"")"),"Who throws the farthest")</f>
        <v>Who throws the farthest</v>
      </c>
      <c r="L15" s="10" t="str">
        <f>IFERROR(__xludf.DUMMYFUNCTION("GOOGLETRANSLATE(E15,""it"",""en"")"),"The winner is whoever throws the Ruzzola the greatest total distance.")</f>
        <v>The winner is whoever throws the Ruzzola the greatest total distance.</v>
      </c>
    </row>
    <row r="16" ht="22.5" customHeight="1">
      <c r="A16" s="11">
        <v>15.0</v>
      </c>
      <c r="B16" s="5" t="s">
        <v>2427</v>
      </c>
      <c r="C16" s="5" t="s">
        <v>2428</v>
      </c>
      <c r="D16" s="5" t="s">
        <v>2429</v>
      </c>
      <c r="E16" s="5" t="s">
        <v>2430</v>
      </c>
      <c r="F16" s="3"/>
      <c r="G16" s="3"/>
      <c r="H16" s="11">
        <v>15.0</v>
      </c>
      <c r="I16" s="10" t="str">
        <f>IFERROR(__xludf.DUMMYFUNCTION("GOOGLETRANSLATE(B16,""it"",""en"")"),"How important are Ruzzola's competitions to local communities?")</f>
        <v>How important are Ruzzola's competitions to local communities?</v>
      </c>
      <c r="J16" s="10" t="str">
        <f>IFERROR(__xludf.DUMMYFUNCTION("GOOGLETRANSLATE(C16,""it"",""en"")"),"A. Promote unity B. Preserve traditions C. Fun for families D. All of the above")</f>
        <v>A. Promote unity B. Preserve traditions C. Fun for families D. All of the above</v>
      </c>
      <c r="K16" s="10" t="str">
        <f>IFERROR(__xludf.DUMMYFUNCTION("GOOGLETRANSLATE(D16,""it"",""en"")"),"All of the above")</f>
        <v>All of the above</v>
      </c>
      <c r="L16" s="10" t="str">
        <f>IFERROR(__xludf.DUMMYFUNCTION("GOOGLETRANSLATE(E16,""it"",""en"")"),"La Ruzzola is a social event that unites communities.")</f>
        <v>La Ruzzola is a social event that unites communities.</v>
      </c>
    </row>
    <row r="17" ht="22.5" customHeight="1">
      <c r="A17" s="11">
        <v>16.0</v>
      </c>
      <c r="B17" s="5" t="s">
        <v>2431</v>
      </c>
      <c r="C17" s="5" t="s">
        <v>2432</v>
      </c>
      <c r="D17" s="5" t="s">
        <v>2433</v>
      </c>
      <c r="E17" s="5" t="s">
        <v>2434</v>
      </c>
      <c r="F17" s="3"/>
      <c r="G17" s="3"/>
      <c r="H17" s="11">
        <v>16.0</v>
      </c>
      <c r="I17" s="10" t="str">
        <f>IFERROR(__xludf.DUMMYFUNCTION("GOOGLETRANSLATE(B17,""it"",""en"")"),"What is the name of the Italian association that regulates the game of Ruzzola?")</f>
        <v>What is the name of the Italian association that regulates the game of Ruzzola?</v>
      </c>
      <c r="J17" s="10" t="str">
        <f>IFERROR(__xludf.DUMMYFUNCTION("GOOGLETRANSLATE(C17,""it"",""en"")"),"A. Italian Federation of Traditional Games B. Italian Association of Sport and Tradition C. Italian Ruzzola and Ruzzolone Federation D. National Union of Historical Games")</f>
        <v>A. Italian Federation of Traditional Games B. Italian Association of Sport and Tradition C. Italian Ruzzola and Ruzzolone Federation D. National Union of Historical Games</v>
      </c>
      <c r="K17" s="10" t="str">
        <f>IFERROR(__xludf.DUMMYFUNCTION("GOOGLETRANSLATE(D17,""it"",""en"")"),"Italian Ruzzola and Ruzzolone Federation")</f>
        <v>Italian Ruzzola and Ruzzolone Federation</v>
      </c>
      <c r="L17" s="10" t="str">
        <f>IFERROR(__xludf.DUMMYFUNCTION("GOOGLETRANSLATE(E17,""it"",""en"")"),"The federation regulates competitions at the national level.")</f>
        <v>The federation regulates competitions at the national level.</v>
      </c>
    </row>
    <row r="18" ht="22.5" customHeight="1">
      <c r="A18" s="11">
        <v>17.0</v>
      </c>
      <c r="B18" s="5" t="s">
        <v>2435</v>
      </c>
      <c r="C18" s="5" t="s">
        <v>2436</v>
      </c>
      <c r="D18" s="5" t="s">
        <v>2437</v>
      </c>
      <c r="E18" s="5" t="s">
        <v>2438</v>
      </c>
      <c r="F18" s="3"/>
      <c r="G18" s="3"/>
      <c r="H18" s="11">
        <v>17.0</v>
      </c>
      <c r="I18" s="10" t="str">
        <f>IFERROR(__xludf.DUMMYFUNCTION("GOOGLETRANSLATE(B18,""it"",""en"")"),"What was the symbolic use of Ruzzola in the past?")</f>
        <v>What was the symbolic use of Ruzzola in the past?</v>
      </c>
      <c r="J18" s="10" t="str">
        <f>IFERROR(__xludf.DUMMYFUNCTION("GOOGLETRANSLATE(C18,""it"",""en"")"),"A. Demonstration of strength B. Training for war C. Auspicious ritual D. Sign of peace")</f>
        <v>A. Demonstration of strength B. Training for war C. Auspicious ritual D. Sign of peace</v>
      </c>
      <c r="K18" s="10" t="str">
        <f>IFERROR(__xludf.DUMMYFUNCTION("GOOGLETRANSLATE(D18,""it"",""en"")"),"Auspicious ritual")</f>
        <v>Auspicious ritual</v>
      </c>
      <c r="L18" s="10" t="str">
        <f>IFERROR(__xludf.DUMMYFUNCTION("GOOGLETRANSLATE(E18,""it"",""en"")"),"Ruzzola was used as a sign of good luck in many cultures.")</f>
        <v>Ruzzola was used as a sign of good luck in many cultures.</v>
      </c>
    </row>
    <row r="19" ht="22.5" customHeight="1">
      <c r="A19" s="11">
        <v>18.0</v>
      </c>
      <c r="B19" s="5" t="s">
        <v>2439</v>
      </c>
      <c r="C19" s="5" t="s">
        <v>2440</v>
      </c>
      <c r="D19" s="5" t="s">
        <v>2441</v>
      </c>
      <c r="E19" s="5" t="s">
        <v>2442</v>
      </c>
      <c r="F19" s="3"/>
      <c r="G19" s="3"/>
      <c r="H19" s="11">
        <v>18.0</v>
      </c>
      <c r="I19" s="10" t="str">
        <f>IFERROR(__xludf.DUMMYFUNCTION("GOOGLETRANSLATE(B19,""it"",""en"")"),"What is the main difference between Ruzzola and Ruzzolone?")</f>
        <v>What is the main difference between Ruzzola and Ruzzolone?</v>
      </c>
      <c r="J19" s="10" t="str">
        <f>IFERROR(__xludf.DUMMYFUNCTION("GOOGLETRANSLATE(C19,""it"",""en"")"),"A. Size of the Roll B. Material of the Roll C. Rules of the Game D. Place where it is played")</f>
        <v>A. Size of the Roll B. Material of the Roll C. Rules of the Game D. Place where it is played</v>
      </c>
      <c r="K19" s="10" t="str">
        <f>IFERROR(__xludf.DUMMYFUNCTION("GOOGLETRANSLATE(D19,""it"",""en"")"),"Size of the Ruzzola")</f>
        <v>Size of the Ruzzola</v>
      </c>
      <c r="L19" s="10" t="str">
        <f>IFERROR(__xludf.DUMMYFUNCTION("GOOGLETRANSLATE(E19,""it"",""en"")"),"The Ruzzola is smaller than the Ruzzolone.")</f>
        <v>The Ruzzola is smaller than the Ruzzolone.</v>
      </c>
    </row>
    <row r="20" ht="22.5" customHeight="1">
      <c r="A20" s="11">
        <v>19.0</v>
      </c>
      <c r="B20" s="5" t="s">
        <v>2443</v>
      </c>
      <c r="C20" s="5" t="s">
        <v>2444</v>
      </c>
      <c r="D20" s="5" t="s">
        <v>2445</v>
      </c>
      <c r="E20" s="5" t="s">
        <v>2446</v>
      </c>
      <c r="F20" s="3"/>
      <c r="G20" s="3"/>
      <c r="H20" s="11">
        <v>19.0</v>
      </c>
      <c r="I20" s="10" t="str">
        <f>IFERROR(__xludf.DUMMYFUNCTION("GOOGLETRANSLATE(B20,""it"",""en"")"),"Who was Ruzzola's main audience in the past?")</f>
        <v>Who was Ruzzola's main audience in the past?</v>
      </c>
      <c r="J20" s="10" t="str">
        <f>IFERROR(__xludf.DUMMYFUNCTION("GOOGLETRANSLATE(C20,""it"",""en"")"),"A. Soldiers B. Peasants C. Nobles D. Religious")</f>
        <v>A. Soldiers B. Peasants C. Nobles D. Religious</v>
      </c>
      <c r="K20" s="10" t="str">
        <f>IFERROR(__xludf.DUMMYFUNCTION("GOOGLETRANSLATE(D20,""it"",""en"")"),"Farmers")</f>
        <v>Farmers</v>
      </c>
      <c r="L20" s="10" t="str">
        <f>IFERROR(__xludf.DUMMYFUNCTION("GOOGLETRANSLATE(E20,""it"",""en"")"),"The game was especially popular among peasants.")</f>
        <v>The game was especially popular among peasants.</v>
      </c>
    </row>
    <row r="21" ht="22.5" customHeight="1">
      <c r="A21" s="11">
        <v>20.0</v>
      </c>
      <c r="B21" s="5" t="s">
        <v>2447</v>
      </c>
      <c r="C21" s="5" t="s">
        <v>2448</v>
      </c>
      <c r="D21" s="4">
        <v>1946.0</v>
      </c>
      <c r="E21" s="5" t="s">
        <v>2449</v>
      </c>
      <c r="F21" s="3"/>
      <c r="G21" s="3"/>
      <c r="H21" s="11">
        <v>20.0</v>
      </c>
      <c r="I21" s="10" t="str">
        <f>IFERROR(__xludf.DUMMYFUNCTION("GOOGLETRANSLATE(B21,""it"",""en"")"),"When did the first official Ruzzola championship take place?")</f>
        <v>When did the first official Ruzzola championship take place?</v>
      </c>
      <c r="J21" s="10" t="str">
        <f>IFERROR(__xludf.DUMMYFUNCTION("GOOGLETRANSLATE(C21,""it"",""en"")"),"A. 1920 B. 1946 C. 1955 D. 1970")</f>
        <v>A. 1920 B. 1946 C. 1955 D. 1970</v>
      </c>
      <c r="K21" s="10" t="str">
        <f>IFERROR(__xludf.DUMMYFUNCTION("GOOGLETRANSLATE(D21,""it"",""en"")"),"1946")</f>
        <v>1946</v>
      </c>
      <c r="L21" s="10" t="str">
        <f>IFERROR(__xludf.DUMMYFUNCTION("GOOGLETRANSLATE(E21,""it"",""en"")"),"The first official championship was held in 1946.")</f>
        <v>The first official championship was held in 1946.</v>
      </c>
    </row>
    <row r="22" ht="22.5" customHeight="1">
      <c r="A22" s="11">
        <v>21.0</v>
      </c>
      <c r="B22" s="5" t="s">
        <v>2450</v>
      </c>
      <c r="C22" s="5" t="s">
        <v>2451</v>
      </c>
      <c r="D22" s="5" t="s">
        <v>2452</v>
      </c>
      <c r="E22" s="5" t="s">
        <v>2453</v>
      </c>
      <c r="F22" s="3"/>
      <c r="G22" s="3"/>
      <c r="H22" s="11">
        <v>21.0</v>
      </c>
      <c r="I22" s="10" t="str">
        <f>IFERROR(__xludf.DUMMYFUNCTION("GOOGLETRANSLATE(B22,""it"",""en"")"),"Which Italian city is famous for its Ruzzola races?")</f>
        <v>Which Italian city is famous for its Ruzzola races?</v>
      </c>
      <c r="J22" s="10" t="str">
        <f>IFERROR(__xludf.DUMMYFUNCTION("GOOGLETRANSLATE(C22,""it"",""en"")"),"A. Rome B. Perugia C. Ancona D. Florence")</f>
        <v>A. Rome B. Perugia C. Ancona D. Florence</v>
      </c>
      <c r="K22" s="10" t="str">
        <f>IFERROR(__xludf.DUMMYFUNCTION("GOOGLETRANSLATE(D22,""it"",""en"")"),"Ancona")</f>
        <v>Ancona</v>
      </c>
      <c r="L22" s="10" t="str">
        <f>IFERROR(__xludf.DUMMYFUNCTION("GOOGLETRANSLATE(E22,""it"",""en"")"),"Ancona is known for its traditional Ruzzola competitions.")</f>
        <v>Ancona is known for its traditional Ruzzola competitions.</v>
      </c>
    </row>
    <row r="23" ht="22.5" customHeight="1">
      <c r="A23" s="11">
        <v>22.0</v>
      </c>
      <c r="B23" s="5" t="s">
        <v>2454</v>
      </c>
      <c r="C23" s="5" t="s">
        <v>2455</v>
      </c>
      <c r="D23" s="5" t="s">
        <v>2456</v>
      </c>
      <c r="E23" s="5" t="s">
        <v>2457</v>
      </c>
      <c r="F23" s="3"/>
      <c r="G23" s="3"/>
      <c r="H23" s="11">
        <v>22.0</v>
      </c>
      <c r="I23" s="10" t="str">
        <f>IFERROR(__xludf.DUMMYFUNCTION("GOOGLETRANSLATE(B23,""it"",""en"")"),"How is the score calculated in modern Ruzzola?")</f>
        <v>How is the score calculated in modern Ruzzola?</v>
      </c>
      <c r="J23" s="10" t="str">
        <f>IFERROR(__xludf.DUMMYFUNCTION("GOOGLETRANSLATE(C23,""it"",""en"")"),"A. Number of throws B. Total distance C. Distance and accuracy D. Number of participants")</f>
        <v>A. Number of throws B. Total distance C. Distance and accuracy D. Number of participants</v>
      </c>
      <c r="K23" s="10" t="str">
        <f>IFERROR(__xludf.DUMMYFUNCTION("GOOGLETRANSLATE(D23,""it"",""en"")"),"Distance and accuracy")</f>
        <v>Distance and accuracy</v>
      </c>
      <c r="L23" s="10" t="str">
        <f>IFERROR(__xludf.DUMMYFUNCTION("GOOGLETRANSLATE(E23,""it"",""en"")"),"Scoring is based on distance and accuracy of throw.")</f>
        <v>Scoring is based on distance and accuracy of throw.</v>
      </c>
    </row>
    <row r="24" ht="22.5" customHeight="1">
      <c r="A24" s="11">
        <v>23.0</v>
      </c>
      <c r="B24" s="5" t="s">
        <v>2458</v>
      </c>
      <c r="C24" s="5" t="s">
        <v>2459</v>
      </c>
      <c r="D24" s="5" t="s">
        <v>2460</v>
      </c>
      <c r="E24" s="5" t="s">
        <v>2461</v>
      </c>
      <c r="F24" s="3"/>
      <c r="G24" s="3"/>
      <c r="H24" s="11">
        <v>23.0</v>
      </c>
      <c r="I24" s="10" t="str">
        <f>IFERROR(__xludf.DUMMYFUNCTION("GOOGLETRANSLATE(B24,""it"",""en"")"),"Which natural element influences the game of Ruzzola?")</f>
        <v>Which natural element influences the game of Ruzzola?</v>
      </c>
      <c r="J24" s="10" t="str">
        <f>IFERROR(__xludf.DUMMYFUNCTION("GOOGLETRANSLATE(C24,""it"",""en"")"),"A. Rain B. Wind C. Temperature D. Brightness")</f>
        <v>A. Rain B. Wind C. Temperature D. Brightness</v>
      </c>
      <c r="K24" s="10" t="str">
        <f>IFERROR(__xludf.DUMMYFUNCTION("GOOGLETRANSLATE(D24,""it"",""en"")"),"Wind")</f>
        <v>Wind</v>
      </c>
      <c r="L24" s="10" t="str">
        <f>IFERROR(__xludf.DUMMYFUNCTION("GOOGLETRANSLATE(E24,""it"",""en"")"),"Wind can affect the direction and distance of the Ruzzola.")</f>
        <v>Wind can affect the direction and distance of the Ruzzola.</v>
      </c>
    </row>
    <row r="25" ht="22.5" customHeight="1">
      <c r="A25" s="11">
        <v>24.0</v>
      </c>
      <c r="B25" s="5" t="s">
        <v>2462</v>
      </c>
      <c r="C25" s="5" t="s">
        <v>2463</v>
      </c>
      <c r="D25" s="5" t="s">
        <v>2464</v>
      </c>
      <c r="E25" s="5" t="s">
        <v>2465</v>
      </c>
      <c r="F25" s="3"/>
      <c r="G25" s="3"/>
      <c r="H25" s="11">
        <v>24.0</v>
      </c>
      <c r="I25" s="10" t="str">
        <f>IFERROR(__xludf.DUMMYFUNCTION("GOOGLETRANSLATE(B25,""it"",""en"")"),"What is the cultural value of the game of Ruzzola in Italy?")</f>
        <v>What is the cultural value of the game of Ruzzola in Italy?</v>
      </c>
      <c r="J25" s="10" t="str">
        <f>IFERROR(__xludf.DUMMYFUNCTION("GOOGLETRANSLATE(C25,""it"",""en"")"),"A. National sport B. Local tradition C. Sacred ritual D. Modern pastime")</f>
        <v>A. National sport B. Local tradition C. Sacred ritual D. Modern pastime</v>
      </c>
      <c r="K25" s="10" t="str">
        <f>IFERROR(__xludf.DUMMYFUNCTION("GOOGLETRANSLATE(D25,""it"",""en"")"),"Local tradition")</f>
        <v>Local tradition</v>
      </c>
      <c r="L25" s="10" t="str">
        <f>IFERROR(__xludf.DUMMYFUNCTION("GOOGLETRANSLATE(E25,""it"",""en"")"),"Ruzzola is considered an important local tradition.")</f>
        <v>Ruzzola is considered an important local tradition.</v>
      </c>
    </row>
    <row r="26" ht="22.5" customHeight="1">
      <c r="A26" s="11">
        <v>25.0</v>
      </c>
      <c r="B26" s="5" t="s">
        <v>2466</v>
      </c>
      <c r="C26" s="5" t="s">
        <v>2467</v>
      </c>
      <c r="D26" s="5" t="s">
        <v>2468</v>
      </c>
      <c r="E26" s="5" t="s">
        <v>2469</v>
      </c>
      <c r="F26" s="3"/>
      <c r="G26" s="3"/>
      <c r="H26" s="11">
        <v>25.0</v>
      </c>
      <c r="I26" s="10" t="str">
        <f>IFERROR(__xludf.DUMMYFUNCTION("GOOGLETRANSLATE(B26,""it"",""en"")"),"What is the best technique for throwing the Ruzzola?")</f>
        <v>What is the best technique for throwing the Ruzzola?</v>
      </c>
      <c r="J26" s="10" t="str">
        <f>IFERROR(__xludf.DUMMYFUNCTION("GOOGLETRANSLATE(C26,""it"",""en"")"),"A. With brute force B. With balance and precision C. With the wrist D. With both hands")</f>
        <v>A. With brute force B. With balance and precision C. With the wrist D. With both hands</v>
      </c>
      <c r="K26" s="10" t="str">
        <f>IFERROR(__xludf.DUMMYFUNCTION("GOOGLETRANSLATE(D26,""it"",""en"")"),"With balance and precision")</f>
        <v>With balance and precision</v>
      </c>
      <c r="L26" s="10" t="str">
        <f>IFERROR(__xludf.DUMMYFUNCTION("GOOGLETRANSLATE(E26,""it"",""en"")"),"Throwing requires a mix of strength and balance.")</f>
        <v>Throwing requires a mix of strength and balance.</v>
      </c>
    </row>
    <row r="27" ht="22.5" customHeight="1">
      <c r="A27" s="11">
        <v>26.0</v>
      </c>
      <c r="B27" s="5" t="s">
        <v>2470</v>
      </c>
      <c r="C27" s="5" t="s">
        <v>2471</v>
      </c>
      <c r="D27" s="5" t="s">
        <v>2472</v>
      </c>
      <c r="E27" s="5" t="s">
        <v>2473</v>
      </c>
      <c r="F27" s="3"/>
      <c r="G27" s="3"/>
      <c r="H27" s="11">
        <v>26.0</v>
      </c>
      <c r="I27" s="10" t="str">
        <f>IFERROR(__xludf.DUMMYFUNCTION("GOOGLETRANSLATE(B27,""it"",""en"")"),"How are the rules of the Ruzzola game passed down?")</f>
        <v>How are the rules of the Ruzzola game passed down?</v>
      </c>
      <c r="J27" s="10" t="str">
        <f>IFERROR(__xludf.DUMMYFUNCTION("GOOGLETRANSLATE(C27,""it"",""en"")"),"A. Orally B. Through books C. Through sports schools D. With videos and documentaries")</f>
        <v>A. Orally B. Through books C. Through sports schools D. With videos and documentaries</v>
      </c>
      <c r="K27" s="10" t="str">
        <f>IFERROR(__xludf.DUMMYFUNCTION("GOOGLETRANSLATE(D27,""it"",""en"")"),"Orally")</f>
        <v>Orally</v>
      </c>
      <c r="L27" s="10" t="str">
        <f>IFERROR(__xludf.DUMMYFUNCTION("GOOGLETRANSLATE(E27,""it"",""en"")"),"The rules are passed down orally from generation to generation.")</f>
        <v>The rules are passed down orally from generation to generation.</v>
      </c>
    </row>
    <row r="28" ht="22.5" customHeight="1">
      <c r="A28" s="11">
        <v>27.0</v>
      </c>
      <c r="B28" s="5" t="s">
        <v>2474</v>
      </c>
      <c r="C28" s="5" t="s">
        <v>2475</v>
      </c>
      <c r="D28" s="5" t="s">
        <v>2476</v>
      </c>
      <c r="E28" s="5" t="s">
        <v>2477</v>
      </c>
      <c r="F28" s="3"/>
      <c r="G28" s="3"/>
      <c r="H28" s="11">
        <v>27.0</v>
      </c>
      <c r="I28" s="10" t="str">
        <f>IFERROR(__xludf.DUMMYFUNCTION("GOOGLETRANSLATE(B28,""it"",""en"")"),"What is the future of Ruzzola in Italian communities?")</f>
        <v>What is the future of Ruzzola in Italian communities?</v>
      </c>
      <c r="J28" s="10" t="str">
        <f>IFERROR(__xludf.DUMMYFUNCTION("GOOGLETRANSLATE(C28,""it"",""en"")"),"A. In decline B. Cultural renaissance C. A game for old people D. A global phenomenon")</f>
        <v>A. In decline B. Cultural renaissance C. A game for old people D. A global phenomenon</v>
      </c>
      <c r="K28" s="10" t="str">
        <f>IFERROR(__xludf.DUMMYFUNCTION("GOOGLETRANSLATE(D28,""it"",""en"")"),"Cultural renaissance")</f>
        <v>Cultural renaissance</v>
      </c>
      <c r="L28" s="10" t="str">
        <f>IFERROR(__xludf.DUMMYFUNCTION("GOOGLETRANSLATE(E28,""it"",""en"")"),"The game is experiencing a renaissance thanks to efforts to preserve its traditions.")</f>
        <v>The game is experiencing a renaissance thanks to efforts to preserve its traditions.</v>
      </c>
    </row>
    <row r="29" ht="22.5" customHeight="1">
      <c r="A29" s="11">
        <v>28.0</v>
      </c>
      <c r="B29" s="5" t="s">
        <v>2478</v>
      </c>
      <c r="C29" s="5" t="s">
        <v>2479</v>
      </c>
      <c r="D29" s="5" t="s">
        <v>2480</v>
      </c>
      <c r="E29" s="5" t="s">
        <v>2481</v>
      </c>
      <c r="F29" s="3"/>
      <c r="G29" s="3"/>
      <c r="H29" s="11">
        <v>28.0</v>
      </c>
      <c r="I29" s="10" t="str">
        <f>IFERROR(__xludf.DUMMYFUNCTION("GOOGLETRANSLATE(B29,""it"",""en"")"),"What was the symbolic goal of Ruzzola in the past?")</f>
        <v>What was the symbolic goal of Ruzzola in the past?</v>
      </c>
      <c r="J29" s="10" t="str">
        <f>IFERROR(__xludf.DUMMYFUNCTION("GOOGLETRANSLATE(C29,""it"",""en"")"),"A. Demonstrate skill B. Bring good luck C. Put on a show D. Train young people")</f>
        <v>A. Demonstrate skill B. Bring good luck C. Put on a show D. Train young people</v>
      </c>
      <c r="K29" s="10" t="str">
        <f>IFERROR(__xludf.DUMMYFUNCTION("GOOGLETRANSLATE(D29,""it"",""en"")"),"Bring good luck")</f>
        <v>Bring good luck</v>
      </c>
      <c r="L29" s="10" t="str">
        <f>IFERROR(__xludf.DUMMYFUNCTION("GOOGLETRANSLATE(E29,""it"",""en"")"),"Ruzzola was considered a game of good luck for the community.")</f>
        <v>Ruzzola was considered a game of good luck for the community.</v>
      </c>
    </row>
    <row r="30" ht="22.5" customHeight="1">
      <c r="A30" s="11">
        <v>29.0</v>
      </c>
      <c r="B30" s="5" t="s">
        <v>2482</v>
      </c>
      <c r="C30" s="5" t="s">
        <v>2483</v>
      </c>
      <c r="D30" s="5" t="s">
        <v>2484</v>
      </c>
      <c r="E30" s="5" t="s">
        <v>2485</v>
      </c>
      <c r="F30" s="3"/>
      <c r="G30" s="3"/>
      <c r="H30" s="11">
        <v>29.0</v>
      </c>
      <c r="I30" s="10" t="str">
        <f>IFERROR(__xludf.DUMMYFUNCTION("GOOGLETRANSLATE(B30,""it"",""en"")"),"How is the winner of a Ruzzola competition decided?")</f>
        <v>How is the winner of a Ruzzola competition decided?</v>
      </c>
      <c r="J30" s="10" t="str">
        <f>IFERROR(__xludf.DUMMYFUNCTION("GOOGLETRANSLATE(C30,""it"",""en"")"),"A. Accuracy B. Distance C. Throws made D. Time taken")</f>
        <v>A. Accuracy B. Distance C. Throws made D. Time taken</v>
      </c>
      <c r="K30" s="10" t="str">
        <f>IFERROR(__xludf.DUMMYFUNCTION("GOOGLETRANSLATE(D30,""it"",""en"")"),"Distance")</f>
        <v>Distance</v>
      </c>
      <c r="L30" s="10" t="str">
        <f>IFERROR(__xludf.DUMMYFUNCTION("GOOGLETRANSLATE(E30,""it"",""en"")"),"Whoever throws the Ruzzola the furthest wins.")</f>
        <v>Whoever throws the Ruzzola the furthest wins.</v>
      </c>
    </row>
    <row r="31" ht="22.5" customHeight="1">
      <c r="A31" s="11">
        <v>30.0</v>
      </c>
      <c r="B31" s="5" t="s">
        <v>2486</v>
      </c>
      <c r="C31" s="5" t="s">
        <v>2487</v>
      </c>
      <c r="D31" s="5" t="s">
        <v>2488</v>
      </c>
      <c r="E31" s="5" t="s">
        <v>2489</v>
      </c>
      <c r="F31" s="3"/>
      <c r="G31" s="3"/>
      <c r="H31" s="11">
        <v>30.0</v>
      </c>
      <c r="I31" s="10" t="str">
        <f>IFERROR(__xludf.DUMMYFUNCTION("GOOGLETRANSLATE(B31,""it"",""en"")"),"What were the traditional materials of Ruzzola?")</f>
        <v>What were the traditional materials of Ruzzola?</v>
      </c>
      <c r="J31" s="10" t="str">
        <f>IFERROR(__xludf.DUMMYFUNCTION("GOOGLETRANSLATE(C31,""it"",""en"")"),"A. Wood and iron B. Stone and leather C. Cheese and rope D. Steel and plastic")</f>
        <v>A. Wood and iron B. Stone and leather C. Cheese and rope D. Steel and plastic</v>
      </c>
      <c r="K31" s="10" t="str">
        <f>IFERROR(__xludf.DUMMYFUNCTION("GOOGLETRANSLATE(D31,""it"",""en"")"),"Cheese and rope")</f>
        <v>Cheese and rope</v>
      </c>
      <c r="L31" s="10" t="str">
        <f>IFERROR(__xludf.DUMMYFUNCTION("GOOGLETRANSLATE(E31,""it"",""en"")"),"The first Ruzzole were made of cheese and wrapped with a rope for throwing.")</f>
        <v>The first Ruzzole were made of cheese and wrapped with a rope for throwing.</v>
      </c>
    </row>
    <row r="32" ht="22.5" customHeight="1">
      <c r="A32" s="11">
        <v>31.0</v>
      </c>
      <c r="B32" s="5" t="s">
        <v>2490</v>
      </c>
      <c r="C32" s="5" t="s">
        <v>2491</v>
      </c>
      <c r="D32" s="5" t="s">
        <v>2492</v>
      </c>
      <c r="E32" s="5" t="s">
        <v>2493</v>
      </c>
      <c r="F32" s="3"/>
      <c r="G32" s="3"/>
      <c r="H32" s="11">
        <v>31.0</v>
      </c>
      <c r="I32" s="10" t="str">
        <f>IFERROR(__xludf.DUMMYFUNCTION("GOOGLETRANSLATE(B32,""it"",""en"")"),"What is the unit of measurement used in Ruzzola scoring?")</f>
        <v>What is the unit of measurement used in Ruzzola scoring?</v>
      </c>
      <c r="J32" s="10" t="str">
        <f>IFERROR(__xludf.DUMMYFUNCTION("GOOGLETRANSLATE(C32,""it"",""en"")"),"A. Kilometers B. Meters C. Steps D. Arms")</f>
        <v>A. Kilometers B. Meters C. Steps D. Arms</v>
      </c>
      <c r="K32" s="10" t="str">
        <f>IFERROR(__xludf.DUMMYFUNCTION("GOOGLETRANSLATE(D32,""it"",""en"")"),"Meters")</f>
        <v>Meters</v>
      </c>
      <c r="L32" s="10" t="str">
        <f>IFERROR(__xludf.DUMMYFUNCTION("GOOGLETRANSLATE(E32,""it"",""en"")"),"The distance is measured in meters to determine the score.")</f>
        <v>The distance is measured in meters to determine the score.</v>
      </c>
    </row>
    <row r="33" ht="22.5" customHeight="1">
      <c r="A33" s="11">
        <v>32.0</v>
      </c>
      <c r="B33" s="5" t="s">
        <v>2494</v>
      </c>
      <c r="C33" s="5" t="s">
        <v>2495</v>
      </c>
      <c r="D33" s="5" t="s">
        <v>2496</v>
      </c>
      <c r="E33" s="5" t="s">
        <v>2497</v>
      </c>
      <c r="F33" s="3"/>
      <c r="G33" s="3"/>
      <c r="H33" s="11">
        <v>32.0</v>
      </c>
      <c r="I33" s="10" t="str">
        <f>IFERROR(__xludf.DUMMYFUNCTION("GOOGLETRANSLATE(B33,""it"",""en"")"),"What technique is fundamental in throwing the Ruzzola?")</f>
        <v>What technique is fundamental in throwing the Ruzzola?</v>
      </c>
      <c r="J33" s="10" t="str">
        <f>IFERROR(__xludf.DUMMYFUNCTION("GOOGLETRANSLATE(C33,""it"",""en"")"),"A. Rotation B. Speed ​​C. Force D. Accuracy")</f>
        <v>A. Rotation B. Speed ​​C. Force D. Accuracy</v>
      </c>
      <c r="K33" s="10" t="str">
        <f>IFERROR(__xludf.DUMMYFUNCTION("GOOGLETRANSLATE(D33,""it"",""en"")"),"Rotation")</f>
        <v>Rotation</v>
      </c>
      <c r="L33" s="10" t="str">
        <f>IFERROR(__xludf.DUMMYFUNCTION("GOOGLETRANSLATE(E33,""it"",""en"")"),"The rotation gives greater momentum to the Ruzzola throw.")</f>
        <v>The rotation gives greater momentum to the Ruzzola throw.</v>
      </c>
    </row>
    <row r="34" ht="22.5" customHeight="1">
      <c r="A34" s="11">
        <v>33.0</v>
      </c>
      <c r="B34" s="5" t="s">
        <v>2498</v>
      </c>
      <c r="C34" s="5" t="s">
        <v>2499</v>
      </c>
      <c r="D34" s="5" t="s">
        <v>611</v>
      </c>
      <c r="E34" s="5" t="s">
        <v>2500</v>
      </c>
      <c r="F34" s="3"/>
      <c r="G34" s="3"/>
      <c r="H34" s="11">
        <v>33.0</v>
      </c>
      <c r="I34" s="10" t="str">
        <f>IFERROR(__xludf.DUMMYFUNCTION("GOOGLETRANSLATE(B34,""it"",""en"")"),"What is the name of the track where Ruzzola is played?")</f>
        <v>What is the name of the track where Ruzzola is played?</v>
      </c>
      <c r="J34" s="10" t="str">
        <f>IFERROR(__xludf.DUMMYFUNCTION("GOOGLETRANSLATE(C34,""it"",""en"")"),"A. Path B. Field C. Road D. Track")</f>
        <v>A. Path B. Field C. Road D. Track</v>
      </c>
      <c r="K34" s="10" t="str">
        <f>IFERROR(__xludf.DUMMYFUNCTION("GOOGLETRANSLATE(D34,""it"",""en"")"),"Track")</f>
        <v>Track</v>
      </c>
      <c r="L34" s="10" t="str">
        <f>IFERROR(__xludf.DUMMYFUNCTION("GOOGLETRANSLATE(E34,""it"",""en"")"),"The track is the terrain where the Ruzzola is thrown.")</f>
        <v>The track is the terrain where the Ruzzola is thrown.</v>
      </c>
    </row>
    <row r="35" ht="22.5" customHeight="1">
      <c r="A35" s="11">
        <v>34.0</v>
      </c>
      <c r="B35" s="5" t="s">
        <v>2501</v>
      </c>
      <c r="C35" s="5" t="s">
        <v>2502</v>
      </c>
      <c r="D35" s="5" t="s">
        <v>2503</v>
      </c>
      <c r="E35" s="5" t="s">
        <v>2504</v>
      </c>
      <c r="F35" s="3"/>
      <c r="G35" s="3"/>
      <c r="H35" s="11">
        <v>34.0</v>
      </c>
      <c r="I35" s="10" t="str">
        <f>IFERROR(__xludf.DUMMYFUNCTION("GOOGLETRANSLATE(B35,""it"",""en"")"),"How did the Ruzzola competitions take place during the holidays?")</f>
        <v>How did the Ruzzola competitions take place during the holidays?</v>
      </c>
      <c r="J35" s="10" t="str">
        <f>IFERROR(__xludf.DUMMYFUNCTION("GOOGLETRANSLATE(C35,""it"",""en"")"),"A. In teams B. Individually C. In pairs D. In turns")</f>
        <v>A. In teams B. Individually C. In pairs D. In turns</v>
      </c>
      <c r="K35" s="10" t="str">
        <f>IFERROR(__xludf.DUMMYFUNCTION("GOOGLETRANSLATE(D35,""it"",""en"")"),"In teams")</f>
        <v>In teams</v>
      </c>
      <c r="L35" s="10" t="str">
        <f>IFERROR(__xludf.DUMMYFUNCTION("GOOGLETRANSLATE(E35,""it"",""en"")"),"Competitions were often held in teams to involve more people.")</f>
        <v>Competitions were often held in teams to involve more people.</v>
      </c>
    </row>
    <row r="36" ht="22.5" customHeight="1">
      <c r="A36" s="11">
        <v>35.0</v>
      </c>
      <c r="B36" s="5" t="s">
        <v>2505</v>
      </c>
      <c r="C36" s="5" t="s">
        <v>2506</v>
      </c>
      <c r="D36" s="5" t="s">
        <v>2507</v>
      </c>
      <c r="E36" s="5" t="s">
        <v>2508</v>
      </c>
      <c r="F36" s="3"/>
      <c r="G36" s="3"/>
      <c r="H36" s="11">
        <v>35.0</v>
      </c>
      <c r="I36" s="10" t="str">
        <f>IFERROR(__xludf.DUMMYFUNCTION("GOOGLETRANSLATE(B36,""it"",""en"")"),"What does the term “ruzzolare” mean?")</f>
        <v>What does the term “ruzzolare” mean?</v>
      </c>
      <c r="J36" s="10" t="str">
        <f>IFERROR(__xludf.DUMMYFUNCTION("GOOGLETRANSLATE(C36,""it"",""en"")"),"A. Spin B. Bounce C. Roll D. Throw")</f>
        <v>A. Spin B. Bounce C. Roll D. Throw</v>
      </c>
      <c r="K36" s="10" t="str">
        <f>IFERROR(__xludf.DUMMYFUNCTION("GOOGLETRANSLATE(D36,""it"",""en"")"),"Roll")</f>
        <v>Roll</v>
      </c>
      <c r="L36" s="10" t="str">
        <f>IFERROR(__xludf.DUMMYFUNCTION("GOOGLETRANSLATE(E36,""it"",""en"")"),"“To roll” means to make an object roll along a surface.")</f>
        <v>“To roll” means to make an object roll along a surface.</v>
      </c>
    </row>
    <row r="37" ht="22.5" customHeight="1">
      <c r="A37" s="11">
        <v>36.0</v>
      </c>
      <c r="B37" s="5" t="s">
        <v>2509</v>
      </c>
      <c r="C37" s="5" t="s">
        <v>2510</v>
      </c>
      <c r="D37" s="5" t="s">
        <v>2511</v>
      </c>
      <c r="E37" s="5" t="s">
        <v>2512</v>
      </c>
      <c r="F37" s="3"/>
      <c r="G37" s="3"/>
      <c r="H37" s="11">
        <v>36.0</v>
      </c>
      <c r="I37" s="10" t="str">
        <f>IFERROR(__xludf.DUMMYFUNCTION("GOOGLETRANSLATE(B37,""it"",""en"")"),"What is one of the main characteristics of the modern Ruzzola?")</f>
        <v>What is one of the main characteristics of the modern Ruzzola?</v>
      </c>
      <c r="J37" s="10" t="str">
        <f>IFERROR(__xludf.DUMMYFUNCTION("GOOGLETRANSLATE(C37,""it"",""en"")"),"A. Use of synthetic materials B. Uniform rules C. Presence of referees D. Prize money")</f>
        <v>A. Use of synthetic materials B. Uniform rules C. Presence of referees D. Prize money</v>
      </c>
      <c r="K37" s="10" t="str">
        <f>IFERROR(__xludf.DUMMYFUNCTION("GOOGLETRANSLATE(D37,""it"",""en"")"),"Uniform rules")</f>
        <v>Uniform rules</v>
      </c>
      <c r="L37" s="10" t="str">
        <f>IFERROR(__xludf.DUMMYFUNCTION("GOOGLETRANSLATE(E37,""it"",""en"")"),"Modern competitions follow uniform rules at the national level.")</f>
        <v>Modern competitions follow uniform rules at the national level.</v>
      </c>
    </row>
    <row r="38" ht="22.5" customHeight="1">
      <c r="A38" s="11">
        <v>37.0</v>
      </c>
      <c r="B38" s="5" t="s">
        <v>2513</v>
      </c>
      <c r="C38" s="5" t="s">
        <v>2514</v>
      </c>
      <c r="D38" s="5" t="s">
        <v>2409</v>
      </c>
      <c r="E38" s="5" t="s">
        <v>2515</v>
      </c>
      <c r="F38" s="3"/>
      <c r="G38" s="3"/>
      <c r="H38" s="11">
        <v>37.0</v>
      </c>
      <c r="I38" s="10" t="str">
        <f>IFERROR(__xludf.DUMMYFUNCTION("GOOGLETRANSLATE(B38,""it"",""en"")"),"What does cheese symbolize in the historical context of Ruzzola?")</f>
        <v>What does cheese symbolize in the historical context of Ruzzola?</v>
      </c>
      <c r="J38" s="10" t="str">
        <f>IFERROR(__xludf.DUMMYFUNCTION("GOOGLETRANSLATE(C38,""it"",""en"")"),"A. Sacrifice B. Abundance C. Protection D. Luck")</f>
        <v>A. Sacrifice B. Abundance C. Protection D. Luck</v>
      </c>
      <c r="K38" s="10" t="str">
        <f>IFERROR(__xludf.DUMMYFUNCTION("GOOGLETRANSLATE(D38,""it"",""en"")"),"Abundance")</f>
        <v>Abundance</v>
      </c>
      <c r="L38" s="10" t="str">
        <f>IFERROR(__xludf.DUMMYFUNCTION("GOOGLETRANSLATE(E38,""it"",""en"")"),"Cheese represented abundance and wealth.")</f>
        <v>Cheese represented abundance and wealth.</v>
      </c>
    </row>
    <row r="39" ht="22.5" customHeight="1">
      <c r="A39" s="11">
        <v>38.0</v>
      </c>
      <c r="B39" s="5" t="s">
        <v>2516</v>
      </c>
      <c r="C39" s="5" t="s">
        <v>2517</v>
      </c>
      <c r="D39" s="5" t="s">
        <v>2518</v>
      </c>
      <c r="E39" s="5" t="s">
        <v>2519</v>
      </c>
      <c r="F39" s="3"/>
      <c r="G39" s="3"/>
      <c r="H39" s="11">
        <v>38.0</v>
      </c>
      <c r="I39" s="10" t="str">
        <f>IFERROR(__xludf.DUMMYFUNCTION("GOOGLETRANSLATE(B39,""it"",""en"")"),"What type of surface is preferred for playing Ruzzola?")</f>
        <v>What type of surface is preferred for playing Ruzzola?</v>
      </c>
      <c r="J39" s="10" t="str">
        <f>IFERROR(__xludf.DUMMYFUNCTION("GOOGLETRANSLATE(C39,""it"",""en"")"),"A. Asphalt B. Grass C. Natural soil D. Sand")</f>
        <v>A. Asphalt B. Grass C. Natural soil D. Sand</v>
      </c>
      <c r="K39" s="10" t="str">
        <f>IFERROR(__xludf.DUMMYFUNCTION("GOOGLETRANSLATE(D39,""it"",""en"")"),"Natural terrain")</f>
        <v>Natural terrain</v>
      </c>
      <c r="L39" s="10" t="str">
        <f>IFERROR(__xludf.DUMMYFUNCTION("GOOGLETRANSLATE(E39,""it"",""en"")"),"The natural terrain is ideal for ensuring good rolling.")</f>
        <v>The natural terrain is ideal for ensuring good rolling.</v>
      </c>
    </row>
    <row r="40" ht="22.5" customHeight="1">
      <c r="A40" s="11">
        <v>39.0</v>
      </c>
      <c r="B40" s="5" t="s">
        <v>2520</v>
      </c>
      <c r="C40" s="5" t="s">
        <v>2521</v>
      </c>
      <c r="D40" s="5" t="s">
        <v>2522</v>
      </c>
      <c r="E40" s="5" t="s">
        <v>2523</v>
      </c>
      <c r="F40" s="3"/>
      <c r="G40" s="3"/>
      <c r="H40" s="11">
        <v>39.0</v>
      </c>
      <c r="I40" s="10" t="str">
        <f>IFERROR(__xludf.DUMMYFUNCTION("GOOGLETRANSLATE(B40,""it"",""en"")"),"What tool is used to measure throwing distance?")</f>
        <v>What tool is used to measure throwing distance?</v>
      </c>
      <c r="J40" s="10" t="str">
        <f>IFERROR(__xludf.DUMMYFUNCTION("GOOGLETRANSLATE(C40,""it"",""en"")"),"A. Tape measure B. Ruler C. Dowel D. Protractor")</f>
        <v>A. Tape measure B. Ruler C. Dowel D. Protractor</v>
      </c>
      <c r="K40" s="10" t="str">
        <f>IFERROR(__xludf.DUMMYFUNCTION("GOOGLETRANSLATE(D40,""it"",""en"")"),"Tape measure")</f>
        <v>Tape measure</v>
      </c>
      <c r="L40" s="10" t="str">
        <f>IFERROR(__xludf.DUMMYFUNCTION("GOOGLETRANSLATE(E40,""it"",""en"")"),"The tape measure is the traditional tool for measuring throwing distance.")</f>
        <v>The tape measure is the traditional tool for measuring throwing distance.</v>
      </c>
    </row>
    <row r="41" ht="22.5" customHeight="1">
      <c r="A41" s="11">
        <v>40.0</v>
      </c>
      <c r="B41" s="5" t="s">
        <v>2524</v>
      </c>
      <c r="C41" s="5" t="s">
        <v>2525</v>
      </c>
      <c r="D41" s="5" t="s">
        <v>2526</v>
      </c>
      <c r="E41" s="5" t="s">
        <v>2527</v>
      </c>
      <c r="F41" s="3"/>
      <c r="G41" s="3"/>
      <c r="H41" s="11">
        <v>40.0</v>
      </c>
      <c r="I41" s="10" t="str">
        <f>IFERROR(__xludf.DUMMYFUNCTION("GOOGLETRANSLATE(B41,""it"",""en"")"),"What is the weight limit for modern Ruzzole in competition?")</f>
        <v>What is the weight limit for modern Ruzzole in competition?</v>
      </c>
      <c r="J41" s="10" t="str">
        <f>IFERROR(__xludf.DUMMYFUNCTION("GOOGLETRANSLATE(C41,""it"",""en"")"),"A. 1 kg B. 2 kg C. 3 kg D. 5 kg")</f>
        <v>A. 1 kg B. 2 kg C. 3 kg D. 5 kg</v>
      </c>
      <c r="K41" s="10" t="str">
        <f>IFERROR(__xludf.DUMMYFUNCTION("GOOGLETRANSLATE(D41,""it"",""en"")"),"2 kg")</f>
        <v>2 kg</v>
      </c>
      <c r="L41" s="10" t="str">
        <f>IFERROR(__xludf.DUMMYFUNCTION("GOOGLETRANSLATE(E41,""it"",""en"")"),"Modern Ruzzole must respect a weight limit of approximately 2 kg.")</f>
        <v>Modern Ruzzole must respect a weight limit of approximately 2 kg.</v>
      </c>
    </row>
    <row r="42" ht="22.5" customHeight="1">
      <c r="A42" s="11">
        <v>41.0</v>
      </c>
      <c r="B42" s="5" t="s">
        <v>2528</v>
      </c>
      <c r="C42" s="5" t="s">
        <v>2529</v>
      </c>
      <c r="D42" s="5" t="s">
        <v>296</v>
      </c>
      <c r="E42" s="5" t="s">
        <v>2530</v>
      </c>
      <c r="F42" s="3"/>
      <c r="G42" s="3"/>
      <c r="H42" s="11">
        <v>41.0</v>
      </c>
      <c r="I42" s="10" t="str">
        <f>IFERROR(__xludf.DUMMYFUNCTION("GOOGLETRANSLATE(B42,""it"",""en"")"),"How is the throwing order established in a Ruzzola competition?")</f>
        <v>How is the throwing order established in a Ruzzola competition?</v>
      </c>
      <c r="J42" s="10" t="str">
        <f>IFERROR(__xludf.DUMMYFUNCTION("GOOGLETRANSLATE(C42,""it"",""en"")"),"A. Draw B. Age of participants C. Physical strength D. Experience")</f>
        <v>A. Draw B. Age of participants C. Physical strength D. Experience</v>
      </c>
      <c r="K42" s="10" t="str">
        <f>IFERROR(__xludf.DUMMYFUNCTION("GOOGLETRANSLATE(D42,""it"",""en"")"),"Draw")</f>
        <v>Draw</v>
      </c>
      <c r="L42" s="10" t="str">
        <f>IFERROR(__xludf.DUMMYFUNCTION("GOOGLETRANSLATE(E42,""it"",""en"")"),"The launch order is often decided by drawing lots.")</f>
        <v>The launch order is often decided by drawing lots.</v>
      </c>
    </row>
    <row r="43" ht="22.5" customHeight="1">
      <c r="A43" s="11">
        <v>42.0</v>
      </c>
      <c r="B43" s="5" t="s">
        <v>2531</v>
      </c>
      <c r="C43" s="5" t="s">
        <v>2532</v>
      </c>
      <c r="D43" s="5" t="s">
        <v>2533</v>
      </c>
      <c r="E43" s="5" t="s">
        <v>2534</v>
      </c>
      <c r="F43" s="3"/>
      <c r="G43" s="3"/>
      <c r="H43" s="11">
        <v>42.0</v>
      </c>
      <c r="I43" s="10" t="str">
        <f>IFERROR(__xludf.DUMMYFUNCTION("GOOGLETRANSLATE(B43,""it"",""en"")"),"How were the first Ruzzola models decorated?")</f>
        <v>How were the first Ruzzola models decorated?</v>
      </c>
      <c r="J43" s="10" t="str">
        <f>IFERROR(__xludf.DUMMYFUNCTION("GOOGLETRANSLATE(C43,""it"",""en"")"),"A. Hand-colored B. Engraved with symbols C. Decorated with flowers D. They were not decorated")</f>
        <v>A. Hand-colored B. Engraved with symbols C. Decorated with flowers D. They were not decorated</v>
      </c>
      <c r="K43" s="10" t="str">
        <f>IFERROR(__xludf.DUMMYFUNCTION("GOOGLETRANSLATE(D43,""it"",""en"")"),"Engraved with symbols")</f>
        <v>Engraved with symbols</v>
      </c>
      <c r="L43" s="10" t="str">
        <f>IFERROR(__xludf.DUMMYFUNCTION("GOOGLETRANSLATE(E43,""it"",""en"")"),"Historic Ruzzole were often engraved with cultural symbols.")</f>
        <v>Historic Ruzzole were often engraved with cultural symbols.</v>
      </c>
    </row>
    <row r="44" ht="22.5" customHeight="1">
      <c r="A44" s="11">
        <v>43.0</v>
      </c>
      <c r="B44" s="5" t="s">
        <v>2535</v>
      </c>
      <c r="C44" s="5" t="s">
        <v>2536</v>
      </c>
      <c r="D44" s="5" t="s">
        <v>2537</v>
      </c>
      <c r="E44" s="5" t="s">
        <v>2538</v>
      </c>
      <c r="F44" s="3"/>
      <c r="G44" s="3"/>
      <c r="H44" s="11">
        <v>43.0</v>
      </c>
      <c r="I44" s="10" t="str">
        <f>IFERROR(__xludf.DUMMYFUNCTION("GOOGLETRANSLATE(B44,""it"",""en"")"),"What is the main goal of Ruzzola's competitions?")</f>
        <v>What is the main goal of Ruzzola's competitions?</v>
      </c>
      <c r="J44" s="10" t="str">
        <f>IFERROR(__xludf.DUMMYFUNCTION("GOOGLETRANSLATE(C44,""it"",""en"")"),"A. Have fun B. Preserve tradition C. Unite communities D. Win prizes")</f>
        <v>A. Have fun B. Preserve tradition C. Unite communities D. Win prizes</v>
      </c>
      <c r="K44" s="10" t="str">
        <f>IFERROR(__xludf.DUMMYFUNCTION("GOOGLETRANSLATE(D44,""it"",""en"")"),"Preserving the tradition")</f>
        <v>Preserving the tradition</v>
      </c>
      <c r="L44" s="10" t="str">
        <f>IFERROR(__xludf.DUMMYFUNCTION("GOOGLETRANSLATE(E44,""it"",""en"")"),"The competitions aim to keep the tradition alive.")</f>
        <v>The competitions aim to keep the tradition alive.</v>
      </c>
    </row>
    <row r="45" ht="22.5" customHeight="1">
      <c r="A45" s="11">
        <v>44.0</v>
      </c>
      <c r="B45" s="5" t="s">
        <v>2539</v>
      </c>
      <c r="C45" s="5" t="s">
        <v>2540</v>
      </c>
      <c r="D45" s="5" t="s">
        <v>2541</v>
      </c>
      <c r="E45" s="5" t="s">
        <v>2542</v>
      </c>
      <c r="F45" s="3"/>
      <c r="G45" s="3"/>
      <c r="H45" s="11">
        <v>44.0</v>
      </c>
      <c r="I45" s="10" t="str">
        <f>IFERROR(__xludf.DUMMYFUNCTION("GOOGLETRANSLATE(B45,""it"",""en"")"),"What are the main variations of the Ruzzola game?")</f>
        <v>What are the main variations of the Ruzzola game?</v>
      </c>
      <c r="J45" s="10" t="str">
        <f>IFERROR(__xludf.DUMMYFUNCTION("GOOGLETRANSLATE(C45,""it"",""en"")"),"A. Ruzzolone and Ruzzolino B. Ruzzolaccia and Ruzzolona C. Ruzzolone and Ruzzolino D. Ruzzolotta and Ruzzolaccio")</f>
        <v>A. Ruzzolone and Ruzzolino B. Ruzzolaccia and Ruzzolona C. Ruzzolone and Ruzzolino D. Ruzzolotta and Ruzzolaccio</v>
      </c>
      <c r="K45" s="10" t="str">
        <f>IFERROR(__xludf.DUMMYFUNCTION("GOOGLETRANSLATE(D45,""it"",""en"")"),"Ruzzolone and Ruzzolino")</f>
        <v>Ruzzolone and Ruzzolino</v>
      </c>
      <c r="L45" s="10" t="str">
        <f>IFERROR(__xludf.DUMMYFUNCTION("GOOGLETRANSLATE(E45,""it"",""en"")"),"These are the two main known variants.")</f>
        <v>These are the two main known variants.</v>
      </c>
    </row>
    <row r="46" ht="22.5" customHeight="1">
      <c r="A46" s="11">
        <v>45.0</v>
      </c>
      <c r="B46" s="5" t="s">
        <v>2543</v>
      </c>
      <c r="C46" s="5" t="s">
        <v>2544</v>
      </c>
      <c r="D46" s="5" t="s">
        <v>2545</v>
      </c>
      <c r="E46" s="5" t="s">
        <v>2546</v>
      </c>
      <c r="F46" s="3"/>
      <c r="G46" s="3"/>
      <c r="H46" s="11">
        <v>45.0</v>
      </c>
      <c r="I46" s="10" t="str">
        <f>IFERROR(__xludf.DUMMYFUNCTION("GOOGLETRANSLATE(B46,""it"",""en"")"),"What historical event temporarily interrupted the Ruzzola races?")</f>
        <v>What historical event temporarily interrupted the Ruzzola races?</v>
      </c>
      <c r="J46" s="10" t="str">
        <f>IFERROR(__xludf.DUMMYFUNCTION("GOOGLETRANSLATE(C46,""it"",""en"")"),"A. The plague B. The world wars C. The industrial revolution D. The fall of the Roman Empire")</f>
        <v>A. The plague B. The world wars C. The industrial revolution D. The fall of the Roman Empire</v>
      </c>
      <c r="K46" s="10" t="str">
        <f>IFERROR(__xludf.DUMMYFUNCTION("GOOGLETRANSLATE(D46,""it"",""en"")"),"The World Wars")</f>
        <v>The World Wars</v>
      </c>
      <c r="L46" s="10" t="str">
        <f>IFERROR(__xludf.DUMMYFUNCTION("GOOGLETRANSLATE(E46,""it"",""en"")"),"Competitions were interrupted during the world wars.")</f>
        <v>Competitions were interrupted during the world wars.</v>
      </c>
    </row>
    <row r="47" ht="22.5" customHeight="1">
      <c r="A47" s="11">
        <v>46.0</v>
      </c>
      <c r="B47" s="5" t="s">
        <v>2547</v>
      </c>
      <c r="C47" s="5" t="s">
        <v>2548</v>
      </c>
      <c r="D47" s="5" t="s">
        <v>2549</v>
      </c>
      <c r="E47" s="5" t="s">
        <v>2550</v>
      </c>
      <c r="F47" s="3"/>
      <c r="G47" s="3"/>
      <c r="H47" s="11">
        <v>46.0</v>
      </c>
      <c r="I47" s="10" t="str">
        <f>IFERROR(__xludf.DUMMYFUNCTION("GOOGLETRANSLATE(B47,""it"",""en"")"),"How are modern Ruzzola tournaments regulated?")</f>
        <v>How are modern Ruzzola tournaments regulated?</v>
      </c>
      <c r="J47" s="10" t="str">
        <f>IFERROR(__xludf.DUMMYFUNCTION("GOOGLETRANSLATE(C47,""it"",""en"")"),"A. Regional federations B. Local rules C. National associations D. No regulations")</f>
        <v>A. Regional federations B. Local rules C. National associations D. No regulations</v>
      </c>
      <c r="K47" s="10" t="str">
        <f>IFERROR(__xludf.DUMMYFUNCTION("GOOGLETRANSLATE(D47,""it"",""en"")"),"Regional Federations")</f>
        <v>Regional Federations</v>
      </c>
      <c r="L47" s="10" t="str">
        <f>IFERROR(__xludf.DUMMYFUNCTION("GOOGLETRANSLATE(E47,""it"",""en"")"),"The regional federations regulate the tournaments.")</f>
        <v>The regional federations regulate the tournaments.</v>
      </c>
    </row>
    <row r="48" ht="22.5" customHeight="1">
      <c r="A48" s="11">
        <v>47.0</v>
      </c>
      <c r="B48" s="5" t="s">
        <v>2551</v>
      </c>
      <c r="C48" s="5" t="s">
        <v>2552</v>
      </c>
      <c r="D48" s="5" t="s">
        <v>2553</v>
      </c>
      <c r="E48" s="5" t="s">
        <v>2554</v>
      </c>
      <c r="F48" s="3"/>
      <c r="G48" s="3"/>
      <c r="H48" s="11">
        <v>47.0</v>
      </c>
      <c r="I48" s="10" t="str">
        <f>IFERROR(__xludf.DUMMYFUNCTION("GOOGLETRANSLATE(B48,""it"",""en"")"),"What is the symbolic prize in Ruzzola tournaments?")</f>
        <v>What is the symbolic prize in Ruzzola tournaments?</v>
      </c>
      <c r="J48" s="10" t="str">
        <f>IFERROR(__xludf.DUMMYFUNCTION("GOOGLETRANSLATE(C48,""it"",""en"")"),"A. Cup B. Medal C. Cheese D. Public recognition")</f>
        <v>A. Cup B. Medal C. Cheese D. Public recognition</v>
      </c>
      <c r="K48" s="10" t="str">
        <f>IFERROR(__xludf.DUMMYFUNCTION("GOOGLETRANSLATE(D48,""it"",""en"")"),"Cheese")</f>
        <v>Cheese</v>
      </c>
      <c r="L48" s="10" t="str">
        <f>IFERROR(__xludf.DUMMYFUNCTION("GOOGLETRANSLATE(E48,""it"",""en"")"),"Cheese remains the most popular symbolic prize.")</f>
        <v>Cheese remains the most popular symbolic prize.</v>
      </c>
    </row>
    <row r="49" ht="22.5" customHeight="1">
      <c r="A49" s="11">
        <v>48.0</v>
      </c>
      <c r="B49" s="5" t="s">
        <v>2555</v>
      </c>
      <c r="C49" s="5" t="s">
        <v>2556</v>
      </c>
      <c r="D49" s="5" t="s">
        <v>2557</v>
      </c>
      <c r="E49" s="5" t="s">
        <v>2558</v>
      </c>
      <c r="F49" s="3"/>
      <c r="G49" s="3"/>
      <c r="H49" s="11">
        <v>48.0</v>
      </c>
      <c r="I49" s="10" t="str">
        <f>IFERROR(__xludf.DUMMYFUNCTION("GOOGLETRANSLATE(B49,""it"",""en"")"),"Which strategy is considered the most effective for Ruzzola?")</f>
        <v>Which strategy is considered the most effective for Ruzzola?</v>
      </c>
      <c r="J49" s="10" t="str">
        <f>IFERROR(__xludf.DUMMYFUNCTION("GOOGLETRANSLATE(C49,""it"",""en"")"),"A. Maximum force B. Calculation of the trajectory C. Rolling speed D. Mental concentration")</f>
        <v>A. Maximum force B. Calculation of the trajectory C. Rolling speed D. Mental concentration</v>
      </c>
      <c r="K49" s="10" t="str">
        <f>IFERROR(__xludf.DUMMYFUNCTION("GOOGLETRANSLATE(D49,""it"",""en"")"),"Calculating the trajectory")</f>
        <v>Calculating the trajectory</v>
      </c>
      <c r="L49" s="10" t="str">
        <f>IFERROR(__xludf.DUMMYFUNCTION("GOOGLETRANSLATE(E49,""it"",""en"")"),"A good trajectory is essential for an effective throw.")</f>
        <v>A good trajectory is essential for an effective throw.</v>
      </c>
    </row>
    <row r="50" ht="22.5" customHeight="1">
      <c r="A50" s="11">
        <v>49.0</v>
      </c>
      <c r="B50" s="5" t="s">
        <v>2559</v>
      </c>
      <c r="C50" s="5" t="s">
        <v>2560</v>
      </c>
      <c r="D50" s="5" t="s">
        <v>2561</v>
      </c>
      <c r="E50" s="5" t="s">
        <v>2562</v>
      </c>
      <c r="F50" s="3"/>
      <c r="G50" s="3"/>
      <c r="H50" s="11">
        <v>49.0</v>
      </c>
      <c r="I50" s="10" t="str">
        <f>IFERROR(__xludf.DUMMYFUNCTION("GOOGLETRANSLATE(B50,""it"",""en"")"),"Which traditional profession was most closely linked to the game of Ruzzola?")</f>
        <v>Which traditional profession was most closely linked to the game of Ruzzola?</v>
      </c>
      <c r="J50" s="10" t="str">
        <f>IFERROR(__xludf.DUMMYFUNCTION("GOOGLETRANSLATE(C50,""it"",""en"")"),"A. Farmer B. Carpenter C. Shepherd D. Craftsman")</f>
        <v>A. Farmer B. Carpenter C. Shepherd D. Craftsman</v>
      </c>
      <c r="K50" s="10" t="str">
        <f>IFERROR(__xludf.DUMMYFUNCTION("GOOGLETRANSLATE(D50,""it"",""en"")"),"Farmer")</f>
        <v>Farmer</v>
      </c>
      <c r="L50" s="10" t="str">
        <f>IFERROR(__xludf.DUMMYFUNCTION("GOOGLETRANSLATE(E50,""it"",""en"")"),"The farmers were the main players in Ruzzola.")</f>
        <v>The farmers were the main players in Ruzzola.</v>
      </c>
    </row>
    <row r="51" ht="22.5" customHeight="1">
      <c r="A51" s="11">
        <v>50.0</v>
      </c>
      <c r="B51" s="5" t="s">
        <v>2563</v>
      </c>
      <c r="C51" s="5" t="s">
        <v>2564</v>
      </c>
      <c r="D51" s="5" t="s">
        <v>2565</v>
      </c>
      <c r="E51" s="5" t="s">
        <v>2566</v>
      </c>
      <c r="F51" s="3"/>
      <c r="G51" s="3"/>
      <c r="H51" s="11">
        <v>50.0</v>
      </c>
      <c r="I51" s="10" t="str">
        <f>IFERROR(__xludf.DUMMYFUNCTION("GOOGLETRANSLATE(B51,""it"",""en"")"),"What is the main obstacle to the spread of the game of Ruzzola today?")</f>
        <v>What is the main obstacle to the spread of the game of Ruzzola today?</v>
      </c>
      <c r="J51" s="10" t="str">
        <f>IFERROR(__xludf.DUMMYFUNCTION("GOOGLETRANSLATE(C51,""it"",""en"")"),"A. Unsuitable terrain B. Lack of interest C. Competition from other sports D. Lack of regulations")</f>
        <v>A. Unsuitable terrain B. Lack of interest C. Competition from other sports D. Lack of regulations</v>
      </c>
      <c r="K51" s="10" t="str">
        <f>IFERROR(__xludf.DUMMYFUNCTION("GOOGLETRANSLATE(D51,""it"",""en"")"),"Little interest")</f>
        <v>Little interest</v>
      </c>
      <c r="L51" s="10" t="str">
        <f>IFERROR(__xludf.DUMMYFUNCTION("GOOGLETRANSLATE(E51,""it"",""en"")"),"Lack of interest among young people limits the spread of the game.")</f>
        <v>Lack of interest among young people limits the spread of the game.</v>
      </c>
    </row>
    <row r="52" ht="22.5" customHeight="1">
      <c r="A52" s="11">
        <v>51.0</v>
      </c>
      <c r="B52" s="5" t="s">
        <v>2567</v>
      </c>
      <c r="C52" s="5" t="s">
        <v>2568</v>
      </c>
      <c r="D52" s="5" t="s">
        <v>2569</v>
      </c>
      <c r="E52" s="5" t="s">
        <v>2570</v>
      </c>
      <c r="F52" s="3"/>
      <c r="G52" s="3"/>
      <c r="H52" s="11">
        <v>51.0</v>
      </c>
      <c r="I52" s="10" t="str">
        <f>IFERROR(__xludf.DUMMYFUNCTION("GOOGLETRANSLATE(B52,""it"",""en"")"),"How do you try to promote the game of Ruzzola in schools?")</f>
        <v>How do you try to promote the game of Ruzzola in schools?</v>
      </c>
      <c r="J52" s="10" t="str">
        <f>IFERROR(__xludf.DUMMYFUNCTION("GOOGLETRANSLATE(C52,""it"",""en"")"),"A. Dedicated courses B. School tournaments C. Public demonstrations D. Integration into sports programs")</f>
        <v>A. Dedicated courses B. School tournaments C. Public demonstrations D. Integration into sports programs</v>
      </c>
      <c r="K52" s="10" t="str">
        <f>IFERROR(__xludf.DUMMYFUNCTION("GOOGLETRANSLATE(D52,""it"",""en"")"),"School tournaments")</f>
        <v>School tournaments</v>
      </c>
      <c r="L52" s="10" t="str">
        <f>IFERROR(__xludf.DUMMYFUNCTION("GOOGLETRANSLATE(E52,""it"",""en"")"),"Schools organize tournaments to introduce the game to young people.")</f>
        <v>Schools organize tournaments to introduce the game to young people.</v>
      </c>
    </row>
    <row r="53" ht="22.5" customHeight="1">
      <c r="A53" s="11">
        <v>52.0</v>
      </c>
      <c r="B53" s="5" t="s">
        <v>2571</v>
      </c>
      <c r="C53" s="5" t="s">
        <v>2572</v>
      </c>
      <c r="D53" s="5" t="s">
        <v>2573</v>
      </c>
      <c r="E53" s="5" t="s">
        <v>2574</v>
      </c>
      <c r="F53" s="3"/>
      <c r="G53" s="3"/>
      <c r="H53" s="11">
        <v>52.0</v>
      </c>
      <c r="I53" s="10" t="str">
        <f>IFERROR(__xludf.DUMMYFUNCTION("GOOGLETRANSLATE(B53,""it"",""en"")"),"What is the historical origin of the game of Ruzzola?")</f>
        <v>What is the historical origin of the game of Ruzzola?</v>
      </c>
      <c r="J53" s="10" t="str">
        <f>IFERROR(__xludf.DUMMYFUNCTION("GOOGLETRANSLATE(C53,""it"",""en"")"),"A. Roman era B. Medieval era C. Renaissance era D. Modern era")</f>
        <v>A. Roman era B. Medieval era C. Renaissance era D. Modern era</v>
      </c>
      <c r="K53" s="10" t="str">
        <f>IFERROR(__xludf.DUMMYFUNCTION("GOOGLETRANSLATE(D53,""it"",""en"")"),"Roman era")</f>
        <v>Roman era</v>
      </c>
      <c r="L53" s="10" t="str">
        <f>IFERROR(__xludf.DUMMYFUNCTION("GOOGLETRANSLATE(E53,""it"",""en"")"),"The game has origins dating back to Roman times.")</f>
        <v>The game has origins dating back to Roman times.</v>
      </c>
    </row>
    <row r="54" ht="22.5" customHeight="1">
      <c r="A54" s="11">
        <v>53.0</v>
      </c>
      <c r="B54" s="5" t="s">
        <v>2575</v>
      </c>
      <c r="C54" s="5" t="s">
        <v>2576</v>
      </c>
      <c r="D54" s="5" t="s">
        <v>2445</v>
      </c>
      <c r="E54" s="5" t="s">
        <v>2577</v>
      </c>
      <c r="F54" s="3"/>
      <c r="G54" s="3"/>
      <c r="H54" s="11">
        <v>53.0</v>
      </c>
      <c r="I54" s="10" t="str">
        <f>IFERROR(__xludf.DUMMYFUNCTION("GOOGLETRANSLATE(B54,""it"",""en"")"),"Which community organized Ruzzola tournaments for local celebrations?")</f>
        <v>Which community organized Ruzzola tournaments for local celebrations?</v>
      </c>
      <c r="J54" s="10" t="str">
        <f>IFERROR(__xludf.DUMMYFUNCTION("GOOGLETRANSLATE(C54,""it"",""en"")"),"A. Farmers B. Artisans C. Merchants D. Religious")</f>
        <v>A. Farmers B. Artisans C. Merchants D. Religious</v>
      </c>
      <c r="K54" s="10" t="str">
        <f>IFERROR(__xludf.DUMMYFUNCTION("GOOGLETRANSLATE(D54,""it"",""en"")"),"Farmers")</f>
        <v>Farmers</v>
      </c>
      <c r="L54" s="10" t="str">
        <f>IFERROR(__xludf.DUMMYFUNCTION("GOOGLETRANSLATE(E54,""it"",""en"")"),"Farmers used to organize tournaments during the holidays.")</f>
        <v>Farmers used to organize tournaments during the holidays.</v>
      </c>
    </row>
    <row r="55" ht="22.5" customHeight="1">
      <c r="A55" s="11">
        <v>54.0</v>
      </c>
      <c r="B55" s="5" t="s">
        <v>2578</v>
      </c>
      <c r="C55" s="5" t="s">
        <v>2579</v>
      </c>
      <c r="D55" s="5" t="s">
        <v>2580</v>
      </c>
      <c r="E55" s="5" t="s">
        <v>2581</v>
      </c>
      <c r="F55" s="3"/>
      <c r="G55" s="3"/>
      <c r="H55" s="11">
        <v>54.0</v>
      </c>
      <c r="I55" s="10" t="str">
        <f>IFERROR(__xludf.DUMMYFUNCTION("GOOGLETRANSLATE(B55,""it"",""en"")"),"What type of cheese was traditionally used?")</f>
        <v>What type of cheese was traditionally used?</v>
      </c>
      <c r="J55" s="10" t="str">
        <f>IFERROR(__xludf.DUMMYFUNCTION("GOOGLETRANSLATE(C55,""it"",""en"")"),"A. Pecorino B. Parmesan C. Asiago D. Caciotta")</f>
        <v>A. Pecorino B. Parmesan C. Asiago D. Caciotta</v>
      </c>
      <c r="K55" s="10" t="str">
        <f>IFERROR(__xludf.DUMMYFUNCTION("GOOGLETRANSLATE(D55,""it"",""en"")"),"Pecorino")</f>
        <v>Pecorino</v>
      </c>
      <c r="L55" s="10" t="str">
        <f>IFERROR(__xludf.DUMMYFUNCTION("GOOGLETRANSLATE(E55,""it"",""en"")"),"Aged pecorino was the most common cheese.")</f>
        <v>Aged pecorino was the most common cheese.</v>
      </c>
    </row>
    <row r="56" ht="22.5" customHeight="1">
      <c r="A56" s="11">
        <v>55.0</v>
      </c>
      <c r="B56" s="5" t="s">
        <v>2582</v>
      </c>
      <c r="C56" s="5" t="s">
        <v>2583</v>
      </c>
      <c r="D56" s="5" t="s">
        <v>2584</v>
      </c>
      <c r="E56" s="5" t="s">
        <v>2585</v>
      </c>
      <c r="F56" s="3"/>
      <c r="G56" s="3"/>
      <c r="H56" s="11">
        <v>55.0</v>
      </c>
      <c r="I56" s="10" t="str">
        <f>IFERROR(__xludf.DUMMYFUNCTION("GOOGLETRANSLATE(B56,""it"",""en"")"),"What practice accompanies the throwing of the Ruzzola?")</f>
        <v>What practice accompanies the throwing of the Ruzzola?</v>
      </c>
      <c r="J56" s="10" t="str">
        <f>IFERROR(__xludf.DUMMYFUNCTION("GOOGLETRANSLATE(C56,""it"",""en"")"),"A. Traditional songs B. Shouts of encouragement C. Prayers D. Silence")</f>
        <v>A. Traditional songs B. Shouts of encouragement C. Prayers D. Silence</v>
      </c>
      <c r="K56" s="10" t="str">
        <f>IFERROR(__xludf.DUMMYFUNCTION("GOOGLETRANSLATE(D56,""it"",""en"")"),"Shouts of encouragement")</f>
        <v>Shouts of encouragement</v>
      </c>
      <c r="L56" s="10" t="str">
        <f>IFERROR(__xludf.DUMMYFUNCTION("GOOGLETRANSLATE(E56,""it"",""en"")"),"Players often yell to encourage the pitch.")</f>
        <v>Players often yell to encourage the pitch.</v>
      </c>
    </row>
    <row r="57" ht="22.5" customHeight="1">
      <c r="A57" s="11">
        <v>56.0</v>
      </c>
      <c r="B57" s="5" t="s">
        <v>2586</v>
      </c>
      <c r="C57" s="5" t="s">
        <v>2587</v>
      </c>
      <c r="D57" s="5" t="s">
        <v>1232</v>
      </c>
      <c r="E57" s="5" t="s">
        <v>2588</v>
      </c>
      <c r="F57" s="3"/>
      <c r="G57" s="3"/>
      <c r="H57" s="11">
        <v>56.0</v>
      </c>
      <c r="I57" s="10" t="str">
        <f>IFERROR(__xludf.DUMMYFUNCTION("GOOGLETRANSLATE(B57,""it"",""en"")"),"In which Italian region is Ruzzola particularly widespread?")</f>
        <v>In which Italian region is Ruzzola particularly widespread?</v>
      </c>
      <c r="J57" s="10" t="str">
        <f>IFERROR(__xludf.DUMMYFUNCTION("GOOGLETRANSLATE(C57,""it"",""en"")"),"A. Lazio B. Umbria C. Tuscany D. Marche")</f>
        <v>A. Lazio B. Umbria C. Tuscany D. Marche</v>
      </c>
      <c r="K57" s="10" t="str">
        <f>IFERROR(__xludf.DUMMYFUNCTION("GOOGLETRANSLATE(D57,""it"",""en"")"),"Marche")</f>
        <v>Marche</v>
      </c>
      <c r="L57" s="10" t="str">
        <f>IFERROR(__xludf.DUMMYFUNCTION("GOOGLETRANSLATE(E57,""it"",""en"")"),"The Marche region has a long tradition linked to the game of Ruzzola.")</f>
        <v>The Marche region has a long tradition linked to the game of Ruzzola.</v>
      </c>
    </row>
    <row r="58" ht="22.5" customHeight="1">
      <c r="A58" s="11">
        <v>57.0</v>
      </c>
      <c r="B58" s="5" t="s">
        <v>2589</v>
      </c>
      <c r="C58" s="5" t="s">
        <v>2590</v>
      </c>
      <c r="D58" s="5" t="s">
        <v>2591</v>
      </c>
      <c r="E58" s="5" t="s">
        <v>2592</v>
      </c>
      <c r="F58" s="3"/>
      <c r="G58" s="3"/>
      <c r="H58" s="11">
        <v>57.0</v>
      </c>
      <c r="I58" s="10" t="str">
        <f>IFERROR(__xludf.DUMMYFUNCTION("GOOGLETRANSLATE(B58,""it"",""en"")"),"What is the purpose of throwing the Ruzzola?")</f>
        <v>What is the purpose of throwing the Ruzzola?</v>
      </c>
      <c r="J58" s="10" t="str">
        <f>IFERROR(__xludf.DUMMYFUNCTION("GOOGLETRANSLATE(C58,""it"",""en"")"),"A. Roll as far as possible B. Hit a target C. Go through a hoop D. Bounce several times")</f>
        <v>A. Roll as far as possible B. Hit a target C. Go through a hoop D. Bounce several times</v>
      </c>
      <c r="K58" s="10" t="str">
        <f>IFERROR(__xludf.DUMMYFUNCTION("GOOGLETRANSLATE(D58,""it"",""en"")"),"Roll as far as possible")</f>
        <v>Roll as far as possible</v>
      </c>
      <c r="L58" s="10" t="str">
        <f>IFERROR(__xludf.DUMMYFUNCTION("GOOGLETRANSLATE(E58,""it"",""en"")"),"Whoever reaches the greatest distance wins.")</f>
        <v>Whoever reaches the greatest distance wins.</v>
      </c>
    </row>
    <row r="59" ht="22.5" customHeight="1">
      <c r="A59" s="11">
        <v>58.0</v>
      </c>
      <c r="B59" s="5" t="s">
        <v>2593</v>
      </c>
      <c r="C59" s="5" t="s">
        <v>2594</v>
      </c>
      <c r="D59" s="5" t="s">
        <v>2595</v>
      </c>
      <c r="E59" s="5" t="s">
        <v>2596</v>
      </c>
      <c r="F59" s="3"/>
      <c r="G59" s="3"/>
      <c r="H59" s="11">
        <v>58.0</v>
      </c>
      <c r="I59" s="10" t="str">
        <f>IFERROR(__xludf.DUMMYFUNCTION("GOOGLETRANSLATE(B59,""it"",""en"")"),"What tools are used in the modern game of Ruzzola?")</f>
        <v>What tools are used in the modern game of Ruzzola?</v>
      </c>
      <c r="J59" s="10" t="str">
        <f>IFERROR(__xludf.DUMMYFUNCTION("GOOGLETRANSLATE(C59,""it"",""en"")"),"A. Stopwatch and scales B. Rope and tumbler C. Hammer and nails D. Stirrups and weights")</f>
        <v>A. Stopwatch and scales B. Rope and tumbler C. Hammer and nails D. Stirrups and weights</v>
      </c>
      <c r="K59" s="10" t="str">
        <f>IFERROR(__xludf.DUMMYFUNCTION("GOOGLETRANSLATE(D59,""it"",""en"")"),"Rope and Tumble")</f>
        <v>Rope and Tumble</v>
      </c>
      <c r="L59" s="10" t="str">
        <f>IFERROR(__xludf.DUMMYFUNCTION("GOOGLETRANSLATE(E59,""it"",""en"")"),"The rope is essential for casting.")</f>
        <v>The rope is essential for casting.</v>
      </c>
    </row>
    <row r="60" ht="22.5" customHeight="1">
      <c r="A60" s="11">
        <v>59.0</v>
      </c>
      <c r="B60" s="5" t="s">
        <v>2597</v>
      </c>
      <c r="C60" s="5" t="s">
        <v>2598</v>
      </c>
      <c r="D60" s="5" t="s">
        <v>2599</v>
      </c>
      <c r="E60" s="5" t="s">
        <v>2600</v>
      </c>
      <c r="F60" s="3"/>
      <c r="G60" s="3"/>
      <c r="H60" s="11">
        <v>59.0</v>
      </c>
      <c r="I60" s="10" t="str">
        <f>IFERROR(__xludf.DUMMYFUNCTION("GOOGLETRANSLATE(B60,""it"",""en"")"),"How is the winner determined in a team match?")</f>
        <v>How is the winner determined in a team match?</v>
      </c>
      <c r="J60" s="10" t="str">
        <f>IFERROR(__xludf.DUMMYFUNCTION("GOOGLETRANSLATE(C60,""it"",""en"")"),"A. Most throws B. Greatest total distance C. Most points D. Best time")</f>
        <v>A. Most throws B. Greatest total distance C. Most points D. Best time</v>
      </c>
      <c r="K60" s="10" t="str">
        <f>IFERROR(__xludf.DUMMYFUNCTION("GOOGLETRANSLATE(D60,""it"",""en"")"),"Greater total distance")</f>
        <v>Greater total distance</v>
      </c>
      <c r="L60" s="10" t="str">
        <f>IFERROR(__xludf.DUMMYFUNCTION("GOOGLETRANSLATE(E60,""it"",""en"")"),"The team that reaches the greatest overall distance wins.")</f>
        <v>The team that reaches the greatest overall distance wins.</v>
      </c>
    </row>
    <row r="61" ht="22.5" customHeight="1">
      <c r="A61" s="11">
        <v>60.0</v>
      </c>
      <c r="B61" s="5" t="s">
        <v>2601</v>
      </c>
      <c r="C61" s="5" t="s">
        <v>2602</v>
      </c>
      <c r="D61" s="5" t="s">
        <v>2603</v>
      </c>
      <c r="E61" s="5" t="s">
        <v>2604</v>
      </c>
      <c r="F61" s="3"/>
      <c r="G61" s="3"/>
      <c r="H61" s="11">
        <v>60.0</v>
      </c>
      <c r="I61" s="10" t="str">
        <f>IFERROR(__xludf.DUMMYFUNCTION("GOOGLETRANSLATE(B61,""it"",""en"")"),"Which annual competition celebrates the game of Ruzzola?")</f>
        <v>Which annual competition celebrates the game of Ruzzola?</v>
      </c>
      <c r="J61" s="10" t="str">
        <f>IFERROR(__xludf.DUMMYFUNCTION("GOOGLETRANSLATE(C61,""it"",""en"")"),"A. Cheese Festival B. Traditional Competition C. National Ruzzola Tournament D. Ruzzola Championship")</f>
        <v>A. Cheese Festival B. Traditional Competition C. National Ruzzola Tournament D. Ruzzola Championship</v>
      </c>
      <c r="K61" s="10" t="str">
        <f>IFERROR(__xludf.DUMMYFUNCTION("GOOGLETRANSLATE(D61,""it"",""en"")"),"National Ruzzola Tournament")</f>
        <v>National Ruzzola Tournament</v>
      </c>
      <c r="L61" s="10" t="str">
        <f>IFERROR(__xludf.DUMMYFUNCTION("GOOGLETRANSLATE(E61,""it"",""en"")"),"The tournament attracts fans from all over the country.")</f>
        <v>The tournament attracts fans from all over the country.</v>
      </c>
    </row>
    <row r="62" ht="22.5" customHeight="1">
      <c r="A62" s="11">
        <v>61.0</v>
      </c>
      <c r="B62" s="5" t="s">
        <v>2605</v>
      </c>
      <c r="C62" s="5" t="s">
        <v>2606</v>
      </c>
      <c r="D62" s="5" t="s">
        <v>654</v>
      </c>
      <c r="E62" s="5" t="s">
        <v>2607</v>
      </c>
      <c r="F62" s="3"/>
      <c r="G62" s="3"/>
      <c r="H62" s="11">
        <v>61.0</v>
      </c>
      <c r="I62" s="10" t="str">
        <f>IFERROR(__xludf.DUMMYFUNCTION("GOOGLETRANSLATE(B62,""it"",""en"")"),"What is the Ruzzola's material in non-traditional competitions?")</f>
        <v>What is the Ruzzola's material in non-traditional competitions?</v>
      </c>
      <c r="J62" s="10" t="str">
        <f>IFERROR(__xludf.DUMMYFUNCTION("GOOGLETRANSLATE(C62,""it"",""en"")"),"A. Plastic B. Metal C. Wood D. Stone")</f>
        <v>A. Plastic B. Metal C. Wood D. Stone</v>
      </c>
      <c r="K62" s="10" t="str">
        <f>IFERROR(__xludf.DUMMYFUNCTION("GOOGLETRANSLATE(D62,""it"",""en"")"),"Wood")</f>
        <v>Wood</v>
      </c>
      <c r="L62" s="10" t="str">
        <f>IFERROR(__xludf.DUMMYFUNCTION("GOOGLETRANSLATE(E62,""it"",""en"")"),"Wooden rollers are used in modern competitions.")</f>
        <v>Wooden rollers are used in modern competitions.</v>
      </c>
    </row>
    <row r="63" ht="22.5" customHeight="1">
      <c r="A63" s="11">
        <v>62.0</v>
      </c>
      <c r="B63" s="5" t="s">
        <v>2608</v>
      </c>
      <c r="C63" s="5" t="s">
        <v>2609</v>
      </c>
      <c r="D63" s="5" t="s">
        <v>2573</v>
      </c>
      <c r="E63" s="5" t="s">
        <v>2610</v>
      </c>
      <c r="F63" s="3"/>
      <c r="G63" s="3"/>
      <c r="H63" s="11">
        <v>62.0</v>
      </c>
      <c r="I63" s="10" t="str">
        <f>IFERROR(__xludf.DUMMYFUNCTION("GOOGLETRANSLATE(B63,""it"",""en"")"),"In what historical period was the game of Ruzzola considered a form of training?")</f>
        <v>In what historical period was the game of Ruzzola considered a form of training?</v>
      </c>
      <c r="J63" s="10" t="str">
        <f>IFERROR(__xludf.DUMMYFUNCTION("GOOGLETRANSLATE(C63,""it"",""en"")"),"A. Roman era B. Middle Ages C. Renaissance D. Modern age")</f>
        <v>A. Roman era B. Middle Ages C. Renaissance D. Modern age</v>
      </c>
      <c r="K63" s="10" t="str">
        <f>IFERROR(__xludf.DUMMYFUNCTION("GOOGLETRANSLATE(D63,""it"",""en"")"),"Roman era")</f>
        <v>Roman era</v>
      </c>
      <c r="L63" s="10" t="str">
        <f>IFERROR(__xludf.DUMMYFUNCTION("GOOGLETRANSLATE(E63,""it"",""en"")"),"The Romans used the game to train dexterity and strength.")</f>
        <v>The Romans used the game to train dexterity and strength.</v>
      </c>
    </row>
    <row r="64" ht="22.5" customHeight="1">
      <c r="A64" s="11">
        <v>63.0</v>
      </c>
      <c r="B64" s="5" t="s">
        <v>2611</v>
      </c>
      <c r="C64" s="5" t="s">
        <v>2612</v>
      </c>
      <c r="D64" s="5" t="s">
        <v>2613</v>
      </c>
      <c r="E64" s="5" t="s">
        <v>2614</v>
      </c>
      <c r="F64" s="3"/>
      <c r="G64" s="3"/>
      <c r="H64" s="11">
        <v>63.0</v>
      </c>
      <c r="I64" s="10" t="str">
        <f>IFERROR(__xludf.DUMMYFUNCTION("GOOGLETRANSLATE(B64,""it"",""en"")"),"Which holiday is still associated with Ruzzola today?")</f>
        <v>Which holiday is still associated with Ruzzola today?</v>
      </c>
      <c r="J64" s="10" t="str">
        <f>IFERROR(__xludf.DUMMYFUNCTION("GOOGLETRANSLATE(C64,""it"",""en"")"),"A. Easter B. Epiphany C. August 15th D. Christmas")</f>
        <v>A. Easter B. Epiphany C. August 15th D. Christmas</v>
      </c>
      <c r="K64" s="10" t="str">
        <f>IFERROR(__xludf.DUMMYFUNCTION("GOOGLETRANSLATE(D64,""it"",""en"")"),"Easter")</f>
        <v>Easter</v>
      </c>
      <c r="L64" s="10" t="str">
        <f>IFERROR(__xludf.DUMMYFUNCTION("GOOGLETRANSLATE(E64,""it"",""en"")"),"Competitions are often held during the Easter period.")</f>
        <v>Competitions are often held during the Easter period.</v>
      </c>
    </row>
    <row r="65" ht="22.5" customHeight="1">
      <c r="A65" s="11">
        <v>64.0</v>
      </c>
      <c r="B65" s="5" t="s">
        <v>2615</v>
      </c>
      <c r="C65" s="5" t="s">
        <v>2616</v>
      </c>
      <c r="D65" s="12">
        <v>45384.0</v>
      </c>
      <c r="E65" s="5" t="s">
        <v>2617</v>
      </c>
      <c r="F65" s="3"/>
      <c r="G65" s="3"/>
      <c r="H65" s="11">
        <v>64.0</v>
      </c>
      <c r="I65" s="10" t="str">
        <f>IFERROR(__xludf.DUMMYFUNCTION("GOOGLETRANSLATE(B65,""it"",""en"")"),"What is the typical number of participants in a race?")</f>
        <v>What is the typical number of participants in a race?</v>
      </c>
      <c r="J65" s="10" t="str">
        <f>IFERROR(__xludf.DUMMYFUNCTION("GOOGLETRANSLATE(C65,""it"",""en"")"),"A. 45384 B. 45478 C. 45573 D. More than 10")</f>
        <v>A. 45384 B. 45478 C. 45573 D. More than 10</v>
      </c>
      <c r="K65" s="10" t="str">
        <f>IFERROR(__xludf.DUMMYFUNCTION("GOOGLETRANSLATE(D65,""it"",""en"")"),"2-4")</f>
        <v>2-4</v>
      </c>
      <c r="L65" s="10" t="str">
        <f>IFERROR(__xludf.DUMMYFUNCTION("GOOGLETRANSLATE(E65,""it"",""en"")"),"Competitions are often held in small groups.")</f>
        <v>Competitions are often held in small groups.</v>
      </c>
    </row>
    <row r="66" ht="22.5" customHeight="1">
      <c r="A66" s="11">
        <v>65.0</v>
      </c>
      <c r="B66" s="5" t="s">
        <v>2618</v>
      </c>
      <c r="C66" s="5" t="s">
        <v>2619</v>
      </c>
      <c r="D66" s="5" t="s">
        <v>2620</v>
      </c>
      <c r="E66" s="5" t="s">
        <v>2621</v>
      </c>
      <c r="F66" s="3"/>
      <c r="G66" s="3"/>
      <c r="H66" s="11">
        <v>65.0</v>
      </c>
      <c r="I66" s="10" t="str">
        <f>IFERROR(__xludf.DUMMYFUNCTION("GOOGLETRANSLATE(B66,""it"",""en"")"),"What is the role of the referee in Ruzzola?")</f>
        <v>What is the role of the referee in Ruzzola?</v>
      </c>
      <c r="J66" s="10" t="str">
        <f>IFERROR(__xludf.DUMMYFUNCTION("GOOGLETRANSLATE(C66,""it"",""en"")"),"A. Measure the distance B. Determine the trajectory C. Control the time D. Calculate the points")</f>
        <v>A. Measure the distance B. Determine the trajectory C. Control the time D. Calculate the points</v>
      </c>
      <c r="K66" s="10" t="str">
        <f>IFERROR(__xludf.DUMMYFUNCTION("GOOGLETRANSLATE(D66,""it"",""en"")"),"Measure the distance")</f>
        <v>Measure the distance</v>
      </c>
      <c r="L66" s="10" t="str">
        <f>IFERROR(__xludf.DUMMYFUNCTION("GOOGLETRANSLATE(E66,""it"",""en"")"),"The referee ensures the correctness of the score.")</f>
        <v>The referee ensures the correctness of the score.</v>
      </c>
    </row>
    <row r="67" ht="22.5" customHeight="1">
      <c r="A67" s="11">
        <v>66.0</v>
      </c>
      <c r="B67" s="5" t="s">
        <v>2622</v>
      </c>
      <c r="C67" s="5" t="s">
        <v>2623</v>
      </c>
      <c r="D67" s="5" t="s">
        <v>2484</v>
      </c>
      <c r="E67" s="5" t="s">
        <v>2624</v>
      </c>
      <c r="F67" s="3"/>
      <c r="G67" s="3"/>
      <c r="H67" s="11">
        <v>66.0</v>
      </c>
      <c r="I67" s="10" t="str">
        <f>IFERROR(__xludf.DUMMYFUNCTION("GOOGLETRANSLATE(B67,""it"",""en"")"),"How are throws classified in an official competition?")</f>
        <v>How are throws classified in an official competition?</v>
      </c>
      <c r="J67" s="10" t="str">
        <f>IFERROR(__xludf.DUMMYFUNCTION("GOOGLETRANSLATE(C67,""it"",""en"")"),"A. Accuracy B. Force C. Trajectory D. Distance")</f>
        <v>A. Accuracy B. Force C. Trajectory D. Distance</v>
      </c>
      <c r="K67" s="10" t="str">
        <f>IFERROR(__xludf.DUMMYFUNCTION("GOOGLETRANSLATE(D67,""it"",""en"")"),"Distance")</f>
        <v>Distance</v>
      </c>
      <c r="L67" s="10" t="str">
        <f>IFERROR(__xludf.DUMMYFUNCTION("GOOGLETRANSLATE(E67,""it"",""en"")"),"Distance is the main evaluation criterion.")</f>
        <v>Distance is the main evaluation criterion.</v>
      </c>
    </row>
    <row r="68" ht="22.5" customHeight="1">
      <c r="A68" s="11">
        <v>67.0</v>
      </c>
      <c r="B68" s="5" t="s">
        <v>2625</v>
      </c>
      <c r="C68" s="5" t="s">
        <v>2626</v>
      </c>
      <c r="D68" s="5" t="s">
        <v>2627</v>
      </c>
      <c r="E68" s="5" t="s">
        <v>2628</v>
      </c>
      <c r="F68" s="3"/>
      <c r="G68" s="3"/>
      <c r="H68" s="11">
        <v>67.0</v>
      </c>
      <c r="I68" s="10" t="str">
        <f>IFERROR(__xludf.DUMMYFUNCTION("GOOGLETRANSLATE(B68,""it"",""en"")"),"Which modern sport is inspired by Ruzzola?")</f>
        <v>Which modern sport is inspired by Ruzzola?</v>
      </c>
      <c r="J68" s="10" t="str">
        <f>IFERROR(__xludf.DUMMYFUNCTION("GOOGLETRANSLATE(C68,""it"",""en"")"),"A. Bowling B. Golf C. Clay pigeon shooting D. Discus throwing")</f>
        <v>A. Bowling B. Golf C. Clay pigeon shooting D. Discus throwing</v>
      </c>
      <c r="K68" s="10" t="str">
        <f>IFERROR(__xludf.DUMMYFUNCTION("GOOGLETRANSLATE(D68,""it"",""en"")"),"Bowling")</f>
        <v>Bowling</v>
      </c>
      <c r="L68" s="10" t="str">
        <f>IFERROR(__xludf.DUMMYFUNCTION("GOOGLETRANSLATE(E68,""it"",""en"")"),"The principle of rolling inspired bowling.")</f>
        <v>The principle of rolling inspired bowling.</v>
      </c>
    </row>
    <row r="69" ht="22.5" customHeight="1">
      <c r="A69" s="11">
        <v>68.0</v>
      </c>
      <c r="B69" s="5" t="s">
        <v>2629</v>
      </c>
      <c r="C69" s="5" t="s">
        <v>2630</v>
      </c>
      <c r="D69" s="5" t="s">
        <v>2631</v>
      </c>
      <c r="E69" s="5" t="s">
        <v>2632</v>
      </c>
      <c r="F69" s="3"/>
      <c r="G69" s="3"/>
      <c r="H69" s="11">
        <v>68.0</v>
      </c>
      <c r="I69" s="10" t="str">
        <f>IFERROR(__xludf.DUMMYFUNCTION("GOOGLETRANSLATE(B69,""it"",""en"")"),"What happens in the event of a tie in a race?")</f>
        <v>What happens in the event of a tie in a race?</v>
      </c>
      <c r="J69" s="10" t="str">
        <f>IFERROR(__xludf.DUMMYFUNCTION("GOOGLETRANSLATE(C69,""it"",""en"")"),"A. New launch B. Division of the prize C. Drawing D. Award to both")</f>
        <v>A. New launch B. Division of the prize C. Drawing D. Award to both</v>
      </c>
      <c r="K69" s="10" t="str">
        <f>IFERROR(__xludf.DUMMYFUNCTION("GOOGLETRANSLATE(D69,""it"",""en"")"),"New launch")</f>
        <v>New launch</v>
      </c>
      <c r="L69" s="10" t="str">
        <f>IFERROR(__xludf.DUMMYFUNCTION("GOOGLETRANSLATE(E69,""it"",""en"")"),"A further throw decides the winner.")</f>
        <v>A further throw decides the winner.</v>
      </c>
    </row>
    <row r="70" ht="22.5" customHeight="1">
      <c r="A70" s="11">
        <v>69.0</v>
      </c>
      <c r="B70" s="5" t="s">
        <v>2633</v>
      </c>
      <c r="C70" s="5" t="s">
        <v>2634</v>
      </c>
      <c r="D70" s="5" t="s">
        <v>2635</v>
      </c>
      <c r="E70" s="5" t="s">
        <v>2636</v>
      </c>
      <c r="F70" s="3"/>
      <c r="G70" s="3"/>
      <c r="H70" s="11">
        <v>69.0</v>
      </c>
      <c r="I70" s="10" t="str">
        <f>IFERROR(__xludf.DUMMYFUNCTION("GOOGLETRANSLATE(B70,""it"",""en"")"),"What type of rope is traditionally used for throwing?")</f>
        <v>What type of rope is traditionally used for throwing?</v>
      </c>
      <c r="J70" s="10" t="str">
        <f>IFERROR(__xludf.DUMMYFUNCTION("GOOGLETRANSLATE(C70,""it"",""en"")"),"A. Hemp rope B. Silk rope C. Cotton rope D. Synthetic rope")</f>
        <v>A. Hemp rope B. Silk rope C. Cotton rope D. Synthetic rope</v>
      </c>
      <c r="K70" s="10" t="str">
        <f>IFERROR(__xludf.DUMMYFUNCTION("GOOGLETRANSLATE(D70,""it"",""en"")"),"Hemp rope")</f>
        <v>Hemp rope</v>
      </c>
      <c r="L70" s="10" t="str">
        <f>IFERROR(__xludf.DUMMYFUNCTION("GOOGLETRANSLATE(E70,""it"",""en"")"),"Hemp rope is durable and ideal for play.")</f>
        <v>Hemp rope is durable and ideal for play.</v>
      </c>
    </row>
    <row r="71" ht="22.5" customHeight="1">
      <c r="A71" s="11">
        <v>70.0</v>
      </c>
      <c r="B71" s="5" t="s">
        <v>2637</v>
      </c>
      <c r="C71" s="5" t="s">
        <v>2638</v>
      </c>
      <c r="D71" s="5" t="s">
        <v>216</v>
      </c>
      <c r="E71" s="5" t="s">
        <v>2639</v>
      </c>
      <c r="F71" s="3"/>
      <c r="G71" s="3"/>
      <c r="H71" s="11">
        <v>70.0</v>
      </c>
      <c r="I71" s="10" t="str">
        <f>IFERROR(__xludf.DUMMYFUNCTION("GOOGLETRANSLATE(B71,""it"",""en"")"),"What skill is essential to excel at Ruzzola?")</f>
        <v>What skill is essential to excel at Ruzzola?</v>
      </c>
      <c r="J71" s="10" t="str">
        <f>IFERROR(__xludf.DUMMYFUNCTION("GOOGLETRANSLATE(C71,""it"",""en"")"),"A. Speed ​​B. Mathematical calculation C. Precision D. Resistance")</f>
        <v>A. Speed ​​B. Mathematical calculation C. Precision D. Resistance</v>
      </c>
      <c r="K71" s="10" t="str">
        <f>IFERROR(__xludf.DUMMYFUNCTION("GOOGLETRANSLATE(D71,""it"",""en"")"),"Precision")</f>
        <v>Precision</v>
      </c>
      <c r="L71" s="10" t="str">
        <f>IFERROR(__xludf.DUMMYFUNCTION("GOOGLETRANSLATE(E71,""it"",""en"")"),"Good accuracy is essential for an effective throw.")</f>
        <v>Good accuracy is essential for an effective throw.</v>
      </c>
    </row>
    <row r="72" ht="22.5" customHeight="1">
      <c r="A72" s="11">
        <v>71.0</v>
      </c>
      <c r="B72" s="5" t="s">
        <v>2640</v>
      </c>
      <c r="C72" s="5" t="s">
        <v>2641</v>
      </c>
      <c r="D72" s="5" t="s">
        <v>2642</v>
      </c>
      <c r="E72" s="5" t="s">
        <v>2643</v>
      </c>
      <c r="F72" s="3"/>
      <c r="G72" s="3"/>
      <c r="H72" s="11">
        <v>71.0</v>
      </c>
      <c r="I72" s="10" t="str">
        <f>IFERROR(__xludf.DUMMYFUNCTION("GOOGLETRANSLATE(B72,""it"",""en"")"),"What recent innovation has made Ruzzola more accessible?")</f>
        <v>What recent innovation has made Ruzzola more accessible?</v>
      </c>
      <c r="J72" s="10" t="str">
        <f>IFERROR(__xludf.DUMMYFUNCTION("GOOGLETRANSLATE(C72,""it"",""en"")"),"A. Lighter tumbles B. Artificial turf C. Digital rules D. Online championships")</f>
        <v>A. Lighter tumbles B. Artificial turf C. Digital rules D. Online championships</v>
      </c>
      <c r="K72" s="10" t="str">
        <f>IFERROR(__xludf.DUMMYFUNCTION("GOOGLETRANSLATE(D72,""it"",""en"")"),"Lighter rolls")</f>
        <v>Lighter rolls</v>
      </c>
      <c r="L72" s="10" t="str">
        <f>IFERROR(__xludf.DUMMYFUNCTION("GOOGLETRANSLATE(E72,""it"",""en"")"),"Modern Ruzzole are lighter to make playing easier.")</f>
        <v>Modern Ruzzole are lighter to make playing easier.</v>
      </c>
    </row>
    <row r="73" ht="22.5" customHeight="1">
      <c r="A73" s="11">
        <v>72.0</v>
      </c>
      <c r="B73" s="5" t="s">
        <v>2644</v>
      </c>
      <c r="C73" s="5" t="s">
        <v>2645</v>
      </c>
      <c r="D73" s="5" t="s">
        <v>2646</v>
      </c>
      <c r="E73" s="5" t="s">
        <v>2647</v>
      </c>
      <c r="F73" s="3"/>
      <c r="G73" s="3"/>
      <c r="H73" s="11">
        <v>72.0</v>
      </c>
      <c r="I73" s="10" t="str">
        <f>IFERROR(__xludf.DUMMYFUNCTION("GOOGLETRANSLATE(B73,""it"",""en"")"),"In which decade was a federation for Ruzzola established?")</f>
        <v>In which decade was a federation for Ruzzola established?</v>
      </c>
      <c r="J73" s="10" t="str">
        <f>IFERROR(__xludf.DUMMYFUNCTION("GOOGLETRANSLATE(C73,""it"",""en"")"),"A. 1950s B. 1960s C. 1970s D. 1980s")</f>
        <v>A. 1950s B. 1960s C. 1970s D. 1980s</v>
      </c>
      <c r="K73" s="10" t="str">
        <f>IFERROR(__xludf.DUMMYFUNCTION("GOOGLETRANSLATE(D73,""it"",""en"")"),"1970s")</f>
        <v>1970s</v>
      </c>
      <c r="L73" s="10" t="str">
        <f>IFERROR(__xludf.DUMMYFUNCTION("GOOGLETRANSLATE(E73,""it"",""en"")"),"The federation was created in the 1970s to organize the game.")</f>
        <v>The federation was created in the 1970s to organize the game.</v>
      </c>
    </row>
    <row r="74" ht="22.5" customHeight="1">
      <c r="A74" s="11">
        <v>73.0</v>
      </c>
      <c r="B74" s="5" t="s">
        <v>2648</v>
      </c>
      <c r="C74" s="5" t="s">
        <v>2649</v>
      </c>
      <c r="D74" s="5" t="s">
        <v>2650</v>
      </c>
      <c r="E74" s="5" t="s">
        <v>2651</v>
      </c>
      <c r="F74" s="3"/>
      <c r="G74" s="3"/>
      <c r="H74" s="11">
        <v>73.0</v>
      </c>
      <c r="I74" s="10" t="str">
        <f>IFERROR(__xludf.DUMMYFUNCTION("GOOGLETRANSLATE(B74,""it"",""en"")"),"Which Italian city regularly hosts Ruzzola tournaments?")</f>
        <v>Which Italian city regularly hosts Ruzzola tournaments?</v>
      </c>
      <c r="J74" s="10" t="str">
        <f>IFERROR(__xludf.DUMMYFUNCTION("GOOGLETRANSLATE(C74,""it"",""en"")"),"A. Rome B. Bologna C. Ascoli Piceno D. Perugia")</f>
        <v>A. Rome B. Bologna C. Ascoli Piceno D. Perugia</v>
      </c>
      <c r="K74" s="10" t="str">
        <f>IFERROR(__xludf.DUMMYFUNCTION("GOOGLETRANSLATE(D74,""it"",""en"")"),"Ascoli Piceno")</f>
        <v>Ascoli Piceno</v>
      </c>
      <c r="L74" s="10" t="str">
        <f>IFERROR(__xludf.DUMMYFUNCTION("GOOGLETRANSLATE(E74,""it"",""en"")"),"Ascoli Piceno is famous for its competitions.")</f>
        <v>Ascoli Piceno is famous for its competitions.</v>
      </c>
    </row>
    <row r="75" ht="22.5" customHeight="1">
      <c r="A75" s="11">
        <v>74.0</v>
      </c>
      <c r="B75" s="5" t="s">
        <v>2652</v>
      </c>
      <c r="C75" s="5" t="s">
        <v>2653</v>
      </c>
      <c r="D75" s="5" t="s">
        <v>2654</v>
      </c>
      <c r="E75" s="5" t="s">
        <v>2655</v>
      </c>
      <c r="F75" s="3"/>
      <c r="G75" s="3"/>
      <c r="H75" s="11">
        <v>74.0</v>
      </c>
      <c r="I75" s="10" t="str">
        <f>IFERROR(__xludf.DUMMYFUNCTION("GOOGLETRANSLATE(B75,""it"",""en"")"),"How is the game of Ruzzola passed down within families?")</f>
        <v>How is the game of Ruzzola passed down within families?</v>
      </c>
      <c r="J75" s="10" t="str">
        <f>IFERROR(__xludf.DUMMYFUNCTION("GOOGLETRANSLATE(C75,""it"",""en"")"),"A. Internal competitions B. Oral traditions C. Local schools D. Festive competitions")</f>
        <v>A. Internal competitions B. Oral traditions C. Local schools D. Festive competitions</v>
      </c>
      <c r="K75" s="10" t="str">
        <f>IFERROR(__xludf.DUMMYFUNCTION("GOOGLETRANSLATE(D75,""it"",""en"")"),"Oral traditions")</f>
        <v>Oral traditions</v>
      </c>
      <c r="L75" s="10" t="str">
        <f>IFERROR(__xludf.DUMMYFUNCTION("GOOGLETRANSLATE(E75,""it"",""en"")"),"Families pass the game down by telling stories and rules.")</f>
        <v>Families pass the game down by telling stories and rules.</v>
      </c>
    </row>
    <row r="76" ht="22.5" customHeight="1">
      <c r="A76" s="11">
        <v>75.0</v>
      </c>
      <c r="B76" s="5" t="s">
        <v>2656</v>
      </c>
      <c r="C76" s="5" t="s">
        <v>2657</v>
      </c>
      <c r="D76" s="5" t="s">
        <v>2378</v>
      </c>
      <c r="E76" s="5" t="s">
        <v>2658</v>
      </c>
      <c r="F76" s="3"/>
      <c r="G76" s="3"/>
      <c r="H76" s="11">
        <v>75.0</v>
      </c>
      <c r="I76" s="10" t="str">
        <f>IFERROR(__xludf.DUMMYFUNCTION("GOOGLETRANSLATE(B76,""it"",""en"")"),"Which Italian region has the most well-known variations of Ruzzola?")</f>
        <v>Which Italian region has the most well-known variations of Ruzzola?</v>
      </c>
      <c r="J76" s="10" t="str">
        <f>IFERROR(__xludf.DUMMYFUNCTION("GOOGLETRANSLATE(C76,""it"",""en"")"),"A. Veneto B. Umbria C. Marche D. Piedmont")</f>
        <v>A. Veneto B. Umbria C. Marche D. Piedmont</v>
      </c>
      <c r="K76" s="10" t="str">
        <f>IFERROR(__xludf.DUMMYFUNCTION("GOOGLETRANSLATE(D76,""it"",""en"")"),"Umbria")</f>
        <v>Umbria</v>
      </c>
      <c r="L76" s="10" t="str">
        <f>IFERROR(__xludf.DUMMYFUNCTION("GOOGLETRANSLATE(E76,""it"",""en"")"),"Umbria is home to popular variations of the game.")</f>
        <v>Umbria is home to popular variations of the game.</v>
      </c>
    </row>
    <row r="77" ht="22.5" customHeight="1">
      <c r="A77" s="11">
        <v>76.0</v>
      </c>
      <c r="B77" s="5" t="s">
        <v>2659</v>
      </c>
      <c r="C77" s="5" t="s">
        <v>2660</v>
      </c>
      <c r="D77" s="5" t="s">
        <v>2661</v>
      </c>
      <c r="E77" s="5" t="s">
        <v>2662</v>
      </c>
      <c r="F77" s="3"/>
      <c r="G77" s="3"/>
      <c r="H77" s="11">
        <v>76.0</v>
      </c>
      <c r="I77" s="10" t="str">
        <f>IFERROR(__xludf.DUMMYFUNCTION("GOOGLETRANSLATE(B77,""it"",""en"")"),"What happens if a Ruzzola breaks during play?")</f>
        <v>What happens if a Ruzzola breaks during play?</v>
      </c>
      <c r="J77" s="10" t="str">
        <f>IFERROR(__xludf.DUMMYFUNCTION("GOOGLETRANSLATE(C77,""it"",""en"")"),"A. Disqualification B. Suspension of the round C. Repeated throw D. Point lost")</f>
        <v>A. Disqualification B. Suspension of the round C. Repeated throw D. Point lost</v>
      </c>
      <c r="K77" s="10" t="str">
        <f>IFERROR(__xludf.DUMMYFUNCTION("GOOGLETRANSLATE(D77,""it"",""en"")"),"Repeated throw")</f>
        <v>Repeated throw</v>
      </c>
      <c r="L77" s="10" t="str">
        <f>IFERROR(__xludf.DUMMYFUNCTION("GOOGLETRANSLATE(E77,""it"",""en"")"),"The player can repeat the throw with a new Roll.")</f>
        <v>The player can repeat the throw with a new Roll.</v>
      </c>
    </row>
    <row r="78" ht="22.5" customHeight="1">
      <c r="A78" s="11">
        <v>77.0</v>
      </c>
      <c r="B78" s="5" t="s">
        <v>2663</v>
      </c>
      <c r="C78" s="5" t="s">
        <v>2664</v>
      </c>
      <c r="D78" s="5" t="s">
        <v>2665</v>
      </c>
      <c r="E78" s="5" t="s">
        <v>2666</v>
      </c>
      <c r="F78" s="3"/>
      <c r="G78" s="3"/>
      <c r="H78" s="11">
        <v>77.0</v>
      </c>
      <c r="I78" s="10" t="str">
        <f>IFERROR(__xludf.DUMMYFUNCTION("GOOGLETRANSLATE(B78,""it"",""en"")"),"How are Ruzzole decorated for special events?")</f>
        <v>How are Ruzzole decorated for special events?</v>
      </c>
      <c r="J78" s="10" t="str">
        <f>IFERROR(__xludf.DUMMYFUNCTION("GOOGLETRANSLATE(C78,""it"",""en"")"),"A. Bright colors B. Gold engravings C. Traditional symbols D. They are not decorated")</f>
        <v>A. Bright colors B. Gold engravings C. Traditional symbols D. They are not decorated</v>
      </c>
      <c r="K78" s="10" t="str">
        <f>IFERROR(__xludf.DUMMYFUNCTION("GOOGLETRANSLATE(D78,""it"",""en"")"),"Traditional symbols")</f>
        <v>Traditional symbols</v>
      </c>
      <c r="L78" s="10" t="str">
        <f>IFERROR(__xludf.DUMMYFUNCTION("GOOGLETRANSLATE(E78,""it"",""en"")"),"The decorations reflect the local culture.")</f>
        <v>The decorations reflect the local culture.</v>
      </c>
    </row>
    <row r="79" ht="22.5" customHeight="1">
      <c r="A79" s="11">
        <v>78.0</v>
      </c>
      <c r="B79" s="5" t="s">
        <v>2667</v>
      </c>
      <c r="C79" s="5" t="s">
        <v>2668</v>
      </c>
      <c r="D79" s="5" t="s">
        <v>2669</v>
      </c>
      <c r="E79" s="5" t="s">
        <v>2670</v>
      </c>
      <c r="F79" s="3"/>
      <c r="G79" s="3"/>
      <c r="H79" s="11">
        <v>78.0</v>
      </c>
      <c r="I79" s="10" t="str">
        <f>IFERROR(__xludf.DUMMYFUNCTION("GOOGLETRANSLATE(B79,""it"",""en"")"),"What material is preferred today for training rolls?")</f>
        <v>What material is preferred today for training rolls?</v>
      </c>
      <c r="J79" s="10" t="str">
        <f>IFERROR(__xludf.DUMMYFUNCTION("GOOGLETRANSLATE(C79,""it"",""en"")"),"A. Rubber B. Synthetic wood C. Plastic D. Stone")</f>
        <v>A. Rubber B. Synthetic wood C. Plastic D. Stone</v>
      </c>
      <c r="K79" s="10" t="str">
        <f>IFERROR(__xludf.DUMMYFUNCTION("GOOGLETRANSLATE(D79,""it"",""en"")"),"Eraser")</f>
        <v>Eraser</v>
      </c>
      <c r="L79" s="10" t="str">
        <f>IFERROR(__xludf.DUMMYFUNCTION("GOOGLETRANSLATE(E79,""it"",""en"")"),"Rubber rollers are used for safety.")</f>
        <v>Rubber rollers are used for safety.</v>
      </c>
    </row>
    <row r="80" ht="22.5" customHeight="1">
      <c r="A80" s="11">
        <v>79.0</v>
      </c>
      <c r="B80" s="5" t="s">
        <v>2671</v>
      </c>
      <c r="C80" s="5" t="s">
        <v>2672</v>
      </c>
      <c r="D80" s="5" t="s">
        <v>2673</v>
      </c>
      <c r="E80" s="5" t="s">
        <v>2674</v>
      </c>
      <c r="F80" s="3"/>
      <c r="G80" s="3"/>
      <c r="H80" s="11">
        <v>79.0</v>
      </c>
      <c r="I80" s="10" t="str">
        <f>IFERROR(__xludf.DUMMYFUNCTION("GOOGLETRANSLATE(B80,""it"",""en"")"),"What is the minimum age to participate in official competitions?")</f>
        <v>What is the minimum age to participate in official competitions?</v>
      </c>
      <c r="J80" s="10" t="str">
        <f>IFERROR(__xludf.DUMMYFUNCTION("GOOGLETRANSLATE(C80,""it"",""en"")"),"A. 10 years B. 12 years C. 14 years D. 16 years")</f>
        <v>A. 10 years B. 12 years C. 14 years D. 16 years</v>
      </c>
      <c r="K80" s="10" t="str">
        <f>IFERROR(__xludf.DUMMYFUNCTION("GOOGLETRANSLATE(D80,""it"",""en"")"),"12 years old")</f>
        <v>12 years old</v>
      </c>
      <c r="L80" s="10" t="str">
        <f>IFERROR(__xludf.DUMMYFUNCTION("GOOGLETRANSLATE(E80,""it"",""en"")"),"Official competitions accept participants aged 12 and over.")</f>
        <v>Official competitions accept participants aged 12 and over.</v>
      </c>
    </row>
    <row r="81" ht="22.5" customHeight="1">
      <c r="A81" s="11">
        <v>80.0</v>
      </c>
      <c r="B81" s="5" t="s">
        <v>2675</v>
      </c>
      <c r="C81" s="5" t="s">
        <v>2676</v>
      </c>
      <c r="D81" s="5" t="s">
        <v>2677</v>
      </c>
      <c r="E81" s="5" t="s">
        <v>2678</v>
      </c>
      <c r="F81" s="3"/>
      <c r="G81" s="3"/>
      <c r="H81" s="11">
        <v>80.0</v>
      </c>
      <c r="I81" s="10" t="str">
        <f>IFERROR(__xludf.DUMMYFUNCTION("GOOGLETRANSLATE(B81,""it"",""en"")"),"What prize was common in historical tournaments?")</f>
        <v>What prize was common in historical tournaments?</v>
      </c>
      <c r="J81" s="10" t="str">
        <f>IFERROR(__xludf.DUMMYFUNCTION("GOOGLETRANSLATE(C81,""it"",""en"")"),"A. Money B. Cheese C. Tools D. Clothes")</f>
        <v>A. Money B. Cheese C. Tools D. Clothes</v>
      </c>
      <c r="K81" s="10" t="str">
        <f>IFERROR(__xludf.DUMMYFUNCTION("GOOGLETRANSLATE(D81,""it"",""en"")"),"Cheeses")</f>
        <v>Cheeses</v>
      </c>
      <c r="L81" s="10" t="str">
        <f>IFERROR(__xludf.DUMMYFUNCTION("GOOGLETRANSLATE(E81,""it"",""en"")"),"The winners often received large wheels of cheese.")</f>
        <v>The winners often received large wheels of cheese.</v>
      </c>
    </row>
    <row r="82" ht="22.5" customHeight="1">
      <c r="A82" s="11">
        <v>81.0</v>
      </c>
      <c r="B82" s="5" t="s">
        <v>2679</v>
      </c>
      <c r="C82" s="5" t="s">
        <v>2680</v>
      </c>
      <c r="D82" s="5" t="s">
        <v>1224</v>
      </c>
      <c r="E82" s="5" t="s">
        <v>2681</v>
      </c>
      <c r="F82" s="3"/>
      <c r="G82" s="3"/>
      <c r="H82" s="11">
        <v>81.0</v>
      </c>
      <c r="I82" s="10" t="str">
        <f>IFERROR(__xludf.DUMMYFUNCTION("GOOGLETRANSLATE(B82,""it"",""en"")"),"In which century did the game of Ruzzola become popular in Italy?")</f>
        <v>In which century did the game of Ruzzola become popular in Italy?</v>
      </c>
      <c r="J82" s="10" t="str">
        <f>IFERROR(__xludf.DUMMYFUNCTION("GOOGLETRANSLATE(C82,""it"",""en"")"),"A. 13th century B. 14th century C. 15th century D. 16th century")</f>
        <v>A. 13th century B. 14th century C. 15th century D. 16th century</v>
      </c>
      <c r="K82" s="10" t="str">
        <f>IFERROR(__xludf.DUMMYFUNCTION("GOOGLETRANSLATE(D82,""it"",""en"")"),"14th century")</f>
        <v>14th century</v>
      </c>
      <c r="L82" s="10" t="str">
        <f>IFERROR(__xludf.DUMMYFUNCTION("GOOGLETRANSLATE(E82,""it"",""en"")"),"Ruzzola became widespread in the 14th century.")</f>
        <v>Ruzzola became widespread in the 14th century.</v>
      </c>
    </row>
    <row r="83" ht="22.5" customHeight="1">
      <c r="A83" s="11">
        <v>82.0</v>
      </c>
      <c r="B83" s="5" t="s">
        <v>2682</v>
      </c>
      <c r="C83" s="5" t="s">
        <v>2683</v>
      </c>
      <c r="D83" s="5" t="s">
        <v>2684</v>
      </c>
      <c r="E83" s="5" t="s">
        <v>2685</v>
      </c>
      <c r="F83" s="3"/>
      <c r="G83" s="3"/>
      <c r="H83" s="11">
        <v>82.0</v>
      </c>
      <c r="I83" s="10" t="str">
        <f>IFERROR(__xludf.DUMMYFUNCTION("GOOGLETRANSLATE(B83,""it"",""en"")"),"How is the ideal trajectory of the Ruzzola determined?")</f>
        <v>How is the ideal trajectory of the Ruzzola determined?</v>
      </c>
      <c r="J83" s="10" t="str">
        <f>IFERROR(__xludf.DUMMYFUNCTION("GOOGLETRANSLATE(C83,""it"",""en"")"),"A. Experience and practice B. Geometric calculations C. Observation of the terrain D. Referee's signals")</f>
        <v>A. Experience and practice B. Geometric calculations C. Observation of the terrain D. Referee's signals</v>
      </c>
      <c r="K83" s="10" t="str">
        <f>IFERROR(__xludf.DUMMYFUNCTION("GOOGLETRANSLATE(D83,""it"",""en"")"),"Experience and practice")</f>
        <v>Experience and practice</v>
      </c>
      <c r="L83" s="10" t="str">
        <f>IFERROR(__xludf.DUMMYFUNCTION("GOOGLETRANSLATE(E83,""it"",""en"")"),"Experienced players fine-tune their throw with practice.")</f>
        <v>Experienced players fine-tune their throw with practice.</v>
      </c>
    </row>
    <row r="84" ht="22.5" customHeight="1">
      <c r="A84" s="11">
        <v>83.0</v>
      </c>
      <c r="B84" s="5" t="s">
        <v>2686</v>
      </c>
      <c r="C84" s="5" t="s">
        <v>2687</v>
      </c>
      <c r="D84" s="5" t="s">
        <v>2688</v>
      </c>
      <c r="E84" s="5" t="s">
        <v>2689</v>
      </c>
      <c r="F84" s="3"/>
      <c r="G84" s="3"/>
      <c r="H84" s="11">
        <v>83.0</v>
      </c>
      <c r="I84" s="10" t="str">
        <f>IFERROR(__xludf.DUMMYFUNCTION("GOOGLETRANSLATE(B84,""it"",""en"")"),"What tradition accompanies the Ruzzola tournaments?")</f>
        <v>What tradition accompanies the Ruzzola tournaments?</v>
      </c>
      <c r="J84" s="10" t="str">
        <f>IFERROR(__xludf.DUMMYFUNCTION("GOOGLETRANSLATE(C84,""it"",""en"")"),"A. Banquets B. Local fairs C. Folk songs D. Traditional dance")</f>
        <v>A. Banquets B. Local fairs C. Folk songs D. Traditional dance</v>
      </c>
      <c r="K84" s="10" t="str">
        <f>IFERROR(__xludf.DUMMYFUNCTION("GOOGLETRANSLATE(D84,""it"",""en"")"),"Banquets")</f>
        <v>Banquets</v>
      </c>
      <c r="L84" s="10" t="str">
        <f>IFERROR(__xludf.DUMMYFUNCTION("GOOGLETRANSLATE(E84,""it"",""en"")"),"Tournaments often conclude with festive banquets.")</f>
        <v>Tournaments often conclude with festive banquets.</v>
      </c>
    </row>
    <row r="85" ht="22.5" customHeight="1">
      <c r="A85" s="11">
        <v>84.0</v>
      </c>
      <c r="B85" s="5" t="s">
        <v>2690</v>
      </c>
      <c r="C85" s="5" t="s">
        <v>2691</v>
      </c>
      <c r="D85" s="5" t="s">
        <v>2692</v>
      </c>
      <c r="E85" s="5" t="s">
        <v>2693</v>
      </c>
      <c r="F85" s="3"/>
      <c r="G85" s="3"/>
      <c r="H85" s="11">
        <v>84.0</v>
      </c>
      <c r="I85" s="10" t="str">
        <f>IFERROR(__xludf.DUMMYFUNCTION("GOOGLETRANSLATE(B85,""it"",""en"")"),"Which institution helped regulate the game?")</f>
        <v>Which institution helped regulate the game?</v>
      </c>
      <c r="J85" s="10" t="str">
        <f>IFERROR(__xludf.DUMMYFUNCTION("GOOGLETRANSLATE(C85,""it"",""en"")"),"A. Municipal institutions B. Church C. Sports academies D. Noble families")</f>
        <v>A. Municipal institutions B. Church C. Sports academies D. Noble families</v>
      </c>
      <c r="K85" s="10" t="str">
        <f>IFERROR(__xludf.DUMMYFUNCTION("GOOGLETRANSLATE(D85,""it"",""en"")"),"Municipal authorities")</f>
        <v>Municipal authorities</v>
      </c>
      <c r="L85" s="10" t="str">
        <f>IFERROR(__xludf.DUMMYFUNCTION("GOOGLETRANSLATE(E85,""it"",""en"")"),"Local authorities have introduced rules for the game.")</f>
        <v>Local authorities have introduced rules for the game.</v>
      </c>
    </row>
    <row r="86" ht="22.5" customHeight="1">
      <c r="A86" s="11">
        <v>85.0</v>
      </c>
      <c r="B86" s="5" t="s">
        <v>2694</v>
      </c>
      <c r="C86" s="5" t="s">
        <v>2695</v>
      </c>
      <c r="D86" s="5" t="s">
        <v>2696</v>
      </c>
      <c r="E86" s="5" t="s">
        <v>2697</v>
      </c>
      <c r="F86" s="3"/>
      <c r="G86" s="3"/>
      <c r="H86" s="11">
        <v>85.0</v>
      </c>
      <c r="I86" s="10" t="str">
        <f>IFERROR(__xludf.DUMMYFUNCTION("GOOGLETRANSLATE(B86,""it"",""en"")"),"What is the main element that determines success in a game of Ruzzola?")</f>
        <v>What is the main element that determines success in a game of Ruzzola?</v>
      </c>
      <c r="J86" s="10" t="str">
        <f>IFERROR(__xludf.DUMMYFUNCTION("GOOGLETRANSLATE(C86,""it"",""en"")"),"A. Strength B. Balance C. Strategy D. Dexterity")</f>
        <v>A. Strength B. Balance C. Strategy D. Dexterity</v>
      </c>
      <c r="K86" s="10" t="str">
        <f>IFERROR(__xludf.DUMMYFUNCTION("GOOGLETRANSLATE(D86,""it"",""en"")"),"Strategy")</f>
        <v>Strategy</v>
      </c>
      <c r="L86" s="10" t="str">
        <f>IFERROR(__xludf.DUMMYFUNCTION("GOOGLETRANSLATE(E86,""it"",""en"")"),"A good strategy is essential to choosing the best path.")</f>
        <v>A good strategy is essential to choosing the best path.</v>
      </c>
    </row>
    <row r="87" ht="22.5" customHeight="1">
      <c r="A87" s="11">
        <v>86.0</v>
      </c>
      <c r="B87" s="5" t="s">
        <v>2698</v>
      </c>
      <c r="C87" s="5" t="s">
        <v>2699</v>
      </c>
      <c r="D87" s="5" t="s">
        <v>2700</v>
      </c>
      <c r="E87" s="5" t="s">
        <v>2701</v>
      </c>
      <c r="F87" s="3"/>
      <c r="G87" s="3"/>
      <c r="H87" s="11">
        <v>86.0</v>
      </c>
      <c r="I87" s="10" t="str">
        <f>IFERROR(__xludf.DUMMYFUNCTION("GOOGLETRANSLATE(B87,""it"",""en"")"),"What is a common superstitious practice before a launch?")</f>
        <v>What is a common superstitious practice before a launch?</v>
      </c>
      <c r="J87" s="10" t="str">
        <f>IFERROR(__xludf.DUMMYFUNCTION("GOOGLETRANSLATE(C87,""it"",""en"")"),"A. Kiss the Ruzzola B. Clap your hands C. Shout a name D. Rub the rope")</f>
        <v>A. Kiss the Ruzzola B. Clap your hands C. Shout a name D. Rub the rope</v>
      </c>
      <c r="K87" s="10" t="str">
        <f>IFERROR(__xludf.DUMMYFUNCTION("GOOGLETRANSLATE(D87,""it"",""en"")"),"Kissing the Ruzzola")</f>
        <v>Kissing the Ruzzola</v>
      </c>
      <c r="L87" s="10" t="str">
        <f>IFERROR(__xludf.DUMMYFUNCTION("GOOGLETRANSLATE(E87,""it"",""en"")"),"This gesture is considered a good omen.")</f>
        <v>This gesture is considered a good omen.</v>
      </c>
    </row>
    <row r="88" ht="22.5" customHeight="1">
      <c r="A88" s="11">
        <v>87.0</v>
      </c>
      <c r="B88" s="5" t="s">
        <v>2702</v>
      </c>
      <c r="C88" s="5" t="s">
        <v>2703</v>
      </c>
      <c r="D88" s="5" t="s">
        <v>2704</v>
      </c>
      <c r="E88" s="5" t="s">
        <v>2705</v>
      </c>
      <c r="F88" s="3"/>
      <c r="G88" s="3"/>
      <c r="H88" s="11">
        <v>87.0</v>
      </c>
      <c r="I88" s="10" t="str">
        <f>IFERROR(__xludf.DUMMYFUNCTION("GOOGLETRANSLATE(B88,""it"",""en"")"),"What is the typical length of a rope used in the Ruzzola?")</f>
        <v>What is the typical length of a rope used in the Ruzzola?</v>
      </c>
      <c r="J88" s="10" t="str">
        <f>IFERROR(__xludf.DUMMYFUNCTION("GOOGLETRANSLATE(C88,""it"",""en"")"),"A. 1-2 meters B. 2-3 meters C. 3-4 meters D. 4-5 meters")</f>
        <v>A. 1-2 meters B. 2-3 meters C. 3-4 meters D. 4-5 meters</v>
      </c>
      <c r="K88" s="10" t="str">
        <f>IFERROR(__xludf.DUMMYFUNCTION("GOOGLETRANSLATE(D88,""it"",""en"")"),"2-3 meters")</f>
        <v>2-3 meters</v>
      </c>
      <c r="L88" s="10" t="str">
        <f>IFERROR(__xludf.DUMMYFUNCTION("GOOGLETRANSLATE(E88,""it"",""en"")"),"The ropes are long enough to wrap around the Ruzzola.")</f>
        <v>The ropes are long enough to wrap around the Ruzzola.</v>
      </c>
    </row>
    <row r="89" ht="22.5" customHeight="1">
      <c r="A89" s="11">
        <v>88.0</v>
      </c>
      <c r="B89" s="5" t="s">
        <v>2706</v>
      </c>
      <c r="C89" s="5" t="s">
        <v>2707</v>
      </c>
      <c r="D89" s="5" t="s">
        <v>2708</v>
      </c>
      <c r="E89" s="5" t="s">
        <v>2709</v>
      </c>
      <c r="F89" s="3"/>
      <c r="G89" s="3"/>
      <c r="H89" s="11">
        <v>88.0</v>
      </c>
      <c r="I89" s="10" t="str">
        <f>IFERROR(__xludf.DUMMYFUNCTION("GOOGLETRANSLATE(B89,""it"",""en"")"),"What did the Ruzzola symbolize in ancient Rome?")</f>
        <v>What did the Ruzzola symbolize in ancient Rome?</v>
      </c>
      <c r="J89" s="10" t="str">
        <f>IFERROR(__xludf.DUMMYFUNCTION("GOOGLETRANSLATE(C89,""it"",""en"")"),"A. Fertility B. Competition C. Strength and power D. Community union")</f>
        <v>A. Fertility B. Competition C. Strength and power D. Community union</v>
      </c>
      <c r="K89" s="10" t="str">
        <f>IFERROR(__xludf.DUMMYFUNCTION("GOOGLETRANSLATE(D89,""it"",""en"")"),"Strength and power")</f>
        <v>Strength and power</v>
      </c>
      <c r="L89" s="10" t="str">
        <f>IFERROR(__xludf.DUMMYFUNCTION("GOOGLETRANSLATE(E89,""it"",""en"")"),"The game represented physical strength and dexterity.")</f>
        <v>The game represented physical strength and dexterity.</v>
      </c>
    </row>
    <row r="90" ht="22.5" customHeight="1">
      <c r="A90" s="11">
        <v>89.0</v>
      </c>
      <c r="B90" s="5" t="s">
        <v>2710</v>
      </c>
      <c r="C90" s="5" t="s">
        <v>2711</v>
      </c>
      <c r="D90" s="5" t="s">
        <v>2712</v>
      </c>
      <c r="E90" s="5" t="s">
        <v>2713</v>
      </c>
      <c r="F90" s="3"/>
      <c r="G90" s="3"/>
      <c r="H90" s="11">
        <v>89.0</v>
      </c>
      <c r="I90" s="10" t="str">
        <f>IFERROR(__xludf.DUMMYFUNCTION("GOOGLETRANSLATE(B90,""it"",""en"")"),"What type of terrain is ideal for Ruzzola?")</f>
        <v>What type of terrain is ideal for Ruzzola?</v>
      </c>
      <c r="J90" s="10" t="str">
        <f>IFERROR(__xludf.DUMMYFUNCTION("GOOGLETRANSLATE(C90,""it"",""en"")"),"A. Dirt B. Grass C. Asphalt D. Gravel")</f>
        <v>A. Dirt B. Grass C. Asphalt D. Gravel</v>
      </c>
      <c r="K90" s="10" t="str">
        <f>IFERROR(__xludf.DUMMYFUNCTION("GOOGLETRANSLATE(D90,""it"",""en"")"),"Dirt road")</f>
        <v>Dirt road</v>
      </c>
      <c r="L90" s="10" t="str">
        <f>IFERROR(__xludf.DUMMYFUNCTION("GOOGLETRANSLATE(E90,""it"",""en"")"),"A dirt surface allows the Ruzzola to roll better.")</f>
        <v>A dirt surface allows the Ruzzola to roll better.</v>
      </c>
    </row>
    <row r="91" ht="22.5" customHeight="1">
      <c r="A91" s="11">
        <v>90.0</v>
      </c>
      <c r="B91" s="5" t="s">
        <v>2714</v>
      </c>
      <c r="C91" s="5" t="s">
        <v>248</v>
      </c>
      <c r="D91" s="5" t="s">
        <v>2715</v>
      </c>
      <c r="E91" s="5" t="s">
        <v>2716</v>
      </c>
      <c r="F91" s="3"/>
      <c r="G91" s="3"/>
      <c r="H91" s="11">
        <v>90.0</v>
      </c>
      <c r="I91" s="10" t="str">
        <f>IFERROR(__xludf.DUMMYFUNCTION("GOOGLETRANSLATE(B91,""it"",""en"")"),"What time of year do most competitions take place?")</f>
        <v>What time of year do most competitions take place?</v>
      </c>
      <c r="J91" s="10" t="str">
        <f>IFERROR(__xludf.DUMMYFUNCTION("GOOGLETRANSLATE(C91,""it"",""en"")"),"A. Spring B. Summer C. Autumn D. Winter")</f>
        <v>A. Spring B. Summer C. Autumn D. Winter</v>
      </c>
      <c r="K91" s="10" t="str">
        <f>IFERROR(__xludf.DUMMYFUNCTION("GOOGLETRANSLATE(D91,""it"",""en"")"),"Spring")</f>
        <v>Spring</v>
      </c>
      <c r="L91" s="10" t="str">
        <f>IFERROR(__xludf.DUMMYFUNCTION("GOOGLETRANSLATE(E91,""it"",""en"")"),"Spring is the favorite time for outdoor competitions.")</f>
        <v>Spring is the favorite time for outdoor competitions.</v>
      </c>
    </row>
    <row r="92" ht="22.5" customHeight="1">
      <c r="A92" s="11">
        <v>91.0</v>
      </c>
      <c r="B92" s="5" t="s">
        <v>2717</v>
      </c>
      <c r="C92" s="5" t="s">
        <v>2718</v>
      </c>
      <c r="D92" s="4">
        <v>5.0</v>
      </c>
      <c r="E92" s="5" t="s">
        <v>2719</v>
      </c>
      <c r="F92" s="3"/>
      <c r="G92" s="3"/>
      <c r="H92" s="11">
        <v>91.0</v>
      </c>
      <c r="I92" s="10" t="str">
        <f>IFERROR(__xludf.DUMMYFUNCTION("GOOGLETRANSLATE(B92,""it"",""en"")"),"What is the maximum number of players per team in official competitions?")</f>
        <v>What is the maximum number of players per team in official competitions?</v>
      </c>
      <c r="J92" s="10" t="str">
        <f>IFERROR(__xludf.DUMMYFUNCTION("GOOGLETRANSLATE(C92,""it"",""en"")"),"A. 3 B. 5 C. 7 D. 9")</f>
        <v>A. 3 B. 5 C. 7 D. 9</v>
      </c>
      <c r="K92" s="10" t="str">
        <f>IFERROR(__xludf.DUMMYFUNCTION("GOOGLETRANSLATE(D92,""it"",""en"")"),"5")</f>
        <v>5</v>
      </c>
      <c r="L92" s="10" t="str">
        <f>IFERROR(__xludf.DUMMYFUNCTION("GOOGLETRANSLATE(E92,""it"",""en"")"),"Official teams have a maximum of 5 players.")</f>
        <v>Official teams have a maximum of 5 players.</v>
      </c>
    </row>
    <row r="93" ht="22.5" customHeight="1">
      <c r="A93" s="11">
        <v>92.0</v>
      </c>
      <c r="B93" s="5" t="s">
        <v>2720</v>
      </c>
      <c r="C93" s="5" t="s">
        <v>2721</v>
      </c>
      <c r="D93" s="5" t="s">
        <v>2722</v>
      </c>
      <c r="E93" s="5" t="s">
        <v>2723</v>
      </c>
      <c r="F93" s="3"/>
      <c r="G93" s="3"/>
      <c r="H93" s="11">
        <v>92.0</v>
      </c>
      <c r="I93" s="10" t="str">
        <f>IFERROR(__xludf.DUMMYFUNCTION("GOOGLETRANSLATE(B93,""it"",""en"")"),"How are traditional Ruzzole preserved?")</f>
        <v>How are traditional Ruzzole preserved?</v>
      </c>
      <c r="J93" s="10" t="str">
        <f>IFERROR(__xludf.DUMMYFUNCTION("GOOGLETRANSLATE(C93,""it"",""en"")"),"A. In wooden boxes B. In canvas bags C. Hung on walls D. In metal boxes")</f>
        <v>A. In wooden boxes B. In canvas bags C. Hung on walls D. In metal boxes</v>
      </c>
      <c r="K93" s="10" t="str">
        <f>IFERROR(__xludf.DUMMYFUNCTION("GOOGLETRANSLATE(D93,""it"",""en"")"),"In wooden boxes")</f>
        <v>In wooden boxes</v>
      </c>
      <c r="L93" s="10" t="str">
        <f>IFERROR(__xludf.DUMMYFUNCTION("GOOGLETRANSLATE(E93,""it"",""en"")"),"The boxes protect the Ruzzole from humidity.")</f>
        <v>The boxes protect the Ruzzole from humidity.</v>
      </c>
    </row>
    <row r="94" ht="22.5" customHeight="1">
      <c r="A94" s="11">
        <v>93.0</v>
      </c>
      <c r="B94" s="5" t="s">
        <v>2724</v>
      </c>
      <c r="C94" s="5" t="s">
        <v>2725</v>
      </c>
      <c r="D94" s="5" t="s">
        <v>2726</v>
      </c>
      <c r="E94" s="5" t="s">
        <v>2727</v>
      </c>
      <c r="F94" s="3"/>
      <c r="G94" s="3"/>
      <c r="H94" s="11">
        <v>93.0</v>
      </c>
      <c r="I94" s="10" t="str">
        <f>IFERROR(__xludf.DUMMYFUNCTION("GOOGLETRANSLATE(B94,""it"",""en"")"),"Which physical trait is most advantageous for players?")</f>
        <v>Which physical trait is most advantageous for players?</v>
      </c>
      <c r="J94" s="10" t="str">
        <f>IFERROR(__xludf.DUMMYFUNCTION("GOOGLETRANSLATE(C94,""it"",""en"")"),"A. Strength B. Endurance C. Coordination D. Speed")</f>
        <v>A. Strength B. Endurance C. Coordination D. Speed</v>
      </c>
      <c r="K94" s="10" t="str">
        <f>IFERROR(__xludf.DUMMYFUNCTION("GOOGLETRANSLATE(D94,""it"",""en"")"),"Coordination")</f>
        <v>Coordination</v>
      </c>
      <c r="L94" s="10" t="str">
        <f>IFERROR(__xludf.DUMMYFUNCTION("GOOGLETRANSLATE(E94,""it"",""en"")"),"Coordination is essential for an accurate throw.")</f>
        <v>Coordination is essential for an accurate throw.</v>
      </c>
    </row>
    <row r="95" ht="22.5" customHeight="1">
      <c r="A95" s="11">
        <v>94.0</v>
      </c>
      <c r="B95" s="5" t="s">
        <v>2728</v>
      </c>
      <c r="C95" s="5" t="s">
        <v>2729</v>
      </c>
      <c r="D95" s="5" t="s">
        <v>2730</v>
      </c>
      <c r="E95" s="5" t="s">
        <v>2731</v>
      </c>
      <c r="F95" s="3"/>
      <c r="G95" s="3"/>
      <c r="H95" s="11">
        <v>94.0</v>
      </c>
      <c r="I95" s="10" t="str">
        <f>IFERROR(__xludf.DUMMYFUNCTION("GOOGLETRANSLATE(B95,""it"",""en"")"),"What is the penalty for a throw that goes out of bounds?")</f>
        <v>What is the penalty for a throw that goes out of bounds?</v>
      </c>
      <c r="J95" s="10" t="str">
        <f>IFERROR(__xludf.DUMMYFUNCTION("GOOGLETRANSLATE(C95,""it"",""en"")"),"A. Loss of round B. Lost point C. Disqualification D. Minimum penalty")</f>
        <v>A. Loss of round B. Lost point C. Disqualification D. Minimum penalty</v>
      </c>
      <c r="K95" s="10" t="str">
        <f>IFERROR(__xludf.DUMMYFUNCTION("GOOGLETRANSLATE(D95,""it"",""en"")"),"Loss of turn")</f>
        <v>Loss of turn</v>
      </c>
      <c r="L95" s="10" t="str">
        <f>IFERROR(__xludf.DUMMYFUNCTION("GOOGLETRANSLATE(E95,""it"",""en"")"),"The player loses his turn if the throw is out of the path.")</f>
        <v>The player loses his turn if the throw is out of the path.</v>
      </c>
    </row>
    <row r="96" ht="22.5" customHeight="1">
      <c r="A96" s="11">
        <v>95.0</v>
      </c>
      <c r="B96" s="5" t="s">
        <v>2732</v>
      </c>
      <c r="C96" s="5" t="s">
        <v>2733</v>
      </c>
      <c r="D96" s="5" t="s">
        <v>2734</v>
      </c>
      <c r="E96" s="5" t="s">
        <v>2735</v>
      </c>
      <c r="F96" s="3"/>
      <c r="G96" s="3"/>
      <c r="H96" s="11">
        <v>95.0</v>
      </c>
      <c r="I96" s="10" t="str">
        <f>IFERROR(__xludf.DUMMYFUNCTION("GOOGLETRANSLATE(B96,""it"",""en"")"),"What is the average weight of modern Ruzzole?")</f>
        <v>What is the average weight of modern Ruzzole?</v>
      </c>
      <c r="J96" s="10" t="str">
        <f>IFERROR(__xludf.DUMMYFUNCTION("GOOGLETRANSLATE(C96,""it"",""en"")"),"A. 1-2 kg B. 3-4 kg C. 5-6 kg D. 7-8 kg")</f>
        <v>A. 1-2 kg B. 3-4 kg C. 5-6 kg D. 7-8 kg</v>
      </c>
      <c r="K96" s="10" t="str">
        <f>IFERROR(__xludf.DUMMYFUNCTION("GOOGLETRANSLATE(D96,""it"",""en"")"),"3-4 kg")</f>
        <v>3-4 kg</v>
      </c>
      <c r="L96" s="10" t="str">
        <f>IFERROR(__xludf.DUMMYFUNCTION("GOOGLETRANSLATE(E96,""it"",""en"")"),"Modern Ruzzole weigh between 3 and 4 kg.")</f>
        <v>Modern Ruzzole weigh between 3 and 4 kg.</v>
      </c>
    </row>
    <row r="97" ht="22.5" customHeight="1">
      <c r="A97" s="11">
        <v>96.0</v>
      </c>
      <c r="B97" s="5" t="s">
        <v>2736</v>
      </c>
      <c r="C97" s="5" t="s">
        <v>2737</v>
      </c>
      <c r="D97" s="5" t="s">
        <v>2738</v>
      </c>
      <c r="E97" s="5" t="s">
        <v>2739</v>
      </c>
      <c r="F97" s="3"/>
      <c r="G97" s="3"/>
      <c r="H97" s="11">
        <v>96.0</v>
      </c>
      <c r="I97" s="10" t="str">
        <f>IFERROR(__xludf.DUMMYFUNCTION("GOOGLETRANSLATE(B97,""it"",""en"")"),"How are victories celebrated in Ruzzola tournaments?")</f>
        <v>How are victories celebrated in Ruzzola tournaments?</v>
      </c>
      <c r="J97" s="10" t="str">
        <f>IFERROR(__xludf.DUMMYFUNCTION("GOOGLETRANSLATE(C97,""it"",""en"")"),"A. Cash prizes B. Popular festivals C. Medals D. Mature cheeses")</f>
        <v>A. Cash prizes B. Popular festivals C. Medals D. Mature cheeses</v>
      </c>
      <c r="K97" s="10" t="str">
        <f>IFERROR(__xludf.DUMMYFUNCTION("GOOGLETRANSLATE(D97,""it"",""en"")"),"Popular festivals")</f>
        <v>Popular festivals</v>
      </c>
      <c r="L97" s="10" t="str">
        <f>IFERROR(__xludf.DUMMYFUNCTION("GOOGLETRANSLATE(E97,""it"",""en"")"),"Victories are often accompanied by collective celebrations.")</f>
        <v>Victories are often accompanied by collective celebrations.</v>
      </c>
    </row>
    <row r="98" ht="22.5" customHeight="1">
      <c r="A98" s="11">
        <v>97.0</v>
      </c>
      <c r="B98" s="5" t="s">
        <v>2740</v>
      </c>
      <c r="C98" s="5" t="s">
        <v>2741</v>
      </c>
      <c r="D98" s="5" t="s">
        <v>2742</v>
      </c>
      <c r="E98" s="5" t="s">
        <v>2743</v>
      </c>
      <c r="F98" s="3"/>
      <c r="G98" s="3"/>
      <c r="H98" s="11">
        <v>97.0</v>
      </c>
      <c r="I98" s="10" t="str">
        <f>IFERROR(__xludf.DUMMYFUNCTION("GOOGLETRANSLATE(B98,""it"",""en"")"),"Which Italian institution documented the Ruzzola rules?")</f>
        <v>Which Italian institution documented the Ruzzola rules?</v>
      </c>
      <c r="J98" s="10" t="str">
        <f>IFERROR(__xludf.DUMMYFUNCTION("GOOGLETRANSLATE(C98,""it"",""en"")"),"A. National Library B. Sports Academy C. Historical Games Federation D. Museum of Traditions")</f>
        <v>A. National Library B. Sports Academy C. Historical Games Federation D. Museum of Traditions</v>
      </c>
      <c r="K98" s="10" t="str">
        <f>IFERROR(__xludf.DUMMYFUNCTION("GOOGLETRANSLATE(D98,""it"",""en"")"),"Historical Games Federation")</f>
        <v>Historical Games Federation</v>
      </c>
      <c r="L98" s="10" t="str">
        <f>IFERROR(__xludf.DUMMYFUNCTION("GOOGLETRANSLATE(E98,""it"",""en"")"),"This federation has standardized the rules.")</f>
        <v>This federation has standardized the rules.</v>
      </c>
    </row>
    <row r="99" ht="22.5" customHeight="1">
      <c r="A99" s="11">
        <v>98.0</v>
      </c>
      <c r="B99" s="5" t="s">
        <v>2744</v>
      </c>
      <c r="C99" s="5" t="s">
        <v>2745</v>
      </c>
      <c r="D99" s="5" t="s">
        <v>2746</v>
      </c>
      <c r="E99" s="5" t="s">
        <v>2747</v>
      </c>
      <c r="F99" s="3"/>
      <c r="G99" s="3"/>
      <c r="H99" s="11">
        <v>98.0</v>
      </c>
      <c r="I99" s="10" t="str">
        <f>IFERROR(__xludf.DUMMYFUNCTION("GOOGLETRANSLATE(B99,""it"",""en"")"),"What is the average age of tournament participants?")</f>
        <v>What is the average age of tournament participants?</v>
      </c>
      <c r="J99" s="10" t="str">
        <f>IFERROR(__xludf.DUMMYFUNCTION("GOOGLETRANSLATE(C99,""it"",""en"")"),"A. 18-25 years B. 26-35 years C. 36-50 years D. Over 50 years")</f>
        <v>A. 18-25 years B. 26-35 years C. 36-50 years D. Over 50 years</v>
      </c>
      <c r="K99" s="10" t="str">
        <f>IFERROR(__xludf.DUMMYFUNCTION("GOOGLETRANSLATE(D99,""it"",""en"")"),"36-50 years old")</f>
        <v>36-50 years old</v>
      </c>
      <c r="L99" s="10" t="str">
        <f>IFERROR(__xludf.DUMMYFUNCTION("GOOGLETRANSLATE(E99,""it"",""en"")"),"Most of the participants are experienced adults.")</f>
        <v>Most of the participants are experienced adults.</v>
      </c>
    </row>
    <row r="100" ht="22.5" customHeight="1">
      <c r="A100" s="11">
        <v>99.0</v>
      </c>
      <c r="B100" s="5" t="s">
        <v>2748</v>
      </c>
      <c r="C100" s="5" t="s">
        <v>2749</v>
      </c>
      <c r="D100" s="5" t="s">
        <v>2750</v>
      </c>
      <c r="E100" s="5" t="s">
        <v>2751</v>
      </c>
      <c r="F100" s="3"/>
      <c r="G100" s="3"/>
      <c r="H100" s="11">
        <v>99.0</v>
      </c>
      <c r="I100" s="10" t="str">
        <f>IFERROR(__xludf.DUMMYFUNCTION("GOOGLETRANSLATE(B100,""it"",""en"")"),"How is the throw distance calculated?")</f>
        <v>How is the throw distance calculated?</v>
      </c>
      <c r="J100" s="10" t="str">
        <f>IFERROR(__xludf.DUMMYFUNCTION("GOOGLETRANSLATE(C100,""it"",""en"")"),"A. With a tape measure B. With telemetry C. With measured steps D. With visual signals")</f>
        <v>A. With a tape measure B. With telemetry C. With measured steps D. With visual signals</v>
      </c>
      <c r="K100" s="10" t="str">
        <f>IFERROR(__xludf.DUMMYFUNCTION("GOOGLETRANSLATE(D100,""it"",""en"")"),"With a tape measure")</f>
        <v>With a tape measure</v>
      </c>
      <c r="L100" s="10" t="str">
        <f>IFERROR(__xludf.DUMMYFUNCTION("GOOGLETRANSLATE(E100,""it"",""en"")"),"The referee measures the distance precisely.")</f>
        <v>The referee measures the distance precisely.</v>
      </c>
    </row>
    <row r="101" ht="22.5" customHeight="1">
      <c r="A101" s="11">
        <v>100.0</v>
      </c>
      <c r="B101" s="5" t="s">
        <v>2752</v>
      </c>
      <c r="C101" s="5" t="s">
        <v>2753</v>
      </c>
      <c r="D101" s="5" t="s">
        <v>2754</v>
      </c>
      <c r="E101" s="5" t="s">
        <v>2755</v>
      </c>
      <c r="F101" s="3"/>
      <c r="G101" s="3"/>
      <c r="H101" s="11">
        <v>100.0</v>
      </c>
      <c r="I101" s="10" t="str">
        <f>IFERROR(__xludf.DUMMYFUNCTION("GOOGLETRANSLATE(B101,""it"",""en"")"),"Which regional variant of Ruzzola is famous?")</f>
        <v>Which regional variant of Ruzzola is famous?</v>
      </c>
      <c r="J101" s="10" t="str">
        <f>IFERROR(__xludf.DUMMYFUNCTION("GOOGLETRANSLATE(C101,""it"",""en"")"),"A. Circle Roll B. Disc Roll C. Palio Roll D. Village Roll")</f>
        <v>A. Circle Roll B. Disc Roll C. Palio Roll D. Village Roll</v>
      </c>
      <c r="K101" s="10" t="str">
        <f>IFERROR(__xludf.DUMMYFUNCTION("GOOGLETRANSLATE(D101,""it"",""en"")"),"Discus Roll")</f>
        <v>Discus Roll</v>
      </c>
      <c r="L101" s="10" t="str">
        <f>IFERROR(__xludf.DUMMYFUNCTION("GOOGLETRANSLATE(E101,""it"",""en"")"),"This variant is popular in some Italian regions.")</f>
        <v>This variant is popular in some Italian regions.</v>
      </c>
    </row>
    <row r="102" ht="22.5" customHeight="1">
      <c r="A102" s="11">
        <v>101.0</v>
      </c>
      <c r="B102" s="5" t="s">
        <v>2756</v>
      </c>
      <c r="C102" s="5" t="s">
        <v>2757</v>
      </c>
      <c r="D102" s="5" t="s">
        <v>2758</v>
      </c>
      <c r="E102" s="5" t="s">
        <v>2759</v>
      </c>
      <c r="F102" s="3"/>
      <c r="G102" s="3"/>
      <c r="H102" s="11">
        <v>101.0</v>
      </c>
      <c r="I102" s="10" t="str">
        <f>IFERROR(__xludf.DUMMYFUNCTION("GOOGLETRANSLATE(B102,""it"",""en"")"),"How do you prepare a traditional Ruzzola?")</f>
        <v>How do you prepare a traditional Ruzzola?</v>
      </c>
      <c r="J102" s="10" t="str">
        <f>IFERROR(__xludf.DUMMYFUNCTION("GOOGLETRANSLATE(C102,""it"",""en"")"),"A. With hand engravings B. With decorative carvings C. With protective varnish D. With sanding")</f>
        <v>A. With hand engravings B. With decorative carvings C. With protective varnish D. With sanding</v>
      </c>
      <c r="K102" s="10" t="str">
        <f>IFERROR(__xludf.DUMMYFUNCTION("GOOGLETRANSLATE(D102,""it"",""en"")"),"With sanding")</f>
        <v>With sanding</v>
      </c>
      <c r="L102" s="10" t="str">
        <f>IFERROR(__xludf.DUMMYFUNCTION("GOOGLETRANSLATE(E102,""it"",""en"")"),"Sanding improves the smoothness of the Ruzzola.")</f>
        <v>Sanding improves the smoothness of the Ruzzola.</v>
      </c>
    </row>
    <row r="103" ht="22.5" customHeight="1">
      <c r="A103" s="11">
        <v>102.0</v>
      </c>
      <c r="B103" s="5" t="s">
        <v>2760</v>
      </c>
      <c r="C103" s="5" t="s">
        <v>2761</v>
      </c>
      <c r="D103" s="5" t="s">
        <v>2762</v>
      </c>
      <c r="E103" s="5" t="s">
        <v>2763</v>
      </c>
      <c r="F103" s="3"/>
      <c r="G103" s="3"/>
      <c r="H103" s="11">
        <v>102.0</v>
      </c>
      <c r="I103" s="10" t="str">
        <f>IFERROR(__xludf.DUMMYFUNCTION("GOOGLETRANSLATE(B103,""it"",""en"")"),"What does Ruzzola represent for local communities?")</f>
        <v>What does Ruzzola represent for local communities?</v>
      </c>
      <c r="J103" s="10" t="str">
        <f>IFERROR(__xludf.DUMMYFUNCTION("GOOGLETRANSLATE(C103,""it"",""en"")"),"A. Competition B. Tradition C. Innovation D. Fun")</f>
        <v>A. Competition B. Tradition C. Innovation D. Fun</v>
      </c>
      <c r="K103" s="10" t="str">
        <f>IFERROR(__xludf.DUMMYFUNCTION("GOOGLETRANSLATE(D103,""it"",""en"")"),"Tradition")</f>
        <v>Tradition</v>
      </c>
      <c r="L103" s="10" t="str">
        <f>IFERROR(__xludf.DUMMYFUNCTION("GOOGLETRANSLATE(E103,""it"",""en"")"),"The game symbolizes the preservation of local traditions.")</f>
        <v>The game symbolizes the preservation of local traditions.</v>
      </c>
    </row>
    <row r="104" ht="22.5" customHeight="1">
      <c r="A104" s="11">
        <v>103.0</v>
      </c>
      <c r="B104" s="5" t="s">
        <v>2764</v>
      </c>
      <c r="C104" s="5" t="s">
        <v>2765</v>
      </c>
      <c r="D104" s="5" t="s">
        <v>2766</v>
      </c>
      <c r="E104" s="5" t="s">
        <v>2767</v>
      </c>
      <c r="F104" s="3"/>
      <c r="G104" s="3"/>
      <c r="H104" s="11">
        <v>103.0</v>
      </c>
      <c r="I104" s="10" t="str">
        <f>IFERROR(__xludf.DUMMYFUNCTION("GOOGLETRANSLATE(B104,""it"",""en"")"),"How are young people encouraged to participate in the Ruzzola?")</f>
        <v>How are young people encouraged to participate in the Ruzzola?</v>
      </c>
      <c r="J104" s="10" t="str">
        <f>IFERROR(__xludf.DUMMYFUNCTION("GOOGLETRANSLATE(C104,""it"",""en"")"),"A. Youth championships B. School courses C. Advertising events D. Special prizes")</f>
        <v>A. Youth championships B. School courses C. Advertising events D. Special prizes</v>
      </c>
      <c r="K104" s="10" t="str">
        <f>IFERROR(__xludf.DUMMYFUNCTION("GOOGLETRANSLATE(D104,""it"",""en"")"),"Youth Championships")</f>
        <v>Youth Championships</v>
      </c>
      <c r="L104" s="10" t="str">
        <f>IFERROR(__xludf.DUMMYFUNCTION("GOOGLETRANSLATE(E104,""it"",""en"")"),"Youth competitions promote the game among young people.")</f>
        <v>Youth competitions promote the game among young people.</v>
      </c>
    </row>
    <row r="105" ht="22.5" customHeight="1">
      <c r="A105" s="11">
        <v>104.0</v>
      </c>
      <c r="B105" s="5" t="s">
        <v>2768</v>
      </c>
      <c r="C105" s="5" t="s">
        <v>2769</v>
      </c>
      <c r="D105" s="5" t="s">
        <v>2770</v>
      </c>
      <c r="E105" s="5" t="s">
        <v>2771</v>
      </c>
      <c r="F105" s="3"/>
      <c r="G105" s="3"/>
      <c r="H105" s="11">
        <v>104.0</v>
      </c>
      <c r="I105" s="10" t="str">
        <f>IFERROR(__xludf.DUMMYFUNCTION("GOOGLETRANSLATE(B105,""it"",""en"")"),"What is the function of the rope in the game?")</f>
        <v>What is the function of the rope in the game?</v>
      </c>
      <c r="J105" s="10" t="str">
        <f>IFERROR(__xludf.DUMMYFUNCTION("GOOGLETRANSLATE(C105,""it"",""en"")"),"A. Increase accuracy B. Protect the Ruzzola C. Facilitate the throw D. Decorate the Ruzzola")</f>
        <v>A. Increase accuracy B. Protect the Ruzzola C. Facilitate the throw D. Decorate the Ruzzola</v>
      </c>
      <c r="K105" s="10" t="str">
        <f>IFERROR(__xludf.DUMMYFUNCTION("GOOGLETRANSLATE(D105,""it"",""en"")"),"Facilitating the launch")</f>
        <v>Facilitating the launch</v>
      </c>
      <c r="L105" s="10" t="str">
        <f>IFERROR(__xludf.DUMMYFUNCTION("GOOGLETRANSLATE(E105,""it"",""en"")"),"The string allows for greater control in the throw.")</f>
        <v>The string allows for greater control in the throw.</v>
      </c>
    </row>
    <row r="106" ht="22.5" customHeight="1">
      <c r="A106" s="11">
        <v>105.0</v>
      </c>
      <c r="B106" s="5" t="s">
        <v>2772</v>
      </c>
      <c r="C106" s="5" t="s">
        <v>2773</v>
      </c>
      <c r="D106" s="5" t="s">
        <v>1232</v>
      </c>
      <c r="E106" s="5" t="s">
        <v>2774</v>
      </c>
      <c r="F106" s="3"/>
      <c r="G106" s="3"/>
      <c r="H106" s="11">
        <v>105.0</v>
      </c>
      <c r="I106" s="10" t="str">
        <f>IFERROR(__xludf.DUMMYFUNCTION("GOOGLETRANSLATE(B106,""it"",""en"")"),"Which region established the first official Ruzzola championship?")</f>
        <v>Which region established the first official Ruzzola championship?</v>
      </c>
      <c r="J106" s="10" t="str">
        <f>IFERROR(__xludf.DUMMYFUNCTION("GOOGLETRANSLATE(C106,""it"",""en"")"),"A. Lazio B. Tuscany C. Marche D. Umbria")</f>
        <v>A. Lazio B. Tuscany C. Marche D. Umbria</v>
      </c>
      <c r="K106" s="10" t="str">
        <f>IFERROR(__xludf.DUMMYFUNCTION("GOOGLETRANSLATE(D106,""it"",""en"")"),"Marche")</f>
        <v>Marche</v>
      </c>
      <c r="L106" s="10" t="str">
        <f>IFERROR(__xludf.DUMMYFUNCTION("GOOGLETRANSLATE(E106,""it"",""en"")"),"The Marche region was a pioneer in official championships.")</f>
        <v>The Marche region was a pioneer in official championships.</v>
      </c>
    </row>
    <row r="107" ht="22.5" customHeight="1">
      <c r="A107" s="11">
        <v>106.0</v>
      </c>
      <c r="B107" s="5" t="s">
        <v>2775</v>
      </c>
      <c r="C107" s="5" t="s">
        <v>2776</v>
      </c>
      <c r="D107" s="5" t="s">
        <v>2777</v>
      </c>
      <c r="E107" s="5" t="s">
        <v>2778</v>
      </c>
      <c r="F107" s="3"/>
      <c r="G107" s="3"/>
      <c r="H107" s="11">
        <v>106.0</v>
      </c>
      <c r="I107" s="10" t="str">
        <f>IFERROR(__xludf.DUMMYFUNCTION("GOOGLETRANSLATE(B107,""it"",""en"")"),"What historical event contributed to the spread of Ruzzola?")</f>
        <v>What historical event contributed to the spread of Ruzzola?</v>
      </c>
      <c r="J107" s="10" t="str">
        <f>IFERROR(__xludf.DUMMYFUNCTION("GOOGLETRANSLATE(C107,""it"",""en"")"),"A. Renaissance festivals B. Roman expansion C. Medieval fairs D. Border wars")</f>
        <v>A. Renaissance festivals B. Roman expansion C. Medieval fairs D. Border wars</v>
      </c>
      <c r="K107" s="10" t="str">
        <f>IFERROR(__xludf.DUMMYFUNCTION("GOOGLETRANSLATE(D107,""it"",""en"")"),"Renaissance celebrations")</f>
        <v>Renaissance celebrations</v>
      </c>
      <c r="L107" s="10" t="str">
        <f>IFERROR(__xludf.DUMMYFUNCTION("GOOGLETRANSLATE(E107,""it"",""en"")"),"Renaissance festivals often included traditional games.")</f>
        <v>Renaissance festivals often included traditional games.</v>
      </c>
    </row>
    <row r="108" ht="22.5" customHeight="1">
      <c r="A108" s="11">
        <v>107.0</v>
      </c>
      <c r="B108" s="5" t="s">
        <v>2779</v>
      </c>
      <c r="C108" s="5" t="s">
        <v>2780</v>
      </c>
      <c r="D108" s="5" t="s">
        <v>2781</v>
      </c>
      <c r="E108" s="5" t="s">
        <v>2782</v>
      </c>
      <c r="F108" s="3"/>
      <c r="G108" s="3"/>
      <c r="H108" s="11">
        <v>107.0</v>
      </c>
      <c r="I108" s="10" t="str">
        <f>IFERROR(__xludf.DUMMYFUNCTION("GOOGLETRANSLATE(B108,""it"",""en"")"),"What are the launches after the first called?")</f>
        <v>What are the launches after the first called?</v>
      </c>
      <c r="J108" s="10" t="str">
        <f>IFERROR(__xludf.DUMMYFUNCTION("GOOGLETRANSLATE(C108,""it"",""en"")"),"A. Recovery throws B. Challenge throws C. Pull throws D. Roll throws")</f>
        <v>A. Recovery throws B. Challenge throws C. Pull throws D. Roll throws</v>
      </c>
      <c r="K108" s="10" t="str">
        <f>IFERROR(__xludf.DUMMYFUNCTION("GOOGLETRANSLATE(D108,""it"",""en"")"),"Challenge Throws")</f>
        <v>Challenge Throws</v>
      </c>
      <c r="L108" s="10" t="str">
        <f>IFERROR(__xludf.DUMMYFUNCTION("GOOGLETRANSLATE(E108,""it"",""en"")"),"The subsequent throws are used to overcome the opponent's distance.")</f>
        <v>The subsequent throws are used to overcome the opponent's distance.</v>
      </c>
    </row>
    <row r="109" ht="22.5" customHeight="1">
      <c r="A109" s="11">
        <v>108.0</v>
      </c>
      <c r="B109" s="5" t="s">
        <v>2783</v>
      </c>
      <c r="C109" s="5" t="s">
        <v>2784</v>
      </c>
      <c r="D109" s="5" t="s">
        <v>2785</v>
      </c>
      <c r="E109" s="5" t="s">
        <v>2786</v>
      </c>
      <c r="F109" s="3"/>
      <c r="G109" s="3"/>
      <c r="H109" s="11">
        <v>108.0</v>
      </c>
      <c r="I109" s="10" t="str">
        <f>IFERROR(__xludf.DUMMYFUNCTION("GOOGLETRANSLATE(B109,""it"",""en"")"),"How is a damaged Ruzzola treated?")</f>
        <v>How is a damaged Ruzzola treated?</v>
      </c>
      <c r="J109" s="10" t="str">
        <f>IFERROR(__xludf.DUMMYFUNCTION("GOOGLETRANSLATE(C109,""it"",""en"")"),"A. Immediate repair B. Replacement C. Remodeling D. Disqualification")</f>
        <v>A. Immediate repair B. Replacement C. Remodeling D. Disqualification</v>
      </c>
      <c r="K109" s="10" t="str">
        <f>IFERROR(__xludf.DUMMYFUNCTION("GOOGLETRANSLATE(D109,""it"",""en"")"),"Replacement")</f>
        <v>Replacement</v>
      </c>
      <c r="L109" s="10" t="str">
        <f>IFERROR(__xludf.DUMMYFUNCTION("GOOGLETRANSLATE(E109,""it"",""en"")"),"A new Ruzzola is provided in case of damage.")</f>
        <v>A new Ruzzola is provided in case of damage.</v>
      </c>
    </row>
    <row r="110" ht="22.5" customHeight="1">
      <c r="A110" s="11">
        <v>109.0</v>
      </c>
      <c r="B110" s="5" t="s">
        <v>2787</v>
      </c>
      <c r="C110" s="5" t="s">
        <v>2788</v>
      </c>
      <c r="D110" s="5" t="s">
        <v>2789</v>
      </c>
      <c r="E110" s="5" t="s">
        <v>2790</v>
      </c>
      <c r="F110" s="3"/>
      <c r="G110" s="3"/>
      <c r="H110" s="11">
        <v>109.0</v>
      </c>
      <c r="I110" s="10" t="str">
        <f>IFERROR(__xludf.DUMMYFUNCTION("GOOGLETRANSLATE(B110,""it"",""en"")"),"Which accessory is optional for players?")</f>
        <v>Which accessory is optional for players?</v>
      </c>
      <c r="J110" s="10" t="str">
        <f>IFERROR(__xludf.DUMMYFUNCTION("GOOGLETRANSLATE(C110,""it"",""en"")"),"A. Gloves B. Spare rope C. Non-slip shoes D. Wrist band")</f>
        <v>A. Gloves B. Spare rope C. Non-slip shoes D. Wrist band</v>
      </c>
      <c r="K110" s="10" t="str">
        <f>IFERROR(__xludf.DUMMYFUNCTION("GOOGLETRANSLATE(D110,""it"",""en"")"),"Non-slip shoes")</f>
        <v>Non-slip shoes</v>
      </c>
      <c r="L110" s="10" t="str">
        <f>IFERROR(__xludf.DUMMYFUNCTION("GOOGLETRANSLATE(E110,""it"",""en"")"),"Some players prefer more stability when throwing.")</f>
        <v>Some players prefer more stability when throwing.</v>
      </c>
    </row>
    <row r="111" ht="22.5" customHeight="1">
      <c r="A111" s="11">
        <v>110.0</v>
      </c>
      <c r="B111" s="5" t="s">
        <v>2791</v>
      </c>
      <c r="C111" s="5" t="s">
        <v>2792</v>
      </c>
      <c r="D111" s="5" t="s">
        <v>2793</v>
      </c>
      <c r="E111" s="5" t="s">
        <v>2794</v>
      </c>
      <c r="F111" s="3"/>
      <c r="G111" s="3"/>
      <c r="H111" s="11">
        <v>110.0</v>
      </c>
      <c r="I111" s="10" t="str">
        <f>IFERROR(__xludf.DUMMYFUNCTION("GOOGLETRANSLATE(B111,""it"",""en"")"),"What role does Ruzzola play in local festivals?")</f>
        <v>What role does Ruzzola play in local festivals?</v>
      </c>
      <c r="J111" s="10" t="str">
        <f>IFERROR(__xludf.DUMMYFUNCTION("GOOGLETRANSLATE(C111,""it"",""en"")"),"A. Main attraction B. Secondary activity C. Children's game D. Final event")</f>
        <v>A. Main attraction B. Secondary activity C. Children's game D. Final event</v>
      </c>
      <c r="K111" s="10" t="str">
        <f>IFERROR(__xludf.DUMMYFUNCTION("GOOGLETRANSLATE(D111,""it"",""en"")"),"Main attraction")</f>
        <v>Main attraction</v>
      </c>
      <c r="L111" s="10" t="str">
        <f>IFERROR(__xludf.DUMMYFUNCTION("GOOGLETRANSLATE(E111,""it"",""en"")"),"It is often the centerpiece of community festivities.")</f>
        <v>It is often the centerpiece of community festivities.</v>
      </c>
    </row>
    <row r="112" ht="22.5" customHeight="1">
      <c r="A112" s="11">
        <v>111.0</v>
      </c>
      <c r="B112" s="5" t="s">
        <v>2795</v>
      </c>
      <c r="C112" s="5" t="s">
        <v>2796</v>
      </c>
      <c r="D112" s="5" t="s">
        <v>654</v>
      </c>
      <c r="E112" s="5" t="s">
        <v>2797</v>
      </c>
      <c r="F112" s="3"/>
      <c r="G112" s="3"/>
      <c r="H112" s="11">
        <v>111.0</v>
      </c>
      <c r="I112" s="10" t="str">
        <f>IFERROR(__xludf.DUMMYFUNCTION("GOOGLETRANSLATE(B112,""it"",""en"")"),"What is the most common material for traditional Ruzzole?")</f>
        <v>What is the most common material for traditional Ruzzole?</v>
      </c>
      <c r="J112" s="10" t="str">
        <f>IFERROR(__xludf.DUMMYFUNCTION("GOOGLETRANSLATE(C112,""it"",""en"")"),"A. Wood B. Metal C. Stone D. Plastic")</f>
        <v>A. Wood B. Metal C. Stone D. Plastic</v>
      </c>
      <c r="K112" s="10" t="str">
        <f>IFERROR(__xludf.DUMMYFUNCTION("GOOGLETRANSLATE(D112,""it"",""en"")"),"Wood")</f>
        <v>Wood</v>
      </c>
      <c r="L112" s="10" t="str">
        <f>IFERROR(__xludf.DUMMYFUNCTION("GOOGLETRANSLATE(E112,""it"",""en"")"),"Wood is the traditional material used for Ruzzole.")</f>
        <v>Wood is the traditional material used for Ruzzole.</v>
      </c>
    </row>
    <row r="113" ht="22.5" customHeight="1">
      <c r="A113" s="11">
        <v>112.0</v>
      </c>
      <c r="B113" s="5" t="s">
        <v>2798</v>
      </c>
      <c r="C113" s="5" t="s">
        <v>2799</v>
      </c>
      <c r="D113" s="5" t="s">
        <v>2800</v>
      </c>
      <c r="E113" s="5" t="s">
        <v>2801</v>
      </c>
      <c r="F113" s="3"/>
      <c r="G113" s="3"/>
      <c r="H113" s="11">
        <v>112.0</v>
      </c>
      <c r="I113" s="10" t="str">
        <f>IFERROR(__xludf.DUMMYFUNCTION("GOOGLETRANSLATE(B113,""it"",""en"")"),"What is the name given to the first roll of the game?")</f>
        <v>What is the name given to the first roll of the game?</v>
      </c>
      <c r="J113" s="10" t="str">
        <f>IFERROR(__xludf.DUMMYFUNCTION("GOOGLETRANSLATE(C113,""it"",""en"")"),"A. Initial shot B. Master shot C. Starting shot D. Lead shot")</f>
        <v>A. Initial shot B. Master shot C. Starting shot D. Lead shot</v>
      </c>
      <c r="K113" s="10" t="str">
        <f>IFERROR(__xludf.DUMMYFUNCTION("GOOGLETRANSLATE(D113,""it"",""en"")"),"Master shot")</f>
        <v>Master shot</v>
      </c>
      <c r="L113" s="10" t="str">
        <f>IFERROR(__xludf.DUMMYFUNCTION("GOOGLETRANSLATE(E113,""it"",""en"")"),"The master shot sets the pace of the game.")</f>
        <v>The master shot sets the pace of the game.</v>
      </c>
    </row>
    <row r="114" ht="22.5" customHeight="1">
      <c r="A114" s="11">
        <v>113.0</v>
      </c>
      <c r="B114" s="5" t="s">
        <v>2802</v>
      </c>
      <c r="C114" s="5" t="s">
        <v>2803</v>
      </c>
      <c r="D114" s="5" t="s">
        <v>2804</v>
      </c>
      <c r="E114" s="5" t="s">
        <v>2805</v>
      </c>
      <c r="F114" s="3"/>
      <c r="G114" s="3"/>
      <c r="H114" s="11">
        <v>113.0</v>
      </c>
      <c r="I114" s="10" t="str">
        <f>IFERROR(__xludf.DUMMYFUNCTION("GOOGLETRANSLATE(B114,""it"",""en"")"),"What do you consider when choosing the Ruzzola route?")</f>
        <v>What do you consider when choosing the Ruzzola route?</v>
      </c>
      <c r="J114" s="10" t="str">
        <f>IFERROR(__xludf.DUMMYFUNCTION("GOOGLETRANSLATE(C114,""it"",""en"")"),"A. Terrain B. Wind speed C. Size of the Ruzzola D. Temperature")</f>
        <v>A. Terrain B. Wind speed C. Size of the Ruzzola D. Temperature</v>
      </c>
      <c r="K114" s="10" t="str">
        <f>IFERROR(__xludf.DUMMYFUNCTION("GOOGLETRANSLATE(D114,""it"",""en"")"),"Land")</f>
        <v>Land</v>
      </c>
      <c r="L114" s="10" t="str">
        <f>IFERROR(__xludf.DUMMYFUNCTION("GOOGLETRANSLATE(E114,""it"",""en"")"),"Terrain is critical to direction and distance.")</f>
        <v>Terrain is critical to direction and distance.</v>
      </c>
    </row>
    <row r="115" ht="22.5" customHeight="1">
      <c r="A115" s="11">
        <v>114.0</v>
      </c>
      <c r="B115" s="5" t="s">
        <v>2806</v>
      </c>
      <c r="C115" s="5" t="s">
        <v>2807</v>
      </c>
      <c r="D115" s="5" t="s">
        <v>2808</v>
      </c>
      <c r="E115" s="5" t="s">
        <v>2809</v>
      </c>
      <c r="F115" s="3"/>
      <c r="G115" s="3"/>
      <c r="H115" s="11">
        <v>114.0</v>
      </c>
      <c r="I115" s="10" t="str">
        <f>IFERROR(__xludf.DUMMYFUNCTION("GOOGLETRANSLATE(B115,""it"",""en"")"),"What is the role of the judge in a Ruzzola competition?")</f>
        <v>What is the role of the judge in a Ruzzola competition?</v>
      </c>
      <c r="J115" s="10" t="str">
        <f>IFERROR(__xludf.DUMMYFUNCTION("GOOGLETRANSLATE(C115,""it"",""en"")"),"A. Measure the distance B. Supervise the game C. Start the game D. Validate the results")</f>
        <v>A. Measure the distance B. Supervise the game C. Start the game D. Validate the results</v>
      </c>
      <c r="K115" s="10" t="str">
        <f>IFERROR(__xludf.DUMMYFUNCTION("GOOGLETRANSLATE(D115,""it"",""en"")"),"Supervise the game")</f>
        <v>Supervise the game</v>
      </c>
      <c r="L115" s="10" t="str">
        <f>IFERROR(__xludf.DUMMYFUNCTION("GOOGLETRANSLATE(E115,""it"",""en"")"),"The judge ensures that the rules are respected.")</f>
        <v>The judge ensures that the rules are respected.</v>
      </c>
    </row>
    <row r="116" ht="22.5" customHeight="1">
      <c r="A116" s="11">
        <v>115.0</v>
      </c>
      <c r="B116" s="5" t="s">
        <v>2810</v>
      </c>
      <c r="C116" s="5" t="s">
        <v>2811</v>
      </c>
      <c r="D116" s="5" t="s">
        <v>2812</v>
      </c>
      <c r="E116" s="5" t="s">
        <v>2813</v>
      </c>
      <c r="F116" s="3"/>
      <c r="G116" s="3"/>
      <c r="H116" s="11">
        <v>115.0</v>
      </c>
      <c r="I116" s="10" t="str">
        <f>IFERROR(__xludf.DUMMYFUNCTION("GOOGLETRANSLATE(B116,""it"",""en"")"),"What is the origin of the term ""Ruzzola""?")</f>
        <v>What is the origin of the term "Ruzzola"?</v>
      </c>
      <c r="J116" s="10" t="str">
        <f>IFERROR(__xludf.DUMMYFUNCTION("GOOGLETRANSLATE(C116,""it"",""en"")"),"A. Latin dialect B. Local tradition C. Etruscan language D. Greek influence")</f>
        <v>A. Latin dialect B. Local tradition C. Etruscan language D. Greek influence</v>
      </c>
      <c r="K116" s="10" t="str">
        <f>IFERROR(__xludf.DUMMYFUNCTION("GOOGLETRANSLATE(D116,""it"",""en"")"),"Latin dialect")</f>
        <v>Latin dialect</v>
      </c>
      <c r="L116" s="10" t="str">
        <f>IFERROR(__xludf.DUMMYFUNCTION("GOOGLETRANSLATE(E116,""it"",""en"")"),"It comes from the Latin verb ""rotulare"".")</f>
        <v>It comes from the Latin verb "rotulare".</v>
      </c>
    </row>
    <row r="117" ht="22.5" customHeight="1">
      <c r="A117" s="11">
        <v>116.0</v>
      </c>
      <c r="B117" s="5" t="s">
        <v>2814</v>
      </c>
      <c r="C117" s="5" t="s">
        <v>2815</v>
      </c>
      <c r="D117" s="5" t="s">
        <v>2816</v>
      </c>
      <c r="E117" s="5" t="s">
        <v>2817</v>
      </c>
      <c r="F117" s="3"/>
      <c r="G117" s="3"/>
      <c r="H117" s="11">
        <v>116.0</v>
      </c>
      <c r="I117" s="10" t="str">
        <f>IFERROR(__xludf.DUMMYFUNCTION("GOOGLETRANSLATE(B117,""it"",""en"")"),"What did the Ruzzola represent in the Middle Ages?")</f>
        <v>What did the Ruzzola represent in the Middle Ages?</v>
      </c>
      <c r="J117" s="10" t="str">
        <f>IFERROR(__xludf.DUMMYFUNCTION("GOOGLETRANSLATE(C117,""it"",""en"")"),"A. Competition between villages B. Competition between families C. Religious festival D. Military training")</f>
        <v>A. Competition between villages B. Competition between families C. Religious festival D. Military training</v>
      </c>
      <c r="K117" s="10" t="str">
        <f>IFERROR(__xludf.DUMMYFUNCTION("GOOGLETRANSLATE(D117,""it"",""en"")"),"Competition between villages")</f>
        <v>Competition between villages</v>
      </c>
      <c r="L117" s="10" t="str">
        <f>IFERROR(__xludf.DUMMYFUNCTION("GOOGLETRANSLATE(E117,""it"",""en"")"),"It was a way to challenge the neighboring villages.")</f>
        <v>It was a way to challenge the neighboring villages.</v>
      </c>
    </row>
    <row r="118" ht="22.5" customHeight="1">
      <c r="A118" s="11">
        <v>117.0</v>
      </c>
      <c r="B118" s="5" t="s">
        <v>2818</v>
      </c>
      <c r="C118" s="5" t="s">
        <v>2819</v>
      </c>
      <c r="D118" s="5" t="s">
        <v>2820</v>
      </c>
      <c r="E118" s="5" t="s">
        <v>2821</v>
      </c>
      <c r="F118" s="3"/>
      <c r="G118" s="3"/>
      <c r="H118" s="11">
        <v>117.0</v>
      </c>
      <c r="I118" s="10" t="str">
        <f>IFERROR(__xludf.DUMMYFUNCTION("GOOGLETRANSLATE(B118,""it"",""en"")"),"What is the most used technique for throwing the Ruzzola?")</f>
        <v>What is the most used technique for throwing the Ruzzola?</v>
      </c>
      <c r="J118" s="10" t="str">
        <f>IFERROR(__xludf.DUMMYFUNCTION("GOOGLETRANSLATE(C118,""it"",""en"")"),"A. With a flick of the wrist B. With a flick of the arm C. With an overhead throw D. With a lateral push")</f>
        <v>A. With a flick of the wrist B. With a flick of the arm C. With an overhead throw D. With a lateral push</v>
      </c>
      <c r="K118" s="10" t="str">
        <f>IFERROR(__xludf.DUMMYFUNCTION("GOOGLETRANSLATE(D118,""it"",""en"")"),"With a movement of the arm")</f>
        <v>With a movement of the arm</v>
      </c>
      <c r="L118" s="10" t="str">
        <f>IFERROR(__xludf.DUMMYFUNCTION("GOOGLETRANSLATE(E118,""it"",""en"")"),"The movement of the arm ensures precision.")</f>
        <v>The movement of the arm ensures precision.</v>
      </c>
    </row>
    <row r="119" ht="22.5" customHeight="1">
      <c r="A119" s="11">
        <v>118.0</v>
      </c>
      <c r="B119" s="5" t="s">
        <v>2822</v>
      </c>
      <c r="C119" s="5" t="s">
        <v>2823</v>
      </c>
      <c r="D119" s="5" t="s">
        <v>2824</v>
      </c>
      <c r="E119" s="5" t="s">
        <v>2825</v>
      </c>
      <c r="F119" s="3"/>
      <c r="G119" s="3"/>
      <c r="H119" s="11">
        <v>118.0</v>
      </c>
      <c r="I119" s="10" t="str">
        <f>IFERROR(__xludf.DUMMYFUNCTION("GOOGLETRANSLATE(B119,""it"",""en"")"),"What is the penalty for violating the rules of the course?")</f>
        <v>What is the penalty for violating the rules of the course?</v>
      </c>
      <c r="J119" s="10" t="str">
        <f>IFERROR(__xludf.DUMMYFUNCTION("GOOGLETRANSLATE(C119,""it"",""en"")"),"A. Lost point B. Disqualification C. Score reduction D. Monetary penalty")</f>
        <v>A. Lost point B. Disqualification C. Score reduction D. Monetary penalty</v>
      </c>
      <c r="K119" s="10" t="str">
        <f>IFERROR(__xludf.DUMMYFUNCTION("GOOGLETRANSLATE(D119,""it"",""en"")"),"Lost point")</f>
        <v>Lost point</v>
      </c>
      <c r="L119" s="10" t="str">
        <f>IFERROR(__xludf.DUMMYFUNCTION("GOOGLETRANSLATE(E119,""it"",""en"")"),"The point is lost if the path is not respected.")</f>
        <v>The point is lost if the path is not respected.</v>
      </c>
    </row>
    <row r="120" ht="22.5" customHeight="1">
      <c r="A120" s="11">
        <v>119.0</v>
      </c>
      <c r="B120" s="5" t="s">
        <v>2826</v>
      </c>
      <c r="C120" s="5" t="s">
        <v>2827</v>
      </c>
      <c r="D120" s="5" t="s">
        <v>2828</v>
      </c>
      <c r="E120" s="5" t="s">
        <v>2829</v>
      </c>
      <c r="F120" s="3"/>
      <c r="G120" s="3"/>
      <c r="H120" s="11">
        <v>119.0</v>
      </c>
      <c r="I120" s="10" t="str">
        <f>IFERROR(__xludf.DUMMYFUNCTION("GOOGLETRANSLATE(B120,""it"",""en"")"),"What are the national Ruzzola competitions called?")</f>
        <v>What are the national Ruzzola competitions called?</v>
      </c>
      <c r="J120" s="10" t="str">
        <f>IFERROR(__xludf.DUMMYFUNCTION("GOOGLETRANSLATE(C120,""it"",""en"")"),"A. Italian Championships B. Traditional Trophies C. National Games D. Italian Ruzzolata")</f>
        <v>A. Italian Championships B. Traditional Trophies C. National Games D. Italian Ruzzolata</v>
      </c>
      <c r="K120" s="10" t="str">
        <f>IFERROR(__xludf.DUMMYFUNCTION("GOOGLETRANSLATE(D120,""it"",""en"")"),"Italian Championships")</f>
        <v>Italian Championships</v>
      </c>
      <c r="L120" s="10" t="str">
        <f>IFERROR(__xludf.DUMMYFUNCTION("GOOGLETRANSLATE(E120,""it"",""en"")"),"It is the official name of the national competitions.")</f>
        <v>It is the official name of the national competitions.</v>
      </c>
    </row>
    <row r="121" ht="22.5" customHeight="1">
      <c r="A121" s="11">
        <v>120.0</v>
      </c>
      <c r="B121" s="5" t="s">
        <v>2830</v>
      </c>
      <c r="C121" s="5" t="s">
        <v>2831</v>
      </c>
      <c r="D121" s="5" t="s">
        <v>2832</v>
      </c>
      <c r="E121" s="5" t="s">
        <v>2833</v>
      </c>
      <c r="F121" s="3"/>
      <c r="G121" s="3"/>
      <c r="H121" s="11">
        <v>120.0</v>
      </c>
      <c r="I121" s="10" t="str">
        <f>IFERROR(__xludf.DUMMYFUNCTION("GOOGLETRANSLATE(B121,""it"",""en"")"),"What is the main objective of the Ruzzola game?")</f>
        <v>What is the main objective of the Ruzzola game?</v>
      </c>
      <c r="J121" s="10" t="str">
        <f>IFERROR(__xludf.DUMMYFUNCTION("GOOGLETRANSLATE(C121,""it"",""en"")"),"A. Reach the maximum distance B. Overtake the opponent C. Reach a specific goal D. Avoid obstacles")</f>
        <v>A. Reach the maximum distance B. Overtake the opponent C. Reach a specific goal D. Avoid obstacles</v>
      </c>
      <c r="K121" s="10" t="str">
        <f>IFERROR(__xludf.DUMMYFUNCTION("GOOGLETRANSLATE(D121,""it"",""en"")"),"Reach the maximum distance")</f>
        <v>Reach the maximum distance</v>
      </c>
      <c r="L121" s="10" t="str">
        <f>IFERROR(__xludf.DUMMYFUNCTION("GOOGLETRANSLATE(E121,""it"",""en"")"),"Distance is the main criterion.")</f>
        <v>Distance is the main criterion.</v>
      </c>
    </row>
    <row r="122" ht="22.5" customHeight="1">
      <c r="A122" s="11">
        <v>121.0</v>
      </c>
      <c r="B122" s="5" t="s">
        <v>2834</v>
      </c>
      <c r="C122" s="5" t="s">
        <v>2835</v>
      </c>
      <c r="D122" s="5" t="s">
        <v>2677</v>
      </c>
      <c r="E122" s="5" t="s">
        <v>2836</v>
      </c>
      <c r="F122" s="3"/>
      <c r="G122" s="3"/>
      <c r="H122" s="11">
        <v>121.0</v>
      </c>
      <c r="I122" s="10" t="str">
        <f>IFERROR(__xludf.DUMMYFUNCTION("GOOGLETRANSLATE(B122,""it"",""en"")"),"How is the winner of a local race rewarded?")</f>
        <v>How is the winner of a local race rewarded?</v>
      </c>
      <c r="J122" s="10" t="str">
        <f>IFERROR(__xludf.DUMMYFUNCTION("GOOGLETRANSLATE(C122,""it"",""en"")"),"A. Medals B. Cheeses C. Cash prizes D. Certificates")</f>
        <v>A. Medals B. Cheeses C. Cash prizes D. Certificates</v>
      </c>
      <c r="K122" s="10" t="str">
        <f>IFERROR(__xludf.DUMMYFUNCTION("GOOGLETRANSLATE(D122,""it"",""en"")"),"Cheeses")</f>
        <v>Cheeses</v>
      </c>
      <c r="L122" s="10" t="str">
        <f>IFERROR(__xludf.DUMMYFUNCTION("GOOGLETRANSLATE(E122,""it"",""en"")"),"Cheese is a traditional prize for the winner.")</f>
        <v>Cheese is a traditional prize for the winner.</v>
      </c>
    </row>
    <row r="123" ht="22.5" customHeight="1">
      <c r="A123" s="11">
        <v>122.0</v>
      </c>
      <c r="B123" s="5" t="s">
        <v>2837</v>
      </c>
      <c r="C123" s="5" t="s">
        <v>2838</v>
      </c>
      <c r="D123" s="5" t="s">
        <v>2839</v>
      </c>
      <c r="E123" s="5" t="s">
        <v>2840</v>
      </c>
      <c r="F123" s="3"/>
      <c r="G123" s="3"/>
      <c r="H123" s="11">
        <v>122.0</v>
      </c>
      <c r="I123" s="10" t="str">
        <f>IFERROR(__xludf.DUMMYFUNCTION("GOOGLETRANSLATE(B123,""it"",""en"")"),"What is the main difference between modern and traditional Ruzzole?")</f>
        <v>What is the main difference between modern and traditional Ruzzole?</v>
      </c>
      <c r="J123" s="10" t="str">
        <f>IFERROR(__xludf.DUMMYFUNCTION("GOOGLETRANSLATE(C123,""it"",""en"")"),"A. Weight B. Material C. Shape D. Dimensions")</f>
        <v>A. Weight B. Material C. Shape D. Dimensions</v>
      </c>
      <c r="K123" s="10" t="str">
        <f>IFERROR(__xludf.DUMMYFUNCTION("GOOGLETRANSLATE(D123,""it"",""en"")"),"Material")</f>
        <v>Material</v>
      </c>
      <c r="L123" s="10" t="str">
        <f>IFERROR(__xludf.DUMMYFUNCTION("GOOGLETRANSLATE(E123,""it"",""en"")"),"Modern ones can also be made of plastic or metal.")</f>
        <v>Modern ones can also be made of plastic or metal.</v>
      </c>
    </row>
    <row r="124" ht="22.5" customHeight="1">
      <c r="A124" s="11">
        <v>123.0</v>
      </c>
      <c r="B124" s="5" t="s">
        <v>2841</v>
      </c>
      <c r="C124" s="5" t="s">
        <v>2842</v>
      </c>
      <c r="D124" s="5" t="s">
        <v>216</v>
      </c>
      <c r="E124" s="5" t="s">
        <v>2843</v>
      </c>
      <c r="F124" s="3"/>
      <c r="G124" s="3"/>
      <c r="H124" s="11">
        <v>123.0</v>
      </c>
      <c r="I124" s="10" t="str">
        <f>IFERROR(__xludf.DUMMYFUNCTION("GOOGLETRANSLATE(B124,""it"",""en"")"),"What distinguishes a Ruzzola champion?")</f>
        <v>What distinguishes a Ruzzola champion?</v>
      </c>
      <c r="J124" s="10" t="str">
        <f>IFERROR(__xludf.DUMMYFUNCTION("GOOGLETRANSLATE(C124,""it"",""en"")"),"A. Strength B. Accuracy C. Speed ​​D. Style")</f>
        <v>A. Strength B. Accuracy C. Speed ​​D. Style</v>
      </c>
      <c r="K124" s="10" t="str">
        <f>IFERROR(__xludf.DUMMYFUNCTION("GOOGLETRANSLATE(D124,""it"",""en"")"),"Precision")</f>
        <v>Precision</v>
      </c>
      <c r="L124" s="10" t="str">
        <f>IFERROR(__xludf.DUMMYFUNCTION("GOOGLETRANSLATE(E124,""it"",""en"")"),"Accuracy in shooting is essential to winning.")</f>
        <v>Accuracy in shooting is essential to winning.</v>
      </c>
    </row>
    <row r="125" ht="22.5" customHeight="1">
      <c r="A125" s="11">
        <v>124.0</v>
      </c>
      <c r="B125" s="5" t="s">
        <v>2844</v>
      </c>
      <c r="C125" s="5" t="s">
        <v>2845</v>
      </c>
      <c r="D125" s="5" t="s">
        <v>2846</v>
      </c>
      <c r="E125" s="5" t="s">
        <v>2847</v>
      </c>
      <c r="F125" s="3"/>
      <c r="G125" s="3"/>
      <c r="H125" s="11">
        <v>124.0</v>
      </c>
      <c r="I125" s="10" t="str">
        <f>IFERROR(__xludf.DUMMYFUNCTION("GOOGLETRANSLATE(B125,""it"",""en"")"),"How are Ruzzola tournaments organized?")</f>
        <v>How are Ruzzola tournaments organized?</v>
      </c>
      <c r="J125" s="10" t="str">
        <f>IFERROR(__xludf.DUMMYFUNCTION("GOOGLETRANSLATE(C125,""it"",""en"")"),"A. Through associations B. Through local committees C. Through private sponsors D. Through regional governments")</f>
        <v>A. Through associations B. Through local committees C. Through private sponsors D. Through regional governments</v>
      </c>
      <c r="K125" s="10" t="str">
        <f>IFERROR(__xludf.DUMMYFUNCTION("GOOGLETRANSLATE(D125,""it"",""en"")"),"Through local committees")</f>
        <v>Through local committees</v>
      </c>
      <c r="L125" s="10" t="str">
        <f>IFERROR(__xludf.DUMMYFUNCTION("GOOGLETRANSLATE(E125,""it"",""en"")"),"Local committees manage the organization.")</f>
        <v>Local committees manage the organization.</v>
      </c>
    </row>
    <row r="126" ht="22.5" customHeight="1">
      <c r="A126" s="11">
        <v>125.0</v>
      </c>
      <c r="B126" s="5" t="s">
        <v>2848</v>
      </c>
      <c r="C126" s="5" t="s">
        <v>2849</v>
      </c>
      <c r="D126" s="5" t="s">
        <v>2850</v>
      </c>
      <c r="E126" s="5" t="s">
        <v>2851</v>
      </c>
      <c r="F126" s="3"/>
      <c r="G126" s="3"/>
      <c r="H126" s="11">
        <v>125.0</v>
      </c>
      <c r="I126" s="10" t="str">
        <f>IFERROR(__xludf.DUMMYFUNCTION("GOOGLETRANSLATE(B126,""it"",""en"")"),"What is the traditional method for decorating Ruzzole?")</f>
        <v>What is the traditional method for decorating Ruzzole?</v>
      </c>
      <c r="J126" s="10" t="str">
        <f>IFERROR(__xludf.DUMMYFUNCTION("GOOGLETRANSLATE(C126,""it"",""en"")"),"A. Hand engravings B. Colored paint C. Stickers D. Wool threads")</f>
        <v>A. Hand engravings B. Colored paint C. Stickers D. Wool threads</v>
      </c>
      <c r="K126" s="10" t="str">
        <f>IFERROR(__xludf.DUMMYFUNCTION("GOOGLETRANSLATE(D126,""it"",""en"")"),"Hand engravings")</f>
        <v>Hand engravings</v>
      </c>
      <c r="L126" s="10" t="str">
        <f>IFERROR(__xludf.DUMMYFUNCTION("GOOGLETRANSLATE(E126,""it"",""en"")"),"Hand decorations are a tradition.")</f>
        <v>Hand decorations are a tradition.</v>
      </c>
    </row>
    <row r="127" ht="22.5" customHeight="1">
      <c r="A127" s="11">
        <v>126.0</v>
      </c>
      <c r="B127" s="5" t="s">
        <v>2852</v>
      </c>
      <c r="C127" s="5" t="s">
        <v>2853</v>
      </c>
      <c r="D127" s="5" t="s">
        <v>2854</v>
      </c>
      <c r="E127" s="5" t="s">
        <v>2855</v>
      </c>
      <c r="F127" s="3"/>
      <c r="G127" s="3"/>
      <c r="H127" s="11">
        <v>126.0</v>
      </c>
      <c r="I127" s="10" t="str">
        <f>IFERROR(__xludf.DUMMYFUNCTION("GOOGLETRANSLATE(B127,""it"",""en"")"),"What is the symbolic meaning of Ruzzola?")</f>
        <v>What is the symbolic meaning of Ruzzola?</v>
      </c>
      <c r="J127" s="10" t="str">
        <f>IFERROR(__xludf.DUMMYFUNCTION("GOOGLETRANSLATE(C127,""it"",""en"")"),"A. Community happiness B. Vitality C. Trust D. Union")</f>
        <v>A. Community happiness B. Vitality C. Trust D. Union</v>
      </c>
      <c r="K127" s="10" t="str">
        <f>IFERROR(__xludf.DUMMYFUNCTION("GOOGLETRANSLATE(D127,""it"",""en"")"),"Community happiness")</f>
        <v>Community happiness</v>
      </c>
      <c r="L127" s="10" t="str">
        <f>IFERROR(__xludf.DUMMYFUNCTION("GOOGLETRANSLATE(E127,""it"",""en"")"),"The game is a joyous occasion for the community.")</f>
        <v>The game is a joyous occasion for the community.</v>
      </c>
    </row>
    <row r="128" ht="22.5" customHeight="1">
      <c r="A128" s="11">
        <v>127.0</v>
      </c>
      <c r="B128" s="5" t="s">
        <v>2856</v>
      </c>
      <c r="C128" s="5" t="s">
        <v>2857</v>
      </c>
      <c r="D128" s="5" t="s">
        <v>1232</v>
      </c>
      <c r="E128" s="5" t="s">
        <v>2858</v>
      </c>
      <c r="F128" s="3"/>
      <c r="G128" s="3"/>
      <c r="H128" s="11">
        <v>127.0</v>
      </c>
      <c r="I128" s="10" t="str">
        <f>IFERROR(__xludf.DUMMYFUNCTION("GOOGLETRANSLATE(B128,""it"",""en"")"),"In which region are the best Ruzzola players located?")</f>
        <v>In which region are the best Ruzzola players located?</v>
      </c>
      <c r="J128" s="10" t="str">
        <f>IFERROR(__xludf.DUMMYFUNCTION("GOOGLETRANSLATE(C128,""it"",""en"")"),"A. Umbria B. Lazio C. Marche D. Emilia-Romagna")</f>
        <v>A. Umbria B. Lazio C. Marche D. Emilia-Romagna</v>
      </c>
      <c r="K128" s="10" t="str">
        <f>IFERROR(__xludf.DUMMYFUNCTION("GOOGLETRANSLATE(D128,""it"",""en"")"),"Marche")</f>
        <v>Marche</v>
      </c>
      <c r="L128" s="10" t="str">
        <f>IFERROR(__xludf.DUMMYFUNCTION("GOOGLETRANSLATE(E128,""it"",""en"")"),"Le Marche is renowned for its expert players.")</f>
        <v>Le Marche is renowned for its expert players.</v>
      </c>
    </row>
    <row r="129" ht="22.5" customHeight="1">
      <c r="A129" s="11">
        <v>128.0</v>
      </c>
      <c r="B129" s="5" t="s">
        <v>2859</v>
      </c>
      <c r="C129" s="5" t="s">
        <v>2860</v>
      </c>
      <c r="D129" s="5" t="s">
        <v>2861</v>
      </c>
      <c r="E129" s="5" t="s">
        <v>2862</v>
      </c>
      <c r="F129" s="3"/>
      <c r="G129" s="3"/>
      <c r="H129" s="11">
        <v>128.0</v>
      </c>
      <c r="I129" s="10" t="str">
        <f>IFERROR(__xludf.DUMMYFUNCTION("GOOGLETRANSLATE(B129,""it"",""en"")"),"What is the maximum length of the game course?")</f>
        <v>What is the maximum length of the game course?</v>
      </c>
      <c r="J129" s="10" t="str">
        <f>IFERROR(__xludf.DUMMYFUNCTION("GOOGLETRANSLATE(C129,""it"",""en"")"),"A. 500 meters B. 1 kilometer C. 2 kilometers D. 3 kilometers")</f>
        <v>A. 500 meters B. 1 kilometer C. 2 kilometers D. 3 kilometers</v>
      </c>
      <c r="K129" s="10" t="str">
        <f>IFERROR(__xludf.DUMMYFUNCTION("GOOGLETRANSLATE(D129,""it"",""en"")"),"1 kilometer")</f>
        <v>1 kilometer</v>
      </c>
      <c r="L129" s="10" t="str">
        <f>IFERROR(__xludf.DUMMYFUNCTION("GOOGLETRANSLATE(E129,""it"",""en"")"),"A typical route does not exceed 1 kilometer.")</f>
        <v>A typical route does not exceed 1 kilometer.</v>
      </c>
    </row>
    <row r="130" ht="22.5" customHeight="1">
      <c r="A130" s="11">
        <v>129.0</v>
      </c>
      <c r="B130" s="5" t="s">
        <v>2863</v>
      </c>
      <c r="C130" s="5" t="s">
        <v>2864</v>
      </c>
      <c r="D130" s="5" t="s">
        <v>2865</v>
      </c>
      <c r="E130" s="5" t="s">
        <v>2866</v>
      </c>
      <c r="F130" s="3"/>
      <c r="G130" s="3"/>
      <c r="H130" s="11">
        <v>129.0</v>
      </c>
      <c r="I130" s="10" t="str">
        <f>IFERROR(__xludf.DUMMYFUNCTION("GOOGLETRANSLATE(B130,""it"",""en"")"),"How is sportsmanship encouraged in Ruzzola?")</f>
        <v>How is sportsmanship encouraged in Ruzzola?</v>
      </c>
      <c r="J130" s="10" t="str">
        <f>IFERROR(__xludf.DUMMYFUNCTION("GOOGLETRANSLATE(C130,""it"",""en"")"),"A. Through rewards B. Through ethical rules C. Through rituals D. Through gifts")</f>
        <v>A. Through rewards B. Through ethical rules C. Through rituals D. Through gifts</v>
      </c>
      <c r="K130" s="10" t="str">
        <f>IFERROR(__xludf.DUMMYFUNCTION("GOOGLETRANSLATE(D130,""it"",""en"")"),"Through ethical rules")</f>
        <v>Through ethical rules</v>
      </c>
      <c r="L130" s="10" t="str">
        <f>IFERROR(__xludf.DUMMYFUNCTION("GOOGLETRANSLATE(E130,""it"",""en"")"),"The rules emphasize mutual respect.")</f>
        <v>The rules emphasize mutual respect.</v>
      </c>
    </row>
    <row r="131" ht="22.5" customHeight="1">
      <c r="A131" s="11">
        <v>130.0</v>
      </c>
      <c r="B131" s="5" t="s">
        <v>2867</v>
      </c>
      <c r="C131" s="5" t="s">
        <v>2868</v>
      </c>
      <c r="D131" s="5" t="s">
        <v>2869</v>
      </c>
      <c r="E131" s="5" t="s">
        <v>2870</v>
      </c>
      <c r="F131" s="3"/>
      <c r="G131" s="3"/>
      <c r="H131" s="11">
        <v>130.0</v>
      </c>
      <c r="I131" s="10" t="str">
        <f>IFERROR(__xludf.DUMMYFUNCTION("GOOGLETRANSLATE(B131,""it"",""en"")"),"What makes the game of Ruzzola difficult?")</f>
        <v>What makes the game of Ruzzola difficult?</v>
      </c>
      <c r="J131" s="10" t="str">
        <f>IFERROR(__xludf.DUMMYFUNCTION("GOOGLETRANSLATE(C131,""it"",""en"")"),"A. The weight of the Ruzzola B. The conditions of the ground C. The length of the route D. The type of rope")</f>
        <v>A. The weight of the Ruzzola B. The conditions of the ground C. The length of the route D. The type of rope</v>
      </c>
      <c r="K131" s="10" t="str">
        <f>IFERROR(__xludf.DUMMYFUNCTION("GOOGLETRANSLATE(D131,""it"",""en"")"),"The conditions of the ground")</f>
        <v>The conditions of the ground</v>
      </c>
      <c r="L131" s="10" t="str">
        <f>IFERROR(__xludf.DUMMYFUNCTION("GOOGLETRANSLATE(E131,""it"",""en"")"),"Uneven terrain increases the difficulty.")</f>
        <v>Uneven terrain increases the difficulty.</v>
      </c>
    </row>
    <row r="132" ht="22.5" customHeight="1">
      <c r="A132" s="11">
        <v>131.0</v>
      </c>
      <c r="B132" s="5" t="s">
        <v>2871</v>
      </c>
      <c r="C132" s="5" t="s">
        <v>2872</v>
      </c>
      <c r="D132" s="5" t="s">
        <v>2873</v>
      </c>
      <c r="E132" s="5" t="s">
        <v>2874</v>
      </c>
      <c r="F132" s="3"/>
      <c r="G132" s="3"/>
      <c r="H132" s="11">
        <v>131.0</v>
      </c>
      <c r="I132" s="10" t="str">
        <f>IFERROR(__xludf.DUMMYFUNCTION("GOOGLETRANSLATE(B132,""it"",""en"")"),"How are categories determined in Ruzzola tournaments?")</f>
        <v>How are categories determined in Ruzzola tournaments?</v>
      </c>
      <c r="J132" s="10" t="str">
        <f>IFERROR(__xludf.DUMMYFUNCTION("GOOGLETRANSLATE(C132,""it"",""en"")"),"A. By age B. By weight of the Ruzzola C. By experience D. By size of the Ruzzola")</f>
        <v>A. By age B. By weight of the Ruzzola C. By experience D. By size of the Ruzzola</v>
      </c>
      <c r="K132" s="10" t="str">
        <f>IFERROR(__xludf.DUMMYFUNCTION("GOOGLETRANSLATE(D132,""it"",""en"")"),"From experience")</f>
        <v>From experience</v>
      </c>
      <c r="L132" s="10" t="str">
        <f>IFERROR(__xludf.DUMMYFUNCTION("GOOGLETRANSLATE(E132,""it"",""en"")"),"Categories are based on skill level.")</f>
        <v>Categories are based on skill level.</v>
      </c>
    </row>
    <row r="133" ht="22.5" customHeight="1">
      <c r="A133" s="11">
        <v>132.0</v>
      </c>
      <c r="B133" s="5" t="s">
        <v>2875</v>
      </c>
      <c r="C133" s="5" t="s">
        <v>2876</v>
      </c>
      <c r="D133" s="5" t="s">
        <v>2877</v>
      </c>
      <c r="E133" s="5" t="s">
        <v>2878</v>
      </c>
      <c r="F133" s="3"/>
      <c r="G133" s="3"/>
      <c r="H133" s="11">
        <v>132.0</v>
      </c>
      <c r="I133" s="10" t="str">
        <f>IFERROR(__xludf.DUMMYFUNCTION("GOOGLETRANSLATE(B133,""it"",""en"")"),"What is the effect of an unbalanced Ruzzola?")</f>
        <v>What is the effect of an unbalanced Ruzzola?</v>
      </c>
      <c r="J133" s="10" t="str">
        <f>IFERROR(__xludf.DUMMYFUNCTION("GOOGLETRANSLATE(C133,""it"",""en"")"),"A. It rolls erratically B. It breaks during play C. It doesn't reach the distance D. It needs to be replaced")</f>
        <v>A. It rolls erratically B. It breaks during play C. It doesn't reach the distance D. It needs to be replaced</v>
      </c>
      <c r="K133" s="10" t="str">
        <f>IFERROR(__xludf.DUMMYFUNCTION("GOOGLETRANSLATE(D133,""it"",""en"")"),"It rolls irregularly")</f>
        <v>It rolls irregularly</v>
      </c>
      <c r="L133" s="10" t="str">
        <f>IFERROR(__xludf.DUMMYFUNCTION("GOOGLETRANSLATE(E133,""it"",""en"")"),"An poorly balanced Ruzzola compromises the shot.")</f>
        <v>An poorly balanced Ruzzola compromises the shot.</v>
      </c>
    </row>
    <row r="134" ht="22.5" customHeight="1">
      <c r="A134" s="11">
        <v>133.0</v>
      </c>
      <c r="B134" s="5" t="s">
        <v>2879</v>
      </c>
      <c r="C134" s="5" t="s">
        <v>2880</v>
      </c>
      <c r="D134" s="5" t="s">
        <v>2881</v>
      </c>
      <c r="E134" s="5" t="s">
        <v>2882</v>
      </c>
      <c r="F134" s="3"/>
      <c r="G134" s="3"/>
      <c r="H134" s="11">
        <v>133.0</v>
      </c>
      <c r="I134" s="10" t="str">
        <f>IFERROR(__xludf.DUMMYFUNCTION("GOOGLETRANSLATE(B134,""it"",""en"")"),"How are the traditions of Ruzzola preserved?")</f>
        <v>How are the traditions of Ruzzola preserved?</v>
      </c>
      <c r="J134" s="10" t="str">
        <f>IFERROR(__xludf.DUMMYFUNCTION("GOOGLETRANSLATE(C134,""it"",""en"")"),"A. Through festivals B. Through schools C. Through museums D. Through publications")</f>
        <v>A. Through festivals B. Through schools C. Through museums D. Through publications</v>
      </c>
      <c r="K134" s="10" t="str">
        <f>IFERROR(__xludf.DUMMYFUNCTION("GOOGLETRANSLATE(D134,""it"",""en"")"),"Through festivals")</f>
        <v>Through festivals</v>
      </c>
      <c r="L134" s="10" t="str">
        <f>IFERROR(__xludf.DUMMYFUNCTION("GOOGLETRANSLATE(E134,""it"",""en"")"),"Festivals keep the tradition alive.")</f>
        <v>Festivals keep the tradition alive.</v>
      </c>
    </row>
    <row r="135" ht="22.5" customHeight="1">
      <c r="A135" s="11">
        <v>134.0</v>
      </c>
      <c r="B135" s="5" t="s">
        <v>2883</v>
      </c>
      <c r="C135" s="5" t="s">
        <v>2884</v>
      </c>
      <c r="D135" s="5" t="s">
        <v>2885</v>
      </c>
      <c r="E135" s="5" t="s">
        <v>2886</v>
      </c>
      <c r="F135" s="3"/>
      <c r="G135" s="3"/>
      <c r="H135" s="11">
        <v>134.0</v>
      </c>
      <c r="I135" s="10" t="str">
        <f>IFERROR(__xludf.DUMMYFUNCTION("GOOGLETRANSLATE(B135,""it"",""en"")"),"How do you check the validity of a shot?")</f>
        <v>How do you check the validity of a shot?</v>
      </c>
      <c r="J135" s="10" t="str">
        <f>IFERROR(__xludf.DUMMYFUNCTION("GOOGLETRANSLATE(C135,""it"",""en"")"),"A. Judge's observation B. Use of measuring instruments C. Audience confirmation D. Players' confirmation")</f>
        <v>A. Judge's observation B. Use of measuring instruments C. Audience confirmation D. Players' confirmation</v>
      </c>
      <c r="K135" s="10" t="str">
        <f>IFERROR(__xludf.DUMMYFUNCTION("GOOGLETRANSLATE(D135,""it"",""en"")"),"Judge's observation")</f>
        <v>Judge's observation</v>
      </c>
      <c r="L135" s="10" t="str">
        <f>IFERROR(__xludf.DUMMYFUNCTION("GOOGLETRANSLATE(E135,""it"",""en"")"),"The judge checks the validity of the shot.")</f>
        <v>The judge checks the validity of the shot.</v>
      </c>
    </row>
    <row r="136" ht="22.5" customHeight="1">
      <c r="A136" s="11">
        <v>135.0</v>
      </c>
      <c r="B136" s="5" t="s">
        <v>2887</v>
      </c>
      <c r="C136" s="5" t="s">
        <v>2888</v>
      </c>
      <c r="D136" s="5" t="s">
        <v>2770</v>
      </c>
      <c r="E136" s="5" t="s">
        <v>2889</v>
      </c>
      <c r="F136" s="3"/>
      <c r="G136" s="3"/>
      <c r="H136" s="11">
        <v>135.0</v>
      </c>
      <c r="I136" s="10" t="str">
        <f>IFERROR(__xludf.DUMMYFUNCTION("GOOGLETRANSLATE(B136,""it"",""en"")"),"What is the main function of the rope in the Ruzzola?")</f>
        <v>What is the main function of the rope in the Ruzzola?</v>
      </c>
      <c r="J136" s="10" t="str">
        <f>IFERROR(__xludf.DUMMYFUNCTION("GOOGLETRANSLATE(C136,""it"",""en"")"),"A. Avoid damage B. Facilitate the launch C. Increase speed D. Decorate the Ruzzola")</f>
        <v>A. Avoid damage B. Facilitate the launch C. Increase speed D. Decorate the Ruzzola</v>
      </c>
      <c r="K136" s="10" t="str">
        <f>IFERROR(__xludf.DUMMYFUNCTION("GOOGLETRANSLATE(D136,""it"",""en"")"),"Facilitating the launch")</f>
        <v>Facilitating the launch</v>
      </c>
      <c r="L136" s="10" t="str">
        <f>IFERROR(__xludf.DUMMYFUNCTION("GOOGLETRANSLATE(E136,""it"",""en"")"),"The rope allows for better control.")</f>
        <v>The rope allows for better control.</v>
      </c>
    </row>
    <row r="137" ht="22.5" customHeight="1">
      <c r="A137" s="11">
        <v>136.0</v>
      </c>
      <c r="B137" s="5" t="s">
        <v>2890</v>
      </c>
      <c r="C137" s="5" t="s">
        <v>2891</v>
      </c>
      <c r="D137" s="5" t="s">
        <v>2738</v>
      </c>
      <c r="E137" s="5" t="s">
        <v>2892</v>
      </c>
      <c r="F137" s="3"/>
      <c r="G137" s="3"/>
      <c r="H137" s="11">
        <v>136.0</v>
      </c>
      <c r="I137" s="10" t="str">
        <f>IFERROR(__xludf.DUMMYFUNCTION("GOOGLETRANSLATE(B137,""it"",""en"")"),"In what historical context was Ruzzola played most?")</f>
        <v>In what historical context was Ruzzola played most?</v>
      </c>
      <c r="J137" s="10" t="str">
        <f>IFERROR(__xludf.DUMMYFUNCTION("GOOGLETRANSLATE(C137,""it"",""en"")"),"A. Popular festivals B. Agricultural fairs C. Religious ceremonies D. Military games")</f>
        <v>A. Popular festivals B. Agricultural fairs C. Religious ceremonies D. Military games</v>
      </c>
      <c r="K137" s="10" t="str">
        <f>IFERROR(__xludf.DUMMYFUNCTION("GOOGLETRANSLATE(D137,""it"",""en"")"),"Popular festivals")</f>
        <v>Popular festivals</v>
      </c>
      <c r="L137" s="10" t="str">
        <f>IFERROR(__xludf.DUMMYFUNCTION("GOOGLETRANSLATE(E137,""it"",""en"")"),"Popular festivals were the most common occasion.")</f>
        <v>Popular festivals were the most common occasion.</v>
      </c>
    </row>
    <row r="138" ht="22.5" customHeight="1">
      <c r="A138" s="11">
        <v>137.0</v>
      </c>
      <c r="B138" s="5" t="s">
        <v>2893</v>
      </c>
      <c r="C138" s="5" t="s">
        <v>2894</v>
      </c>
      <c r="D138" s="5" t="s">
        <v>2895</v>
      </c>
      <c r="E138" s="5" t="s">
        <v>2896</v>
      </c>
      <c r="F138" s="3"/>
      <c r="G138" s="3"/>
      <c r="H138" s="11">
        <v>137.0</v>
      </c>
      <c r="I138" s="10" t="str">
        <f>IFERROR(__xludf.DUMMYFUNCTION("GOOGLETRANSLATE(B138,""it"",""en"")"),"What is used to mark the game course?")</f>
        <v>What is used to mark the game course?</v>
      </c>
      <c r="J138" s="10" t="str">
        <f>IFERROR(__xludf.DUMMYFUNCTION("GOOGLETRANSLATE(C138,""it"",""en"")"),"A. Stones B. Painted lines C. Flags D. Natural signals")</f>
        <v>A. Stones B. Painted lines C. Flags D. Natural signals</v>
      </c>
      <c r="K138" s="10" t="str">
        <f>IFERROR(__xludf.DUMMYFUNCTION("GOOGLETRANSLATE(D138,""it"",""en"")"),"Flags")</f>
        <v>Flags</v>
      </c>
      <c r="L138" s="10" t="str">
        <f>IFERROR(__xludf.DUMMYFUNCTION("GOOGLETRANSLATE(E138,""it"",""en"")"),"Flags help mark the route.")</f>
        <v>Flags help mark the route.</v>
      </c>
    </row>
    <row r="139" ht="22.5" customHeight="1">
      <c r="A139" s="11">
        <v>138.0</v>
      </c>
      <c r="B139" s="5" t="s">
        <v>2897</v>
      </c>
      <c r="C139" s="5" t="s">
        <v>2898</v>
      </c>
      <c r="D139" s="5" t="s">
        <v>2899</v>
      </c>
      <c r="E139" s="5" t="s">
        <v>2900</v>
      </c>
      <c r="F139" s="3"/>
      <c r="G139" s="3"/>
      <c r="H139" s="11">
        <v>138.0</v>
      </c>
      <c r="I139" s="10" t="str">
        <f>IFERROR(__xludf.DUMMYFUNCTION("GOOGLETRANSLATE(B139,""it"",""en"")"),"How are Ruzzola's skills passed down?")</f>
        <v>How are Ruzzola's skills passed down?</v>
      </c>
      <c r="J139" s="10" t="str">
        <f>IFERROR(__xludf.DUMMYFUNCTION("GOOGLETRANSLATE(C139,""it"",""en"")"),"A. Through play schools B. Through families C. Through courses D. Through manuals")</f>
        <v>A. Through play schools B. Through families C. Through courses D. Through manuals</v>
      </c>
      <c r="K139" s="10" t="str">
        <f>IFERROR(__xludf.DUMMYFUNCTION("GOOGLETRANSLATE(D139,""it"",""en"")"),"Through families")</f>
        <v>Through families</v>
      </c>
      <c r="L139" s="10" t="str">
        <f>IFERROR(__xludf.DUMMYFUNCTION("GOOGLETRANSLATE(E139,""it"",""en"")"),"Families have passed down skills for generations.")</f>
        <v>Families have passed down skills for generations.</v>
      </c>
    </row>
    <row r="140" ht="22.5" customHeight="1">
      <c r="A140" s="11">
        <v>139.0</v>
      </c>
      <c r="B140" s="5" t="s">
        <v>2901</v>
      </c>
      <c r="C140" s="5" t="s">
        <v>2902</v>
      </c>
      <c r="D140" s="5" t="s">
        <v>2903</v>
      </c>
      <c r="E140" s="5" t="s">
        <v>2904</v>
      </c>
      <c r="F140" s="3"/>
      <c r="G140" s="3"/>
      <c r="H140" s="11">
        <v>139.0</v>
      </c>
      <c r="I140" s="10" t="str">
        <f>IFERROR(__xludf.DUMMYFUNCTION("GOOGLETRANSLATE(B140,""it"",""en"")"),"What is the highlight of a Ruzzola tournament?")</f>
        <v>What is the highlight of a Ruzzola tournament?</v>
      </c>
      <c r="J140" s="10" t="str">
        <f>IFERROR(__xludf.DUMMYFUNCTION("GOOGLETRANSLATE(C140,""it"",""en"")"),"A. The final B. The opening ceremony C. The awards ceremony D. The community lunch")</f>
        <v>A. The final B. The opening ceremony C. The awards ceremony D. The community lunch</v>
      </c>
      <c r="K140" s="10" t="str">
        <f>IFERROR(__xludf.DUMMYFUNCTION("GOOGLETRANSLATE(D140,""it"",""en"")"),"The final")</f>
        <v>The final</v>
      </c>
      <c r="L140" s="10" t="str">
        <f>IFERROR(__xludf.DUMMYFUNCTION("GOOGLETRANSLATE(E140,""it"",""en"")"),"The final determines the winner of the tournament.")</f>
        <v>The final determines the winner of the tournament.</v>
      </c>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3" width="37.63"/>
    <col customWidth="1" min="4" max="4" width="18.5"/>
    <col customWidth="1" min="5" max="5" width="37.63"/>
    <col customWidth="1" min="7" max="7" width="18.5"/>
    <col customWidth="1" min="8" max="9" width="37.63"/>
    <col customWidth="1" min="10" max="10" width="16.88"/>
    <col customWidth="1" min="11" max="11" width="37.63"/>
  </cols>
  <sheetData>
    <row r="1" ht="22.5" customHeight="1">
      <c r="A1" s="8" t="s">
        <v>2905</v>
      </c>
      <c r="B1" s="8" t="s">
        <v>1</v>
      </c>
      <c r="C1" s="2" t="s">
        <v>2</v>
      </c>
      <c r="D1" s="8" t="s">
        <v>580</v>
      </c>
      <c r="E1" s="8" t="s">
        <v>4</v>
      </c>
      <c r="G1" s="13" t="s">
        <v>0</v>
      </c>
      <c r="H1" s="13" t="s">
        <v>2906</v>
      </c>
      <c r="I1" s="14" t="s">
        <v>6</v>
      </c>
      <c r="J1" s="13" t="s">
        <v>7</v>
      </c>
      <c r="K1" s="13" t="s">
        <v>8</v>
      </c>
    </row>
    <row r="2" ht="22.5" customHeight="1">
      <c r="A2" s="4">
        <v>1.0</v>
      </c>
      <c r="B2" s="5" t="s">
        <v>2907</v>
      </c>
      <c r="C2" s="5" t="s">
        <v>2908</v>
      </c>
      <c r="D2" s="5" t="s">
        <v>2909</v>
      </c>
      <c r="E2" s="5" t="s">
        <v>2910</v>
      </c>
      <c r="G2" s="10" t="str">
        <f>IFERROR(__xludf.DUMMYFUNCTION("GOOGLETRANSLATE(A2,""it"",""en"")"),"1")</f>
        <v>1</v>
      </c>
      <c r="H2" s="10" t="str">
        <f>IFERROR(__xludf.DUMMYFUNCTION("GOOGLETRANSLATE(B2,""it"",""en"")"),"What is the origin of the game of water polo?")</f>
        <v>What is the origin of the game of water polo?</v>
      </c>
      <c r="I2" s="10" t="str">
        <f>IFERROR(__xludf.DUMMYFUNCTION("GOOGLETRANSLATE(C2,""it"",""en"")"),"A. In Italy in 1800 B. In England in 1870 C. In France in 1900 D. In the United States in 1905")</f>
        <v>A. In Italy in 1800 B. In England in 1870 C. In France in 1900 D. In the United States in 1905</v>
      </c>
      <c r="J2" s="10" t="str">
        <f>IFERROR(__xludf.DUMMYFUNCTION("GOOGLETRANSLATE(D2,""it"",""en"")"),"In England in 1870")</f>
        <v>In England in 1870</v>
      </c>
      <c r="K2" s="10" t="str">
        <f>IFERROR(__xludf.DUMMYFUNCTION("GOOGLETRANSLATE(E2,""it"",""en"")"),"Water polo originated as an aquatic version of rugby in England in 1870.")</f>
        <v>Water polo originated as an aquatic version of rugby in England in 1870.</v>
      </c>
    </row>
    <row r="3" ht="22.5" customHeight="1">
      <c r="A3" s="4">
        <v>2.0</v>
      </c>
      <c r="B3" s="5" t="s">
        <v>2911</v>
      </c>
      <c r="C3" s="5" t="s">
        <v>2912</v>
      </c>
      <c r="D3" s="5" t="s">
        <v>2913</v>
      </c>
      <c r="E3" s="5" t="s">
        <v>2914</v>
      </c>
      <c r="G3" s="10" t="str">
        <f>IFERROR(__xludf.DUMMYFUNCTION("GOOGLETRANSLATE(A3,""it"",""en"")"),"2")</f>
        <v>2</v>
      </c>
      <c r="H3" s="10" t="str">
        <f>IFERROR(__xludf.DUMMYFUNCTION("GOOGLETRANSLATE(B3,""it"",""en"")"),"Who is considered the founder of modern water polo?")</f>
        <v>Who is considered the founder of modern water polo?</v>
      </c>
      <c r="I3" s="10" t="str">
        <f>IFERROR(__xludf.DUMMYFUNCTION("GOOGLETRANSLATE(C3,""it"",""en"")"),"A. Giovanni C. Minervini B. William Wilson C. John Pearson D. John Paul II")</f>
        <v>A. Giovanni C. Minervini B. William Wilson C. John Pearson D. John Paul II</v>
      </c>
      <c r="J3" s="10" t="str">
        <f>IFERROR(__xludf.DUMMYFUNCTION("GOOGLETRANSLATE(D3,""it"",""en"")"),"William Wilson")</f>
        <v>William Wilson</v>
      </c>
      <c r="K3" s="10" t="str">
        <f>IFERROR(__xludf.DUMMYFUNCTION("GOOGLETRANSLATE(E3,""it"",""en"")"),"William Wilson is recognized as one of the founders of modern water polo.")</f>
        <v>William Wilson is recognized as one of the founders of modern water polo.</v>
      </c>
    </row>
    <row r="4" ht="22.5" customHeight="1">
      <c r="A4" s="4">
        <v>3.0</v>
      </c>
      <c r="B4" s="5" t="s">
        <v>2915</v>
      </c>
      <c r="C4" s="5" t="s">
        <v>2916</v>
      </c>
      <c r="D4" s="4">
        <v>1900.0</v>
      </c>
      <c r="E4" s="5" t="s">
        <v>2917</v>
      </c>
      <c r="G4" s="10" t="str">
        <f>IFERROR(__xludf.DUMMYFUNCTION("GOOGLETRANSLATE(A4,""it"",""en"")"),"3")</f>
        <v>3</v>
      </c>
      <c r="H4" s="10" t="str">
        <f>IFERROR(__xludf.DUMMYFUNCTION("GOOGLETRANSLATE(B4,""it"",""en"")"),"In what year was water polo introduced to the Olympics?")</f>
        <v>In what year was water polo introduced to the Olympics?</v>
      </c>
      <c r="I4" s="10" t="str">
        <f>IFERROR(__xludf.DUMMYFUNCTION("GOOGLETRANSLATE(C4,""it"",""en"")"),"A. 1896 B. 1900 C. 1912 D. 1924")</f>
        <v>A. 1896 B. 1900 C. 1912 D. 1924</v>
      </c>
      <c r="J4" s="10" t="str">
        <f>IFERROR(__xludf.DUMMYFUNCTION("GOOGLETRANSLATE(D4,""it"",""en"")"),"1900")</f>
        <v>1900</v>
      </c>
      <c r="K4" s="10" t="str">
        <f>IFERROR(__xludf.DUMMYFUNCTION("GOOGLETRANSLATE(E4,""it"",""en"")"),"Water polo was introduced into the 1900 Olympic Games.")</f>
        <v>Water polo was introduced into the 1900 Olympic Games.</v>
      </c>
    </row>
    <row r="5" ht="22.5" customHeight="1">
      <c r="A5" s="4">
        <v>4.0</v>
      </c>
      <c r="B5" s="5" t="s">
        <v>2918</v>
      </c>
      <c r="C5" s="5" t="s">
        <v>2919</v>
      </c>
      <c r="D5" s="5" t="s">
        <v>2920</v>
      </c>
      <c r="E5" s="5" t="s">
        <v>2921</v>
      </c>
      <c r="G5" s="10" t="str">
        <f>IFERROR(__xludf.DUMMYFUNCTION("GOOGLETRANSLATE(A5,""it"",""en"")"),"4")</f>
        <v>4</v>
      </c>
      <c r="H5" s="10" t="str">
        <f>IFERROR(__xludf.DUMMYFUNCTION("GOOGLETRANSLATE(B5,""it"",""en"")"),"Where was the first World Water Polo Championship held?")</f>
        <v>Where was the first World Water Polo Championship held?</v>
      </c>
      <c r="I5" s="10" t="str">
        <f>IFERROR(__xludf.DUMMYFUNCTION("GOOGLETRANSLATE(C5,""it"",""en"")"),"A. In Italy B. In the United States C. In Spain D. In France")</f>
        <v>A. In Italy B. In the United States C. In Spain D. In France</v>
      </c>
      <c r="J5" s="10" t="str">
        <f>IFERROR(__xludf.DUMMYFUNCTION("GOOGLETRANSLATE(D5,""it"",""en"")"),"In Italy")</f>
        <v>In Italy</v>
      </c>
      <c r="K5" s="10" t="str">
        <f>IFERROR(__xludf.DUMMYFUNCTION("GOOGLETRANSLATE(E5,""it"",""en"")"),"The first World Water Polo Championship was held in Italy.")</f>
        <v>The first World Water Polo Championship was held in Italy.</v>
      </c>
    </row>
    <row r="6" ht="22.5" customHeight="1">
      <c r="A6" s="4">
        <v>5.0</v>
      </c>
      <c r="B6" s="5" t="s">
        <v>2922</v>
      </c>
      <c r="C6" s="5" t="s">
        <v>2923</v>
      </c>
      <c r="D6" s="4">
        <v>8.0</v>
      </c>
      <c r="E6" s="5" t="s">
        <v>2924</v>
      </c>
      <c r="G6" s="10" t="str">
        <f>IFERROR(__xludf.DUMMYFUNCTION("GOOGLETRANSLATE(A6,""it"",""en"")"),"5")</f>
        <v>5</v>
      </c>
      <c r="H6" s="10" t="str">
        <f>IFERROR(__xludf.DUMMYFUNCTION("GOOGLETRANSLATE(B6,""it"",""en"")"),"How many teams participate in water polo in the Olympics?")</f>
        <v>How many teams participate in water polo in the Olympics?</v>
      </c>
      <c r="I6" s="10" t="str">
        <f>IFERROR(__xludf.DUMMYFUNCTION("GOOGLETRANSLATE(C6,""it"",""en"")"),"A. 6 B. 8 C. 12 D. 10")</f>
        <v>A. 6 B. 8 C. 12 D. 10</v>
      </c>
      <c r="J6" s="10" t="str">
        <f>IFERROR(__xludf.DUMMYFUNCTION("GOOGLETRANSLATE(D6,""it"",""en"")"),"8")</f>
        <v>8</v>
      </c>
      <c r="K6" s="10" t="str">
        <f>IFERROR(__xludf.DUMMYFUNCTION("GOOGLETRANSLATE(E6,""it"",""en"")"),"In the Olympic Games, 8 teams compete for the gold medal.")</f>
        <v>In the Olympic Games, 8 teams compete for the gold medal.</v>
      </c>
    </row>
    <row r="7" ht="22.5" customHeight="1">
      <c r="A7" s="4">
        <v>6.0</v>
      </c>
      <c r="B7" s="5" t="s">
        <v>2925</v>
      </c>
      <c r="C7" s="5" t="s">
        <v>2926</v>
      </c>
      <c r="D7" s="5" t="s">
        <v>2927</v>
      </c>
      <c r="E7" s="5" t="s">
        <v>2928</v>
      </c>
      <c r="G7" s="10" t="str">
        <f>IFERROR(__xludf.DUMMYFUNCTION("GOOGLETRANSLATE(A7,""it"",""en"")"),"6")</f>
        <v>6</v>
      </c>
      <c r="H7" s="10" t="str">
        <f>IFERROR(__xludf.DUMMYFUNCTION("GOOGLETRANSLATE(B7,""it"",""en"")"),"Who won the first World Water Polo Championship?")</f>
        <v>Who won the first World Water Polo Championship?</v>
      </c>
      <c r="I7" s="10" t="str">
        <f>IFERROR(__xludf.DUMMYFUNCTION("GOOGLETRANSLATE(C7,""it"",""en"")"),"A. Italy B. United States C. Hungary D. France")</f>
        <v>A. Italy B. United States C. Hungary D. France</v>
      </c>
      <c r="J7" s="10" t="str">
        <f>IFERROR(__xludf.DUMMYFUNCTION("GOOGLETRANSLATE(D7,""it"",""en"")"),"Hungary")</f>
        <v>Hungary</v>
      </c>
      <c r="K7" s="10" t="str">
        <f>IFERROR(__xludf.DUMMYFUNCTION("GOOGLETRANSLATE(E7,""it"",""en"")"),"Hungary won the first World Water Polo Championship.")</f>
        <v>Hungary won the first World Water Polo Championship.</v>
      </c>
    </row>
    <row r="8" ht="22.5" customHeight="1">
      <c r="A8" s="4">
        <v>7.0</v>
      </c>
      <c r="B8" s="5" t="s">
        <v>2929</v>
      </c>
      <c r="C8" s="5" t="s">
        <v>2930</v>
      </c>
      <c r="D8" s="4">
        <v>7.0</v>
      </c>
      <c r="E8" s="5" t="s">
        <v>2931</v>
      </c>
      <c r="G8" s="10" t="str">
        <f>IFERROR(__xludf.DUMMYFUNCTION("GOOGLETRANSLATE(A8,""it"",""en"")"),"7")</f>
        <v>7</v>
      </c>
      <c r="H8" s="10" t="str">
        <f>IFERROR(__xludf.DUMMYFUNCTION("GOOGLETRANSLATE(B8,""it"",""en"")"),"How many players are on a water polo team?")</f>
        <v>How many players are on a water polo team?</v>
      </c>
      <c r="I8" s="10" t="str">
        <f>IFERROR(__xludf.DUMMYFUNCTION("GOOGLETRANSLATE(C8,""it"",""en"")"),"A. 7 B. 6 C. 8 D. 10")</f>
        <v>A. 7 B. 6 C. 8 D. 10</v>
      </c>
      <c r="J8" s="10" t="str">
        <f>IFERROR(__xludf.DUMMYFUNCTION("GOOGLETRANSLATE(D8,""it"",""en"")"),"7")</f>
        <v>7</v>
      </c>
      <c r="K8" s="10" t="str">
        <f>IFERROR(__xludf.DUMMYFUNCTION("GOOGLETRANSLATE(E8,""it"",""en"")"),"Each water polo team is made up of 7 players, one of whom is the goalkeeper.")</f>
        <v>Each water polo team is made up of 7 players, one of whom is the goalkeeper.</v>
      </c>
    </row>
    <row r="9" ht="22.5" customHeight="1">
      <c r="A9" s="4">
        <v>8.0</v>
      </c>
      <c r="B9" s="5" t="s">
        <v>2932</v>
      </c>
      <c r="C9" s="5" t="s">
        <v>2933</v>
      </c>
      <c r="D9" s="5" t="s">
        <v>2934</v>
      </c>
      <c r="E9" s="5" t="s">
        <v>2935</v>
      </c>
      <c r="G9" s="10" t="str">
        <f>IFERROR(__xludf.DUMMYFUNCTION("GOOGLETRANSLATE(A9,""it"",""en"")"),"8")</f>
        <v>8</v>
      </c>
      <c r="H9" s="10" t="str">
        <f>IFERROR(__xludf.DUMMYFUNCTION("GOOGLETRANSLATE(B9,""it"",""en"")"),"In which city was the first official water polo regulation created?")</f>
        <v>In which city was the first official water polo regulation created?</v>
      </c>
      <c r="I9" s="10" t="str">
        <f>IFERROR(__xludf.DUMMYFUNCTION("GOOGLETRANSLATE(C9,""it"",""en"")"),"A. Rome B. London C. New York D. Paris")</f>
        <v>A. Rome B. London C. New York D. Paris</v>
      </c>
      <c r="J9" s="10" t="str">
        <f>IFERROR(__xludf.DUMMYFUNCTION("GOOGLETRANSLATE(D9,""it"",""en"")"),"London")</f>
        <v>London</v>
      </c>
      <c r="K9" s="10" t="str">
        <f>IFERROR(__xludf.DUMMYFUNCTION("GOOGLETRANSLATE(E9,""it"",""en"")"),"The first official rules of water polo were created in London.")</f>
        <v>The first official rules of water polo were created in London.</v>
      </c>
    </row>
    <row r="10" ht="22.5" customHeight="1">
      <c r="A10" s="4">
        <v>9.0</v>
      </c>
      <c r="B10" s="5" t="s">
        <v>2936</v>
      </c>
      <c r="C10" s="5" t="s">
        <v>2937</v>
      </c>
      <c r="D10" s="4">
        <v>1903.0</v>
      </c>
      <c r="E10" s="5" t="s">
        <v>2938</v>
      </c>
      <c r="G10" s="10" t="str">
        <f>IFERROR(__xludf.DUMMYFUNCTION("GOOGLETRANSLATE(A10,""it"",""en"")"),"9")</f>
        <v>9</v>
      </c>
      <c r="H10" s="10" t="str">
        <f>IFERROR(__xludf.DUMMYFUNCTION("GOOGLETRANSLATE(B10,""it"",""en"")"),"What year was the International Water Polo Federation (FINA) founded?")</f>
        <v>What year was the International Water Polo Federation (FINA) founded?</v>
      </c>
      <c r="I10" s="10" t="str">
        <f>IFERROR(__xludf.DUMMYFUNCTION("GOOGLETRANSLATE(C10,""it"",""en"")"),"A. 1903 B. 1912 C. 1920 D. 1930")</f>
        <v>A. 1903 B. 1912 C. 1920 D. 1930</v>
      </c>
      <c r="J10" s="10" t="str">
        <f>IFERROR(__xludf.DUMMYFUNCTION("GOOGLETRANSLATE(D10,""it"",""en"")"),"1903")</f>
        <v>1903</v>
      </c>
      <c r="K10" s="10" t="str">
        <f>IFERROR(__xludf.DUMMYFUNCTION("GOOGLETRANSLATE(E10,""it"",""en"")"),"FINA was founded in 1903 as the governing body for aquatic sports.")</f>
        <v>FINA was founded in 1903 as the governing body for aquatic sports.</v>
      </c>
    </row>
    <row r="11" ht="22.5" customHeight="1">
      <c r="A11" s="4">
        <v>10.0</v>
      </c>
      <c r="B11" s="5" t="s">
        <v>2939</v>
      </c>
      <c r="C11" s="5" t="s">
        <v>2940</v>
      </c>
      <c r="D11" s="5" t="s">
        <v>583</v>
      </c>
      <c r="E11" s="5" t="s">
        <v>2941</v>
      </c>
      <c r="G11" s="10" t="str">
        <f>IFERROR(__xludf.DUMMYFUNCTION("GOOGLETRANSLATE(A11,""it"",""en"")"),"10")</f>
        <v>10</v>
      </c>
      <c r="H11" s="10" t="str">
        <f>IFERROR(__xludf.DUMMYFUNCTION("GOOGLETRANSLATE(B11,""it"",""en"")"),"Who won the first European Water Polo Championships?")</f>
        <v>Who won the first European Water Polo Championships?</v>
      </c>
      <c r="I11" s="10" t="str">
        <f>IFERROR(__xludf.DUMMYFUNCTION("GOOGLETRANSLATE(C11,""it"",""en"")"),"A. Italy B. France C. Germany D. Hungary")</f>
        <v>A. Italy B. France C. Germany D. Hungary</v>
      </c>
      <c r="J11" s="10" t="str">
        <f>IFERROR(__xludf.DUMMYFUNCTION("GOOGLETRANSLATE(D11,""it"",""en"")"),"Italy")</f>
        <v>Italy</v>
      </c>
      <c r="K11" s="10" t="str">
        <f>IFERROR(__xludf.DUMMYFUNCTION("GOOGLETRANSLATE(E11,""it"",""en"")"),"Italy won the first European Water Polo Championship.")</f>
        <v>Italy won the first European Water Polo Championship.</v>
      </c>
    </row>
    <row r="12" ht="22.5" customHeight="1">
      <c r="A12" s="4">
        <v>11.0</v>
      </c>
      <c r="B12" s="5" t="s">
        <v>2942</v>
      </c>
      <c r="C12" s="5" t="s">
        <v>2943</v>
      </c>
      <c r="D12" s="5" t="s">
        <v>2944</v>
      </c>
      <c r="E12" s="5" t="s">
        <v>2945</v>
      </c>
      <c r="G12" s="10" t="str">
        <f>IFERROR(__xludf.DUMMYFUNCTION("GOOGLETRANSLATE(A12,""it"",""en"")"),"11")</f>
        <v>11</v>
      </c>
      <c r="H12" s="10" t="str">
        <f>IFERROR(__xludf.DUMMYFUNCTION("GOOGLETRANSLATE(B12,""it"",""en"")"),"How long does a water polo match last?")</f>
        <v>How long does a water polo match last?</v>
      </c>
      <c r="I12" s="10" t="str">
        <f>IFERROR(__xludf.DUMMYFUNCTION("GOOGLETRANSLATE(C12,""it"",""en"")"),"A. 30 minutes B. 40 minutes C. 45 minutes D. 60 minutes")</f>
        <v>A. 30 minutes B. 40 minutes C. 45 minutes D. 60 minutes</v>
      </c>
      <c r="J12" s="10" t="str">
        <f>IFERROR(__xludf.DUMMYFUNCTION("GOOGLETRANSLATE(D12,""it"",""en"")"),"30 minutes")</f>
        <v>30 minutes</v>
      </c>
      <c r="K12" s="10" t="str">
        <f>IFERROR(__xludf.DUMMYFUNCTION("GOOGLETRANSLATE(E12,""it"",""en"")"),"A water polo match lasts 30 minutes, divided into 4 periods of 7.5 minutes each.")</f>
        <v>A water polo match lasts 30 minutes, divided into 4 periods of 7.5 minutes each.</v>
      </c>
    </row>
    <row r="13" ht="22.5" customHeight="1">
      <c r="A13" s="4">
        <v>12.0</v>
      </c>
      <c r="B13" s="5" t="s">
        <v>2946</v>
      </c>
      <c r="C13" s="5" t="s">
        <v>2947</v>
      </c>
      <c r="D13" s="4">
        <v>1910.0</v>
      </c>
      <c r="E13" s="5" t="s">
        <v>2948</v>
      </c>
      <c r="G13" s="10" t="str">
        <f>IFERROR(__xludf.DUMMYFUNCTION("GOOGLETRANSLATE(A13,""it"",""en"")"),"12")</f>
        <v>12</v>
      </c>
      <c r="H13" s="10" t="str">
        <f>IFERROR(__xludf.DUMMYFUNCTION("GOOGLETRANSLATE(B13,""it"",""en"")"),"In what year was water polo introduced as a university sport?")</f>
        <v>In what year was water polo introduced as a university sport?</v>
      </c>
      <c r="I13" s="10" t="str">
        <f>IFERROR(__xludf.DUMMYFUNCTION("GOOGLETRANSLATE(C13,""it"",""en"")"),"A. 1895 B. 1910 C. 1920 D. 1935")</f>
        <v>A. 1895 B. 1910 C. 1920 D. 1935</v>
      </c>
      <c r="J13" s="10" t="str">
        <f>IFERROR(__xludf.DUMMYFUNCTION("GOOGLETRANSLATE(D13,""it"",""en"")"),"1910")</f>
        <v>1910</v>
      </c>
      <c r="K13" s="10" t="str">
        <f>IFERROR(__xludf.DUMMYFUNCTION("GOOGLETRANSLATE(E13,""it"",""en"")"),"Water polo was introduced as a university sport in 1910.")</f>
        <v>Water polo was introduced as a university sport in 1910.</v>
      </c>
    </row>
    <row r="14" ht="22.5" customHeight="1">
      <c r="A14" s="4">
        <v>13.0</v>
      </c>
      <c r="B14" s="5" t="s">
        <v>2949</v>
      </c>
      <c r="C14" s="5" t="s">
        <v>2950</v>
      </c>
      <c r="D14" s="5" t="s">
        <v>2951</v>
      </c>
      <c r="E14" s="5" t="s">
        <v>2952</v>
      </c>
      <c r="G14" s="10" t="str">
        <f>IFERROR(__xludf.DUMMYFUNCTION("GOOGLETRANSLATE(A14,""it"",""en"")"),"13")</f>
        <v>13</v>
      </c>
      <c r="H14" s="10" t="str">
        <f>IFERROR(__xludf.DUMMYFUNCTION("GOOGLETRANSLATE(B14,""it"",""en"")"),"What is the position of a player in water polo who cannot score?")</f>
        <v>What is the position of a player in water polo who cannot score?</v>
      </c>
      <c r="I14" s="10" t="str">
        <f>IFERROR(__xludf.DUMMYFUNCTION("GOOGLETRANSLATE(C14,""it"",""en"")"),"A. Goalkeeper B. Attacker C. Midfielder D. Defender")</f>
        <v>A. Goalkeeper B. Attacker C. Midfielder D. Defender</v>
      </c>
      <c r="J14" s="10" t="str">
        <f>IFERROR(__xludf.DUMMYFUNCTION("GOOGLETRANSLATE(D14,""it"",""en"")"),"Doorman")</f>
        <v>Doorman</v>
      </c>
      <c r="K14" s="10" t="str">
        <f>IFERROR(__xludf.DUMMYFUNCTION("GOOGLETRANSLATE(E14,""it"",""en"")"),"The goalkeeper is the only player who cannot score.")</f>
        <v>The goalkeeper is the only player who cannot score.</v>
      </c>
    </row>
    <row r="15" ht="22.5" customHeight="1">
      <c r="A15" s="4">
        <v>14.0</v>
      </c>
      <c r="B15" s="5" t="s">
        <v>2953</v>
      </c>
      <c r="C15" s="5" t="s">
        <v>2954</v>
      </c>
      <c r="D15" s="5" t="s">
        <v>2955</v>
      </c>
      <c r="E15" s="5" t="s">
        <v>2956</v>
      </c>
      <c r="G15" s="10" t="str">
        <f>IFERROR(__xludf.DUMMYFUNCTION("GOOGLETRANSLATE(A15,""it"",""en"")"),"14")</f>
        <v>14</v>
      </c>
      <c r="H15" s="10" t="str">
        <f>IFERROR(__xludf.DUMMYFUNCTION("GOOGLETRANSLATE(B15,""it"",""en"")"),"Who is the most decorated water polo player in Olympic history?")</f>
        <v>Who is the most decorated water polo player in Olympic history?</v>
      </c>
      <c r="I15" s="10" t="str">
        <f>IFERROR(__xludf.DUMMYFUNCTION("GOOGLETRANSLATE(C15,""it"",""en"")"),"A. Pino Porzio B. Zoltán Szécsi C. Mihály Kállai D. György Kásás")</f>
        <v>A. Pino Porzio B. Zoltán Szécsi C. Mihály Kállai D. György Kásás</v>
      </c>
      <c r="J15" s="10" t="str">
        <f>IFERROR(__xludf.DUMMYFUNCTION("GOOGLETRANSLATE(D15,""it"",""en"")"),"Pino Porzio")</f>
        <v>Pino Porzio</v>
      </c>
      <c r="K15" s="10" t="str">
        <f>IFERROR(__xludf.DUMMYFUNCTION("GOOGLETRANSLATE(E15,""it"",""en"")"),"Pino Porzio has won numerous Olympic medals and awards.")</f>
        <v>Pino Porzio has won numerous Olympic medals and awards.</v>
      </c>
    </row>
    <row r="16" ht="22.5" customHeight="1">
      <c r="A16" s="4">
        <v>15.0</v>
      </c>
      <c r="B16" s="5" t="s">
        <v>2957</v>
      </c>
      <c r="C16" s="5" t="s">
        <v>2958</v>
      </c>
      <c r="D16" s="5" t="s">
        <v>2959</v>
      </c>
      <c r="E16" s="5" t="s">
        <v>2960</v>
      </c>
      <c r="G16" s="10" t="str">
        <f>IFERROR(__xludf.DUMMYFUNCTION("GOOGLETRANSLATE(A16,""it"",""en"")"),"15")</f>
        <v>15</v>
      </c>
      <c r="H16" s="10" t="str">
        <f>IFERROR(__xludf.DUMMYFUNCTION("GOOGLETRANSLATE(B16,""it"",""en"")"),"In which country was water polo born?")</f>
        <v>In which country was water polo born?</v>
      </c>
      <c r="I16" s="10" t="str">
        <f>IFERROR(__xludf.DUMMYFUNCTION("GOOGLETRANSLATE(C16,""it"",""en"")"),"A. England B. Italy C. France D. Germany")</f>
        <v>A. England B. Italy C. France D. Germany</v>
      </c>
      <c r="J16" s="10" t="str">
        <f>IFERROR(__xludf.DUMMYFUNCTION("GOOGLETRANSLATE(D16,""it"",""en"")"),"England")</f>
        <v>England</v>
      </c>
      <c r="K16" s="10" t="str">
        <f>IFERROR(__xludf.DUMMYFUNCTION("GOOGLETRANSLATE(E16,""it"",""en"")"),"Water polo originated in England as an aquatic version of rugby.")</f>
        <v>Water polo originated in England as an aquatic version of rugby.</v>
      </c>
    </row>
    <row r="17" ht="22.5" customHeight="1">
      <c r="A17" s="4">
        <v>16.0</v>
      </c>
      <c r="B17" s="5" t="s">
        <v>2961</v>
      </c>
      <c r="C17" s="5" t="s">
        <v>2962</v>
      </c>
      <c r="D17" s="5" t="s">
        <v>2927</v>
      </c>
      <c r="E17" s="5" t="s">
        <v>2963</v>
      </c>
      <c r="G17" s="10" t="str">
        <f>IFERROR(__xludf.DUMMYFUNCTION("GOOGLETRANSLATE(A17,""it"",""en"")"),"16")</f>
        <v>16</v>
      </c>
      <c r="H17" s="10" t="str">
        <f>IFERROR(__xludf.DUMMYFUNCTION("GOOGLETRANSLATE(B17,""it"",""en"")"),"Which team has won the most water polo world titles?")</f>
        <v>Which team has won the most water polo world titles?</v>
      </c>
      <c r="I17" s="10" t="str">
        <f>IFERROR(__xludf.DUMMYFUNCTION("GOOGLETRANSLATE(C17,""it"",""en"")"),"A. Italy B. Hungary C. United States D. Spain")</f>
        <v>A. Italy B. Hungary C. United States D. Spain</v>
      </c>
      <c r="J17" s="10" t="str">
        <f>IFERROR(__xludf.DUMMYFUNCTION("GOOGLETRANSLATE(D17,""it"",""en"")"),"Hungary")</f>
        <v>Hungary</v>
      </c>
      <c r="K17" s="10" t="str">
        <f>IFERROR(__xludf.DUMMYFUNCTION("GOOGLETRANSLATE(E17,""it"",""en"")"),"Hungary is the team with the most world water polo titles.")</f>
        <v>Hungary is the team with the most world water polo titles.</v>
      </c>
    </row>
    <row r="18" ht="22.5" customHeight="1">
      <c r="A18" s="4">
        <v>17.0</v>
      </c>
      <c r="B18" s="5" t="s">
        <v>2964</v>
      </c>
      <c r="C18" s="5" t="s">
        <v>2965</v>
      </c>
      <c r="D18" s="4">
        <v>1900.0</v>
      </c>
      <c r="E18" s="5" t="s">
        <v>2966</v>
      </c>
      <c r="G18" s="10" t="str">
        <f>IFERROR(__xludf.DUMMYFUNCTION("GOOGLETRANSLATE(A18,""it"",""en"")"),"17")</f>
        <v>17</v>
      </c>
      <c r="H18" s="10" t="str">
        <f>IFERROR(__xludf.DUMMYFUNCTION("GOOGLETRANSLATE(B18,""it"",""en"")"),"When was water polo officially recognized as a sport by the International Olympic Committee?")</f>
        <v>When was water polo officially recognized as a sport by the International Olympic Committee?</v>
      </c>
      <c r="I18" s="10" t="str">
        <f>IFERROR(__xludf.DUMMYFUNCTION("GOOGLETRANSLATE(C18,""it"",""en"")"),"A. 1900 B. 1910 C. 1920 D. 1930")</f>
        <v>A. 1900 B. 1910 C. 1920 D. 1930</v>
      </c>
      <c r="J18" s="10" t="str">
        <f>IFERROR(__xludf.DUMMYFUNCTION("GOOGLETRANSLATE(D18,""it"",""en"")"),"1900")</f>
        <v>1900</v>
      </c>
      <c r="K18" s="10" t="str">
        <f>IFERROR(__xludf.DUMMYFUNCTION("GOOGLETRANSLATE(E18,""it"",""en"")"),"Water polo was officially recognized as an Olympic sport in 1900.")</f>
        <v>Water polo was officially recognized as an Olympic sport in 1900.</v>
      </c>
    </row>
    <row r="19" ht="22.5" customHeight="1">
      <c r="A19" s="4">
        <v>18.0</v>
      </c>
      <c r="B19" s="5" t="s">
        <v>2967</v>
      </c>
      <c r="C19" s="5" t="s">
        <v>2968</v>
      </c>
      <c r="D19" s="5" t="s">
        <v>2969</v>
      </c>
      <c r="E19" s="5" t="s">
        <v>2970</v>
      </c>
      <c r="G19" s="10" t="str">
        <f>IFERROR(__xludf.DUMMYFUNCTION("GOOGLETRANSLATE(A19,""it"",""en"")"),"18")</f>
        <v>18</v>
      </c>
      <c r="H19" s="10" t="str">
        <f>IFERROR(__xludf.DUMMYFUNCTION("GOOGLETRANSLATE(B19,""it"",""en"")"),"What is the main goal of water polo?")</f>
        <v>What is the main goal of water polo?</v>
      </c>
      <c r="I19" s="10" t="str">
        <f>IFERROR(__xludf.DUMMYFUNCTION("GOOGLETRANSLATE(C19,""it"",""en"")"),"A. Score points B. Defend your goalkeeper C. Have more possession D. Control the ball")</f>
        <v>A. Score points B. Defend your goalkeeper C. Have more possession D. Control the ball</v>
      </c>
      <c r="J19" s="10" t="str">
        <f>IFERROR(__xludf.DUMMYFUNCTION("GOOGLETRANSLATE(D19,""it"",""en"")"),"Score points")</f>
        <v>Score points</v>
      </c>
      <c r="K19" s="10" t="str">
        <f>IFERROR(__xludf.DUMMYFUNCTION("GOOGLETRANSLATE(E19,""it"",""en"")"),"The main objective of the game is to score more points than the opposing team.")</f>
        <v>The main objective of the game is to score more points than the opposing team.</v>
      </c>
    </row>
    <row r="20" ht="22.5" customHeight="1">
      <c r="A20" s="4">
        <v>19.0</v>
      </c>
      <c r="B20" s="5" t="s">
        <v>2971</v>
      </c>
      <c r="C20" s="5" t="s">
        <v>2972</v>
      </c>
      <c r="D20" s="5" t="s">
        <v>2973</v>
      </c>
      <c r="E20" s="5" t="s">
        <v>2974</v>
      </c>
      <c r="G20" s="10" t="str">
        <f>IFERROR(__xludf.DUMMYFUNCTION("GOOGLETRANSLATE(A20,""it"",""en"")"),"19")</f>
        <v>19</v>
      </c>
      <c r="H20" s="10" t="str">
        <f>IFERROR(__xludf.DUMMYFUNCTION("GOOGLETRANSLATE(B20,""it"",""en"")"),"Who was the first successful Italian coach in international water polo?")</f>
        <v>Who was the first successful Italian coach in international water polo?</v>
      </c>
      <c r="I20" s="10" t="str">
        <f>IFERROR(__xludf.DUMMYFUNCTION("GOOGLETRANSLATE(C20,""it"",""en"")"),"A. Enzo Moser B. Giovanni Rossi C. Francesco Esposito D. Giuseppe Frassi")</f>
        <v>A. Enzo Moser B. Giovanni Rossi C. Francesco Esposito D. Giuseppe Frassi</v>
      </c>
      <c r="J20" s="10" t="str">
        <f>IFERROR(__xludf.DUMMYFUNCTION("GOOGLETRANSLATE(D20,""it"",""en"")"),"Enzo Moser")</f>
        <v>Enzo Moser</v>
      </c>
      <c r="K20" s="10" t="str">
        <f>IFERROR(__xludf.DUMMYFUNCTION("GOOGLETRANSLATE(E20,""it"",""en"")"),"Enzo Moser was one of the first successful Italian water polo coaches.")</f>
        <v>Enzo Moser was one of the first successful Italian water polo coaches.</v>
      </c>
    </row>
    <row r="21" ht="22.5" customHeight="1">
      <c r="A21" s="4">
        <v>20.0</v>
      </c>
      <c r="B21" s="5" t="s">
        <v>2975</v>
      </c>
      <c r="C21" s="5" t="s">
        <v>2976</v>
      </c>
      <c r="D21" s="4">
        <v>1963.0</v>
      </c>
      <c r="E21" s="5" t="s">
        <v>2977</v>
      </c>
      <c r="G21" s="10" t="str">
        <f>IFERROR(__xludf.DUMMYFUNCTION("GOOGLETRANSLATE(A21,""it"",""en"")"),"20")</f>
        <v>20</v>
      </c>
      <c r="H21" s="10" t="str">
        <f>IFERROR(__xludf.DUMMYFUNCTION("GOOGLETRANSLATE(B21,""it"",""en"")"),"When was the first edition of the Water Polo Champions Cup held?")</f>
        <v>When was the first edition of the Water Polo Champions Cup held?</v>
      </c>
      <c r="I21" s="10" t="str">
        <f>IFERROR(__xludf.DUMMYFUNCTION("GOOGLETRANSLATE(C21,""it"",""en"")"),"A. 1963 B. 1970 C. 1980 D. 1990")</f>
        <v>A. 1963 B. 1970 C. 1980 D. 1990</v>
      </c>
      <c r="J21" s="10" t="str">
        <f>IFERROR(__xludf.DUMMYFUNCTION("GOOGLETRANSLATE(D21,""it"",""en"")"),"1963")</f>
        <v>1963</v>
      </c>
      <c r="K21" s="10" t="str">
        <f>IFERROR(__xludf.DUMMYFUNCTION("GOOGLETRANSLATE(E21,""it"",""en"")"),"The first edition of the Water Polo Champions Cup was in 1963.")</f>
        <v>The first edition of the Water Polo Champions Cup was in 1963.</v>
      </c>
    </row>
    <row r="22" ht="22.5" customHeight="1">
      <c r="A22" s="4">
        <v>21.0</v>
      </c>
      <c r="B22" s="5" t="s">
        <v>2978</v>
      </c>
      <c r="C22" s="5" t="s">
        <v>2979</v>
      </c>
      <c r="D22" s="5" t="s">
        <v>2980</v>
      </c>
      <c r="E22" s="5" t="s">
        <v>2981</v>
      </c>
      <c r="G22" s="10" t="str">
        <f>IFERROR(__xludf.DUMMYFUNCTION("GOOGLETRANSLATE(A22,""it"",""en"")"),"21")</f>
        <v>21</v>
      </c>
      <c r="H22" s="10" t="str">
        <f>IFERROR(__xludf.DUMMYFUNCTION("GOOGLETRANSLATE(B22,""it"",""en"")"),"Where was the first international water polo tournament held?")</f>
        <v>Where was the first international water polo tournament held?</v>
      </c>
      <c r="I22" s="10" t="str">
        <f>IFERROR(__xludf.DUMMYFUNCTION("GOOGLETRANSLATE(C22,""it"",""en"")"),"A. Milan B. Rome C. London D. New York")</f>
        <v>A. Milan B. Rome C. London D. New York</v>
      </c>
      <c r="J22" s="10" t="str">
        <f>IFERROR(__xludf.DUMMYFUNCTION("GOOGLETRANSLATE(D22,""it"",""en"")"),"Rome")</f>
        <v>Rome</v>
      </c>
      <c r="K22" s="10" t="str">
        <f>IFERROR(__xludf.DUMMYFUNCTION("GOOGLETRANSLATE(E22,""it"",""en"")"),"The first international water polo tournament took place in Rome.")</f>
        <v>The first international water polo tournament took place in Rome.</v>
      </c>
    </row>
    <row r="23" ht="22.5" customHeight="1">
      <c r="A23" s="4">
        <v>22.0</v>
      </c>
      <c r="B23" s="5" t="s">
        <v>2982</v>
      </c>
      <c r="C23" s="5" t="s">
        <v>2983</v>
      </c>
      <c r="D23" s="4">
        <v>12.0</v>
      </c>
      <c r="E23" s="5" t="s">
        <v>2984</v>
      </c>
      <c r="G23" s="10" t="str">
        <f>IFERROR(__xludf.DUMMYFUNCTION("GOOGLETRANSLATE(A23,""it"",""en"")"),"22")</f>
        <v>22</v>
      </c>
      <c r="H23" s="10" t="str">
        <f>IFERROR(__xludf.DUMMYFUNCTION("GOOGLETRANSLATE(B23,""it"",""en"")"),"How many Olympic medals has Italy won in water polo?")</f>
        <v>How many Olympic medals has Italy won in water polo?</v>
      </c>
      <c r="I23" s="10" t="str">
        <f>IFERROR(__xludf.DUMMYFUNCTION("GOOGLETRANSLATE(C23,""it"",""en"")"),"A. 10 B. 12 C. 14 D. 16")</f>
        <v>A. 10 B. 12 C. 14 D. 16</v>
      </c>
      <c r="J23" s="10" t="str">
        <f>IFERROR(__xludf.DUMMYFUNCTION("GOOGLETRANSLATE(D23,""it"",""en"")"),"12")</f>
        <v>12</v>
      </c>
      <c r="K23" s="10" t="str">
        <f>IFERROR(__xludf.DUMMYFUNCTION("GOOGLETRANSLATE(E23,""it"",""en"")"),"Italy has won 12 Olympic medals in water polo.")</f>
        <v>Italy has won 12 Olympic medals in water polo.</v>
      </c>
    </row>
    <row r="24" ht="22.5" customHeight="1">
      <c r="A24" s="4">
        <v>23.0</v>
      </c>
      <c r="B24" s="5" t="s">
        <v>2985</v>
      </c>
      <c r="C24" s="5" t="s">
        <v>2986</v>
      </c>
      <c r="D24" s="4">
        <v>1980.0</v>
      </c>
      <c r="E24" s="5" t="s">
        <v>2987</v>
      </c>
      <c r="G24" s="10" t="str">
        <f>IFERROR(__xludf.DUMMYFUNCTION("GOOGLETRANSLATE(A24,""it"",""en"")"),"23")</f>
        <v>23</v>
      </c>
      <c r="H24" s="10" t="str">
        <f>IFERROR(__xludf.DUMMYFUNCTION("GOOGLETRANSLATE(B24,""it"",""en"")"),"In what year did water polo become a professional sport?")</f>
        <v>In what year did water polo become a professional sport?</v>
      </c>
      <c r="I24" s="10" t="str">
        <f>IFERROR(__xludf.DUMMYFUNCTION("GOOGLETRANSLATE(C24,""it"",""en"")"),"A. 1970 B. 1980 C. 1990 D. 2000")</f>
        <v>A. 1970 B. 1980 C. 1990 D. 2000</v>
      </c>
      <c r="J24" s="10" t="str">
        <f>IFERROR(__xludf.DUMMYFUNCTION("GOOGLETRANSLATE(D24,""it"",""en"")"),"1980")</f>
        <v>1980</v>
      </c>
      <c r="K24" s="10" t="str">
        <f>IFERROR(__xludf.DUMMYFUNCTION("GOOGLETRANSLATE(E24,""it"",""en"")"),"Water polo became a professional sport in the 1980s.")</f>
        <v>Water polo became a professional sport in the 1980s.</v>
      </c>
    </row>
    <row r="25" ht="22.5" customHeight="1">
      <c r="A25" s="4">
        <v>24.0</v>
      </c>
      <c r="B25" s="5" t="s">
        <v>2988</v>
      </c>
      <c r="C25" s="5" t="s">
        <v>2989</v>
      </c>
      <c r="D25" s="5" t="s">
        <v>2990</v>
      </c>
      <c r="E25" s="5" t="s">
        <v>2991</v>
      </c>
      <c r="G25" s="10" t="str">
        <f>IFERROR(__xludf.DUMMYFUNCTION("GOOGLETRANSLATE(A25,""it"",""en"")"),"24")</f>
        <v>24</v>
      </c>
      <c r="H25" s="10" t="str">
        <f>IFERROR(__xludf.DUMMYFUNCTION("GOOGLETRANSLATE(B25,""it"",""en"")"),"What is the name of the Italian water polo championship?")</f>
        <v>What is the name of the Italian water polo championship?</v>
      </c>
      <c r="I25" s="10" t="str">
        <f>IFERROR(__xludf.DUMMYFUNCTION("GOOGLETRANSLATE(C25,""it"",""en"")"),"A. Serie A B. National Championship C. Water Polo League D. Super League")</f>
        <v>A. Serie A B. National Championship C. Water Polo League D. Super League</v>
      </c>
      <c r="J25" s="10" t="str">
        <f>IFERROR(__xludf.DUMMYFUNCTION("GOOGLETRANSLATE(D25,""it"",""en"")"),"Serie A")</f>
        <v>Serie A</v>
      </c>
      <c r="K25" s="10" t="str">
        <f>IFERROR(__xludf.DUMMYFUNCTION("GOOGLETRANSLATE(E25,""it"",""en"")"),"The Italian water polo championship is called Serie A.")</f>
        <v>The Italian water polo championship is called Serie A.</v>
      </c>
    </row>
    <row r="26" ht="22.5" customHeight="1">
      <c r="A26" s="4">
        <v>25.0</v>
      </c>
      <c r="B26" s="5" t="s">
        <v>2992</v>
      </c>
      <c r="C26" s="5" t="s">
        <v>2993</v>
      </c>
      <c r="D26" s="5" t="s">
        <v>2994</v>
      </c>
      <c r="E26" s="5" t="s">
        <v>2995</v>
      </c>
      <c r="G26" s="10" t="str">
        <f>IFERROR(__xludf.DUMMYFUNCTION("GOOGLETRANSLATE(A26,""it"",""en"")"),"25")</f>
        <v>25</v>
      </c>
      <c r="H26" s="10" t="str">
        <f>IFERROR(__xludf.DUMMYFUNCTION("GOOGLETRANSLATE(B26,""it"",""en"")"),"Who won the first Italian Water Polo Championship?")</f>
        <v>Who won the first Italian Water Polo Championship?</v>
      </c>
      <c r="I26" s="10" t="str">
        <f>IFERROR(__xludf.DUMMYFUNCTION("GOOGLETRANSLATE(C26,""it"",""en"")"),"A. Pro Recco B. Ortigia C. Brescia D. Florentia")</f>
        <v>A. Pro Recco B. Ortigia C. Brescia D. Florentia</v>
      </c>
      <c r="J26" s="10" t="str">
        <f>IFERROR(__xludf.DUMMYFUNCTION("GOOGLETRANSLATE(D26,""it"",""en"")"),"Pro Recco")</f>
        <v>Pro Recco</v>
      </c>
      <c r="K26" s="10" t="str">
        <f>IFERROR(__xludf.DUMMYFUNCTION("GOOGLETRANSLATE(E26,""it"",""en"")"),"Pro Recco won the first Italian Water Polo championship.")</f>
        <v>Pro Recco won the first Italian Water Polo championship.</v>
      </c>
    </row>
    <row r="27" ht="22.5" customHeight="1">
      <c r="A27" s="4">
        <v>26.0</v>
      </c>
      <c r="B27" s="5" t="s">
        <v>2996</v>
      </c>
      <c r="C27" s="5" t="s">
        <v>2997</v>
      </c>
      <c r="D27" s="5" t="s">
        <v>2998</v>
      </c>
      <c r="E27" s="5" t="s">
        <v>2999</v>
      </c>
      <c r="G27" s="10" t="str">
        <f>IFERROR(__xludf.DUMMYFUNCTION("GOOGLETRANSLATE(A27,""it"",""en"")"),"26")</f>
        <v>26</v>
      </c>
      <c r="H27" s="10" t="str">
        <f>IFERROR(__xludf.DUMMYFUNCTION("GOOGLETRANSLATE(B27,""it"",""en"")"),"What is the name of the most prestigious international water polo trophy?")</f>
        <v>What is the name of the most prestigious international water polo trophy?</v>
      </c>
      <c r="I27" s="10" t="str">
        <f>IFERROR(__xludf.DUMMYFUNCTION("GOOGLETRANSLATE(C27,""it"",""en"")"),"A. World Cup B. Champions League C. Copa del Rey D. World Cup")</f>
        <v>A. World Cup B. Champions League C. Copa del Rey D. World Cup</v>
      </c>
      <c r="J27" s="10" t="str">
        <f>IFERROR(__xludf.DUMMYFUNCTION("GOOGLETRANSLATE(D27,""it"",""en"")"),"Champions League")</f>
        <v>Champions League</v>
      </c>
      <c r="K27" s="10" t="str">
        <f>IFERROR(__xludf.DUMMYFUNCTION("GOOGLETRANSLATE(E27,""it"",""en"")"),"The Water Polo Champions League is the most prestigious international trophy.")</f>
        <v>The Water Polo Champions League is the most prestigious international trophy.</v>
      </c>
    </row>
    <row r="28" ht="22.5" customHeight="1">
      <c r="A28" s="4">
        <v>27.0</v>
      </c>
      <c r="B28" s="5" t="s">
        <v>3000</v>
      </c>
      <c r="C28" s="5" t="s">
        <v>3001</v>
      </c>
      <c r="D28" s="4">
        <v>1930.0</v>
      </c>
      <c r="E28" s="5" t="s">
        <v>3002</v>
      </c>
      <c r="G28" s="10" t="str">
        <f>IFERROR(__xludf.DUMMYFUNCTION("GOOGLETRANSLATE(A28,""it"",""en"")"),"27")</f>
        <v>27</v>
      </c>
      <c r="H28" s="10" t="str">
        <f>IFERROR(__xludf.DUMMYFUNCTION("GOOGLETRANSLATE(B28,""it"",""en"")"),"When was the ""runaway"" rule introduced in water polo?")</f>
        <v>When was the "runaway" rule introduced in water polo?</v>
      </c>
      <c r="I28" s="10" t="str">
        <f>IFERROR(__xludf.DUMMYFUNCTION("GOOGLETRANSLATE(C28,""it"",""en"")"),"A. 1910 B. 1920 C. 1930 D. 1940")</f>
        <v>A. 1910 B. 1920 C. 1930 D. 1940</v>
      </c>
      <c r="J28" s="10" t="str">
        <f>IFERROR(__xludf.DUMMYFUNCTION("GOOGLETRANSLATE(D28,""it"",""en"")"),"1930")</f>
        <v>1930</v>
      </c>
      <c r="K28" s="10" t="str">
        <f>IFERROR(__xludf.DUMMYFUNCTION("GOOGLETRANSLATE(E28,""it"",""en"")"),"The 'runaway' rule, which involves moving the ball beyond the defensive line, was introduced in the 1930s.")</f>
        <v>The 'runaway' rule, which involves moving the ball beyond the defensive line, was introduced in the 1930s.</v>
      </c>
    </row>
    <row r="29" ht="22.5" customHeight="1">
      <c r="A29" s="4">
        <v>28.0</v>
      </c>
      <c r="B29" s="5" t="s">
        <v>3003</v>
      </c>
      <c r="C29" s="5" t="s">
        <v>3004</v>
      </c>
      <c r="D29" s="5" t="s">
        <v>2927</v>
      </c>
      <c r="E29" s="5" t="s">
        <v>3005</v>
      </c>
      <c r="G29" s="10" t="str">
        <f>IFERROR(__xludf.DUMMYFUNCTION("GOOGLETRANSLATE(A29,""it"",""en"")"),"28")</f>
        <v>28</v>
      </c>
      <c r="H29" s="10" t="str">
        <f>IFERROR(__xludf.DUMMYFUNCTION("GOOGLETRANSLATE(B29,""it"",""en"")"),"Who has won the most Water Polo Olympics?")</f>
        <v>Who has won the most Water Polo Olympics?</v>
      </c>
      <c r="I29" s="10" t="str">
        <f>IFERROR(__xludf.DUMMYFUNCTION("GOOGLETRANSLATE(C29,""it"",""en"")"),"A. Italy B. United States C. Hungary D. Russia")</f>
        <v>A. Italy B. United States C. Hungary D. Russia</v>
      </c>
      <c r="J29" s="10" t="str">
        <f>IFERROR(__xludf.DUMMYFUNCTION("GOOGLETRANSLATE(D29,""it"",""en"")"),"Hungary")</f>
        <v>Hungary</v>
      </c>
      <c r="K29" s="10" t="str">
        <f>IFERROR(__xludf.DUMMYFUNCTION("GOOGLETRANSLATE(E29,""it"",""en"")"),"Hungary has won the most Olympic gold medals in water polo.")</f>
        <v>Hungary has won the most Olympic gold medals in water polo.</v>
      </c>
    </row>
    <row r="30" ht="22.5" customHeight="1">
      <c r="A30" s="4">
        <v>29.0</v>
      </c>
      <c r="B30" s="5" t="s">
        <v>3006</v>
      </c>
      <c r="C30" s="5" t="s">
        <v>3007</v>
      </c>
      <c r="D30" s="4">
        <v>1964.0</v>
      </c>
      <c r="E30" s="5" t="s">
        <v>3008</v>
      </c>
      <c r="G30" s="10" t="str">
        <f>IFERROR(__xludf.DUMMYFUNCTION("GOOGLETRANSLATE(A30,""it"",""en"")"),"29")</f>
        <v>29</v>
      </c>
      <c r="H30" s="10" t="str">
        <f>IFERROR(__xludf.DUMMYFUNCTION("GOOGLETRANSLATE(B30,""it"",""en"")"),"In what year did Italy win its first Olympic gold medal in water polo?")</f>
        <v>In what year did Italy win its first Olympic gold medal in water polo?</v>
      </c>
      <c r="I30" s="10" t="str">
        <f>IFERROR(__xludf.DUMMYFUNCTION("GOOGLETRANSLATE(C30,""it"",""en"")"),"A. 1948 B. 1960 C. 1964 D. 1972")</f>
        <v>A. 1948 B. 1960 C. 1964 D. 1972</v>
      </c>
      <c r="J30" s="10" t="str">
        <f>IFERROR(__xludf.DUMMYFUNCTION("GOOGLETRANSLATE(D30,""it"",""en"")"),"1964")</f>
        <v>1964</v>
      </c>
      <c r="K30" s="10" t="str">
        <f>IFERROR(__xludf.DUMMYFUNCTION("GOOGLETRANSLATE(E30,""it"",""en"")"),"Italy won its first Olympic gold medal in water polo in 1964.")</f>
        <v>Italy won its first Olympic gold medal in water polo in 1964.</v>
      </c>
    </row>
    <row r="31" ht="22.5" customHeight="1">
      <c r="A31" s="4">
        <v>30.0</v>
      </c>
      <c r="B31" s="5" t="s">
        <v>3009</v>
      </c>
      <c r="C31" s="5" t="s">
        <v>3010</v>
      </c>
      <c r="D31" s="5" t="s">
        <v>2927</v>
      </c>
      <c r="E31" s="5" t="s">
        <v>3011</v>
      </c>
      <c r="G31" s="10" t="str">
        <f>IFERROR(__xludf.DUMMYFUNCTION("GOOGLETRANSLATE(A31,""it"",""en"")"),"30")</f>
        <v>30</v>
      </c>
      <c r="H31" s="10" t="str">
        <f>IFERROR(__xludf.DUMMYFUNCTION("GOOGLETRANSLATE(B31,""it"",""en"")"),"Which team has won the most titles in the history of the European Water Polo Championships?")</f>
        <v>Which team has won the most titles in the history of the European Water Polo Championships?</v>
      </c>
      <c r="I31" s="10" t="str">
        <f>IFERROR(__xludf.DUMMYFUNCTION("GOOGLETRANSLATE(C31,""it"",""en"")"),"A. Italy B. Hungary C. Spain D. Serbia")</f>
        <v>A. Italy B. Hungary C. Spain D. Serbia</v>
      </c>
      <c r="J31" s="10" t="str">
        <f>IFERROR(__xludf.DUMMYFUNCTION("GOOGLETRANSLATE(D31,""it"",""en"")"),"Hungary")</f>
        <v>Hungary</v>
      </c>
      <c r="K31" s="10" t="str">
        <f>IFERROR(__xludf.DUMMYFUNCTION("GOOGLETRANSLATE(E31,""it"",""en"")"),"Hungary is the team with the most titles in the European Water Polo Championships.")</f>
        <v>Hungary is the team with the most titles in the European Water Polo Championships.</v>
      </c>
    </row>
    <row r="32" ht="22.5" customHeight="1">
      <c r="A32" s="4">
        <v>31.0</v>
      </c>
      <c r="B32" s="5" t="s">
        <v>3012</v>
      </c>
      <c r="C32" s="5" t="s">
        <v>3013</v>
      </c>
      <c r="D32" s="5" t="s">
        <v>3014</v>
      </c>
      <c r="E32" s="5" t="s">
        <v>3015</v>
      </c>
      <c r="G32" s="10" t="str">
        <f>IFERROR(__xludf.DUMMYFUNCTION("GOOGLETRANSLATE(A32,""it"",""en"")"),"31")</f>
        <v>31</v>
      </c>
      <c r="H32" s="10" t="str">
        <f>IFERROR(__xludf.DUMMYFUNCTION("GOOGLETRANSLATE(B32,""it"",""en"")"),"Who has won the most Water Polo World Cups?")</f>
        <v>Who has won the most Water Polo World Cups?</v>
      </c>
      <c r="I32" s="10" t="str">
        <f>IFERROR(__xludf.DUMMYFUNCTION("GOOGLETRANSLATE(C32,""it"",""en"")"),"A. Italy B. Spain C. Serbia D. Hungary")</f>
        <v>A. Italy B. Spain C. Serbia D. Hungary</v>
      </c>
      <c r="J32" s="10" t="str">
        <f>IFERROR(__xludf.DUMMYFUNCTION("GOOGLETRANSLATE(D32,""it"",""en"")"),"Serbia")</f>
        <v>Serbia</v>
      </c>
      <c r="K32" s="10" t="str">
        <f>IFERROR(__xludf.DUMMYFUNCTION("GOOGLETRANSLATE(E32,""it"",""en"")"),"Serbia has won the most Water Polo World Cups.")</f>
        <v>Serbia has won the most Water Polo World Cups.</v>
      </c>
    </row>
    <row r="33" ht="22.5" customHeight="1">
      <c r="A33" s="4">
        <v>32.0</v>
      </c>
      <c r="B33" s="5" t="s">
        <v>3016</v>
      </c>
      <c r="C33" s="5" t="s">
        <v>3017</v>
      </c>
      <c r="D33" s="4">
        <v>1973.0</v>
      </c>
      <c r="E33" s="5" t="s">
        <v>3018</v>
      </c>
      <c r="G33" s="10" t="str">
        <f>IFERROR(__xludf.DUMMYFUNCTION("GOOGLETRANSLATE(A33,""it"",""en"")"),"32")</f>
        <v>32</v>
      </c>
      <c r="H33" s="10" t="str">
        <f>IFERROR(__xludf.DUMMYFUNCTION("GOOGLETRANSLATE(B33,""it"",""en"")"),"In what year was the Water Polo World Cup created?")</f>
        <v>In what year was the Water Polo World Cup created?</v>
      </c>
      <c r="I33" s="10" t="str">
        <f>IFERROR(__xludf.DUMMYFUNCTION("GOOGLETRANSLATE(C33,""it"",""en"")"),"A. 1956 B. 1965 C. 1973 D. 1980")</f>
        <v>A. 1956 B. 1965 C. 1973 D. 1980</v>
      </c>
      <c r="J33" s="10" t="str">
        <f>IFERROR(__xludf.DUMMYFUNCTION("GOOGLETRANSLATE(D33,""it"",""en"")"),"1973")</f>
        <v>1973</v>
      </c>
      <c r="K33" s="10" t="str">
        <f>IFERROR(__xludf.DUMMYFUNCTION("GOOGLETRANSLATE(E33,""it"",""en"")"),"The Water Polo World Cup was created in 1973.")</f>
        <v>The Water Polo World Cup was created in 1973.</v>
      </c>
    </row>
    <row r="34" ht="22.5" customHeight="1">
      <c r="A34" s="4">
        <v>33.0</v>
      </c>
      <c r="B34" s="5" t="s">
        <v>3019</v>
      </c>
      <c r="C34" s="5" t="s">
        <v>3020</v>
      </c>
      <c r="D34" s="5" t="s">
        <v>3021</v>
      </c>
      <c r="E34" s="5" t="s">
        <v>3022</v>
      </c>
      <c r="G34" s="10" t="str">
        <f>IFERROR(__xludf.DUMMYFUNCTION("GOOGLETRANSLATE(A34,""it"",""en"")"),"33")</f>
        <v>33</v>
      </c>
      <c r="H34" s="10" t="str">
        <f>IFERROR(__xludf.DUMMYFUNCTION("GOOGLETRANSLATE(B34,""it"",""en"")"),"Which team won the first Water Polo World Cup?")</f>
        <v>Which team won the first Water Polo World Cup?</v>
      </c>
      <c r="I34" s="10" t="str">
        <f>IFERROR(__xludf.DUMMYFUNCTION("GOOGLETRANSLATE(C34,""it"",""en"")"),"A. Italy B. United States C. Hungary D. Yugoslavia")</f>
        <v>A. Italy B. United States C. Hungary D. Yugoslavia</v>
      </c>
      <c r="J34" s="10" t="str">
        <f>IFERROR(__xludf.DUMMYFUNCTION("GOOGLETRANSLATE(D34,""it"",""en"")"),"Yugoslavia")</f>
        <v>Yugoslavia</v>
      </c>
      <c r="K34" s="10" t="str">
        <f>IFERROR(__xludf.DUMMYFUNCTION("GOOGLETRANSLATE(E34,""it"",""en"")"),"Yugoslavia won the first Water Polo World Cup in 1973.")</f>
        <v>Yugoslavia won the first Water Polo World Cup in 1973.</v>
      </c>
    </row>
    <row r="35" ht="22.5" customHeight="1">
      <c r="A35" s="4">
        <v>34.0</v>
      </c>
      <c r="B35" s="5" t="s">
        <v>3023</v>
      </c>
      <c r="C35" s="5" t="s">
        <v>3024</v>
      </c>
      <c r="D35" s="5" t="s">
        <v>3025</v>
      </c>
      <c r="E35" s="5" t="s">
        <v>3026</v>
      </c>
      <c r="G35" s="10" t="str">
        <f>IFERROR(__xludf.DUMMYFUNCTION("GOOGLETRANSLATE(A35,""it"",""en"")"),"34")</f>
        <v>34</v>
      </c>
      <c r="H35" s="10" t="str">
        <f>IFERROR(__xludf.DUMMYFUNCTION("GOOGLETRANSLATE(B35,""it"",""en"")"),"In which city was the first international water polo tournament held in the United States?")</f>
        <v>In which city was the first international water polo tournament held in the United States?</v>
      </c>
      <c r="I35" s="10" t="str">
        <f>IFERROR(__xludf.DUMMYFUNCTION("GOOGLETRANSLATE(C35,""it"",""en"")"),"A. Los Angeles B. New York C. Chicago D. Miami")</f>
        <v>A. Los Angeles B. New York C. Chicago D. Miami</v>
      </c>
      <c r="J35" s="10" t="str">
        <f>IFERROR(__xludf.DUMMYFUNCTION("GOOGLETRANSLATE(D35,""it"",""en"")"),"New York")</f>
        <v>New York</v>
      </c>
      <c r="K35" s="10" t="str">
        <f>IFERROR(__xludf.DUMMYFUNCTION("GOOGLETRANSLATE(E35,""it"",""en"")"),"The first international water polo tournament in the United States was held in New York.")</f>
        <v>The first international water polo tournament in the United States was held in New York.</v>
      </c>
    </row>
    <row r="36" ht="22.5" customHeight="1">
      <c r="A36" s="4">
        <v>35.0</v>
      </c>
      <c r="B36" s="5" t="s">
        <v>3027</v>
      </c>
      <c r="C36" s="5" t="s">
        <v>3028</v>
      </c>
      <c r="D36" s="5" t="s">
        <v>2927</v>
      </c>
      <c r="E36" s="5" t="s">
        <v>3029</v>
      </c>
      <c r="G36" s="10" t="str">
        <f>IFERROR(__xludf.DUMMYFUNCTION("GOOGLETRANSLATE(A36,""it"",""en"")"),"35")</f>
        <v>35</v>
      </c>
      <c r="H36" s="10" t="str">
        <f>IFERROR(__xludf.DUMMYFUNCTION("GOOGLETRANSLATE(B36,""it"",""en"")"),"Which nation has won the most Olympic water polo medals?")</f>
        <v>Which nation has won the most Olympic water polo medals?</v>
      </c>
      <c r="I36" s="10" t="str">
        <f>IFERROR(__xludf.DUMMYFUNCTION("GOOGLETRANSLATE(C36,""it"",""en"")"),"A. Hungary B. Italy C. United States D. Russia")</f>
        <v>A. Hungary B. Italy C. United States D. Russia</v>
      </c>
      <c r="J36" s="10" t="str">
        <f>IFERROR(__xludf.DUMMYFUNCTION("GOOGLETRANSLATE(D36,""it"",""en"")"),"Hungary")</f>
        <v>Hungary</v>
      </c>
      <c r="K36" s="10" t="str">
        <f>IFERROR(__xludf.DUMMYFUNCTION("GOOGLETRANSLATE(E36,""it"",""en"")"),"Hungary has won the most Olympic medals in water polo.")</f>
        <v>Hungary has won the most Olympic medals in water polo.</v>
      </c>
    </row>
    <row r="37" ht="22.5" customHeight="1">
      <c r="A37" s="4">
        <v>36.0</v>
      </c>
      <c r="B37" s="5" t="s">
        <v>3030</v>
      </c>
      <c r="C37" s="5" t="s">
        <v>3031</v>
      </c>
      <c r="D37" s="5" t="s">
        <v>3032</v>
      </c>
      <c r="E37" s="5" t="s">
        <v>3033</v>
      </c>
      <c r="G37" s="10" t="str">
        <f>IFERROR(__xludf.DUMMYFUNCTION("GOOGLETRANSLATE(A37,""it"",""en"")"),"36")</f>
        <v>36</v>
      </c>
      <c r="H37" s="10" t="str">
        <f>IFERROR(__xludf.DUMMYFUNCTION("GOOGLETRANSLATE(B37,""it"",""en"")"),"What is the name of the main club water polo competition in Italy?")</f>
        <v>What is the name of the main club water polo competition in Italy?</v>
      </c>
      <c r="I37" s="10" t="str">
        <f>IFERROR(__xludf.DUMMYFUNCTION("GOOGLETRANSLATE(C37,""it"",""en"")"),"A. Serie A1 B. Italian Cup C. Water Polo League D. Super Cup")</f>
        <v>A. Serie A1 B. Italian Cup C. Water Polo League D. Super Cup</v>
      </c>
      <c r="J37" s="10" t="str">
        <f>IFERROR(__xludf.DUMMYFUNCTION("GOOGLETRANSLATE(D37,""it"",""en"")"),"Serie A1")</f>
        <v>Serie A1</v>
      </c>
      <c r="K37" s="10" t="str">
        <f>IFERROR(__xludf.DUMMYFUNCTION("GOOGLETRANSLATE(E37,""it"",""en"")"),"Serie A1 is the main club competition for water polo in Italy.")</f>
        <v>Serie A1 is the main club competition for water polo in Italy.</v>
      </c>
    </row>
    <row r="38" ht="22.5" customHeight="1">
      <c r="A38" s="4">
        <v>37.0</v>
      </c>
      <c r="B38" s="5" t="s">
        <v>3034</v>
      </c>
      <c r="C38" s="5" t="s">
        <v>3035</v>
      </c>
      <c r="D38" s="5" t="s">
        <v>2994</v>
      </c>
      <c r="E38" s="5" t="s">
        <v>3036</v>
      </c>
      <c r="G38" s="10" t="str">
        <f>IFERROR(__xludf.DUMMYFUNCTION("GOOGLETRANSLATE(A38,""it"",""en"")"),"37")</f>
        <v>37</v>
      </c>
      <c r="H38" s="10" t="str">
        <f>IFERROR(__xludf.DUMMYFUNCTION("GOOGLETRANSLATE(B38,""it"",""en"")"),"Who won the first European Water Polo Super Cup?")</f>
        <v>Who won the first European Water Polo Super Cup?</v>
      </c>
      <c r="I38" s="10" t="str">
        <f>IFERROR(__xludf.DUMMYFUNCTION("GOOGLETRANSLATE(C38,""it"",""en"")"),"A. Pro Recco B. Yugoslavia C. Milan D. Florentia")</f>
        <v>A. Pro Recco B. Yugoslavia C. Milan D. Florentia</v>
      </c>
      <c r="J38" s="10" t="str">
        <f>IFERROR(__xludf.DUMMYFUNCTION("GOOGLETRANSLATE(D38,""it"",""en"")"),"Pro Recco")</f>
        <v>Pro Recco</v>
      </c>
      <c r="K38" s="10" t="str">
        <f>IFERROR(__xludf.DUMMYFUNCTION("GOOGLETRANSLATE(E38,""it"",""en"")"),"Pro Recco won the first European Water Polo Super Cup.")</f>
        <v>Pro Recco won the first European Water Polo Super Cup.</v>
      </c>
    </row>
    <row r="39" ht="22.5" customHeight="1">
      <c r="A39" s="4">
        <v>38.0</v>
      </c>
      <c r="B39" s="5" t="s">
        <v>3037</v>
      </c>
      <c r="C39" s="5" t="s">
        <v>3038</v>
      </c>
      <c r="D39" s="4">
        <v>2000.0</v>
      </c>
      <c r="E39" s="5" t="s">
        <v>3039</v>
      </c>
      <c r="G39" s="10" t="str">
        <f>IFERROR(__xludf.DUMMYFUNCTION("GOOGLETRANSLATE(A39,""it"",""en"")"),"38")</f>
        <v>38</v>
      </c>
      <c r="H39" s="10" t="str">
        <f>IFERROR(__xludf.DUMMYFUNCTION("GOOGLETRANSLATE(B39,""it"",""en"")"),"When did water polo become a women's sport in the Olympics?")</f>
        <v>When did water polo become a women's sport in the Olympics?</v>
      </c>
      <c r="I39" s="10" t="str">
        <f>IFERROR(__xludf.DUMMYFUNCTION("GOOGLETRANSLATE(C39,""it"",""en"")"),"A. 1992 B. 2000 C. 2004 D. 2012")</f>
        <v>A. 1992 B. 2000 C. 2004 D. 2012</v>
      </c>
      <c r="J39" s="10" t="str">
        <f>IFERROR(__xludf.DUMMYFUNCTION("GOOGLETRANSLATE(D39,""it"",""en"")"),"2000")</f>
        <v>2000</v>
      </c>
      <c r="K39" s="10" t="str">
        <f>IFERROR(__xludf.DUMMYFUNCTION("GOOGLETRANSLATE(E39,""it"",""en"")"),"Women's water polo was introduced to the Olympics in 2000.")</f>
        <v>Women's water polo was introduced to the Olympics in 2000.</v>
      </c>
    </row>
    <row r="40" ht="22.5" customHeight="1">
      <c r="A40" s="4">
        <v>39.0</v>
      </c>
      <c r="B40" s="5" t="s">
        <v>3040</v>
      </c>
      <c r="C40" s="5" t="s">
        <v>3041</v>
      </c>
      <c r="D40" s="5" t="s">
        <v>2994</v>
      </c>
      <c r="E40" s="5" t="s">
        <v>3042</v>
      </c>
      <c r="G40" s="10" t="str">
        <f>IFERROR(__xludf.DUMMYFUNCTION("GOOGLETRANSLATE(A40,""it"",""en"")"),"39")</f>
        <v>39</v>
      </c>
      <c r="H40" s="10" t="str">
        <f>IFERROR(__xludf.DUMMYFUNCTION("GOOGLETRANSLATE(B40,""it"",""en"")"),"Which is the most successful team in the history of the Italian Water Polo championship?")</f>
        <v>Which is the most successful team in the history of the Italian Water Polo championship?</v>
      </c>
      <c r="I40" s="10" t="str">
        <f>IFERROR(__xludf.DUMMYFUNCTION("GOOGLETRANSLATE(C40,""it"",""en"")"),"A. Pro Recco B. Brescia C. Ortigia D. Savona")</f>
        <v>A. Pro Recco B. Brescia C. Ortigia D. Savona</v>
      </c>
      <c r="J40" s="10" t="str">
        <f>IFERROR(__xludf.DUMMYFUNCTION("GOOGLETRANSLATE(D40,""it"",""en"")"),"Pro Recco")</f>
        <v>Pro Recco</v>
      </c>
      <c r="K40" s="10" t="str">
        <f>IFERROR(__xludf.DUMMYFUNCTION("GOOGLETRANSLATE(E40,""it"",""en"")"),"Pro Recco is the most successful team in the history of the Italian Water Polo championship.")</f>
        <v>Pro Recco is the most successful team in the history of the Italian Water Polo championship.</v>
      </c>
    </row>
    <row r="41" ht="22.5" customHeight="1">
      <c r="A41" s="4">
        <v>40.0</v>
      </c>
      <c r="B41" s="5" t="s">
        <v>3043</v>
      </c>
      <c r="C41" s="5" t="s">
        <v>3044</v>
      </c>
      <c r="D41" s="4">
        <v>1970.0</v>
      </c>
      <c r="E41" s="5" t="s">
        <v>3045</v>
      </c>
      <c r="G41" s="10" t="str">
        <f>IFERROR(__xludf.DUMMYFUNCTION("GOOGLETRANSLATE(A41,""it"",""en"")"),"40")</f>
        <v>40</v>
      </c>
      <c r="H41" s="10" t="str">
        <f>IFERROR(__xludf.DUMMYFUNCTION("GOOGLETRANSLATE(B41,""it"",""en"")"),"In what year was the World Water Polo Championship established?")</f>
        <v>In what year was the World Water Polo Championship established?</v>
      </c>
      <c r="I41" s="10" t="str">
        <f>IFERROR(__xludf.DUMMYFUNCTION("GOOGLETRANSLATE(C41,""it"",""en"")"),"A. 1950 B. 1960 C. 1970 D. 1980")</f>
        <v>A. 1950 B. 1960 C. 1970 D. 1980</v>
      </c>
      <c r="J41" s="10" t="str">
        <f>IFERROR(__xludf.DUMMYFUNCTION("GOOGLETRANSLATE(D41,""it"",""en"")"),"1970")</f>
        <v>1970</v>
      </c>
      <c r="K41" s="10" t="str">
        <f>IFERROR(__xludf.DUMMYFUNCTION("GOOGLETRANSLATE(E41,""it"",""en"")"),"The World Water Polo Championship was established in 1970.")</f>
        <v>The World Water Polo Championship was established in 1970.</v>
      </c>
    </row>
    <row r="42" ht="22.5" customHeight="1">
      <c r="A42" s="4">
        <v>41.0</v>
      </c>
      <c r="B42" s="5" t="s">
        <v>3046</v>
      </c>
      <c r="C42" s="5" t="s">
        <v>3047</v>
      </c>
      <c r="D42" s="5" t="s">
        <v>3048</v>
      </c>
      <c r="E42" s="5" t="s">
        <v>3049</v>
      </c>
      <c r="G42" s="10" t="str">
        <f>IFERROR(__xludf.DUMMYFUNCTION("GOOGLETRANSLATE(A42,""it"",""en"")"),"41")</f>
        <v>41</v>
      </c>
      <c r="H42" s="10" t="str">
        <f>IFERROR(__xludf.DUMMYFUNCTION("GOOGLETRANSLATE(B42,""it"",""en"")"),"Which nation won the first World Water Polo Championship?")</f>
        <v>Which nation won the first World Water Polo Championship?</v>
      </c>
      <c r="I42" s="10" t="str">
        <f>IFERROR(__xludf.DUMMYFUNCTION("GOOGLETRANSLATE(C42,""it"",""en"")"),"A. United States B. Italy C. Hungary D. France")</f>
        <v>A. United States B. Italy C. Hungary D. France</v>
      </c>
      <c r="J42" s="10" t="str">
        <f>IFERROR(__xludf.DUMMYFUNCTION("GOOGLETRANSLATE(D42,""it"",""en"")"),"United States")</f>
        <v>United States</v>
      </c>
      <c r="K42" s="10" t="str">
        <f>IFERROR(__xludf.DUMMYFUNCTION("GOOGLETRANSLATE(E42,""it"",""en"")"),"The United States won the first World Water Polo Championship in 1970.")</f>
        <v>The United States won the first World Water Polo Championship in 1970.</v>
      </c>
    </row>
    <row r="43" ht="22.5" customHeight="1">
      <c r="A43" s="4">
        <v>42.0</v>
      </c>
      <c r="B43" s="5" t="s">
        <v>3050</v>
      </c>
      <c r="C43" s="5" t="s">
        <v>3051</v>
      </c>
      <c r="D43" s="5" t="s">
        <v>583</v>
      </c>
      <c r="E43" s="5" t="s">
        <v>3052</v>
      </c>
      <c r="G43" s="10" t="str">
        <f>IFERROR(__xludf.DUMMYFUNCTION("GOOGLETRANSLATE(A43,""it"",""en"")"),"42")</f>
        <v>42</v>
      </c>
      <c r="H43" s="10" t="str">
        <f>IFERROR(__xludf.DUMMYFUNCTION("GOOGLETRANSLATE(B43,""it"",""en"")"),"Which nation hosted the first European Water Polo Championship?")</f>
        <v>Which nation hosted the first European Water Polo Championship?</v>
      </c>
      <c r="I43" s="10" t="str">
        <f>IFERROR(__xludf.DUMMYFUNCTION("GOOGLETRANSLATE(C43,""it"",""en"")"),"A. Italy B. France C. Spain D. Serbia")</f>
        <v>A. Italy B. France C. Spain D. Serbia</v>
      </c>
      <c r="J43" s="10" t="str">
        <f>IFERROR(__xludf.DUMMYFUNCTION("GOOGLETRANSLATE(D43,""it"",""en"")"),"Italy")</f>
        <v>Italy</v>
      </c>
      <c r="K43" s="10" t="str">
        <f>IFERROR(__xludf.DUMMYFUNCTION("GOOGLETRANSLATE(E43,""it"",""en"")"),"Italy hosted the first European Water Polo Championship.")</f>
        <v>Italy hosted the first European Water Polo Championship.</v>
      </c>
    </row>
    <row r="44" ht="22.5" customHeight="1">
      <c r="A44" s="4">
        <v>43.0</v>
      </c>
      <c r="B44" s="5" t="s">
        <v>3053</v>
      </c>
      <c r="C44" s="5" t="s">
        <v>3054</v>
      </c>
      <c r="D44" s="4">
        <v>1973.0</v>
      </c>
      <c r="E44" s="5" t="s">
        <v>3055</v>
      </c>
      <c r="G44" s="10" t="str">
        <f>IFERROR(__xludf.DUMMYFUNCTION("GOOGLETRANSLATE(A44,""it"",""en"")"),"43")</f>
        <v>43</v>
      </c>
      <c r="H44" s="10" t="str">
        <f>IFERROR(__xludf.DUMMYFUNCTION("GOOGLETRANSLATE(B44,""it"",""en"")"),"In what year did water polo make its debut at the FINA World Championships?")</f>
        <v>In what year did water polo make its debut at the FINA World Championships?</v>
      </c>
      <c r="I44" s="10" t="str">
        <f>IFERROR(__xludf.DUMMYFUNCTION("GOOGLETRANSLATE(C44,""it"",""en"")"),"A. 1973 B. 1980 C. 1991 D. 2000")</f>
        <v>A. 1973 B. 1980 C. 1991 D. 2000</v>
      </c>
      <c r="J44" s="10" t="str">
        <f>IFERROR(__xludf.DUMMYFUNCTION("GOOGLETRANSLATE(D44,""it"",""en"")"),"1973")</f>
        <v>1973</v>
      </c>
      <c r="K44" s="10" t="str">
        <f>IFERROR(__xludf.DUMMYFUNCTION("GOOGLETRANSLATE(E44,""it"",""en"")"),"Water polo made its debut at the FINA World Championships in 1973.")</f>
        <v>Water polo made its debut at the FINA World Championships in 1973.</v>
      </c>
    </row>
    <row r="45" ht="22.5" customHeight="1">
      <c r="A45" s="4">
        <v>44.0</v>
      </c>
      <c r="B45" s="5" t="s">
        <v>3056</v>
      </c>
      <c r="C45" s="5" t="s">
        <v>3057</v>
      </c>
      <c r="D45" s="5" t="s">
        <v>3014</v>
      </c>
      <c r="E45" s="5" t="s">
        <v>3058</v>
      </c>
      <c r="G45" s="10" t="str">
        <f>IFERROR(__xludf.DUMMYFUNCTION("GOOGLETRANSLATE(A45,""it"",""en"")"),"44")</f>
        <v>44</v>
      </c>
      <c r="H45" s="10" t="str">
        <f>IFERROR(__xludf.DUMMYFUNCTION("GOOGLETRANSLATE(B45,""it"",""en"")"),"Who won the gold medal in the water polo tournament at the 2004 Olympics?")</f>
        <v>Who won the gold medal in the water polo tournament at the 2004 Olympics?</v>
      </c>
      <c r="I45" s="10" t="str">
        <f>IFERROR(__xludf.DUMMYFUNCTION("GOOGLETRANSLATE(C45,""it"",""en"")"),"A. Italy B. Serbia C. Hungary D. Croatia")</f>
        <v>A. Italy B. Serbia C. Hungary D. Croatia</v>
      </c>
      <c r="J45" s="10" t="str">
        <f>IFERROR(__xludf.DUMMYFUNCTION("GOOGLETRANSLATE(D45,""it"",""en"")"),"Serbia")</f>
        <v>Serbia</v>
      </c>
      <c r="K45" s="10" t="str">
        <f>IFERROR(__xludf.DUMMYFUNCTION("GOOGLETRANSLATE(E45,""it"",""en"")"),"Serbia won the gold medal in the water polo tournament at the 2004 Olympics.")</f>
        <v>Serbia won the gold medal in the water polo tournament at the 2004 Olympics.</v>
      </c>
    </row>
    <row r="46" ht="22.5" customHeight="1">
      <c r="A46" s="4">
        <v>45.0</v>
      </c>
      <c r="B46" s="5" t="s">
        <v>3059</v>
      </c>
      <c r="C46" s="5" t="s">
        <v>3060</v>
      </c>
      <c r="D46" s="4">
        <v>1990.0</v>
      </c>
      <c r="E46" s="5" t="s">
        <v>3061</v>
      </c>
      <c r="G46" s="10" t="str">
        <f>IFERROR(__xludf.DUMMYFUNCTION("GOOGLETRANSLATE(A46,""it"",""en"")"),"45")</f>
        <v>45</v>
      </c>
      <c r="H46" s="10" t="str">
        <f>IFERROR(__xludf.DUMMYFUNCTION("GOOGLETRANSLATE(B46,""it"",""en"")"),"In what year was the ""long play"" rule introduced in water polo?")</f>
        <v>In what year was the "long play" rule introduced in water polo?</v>
      </c>
      <c r="I46" s="10" t="str">
        <f>IFERROR(__xludf.DUMMYFUNCTION("GOOGLETRANSLATE(C46,""it"",""en"")"),"A. 1980 B. 1990 C. 2000 D. 2010")</f>
        <v>A. 1980 B. 1990 C. 2000 D. 2010</v>
      </c>
      <c r="J46" s="10" t="str">
        <f>IFERROR(__xludf.DUMMYFUNCTION("GOOGLETRANSLATE(D46,""it"",""en"")"),"1990")</f>
        <v>1990</v>
      </c>
      <c r="K46" s="10" t="str">
        <f>IFERROR(__xludf.DUMMYFUNCTION("GOOGLETRANSLATE(E46,""it"",""en"")"),"The 'long play' rule was introduced in the 1990s.")</f>
        <v>The 'long play' rule was introduced in the 1990s.</v>
      </c>
    </row>
    <row r="47" ht="22.5" customHeight="1">
      <c r="A47" s="4">
        <v>46.0</v>
      </c>
      <c r="B47" s="5" t="s">
        <v>3062</v>
      </c>
      <c r="C47" s="5" t="s">
        <v>3063</v>
      </c>
      <c r="D47" s="5" t="s">
        <v>3064</v>
      </c>
      <c r="E47" s="5" t="s">
        <v>3065</v>
      </c>
      <c r="G47" s="10" t="str">
        <f>IFERROR(__xludf.DUMMYFUNCTION("GOOGLETRANSLATE(A47,""it"",""en"")"),"46")</f>
        <v>46</v>
      </c>
      <c r="H47" s="10" t="str">
        <f>IFERROR(__xludf.DUMMYFUNCTION("GOOGLETRANSLATE(B47,""it"",""en"")"),"Which athlete is considered the best water polo player of the century?")</f>
        <v>Which athlete is considered the best water polo player of the century?</v>
      </c>
      <c r="I47" s="10" t="str">
        <f>IFERROR(__xludf.DUMMYFUNCTION("GOOGLETRANSLATE(C47,""it"",""en"")"),"A. Tibor Benedek B. Pino Porzio C. Mihály Kállai D. Giovanni C. Minervini")</f>
        <v>A. Tibor Benedek B. Pino Porzio C. Mihály Kállai D. Giovanni C. Minervini</v>
      </c>
      <c r="J47" s="10" t="str">
        <f>IFERROR(__xludf.DUMMYFUNCTION("GOOGLETRANSLATE(D47,""it"",""en"")"),"Tibor Benedek")</f>
        <v>Tibor Benedek</v>
      </c>
      <c r="K47" s="10" t="str">
        <f>IFERROR(__xludf.DUMMYFUNCTION("GOOGLETRANSLATE(E47,""it"",""en"")"),"Tibor Benedek is considered one of the best water polo players of the century.")</f>
        <v>Tibor Benedek is considered one of the best water polo players of the century.</v>
      </c>
    </row>
    <row r="48" ht="22.5" customHeight="1">
      <c r="A48" s="4">
        <v>47.0</v>
      </c>
      <c r="B48" s="5" t="s">
        <v>3066</v>
      </c>
      <c r="C48" s="5" t="s">
        <v>3067</v>
      </c>
      <c r="D48" s="4">
        <v>1938.0</v>
      </c>
      <c r="E48" s="5" t="s">
        <v>3068</v>
      </c>
      <c r="G48" s="10" t="str">
        <f>IFERROR(__xludf.DUMMYFUNCTION("GOOGLETRANSLATE(A48,""it"",""en"")"),"47")</f>
        <v>47</v>
      </c>
      <c r="H48" s="10" t="str">
        <f>IFERROR(__xludf.DUMMYFUNCTION("GOOGLETRANSLATE(B48,""it"",""en"")"),"When was the current scoring system in Water Polo created?")</f>
        <v>When was the current scoring system in Water Polo created?</v>
      </c>
      <c r="I48" s="10" t="str">
        <f>IFERROR(__xludf.DUMMYFUNCTION("GOOGLETRANSLATE(C48,""it"",""en"")"),"A. 1912 B. 1925 C. 1938 D. 1954")</f>
        <v>A. 1912 B. 1925 C. 1938 D. 1954</v>
      </c>
      <c r="J48" s="10" t="str">
        <f>IFERROR(__xludf.DUMMYFUNCTION("GOOGLETRANSLATE(D48,""it"",""en"")"),"1938")</f>
        <v>1938</v>
      </c>
      <c r="K48" s="10" t="str">
        <f>IFERROR(__xludf.DUMMYFUNCTION("GOOGLETRANSLATE(E48,""it"",""en"")"),"The current scoring system in water polo was created in 1938.")</f>
        <v>The current scoring system in water polo was created in 1938.</v>
      </c>
    </row>
    <row r="49" ht="22.5" customHeight="1">
      <c r="A49" s="4">
        <v>48.0</v>
      </c>
      <c r="B49" s="5" t="s">
        <v>3069</v>
      </c>
      <c r="C49" s="5" t="s">
        <v>3070</v>
      </c>
      <c r="D49" s="5" t="s">
        <v>3071</v>
      </c>
      <c r="E49" s="5" t="s">
        <v>3072</v>
      </c>
      <c r="G49" s="10" t="str">
        <f>IFERROR(__xludf.DUMMYFUNCTION("GOOGLETRANSLATE(A49,""it"",""en"")"),"48")</f>
        <v>48</v>
      </c>
      <c r="H49" s="10" t="str">
        <f>IFERROR(__xludf.DUMMYFUNCTION("GOOGLETRANSLATE(B49,""it"",""en"")"),"What is the main difference between water polo and water rugby?")</f>
        <v>What is the main difference between water polo and water rugby?</v>
      </c>
      <c r="I49" s="10" t="str">
        <f>IFERROR(__xludf.DUMMYFUNCTION("GOOGLETRANSLATE(C49,""it"",""en"")"),"A. Number of players B. Use of the ball C. Duration of matches D. Defensive rules")</f>
        <v>A. Number of players B. Use of the ball C. Duration of matches D. Defensive rules</v>
      </c>
      <c r="J49" s="10" t="str">
        <f>IFERROR(__xludf.DUMMYFUNCTION("GOOGLETRANSLATE(D49,""it"",""en"")"),"Number of players")</f>
        <v>Number of players</v>
      </c>
      <c r="K49" s="10" t="str">
        <f>IFERROR(__xludf.DUMMYFUNCTION("GOOGLETRANSLATE(E49,""it"",""en"")"),"The main difference between Water Polo and Water Rugby is the number of players per team.")</f>
        <v>The main difference between Water Polo and Water Rugby is the number of players per team.</v>
      </c>
    </row>
    <row r="50" ht="22.5" customHeight="1">
      <c r="A50" s="4">
        <v>49.0</v>
      </c>
      <c r="B50" s="5" t="s">
        <v>3073</v>
      </c>
      <c r="C50" s="5" t="s">
        <v>3074</v>
      </c>
      <c r="D50" s="4">
        <v>1960.0</v>
      </c>
      <c r="E50" s="5" t="s">
        <v>3075</v>
      </c>
      <c r="G50" s="10" t="str">
        <f>IFERROR(__xludf.DUMMYFUNCTION("GOOGLETRANSLATE(A50,""it"",""en"")"),"49")</f>
        <v>49</v>
      </c>
      <c r="H50" s="10" t="str">
        <f>IFERROR(__xludf.DUMMYFUNCTION("GOOGLETRANSLATE(B50,""it"",""en"")"),"In which year did Italy win its first European Water Polo Championship?")</f>
        <v>In which year did Italy win its first European Water Polo Championship?</v>
      </c>
      <c r="I50" s="10" t="str">
        <f>IFERROR(__xludf.DUMMYFUNCTION("GOOGLETRANSLATE(C50,""it"",""en"")"),"A. 1933 B. 1950 C. 1960 D. 1970")</f>
        <v>A. 1933 B. 1950 C. 1960 D. 1970</v>
      </c>
      <c r="J50" s="10" t="str">
        <f>IFERROR(__xludf.DUMMYFUNCTION("GOOGLETRANSLATE(D50,""it"",""en"")"),"1960")</f>
        <v>1960</v>
      </c>
      <c r="K50" s="10" t="str">
        <f>IFERROR(__xludf.DUMMYFUNCTION("GOOGLETRANSLATE(E50,""it"",""en"")"),"Italy won its first European Water Polo Championship in 1960.")</f>
        <v>Italy won its first European Water Polo Championship in 1960.</v>
      </c>
    </row>
    <row r="51" ht="22.5" customHeight="1">
      <c r="A51" s="4">
        <v>50.0</v>
      </c>
      <c r="B51" s="5" t="s">
        <v>3076</v>
      </c>
      <c r="C51" s="5" t="s">
        <v>3077</v>
      </c>
      <c r="D51" s="5" t="s">
        <v>583</v>
      </c>
      <c r="E51" s="5" t="s">
        <v>3078</v>
      </c>
      <c r="G51" s="10" t="str">
        <f>IFERROR(__xludf.DUMMYFUNCTION("GOOGLETRANSLATE(A51,""it"",""en"")"),"50")</f>
        <v>50</v>
      </c>
      <c r="H51" s="10" t="str">
        <f>IFERROR(__xludf.DUMMYFUNCTION("GOOGLETRANSLATE(B51,""it"",""en"")"),"Which team won the European Water Polo Championship in 1980?")</f>
        <v>Which team won the European Water Polo Championship in 1980?</v>
      </c>
      <c r="I51" s="10" t="str">
        <f>IFERROR(__xludf.DUMMYFUNCTION("GOOGLETRANSLATE(C51,""it"",""en"")"),"A. Italy B. Serbia C. Soviet Union D. Hungary")</f>
        <v>A. Italy B. Serbia C. Soviet Union D. Hungary</v>
      </c>
      <c r="J51" s="10" t="str">
        <f>IFERROR(__xludf.DUMMYFUNCTION("GOOGLETRANSLATE(D51,""it"",""en"")"),"Italy")</f>
        <v>Italy</v>
      </c>
      <c r="K51" s="10" t="str">
        <f>IFERROR(__xludf.DUMMYFUNCTION("GOOGLETRANSLATE(E51,""it"",""en"")"),"Italy won the European Water Polo Championship in 1980.")</f>
        <v>Italy won the European Water Polo Championship in 1980.</v>
      </c>
    </row>
    <row r="52" ht="22.5" customHeight="1">
      <c r="A52" s="4">
        <v>51.0</v>
      </c>
      <c r="B52" s="5" t="s">
        <v>3079</v>
      </c>
      <c r="C52" s="5" t="s">
        <v>3080</v>
      </c>
      <c r="D52" s="5" t="s">
        <v>583</v>
      </c>
      <c r="E52" s="5" t="s">
        <v>3081</v>
      </c>
      <c r="G52" s="10" t="str">
        <f>IFERROR(__xludf.DUMMYFUNCTION("GOOGLETRANSLATE(A52,""it"",""en"")"),"51")</f>
        <v>51</v>
      </c>
      <c r="H52" s="10" t="str">
        <f>IFERROR(__xludf.DUMMYFUNCTION("GOOGLETRANSLATE(B52,""it"",""en"")"),"Where was the first international club water polo tournament held?")</f>
        <v>Where was the first international club water polo tournament held?</v>
      </c>
      <c r="I52" s="10" t="str">
        <f>IFERROR(__xludf.DUMMYFUNCTION("GOOGLETRANSLATE(C52,""it"",""en"")"),"A. Italy B. United States C. France D. Spain")</f>
        <v>A. Italy B. United States C. France D. Spain</v>
      </c>
      <c r="J52" s="10" t="str">
        <f>IFERROR(__xludf.DUMMYFUNCTION("GOOGLETRANSLATE(D52,""it"",""en"")"),"Italy")</f>
        <v>Italy</v>
      </c>
      <c r="K52" s="10" t="str">
        <f>IFERROR(__xludf.DUMMYFUNCTION("GOOGLETRANSLATE(E52,""it"",""en"")"),"The first international club water polo tournament took place in Italy.")</f>
        <v>The first international club water polo tournament took place in Italy.</v>
      </c>
    </row>
    <row r="53" ht="22.5" customHeight="1">
      <c r="A53" s="4">
        <v>52.0</v>
      </c>
      <c r="B53" s="5" t="s">
        <v>3082</v>
      </c>
      <c r="C53" s="5" t="s">
        <v>3083</v>
      </c>
      <c r="D53" s="5" t="s">
        <v>2913</v>
      </c>
      <c r="E53" s="5" t="s">
        <v>3084</v>
      </c>
      <c r="G53" s="10" t="str">
        <f>IFERROR(__xludf.DUMMYFUNCTION("GOOGLETRANSLATE(A53,""it"",""en"")"),"52")</f>
        <v>52</v>
      </c>
      <c r="H53" s="10" t="str">
        <f>IFERROR(__xludf.DUMMYFUNCTION("GOOGLETRANSLATE(B53,""it"",""en"")"),"Who scored the first goal in Olympic water polo history?")</f>
        <v>Who scored the first goal in Olympic water polo history?</v>
      </c>
      <c r="I53" s="10" t="str">
        <f>IFERROR(__xludf.DUMMYFUNCTION("GOOGLETRANSLATE(C53,""it"",""en"")"),"A. Giovanni Rossi B. Pino Porzio C. William Wilson D. Zoltán Szécsi")</f>
        <v>A. Giovanni Rossi B. Pino Porzio C. William Wilson D. Zoltán Szécsi</v>
      </c>
      <c r="J53" s="10" t="str">
        <f>IFERROR(__xludf.DUMMYFUNCTION("GOOGLETRANSLATE(D53,""it"",""en"")"),"William Wilson")</f>
        <v>William Wilson</v>
      </c>
      <c r="K53" s="10" t="str">
        <f>IFERROR(__xludf.DUMMYFUNCTION("GOOGLETRANSLATE(E53,""it"",""en"")"),"William Wilson scored the first goal in Olympic water polo history.")</f>
        <v>William Wilson scored the first goal in Olympic water polo history.</v>
      </c>
    </row>
    <row r="54" ht="22.5" customHeight="1">
      <c r="A54" s="4">
        <v>53.0</v>
      </c>
      <c r="B54" s="5" t="s">
        <v>3085</v>
      </c>
      <c r="C54" s="5" t="s">
        <v>3086</v>
      </c>
      <c r="D54" s="4">
        <v>1900.0</v>
      </c>
      <c r="E54" s="5" t="s">
        <v>3087</v>
      </c>
      <c r="G54" s="10" t="str">
        <f>IFERROR(__xludf.DUMMYFUNCTION("GOOGLETRANSLATE(A54,""it"",""en"")"),"53")</f>
        <v>53</v>
      </c>
      <c r="H54" s="10" t="str">
        <f>IFERROR(__xludf.DUMMYFUNCTION("GOOGLETRANSLATE(B54,""it"",""en"")"),"What year did men's water polo debut at the Olympics?")</f>
        <v>What year did men's water polo debut at the Olympics?</v>
      </c>
      <c r="I54" s="10" t="str">
        <f>IFERROR(__xludf.DUMMYFUNCTION("GOOGLETRANSLATE(C54,""it"",""en"")"),"A. 1900 B. 1912 C. 1924 D. 1936")</f>
        <v>A. 1900 B. 1912 C. 1924 D. 1936</v>
      </c>
      <c r="J54" s="10" t="str">
        <f>IFERROR(__xludf.DUMMYFUNCTION("GOOGLETRANSLATE(D54,""it"",""en"")"),"1900")</f>
        <v>1900</v>
      </c>
      <c r="K54" s="10" t="str">
        <f>IFERROR(__xludf.DUMMYFUNCTION("GOOGLETRANSLATE(E54,""it"",""en"")"),"Men's water polo made its Olympic debut in 1900.")</f>
        <v>Men's water polo made its Olympic debut in 1900.</v>
      </c>
    </row>
    <row r="55" ht="22.5" customHeight="1">
      <c r="A55" s="4">
        <v>54.0</v>
      </c>
      <c r="B55" s="5" t="s">
        <v>3088</v>
      </c>
      <c r="C55" s="5" t="s">
        <v>3089</v>
      </c>
      <c r="D55" s="4">
        <v>1984.0</v>
      </c>
      <c r="E55" s="5" t="s">
        <v>3090</v>
      </c>
      <c r="G55" s="10" t="str">
        <f>IFERROR(__xludf.DUMMYFUNCTION("GOOGLETRANSLATE(A55,""it"",""en"")"),"54")</f>
        <v>54</v>
      </c>
      <c r="H55" s="10" t="str">
        <f>IFERROR(__xludf.DUMMYFUNCTION("GOOGLETRANSLATE(B55,""it"",""en"")"),"In which year did the Yugoslavian water polo team win the Olympic gold medal?")</f>
        <v>In which year did the Yugoslavian water polo team win the Olympic gold medal?</v>
      </c>
      <c r="I55" s="10" t="str">
        <f>IFERROR(__xludf.DUMMYFUNCTION("GOOGLETRANSLATE(C55,""it"",""en"")"),"A. 1968 B. 1980 C. 1984 D. 1992")</f>
        <v>A. 1968 B. 1980 C. 1984 D. 1992</v>
      </c>
      <c r="J55" s="10" t="str">
        <f>IFERROR(__xludf.DUMMYFUNCTION("GOOGLETRANSLATE(D55,""it"",""en"")"),"1984")</f>
        <v>1984</v>
      </c>
      <c r="K55" s="10" t="str">
        <f>IFERROR(__xludf.DUMMYFUNCTION("GOOGLETRANSLATE(E55,""it"",""en"")"),"Yugoslavia won the Olympic gold medal in water polo in 1984.")</f>
        <v>Yugoslavia won the Olympic gold medal in water polo in 1984.</v>
      </c>
    </row>
    <row r="56" ht="22.5" customHeight="1">
      <c r="A56" s="4">
        <v>55.0</v>
      </c>
      <c r="B56" s="5" t="s">
        <v>3091</v>
      </c>
      <c r="C56" s="5" t="s">
        <v>3092</v>
      </c>
      <c r="D56" s="5" t="s">
        <v>3014</v>
      </c>
      <c r="E56" s="5" t="s">
        <v>3093</v>
      </c>
      <c r="G56" s="10" t="str">
        <f>IFERROR(__xludf.DUMMYFUNCTION("GOOGLETRANSLATE(A56,""it"",""en"")"),"55")</f>
        <v>55</v>
      </c>
      <c r="H56" s="10" t="str">
        <f>IFERROR(__xludf.DUMMYFUNCTION("GOOGLETRANSLATE(B56,""it"",""en"")"),"Which nation won the Water Polo World Championship in 2011?")</f>
        <v>Which nation won the Water Polo World Championship in 2011?</v>
      </c>
      <c r="I56" s="10" t="str">
        <f>IFERROR(__xludf.DUMMYFUNCTION("GOOGLETRANSLATE(C56,""it"",""en"")"),"A. Italy B. Serbia C. Croatia D. Hungary")</f>
        <v>A. Italy B. Serbia C. Croatia D. Hungary</v>
      </c>
      <c r="J56" s="10" t="str">
        <f>IFERROR(__xludf.DUMMYFUNCTION("GOOGLETRANSLATE(D56,""it"",""en"")"),"Serbia")</f>
        <v>Serbia</v>
      </c>
      <c r="K56" s="10" t="str">
        <f>IFERROR(__xludf.DUMMYFUNCTION("GOOGLETRANSLATE(E56,""it"",""en"")"),"Serbia won the Water Polo World Championship in 2011.")</f>
        <v>Serbia won the Water Polo World Championship in 2011.</v>
      </c>
    </row>
    <row r="57" ht="22.5" customHeight="1">
      <c r="A57" s="4">
        <v>56.0</v>
      </c>
      <c r="B57" s="5" t="s">
        <v>3094</v>
      </c>
      <c r="C57" s="5" t="s">
        <v>2965</v>
      </c>
      <c r="D57" s="4">
        <v>1900.0</v>
      </c>
      <c r="E57" s="5" t="s">
        <v>3095</v>
      </c>
      <c r="G57" s="10" t="str">
        <f>IFERROR(__xludf.DUMMYFUNCTION("GOOGLETRANSLATE(A57,""it"",""en"")"),"56")</f>
        <v>56</v>
      </c>
      <c r="H57" s="10" t="str">
        <f>IFERROR(__xludf.DUMMYFUNCTION("GOOGLETRANSLATE(B57,""it"",""en"")"),"When was Water Polo introduced into the United States Games?")</f>
        <v>When was Water Polo introduced into the United States Games?</v>
      </c>
      <c r="I57" s="10" t="str">
        <f>IFERROR(__xludf.DUMMYFUNCTION("GOOGLETRANSLATE(C57,""it"",""en"")"),"A. 1900 B. 1910 C. 1920 D. 1930")</f>
        <v>A. 1900 B. 1910 C. 1920 D. 1930</v>
      </c>
      <c r="J57" s="10" t="str">
        <f>IFERROR(__xludf.DUMMYFUNCTION("GOOGLETRANSLATE(D57,""it"",""en"")"),"1900")</f>
        <v>1900</v>
      </c>
      <c r="K57" s="10" t="str">
        <f>IFERROR(__xludf.DUMMYFUNCTION("GOOGLETRANSLATE(E57,""it"",""en"")"),"Water polo was introduced to the United States game in 1900.")</f>
        <v>Water polo was introduced to the United States game in 1900.</v>
      </c>
    </row>
    <row r="58" ht="22.5" customHeight="1">
      <c r="A58" s="4">
        <v>57.0</v>
      </c>
      <c r="B58" s="5" t="s">
        <v>3096</v>
      </c>
      <c r="C58" s="5" t="s">
        <v>3097</v>
      </c>
      <c r="D58" s="5" t="s">
        <v>3021</v>
      </c>
      <c r="E58" s="5" t="s">
        <v>3098</v>
      </c>
      <c r="G58" s="10" t="str">
        <f>IFERROR(__xludf.DUMMYFUNCTION("GOOGLETRANSLATE(A58,""it"",""en"")"),"57")</f>
        <v>57</v>
      </c>
      <c r="H58" s="10" t="str">
        <f>IFERROR(__xludf.DUMMYFUNCTION("GOOGLETRANSLATE(B58,""it"",""en"")"),"Which team won the gold medal at the 1978 World Water Polo Championships?")</f>
        <v>Which team won the gold medal at the 1978 World Water Polo Championships?</v>
      </c>
      <c r="I58" s="10" t="str">
        <f>IFERROR(__xludf.DUMMYFUNCTION("GOOGLETRANSLATE(C58,""it"",""en"")"),"A. Italy B. Serbia C. Yugoslavia D. Spain")</f>
        <v>A. Italy B. Serbia C. Yugoslavia D. Spain</v>
      </c>
      <c r="J58" s="10" t="str">
        <f>IFERROR(__xludf.DUMMYFUNCTION("GOOGLETRANSLATE(D58,""it"",""en"")"),"Yugoslavia")</f>
        <v>Yugoslavia</v>
      </c>
      <c r="K58" s="10" t="str">
        <f>IFERROR(__xludf.DUMMYFUNCTION("GOOGLETRANSLATE(E58,""it"",""en"")"),"Yugoslavia won the gold medal at the 1978 World Water Polo Championships.")</f>
        <v>Yugoslavia won the gold medal at the 1978 World Water Polo Championships.</v>
      </c>
    </row>
    <row r="59" ht="22.5" customHeight="1">
      <c r="A59" s="4">
        <v>58.0</v>
      </c>
      <c r="B59" s="5" t="s">
        <v>3099</v>
      </c>
      <c r="C59" s="5" t="s">
        <v>3100</v>
      </c>
      <c r="D59" s="4">
        <v>1970.0</v>
      </c>
      <c r="E59" s="5" t="s">
        <v>3101</v>
      </c>
      <c r="G59" s="10" t="str">
        <f>IFERROR(__xludf.DUMMYFUNCTION("GOOGLETRANSLATE(A59,""it"",""en"")"),"58")</f>
        <v>58</v>
      </c>
      <c r="H59" s="10" t="str">
        <f>IFERROR(__xludf.DUMMYFUNCTION("GOOGLETRANSLATE(B59,""it"",""en"")"),"In what year was the FINA World Water Polo Championship established?")</f>
        <v>In what year was the FINA World Water Polo Championship established?</v>
      </c>
      <c r="I59" s="10" t="str">
        <f>IFERROR(__xludf.DUMMYFUNCTION("GOOGLETRANSLATE(C59,""it"",""en"")"),"A. 1968 B. 1970 C. 1982 D. 1992")</f>
        <v>A. 1968 B. 1970 C. 1982 D. 1992</v>
      </c>
      <c r="J59" s="10" t="str">
        <f>IFERROR(__xludf.DUMMYFUNCTION("GOOGLETRANSLATE(D59,""it"",""en"")"),"1970")</f>
        <v>1970</v>
      </c>
      <c r="K59" s="10" t="str">
        <f>IFERROR(__xludf.DUMMYFUNCTION("GOOGLETRANSLATE(E59,""it"",""en"")"),"The World Water Polo Championships were established by FINA in 1970.")</f>
        <v>The World Water Polo Championships were established by FINA in 1970.</v>
      </c>
    </row>
    <row r="60" ht="22.5" customHeight="1">
      <c r="A60" s="4">
        <v>59.0</v>
      </c>
      <c r="B60" s="5" t="s">
        <v>3102</v>
      </c>
      <c r="C60" s="5" t="s">
        <v>3103</v>
      </c>
      <c r="D60" s="5" t="s">
        <v>3104</v>
      </c>
      <c r="E60" s="5" t="s">
        <v>3105</v>
      </c>
      <c r="G60" s="10" t="str">
        <f>IFERROR(__xludf.DUMMYFUNCTION("GOOGLETRANSLATE(A60,""it"",""en"")"),"59")</f>
        <v>59</v>
      </c>
      <c r="H60" s="10" t="str">
        <f>IFERROR(__xludf.DUMMYFUNCTION("GOOGLETRANSLATE(B60,""it"",""en"")"),"Which athlete has won the most Olympic medals in water polo?")</f>
        <v>Which athlete has won the most Olympic medals in water polo?</v>
      </c>
      <c r="I60" s="10" t="str">
        <f>IFERROR(__xludf.DUMMYFUNCTION("GOOGLETRANSLATE(C60,""it"",""en"")"),"A. Tibor Benedek B. György Kásás C. Pino Porzio D. Zoltán Szécsi")</f>
        <v>A. Tibor Benedek B. György Kásás C. Pino Porzio D. Zoltán Szécsi</v>
      </c>
      <c r="J60" s="10" t="str">
        <f>IFERROR(__xludf.DUMMYFUNCTION("GOOGLETRANSLATE(D60,""it"",""en"")"),"György Kásás")</f>
        <v>György Kásás</v>
      </c>
      <c r="K60" s="10" t="str">
        <f>IFERROR(__xludf.DUMMYFUNCTION("GOOGLETRANSLATE(E60,""it"",""en"")"),"György Kásás is the athlete with the most Olympic medals in water polo.")</f>
        <v>György Kásás is the athlete with the most Olympic medals in water polo.</v>
      </c>
    </row>
    <row r="61" ht="22.5" customHeight="1">
      <c r="A61" s="4">
        <v>60.0</v>
      </c>
      <c r="B61" s="5" t="s">
        <v>3106</v>
      </c>
      <c r="C61" s="5" t="s">
        <v>3107</v>
      </c>
      <c r="D61" s="5" t="s">
        <v>1424</v>
      </c>
      <c r="E61" s="5" t="s">
        <v>3108</v>
      </c>
      <c r="G61" s="10" t="str">
        <f>IFERROR(__xludf.DUMMYFUNCTION("GOOGLETRANSLATE(A61,""it"",""en"")"),"60")</f>
        <v>60</v>
      </c>
      <c r="H61" s="10" t="str">
        <f>IFERROR(__xludf.DUMMYFUNCTION("GOOGLETRANSLATE(B61,""it"",""en"")"),"Who won the 1992 Olympic Water Polo gold medal?")</f>
        <v>Who won the 1992 Olympic Water Polo gold medal?</v>
      </c>
      <c r="I61" s="10" t="str">
        <f>IFERROR(__xludf.DUMMYFUNCTION("GOOGLETRANSLATE(C61,""it"",""en"")"),"A. Italy B. Spain C. Serbia D. Croatia")</f>
        <v>A. Italy B. Spain C. Serbia D. Croatia</v>
      </c>
      <c r="J61" s="10" t="str">
        <f>IFERROR(__xludf.DUMMYFUNCTION("GOOGLETRANSLATE(D61,""it"",""en"")"),"Spain")</f>
        <v>Spain</v>
      </c>
      <c r="K61" s="10" t="str">
        <f>IFERROR(__xludf.DUMMYFUNCTION("GOOGLETRANSLATE(E61,""it"",""en"")"),"Spain won the Olympic water polo gold medal in 1992.")</f>
        <v>Spain won the Olympic water polo gold medal in 1992.</v>
      </c>
    </row>
    <row r="62" ht="22.5" customHeight="1">
      <c r="A62" s="4">
        <v>61.0</v>
      </c>
      <c r="B62" s="5" t="s">
        <v>3109</v>
      </c>
      <c r="C62" s="5" t="s">
        <v>3110</v>
      </c>
      <c r="D62" s="5" t="s">
        <v>2927</v>
      </c>
      <c r="E62" s="5" t="s">
        <v>3111</v>
      </c>
      <c r="G62" s="10" t="str">
        <f>IFERROR(__xludf.DUMMYFUNCTION("GOOGLETRANSLATE(A62,""it"",""en"")"),"61")</f>
        <v>61</v>
      </c>
      <c r="H62" s="10" t="str">
        <f>IFERROR(__xludf.DUMMYFUNCTION("GOOGLETRANSLATE(B62,""it"",""en"")"),"Who has won the most Olympic gold medals in water polo?")</f>
        <v>Who has won the most Olympic gold medals in water polo?</v>
      </c>
      <c r="I62" s="10" t="str">
        <f>IFERROR(__xludf.DUMMYFUNCTION("GOOGLETRANSLATE(C62,""it"",""en"")"),"A. Italy B. Serbia C. Hungary D. Spain")</f>
        <v>A. Italy B. Serbia C. Hungary D. Spain</v>
      </c>
      <c r="J62" s="10" t="str">
        <f>IFERROR(__xludf.DUMMYFUNCTION("GOOGLETRANSLATE(D62,""it"",""en"")"),"Hungary")</f>
        <v>Hungary</v>
      </c>
      <c r="K62" s="10" t="str">
        <f>IFERROR(__xludf.DUMMYFUNCTION("GOOGLETRANSLATE(E62,""it"",""en"")"),"Hungary has won the most Olympic gold medals in water polo.")</f>
        <v>Hungary has won the most Olympic gold medals in water polo.</v>
      </c>
    </row>
    <row r="63" ht="22.5" customHeight="1">
      <c r="A63" s="4">
        <v>62.0</v>
      </c>
      <c r="B63" s="5" t="s">
        <v>3112</v>
      </c>
      <c r="C63" s="5" t="s">
        <v>3113</v>
      </c>
      <c r="D63" s="4">
        <v>1903.0</v>
      </c>
      <c r="E63" s="5" t="s">
        <v>3114</v>
      </c>
      <c r="G63" s="10" t="str">
        <f>IFERROR(__xludf.DUMMYFUNCTION("GOOGLETRANSLATE(A63,""it"",""en"")"),"62")</f>
        <v>62</v>
      </c>
      <c r="H63" s="10" t="str">
        <f>IFERROR(__xludf.DUMMYFUNCTION("GOOGLETRANSLATE(B63,""it"",""en"")"),"In what year was the first water polo team founded in Italy?")</f>
        <v>In what year was the first water polo team founded in Italy?</v>
      </c>
      <c r="I63" s="10" t="str">
        <f>IFERROR(__xludf.DUMMYFUNCTION("GOOGLETRANSLATE(C63,""it"",""en"")"),"A. 1903 B. 1906 C. 1910 D. 1920")</f>
        <v>A. 1903 B. 1906 C. 1910 D. 1920</v>
      </c>
      <c r="J63" s="10" t="str">
        <f>IFERROR(__xludf.DUMMYFUNCTION("GOOGLETRANSLATE(D63,""it"",""en"")"),"1903")</f>
        <v>1903</v>
      </c>
      <c r="K63" s="10" t="str">
        <f>IFERROR(__xludf.DUMMYFUNCTION("GOOGLETRANSLATE(E63,""it"",""en"")"),"The first water polo team in Italy was founded in 1903.")</f>
        <v>The first water polo team in Italy was founded in 1903.</v>
      </c>
    </row>
    <row r="64" ht="22.5" customHeight="1">
      <c r="A64" s="4">
        <v>63.0</v>
      </c>
      <c r="B64" s="5" t="s">
        <v>3115</v>
      </c>
      <c r="C64" s="5" t="s">
        <v>3013</v>
      </c>
      <c r="D64" s="5" t="s">
        <v>3014</v>
      </c>
      <c r="E64" s="5" t="s">
        <v>3116</v>
      </c>
      <c r="G64" s="10" t="str">
        <f>IFERROR(__xludf.DUMMYFUNCTION("GOOGLETRANSLATE(A64,""it"",""en"")"),"63")</f>
        <v>63</v>
      </c>
      <c r="H64" s="10" t="str">
        <f>IFERROR(__xludf.DUMMYFUNCTION("GOOGLETRANSLATE(B64,""it"",""en"")"),"Who won the first gold medal in water polo at the 2000 Olympics?")</f>
        <v>Who won the first gold medal in water polo at the 2000 Olympics?</v>
      </c>
      <c r="I64" s="10" t="str">
        <f>IFERROR(__xludf.DUMMYFUNCTION("GOOGLETRANSLATE(C64,""it"",""en"")"),"A. Italy B. Spain C. Serbia D. Hungary")</f>
        <v>A. Italy B. Spain C. Serbia D. Hungary</v>
      </c>
      <c r="J64" s="10" t="str">
        <f>IFERROR(__xludf.DUMMYFUNCTION("GOOGLETRANSLATE(D64,""it"",""en"")"),"Serbia")</f>
        <v>Serbia</v>
      </c>
      <c r="K64" s="10" t="str">
        <f>IFERROR(__xludf.DUMMYFUNCTION("GOOGLETRANSLATE(E64,""it"",""en"")"),"Serbia won the gold medal in the water polo tournament at the 2000 Olympics.")</f>
        <v>Serbia won the gold medal in the water polo tournament at the 2000 Olympics.</v>
      </c>
    </row>
    <row r="65" ht="22.5" customHeight="1">
      <c r="A65" s="4">
        <v>64.0</v>
      </c>
      <c r="B65" s="5" t="s">
        <v>3117</v>
      </c>
      <c r="C65" s="5" t="s">
        <v>3118</v>
      </c>
      <c r="D65" s="5" t="s">
        <v>2955</v>
      </c>
      <c r="E65" s="5" t="s">
        <v>3119</v>
      </c>
      <c r="G65" s="10" t="str">
        <f>IFERROR(__xludf.DUMMYFUNCTION("GOOGLETRANSLATE(A65,""it"",""en"")"),"64")</f>
        <v>64</v>
      </c>
      <c r="H65" s="10" t="str">
        <f>IFERROR(__xludf.DUMMYFUNCTION("GOOGLETRANSLATE(B65,""it"",""en"")"),"Which athlete was the captain of the Italian team that won Olympic gold in 1992?")</f>
        <v>Which athlete was the captain of the Italian team that won Olympic gold in 1992?</v>
      </c>
      <c r="I65" s="10" t="str">
        <f>IFERROR(__xludf.DUMMYFUNCTION("GOOGLETRANSLATE(C65,""it"",""en"")"),"A. Pino Porzio B. Giovanni Rossi C. Francesco Esposito D. Alessandro Campagna")</f>
        <v>A. Pino Porzio B. Giovanni Rossi C. Francesco Esposito D. Alessandro Campagna</v>
      </c>
      <c r="J65" s="10" t="str">
        <f>IFERROR(__xludf.DUMMYFUNCTION("GOOGLETRANSLATE(D65,""it"",""en"")"),"Pino Porzio")</f>
        <v>Pino Porzio</v>
      </c>
      <c r="K65" s="10" t="str">
        <f>IFERROR(__xludf.DUMMYFUNCTION("GOOGLETRANSLATE(E65,""it"",""en"")"),"Pino Porzio was the captain of the Italian team that won Olympic gold in 1992.")</f>
        <v>Pino Porzio was the captain of the Italian team that won Olympic gold in 1992.</v>
      </c>
    </row>
    <row r="66" ht="22.5" customHeight="1">
      <c r="A66" s="4">
        <v>65.0</v>
      </c>
      <c r="B66" s="5" t="s">
        <v>3120</v>
      </c>
      <c r="C66" s="5" t="s">
        <v>3060</v>
      </c>
      <c r="D66" s="4">
        <v>1990.0</v>
      </c>
      <c r="E66" s="5" t="s">
        <v>3121</v>
      </c>
      <c r="G66" s="10" t="str">
        <f>IFERROR(__xludf.DUMMYFUNCTION("GOOGLETRANSLATE(A66,""it"",""en"")"),"65")</f>
        <v>65</v>
      </c>
      <c r="H66" s="10" t="str">
        <f>IFERROR(__xludf.DUMMYFUNCTION("GOOGLETRANSLATE(B66,""it"",""en"")"),"In what year did water polo become a professional sport in Italy?")</f>
        <v>In what year did water polo become a professional sport in Italy?</v>
      </c>
      <c r="I66" s="10" t="str">
        <f>IFERROR(__xludf.DUMMYFUNCTION("GOOGLETRANSLATE(C66,""it"",""en"")"),"A. 1980 B. 1990 C. 2000 D. 2010")</f>
        <v>A. 1980 B. 1990 C. 2000 D. 2010</v>
      </c>
      <c r="J66" s="10" t="str">
        <f>IFERROR(__xludf.DUMMYFUNCTION("GOOGLETRANSLATE(D66,""it"",""en"")"),"1990")</f>
        <v>1990</v>
      </c>
      <c r="K66" s="10" t="str">
        <f>IFERROR(__xludf.DUMMYFUNCTION("GOOGLETRANSLATE(E66,""it"",""en"")"),"Water polo became a professional sport in Italy in the 1990s.")</f>
        <v>Water polo became a professional sport in Italy in the 1990s.</v>
      </c>
    </row>
    <row r="67" ht="22.5" customHeight="1">
      <c r="A67" s="4">
        <v>66.0</v>
      </c>
      <c r="B67" s="5" t="s">
        <v>3122</v>
      </c>
      <c r="C67" s="5" t="s">
        <v>3123</v>
      </c>
      <c r="D67" s="4">
        <v>7.0</v>
      </c>
      <c r="E67" s="5" t="s">
        <v>3124</v>
      </c>
      <c r="G67" s="10" t="str">
        <f>IFERROR(__xludf.DUMMYFUNCTION("GOOGLETRANSLATE(A67,""it"",""en"")"),"66")</f>
        <v>66</v>
      </c>
      <c r="H67" s="10" t="str">
        <f>IFERROR(__xludf.DUMMYFUNCTION("GOOGLETRANSLATE(B67,""it"",""en"")"),"How many players are on a water polo field during a match?")</f>
        <v>How many players are on a water polo field during a match?</v>
      </c>
      <c r="I67" s="10" t="str">
        <f>IFERROR(__xludf.DUMMYFUNCTION("GOOGLETRANSLATE(C67,""it"",""en"")"),"A. 6 B. 7 C. 8 D. 9")</f>
        <v>A. 6 B. 7 C. 8 D. 9</v>
      </c>
      <c r="J67" s="10" t="str">
        <f>IFERROR(__xludf.DUMMYFUNCTION("GOOGLETRANSLATE(D67,""it"",""en"")"),"7")</f>
        <v>7</v>
      </c>
      <c r="K67" s="10" t="str">
        <f>IFERROR(__xludf.DUMMYFUNCTION("GOOGLETRANSLATE(E67,""it"",""en"")"),"In a water polo match there are 7 players per team, including the goalkeeper.")</f>
        <v>In a water polo match there are 7 players per team, including the goalkeeper.</v>
      </c>
    </row>
    <row r="68" ht="22.5" customHeight="1">
      <c r="A68" s="4">
        <v>67.0</v>
      </c>
      <c r="B68" s="5" t="s">
        <v>3125</v>
      </c>
      <c r="C68" s="5" t="s">
        <v>3126</v>
      </c>
      <c r="D68" s="5" t="s">
        <v>2980</v>
      </c>
      <c r="E68" s="5" t="s">
        <v>3127</v>
      </c>
      <c r="G68" s="10" t="str">
        <f>IFERROR(__xludf.DUMMYFUNCTION("GOOGLETRANSLATE(A68,""it"",""en"")"),"67")</f>
        <v>67</v>
      </c>
      <c r="H68" s="10" t="str">
        <f>IFERROR(__xludf.DUMMYFUNCTION("GOOGLETRANSLATE(B68,""it"",""en"")"),"Where was the first European water polo tournament held?")</f>
        <v>Where was the first European water polo tournament held?</v>
      </c>
      <c r="I68" s="10" t="str">
        <f>IFERROR(__xludf.DUMMYFUNCTION("GOOGLETRANSLATE(C68,""it"",""en"")"),"A. London B. Rome C. Budapest D. Madrid")</f>
        <v>A. London B. Rome C. Budapest D. Madrid</v>
      </c>
      <c r="J68" s="10" t="str">
        <f>IFERROR(__xludf.DUMMYFUNCTION("GOOGLETRANSLATE(D68,""it"",""en"")"),"Rome")</f>
        <v>Rome</v>
      </c>
      <c r="K68" s="10" t="str">
        <f>IFERROR(__xludf.DUMMYFUNCTION("GOOGLETRANSLATE(E68,""it"",""en"")"),"The first European water polo tournament took place in Rome.")</f>
        <v>The first European water polo tournament took place in Rome.</v>
      </c>
    </row>
    <row r="69" ht="22.5" customHeight="1">
      <c r="A69" s="4">
        <v>68.0</v>
      </c>
      <c r="B69" s="5" t="s">
        <v>3128</v>
      </c>
      <c r="C69" s="5" t="s">
        <v>3129</v>
      </c>
      <c r="D69" s="5" t="s">
        <v>2994</v>
      </c>
      <c r="E69" s="5" t="s">
        <v>3130</v>
      </c>
      <c r="G69" s="10" t="str">
        <f>IFERROR(__xludf.DUMMYFUNCTION("GOOGLETRANSLATE(A69,""it"",""en"")"),"68")</f>
        <v>68</v>
      </c>
      <c r="H69" s="10" t="str">
        <f>IFERROR(__xludf.DUMMYFUNCTION("GOOGLETRANSLATE(B69,""it"",""en"")"),"Who won the first international club water polo tournament in 1963?")</f>
        <v>Who won the first international club water polo tournament in 1963?</v>
      </c>
      <c r="I69" s="10" t="str">
        <f>IFERROR(__xludf.DUMMYFUNCTION("GOOGLETRANSLATE(C69,""it"",""en"")"),"A. Pro Recco B. Spandau 04 C. Milan D. Savona")</f>
        <v>A. Pro Recco B. Spandau 04 C. Milan D. Savona</v>
      </c>
      <c r="J69" s="10" t="str">
        <f>IFERROR(__xludf.DUMMYFUNCTION("GOOGLETRANSLATE(D69,""it"",""en"")"),"Pro Recco")</f>
        <v>Pro Recco</v>
      </c>
      <c r="K69" s="10" t="str">
        <f>IFERROR(__xludf.DUMMYFUNCTION("GOOGLETRANSLATE(E69,""it"",""en"")"),"Pro Recco won the first international club water polo tournament in 1963.")</f>
        <v>Pro Recco won the first international club water polo tournament in 1963.</v>
      </c>
    </row>
    <row r="70" ht="22.5" customHeight="1">
      <c r="A70" s="4">
        <v>69.0</v>
      </c>
      <c r="B70" s="5" t="s">
        <v>3131</v>
      </c>
      <c r="C70" s="5" t="s">
        <v>3132</v>
      </c>
      <c r="D70" s="4">
        <v>1970.0</v>
      </c>
      <c r="E70" s="5" t="s">
        <v>3133</v>
      </c>
      <c r="G70" s="10" t="str">
        <f>IFERROR(__xludf.DUMMYFUNCTION("GOOGLETRANSLATE(A70,""it"",""en"")"),"69")</f>
        <v>69</v>
      </c>
      <c r="H70" s="10" t="str">
        <f>IFERROR(__xludf.DUMMYFUNCTION("GOOGLETRANSLATE(B70,""it"",""en"")"),"In which year was Water Polo introduced as a sport in the Commonwealth Games?")</f>
        <v>In which year was Water Polo introduced as a sport in the Commonwealth Games?</v>
      </c>
      <c r="I70" s="10" t="str">
        <f>IFERROR(__xludf.DUMMYFUNCTION("GOOGLETRANSLATE(C70,""it"",""en"")"),"A. 1950 B. 1966 C. 1970 D. 1980")</f>
        <v>A. 1950 B. 1966 C. 1970 D. 1980</v>
      </c>
      <c r="J70" s="10" t="str">
        <f>IFERROR(__xludf.DUMMYFUNCTION("GOOGLETRANSLATE(D70,""it"",""en"")"),"1970")</f>
        <v>1970</v>
      </c>
      <c r="K70" s="10" t="str">
        <f>IFERROR(__xludf.DUMMYFUNCTION("GOOGLETRANSLATE(E70,""it"",""en"")"),"Water polo was introduced as a sport in the Commonwealth Games in 1970.")</f>
        <v>Water polo was introduced as a sport in the Commonwealth Games in 1970.</v>
      </c>
    </row>
    <row r="71" ht="22.5" customHeight="1">
      <c r="A71" s="4">
        <v>70.0</v>
      </c>
      <c r="B71" s="5" t="s">
        <v>3134</v>
      </c>
      <c r="C71" s="5" t="s">
        <v>3135</v>
      </c>
      <c r="D71" s="5" t="s">
        <v>3136</v>
      </c>
      <c r="E71" s="5" t="s">
        <v>3137</v>
      </c>
      <c r="G71" s="10" t="str">
        <f>IFERROR(__xludf.DUMMYFUNCTION("GOOGLETRANSLATE(A71,""it"",""en"")"),"70")</f>
        <v>70</v>
      </c>
      <c r="H71" s="10" t="str">
        <f>IFERROR(__xludf.DUMMYFUNCTION("GOOGLETRANSLATE(B71,""it"",""en"")"),"Who was the first Italian goalkeeper to play in an international water polo competition?")</f>
        <v>Who was the first Italian goalkeeper to play in an international water polo competition?</v>
      </c>
      <c r="I71" s="10" t="str">
        <f>IFERROR(__xludf.DUMMYFUNCTION("GOOGLETRANSLATE(C71,""it"",""en"")"),"A. Pino Porzio B. Francesco Esposito C. Giuseppe Frassi D. Giovanni C. Minervini")</f>
        <v>A. Pino Porzio B. Francesco Esposito C. Giuseppe Frassi D. Giovanni C. Minervini</v>
      </c>
      <c r="J71" s="10" t="str">
        <f>IFERROR(__xludf.DUMMYFUNCTION("GOOGLETRANSLATE(D71,""it"",""en"")"),"Joseph Frassi")</f>
        <v>Joseph Frassi</v>
      </c>
      <c r="K71" s="10" t="str">
        <f>IFERROR(__xludf.DUMMYFUNCTION("GOOGLETRANSLATE(E71,""it"",""en"")"),"Giuseppe Frassi was one of the first Italian goalkeepers to play in an international water polo competition.")</f>
        <v>Giuseppe Frassi was one of the first Italian goalkeepers to play in an international water polo competition.</v>
      </c>
    </row>
    <row r="72" ht="22.5" customHeight="1">
      <c r="A72" s="4">
        <v>71.0</v>
      </c>
      <c r="B72" s="5" t="s">
        <v>3138</v>
      </c>
      <c r="C72" s="5" t="s">
        <v>3139</v>
      </c>
      <c r="D72" s="4">
        <v>1905.0</v>
      </c>
      <c r="E72" s="5" t="s">
        <v>3140</v>
      </c>
      <c r="G72" s="10" t="str">
        <f>IFERROR(__xludf.DUMMYFUNCTION("GOOGLETRANSLATE(A72,""it"",""en"")"),"71")</f>
        <v>71</v>
      </c>
      <c r="H72" s="10" t="str">
        <f>IFERROR(__xludf.DUMMYFUNCTION("GOOGLETRANSLATE(B72,""it"",""en"")"),"In what year was the Italian Water Polo Championship established?")</f>
        <v>In what year was the Italian Water Polo Championship established?</v>
      </c>
      <c r="I72" s="10" t="str">
        <f>IFERROR(__xludf.DUMMYFUNCTION("GOOGLETRANSLATE(C72,""it"",""en"")"),"A. 1905 B. 1910 C. 1920 D. 1930")</f>
        <v>A. 1905 B. 1910 C. 1920 D. 1930</v>
      </c>
      <c r="J72" s="10" t="str">
        <f>IFERROR(__xludf.DUMMYFUNCTION("GOOGLETRANSLATE(D72,""it"",""en"")"),"1905")</f>
        <v>1905</v>
      </c>
      <c r="K72" s="10" t="str">
        <f>IFERROR(__xludf.DUMMYFUNCTION("GOOGLETRANSLATE(E72,""it"",""en"")"),"The Italian Water Polo Championship was established in 1905.")</f>
        <v>The Italian Water Polo Championship was established in 1905.</v>
      </c>
    </row>
    <row r="73" ht="22.5" customHeight="1">
      <c r="A73" s="4">
        <v>72.0</v>
      </c>
      <c r="B73" s="5" t="s">
        <v>3141</v>
      </c>
      <c r="C73" s="5" t="s">
        <v>3142</v>
      </c>
      <c r="D73" s="5" t="s">
        <v>3143</v>
      </c>
      <c r="E73" s="5" t="s">
        <v>3144</v>
      </c>
      <c r="G73" s="10" t="str">
        <f>IFERROR(__xludf.DUMMYFUNCTION("GOOGLETRANSLATE(A73,""it"",""en"")"),"72")</f>
        <v>72</v>
      </c>
      <c r="H73" s="10" t="str">
        <f>IFERROR(__xludf.DUMMYFUNCTION("GOOGLETRANSLATE(B73,""it"",""en"")"),"Who is considered one of the greatest coaches in Italian water polo?")</f>
        <v>Who is considered one of the greatest coaches in Italian water polo?</v>
      </c>
      <c r="I73" s="10" t="str">
        <f>IFERROR(__xludf.DUMMYFUNCTION("GOOGLETRANSLATE(C73,""it"",""en"")"),"A. Giuseppe Frassi B. Francesco Esposito C. Alessandro Campagna D. Enzo Moser")</f>
        <v>A. Giuseppe Frassi B. Francesco Esposito C. Alessandro Campagna D. Enzo Moser</v>
      </c>
      <c r="J73" s="10" t="str">
        <f>IFERROR(__xludf.DUMMYFUNCTION("GOOGLETRANSLATE(D73,""it"",""en"")"),"Alessandro Campagna")</f>
        <v>Alessandro Campagna</v>
      </c>
      <c r="K73" s="10" t="str">
        <f>IFERROR(__xludf.DUMMYFUNCTION("GOOGLETRANSLATE(E73,""it"",""en"")"),"Alessandro Campagna is one of the most famous coaches in Italian water polo.")</f>
        <v>Alessandro Campagna is one of the most famous coaches in Italian water polo.</v>
      </c>
    </row>
    <row r="74" ht="22.5" customHeight="1">
      <c r="A74" s="4">
        <v>73.0</v>
      </c>
      <c r="B74" s="5" t="s">
        <v>3145</v>
      </c>
      <c r="C74" s="5" t="s">
        <v>3146</v>
      </c>
      <c r="D74" s="4">
        <v>2000.0</v>
      </c>
      <c r="E74" s="5" t="s">
        <v>3147</v>
      </c>
      <c r="G74" s="10" t="str">
        <f>IFERROR(__xludf.DUMMYFUNCTION("GOOGLETRANSLATE(A74,""it"",""en"")"),"73")</f>
        <v>73</v>
      </c>
      <c r="H74" s="10" t="str">
        <f>IFERROR(__xludf.DUMMYFUNCTION("GOOGLETRANSLATE(B74,""it"",""en"")"),"When was water polo recognized as an Olympic sport for women?")</f>
        <v>When was water polo recognized as an Olympic sport for women?</v>
      </c>
      <c r="I74" s="10" t="str">
        <f>IFERROR(__xludf.DUMMYFUNCTION("GOOGLETRANSLATE(C74,""it"",""en"")"),"A. 1964 B. 1980 C. 2000 D. 2004")</f>
        <v>A. 1964 B. 1980 C. 2000 D. 2004</v>
      </c>
      <c r="J74" s="10" t="str">
        <f>IFERROR(__xludf.DUMMYFUNCTION("GOOGLETRANSLATE(D74,""it"",""en"")"),"2000")</f>
        <v>2000</v>
      </c>
      <c r="K74" s="10" t="str">
        <f>IFERROR(__xludf.DUMMYFUNCTION("GOOGLETRANSLATE(E74,""it"",""en"")"),"Women's water polo was recognized as an Olympic sport in 2000.")</f>
        <v>Women's water polo was recognized as an Olympic sport in 2000.</v>
      </c>
    </row>
    <row r="75" ht="22.5" customHeight="1">
      <c r="A75" s="4">
        <v>74.0</v>
      </c>
      <c r="B75" s="5" t="s">
        <v>3148</v>
      </c>
      <c r="C75" s="5" t="s">
        <v>3086</v>
      </c>
      <c r="D75" s="4">
        <v>1900.0</v>
      </c>
      <c r="E75" s="5" t="s">
        <v>3149</v>
      </c>
      <c r="G75" s="10" t="str">
        <f>IFERROR(__xludf.DUMMYFUNCTION("GOOGLETRANSLATE(A75,""it"",""en"")"),"74")</f>
        <v>74</v>
      </c>
      <c r="H75" s="10" t="str">
        <f>IFERROR(__xludf.DUMMYFUNCTION("GOOGLETRANSLATE(B75,""it"",""en"")"),"In what year did men's water polo make its Olympic debut?")</f>
        <v>In what year did men's water polo make its Olympic debut?</v>
      </c>
      <c r="I75" s="10" t="str">
        <f>IFERROR(__xludf.DUMMYFUNCTION("GOOGLETRANSLATE(C75,""it"",""en"")"),"A. 1900 B. 1912 C. 1924 D. 1936")</f>
        <v>A. 1900 B. 1912 C. 1924 D. 1936</v>
      </c>
      <c r="J75" s="10" t="str">
        <f>IFERROR(__xludf.DUMMYFUNCTION("GOOGLETRANSLATE(D75,""it"",""en"")"),"1900")</f>
        <v>1900</v>
      </c>
      <c r="K75" s="10" t="str">
        <f>IFERROR(__xludf.DUMMYFUNCTION("GOOGLETRANSLATE(E75,""it"",""en"")"),"Men's water polo made its Olympic debut in 1900.")</f>
        <v>Men's water polo made its Olympic debut in 1900.</v>
      </c>
    </row>
    <row r="76" ht="22.5" customHeight="1">
      <c r="A76" s="4">
        <v>75.0</v>
      </c>
      <c r="B76" s="5" t="s">
        <v>3150</v>
      </c>
      <c r="C76" s="5" t="s">
        <v>3151</v>
      </c>
      <c r="D76" s="5" t="s">
        <v>3048</v>
      </c>
      <c r="E76" s="5" t="s">
        <v>3152</v>
      </c>
      <c r="G76" s="10" t="str">
        <f>IFERROR(__xludf.DUMMYFUNCTION("GOOGLETRANSLATE(A76,""it"",""en"")"),"75")</f>
        <v>75</v>
      </c>
      <c r="H76" s="10" t="str">
        <f>IFERROR(__xludf.DUMMYFUNCTION("GOOGLETRANSLATE(B76,""it"",""en"")"),"Which nation hosted the first World Water Polo Championship?")</f>
        <v>Which nation hosted the first World Water Polo Championship?</v>
      </c>
      <c r="I76" s="10" t="str">
        <f>IFERROR(__xludf.DUMMYFUNCTION("GOOGLETRANSLATE(C76,""it"",""en"")"),"A. United States B. Italy C. Serbia D. France")</f>
        <v>A. United States B. Italy C. Serbia D. France</v>
      </c>
      <c r="J76" s="10" t="str">
        <f>IFERROR(__xludf.DUMMYFUNCTION("GOOGLETRANSLATE(D76,""it"",""en"")"),"United States")</f>
        <v>United States</v>
      </c>
      <c r="K76" s="10" t="str">
        <f>IFERROR(__xludf.DUMMYFUNCTION("GOOGLETRANSLATE(E76,""it"",""en"")"),"The United States hosted the first World Water Polo Championship in 1970.")</f>
        <v>The United States hosted the first World Water Polo Championship in 1970.</v>
      </c>
    </row>
    <row r="77" ht="22.5" customHeight="1">
      <c r="A77" s="4">
        <v>76.0</v>
      </c>
      <c r="B77" s="5" t="s">
        <v>3153</v>
      </c>
      <c r="C77" s="5" t="s">
        <v>3154</v>
      </c>
      <c r="D77" s="5" t="s">
        <v>3048</v>
      </c>
      <c r="E77" s="5" t="s">
        <v>3155</v>
      </c>
      <c r="G77" s="10" t="str">
        <f>IFERROR(__xludf.DUMMYFUNCTION("GOOGLETRANSLATE(A77,""it"",""en"")"),"76")</f>
        <v>76</v>
      </c>
      <c r="H77" s="10" t="str">
        <f>IFERROR(__xludf.DUMMYFUNCTION("GOOGLETRANSLATE(B77,""it"",""en"")"),"Which nation has won the most Olympic medals in women's water polo?")</f>
        <v>Which nation has won the most Olympic medals in women's water polo?</v>
      </c>
      <c r="I77" s="10" t="str">
        <f>IFERROR(__xludf.DUMMYFUNCTION("GOOGLETRANSLATE(C77,""it"",""en"")"),"A. Italy B. Spain C. United States D. Serbia")</f>
        <v>A. Italy B. Spain C. United States D. Serbia</v>
      </c>
      <c r="J77" s="10" t="str">
        <f>IFERROR(__xludf.DUMMYFUNCTION("GOOGLETRANSLATE(D77,""it"",""en"")"),"United States")</f>
        <v>United States</v>
      </c>
      <c r="K77" s="10" t="str">
        <f>IFERROR(__xludf.DUMMYFUNCTION("GOOGLETRANSLATE(E77,""it"",""en"")"),"The United States has won the most Olympic medals in women's water polo.")</f>
        <v>The United States has won the most Olympic medals in women's water polo.</v>
      </c>
    </row>
    <row r="78" ht="22.5" customHeight="1">
      <c r="A78" s="4">
        <v>77.0</v>
      </c>
      <c r="B78" s="5" t="s">
        <v>3156</v>
      </c>
      <c r="C78" s="5" t="s">
        <v>3157</v>
      </c>
      <c r="D78" s="5" t="s">
        <v>3064</v>
      </c>
      <c r="E78" s="5" t="s">
        <v>3158</v>
      </c>
      <c r="G78" s="10" t="str">
        <f>IFERROR(__xludf.DUMMYFUNCTION("GOOGLETRANSLATE(A78,""it"",""en"")"),"77")</f>
        <v>77</v>
      </c>
      <c r="H78" s="10" t="str">
        <f>IFERROR(__xludf.DUMMYFUNCTION("GOOGLETRANSLATE(B78,""it"",""en"")"),"Who was the youngest player to win an Olympic medal in water polo?")</f>
        <v>Who was the youngest player to win an Olympic medal in water polo?</v>
      </c>
      <c r="I78" s="10" t="str">
        <f>IFERROR(__xludf.DUMMYFUNCTION("GOOGLETRANSLATE(C78,""it"",""en"")"),"A. Zoltán Szécsi B. Tibor Benedek C. Giovanni Porzio D. György Kásás")</f>
        <v>A. Zoltán Szécsi B. Tibor Benedek C. Giovanni Porzio D. György Kásás</v>
      </c>
      <c r="J78" s="10" t="str">
        <f>IFERROR(__xludf.DUMMYFUNCTION("GOOGLETRANSLATE(D78,""it"",""en"")"),"Tibor Benedek")</f>
        <v>Tibor Benedek</v>
      </c>
      <c r="K78" s="10" t="str">
        <f>IFERROR(__xludf.DUMMYFUNCTION("GOOGLETRANSLATE(E78,""it"",""en"")"),"Tibor Benedek was the youngest player to win an Olympic medal.")</f>
        <v>Tibor Benedek was the youngest player to win an Olympic medal.</v>
      </c>
    </row>
    <row r="79" ht="22.5" customHeight="1">
      <c r="A79" s="4">
        <v>78.0</v>
      </c>
      <c r="B79" s="5" t="s">
        <v>3159</v>
      </c>
      <c r="C79" s="5" t="s">
        <v>3097</v>
      </c>
      <c r="D79" s="5" t="s">
        <v>583</v>
      </c>
      <c r="E79" s="5" t="s">
        <v>3160</v>
      </c>
      <c r="G79" s="10" t="str">
        <f>IFERROR(__xludf.DUMMYFUNCTION("GOOGLETRANSLATE(A79,""it"",""en"")"),"78")</f>
        <v>78</v>
      </c>
      <c r="H79" s="10" t="str">
        <f>IFERROR(__xludf.DUMMYFUNCTION("GOOGLETRANSLATE(B79,""it"",""en"")"),"Which team won the 1964 Olympic water polo gold medal?")</f>
        <v>Which team won the 1964 Olympic water polo gold medal?</v>
      </c>
      <c r="I79" s="10" t="str">
        <f>IFERROR(__xludf.DUMMYFUNCTION("GOOGLETRANSLATE(C79,""it"",""en"")"),"A. Italy B. Serbia C. Yugoslavia D. Spain")</f>
        <v>A. Italy B. Serbia C. Yugoslavia D. Spain</v>
      </c>
      <c r="J79" s="10" t="str">
        <f>IFERROR(__xludf.DUMMYFUNCTION("GOOGLETRANSLATE(D79,""it"",""en"")"),"Italy")</f>
        <v>Italy</v>
      </c>
      <c r="K79" s="10" t="str">
        <f>IFERROR(__xludf.DUMMYFUNCTION("GOOGLETRANSLATE(E79,""it"",""en"")"),"Italy won the Olympic water polo gold medal in 1964.")</f>
        <v>Italy won the Olympic water polo gold medal in 1964.</v>
      </c>
    </row>
    <row r="80" ht="22.5" customHeight="1">
      <c r="A80" s="4">
        <v>79.0</v>
      </c>
      <c r="B80" s="5" t="s">
        <v>3161</v>
      </c>
      <c r="C80" s="5" t="s">
        <v>3162</v>
      </c>
      <c r="D80" s="5" t="s">
        <v>3163</v>
      </c>
      <c r="E80" s="5" t="s">
        <v>3164</v>
      </c>
      <c r="G80" s="10" t="str">
        <f>IFERROR(__xludf.DUMMYFUNCTION("GOOGLETRANSLATE(A80,""it"",""en"")"),"79")</f>
        <v>79</v>
      </c>
      <c r="H80" s="10" t="str">
        <f>IFERROR(__xludf.DUMMYFUNCTION("GOOGLETRANSLATE(B80,""it"",""en"")"),"In which city was the first Water Polo World Cup final held?")</f>
        <v>In which city was the first Water Polo World Cup final held?</v>
      </c>
      <c r="I80" s="10" t="str">
        <f>IFERROR(__xludf.DUMMYFUNCTION("GOOGLETRANSLATE(C80,""it"",""en"")"),"A. Budapest B. Rome C. Los Angeles D. Belgrade")</f>
        <v>A. Budapest B. Rome C. Los Angeles D. Belgrade</v>
      </c>
      <c r="J80" s="10" t="str">
        <f>IFERROR(__xludf.DUMMYFUNCTION("GOOGLETRANSLATE(D80,""it"",""en"")"),"Budapest")</f>
        <v>Budapest</v>
      </c>
      <c r="K80" s="10" t="str">
        <f>IFERROR(__xludf.DUMMYFUNCTION("GOOGLETRANSLATE(E80,""it"",""en"")"),"The first Water Polo World Cup final took place in Budapest.")</f>
        <v>The first Water Polo World Cup final took place in Budapest.</v>
      </c>
    </row>
    <row r="81" ht="22.5" customHeight="1">
      <c r="A81" s="4">
        <v>80.0</v>
      </c>
      <c r="B81" s="5" t="s">
        <v>3165</v>
      </c>
      <c r="C81" s="5" t="s">
        <v>3166</v>
      </c>
      <c r="D81" s="5" t="s">
        <v>3104</v>
      </c>
      <c r="E81" s="5" t="s">
        <v>3167</v>
      </c>
      <c r="G81" s="10" t="str">
        <f>IFERROR(__xludf.DUMMYFUNCTION("GOOGLETRANSLATE(A81,""it"",""en"")"),"80")</f>
        <v>80</v>
      </c>
      <c r="H81" s="10" t="str">
        <f>IFERROR(__xludf.DUMMYFUNCTION("GOOGLETRANSLATE(B81,""it"",""en"")"),"Which athlete has won the most Olympic medals in water polo?")</f>
        <v>Which athlete has won the most Olympic medals in water polo?</v>
      </c>
      <c r="I81" s="10" t="str">
        <f>IFERROR(__xludf.DUMMYFUNCTION("GOOGLETRANSLATE(C81,""it"",""en"")"),"A. Tibor Benedek B. Zoltán Szécsi C. György Kásás D. Pino Porzio")</f>
        <v>A. Tibor Benedek B. Zoltán Szécsi C. György Kásás D. Pino Porzio</v>
      </c>
      <c r="J81" s="10" t="str">
        <f>IFERROR(__xludf.DUMMYFUNCTION("GOOGLETRANSLATE(D81,""it"",""en"")"),"György Kásás")</f>
        <v>György Kásás</v>
      </c>
      <c r="K81" s="10" t="str">
        <f>IFERROR(__xludf.DUMMYFUNCTION("GOOGLETRANSLATE(E81,""it"",""en"")"),"György Kásás has won the most Olympic medals in water polo.")</f>
        <v>György Kásás has won the most Olympic medals in water polo.</v>
      </c>
    </row>
    <row r="82" ht="22.5" customHeight="1">
      <c r="A82" s="4">
        <v>81.0</v>
      </c>
      <c r="B82" s="5" t="s">
        <v>3168</v>
      </c>
      <c r="C82" s="5" t="s">
        <v>3169</v>
      </c>
      <c r="D82" s="4">
        <v>1975.0</v>
      </c>
      <c r="E82" s="5" t="s">
        <v>3170</v>
      </c>
      <c r="G82" s="10" t="str">
        <f>IFERROR(__xludf.DUMMYFUNCTION("GOOGLETRANSLATE(A82,""it"",""en"")"),"81")</f>
        <v>81</v>
      </c>
      <c r="H82" s="10" t="str">
        <f>IFERROR(__xludf.DUMMYFUNCTION("GOOGLETRANSLATE(B82,""it"",""en"")"),"In which year did the Italian water polo team win its first World Championship?")</f>
        <v>In which year did the Italian water polo team win its first World Championship?</v>
      </c>
      <c r="I82" s="10" t="str">
        <f>IFERROR(__xludf.DUMMYFUNCTION("GOOGLETRANSLATE(C82,""it"",""en"")"),"A. 1963 B. 1970 C. 1975 D. 1980")</f>
        <v>A. 1963 B. 1970 C. 1975 D. 1980</v>
      </c>
      <c r="J82" s="10" t="str">
        <f>IFERROR(__xludf.DUMMYFUNCTION("GOOGLETRANSLATE(D82,""it"",""en"")"),"1975")</f>
        <v>1975</v>
      </c>
      <c r="K82" s="10" t="str">
        <f>IFERROR(__xludf.DUMMYFUNCTION("GOOGLETRANSLATE(E82,""it"",""en"")"),"Italy won its first World Water Polo Championship in 1975.")</f>
        <v>Italy won its first World Water Polo Championship in 1975.</v>
      </c>
    </row>
    <row r="83" ht="22.5" customHeight="1">
      <c r="A83" s="4">
        <v>82.0</v>
      </c>
      <c r="B83" s="5" t="s">
        <v>3171</v>
      </c>
      <c r="C83" s="5" t="s">
        <v>3172</v>
      </c>
      <c r="D83" s="5" t="s">
        <v>2994</v>
      </c>
      <c r="E83" s="5" t="s">
        <v>3173</v>
      </c>
      <c r="G83" s="10" t="str">
        <f>IFERROR(__xludf.DUMMYFUNCTION("GOOGLETRANSLATE(A83,""it"",""en"")"),"82")</f>
        <v>82</v>
      </c>
      <c r="H83" s="10" t="str">
        <f>IFERROR(__xludf.DUMMYFUNCTION("GOOGLETRANSLATE(B83,""it"",""en"")"),"Who has won the most titles in the European Water Polo League?")</f>
        <v>Who has won the most titles in the European Water Polo League?</v>
      </c>
      <c r="I83" s="10" t="str">
        <f>IFERROR(__xludf.DUMMYFUNCTION("GOOGLETRANSLATE(C83,""it"",""en"")"),"A. Pro Recco B. Yugoslavia C. Spandau 04 D. Savona")</f>
        <v>A. Pro Recco B. Yugoslavia C. Spandau 04 D. Savona</v>
      </c>
      <c r="J83" s="10" t="str">
        <f>IFERROR(__xludf.DUMMYFUNCTION("GOOGLETRANSLATE(D83,""it"",""en"")"),"Pro Recco")</f>
        <v>Pro Recco</v>
      </c>
      <c r="K83" s="10" t="str">
        <f>IFERROR(__xludf.DUMMYFUNCTION("GOOGLETRANSLATE(E83,""it"",""en"")"),"Pro Recco has won the most titles in the European Water Polo League.")</f>
        <v>Pro Recco has won the most titles in the European Water Polo League.</v>
      </c>
    </row>
    <row r="84" ht="22.5" customHeight="1">
      <c r="A84" s="4">
        <v>83.0</v>
      </c>
      <c r="B84" s="5" t="s">
        <v>3174</v>
      </c>
      <c r="C84" s="5" t="s">
        <v>3175</v>
      </c>
      <c r="D84" s="5" t="s">
        <v>583</v>
      </c>
      <c r="E84" s="5" t="s">
        <v>3176</v>
      </c>
      <c r="G84" s="10" t="str">
        <f>IFERROR(__xludf.DUMMYFUNCTION("GOOGLETRANSLATE(A84,""it"",""en"")"),"83")</f>
        <v>83</v>
      </c>
      <c r="H84" s="10" t="str">
        <f>IFERROR(__xludf.DUMMYFUNCTION("GOOGLETRANSLATE(B84,""it"",""en"")"),"Which team won the European Water Polo Championship in 1993?")</f>
        <v>Which team won the European Water Polo Championship in 1993?</v>
      </c>
      <c r="I84" s="10" t="str">
        <f>IFERROR(__xludf.DUMMYFUNCTION("GOOGLETRANSLATE(C84,""it"",""en"")"),"A. Spain B. Italy C. Serbia D. Hungary")</f>
        <v>A. Spain B. Italy C. Serbia D. Hungary</v>
      </c>
      <c r="J84" s="10" t="str">
        <f>IFERROR(__xludf.DUMMYFUNCTION("GOOGLETRANSLATE(D84,""it"",""en"")"),"Italy")</f>
        <v>Italy</v>
      </c>
      <c r="K84" s="10" t="str">
        <f>IFERROR(__xludf.DUMMYFUNCTION("GOOGLETRANSLATE(E84,""it"",""en"")"),"Italy won the European Water Polo Championship in 1993.")</f>
        <v>Italy won the European Water Polo Championship in 1993.</v>
      </c>
    </row>
    <row r="85" ht="22.5" customHeight="1">
      <c r="A85" s="4">
        <v>84.0</v>
      </c>
      <c r="B85" s="5" t="s">
        <v>3177</v>
      </c>
      <c r="C85" s="5" t="s">
        <v>3178</v>
      </c>
      <c r="D85" s="5" t="s">
        <v>3179</v>
      </c>
      <c r="E85" s="5" t="s">
        <v>3180</v>
      </c>
      <c r="G85" s="10" t="str">
        <f>IFERROR(__xludf.DUMMYFUNCTION("GOOGLETRANSLATE(A85,""it"",""en"")"),"84")</f>
        <v>84</v>
      </c>
      <c r="H85" s="10" t="str">
        <f>IFERROR(__xludf.DUMMYFUNCTION("GOOGLETRANSLATE(B85,""it"",""en"")"),"Which city hosted the European Water Polo Championships in 2010?")</f>
        <v>Which city hosted the European Water Polo Championships in 2010?</v>
      </c>
      <c r="I85" s="10" t="str">
        <f>IFERROR(__xludf.DUMMYFUNCTION("GOOGLETRANSLATE(C85,""it"",""en"")"),"A. Rome B. Barcelona C. Belgrade D. Montpellier")</f>
        <v>A. Rome B. Barcelona C. Belgrade D. Montpellier</v>
      </c>
      <c r="J85" s="10" t="str">
        <f>IFERROR(__xludf.DUMMYFUNCTION("GOOGLETRANSLATE(D85,""it"",""en"")"),"Belgrade")</f>
        <v>Belgrade</v>
      </c>
      <c r="K85" s="10" t="str">
        <f>IFERROR(__xludf.DUMMYFUNCTION("GOOGLETRANSLATE(E85,""it"",""en"")"),"Belgrade hosted the European Water Polo Championships in 2010.")</f>
        <v>Belgrade hosted the European Water Polo Championships in 2010.</v>
      </c>
    </row>
    <row r="86" ht="22.5" customHeight="1">
      <c r="A86" s="4">
        <v>85.0</v>
      </c>
      <c r="B86" s="5" t="s">
        <v>3181</v>
      </c>
      <c r="C86" s="5" t="s">
        <v>3182</v>
      </c>
      <c r="D86" s="5" t="s">
        <v>3183</v>
      </c>
      <c r="E86" s="5" t="s">
        <v>3184</v>
      </c>
      <c r="G86" s="10" t="str">
        <f>IFERROR(__xludf.DUMMYFUNCTION("GOOGLETRANSLATE(A86,""it"",""en"")"),"85")</f>
        <v>85</v>
      </c>
      <c r="H86" s="10" t="str">
        <f>IFERROR(__xludf.DUMMYFUNCTION("GOOGLETRANSLATE(B86,""it"",""en"")"),"Which Italian athlete was the top scorer in the 1996 Olympic Water Polo tournament?")</f>
        <v>Which Italian athlete was the top scorer in the 1996 Olympic Water Polo tournament?</v>
      </c>
      <c r="I86" s="10" t="str">
        <f>IFERROR(__xludf.DUMMYFUNCTION("GOOGLETRANSLATE(C86,""it"",""en"")"),"A. Francesco Attolico B. Giovanni Porzio C. Alessandro Campagna D. Pino Porzio")</f>
        <v>A. Francesco Attolico B. Giovanni Porzio C. Alessandro Campagna D. Pino Porzio</v>
      </c>
      <c r="J86" s="10" t="str">
        <f>IFERROR(__xludf.DUMMYFUNCTION("GOOGLETRANSLATE(D86,""it"",""en"")"),"Francesco Attolico")</f>
        <v>Francesco Attolico</v>
      </c>
      <c r="K86" s="10" t="str">
        <f>IFERROR(__xludf.DUMMYFUNCTION("GOOGLETRANSLATE(E86,""it"",""en"")"),"Francesco Attolico was the top scorer of the 1996 Olympic Water Polo tournament.")</f>
        <v>Francesco Attolico was the top scorer of the 1996 Olympic Water Polo tournament.</v>
      </c>
    </row>
    <row r="87" ht="22.5" customHeight="1">
      <c r="A87" s="4">
        <v>86.0</v>
      </c>
      <c r="B87" s="5" t="s">
        <v>3185</v>
      </c>
      <c r="C87" s="5" t="s">
        <v>3186</v>
      </c>
      <c r="D87" s="5" t="s">
        <v>3021</v>
      </c>
      <c r="E87" s="5" t="s">
        <v>3187</v>
      </c>
      <c r="G87" s="10" t="str">
        <f>IFERROR(__xludf.DUMMYFUNCTION("GOOGLETRANSLATE(A87,""it"",""en"")"),"86")</f>
        <v>86</v>
      </c>
      <c r="H87" s="10" t="str">
        <f>IFERROR(__xludf.DUMMYFUNCTION("GOOGLETRANSLATE(B87,""it"",""en"")"),"Who won the 1980 Olympic Water Polo gold medal?")</f>
        <v>Who won the 1980 Olympic Water Polo gold medal?</v>
      </c>
      <c r="I87" s="10" t="str">
        <f>IFERROR(__xludf.DUMMYFUNCTION("GOOGLETRANSLATE(C87,""it"",""en"")"),"A. Yugoslavia B. Serbia C. Italy D. France")</f>
        <v>A. Yugoslavia B. Serbia C. Italy D. France</v>
      </c>
      <c r="J87" s="10" t="str">
        <f>IFERROR(__xludf.DUMMYFUNCTION("GOOGLETRANSLATE(D87,""it"",""en"")"),"Yugoslavia")</f>
        <v>Yugoslavia</v>
      </c>
      <c r="K87" s="10" t="str">
        <f>IFERROR(__xludf.DUMMYFUNCTION("GOOGLETRANSLATE(E87,""it"",""en"")"),"Yugoslavia won the Olympic gold medal in water polo in 1980.")</f>
        <v>Yugoslavia won the Olympic gold medal in water polo in 1980.</v>
      </c>
    </row>
    <row r="88" ht="22.5" customHeight="1">
      <c r="A88" s="4">
        <v>87.0</v>
      </c>
      <c r="B88" s="5" t="s">
        <v>3188</v>
      </c>
      <c r="C88" s="5" t="s">
        <v>3189</v>
      </c>
      <c r="D88" s="4">
        <v>1924.0</v>
      </c>
      <c r="E88" s="5" t="s">
        <v>3190</v>
      </c>
      <c r="G88" s="10" t="str">
        <f>IFERROR(__xludf.DUMMYFUNCTION("GOOGLETRANSLATE(A88,""it"",""en"")"),"87")</f>
        <v>87</v>
      </c>
      <c r="H88" s="10" t="str">
        <f>IFERROR(__xludf.DUMMYFUNCTION("GOOGLETRANSLATE(B88,""it"",""en"")"),"In what year was water polo added as a demonstration sport to the Olympics?")</f>
        <v>In what year was water polo added as a demonstration sport to the Olympics?</v>
      </c>
      <c r="I88" s="10" t="str">
        <f>IFERROR(__xludf.DUMMYFUNCTION("GOOGLETRANSLATE(C88,""it"",""en"")"),"A. 1900 B. 1924 C. 1932 D. 1948")</f>
        <v>A. 1900 B. 1924 C. 1932 D. 1948</v>
      </c>
      <c r="J88" s="10" t="str">
        <f>IFERROR(__xludf.DUMMYFUNCTION("GOOGLETRANSLATE(D88,""it"",""en"")"),"1924")</f>
        <v>1924</v>
      </c>
      <c r="K88" s="10" t="str">
        <f>IFERROR(__xludf.DUMMYFUNCTION("GOOGLETRANSLATE(E88,""it"",""en"")"),"Water polo was added as a demonstration sport to the Olympics in 1924.")</f>
        <v>Water polo was added as a demonstration sport to the Olympics in 1924.</v>
      </c>
    </row>
    <row r="89" ht="22.5" customHeight="1">
      <c r="A89" s="4">
        <v>88.0</v>
      </c>
      <c r="B89" s="5" t="s">
        <v>3191</v>
      </c>
      <c r="C89" s="5" t="s">
        <v>3192</v>
      </c>
      <c r="D89" s="5" t="s">
        <v>583</v>
      </c>
      <c r="E89" s="5" t="s">
        <v>3193</v>
      </c>
      <c r="G89" s="10" t="str">
        <f>IFERROR(__xludf.DUMMYFUNCTION("GOOGLETRANSLATE(A89,""it"",""en"")"),"88")</f>
        <v>88</v>
      </c>
      <c r="H89" s="10" t="str">
        <f>IFERROR(__xludf.DUMMYFUNCTION("GOOGLETRANSLATE(B89,""it"",""en"")"),"Who won the gold medal at the 1994 World Water Polo Championships?")</f>
        <v>Who won the gold medal at the 1994 World Water Polo Championships?</v>
      </c>
      <c r="I89" s="10" t="str">
        <f>IFERROR(__xludf.DUMMYFUNCTION("GOOGLETRANSLATE(C89,""it"",""en"")"),"A. Italy B. Hungary C. Serbia D. Spain")</f>
        <v>A. Italy B. Hungary C. Serbia D. Spain</v>
      </c>
      <c r="J89" s="10" t="str">
        <f>IFERROR(__xludf.DUMMYFUNCTION("GOOGLETRANSLATE(D89,""it"",""en"")"),"Italy")</f>
        <v>Italy</v>
      </c>
      <c r="K89" s="10" t="str">
        <f>IFERROR(__xludf.DUMMYFUNCTION("GOOGLETRANSLATE(E89,""it"",""en"")"),"Italy won the gold medal at the 1994 World Water Polo Championships.")</f>
        <v>Italy won the gold medal at the 1994 World Water Polo Championships.</v>
      </c>
    </row>
    <row r="90" ht="22.5" customHeight="1">
      <c r="A90" s="4">
        <v>89.0</v>
      </c>
      <c r="B90" s="5" t="s">
        <v>3194</v>
      </c>
      <c r="C90" s="5" t="s">
        <v>3195</v>
      </c>
      <c r="D90" s="5" t="s">
        <v>3021</v>
      </c>
      <c r="E90" s="5" t="s">
        <v>3196</v>
      </c>
      <c r="G90" s="10" t="str">
        <f>IFERROR(__xludf.DUMMYFUNCTION("GOOGLETRANSLATE(A90,""it"",""en"")"),"89")</f>
        <v>89</v>
      </c>
      <c r="H90" s="10" t="str">
        <f>IFERROR(__xludf.DUMMYFUNCTION("GOOGLETRANSLATE(B90,""it"",""en"")"),"Which water polo team has the most World Championship wins?")</f>
        <v>Which water polo team has the most World Championship wins?</v>
      </c>
      <c r="I90" s="10" t="str">
        <f>IFERROR(__xludf.DUMMYFUNCTION("GOOGLETRANSLATE(C90,""it"",""en"")"),"A. Italy B. Serbia C. Yugoslavia D. Hungary")</f>
        <v>A. Italy B. Serbia C. Yugoslavia D. Hungary</v>
      </c>
      <c r="J90" s="10" t="str">
        <f>IFERROR(__xludf.DUMMYFUNCTION("GOOGLETRANSLATE(D90,""it"",""en"")"),"Yugoslavia")</f>
        <v>Yugoslavia</v>
      </c>
      <c r="K90" s="10" t="str">
        <f>IFERROR(__xludf.DUMMYFUNCTION("GOOGLETRANSLATE(E90,""it"",""en"")"),"Yugoslavia has won the most victories at the World Water Polo Championships.")</f>
        <v>Yugoslavia has won the most victories at the World Water Polo Championships.</v>
      </c>
    </row>
    <row r="91" ht="22.5" customHeight="1">
      <c r="A91" s="4">
        <v>90.0</v>
      </c>
      <c r="B91" s="5" t="s">
        <v>3197</v>
      </c>
      <c r="C91" s="5" t="s">
        <v>3198</v>
      </c>
      <c r="D91" s="4">
        <v>1971.0</v>
      </c>
      <c r="E91" s="5" t="s">
        <v>3199</v>
      </c>
      <c r="G91" s="10" t="str">
        <f>IFERROR(__xludf.DUMMYFUNCTION("GOOGLETRANSLATE(A91,""it"",""en"")"),"90")</f>
        <v>90</v>
      </c>
      <c r="H91" s="10" t="str">
        <f>IFERROR(__xludf.DUMMYFUNCTION("GOOGLETRANSLATE(B91,""it"",""en"")"),"In what year was the Water Polo tournament created at the Mediterranean Games?")</f>
        <v>In what year was the Water Polo tournament created at the Mediterranean Games?</v>
      </c>
      <c r="I91" s="10" t="str">
        <f>IFERROR(__xludf.DUMMYFUNCTION("GOOGLETRANSLATE(C91,""it"",""en"")"),"A. 1951 B. 1961 C. 1971 D. 1981")</f>
        <v>A. 1951 B. 1961 C. 1971 D. 1981</v>
      </c>
      <c r="J91" s="10" t="str">
        <f>IFERROR(__xludf.DUMMYFUNCTION("GOOGLETRANSLATE(D91,""it"",""en"")"),"1971")</f>
        <v>1971</v>
      </c>
      <c r="K91" s="10" t="str">
        <f>IFERROR(__xludf.DUMMYFUNCTION("GOOGLETRANSLATE(E91,""it"",""en"")"),"The water polo tournament was created during the Mediterranean Games in 1971.")</f>
        <v>The water polo tournament was created during the Mediterranean Games in 1971.</v>
      </c>
    </row>
    <row r="92" ht="22.5" customHeight="1">
      <c r="A92" s="4">
        <v>91.0</v>
      </c>
      <c r="B92" s="5" t="s">
        <v>3200</v>
      </c>
      <c r="C92" s="5" t="s">
        <v>3201</v>
      </c>
      <c r="D92" s="4">
        <v>1913.0</v>
      </c>
      <c r="E92" s="5" t="s">
        <v>3202</v>
      </c>
      <c r="G92" s="10" t="str">
        <f>IFERROR(__xludf.DUMMYFUNCTION("GOOGLETRANSLATE(A92,""it"",""en"")"),"91")</f>
        <v>91</v>
      </c>
      <c r="H92" s="10" t="str">
        <f>IFERROR(__xludf.DUMMYFUNCTION("GOOGLETRANSLATE(B92,""it"",""en"")"),"What year was the Pro Recco Water Polo team founded?")</f>
        <v>What year was the Pro Recco Water Polo team founded?</v>
      </c>
      <c r="I92" s="10" t="str">
        <f>IFERROR(__xludf.DUMMYFUNCTION("GOOGLETRANSLATE(C92,""it"",""en"")"),"A. 1913 B. 1920 C. 1935 D. 1940")</f>
        <v>A. 1913 B. 1920 C. 1935 D. 1940</v>
      </c>
      <c r="J92" s="10" t="str">
        <f>IFERROR(__xludf.DUMMYFUNCTION("GOOGLETRANSLATE(D92,""it"",""en"")"),"1913")</f>
        <v>1913</v>
      </c>
      <c r="K92" s="10" t="str">
        <f>IFERROR(__xludf.DUMMYFUNCTION("GOOGLETRANSLATE(E92,""it"",""en"")"),"Pro Recco was founded in 1913.")</f>
        <v>Pro Recco was founded in 1913.</v>
      </c>
    </row>
    <row r="93" ht="22.5" customHeight="1">
      <c r="A93" s="4">
        <v>92.0</v>
      </c>
      <c r="B93" s="5" t="s">
        <v>3203</v>
      </c>
      <c r="C93" s="5" t="s">
        <v>3204</v>
      </c>
      <c r="D93" s="5" t="s">
        <v>3021</v>
      </c>
      <c r="E93" s="5" t="s">
        <v>3205</v>
      </c>
      <c r="G93" s="10" t="str">
        <f>IFERROR(__xludf.DUMMYFUNCTION("GOOGLETRANSLATE(A93,""it"",""en"")"),"92")</f>
        <v>92</v>
      </c>
      <c r="H93" s="10" t="str">
        <f>IFERROR(__xludf.DUMMYFUNCTION("GOOGLETRANSLATE(B93,""it"",""en"")"),"Who won the gold medal in the 1988 Olympic Water Polo tournament?")</f>
        <v>Who won the gold medal in the 1988 Olympic Water Polo tournament?</v>
      </c>
      <c r="I93" s="10" t="str">
        <f>IFERROR(__xludf.DUMMYFUNCTION("GOOGLETRANSLATE(C93,""it"",""en"")"),"A. Italy B. Yugoslavia C. Serbia D. Spain")</f>
        <v>A. Italy B. Yugoslavia C. Serbia D. Spain</v>
      </c>
      <c r="J93" s="10" t="str">
        <f>IFERROR(__xludf.DUMMYFUNCTION("GOOGLETRANSLATE(D93,""it"",""en"")"),"Yugoslavia")</f>
        <v>Yugoslavia</v>
      </c>
      <c r="K93" s="10" t="str">
        <f>IFERROR(__xludf.DUMMYFUNCTION("GOOGLETRANSLATE(E93,""it"",""en"")"),"Yugoslavia won the gold medal in the 1988 Olympic Water Polo tournament.")</f>
        <v>Yugoslavia won the gold medal in the 1988 Olympic Water Polo tournament.</v>
      </c>
    </row>
    <row r="94" ht="22.5" customHeight="1">
      <c r="A94" s="4">
        <v>93.0</v>
      </c>
      <c r="B94" s="5" t="s">
        <v>3206</v>
      </c>
      <c r="C94" s="5" t="s">
        <v>3207</v>
      </c>
      <c r="D94" s="4">
        <v>1991.0</v>
      </c>
      <c r="E94" s="5" t="s">
        <v>3208</v>
      </c>
      <c r="G94" s="10" t="str">
        <f>IFERROR(__xludf.DUMMYFUNCTION("GOOGLETRANSLATE(A94,""it"",""en"")"),"93")</f>
        <v>93</v>
      </c>
      <c r="H94" s="10" t="str">
        <f>IFERROR(__xludf.DUMMYFUNCTION("GOOGLETRANSLATE(B94,""it"",""en"")"),"In what year was the 'disallowed goal' system introduced in water polo?")</f>
        <v>In what year was the 'disallowed goal' system introduced in water polo?</v>
      </c>
      <c r="I94" s="10" t="str">
        <f>IFERROR(__xludf.DUMMYFUNCTION("GOOGLETRANSLATE(C94,""it"",""en"")"),"A. 1991 B. 1992 C. 1996 D. 2000")</f>
        <v>A. 1991 B. 1992 C. 1996 D. 2000</v>
      </c>
      <c r="J94" s="10" t="str">
        <f>IFERROR(__xludf.DUMMYFUNCTION("GOOGLETRANSLATE(D94,""it"",""en"")"),"1991")</f>
        <v>1991</v>
      </c>
      <c r="K94" s="10" t="str">
        <f>IFERROR(__xludf.DUMMYFUNCTION("GOOGLETRANSLATE(E94,""it"",""en"")"),"The 'disallowed goal' system was introduced in 1991.")</f>
        <v>The 'disallowed goal' system was introduced in 1991.</v>
      </c>
    </row>
    <row r="95" ht="22.5" customHeight="1">
      <c r="A95" s="4">
        <v>94.0</v>
      </c>
      <c r="B95" s="5" t="s">
        <v>3209</v>
      </c>
      <c r="C95" s="5" t="s">
        <v>3210</v>
      </c>
      <c r="D95" s="5" t="s">
        <v>3064</v>
      </c>
      <c r="E95" s="5" t="s">
        <v>3211</v>
      </c>
      <c r="G95" s="10" t="str">
        <f>IFERROR(__xludf.DUMMYFUNCTION("GOOGLETRANSLATE(A95,""it"",""en"")"),"94")</f>
        <v>94</v>
      </c>
      <c r="H95" s="10" t="str">
        <f>IFERROR(__xludf.DUMMYFUNCTION("GOOGLETRANSLATE(B95,""it"",""en"")"),"Who was the first water polo player to score 100 goals in the World Cup?")</f>
        <v>Who was the first water polo player to score 100 goals in the World Cup?</v>
      </c>
      <c r="I95" s="10" t="str">
        <f>IFERROR(__xludf.DUMMYFUNCTION("GOOGLETRANSLATE(C95,""it"",""en"")"),"A. Tibor Benedek B. Zoltán Szécsi C. Francesco Attolico D. Giovanni Porzio")</f>
        <v>A. Tibor Benedek B. Zoltán Szécsi C. Francesco Attolico D. Giovanni Porzio</v>
      </c>
      <c r="J95" s="10" t="str">
        <f>IFERROR(__xludf.DUMMYFUNCTION("GOOGLETRANSLATE(D95,""it"",""en"")"),"Tibor Benedek")</f>
        <v>Tibor Benedek</v>
      </c>
      <c r="K95" s="10" t="str">
        <f>IFERROR(__xludf.DUMMYFUNCTION("GOOGLETRANSLATE(E95,""it"",""en"")"),"Tibor Benedek was the first water polo player to score 100 goals in the World Cup.")</f>
        <v>Tibor Benedek was the first water polo player to score 100 goals in the World Cup.</v>
      </c>
    </row>
    <row r="96" ht="22.5" customHeight="1">
      <c r="A96" s="4">
        <v>95.0</v>
      </c>
      <c r="B96" s="5" t="s">
        <v>3212</v>
      </c>
      <c r="C96" s="5" t="s">
        <v>3213</v>
      </c>
      <c r="D96" s="4">
        <v>2011.0</v>
      </c>
      <c r="E96" s="5" t="s">
        <v>3214</v>
      </c>
      <c r="G96" s="10" t="str">
        <f>IFERROR(__xludf.DUMMYFUNCTION("GOOGLETRANSLATE(A96,""it"",""en"")"),"95")</f>
        <v>95</v>
      </c>
      <c r="H96" s="10" t="str">
        <f>IFERROR(__xludf.DUMMYFUNCTION("GOOGLETRANSLATE(B96,""it"",""en"")"),"In which year did Italy win the Women's Water Polo World Championship?")</f>
        <v>In which year did Italy win the Women's Water Polo World Championship?</v>
      </c>
      <c r="I96" s="10" t="str">
        <f>IFERROR(__xludf.DUMMYFUNCTION("GOOGLETRANSLATE(C96,""it"",""en"")"),"A. 1994 B. 2000 C. 2005 D. 2011")</f>
        <v>A. 1994 B. 2000 C. 2005 D. 2011</v>
      </c>
      <c r="J96" s="10" t="str">
        <f>IFERROR(__xludf.DUMMYFUNCTION("GOOGLETRANSLATE(D96,""it"",""en"")"),"2011")</f>
        <v>2011</v>
      </c>
      <c r="K96" s="10" t="str">
        <f>IFERROR(__xludf.DUMMYFUNCTION("GOOGLETRANSLATE(E96,""it"",""en"")"),"Italy won the Women's Water Polo World Championship in 2011.")</f>
        <v>Italy won the Women's Water Polo World Championship in 2011.</v>
      </c>
    </row>
    <row r="97" ht="22.5" customHeight="1">
      <c r="A97" s="4">
        <v>96.0</v>
      </c>
      <c r="B97" s="5" t="s">
        <v>3215</v>
      </c>
      <c r="C97" s="5" t="s">
        <v>3216</v>
      </c>
      <c r="D97" s="5" t="s">
        <v>583</v>
      </c>
      <c r="E97" s="5" t="s">
        <v>3217</v>
      </c>
      <c r="G97" s="10" t="str">
        <f>IFERROR(__xludf.DUMMYFUNCTION("GOOGLETRANSLATE(A97,""it"",""en"")"),"96")</f>
        <v>96</v>
      </c>
      <c r="H97" s="10" t="str">
        <f>IFERROR(__xludf.DUMMYFUNCTION("GOOGLETRANSLATE(B97,""it"",""en"")"),"Which country hosted the first Women's Water Polo World Championships?")</f>
        <v>Which country hosted the first Women's Water Polo World Championships?</v>
      </c>
      <c r="I97" s="10" t="str">
        <f>IFERROR(__xludf.DUMMYFUNCTION("GOOGLETRANSLATE(C97,""it"",""en"")"),"A. Italy B. United States C. Serbia D. Australia")</f>
        <v>A. Italy B. United States C. Serbia D. Australia</v>
      </c>
      <c r="J97" s="10" t="str">
        <f>IFERROR(__xludf.DUMMYFUNCTION("GOOGLETRANSLATE(D97,""it"",""en"")"),"Italy")</f>
        <v>Italy</v>
      </c>
      <c r="K97" s="10" t="str">
        <f>IFERROR(__xludf.DUMMYFUNCTION("GOOGLETRANSLATE(E97,""it"",""en"")"),"Italy hosted the first Women's Water Polo World Championships in 2001.")</f>
        <v>Italy hosted the first Women's Water Polo World Championships in 2001.</v>
      </c>
    </row>
    <row r="98" ht="22.5" customHeight="1">
      <c r="A98" s="4">
        <v>97.0</v>
      </c>
      <c r="B98" s="5" t="s">
        <v>3218</v>
      </c>
      <c r="C98" s="5" t="s">
        <v>3092</v>
      </c>
      <c r="D98" s="5" t="s">
        <v>2927</v>
      </c>
      <c r="E98" s="5" t="s">
        <v>3219</v>
      </c>
      <c r="G98" s="10" t="str">
        <f>IFERROR(__xludf.DUMMYFUNCTION("GOOGLETRANSLATE(A98,""it"",""en"")"),"97")</f>
        <v>97</v>
      </c>
      <c r="H98" s="10" t="str">
        <f>IFERROR(__xludf.DUMMYFUNCTION("GOOGLETRANSLATE(B98,""it"",""en"")"),"Who won the gold medal at the 1998 World Men's Water Polo Championships?")</f>
        <v>Who won the gold medal at the 1998 World Men's Water Polo Championships?</v>
      </c>
      <c r="I98" s="10" t="str">
        <f>IFERROR(__xludf.DUMMYFUNCTION("GOOGLETRANSLATE(C98,""it"",""en"")"),"A. Italy B. Serbia C. Croatia D. Hungary")</f>
        <v>A. Italy B. Serbia C. Croatia D. Hungary</v>
      </c>
      <c r="J98" s="10" t="str">
        <f>IFERROR(__xludf.DUMMYFUNCTION("GOOGLETRANSLATE(D98,""it"",""en"")"),"Hungary")</f>
        <v>Hungary</v>
      </c>
      <c r="K98" s="10" t="str">
        <f>IFERROR(__xludf.DUMMYFUNCTION("GOOGLETRANSLATE(E98,""it"",""en"")"),"Hungary won the gold medal at the 1998 World Water Polo Championships.")</f>
        <v>Hungary won the gold medal at the 1998 World Water Polo Championships.</v>
      </c>
    </row>
    <row r="99" ht="22.5" customHeight="1">
      <c r="A99" s="4">
        <v>98.0</v>
      </c>
      <c r="B99" s="5" t="s">
        <v>3220</v>
      </c>
      <c r="C99" s="5" t="s">
        <v>3221</v>
      </c>
      <c r="D99" s="4">
        <v>2004.0</v>
      </c>
      <c r="E99" s="5" t="s">
        <v>3222</v>
      </c>
      <c r="G99" s="10" t="str">
        <f>IFERROR(__xludf.DUMMYFUNCTION("GOOGLETRANSLATE(A99,""it"",""en"")"),"98")</f>
        <v>98</v>
      </c>
      <c r="H99" s="10" t="str">
        <f>IFERROR(__xludf.DUMMYFUNCTION("GOOGLETRANSLATE(B99,""it"",""en"")"),"In what year was the 'temporary suspension' introduced for water polo players?")</f>
        <v>In what year was the 'temporary suspension' introduced for water polo players?</v>
      </c>
      <c r="I99" s="10" t="str">
        <f>IFERROR(__xludf.DUMMYFUNCTION("GOOGLETRANSLATE(C99,""it"",""en"")"),"A. 1995 B. 2000 C. 2004 D. 2008")</f>
        <v>A. 1995 B. 2000 C. 2004 D. 2008</v>
      </c>
      <c r="J99" s="10" t="str">
        <f>IFERROR(__xludf.DUMMYFUNCTION("GOOGLETRANSLATE(D99,""it"",""en"")"),"2004")</f>
        <v>2004</v>
      </c>
      <c r="K99" s="10" t="str">
        <f>IFERROR(__xludf.DUMMYFUNCTION("GOOGLETRANSLATE(E99,""it"",""en"")"),"The temporary suspension was introduced in 2004.")</f>
        <v>The temporary suspension was introduced in 2004.</v>
      </c>
    </row>
    <row r="100" ht="22.5" customHeight="1">
      <c r="A100" s="4">
        <v>99.0</v>
      </c>
      <c r="B100" s="5" t="s">
        <v>3223</v>
      </c>
      <c r="C100" s="5" t="s">
        <v>3224</v>
      </c>
      <c r="D100" s="5" t="s">
        <v>2955</v>
      </c>
      <c r="E100" s="5" t="s">
        <v>3225</v>
      </c>
      <c r="G100" s="10" t="str">
        <f>IFERROR(__xludf.DUMMYFUNCTION("GOOGLETRANSLATE(A100,""it"",""en"")"),"99")</f>
        <v>99</v>
      </c>
      <c r="H100" s="10" t="str">
        <f>IFERROR(__xludf.DUMMYFUNCTION("GOOGLETRANSLATE(B100,""it"",""en"")"),"Which Italian player won the award for best water polo player at the 2012 European Championships?")</f>
        <v>Which Italian player won the award for best water polo player at the 2012 European Championships?</v>
      </c>
      <c r="I100" s="10" t="str">
        <f>IFERROR(__xludf.DUMMYFUNCTION("GOOGLETRANSLATE(C100,""it"",""en"")"),"A. Giovanni Porzio B. Alessandro Campagna C. Francesco Esposito D. Pino Porzio")</f>
        <v>A. Giovanni Porzio B. Alessandro Campagna C. Francesco Esposito D. Pino Porzio</v>
      </c>
      <c r="J100" s="10" t="str">
        <f>IFERROR(__xludf.DUMMYFUNCTION("GOOGLETRANSLATE(D100,""it"",""en"")"),"Pino Porzio")</f>
        <v>Pino Porzio</v>
      </c>
      <c r="K100" s="10" t="str">
        <f>IFERROR(__xludf.DUMMYFUNCTION("GOOGLETRANSLATE(E100,""it"",""en"")"),"Pino Porzio won the award for best water polo player at the 2012 European Championships.")</f>
        <v>Pino Porzio won the award for best water polo player at the 2012 European Championships.</v>
      </c>
    </row>
    <row r="101" ht="22.5" customHeight="1">
      <c r="A101" s="4">
        <v>100.0</v>
      </c>
      <c r="B101" s="5" t="s">
        <v>3226</v>
      </c>
      <c r="C101" s="5" t="s">
        <v>3227</v>
      </c>
      <c r="D101" s="4">
        <v>1967.0</v>
      </c>
      <c r="E101" s="5" t="s">
        <v>3228</v>
      </c>
      <c r="G101" s="10" t="str">
        <f>IFERROR(__xludf.DUMMYFUNCTION("GOOGLETRANSLATE(A101,""it"",""en"")"),"100")</f>
        <v>100</v>
      </c>
      <c r="H101" s="10" t="str">
        <f>IFERROR(__xludf.DUMMYFUNCTION("GOOGLETRANSLATE(B101,""it"",""en"")"),"In what year did water polo become part of the Pan American Games?")</f>
        <v>In what year did water polo become part of the Pan American Games?</v>
      </c>
      <c r="I101" s="10" t="str">
        <f>IFERROR(__xludf.DUMMYFUNCTION("GOOGLETRANSLATE(C101,""it"",""en"")"),"A. 1959 B. 1967 C. 1971 D. 1975")</f>
        <v>A. 1959 B. 1967 C. 1971 D. 1975</v>
      </c>
      <c r="J101" s="10" t="str">
        <f>IFERROR(__xludf.DUMMYFUNCTION("GOOGLETRANSLATE(D101,""it"",""en"")"),"1967")</f>
        <v>1967</v>
      </c>
      <c r="K101" s="10" t="str">
        <f>IFERROR(__xludf.DUMMYFUNCTION("GOOGLETRANSLATE(E101,""it"",""en"")"),"Water polo became part of the Pan American Games in 1967.")</f>
        <v>Water polo became part of the Pan American Games in 1967.</v>
      </c>
    </row>
    <row r="102" ht="22.5" customHeight="1">
      <c r="A102" s="4">
        <v>101.0</v>
      </c>
      <c r="B102" s="5" t="s">
        <v>3229</v>
      </c>
      <c r="C102" s="5" t="s">
        <v>3230</v>
      </c>
      <c r="D102" s="4">
        <v>13.0</v>
      </c>
      <c r="E102" s="5" t="s">
        <v>3231</v>
      </c>
      <c r="G102" s="10" t="str">
        <f>IFERROR(__xludf.DUMMYFUNCTION("GOOGLETRANSLATE(A102,""it"",""en"")"),"101")</f>
        <v>101</v>
      </c>
      <c r="H102" s="10" t="str">
        <f>IFERROR(__xludf.DUMMYFUNCTION("GOOGLETRANSLATE(B102,""it"",""en"")"),"What is the maximum number of players on a water polo team during matches?")</f>
        <v>What is the maximum number of players on a water polo team during matches?</v>
      </c>
      <c r="I102" s="10" t="str">
        <f>IFERROR(__xludf.DUMMYFUNCTION("GOOGLETRANSLATE(C102,""it"",""en"")"),"A. 5 B. 6 C. 7 D. 8")</f>
        <v>A. 5 B. 6 C. 7 D. 8</v>
      </c>
      <c r="J102" s="10" t="str">
        <f>IFERROR(__xludf.DUMMYFUNCTION("GOOGLETRANSLATE(D102,""it"",""en"")"),"13")</f>
        <v>13</v>
      </c>
      <c r="K102" s="10" t="str">
        <f>IFERROR(__xludf.DUMMYFUNCTION("GOOGLETRANSLATE(E102,""it"",""en"")"),"Water polo is played with 7 players per team during matches, including the goalkeeper.")</f>
        <v>Water polo is played with 7 players per team during matches, including the goalkeeper.</v>
      </c>
    </row>
    <row r="103" ht="22.5" customHeight="1">
      <c r="A103" s="4">
        <v>102.0</v>
      </c>
      <c r="B103" s="5" t="s">
        <v>3232</v>
      </c>
      <c r="C103" s="5" t="s">
        <v>3233</v>
      </c>
      <c r="D103" s="5" t="s">
        <v>2994</v>
      </c>
      <c r="E103" s="5" t="s">
        <v>3234</v>
      </c>
      <c r="G103" s="10" t="str">
        <f>IFERROR(__xludf.DUMMYFUNCTION("GOOGLETRANSLATE(A103,""it"",""en"")"),"102")</f>
        <v>102</v>
      </c>
      <c r="H103" s="10" t="str">
        <f>IFERROR(__xludf.DUMMYFUNCTION("GOOGLETRANSLATE(B103,""it"",""en"")"),"Which water polo team has won the Champions Cup the most times?")</f>
        <v>Which water polo team has won the Champions Cup the most times?</v>
      </c>
      <c r="I103" s="10" t="str">
        <f>IFERROR(__xludf.DUMMYFUNCTION("GOOGLETRANSLATE(C103,""it"",""en"")"),"A. Pro Recco B. Savona C. Brescia D. Florentia")</f>
        <v>A. Pro Recco B. Savona C. Brescia D. Florentia</v>
      </c>
      <c r="J103" s="10" t="str">
        <f>IFERROR(__xludf.DUMMYFUNCTION("GOOGLETRANSLATE(D103,""it"",""en"")"),"Pro Recco")</f>
        <v>Pro Recco</v>
      </c>
      <c r="K103" s="10" t="str">
        <f>IFERROR(__xludf.DUMMYFUNCTION("GOOGLETRANSLATE(E103,""it"",""en"")"),"Pro Recco has won the Champions Cup several times.")</f>
        <v>Pro Recco has won the Champions Cup several times.</v>
      </c>
    </row>
    <row r="104" ht="22.5" customHeight="1">
      <c r="A104" s="4">
        <v>103.0</v>
      </c>
      <c r="B104" s="5" t="s">
        <v>3235</v>
      </c>
      <c r="C104" s="5" t="s">
        <v>3236</v>
      </c>
      <c r="D104" s="5" t="s">
        <v>3237</v>
      </c>
      <c r="E104" s="5" t="s">
        <v>3238</v>
      </c>
      <c r="G104" s="10" t="str">
        <f>IFERROR(__xludf.DUMMYFUNCTION("GOOGLETRANSLATE(A104,""it"",""en"")"),"103")</f>
        <v>103</v>
      </c>
      <c r="H104" s="10" t="str">
        <f>IFERROR(__xludf.DUMMYFUNCTION("GOOGLETRANSLATE(B104,""it"",""en"")"),"In which city were the 2005 World Water Polo Championships held?")</f>
        <v>In which city were the 2005 World Water Polo Championships held?</v>
      </c>
      <c r="I104" s="10" t="str">
        <f>IFERROR(__xludf.DUMMYFUNCTION("GOOGLETRANSLATE(C104,""it"",""en"")"),"A. Rome B. Budapest C. Montpellier D. Barcelona")</f>
        <v>A. Rome B. Budapest C. Montpellier D. Barcelona</v>
      </c>
      <c r="J104" s="10" t="str">
        <f>IFERROR(__xludf.DUMMYFUNCTION("GOOGLETRANSLATE(D104,""it"",""en"")"),"Montpellier")</f>
        <v>Montpellier</v>
      </c>
      <c r="K104" s="10" t="str">
        <f>IFERROR(__xludf.DUMMYFUNCTION("GOOGLETRANSLATE(E104,""it"",""en"")"),"Montpellier hosted the World Water Polo Championships in 2005.")</f>
        <v>Montpellier hosted the World Water Polo Championships in 2005.</v>
      </c>
    </row>
    <row r="105" ht="22.5" customHeight="1">
      <c r="A105" s="4">
        <v>104.0</v>
      </c>
      <c r="B105" s="5" t="s">
        <v>3239</v>
      </c>
      <c r="C105" s="5" t="s">
        <v>3051</v>
      </c>
      <c r="D105" s="5" t="s">
        <v>583</v>
      </c>
      <c r="E105" s="5" t="s">
        <v>3240</v>
      </c>
      <c r="G105" s="10" t="str">
        <f>IFERROR(__xludf.DUMMYFUNCTION("GOOGLETRANSLATE(A105,""it"",""en"")"),"104")</f>
        <v>104</v>
      </c>
      <c r="H105" s="10" t="str">
        <f>IFERROR(__xludf.DUMMYFUNCTION("GOOGLETRANSLATE(B105,""it"",""en"")"),"Who won the first European Women's Water Polo Championship?")</f>
        <v>Who won the first European Women's Water Polo Championship?</v>
      </c>
      <c r="I105" s="10" t="str">
        <f>IFERROR(__xludf.DUMMYFUNCTION("GOOGLETRANSLATE(C105,""it"",""en"")"),"A. Italy B. France C. Spain D. Serbia")</f>
        <v>A. Italy B. France C. Spain D. Serbia</v>
      </c>
      <c r="J105" s="10" t="str">
        <f>IFERROR(__xludf.DUMMYFUNCTION("GOOGLETRANSLATE(D105,""it"",""en"")"),"Italy")</f>
        <v>Italy</v>
      </c>
      <c r="K105" s="10" t="str">
        <f>IFERROR(__xludf.DUMMYFUNCTION("GOOGLETRANSLATE(E105,""it"",""en"")"),"Italy won the first European Women's Water Polo Championship.")</f>
        <v>Italy won the first European Women's Water Polo Championship.</v>
      </c>
    </row>
    <row r="106" ht="22.5" customHeight="1">
      <c r="A106" s="4">
        <v>105.0</v>
      </c>
      <c r="B106" s="5" t="s">
        <v>3241</v>
      </c>
      <c r="C106" s="5" t="s">
        <v>3242</v>
      </c>
      <c r="D106" s="5" t="s">
        <v>2913</v>
      </c>
      <c r="E106" s="5" t="s">
        <v>3243</v>
      </c>
      <c r="G106" s="10" t="str">
        <f>IFERROR(__xludf.DUMMYFUNCTION("GOOGLETRANSLATE(A106,""it"",""en"")"),"105")</f>
        <v>105</v>
      </c>
      <c r="H106" s="10" t="str">
        <f>IFERROR(__xludf.DUMMYFUNCTION("GOOGLETRANSLATE(B106,""it"",""en"")"),"Who scored the first ever Olympic water polo goal?")</f>
        <v>Who scored the first ever Olympic water polo goal?</v>
      </c>
      <c r="I106" s="10" t="str">
        <f>IFERROR(__xludf.DUMMYFUNCTION("GOOGLETRANSLATE(C106,""it"",""en"")"),"A. William Wilson B. Tibor Benedek C. Zoltán Szécsi D. Giovanni Porzio")</f>
        <v>A. William Wilson B. Tibor Benedek C. Zoltán Szécsi D. Giovanni Porzio</v>
      </c>
      <c r="J106" s="10" t="str">
        <f>IFERROR(__xludf.DUMMYFUNCTION("GOOGLETRANSLATE(D106,""it"",""en"")"),"William Wilson")</f>
        <v>William Wilson</v>
      </c>
      <c r="K106" s="10" t="str">
        <f>IFERROR(__xludf.DUMMYFUNCTION("GOOGLETRANSLATE(E106,""it"",""en"")"),"William Wilson scored the first goal in Olympic water polo history in 1900.")</f>
        <v>William Wilson scored the first goal in Olympic water polo history in 1900.</v>
      </c>
    </row>
    <row r="107" ht="22.5" customHeight="1">
      <c r="A107" s="4">
        <v>106.0</v>
      </c>
      <c r="B107" s="5" t="s">
        <v>3244</v>
      </c>
      <c r="C107" s="5" t="s">
        <v>3245</v>
      </c>
      <c r="D107" s="5" t="s">
        <v>3014</v>
      </c>
      <c r="E107" s="5" t="s">
        <v>3246</v>
      </c>
      <c r="G107" s="10" t="str">
        <f>IFERROR(__xludf.DUMMYFUNCTION("GOOGLETRANSLATE(A107,""it"",""en"")"),"106")</f>
        <v>106</v>
      </c>
      <c r="H107" s="10" t="str">
        <f>IFERROR(__xludf.DUMMYFUNCTION("GOOGLETRANSLATE(B107,""it"",""en"")"),"Which team won the 2015 World Water Polo Championship?")</f>
        <v>Which team won the 2015 World Water Polo Championship?</v>
      </c>
      <c r="I107" s="10" t="str">
        <f>IFERROR(__xludf.DUMMYFUNCTION("GOOGLETRANSLATE(C107,""it"",""en"")"),"A. Serbia B. Croatia C. Italy D. Hungary")</f>
        <v>A. Serbia B. Croatia C. Italy D. Hungary</v>
      </c>
      <c r="J107" s="10" t="str">
        <f>IFERROR(__xludf.DUMMYFUNCTION("GOOGLETRANSLATE(D107,""it"",""en"")"),"Serbia")</f>
        <v>Serbia</v>
      </c>
      <c r="K107" s="10" t="str">
        <f>IFERROR(__xludf.DUMMYFUNCTION("GOOGLETRANSLATE(E107,""it"",""en"")"),"Serbia won the Water Polo World Championship in 2015.")</f>
        <v>Serbia won the Water Polo World Championship in 2015.</v>
      </c>
    </row>
    <row r="108" ht="22.5" customHeight="1">
      <c r="A108" s="4">
        <v>107.0</v>
      </c>
      <c r="B108" s="5" t="s">
        <v>3247</v>
      </c>
      <c r="C108" s="5" t="s">
        <v>3248</v>
      </c>
      <c r="D108" s="4">
        <v>1997.0</v>
      </c>
      <c r="E108" s="5" t="s">
        <v>3249</v>
      </c>
      <c r="G108" s="10" t="str">
        <f>IFERROR(__xludf.DUMMYFUNCTION("GOOGLETRANSLATE(A108,""it"",""en"")"),"107")</f>
        <v>107</v>
      </c>
      <c r="H108" s="10" t="str">
        <f>IFERROR(__xludf.DUMMYFUNCTION("GOOGLETRANSLATE(B108,""it"",""en"")"),"In what year did the first edition of the Water Polo World League take place?")</f>
        <v>In what year did the first edition of the Water Polo World League take place?</v>
      </c>
      <c r="I108" s="10" t="str">
        <f>IFERROR(__xludf.DUMMYFUNCTION("GOOGLETRANSLATE(C108,""it"",""en"")"),"A. 1990 B. 1997 C. 2000 D. 2004")</f>
        <v>A. 1990 B. 1997 C. 2000 D. 2004</v>
      </c>
      <c r="J108" s="10" t="str">
        <f>IFERROR(__xludf.DUMMYFUNCTION("GOOGLETRANSLATE(D108,""it"",""en"")"),"1997")</f>
        <v>1997</v>
      </c>
      <c r="K108" s="10" t="str">
        <f>IFERROR(__xludf.DUMMYFUNCTION("GOOGLETRANSLATE(E108,""it"",""en"")"),"The first edition of the Water Polo World League took place in 1997.")</f>
        <v>The first edition of the Water Polo World League took place in 1997.</v>
      </c>
    </row>
    <row r="109" ht="22.5" customHeight="1">
      <c r="A109" s="4">
        <v>108.0</v>
      </c>
      <c r="B109" s="5" t="s">
        <v>3250</v>
      </c>
      <c r="C109" s="5" t="s">
        <v>3251</v>
      </c>
      <c r="D109" s="5" t="s">
        <v>3014</v>
      </c>
      <c r="E109" s="5" t="s">
        <v>3252</v>
      </c>
      <c r="G109" s="10" t="str">
        <f>IFERROR(__xludf.DUMMYFUNCTION("GOOGLETRANSLATE(A109,""it"",""en"")"),"108")</f>
        <v>108</v>
      </c>
      <c r="H109" s="10" t="str">
        <f>IFERROR(__xludf.DUMMYFUNCTION("GOOGLETRANSLATE(B109,""it"",""en"")"),"Which nation won the Men's Water Polo World Cup in 2010?")</f>
        <v>Which nation won the Men's Water Polo World Cup in 2010?</v>
      </c>
      <c r="I109" s="10" t="str">
        <f>IFERROR(__xludf.DUMMYFUNCTION("GOOGLETRANSLATE(C109,""it"",""en"")"),"A. Italy B. Serbia C. Spain D. Hungary")</f>
        <v>A. Italy B. Serbia C. Spain D. Hungary</v>
      </c>
      <c r="J109" s="10" t="str">
        <f>IFERROR(__xludf.DUMMYFUNCTION("GOOGLETRANSLATE(D109,""it"",""en"")"),"Serbia")</f>
        <v>Serbia</v>
      </c>
      <c r="K109" s="10" t="str">
        <f>IFERROR(__xludf.DUMMYFUNCTION("GOOGLETRANSLATE(E109,""it"",""en"")"),"Serbia won the Men's Water Polo World Cup in 2010.")</f>
        <v>Serbia won the Men's Water Polo World Cup in 2010.</v>
      </c>
    </row>
    <row r="110" ht="22.5" customHeight="1">
      <c r="A110" s="4">
        <v>109.0</v>
      </c>
      <c r="B110" s="5" t="s">
        <v>3253</v>
      </c>
      <c r="C110" s="5" t="s">
        <v>3254</v>
      </c>
      <c r="D110" s="5" t="s">
        <v>3064</v>
      </c>
      <c r="E110" s="5" t="s">
        <v>3255</v>
      </c>
      <c r="G110" s="10" t="str">
        <f>IFERROR(__xludf.DUMMYFUNCTION("GOOGLETRANSLATE(A110,""it"",""en"")"),"109")</f>
        <v>109</v>
      </c>
      <c r="H110" s="10" t="str">
        <f>IFERROR(__xludf.DUMMYFUNCTION("GOOGLETRANSLATE(B110,""it"",""en"")"),"Who won the title of best player at the 2013 World Water Polo Championships?")</f>
        <v>Who won the title of best player at the 2013 World Water Polo Championships?</v>
      </c>
      <c r="I110" s="10" t="str">
        <f>IFERROR(__xludf.DUMMYFUNCTION("GOOGLETRANSLATE(C110,""it"",""en"")"),"A. Tibor Benedek B. Francesco Attolico C. Sandro Campagna D. Niko Vavic")</f>
        <v>A. Tibor Benedek B. Francesco Attolico C. Sandro Campagna D. Niko Vavic</v>
      </c>
      <c r="J110" s="10" t="str">
        <f>IFERROR(__xludf.DUMMYFUNCTION("GOOGLETRANSLATE(D110,""it"",""en"")"),"Tibor Benedek")</f>
        <v>Tibor Benedek</v>
      </c>
      <c r="K110" s="10" t="str">
        <f>IFERROR(__xludf.DUMMYFUNCTION("GOOGLETRANSLATE(E110,""it"",""en"")"),"Tibor Benedek was named best player at the 2013 World Water Polo Championships.")</f>
        <v>Tibor Benedek was named best player at the 2013 World Water Polo Championships.</v>
      </c>
    </row>
    <row r="111" ht="22.5" customHeight="1">
      <c r="A111" s="4">
        <v>110.0</v>
      </c>
      <c r="B111" s="5" t="s">
        <v>3256</v>
      </c>
      <c r="C111" s="5" t="s">
        <v>3257</v>
      </c>
      <c r="D111" s="5" t="s">
        <v>2994</v>
      </c>
      <c r="E111" s="5" t="s">
        <v>3258</v>
      </c>
      <c r="G111" s="10" t="str">
        <f>IFERROR(__xludf.DUMMYFUNCTION("GOOGLETRANSLATE(A111,""it"",""en"")"),"110")</f>
        <v>110</v>
      </c>
      <c r="H111" s="10" t="str">
        <f>IFERROR(__xludf.DUMMYFUNCTION("GOOGLETRANSLATE(B111,""it"",""en"")"),"Which water polo team won the European Super Cup in 2016?")</f>
        <v>Which water polo team won the European Super Cup in 2016?</v>
      </c>
      <c r="I111" s="10" t="str">
        <f>IFERROR(__xludf.DUMMYFUNCTION("GOOGLETRANSLATE(C111,""it"",""en"")"),"A. Pro Recco B. Milan C. Florentia D. Savona")</f>
        <v>A. Pro Recco B. Milan C. Florentia D. Savona</v>
      </c>
      <c r="J111" s="10" t="str">
        <f>IFERROR(__xludf.DUMMYFUNCTION("GOOGLETRANSLATE(D111,""it"",""en"")"),"Pro Recco")</f>
        <v>Pro Recco</v>
      </c>
      <c r="K111" s="10" t="str">
        <f>IFERROR(__xludf.DUMMYFUNCTION("GOOGLETRANSLATE(E111,""it"",""en"")"),"Pro Recco won the European Water Polo Super Cup in 2016.")</f>
        <v>Pro Recco won the European Water Polo Super Cup in 2016.</v>
      </c>
    </row>
    <row r="112" ht="22.5" customHeight="1">
      <c r="A112" s="4">
        <v>111.0</v>
      </c>
      <c r="B112" s="5" t="s">
        <v>3259</v>
      </c>
      <c r="C112" s="5" t="s">
        <v>3260</v>
      </c>
      <c r="D112" s="4">
        <v>1970.0</v>
      </c>
      <c r="E112" s="5" t="s">
        <v>3261</v>
      </c>
      <c r="G112" s="10" t="str">
        <f>IFERROR(__xludf.DUMMYFUNCTION("GOOGLETRANSLATE(A112,""it"",""en"")"),"111")</f>
        <v>111</v>
      </c>
      <c r="H112" s="10" t="str">
        <f>IFERROR(__xludf.DUMMYFUNCTION("GOOGLETRANSLATE(B112,""it"",""en"")"),"In what year was Water Polo introduced to the Commonwealth Games?")</f>
        <v>In what year was Water Polo introduced to the Commonwealth Games?</v>
      </c>
      <c r="I112" s="10" t="str">
        <f>IFERROR(__xludf.DUMMYFUNCTION("GOOGLETRANSLATE(C112,""it"",""en"")"),"A. 1966 B. 1970 C. 1974 D. 1980")</f>
        <v>A. 1966 B. 1970 C. 1974 D. 1980</v>
      </c>
      <c r="J112" s="10" t="str">
        <f>IFERROR(__xludf.DUMMYFUNCTION("GOOGLETRANSLATE(D112,""it"",""en"")"),"1970")</f>
        <v>1970</v>
      </c>
      <c r="K112" s="10" t="str">
        <f>IFERROR(__xludf.DUMMYFUNCTION("GOOGLETRANSLATE(E112,""it"",""en"")"),"Water polo was introduced to the Commonwealth Games in 1970.")</f>
        <v>Water polo was introduced to the Commonwealth Games in 1970.</v>
      </c>
    </row>
    <row r="113" ht="22.5" customHeight="1">
      <c r="A113" s="4">
        <v>112.0</v>
      </c>
      <c r="B113" s="5" t="s">
        <v>3262</v>
      </c>
      <c r="C113" s="5" t="s">
        <v>3251</v>
      </c>
      <c r="D113" s="5" t="s">
        <v>1424</v>
      </c>
      <c r="E113" s="5" t="s">
        <v>3263</v>
      </c>
      <c r="G113" s="10" t="str">
        <f>IFERROR(__xludf.DUMMYFUNCTION("GOOGLETRANSLATE(A113,""it"",""en"")"),"112")</f>
        <v>112</v>
      </c>
      <c r="H113" s="10" t="str">
        <f>IFERROR(__xludf.DUMMYFUNCTION("GOOGLETRANSLATE(B113,""it"",""en"")"),"Who won the European Water Polo Championship in 1999?")</f>
        <v>Who won the European Water Polo Championship in 1999?</v>
      </c>
      <c r="I113" s="10" t="str">
        <f>IFERROR(__xludf.DUMMYFUNCTION("GOOGLETRANSLATE(C113,""it"",""en"")"),"A. Italy B. Serbia C. Spain D. Hungary")</f>
        <v>A. Italy B. Serbia C. Spain D. Hungary</v>
      </c>
      <c r="J113" s="10" t="str">
        <f>IFERROR(__xludf.DUMMYFUNCTION("GOOGLETRANSLATE(D113,""it"",""en"")"),"Spain")</f>
        <v>Spain</v>
      </c>
      <c r="K113" s="10" t="str">
        <f>IFERROR(__xludf.DUMMYFUNCTION("GOOGLETRANSLATE(E113,""it"",""en"")"),"Spain won the European Water Polo Championship in 1999.")</f>
        <v>Spain won the European Water Polo Championship in 1999.</v>
      </c>
    </row>
    <row r="114" ht="22.5" customHeight="1">
      <c r="A114" s="4">
        <v>113.0</v>
      </c>
      <c r="B114" s="5" t="s">
        <v>3264</v>
      </c>
      <c r="C114" s="5" t="s">
        <v>3265</v>
      </c>
      <c r="D114" s="5" t="s">
        <v>2955</v>
      </c>
      <c r="E114" s="5" t="s">
        <v>3266</v>
      </c>
      <c r="G114" s="10" t="str">
        <f>IFERROR(__xludf.DUMMYFUNCTION("GOOGLETRANSLATE(A114,""it"",""en"")"),"113")</f>
        <v>113</v>
      </c>
      <c r="H114" s="10" t="str">
        <f>IFERROR(__xludf.DUMMYFUNCTION("GOOGLETRANSLATE(B114,""it"",""en"")"),"Who was the first Italian to win the title of best player at the Water Polo World Championships?")</f>
        <v>Who was the first Italian to win the title of best player at the Water Polo World Championships?</v>
      </c>
      <c r="I114" s="10" t="str">
        <f>IFERROR(__xludf.DUMMYFUNCTION("GOOGLETRANSLATE(C114,""it"",""en"")"),"A. Giovanni Porzio B. Francesco Esposito C. Alessandro Campagna D. Pino Porzio")</f>
        <v>A. Giovanni Porzio B. Francesco Esposito C. Alessandro Campagna D. Pino Porzio</v>
      </c>
      <c r="J114" s="10" t="str">
        <f>IFERROR(__xludf.DUMMYFUNCTION("GOOGLETRANSLATE(D114,""it"",""en"")"),"Pino Porzio")</f>
        <v>Pino Porzio</v>
      </c>
      <c r="K114" s="10" t="str">
        <f>IFERROR(__xludf.DUMMYFUNCTION("GOOGLETRANSLATE(E114,""it"",""en"")"),"Pino Porzio was the first Italian to win the title of best player at the Water Polo World Championships.")</f>
        <v>Pino Porzio was the first Italian to win the title of best player at the Water Polo World Championships.</v>
      </c>
    </row>
    <row r="115" ht="22.5" customHeight="1">
      <c r="A115" s="4">
        <v>114.0</v>
      </c>
      <c r="B115" s="5" t="s">
        <v>3267</v>
      </c>
      <c r="C115" s="5" t="s">
        <v>3268</v>
      </c>
      <c r="D115" s="4">
        <v>1904.0</v>
      </c>
      <c r="E115" s="5" t="s">
        <v>3269</v>
      </c>
      <c r="G115" s="10" t="str">
        <f>IFERROR(__xludf.DUMMYFUNCTION("GOOGLETRANSLATE(A115,""it"",""en"")"),"114")</f>
        <v>114</v>
      </c>
      <c r="H115" s="10" t="str">
        <f>IFERROR(__xludf.DUMMYFUNCTION("GOOGLETRANSLATE(B115,""it"",""en"")"),"In what year did the U.S. water polo team win its first Olympic gold medal?")</f>
        <v>In what year did the U.S. water polo team win its first Olympic gold medal?</v>
      </c>
      <c r="I115" s="10" t="str">
        <f>IFERROR(__xludf.DUMMYFUNCTION("GOOGLETRANSLATE(C115,""it"",""en"")"),"A. 1904 B. 1924 C. 1936 D. 1948")</f>
        <v>A. 1904 B. 1924 C. 1936 D. 1948</v>
      </c>
      <c r="J115" s="10" t="str">
        <f>IFERROR(__xludf.DUMMYFUNCTION("GOOGLETRANSLATE(D115,""it"",""en"")"),"1904")</f>
        <v>1904</v>
      </c>
      <c r="K115" s="10" t="str">
        <f>IFERROR(__xludf.DUMMYFUNCTION("GOOGLETRANSLATE(E115,""it"",""en"")"),"The United States won its first Olympic gold medal in water polo in 1904.")</f>
        <v>The United States won its first Olympic gold medal in water polo in 1904.</v>
      </c>
    </row>
    <row r="116" ht="22.5" customHeight="1">
      <c r="A116" s="4">
        <v>115.0</v>
      </c>
      <c r="B116" s="5" t="s">
        <v>3270</v>
      </c>
      <c r="C116" s="5" t="s">
        <v>3271</v>
      </c>
      <c r="D116" s="5" t="s">
        <v>3064</v>
      </c>
      <c r="E116" s="5" t="s">
        <v>3272</v>
      </c>
      <c r="G116" s="10" t="str">
        <f>IFERROR(__xludf.DUMMYFUNCTION("GOOGLETRANSLATE(A116,""it"",""en"")"),"115")</f>
        <v>115</v>
      </c>
      <c r="H116" s="10" t="str">
        <f>IFERROR(__xludf.DUMMYFUNCTION("GOOGLETRANSLATE(B116,""it"",""en"")"),"Which athlete scored the most goals in the Olympic Water Polo Games?")</f>
        <v>Which athlete scored the most goals in the Olympic Water Polo Games?</v>
      </c>
      <c r="I116" s="10" t="str">
        <f>IFERROR(__xludf.DUMMYFUNCTION("GOOGLETRANSLATE(C116,""it"",""en"")"),"A. Tibor Benedek B. Zoltán Szécsi C. Francesco Attolico D. György Kásás")</f>
        <v>A. Tibor Benedek B. Zoltán Szécsi C. Francesco Attolico D. György Kásás</v>
      </c>
      <c r="J116" s="10" t="str">
        <f>IFERROR(__xludf.DUMMYFUNCTION("GOOGLETRANSLATE(D116,""it"",""en"")"),"Tibor Benedek")</f>
        <v>Tibor Benedek</v>
      </c>
      <c r="K116" s="10" t="str">
        <f>IFERROR(__xludf.DUMMYFUNCTION("GOOGLETRANSLATE(E116,""it"",""en"")"),"Tibor Benedek scored the most goals in Olympic Water Polo.")</f>
        <v>Tibor Benedek scored the most goals in Olympic Water Polo.</v>
      </c>
    </row>
    <row r="117" ht="22.5" customHeight="1">
      <c r="A117" s="4">
        <v>116.0</v>
      </c>
      <c r="B117" s="5" t="s">
        <v>3273</v>
      </c>
      <c r="C117" s="5" t="s">
        <v>3060</v>
      </c>
      <c r="D117" s="4">
        <v>2000.0</v>
      </c>
      <c r="E117" s="5" t="s">
        <v>3274</v>
      </c>
      <c r="G117" s="10" t="str">
        <f>IFERROR(__xludf.DUMMYFUNCTION("GOOGLETRANSLATE(A117,""it"",""en"")"),"116")</f>
        <v>116</v>
      </c>
      <c r="H117" s="10" t="str">
        <f>IFERROR(__xludf.DUMMYFUNCTION("GOOGLETRANSLATE(B117,""it"",""en"")"),"In what year was the international water polo tournament for youth teams established?")</f>
        <v>In what year was the international water polo tournament for youth teams established?</v>
      </c>
      <c r="I117" s="10" t="str">
        <f>IFERROR(__xludf.DUMMYFUNCTION("GOOGLETRANSLATE(C117,""it"",""en"")"),"A. 1980 B. 1990 C. 2000 D. 2010")</f>
        <v>A. 1980 B. 1990 C. 2000 D. 2010</v>
      </c>
      <c r="J117" s="10" t="str">
        <f>IFERROR(__xludf.DUMMYFUNCTION("GOOGLETRANSLATE(D117,""it"",""en"")"),"2000")</f>
        <v>2000</v>
      </c>
      <c r="K117" s="10" t="str">
        <f>IFERROR(__xludf.DUMMYFUNCTION("GOOGLETRANSLATE(E117,""it"",""en"")"),"The international water polo tournament for youth teams was established in 2000.")</f>
        <v>The international water polo tournament for youth teams was established in 2000.</v>
      </c>
    </row>
    <row r="118" ht="22.5" customHeight="1">
      <c r="A118" s="4">
        <v>117.0</v>
      </c>
      <c r="B118" s="5" t="s">
        <v>3275</v>
      </c>
      <c r="C118" s="5" t="s">
        <v>3276</v>
      </c>
      <c r="D118" s="5" t="s">
        <v>3277</v>
      </c>
      <c r="E118" s="5" t="s">
        <v>3278</v>
      </c>
      <c r="G118" s="10" t="str">
        <f>IFERROR(__xludf.DUMMYFUNCTION("GOOGLETRANSLATE(A118,""it"",""en"")"),"117")</f>
        <v>117</v>
      </c>
      <c r="H118" s="10" t="str">
        <f>IFERROR(__xludf.DUMMYFUNCTION("GOOGLETRANSLATE(B118,""it"",""en"")"),"What is the name of the European competition for women's water polo teams?")</f>
        <v>What is the name of the European competition for women's water polo teams?</v>
      </c>
      <c r="I118" s="10" t="str">
        <f>IFERROR(__xludf.DUMMYFUNCTION("GOOGLETRANSLATE(C118,""it"",""en"")"),"A. Cup Winners' Cup B. European Cup C. Euro League D. Champions League")</f>
        <v>A. Cup Winners' Cup B. European Cup C. Euro League D. Champions League</v>
      </c>
      <c r="J118" s="10" t="str">
        <f>IFERROR(__xludf.DUMMYFUNCTION("GOOGLETRANSLATE(D118,""it"",""en"")"),"Euro League")</f>
        <v>Euro League</v>
      </c>
      <c r="K118" s="10" t="str">
        <f>IFERROR(__xludf.DUMMYFUNCTION("GOOGLETRANSLATE(E118,""it"",""en"")"),"The Euro League is the European competition for women's water polo teams.")</f>
        <v>The Euro League is the European competition for women's water polo teams.</v>
      </c>
    </row>
    <row r="119" ht="22.5" customHeight="1">
      <c r="A119" s="4">
        <v>118.0</v>
      </c>
      <c r="B119" s="5" t="s">
        <v>3279</v>
      </c>
      <c r="C119" s="5" t="s">
        <v>3097</v>
      </c>
      <c r="D119" s="5" t="s">
        <v>3014</v>
      </c>
      <c r="E119" s="5" t="s">
        <v>3280</v>
      </c>
      <c r="G119" s="10" t="str">
        <f>IFERROR(__xludf.DUMMYFUNCTION("GOOGLETRANSLATE(A119,""it"",""en"")"),"118")</f>
        <v>118</v>
      </c>
      <c r="H119" s="10" t="str">
        <f>IFERROR(__xludf.DUMMYFUNCTION("GOOGLETRANSLATE(B119,""it"",""en"")"),"Which nation won the Water Polo World Cup in 1991?")</f>
        <v>Which nation won the Water Polo World Cup in 1991?</v>
      </c>
      <c r="I119" s="10" t="str">
        <f>IFERROR(__xludf.DUMMYFUNCTION("GOOGLETRANSLATE(C119,""it"",""en"")"),"A. Italy B. Serbia C. Yugoslavia D. Spain")</f>
        <v>A. Italy B. Serbia C. Yugoslavia D. Spain</v>
      </c>
      <c r="J119" s="10" t="str">
        <f>IFERROR(__xludf.DUMMYFUNCTION("GOOGLETRANSLATE(D119,""it"",""en"")"),"Serbia")</f>
        <v>Serbia</v>
      </c>
      <c r="K119" s="10" t="str">
        <f>IFERROR(__xludf.DUMMYFUNCTION("GOOGLETRANSLATE(E119,""it"",""en"")"),"Serbia won the Water Polo World Cup in 1991.")</f>
        <v>Serbia won the Water Polo World Cup in 1991.</v>
      </c>
    </row>
    <row r="120" ht="22.5" customHeight="1">
      <c r="A120" s="4">
        <v>119.0</v>
      </c>
      <c r="B120" s="5" t="s">
        <v>3281</v>
      </c>
      <c r="C120" s="5" t="s">
        <v>3282</v>
      </c>
      <c r="D120" s="5" t="s">
        <v>3283</v>
      </c>
      <c r="E120" s="5" t="s">
        <v>3284</v>
      </c>
      <c r="G120" s="10" t="str">
        <f>IFERROR(__xludf.DUMMYFUNCTION("GOOGLETRANSLATE(A120,""it"",""en"")"),"119")</f>
        <v>119</v>
      </c>
      <c r="H120" s="10" t="str">
        <f>IFERROR(__xludf.DUMMYFUNCTION("GOOGLETRANSLATE(B120,""it"",""en"")"),"Who won the title of best coach at the 2009 World Water Polo Championships?")</f>
        <v>Who won the title of best coach at the 2009 World Water Polo Championships?</v>
      </c>
      <c r="I120" s="10" t="str">
        <f>IFERROR(__xludf.DUMMYFUNCTION("GOOGLETRANSLATE(C120,""it"",""en"")"),"A. Vladimir Vujasinović B. Dusan Duda C. Ádám Steinmetz D. Alessandro Campagna")</f>
        <v>A. Vladimir Vujasinović B. Dusan Duda C. Ádám Steinmetz D. Alessandro Campagna</v>
      </c>
      <c r="J120" s="10" t="str">
        <f>IFERROR(__xludf.DUMMYFUNCTION("GOOGLETRANSLATE(D120,""it"",""en"")"),"Vladimir Vujasinović")</f>
        <v>Vladimir Vujasinović</v>
      </c>
      <c r="K120" s="10" t="str">
        <f>IFERROR(__xludf.DUMMYFUNCTION("GOOGLETRANSLATE(E120,""it"",""en"")"),"Vladimir Vujasinović won the title of best coach at the 2009 World Water Polo Championships.")</f>
        <v>Vladimir Vujasinović won the title of best coach at the 2009 World Water Polo Championships.</v>
      </c>
    </row>
    <row r="121" ht="22.5" customHeight="1">
      <c r="A121" s="4">
        <v>120.0</v>
      </c>
      <c r="B121" s="5" t="s">
        <v>3285</v>
      </c>
      <c r="C121" s="5" t="s">
        <v>3286</v>
      </c>
      <c r="D121" s="5" t="s">
        <v>3014</v>
      </c>
      <c r="E121" s="5" t="s">
        <v>3287</v>
      </c>
      <c r="G121" s="10" t="str">
        <f>IFERROR(__xludf.DUMMYFUNCTION("GOOGLETRANSLATE(A121,""it"",""en"")"),"120")</f>
        <v>120</v>
      </c>
      <c r="H121" s="10" t="str">
        <f>IFERROR(__xludf.DUMMYFUNCTION("GOOGLETRANSLATE(B121,""it"",""en"")"),"Which team won the European Water Polo Championship in 2014?")</f>
        <v>Which team won the European Water Polo Championship in 2014?</v>
      </c>
      <c r="I121" s="10" t="str">
        <f>IFERROR(__xludf.DUMMYFUNCTION("GOOGLETRANSLATE(C121,""it"",""en"")"),"A. Serbia B. Italy C. Spain D. Hungary")</f>
        <v>A. Serbia B. Italy C. Spain D. Hungary</v>
      </c>
      <c r="J121" s="10" t="str">
        <f>IFERROR(__xludf.DUMMYFUNCTION("GOOGLETRANSLATE(D121,""it"",""en"")"),"Serbia")</f>
        <v>Serbia</v>
      </c>
      <c r="K121" s="10" t="str">
        <f>IFERROR(__xludf.DUMMYFUNCTION("GOOGLETRANSLATE(E121,""it"",""en"")"),"Serbia won the European Water Polo Championship in 2014.")</f>
        <v>Serbia won the European Water Polo Championship in 2014.</v>
      </c>
    </row>
    <row r="122" ht="22.5" customHeight="1">
      <c r="A122" s="4">
        <v>121.0</v>
      </c>
      <c r="B122" s="5" t="s">
        <v>3288</v>
      </c>
      <c r="C122" s="5" t="s">
        <v>3289</v>
      </c>
      <c r="D122" s="4">
        <v>1964.0</v>
      </c>
      <c r="E122" s="5" t="s">
        <v>3290</v>
      </c>
      <c r="G122" s="10" t="str">
        <f>IFERROR(__xludf.DUMMYFUNCTION("GOOGLETRANSLATE(A122,""it"",""en"")"),"121")</f>
        <v>121</v>
      </c>
      <c r="H122" s="10" t="str">
        <f>IFERROR(__xludf.DUMMYFUNCTION("GOOGLETRANSLATE(B122,""it"",""en"")"),"In what year did Italy win its first Olympic medal in water polo?")</f>
        <v>In what year did Italy win its first Olympic medal in water polo?</v>
      </c>
      <c r="I122" s="10" t="str">
        <f>IFERROR(__xludf.DUMMYFUNCTION("GOOGLETRANSLATE(C122,""it"",""en"")"),"A. 1924 B. 1932 C. 1948 D. 1964")</f>
        <v>A. 1924 B. 1932 C. 1948 D. 1964</v>
      </c>
      <c r="J122" s="10" t="str">
        <f>IFERROR(__xludf.DUMMYFUNCTION("GOOGLETRANSLATE(D122,""it"",""en"")"),"1964")</f>
        <v>1964</v>
      </c>
      <c r="K122" s="10" t="str">
        <f>IFERROR(__xludf.DUMMYFUNCTION("GOOGLETRANSLATE(E122,""it"",""en"")"),"Italy won its first Olympic medal in water polo in 1964.")</f>
        <v>Italy won its first Olympic medal in water polo in 1964.</v>
      </c>
    </row>
    <row r="123" ht="22.5" customHeight="1">
      <c r="A123" s="4">
        <v>122.0</v>
      </c>
      <c r="B123" s="5" t="s">
        <v>3291</v>
      </c>
      <c r="C123" s="5" t="s">
        <v>3292</v>
      </c>
      <c r="D123" s="5" t="s">
        <v>3014</v>
      </c>
      <c r="E123" s="5" t="s">
        <v>3293</v>
      </c>
      <c r="G123" s="10" t="str">
        <f>IFERROR(__xludf.DUMMYFUNCTION("GOOGLETRANSLATE(A123,""it"",""en"")"),"122")</f>
        <v>122</v>
      </c>
      <c r="H123" s="10" t="str">
        <f>IFERROR(__xludf.DUMMYFUNCTION("GOOGLETRANSLATE(B123,""it"",""en"")"),"Who won the 2009 World Water Polo Championship?")</f>
        <v>Who won the 2009 World Water Polo Championship?</v>
      </c>
      <c r="I123" s="10" t="str">
        <f>IFERROR(__xludf.DUMMYFUNCTION("GOOGLETRANSLATE(C123,""it"",""en"")"),"A. Serbia B. Italy C. Hungary D. Spain")</f>
        <v>A. Serbia B. Italy C. Hungary D. Spain</v>
      </c>
      <c r="J123" s="10" t="str">
        <f>IFERROR(__xludf.DUMMYFUNCTION("GOOGLETRANSLATE(D123,""it"",""en"")"),"Serbia")</f>
        <v>Serbia</v>
      </c>
      <c r="K123" s="10" t="str">
        <f>IFERROR(__xludf.DUMMYFUNCTION("GOOGLETRANSLATE(E123,""it"",""en"")"),"Serbia won the World Water Polo Championship in 2009.")</f>
        <v>Serbia won the World Water Polo Championship in 2009.</v>
      </c>
    </row>
    <row r="124" ht="22.5" customHeight="1">
      <c r="A124" s="4">
        <v>123.0</v>
      </c>
      <c r="B124" s="5" t="s">
        <v>3294</v>
      </c>
      <c r="C124" s="5" t="s">
        <v>3295</v>
      </c>
      <c r="D124" s="5" t="s">
        <v>3064</v>
      </c>
      <c r="E124" s="5" t="s">
        <v>3296</v>
      </c>
      <c r="G124" s="10" t="str">
        <f>IFERROR(__xludf.DUMMYFUNCTION("GOOGLETRANSLATE(A124,""it"",""en"")"),"123")</f>
        <v>123</v>
      </c>
      <c r="H124" s="10" t="str">
        <f>IFERROR(__xludf.DUMMYFUNCTION("GOOGLETRANSLATE(B124,""it"",""en"")"),"Which athlete has scored the most goals in water polo history?")</f>
        <v>Which athlete has scored the most goals in water polo history?</v>
      </c>
      <c r="I124" s="10" t="str">
        <f>IFERROR(__xludf.DUMMYFUNCTION("GOOGLETRANSLATE(C124,""it"",""en"")"),"A. Tibor Benedek B. Francesco Attolico C. Zoltán Szécsi D. Mihajlo Španović")</f>
        <v>A. Tibor Benedek B. Francesco Attolico C. Zoltán Szécsi D. Mihajlo Španović</v>
      </c>
      <c r="J124" s="10" t="str">
        <f>IFERROR(__xludf.DUMMYFUNCTION("GOOGLETRANSLATE(D124,""it"",""en"")"),"Tibor Benedek")</f>
        <v>Tibor Benedek</v>
      </c>
      <c r="K124" s="10" t="str">
        <f>IFERROR(__xludf.DUMMYFUNCTION("GOOGLETRANSLATE(E124,""it"",""en"")"),"Tibor Benedek holds the record for most goals scored in water polo history.")</f>
        <v>Tibor Benedek holds the record for most goals scored in water polo history.</v>
      </c>
    </row>
    <row r="125" ht="22.5" customHeight="1">
      <c r="A125" s="4">
        <v>124.0</v>
      </c>
      <c r="B125" s="5" t="s">
        <v>3297</v>
      </c>
      <c r="C125" s="5" t="s">
        <v>3298</v>
      </c>
      <c r="D125" s="5" t="s">
        <v>3014</v>
      </c>
      <c r="E125" s="5" t="s">
        <v>3299</v>
      </c>
      <c r="G125" s="10" t="str">
        <f>IFERROR(__xludf.DUMMYFUNCTION("GOOGLETRANSLATE(A125,""it"",""en"")"),"124")</f>
        <v>124</v>
      </c>
      <c r="H125" s="10" t="str">
        <f>IFERROR(__xludf.DUMMYFUNCTION("GOOGLETRANSLATE(B125,""it"",""en"")"),"Who won the Water Polo World Cup in 2013?")</f>
        <v>Who won the Water Polo World Cup in 2013?</v>
      </c>
      <c r="I125" s="10" t="str">
        <f>IFERROR(__xludf.DUMMYFUNCTION("GOOGLETRANSLATE(C125,""it"",""en"")"),"A. Serbia B. Italy C. Spain D. Croatia")</f>
        <v>A. Serbia B. Italy C. Spain D. Croatia</v>
      </c>
      <c r="J125" s="10" t="str">
        <f>IFERROR(__xludf.DUMMYFUNCTION("GOOGLETRANSLATE(D125,""it"",""en"")"),"Serbia")</f>
        <v>Serbia</v>
      </c>
      <c r="K125" s="10" t="str">
        <f>IFERROR(__xludf.DUMMYFUNCTION("GOOGLETRANSLATE(E125,""it"",""en"")"),"Serbia won the Water Polo World Cup in 2013.")</f>
        <v>Serbia won the Water Polo World Cup in 2013.</v>
      </c>
    </row>
    <row r="126" ht="22.5" customHeight="1">
      <c r="A126" s="4">
        <v>125.0</v>
      </c>
      <c r="B126" s="5" t="s">
        <v>3300</v>
      </c>
      <c r="C126" s="5" t="s">
        <v>3301</v>
      </c>
      <c r="D126" s="4">
        <v>1920.0</v>
      </c>
      <c r="E126" s="5" t="s">
        <v>3302</v>
      </c>
      <c r="G126" s="10" t="str">
        <f>IFERROR(__xludf.DUMMYFUNCTION("GOOGLETRANSLATE(A126,""it"",""en"")"),"125")</f>
        <v>125</v>
      </c>
      <c r="H126" s="10" t="str">
        <f>IFERROR(__xludf.DUMMYFUNCTION("GOOGLETRANSLATE(B126,""it"",""en"")"),"In what year was the Florentia Water Polo club founded?")</f>
        <v>In what year was the Florentia Water Polo club founded?</v>
      </c>
      <c r="I126" s="10" t="str">
        <f>IFERROR(__xludf.DUMMYFUNCTION("GOOGLETRANSLATE(C126,""it"",""en"")"),"A. 1910 B. 1920 C. 1930 D. 1945")</f>
        <v>A. 1910 B. 1920 C. 1930 D. 1945</v>
      </c>
      <c r="J126" s="10" t="str">
        <f>IFERROR(__xludf.DUMMYFUNCTION("GOOGLETRANSLATE(D126,""it"",""en"")"),"1920")</f>
        <v>1920</v>
      </c>
      <c r="K126" s="10" t="str">
        <f>IFERROR(__xludf.DUMMYFUNCTION("GOOGLETRANSLATE(E126,""it"",""en"")"),"The Florentia Water Polo club was founded in 1920.")</f>
        <v>The Florentia Water Polo club was founded in 1920.</v>
      </c>
    </row>
    <row r="127" ht="22.5" customHeight="1">
      <c r="A127" s="4">
        <v>126.0</v>
      </c>
      <c r="B127" s="5" t="s">
        <v>3303</v>
      </c>
      <c r="C127" s="5" t="s">
        <v>3230</v>
      </c>
      <c r="D127" s="4">
        <v>7.0</v>
      </c>
      <c r="E127" s="5" t="s">
        <v>3304</v>
      </c>
      <c r="G127" s="10" t="str">
        <f>IFERROR(__xludf.DUMMYFUNCTION("GOOGLETRANSLATE(A127,""it"",""en"")"),"126")</f>
        <v>126</v>
      </c>
      <c r="H127" s="10" t="str">
        <f>IFERROR(__xludf.DUMMYFUNCTION("GOOGLETRANSLATE(B127,""it"",""en"")"),"What is the Italian water polo team's record for wins in the Champions Cup?")</f>
        <v>What is the Italian water polo team's record for wins in the Champions Cup?</v>
      </c>
      <c r="I127" s="10" t="str">
        <f>IFERROR(__xludf.DUMMYFUNCTION("GOOGLETRANSLATE(C127,""it"",""en"")"),"A. 5 B. 6 C. 7 D. 8")</f>
        <v>A. 5 B. 6 C. 7 D. 8</v>
      </c>
      <c r="J127" s="10" t="str">
        <f>IFERROR(__xludf.DUMMYFUNCTION("GOOGLETRANSLATE(D127,""it"",""en"")"),"7")</f>
        <v>7</v>
      </c>
      <c r="K127" s="10" t="str">
        <f>IFERROR(__xludf.DUMMYFUNCTION("GOOGLETRANSLATE(E127,""it"",""en"")"),"The Italian team has won the Water Polo Champions Cup 7 times.")</f>
        <v>The Italian team has won the Water Polo Champions Cup 7 times.</v>
      </c>
    </row>
    <row r="128" ht="22.5" customHeight="1">
      <c r="A128" s="4">
        <v>127.0</v>
      </c>
      <c r="B128" s="5" t="s">
        <v>3305</v>
      </c>
      <c r="C128" s="5" t="s">
        <v>3306</v>
      </c>
      <c r="D128" s="4">
        <v>1900.0</v>
      </c>
      <c r="E128" s="5" t="s">
        <v>3307</v>
      </c>
      <c r="G128" s="10" t="str">
        <f>IFERROR(__xludf.DUMMYFUNCTION("GOOGLETRANSLATE(A128,""it"",""en"")"),"127")</f>
        <v>127</v>
      </c>
      <c r="H128" s="10" t="str">
        <f>IFERROR(__xludf.DUMMYFUNCTION("GOOGLETRANSLATE(B128,""it"",""en"")"),"In what year was water polo first introduced to the Olympic Games?")</f>
        <v>In what year was water polo first introduced to the Olympic Games?</v>
      </c>
      <c r="I128" s="10" t="str">
        <f>IFERROR(__xludf.DUMMYFUNCTION("GOOGLETRANSLATE(C128,""it"",""en"")"),"A. 1900 B. 1912 C. 1924 D. 1932")</f>
        <v>A. 1900 B. 1912 C. 1924 D. 1932</v>
      </c>
      <c r="J128" s="10" t="str">
        <f>IFERROR(__xludf.DUMMYFUNCTION("GOOGLETRANSLATE(D128,""it"",""en"")"),"1900")</f>
        <v>1900</v>
      </c>
      <c r="K128" s="10" t="str">
        <f>IFERROR(__xludf.DUMMYFUNCTION("GOOGLETRANSLATE(E128,""it"",""en"")"),"Water polo was first introduced to the Olympic Games in 1900.")</f>
        <v>Water polo was first introduced to the Olympic Games in 1900.</v>
      </c>
    </row>
    <row r="129" ht="22.5" customHeight="1">
      <c r="A129" s="4">
        <v>128.0</v>
      </c>
      <c r="B129" s="5" t="s">
        <v>3308</v>
      </c>
      <c r="C129" s="5" t="s">
        <v>3309</v>
      </c>
      <c r="D129" s="5" t="s">
        <v>3310</v>
      </c>
      <c r="E129" s="5" t="s">
        <v>3311</v>
      </c>
      <c r="G129" s="10" t="str">
        <f>IFERROR(__xludf.DUMMYFUNCTION("GOOGLETRANSLATE(A129,""it"",""en"")"),"128")</f>
        <v>128</v>
      </c>
      <c r="H129" s="10" t="str">
        <f>IFERROR(__xludf.DUMMYFUNCTION("GOOGLETRANSLATE(B129,""it"",""en"")"),"Which Italian athlete has won the most Olympic medals in water polo?")</f>
        <v>Which Italian athlete has won the most Olympic medals in water polo?</v>
      </c>
      <c r="I129" s="10" t="str">
        <f>IFERROR(__xludf.DUMMYFUNCTION("GOOGLETRANSLATE(C129,""it"",""en"")"),"A. Giovanni Porzio B. Francesco Attolico C. Pino Porzio D. Tiberio Benedek")</f>
        <v>A. Giovanni Porzio B. Francesco Attolico C. Pino Porzio D. Tiberio Benedek</v>
      </c>
      <c r="J129" s="10" t="str">
        <f>IFERROR(__xludf.DUMMYFUNCTION("GOOGLETRANSLATE(D129,""it"",""en"")"),"John Porzio")</f>
        <v>John Porzio</v>
      </c>
      <c r="K129" s="10" t="str">
        <f>IFERROR(__xludf.DUMMYFUNCTION("GOOGLETRANSLATE(E129,""it"",""en"")"),"Giovanni Porzio has won the most Olympic medals in Italian water polo.")</f>
        <v>Giovanni Porzio has won the most Olympic medals in Italian water polo.</v>
      </c>
    </row>
    <row r="130" ht="22.5" customHeight="1">
      <c r="A130" s="4">
        <v>129.0</v>
      </c>
      <c r="B130" s="5" t="s">
        <v>3312</v>
      </c>
      <c r="C130" s="5" t="s">
        <v>3313</v>
      </c>
      <c r="D130" s="5" t="s">
        <v>583</v>
      </c>
      <c r="E130" s="5" t="s">
        <v>3314</v>
      </c>
      <c r="G130" s="10" t="str">
        <f>IFERROR(__xludf.DUMMYFUNCTION("GOOGLETRANSLATE(A130,""it"",""en"")"),"129")</f>
        <v>129</v>
      </c>
      <c r="H130" s="10" t="str">
        <f>IFERROR(__xludf.DUMMYFUNCTION("GOOGLETRANSLATE(B130,""it"",""en"")"),"Who won the gold medal in the 1996 Olympic Water Polo tournament?")</f>
        <v>Who won the gold medal in the 1996 Olympic Water Polo tournament?</v>
      </c>
      <c r="I130" s="10" t="str">
        <f>IFERROR(__xludf.DUMMYFUNCTION("GOOGLETRANSLATE(C130,""it"",""en"")"),"A. Italy B. Spain C. Serbia D. Yugoslavia")</f>
        <v>A. Italy B. Spain C. Serbia D. Yugoslavia</v>
      </c>
      <c r="J130" s="10" t="str">
        <f>IFERROR(__xludf.DUMMYFUNCTION("GOOGLETRANSLATE(D130,""it"",""en"")"),"Italy")</f>
        <v>Italy</v>
      </c>
      <c r="K130" s="10" t="str">
        <f>IFERROR(__xludf.DUMMYFUNCTION("GOOGLETRANSLATE(E130,""it"",""en"")"),"Italy won the gold medal in the 1996 Olympic Water Polo tournament.")</f>
        <v>Italy won the gold medal in the 1996 Olympic Water Polo tournament.</v>
      </c>
    </row>
    <row r="131" ht="22.5" customHeight="1">
      <c r="A131" s="4">
        <v>130.0</v>
      </c>
      <c r="B131" s="5" t="s">
        <v>3315</v>
      </c>
      <c r="C131" s="5" t="s">
        <v>3316</v>
      </c>
      <c r="D131" s="4">
        <v>1985.0</v>
      </c>
      <c r="E131" s="5" t="s">
        <v>3317</v>
      </c>
      <c r="G131" s="10" t="str">
        <f>IFERROR(__xludf.DUMMYFUNCTION("GOOGLETRANSLATE(A131,""it"",""en"")"),"130")</f>
        <v>130</v>
      </c>
      <c r="H131" s="10" t="str">
        <f>IFERROR(__xludf.DUMMYFUNCTION("GOOGLETRANSLATE(B131,""it"",""en"")"),"In what year was the first European Women's Water Polo Championship held?")</f>
        <v>In what year was the first European Women's Water Polo Championship held?</v>
      </c>
      <c r="I131" s="10" t="str">
        <f>IFERROR(__xludf.DUMMYFUNCTION("GOOGLETRANSLATE(C131,""it"",""en"")"),"A. 1981 B. 1985 C. 1991 D. 1997")</f>
        <v>A. 1981 B. 1985 C. 1991 D. 1997</v>
      </c>
      <c r="J131" s="10" t="str">
        <f>IFERROR(__xludf.DUMMYFUNCTION("GOOGLETRANSLATE(D131,""it"",""en"")"),"1985")</f>
        <v>1985</v>
      </c>
      <c r="K131" s="10" t="str">
        <f>IFERROR(__xludf.DUMMYFUNCTION("GOOGLETRANSLATE(E131,""it"",""en"")"),"The first European Women's Water Polo Championship took place in 1985.")</f>
        <v>The first European Women's Water Polo Championship took place in 1985.</v>
      </c>
    </row>
    <row r="132" ht="22.5" customHeight="1">
      <c r="A132" s="4">
        <v>131.0</v>
      </c>
      <c r="B132" s="5" t="s">
        <v>3318</v>
      </c>
      <c r="C132" s="5" t="s">
        <v>3319</v>
      </c>
      <c r="D132" s="4">
        <v>1965.0</v>
      </c>
      <c r="E132" s="5" t="s">
        <v>3320</v>
      </c>
      <c r="G132" s="10" t="str">
        <f>IFERROR(__xludf.DUMMYFUNCTION("GOOGLETRANSLATE(A132,""it"",""en"")"),"131")</f>
        <v>131</v>
      </c>
      <c r="H132" s="10" t="str">
        <f>IFERROR(__xludf.DUMMYFUNCTION("GOOGLETRANSLATE(B132,""it"",""en"")"),"In which year did Pro Recco win their first Champions League?")</f>
        <v>In which year did Pro Recco win their first Champions League?</v>
      </c>
      <c r="I132" s="10" t="str">
        <f>IFERROR(__xludf.DUMMYFUNCTION("GOOGLETRANSLATE(C132,""it"",""en"")"),"A. 1963 B. 1965 C. 1968 D. 1971")</f>
        <v>A. 1963 B. 1965 C. 1968 D. 1971</v>
      </c>
      <c r="J132" s="10" t="str">
        <f>IFERROR(__xludf.DUMMYFUNCTION("GOOGLETRANSLATE(D132,""it"",""en"")"),"1965")</f>
        <v>1965</v>
      </c>
      <c r="K132" s="10" t="str">
        <f>IFERROR(__xludf.DUMMYFUNCTION("GOOGLETRANSLATE(E132,""it"",""en"")"),"Pro Recco won its first Water Polo Champions League in 1965.")</f>
        <v>Pro Recco won its first Water Polo Champions League in 1965.</v>
      </c>
    </row>
    <row r="133" ht="22.5" customHeight="1">
      <c r="A133" s="4">
        <v>132.0</v>
      </c>
      <c r="B133" s="5" t="s">
        <v>3321</v>
      </c>
      <c r="C133" s="5" t="s">
        <v>3322</v>
      </c>
      <c r="D133" s="5" t="s">
        <v>3283</v>
      </c>
      <c r="E133" s="5" t="s">
        <v>3323</v>
      </c>
      <c r="G133" s="10" t="str">
        <f>IFERROR(__xludf.DUMMYFUNCTION("GOOGLETRANSLATE(A133,""it"",""en"")"),"132")</f>
        <v>132</v>
      </c>
      <c r="H133" s="10" t="str">
        <f>IFERROR(__xludf.DUMMYFUNCTION("GOOGLETRANSLATE(B133,""it"",""en"")"),"Who is considered one of the greatest water polo coaches in history?")</f>
        <v>Who is considered one of the greatest water polo coaches in history?</v>
      </c>
      <c r="I133" s="10" t="str">
        <f>IFERROR(__xludf.DUMMYFUNCTION("GOOGLETRANSLATE(C133,""it"",""en"")"),"A. Tibor Benedek B. Goran Volarevic C. Vladimir Vujasinović D. Pino Porzio")</f>
        <v>A. Tibor Benedek B. Goran Volarevic C. Vladimir Vujasinović D. Pino Porzio</v>
      </c>
      <c r="J133" s="10" t="str">
        <f>IFERROR(__xludf.DUMMYFUNCTION("GOOGLETRANSLATE(D133,""it"",""en"")"),"Vladimir Vujasinović")</f>
        <v>Vladimir Vujasinović</v>
      </c>
      <c r="K133" s="10" t="str">
        <f>IFERROR(__xludf.DUMMYFUNCTION("GOOGLETRANSLATE(E133,""it"",""en"")"),"Vladimir Vujasinović is considered one of the greatest water polo coaches.")</f>
        <v>Vladimir Vujasinović is considered one of the greatest water polo coaches.</v>
      </c>
    </row>
    <row r="134" ht="22.5" customHeight="1">
      <c r="A134" s="4">
        <v>133.0</v>
      </c>
      <c r="B134" s="5" t="s">
        <v>3324</v>
      </c>
      <c r="C134" s="5" t="s">
        <v>3325</v>
      </c>
      <c r="D134" s="5" t="s">
        <v>2994</v>
      </c>
      <c r="E134" s="5" t="s">
        <v>3326</v>
      </c>
      <c r="G134" s="10" t="str">
        <f>IFERROR(__xludf.DUMMYFUNCTION("GOOGLETRANSLATE(A134,""it"",""en"")"),"133")</f>
        <v>133</v>
      </c>
      <c r="H134" s="10" t="str">
        <f>IFERROR(__xludf.DUMMYFUNCTION("GOOGLETRANSLATE(B134,""it"",""en"")"),"Which team won the Water Polo Champions Cup in 2002?")</f>
        <v>Which team won the Water Polo Champions Cup in 2002?</v>
      </c>
      <c r="I134" s="10" t="str">
        <f>IFERROR(__xludf.DUMMYFUNCTION("GOOGLETRANSLATE(C134,""it"",""en"")"),"A. Pro Recco B. Savona C. Spandau 04 D. Milan")</f>
        <v>A. Pro Recco B. Savona C. Spandau 04 D. Milan</v>
      </c>
      <c r="J134" s="10" t="str">
        <f>IFERROR(__xludf.DUMMYFUNCTION("GOOGLETRANSLATE(D134,""it"",""en"")"),"Pro Recco")</f>
        <v>Pro Recco</v>
      </c>
      <c r="K134" s="10" t="str">
        <f>IFERROR(__xludf.DUMMYFUNCTION("GOOGLETRANSLATE(E134,""it"",""en"")"),"Pro Recco won the Water Polo Champions Cup in 2002.")</f>
        <v>Pro Recco won the Water Polo Champions Cup in 2002.</v>
      </c>
    </row>
    <row r="135" ht="22.5" customHeight="1">
      <c r="A135" s="4">
        <v>134.0</v>
      </c>
      <c r="B135" s="5" t="s">
        <v>3327</v>
      </c>
      <c r="C135" s="5" t="s">
        <v>3286</v>
      </c>
      <c r="D135" s="5" t="s">
        <v>3014</v>
      </c>
      <c r="E135" s="5" t="s">
        <v>3328</v>
      </c>
      <c r="G135" s="10" t="str">
        <f>IFERROR(__xludf.DUMMYFUNCTION("GOOGLETRANSLATE(A135,""it"",""en"")"),"134")</f>
        <v>134</v>
      </c>
      <c r="H135" s="10" t="str">
        <f>IFERROR(__xludf.DUMMYFUNCTION("GOOGLETRANSLATE(B135,""it"",""en"")"),"Who won the silver medal in the 2000 Olympic Water Polo tournament?")</f>
        <v>Who won the silver medal in the 2000 Olympic Water Polo tournament?</v>
      </c>
      <c r="I135" s="10" t="str">
        <f>IFERROR(__xludf.DUMMYFUNCTION("GOOGLETRANSLATE(C135,""it"",""en"")"),"A. Serbia B. Italy C. Spain D. Hungary")</f>
        <v>A. Serbia B. Italy C. Spain D. Hungary</v>
      </c>
      <c r="J135" s="10" t="str">
        <f>IFERROR(__xludf.DUMMYFUNCTION("GOOGLETRANSLATE(D135,""it"",""en"")"),"Serbia")</f>
        <v>Serbia</v>
      </c>
      <c r="K135" s="10" t="str">
        <f>IFERROR(__xludf.DUMMYFUNCTION("GOOGLETRANSLATE(E135,""it"",""en"")"),"Serbia won the silver medal in the Olympic Water Polo tournament in 2000.")</f>
        <v>Serbia won the silver medal in the Olympic Water Polo tournament in 2000.</v>
      </c>
    </row>
    <row r="136" ht="22.5" customHeight="1">
      <c r="A136" s="4">
        <v>135.0</v>
      </c>
      <c r="B136" s="5" t="s">
        <v>3329</v>
      </c>
      <c r="C136" s="5" t="s">
        <v>3330</v>
      </c>
      <c r="D136" s="4">
        <v>1922.0</v>
      </c>
      <c r="E136" s="5" t="s">
        <v>3331</v>
      </c>
      <c r="G136" s="10" t="str">
        <f>IFERROR(__xludf.DUMMYFUNCTION("GOOGLETRANSLATE(A136,""it"",""en"")"),"135")</f>
        <v>135</v>
      </c>
      <c r="H136" s="10" t="str">
        <f>IFERROR(__xludf.DUMMYFUNCTION("GOOGLETRANSLATE(B136,""it"",""en"")"),"In what year was the men's water polo championship established in Italy?")</f>
        <v>In what year was the men's water polo championship established in Italy?</v>
      </c>
      <c r="I136" s="10" t="str">
        <f>IFERROR(__xludf.DUMMYFUNCTION("GOOGLETRANSLATE(C136,""it"",""en"")"),"A. 1922 B. 1932 C. 1940 D. 1950")</f>
        <v>A. 1922 B. 1932 C. 1940 D. 1950</v>
      </c>
      <c r="J136" s="10" t="str">
        <f>IFERROR(__xludf.DUMMYFUNCTION("GOOGLETRANSLATE(D136,""it"",""en"")"),"1922")</f>
        <v>1922</v>
      </c>
      <c r="K136" s="10" t="str">
        <f>IFERROR(__xludf.DUMMYFUNCTION("GOOGLETRANSLATE(E136,""it"",""en"")"),"The men's water polo championship in Italy was established in 1922.")</f>
        <v>The men's water polo championship in Italy was established in 1922.</v>
      </c>
    </row>
    <row r="137" ht="22.5" customHeight="1">
      <c r="A137" s="4">
        <v>136.0</v>
      </c>
      <c r="B137" s="5" t="s">
        <v>3332</v>
      </c>
      <c r="C137" s="5" t="s">
        <v>3195</v>
      </c>
      <c r="D137" s="5" t="s">
        <v>3014</v>
      </c>
      <c r="E137" s="5" t="s">
        <v>3333</v>
      </c>
      <c r="G137" s="10" t="str">
        <f>IFERROR(__xludf.DUMMYFUNCTION("GOOGLETRANSLATE(A137,""it"",""en"")"),"136")</f>
        <v>136</v>
      </c>
      <c r="H137" s="10" t="str">
        <f>IFERROR(__xludf.DUMMYFUNCTION("GOOGLETRANSLATE(B137,""it"",""en"")"),"Who won the first Water Polo World Championship?")</f>
        <v>Who won the first Water Polo World Championship?</v>
      </c>
      <c r="I137" s="10" t="str">
        <f>IFERROR(__xludf.DUMMYFUNCTION("GOOGLETRANSLATE(C137,""it"",""en"")"),"A. Italy B. Serbia C. Yugoslavia D. Hungary")</f>
        <v>A. Italy B. Serbia C. Yugoslavia D. Hungary</v>
      </c>
      <c r="J137" s="10" t="str">
        <f>IFERROR(__xludf.DUMMYFUNCTION("GOOGLETRANSLATE(D137,""it"",""en"")"),"Serbia")</f>
        <v>Serbia</v>
      </c>
      <c r="K137" s="10" t="str">
        <f>IFERROR(__xludf.DUMMYFUNCTION("GOOGLETRANSLATE(E137,""it"",""en"")"),"Serbia won the first World Water Polo Championship in 1973.")</f>
        <v>Serbia won the first World Water Polo Championship in 1973.</v>
      </c>
    </row>
    <row r="138" ht="22.5" customHeight="1">
      <c r="A138" s="4">
        <v>137.0</v>
      </c>
      <c r="B138" s="5" t="s">
        <v>3334</v>
      </c>
      <c r="C138" s="5" t="s">
        <v>3335</v>
      </c>
      <c r="D138" s="5" t="s">
        <v>3336</v>
      </c>
      <c r="E138" s="5" t="s">
        <v>3337</v>
      </c>
      <c r="G138" s="10" t="str">
        <f>IFERROR(__xludf.DUMMYFUNCTION("GOOGLETRANSLATE(A138,""it"",""en"")"),"137")</f>
        <v>137</v>
      </c>
      <c r="H138" s="10" t="str">
        <f>IFERROR(__xludf.DUMMYFUNCTION("GOOGLETRANSLATE(B138,""it"",""en"")"),"Which city hosted the European Water Polo Championships in 2018?")</f>
        <v>Which city hosted the European Water Polo Championships in 2018?</v>
      </c>
      <c r="I138" s="10" t="str">
        <f>IFERROR(__xludf.DUMMYFUNCTION("GOOGLETRANSLATE(C138,""it"",""en"")"),"A. Barcelona B. Budapest C. Belgrade D. Rome")</f>
        <v>A. Barcelona B. Budapest C. Belgrade D. Rome</v>
      </c>
      <c r="J138" s="10" t="str">
        <f>IFERROR(__xludf.DUMMYFUNCTION("GOOGLETRANSLATE(D138,""it"",""en"")"),"Barcelona")</f>
        <v>Barcelona</v>
      </c>
      <c r="K138" s="10" t="str">
        <f>IFERROR(__xludf.DUMMYFUNCTION("GOOGLETRANSLATE(E138,""it"",""en"")"),"Barcelona hosted the European Water Polo Championships in 2018.")</f>
        <v>Barcelona hosted the European Water Polo Championships in 2018.</v>
      </c>
    </row>
    <row r="139" ht="22.5" customHeight="1">
      <c r="A139" s="4">
        <v>138.0</v>
      </c>
      <c r="B139" s="5" t="s">
        <v>3338</v>
      </c>
      <c r="C139" s="5" t="s">
        <v>3339</v>
      </c>
      <c r="D139" s="4">
        <v>1992.0</v>
      </c>
      <c r="E139" s="5" t="s">
        <v>3340</v>
      </c>
      <c r="G139" s="10" t="str">
        <f>IFERROR(__xludf.DUMMYFUNCTION("GOOGLETRANSLATE(A139,""it"",""en"")"),"138")</f>
        <v>138</v>
      </c>
      <c r="H139" s="10" t="str">
        <f>IFERROR(__xludf.DUMMYFUNCTION("GOOGLETRANSLATE(B139,""it"",""en"")"),"In which year did the Italian water polo team win the European Championship for the first time?")</f>
        <v>In which year did the Italian water polo team win the European Championship for the first time?</v>
      </c>
      <c r="I139" s="10" t="str">
        <f>IFERROR(__xludf.DUMMYFUNCTION("GOOGLETRANSLATE(C139,""it"",""en"")"),"A. 1985 B. 1992 C. 2000 D. 2004")</f>
        <v>A. 1985 B. 1992 C. 2000 D. 2004</v>
      </c>
      <c r="J139" s="10" t="str">
        <f>IFERROR(__xludf.DUMMYFUNCTION("GOOGLETRANSLATE(D139,""it"",""en"")"),"1992")</f>
        <v>1992</v>
      </c>
      <c r="K139" s="10" t="str">
        <f>IFERROR(__xludf.DUMMYFUNCTION("GOOGLETRANSLATE(E139,""it"",""en"")"),"Italy won the European Water Polo Championship for the first time in 1992.")</f>
        <v>Italy won the European Water Polo Championship for the first time in 1992.</v>
      </c>
    </row>
    <row r="140" ht="22.5" customHeight="1">
      <c r="A140" s="4">
        <v>139.0</v>
      </c>
      <c r="B140" s="5" t="s">
        <v>3341</v>
      </c>
      <c r="C140" s="5" t="s">
        <v>3342</v>
      </c>
      <c r="D140" s="5" t="s">
        <v>2994</v>
      </c>
      <c r="E140" s="5" t="s">
        <v>3343</v>
      </c>
      <c r="G140" s="10" t="str">
        <f>IFERROR(__xludf.DUMMYFUNCTION("GOOGLETRANSLATE(A140,""it"",""en"")"),"139")</f>
        <v>139</v>
      </c>
      <c r="H140" s="10" t="str">
        <f>IFERROR(__xludf.DUMMYFUNCTION("GOOGLETRANSLATE(B140,""it"",""en"")"),"Which team won the European Water Polo Super Cup in 2017?")</f>
        <v>Which team won the European Water Polo Super Cup in 2017?</v>
      </c>
      <c r="I140" s="10" t="str">
        <f>IFERROR(__xludf.DUMMYFUNCTION("GOOGLETRANSLATE(C140,""it"",""en"")"),"A. Pro Recco B. Spandau 04 C. Florentia D. Savona")</f>
        <v>A. Pro Recco B. Spandau 04 C. Florentia D. Savona</v>
      </c>
      <c r="J140" s="10" t="str">
        <f>IFERROR(__xludf.DUMMYFUNCTION("GOOGLETRANSLATE(D140,""it"",""en"")"),"Pro Recco")</f>
        <v>Pro Recco</v>
      </c>
      <c r="K140" s="10" t="str">
        <f>IFERROR(__xludf.DUMMYFUNCTION("GOOGLETRANSLATE(E140,""it"",""en"")"),"Pro Recco won the European Water Polo Super Cup in 2017.")</f>
        <v>Pro Recco won the European Water Polo Super Cup in 2017.</v>
      </c>
    </row>
    <row r="141" ht="22.5" customHeight="1">
      <c r="A141" s="4">
        <v>140.0</v>
      </c>
      <c r="B141" s="5" t="s">
        <v>3344</v>
      </c>
      <c r="C141" s="5" t="s">
        <v>3345</v>
      </c>
      <c r="D141" s="5" t="s">
        <v>3014</v>
      </c>
      <c r="E141" s="5" t="s">
        <v>3346</v>
      </c>
      <c r="G141" s="10" t="str">
        <f>IFERROR(__xludf.DUMMYFUNCTION("GOOGLETRANSLATE(A141,""it"",""en"")"),"140")</f>
        <v>140</v>
      </c>
      <c r="H141" s="10" t="str">
        <f>IFERROR(__xludf.DUMMYFUNCTION("GOOGLETRANSLATE(B141,""it"",""en"")"),"Who won the 2005 Men's Water Polo World Championship?")</f>
        <v>Who won the 2005 Men's Water Polo World Championship?</v>
      </c>
      <c r="I141" s="10" t="str">
        <f>IFERROR(__xludf.DUMMYFUNCTION("GOOGLETRANSLATE(C141,""it"",""en"")"),"A. Serbia B. Italy C. Croatia D. Hungary")</f>
        <v>A. Serbia B. Italy C. Croatia D. Hungary</v>
      </c>
      <c r="J141" s="10" t="str">
        <f>IFERROR(__xludf.DUMMYFUNCTION("GOOGLETRANSLATE(D141,""it"",""en"")"),"Serbia")</f>
        <v>Serbia</v>
      </c>
      <c r="K141" s="10" t="str">
        <f>IFERROR(__xludf.DUMMYFUNCTION("GOOGLETRANSLATE(E141,""it"",""en"")"),"Serbia won the Men's Water Polo World Championship in 2005.")</f>
        <v>Serbia won the Men's Water Polo World Championship in 2005.</v>
      </c>
    </row>
    <row r="142" ht="22.5" customHeight="1">
      <c r="A142" s="4">
        <v>141.0</v>
      </c>
      <c r="B142" s="5" t="s">
        <v>3197</v>
      </c>
      <c r="C142" s="5" t="s">
        <v>3347</v>
      </c>
      <c r="D142" s="4">
        <v>1971.0</v>
      </c>
      <c r="E142" s="5" t="s">
        <v>3199</v>
      </c>
      <c r="G142" s="10" t="str">
        <f>IFERROR(__xludf.DUMMYFUNCTION("GOOGLETRANSLATE(A142,""it"",""en"")"),"141")</f>
        <v>141</v>
      </c>
      <c r="H142" s="10" t="str">
        <f>IFERROR(__xludf.DUMMYFUNCTION("GOOGLETRANSLATE(B142,""it"",""en"")"),"In what year was the Water Polo tournament created at the Mediterranean Games?")</f>
        <v>In what year was the Water Polo tournament created at the Mediterranean Games?</v>
      </c>
      <c r="I142" s="10" t="str">
        <f>IFERROR(__xludf.DUMMYFUNCTION("GOOGLETRANSLATE(C142,""it"",""en"")"),"A. 1959 B. 1967 C. 1971 D. 1980")</f>
        <v>A. 1959 B. 1967 C. 1971 D. 1980</v>
      </c>
      <c r="J142" s="10" t="str">
        <f>IFERROR(__xludf.DUMMYFUNCTION("GOOGLETRANSLATE(D142,""it"",""en"")"),"1971")</f>
        <v>1971</v>
      </c>
      <c r="K142" s="10" t="str">
        <f>IFERROR(__xludf.DUMMYFUNCTION("GOOGLETRANSLATE(E142,""it"",""en"")"),"The water polo tournament was created during the Mediterranean Games in 1971.")</f>
        <v>The water polo tournament was created during the Mediterranean Games in 1971.</v>
      </c>
    </row>
    <row r="143" ht="22.5" customHeight="1">
      <c r="A143" s="4">
        <v>142.0</v>
      </c>
      <c r="B143" s="5" t="s">
        <v>3348</v>
      </c>
      <c r="C143" s="5" t="s">
        <v>3349</v>
      </c>
      <c r="D143" s="5" t="s">
        <v>583</v>
      </c>
      <c r="E143" s="5" t="s">
        <v>3350</v>
      </c>
      <c r="G143" s="10" t="str">
        <f>IFERROR(__xludf.DUMMYFUNCTION("GOOGLETRANSLATE(A143,""it"",""en"")"),"142")</f>
        <v>142</v>
      </c>
      <c r="H143" s="10" t="str">
        <f>IFERROR(__xludf.DUMMYFUNCTION("GOOGLETRANSLATE(B143,""it"",""en"")"),"Who won the 1984 Olympic Water Polo tournament?")</f>
        <v>Who won the 1984 Olympic Water Polo tournament?</v>
      </c>
      <c r="I143" s="10" t="str">
        <f>IFERROR(__xludf.DUMMYFUNCTION("GOOGLETRANSLATE(C143,""it"",""en"")"),"A. Italy B. Yugoslavia C. Serbia D. United States")</f>
        <v>A. Italy B. Yugoslavia C. Serbia D. United States</v>
      </c>
      <c r="J143" s="10" t="str">
        <f>IFERROR(__xludf.DUMMYFUNCTION("GOOGLETRANSLATE(D143,""it"",""en"")"),"Italy")</f>
        <v>Italy</v>
      </c>
      <c r="K143" s="10" t="str">
        <f>IFERROR(__xludf.DUMMYFUNCTION("GOOGLETRANSLATE(E143,""it"",""en"")"),"Italy won the Olympic Water Polo tournament in 1984.")</f>
        <v>Italy won the Olympic Water Polo tournament in 1984.</v>
      </c>
    </row>
    <row r="144" ht="22.5" customHeight="1">
      <c r="A144" s="4">
        <v>143.0</v>
      </c>
      <c r="B144" s="5" t="s">
        <v>3351</v>
      </c>
      <c r="C144" s="5" t="s">
        <v>3352</v>
      </c>
      <c r="D144" s="4">
        <v>1984.0</v>
      </c>
      <c r="E144" s="5" t="s">
        <v>3353</v>
      </c>
      <c r="G144" s="10" t="str">
        <f>IFERROR(__xludf.DUMMYFUNCTION("GOOGLETRANSLATE(A144,""it"",""en"")"),"143")</f>
        <v>143</v>
      </c>
      <c r="H144" s="10" t="str">
        <f>IFERROR(__xludf.DUMMYFUNCTION("GOOGLETRANSLATE(B144,""it"",""en"")"),"In which year did Spandau 04 Water Polo club win the European Cup?")</f>
        <v>In which year did Spandau 04 Water Polo club win the European Cup?</v>
      </c>
      <c r="I144" s="10" t="str">
        <f>IFERROR(__xludf.DUMMYFUNCTION("GOOGLETRANSLATE(C144,""it"",""en"")"),"A. 1978 B. 1984 C. 1990 D. 1993")</f>
        <v>A. 1978 B. 1984 C. 1990 D. 1993</v>
      </c>
      <c r="J144" s="10" t="str">
        <f>IFERROR(__xludf.DUMMYFUNCTION("GOOGLETRANSLATE(D144,""it"",""en"")"),"1984")</f>
        <v>1984</v>
      </c>
      <c r="K144" s="10" t="str">
        <f>IFERROR(__xludf.DUMMYFUNCTION("GOOGLETRANSLATE(E144,""it"",""en"")"),"Spandau 04 won the European Water Polo Cup in 1984.")</f>
        <v>Spandau 04 won the European Water Polo Cup in 1984.</v>
      </c>
    </row>
    <row r="145" ht="22.5" customHeight="1">
      <c r="A145" s="4">
        <v>144.0</v>
      </c>
      <c r="B145" s="5" t="s">
        <v>3354</v>
      </c>
      <c r="C145" s="5" t="s">
        <v>3355</v>
      </c>
      <c r="D145" s="5" t="s">
        <v>3014</v>
      </c>
      <c r="E145" s="5" t="s">
        <v>3356</v>
      </c>
      <c r="G145" s="10" t="str">
        <f>IFERROR(__xludf.DUMMYFUNCTION("GOOGLETRANSLATE(A145,""it"",""en"")"),"144")</f>
        <v>144</v>
      </c>
      <c r="H145" s="10" t="str">
        <f>IFERROR(__xludf.DUMMYFUNCTION("GOOGLETRANSLATE(B145,""it"",""en"")"),"Which team won the European Water Polo Championship in 2008?")</f>
        <v>Which team won the European Water Polo Championship in 2008?</v>
      </c>
      <c r="I145" s="10" t="str">
        <f>IFERROR(__xludf.DUMMYFUNCTION("GOOGLETRANSLATE(C145,""it"",""en"")"),"A. Serbia B. Spain C. Croatia D. Italy")</f>
        <v>A. Serbia B. Spain C. Croatia D. Italy</v>
      </c>
      <c r="J145" s="10" t="str">
        <f>IFERROR(__xludf.DUMMYFUNCTION("GOOGLETRANSLATE(D145,""it"",""en"")"),"Serbia")</f>
        <v>Serbia</v>
      </c>
      <c r="K145" s="10" t="str">
        <f>IFERROR(__xludf.DUMMYFUNCTION("GOOGLETRANSLATE(E145,""it"",""en"")"),"Serbia won the European Water Polo Championship in 2008.")</f>
        <v>Serbia won the European Water Polo Championship in 2008.</v>
      </c>
    </row>
    <row r="146" ht="22.5" customHeight="1">
      <c r="A146" s="4">
        <v>145.0</v>
      </c>
      <c r="B146" s="5" t="s">
        <v>3357</v>
      </c>
      <c r="C146" s="5" t="s">
        <v>3358</v>
      </c>
      <c r="D146" s="5" t="s">
        <v>2955</v>
      </c>
      <c r="E146" s="5" t="s">
        <v>3359</v>
      </c>
      <c r="G146" s="10" t="str">
        <f>IFERROR(__xludf.DUMMYFUNCTION("GOOGLETRANSLATE(A146,""it"",""en"")"),"145")</f>
        <v>145</v>
      </c>
      <c r="H146" s="10" t="str">
        <f>IFERROR(__xludf.DUMMYFUNCTION("GOOGLETRANSLATE(B146,""it"",""en"")"),"Who was the captain of the Italian water polo team that won the World Championship in 1994?")</f>
        <v>Who was the captain of the Italian water polo team that won the World Championship in 1994?</v>
      </c>
      <c r="I146" s="10" t="str">
        <f>IFERROR(__xludf.DUMMYFUNCTION("GOOGLETRANSLATE(C146,""it"",""en"")"),"A. Giovanni Porzio B. Francesco Esposito C. Pino Porzio D. Alessandro Campagna")</f>
        <v>A. Giovanni Porzio B. Francesco Esposito C. Pino Porzio D. Alessandro Campagna</v>
      </c>
      <c r="J146" s="10" t="str">
        <f>IFERROR(__xludf.DUMMYFUNCTION("GOOGLETRANSLATE(D146,""it"",""en"")"),"Pino Porzio")</f>
        <v>Pino Porzio</v>
      </c>
      <c r="K146" s="10" t="str">
        <f>IFERROR(__xludf.DUMMYFUNCTION("GOOGLETRANSLATE(E146,""it"",""en"")"),"Pino Porzio was the captain of the Italian team that won the 1994 World Water Polo Championship.")</f>
        <v>Pino Porzio was the captain of the Italian team that won the 1994 World Water Polo Championship.</v>
      </c>
    </row>
    <row r="147" ht="22.5" customHeight="1">
      <c r="A147" s="4">
        <v>146.0</v>
      </c>
      <c r="B147" s="5" t="s">
        <v>3360</v>
      </c>
      <c r="C147" s="5" t="s">
        <v>3361</v>
      </c>
      <c r="D147" s="5" t="s">
        <v>3183</v>
      </c>
      <c r="E147" s="5" t="s">
        <v>3362</v>
      </c>
      <c r="G147" s="10" t="str">
        <f>IFERROR(__xludf.DUMMYFUNCTION("GOOGLETRANSLATE(A147,""it"",""en"")"),"146")</f>
        <v>146</v>
      </c>
      <c r="H147" s="10" t="str">
        <f>IFERROR(__xludf.DUMMYFUNCTION("GOOGLETRANSLATE(B147,""it"",""en"")"),"Which athlete won the title of best goalkeeper in Water Polo at the 2011 World Championships?")</f>
        <v>Which athlete won the title of best goalkeeper in Water Polo at the 2011 World Championships?</v>
      </c>
      <c r="I147" s="10" t="str">
        <f>IFERROR(__xludf.DUMMYFUNCTION("GOOGLETRANSLATE(C147,""it"",""en"")"),"A. Francesco Attolico B. Giorgio Millo C. Giovanni Porzio D. Alessandro Campagna")</f>
        <v>A. Francesco Attolico B. Giorgio Millo C. Giovanni Porzio D. Alessandro Campagna</v>
      </c>
      <c r="J147" s="10" t="str">
        <f>IFERROR(__xludf.DUMMYFUNCTION("GOOGLETRANSLATE(D147,""it"",""en"")"),"Francesco Attolico")</f>
        <v>Francesco Attolico</v>
      </c>
      <c r="K147" s="10" t="str">
        <f>IFERROR(__xludf.DUMMYFUNCTION("GOOGLETRANSLATE(E147,""it"",""en"")"),"Francesco Attolico won the title of best goalkeeper at the 2011 World Water Polo Championships.")</f>
        <v>Francesco Attolico won the title of best goalkeeper at the 2011 World Water Polo Championships.</v>
      </c>
    </row>
    <row r="148" ht="22.5" customHeight="1">
      <c r="A148" s="4">
        <v>147.0</v>
      </c>
      <c r="B148" s="5" t="s">
        <v>3363</v>
      </c>
      <c r="C148" s="5" t="s">
        <v>3364</v>
      </c>
      <c r="D148" s="4">
        <v>2004.0</v>
      </c>
      <c r="E148" s="5" t="s">
        <v>3365</v>
      </c>
      <c r="G148" s="10" t="str">
        <f>IFERROR(__xludf.DUMMYFUNCTION("GOOGLETRANSLATE(A148,""it"",""en"")"),"147")</f>
        <v>147</v>
      </c>
      <c r="H148" s="10" t="str">
        <f>IFERROR(__xludf.DUMMYFUNCTION("GOOGLETRANSLATE(B148,""it"",""en"")"),"In which year did the Serbian water polo team win its first Olympic gold medal?")</f>
        <v>In which year did the Serbian water polo team win its first Olympic gold medal?</v>
      </c>
      <c r="I148" s="10" t="str">
        <f>IFERROR(__xludf.DUMMYFUNCTION("GOOGLETRANSLATE(C148,""it"",""en"")"),"A. 1996 B. 2000 C. 2004 D. 2008")</f>
        <v>A. 1996 B. 2000 C. 2004 D. 2008</v>
      </c>
      <c r="J148" s="10" t="str">
        <f>IFERROR(__xludf.DUMMYFUNCTION("GOOGLETRANSLATE(D148,""it"",""en"")"),"2004")</f>
        <v>2004</v>
      </c>
      <c r="K148" s="10" t="str">
        <f>IFERROR(__xludf.DUMMYFUNCTION("GOOGLETRANSLATE(E148,""it"",""en"")"),"Serbia won its first Olympic gold medal in water polo in 2004.")</f>
        <v>Serbia won its first Olympic gold medal in water polo in 2004.</v>
      </c>
    </row>
    <row r="149" ht="22.5" customHeight="1">
      <c r="A149" s="4">
        <v>148.0</v>
      </c>
      <c r="B149" s="5" t="s">
        <v>3366</v>
      </c>
      <c r="C149" s="5" t="s">
        <v>3367</v>
      </c>
      <c r="D149" s="5" t="s">
        <v>583</v>
      </c>
      <c r="E149" s="5" t="s">
        <v>3368</v>
      </c>
      <c r="G149" s="10" t="str">
        <f>IFERROR(__xludf.DUMMYFUNCTION("GOOGLETRANSLATE(A149,""it"",""en"")"),"148")</f>
        <v>148</v>
      </c>
      <c r="H149" s="10" t="str">
        <f>IFERROR(__xludf.DUMMYFUNCTION("GOOGLETRANSLATE(B149,""it"",""en"")"),"Who won the bronze medal in the 1992 Olympic Water Polo tournament?")</f>
        <v>Who won the bronze medal in the 1992 Olympic Water Polo tournament?</v>
      </c>
      <c r="I149" s="10" t="str">
        <f>IFERROR(__xludf.DUMMYFUNCTION("GOOGLETRANSLATE(C149,""it"",""en"")"),"A. Italy B. Serbia C. Croatia D. Yugoslavia")</f>
        <v>A. Italy B. Serbia C. Croatia D. Yugoslavia</v>
      </c>
      <c r="J149" s="10" t="str">
        <f>IFERROR(__xludf.DUMMYFUNCTION("GOOGLETRANSLATE(D149,""it"",""en"")"),"Italy")</f>
        <v>Italy</v>
      </c>
      <c r="K149" s="10" t="str">
        <f>IFERROR(__xludf.DUMMYFUNCTION("GOOGLETRANSLATE(E149,""it"",""en"")"),"Italy won the bronze medal in the 1992 Olympic Water Polo tournament.")</f>
        <v>Italy won the bronze medal in the 1992 Olympic Water Polo tournament.</v>
      </c>
    </row>
    <row r="150" ht="22.5" customHeight="1">
      <c r="A150" s="4">
        <v>149.0</v>
      </c>
      <c r="B150" s="5" t="s">
        <v>3369</v>
      </c>
      <c r="C150" s="5" t="s">
        <v>3370</v>
      </c>
      <c r="D150" s="5" t="s">
        <v>3371</v>
      </c>
      <c r="E150" s="5" t="s">
        <v>3372</v>
      </c>
      <c r="G150" s="10" t="str">
        <f>IFERROR(__xludf.DUMMYFUNCTION("GOOGLETRANSLATE(A150,""it"",""en"")"),"149")</f>
        <v>149</v>
      </c>
      <c r="H150" s="10" t="str">
        <f>IFERROR(__xludf.DUMMYFUNCTION("GOOGLETRANSLATE(B150,""it"",""en"")"),"In which city was the water polo tournament at the 2016 Olympic Games held?")</f>
        <v>In which city was the water polo tournament at the 2016 Olympic Games held?</v>
      </c>
      <c r="I150" s="10" t="str">
        <f>IFERROR(__xludf.DUMMYFUNCTION("GOOGLETRANSLATE(C150,""it"",""en"")"),"A. Rio de Janeiro B. London C. Beijing D. Athens")</f>
        <v>A. Rio de Janeiro B. London C. Beijing D. Athens</v>
      </c>
      <c r="J150" s="10" t="str">
        <f>IFERROR(__xludf.DUMMYFUNCTION("GOOGLETRANSLATE(D150,""it"",""en"")"),"Rio de Janeiro")</f>
        <v>Rio de Janeiro</v>
      </c>
      <c r="K150" s="10" t="str">
        <f>IFERROR(__xludf.DUMMYFUNCTION("GOOGLETRANSLATE(E150,""it"",""en"")"),"The water polo tournament at the 2016 Olympic Games was held in Rio de Janeiro.")</f>
        <v>The water polo tournament at the 2016 Olympic Games was held in Rio de Janeiro.</v>
      </c>
    </row>
    <row r="151" ht="22.5" customHeight="1">
      <c r="A151" s="4">
        <v>150.0</v>
      </c>
      <c r="B151" s="5" t="s">
        <v>3373</v>
      </c>
      <c r="C151" s="5" t="s">
        <v>3251</v>
      </c>
      <c r="D151" s="5" t="s">
        <v>583</v>
      </c>
      <c r="E151" s="5" t="s">
        <v>3374</v>
      </c>
      <c r="G151" s="10" t="str">
        <f>IFERROR(__xludf.DUMMYFUNCTION("GOOGLETRANSLATE(A151,""it"",""en"")"),"150")</f>
        <v>150</v>
      </c>
      <c r="H151" s="10" t="str">
        <f>IFERROR(__xludf.DUMMYFUNCTION("GOOGLETRANSLATE(B151,""it"",""en"")"),"Who won the European Water Polo Championship in 2000?")</f>
        <v>Who won the European Water Polo Championship in 2000?</v>
      </c>
      <c r="I151" s="10" t="str">
        <f>IFERROR(__xludf.DUMMYFUNCTION("GOOGLETRANSLATE(C151,""it"",""en"")"),"A. Italy B. Serbia C. Spain D. Hungary")</f>
        <v>A. Italy B. Serbia C. Spain D. Hungary</v>
      </c>
      <c r="J151" s="10" t="str">
        <f>IFERROR(__xludf.DUMMYFUNCTION("GOOGLETRANSLATE(D151,""it"",""en"")"),"Italy")</f>
        <v>Italy</v>
      </c>
      <c r="K151" s="10" t="str">
        <f>IFERROR(__xludf.DUMMYFUNCTION("GOOGLETRANSLATE(E151,""it"",""en"")"),"Italy won the European Water Polo Championship in 2000.")</f>
        <v>Italy won the European Water Polo Championship in 2000.</v>
      </c>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3" width="37.63"/>
    <col customWidth="1" min="4" max="4" width="26.13"/>
    <col customWidth="1" min="5" max="5" width="37.63"/>
    <col customWidth="1" min="7" max="7" width="18.5"/>
    <col customWidth="1" min="8" max="9" width="37.63"/>
    <col customWidth="1" min="10" max="10" width="26.75"/>
    <col customWidth="1" min="11" max="11" width="37.63"/>
  </cols>
  <sheetData>
    <row r="1" ht="22.5" customHeight="1">
      <c r="A1" s="8" t="s">
        <v>0</v>
      </c>
      <c r="B1" s="8" t="s">
        <v>1</v>
      </c>
      <c r="C1" s="2" t="s">
        <v>2</v>
      </c>
      <c r="D1" s="8" t="s">
        <v>3</v>
      </c>
      <c r="E1" s="8" t="s">
        <v>4</v>
      </c>
      <c r="F1" s="3"/>
      <c r="G1" s="8" t="s">
        <v>0</v>
      </c>
      <c r="H1" s="8" t="s">
        <v>5</v>
      </c>
      <c r="I1" s="2" t="s">
        <v>6</v>
      </c>
      <c r="J1" s="8" t="s">
        <v>7</v>
      </c>
      <c r="K1" s="8" t="s">
        <v>8</v>
      </c>
      <c r="L1" s="3"/>
      <c r="M1" s="3"/>
    </row>
    <row r="2" ht="22.5" customHeight="1">
      <c r="A2" s="4">
        <v>1.0</v>
      </c>
      <c r="B2" s="5" t="s">
        <v>3375</v>
      </c>
      <c r="C2" s="4" t="s">
        <v>3376</v>
      </c>
      <c r="D2" s="4">
        <v>7.0</v>
      </c>
      <c r="E2" s="5" t="s">
        <v>3377</v>
      </c>
      <c r="F2" s="15"/>
      <c r="G2" s="4">
        <v>1.0</v>
      </c>
      <c r="H2" s="10" t="str">
        <f>IFERROR(__xludf.DUMMYFUNCTION("GOOGLETRANSLATE(B2,""it"",""en"")"),"How many players are on a water polo team?")</f>
        <v>How many players are on a water polo team?</v>
      </c>
      <c r="I2" s="10" t="str">
        <f>IFERROR(__xludf.DUMMYFUNCTION("GOOGLETRANSLATE(C2,""it"",""en"")"),"A. 6 B. 7 C. 11 D. 9")</f>
        <v>A. 6 B. 7 C. 11 D. 9</v>
      </c>
      <c r="J2" s="10" t="str">
        <f>IFERROR(__xludf.DUMMYFUNCTION("GOOGLETRANSLATE(D2,""it"",""en"")"),"7")</f>
        <v>7</v>
      </c>
      <c r="K2" s="10" t="str">
        <f>IFERROR(__xludf.DUMMYFUNCTION("GOOGLETRANSLATE(E2,""it"",""en"")"),"A water polo team consists of 7 players: 6 field players and 1 goalkeeper.")</f>
        <v>A water polo team consists of 7 players: 6 field players and 1 goalkeeper.</v>
      </c>
    </row>
    <row r="3" ht="22.5" customHeight="1">
      <c r="A3" s="4">
        <v>2.0</v>
      </c>
      <c r="B3" s="5" t="s">
        <v>3378</v>
      </c>
      <c r="C3" s="4" t="s">
        <v>3379</v>
      </c>
      <c r="D3" s="5" t="s">
        <v>3380</v>
      </c>
      <c r="E3" s="5" t="s">
        <v>3381</v>
      </c>
      <c r="F3" s="15"/>
      <c r="G3" s="4">
        <v>2.0</v>
      </c>
      <c r="H3" s="10" t="str">
        <f>IFERROR(__xludf.DUMMYFUNCTION("GOOGLETRANSLATE(B3,""it"",""en"")"),"How long is a half of a game in a water polo match?")</f>
        <v>How long is a half of a game in a water polo match?</v>
      </c>
      <c r="I3" s="10" t="str">
        <f>IFERROR(__xludf.DUMMYFUNCTION("GOOGLETRANSLATE(C3,""it"",""en"")"),"A. 6 minutes B. 8 minutes C. 10 minutes D. 12 minutes")</f>
        <v>A. 6 minutes B. 8 minutes C. 10 minutes D. 12 minutes</v>
      </c>
      <c r="J3" s="10" t="str">
        <f>IFERROR(__xludf.DUMMYFUNCTION("GOOGLETRANSLATE(D3,""it"",""en"")"),"8 minutes")</f>
        <v>8 minutes</v>
      </c>
      <c r="K3" s="10" t="str">
        <f>IFERROR(__xludf.DUMMYFUNCTION("GOOGLETRANSLATE(E3,""it"",""en"")"),"Each half of a water polo game lasts 8 actual minutes.")</f>
        <v>Each half of a water polo game lasts 8 actual minutes.</v>
      </c>
    </row>
    <row r="4" ht="22.5" customHeight="1">
      <c r="A4" s="4">
        <v>3.0</v>
      </c>
      <c r="B4" s="5" t="s">
        <v>3382</v>
      </c>
      <c r="C4" s="4" t="s">
        <v>3383</v>
      </c>
      <c r="D4" s="4">
        <v>2.0</v>
      </c>
      <c r="E4" s="5" t="s">
        <v>3384</v>
      </c>
      <c r="F4" s="15"/>
      <c r="G4" s="4">
        <v>3.0</v>
      </c>
      <c r="H4" s="10" t="str">
        <f>IFERROR(__xludf.DUMMYFUNCTION("GOOGLETRANSLATE(B4,""it"",""en"")"),"How many time-outs can a team require in a water polo game?")</f>
        <v>How many time-outs can a team require in a water polo game?</v>
      </c>
      <c r="I4" s="10" t="str">
        <f>IFERROR(__xludf.DUMMYFUNCTION("GOOGLETRANSLATE(C4,""it"",""en"")"),"A. 2 B. 3 C. 4 D. 1")</f>
        <v>A. 2 B. 3 C. 4 D. 1</v>
      </c>
      <c r="J4" s="10" t="str">
        <f>IFERROR(__xludf.DUMMYFUNCTION("GOOGLETRANSLATE(D4,""it"",""en"")"),"2")</f>
        <v>2</v>
      </c>
      <c r="K4" s="10" t="str">
        <f>IFERROR(__xludf.DUMMYFUNCTION("GOOGLETRANSLATE(E4,""it"",""en"")"),"Each team may request two time-outs per game.")</f>
        <v>Each team may request two time-outs per game.</v>
      </c>
    </row>
    <row r="5" ht="22.5" customHeight="1">
      <c r="A5" s="4">
        <v>4.0</v>
      </c>
      <c r="B5" s="5" t="s">
        <v>3385</v>
      </c>
      <c r="C5" s="4" t="s">
        <v>3386</v>
      </c>
      <c r="D5" s="5" t="s">
        <v>3387</v>
      </c>
      <c r="E5" s="5" t="s">
        <v>3388</v>
      </c>
      <c r="F5" s="15"/>
      <c r="G5" s="4">
        <v>4.0</v>
      </c>
      <c r="H5" s="10" t="str">
        <f>IFERROR(__xludf.DUMMYFUNCTION("GOOGLETRANSLATE(B5,""it"",""en"")"),"What is the regulation diameter of the ball used in men's water polo?")</f>
        <v>What is the regulation diameter of the ball used in men's water polo?</v>
      </c>
      <c r="I5" s="10" t="str">
        <f>IFERROR(__xludf.DUMMYFUNCTION("GOOGLETRANSLATE(C5,""it"",""en"")"),"A. 65-67 cm B. 68-70 cm C. 60-62 cm D. 72-74 cm")</f>
        <v>A. 65-67 cm B. 68-70 cm C. 60-62 cm D. 72-74 cm</v>
      </c>
      <c r="J5" s="10" t="str">
        <f>IFERROR(__xludf.DUMMYFUNCTION("GOOGLETRANSLATE(D5,""it"",""en"")"),"68-70 cm")</f>
        <v>68-70 cm</v>
      </c>
      <c r="K5" s="10" t="str">
        <f>IFERROR(__xludf.DUMMYFUNCTION("GOOGLETRANSLATE(E5,""it"",""en"")"),"The men's ball has a regulation diameter of 68-70 cm.")</f>
        <v>The men's ball has a regulation diameter of 68-70 cm.</v>
      </c>
    </row>
    <row r="6" ht="22.5" customHeight="1">
      <c r="A6" s="4">
        <v>5.0</v>
      </c>
      <c r="B6" s="5" t="s">
        <v>3389</v>
      </c>
      <c r="C6" s="4" t="s">
        <v>3383</v>
      </c>
      <c r="D6" s="4">
        <v>3.0</v>
      </c>
      <c r="E6" s="5" t="s">
        <v>3390</v>
      </c>
      <c r="F6" s="15"/>
      <c r="G6" s="4">
        <v>5.0</v>
      </c>
      <c r="H6" s="10" t="str">
        <f>IFERROR(__xludf.DUMMYFUNCTION("GOOGLETRANSLATE(B6,""it"",""en"")"),"How many temporary red cards can a player receive before being suspended?")</f>
        <v>How many temporary red cards can a player receive before being suspended?</v>
      </c>
      <c r="I6" s="10" t="str">
        <f>IFERROR(__xludf.DUMMYFUNCTION("GOOGLETRANSLATE(C6,""it"",""en"")"),"A. 2 B. 3 C. 4 D. 1")</f>
        <v>A. 2 B. 3 C. 4 D. 1</v>
      </c>
      <c r="J6" s="10" t="str">
        <f>IFERROR(__xludf.DUMMYFUNCTION("GOOGLETRANSLATE(D6,""it"",""en"")"),"3")</f>
        <v>3</v>
      </c>
      <c r="K6" s="10" t="str">
        <f>IFERROR(__xludf.DUMMYFUNCTION("GOOGLETRANSLATE(E6,""it"",""en"")"),"A player is suspended after three temporary red cards.")</f>
        <v>A player is suspended after three temporary red cards.</v>
      </c>
    </row>
    <row r="7" ht="22.5" customHeight="1">
      <c r="A7" s="4">
        <v>6.0</v>
      </c>
      <c r="B7" s="5" t="s">
        <v>3391</v>
      </c>
      <c r="C7" s="4" t="s">
        <v>3392</v>
      </c>
      <c r="D7" s="5" t="s">
        <v>3393</v>
      </c>
      <c r="E7" s="5" t="s">
        <v>3394</v>
      </c>
      <c r="F7" s="15"/>
      <c r="G7" s="4">
        <v>6.0</v>
      </c>
      <c r="H7" s="10" t="str">
        <f>IFERROR(__xludf.DUMMYFUNCTION("GOOGLETRANSLATE(B7,""it"",""en"")"),"How do you start a water polo game?")</f>
        <v>How do you start a water polo game?</v>
      </c>
      <c r="I7" s="10" t="str">
        <f>IFERROR(__xludf.DUMMYFUNCTION("GOOGLETRANSLATE(C7,""it"",""en"")"),"A. With a throw-in at center field B. With the ball thrown to the center C. With a penalty shootout D. With a free throw")</f>
        <v>A. With a throw-in at center field B. With the ball thrown to the center C. With a penalty shootout D. With a free throw</v>
      </c>
      <c r="J7" s="10" t="str">
        <f>IFERROR(__xludf.DUMMYFUNCTION("GOOGLETRANSLATE(D7,""it"",""en"")"),"With the ball thrown to the center")</f>
        <v>With the ball thrown to the center</v>
      </c>
      <c r="K7" s="10" t="str">
        <f>IFERROR(__xludf.DUMMYFUNCTION("GOOGLETRANSLATE(E7,""it"",""en"")"),"The game begins with the ball being thrown into the center and the players swimming to reach it.")</f>
        <v>The game begins with the ball being thrown into the center and the players swimming to reach it.</v>
      </c>
    </row>
    <row r="8" ht="22.5" customHeight="1">
      <c r="A8" s="4">
        <v>7.0</v>
      </c>
      <c r="B8" s="5" t="s">
        <v>3395</v>
      </c>
      <c r="C8" s="4" t="s">
        <v>3396</v>
      </c>
      <c r="D8" s="5" t="s">
        <v>3397</v>
      </c>
      <c r="E8" s="5" t="s">
        <v>3398</v>
      </c>
      <c r="F8" s="15"/>
      <c r="G8" s="4">
        <v>7.0</v>
      </c>
      <c r="H8" s="10" t="str">
        <f>IFERROR(__xludf.DUMMYFUNCTION("GOOGLETRANSLATE(B8,""it"",""en"")"),"How much time does a team have to complete an offensive play?")</f>
        <v>How much time does a team have to complete an offensive play?</v>
      </c>
      <c r="I8" s="10" t="str">
        <f>IFERROR(__xludf.DUMMYFUNCTION("GOOGLETRANSLATE(C8,""it"",""en"")"),"A. 20 seconds B. 24 seconds C. 30 seconds D. 35 seconds")</f>
        <v>A. 20 seconds B. 24 seconds C. 30 seconds D. 35 seconds</v>
      </c>
      <c r="J8" s="10" t="str">
        <f>IFERROR(__xludf.DUMMYFUNCTION("GOOGLETRANSLATE(D8,""it"",""en"")"),"30 seconds")</f>
        <v>30 seconds</v>
      </c>
      <c r="K8" s="10" t="str">
        <f>IFERROR(__xludf.DUMMYFUNCTION("GOOGLETRANSLATE(E8,""it"",""en"")"),"A team has 30 seconds to complete an offensive play.")</f>
        <v>A team has 30 seconds to complete an offensive play.</v>
      </c>
    </row>
    <row r="9" ht="22.5" customHeight="1">
      <c r="A9" s="4">
        <v>8.0</v>
      </c>
      <c r="B9" s="5" t="s">
        <v>3399</v>
      </c>
      <c r="C9" s="4" t="s">
        <v>3400</v>
      </c>
      <c r="D9" s="5" t="s">
        <v>3401</v>
      </c>
      <c r="E9" s="5" t="s">
        <v>3402</v>
      </c>
      <c r="F9" s="15"/>
      <c r="G9" s="4">
        <v>8.0</v>
      </c>
      <c r="H9" s="10" t="str">
        <f>IFERROR(__xludf.DUMMYFUNCTION("GOOGLETRANSLATE(B9,""it"",""en"")"),"What happens if a player intentionally holds the ball underwater?")</f>
        <v>What happens if a player intentionally holds the ball underwater?</v>
      </c>
      <c r="I9" s="10" t="str">
        <f>IFERROR(__xludf.DUMMYFUNCTION("GOOGLETRANSLATE(C9,""it"",""en"")"),"A. It is allowed B. A foul is called C. He is temporarily sent off D. He is cautioned")</f>
        <v>A. It is allowed B. A foul is called C. He is temporarily sent off D. He is cautioned</v>
      </c>
      <c r="J9" s="10" t="str">
        <f>IFERROR(__xludf.DUMMYFUNCTION("GOOGLETRANSLATE(D9,""it"",""en"")"),"A foul is called")</f>
        <v>A foul is called</v>
      </c>
      <c r="K9" s="10" t="str">
        <f>IFERROR(__xludf.DUMMYFUNCTION("GOOGLETRANSLATE(E9,""it"",""en"")"),"Intentionally holding the ball under water for defense is not allowed.")</f>
        <v>Intentionally holding the ball under water for defense is not allowed.</v>
      </c>
    </row>
    <row r="10" ht="22.5" customHeight="1">
      <c r="A10" s="4">
        <v>9.0</v>
      </c>
      <c r="B10" s="5" t="s">
        <v>3403</v>
      </c>
      <c r="C10" s="4" t="s">
        <v>3404</v>
      </c>
      <c r="D10" s="5" t="s">
        <v>3405</v>
      </c>
      <c r="E10" s="5" t="s">
        <v>3406</v>
      </c>
      <c r="F10" s="15"/>
      <c r="G10" s="4">
        <v>9.0</v>
      </c>
      <c r="H10" s="10" t="str">
        <f>IFERROR(__xludf.DUMMYFUNCTION("GOOGLETRANSLATE(B10,""it"",""en"")"),"How many meters is the penalty spot from the goal?")</f>
        <v>How many meters is the penalty spot from the goal?</v>
      </c>
      <c r="I10" s="10" t="str">
        <f>IFERROR(__xludf.DUMMYFUNCTION("GOOGLETRANSLATE(C10,""it"",""en"")"),"A. 4 meters B. 5 meters C. 6 meters D. 7 meters")</f>
        <v>A. 4 meters B. 5 meters C. 6 meters D. 7 meters</v>
      </c>
      <c r="J10" s="10" t="str">
        <f>IFERROR(__xludf.DUMMYFUNCTION("GOOGLETRANSLATE(D10,""it"",""en"")"),"5 meters")</f>
        <v>5 meters</v>
      </c>
      <c r="K10" s="10" t="str">
        <f>IFERROR(__xludf.DUMMYFUNCTION("GOOGLETRANSLATE(E10,""it"",""en"")"),"The penalty spot is located 5 meters from the goal.")</f>
        <v>The penalty spot is located 5 meters from the goal.</v>
      </c>
    </row>
    <row r="11" ht="22.5" customHeight="1">
      <c r="A11" s="4">
        <v>10.0</v>
      </c>
      <c r="B11" s="5" t="s">
        <v>3407</v>
      </c>
      <c r="C11" s="4" t="s">
        <v>3408</v>
      </c>
      <c r="D11" s="5" t="s">
        <v>3409</v>
      </c>
      <c r="E11" s="5" t="s">
        <v>3410</v>
      </c>
      <c r="F11" s="15"/>
      <c r="G11" s="4">
        <v>10.0</v>
      </c>
      <c r="H11" s="10" t="str">
        <f>IFERROR(__xludf.DUMMYFUNCTION("GOOGLETRANSLATE(B11,""it"",""en"")"),"Who can touch the bottom of the pool during a game?")</f>
        <v>Who can touch the bottom of the pool during a game?</v>
      </c>
      <c r="I11" s="10" t="str">
        <f>IFERROR(__xludf.DUMMYFUNCTION("GOOGLETRANSLATE(C11,""it"",""en"")"),"A. All players B. No players C. The goalkeeper D. The captain")</f>
        <v>A. All players B. No players C. The goalkeeper D. The captain</v>
      </c>
      <c r="J11" s="10" t="str">
        <f>IFERROR(__xludf.DUMMYFUNCTION("GOOGLETRANSLATE(D11,""it"",""en"")"),"No player")</f>
        <v>No player</v>
      </c>
      <c r="K11" s="10" t="str">
        <f>IFERROR(__xludf.DUMMYFUNCTION("GOOGLETRANSLATE(E11,""it"",""en"")"),"It is forbidden to touch the bottom of the pool while playing.")</f>
        <v>It is forbidden to touch the bottom of the pool while playing.</v>
      </c>
    </row>
    <row r="12" ht="22.5" customHeight="1">
      <c r="A12" s="4">
        <v>11.0</v>
      </c>
      <c r="B12" s="5" t="s">
        <v>3411</v>
      </c>
      <c r="C12" s="4" t="s">
        <v>3412</v>
      </c>
      <c r="D12" s="5" t="s">
        <v>3413</v>
      </c>
      <c r="E12" s="5" t="s">
        <v>3414</v>
      </c>
      <c r="F12" s="15"/>
      <c r="G12" s="4">
        <v>11.0</v>
      </c>
      <c r="H12" s="10" t="str">
        <f>IFERROR(__xludf.DUMMYFUNCTION("GOOGLETRANSLATE(B12,""it"",""en"")"),"What does a white flag raised by the referee represent?")</f>
        <v>What does a white flag raised by the referee represent?</v>
      </c>
      <c r="I12" s="10" t="str">
        <f>IFERROR(__xludf.DUMMYFUNCTION("GOOGLETRANSLATE(C12,""it"",""en"")"),"A. A valid goal B. A foul C. A penalty D. A time-out")</f>
        <v>A. A valid goal B. A foul C. A penalty D. A time-out</v>
      </c>
      <c r="J12" s="10" t="str">
        <f>IFERROR(__xludf.DUMMYFUNCTION("GOOGLETRANSLATE(D12,""it"",""en"")"),"A valid goal")</f>
        <v>A valid goal</v>
      </c>
      <c r="K12" s="10" t="str">
        <f>IFERROR(__xludf.DUMMYFUNCTION("GOOGLETRANSLATE(E12,""it"",""en"")"),"The white flag indicates that a goal has been validated.")</f>
        <v>The white flag indicates that a goal has been validated.</v>
      </c>
    </row>
    <row r="13" ht="22.5" customHeight="1">
      <c r="A13" s="4">
        <v>12.0</v>
      </c>
      <c r="B13" s="5" t="s">
        <v>3415</v>
      </c>
      <c r="C13" s="4" t="s">
        <v>106</v>
      </c>
      <c r="D13" s="4">
        <v>2.0</v>
      </c>
      <c r="E13" s="5" t="s">
        <v>3416</v>
      </c>
      <c r="F13" s="15"/>
      <c r="G13" s="4">
        <v>12.0</v>
      </c>
      <c r="H13" s="10" t="str">
        <f>IFERROR(__xludf.DUMMYFUNCTION("GOOGLETRANSLATE(B13,""it"",""en"")"),"How many referees officiate at an official water polo match?")</f>
        <v>How many referees officiate at an official water polo match?</v>
      </c>
      <c r="I13" s="10" t="str">
        <f>IFERROR(__xludf.DUMMYFUNCTION("GOOGLETRANSLATE(C13,""it"",""en"")"),"A. 1 B. 2 C. 3 D. 4")</f>
        <v>A. 1 B. 2 C. 3 D. 4</v>
      </c>
      <c r="J13" s="10" t="str">
        <f>IFERROR(__xludf.DUMMYFUNCTION("GOOGLETRANSLATE(D13,""it"",""en"")"),"2")</f>
        <v>2</v>
      </c>
      <c r="K13" s="10" t="str">
        <f>IFERROR(__xludf.DUMMYFUNCTION("GOOGLETRANSLATE(E13,""it"",""en"")"),"Official water polo matches are refereed by two referees.")</f>
        <v>Official water polo matches are refereed by two referees.</v>
      </c>
    </row>
    <row r="14" ht="22.5" customHeight="1">
      <c r="A14" s="4">
        <v>13.0</v>
      </c>
      <c r="B14" s="5" t="s">
        <v>3417</v>
      </c>
      <c r="C14" s="4" t="s">
        <v>3418</v>
      </c>
      <c r="D14" s="4">
        <v>6.0</v>
      </c>
      <c r="E14" s="5" t="s">
        <v>3419</v>
      </c>
      <c r="F14" s="15"/>
      <c r="G14" s="4">
        <v>13.0</v>
      </c>
      <c r="H14" s="10" t="str">
        <f>IFERROR(__xludf.DUMMYFUNCTION("GOOGLETRANSLATE(B14,""it"",""en"")"),"What is the maximum number of players on the bench for a team?")</f>
        <v>What is the maximum number of players on the bench for a team?</v>
      </c>
      <c r="I14" s="10" t="str">
        <f>IFERROR(__xludf.DUMMYFUNCTION("GOOGLETRANSLATE(C14,""it"",""en"")"),"A. 6 B. 7 C. 9 D. 5")</f>
        <v>A. 6 B. 7 C. 9 D. 5</v>
      </c>
      <c r="J14" s="10" t="str">
        <f>IFERROR(__xludf.DUMMYFUNCTION("GOOGLETRANSLATE(D14,""it"",""en"")"),"6")</f>
        <v>6</v>
      </c>
      <c r="K14" s="10" t="str">
        <f>IFERROR(__xludf.DUMMYFUNCTION("GOOGLETRANSLATE(E14,""it"",""en"")"),"Each team can have a maximum of 6 players on the bench.")</f>
        <v>Each team can have a maximum of 6 players on the bench.</v>
      </c>
    </row>
    <row r="15" ht="22.5" customHeight="1">
      <c r="A15" s="4">
        <v>14.0</v>
      </c>
      <c r="B15" s="5" t="s">
        <v>3420</v>
      </c>
      <c r="C15" s="4" t="s">
        <v>3421</v>
      </c>
      <c r="D15" s="5" t="s">
        <v>3422</v>
      </c>
      <c r="E15" s="5" t="s">
        <v>3423</v>
      </c>
      <c r="F15" s="15"/>
      <c r="G15" s="4">
        <v>14.0</v>
      </c>
      <c r="H15" s="10" t="str">
        <f>IFERROR(__xludf.DUMMYFUNCTION("GOOGLETRANSLATE(B15,""it"",""en"")"),"How long is a regulation water polo pool?")</f>
        <v>How long is a regulation water polo pool?</v>
      </c>
      <c r="I15" s="10" t="str">
        <f>IFERROR(__xludf.DUMMYFUNCTION("GOOGLETRANSLATE(C15,""it"",""en"")"),"A. 20 meters B. 25 meters C. 30 meters D. 35 meters")</f>
        <v>A. 20 meters B. 25 meters C. 30 meters D. 35 meters</v>
      </c>
      <c r="J15" s="10" t="str">
        <f>IFERROR(__xludf.DUMMYFUNCTION("GOOGLETRANSLATE(D15,""it"",""en"")"),"30 meters")</f>
        <v>30 meters</v>
      </c>
      <c r="K15" s="10" t="str">
        <f>IFERROR(__xludf.DUMMYFUNCTION("GOOGLETRANSLATE(E15,""it"",""en"")"),"The regulation length of a water polo pool is 30 meters.")</f>
        <v>The regulation length of a water polo pool is 30 meters.</v>
      </c>
    </row>
    <row r="16" ht="22.5" customHeight="1">
      <c r="A16" s="4">
        <v>15.0</v>
      </c>
      <c r="B16" s="5" t="s">
        <v>3424</v>
      </c>
      <c r="C16" s="4" t="s">
        <v>3425</v>
      </c>
      <c r="D16" s="5" t="s">
        <v>3426</v>
      </c>
      <c r="E16" s="5" t="s">
        <v>3427</v>
      </c>
      <c r="F16" s="15"/>
      <c r="G16" s="4">
        <v>15.0</v>
      </c>
      <c r="H16" s="10" t="str">
        <f>IFERROR(__xludf.DUMMYFUNCTION("GOOGLETRANSLATE(B16,""it"",""en"")"),"What color are goalkeeper headphones?")</f>
        <v>What color are goalkeeper headphones?</v>
      </c>
      <c r="I16" s="10" t="str">
        <f>IFERROR(__xludf.DUMMYFUNCTION("GOOGLETRANSLATE(C16,""it"",""en"")"),"A. Blue B. Red C. White D. Black")</f>
        <v>A. Blue B. Red C. White D. Black</v>
      </c>
      <c r="J16" s="10" t="str">
        <f>IFERROR(__xludf.DUMMYFUNCTION("GOOGLETRANSLATE(D16,""it"",""en"")"),"Red")</f>
        <v>Red</v>
      </c>
      <c r="K16" s="10" t="str">
        <f>IFERROR(__xludf.DUMMYFUNCTION("GOOGLETRANSLATE(E16,""it"",""en"")"),"Goalkeepers wear red caps to distinguish them from other players.")</f>
        <v>Goalkeepers wear red caps to distinguish them from other players.</v>
      </c>
    </row>
    <row r="17" ht="22.5" customHeight="1">
      <c r="A17" s="4">
        <v>17.0</v>
      </c>
      <c r="B17" s="5" t="s">
        <v>3428</v>
      </c>
      <c r="C17" s="4" t="s">
        <v>3429</v>
      </c>
      <c r="D17" s="5" t="s">
        <v>3430</v>
      </c>
      <c r="E17" s="5" t="s">
        <v>3431</v>
      </c>
      <c r="F17" s="15"/>
      <c r="G17" s="4">
        <v>17.0</v>
      </c>
      <c r="H17" s="10" t="str">
        <f>IFERROR(__xludf.DUMMYFUNCTION("GOOGLETRANSLATE(B17,""it"",""en"")"),"What happens if a goalkeeper leaves the 5-meter area with the ball?")</f>
        <v>What happens if a goalkeeper leaves the 5-meter area with the ball?</v>
      </c>
      <c r="I17" s="10" t="str">
        <f>IFERROR(__xludf.DUMMYFUNCTION("GOOGLETRANSLATE(C17,""it"",""en"")"),"A. Nothing B. He loses possession of the ball C. He is cautioned D. He is temporarily sent off")</f>
        <v>A. Nothing B. He loses possession of the ball C. He is cautioned D. He is temporarily sent off</v>
      </c>
      <c r="J17" s="10" t="str">
        <f>IFERROR(__xludf.DUMMYFUNCTION("GOOGLETRANSLATE(D17,""it"",""en"")"),"He loses possession of the ball")</f>
        <v>He loses possession of the ball</v>
      </c>
      <c r="K17" s="10" t="str">
        <f>IFERROR(__xludf.DUMMYFUNCTION("GOOGLETRANSLATE(E17,""it"",""en"")"),"The goalkeeper cannot leave the 5-meter area with the ball.")</f>
        <v>The goalkeeper cannot leave the 5-meter area with the ball.</v>
      </c>
    </row>
    <row r="18" ht="22.5" customHeight="1">
      <c r="A18" s="4">
        <v>18.0</v>
      </c>
      <c r="B18" s="5" t="s">
        <v>3432</v>
      </c>
      <c r="C18" s="4" t="s">
        <v>3433</v>
      </c>
      <c r="D18" s="5" t="s">
        <v>3434</v>
      </c>
      <c r="E18" s="5" t="s">
        <v>3435</v>
      </c>
      <c r="F18" s="15"/>
      <c r="G18" s="4">
        <v>18.0</v>
      </c>
      <c r="H18" s="10" t="str">
        <f>IFERROR(__xludf.DUMMYFUNCTION("GOOGLETRANSLATE(B18,""it"",""en"")"),"How wide is a regulation water polo goal?")</f>
        <v>How wide is a regulation water polo goal?</v>
      </c>
      <c r="I18" s="10" t="str">
        <f>IFERROR(__xludf.DUMMYFUNCTION("GOOGLETRANSLATE(C18,""it"",""en"")"),"A. 2 meters B. 2.5 meters C. 3 meters D. 3.5 meters")</f>
        <v>A. 2 meters B. 2.5 meters C. 3 meters D. 3.5 meters</v>
      </c>
      <c r="J18" s="10" t="str">
        <f>IFERROR(__xludf.DUMMYFUNCTION("GOOGLETRANSLATE(D18,""it"",""en"")"),"10 foot")</f>
        <v>10 foot</v>
      </c>
      <c r="K18" s="10" t="str">
        <f>IFERROR(__xludf.DUMMYFUNCTION("GOOGLETRANSLATE(E18,""it"",""en"")"),"The width of a regulation goal is 3 meters.")</f>
        <v>The width of a regulation goal is 3 meters.</v>
      </c>
    </row>
    <row r="19" ht="22.5" customHeight="1">
      <c r="A19" s="4">
        <v>19.0</v>
      </c>
      <c r="B19" s="5" t="s">
        <v>3436</v>
      </c>
      <c r="C19" s="4" t="s">
        <v>3437</v>
      </c>
      <c r="D19" s="5" t="s">
        <v>3438</v>
      </c>
      <c r="E19" s="5" t="s">
        <v>3439</v>
      </c>
      <c r="F19" s="15"/>
      <c r="G19" s="4">
        <v>19.0</v>
      </c>
      <c r="H19" s="10" t="str">
        <f>IFERROR(__xludf.DUMMYFUNCTION("GOOGLETRANSLATE(B19,""it"",""en"")"),"What happens when a serious foul is committed?")</f>
        <v>What happens when a serious foul is committed?</v>
      </c>
      <c r="I19" s="10" t="str">
        <f>IFERROR(__xludf.DUMMYFUNCTION("GOOGLETRANSLATE(C19,""it"",""en"")"),"A. A free throw is awarded B. A penalty is awarded C. The player is sent off D. A free throw is awarded")</f>
        <v>A. A free throw is awarded B. A penalty is awarded C. The player is sent off D. A free throw is awarded</v>
      </c>
      <c r="J19" s="10" t="str">
        <f>IFERROR(__xludf.DUMMYFUNCTION("GOOGLETRANSLATE(D19,""it"",""en"")"),"A penalty is awarded")</f>
        <v>A penalty is awarded</v>
      </c>
      <c r="K19" s="10" t="str">
        <f>IFERROR(__xludf.DUMMYFUNCTION("GOOGLETRANSLATE(E19,""it"",""en"")"),"A serious foul may result in a penalty being awarded.")</f>
        <v>A serious foul may result in a penalty being awarded.</v>
      </c>
    </row>
    <row r="20" ht="22.5" customHeight="1">
      <c r="A20" s="4">
        <v>20.0</v>
      </c>
      <c r="B20" s="5" t="s">
        <v>3440</v>
      </c>
      <c r="C20" s="4" t="s">
        <v>3441</v>
      </c>
      <c r="D20" s="5" t="s">
        <v>3442</v>
      </c>
      <c r="E20" s="5" t="s">
        <v>3443</v>
      </c>
      <c r="F20" s="15"/>
      <c r="G20" s="4">
        <v>20.0</v>
      </c>
      <c r="H20" s="10" t="str">
        <f>IFERROR(__xludf.DUMMYFUNCTION("GOOGLETRANSLATE(B20,""it"",""en"")"),"What does a yellow flag raised by the referee indicate?")</f>
        <v>What does a yellow flag raised by the referee indicate?</v>
      </c>
      <c r="I20" s="10" t="str">
        <f>IFERROR(__xludf.DUMMYFUNCTION("GOOGLETRANSLATE(C20,""it"",""en"")"),"A. A technical time-out B. A penalty C. A player substitution D. A technical foul")</f>
        <v>A. A technical time-out B. A penalty C. A player substitution D. A technical foul</v>
      </c>
      <c r="J20" s="10" t="str">
        <f>IFERROR(__xludf.DUMMYFUNCTION("GOOGLETRANSLATE(D20,""it"",""en"")"),"A technical time-out")</f>
        <v>A technical time-out</v>
      </c>
      <c r="K20" s="10" t="str">
        <f>IFERROR(__xludf.DUMMYFUNCTION("GOOGLETRANSLATE(E20,""it"",""en"")"),"The yellow flag signals a technical time-out.")</f>
        <v>The yellow flag signals a technical time-out.</v>
      </c>
    </row>
    <row r="21" ht="22.5" customHeight="1">
      <c r="A21" s="4">
        <v>21.0</v>
      </c>
      <c r="B21" s="5" t="s">
        <v>3444</v>
      </c>
      <c r="C21" s="4" t="s">
        <v>3445</v>
      </c>
      <c r="D21" s="5" t="s">
        <v>3446</v>
      </c>
      <c r="E21" s="5" t="s">
        <v>3447</v>
      </c>
      <c r="F21" s="15"/>
      <c r="G21" s="4">
        <v>21.0</v>
      </c>
      <c r="H21" s="10" t="str">
        <f>IFERROR(__xludf.DUMMYFUNCTION("GOOGLETRANSLATE(B21,""it"",""en"")"),"What is the maximum time a player can remain on temporary suspension?")</f>
        <v>What is the maximum time a player can remain on temporary suspension?</v>
      </c>
      <c r="I21" s="10" t="str">
        <f>IFERROR(__xludf.DUMMYFUNCTION("GOOGLETRANSLATE(C21,""it"",""en"")"),"A. 15 seconds B. 20 seconds C. 30 seconds D. 45 seconds")</f>
        <v>A. 15 seconds B. 20 seconds C. 30 seconds D. 45 seconds</v>
      </c>
      <c r="J21" s="10" t="str">
        <f>IFERROR(__xludf.DUMMYFUNCTION("GOOGLETRANSLATE(D21,""it"",""en"")"),"20 seconds")</f>
        <v>20 seconds</v>
      </c>
      <c r="K21" s="10" t="str">
        <f>IFERROR(__xludf.DUMMYFUNCTION("GOOGLETRANSLATE(E21,""it"",""en"")"),"A player temporarily suspended may return after 20 seconds or after a goal.")</f>
        <v>A player temporarily suspended may return after 20 seconds or after a goal.</v>
      </c>
    </row>
    <row r="22" ht="22.5" customHeight="1">
      <c r="A22" s="4">
        <v>23.0</v>
      </c>
      <c r="B22" s="5" t="s">
        <v>3448</v>
      </c>
      <c r="C22" s="4" t="s">
        <v>3449</v>
      </c>
      <c r="D22" s="5" t="s">
        <v>3450</v>
      </c>
      <c r="E22" s="5" t="s">
        <v>3451</v>
      </c>
      <c r="F22" s="15"/>
      <c r="G22" s="4">
        <v>23.0</v>
      </c>
      <c r="H22" s="10" t="str">
        <f>IFERROR(__xludf.DUMMYFUNCTION("GOOGLETRANSLATE(B22,""it"",""en"")"),"What do the red lines 2 meters from the goal represent?")</f>
        <v>What do the red lines 2 meters from the goal represent?</v>
      </c>
      <c r="I22" s="10" t="str">
        <f>IFERROR(__xludf.DUMMYFUNCTION("GOOGLETRANSLATE(C22,""it"",""en"")"),"A. The free-throw area B. The penalty area C. The goalkeeper's area D. The offside area")</f>
        <v>A. The free-throw area B. The penalty area C. The goalkeeper's area D. The offside area</v>
      </c>
      <c r="J22" s="10" t="str">
        <f>IFERROR(__xludf.DUMMYFUNCTION("GOOGLETRANSLATE(D22,""it"",""en"")"),"The offside area")</f>
        <v>The offside area</v>
      </c>
      <c r="K22" s="10" t="str">
        <f>IFERROR(__xludf.DUMMYFUNCTION("GOOGLETRANSLATE(E22,""it"",""en"")"),"Players cannot receive the ball in this area if they are already inside it.")</f>
        <v>Players cannot receive the ball in this area if they are already inside it.</v>
      </c>
    </row>
    <row r="23" ht="22.5" customHeight="1">
      <c r="A23" s="4">
        <v>24.0</v>
      </c>
      <c r="B23" s="5" t="s">
        <v>3452</v>
      </c>
      <c r="C23" s="4" t="s">
        <v>3453</v>
      </c>
      <c r="D23" s="5" t="s">
        <v>3454</v>
      </c>
      <c r="E23" s="5" t="s">
        <v>3455</v>
      </c>
      <c r="F23" s="15"/>
      <c r="G23" s="4">
        <v>24.0</v>
      </c>
      <c r="H23" s="10" t="str">
        <f>IFERROR(__xludf.DUMMYFUNCTION("GOOGLETRANSLATE(B23,""it"",""en"")"),"How long is the interval between halves?")</f>
        <v>How long is the interval between halves?</v>
      </c>
      <c r="I23" s="10" t="str">
        <f>IFERROR(__xludf.DUMMYFUNCTION("GOOGLETRANSLATE(C23,""it"",""en"")"),"A. 1 minute B. 2 minutes C. 3 minutes D. 5 minutes")</f>
        <v>A. 1 minute B. 2 minutes C. 3 minutes D. 5 minutes</v>
      </c>
      <c r="J23" s="10" t="str">
        <f>IFERROR(__xludf.DUMMYFUNCTION("GOOGLETRANSLATE(D23,""it"",""en"")"),"2 minutes")</f>
        <v>2 minutes</v>
      </c>
      <c r="K23" s="10" t="str">
        <f>IFERROR(__xludf.DUMMYFUNCTION("GOOGLETRANSLATE(E23,""it"",""en"")"),"There is a 2 minute interval between halves.")</f>
        <v>There is a 2 minute interval between halves.</v>
      </c>
    </row>
    <row r="24" ht="22.5" customHeight="1">
      <c r="A24" s="4">
        <v>25.0</v>
      </c>
      <c r="B24" s="5" t="s">
        <v>3456</v>
      </c>
      <c r="C24" s="4" t="s">
        <v>3457</v>
      </c>
      <c r="D24" s="5" t="s">
        <v>3458</v>
      </c>
      <c r="E24" s="5" t="s">
        <v>3459</v>
      </c>
      <c r="F24" s="15"/>
      <c r="G24" s="4">
        <v>25.0</v>
      </c>
      <c r="H24" s="10" t="str">
        <f>IFERROR(__xludf.DUMMYFUNCTION("GOOGLETRANSLATE(B24,""it"",""en"")"),"What does a red card shown by the referee indicate?")</f>
        <v>What does a red card shown by the referee indicate?</v>
      </c>
      <c r="I24" s="10" t="str">
        <f>IFERROR(__xludf.DUMMYFUNCTION("GOOGLETRANSLATE(C24,""it"",""en"")"),"A. A permanent expulsion B. A warning C. A forced substitution D. A penalty")</f>
        <v>A. A permanent expulsion B. A warning C. A forced substitution D. A penalty</v>
      </c>
      <c r="J24" s="10" t="str">
        <f>IFERROR(__xludf.DUMMYFUNCTION("GOOGLETRANSLATE(D24,""it"",""en"")"),"A final expulsion")</f>
        <v>A final expulsion</v>
      </c>
      <c r="K24" s="10" t="str">
        <f>IFERROR(__xludf.DUMMYFUNCTION("GOOGLETRANSLATE(E24,""it"",""en"")"),"The red card indicates the definitive expulsion of a player or coach.")</f>
        <v>The red card indicates the definitive expulsion of a player or coach.</v>
      </c>
    </row>
    <row r="25" ht="22.5" customHeight="1">
      <c r="A25" s="4">
        <v>26.0</v>
      </c>
      <c r="B25" s="5" t="s">
        <v>3460</v>
      </c>
      <c r="C25" s="4" t="s">
        <v>3461</v>
      </c>
      <c r="D25" s="5" t="s">
        <v>3462</v>
      </c>
      <c r="E25" s="5" t="s">
        <v>3463</v>
      </c>
      <c r="F25" s="15"/>
      <c r="G25" s="4">
        <v>26.0</v>
      </c>
      <c r="H25" s="10" t="str">
        <f>IFERROR(__xludf.DUMMYFUNCTION("GOOGLETRANSLATE(B25,""it"",""en"")"),"Who can shoot a free throw in water polo?")</f>
        <v>Who can shoot a free throw in water polo?</v>
      </c>
      <c r="I25" s="10" t="str">
        <f>IFERROR(__xludf.DUMMYFUNCTION("GOOGLETRANSLATE(C25,""it"",""en"")"),"A. Only the goalkeeper B. Anyone on the defensive team C. Anyone on the offensive team D. Any player on the field")</f>
        <v>A. Only the goalkeeper B. Anyone on the defensive team C. Anyone on the offensive team D. Any player on the field</v>
      </c>
      <c r="J25" s="10" t="str">
        <f>IFERROR(__xludf.DUMMYFUNCTION("GOOGLETRANSLATE(D25,""it"",""en"")"),"Anyone on the offensive team")</f>
        <v>Anyone on the offensive team</v>
      </c>
      <c r="K25" s="10" t="str">
        <f>IFERROR(__xludf.DUMMYFUNCTION("GOOGLETRANSLATE(E25,""it"",""en"")"),"The free throw is taken by the team that is fouled.")</f>
        <v>The free throw is taken by the team that is fouled.</v>
      </c>
    </row>
    <row r="26" ht="22.5" customHeight="1">
      <c r="A26" s="4">
        <v>27.0</v>
      </c>
      <c r="B26" s="5" t="s">
        <v>3464</v>
      </c>
      <c r="C26" s="4" t="s">
        <v>3465</v>
      </c>
      <c r="D26" s="5" t="s">
        <v>908</v>
      </c>
      <c r="E26" s="5" t="s">
        <v>3466</v>
      </c>
      <c r="F26" s="15"/>
      <c r="G26" s="4">
        <v>27.0</v>
      </c>
      <c r="H26" s="10" t="str">
        <f>IFERROR(__xludf.DUMMYFUNCTION("GOOGLETRANSLATE(B26,""it"",""en"")"),"What is the minimum height of the pool in a regulation match?")</f>
        <v>What is the minimum height of the pool in a regulation match?</v>
      </c>
      <c r="I26" s="10" t="str">
        <f>IFERROR(__xludf.DUMMYFUNCTION("GOOGLETRANSLATE(C26,""it"",""en"")"),"A. 1 meter B. 1.5 meters C. 2 meters D. 2.5 meters")</f>
        <v>A. 1 meter B. 1.5 meters C. 2 meters D. 2.5 meters</v>
      </c>
      <c r="J26" s="10" t="str">
        <f>IFERROR(__xludf.DUMMYFUNCTION("GOOGLETRANSLATE(D26,""it"",""en"")"),"2 meters")</f>
        <v>2 meters</v>
      </c>
      <c r="K26" s="10" t="str">
        <f>IFERROR(__xludf.DUMMYFUNCTION("GOOGLETRANSLATE(E26,""it"",""en"")"),"The minimum height of the pool must be 2 meters.")</f>
        <v>The minimum height of the pool must be 2 meters.</v>
      </c>
    </row>
    <row r="27" ht="22.5" customHeight="1">
      <c r="A27" s="4">
        <v>28.0</v>
      </c>
      <c r="B27" s="5" t="s">
        <v>3467</v>
      </c>
      <c r="C27" s="4" t="s">
        <v>3468</v>
      </c>
      <c r="D27" s="5" t="s">
        <v>3469</v>
      </c>
      <c r="E27" s="5" t="s">
        <v>3470</v>
      </c>
      <c r="F27" s="15"/>
      <c r="G27" s="4">
        <v>28.0</v>
      </c>
      <c r="H27" s="10" t="str">
        <f>IFERROR(__xludf.DUMMYFUNCTION("GOOGLETRANSLATE(B27,""it"",""en"")"),"What happens when a team runs out of possession?")</f>
        <v>What happens when a team runs out of possession?</v>
      </c>
      <c r="I27" s="10" t="str">
        <f>IFERROR(__xludf.DUMMYFUNCTION("GOOGLETRANSLATE(C27,""it"",""en"")"),"A. Nothing B. He loses the ball C. A penalty is awarded D. A free kick is awarded")</f>
        <v>A. Nothing B. He loses the ball C. A penalty is awarded D. A free kick is awarded</v>
      </c>
      <c r="J27" s="10" t="str">
        <f>IFERROR(__xludf.DUMMYFUNCTION("GOOGLETRANSLATE(D27,""it"",""en"")"),"He loses the ball")</f>
        <v>He loses the ball</v>
      </c>
      <c r="K27" s="10" t="str">
        <f>IFERROR(__xludf.DUMMYFUNCTION("GOOGLETRANSLATE(E27,""it"",""en"")"),"The team loses possession of the ball.")</f>
        <v>The team loses possession of the ball.</v>
      </c>
    </row>
    <row r="28" ht="22.5" customHeight="1">
      <c r="A28" s="4">
        <v>29.0</v>
      </c>
      <c r="B28" s="5" t="s">
        <v>3471</v>
      </c>
      <c r="C28" s="4" t="s">
        <v>3472</v>
      </c>
      <c r="D28" s="5" t="s">
        <v>3473</v>
      </c>
      <c r="E28" s="5" t="s">
        <v>3474</v>
      </c>
      <c r="F28" s="15"/>
      <c r="G28" s="4">
        <v>29.0</v>
      </c>
      <c r="H28" s="10" t="str">
        <f>IFERROR(__xludf.DUMMYFUNCTION("GOOGLETRANSLATE(B28,""it"",""en"")"),"What do the yellow lines 5 meters from the goal represent?")</f>
        <v>What do the yellow lines 5 meters from the goal represent?</v>
      </c>
      <c r="I28" s="10" t="str">
        <f>IFERROR(__xludf.DUMMYFUNCTION("GOOGLETRANSLATE(C28,""it"",""en"")"),"A. The goalkeeper's area B. The penalty area C. The free-throw area D. The expulsion area")</f>
        <v>A. The goalkeeper's area B. The penalty area C. The free-throw area D. The expulsion area</v>
      </c>
      <c r="J28" s="10" t="str">
        <f>IFERROR(__xludf.DUMMYFUNCTION("GOOGLETRANSLATE(D28,""it"",""en"")"),"The penalty area")</f>
        <v>The penalty area</v>
      </c>
      <c r="K28" s="10" t="str">
        <f>IFERROR(__xludf.DUMMYFUNCTION("GOOGLETRANSLATE(E28,""it"",""en"")"),"The yellow lines 5 meters away mark the penalty area.")</f>
        <v>The yellow lines 5 meters away mark the penalty area.</v>
      </c>
    </row>
    <row r="29" ht="22.5" customHeight="1">
      <c r="A29" s="4">
        <v>30.0</v>
      </c>
      <c r="B29" s="5" t="s">
        <v>3475</v>
      </c>
      <c r="C29" s="4" t="s">
        <v>3476</v>
      </c>
      <c r="D29" s="5" t="s">
        <v>3477</v>
      </c>
      <c r="E29" s="5" t="s">
        <v>3478</v>
      </c>
      <c r="F29" s="15"/>
      <c r="G29" s="4">
        <v>30.0</v>
      </c>
      <c r="H29" s="10" t="str">
        <f>IFERROR(__xludf.DUMMYFUNCTION("GOOGLETRANSLATE(B29,""it"",""en"")"),"How is a winner decided in the event of a tie after regulation time?")</f>
        <v>How is a winner decided in the event of a tie after regulation time?</v>
      </c>
      <c r="I29" s="10" t="str">
        <f>IFERROR(__xludf.DUMMYFUNCTION("GOOGLETRANSLATE(C29,""it"",""en"")"),"A. With a draw B. With a coin toss C. With penalty kicks D. With extra time")</f>
        <v>A. With a draw B. With a coin toss C. With penalty kicks D. With extra time</v>
      </c>
      <c r="J29" s="10" t="str">
        <f>IFERROR(__xludf.DUMMYFUNCTION("GOOGLETRANSLATE(D29,""it"",""en"")"),"With penalty kicks")</f>
        <v>With penalty kicks</v>
      </c>
      <c r="K29" s="10" t="str">
        <f>IFERROR(__xludf.DUMMYFUNCTION("GOOGLETRANSLATE(E29,""it"",""en"")"),"In case of a draw, the score will go to penalties.")</f>
        <v>In case of a draw, the score will go to penalties.</v>
      </c>
    </row>
    <row r="30" ht="22.5" customHeight="1">
      <c r="A30" s="4">
        <v>31.0</v>
      </c>
      <c r="B30" s="5" t="s">
        <v>3479</v>
      </c>
      <c r="C30" s="4" t="s">
        <v>106</v>
      </c>
      <c r="D30" s="4">
        <v>2.0</v>
      </c>
      <c r="E30" s="5" t="s">
        <v>3480</v>
      </c>
      <c r="F30" s="15"/>
      <c r="G30" s="4">
        <v>31.0</v>
      </c>
      <c r="H30" s="10" t="str">
        <f>IFERROR(__xludf.DUMMYFUNCTION("GOOGLETRANSLATE(B30,""it"",""en"")"),"How many overtime periods are played in case of a draw?")</f>
        <v>How many overtime periods are played in case of a draw?</v>
      </c>
      <c r="I30" s="10" t="str">
        <f>IFERROR(__xludf.DUMMYFUNCTION("GOOGLETRANSLATE(C30,""it"",""en"")"),"A. 1 B. 2 C. 3 D. 4")</f>
        <v>A. 1 B. 2 C. 3 D. 4</v>
      </c>
      <c r="J30" s="10" t="str">
        <f>IFERROR(__xludf.DUMMYFUNCTION("GOOGLETRANSLATE(D30,""it"",""en"")"),"2")</f>
        <v>2</v>
      </c>
      <c r="K30" s="10" t="str">
        <f>IFERROR(__xludf.DUMMYFUNCTION("GOOGLETRANSLATE(E30,""it"",""en"")"),"In case of a draw, two periods of extra time of 3 minutes each will be played.")</f>
        <v>In case of a draw, two periods of extra time of 3 minutes each will be played.</v>
      </c>
    </row>
    <row r="31" ht="22.5" customHeight="1">
      <c r="A31" s="4">
        <v>32.0</v>
      </c>
      <c r="B31" s="5" t="s">
        <v>3481</v>
      </c>
      <c r="C31" s="4" t="s">
        <v>106</v>
      </c>
      <c r="D31" s="4">
        <v>2.0</v>
      </c>
      <c r="E31" s="5" t="s">
        <v>3482</v>
      </c>
      <c r="F31" s="15"/>
      <c r="G31" s="4">
        <v>32.0</v>
      </c>
      <c r="H31" s="10" t="str">
        <f>IFERROR(__xludf.DUMMYFUNCTION("GOOGLETRANSLATE(B31,""it"",""en"")"),"How many referees monitor the playing time in a water polo game?")</f>
        <v>How many referees monitor the playing time in a water polo game?</v>
      </c>
      <c r="I31" s="10" t="str">
        <f>IFERROR(__xludf.DUMMYFUNCTION("GOOGLETRANSLATE(C31,""it"",""en"")"),"A. 1 B. 2 C. 3 D. 4")</f>
        <v>A. 1 B. 2 C. 3 D. 4</v>
      </c>
      <c r="J31" s="10" t="str">
        <f>IFERROR(__xludf.DUMMYFUNCTION("GOOGLETRANSLATE(D31,""it"",""en"")"),"2")</f>
        <v>2</v>
      </c>
      <c r="K31" s="10" t="str">
        <f>IFERROR(__xludf.DUMMYFUNCTION("GOOGLETRANSLATE(E31,""it"",""en"")"),"Two referees are responsible for the official timekeeping.")</f>
        <v>Two referees are responsible for the official timekeeping.</v>
      </c>
    </row>
    <row r="32" ht="22.5" customHeight="1">
      <c r="A32" s="4">
        <v>33.0</v>
      </c>
      <c r="B32" s="5" t="s">
        <v>3483</v>
      </c>
      <c r="C32" s="4" t="s">
        <v>3484</v>
      </c>
      <c r="D32" s="5" t="s">
        <v>3485</v>
      </c>
      <c r="E32" s="5" t="s">
        <v>3486</v>
      </c>
      <c r="F32" s="15"/>
      <c r="G32" s="4">
        <v>33.0</v>
      </c>
      <c r="H32" s="10" t="str">
        <f>IFERROR(__xludf.DUMMYFUNCTION("GOOGLETRANSLATE(B32,""it"",""en"")"),"What type of foul is committed if a player intentionally hits an opponent?")</f>
        <v>What type of foul is committed if a player intentionally hits an opponent?</v>
      </c>
      <c r="I32" s="10" t="str">
        <f>IFERROR(__xludf.DUMMYFUNCTION("GOOGLETRANSLATE(C32,""it"",""en"")"),"A. Minor foul B. Serious foul C. Expulsion D. Technical foul")</f>
        <v>A. Minor foul B. Serious foul C. Expulsion D. Technical foul</v>
      </c>
      <c r="J32" s="10" t="str">
        <f>IFERROR(__xludf.DUMMYFUNCTION("GOOGLETRANSLATE(D32,""it"",""en"")"),"Serious foul")</f>
        <v>Serious foul</v>
      </c>
      <c r="K32" s="10" t="str">
        <f>IFERROR(__xludf.DUMMYFUNCTION("GOOGLETRANSLATE(E32,""it"",""en"")"),"Intentional violent contact is classified as a serious foul.")</f>
        <v>Intentional violent contact is classified as a serious foul.</v>
      </c>
    </row>
    <row r="33" ht="22.5" customHeight="1">
      <c r="A33" s="4">
        <v>34.0</v>
      </c>
      <c r="B33" s="5" t="s">
        <v>3487</v>
      </c>
      <c r="C33" s="4" t="s">
        <v>3488</v>
      </c>
      <c r="D33" s="5" t="s">
        <v>908</v>
      </c>
      <c r="E33" s="5" t="s">
        <v>3489</v>
      </c>
      <c r="F33" s="15"/>
      <c r="G33" s="4">
        <v>34.0</v>
      </c>
      <c r="H33" s="10" t="str">
        <f>IFERROR(__xludf.DUMMYFUNCTION("GOOGLETRANSLATE(B33,""it"",""en"")"),"How many meters is the goalkeeper's area from the edge of the pool?")</f>
        <v>How many meters is the goalkeeper's area from the edge of the pool?</v>
      </c>
      <c r="I33" s="10" t="str">
        <f>IFERROR(__xludf.DUMMYFUNCTION("GOOGLETRANSLATE(C33,""it"",""en"")"),"A. 1 meter B. 2 meters C. 3 meters D. 4 meters")</f>
        <v>A. 1 meter B. 2 meters C. 3 meters D. 4 meters</v>
      </c>
      <c r="J33" s="10" t="str">
        <f>IFERROR(__xludf.DUMMYFUNCTION("GOOGLETRANSLATE(D33,""it"",""en"")"),"2 meters")</f>
        <v>2 meters</v>
      </c>
      <c r="K33" s="10" t="str">
        <f>IFERROR(__xludf.DUMMYFUNCTION("GOOGLETRANSLATE(E33,""it"",""en"")"),"The goalkeeper's area is limited to 2 metres from the goal.")</f>
        <v>The goalkeeper's area is limited to 2 metres from the goal.</v>
      </c>
    </row>
    <row r="34" ht="22.5" customHeight="1">
      <c r="A34" s="4">
        <v>35.0</v>
      </c>
      <c r="B34" s="5" t="s">
        <v>3490</v>
      </c>
      <c r="C34" s="4" t="s">
        <v>3491</v>
      </c>
      <c r="D34" s="5" t="s">
        <v>3438</v>
      </c>
      <c r="E34" s="5" t="s">
        <v>3492</v>
      </c>
      <c r="F34" s="15"/>
      <c r="G34" s="4">
        <v>35.0</v>
      </c>
      <c r="H34" s="10" t="str">
        <f>IFERROR(__xludf.DUMMYFUNCTION("GOOGLETRANSLATE(B34,""it"",""en"")"),"What happens if a player enters the water before getting the referee's permission?")</f>
        <v>What happens if a player enters the water before getting the referee's permission?</v>
      </c>
      <c r="I34" s="10" t="str">
        <f>IFERROR(__xludf.DUMMYFUNCTION("GOOGLETRANSLATE(C34,""it"",""en"")"),"A. Nothing B. The team receives a penalty C. A penalty is awarded D. The team is sent off")</f>
        <v>A. Nothing B. The team receives a penalty C. A penalty is awarded D. The team is sent off</v>
      </c>
      <c r="J34" s="10" t="str">
        <f>IFERROR(__xludf.DUMMYFUNCTION("GOOGLETRANSLATE(D34,""it"",""en"")"),"A penalty is awarded")</f>
        <v>A penalty is awarded</v>
      </c>
      <c r="K34" s="10" t="str">
        <f>IFERROR(__xludf.DUMMYFUNCTION("GOOGLETRANSLATE(E34,""it"",""en"")"),"Entering without permission may result in a penalty being awarded.")</f>
        <v>Entering without permission may result in a penalty being awarded.</v>
      </c>
    </row>
    <row r="35" ht="22.5" customHeight="1">
      <c r="A35" s="4">
        <v>36.0</v>
      </c>
      <c r="B35" s="5" t="s">
        <v>3493</v>
      </c>
      <c r="C35" s="4" t="s">
        <v>3494</v>
      </c>
      <c r="D35" s="5" t="s">
        <v>3495</v>
      </c>
      <c r="E35" s="5" t="s">
        <v>3496</v>
      </c>
      <c r="F35" s="15"/>
      <c r="G35" s="4">
        <v>36.0</v>
      </c>
      <c r="H35" s="10" t="str">
        <f>IFERROR(__xludf.DUMMYFUNCTION("GOOGLETRANSLATE(B35,""it"",""en"")"),"How high is the top edge of a water polo goal?")</f>
        <v>How high is the top edge of a water polo goal?</v>
      </c>
      <c r="I35" s="10" t="str">
        <f>IFERROR(__xludf.DUMMYFUNCTION("GOOGLETRANSLATE(C35,""it"",""en"")"),"A. 1.5 meters B. 2 meters C. 0.9 meters D. 1 meter")</f>
        <v>A. 1.5 meters B. 2 meters C. 0.9 meters D. 1 meter</v>
      </c>
      <c r="J35" s="10" t="str">
        <f>IFERROR(__xludf.DUMMYFUNCTION("GOOGLETRANSLATE(D35,""it"",""en"")"),"0.9 meters")</f>
        <v>0.9 meters</v>
      </c>
      <c r="K35" s="10" t="str">
        <f>IFERROR(__xludf.DUMMYFUNCTION("GOOGLETRANSLATE(E35,""it"",""en"")"),"The top edge of a regulation goal is 0.9 metres high.")</f>
        <v>The top edge of a regulation goal is 0.9 metres high.</v>
      </c>
    </row>
    <row r="36" ht="22.5" customHeight="1">
      <c r="A36" s="4">
        <v>37.0</v>
      </c>
      <c r="B36" s="5" t="s">
        <v>3497</v>
      </c>
      <c r="C36" s="4" t="s">
        <v>3498</v>
      </c>
      <c r="D36" s="5" t="s">
        <v>3499</v>
      </c>
      <c r="E36" s="5" t="s">
        <v>3500</v>
      </c>
      <c r="F36" s="15"/>
      <c r="G36" s="4">
        <v>37.0</v>
      </c>
      <c r="H36" s="10" t="str">
        <f>IFERROR(__xludf.DUMMYFUNCTION("GOOGLETRANSLATE(B36,""it"",""en"")"),"What color is the ball used in women's water polo matches?")</f>
        <v>What color is the ball used in women's water polo matches?</v>
      </c>
      <c r="I36" s="10" t="str">
        <f>IFERROR(__xludf.DUMMYFUNCTION("GOOGLETRANSLATE(C36,""it"",""en"")"),"A. Blue B. Yellow C. Red D. Green")</f>
        <v>A. Blue B. Yellow C. Red D. Green</v>
      </c>
      <c r="J36" s="10" t="str">
        <f>IFERROR(__xludf.DUMMYFUNCTION("GOOGLETRANSLATE(D36,""it"",""en"")"),"Yellow")</f>
        <v>Yellow</v>
      </c>
      <c r="K36" s="10" t="str">
        <f>IFERROR(__xludf.DUMMYFUNCTION("GOOGLETRANSLATE(E36,""it"",""en"")"),"The ball used in women's matches is yellow.")</f>
        <v>The ball used in women's matches is yellow.</v>
      </c>
    </row>
    <row r="37" ht="22.5" customHeight="1">
      <c r="A37" s="4">
        <v>38.0</v>
      </c>
      <c r="B37" s="5" t="s">
        <v>3501</v>
      </c>
      <c r="C37" s="4" t="s">
        <v>3488</v>
      </c>
      <c r="D37" s="5" t="s">
        <v>908</v>
      </c>
      <c r="E37" s="5" t="s">
        <v>3502</v>
      </c>
      <c r="F37" s="15"/>
      <c r="G37" s="4">
        <v>38.0</v>
      </c>
      <c r="H37" s="10" t="str">
        <f>IFERROR(__xludf.DUMMYFUNCTION("GOOGLETRANSLATE(B37,""it"",""en"")"),"What distance should defenders maintain during a free throw?")</f>
        <v>What distance should defenders maintain during a free throw?</v>
      </c>
      <c r="I37" s="10" t="str">
        <f>IFERROR(__xludf.DUMMYFUNCTION("GOOGLETRANSLATE(C37,""it"",""en"")"),"A. 1 meter B. 2 meters C. 3 meters D. 4 meters")</f>
        <v>A. 1 meter B. 2 meters C. 3 meters D. 4 meters</v>
      </c>
      <c r="J37" s="10" t="str">
        <f>IFERROR(__xludf.DUMMYFUNCTION("GOOGLETRANSLATE(D37,""it"",""en"")"),"2 meters")</f>
        <v>2 meters</v>
      </c>
      <c r="K37" s="10" t="str">
        <f>IFERROR(__xludf.DUMMYFUNCTION("GOOGLETRANSLATE(E37,""it"",""en"")"),"Defenders must maintain a distance of at least 2 meters during a free throw.")</f>
        <v>Defenders must maintain a distance of at least 2 meters during a free throw.</v>
      </c>
    </row>
    <row r="38" ht="22.5" customHeight="1">
      <c r="A38" s="4">
        <v>39.0</v>
      </c>
      <c r="B38" s="5" t="s">
        <v>3503</v>
      </c>
      <c r="C38" s="4" t="s">
        <v>3504</v>
      </c>
      <c r="D38" s="5" t="s">
        <v>3401</v>
      </c>
      <c r="E38" s="5" t="s">
        <v>3505</v>
      </c>
      <c r="F38" s="15"/>
      <c r="G38" s="4">
        <v>39.0</v>
      </c>
      <c r="H38" s="10" t="str">
        <f>IFERROR(__xludf.DUMMYFUNCTION("GOOGLETRANSLATE(B38,""it"",""en"")"),"What happens if the ball is held out of the water for more than 5 seconds?")</f>
        <v>What happens if the ball is held out of the water for more than 5 seconds?</v>
      </c>
      <c r="I38" s="10" t="str">
        <f>IFERROR(__xludf.DUMMYFUNCTION("GOOGLETRANSLATE(C38,""it"",""en"")"),"A. Nothing B. A foul is called C. A penalty is awarded D. Possession changes")</f>
        <v>A. Nothing B. A foul is called C. A penalty is awarded D. Possession changes</v>
      </c>
      <c r="J38" s="10" t="str">
        <f>IFERROR(__xludf.DUMMYFUNCTION("GOOGLETRANSLATE(D38,""it"",""en"")"),"A foul is called")</f>
        <v>A foul is called</v>
      </c>
      <c r="K38" s="10" t="str">
        <f>IFERROR(__xludf.DUMMYFUNCTION("GOOGLETRANSLATE(E38,""it"",""en"")"),"It is not allowed to hold the ball out of the water for too long.")</f>
        <v>It is not allowed to hold the ball out of the water for too long.</v>
      </c>
    </row>
    <row r="39" ht="22.5" customHeight="1">
      <c r="A39" s="4">
        <v>40.0</v>
      </c>
      <c r="B39" s="5" t="s">
        <v>3506</v>
      </c>
      <c r="C39" s="4" t="s">
        <v>3507</v>
      </c>
      <c r="D39" s="5" t="s">
        <v>3508</v>
      </c>
      <c r="E39" s="5" t="s">
        <v>3509</v>
      </c>
      <c r="F39" s="15"/>
      <c r="G39" s="4">
        <v>40.0</v>
      </c>
      <c r="H39" s="10" t="str">
        <f>IFERROR(__xludf.DUMMYFUNCTION("GOOGLETRANSLATE(B39,""it"",""en"")"),"What does a yellow card shown to a coach mean?")</f>
        <v>What does a yellow card shown to a coach mean?</v>
      </c>
      <c r="I39" s="10" t="str">
        <f>IFERROR(__xludf.DUMMYFUNCTION("GOOGLETRANSLATE(C39,""it"",""en"")"),"A. Official warning B. Immediate expulsion C. Permission to substitute D. Disciplinary warning")</f>
        <v>A. Official warning B. Immediate expulsion C. Permission to substitute D. Disciplinary warning</v>
      </c>
      <c r="J39" s="10" t="str">
        <f>IFERROR(__xludf.DUMMYFUNCTION("GOOGLETRANSLATE(D39,""it"",""en"")"),"Official warning")</f>
        <v>Official warning</v>
      </c>
      <c r="K39" s="10" t="str">
        <f>IFERROR(__xludf.DUMMYFUNCTION("GOOGLETRANSLATE(E39,""it"",""en"")"),"A yellow card is an official warning to the coach.")</f>
        <v>A yellow card is an official warning to the coach.</v>
      </c>
    </row>
    <row r="40" ht="22.5" customHeight="1">
      <c r="A40" s="4">
        <v>41.0</v>
      </c>
      <c r="B40" s="5" t="s">
        <v>3510</v>
      </c>
      <c r="C40" s="4" t="s">
        <v>3386</v>
      </c>
      <c r="D40" s="5" t="s">
        <v>3511</v>
      </c>
      <c r="E40" s="5" t="s">
        <v>3512</v>
      </c>
      <c r="F40" s="15"/>
      <c r="G40" s="4">
        <v>41.0</v>
      </c>
      <c r="H40" s="10" t="str">
        <f>IFERROR(__xludf.DUMMYFUNCTION("GOOGLETRANSLATE(B40,""it"",""en"")"),"What is the diameter of the ball used in women's water polo?")</f>
        <v>What is the diameter of the ball used in women's water polo?</v>
      </c>
      <c r="I40" s="10" t="str">
        <f>IFERROR(__xludf.DUMMYFUNCTION("GOOGLETRANSLATE(C40,""it"",""en"")"),"A. 65-67 cm B. 68-70 cm C. 60-62 cm D. 72-74 cm")</f>
        <v>A. 65-67 cm B. 68-70 cm C. 60-62 cm D. 72-74 cm</v>
      </c>
      <c r="J40" s="10" t="str">
        <f>IFERROR(__xludf.DUMMYFUNCTION("GOOGLETRANSLATE(D40,""it"",""en"")"),"65-67 cm")</f>
        <v>65-67 cm</v>
      </c>
      <c r="K40" s="10" t="str">
        <f>IFERROR(__xludf.DUMMYFUNCTION("GOOGLETRANSLATE(E40,""it"",""en"")"),"The women's ball has a diameter of 65-67 cm.")</f>
        <v>The women's ball has a diameter of 65-67 cm.</v>
      </c>
    </row>
    <row r="41" ht="22.5" customHeight="1">
      <c r="A41" s="4">
        <v>42.0</v>
      </c>
      <c r="B41" s="5" t="s">
        <v>3513</v>
      </c>
      <c r="C41" s="4" t="s">
        <v>3514</v>
      </c>
      <c r="D41" s="5" t="s">
        <v>3515</v>
      </c>
      <c r="E41" s="5" t="s">
        <v>3516</v>
      </c>
      <c r="F41" s="15"/>
      <c r="G41" s="4">
        <v>42.0</v>
      </c>
      <c r="H41" s="10" t="str">
        <f>IFERROR(__xludf.DUMMYFUNCTION("GOOGLETRANSLATE(B41,""it"",""en"")"),"What happens if a team fields more players than allowed in the water?")</f>
        <v>What happens if a team fields more players than allowed in the water?</v>
      </c>
      <c r="I41" s="10" t="str">
        <f>IFERROR(__xludf.DUMMYFUNCTION("GOOGLETRANSLATE(C41,""it"",""en"")"),"A. Nothing B. The opposing team receives a penalty C. A player is temporarily sent off D. Possession of the ball changes")</f>
        <v>A. Nothing B. The opposing team receives a penalty C. A player is temporarily sent off D. Possession of the ball changes</v>
      </c>
      <c r="J41" s="10" t="str">
        <f>IFERROR(__xludf.DUMMYFUNCTION("GOOGLETRANSLATE(D41,""it"",""en"")"),"A player is temporarily suspended")</f>
        <v>A player is temporarily suspended</v>
      </c>
      <c r="K41" s="10" t="str">
        <f>IFERROR(__xludf.DUMMYFUNCTION("GOOGLETRANSLATE(E41,""it"",""en"")"),"Fielding too many players will result in a temporary suspension.")</f>
        <v>Fielding too many players will result in a temporary suspension.</v>
      </c>
    </row>
    <row r="42" ht="22.5" customHeight="1">
      <c r="A42" s="4">
        <v>43.0</v>
      </c>
      <c r="B42" s="5" t="s">
        <v>3517</v>
      </c>
      <c r="C42" s="4" t="s">
        <v>3518</v>
      </c>
      <c r="D42" s="5" t="s">
        <v>3519</v>
      </c>
      <c r="E42" s="5" t="s">
        <v>3520</v>
      </c>
      <c r="F42" s="15"/>
      <c r="G42" s="4">
        <v>43.0</v>
      </c>
      <c r="H42" s="10" t="str">
        <f>IFERROR(__xludf.DUMMYFUNCTION("GOOGLETRANSLATE(B42,""it"",""en"")"),"What do the white lines 5 meters from the goal represent?")</f>
        <v>What do the white lines 5 meters from the goal represent?</v>
      </c>
      <c r="I42" s="10" t="str">
        <f>IFERROR(__xludf.DUMMYFUNCTION("GOOGLETRANSLATE(C42,""it"",""en"")"),"A. Goalkeeper's area B. Penalty area C. Direct kick area D. Throw-in area")</f>
        <v>A. Goalkeeper's area B. Penalty area C. Direct kick area D. Throw-in area</v>
      </c>
      <c r="J42" s="10" t="str">
        <f>IFERROR(__xludf.DUMMYFUNCTION("GOOGLETRANSLATE(D42,""it"",""en"")"),"Direct shooting area")</f>
        <v>Direct shooting area</v>
      </c>
      <c r="K42" s="10" t="str">
        <f>IFERROR(__xludf.DUMMYFUNCTION("GOOGLETRANSLATE(E42,""it"",""en"")"),"The white lines at 5 meters indicate the distance for direct shots.")</f>
        <v>The white lines at 5 meters indicate the distance for direct shots.</v>
      </c>
    </row>
    <row r="43" ht="22.5" customHeight="1">
      <c r="A43" s="4">
        <v>44.0</v>
      </c>
      <c r="B43" s="5" t="s">
        <v>3521</v>
      </c>
      <c r="C43" s="4" t="s">
        <v>3522</v>
      </c>
      <c r="D43" s="5" t="s">
        <v>87</v>
      </c>
      <c r="E43" s="5" t="s">
        <v>3523</v>
      </c>
      <c r="F43" s="15"/>
      <c r="G43" s="4">
        <v>44.0</v>
      </c>
      <c r="H43" s="10" t="str">
        <f>IFERROR(__xludf.DUMMYFUNCTION("GOOGLETRANSLATE(B43,""it"",""en"")"),"How many free substitutions can a team make during a match?")</f>
        <v>How many free substitutions can a team make during a match?</v>
      </c>
      <c r="I43" s="10" t="str">
        <f>IFERROR(__xludf.DUMMYFUNCTION("GOOGLETRANSLATE(C43,""it"",""en"")"),"A. 5 B. 7 C. Unlimited D. 10")</f>
        <v>A. 5 B. 7 C. Unlimited D. 10</v>
      </c>
      <c r="J43" s="10" t="str">
        <f>IFERROR(__xludf.DUMMYFUNCTION("GOOGLETRANSLATE(D43,""it"",""en"")"),"Unlimited")</f>
        <v>Unlimited</v>
      </c>
      <c r="K43" s="10" t="str">
        <f>IFERROR(__xludf.DUMMYFUNCTION("GOOGLETRANSLATE(E43,""it"",""en"")"),"Teams can make an unlimited number of substitutions during the game.")</f>
        <v>Teams can make an unlimited number of substitutions during the game.</v>
      </c>
    </row>
    <row r="44" ht="22.5" customHeight="1">
      <c r="A44" s="4">
        <v>45.0</v>
      </c>
      <c r="B44" s="5" t="s">
        <v>3524</v>
      </c>
      <c r="C44" s="4" t="s">
        <v>3525</v>
      </c>
      <c r="D44" s="5" t="s">
        <v>3526</v>
      </c>
      <c r="E44" s="5" t="s">
        <v>3527</v>
      </c>
      <c r="F44" s="15"/>
      <c r="G44" s="4">
        <v>45.0</v>
      </c>
      <c r="H44" s="10" t="str">
        <f>IFERROR(__xludf.DUMMYFUNCTION("GOOGLETRANSLATE(B44,""it"",""en"")"),"What is the signal used to indicate the end of a period of play?")</f>
        <v>What is the signal used to indicate the end of a period of play?</v>
      </c>
      <c r="I44" s="10" t="str">
        <f>IFERROR(__xludf.DUMMYFUNCTION("GOOGLETRANSLATE(C44,""it"",""en"")"),"A. A whistle B. A siren C. A drumbeat D. A sign")</f>
        <v>A. A whistle B. A siren C. A drumbeat D. A sign</v>
      </c>
      <c r="J44" s="10" t="str">
        <f>IFERROR(__xludf.DUMMYFUNCTION("GOOGLETRANSLATE(D44,""it"",""en"")"),"A mermaid")</f>
        <v>A mermaid</v>
      </c>
      <c r="K44" s="10" t="str">
        <f>IFERROR(__xludf.DUMMYFUNCTION("GOOGLETRANSLATE(E44,""it"",""en"")"),"A siren indicates the end of a period of play.")</f>
        <v>A siren indicates the end of a period of play.</v>
      </c>
    </row>
    <row r="45" ht="22.5" customHeight="1">
      <c r="A45" s="4">
        <v>46.0</v>
      </c>
      <c r="B45" s="5" t="s">
        <v>3528</v>
      </c>
      <c r="C45" s="4" t="s">
        <v>3529</v>
      </c>
      <c r="D45" s="5" t="s">
        <v>3530</v>
      </c>
      <c r="E45" s="5" t="s">
        <v>3531</v>
      </c>
      <c r="F45" s="15"/>
      <c r="G45" s="4">
        <v>46.0</v>
      </c>
      <c r="H45" s="10" t="str">
        <f>IFERROR(__xludf.DUMMYFUNCTION("GOOGLETRANSLATE(B45,""it"",""en"")"),"What happens if a player shoots the ball with both hands?")</f>
        <v>What happens if a player shoots the ball with both hands?</v>
      </c>
      <c r="I45" s="10" t="str">
        <f>IFERROR(__xludf.DUMMYFUNCTION("GOOGLETRANSLATE(C45,""it"",""en"")"),"A. Nothing B. A foul is awarded C. A caution is given D. The shot is disallowed")</f>
        <v>A. Nothing B. A foul is awarded C. A caution is given D. The shot is disallowed</v>
      </c>
      <c r="J45" s="10" t="str">
        <f>IFERROR(__xludf.DUMMYFUNCTION("GOOGLETRANSLATE(D45,""it"",""en"")"),"A foul is awarded")</f>
        <v>A foul is awarded</v>
      </c>
      <c r="K45" s="10" t="str">
        <f>IFERROR(__xludf.DUMMYFUNCTION("GOOGLETRANSLATE(E45,""it"",""en"")"),"It is not permitted to use both hands to shoot.")</f>
        <v>It is not permitted to use both hands to shoot.</v>
      </c>
    </row>
    <row r="46" ht="22.5" customHeight="1">
      <c r="A46" s="4">
        <v>47.0</v>
      </c>
      <c r="B46" s="5" t="s">
        <v>3532</v>
      </c>
      <c r="C46" s="4" t="s">
        <v>3533</v>
      </c>
      <c r="D46" s="5" t="s">
        <v>3534</v>
      </c>
      <c r="E46" s="5" t="s">
        <v>3535</v>
      </c>
      <c r="F46" s="15"/>
      <c r="G46" s="4">
        <v>47.0</v>
      </c>
      <c r="H46" s="10" t="str">
        <f>IFERROR(__xludf.DUMMYFUNCTION("GOOGLETRANSLATE(B46,""it"",""en"")"),"What does a 2-meter line from the goal indicate?")</f>
        <v>What does a 2-meter line from the goal indicate?</v>
      </c>
      <c r="I46" s="10" t="str">
        <f>IFERROR(__xludf.DUMMYFUNCTION("GOOGLETRANSLATE(C46,""it"",""en"")"),"A. Goalkeeper's area B. Offside area C. Penalty area D. Expulsion area")</f>
        <v>A. Goalkeeper's area B. Offside area C. Penalty area D. Expulsion area</v>
      </c>
      <c r="J46" s="10" t="str">
        <f>IFERROR(__xludf.DUMMYFUNCTION("GOOGLETRANSLATE(D46,""it"",""en"")"),"Offside area")</f>
        <v>Offside area</v>
      </c>
      <c r="K46" s="10" t="str">
        <f>IFERROR(__xludf.DUMMYFUNCTION("GOOGLETRANSLATE(E46,""it"",""en"")"),"The 2-metre line indicates the offside area for attacking players.")</f>
        <v>The 2-metre line indicates the offside area for attacking players.</v>
      </c>
    </row>
    <row r="47" ht="22.5" customHeight="1">
      <c r="A47" s="4">
        <v>48.0</v>
      </c>
      <c r="B47" s="5" t="s">
        <v>3536</v>
      </c>
      <c r="C47" s="4" t="s">
        <v>3537</v>
      </c>
      <c r="D47" s="5" t="s">
        <v>3538</v>
      </c>
      <c r="E47" s="5" t="s">
        <v>3539</v>
      </c>
      <c r="F47" s="15"/>
      <c r="G47" s="4">
        <v>48.0</v>
      </c>
      <c r="H47" s="10" t="str">
        <f>IFERROR(__xludf.DUMMYFUNCTION("GOOGLETRANSLATE(B47,""it"",""en"")"),"Who can call a timeout during the game?")</f>
        <v>Who can call a timeout during the game?</v>
      </c>
      <c r="I47" s="10" t="str">
        <f>IFERROR(__xludf.DUMMYFUNCTION("GOOGLETRANSLATE(C47,""it"",""en"")"),"A. A player B. The goalkeeper C. A coach D. The referee")</f>
        <v>A. A player B. The goalkeeper C. A coach D. The referee</v>
      </c>
      <c r="J47" s="10" t="str">
        <f>IFERROR(__xludf.DUMMYFUNCTION("GOOGLETRANSLATE(D47,""it"",""en"")"),"A coach")</f>
        <v>A coach</v>
      </c>
      <c r="K47" s="10" t="str">
        <f>IFERROR(__xludf.DUMMYFUNCTION("GOOGLETRANSLATE(E47,""it"",""en"")"),"Only coaches can call a time-out.")</f>
        <v>Only coaches can call a time-out.</v>
      </c>
    </row>
    <row r="48" ht="22.5" customHeight="1">
      <c r="A48" s="4">
        <v>49.0</v>
      </c>
      <c r="B48" s="5" t="s">
        <v>3540</v>
      </c>
      <c r="C48" s="4" t="s">
        <v>3541</v>
      </c>
      <c r="D48" s="5" t="s">
        <v>3542</v>
      </c>
      <c r="E48" s="5" t="s">
        <v>3543</v>
      </c>
      <c r="F48" s="15"/>
      <c r="G48" s="4">
        <v>49.0</v>
      </c>
      <c r="H48" s="10" t="str">
        <f>IFERROR(__xludf.DUMMYFUNCTION("GOOGLETRANSLATE(B48,""it"",""en"")"),"How much time does a player have to take a penalty shot?")</f>
        <v>How much time does a player have to take a penalty shot?</v>
      </c>
      <c r="I48" s="10" t="str">
        <f>IFERROR(__xludf.DUMMYFUNCTION("GOOGLETRANSLATE(C48,""it"",""en"")"),"A. 5 seconds B. 6 seconds C. 8 seconds D. 10 seconds")</f>
        <v>A. 5 seconds B. 6 seconds C. 8 seconds D. 10 seconds</v>
      </c>
      <c r="J48" s="10" t="str">
        <f>IFERROR(__xludf.DUMMYFUNCTION("GOOGLETRANSLATE(D48,""it"",""en"")"),"5 seconds")</f>
        <v>5 seconds</v>
      </c>
      <c r="K48" s="10" t="str">
        <f>IFERROR(__xludf.DUMMYFUNCTION("GOOGLETRANSLATE(E48,""it"",""en"")"),"A player has 5 seconds to take a penalty.")</f>
        <v>A player has 5 seconds to take a penalty.</v>
      </c>
    </row>
    <row r="49" ht="22.5" customHeight="1">
      <c r="A49" s="4">
        <v>50.0</v>
      </c>
      <c r="B49" s="5" t="s">
        <v>3544</v>
      </c>
      <c r="C49" s="4" t="s">
        <v>3545</v>
      </c>
      <c r="D49" s="5" t="s">
        <v>3546</v>
      </c>
      <c r="E49" s="5" t="s">
        <v>3547</v>
      </c>
      <c r="F49" s="15"/>
      <c r="G49" s="4">
        <v>50.0</v>
      </c>
      <c r="H49" s="10" t="str">
        <f>IFERROR(__xludf.DUMMYFUNCTION("GOOGLETRANSLATE(B49,""it"",""en"")"),"What happens if a goalkeeper touches the ball beyond the halfway line?")</f>
        <v>What happens if a goalkeeper touches the ball beyond the halfway line?</v>
      </c>
      <c r="I49" s="10" t="str">
        <f>IFERROR(__xludf.DUMMYFUNCTION("GOOGLETRANSLATE(C49,""it"",""en"")"),"A. Nothing B. A foul is called C. Possession changes D. The goalkeeper is cautioned")</f>
        <v>A. Nothing B. A foul is called C. Possession changes D. The goalkeeper is cautioned</v>
      </c>
      <c r="J49" s="10" t="str">
        <f>IFERROR(__xludf.DUMMYFUNCTION("GOOGLETRANSLATE(D49,""it"",""en"")"),"Possession changes")</f>
        <v>Possession changes</v>
      </c>
      <c r="K49" s="10" t="str">
        <f>IFERROR(__xludf.DUMMYFUNCTION("GOOGLETRANSLATE(E49,""it"",""en"")"),"The goalkeeper cannot touch the ball beyond the halfway line.")</f>
        <v>The goalkeeper cannot touch the ball beyond the halfway line.</v>
      </c>
    </row>
    <row r="50" ht="22.5" customHeight="1">
      <c r="A50" s="4">
        <v>51.0</v>
      </c>
      <c r="B50" s="5" t="s">
        <v>3548</v>
      </c>
      <c r="C50" s="4" t="s">
        <v>3549</v>
      </c>
      <c r="D50" s="5" t="s">
        <v>1264</v>
      </c>
      <c r="E50" s="5" t="s">
        <v>3550</v>
      </c>
      <c r="F50" s="15"/>
      <c r="G50" s="4">
        <v>51.0</v>
      </c>
      <c r="H50" s="10" t="str">
        <f>IFERROR(__xludf.DUMMYFUNCTION("GOOGLETRANSLATE(B50,""it"",""en"")"),"How wide should a regulation water polo pool be?")</f>
        <v>How wide should a regulation water polo pool be?</v>
      </c>
      <c r="I50" s="10" t="str">
        <f>IFERROR(__xludf.DUMMYFUNCTION("GOOGLETRANSLATE(C50,""it"",""en"")"),"A. 15 meters B. 20 meters C. 25 meters D. 30 meters")</f>
        <v>A. 15 meters B. 20 meters C. 25 meters D. 30 meters</v>
      </c>
      <c r="J50" s="10" t="str">
        <f>IFERROR(__xludf.DUMMYFUNCTION("GOOGLETRANSLATE(D50,""it"",""en"")"),"20 meters")</f>
        <v>20 meters</v>
      </c>
      <c r="K50" s="10" t="str">
        <f>IFERROR(__xludf.DUMMYFUNCTION("GOOGLETRANSLATE(E50,""it"",""en"")"),"The regulation width is 20 metres.")</f>
        <v>The regulation width is 20 metres.</v>
      </c>
    </row>
    <row r="51" ht="22.5" customHeight="1">
      <c r="A51" s="4">
        <v>52.0</v>
      </c>
      <c r="B51" s="5" t="s">
        <v>3551</v>
      </c>
      <c r="C51" s="4" t="s">
        <v>3552</v>
      </c>
      <c r="D51" s="5" t="s">
        <v>3553</v>
      </c>
      <c r="E51" s="5" t="s">
        <v>3554</v>
      </c>
      <c r="F51" s="15"/>
      <c r="G51" s="4">
        <v>52.0</v>
      </c>
      <c r="H51" s="10" t="str">
        <f>IFERROR(__xludf.DUMMYFUNCTION("GOOGLETRANSLATE(B51,""it"",""en"")"),"What is the penalty for a brutality foul?")</f>
        <v>What is the penalty for a brutality foul?</v>
      </c>
      <c r="I51" s="10" t="str">
        <f>IFERROR(__xludf.DUMMYFUNCTION("GOOGLETRANSLATE(C51,""it"",""en"")"),"A. Permanent expulsion B. Temporary expulsion C. Awarding of a penalty D. Warning")</f>
        <v>A. Permanent expulsion B. Temporary expulsion C. Awarding of a penalty D. Warning</v>
      </c>
      <c r="J51" s="10" t="str">
        <f>IFERROR(__xludf.DUMMYFUNCTION("GOOGLETRANSLATE(D51,""it"",""en"")"),"Permanent expulsion")</f>
        <v>Permanent expulsion</v>
      </c>
      <c r="K51" s="10" t="str">
        <f>IFERROR(__xludf.DUMMYFUNCTION("GOOGLETRANSLATE(E51,""it"",""en"")"),"A brutal foul leads to a permanent expulsion.")</f>
        <v>A brutal foul leads to a permanent expulsion.</v>
      </c>
    </row>
    <row r="52" ht="22.5" customHeight="1">
      <c r="A52" s="4">
        <v>53.0</v>
      </c>
      <c r="B52" s="5" t="s">
        <v>3555</v>
      </c>
      <c r="C52" s="4" t="s">
        <v>3556</v>
      </c>
      <c r="D52" s="5" t="s">
        <v>3434</v>
      </c>
      <c r="E52" s="5" t="s">
        <v>3557</v>
      </c>
      <c r="F52" s="15"/>
      <c r="G52" s="4">
        <v>53.0</v>
      </c>
      <c r="H52" s="10" t="str">
        <f>IFERROR(__xludf.DUMMYFUNCTION("GOOGLETRANSLATE(B52,""it"",""en"")"),"How many meters must a player swim for a free exchange?")</f>
        <v>How many meters must a player swim for a free exchange?</v>
      </c>
      <c r="I52" s="10" t="str">
        <f>IFERROR(__xludf.DUMMYFUNCTION("GOOGLETRANSLATE(C52,""it"",""en"")"),"A. 2 meters B. 3 meters C. 5 meters D. 7 meters")</f>
        <v>A. 2 meters B. 3 meters C. 5 meters D. 7 meters</v>
      </c>
      <c r="J52" s="10" t="str">
        <f>IFERROR(__xludf.DUMMYFUNCTION("GOOGLETRANSLATE(D52,""it"",""en"")"),"10 foot")</f>
        <v>10 foot</v>
      </c>
      <c r="K52" s="10" t="str">
        <f>IFERROR(__xludf.DUMMYFUNCTION("GOOGLETRANSLATE(E52,""it"",""en"")"),"A player must swim to the 3-meter line to make a free change.")</f>
        <v>A player must swim to the 3-meter line to make a free change.</v>
      </c>
    </row>
    <row r="53" ht="22.5" customHeight="1">
      <c r="A53" s="4">
        <v>55.0</v>
      </c>
      <c r="B53" s="5" t="s">
        <v>3448</v>
      </c>
      <c r="C53" s="4" t="s">
        <v>3558</v>
      </c>
      <c r="D53" s="5" t="s">
        <v>3534</v>
      </c>
      <c r="E53" s="5" t="s">
        <v>3559</v>
      </c>
      <c r="F53" s="15"/>
      <c r="G53" s="4">
        <v>55.0</v>
      </c>
      <c r="H53" s="10" t="str">
        <f>IFERROR(__xludf.DUMMYFUNCTION("GOOGLETRANSLATE(B53,""it"",""en"")"),"What do the red lines 2 meters from the goal represent?")</f>
        <v>What do the red lines 2 meters from the goal represent?</v>
      </c>
      <c r="I53" s="10" t="str">
        <f>IFERROR(__xludf.DUMMYFUNCTION("GOOGLETRANSLATE(C53,""it"",""en"")"),"A. Penalty area B. Offside area C. Goalkeeper's area D. Free throw area")</f>
        <v>A. Penalty area B. Offside area C. Goalkeeper's area D. Free throw area</v>
      </c>
      <c r="J53" s="10" t="str">
        <f>IFERROR(__xludf.DUMMYFUNCTION("GOOGLETRANSLATE(D53,""it"",""en"")"),"Offside area")</f>
        <v>Offside area</v>
      </c>
      <c r="K53" s="10" t="str">
        <f>IFERROR(__xludf.DUMMYFUNCTION("GOOGLETRANSLATE(E53,""it"",""en"")"),"Players cannot receive passes inside the 2-metre area if they are already positioned there.")</f>
        <v>Players cannot receive passes inside the 2-metre area if they are already positioned there.</v>
      </c>
    </row>
    <row r="54" ht="22.5" customHeight="1">
      <c r="A54" s="4">
        <v>56.0</v>
      </c>
      <c r="B54" s="5" t="s">
        <v>3560</v>
      </c>
      <c r="C54" s="4" t="s">
        <v>3561</v>
      </c>
      <c r="D54" s="5" t="s">
        <v>3562</v>
      </c>
      <c r="E54" s="5" t="s">
        <v>3563</v>
      </c>
      <c r="F54" s="15"/>
      <c r="G54" s="4">
        <v>56.0</v>
      </c>
      <c r="H54" s="10" t="str">
        <f>IFERROR(__xludf.DUMMYFUNCTION("GOOGLETRANSLATE(B54,""it"",""en"")"),"What does it mean if a referee raises both arms?")</f>
        <v>What does it mean if a referee raises both arms?</v>
      </c>
      <c r="I54" s="10" t="str">
        <f>IFERROR(__xludf.DUMMYFUNCTION("GOOGLETRANSLATE(C54,""it"",""en"")"),"A. Indicates a valid goal B. Indicates a foul C. Signals the end of possession D. Awards a penalty")</f>
        <v>A. Indicates a valid goal B. Indicates a foul C. Signals the end of possession D. Awards a penalty</v>
      </c>
      <c r="J54" s="10" t="str">
        <f>IFERROR(__xludf.DUMMYFUNCTION("GOOGLETRANSLATE(D54,""it"",""en"")"),"Report the end of possession")</f>
        <v>Report the end of possession</v>
      </c>
      <c r="K54" s="10" t="str">
        <f>IFERROR(__xludf.DUMMYFUNCTION("GOOGLETRANSLATE(E54,""it"",""en"")"),"The referee raises both arms to indicate the end of possession.")</f>
        <v>The referee raises both arms to indicate the end of possession.</v>
      </c>
    </row>
    <row r="55" ht="22.5" customHeight="1">
      <c r="A55" s="4">
        <v>57.0</v>
      </c>
      <c r="B55" s="5" t="s">
        <v>3564</v>
      </c>
      <c r="C55" s="4" t="s">
        <v>3565</v>
      </c>
      <c r="D55" s="5" t="s">
        <v>3566</v>
      </c>
      <c r="E55" s="5" t="s">
        <v>3567</v>
      </c>
      <c r="F55" s="15"/>
      <c r="G55" s="4">
        <v>57.0</v>
      </c>
      <c r="H55" s="10" t="str">
        <f>IFERROR(__xludf.DUMMYFUNCTION("GOOGLETRANSLATE(B55,""it"",""en"")"),"What happens if a goalkeeper hits an opponent?")</f>
        <v>What happens if a goalkeeper hits an opponent?</v>
      </c>
      <c r="I55" s="10" t="str">
        <f>IFERROR(__xludf.DUMMYFUNCTION("GOOGLETRANSLATE(C55,""it"",""en"")"),"A. Nothing B. He is cautioned C. He is sent off D. He is replaced")</f>
        <v>A. Nothing B. He is cautioned C. He is sent off D. He is replaced</v>
      </c>
      <c r="J55" s="10" t="str">
        <f>IFERROR(__xludf.DUMMYFUNCTION("GOOGLETRANSLATE(D55,""it"",""en"")"),"He is expelled")</f>
        <v>He is expelled</v>
      </c>
      <c r="K55" s="10" t="str">
        <f>IFERROR(__xludf.DUMMYFUNCTION("GOOGLETRANSLATE(E55,""it"",""en"")"),"A goalkeeper who hits an opponent is subject to a red card.")</f>
        <v>A goalkeeper who hits an opponent is subject to a red card.</v>
      </c>
    </row>
    <row r="56" ht="22.5" customHeight="1">
      <c r="A56" s="4">
        <v>58.0</v>
      </c>
      <c r="B56" s="5" t="s">
        <v>3568</v>
      </c>
      <c r="C56" s="4" t="s">
        <v>3569</v>
      </c>
      <c r="D56" s="5" t="s">
        <v>3570</v>
      </c>
      <c r="E56" s="5" t="s">
        <v>3571</v>
      </c>
      <c r="F56" s="15"/>
      <c r="G56" s="4">
        <v>58.0</v>
      </c>
      <c r="H56" s="10" t="str">
        <f>IFERROR(__xludf.DUMMYFUNCTION("GOOGLETRANSLATE(B56,""it"",""en"")"),"What happens if the ball doesn't quite go into the goal?")</f>
        <v>What happens if the ball doesn't quite go into the goal?</v>
      </c>
      <c r="I56" s="10" t="str">
        <f>IFERROR(__xludf.DUMMYFUNCTION("GOOGLETRANSLATE(C56,""it"",""en"")"),"A. Nothing B. It is considered a goal C. A foul is called D. Possession changes")</f>
        <v>A. Nothing B. It is considered a goal C. A foul is called D. Possession changes</v>
      </c>
      <c r="J56" s="10" t="str">
        <f>IFERROR(__xludf.DUMMYFUNCTION("GOOGLETRANSLATE(D56,""it"",""en"")"),"Nothing")</f>
        <v>Nothing</v>
      </c>
      <c r="K56" s="10" t="str">
        <f>IFERROR(__xludf.DUMMYFUNCTION("GOOGLETRANSLATE(E56,""it"",""en"")"),"A goal is only valid if the ball completely crosses the goal line.")</f>
        <v>A goal is only valid if the ball completely crosses the goal line.</v>
      </c>
    </row>
    <row r="57" ht="22.5" customHeight="1">
      <c r="A57" s="4">
        <v>59.0</v>
      </c>
      <c r="B57" s="5" t="s">
        <v>3572</v>
      </c>
      <c r="C57" s="4" t="s">
        <v>3573</v>
      </c>
      <c r="D57" s="5" t="s">
        <v>3574</v>
      </c>
      <c r="E57" s="5" t="s">
        <v>3575</v>
      </c>
      <c r="F57" s="15"/>
      <c r="G57" s="4">
        <v>59.0</v>
      </c>
      <c r="H57" s="10" t="str">
        <f>IFERROR(__xludf.DUMMYFUNCTION("GOOGLETRANSLATE(B57,""it"",""en"")"),"What is the maximum height of a regulation water polo pool?")</f>
        <v>What is the maximum height of a regulation water polo pool?</v>
      </c>
      <c r="I57" s="10" t="str">
        <f>IFERROR(__xludf.DUMMYFUNCTION("GOOGLETRANSLATE(C57,""it"",""en"")"),"A. 2 meters B. 2.5 meters C. 3 meters D. There is no limit")</f>
        <v>A. 2 meters B. 2.5 meters C. 3 meters D. There is no limit</v>
      </c>
      <c r="J57" s="10" t="str">
        <f>IFERROR(__xludf.DUMMYFUNCTION("GOOGLETRANSLATE(D57,""it"",""en"")"),"There is no limit")</f>
        <v>There is no limit</v>
      </c>
      <c r="K57" s="10" t="str">
        <f>IFERROR(__xludf.DUMMYFUNCTION("GOOGLETRANSLATE(E57,""it"",""en"")"),"The pool has no set maximum height limit.")</f>
        <v>The pool has no set maximum height limit.</v>
      </c>
    </row>
    <row r="58" ht="22.5" customHeight="1">
      <c r="A58" s="4">
        <v>60.0</v>
      </c>
      <c r="B58" s="5" t="s">
        <v>3576</v>
      </c>
      <c r="C58" s="4" t="s">
        <v>3577</v>
      </c>
      <c r="D58" s="5" t="s">
        <v>3578</v>
      </c>
      <c r="E58" s="5" t="s">
        <v>3579</v>
      </c>
      <c r="F58" s="15"/>
      <c r="G58" s="4">
        <v>60.0</v>
      </c>
      <c r="H58" s="10" t="str">
        <f>IFERROR(__xludf.DUMMYFUNCTION("GOOGLETRANSLATE(B58,""it"",""en"")"),"How do you score a valid goal in water polo?")</f>
        <v>How do you score a valid goal in water polo?</v>
      </c>
      <c r="I58" s="10" t="str">
        <f>IFERROR(__xludf.DUMMYFUNCTION("GOOGLETRANSLATE(C58,""it"",""en"")"),"A. Shooting with two hands B. Shooting with one hand C. Pushing the ball D. Shooting the ball over the goal line with the whole ball")</f>
        <v>A. Shooting with two hands B. Shooting with one hand C. Pushing the ball D. Shooting the ball over the goal line with the whole ball</v>
      </c>
      <c r="J58" s="10" t="str">
        <f>IFERROR(__xludf.DUMMYFUNCTION("GOOGLETRANSLATE(D58,""it"",""en"")"),"Kicking the ball over the goal line with the whole sphere")</f>
        <v>Kicking the ball over the goal line with the whole sphere</v>
      </c>
      <c r="K58" s="10" t="str">
        <f>IFERROR(__xludf.DUMMYFUNCTION("GOOGLETRANSLATE(E58,""it"",""en"")"),"A goal is only valid if the entire ball crosses the goal line.")</f>
        <v>A goal is only valid if the entire ball crosses the goal line.</v>
      </c>
    </row>
    <row r="59" ht="22.5" customHeight="1">
      <c r="A59" s="4">
        <v>62.0</v>
      </c>
      <c r="B59" s="5" t="s">
        <v>3580</v>
      </c>
      <c r="C59" s="4" t="s">
        <v>3581</v>
      </c>
      <c r="D59" s="5" t="s">
        <v>3582</v>
      </c>
      <c r="E59" s="5" t="s">
        <v>3583</v>
      </c>
      <c r="F59" s="15"/>
      <c r="G59" s="4">
        <v>62.0</v>
      </c>
      <c r="H59" s="10" t="str">
        <f>IFERROR(__xludf.DUMMYFUNCTION("GOOGLETRANSLATE(B59,""it"",""en"")"),"What type of foul is committed when a player impedes an opponent's movement with his body?")</f>
        <v>What type of foul is committed when a player impedes an opponent's movement with his body?</v>
      </c>
      <c r="I59" s="10" t="str">
        <f>IFERROR(__xludf.DUMMYFUNCTION("GOOGLETRANSLATE(C59,""it"",""en"")"),"A. Technical foul B. Serious foul C. Minor foul D. Playing foul")</f>
        <v>A. Technical foul B. Serious foul C. Minor foul D. Playing foul</v>
      </c>
      <c r="J59" s="10" t="str">
        <f>IFERROR(__xludf.DUMMYFUNCTION("GOOGLETRANSLATE(D59,""it"",""en"")"),"Minor foul")</f>
        <v>Minor foul</v>
      </c>
      <c r="K59" s="10" t="str">
        <f>IFERROR(__xludf.DUMMYFUNCTION("GOOGLETRANSLATE(E59,""it"",""en"")"),"Light physical contact that is not intentional is a minor foul.")</f>
        <v>Light physical contact that is not intentional is a minor foul.</v>
      </c>
    </row>
    <row r="60" ht="22.5" customHeight="1">
      <c r="A60" s="4">
        <v>63.0</v>
      </c>
      <c r="B60" s="5" t="s">
        <v>3584</v>
      </c>
      <c r="C60" s="4" t="s">
        <v>3585</v>
      </c>
      <c r="D60" s="5" t="s">
        <v>3586</v>
      </c>
      <c r="E60" s="5" t="s">
        <v>3587</v>
      </c>
      <c r="F60" s="15"/>
      <c r="G60" s="4">
        <v>63.0</v>
      </c>
      <c r="H60" s="10" t="str">
        <f>IFERROR(__xludf.DUMMYFUNCTION("GOOGLETRANSLATE(B60,""it"",""en"")"),"What happens if the ball is thrown out of the pool during a game?")</f>
        <v>What happens if the ball is thrown out of the pool during a game?</v>
      </c>
      <c r="I60" s="10" t="str">
        <f>IFERROR(__xludf.DUMMYFUNCTION("GOOGLETRANSLATE(C60,""it"",""en"")"),"A. The opposing team is awarded a throw-in B. A penalty is awarded C. The ball is contested D. A foul is awarded")</f>
        <v>A. The opposing team is awarded a throw-in B. A penalty is awarded C. The ball is contested D. A foul is awarded</v>
      </c>
      <c r="J60" s="10" t="str">
        <f>IFERROR(__xludf.DUMMYFUNCTION("GOOGLETRANSLATE(D60,""it"",""en"")"),"The opposing team gets a throw-in")</f>
        <v>The opposing team gets a throw-in</v>
      </c>
      <c r="K60" s="10" t="str">
        <f>IFERROR(__xludf.DUMMYFUNCTION("GOOGLETRANSLATE(E60,""it"",""en"")"),"The team that knocks the ball out loses possession.")</f>
        <v>The team that knocks the ball out loses possession.</v>
      </c>
    </row>
    <row r="61" ht="22.5" customHeight="1">
      <c r="A61" s="4">
        <v>64.0</v>
      </c>
      <c r="B61" s="5" t="s">
        <v>3588</v>
      </c>
      <c r="C61" s="4" t="s">
        <v>3589</v>
      </c>
      <c r="D61" s="5" t="s">
        <v>1047</v>
      </c>
      <c r="E61" s="5" t="s">
        <v>3590</v>
      </c>
      <c r="F61" s="15"/>
      <c r="G61" s="4">
        <v>64.0</v>
      </c>
      <c r="H61" s="10" t="str">
        <f>IFERROR(__xludf.DUMMYFUNCTION("GOOGLETRANSLATE(B61,""it"",""en"")"),"Who is responsible for determining whether a goal is a valid goal?")</f>
        <v>Who is responsible for determining whether a goal is a valid goal?</v>
      </c>
      <c r="I61" s="10" t="str">
        <f>IFERROR(__xludf.DUMMYFUNCTION("GOOGLETRANSLATE(C61,""it"",""en"")"),"A. The referee B. The goalkeeper C. The team captain D. The match official")</f>
        <v>A. The referee B. The goalkeeper C. The team captain D. The match official</v>
      </c>
      <c r="J61" s="10" t="str">
        <f>IFERROR(__xludf.DUMMYFUNCTION("GOOGLETRANSLATE(D61,""it"",""en"")"),"The referee")</f>
        <v>The referee</v>
      </c>
      <c r="K61" s="10" t="str">
        <f>IFERROR(__xludf.DUMMYFUNCTION("GOOGLETRANSLATE(E61,""it"",""en"")"),"It is the referee's job to decide whether the goal is valid or not.")</f>
        <v>It is the referee's job to decide whether the goal is valid or not.</v>
      </c>
    </row>
    <row r="62" ht="22.5" customHeight="1">
      <c r="A62" s="4">
        <v>65.0</v>
      </c>
      <c r="B62" s="5" t="s">
        <v>3591</v>
      </c>
      <c r="C62" s="4" t="s">
        <v>3592</v>
      </c>
      <c r="D62" s="5" t="s">
        <v>3593</v>
      </c>
      <c r="E62" s="5" t="s">
        <v>3594</v>
      </c>
      <c r="F62" s="15"/>
      <c r="G62" s="4">
        <v>65.0</v>
      </c>
      <c r="H62" s="10" t="str">
        <f>IFERROR(__xludf.DUMMYFUNCTION("GOOGLETRANSLATE(B62,""it"",""en"")"),"What does a line 1 meter from the goal indicate?")</f>
        <v>What does a line 1 meter from the goal indicate?</v>
      </c>
      <c r="I62" s="10" t="str">
        <f>IFERROR(__xludf.DUMMYFUNCTION("GOOGLETRANSLATE(C62,""it"",""en"")"),"A. The distance for free throws B. The exclusion zone C. The penalty zone D. The edge of the goalkeeper's crease")</f>
        <v>A. The distance for free throws B. The exclusion zone C. The penalty zone D. The edge of the goalkeeper's crease</v>
      </c>
      <c r="J62" s="10" t="str">
        <f>IFERROR(__xludf.DUMMYFUNCTION("GOOGLETRANSLATE(D62,""it"",""en"")"),"The exclusion zone")</f>
        <v>The exclusion zone</v>
      </c>
      <c r="K62" s="10" t="str">
        <f>IFERROR(__xludf.DUMMYFUNCTION("GOOGLETRANSLATE(E62,""it"",""en"")"),"The 1-meter line marks the exclusion zone for attacking players.")</f>
        <v>The 1-meter line marks the exclusion zone for attacking players.</v>
      </c>
    </row>
    <row r="63" ht="22.5" customHeight="1">
      <c r="A63" s="4">
        <v>66.0</v>
      </c>
      <c r="B63" s="5" t="s">
        <v>3595</v>
      </c>
      <c r="C63" s="4" t="s">
        <v>3596</v>
      </c>
      <c r="D63" s="5" t="s">
        <v>3446</v>
      </c>
      <c r="E63" s="5" t="s">
        <v>3597</v>
      </c>
      <c r="F63" s="15"/>
      <c r="G63" s="4">
        <v>66.0</v>
      </c>
      <c r="H63" s="10" t="str">
        <f>IFERROR(__xludf.DUMMYFUNCTION("GOOGLETRANSLATE(B63,""it"",""en"")"),"How long does a player's temporary suspension last in water polo?")</f>
        <v>How long does a player's temporary suspension last in water polo?</v>
      </c>
      <c r="I63" s="10" t="str">
        <f>IFERROR(__xludf.DUMMYFUNCTION("GOOGLETRANSLATE(C63,""it"",""en"")"),"A. 10 seconds B. 20 seconds C. 30 seconds D. 1 minute")</f>
        <v>A. 10 seconds B. 20 seconds C. 30 seconds D. 1 minute</v>
      </c>
      <c r="J63" s="10" t="str">
        <f>IFERROR(__xludf.DUMMYFUNCTION("GOOGLETRANSLATE(D63,""it"",""en"")"),"20 seconds")</f>
        <v>20 seconds</v>
      </c>
      <c r="K63" s="10" t="str">
        <f>IFERROR(__xludf.DUMMYFUNCTION("GOOGLETRANSLATE(E63,""it"",""en"")"),"Temporary ejection lasts 20 seconds.")</f>
        <v>Temporary ejection lasts 20 seconds.</v>
      </c>
    </row>
    <row r="64" ht="22.5" customHeight="1">
      <c r="A64" s="4">
        <v>67.0</v>
      </c>
      <c r="B64" s="5" t="s">
        <v>3598</v>
      </c>
      <c r="C64" s="4" t="s">
        <v>3599</v>
      </c>
      <c r="D64" s="5" t="s">
        <v>3600</v>
      </c>
      <c r="E64" s="5" t="s">
        <v>3601</v>
      </c>
      <c r="F64" s="15"/>
      <c r="G64" s="4">
        <v>67.0</v>
      </c>
      <c r="H64" s="10" t="str">
        <f>IFERROR(__xludf.DUMMYFUNCTION("GOOGLETRANSLATE(B64,""it"",""en"")"),"Who can score a goal in water polo?")</f>
        <v>Who can score a goal in water polo?</v>
      </c>
      <c r="I64" s="10" t="str">
        <f>IFERROR(__xludf.DUMMYFUNCTION("GOOGLETRANSLATE(C64,""it"",""en"")"),"A. Only the goalkeeper B. Any field player C. Only the captain D. Only the defenders")</f>
        <v>A. Only the goalkeeper B. Any field player C. Only the captain D. Only the defenders</v>
      </c>
      <c r="J64" s="10" t="str">
        <f>IFERROR(__xludf.DUMMYFUNCTION("GOOGLETRANSLATE(D64,""it"",""en"")"),"Any outfield player")</f>
        <v>Any outfield player</v>
      </c>
      <c r="K64" s="10" t="str">
        <f>IFERROR(__xludf.DUMMYFUNCTION("GOOGLETRANSLATE(E64,""it"",""en"")"),"All field players can score a goal.")</f>
        <v>All field players can score a goal.</v>
      </c>
    </row>
    <row r="65" ht="22.5" customHeight="1">
      <c r="A65" s="4">
        <v>69.0</v>
      </c>
      <c r="B65" s="5" t="s">
        <v>3602</v>
      </c>
      <c r="C65" s="4" t="s">
        <v>3603</v>
      </c>
      <c r="D65" s="5" t="s">
        <v>3401</v>
      </c>
      <c r="E65" s="5" t="s">
        <v>3604</v>
      </c>
      <c r="F65" s="15"/>
      <c r="G65" s="4">
        <v>69.0</v>
      </c>
      <c r="H65" s="10" t="str">
        <f>IFERROR(__xludf.DUMMYFUNCTION("GOOGLETRANSLATE(B65,""it"",""en"")"),"What happens if a player intentionally hits the ball with his foot?")</f>
        <v>What happens if a player intentionally hits the ball with his foot?</v>
      </c>
      <c r="I65" s="10" t="str">
        <f>IFERROR(__xludf.DUMMYFUNCTION("GOOGLETRANSLATE(C65,""it"",""en"")"),"A. A foul is called B. Nothing happens C. The player is cautioned D. The ball is given to the opposing team")</f>
        <v>A. A foul is called B. Nothing happens C. The player is cautioned D. The ball is given to the opposing team</v>
      </c>
      <c r="J65" s="10" t="str">
        <f>IFERROR(__xludf.DUMMYFUNCTION("GOOGLETRANSLATE(D65,""it"",""en"")"),"A foul is called")</f>
        <v>A foul is called</v>
      </c>
      <c r="K65" s="10" t="str">
        <f>IFERROR(__xludf.DUMMYFUNCTION("GOOGLETRANSLATE(E65,""it"",""en"")"),"Hitting the ball with your foot is prohibited and is a foul.")</f>
        <v>Hitting the ball with your foot is prohibited and is a foul.</v>
      </c>
    </row>
    <row r="66" ht="22.5" customHeight="1">
      <c r="A66" s="4">
        <v>70.0</v>
      </c>
      <c r="B66" s="5" t="s">
        <v>3605</v>
      </c>
      <c r="C66" s="4" t="s">
        <v>3453</v>
      </c>
      <c r="D66" s="5" t="s">
        <v>3454</v>
      </c>
      <c r="E66" s="5" t="s">
        <v>3606</v>
      </c>
      <c r="F66" s="15"/>
      <c r="G66" s="4">
        <v>70.0</v>
      </c>
      <c r="H66" s="10" t="str">
        <f>IFERROR(__xludf.DUMMYFUNCTION("GOOGLETRANSLATE(B66,""it"",""en"")"),"How long should an interval between overtimes be?")</f>
        <v>How long should an interval between overtimes be?</v>
      </c>
      <c r="I66" s="10" t="str">
        <f>IFERROR(__xludf.DUMMYFUNCTION("GOOGLETRANSLATE(C66,""it"",""en"")"),"A. 1 minute B. 2 minutes C. 3 minutes D. 5 minutes")</f>
        <v>A. 1 minute B. 2 minutes C. 3 minutes D. 5 minutes</v>
      </c>
      <c r="J66" s="10" t="str">
        <f>IFERROR(__xludf.DUMMYFUNCTION("GOOGLETRANSLATE(D66,""it"",""en"")"),"2 minutes")</f>
        <v>2 minutes</v>
      </c>
      <c r="K66" s="10" t="str">
        <f>IFERROR(__xludf.DUMMYFUNCTION("GOOGLETRANSLATE(E66,""it"",""en"")"),"Each interval between overtime periods lasts 2 minutes.")</f>
        <v>Each interval between overtime periods lasts 2 minutes.</v>
      </c>
    </row>
    <row r="67" ht="22.5" customHeight="1">
      <c r="A67" s="4">
        <v>71.0</v>
      </c>
      <c r="B67" s="5" t="s">
        <v>3607</v>
      </c>
      <c r="C67" s="4" t="s">
        <v>3608</v>
      </c>
      <c r="D67" s="5" t="s">
        <v>3609</v>
      </c>
      <c r="E67" s="5" t="s">
        <v>3610</v>
      </c>
      <c r="F67" s="15"/>
      <c r="G67" s="4">
        <v>71.0</v>
      </c>
      <c r="H67" s="10" t="str">
        <f>IFERROR(__xludf.DUMMYFUNCTION("GOOGLETRANSLATE(B67,""it"",""en"")"),"What happens if a goalkeeper is unable to play during a match?")</f>
        <v>What happens if a goalkeeper is unable to play during a match?</v>
      </c>
      <c r="I67" s="10" t="str">
        <f>IFERROR(__xludf.DUMMYFUNCTION("GOOGLETRANSLATE(C67,""it"",""en"")"),"A. Another player can replace him B. The team automatically loses C. A substitute enters the field D. The team plays without a goalkeeper")</f>
        <v>A. Another player can replace him B. The team automatically loses C. A substitute enters the field D. The team plays without a goalkeeper</v>
      </c>
      <c r="J67" s="10" t="str">
        <f>IFERROR(__xludf.DUMMYFUNCTION("GOOGLETRANSLATE(D67,""it"",""en"")"),"Another player can replace him")</f>
        <v>Another player can replace him</v>
      </c>
      <c r="K67" s="10" t="str">
        <f>IFERROR(__xludf.DUMMYFUNCTION("GOOGLETRANSLATE(E67,""it"",""en"")"),"Another player on the team can act as goalkeeper.")</f>
        <v>Another player on the team can act as goalkeeper.</v>
      </c>
    </row>
    <row r="68" ht="22.5" customHeight="1">
      <c r="A68" s="4">
        <v>73.0</v>
      </c>
      <c r="B68" s="5" t="s">
        <v>3611</v>
      </c>
      <c r="C68" s="4" t="s">
        <v>3612</v>
      </c>
      <c r="D68" s="5" t="s">
        <v>3613</v>
      </c>
      <c r="E68" s="5" t="s">
        <v>3614</v>
      </c>
      <c r="F68" s="15"/>
      <c r="G68" s="4">
        <v>73.0</v>
      </c>
      <c r="H68" s="10" t="str">
        <f>IFERROR(__xludf.DUMMYFUNCTION("GOOGLETRANSLATE(B68,""it"",""en"")"),"What happens when a player commits an offensive foul?")</f>
        <v>What happens when a player commits an offensive foul?</v>
      </c>
      <c r="I68" s="10" t="str">
        <f>IFERROR(__xludf.DUMMYFUNCTION("GOOGLETRANSLATE(C68,""it"",""en"")"),"A. The ball goes to the opposing team B. The player is temporarily sent off C. A penalty is awarded D. He is cautioned")</f>
        <v>A. The ball goes to the opposing team B. The player is temporarily sent off C. A penalty is awarded D. He is cautioned</v>
      </c>
      <c r="J68" s="10" t="str">
        <f>IFERROR(__xludf.DUMMYFUNCTION("GOOGLETRANSLATE(D68,""it"",""en"")"),"The ball passes to the opposing team")</f>
        <v>The ball passes to the opposing team</v>
      </c>
      <c r="K68" s="10" t="str">
        <f>IFERROR(__xludf.DUMMYFUNCTION("GOOGLETRANSLATE(E68,""it"",""en"")"),"An offensive foul results in a change of possession.")</f>
        <v>An offensive foul results in a change of possession.</v>
      </c>
    </row>
    <row r="69" ht="22.5" customHeight="1">
      <c r="A69" s="4">
        <v>74.0</v>
      </c>
      <c r="B69" s="5" t="s">
        <v>3615</v>
      </c>
      <c r="C69" s="4" t="s">
        <v>3616</v>
      </c>
      <c r="D69" s="5" t="s">
        <v>3617</v>
      </c>
      <c r="E69" s="5"/>
      <c r="F69" s="15"/>
      <c r="G69" s="4">
        <v>74.0</v>
      </c>
      <c r="H69" s="10" t="str">
        <f>IFERROR(__xludf.DUMMYFUNCTION("GOOGLETRANSLATE(B69,""it"",""en"")"),"In what situation is a penalty awarded?")</f>
        <v>In what situation is a penalty awarded?</v>
      </c>
      <c r="I69" s="10" t="str">
        <f>IFERROR(__xludf.DUMMYFUNCTION("GOOGLETRANSLATE(C69,""it"",""en"")"),"A. When a player commits a serious defensive foul B. When a player scores a goal C. When the ball goes out of the pool D. When the team is called for a technical foul")</f>
        <v>A. When a player commits a serious defensive foul B. When a player scores a goal C. When the ball goes out of the pool D. When the team is called for a technical foul</v>
      </c>
      <c r="J69" s="10" t="str">
        <f>IFERROR(__xludf.DUMMYFUNCTION("GOOGLETRANSLATE(D69,""it"",""en"")"),"When a player commits a serious defensive foul.")</f>
        <v>When a player commits a serious defensive foul.</v>
      </c>
      <c r="K69" s="10" t="str">
        <f>IFERROR(__xludf.DUMMYFUNCTION("GOOGLETRANSLATE(E69,""it"",""en"")"),"#VALUE!")</f>
        <v>#VALUE!</v>
      </c>
    </row>
    <row r="70" ht="22.5" customHeight="1">
      <c r="A70" s="4">
        <v>75.0</v>
      </c>
      <c r="B70" s="5" t="s">
        <v>3618</v>
      </c>
      <c r="C70" s="4" t="s">
        <v>3619</v>
      </c>
      <c r="D70" s="5" t="s">
        <v>87</v>
      </c>
      <c r="E70" s="5" t="s">
        <v>3620</v>
      </c>
      <c r="F70" s="15"/>
      <c r="G70" s="4">
        <v>75.0</v>
      </c>
      <c r="H70" s="10" t="str">
        <f>IFERROR(__xludf.DUMMYFUNCTION("GOOGLETRANSLATE(B70,""it"",""en"")"),"How many substitutions can be made in a match without penalties?")</f>
        <v>How many substitutions can be made in a match without penalties?</v>
      </c>
      <c r="I70" s="10" t="str">
        <f>IFERROR(__xludf.DUMMYFUNCTION("GOOGLETRANSLATE(C70,""it"",""en"")"),"A. Unlimited B. 2 C. 4 D. 3")</f>
        <v>A. Unlimited B. 2 C. 4 D. 3</v>
      </c>
      <c r="J70" s="10" t="str">
        <f>IFERROR(__xludf.DUMMYFUNCTION("GOOGLETRANSLATE(D70,""it"",""en"")"),"Unlimited")</f>
        <v>Unlimited</v>
      </c>
      <c r="K70" s="10" t="str">
        <f>IFERROR(__xludf.DUMMYFUNCTION("GOOGLETRANSLATE(E70,""it"",""en"")"),"There is no limit to the number of substitutions during a water polo game.")</f>
        <v>There is no limit to the number of substitutions during a water polo game.</v>
      </c>
    </row>
    <row r="71" ht="22.5" customHeight="1">
      <c r="A71" s="4">
        <v>77.0</v>
      </c>
      <c r="B71" s="5" t="s">
        <v>3621</v>
      </c>
      <c r="C71" s="4" t="s">
        <v>3622</v>
      </c>
      <c r="D71" s="5" t="s">
        <v>3623</v>
      </c>
      <c r="E71" s="5" t="s">
        <v>3624</v>
      </c>
      <c r="F71" s="15"/>
      <c r="G71" s="4">
        <v>77.0</v>
      </c>
      <c r="H71" s="10" t="str">
        <f>IFERROR(__xludf.DUMMYFUNCTION("GOOGLETRANSLATE(B71,""it"",""en"")"),"What must a player do to receive a pass from a teammate?")</f>
        <v>What must a player do to receive a pass from a teammate?</v>
      </c>
      <c r="I71" s="10" t="str">
        <f>IFERROR(__xludf.DUMMYFUNCTION("GOOGLETRANSLATE(C71,""it"",""en"")"),"A. Being in the field of play B. Being out of the field of play C. Being in the offside zone D. Being in the goalkeeper's area")</f>
        <v>A. Being in the field of play B. Being out of the field of play C. Being in the offside zone D. Being in the goalkeeper's area</v>
      </c>
      <c r="J71" s="10" t="str">
        <f>IFERROR(__xludf.DUMMYFUNCTION("GOOGLETRANSLATE(D71,""it"",""en"")"),"Being on the playing field")</f>
        <v>Being on the playing field</v>
      </c>
      <c r="K71" s="10" t="str">
        <f>IFERROR(__xludf.DUMMYFUNCTION("GOOGLETRANSLATE(E71,""it"",""en"")"),"A player must be in the field to receive a pass.")</f>
        <v>A player must be in the field to receive a pass.</v>
      </c>
    </row>
    <row r="72" ht="22.5" customHeight="1">
      <c r="A72" s="4">
        <v>78.0</v>
      </c>
      <c r="B72" s="5" t="s">
        <v>3625</v>
      </c>
      <c r="C72" s="4" t="s">
        <v>3626</v>
      </c>
      <c r="D72" s="5" t="s">
        <v>3627</v>
      </c>
      <c r="E72" s="5" t="s">
        <v>3628</v>
      </c>
      <c r="F72" s="15"/>
      <c r="G72" s="4">
        <v>78.0</v>
      </c>
      <c r="H72" s="10" t="str">
        <f>IFERROR(__xludf.DUMMYFUNCTION("GOOGLETRANSLATE(B72,""it"",""en"")"),"What do the lines 3 meters from the goal represent?")</f>
        <v>What do the lines 3 meters from the goal represent?</v>
      </c>
      <c r="I72" s="10" t="str">
        <f>IFERROR(__xludf.DUMMYFUNCTION("GOOGLETRANSLATE(C72,""it"",""en"")"),"A. Offside area B. Goalkeeper's area C. Penalty area D. Attacking area")</f>
        <v>A. Offside area B. Goalkeeper's area C. Penalty area D. Attacking area</v>
      </c>
      <c r="J72" s="10" t="str">
        <f>IFERROR(__xludf.DUMMYFUNCTION("GOOGLETRANSLATE(D72,""it"",""en"")"),"Attack area")</f>
        <v>Attack area</v>
      </c>
      <c r="K72" s="10" t="str">
        <f>IFERROR(__xludf.DUMMYFUNCTION("GOOGLETRANSLATE(E72,""it"",""en"")"),"The 3-meter lines define the attack zone for the players.")</f>
        <v>The 3-meter lines define the attack zone for the players.</v>
      </c>
    </row>
    <row r="73" ht="22.5" customHeight="1">
      <c r="A73" s="4">
        <v>79.0</v>
      </c>
      <c r="B73" s="5" t="s">
        <v>3629</v>
      </c>
      <c r="C73" s="4" t="s">
        <v>3630</v>
      </c>
      <c r="D73" s="5" t="s">
        <v>3631</v>
      </c>
      <c r="E73" s="5" t="s">
        <v>3632</v>
      </c>
      <c r="F73" s="15"/>
      <c r="G73" s="4">
        <v>79.0</v>
      </c>
      <c r="H73" s="10" t="str">
        <f>IFERROR(__xludf.DUMMYFUNCTION("GOOGLETRANSLATE(B73,""it"",""en"")"),"In what situation can the goalkeeper not touch the ball?")</f>
        <v>In what situation can the goalkeeper not touch the ball?</v>
      </c>
      <c r="I73" s="10" t="str">
        <f>IFERROR(__xludf.DUMMYFUNCTION("GOOGLETRANSLATE(C73,""it"",""en"")"),"A. When he is outside his own penalty area B. When he is in possession of the ball C. When he is under attack D. When he has the ball in his hands")</f>
        <v>A. When he is outside his own penalty area B. When he is in possession of the ball C. When he is under attack D. When he has the ball in his hands</v>
      </c>
      <c r="J73" s="10" t="str">
        <f>IFERROR(__xludf.DUMMYFUNCTION("GOOGLETRANSLATE(D73,""it"",""en"")"),"When he is out of his area")</f>
        <v>When he is out of his area</v>
      </c>
      <c r="K73" s="10" t="str">
        <f>IFERROR(__xludf.DUMMYFUNCTION("GOOGLETRANSLATE(E73,""it"",""en"")"),"The goalkeeper cannot touch the ball if it leaves his own penalty area.")</f>
        <v>The goalkeeper cannot touch the ball if it leaves his own penalty area.</v>
      </c>
    </row>
    <row r="74" ht="22.5" customHeight="1">
      <c r="A74" s="4">
        <v>80.0</v>
      </c>
      <c r="B74" s="5" t="s">
        <v>3633</v>
      </c>
      <c r="C74" s="4" t="s">
        <v>3453</v>
      </c>
      <c r="D74" s="5" t="s">
        <v>3454</v>
      </c>
      <c r="E74" s="5" t="s">
        <v>3634</v>
      </c>
      <c r="F74" s="15"/>
      <c r="G74" s="4">
        <v>80.0</v>
      </c>
      <c r="H74" s="10" t="str">
        <f>IFERROR(__xludf.DUMMYFUNCTION("GOOGLETRANSLATE(B74,""it"",""en"")"),"What is the minimum length of a pause between beats?")</f>
        <v>What is the minimum length of a pause between beats?</v>
      </c>
      <c r="I74" s="10" t="str">
        <f>IFERROR(__xludf.DUMMYFUNCTION("GOOGLETRANSLATE(C74,""it"",""en"")"),"A. 1 minute B. 2 minutes C. 3 minutes D. 5 minutes")</f>
        <v>A. 1 minute B. 2 minutes C. 3 minutes D. 5 minutes</v>
      </c>
      <c r="J74" s="10" t="str">
        <f>IFERROR(__xludf.DUMMYFUNCTION("GOOGLETRANSLATE(D74,""it"",""en"")"),"2 minutes")</f>
        <v>2 minutes</v>
      </c>
      <c r="K74" s="10" t="str">
        <f>IFERROR(__xludf.DUMMYFUNCTION("GOOGLETRANSLATE(E74,""it"",""en"")"),"Each break between periods lasts at least 2 minutes.")</f>
        <v>Each break between periods lasts at least 2 minutes.</v>
      </c>
    </row>
    <row r="75" ht="22.5" customHeight="1">
      <c r="A75" s="4">
        <v>81.0</v>
      </c>
      <c r="B75" s="5" t="s">
        <v>3635</v>
      </c>
      <c r="C75" s="4" t="s">
        <v>3636</v>
      </c>
      <c r="D75" s="5" t="s">
        <v>3542</v>
      </c>
      <c r="E75" s="5" t="s">
        <v>3637</v>
      </c>
      <c r="F75" s="15"/>
      <c r="G75" s="4">
        <v>81.0</v>
      </c>
      <c r="H75" s="10" t="str">
        <f>IFERROR(__xludf.DUMMYFUNCTION("GOOGLETRANSLATE(B75,""it"",""en"")"),"How long does a player have to pass the ball after receiving it?")</f>
        <v>How long does a player have to pass the ball after receiving it?</v>
      </c>
      <c r="I75" s="10" t="str">
        <f>IFERROR(__xludf.DUMMYFUNCTION("GOOGLETRANSLATE(C75,""it"",""en"")"),"A. 5 seconds B. 10 seconds C. 15 seconds D. 30 seconds")</f>
        <v>A. 5 seconds B. 10 seconds C. 15 seconds D. 30 seconds</v>
      </c>
      <c r="J75" s="10" t="str">
        <f>IFERROR(__xludf.DUMMYFUNCTION("GOOGLETRANSLATE(D75,""it"",""en"")"),"5 seconds")</f>
        <v>5 seconds</v>
      </c>
      <c r="K75" s="10" t="str">
        <f>IFERROR(__xludf.DUMMYFUNCTION("GOOGLETRANSLATE(E75,""it"",""en"")"),"A player has 5 seconds to pass the ball after receiving it.")</f>
        <v>A player has 5 seconds to pass the ball after receiving it.</v>
      </c>
    </row>
    <row r="76" ht="22.5" customHeight="1">
      <c r="A76" s="4">
        <v>83.0</v>
      </c>
      <c r="B76" s="5" t="s">
        <v>3638</v>
      </c>
      <c r="C76" s="4" t="s">
        <v>3639</v>
      </c>
      <c r="D76" s="5" t="s">
        <v>3401</v>
      </c>
      <c r="E76" s="5" t="s">
        <v>3640</v>
      </c>
      <c r="F76" s="15"/>
      <c r="G76" s="4">
        <v>83.0</v>
      </c>
      <c r="H76" s="10" t="str">
        <f>IFERROR(__xludf.DUMMYFUNCTION("GOOGLETRANSLATE(B76,""it"",""en"")"),"What happens if a player commits a foul out of the water?")</f>
        <v>What happens if a player commits a foul out of the water?</v>
      </c>
      <c r="I76" s="10" t="str">
        <f>IFERROR(__xludf.DUMMYFUNCTION("GOOGLETRANSLATE(C76,""it"",""en"")"),"A. Nothing B. A foul is called C. The opposing team receives the ball D. He is temporarily ejected")</f>
        <v>A. Nothing B. A foul is called C. The opposing team receives the ball D. He is temporarily ejected</v>
      </c>
      <c r="J76" s="10" t="str">
        <f>IFERROR(__xludf.DUMMYFUNCTION("GOOGLETRANSLATE(D76,""it"",""en"")"),"A foul is called")</f>
        <v>A foul is called</v>
      </c>
      <c r="K76" s="10" t="str">
        <f>IFERROR(__xludf.DUMMYFUNCTION("GOOGLETRANSLATE(E76,""it"",""en"")"),"A foul committed out of the water results in loss of possession.")</f>
        <v>A foul committed out of the water results in loss of possession.</v>
      </c>
    </row>
    <row r="77" ht="22.5" customHeight="1">
      <c r="A77" s="4">
        <v>84.0</v>
      </c>
      <c r="B77" s="5" t="s">
        <v>3641</v>
      </c>
      <c r="C77" s="4" t="s">
        <v>3642</v>
      </c>
      <c r="D77" s="5" t="s">
        <v>3643</v>
      </c>
      <c r="E77" s="5" t="s">
        <v>3644</v>
      </c>
      <c r="F77" s="15"/>
      <c r="G77" s="4">
        <v>84.0</v>
      </c>
      <c r="H77" s="10" t="str">
        <f>IFERROR(__xludf.DUMMYFUNCTION("GOOGLETRANSLATE(B77,""it"",""en"")"),"What happens if a team misses the time limit for offensive action?")</f>
        <v>What happens if a team misses the time limit for offensive action?</v>
      </c>
      <c r="I77" s="10" t="str">
        <f>IFERROR(__xludf.DUMMYFUNCTION("GOOGLETRANSLATE(C77,""it"",""en"")"),"A. The team loses the ball B. The team gets a penalty C. The game is stopped D. The team suffers a penalty")</f>
        <v>A. The team loses the ball B. The team gets a penalty C. The game is stopped D. The team suffers a penalty</v>
      </c>
      <c r="J77" s="10" t="str">
        <f>IFERROR(__xludf.DUMMYFUNCTION("GOOGLETRANSLATE(D77,""it"",""en"")"),"The team loses the ball")</f>
        <v>The team loses the ball</v>
      </c>
      <c r="K77" s="10" t="str">
        <f>IFERROR(__xludf.DUMMYFUNCTION("GOOGLETRANSLATE(E77,""it"",""en"")"),"Possession time is limited to 30 seconds.")</f>
        <v>Possession time is limited to 30 seconds.</v>
      </c>
    </row>
    <row r="78" ht="22.5" customHeight="1">
      <c r="A78" s="4">
        <v>85.0</v>
      </c>
      <c r="B78" s="5" t="s">
        <v>3645</v>
      </c>
      <c r="C78" s="4" t="s">
        <v>3646</v>
      </c>
      <c r="D78" s="5" t="s">
        <v>3574</v>
      </c>
      <c r="E78" s="5" t="s">
        <v>3647</v>
      </c>
      <c r="F78" s="15"/>
      <c r="G78" s="4">
        <v>85.0</v>
      </c>
      <c r="H78" s="10" t="str">
        <f>IFERROR(__xludf.DUMMYFUNCTION("GOOGLETRANSLATE(B78,""it"",""en"")"),"What is the maximum length of a passage?")</f>
        <v>What is the maximum length of a passage?</v>
      </c>
      <c r="I78" s="10" t="str">
        <f>IFERROR(__xludf.DUMMYFUNCTION("GOOGLETRANSLATE(C78,""it"",""en"")"),"A. There is no limit B. 5 meters C. 10 meters D. 15 meters")</f>
        <v>A. There is no limit B. 5 meters C. 10 meters D. 15 meters</v>
      </c>
      <c r="J78" s="10" t="str">
        <f>IFERROR(__xludf.DUMMYFUNCTION("GOOGLETRANSLATE(D78,""it"",""en"")"),"There is no limit")</f>
        <v>There is no limit</v>
      </c>
      <c r="K78" s="10" t="str">
        <f>IFERROR(__xludf.DUMMYFUNCTION("GOOGLETRANSLATE(E78,""it"",""en"")"),"There is no maximum limit to the length of a passage.")</f>
        <v>There is no maximum limit to the length of a passage.</v>
      </c>
    </row>
    <row r="79" ht="22.5" customHeight="1">
      <c r="A79" s="4">
        <v>86.0</v>
      </c>
      <c r="B79" s="5" t="s">
        <v>3648</v>
      </c>
      <c r="C79" s="4" t="s">
        <v>3649</v>
      </c>
      <c r="D79" s="5" t="s">
        <v>3613</v>
      </c>
      <c r="E79" s="5" t="s">
        <v>3650</v>
      </c>
      <c r="F79" s="15"/>
      <c r="G79" s="4">
        <v>86.0</v>
      </c>
      <c r="H79" s="10" t="str">
        <f>IFERROR(__xludf.DUMMYFUNCTION("GOOGLETRANSLATE(B79,""it"",""en"")"),"What happens if a player has the ball in his hands during a foul?")</f>
        <v>What happens if a player has the ball in his hands during a foul?</v>
      </c>
      <c r="I79" s="10" t="str">
        <f>IFERROR(__xludf.DUMMYFUNCTION("GOOGLETRANSLATE(C79,""it"",""en"")"),"A. The ball goes to the opposing team B. He is cautioned C. A penalty is awarded D. He is temporarily sent off")</f>
        <v>A. The ball goes to the opposing team B. He is cautioned C. A penalty is awarded D. He is temporarily sent off</v>
      </c>
      <c r="J79" s="10" t="str">
        <f>IFERROR(__xludf.DUMMYFUNCTION("GOOGLETRANSLATE(D79,""it"",""en"")"),"The ball passes to the opposing team")</f>
        <v>The ball passes to the opposing team</v>
      </c>
      <c r="K79" s="10" t="str">
        <f>IFERROR(__xludf.DUMMYFUNCTION("GOOGLETRANSLATE(E79,""it"",""en"")"),"The foul leads to the loss of possession.")</f>
        <v>The foul leads to the loss of possession.</v>
      </c>
    </row>
    <row r="80" ht="22.5" customHeight="1">
      <c r="A80" s="4">
        <v>87.0</v>
      </c>
      <c r="B80" s="5" t="s">
        <v>3651</v>
      </c>
      <c r="C80" s="4" t="s">
        <v>3453</v>
      </c>
      <c r="D80" s="5" t="s">
        <v>3652</v>
      </c>
      <c r="E80" s="5" t="s">
        <v>3653</v>
      </c>
      <c r="F80" s="15"/>
      <c r="G80" s="4">
        <v>87.0</v>
      </c>
      <c r="H80" s="10" t="str">
        <f>IFERROR(__xludf.DUMMYFUNCTION("GOOGLETRANSLATE(B80,""it"",""en"")"),"How long is the break between two periods of extra time?")</f>
        <v>How long is the break between two periods of extra time?</v>
      </c>
      <c r="I80" s="10" t="str">
        <f>IFERROR(__xludf.DUMMYFUNCTION("GOOGLETRANSLATE(C80,""it"",""en"")"),"A. 1 minute B. 2 minutes C. 3 minutes D. 5 minutes")</f>
        <v>A. 1 minute B. 2 minutes C. 3 minutes D. 5 minutes</v>
      </c>
      <c r="J80" s="10" t="str">
        <f>IFERROR(__xludf.DUMMYFUNCTION("GOOGLETRANSLATE(D80,""it"",""en"")"),"1 minute")</f>
        <v>1 minute</v>
      </c>
      <c r="K80" s="10" t="str">
        <f>IFERROR(__xludf.DUMMYFUNCTION("GOOGLETRANSLATE(E80,""it"",""en"")"),"The break between the two extra periods lasts 1 minute.")</f>
        <v>The break between the two extra periods lasts 1 minute.</v>
      </c>
    </row>
    <row r="81" ht="22.5" customHeight="1">
      <c r="A81" s="4">
        <v>88.0</v>
      </c>
      <c r="B81" s="5" t="s">
        <v>3654</v>
      </c>
      <c r="C81" s="4" t="s">
        <v>3655</v>
      </c>
      <c r="D81" s="5" t="s">
        <v>3656</v>
      </c>
      <c r="E81" s="5" t="s">
        <v>3657</v>
      </c>
      <c r="F81" s="15"/>
      <c r="G81" s="4">
        <v>88.0</v>
      </c>
      <c r="H81" s="10" t="str">
        <f>IFERROR(__xludf.DUMMYFUNCTION("GOOGLETRANSLATE(B81,""it"",""en"")"),"What happens if a player doesn't follow the referee's instructions?")</f>
        <v>What happens if a player doesn't follow the referee's instructions?</v>
      </c>
      <c r="I81" s="10" t="str">
        <f>IFERROR(__xludf.DUMMYFUNCTION("GOOGLETRANSLATE(C81,""it"",""en"")"),"A. Receives a penalty B. Receives a warning C. Receives a sanction D. The team loses a player")</f>
        <v>A. Receives a penalty B. Receives a warning C. Receives a sanction D. The team loses a player</v>
      </c>
      <c r="J81" s="10" t="str">
        <f>IFERROR(__xludf.DUMMYFUNCTION("GOOGLETRANSLATE(D81,""it"",""en"")"),"He is subjected to a sanction")</f>
        <v>He is subjected to a sanction</v>
      </c>
      <c r="K81" s="10" t="str">
        <f>IFERROR(__xludf.DUMMYFUNCTION("GOOGLETRANSLATE(E81,""it"",""en"")"),"A player who does not follow instructions receives a disciplinary sanction.")</f>
        <v>A player who does not follow instructions receives a disciplinary sanction.</v>
      </c>
    </row>
    <row r="82" ht="22.5" customHeight="1">
      <c r="A82" s="4">
        <v>89.0</v>
      </c>
      <c r="B82" s="5" t="s">
        <v>3658</v>
      </c>
      <c r="C82" s="4" t="s">
        <v>3230</v>
      </c>
      <c r="D82" s="4">
        <v>6.0</v>
      </c>
      <c r="E82" s="5" t="s">
        <v>3659</v>
      </c>
      <c r="F82" s="15"/>
      <c r="G82" s="4">
        <v>89.0</v>
      </c>
      <c r="H82" s="10" t="str">
        <f>IFERROR(__xludf.DUMMYFUNCTION("GOOGLETRANSLATE(B82,""it"",""en"")"),"How many players must be in the water for a team to be considered valid in a match?")</f>
        <v>How many players must be in the water for a team to be considered valid in a match?</v>
      </c>
      <c r="I82" s="10" t="str">
        <f>IFERROR(__xludf.DUMMYFUNCTION("GOOGLETRANSLATE(C82,""it"",""en"")"),"A. 5 B. 6 C. 7 D. 8")</f>
        <v>A. 5 B. 6 C. 7 D. 8</v>
      </c>
      <c r="J82" s="10" t="str">
        <f>IFERROR(__xludf.DUMMYFUNCTION("GOOGLETRANSLATE(D82,""it"",""en"")"),"6")</f>
        <v>6</v>
      </c>
      <c r="K82" s="10" t="str">
        <f>IFERROR(__xludf.DUMMYFUNCTION("GOOGLETRANSLATE(E82,""it"",""en"")"),"Each team must have at least 6 players in the water during a game.")</f>
        <v>Each team must have at least 6 players in the water during a game.</v>
      </c>
    </row>
    <row r="83" ht="22.5" customHeight="1">
      <c r="A83" s="4">
        <v>90.0</v>
      </c>
      <c r="B83" s="5" t="s">
        <v>3660</v>
      </c>
      <c r="C83" s="4" t="s">
        <v>3661</v>
      </c>
      <c r="D83" s="5" t="s">
        <v>3662</v>
      </c>
      <c r="E83" s="5" t="s">
        <v>3663</v>
      </c>
      <c r="F83" s="15"/>
      <c r="G83" s="4">
        <v>90.0</v>
      </c>
      <c r="H83" s="10" t="str">
        <f>IFERROR(__xludf.DUMMYFUNCTION("GOOGLETRANSLATE(B83,""it"",""en"")"),"Who can intervene during a technical break?")</f>
        <v>Who can intervene during a technical break?</v>
      </c>
      <c r="I83" s="10" t="str">
        <f>IFERROR(__xludf.DUMMYFUNCTION("GOOGLETRANSLATE(C83,""it"",""en"")"),"A. Only the coach B. The captain and the coach C. All players D. The referee")</f>
        <v>A. Only the coach B. The captain and the coach C. All players D. The referee</v>
      </c>
      <c r="J83" s="10" t="str">
        <f>IFERROR(__xludf.DUMMYFUNCTION("GOOGLETRANSLATE(D83,""it"",""en"")"),"The captain and the coach")</f>
        <v>The captain and the coach</v>
      </c>
      <c r="K83" s="10" t="str">
        <f>IFERROR(__xludf.DUMMYFUNCTION("GOOGLETRANSLATE(E83,""it"",""en"")"),"During a technical break, only the coach and the captain can intervene.")</f>
        <v>During a technical break, only the coach and the captain can intervene.</v>
      </c>
    </row>
    <row r="84" ht="22.5" customHeight="1">
      <c r="A84" s="4">
        <v>91.0</v>
      </c>
      <c r="B84" s="5" t="s">
        <v>3664</v>
      </c>
      <c r="C84" s="4" t="s">
        <v>3665</v>
      </c>
      <c r="D84" s="5" t="s">
        <v>3380</v>
      </c>
      <c r="E84" s="5" t="s">
        <v>3666</v>
      </c>
      <c r="F84" s="15"/>
      <c r="G84" s="4">
        <v>91.0</v>
      </c>
      <c r="H84" s="10" t="str">
        <f>IFERROR(__xludf.DUMMYFUNCTION("GOOGLETRANSLATE(B84,""it"",""en"")"),"How many minutes does a half of a water polo game last?")</f>
        <v>How many minutes does a half of a water polo game last?</v>
      </c>
      <c r="I84" s="10" t="str">
        <f>IFERROR(__xludf.DUMMYFUNCTION("GOOGLETRANSLATE(C84,""it"",""en"")"),"A. 4 minutes B. 5 minutes C. 6 minutes D. 7 minutes")</f>
        <v>A. 4 minutes B. 5 minutes C. 6 minutes D. 7 minutes</v>
      </c>
      <c r="J84" s="10" t="str">
        <f>IFERROR(__xludf.DUMMYFUNCTION("GOOGLETRANSLATE(D84,""it"",""en"")"),"8 minutes")</f>
        <v>8 minutes</v>
      </c>
      <c r="K84" s="10" t="str">
        <f>IFERROR(__xludf.DUMMYFUNCTION("GOOGLETRANSLATE(E84,""it"",""en"")"),"One game period lasts 8 minutes.")</f>
        <v>One game period lasts 8 minutes.</v>
      </c>
    </row>
    <row r="85" ht="22.5" customHeight="1">
      <c r="A85" s="4">
        <v>92.0</v>
      </c>
      <c r="B85" s="5" t="s">
        <v>3667</v>
      </c>
      <c r="C85" s="4" t="s">
        <v>3668</v>
      </c>
      <c r="D85" s="5" t="s">
        <v>3669</v>
      </c>
      <c r="E85" s="5" t="s">
        <v>3670</v>
      </c>
      <c r="F85" s="15"/>
      <c r="G85" s="4">
        <v>92.0</v>
      </c>
      <c r="H85" s="10" t="str">
        <f>IFERROR(__xludf.DUMMYFUNCTION("GOOGLETRANSLATE(B85,""it"",""en"")"),"In what situation does a player receive a permanent red card?")</f>
        <v>In what situation does a player receive a permanent red card?</v>
      </c>
      <c r="I85" s="10" t="str">
        <f>IFERROR(__xludf.DUMMYFUNCTION("GOOGLETRANSLATE(C85,""it"",""en"")"),"A. When he commits a serious foul B. When he makes an unsportsmanlike gesture C. When he touches the ball out of play D. When he stops the game")</f>
        <v>A. When he commits a serious foul B. When he makes an unsportsmanlike gesture C. When he touches the ball out of play D. When he stops the game</v>
      </c>
      <c r="J85" s="10" t="str">
        <f>IFERROR(__xludf.DUMMYFUNCTION("GOOGLETRANSLATE(D85,""it"",""en"")"),"When he commits a serious foul")</f>
        <v>When he commits a serious foul</v>
      </c>
      <c r="K85" s="10" t="str">
        <f>IFERROR(__xludf.DUMMYFUNCTION("GOOGLETRANSLATE(E85,""it"",""en"")"),"A serious or unsportsmanlike foul will result in permanent ejection.")</f>
        <v>A serious or unsportsmanlike foul will result in permanent ejection.</v>
      </c>
    </row>
    <row r="86" ht="22.5" customHeight="1">
      <c r="A86" s="4">
        <v>93.0</v>
      </c>
      <c r="B86" s="5" t="s">
        <v>3671</v>
      </c>
      <c r="C86" s="4" t="s">
        <v>3672</v>
      </c>
      <c r="D86" s="5" t="s">
        <v>3538</v>
      </c>
      <c r="E86" s="5" t="s">
        <v>3673</v>
      </c>
      <c r="F86" s="15"/>
      <c r="G86" s="4">
        <v>93.0</v>
      </c>
      <c r="H86" s="10" t="str">
        <f>IFERROR(__xludf.DUMMYFUNCTION("GOOGLETRANSLATE(B86,""it"",""en"")"),"Who is responsible for calling a time-out?")</f>
        <v>Who is responsible for calling a time-out?</v>
      </c>
      <c r="I86" s="10" t="str">
        <f>IFERROR(__xludf.DUMMYFUNCTION("GOOGLETRANSLATE(C86,""it"",""en"")"),"A. The referee B. The goalkeeper C. The captain D. A coach")</f>
        <v>A. The referee B. The goalkeeper C. The captain D. A coach</v>
      </c>
      <c r="J86" s="10" t="str">
        <f>IFERROR(__xludf.DUMMYFUNCTION("GOOGLETRANSLATE(D86,""it"",""en"")"),"A coach")</f>
        <v>A coach</v>
      </c>
      <c r="K86" s="10" t="str">
        <f>IFERROR(__xludf.DUMMYFUNCTION("GOOGLETRANSLATE(E86,""it"",""en"")"),"Only the coach can call a timeout.")</f>
        <v>Only the coach can call a timeout.</v>
      </c>
    </row>
    <row r="87" ht="22.5" customHeight="1">
      <c r="A87" s="4">
        <v>95.0</v>
      </c>
      <c r="B87" s="5" t="s">
        <v>3674</v>
      </c>
      <c r="C87" s="4" t="s">
        <v>3675</v>
      </c>
      <c r="D87" s="5" t="s">
        <v>3676</v>
      </c>
      <c r="E87" s="5" t="s">
        <v>3677</v>
      </c>
      <c r="F87" s="15"/>
      <c r="G87" s="4">
        <v>95.0</v>
      </c>
      <c r="H87" s="10" t="str">
        <f>IFERROR(__xludf.DUMMYFUNCTION("GOOGLETRANSLATE(B87,""it"",""en"")"),"When can a goalkeeper leave his penalty area?")</f>
        <v>When can a goalkeeper leave his penalty area?</v>
      </c>
      <c r="I87" s="10" t="str">
        <f>IFERROR(__xludf.DUMMYFUNCTION("GOOGLETRANSLATE(C87,""it"",""en"")"),"A. Never B. When there is an offensive action C. When the opponent is far away D. When the team is winning")</f>
        <v>A. Never B. When there is an offensive action C. When the opponent is far away D. When the team is winning</v>
      </c>
      <c r="J87" s="10" t="str">
        <f>IFERROR(__xludf.DUMMYFUNCTION("GOOGLETRANSLATE(D87,""it"",""en"")"),"When there is an offensive action")</f>
        <v>When there is an offensive action</v>
      </c>
      <c r="K87" s="10" t="str">
        <f>IFERROR(__xludf.DUMMYFUNCTION("GOOGLETRANSLATE(E87,""it"",""en"")"),"A goalkeeper may only leave his penalty area during an attack.")</f>
        <v>A goalkeeper may only leave his penalty area during an attack.</v>
      </c>
    </row>
    <row r="88" ht="22.5" customHeight="1">
      <c r="A88" s="4">
        <v>96.0</v>
      </c>
      <c r="B88" s="5" t="s">
        <v>3678</v>
      </c>
      <c r="C88" s="4" t="s">
        <v>106</v>
      </c>
      <c r="D88" s="4">
        <v>1.0</v>
      </c>
      <c r="E88" s="5" t="s">
        <v>3679</v>
      </c>
      <c r="F88" s="15"/>
      <c r="G88" s="4">
        <v>96.0</v>
      </c>
      <c r="H88" s="10" t="str">
        <f>IFERROR(__xludf.DUMMYFUNCTION("GOOGLETRANSLATE(B88,""it"",""en"")"),"How many goals are needed to win a penalty?")</f>
        <v>How many goals are needed to win a penalty?</v>
      </c>
      <c r="I88" s="10" t="str">
        <f>IFERROR(__xludf.DUMMYFUNCTION("GOOGLETRANSLATE(C88,""it"",""en"")"),"A. 1 B. 2 C. 3 D. 4")</f>
        <v>A. 1 B. 2 C. 3 D. 4</v>
      </c>
      <c r="J88" s="10" t="str">
        <f>IFERROR(__xludf.DUMMYFUNCTION("GOOGLETRANSLATE(D88,""it"",""en"")"),"1")</f>
        <v>1</v>
      </c>
      <c r="K88" s="10" t="str">
        <f>IFERROR(__xludf.DUMMYFUNCTION("GOOGLETRANSLATE(E88,""it"",""en"")"),"Only one goal is needed to win a penalty.")</f>
        <v>Only one goal is needed to win a penalty.</v>
      </c>
    </row>
    <row r="89" ht="22.5" customHeight="1">
      <c r="A89" s="4">
        <v>97.0</v>
      </c>
      <c r="B89" s="5" t="s">
        <v>3680</v>
      </c>
      <c r="C89" s="4" t="s">
        <v>2718</v>
      </c>
      <c r="D89" s="4">
        <v>3.0</v>
      </c>
      <c r="E89" s="5" t="s">
        <v>3681</v>
      </c>
      <c r="F89" s="15"/>
      <c r="G89" s="4">
        <v>97.0</v>
      </c>
      <c r="H89" s="10" t="str">
        <f>IFERROR(__xludf.DUMMYFUNCTION("GOOGLETRANSLATE(B89,""it"",""en"")"),"How many shots can be taken in penalty shootouts?")</f>
        <v>How many shots can be taken in penalty shootouts?</v>
      </c>
      <c r="I89" s="10" t="str">
        <f>IFERROR(__xludf.DUMMYFUNCTION("GOOGLETRANSLATE(C89,""it"",""en"")"),"A. 3 B. 5 C. 7 D. 9")</f>
        <v>A. 3 B. 5 C. 7 D. 9</v>
      </c>
      <c r="J89" s="10" t="str">
        <f>IFERROR(__xludf.DUMMYFUNCTION("GOOGLETRANSLATE(D89,""it"",""en"")"),"3")</f>
        <v>3</v>
      </c>
      <c r="K89" s="10" t="str">
        <f>IFERROR(__xludf.DUMMYFUNCTION("GOOGLETRANSLATE(E89,""it"",""en"")"),"Each team can take 3 penalty kicks in case of a tie.")</f>
        <v>Each team can take 3 penalty kicks in case of a tie.</v>
      </c>
    </row>
    <row r="90" ht="22.5" customHeight="1">
      <c r="A90" s="4">
        <v>98.0</v>
      </c>
      <c r="B90" s="5" t="s">
        <v>3682</v>
      </c>
      <c r="C90" s="4" t="s">
        <v>3683</v>
      </c>
      <c r="D90" s="5" t="s">
        <v>3684</v>
      </c>
      <c r="E90" s="5" t="s">
        <v>3685</v>
      </c>
      <c r="F90" s="15"/>
      <c r="G90" s="4">
        <v>98.0</v>
      </c>
      <c r="H90" s="10" t="str">
        <f>IFERROR(__xludf.DUMMYFUNCTION("GOOGLETRANSLATE(B90,""it"",""en"")"),"How many substitutions can be made during the match?")</f>
        <v>How many substitutions can be made during the match?</v>
      </c>
      <c r="I90" s="10" t="str">
        <f>IFERROR(__xludf.DUMMYFUNCTION("GOOGLETRANSLATE(C90,""it"",""en"")"),"A. Unlimited B. 2 C. 5 D. 3")</f>
        <v>A. Unlimited B. 2 C. 5 D. 3</v>
      </c>
      <c r="J90" s="10" t="str">
        <f>IFERROR(__xludf.DUMMYFUNCTION("GOOGLETRANSLATE(D90,""it"",""en"")"),"Unlimited")</f>
        <v>Unlimited</v>
      </c>
      <c r="K90" s="10" t="str">
        <f>IFERROR(__xludf.DUMMYFUNCTION("GOOGLETRANSLATE(E90,""it"",""en"")"),"Substitutions are unlimited during a match.")</f>
        <v>Substitutions are unlimited during a match.</v>
      </c>
    </row>
    <row r="91" ht="22.5" customHeight="1">
      <c r="A91" s="4">
        <v>100.0</v>
      </c>
      <c r="B91" s="5" t="s">
        <v>3686</v>
      </c>
      <c r="C91" s="4" t="s">
        <v>3687</v>
      </c>
      <c r="D91" s="5" t="s">
        <v>3688</v>
      </c>
      <c r="E91" s="5" t="s">
        <v>3689</v>
      </c>
      <c r="F91" s="15"/>
      <c r="G91" s="4">
        <v>100.0</v>
      </c>
      <c r="H91" s="10" t="str">
        <f>IFERROR(__xludf.DUMMYFUNCTION("GOOGLETRANSLATE(B91,""it"",""en"")"),"What happens if a player leaves the area during an attack?")</f>
        <v>What happens if a player leaves the area during an attack?</v>
      </c>
      <c r="I91" s="10" t="str">
        <f>IFERROR(__xludf.DUMMYFUNCTION("GOOGLETRANSLATE(C91,""it"",""en"")"),"A. Nothing happens B. A foul is called C. The game is stopped D. A penalty is awarded")</f>
        <v>A. Nothing happens B. A foul is called C. The game is stopped D. A penalty is awarded</v>
      </c>
      <c r="J91" s="10" t="str">
        <f>IFERROR(__xludf.DUMMYFUNCTION("GOOGLETRANSLATE(D91,""it"",""en"")"),"A foul is called")</f>
        <v>A foul is called</v>
      </c>
      <c r="K91" s="10" t="str">
        <f>IFERROR(__xludf.DUMMYFUNCTION("GOOGLETRANSLATE(E91,""it"",""en"")"),"The player cannot leave the attacking area.")</f>
        <v>The player cannot leave the attacking area.</v>
      </c>
    </row>
    <row r="92" ht="22.5" customHeight="1">
      <c r="A92" s="4">
        <v>101.0</v>
      </c>
      <c r="B92" s="5" t="s">
        <v>3690</v>
      </c>
      <c r="C92" s="4" t="s">
        <v>3691</v>
      </c>
      <c r="D92" s="5" t="s">
        <v>3692</v>
      </c>
      <c r="E92" s="5" t="s">
        <v>3693</v>
      </c>
      <c r="F92" s="15"/>
      <c r="G92" s="4">
        <v>101.0</v>
      </c>
      <c r="H92" s="10" t="str">
        <f>IFERROR(__xludf.DUMMYFUNCTION("GOOGLETRANSLATE(B92,""it"",""en"")"),"When should a goalkeeper make a throw?")</f>
        <v>When should a goalkeeper make a throw?</v>
      </c>
      <c r="I92" s="10" t="str">
        <f>IFERROR(__xludf.DUMMYFUNCTION("GOOGLETRANSLATE(C92,""it"",""en"")"),"A. When the ball leaves his penalty area B. When play is stopped C. When the referee orders it D. When the goalkeeper has the ball in his hand")</f>
        <v>A. When the ball leaves his penalty area B. When play is stopped C. When the referee orders it D. When the goalkeeper has the ball in his hand</v>
      </c>
      <c r="J92" s="10" t="str">
        <f>IFERROR(__xludf.DUMMYFUNCTION("GOOGLETRANSLATE(D92,""it"",""en"")"),"When the ball goes out of his area")</f>
        <v>When the ball goes out of his area</v>
      </c>
      <c r="K92" s="10" t="str">
        <f>IFERROR(__xludf.DUMMYFUNCTION("GOOGLETRANSLATE(E92,""it"",""en"")"),"The throw-in occurs when the ball leaves the goalkeeper's defensive area.")</f>
        <v>The throw-in occurs when the ball leaves the goalkeeper's defensive area.</v>
      </c>
    </row>
    <row r="93" ht="22.5" customHeight="1">
      <c r="A93" s="4">
        <v>102.0</v>
      </c>
      <c r="B93" s="5" t="s">
        <v>3694</v>
      </c>
      <c r="C93" s="4" t="s">
        <v>106</v>
      </c>
      <c r="D93" s="4">
        <v>2.0</v>
      </c>
      <c r="E93" s="5" t="s">
        <v>3695</v>
      </c>
      <c r="F93" s="15"/>
      <c r="G93" s="4">
        <v>102.0</v>
      </c>
      <c r="H93" s="10" t="str">
        <f>IFERROR(__xludf.DUMMYFUNCTION("GOOGLETRANSLATE(B93,""it"",""en"")"),"How many temporary red cards can a player receive?")</f>
        <v>How many temporary red cards can a player receive?</v>
      </c>
      <c r="I93" s="10" t="str">
        <f>IFERROR(__xludf.DUMMYFUNCTION("GOOGLETRANSLATE(C93,""it"",""en"")"),"A. 1 B. 2 C. 3 D. 4")</f>
        <v>A. 1 B. 2 C. 3 D. 4</v>
      </c>
      <c r="J93" s="10" t="str">
        <f>IFERROR(__xludf.DUMMYFUNCTION("GOOGLETRANSLATE(D93,""it"",""en"")"),"2")</f>
        <v>2</v>
      </c>
      <c r="K93" s="10" t="str">
        <f>IFERROR(__xludf.DUMMYFUNCTION("GOOGLETRANSLATE(E93,""it"",""en"")"),"A player can receive a maximum of 2 temporary red cards during a match.")</f>
        <v>A player can receive a maximum of 2 temporary red cards during a match.</v>
      </c>
    </row>
    <row r="94" ht="22.5" customHeight="1">
      <c r="A94" s="4">
        <v>103.0</v>
      </c>
      <c r="B94" s="5" t="s">
        <v>3696</v>
      </c>
      <c r="C94" s="4" t="s">
        <v>3697</v>
      </c>
      <c r="D94" s="5" t="s">
        <v>3698</v>
      </c>
      <c r="E94" s="5" t="s">
        <v>3699</v>
      </c>
      <c r="F94" s="15"/>
      <c r="G94" s="4">
        <v>103.0</v>
      </c>
      <c r="H94" s="10" t="str">
        <f>IFERROR(__xludf.DUMMYFUNCTION("GOOGLETRANSLATE(B94,""it"",""en"")"),"What happens if a team commits a technical foul?")</f>
        <v>What happens if a team commits a technical foul?</v>
      </c>
      <c r="I94" s="10" t="str">
        <f>IFERROR(__xludf.DUMMYFUNCTION("GOOGLETRANSLATE(C94,""it"",""en"")"),"A. The ball is given to the opposing team B. A penalty is awarded C. The team is sent off D. The game is stopped")</f>
        <v>A. The ball is given to the opposing team B. A penalty is awarded C. The team is sent off D. The game is stopped</v>
      </c>
      <c r="J94" s="10" t="str">
        <f>IFERROR(__xludf.DUMMYFUNCTION("GOOGLETRANSLATE(D94,""it"",""en"")"),"The ball is given to the opposing team")</f>
        <v>The ball is given to the opposing team</v>
      </c>
      <c r="K94" s="10" t="str">
        <f>IFERROR(__xludf.DUMMYFUNCTION("GOOGLETRANSLATE(E94,""it"",""en"")"),"The technical foul leads to a change of possession.")</f>
        <v>The technical foul leads to a change of possession.</v>
      </c>
    </row>
    <row r="95" ht="22.5" customHeight="1">
      <c r="A95" s="4">
        <v>104.0</v>
      </c>
      <c r="B95" s="5" t="s">
        <v>3700</v>
      </c>
      <c r="C95" s="4" t="s">
        <v>3701</v>
      </c>
      <c r="D95" s="5" t="s">
        <v>3702</v>
      </c>
      <c r="E95" s="5" t="s">
        <v>3703</v>
      </c>
      <c r="F95" s="15"/>
      <c r="G95" s="4">
        <v>104.0</v>
      </c>
      <c r="H95" s="10" t="str">
        <f>IFERROR(__xludf.DUMMYFUNCTION("GOOGLETRANSLATE(B95,""it"",""en"")"),"In which area of ​​the pool is the goalkeeper not allowed to touch the ball?")</f>
        <v>In which area of ​​the pool is the goalkeeper not allowed to touch the ball?</v>
      </c>
      <c r="I95" s="10" t="str">
        <f>IFERROR(__xludf.DUMMYFUNCTION("GOOGLETRANSLATE(C95,""it"",""en"")"),"A. Inside the attacking area B. Outside your own area C. Inside the defending area D. In any part of the pool")</f>
        <v>A. Inside the attacking area B. Outside your own area C. Inside the defending area D. In any part of the pool</v>
      </c>
      <c r="J95" s="10" t="str">
        <f>IFERROR(__xludf.DUMMYFUNCTION("GOOGLETRANSLATE(D95,""it"",""en"")"),"Out of your own area")</f>
        <v>Out of your own area</v>
      </c>
      <c r="K95" s="10" t="str">
        <f>IFERROR(__xludf.DUMMYFUNCTION("GOOGLETRANSLATE(E95,""it"",""en"")"),"The goalkeeper cannot touch the ball outside his penalty area.")</f>
        <v>The goalkeeper cannot touch the ball outside his penalty area.</v>
      </c>
    </row>
    <row r="96" ht="22.5" customHeight="1">
      <c r="A96" s="4">
        <v>105.0</v>
      </c>
      <c r="B96" s="5" t="s">
        <v>3704</v>
      </c>
      <c r="C96" s="4" t="s">
        <v>3705</v>
      </c>
      <c r="D96" s="5" t="s">
        <v>3706</v>
      </c>
      <c r="E96" s="5" t="s">
        <v>3707</v>
      </c>
      <c r="F96" s="15"/>
      <c r="G96" s="4">
        <v>105.0</v>
      </c>
      <c r="H96" s="10" t="str">
        <f>IFERROR(__xludf.DUMMYFUNCTION("GOOGLETRANSLATE(B96,""it"",""en"")"),"How long does a water polo game last?")</f>
        <v>How long does a water polo game last?</v>
      </c>
      <c r="I96" s="10" t="str">
        <f>IFERROR(__xludf.DUMMYFUNCTION("GOOGLETRANSLATE(C96,""it"",""en"")"),"A. 60 minutes B. 80 minutes C. 90 minutes D. 70 minutes")</f>
        <v>A. 60 minutes B. 80 minutes C. 90 minutes D. 70 minutes</v>
      </c>
      <c r="J96" s="10" t="str">
        <f>IFERROR(__xludf.DUMMYFUNCTION("GOOGLETRANSLATE(D96,""it"",""en"")"),"60 minutes")</f>
        <v>60 minutes</v>
      </c>
      <c r="K96" s="10" t="str">
        <f>IFERROR(__xludf.DUMMYFUNCTION("GOOGLETRANSLATE(E96,""it"",""en"")"),"A water polo match lasts 60 minutes divided into 4 periods.")</f>
        <v>A water polo match lasts 60 minutes divided into 4 periods.</v>
      </c>
    </row>
    <row r="97" ht="22.5" customHeight="1">
      <c r="A97" s="4">
        <v>106.0</v>
      </c>
      <c r="B97" s="5" t="s">
        <v>3708</v>
      </c>
      <c r="C97" s="4" t="s">
        <v>3709</v>
      </c>
      <c r="D97" s="5" t="s">
        <v>3710</v>
      </c>
      <c r="E97" s="5" t="s">
        <v>3711</v>
      </c>
      <c r="F97" s="15"/>
      <c r="G97" s="4">
        <v>106.0</v>
      </c>
      <c r="H97" s="10" t="str">
        <f>IFERROR(__xludf.DUMMYFUNCTION("GOOGLETRANSLATE(B97,""it"",""en"")"),"What happens if the goalkeeper passes a pass to his teammate?")</f>
        <v>What happens if the goalkeeper passes a pass to his teammate?</v>
      </c>
      <c r="I97" s="10" t="str">
        <f>IFERROR(__xludf.DUMMYFUNCTION("GOOGLETRANSLATE(C97,""it"",""en"")"),"A. The game continues B. The ball passes to the opposing team C. The team is fouled D. The goalkeeper is cautioned")</f>
        <v>A. The game continues B. The ball passes to the opposing team C. The team is fouled D. The goalkeeper is cautioned</v>
      </c>
      <c r="J97" s="10" t="str">
        <f>IFERROR(__xludf.DUMMYFUNCTION("GOOGLETRANSLATE(D97,""it"",""en"")"),"The game continues")</f>
        <v>The game continues</v>
      </c>
      <c r="K97" s="10" t="str">
        <f>IFERROR(__xludf.DUMMYFUNCTION("GOOGLETRANSLATE(E97,""it"",""en"")"),"The goalkeeper's pass to his teammate is a normal part of the game.")</f>
        <v>The goalkeeper's pass to his teammate is a normal part of the game.</v>
      </c>
    </row>
    <row r="98" ht="22.5" customHeight="1">
      <c r="A98" s="4">
        <v>107.0</v>
      </c>
      <c r="B98" s="5" t="s">
        <v>3712</v>
      </c>
      <c r="C98" s="4" t="s">
        <v>3713</v>
      </c>
      <c r="D98" s="5" t="s">
        <v>3714</v>
      </c>
      <c r="E98" s="5" t="s">
        <v>3715</v>
      </c>
      <c r="F98" s="15"/>
      <c r="G98" s="4">
        <v>107.0</v>
      </c>
      <c r="H98" s="10" t="str">
        <f>IFERROR(__xludf.DUMMYFUNCTION("GOOGLETRANSLATE(B98,""it"",""en"")"),"When is a role change allowed during the game?")</f>
        <v>When is a role change allowed during the game?</v>
      </c>
      <c r="I98" s="10" t="str">
        <f>IFERROR(__xludf.DUMMYFUNCTION("GOOGLETRANSLATE(C98,""it"",""en"")"),"A. When the game is stopped B. When the referee allows it C. When the team is attacking D. When a player is sent off")</f>
        <v>A. When the game is stopped B. When the referee allows it C. When the team is attacking D. When a player is sent off</v>
      </c>
      <c r="J98" s="10" t="str">
        <f>IFERROR(__xludf.DUMMYFUNCTION("GOOGLETRANSLATE(D98,""it"",""en"")"),"When the game is stopped")</f>
        <v>When the game is stopped</v>
      </c>
      <c r="K98" s="10" t="str">
        <f>IFERROR(__xludf.DUMMYFUNCTION("GOOGLETRANSLATE(E98,""it"",""en"")"),"Role switching is only permitted during breaks.")</f>
        <v>Role switching is only permitted during breaks.</v>
      </c>
    </row>
    <row r="99" ht="22.5" customHeight="1">
      <c r="A99" s="4">
        <v>108.0</v>
      </c>
      <c r="B99" s="5" t="s">
        <v>3716</v>
      </c>
      <c r="C99" s="4" t="s">
        <v>3717</v>
      </c>
      <c r="D99" s="5" t="s">
        <v>3718</v>
      </c>
      <c r="E99" s="5" t="s">
        <v>3719</v>
      </c>
      <c r="F99" s="15"/>
      <c r="G99" s="4">
        <v>108.0</v>
      </c>
      <c r="H99" s="10" t="str">
        <f>IFERROR(__xludf.DUMMYFUNCTION("GOOGLETRANSLATE(B99,""it"",""en"")"),"What must a player do to score a valid goal?")</f>
        <v>What must a player do to score a valid goal?</v>
      </c>
      <c r="I99" s="10" t="str">
        <f>IFERROR(__xludf.DUMMYFUNCTION("GOOGLETRANSLATE(C99,""it"",""en"")"),"A. Shooting inside the goalkeeper's area B. Shooting outside the area C. Heading the ball D. Shooting over the goal line")</f>
        <v>A. Shooting inside the goalkeeper's area B. Shooting outside the area C. Heading the ball D. Shooting over the goal line</v>
      </c>
      <c r="J99" s="10" t="str">
        <f>IFERROR(__xludf.DUMMYFUNCTION("GOOGLETRANSLATE(D99,""it"",""en"")"),"Shooting over the goal line")</f>
        <v>Shooting over the goal line</v>
      </c>
      <c r="K99" s="10" t="str">
        <f>IFERROR(__xludf.DUMMYFUNCTION("GOOGLETRANSLATE(E99,""it"",""en"")"),"A goal is scored if the ball completely crosses the goal line.")</f>
        <v>A goal is scored if the ball completely crosses the goal line.</v>
      </c>
    </row>
    <row r="100" ht="22.5" customHeight="1">
      <c r="A100" s="4">
        <v>110.0</v>
      </c>
      <c r="B100" s="5" t="s">
        <v>3720</v>
      </c>
      <c r="C100" s="4" t="s">
        <v>3721</v>
      </c>
      <c r="D100" s="4">
        <v>2.0</v>
      </c>
      <c r="E100" s="5" t="s">
        <v>3722</v>
      </c>
      <c r="F100" s="15"/>
      <c r="G100" s="4">
        <v>110.0</v>
      </c>
      <c r="H100" s="10" t="str">
        <f>IFERROR(__xludf.DUMMYFUNCTION("GOOGLETRANSLATE(B100,""it"",""en"")"),"How many referees are there during a water polo game?")</f>
        <v>How many referees are there during a water polo game?</v>
      </c>
      <c r="I100" s="10" t="str">
        <f>IFERROR(__xludf.DUMMYFUNCTION("GOOGLETRANSLATE(C100,""it"",""en"")"),"A. 2 B. 3 C. 4 D. 5")</f>
        <v>A. 2 B. 3 C. 4 D. 5</v>
      </c>
      <c r="J100" s="10" t="str">
        <f>IFERROR(__xludf.DUMMYFUNCTION("GOOGLETRANSLATE(D100,""it"",""en"")"),"2")</f>
        <v>2</v>
      </c>
      <c r="K100" s="10" t="str">
        <f>IFERROR(__xludf.DUMMYFUNCTION("GOOGLETRANSLATE(E100,""it"",""en"")"),"Each match is controlled by 2 referees.")</f>
        <v>Each match is controlled by 2 referees.</v>
      </c>
    </row>
    <row r="101" ht="22.5" customHeight="1">
      <c r="A101" s="4">
        <v>111.0</v>
      </c>
      <c r="B101" s="5" t="s">
        <v>3723</v>
      </c>
      <c r="C101" s="4" t="s">
        <v>3724</v>
      </c>
      <c r="D101" s="5" t="s">
        <v>3725</v>
      </c>
      <c r="E101" s="5" t="s">
        <v>3726</v>
      </c>
      <c r="F101" s="15"/>
      <c r="G101" s="4">
        <v>111.0</v>
      </c>
      <c r="H101" s="10" t="str">
        <f>IFERROR(__xludf.DUMMYFUNCTION("GOOGLETRANSLATE(B101,""it"",""en"")"),"What type of pass is prohibited in a water polo game?")</f>
        <v>What type of pass is prohibited in a water polo game?</v>
      </c>
      <c r="I101" s="10" t="str">
        <f>IFERROR(__xludf.DUMMYFUNCTION("GOOGLETRANSLATE(C101,""it"",""en"")"),"A. Two-handed pass B. One-handed pass C. Underwater pass D. Pass towards the opponent's goal")</f>
        <v>A. Two-handed pass B. One-handed pass C. Underwater pass D. Pass towards the opponent's goal</v>
      </c>
      <c r="J101" s="10" t="str">
        <f>IFERROR(__xludf.DUMMYFUNCTION("GOOGLETRANSLATE(D101,""it"",""en"")"),"Two-handed pass")</f>
        <v>Two-handed pass</v>
      </c>
      <c r="K101" s="10" t="str">
        <f>IFERROR(__xludf.DUMMYFUNCTION("GOOGLETRANSLATE(E101,""it"",""en"")"),"It is forbidden to make passes with both hands at the same time.")</f>
        <v>It is forbidden to make passes with both hands at the same time.</v>
      </c>
    </row>
    <row r="102" ht="22.5" customHeight="1">
      <c r="A102" s="4">
        <v>112.0</v>
      </c>
      <c r="B102" s="5" t="s">
        <v>3727</v>
      </c>
      <c r="C102" s="4" t="s">
        <v>3728</v>
      </c>
      <c r="D102" s="5" t="s">
        <v>3729</v>
      </c>
      <c r="E102" s="5" t="s">
        <v>3730</v>
      </c>
      <c r="F102" s="15"/>
      <c r="G102" s="4">
        <v>112.0</v>
      </c>
      <c r="H102" s="10" t="str">
        <f>IFERROR(__xludf.DUMMYFUNCTION("GOOGLETRANSLATE(B102,""it"",""en"")"),"What happens when a player commits a foul?")</f>
        <v>What happens when a player commits a foul?</v>
      </c>
      <c r="I102" s="10" t="str">
        <f>IFERROR(__xludf.DUMMYFUNCTION("GOOGLETRANSLATE(C102,""it"",""en"")"),"A. The team receives a temporary expulsion B. The team loses possession of the ball C. A penalty is awarded D. The game stops")</f>
        <v>A. The team receives a temporary expulsion B. The team loses possession of the ball C. A penalty is awarded D. The game stops</v>
      </c>
      <c r="J102" s="10" t="str">
        <f>IFERROR(__xludf.DUMMYFUNCTION("GOOGLETRANSLATE(D102,""it"",""en"")"),"The team loses possession of the ball")</f>
        <v>The team loses possession of the ball</v>
      </c>
      <c r="K102" s="10" t="str">
        <f>IFERROR(__xludf.DUMMYFUNCTION("GOOGLETRANSLATE(E102,""it"",""en"")"),"A foul on the ball results in a change of possession.")</f>
        <v>A foul on the ball results in a change of possession.</v>
      </c>
    </row>
    <row r="103" ht="22.5" customHeight="1">
      <c r="A103" s="4">
        <v>113.0</v>
      </c>
      <c r="B103" s="5" t="s">
        <v>3731</v>
      </c>
      <c r="C103" s="4" t="s">
        <v>3732</v>
      </c>
      <c r="D103" s="5" t="s">
        <v>3454</v>
      </c>
      <c r="E103" s="5" t="s">
        <v>3733</v>
      </c>
      <c r="F103" s="15"/>
      <c r="G103" s="4">
        <v>113.0</v>
      </c>
      <c r="H103" s="10" t="str">
        <f>IFERROR(__xludf.DUMMYFUNCTION("GOOGLETRANSLATE(B103,""it"",""en"")"),"How long is a break between two halves of play?")</f>
        <v>How long is a break between two halves of play?</v>
      </c>
      <c r="I103" s="10" t="str">
        <f>IFERROR(__xludf.DUMMYFUNCTION("GOOGLETRANSLATE(C103,""it"",""en"")"),"A. 1 minute B. 2 minutes C. 5 minutes D. 10 minutes")</f>
        <v>A. 1 minute B. 2 minutes C. 5 minutes D. 10 minutes</v>
      </c>
      <c r="J103" s="10" t="str">
        <f>IFERROR(__xludf.DUMMYFUNCTION("GOOGLETRANSLATE(D103,""it"",""en"")"),"2 minutes")</f>
        <v>2 minutes</v>
      </c>
      <c r="K103" s="10" t="str">
        <f>IFERROR(__xludf.DUMMYFUNCTION("GOOGLETRANSLATE(E103,""it"",""en"")"),"The break between two halves lasts 2 minutes.")</f>
        <v>The break between two halves lasts 2 minutes.</v>
      </c>
    </row>
    <row r="104" ht="22.5" customHeight="1">
      <c r="A104" s="4">
        <v>114.0</v>
      </c>
      <c r="B104" s="5" t="s">
        <v>3734</v>
      </c>
      <c r="C104" s="4" t="s">
        <v>3735</v>
      </c>
      <c r="D104" s="5" t="s">
        <v>3736</v>
      </c>
      <c r="E104" s="5"/>
      <c r="F104" s="15"/>
      <c r="G104" s="4">
        <v>114.0</v>
      </c>
      <c r="H104" s="10" t="str">
        <f>IFERROR(__xludf.DUMMYFUNCTION("GOOGLETRANSLATE(B104,""it"",""en"")"),"What happens if the defending team commits a foul in the penalty area?")</f>
        <v>What happens if the defending team commits a foul in the penalty area?</v>
      </c>
      <c r="I104" s="10" t="str">
        <f>IFERROR(__xludf.DUMMYFUNCTION("GOOGLETRANSLATE(C104,""it"",""en"")"),"A. The player is temporarily sent off B. The opposing team receives a penalty C. The team loses the ball D. The game stops")</f>
        <v>A. The player is temporarily sent off B. The opposing team receives a penalty C. The team loses the ball D. The game stops</v>
      </c>
      <c r="J104" s="10" t="str">
        <f>IFERROR(__xludf.DUMMYFUNCTION("GOOGLETRANSLATE(D104,""it"",""en"")"),"The opposing team receives a penalty.")</f>
        <v>The opposing team receives a penalty.</v>
      </c>
      <c r="K104" s="10" t="str">
        <f>IFERROR(__xludf.DUMMYFUNCTION("GOOGLETRANSLATE(E104,""it"",""en"")"),"#VALUE!")</f>
        <v>#VALUE!</v>
      </c>
    </row>
    <row r="105" ht="22.5" customHeight="1">
      <c r="A105" s="4">
        <v>115.0</v>
      </c>
      <c r="B105" s="5" t="s">
        <v>3737</v>
      </c>
      <c r="C105" s="4" t="s">
        <v>3738</v>
      </c>
      <c r="D105" s="5" t="s">
        <v>3739</v>
      </c>
      <c r="E105" s="5" t="s">
        <v>3740</v>
      </c>
      <c r="F105" s="15"/>
      <c r="G105" s="4">
        <v>115.0</v>
      </c>
      <c r="H105" s="10" t="str">
        <f>IFERROR(__xludf.DUMMYFUNCTION("GOOGLETRANSLATE(B105,""it"",""en"")"),"When can a player use the ball to make a pass?")</f>
        <v>When can a player use the ball to make a pass?</v>
      </c>
      <c r="I105" s="10" t="str">
        <f>IFERROR(__xludf.DUMMYFUNCTION("GOOGLETRANSLATE(C105,""it"",""en"")"),"A. Only when the ball is stationary B. When he is in possession of the ball C. When he is out of the water D. When the ball is above the surface")</f>
        <v>A. Only when the ball is stationary B. When he is in possession of the ball C. When he is out of the water D. When the ball is above the surface</v>
      </c>
      <c r="J105" s="10" t="str">
        <f>IFERROR(__xludf.DUMMYFUNCTION("GOOGLETRANSLATE(D105,""it"",""en"")"),"When he is in possession of the ball")</f>
        <v>When he is in possession of the ball</v>
      </c>
      <c r="K105" s="10" t="str">
        <f>IFERROR(__xludf.DUMMYFUNCTION("GOOGLETRANSLATE(E105,""it"",""en"")"),"A pass can only be made when the player has possession of the ball.")</f>
        <v>A pass can only be made when the player has possession of the ball.</v>
      </c>
    </row>
    <row r="106" ht="22.5" customHeight="1">
      <c r="A106" s="4">
        <v>116.0</v>
      </c>
      <c r="B106" s="5" t="s">
        <v>3741</v>
      </c>
      <c r="C106" s="4" t="s">
        <v>3742</v>
      </c>
      <c r="D106" s="5" t="s">
        <v>3743</v>
      </c>
      <c r="E106" s="5" t="s">
        <v>3744</v>
      </c>
      <c r="F106" s="15"/>
      <c r="G106" s="4">
        <v>116.0</v>
      </c>
      <c r="H106" s="10" t="str">
        <f>IFERROR(__xludf.DUMMYFUNCTION("GOOGLETRANSLATE(B106,""it"",""en"")"),"What should a goalkeeper do when the opposing team scores a goal?")</f>
        <v>What should a goalkeeper do when the opposing team scores a goal?</v>
      </c>
      <c r="I106" s="10" t="str">
        <f>IFERROR(__xludf.DUMMYFUNCTION("GOOGLETRANSLATE(C106,""it"",""en"")"),"A. Resume play from your own area B. Request a time-out C. Award a new penalty D. Start with the throw-in")</f>
        <v>A. Resume play from your own area B. Request a time-out C. Award a new penalty D. Start with the throw-in</v>
      </c>
      <c r="J106" s="10" t="str">
        <f>IFERROR(__xludf.DUMMYFUNCTION("GOOGLETRANSLATE(D106,""it"",""en"")"),"Resume play from your own area")</f>
        <v>Resume play from your own area</v>
      </c>
      <c r="K106" s="10" t="str">
        <f>IFERROR(__xludf.DUMMYFUNCTION("GOOGLETRANSLATE(E106,""it"",""en"")"),"The goalkeeper must throw the ball from his side of the pool.")</f>
        <v>The goalkeeper must throw the ball from his side of the pool.</v>
      </c>
    </row>
    <row r="107" ht="22.5" customHeight="1">
      <c r="A107" s="4">
        <v>117.0</v>
      </c>
      <c r="B107" s="5" t="s">
        <v>3745</v>
      </c>
      <c r="C107" s="4" t="s">
        <v>106</v>
      </c>
      <c r="D107" s="4">
        <v>1.0</v>
      </c>
      <c r="E107" s="5" t="s">
        <v>3746</v>
      </c>
      <c r="F107" s="15"/>
      <c r="G107" s="4">
        <v>117.0</v>
      </c>
      <c r="H107" s="10" t="str">
        <f>IFERROR(__xludf.DUMMYFUNCTION("GOOGLETRANSLATE(B107,""it"",""en"")"),"How many red cards can a player receive during a match?")</f>
        <v>How many red cards can a player receive during a match?</v>
      </c>
      <c r="I107" s="10" t="str">
        <f>IFERROR(__xludf.DUMMYFUNCTION("GOOGLETRANSLATE(C107,""it"",""en"")"),"A. 1 B. 2 C. 3 D. 4")</f>
        <v>A. 1 B. 2 C. 3 D. 4</v>
      </c>
      <c r="J107" s="10" t="str">
        <f>IFERROR(__xludf.DUMMYFUNCTION("GOOGLETRANSLATE(D107,""it"",""en"")"),"1")</f>
        <v>1</v>
      </c>
      <c r="K107" s="10" t="str">
        <f>IFERROR(__xludf.DUMMYFUNCTION("GOOGLETRANSLATE(E107,""it"",""en"")"),"A player can receive a permanent red card only once in a match.")</f>
        <v>A player can receive a permanent red card only once in a match.</v>
      </c>
    </row>
    <row r="108" ht="22.5" customHeight="1">
      <c r="A108" s="4">
        <v>118.0</v>
      </c>
      <c r="B108" s="5" t="s">
        <v>3747</v>
      </c>
      <c r="C108" s="4" t="s">
        <v>3748</v>
      </c>
      <c r="D108" s="5" t="s">
        <v>3566</v>
      </c>
      <c r="E108" s="5" t="s">
        <v>3749</v>
      </c>
      <c r="F108" s="15"/>
      <c r="G108" s="4">
        <v>118.0</v>
      </c>
      <c r="H108" s="10" t="str">
        <f>IFERROR(__xludf.DUMMYFUNCTION("GOOGLETRANSLATE(B108,""it"",""en"")"),"What happens if a player intentionally hits an opponent?")</f>
        <v>What happens if a player intentionally hits an opponent?</v>
      </c>
      <c r="I108" s="10" t="str">
        <f>IFERROR(__xludf.DUMMYFUNCTION("GOOGLETRANSLATE(C108,""it"",""en"")"),"A. He is cautioned B. The game continues C. He is sent off D. The opposing team gets a penalty")</f>
        <v>A. He is cautioned B. The game continues C. He is sent off D. The opposing team gets a penalty</v>
      </c>
      <c r="J108" s="10" t="str">
        <f>IFERROR(__xludf.DUMMYFUNCTION("GOOGLETRANSLATE(D108,""it"",""en"")"),"He is expelled")</f>
        <v>He is expelled</v>
      </c>
      <c r="K108" s="10" t="str">
        <f>IFERROR(__xludf.DUMMYFUNCTION("GOOGLETRANSLATE(E108,""it"",""en"")"),"Intentionally hitting an opponent will result in the player being ejected.")</f>
        <v>Intentionally hitting an opponent will result in the player being ejected.</v>
      </c>
    </row>
    <row r="109" ht="22.5" customHeight="1">
      <c r="A109" s="4">
        <v>119.0</v>
      </c>
      <c r="B109" s="5" t="s">
        <v>3750</v>
      </c>
      <c r="C109" s="4" t="s">
        <v>3636</v>
      </c>
      <c r="D109" s="5" t="s">
        <v>3542</v>
      </c>
      <c r="E109" s="5" t="s">
        <v>3751</v>
      </c>
      <c r="F109" s="15"/>
      <c r="G109" s="4">
        <v>119.0</v>
      </c>
      <c r="H109" s="10" t="str">
        <f>IFERROR(__xludf.DUMMYFUNCTION("GOOGLETRANSLATE(B109,""it"",""en"")"),"How long must pass before a player can enter the water after a substitution?")</f>
        <v>How long must pass before a player can enter the water after a substitution?</v>
      </c>
      <c r="I109" s="10" t="str">
        <f>IFERROR(__xludf.DUMMYFUNCTION("GOOGLETRANSLATE(C109,""it"",""en"")"),"A. 5 seconds B. 10 seconds C. 15 seconds D. 30 seconds")</f>
        <v>A. 5 seconds B. 10 seconds C. 15 seconds D. 30 seconds</v>
      </c>
      <c r="J109" s="10" t="str">
        <f>IFERROR(__xludf.DUMMYFUNCTION("GOOGLETRANSLATE(D109,""it"",""en"")"),"5 seconds")</f>
        <v>5 seconds</v>
      </c>
      <c r="K109" s="10" t="str">
        <f>IFERROR(__xludf.DUMMYFUNCTION("GOOGLETRANSLATE(E109,""it"",""en"")"),"A player may enter the water within 5 seconds of being substituted.")</f>
        <v>A player may enter the water within 5 seconds of being substituted.</v>
      </c>
    </row>
    <row r="110" ht="22.5" customHeight="1">
      <c r="A110" s="4">
        <v>120.0</v>
      </c>
      <c r="B110" s="5" t="s">
        <v>3752</v>
      </c>
      <c r="C110" s="4" t="s">
        <v>3753</v>
      </c>
      <c r="D110" s="5" t="s">
        <v>3754</v>
      </c>
      <c r="E110" s="5" t="s">
        <v>3755</v>
      </c>
      <c r="F110" s="15"/>
      <c r="G110" s="4">
        <v>120.0</v>
      </c>
      <c r="H110" s="10" t="str">
        <f>IFERROR(__xludf.DUMMYFUNCTION("GOOGLETRANSLATE(B110,""it"",""en"")"),"What happens if the goalkeeper leaves his penalty area during an attacking move?")</f>
        <v>What happens if the goalkeeper leaves his penalty area during an attacking move?</v>
      </c>
      <c r="I110" s="10" t="str">
        <f>IFERROR(__xludf.DUMMYFUNCTION("GOOGLETRANSLATE(C110,""it"",""en"")"),"A. He is cautioned B. The game continues C. He is sent off D. A foul is called")</f>
        <v>A. He is cautioned B. The game continues C. He is sent off D. A foul is called</v>
      </c>
      <c r="J110" s="10" t="str">
        <f>IFERROR(__xludf.DUMMYFUNCTION("GOOGLETRANSLATE(D110,""it"",""en"")"),"He is warned")</f>
        <v>He is warned</v>
      </c>
      <c r="K110" s="10" t="str">
        <f>IFERROR(__xludf.DUMMYFUNCTION("GOOGLETRANSLATE(E110,""it"",""en"")"),"The goalkeeper is subject to a caution if he leaves his penalty area during an attack.")</f>
        <v>The goalkeeper is subject to a caution if he leaves his penalty area during an attack.</v>
      </c>
    </row>
    <row r="111" ht="22.5" customHeight="1">
      <c r="A111" s="4">
        <v>121.0</v>
      </c>
      <c r="B111" s="5" t="s">
        <v>3756</v>
      </c>
      <c r="C111" s="4" t="s">
        <v>3757</v>
      </c>
      <c r="D111" s="5" t="s">
        <v>3758</v>
      </c>
      <c r="E111" s="5" t="s">
        <v>3759</v>
      </c>
      <c r="F111" s="15"/>
      <c r="G111" s="4">
        <v>121.0</v>
      </c>
      <c r="H111" s="10" t="str">
        <f>IFERROR(__xludf.DUMMYFUNCTION("GOOGLETRANSLATE(B111,""it"",""en"")"),"What happens if a player commits a foul while shooting on goal?")</f>
        <v>What happens if a player commits a foul while shooting on goal?</v>
      </c>
      <c r="I111" s="10" t="str">
        <f>IFERROR(__xludf.DUMMYFUNCTION("GOOGLETRANSLATE(C111,""it"",""en"")"),"A. The shot is disallowed B. The player is sent off C. The opposing team gets a penalty D. The team gets a throw-in")</f>
        <v>A. The shot is disallowed B. The player is sent off C. The opposing team gets a penalty D. The team gets a throw-in</v>
      </c>
      <c r="J111" s="10" t="str">
        <f>IFERROR(__xludf.DUMMYFUNCTION("GOOGLETRANSLATE(D111,""it"",""en"")"),"The opposing team gets a penalty")</f>
        <v>The opposing team gets a penalty</v>
      </c>
      <c r="K111" s="10" t="str">
        <f>IFERROR(__xludf.DUMMYFUNCTION("GOOGLETRANSLATE(E111,""it"",""en"")"),"A foul during a shot on goal results in a penalty.")</f>
        <v>A foul during a shot on goal results in a penalty.</v>
      </c>
    </row>
    <row r="112" ht="22.5" customHeight="1">
      <c r="A112" s="4">
        <v>122.0</v>
      </c>
      <c r="B112" s="5" t="s">
        <v>3760</v>
      </c>
      <c r="C112" s="4" t="s">
        <v>3761</v>
      </c>
      <c r="D112" s="5" t="s">
        <v>3438</v>
      </c>
      <c r="E112" s="5" t="s">
        <v>3762</v>
      </c>
      <c r="F112" s="15"/>
      <c r="G112" s="4">
        <v>122.0</v>
      </c>
      <c r="H112" s="10" t="str">
        <f>IFERROR(__xludf.DUMMYFUNCTION("GOOGLETRANSLATE(B112,""it"",""en"")"),"What happens if a goalkeeper touches the ball with his hand outside his penalty area?")</f>
        <v>What happens if a goalkeeper touches the ball with his hand outside his penalty area?</v>
      </c>
      <c r="I112" s="10" t="str">
        <f>IFERROR(__xludf.DUMMYFUNCTION("GOOGLETRANSLATE(C112,""it"",""en"")"),"A. A penalty is awarded B. The game is stopped C. The goalkeeper is cautioned D. The team loses possession")</f>
        <v>A. A penalty is awarded B. The game is stopped C. The goalkeeper is cautioned D. The team loses possession</v>
      </c>
      <c r="J112" s="10" t="str">
        <f>IFERROR(__xludf.DUMMYFUNCTION("GOOGLETRANSLATE(D112,""it"",""en"")"),"A penalty is awarded")</f>
        <v>A penalty is awarded</v>
      </c>
      <c r="K112" s="10" t="str">
        <f>IFERROR(__xludf.DUMMYFUNCTION("GOOGLETRANSLATE(E112,""it"",""en"")"),"The goalkeeper cannot touch the ball outside his own penalty area.")</f>
        <v>The goalkeeper cannot touch the ball outside his own penalty area.</v>
      </c>
    </row>
    <row r="113" ht="22.5" customHeight="1">
      <c r="A113" s="4">
        <v>123.0</v>
      </c>
      <c r="B113" s="5" t="s">
        <v>3763</v>
      </c>
      <c r="C113" s="4" t="s">
        <v>923</v>
      </c>
      <c r="D113" s="5" t="s">
        <v>3542</v>
      </c>
      <c r="E113" s="5" t="s">
        <v>3764</v>
      </c>
      <c r="F113" s="15"/>
      <c r="G113" s="4">
        <v>123.0</v>
      </c>
      <c r="H113" s="10" t="str">
        <f>IFERROR(__xludf.DUMMYFUNCTION("GOOGLETRANSLATE(B113,""it"",""en"")"),"How long does a team have to get the ball rolling after a foul?")</f>
        <v>How long does a team have to get the ball rolling after a foul?</v>
      </c>
      <c r="I113" s="10" t="str">
        <f>IFERROR(__xludf.DUMMYFUNCTION("GOOGLETRANSLATE(C113,""it"",""en"")"),"A. 5 seconds B. 10 seconds C. 15 seconds D. 20 seconds")</f>
        <v>A. 5 seconds B. 10 seconds C. 15 seconds D. 20 seconds</v>
      </c>
      <c r="J113" s="10" t="str">
        <f>IFERROR(__xludf.DUMMYFUNCTION("GOOGLETRANSLATE(D113,""it"",""en"")"),"5 seconds")</f>
        <v>5 seconds</v>
      </c>
      <c r="K113" s="10" t="str">
        <f>IFERROR(__xludf.DUMMYFUNCTION("GOOGLETRANSLATE(E113,""it"",""en"")"),"A team has 5 seconds to start the play after a foul.")</f>
        <v>A team has 5 seconds to start the play after a foul.</v>
      </c>
    </row>
    <row r="114" ht="22.5" customHeight="1">
      <c r="A114" s="4">
        <v>125.0</v>
      </c>
      <c r="B114" s="5" t="s">
        <v>3765</v>
      </c>
      <c r="C114" s="4" t="s">
        <v>3766</v>
      </c>
      <c r="D114" s="5" t="s">
        <v>3613</v>
      </c>
      <c r="E114" s="5" t="s">
        <v>3767</v>
      </c>
      <c r="F114" s="15"/>
      <c r="G114" s="4">
        <v>125.0</v>
      </c>
      <c r="H114" s="10" t="str">
        <f>IFERROR(__xludf.DUMMYFUNCTION("GOOGLETRANSLATE(B114,""it"",""en"")"),"What happens if a player commits an offensive foul?")</f>
        <v>What happens if a player commits an offensive foul?</v>
      </c>
      <c r="I114" s="10" t="str">
        <f>IFERROR(__xludf.DUMMYFUNCTION("GOOGLETRANSLATE(C114,""it"",""en"")"),"A. The ball goes to the opposing team B. The player is temporarily suspended C. The team receives a penalty D. The team earns a penalty")</f>
        <v>A. The ball goes to the opposing team B. The player is temporarily suspended C. The team receives a penalty D. The team earns a penalty</v>
      </c>
      <c r="J114" s="10" t="str">
        <f>IFERROR(__xludf.DUMMYFUNCTION("GOOGLETRANSLATE(D114,""it"",""en"")"),"The ball passes to the opposing team")</f>
        <v>The ball passes to the opposing team</v>
      </c>
      <c r="K114" s="10" t="str">
        <f>IFERROR(__xludf.DUMMYFUNCTION("GOOGLETRANSLATE(E114,""it"",""en"")"),"An offensive foul results in a change of possession.")</f>
        <v>An offensive foul results in a change of possession.</v>
      </c>
    </row>
    <row r="115" ht="22.5" customHeight="1">
      <c r="A115" s="4">
        <v>126.0</v>
      </c>
      <c r="B115" s="5" t="s">
        <v>3768</v>
      </c>
      <c r="C115" s="4" t="s">
        <v>3769</v>
      </c>
      <c r="D115" s="5" t="s">
        <v>3770</v>
      </c>
      <c r="E115" s="5" t="s">
        <v>3771</v>
      </c>
      <c r="F115" s="15"/>
      <c r="G115" s="4">
        <v>126.0</v>
      </c>
      <c r="H115" s="10" t="str">
        <f>IFERROR(__xludf.DUMMYFUNCTION("GOOGLETRANSLATE(B115,""it"",""en"")"),"In which part of the pool does the offensive play mainly take place?")</f>
        <v>In which part of the pool does the offensive play mainly take place?</v>
      </c>
      <c r="I115" s="10" t="str">
        <f>IFERROR(__xludf.DUMMYFUNCTION("GOOGLETRANSLATE(C115,""it"",""en"")"),"A. In the goalkeeper's area B. Outside the pool C. In the center of the pool D. In the attacking zone")</f>
        <v>A. In the goalkeeper's area B. Outside the pool C. In the center of the pool D. In the attacking zone</v>
      </c>
      <c r="J115" s="10" t="str">
        <f>IFERROR(__xludf.DUMMYFUNCTION("GOOGLETRANSLATE(D115,""it"",""en"")"),"In the attack zone")</f>
        <v>In the attack zone</v>
      </c>
      <c r="K115" s="10" t="str">
        <f>IFERROR(__xludf.DUMMYFUNCTION("GOOGLETRANSLATE(E115,""it"",""en"")"),"Offensive play takes place mainly in the attacking zone.")</f>
        <v>Offensive play takes place mainly in the attacking zone.</v>
      </c>
    </row>
    <row r="116" ht="22.5" customHeight="1">
      <c r="A116" s="4">
        <v>127.0</v>
      </c>
      <c r="B116" s="5" t="s">
        <v>3772</v>
      </c>
      <c r="C116" s="4" t="s">
        <v>3773</v>
      </c>
      <c r="D116" s="5" t="s">
        <v>3688</v>
      </c>
      <c r="E116" s="5" t="s">
        <v>3774</v>
      </c>
      <c r="F116" s="15"/>
      <c r="G116" s="4">
        <v>127.0</v>
      </c>
      <c r="H116" s="10" t="str">
        <f>IFERROR(__xludf.DUMMYFUNCTION("GOOGLETRANSLATE(B116,""it"",""en"")"),"What happens if a player accidentally hits an opponent?")</f>
        <v>What happens if a player accidentally hits an opponent?</v>
      </c>
      <c r="I116" s="10" t="str">
        <f>IFERROR(__xludf.DUMMYFUNCTION("GOOGLETRANSLATE(C116,""it"",""en"")"),"A. The game continues B. A foul is called C. The player is ejected D. The team earns a penalty")</f>
        <v>A. The game continues B. A foul is called C. The player is ejected D. The team earns a penalty</v>
      </c>
      <c r="J116" s="10" t="str">
        <f>IFERROR(__xludf.DUMMYFUNCTION("GOOGLETRANSLATE(D116,""it"",""en"")"),"A foul is called")</f>
        <v>A foul is called</v>
      </c>
      <c r="K116" s="10" t="str">
        <f>IFERROR(__xludf.DUMMYFUNCTION("GOOGLETRANSLATE(E116,""it"",""en"")"),"The game restarts after a foul.")</f>
        <v>The game restarts after a foul.</v>
      </c>
    </row>
    <row r="117" ht="22.5" customHeight="1">
      <c r="A117" s="4">
        <v>129.0</v>
      </c>
      <c r="B117" s="5" t="s">
        <v>3775</v>
      </c>
      <c r="C117" s="4" t="s">
        <v>3776</v>
      </c>
      <c r="D117" s="5" t="s">
        <v>3729</v>
      </c>
      <c r="E117" s="5" t="s">
        <v>3777</v>
      </c>
      <c r="F117" s="15"/>
      <c r="G117" s="4">
        <v>129.0</v>
      </c>
      <c r="H117" s="10" t="str">
        <f>IFERROR(__xludf.DUMMYFUNCTION("GOOGLETRANSLATE(B117,""it"",""en"")"),"What happens if a player commits a technical foul?")</f>
        <v>What happens if a player commits a technical foul?</v>
      </c>
      <c r="I117" s="10" t="str">
        <f>IFERROR(__xludf.DUMMYFUNCTION("GOOGLETRANSLATE(C117,""it"",""en"")"),"A. A penalty is awarded B. The team loses possession of the ball C. The game is stopped D. A free kick is awarded")</f>
        <v>A. A penalty is awarded B. The team loses possession of the ball C. The game is stopped D. A free kick is awarded</v>
      </c>
      <c r="J117" s="10" t="str">
        <f>IFERROR(__xludf.DUMMYFUNCTION("GOOGLETRANSLATE(D117,""it"",""en"")"),"The team loses possession of the ball")</f>
        <v>The team loses possession of the ball</v>
      </c>
      <c r="K117" s="10" t="str">
        <f>IFERROR(__xludf.DUMMYFUNCTION("GOOGLETRANSLATE(E117,""it"",""en"")"),"A technical foul results in a change of possession.")</f>
        <v>A technical foul results in a change of possession.</v>
      </c>
    </row>
    <row r="118" ht="22.5" customHeight="1">
      <c r="A118" s="4">
        <v>131.0</v>
      </c>
      <c r="B118" s="5" t="s">
        <v>3778</v>
      </c>
      <c r="C118" s="4" t="s">
        <v>3779</v>
      </c>
      <c r="D118" s="5" t="s">
        <v>3652</v>
      </c>
      <c r="E118" s="5" t="s">
        <v>3780</v>
      </c>
      <c r="F118" s="15"/>
      <c r="G118" s="4">
        <v>131.0</v>
      </c>
      <c r="H118" s="10" t="str">
        <f>IFERROR(__xludf.DUMMYFUNCTION("GOOGLETRANSLATE(B118,""it"",""en"")"),"How long is a timeout during a water polo game?")</f>
        <v>How long is a timeout during a water polo game?</v>
      </c>
      <c r="I118" s="10" t="str">
        <f>IFERROR(__xludf.DUMMYFUNCTION("GOOGLETRANSLATE(C118,""it"",""en"")"),"A. 1 minute B. 2 minutes C. 3 minutes D. 4 minutes")</f>
        <v>A. 1 minute B. 2 minutes C. 3 minutes D. 4 minutes</v>
      </c>
      <c r="J118" s="10" t="str">
        <f>IFERROR(__xludf.DUMMYFUNCTION("GOOGLETRANSLATE(D118,""it"",""en"")"),"1 minute")</f>
        <v>1 minute</v>
      </c>
      <c r="K118" s="10" t="str">
        <f>IFERROR(__xludf.DUMMYFUNCTION("GOOGLETRANSLATE(E118,""it"",""en"")"),"Each timeout during a game lasts 1 minute.")</f>
        <v>Each timeout during a game lasts 1 minute.</v>
      </c>
    </row>
    <row r="119" ht="22.5" customHeight="1">
      <c r="A119" s="4">
        <v>132.0</v>
      </c>
      <c r="B119" s="5" t="s">
        <v>3781</v>
      </c>
      <c r="C119" s="4" t="s">
        <v>3782</v>
      </c>
      <c r="D119" s="5" t="s">
        <v>3783</v>
      </c>
      <c r="E119" s="5"/>
      <c r="F119" s="15"/>
      <c r="G119" s="4">
        <v>132.0</v>
      </c>
      <c r="H119" s="10" t="str">
        <f>IFERROR(__xludf.DUMMYFUNCTION("GOOGLETRANSLATE(B119,""it"",""en"")"),"When does a temporary expulsion sanction apply?")</f>
        <v>When does a temporary expulsion sanction apply?</v>
      </c>
      <c r="I119" s="10" t="str">
        <f>IFERROR(__xludf.DUMMYFUNCTION("GOOGLETRANSLATE(C119,""it"",""en"")"),"A. When a player commits a serious foul B. When the goalkeeper leaves his penalty area C. When play is stopped D. When a player touches the ball with his feet")</f>
        <v>A. When a player commits a serious foul B. When the goalkeeper leaves his penalty area C. When play is stopped D. When a player touches the ball with his feet</v>
      </c>
      <c r="J119" s="10" t="str">
        <f>IFERROR(__xludf.DUMMYFUNCTION("GOOGLETRANSLATE(D119,""it"",""en"")"),"When a player commits a serious foul.")</f>
        <v>When a player commits a serious foul.</v>
      </c>
      <c r="K119" s="10" t="str">
        <f>IFERROR(__xludf.DUMMYFUNCTION("GOOGLETRANSLATE(E119,""it"",""en"")"),"#VALUE!")</f>
        <v>#VALUE!</v>
      </c>
    </row>
    <row r="120" ht="22.5" customHeight="1">
      <c r="A120" s="4">
        <v>134.0</v>
      </c>
      <c r="B120" s="5" t="s">
        <v>3784</v>
      </c>
      <c r="C120" s="4" t="s">
        <v>3596</v>
      </c>
      <c r="D120" s="5" t="s">
        <v>3446</v>
      </c>
      <c r="E120" s="5" t="s">
        <v>3785</v>
      </c>
      <c r="F120" s="15"/>
      <c r="G120" s="4">
        <v>134.0</v>
      </c>
      <c r="H120" s="10" t="str">
        <f>IFERROR(__xludf.DUMMYFUNCTION("GOOGLETRANSLATE(B120,""it"",""en"")"),"How long does a player's temporary suspension last?")</f>
        <v>How long does a player's temporary suspension last?</v>
      </c>
      <c r="I120" s="10" t="str">
        <f>IFERROR(__xludf.DUMMYFUNCTION("GOOGLETRANSLATE(C120,""it"",""en"")"),"A. 10 seconds B. 20 seconds C. 30 seconds D. 1 minute")</f>
        <v>A. 10 seconds B. 20 seconds C. 30 seconds D. 1 minute</v>
      </c>
      <c r="J120" s="10" t="str">
        <f>IFERROR(__xludf.DUMMYFUNCTION("GOOGLETRANSLATE(D120,""it"",""en"")"),"20 seconds")</f>
        <v>20 seconds</v>
      </c>
      <c r="K120" s="10" t="str">
        <f>IFERROR(__xludf.DUMMYFUNCTION("GOOGLETRANSLATE(E120,""it"",""en"")"),"Temporary ejection lasts 20 seconds.")</f>
        <v>Temporary ejection lasts 20 seconds.</v>
      </c>
    </row>
    <row r="121" ht="22.5" customHeight="1">
      <c r="A121" s="4">
        <v>135.0</v>
      </c>
      <c r="B121" s="5" t="s">
        <v>3786</v>
      </c>
      <c r="C121" s="4" t="s">
        <v>3787</v>
      </c>
      <c r="D121" s="5" t="s">
        <v>3788</v>
      </c>
      <c r="E121" s="5" t="s">
        <v>3789</v>
      </c>
      <c r="F121" s="15"/>
      <c r="G121" s="4">
        <v>135.0</v>
      </c>
      <c r="H121" s="10" t="str">
        <f>IFERROR(__xludf.DUMMYFUNCTION("GOOGLETRANSLATE(B121,""it"",""en"")"),"What happens if a player commits a foul while attacking?")</f>
        <v>What happens if a player commits a foul while attacking?</v>
      </c>
      <c r="I121" s="10" t="str">
        <f>IFERROR(__xludf.DUMMYFUNCTION("GOOGLETRANSLATE(C121,""it"",""en"")"),"A. The player is ejected B. The game continues C. The team earns a penalty D. Possession passes to the opposing team")</f>
        <v>A. The player is ejected B. The game continues C. The team earns a penalty D. Possession passes to the opposing team</v>
      </c>
      <c r="J121" s="10" t="str">
        <f>IFERROR(__xludf.DUMMYFUNCTION("GOOGLETRANSLATE(D121,""it"",""en"")"),"Possession passes to the opposing team")</f>
        <v>Possession passes to the opposing team</v>
      </c>
      <c r="K121" s="10" t="str">
        <f>IFERROR(__xludf.DUMMYFUNCTION("GOOGLETRANSLATE(E121,""it"",""en"")"),"A foul during the attack results in a change of possession.")</f>
        <v>A foul during the attack results in a change of possession.</v>
      </c>
    </row>
    <row r="122" ht="22.5" customHeight="1">
      <c r="A122" s="4">
        <v>136.0</v>
      </c>
      <c r="B122" s="5" t="s">
        <v>3790</v>
      </c>
      <c r="C122" s="4" t="s">
        <v>3791</v>
      </c>
      <c r="D122" s="5" t="s">
        <v>3792</v>
      </c>
      <c r="E122" s="5" t="s">
        <v>3793</v>
      </c>
      <c r="F122" s="15"/>
      <c r="G122" s="4">
        <v>136.0</v>
      </c>
      <c r="H122" s="10" t="str">
        <f>IFERROR(__xludf.DUMMYFUNCTION("GOOGLETRANSLATE(B122,""it"",""en"")"),"When is a goalkeeper change possible?")</f>
        <v>When is a goalkeeper change possible?</v>
      </c>
      <c r="I122" s="10" t="str">
        <f>IFERROR(__xludf.DUMMYFUNCTION("GOOGLETRANSLATE(C122,""it"",""en"")"),"A. Only at the end of the half B. At any time during the game C. Only during the time-out D. When the goalkeeper is ejected")</f>
        <v>A. Only at the end of the half B. At any time during the game C. Only during the time-out D. When the goalkeeper is ejected</v>
      </c>
      <c r="J122" s="10" t="str">
        <f>IFERROR(__xludf.DUMMYFUNCTION("GOOGLETRANSLATE(D122,""it"",""en"")"),"At any time during the game")</f>
        <v>At any time during the game</v>
      </c>
      <c r="K122" s="10" t="str">
        <f>IFERROR(__xludf.DUMMYFUNCTION("GOOGLETRANSLATE(E122,""it"",""en"")"),"The goalkeeper can be changed at any time.")</f>
        <v>The goalkeeper can be changed at any time.</v>
      </c>
    </row>
    <row r="123" ht="22.5" customHeight="1">
      <c r="A123" s="4">
        <v>137.0</v>
      </c>
      <c r="B123" s="5" t="s">
        <v>3598</v>
      </c>
      <c r="C123" s="4" t="s">
        <v>3794</v>
      </c>
      <c r="D123" s="5" t="s">
        <v>3600</v>
      </c>
      <c r="E123" s="5" t="s">
        <v>3795</v>
      </c>
      <c r="F123" s="15"/>
      <c r="G123" s="4">
        <v>137.0</v>
      </c>
      <c r="H123" s="10" t="str">
        <f>IFERROR(__xludf.DUMMYFUNCTION("GOOGLETRANSLATE(B123,""it"",""en"")"),"Who can score a goal in water polo?")</f>
        <v>Who can score a goal in water polo?</v>
      </c>
      <c r="I123" s="10" t="str">
        <f>IFERROR(__xludf.DUMMYFUNCTION("GOOGLETRANSLATE(C123,""it"",""en"")"),"A. The goalkeeper and the defenders B. Only the attackers C. Any field player D. The captain and the goalkeeper")</f>
        <v>A. The goalkeeper and the defenders B. Only the attackers C. Any field player D. The captain and the goalkeeper</v>
      </c>
      <c r="J123" s="10" t="str">
        <f>IFERROR(__xludf.DUMMYFUNCTION("GOOGLETRANSLATE(D123,""it"",""en"")"),"Any outfield player")</f>
        <v>Any outfield player</v>
      </c>
      <c r="K123" s="10" t="str">
        <f>IFERROR(__xludf.DUMMYFUNCTION("GOOGLETRANSLATE(E123,""it"",""en"")"),"Any player on the pitch can score a goal.")</f>
        <v>Any player on the pitch can score a goal.</v>
      </c>
    </row>
    <row r="124" ht="22.5" customHeight="1">
      <c r="A124" s="4">
        <v>138.0</v>
      </c>
      <c r="B124" s="5" t="s">
        <v>3704</v>
      </c>
      <c r="C124" s="4" t="s">
        <v>3796</v>
      </c>
      <c r="D124" s="5" t="s">
        <v>3706</v>
      </c>
      <c r="E124" s="5" t="s">
        <v>3797</v>
      </c>
      <c r="F124" s="15"/>
      <c r="G124" s="4">
        <v>138.0</v>
      </c>
      <c r="H124" s="10" t="str">
        <f>IFERROR(__xludf.DUMMYFUNCTION("GOOGLETRANSLATE(B124,""it"",""en"")"),"How long does a water polo game last?")</f>
        <v>How long does a water polo game last?</v>
      </c>
      <c r="I124" s="10" t="str">
        <f>IFERROR(__xludf.DUMMYFUNCTION("GOOGLETRANSLATE(C124,""it"",""en"")"),"A. 60 minutes B. 70 minutes C. 80 minutes D. 90 minutes")</f>
        <v>A. 60 minutes B. 70 minutes C. 80 minutes D. 90 minutes</v>
      </c>
      <c r="J124" s="10" t="str">
        <f>IFERROR(__xludf.DUMMYFUNCTION("GOOGLETRANSLATE(D124,""it"",""en"")"),"60 minutes")</f>
        <v>60 minutes</v>
      </c>
      <c r="K124" s="10" t="str">
        <f>IFERROR(__xludf.DUMMYFUNCTION("GOOGLETRANSLATE(E124,""it"",""en"")"),"A water polo match is divided into 4 15-minute periods for a total of 60 minutes.")</f>
        <v>A water polo match is divided into 4 15-minute periods for a total of 60 minutes.</v>
      </c>
    </row>
    <row r="125" ht="22.5" customHeight="1">
      <c r="A125" s="4">
        <v>139.0</v>
      </c>
      <c r="B125" s="5" t="s">
        <v>3798</v>
      </c>
      <c r="C125" s="4" t="s">
        <v>3799</v>
      </c>
      <c r="D125" s="5" t="s">
        <v>3800</v>
      </c>
      <c r="E125" s="5"/>
      <c r="F125" s="15"/>
      <c r="G125" s="4">
        <v>139.0</v>
      </c>
      <c r="H125" s="10" t="str">
        <f>IFERROR(__xludf.DUMMYFUNCTION("GOOGLETRANSLATE(B125,""it"",""en"")"),"When is a penalty awarded?")</f>
        <v>When is a penalty awarded?</v>
      </c>
      <c r="I125" s="10" t="str">
        <f>IFERROR(__xludf.DUMMYFUNCTION("GOOGLETRANSLATE(C125,""it"",""en"")"),"A. When a foul is committed in the penalty area B. When a player does not have possession of the ball C. When play is stopped D. When the goalkeeper makes a mistake")</f>
        <v>A. When a foul is committed in the penalty area B. When a player does not have possession of the ball C. When play is stopped D. When the goalkeeper makes a mistake</v>
      </c>
      <c r="J125" s="10" t="str">
        <f>IFERROR(__xludf.DUMMYFUNCTION("GOOGLETRANSLATE(D125,""it"",""en"")"),"When a foul is committed in the penalty area.")</f>
        <v>When a foul is committed in the penalty area.</v>
      </c>
      <c r="K125" s="10" t="str">
        <f>IFERROR(__xludf.DUMMYFUNCTION("GOOGLETRANSLATE(E125,""it"",""en"")"),"#VALUE!")</f>
        <v>#VALUE!</v>
      </c>
    </row>
    <row r="126" ht="22.5" customHeight="1">
      <c r="A126" s="4">
        <v>141.0</v>
      </c>
      <c r="B126" s="5" t="s">
        <v>3801</v>
      </c>
      <c r="C126" s="4" t="s">
        <v>3802</v>
      </c>
      <c r="D126" s="5" t="s">
        <v>3803</v>
      </c>
      <c r="E126" s="5" t="s">
        <v>3804</v>
      </c>
      <c r="F126" s="15"/>
      <c r="G126" s="4">
        <v>141.0</v>
      </c>
      <c r="H126" s="10" t="str">
        <f>IFERROR(__xludf.DUMMYFUNCTION("GOOGLETRANSLATE(B126,""it"",""en"")"),"Who is responsible for keeping time during the game?")</f>
        <v>Who is responsible for keeping time during the game?</v>
      </c>
      <c r="I126" s="10" t="str">
        <f>IFERROR(__xludf.DUMMYFUNCTION("GOOGLETRANSLATE(C126,""it"",""en"")"),"A. The timekeeper B. The referee C. The captain D. The goalkeeper")</f>
        <v>A. The timekeeper B. The referee C. The captain D. The goalkeeper</v>
      </c>
      <c r="J126" s="10" t="str">
        <f>IFERROR(__xludf.DUMMYFUNCTION("GOOGLETRANSLATE(D126,""it"",""en"")"),"The Timekeeper")</f>
        <v>The Timekeeper</v>
      </c>
      <c r="K126" s="10" t="str">
        <f>IFERROR(__xludf.DUMMYFUNCTION("GOOGLETRANSLATE(E126,""it"",""en"")"),"The timekeeper is responsible for controlling the time during the game.")</f>
        <v>The timekeeper is responsible for controlling the time during the game.</v>
      </c>
    </row>
    <row r="127" ht="22.5" customHeight="1">
      <c r="A127" s="4">
        <v>142.0</v>
      </c>
      <c r="B127" s="5" t="s">
        <v>3805</v>
      </c>
      <c r="C127" s="4" t="s">
        <v>3806</v>
      </c>
      <c r="D127" s="5" t="s">
        <v>3807</v>
      </c>
      <c r="E127" s="5" t="s">
        <v>3808</v>
      </c>
      <c r="F127" s="15"/>
      <c r="G127" s="4">
        <v>142.0</v>
      </c>
      <c r="H127" s="10" t="str">
        <f>IFERROR(__xludf.DUMMYFUNCTION("GOOGLETRANSLATE(B127,""it"",""en"")"),"What happens if a player hits the ball with one hand outside his penalty area?")</f>
        <v>What happens if a player hits the ball with one hand outside his penalty area?</v>
      </c>
      <c r="I127" s="10" t="str">
        <f>IFERROR(__xludf.DUMMYFUNCTION("GOOGLETRANSLATE(C127,""it"",""en"")"),"A. He is cautioned B. A penalty is awarded C. The game continues D. The goalkeeper is sent off")</f>
        <v>A. He is cautioned B. A penalty is awarded C. The game continues D. The goalkeeper is sent off</v>
      </c>
      <c r="J127" s="10" t="str">
        <f>IFERROR(__xludf.DUMMYFUNCTION("GOOGLETRANSLATE(D127,""it"",""en"")"),"A penalty is called")</f>
        <v>A penalty is called</v>
      </c>
      <c r="K127" s="10" t="str">
        <f>IFERROR(__xludf.DUMMYFUNCTION("GOOGLETRANSLATE(E127,""it"",""en"")"),"A foul outside the goalkeeper's area results in a penalty being awarded.")</f>
        <v>A foul outside the goalkeeper's area results in a penalty being awarded.</v>
      </c>
    </row>
    <row r="128" ht="22.5" customHeight="1">
      <c r="A128" s="4">
        <v>143.0</v>
      </c>
      <c r="B128" s="5" t="s">
        <v>3809</v>
      </c>
      <c r="C128" s="4" t="s">
        <v>3810</v>
      </c>
      <c r="D128" s="5" t="s">
        <v>3811</v>
      </c>
      <c r="E128" s="5" t="s">
        <v>3812</v>
      </c>
      <c r="F128" s="15"/>
      <c r="G128" s="4">
        <v>143.0</v>
      </c>
      <c r="H128" s="10" t="str">
        <f>IFERROR(__xludf.DUMMYFUNCTION("GOOGLETRANSLATE(B128,""it"",""en"")"),"How long is overtime?")</f>
        <v>How long is overtime?</v>
      </c>
      <c r="I128" s="10" t="str">
        <f>IFERROR(__xludf.DUMMYFUNCTION("GOOGLETRANSLATE(C128,""it"",""en"")"),"A. 5 minutes B. 10 minutes C. 15 minutes D. 20 minutes")</f>
        <v>A. 5 minutes B. 10 minutes C. 15 minutes D. 20 minutes</v>
      </c>
      <c r="J128" s="10" t="str">
        <f>IFERROR(__xludf.DUMMYFUNCTION("GOOGLETRANSLATE(D128,""it"",""en"")"),"5 minutes")</f>
        <v>5 minutes</v>
      </c>
      <c r="K128" s="10" t="str">
        <f>IFERROR(__xludf.DUMMYFUNCTION("GOOGLETRANSLATE(E128,""it"",""en"")"),"Each overtime period lasts 5 minutes.")</f>
        <v>Each overtime period lasts 5 minutes.</v>
      </c>
    </row>
    <row r="129" ht="22.5" customHeight="1">
      <c r="A129" s="4">
        <v>144.0</v>
      </c>
      <c r="B129" s="5" t="s">
        <v>3813</v>
      </c>
      <c r="C129" s="4" t="s">
        <v>3814</v>
      </c>
      <c r="D129" s="5" t="s">
        <v>3815</v>
      </c>
      <c r="E129" s="5" t="s">
        <v>3816</v>
      </c>
      <c r="F129" s="15"/>
      <c r="G129" s="4">
        <v>144.0</v>
      </c>
      <c r="H129" s="10" t="str">
        <f>IFERROR(__xludf.DUMMYFUNCTION("GOOGLETRANSLATE(B129,""it"",""en"")"),"What happens if a player commits a foul during the pass?")</f>
        <v>What happens if a player commits a foul during the pass?</v>
      </c>
      <c r="I129" s="10" t="str">
        <f>IFERROR(__xludf.DUMMYFUNCTION("GOOGLETRANSLATE(C129,""it"",""en"")"),"A. The opposing team gains possession B. The ball is contested C. Play stops D. The player is cautioned")</f>
        <v>A. The opposing team gains possession B. The ball is contested C. Play stops D. The player is cautioned</v>
      </c>
      <c r="J129" s="10" t="str">
        <f>IFERROR(__xludf.DUMMYFUNCTION("GOOGLETRANSLATE(D129,""it"",""en"")"),"The opposing team gains possession")</f>
        <v>The opposing team gains possession</v>
      </c>
      <c r="K129" s="10" t="str">
        <f>IFERROR(__xludf.DUMMYFUNCTION("GOOGLETRANSLATE(E129,""it"",""en"")"),"A foul during the pass results in loss of possession.")</f>
        <v>A foul during the pass results in loss of possession.</v>
      </c>
    </row>
    <row r="130" ht="22.5" customHeight="1">
      <c r="A130" s="4">
        <v>145.0</v>
      </c>
      <c r="B130" s="5" t="s">
        <v>3817</v>
      </c>
      <c r="C130" s="4" t="s">
        <v>3818</v>
      </c>
      <c r="D130" s="5" t="s">
        <v>3819</v>
      </c>
      <c r="E130" s="5"/>
      <c r="F130" s="15"/>
      <c r="G130" s="4">
        <v>145.0</v>
      </c>
      <c r="H130" s="10" t="str">
        <f>IFERROR(__xludf.DUMMYFUNCTION("GOOGLETRANSLATE(B130,""it"",""en"")"),"What happens if a team commits an offensive foul?")</f>
        <v>What happens if a team commits an offensive foul?</v>
      </c>
      <c r="I130" s="10" t="str">
        <f>IFERROR(__xludf.DUMMYFUNCTION("GOOGLETRANSLATE(C130,""it"",""en"")"),"A. Possession passes to the opposing team B. The player is temporarily ejected C. The game stops D. The team receives a penalty")</f>
        <v>A. Possession passes to the opposing team B. The player is temporarily ejected C. The game stops D. The team receives a penalty</v>
      </c>
      <c r="J130" s="10" t="str">
        <f>IFERROR(__xludf.DUMMYFUNCTION("GOOGLETRANSLATE(D130,""it"",""en"")"),"Possession passes to the opposing team.")</f>
        <v>Possession passes to the opposing team.</v>
      </c>
      <c r="K130" s="10" t="str">
        <f>IFERROR(__xludf.DUMMYFUNCTION("GOOGLETRANSLATE(E130,""it"",""en"")"),"#VALUE!")</f>
        <v>#VALUE!</v>
      </c>
    </row>
    <row r="131" ht="22.5" customHeight="1">
      <c r="A131" s="4">
        <v>146.0</v>
      </c>
      <c r="B131" s="5" t="s">
        <v>3820</v>
      </c>
      <c r="C131" s="4" t="s">
        <v>3453</v>
      </c>
      <c r="D131" s="5" t="s">
        <v>3652</v>
      </c>
      <c r="E131" s="5" t="s">
        <v>3653</v>
      </c>
      <c r="F131" s="15"/>
      <c r="G131" s="4">
        <v>146.0</v>
      </c>
      <c r="H131" s="10" t="str">
        <f>IFERROR(__xludf.DUMMYFUNCTION("GOOGLETRANSLATE(B131,""it"",""en"")"),"How many minutes is the break between the two overtime periods?")</f>
        <v>How many minutes is the break between the two overtime periods?</v>
      </c>
      <c r="I131" s="10" t="str">
        <f>IFERROR(__xludf.DUMMYFUNCTION("GOOGLETRANSLATE(C131,""it"",""en"")"),"A. 1 minute B. 2 minutes C. 3 minutes D. 5 minutes")</f>
        <v>A. 1 minute B. 2 minutes C. 3 minutes D. 5 minutes</v>
      </c>
      <c r="J131" s="10" t="str">
        <f>IFERROR(__xludf.DUMMYFUNCTION("GOOGLETRANSLATE(D131,""it"",""en"")"),"1 minute")</f>
        <v>1 minute</v>
      </c>
      <c r="K131" s="10" t="str">
        <f>IFERROR(__xludf.DUMMYFUNCTION("GOOGLETRANSLATE(E131,""it"",""en"")"),"The break between the two extra periods lasts 1 minute.")</f>
        <v>The break between the two extra periods lasts 1 minute.</v>
      </c>
    </row>
    <row r="132" ht="22.5" customHeight="1">
      <c r="A132" s="4">
        <v>148.0</v>
      </c>
      <c r="B132" s="5" t="s">
        <v>3821</v>
      </c>
      <c r="C132" s="4" t="s">
        <v>3822</v>
      </c>
      <c r="D132" s="5" t="s">
        <v>3823</v>
      </c>
      <c r="E132" s="5" t="s">
        <v>3824</v>
      </c>
      <c r="F132" s="15"/>
      <c r="G132" s="4">
        <v>148.0</v>
      </c>
      <c r="H132" s="10" t="str">
        <f>IFERROR(__xludf.DUMMYFUNCTION("GOOGLETRANSLATE(B132,""it"",""en"")"),"What happens if a player puts the ball into the goal from out of play?")</f>
        <v>What happens if a player puts the ball into the goal from out of play?</v>
      </c>
      <c r="I132" s="10" t="str">
        <f>IFERROR(__xludf.DUMMYFUNCTION("GOOGLETRANSLATE(C132,""it"",""en"")"),"A. The goal is not valid B. The game continues C. The goal is validated D. The opposing team earns a penalty")</f>
        <v>A. The goal is not valid B. The game continues C. The goal is validated D. The opposing team earns a penalty</v>
      </c>
      <c r="J132" s="10" t="str">
        <f>IFERROR(__xludf.DUMMYFUNCTION("GOOGLETRANSLATE(D132,""it"",""en"")"),"The goal is not valid")</f>
        <v>The goal is not valid</v>
      </c>
      <c r="K132" s="10" t="str">
        <f>IFERROR(__xludf.DUMMYFUNCTION("GOOGLETRANSLATE(E132,""it"",""en"")"),"A goal scored by an offside player is not counted.")</f>
        <v>A goal scored by an offside player is not counted.</v>
      </c>
    </row>
    <row r="133" ht="22.5" customHeight="1">
      <c r="A133" s="4">
        <v>149.0</v>
      </c>
      <c r="B133" s="5" t="s">
        <v>3825</v>
      </c>
      <c r="C133" s="4" t="s">
        <v>3826</v>
      </c>
      <c r="D133" s="5" t="s">
        <v>3827</v>
      </c>
      <c r="E133" s="5"/>
      <c r="F133" s="15"/>
      <c r="G133" s="4">
        <v>149.0</v>
      </c>
      <c r="H133" s="10" t="str">
        <f>IFERROR(__xludf.DUMMYFUNCTION("GOOGLETRANSLATE(B133,""it"",""en"")"),"What happens if a player kicks the ball out of the pool?")</f>
        <v>What happens if a player kicks the ball out of the pool?</v>
      </c>
      <c r="I133" s="10" t="str">
        <f>IFERROR(__xludf.DUMMYFUNCTION("GOOGLETRANSLATE(C133,""it"",""en"")"),"A. The opposing team earns a throw-in B. The game continues C. The team earns a penalty D. The game is stopped")</f>
        <v>A. The opposing team earns a throw-in B. The game continues C. The team earns a penalty D. The game is stopped</v>
      </c>
      <c r="J133" s="10" t="str">
        <f>IFERROR(__xludf.DUMMYFUNCTION("GOOGLETRANSLATE(D133,""it"",""en"")"),"The opposing team earns the throw-in.")</f>
        <v>The opposing team earns the throw-in.</v>
      </c>
      <c r="K133" s="10" t="str">
        <f>IFERROR(__xludf.DUMMYFUNCTION("GOOGLETRANSLATE(E133,""it"",""en"")"),"#VALUE!")</f>
        <v>#VALUE!</v>
      </c>
    </row>
    <row r="134" ht="22.5" customHeight="1">
      <c r="A134" s="4">
        <v>150.0</v>
      </c>
      <c r="B134" s="5" t="s">
        <v>3828</v>
      </c>
      <c r="C134" s="4" t="s">
        <v>3829</v>
      </c>
      <c r="D134" s="5" t="s">
        <v>3684</v>
      </c>
      <c r="E134" s="5" t="s">
        <v>3830</v>
      </c>
      <c r="F134" s="15"/>
      <c r="G134" s="4">
        <v>150.0</v>
      </c>
      <c r="H134" s="10" t="str">
        <f>IFERROR(__xludf.DUMMYFUNCTION("GOOGLETRANSLATE(B134,""it"",""en"")"),"How many substitutions can be made in a water polo game?")</f>
        <v>How many substitutions can be made in a water polo game?</v>
      </c>
      <c r="I134" s="10" t="str">
        <f>IFERROR(__xludf.DUMMYFUNCTION("GOOGLETRANSLATE(C134,""it"",""en"")"),"A. Unlimited B. 2 C. 3 D. 5")</f>
        <v>A. Unlimited B. 2 C. 3 D. 5</v>
      </c>
      <c r="J134" s="10" t="str">
        <f>IFERROR(__xludf.DUMMYFUNCTION("GOOGLETRANSLATE(D134,""it"",""en"")"),"Unlimited")</f>
        <v>Unlimited</v>
      </c>
      <c r="K134" s="10" t="str">
        <f>IFERROR(__xludf.DUMMYFUNCTION("GOOGLETRANSLATE(E134,""it"",""en"")"),"Substitutions are unlimited during the match.")</f>
        <v>Substitutions are unlimited during the match.</v>
      </c>
    </row>
  </sheetData>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3" width="37.63"/>
    <col customWidth="1" min="4" max="4" width="30.25"/>
    <col customWidth="1" min="5" max="5" width="37.63"/>
    <col customWidth="1" min="7" max="7" width="18.5"/>
    <col customWidth="1" min="8" max="9" width="37.63"/>
    <col customWidth="1" min="10" max="10" width="35.38"/>
    <col customWidth="1" min="11" max="11" width="37.63"/>
  </cols>
  <sheetData>
    <row r="1" ht="22.5" customHeight="1">
      <c r="A1" s="8" t="s">
        <v>0</v>
      </c>
      <c r="B1" s="8" t="s">
        <v>1</v>
      </c>
      <c r="C1" s="2" t="s">
        <v>2</v>
      </c>
      <c r="D1" s="8" t="s">
        <v>3</v>
      </c>
      <c r="E1" s="8" t="s">
        <v>4</v>
      </c>
      <c r="F1" s="3"/>
      <c r="G1" s="8" t="s">
        <v>0</v>
      </c>
      <c r="H1" s="8" t="s">
        <v>5</v>
      </c>
      <c r="I1" s="2" t="s">
        <v>6</v>
      </c>
      <c r="J1" s="8" t="s">
        <v>7</v>
      </c>
      <c r="K1" s="8" t="s">
        <v>8</v>
      </c>
      <c r="L1" s="3"/>
      <c r="M1" s="3"/>
      <c r="N1" s="3"/>
      <c r="O1" s="3"/>
      <c r="P1" s="3"/>
    </row>
    <row r="2" ht="22.5" customHeight="1">
      <c r="A2" s="4">
        <v>1.0</v>
      </c>
      <c r="B2" s="5" t="s">
        <v>3831</v>
      </c>
      <c r="C2" s="5" t="s">
        <v>3832</v>
      </c>
      <c r="D2" s="5" t="s">
        <v>3833</v>
      </c>
      <c r="E2" s="5" t="s">
        <v>3834</v>
      </c>
      <c r="F2" s="15"/>
      <c r="G2" s="4">
        <v>1.0</v>
      </c>
      <c r="H2" s="5" t="str">
        <f>IFERROR(__xludf.DUMMYFUNCTION("GOOGLETRANSLATE(B2,""it"",""en"")"),"What is the main objective in the game of Morra?")</f>
        <v>What is the main objective in the game of Morra?</v>
      </c>
      <c r="I2" s="5" t="str">
        <f>IFERROR(__xludf.DUMMYFUNCTION("GOOGLETRANSLATE(C2,""it"",""en"")"),"A. Guess the correct number of fingers B. Move your fingers faster than your opponent C. Show how many fingers you have D. Count the number of movements")</f>
        <v>A. Guess the correct number of fingers B. Move your fingers faster than your opponent C. Show how many fingers you have D. Count the number of movements</v>
      </c>
      <c r="J2" s="5" t="str">
        <f>IFERROR(__xludf.DUMMYFUNCTION("GOOGLETRANSLATE(D2,""it"",""en"")"),"Guess the correct number of fingers")</f>
        <v>Guess the correct number of fingers</v>
      </c>
      <c r="K2" s="5" t="str">
        <f>IFERROR(__xludf.DUMMYFUNCTION("GOOGLETRANSLATE(E2,""it"",""en"")"),"The game is based on guessing the number of fingers your opponent is showing.")</f>
        <v>The game is based on guessing the number of fingers your opponent is showing.</v>
      </c>
    </row>
    <row r="3" ht="22.5" customHeight="1">
      <c r="A3" s="4">
        <v>2.0</v>
      </c>
      <c r="B3" s="5" t="s">
        <v>3835</v>
      </c>
      <c r="C3" s="5" t="s">
        <v>3836</v>
      </c>
      <c r="D3" s="5" t="s">
        <v>3837</v>
      </c>
      <c r="E3" s="5" t="s">
        <v>3838</v>
      </c>
      <c r="F3" s="15"/>
      <c r="G3" s="4">
        <v>2.0</v>
      </c>
      <c r="H3" s="5" t="str">
        <f>IFERROR(__xludf.DUMMYFUNCTION("GOOGLETRANSLATE(B3,""it"",""en"")"),"What is the historical tradition of La Morra?")</f>
        <v>What is the historical tradition of La Morra?</v>
      </c>
      <c r="I3" s="5" t="str">
        <f>IFERROR(__xludf.DUMMYFUNCTION("GOOGLETRANSLATE(C3,""it"",""en"")"),"A. It is a game of mental strategy B. It is a game of physical strength C. It is a form of social entertainment D. It is a war game")</f>
        <v>A. It is a game of mental strategy B. It is a game of physical strength C. It is a form of social entertainment D. It is a war game</v>
      </c>
      <c r="J3" s="5" t="str">
        <f>IFERROR(__xludf.DUMMYFUNCTION("GOOGLETRANSLATE(D3,""it"",""en"")"),"It is a form of social entertainment")</f>
        <v>It is a form of social entertainment</v>
      </c>
      <c r="K3" s="5" t="str">
        <f>IFERROR(__xludf.DUMMYFUNCTION("GOOGLETRANSLATE(E3,""it"",""en"")"),"La Morra is a traditional street game that involves the public.")</f>
        <v>La Morra is a traditional street game that involves the public.</v>
      </c>
    </row>
    <row r="4" ht="22.5" customHeight="1">
      <c r="A4" s="4">
        <v>3.0</v>
      </c>
      <c r="B4" s="5" t="s">
        <v>3839</v>
      </c>
      <c r="C4" s="5" t="s">
        <v>3840</v>
      </c>
      <c r="D4" s="5" t="s">
        <v>3841</v>
      </c>
      <c r="E4" s="5" t="s">
        <v>3842</v>
      </c>
      <c r="F4" s="15"/>
      <c r="G4" s="4">
        <v>3.0</v>
      </c>
      <c r="H4" s="5" t="str">
        <f>IFERROR(__xludf.DUMMYFUNCTION("GOOGLETRANSLATE(B4,""it"",""en"")"),"In what historical period was Morra often played?")</f>
        <v>In what historical period was Morra often played?</v>
      </c>
      <c r="I4" s="5" t="str">
        <f>IFERROR(__xludf.DUMMYFUNCTION("GOOGLETRANSLATE(C4,""it"",""en"")"),"A. During the Roman Empire B. During the Middle Ages C. During the Renaissance D. During the Risorgimento")</f>
        <v>A. During the Roman Empire B. During the Middle Ages C. During the Renaissance D. During the Risorgimento</v>
      </c>
      <c r="J4" s="5" t="str">
        <f>IFERROR(__xludf.DUMMYFUNCTION("GOOGLETRANSLATE(D4,""it"",""en"")"),"During the Middle Ages")</f>
        <v>During the Middle Ages</v>
      </c>
      <c r="K4" s="5" t="str">
        <f>IFERROR(__xludf.DUMMYFUNCTION("GOOGLETRANSLATE(E4,""it"",""en"")"),"Morra was a popular game during the Middle Ages in Italy.")</f>
        <v>Morra was a popular game during the Middle Ages in Italy.</v>
      </c>
    </row>
    <row r="5" ht="22.5" customHeight="1">
      <c r="A5" s="4">
        <v>4.0</v>
      </c>
      <c r="B5" s="5" t="s">
        <v>3843</v>
      </c>
      <c r="C5" s="5" t="s">
        <v>3844</v>
      </c>
      <c r="D5" s="5" t="s">
        <v>3845</v>
      </c>
      <c r="E5" s="5" t="s">
        <v>3846</v>
      </c>
      <c r="F5" s="15"/>
      <c r="G5" s="4">
        <v>4.0</v>
      </c>
      <c r="H5" s="5" t="str">
        <f>IFERROR(__xludf.DUMMYFUNCTION("GOOGLETRANSLATE(B5,""it"",""en"")"),"What is the main difference between Morra and other similar games?")</f>
        <v>What is the main difference between Morra and other similar games?</v>
      </c>
      <c r="I5" s="5" t="str">
        <f>IFERROR(__xludf.DUMMYFUNCTION("GOOGLETRANSLATE(C5,""it"",""en"")"),"A. No tools are used B. There are no teams C. You play only with your hands D. You guess the number of fingers")</f>
        <v>A. No tools are used B. There are no teams C. You play only with your hands D. You guess the number of fingers</v>
      </c>
      <c r="J5" s="5" t="str">
        <f>IFERROR(__xludf.DUMMYFUNCTION("GOOGLETRANSLATE(D5,""it"",""en"")"),"Guess the number of fingers")</f>
        <v>Guess the number of fingers</v>
      </c>
      <c r="K5" s="5" t="str">
        <f>IFERROR(__xludf.DUMMYFUNCTION("GOOGLETRANSLATE(E5,""it"",""en"")"),"La Morra is distinguished by its dynamic of guessing the exact number of fingers.")</f>
        <v>La Morra is distinguished by its dynamic of guessing the exact number of fingers.</v>
      </c>
    </row>
    <row r="6" ht="22.5" customHeight="1">
      <c r="A6" s="4">
        <v>5.0</v>
      </c>
      <c r="B6" s="5" t="s">
        <v>3847</v>
      </c>
      <c r="C6" s="5" t="s">
        <v>3848</v>
      </c>
      <c r="D6" s="5" t="s">
        <v>3849</v>
      </c>
      <c r="E6" s="5" t="s">
        <v>3850</v>
      </c>
      <c r="F6" s="15"/>
      <c r="G6" s="4">
        <v>5.0</v>
      </c>
      <c r="H6" s="5" t="str">
        <f>IFERROR(__xludf.DUMMYFUNCTION("GOOGLETRANSLATE(B6,""it"",""en"")"),"What is the gesture of showing the fingers called in Morra?")</f>
        <v>What is the gesture of showing the fingers called in Morra?</v>
      </c>
      <c r="I6" s="5" t="str">
        <f>IFERROR(__xludf.DUMMYFUNCTION("GOOGLETRANSLATE(C6,""it"",""en"")"),"A. Point B. Contrary C. Challenge D. Hand")</f>
        <v>A. Point B. Contrary C. Challenge D. Hand</v>
      </c>
      <c r="J6" s="5" t="str">
        <f>IFERROR(__xludf.DUMMYFUNCTION("GOOGLETRANSLATE(D6,""it"",""en"")"),"Hand")</f>
        <v>Hand</v>
      </c>
      <c r="K6" s="5" t="str">
        <f>IFERROR(__xludf.DUMMYFUNCTION("GOOGLETRANSLATE(E6,""it"",""en"")"),"The gesture of showing the fingers is called ""mano"" in the game of Morra.")</f>
        <v>The gesture of showing the fingers is called "mano" in the game of Morra.</v>
      </c>
    </row>
    <row r="7" ht="22.5" customHeight="1">
      <c r="A7" s="4">
        <v>6.0</v>
      </c>
      <c r="B7" s="5" t="s">
        <v>3851</v>
      </c>
      <c r="C7" s="5" t="s">
        <v>3852</v>
      </c>
      <c r="D7" s="5" t="s">
        <v>1816</v>
      </c>
      <c r="E7" s="5" t="s">
        <v>3853</v>
      </c>
      <c r="F7" s="15"/>
      <c r="G7" s="4">
        <v>6.0</v>
      </c>
      <c r="H7" s="5" t="str">
        <f>IFERROR(__xludf.DUMMYFUNCTION("GOOGLETRANSLATE(B7,""it"",""en"")"),"How many players participate in a game of Morra?")</f>
        <v>How many players participate in a game of Morra?</v>
      </c>
      <c r="I7" s="5" t="str">
        <f>IFERROR(__xludf.DUMMYFUNCTION("GOOGLETRANSLATE(C7,""it"",""en"")"),"A. Two B. Four C. Eight D. Ten")</f>
        <v>A. Two B. Four C. Eight D. Ten</v>
      </c>
      <c r="J7" s="5" t="str">
        <f>IFERROR(__xludf.DUMMYFUNCTION("GOOGLETRANSLATE(D7,""it"",""en"")"),"Two")</f>
        <v>Two</v>
      </c>
      <c r="K7" s="5" t="str">
        <f>IFERROR(__xludf.DUMMYFUNCTION("GOOGLETRANSLATE(E7,""it"",""en"")"),"Morra is generally played by two people competing against each other.")</f>
        <v>Morra is generally played by two people competing against each other.</v>
      </c>
    </row>
    <row r="8" ht="22.5" customHeight="1">
      <c r="A8" s="4">
        <v>7.0</v>
      </c>
      <c r="B8" s="5" t="s">
        <v>3854</v>
      </c>
      <c r="C8" s="5" t="s">
        <v>3855</v>
      </c>
      <c r="D8" s="5" t="s">
        <v>3856</v>
      </c>
      <c r="E8" s="5" t="s">
        <v>3857</v>
      </c>
      <c r="F8" s="15"/>
      <c r="G8" s="4">
        <v>7.0</v>
      </c>
      <c r="H8" s="5" t="str">
        <f>IFERROR(__xludf.DUMMYFUNCTION("GOOGLETRANSLATE(B8,""it"",""en"")"),"In which region of Italy is La Morra most popular?")</f>
        <v>In which region of Italy is La Morra most popular?</v>
      </c>
      <c r="I8" s="5" t="str">
        <f>IFERROR(__xludf.DUMMYFUNCTION("GOOGLETRANSLATE(C8,""it"",""en"")"),"A. Sicily B. Lazio C. Tuscany D. Puglia")</f>
        <v>A. Sicily B. Lazio C. Tuscany D. Puglia</v>
      </c>
      <c r="J8" s="5" t="str">
        <f>IFERROR(__xludf.DUMMYFUNCTION("GOOGLETRANSLATE(D8,""it"",""en"")"),"Sicily")</f>
        <v>Sicily</v>
      </c>
      <c r="K8" s="5" t="str">
        <f>IFERROR(__xludf.DUMMYFUNCTION("GOOGLETRANSLATE(E8,""it"",""en"")"),"La Morra is very popular in southern regions such as Sicily.")</f>
        <v>La Morra is very popular in southern regions such as Sicily.</v>
      </c>
    </row>
    <row r="9" ht="22.5" customHeight="1">
      <c r="A9" s="4">
        <v>8.0</v>
      </c>
      <c r="B9" s="5" t="s">
        <v>3858</v>
      </c>
      <c r="C9" s="5" t="s">
        <v>3859</v>
      </c>
      <c r="D9" s="5" t="s">
        <v>3860</v>
      </c>
      <c r="E9" s="5" t="s">
        <v>3861</v>
      </c>
      <c r="F9" s="15"/>
      <c r="G9" s="4">
        <v>8.0</v>
      </c>
      <c r="H9" s="5" t="str">
        <f>IFERROR(__xludf.DUMMYFUNCTION("GOOGLETRANSLATE(B9,""it"",""en"")"),"What kind of competition is La Morra?")</f>
        <v>What kind of competition is La Morra?</v>
      </c>
      <c r="I9" s="5" t="str">
        <f>IFERROR(__xludf.DUMMYFUNCTION("GOOGLETRANSLATE(C9,""it"",""en"")"),"A. Individual B. Team C. Multiple D. Group games")</f>
        <v>A. Individual B. Team C. Multiple D. Group games</v>
      </c>
      <c r="J9" s="5" t="str">
        <f>IFERROR(__xludf.DUMMYFUNCTION("GOOGLETRANSLATE(D9,""it"",""en"")"),"Individual")</f>
        <v>Individual</v>
      </c>
      <c r="K9" s="5" t="str">
        <f>IFERROR(__xludf.DUMMYFUNCTION("GOOGLETRANSLATE(E9,""it"",""en"")"),"La Morra is a competitive individual game between two players.")</f>
        <v>La Morra is a competitive individual game between two players.</v>
      </c>
    </row>
    <row r="10" ht="22.5" customHeight="1">
      <c r="A10" s="4">
        <v>9.0</v>
      </c>
      <c r="B10" s="5" t="s">
        <v>3862</v>
      </c>
      <c r="C10" s="5" t="s">
        <v>3863</v>
      </c>
      <c r="D10" s="5" t="s">
        <v>3864</v>
      </c>
      <c r="E10" s="5" t="s">
        <v>3865</v>
      </c>
      <c r="F10" s="15"/>
      <c r="G10" s="4">
        <v>9.0</v>
      </c>
      <c r="H10" s="5" t="str">
        <f>IFERROR(__xludf.DUMMYFUNCTION("GOOGLETRANSLATE(B10,""it"",""en"")"),"What is the name of the person who challenges the opponent in Morra?")</f>
        <v>What is the name of the person who challenges the opponent in Morra?</v>
      </c>
      <c r="I10" s="5" t="str">
        <f>IFERROR(__xludf.DUMMYFUNCTION("GOOGLETRANSLATE(C10,""it"",""en"")"),"A. Challenger B. Contender C. Player D. Champion")</f>
        <v>A. Challenger B. Contender C. Player D. Champion</v>
      </c>
      <c r="J10" s="5" t="str">
        <f>IFERROR(__xludf.DUMMYFUNCTION("GOOGLETRANSLATE(D10,""it"",""en"")"),"Challenger")</f>
        <v>Challenger</v>
      </c>
      <c r="K10" s="5" t="str">
        <f>IFERROR(__xludf.DUMMYFUNCTION("GOOGLETRANSLATE(E10,""it"",""en"")"),"The person who challenges the other player is called the ""challenger"".")</f>
        <v>The person who challenges the other player is called the "challenger".</v>
      </c>
    </row>
    <row r="11" ht="22.5" customHeight="1">
      <c r="A11" s="4">
        <v>10.0</v>
      </c>
      <c r="B11" s="5" t="s">
        <v>3866</v>
      </c>
      <c r="C11" s="5" t="s">
        <v>3867</v>
      </c>
      <c r="D11" s="5" t="s">
        <v>3868</v>
      </c>
      <c r="E11" s="5" t="s">
        <v>3869</v>
      </c>
      <c r="F11" s="15"/>
      <c r="G11" s="4">
        <v>10.0</v>
      </c>
      <c r="H11" s="5" t="str">
        <f>IFERROR(__xludf.DUMMYFUNCTION("GOOGLETRANSLATE(B11,""it"",""en"")"),"When is Morra traditionally played?")</f>
        <v>When is Morra traditionally played?</v>
      </c>
      <c r="I11" s="5" t="str">
        <f>IFERROR(__xludf.DUMMYFUNCTION("GOOGLETRANSLATE(C11,""it"",""en"")"),"A. Only in summer B. During the holidays C. In winter D. In spring")</f>
        <v>A. Only in summer B. During the holidays C. In winter D. In spring</v>
      </c>
      <c r="J11" s="5" t="str">
        <f>IFERROR(__xludf.DUMMYFUNCTION("GOOGLETRANSLATE(D11,""it"",""en"")"),"During the holidays")</f>
        <v>During the holidays</v>
      </c>
      <c r="K11" s="5" t="str">
        <f>IFERROR(__xludf.DUMMYFUNCTION("GOOGLETRANSLATE(E11,""it"",""en"")"),"Morra is often played during traditional Italian festivals.")</f>
        <v>Morra is often played during traditional Italian festivals.</v>
      </c>
    </row>
    <row r="12" ht="22.5" customHeight="1">
      <c r="A12" s="4">
        <v>11.0</v>
      </c>
      <c r="B12" s="5" t="s">
        <v>3870</v>
      </c>
      <c r="C12" s="5" t="s">
        <v>3871</v>
      </c>
      <c r="D12" s="5" t="s">
        <v>1578</v>
      </c>
      <c r="E12" s="5" t="s">
        <v>3872</v>
      </c>
      <c r="F12" s="15"/>
      <c r="G12" s="4">
        <v>11.0</v>
      </c>
      <c r="H12" s="5" t="str">
        <f>IFERROR(__xludf.DUMMYFUNCTION("GOOGLETRANSLATE(B12,""it"",""en"")"),"In what kind of place is Morra traditionally played?")</f>
        <v>In what kind of place is Morra traditionally played?</v>
      </c>
      <c r="I12" s="5" t="str">
        <f>IFERROR(__xludf.DUMMYFUNCTION("GOOGLETRANSLATE(C12,""it"",""en"")"),"A. In public squares B. In theaters C. In private homes D. In gyms")</f>
        <v>A. In public squares B. In theaters C. In private homes D. In gyms</v>
      </c>
      <c r="J12" s="5" t="str">
        <f>IFERROR(__xludf.DUMMYFUNCTION("GOOGLETRANSLATE(D12,""it"",""en"")"),"In public squares")</f>
        <v>In public squares</v>
      </c>
      <c r="K12" s="5" t="str">
        <f>IFERROR(__xludf.DUMMYFUNCTION("GOOGLETRANSLATE(E12,""it"",""en"")"),"Morra is traditionally played in public squares in Italian cities.")</f>
        <v>Morra is traditionally played in public squares in Italian cities.</v>
      </c>
    </row>
    <row r="13" ht="22.5" customHeight="1">
      <c r="A13" s="4">
        <v>12.0</v>
      </c>
      <c r="B13" s="5" t="s">
        <v>3873</v>
      </c>
      <c r="C13" s="5" t="s">
        <v>3874</v>
      </c>
      <c r="D13" s="5" t="s">
        <v>3875</v>
      </c>
      <c r="E13" s="5" t="s">
        <v>3876</v>
      </c>
      <c r="F13" s="15"/>
      <c r="G13" s="4">
        <v>12.0</v>
      </c>
      <c r="H13" s="5" t="str">
        <f>IFERROR(__xludf.DUMMYFUNCTION("GOOGLETRANSLATE(B13,""it"",""en"")"),"What sound do you make when you guess the right number in Morra?")</f>
        <v>What sound do you make when you guess the right number in Morra?</v>
      </c>
      <c r="I13" s="5" t="str">
        <f>IFERROR(__xludf.DUMMYFUNCTION("GOOGLETRANSLATE(C13,""it"",""en"")"),"A. You shout ""Victory!"" B. You clap your hands C. You make a hand gesture D. You shout the correct number")</f>
        <v>A. You shout "Victory!" B. You clap your hands C. You make a hand gesture D. You shout the correct number</v>
      </c>
      <c r="J13" s="5" t="str">
        <f>IFERROR(__xludf.DUMMYFUNCTION("GOOGLETRANSLATE(D13,""it"",""en"")"),"They shout ""Victory!""")</f>
        <v>They shout "Victory!"</v>
      </c>
      <c r="K13" s="5" t="str">
        <f>IFERROR(__xludf.DUMMYFUNCTION("GOOGLETRANSLATE(E13,""it"",""en"")"),"The player who guesses the correct number shouts ""Victory!"".")</f>
        <v>The player who guesses the correct number shouts "Victory!".</v>
      </c>
    </row>
    <row r="14" ht="22.5" customHeight="1">
      <c r="A14" s="4">
        <v>13.0</v>
      </c>
      <c r="B14" s="5" t="s">
        <v>3877</v>
      </c>
      <c r="C14" s="5" t="s">
        <v>3878</v>
      </c>
      <c r="D14" s="5" t="s">
        <v>3879</v>
      </c>
      <c r="E14" s="5" t="s">
        <v>3880</v>
      </c>
      <c r="F14" s="15"/>
      <c r="G14" s="4">
        <v>13.0</v>
      </c>
      <c r="H14" s="5" t="str">
        <f>IFERROR(__xludf.DUMMYFUNCTION("GOOGLETRANSLATE(B14,""it"",""en"")"),"Which cultural events are popular in La Morra?")</f>
        <v>Which cultural events are popular in La Morra?</v>
      </c>
      <c r="I14" s="5" t="str">
        <f>IFERROR(__xludf.DUMMYFUNCTION("GOOGLETRANSLATE(C14,""it"",""en"")"),"A. Village festivals B. Cooking competitions C. Sports competitions D. Religious festivals")</f>
        <v>A. Village festivals B. Cooking competitions C. Sports competitions D. Religious festivals</v>
      </c>
      <c r="J14" s="5" t="str">
        <f>IFERROR(__xludf.DUMMYFUNCTION("GOOGLETRANSLATE(D14,""it"",""en"")"),"Village festivals")</f>
        <v>Village festivals</v>
      </c>
      <c r="K14" s="5" t="str">
        <f>IFERROR(__xludf.DUMMYFUNCTION("GOOGLETRANSLATE(E14,""it"",""en"")"),"Morra is often played during village festivals and local cultural events.")</f>
        <v>Morra is often played during village festivals and local cultural events.</v>
      </c>
    </row>
    <row r="15" ht="22.5" customHeight="1">
      <c r="A15" s="4">
        <v>14.0</v>
      </c>
      <c r="B15" s="5" t="s">
        <v>3881</v>
      </c>
      <c r="C15" s="5" t="s">
        <v>3882</v>
      </c>
      <c r="D15" s="5" t="s">
        <v>3883</v>
      </c>
      <c r="E15" s="5" t="s">
        <v>3884</v>
      </c>
      <c r="F15" s="15"/>
      <c r="G15" s="4">
        <v>14.0</v>
      </c>
      <c r="H15" s="5" t="str">
        <f>IFERROR(__xludf.DUMMYFUNCTION("GOOGLETRANSLATE(B15,""it"",""en"")"),"What is a fundamental rule of the game of Morra?")</f>
        <v>What is a fundamental rule of the game of Morra?</v>
      </c>
      <c r="I15" s="5" t="str">
        <f>IFERROR(__xludf.DUMMYFUNCTION("GOOGLETRANSLATE(C15,""it"",""en"")"),"A. You cannot use your foot B. You cannot look at your opponent C. You cannot talk D. You cannot hide your hands")</f>
        <v>A. You cannot use your foot B. You cannot look at your opponent C. You cannot talk D. You cannot hide your hands</v>
      </c>
      <c r="J15" s="5" t="str">
        <f>IFERROR(__xludf.DUMMYFUNCTION("GOOGLETRANSLATE(D15,""it"",""en"")"),"You can't hide your hands")</f>
        <v>You can't hide your hands</v>
      </c>
      <c r="K15" s="5" t="str">
        <f>IFERROR(__xludf.DUMMYFUNCTION("GOOGLETRANSLATE(E15,""it"",""en"")"),"An important rule of Morra is that the hands must be visible during the game.")</f>
        <v>An important rule of Morra is that the hands must be visible during the game.</v>
      </c>
    </row>
    <row r="16" ht="22.5" customHeight="1">
      <c r="A16" s="4">
        <v>15.0</v>
      </c>
      <c r="B16" s="5" t="s">
        <v>3885</v>
      </c>
      <c r="C16" s="5" t="s">
        <v>3886</v>
      </c>
      <c r="D16" s="5" t="s">
        <v>3887</v>
      </c>
      <c r="E16" s="5" t="s">
        <v>3888</v>
      </c>
      <c r="F16" s="15"/>
      <c r="G16" s="4">
        <v>15.0</v>
      </c>
      <c r="H16" s="5" t="str">
        <f>IFERROR(__xludf.DUMMYFUNCTION("GOOGLETRANSLATE(B16,""it"",""en"")"),"When do you show your fingers during a game of Morra?")</f>
        <v>When do you show your fingers during a game of Morra?</v>
      </c>
      <c r="I16" s="5" t="str">
        <f>IFERROR(__xludf.DUMMYFUNCTION("GOOGLETRANSLATE(C16,""it"",""en"")"),"A. After guessing B. Just before guessing C. When the umpire says ""go"" D. Just after the call")</f>
        <v>A. After guessing B. Just before guessing C. When the umpire says "go" D. Just after the call</v>
      </c>
      <c r="J16" s="5" t="str">
        <f>IFERROR(__xludf.DUMMYFUNCTION("GOOGLETRANSLATE(D16,""it"",""en"")"),"Just before guessing")</f>
        <v>Just before guessing</v>
      </c>
      <c r="K16" s="5" t="str">
        <f>IFERROR(__xludf.DUMMYFUNCTION("GOOGLETRANSLATE(E16,""it"",""en"")"),"The fingers are shown immediately before the player guesses the number.")</f>
        <v>The fingers are shown immediately before the player guesses the number.</v>
      </c>
    </row>
    <row r="17" ht="22.5" customHeight="1">
      <c r="A17" s="4">
        <v>16.0</v>
      </c>
      <c r="B17" s="5" t="s">
        <v>3889</v>
      </c>
      <c r="C17" s="5" t="s">
        <v>3890</v>
      </c>
      <c r="D17" s="5" t="s">
        <v>3891</v>
      </c>
      <c r="E17" s="5" t="s">
        <v>3892</v>
      </c>
      <c r="F17" s="15"/>
      <c r="G17" s="4">
        <v>16.0</v>
      </c>
      <c r="H17" s="5" t="str">
        <f>IFERROR(__xludf.DUMMYFUNCTION("GOOGLETRANSLATE(B17,""it"",""en"")"),"What kind of skills are needed to play Morra?")</f>
        <v>What kind of skills are needed to play Morra?</v>
      </c>
      <c r="I17" s="5" t="str">
        <f>IFERROR(__xludf.DUMMYFUNCTION("GOOGLETRANSLATE(C17,""it"",""en"")"),"A. Speed ​​only B. Speed ​​and concentration C. Concentration and physical strength D. Physical strength and cunning")</f>
        <v>A. Speed ​​only B. Speed ​​and concentration C. Concentration and physical strength D. Physical strength and cunning</v>
      </c>
      <c r="J17" s="5" t="str">
        <f>IFERROR(__xludf.DUMMYFUNCTION("GOOGLETRANSLATE(D17,""it"",""en"")"),"Speed ​​and concentration")</f>
        <v>Speed ​​and concentration</v>
      </c>
      <c r="K17" s="5" t="str">
        <f>IFERROR(__xludf.DUMMYFUNCTION("GOOGLETRANSLATE(E17,""it"",""en"")"),"Morra requires good speed and concentration.")</f>
        <v>Morra requires good speed and concentration.</v>
      </c>
    </row>
    <row r="18" ht="22.5" customHeight="1">
      <c r="A18" s="4">
        <v>17.0</v>
      </c>
      <c r="B18" s="5" t="s">
        <v>3893</v>
      </c>
      <c r="C18" s="5" t="s">
        <v>3894</v>
      </c>
      <c r="D18" s="5" t="s">
        <v>3895</v>
      </c>
      <c r="E18" s="5" t="s">
        <v>3896</v>
      </c>
      <c r="F18" s="15"/>
      <c r="G18" s="4">
        <v>17.0</v>
      </c>
      <c r="H18" s="5" t="str">
        <f>IFERROR(__xludf.DUMMYFUNCTION("GOOGLETRANSLATE(B18,""it"",""en"")"),"When do you win in Morra?")</f>
        <v>When do you win in Morra?</v>
      </c>
      <c r="I18" s="5" t="str">
        <f>IFERROR(__xludf.DUMMYFUNCTION("GOOGLETRANSLATE(C18,""it"",""en"")"),"A. When you guess twice B. When you guess the exact number of fingers C. When you are faster D. When you keep your hand over your mouth")</f>
        <v>A. When you guess twice B. When you guess the exact number of fingers C. When you are faster D. When you keep your hand over your mouth</v>
      </c>
      <c r="J18" s="5" t="str">
        <f>IFERROR(__xludf.DUMMYFUNCTION("GOOGLETRANSLATE(D18,""it"",""en"")"),"When you guess the exact number of fingers")</f>
        <v>When you guess the exact number of fingers</v>
      </c>
      <c r="K18" s="5" t="str">
        <f>IFERROR(__xludf.DUMMYFUNCTION("GOOGLETRANSLATE(E18,""it"",""en"")"),"The winner is the one who guesses the exact number of fingers the opponent is showing.")</f>
        <v>The winner is the one who guesses the exact number of fingers the opponent is showing.</v>
      </c>
    </row>
    <row r="19" ht="22.5" customHeight="1">
      <c r="A19" s="4">
        <v>18.0</v>
      </c>
      <c r="B19" s="5" t="s">
        <v>3897</v>
      </c>
      <c r="C19" s="5" t="s">
        <v>3898</v>
      </c>
      <c r="D19" s="5" t="s">
        <v>3899</v>
      </c>
      <c r="E19" s="5" t="s">
        <v>3900</v>
      </c>
      <c r="F19" s="15"/>
      <c r="G19" s="4">
        <v>18.0</v>
      </c>
      <c r="H19" s="5" t="str">
        <f>IFERROR(__xludf.DUMMYFUNCTION("GOOGLETRANSLATE(B19,""it"",""en"")"),"What other name is the game of Morra known by?")</f>
        <v>What other name is the game of Morra known by?</v>
      </c>
      <c r="I19" s="5" t="str">
        <f>IFERROR(__xludf.DUMMYFUNCTION("GOOGLETRANSLATE(C19,""it"",""en"")"),"A. The finger game B. The number game C. The garden game D. The square game")</f>
        <v>A. The finger game B. The number game C. The garden game D. The square game</v>
      </c>
      <c r="J19" s="5" t="str">
        <f>IFERROR(__xludf.DUMMYFUNCTION("GOOGLETRANSLATE(D19,""it"",""en"")"),"The finger game")</f>
        <v>The finger game</v>
      </c>
      <c r="K19" s="5" t="str">
        <f>IFERROR(__xludf.DUMMYFUNCTION("GOOGLETRANSLATE(E19,""it"",""en"")"),"La Morra is also known as ""the finger game"".")</f>
        <v>La Morra is also known as "the finger game".</v>
      </c>
    </row>
    <row r="20" ht="22.5" customHeight="1">
      <c r="A20" s="4">
        <v>19.0</v>
      </c>
      <c r="B20" s="5" t="s">
        <v>3901</v>
      </c>
      <c r="C20" s="5" t="s">
        <v>3902</v>
      </c>
      <c r="D20" s="5" t="s">
        <v>3903</v>
      </c>
      <c r="E20" s="5" t="s">
        <v>3904</v>
      </c>
      <c r="F20" s="15"/>
      <c r="G20" s="4">
        <v>19.0</v>
      </c>
      <c r="H20" s="5" t="str">
        <f>IFERROR(__xludf.DUMMYFUNCTION("GOOGLETRANSLATE(B20,""it"",""en"")"),"Who influenced the game of Morra?")</f>
        <v>Who influenced the game of Morra?</v>
      </c>
      <c r="I20" s="5" t="str">
        <f>IFERROR(__xludf.DUMMYFUNCTION("GOOGLETRANSLATE(C20,""it"",""en"")"),"A. The ancient Greeks B. The medieval civilizations C. The Etruscan populations D. The Arab populations")</f>
        <v>A. The ancient Greeks B. The medieval civilizations C. The Etruscan populations D. The Arab populations</v>
      </c>
      <c r="J20" s="5" t="str">
        <f>IFERROR(__xludf.DUMMYFUNCTION("GOOGLETRANSLATE(D20,""it"",""en"")"),"Medieval civilizations")</f>
        <v>Medieval civilizations</v>
      </c>
      <c r="K20" s="5" t="str">
        <f>IFERROR(__xludf.DUMMYFUNCTION("GOOGLETRANSLATE(E20,""it"",""en"")"),"Medieval traditions influenced the development of La Morra.")</f>
        <v>Medieval traditions influenced the development of La Morra.</v>
      </c>
    </row>
    <row r="21" ht="22.5" customHeight="1">
      <c r="A21" s="4">
        <v>20.0</v>
      </c>
      <c r="B21" s="5" t="s">
        <v>3905</v>
      </c>
      <c r="C21" s="5" t="s">
        <v>3906</v>
      </c>
      <c r="D21" s="5" t="s">
        <v>1093</v>
      </c>
      <c r="E21" s="5" t="s">
        <v>3907</v>
      </c>
      <c r="F21" s="15"/>
      <c r="G21" s="4">
        <v>20.0</v>
      </c>
      <c r="H21" s="5" t="str">
        <f>IFERROR(__xludf.DUMMYFUNCTION("GOOGLETRANSLATE(B21,""it"",""en"")"),"In what other country was a game similar to Morra played?")</f>
        <v>In what other country was a game similar to Morra played?</v>
      </c>
      <c r="I21" s="5" t="str">
        <f>IFERROR(__xludf.DUMMYFUNCTION("GOOGLETRANSLATE(C21,""it"",""en"")"),"A. France B. Germany C. Spain D. Greece")</f>
        <v>A. France B. Germany C. Spain D. Greece</v>
      </c>
      <c r="J21" s="5" t="str">
        <f>IFERROR(__xludf.DUMMYFUNCTION("GOOGLETRANSLATE(D21,""it"",""en"")"),"France")</f>
        <v>France</v>
      </c>
      <c r="K21" s="5" t="str">
        <f>IFERROR(__xludf.DUMMYFUNCTION("GOOGLETRANSLATE(E21,""it"",""en"")"),"In France there is a similar game called ""Morra"" or ""le jeu de morra"".")</f>
        <v>In France there is a similar game called "Morra" or "le jeu de morra".</v>
      </c>
    </row>
    <row r="22" ht="22.5" customHeight="1">
      <c r="A22" s="4">
        <v>21.0</v>
      </c>
      <c r="B22" s="5" t="s">
        <v>3908</v>
      </c>
      <c r="C22" s="5" t="s">
        <v>3909</v>
      </c>
      <c r="D22" s="5" t="s">
        <v>3910</v>
      </c>
      <c r="E22" s="5" t="s">
        <v>3911</v>
      </c>
      <c r="F22" s="15"/>
      <c r="G22" s="4">
        <v>21.0</v>
      </c>
      <c r="H22" s="5" t="str">
        <f>IFERROR(__xludf.DUMMYFUNCTION("GOOGLETRANSLATE(B22,""it"",""en"")"),"What type of scoring is used in the game of Morra?")</f>
        <v>What type of scoring is used in the game of Morra?</v>
      </c>
      <c r="I22" s="5" t="str">
        <f>IFERROR(__xludf.DUMMYFUNCTION("GOOGLETRANSLATE(C22,""it"",""en"")"),"A. Points accumulated B. Playing time C. Number of wins D. Number of hands guessed correctly")</f>
        <v>A. Points accumulated B. Playing time C. Number of wins D. Number of hands guessed correctly</v>
      </c>
      <c r="J22" s="5" t="str">
        <f>IFERROR(__xludf.DUMMYFUNCTION("GOOGLETRANSLATE(D22,""it"",""en"")"),"Number of victories")</f>
        <v>Number of victories</v>
      </c>
      <c r="K22" s="5" t="str">
        <f>IFERROR(__xludf.DUMMYFUNCTION("GOOGLETRANSLATE(E22,""it"",""en"")"),"Scoring in the game of Morra is based on the number of victories achieved.")</f>
        <v>Scoring in the game of Morra is based on the number of victories achieved.</v>
      </c>
    </row>
    <row r="23" ht="22.5" customHeight="1">
      <c r="A23" s="4">
        <v>22.0</v>
      </c>
      <c r="B23" s="5" t="s">
        <v>3912</v>
      </c>
      <c r="C23" s="5" t="s">
        <v>3913</v>
      </c>
      <c r="D23" s="5" t="s">
        <v>3914</v>
      </c>
      <c r="E23" s="5" t="s">
        <v>3915</v>
      </c>
      <c r="F23" s="15"/>
      <c r="G23" s="4">
        <v>22.0</v>
      </c>
      <c r="H23" s="5" t="str">
        <f>IFERROR(__xludf.DUMMYFUNCTION("GOOGLETRANSLATE(B23,""it"",""en"")"),"What time of day is Morra traditionally played?")</f>
        <v>What time of day is Morra traditionally played?</v>
      </c>
      <c r="I23" s="5" t="str">
        <f>IFERROR(__xludf.DUMMYFUNCTION("GOOGLETRANSLATE(C23,""it"",""en"")"),"A. In the morning B. During the afternoon C. In the evening D. At night")</f>
        <v>A. In the morning B. During the afternoon C. In the evening D. At night</v>
      </c>
      <c r="J23" s="5" t="str">
        <f>IFERROR(__xludf.DUMMYFUNCTION("GOOGLETRANSLATE(D23,""it"",""en"")"),"During the afternoon")</f>
        <v>During the afternoon</v>
      </c>
      <c r="K23" s="5" t="str">
        <f>IFERROR(__xludf.DUMMYFUNCTION("GOOGLETRANSLATE(E23,""it"",""en"")"),"Morra is often played in the afternoon during holidays and events.")</f>
        <v>Morra is often played in the afternoon during holidays and events.</v>
      </c>
    </row>
    <row r="24" ht="22.5" customHeight="1">
      <c r="A24" s="4">
        <v>23.0</v>
      </c>
      <c r="B24" s="5" t="s">
        <v>3916</v>
      </c>
      <c r="C24" s="5" t="s">
        <v>3917</v>
      </c>
      <c r="D24" s="5" t="s">
        <v>3918</v>
      </c>
      <c r="E24" s="5" t="s">
        <v>3919</v>
      </c>
      <c r="F24" s="15"/>
      <c r="G24" s="4">
        <v>23.0</v>
      </c>
      <c r="H24" s="5" t="str">
        <f>IFERROR(__xludf.DUMMYFUNCTION("GOOGLETRANSLATE(B24,""it"",""en"")"),"What is the name of the person watching Morra's match?")</f>
        <v>What is the name of the person watching Morra's match?</v>
      </c>
      <c r="I24" s="5" t="str">
        <f>IFERROR(__xludf.DUMMYFUNCTION("GOOGLETRANSLATE(C24,""it"",""en"")"),"A. Referee B. Judge C. Guardian D. Observer")</f>
        <v>A. Referee B. Judge C. Guardian D. Observer</v>
      </c>
      <c r="J24" s="5" t="str">
        <f>IFERROR(__xludf.DUMMYFUNCTION("GOOGLETRANSLATE(D24,""it"",""en"")"),"Referee")</f>
        <v>Referee</v>
      </c>
      <c r="K24" s="5" t="str">
        <f>IFERROR(__xludf.DUMMYFUNCTION("GOOGLETRANSLATE(E24,""it"",""en"")"),"The referee is the person who observes and judges the Morra match.")</f>
        <v>The referee is the person who observes and judges the Morra match.</v>
      </c>
    </row>
    <row r="25" ht="22.5" customHeight="1">
      <c r="A25" s="4">
        <v>24.0</v>
      </c>
      <c r="B25" s="5" t="s">
        <v>3920</v>
      </c>
      <c r="C25" s="5" t="s">
        <v>3921</v>
      </c>
      <c r="D25" s="5" t="s">
        <v>3922</v>
      </c>
      <c r="E25" s="5" t="s">
        <v>3923</v>
      </c>
      <c r="F25" s="15"/>
      <c r="G25" s="4">
        <v>24.0</v>
      </c>
      <c r="H25" s="5" t="str">
        <f>IFERROR(__xludf.DUMMYFUNCTION("GOOGLETRANSLATE(B25,""it"",""en"")"),"What is the main objective of the game?")</f>
        <v>What is the main objective of the game?</v>
      </c>
      <c r="I25" s="5" t="str">
        <f>IFERROR(__xludf.DUMMYFUNCTION("GOOGLETRANSLATE(C25,""it"",""en"")"),"A. Have fun B. Guess C. Practice D. Compete")</f>
        <v>A. Have fun B. Guess C. Practice D. Compete</v>
      </c>
      <c r="J25" s="5" t="str">
        <f>IFERROR(__xludf.DUMMYFUNCTION("GOOGLETRANSLATE(D25,""it"",""en"")"),"Have fun")</f>
        <v>Have fun</v>
      </c>
      <c r="K25" s="5" t="str">
        <f>IFERROR(__xludf.DUMMYFUNCTION("GOOGLETRANSLATE(E25,""it"",""en"")"),"The game of Morra is primarily a game of fun and entertainment.")</f>
        <v>The game of Morra is primarily a game of fun and entertainment.</v>
      </c>
    </row>
    <row r="26" ht="22.5" customHeight="1">
      <c r="A26" s="4">
        <v>25.0</v>
      </c>
      <c r="B26" s="5" t="s">
        <v>3924</v>
      </c>
      <c r="C26" s="5" t="s">
        <v>3925</v>
      </c>
      <c r="D26" s="5" t="s">
        <v>3926</v>
      </c>
      <c r="E26" s="5" t="s">
        <v>3927</v>
      </c>
      <c r="F26" s="15"/>
      <c r="G26" s="4">
        <v>25.0</v>
      </c>
      <c r="H26" s="5" t="str">
        <f>IFERROR(__xludf.DUMMYFUNCTION("GOOGLETRANSLATE(B26,""it"",""en"")"),"What is the first thing a player does before starting a game of Morra?")</f>
        <v>What is the first thing a player does before starting a game of Morra?</v>
      </c>
      <c r="I26" s="5" t="str">
        <f>IFERROR(__xludf.DUMMYFUNCTION("GOOGLETRANSLATE(C26,""it"",""en"")"),"A. Declares the number he intends to guess B. Shows his hands to his opponent C. Challenges his opponent D. Prepares himself physically")</f>
        <v>A. Declares the number he intends to guess B. Shows his hands to his opponent C. Challenges his opponent D. Prepares himself physically</v>
      </c>
      <c r="J26" s="5" t="str">
        <f>IFERROR(__xludf.DUMMYFUNCTION("GOOGLETRANSLATE(D26,""it"",""en"")"),"Challenge the opponent")</f>
        <v>Challenge the opponent</v>
      </c>
      <c r="K26" s="5" t="str">
        <f>IFERROR(__xludf.DUMMYFUNCTION("GOOGLETRANSLATE(E26,""it"",""en"")"),"The player starts the game by challenging the opponent before showing his fingers.")</f>
        <v>The player starts the game by challenging the opponent before showing his fingers.</v>
      </c>
    </row>
    <row r="27" ht="22.5" customHeight="1">
      <c r="A27" s="4">
        <v>26.0</v>
      </c>
      <c r="B27" s="5" t="s">
        <v>3928</v>
      </c>
      <c r="C27" s="5" t="s">
        <v>3929</v>
      </c>
      <c r="D27" s="5" t="s">
        <v>3930</v>
      </c>
      <c r="E27" s="5" t="s">
        <v>3931</v>
      </c>
      <c r="F27" s="15"/>
      <c r="G27" s="4">
        <v>26.0</v>
      </c>
      <c r="H27" s="5" t="str">
        <f>IFERROR(__xludf.DUMMYFUNCTION("GOOGLETRANSLATE(B27,""it"",""en"")"),"When does a player win a hand of Morra?")</f>
        <v>When does a player win a hand of Morra?</v>
      </c>
      <c r="I27" s="5" t="str">
        <f>IFERROR(__xludf.DUMMYFUNCTION("GOOGLETRANSLATE(C27,""it"",""en"")"),"A. When the other player shows a wrong number B. When the player guesses the number of fingers C. When a predetermined number of hands is reached D. When time runs out")</f>
        <v>A. When the other player shows a wrong number B. When the player guesses the number of fingers C. When a predetermined number of hands is reached D. When time runs out</v>
      </c>
      <c r="J27" s="5" t="str">
        <f>IFERROR(__xludf.DUMMYFUNCTION("GOOGLETRANSLATE(D27,""it"",""en"")"),"When the player guesses the number of fingers")</f>
        <v>When the player guesses the number of fingers</v>
      </c>
      <c r="K27" s="5" t="str">
        <f>IFERROR(__xludf.DUMMYFUNCTION("GOOGLETRANSLATE(E27,""it"",""en"")"),"The player wins the hand if he correctly guesses the number of fingers.")</f>
        <v>The player wins the hand if he correctly guesses the number of fingers.</v>
      </c>
    </row>
    <row r="28" ht="22.5" customHeight="1">
      <c r="A28" s="4">
        <v>27.0</v>
      </c>
      <c r="B28" s="5" t="s">
        <v>3932</v>
      </c>
      <c r="C28" s="5" t="s">
        <v>3933</v>
      </c>
      <c r="D28" s="5" t="s">
        <v>3934</v>
      </c>
      <c r="E28" s="5" t="s">
        <v>3935</v>
      </c>
      <c r="F28" s="15"/>
      <c r="G28" s="4">
        <v>27.0</v>
      </c>
      <c r="H28" s="5" t="str">
        <f>IFERROR(__xludf.DUMMYFUNCTION("GOOGLETRANSLATE(B28,""it"",""en"")"),"In what type of sporting competition was the Morra historically used?")</f>
        <v>In what type of sporting competition was the Morra historically used?</v>
      </c>
      <c r="I28" s="5" t="str">
        <f>IFERROR(__xludf.DUMMYFUNCTION("GOOGLETRANSLATE(C28,""it"",""en"")"),"A. Boxing B. Olympic Games C. Medieval Games D. Traditional Games")</f>
        <v>A. Boxing B. Olympic Games C. Medieval Games D. Traditional Games</v>
      </c>
      <c r="J28" s="5" t="str">
        <f>IFERROR(__xludf.DUMMYFUNCTION("GOOGLETRANSLATE(D28,""it"",""en"")"),"Medieval games")</f>
        <v>Medieval games</v>
      </c>
      <c r="K28" s="5" t="str">
        <f>IFERROR(__xludf.DUMMYFUNCTION("GOOGLETRANSLATE(E28,""it"",""en"")"),"Morra was used as an entertainment game in medieval tournaments.")</f>
        <v>Morra was used as an entertainment game in medieval tournaments.</v>
      </c>
    </row>
    <row r="29" ht="22.5" customHeight="1">
      <c r="A29" s="4">
        <v>28.0</v>
      </c>
      <c r="B29" s="5" t="s">
        <v>3936</v>
      </c>
      <c r="C29" s="5" t="s">
        <v>3937</v>
      </c>
      <c r="D29" s="5" t="s">
        <v>3938</v>
      </c>
      <c r="E29" s="5" t="s">
        <v>3939</v>
      </c>
      <c r="F29" s="15"/>
      <c r="G29" s="4">
        <v>28.0</v>
      </c>
      <c r="H29" s="5" t="str">
        <f>IFERROR(__xludf.DUMMYFUNCTION("GOOGLETRANSLATE(B29,""it"",""en"")"),"In which century did La Morra experience great popularity in Italy?")</f>
        <v>In which century did La Morra experience great popularity in Italy?</v>
      </c>
      <c r="I29" s="5" t="str">
        <f>IFERROR(__xludf.DUMMYFUNCTION("GOOGLETRANSLATE(C29,""it"",""en"")"),"A. In the 13th century B. In the 14th century C. In the 16th century D. In the 19th century")</f>
        <v>A. In the 13th century B. In the 14th century C. In the 16th century D. In the 19th century</v>
      </c>
      <c r="J29" s="5" t="str">
        <f>IFERROR(__xludf.DUMMYFUNCTION("GOOGLETRANSLATE(D29,""it"",""en"")"),"In the 14th century")</f>
        <v>In the 14th century</v>
      </c>
      <c r="K29" s="5" t="str">
        <f>IFERROR(__xludf.DUMMYFUNCTION("GOOGLETRANSLATE(E29,""it"",""en"")"),"Morra became popular in Italy in the 14th century as a traditional game.")</f>
        <v>Morra became popular in Italy in the 14th century as a traditional game.</v>
      </c>
    </row>
    <row r="30" ht="22.5" customHeight="1">
      <c r="A30" s="4">
        <v>29.0</v>
      </c>
      <c r="B30" s="5" t="s">
        <v>3940</v>
      </c>
      <c r="C30" s="5" t="s">
        <v>3941</v>
      </c>
      <c r="D30" s="5" t="s">
        <v>3942</v>
      </c>
      <c r="E30" s="5" t="s">
        <v>3943</v>
      </c>
      <c r="F30" s="15"/>
      <c r="G30" s="4">
        <v>29.0</v>
      </c>
      <c r="H30" s="5" t="str">
        <f>IFERROR(__xludf.DUMMYFUNCTION("GOOGLETRANSLATE(B30,""it"",""en"")"),"What kind of objects were used to play Morra in the past?")</f>
        <v>What kind of objects were used to play Morra in the past?</v>
      </c>
      <c r="I30" s="5" t="str">
        <f>IFERROR(__xludf.DUMMYFUNCTION("GOOGLETRANSLATE(C30,""it"",""en"")"),"A. Dice B. Coins C. Wooden objects D. Garden tools")</f>
        <v>A. Dice B. Coins C. Wooden objects D. Garden tools</v>
      </c>
      <c r="J30" s="5" t="str">
        <f>IFERROR(__xludf.DUMMYFUNCTION("GOOGLETRANSLATE(D30,""it"",""en"")"),"Coins")</f>
        <v>Coins</v>
      </c>
      <c r="K30" s="5" t="str">
        <f>IFERROR(__xludf.DUMMYFUNCTION("GOOGLETRANSLATE(E30,""it"",""en"")"),"In the past, coins or other objects were used as references to determine the winner.")</f>
        <v>In the past, coins or other objects were used as references to determine the winner.</v>
      </c>
    </row>
    <row r="31" ht="22.5" customHeight="1">
      <c r="A31" s="4">
        <v>30.0</v>
      </c>
      <c r="B31" s="5" t="s">
        <v>3944</v>
      </c>
      <c r="C31" s="5" t="s">
        <v>3945</v>
      </c>
      <c r="D31" s="5" t="s">
        <v>3946</v>
      </c>
      <c r="E31" s="5" t="s">
        <v>3947</v>
      </c>
      <c r="F31" s="15"/>
      <c r="G31" s="4">
        <v>30.0</v>
      </c>
      <c r="H31" s="5" t="str">
        <f>IFERROR(__xludf.DUMMYFUNCTION("GOOGLETRANSLATE(B31,""it"",""en"")"),"What is one of the fundamental rules of Morra?")</f>
        <v>What is one of the fundamental rules of Morra?</v>
      </c>
      <c r="I31" s="5" t="str">
        <f>IFERROR(__xludf.DUMMYFUNCTION("GOOGLETRANSLATE(C31,""it"",""en"")"),"A. You cannot look your opponent in the eyes B. You cannot talk during the game C. You cannot make the finger gesture with two hands D. You cannot laugh during the game")</f>
        <v>A. You cannot look your opponent in the eyes B. You cannot talk during the game C. You cannot make the finger gesture with two hands D. You cannot laugh during the game</v>
      </c>
      <c r="J31" s="5" t="str">
        <f>IFERROR(__xludf.DUMMYFUNCTION("GOOGLETRANSLATE(D31,""it"",""en"")"),"You cannot talk during the game")</f>
        <v>You cannot talk during the game</v>
      </c>
      <c r="K31" s="5" t="str">
        <f>IFERROR(__xludf.DUMMYFUNCTION("GOOGLETRANSLATE(E31,""it"",""en"")"),"The basic rule is that players must stay focused and not talk during the game.")</f>
        <v>The basic rule is that players must stay focused and not talk during the game.</v>
      </c>
    </row>
    <row r="32" ht="22.5" customHeight="1">
      <c r="A32" s="4">
        <v>31.0</v>
      </c>
      <c r="B32" s="5" t="s">
        <v>3948</v>
      </c>
      <c r="C32" s="5" t="s">
        <v>3949</v>
      </c>
      <c r="D32" s="5" t="s">
        <v>3950</v>
      </c>
      <c r="E32" s="5" t="s">
        <v>3951</v>
      </c>
      <c r="F32" s="15"/>
      <c r="G32" s="4">
        <v>31.0</v>
      </c>
      <c r="H32" s="5" t="str">
        <f>IFERROR(__xludf.DUMMYFUNCTION("GOOGLETRANSLATE(B32,""it"",""en"")"),"Who decides who starts the game in Morra?")</f>
        <v>Who decides who starts the game in Morra?</v>
      </c>
      <c r="I32" s="5" t="str">
        <f>IFERROR(__xludf.DUMMYFUNCTION("GOOGLETRANSLATE(C32,""it"",""en"")"),"A. The referee B. The youngest player C. The player who arrives first D. The opponent")</f>
        <v>A. The referee B. The youngest player C. The player who arrives first D. The opponent</v>
      </c>
      <c r="J32" s="5" t="str">
        <f>IFERROR(__xludf.DUMMYFUNCTION("GOOGLETRANSLATE(D32,""it"",""en"")"),"The player who arrives first")</f>
        <v>The player who arrives first</v>
      </c>
      <c r="K32" s="5" t="str">
        <f>IFERROR(__xludf.DUMMYFUNCTION("GOOGLETRANSLATE(E32,""it"",""en"")"),"The player who arrives first decides who goes first.")</f>
        <v>The player who arrives first decides who goes first.</v>
      </c>
    </row>
    <row r="33" ht="22.5" customHeight="1">
      <c r="A33" s="4">
        <v>32.0</v>
      </c>
      <c r="B33" s="5" t="s">
        <v>3952</v>
      </c>
      <c r="C33" s="5" t="s">
        <v>3953</v>
      </c>
      <c r="D33" s="5" t="s">
        <v>3954</v>
      </c>
      <c r="E33" s="5" t="s">
        <v>3955</v>
      </c>
      <c r="F33" s="15"/>
      <c r="G33" s="4">
        <v>32.0</v>
      </c>
      <c r="H33" s="5" t="str">
        <f>IFERROR(__xludf.DUMMYFUNCTION("GOOGLETRANSLATE(B33,""it"",""en"")"),"What kind of strategy is important in the game of Morra?")</f>
        <v>What kind of strategy is important in the game of Morra?</v>
      </c>
      <c r="I33" s="5" t="str">
        <f>IFERROR(__xludf.DUMMYFUNCTION("GOOGLETRANSLATE(C33,""it"",""en"")"),"A. Speed ​​and cunning B. Thinking only of the right number C. Using the body to distract D. Impersonating the opponent")</f>
        <v>A. Speed ​​and cunning B. Thinking only of the right number C. Using the body to distract D. Impersonating the opponent</v>
      </c>
      <c r="J33" s="5" t="str">
        <f>IFERROR(__xludf.DUMMYFUNCTION("GOOGLETRANSLATE(D33,""it"",""en"")"),"Speed ​​and cunning")</f>
        <v>Speed ​​and cunning</v>
      </c>
      <c r="K33" s="5" t="str">
        <f>IFERROR(__xludf.DUMMYFUNCTION("GOOGLETRANSLATE(E33,""it"",""en"")"),"Morra's strategy is based on speed and cunning to guess the correct number.")</f>
        <v>Morra's strategy is based on speed and cunning to guess the correct number.</v>
      </c>
    </row>
    <row r="34" ht="22.5" customHeight="1">
      <c r="A34" s="4">
        <v>33.0</v>
      </c>
      <c r="B34" s="5" t="s">
        <v>3956</v>
      </c>
      <c r="C34" s="5" t="s">
        <v>3957</v>
      </c>
      <c r="D34" s="5" t="s">
        <v>3958</v>
      </c>
      <c r="E34" s="5" t="s">
        <v>3959</v>
      </c>
      <c r="F34" s="15"/>
      <c r="G34" s="4">
        <v>33.0</v>
      </c>
      <c r="H34" s="5" t="str">
        <f>IFERROR(__xludf.DUMMYFUNCTION("GOOGLETRANSLATE(B34,""it"",""en"")"),"What type of movement is fundamental in the game of Morra?")</f>
        <v>What type of movement is fundamental in the game of Morra?</v>
      </c>
      <c r="I34" s="5" t="str">
        <f>IFERROR(__xludf.DUMMYFUNCTION("GOOGLETRANSLATE(C34,""it"",""en"")"),"A. Rapid hand movement B. Slow hand movement C. Eye movement D. Head movement")</f>
        <v>A. Rapid hand movement B. Slow hand movement C. Eye movement D. Head movement</v>
      </c>
      <c r="J34" s="5" t="str">
        <f>IFERROR(__xludf.DUMMYFUNCTION("GOOGLETRANSLATE(D34,""it"",""en"")"),"Rapid hand movement")</f>
        <v>Rapid hand movement</v>
      </c>
      <c r="K34" s="5" t="str">
        <f>IFERROR(__xludf.DUMMYFUNCTION("GOOGLETRANSLATE(E34,""it"",""en"")"),"Rapid hand movement is essential to success in the game of Morra.")</f>
        <v>Rapid hand movement is essential to success in the game of Morra.</v>
      </c>
    </row>
    <row r="35" ht="22.5" customHeight="1">
      <c r="A35" s="4">
        <v>34.0</v>
      </c>
      <c r="B35" s="5" t="s">
        <v>3960</v>
      </c>
      <c r="C35" s="5" t="s">
        <v>3961</v>
      </c>
      <c r="D35" s="5" t="s">
        <v>3962</v>
      </c>
      <c r="E35" s="5" t="s">
        <v>3963</v>
      </c>
      <c r="F35" s="15"/>
      <c r="G35" s="4">
        <v>34.0</v>
      </c>
      <c r="H35" s="5" t="str">
        <f>IFERROR(__xludf.DUMMYFUNCTION("GOOGLETRANSLATE(B35,""it"",""en"")"),"How are the winners chosen during a Morra competition?")</f>
        <v>How are the winners chosen during a Morra competition?</v>
      </c>
      <c r="I35" s="5" t="str">
        <f>IFERROR(__xludf.DUMMYFUNCTION("GOOGLETRANSLATE(C35,""it"",""en"")"),"A. Who guesses the most B. Who has the highest score C. Who wins the most hands D. Who is the fastest to react")</f>
        <v>A. Who guesses the most B. Who has the highest score C. Who wins the most hands D. Who is the fastest to react</v>
      </c>
      <c r="J35" s="5" t="str">
        <f>IFERROR(__xludf.DUMMYFUNCTION("GOOGLETRANSLATE(D35,""it"",""en"")"),"Whoever wins the most hands")</f>
        <v>Whoever wins the most hands</v>
      </c>
      <c r="K35" s="5" t="str">
        <f>IFERROR(__xludf.DUMMYFUNCTION("GOOGLETRANSLATE(E35,""it"",""en"")"),"The winner is determined by the number of hands won during the game.")</f>
        <v>The winner is determined by the number of hands won during the game.</v>
      </c>
    </row>
    <row r="36" ht="22.5" customHeight="1">
      <c r="A36" s="4">
        <v>35.0</v>
      </c>
      <c r="B36" s="5" t="s">
        <v>3964</v>
      </c>
      <c r="C36" s="5" t="s">
        <v>3965</v>
      </c>
      <c r="D36" s="5" t="s">
        <v>3966</v>
      </c>
      <c r="E36" s="5" t="s">
        <v>3967</v>
      </c>
      <c r="F36" s="15"/>
      <c r="G36" s="4">
        <v>35.0</v>
      </c>
      <c r="H36" s="5" t="str">
        <f>IFERROR(__xludf.DUMMYFUNCTION("GOOGLETRANSLATE(B36,""it"",""en"")"),"When does a player lose a hand of Morra?")</f>
        <v>When does a player lose a hand of Morra?</v>
      </c>
      <c r="I36" s="5" t="str">
        <f>IFERROR(__xludf.DUMMYFUNCTION("GOOGLETRANSLATE(C36,""it"",""en"")"),"A. When he guesses a wrong number B. When he runs out of time C. When he gets distracted D. When he doesn't show his fingers quickly enough")</f>
        <v>A. When he guesses a wrong number B. When he runs out of time C. When he gets distracted D. When he doesn't show his fingers quickly enough</v>
      </c>
      <c r="J36" s="5" t="str">
        <f>IFERROR(__xludf.DUMMYFUNCTION("GOOGLETRANSLATE(D36,""it"",""en"")"),"When you guess a wrong number")</f>
        <v>When you guess a wrong number</v>
      </c>
      <c r="K36" s="5" t="str">
        <f>IFERROR(__xludf.DUMMYFUNCTION("GOOGLETRANSLATE(E36,""it"",""en"")"),"The player loses the hand if he guesses the wrong number.")</f>
        <v>The player loses the hand if he guesses the wrong number.</v>
      </c>
    </row>
    <row r="37" ht="22.5" customHeight="1">
      <c r="A37" s="4">
        <v>36.0</v>
      </c>
      <c r="B37" s="5" t="s">
        <v>3968</v>
      </c>
      <c r="C37" s="5" t="s">
        <v>3969</v>
      </c>
      <c r="D37" s="5" t="s">
        <v>3970</v>
      </c>
      <c r="E37" s="5" t="s">
        <v>3971</v>
      </c>
      <c r="F37" s="15"/>
      <c r="G37" s="4">
        <v>36.0</v>
      </c>
      <c r="H37" s="5" t="str">
        <f>IFERROR(__xludf.DUMMYFUNCTION("GOOGLETRANSLATE(B37,""it"",""en"")"),"How is a Morra game ""judged""?")</f>
        <v>How is a Morra game "judged"?</v>
      </c>
      <c r="I37" s="5" t="str">
        <f>IFERROR(__xludf.DUMMYFUNCTION("GOOGLETRANSLATE(C37,""it"",""en"")"),"A. By the referee who counts the hands B. By the spectators C. By the number of victories accumulated D. By a jury of experts")</f>
        <v>A. By the referee who counts the hands B. By the spectators C. By the number of victories accumulated D. By a jury of experts</v>
      </c>
      <c r="J37" s="5" t="str">
        <f>IFERROR(__xludf.DUMMYFUNCTION("GOOGLETRANSLATE(D37,""it"",""en"")"),"From the number of victories accumulated")</f>
        <v>From the number of victories accumulated</v>
      </c>
      <c r="K37" s="5" t="str">
        <f>IFERROR(__xludf.DUMMYFUNCTION("GOOGLETRANSLATE(E37,""it"",""en"")"),"The game is judged by the number of wins a player accumulates.")</f>
        <v>The game is judged by the number of wins a player accumulates.</v>
      </c>
    </row>
    <row r="38" ht="22.5" customHeight="1">
      <c r="A38" s="4">
        <v>37.0</v>
      </c>
      <c r="B38" s="5" t="s">
        <v>3972</v>
      </c>
      <c r="C38" s="5" t="s">
        <v>3973</v>
      </c>
      <c r="D38" s="5" t="s">
        <v>3974</v>
      </c>
      <c r="E38" s="5" t="s">
        <v>3975</v>
      </c>
      <c r="F38" s="15"/>
      <c r="G38" s="4">
        <v>37.0</v>
      </c>
      <c r="H38" s="5" t="str">
        <f>IFERROR(__xludf.DUMMYFUNCTION("GOOGLETRANSLATE(B38,""it"",""en"")"),"What kind of relationship is there between Morra and Italian culture?")</f>
        <v>What kind of relationship is there between Morra and Italian culture?</v>
      </c>
      <c r="I38" s="5" t="str">
        <f>IFERROR(__xludf.DUMMYFUNCTION("GOOGLETRANSLATE(C38,""it"",""en"")"),"A. La Morra is a competitive game that has a strong impact on Italian culture. B. La Morra is a game that represents Italian tradition. C. La Morra is just a pastime. D. La Morra has no cultural value.")</f>
        <v>A. La Morra is a competitive game that has a strong impact on Italian culture. B. La Morra is a game that represents Italian tradition. C. La Morra is just a pastime. D. La Morra has no cultural value.</v>
      </c>
      <c r="J38" s="5" t="str">
        <f>IFERROR(__xludf.DUMMYFUNCTION("GOOGLETRANSLATE(D38,""it"",""en"")"),"La Morra is a game that represents the Italian tradition")</f>
        <v>La Morra is a game that represents the Italian tradition</v>
      </c>
      <c r="K38" s="5" t="str">
        <f>IFERROR(__xludf.DUMMYFUNCTION("GOOGLETRANSLATE(E38,""it"",""en"")"),"The game of Morra has an important connection with Italian cultural traditions.")</f>
        <v>The game of Morra has an important connection with Italian cultural traditions.</v>
      </c>
    </row>
    <row r="39" ht="22.5" customHeight="1">
      <c r="A39" s="4">
        <v>38.0</v>
      </c>
      <c r="B39" s="5" t="s">
        <v>3976</v>
      </c>
      <c r="C39" s="5" t="s">
        <v>3977</v>
      </c>
      <c r="D39" s="5" t="s">
        <v>3978</v>
      </c>
      <c r="E39" s="5" t="s">
        <v>3979</v>
      </c>
      <c r="F39" s="15"/>
      <c r="G39" s="4">
        <v>38.0</v>
      </c>
      <c r="H39" s="5" t="str">
        <f>IFERROR(__xludf.DUMMYFUNCTION("GOOGLETRANSLATE(B39,""it"",""en"")"),"Who wrote an important book about Morra?")</f>
        <v>Who wrote an important book about Morra?</v>
      </c>
      <c r="I39" s="5" t="str">
        <f>IFERROR(__xludf.DUMMYFUNCTION("GOOGLETRANSLATE(C39,""it"",""en"")"),"A. Giuseppe Verdi B. Giovanni Boccaccio C. Francesco Petrarca D. Luigi Pirandello")</f>
        <v>A. Giuseppe Verdi B. Giovanni Boccaccio C. Francesco Petrarca D. Luigi Pirandello</v>
      </c>
      <c r="J39" s="5" t="str">
        <f>IFERROR(__xludf.DUMMYFUNCTION("GOOGLETRANSLATE(D39,""it"",""en"")"),"John Boccaccio")</f>
        <v>John Boccaccio</v>
      </c>
      <c r="K39" s="5" t="str">
        <f>IFERROR(__xludf.DUMMYFUNCTION("GOOGLETRANSLATE(E39,""it"",""en"")"),"Giovanni Boccaccio wrote about the importance and popularity of the game in his work.")</f>
        <v>Giovanni Boccaccio wrote about the importance and popularity of the game in his work.</v>
      </c>
    </row>
    <row r="40" ht="22.5" customHeight="1">
      <c r="A40" s="4">
        <v>39.0</v>
      </c>
      <c r="B40" s="5" t="s">
        <v>3980</v>
      </c>
      <c r="C40" s="5" t="s">
        <v>3981</v>
      </c>
      <c r="D40" s="5" t="s">
        <v>3982</v>
      </c>
      <c r="E40" s="5" t="s">
        <v>3983</v>
      </c>
      <c r="F40" s="15"/>
      <c r="G40" s="4">
        <v>39.0</v>
      </c>
      <c r="H40" s="5" t="str">
        <f>IFERROR(__xludf.DUMMYFUNCTION("GOOGLETRANSLATE(B40,""it"",""en"")"),"What other game is there similar to Morra?")</f>
        <v>What other game is there similar to Morra?</v>
      </c>
      <c r="I40" s="5" t="str">
        <f>IFERROR(__xludf.DUMMYFUNCTION("GOOGLETRANSLATE(C40,""it"",""en"")"),"A. The piñata B. The rope game C. The peek-a-boo game D. The bean game")</f>
        <v>A. The piñata B. The rope game C. The peek-a-boo game D. The bean game</v>
      </c>
      <c r="J40" s="5" t="str">
        <f>IFERROR(__xludf.DUMMYFUNCTION("GOOGLETRANSLATE(D40,""it"",""en"")"),"The Rope Game")</f>
        <v>The Rope Game</v>
      </c>
      <c r="K40" s="5" t="str">
        <f>IFERROR(__xludf.DUMMYFUNCTION("GOOGLETRANSLATE(E40,""it"",""en"")"),"The rope game is similar to Morra in some of its rules.")</f>
        <v>The rope game is similar to Morra in some of its rules.</v>
      </c>
    </row>
    <row r="41" ht="22.5" customHeight="1">
      <c r="A41" s="4">
        <v>40.0</v>
      </c>
      <c r="B41" s="5" t="s">
        <v>3984</v>
      </c>
      <c r="C41" s="5" t="s">
        <v>3985</v>
      </c>
      <c r="D41" s="5" t="s">
        <v>3986</v>
      </c>
      <c r="E41" s="5" t="s">
        <v>3987</v>
      </c>
      <c r="F41" s="15"/>
      <c r="G41" s="4">
        <v>40.0</v>
      </c>
      <c r="H41" s="5" t="str">
        <f>IFERROR(__xludf.DUMMYFUNCTION("GOOGLETRANSLATE(B41,""it"",""en"")"),"What is the name of the Morra variant practiced in Sardinia?")</f>
        <v>What is the name of the Morra variant practiced in Sardinia?</v>
      </c>
      <c r="I41" s="5" t="str">
        <f>IFERROR(__xludf.DUMMYFUNCTION("GOOGLETRANSLATE(C41,""it"",""en"")"),"A. Sardinian Morra B. Mediterranean Morra C. Sicilian Morra D. Piazza Morra")</f>
        <v>A. Sardinian Morra B. Mediterranean Morra C. Sicilian Morra D. Piazza Morra</v>
      </c>
      <c r="J41" s="5" t="str">
        <f>IFERROR(__xludf.DUMMYFUNCTION("GOOGLETRANSLATE(D41,""it"",""en"")"),"Sardinian Morra")</f>
        <v>Sardinian Morra</v>
      </c>
      <c r="K41" s="5" t="str">
        <f>IFERROR(__xludf.DUMMYFUNCTION("GOOGLETRANSLATE(E41,""it"",""en"")"),"The variant practiced in Sardinia is called ""Morra Sarda"".")</f>
        <v>The variant practiced in Sardinia is called "Morra Sarda".</v>
      </c>
    </row>
    <row r="42" ht="22.5" customHeight="1">
      <c r="A42" s="4">
        <v>41.0</v>
      </c>
      <c r="B42" s="5" t="s">
        <v>3988</v>
      </c>
      <c r="C42" s="5" t="s">
        <v>3989</v>
      </c>
      <c r="D42" s="5" t="s">
        <v>3990</v>
      </c>
      <c r="E42" s="5" t="s">
        <v>3991</v>
      </c>
      <c r="F42" s="15"/>
      <c r="G42" s="4">
        <v>41.0</v>
      </c>
      <c r="H42" s="5" t="str">
        <f>IFERROR(__xludf.DUMMYFUNCTION("GOOGLETRANSLATE(B42,""it"",""en"")"),"What does it feel like to be a winning player?")</f>
        <v>What does it feel like to be a winning player?</v>
      </c>
      <c r="I42" s="5" t="str">
        <f>IFERROR(__xludf.DUMMYFUNCTION("GOOGLETRANSLATE(C42,""it"",""en"")"),"A. Euphoria B. Happiness C. Frustration D. Relaxation")</f>
        <v>A. Euphoria B. Happiness C. Frustration D. Relaxation</v>
      </c>
      <c r="J42" s="5" t="str">
        <f>IFERROR(__xludf.DUMMYFUNCTION("GOOGLETRANSLATE(D42,""it"",""en"")"),"Happiness")</f>
        <v>Happiness</v>
      </c>
      <c r="K42" s="5" t="str">
        <f>IFERROR(__xludf.DUMMYFUNCTION("GOOGLETRANSLATE(E42,""it"",""en"")"),"The winner of La Morra generally feels a great sense of happiness.")</f>
        <v>The winner of La Morra generally feels a great sense of happiness.</v>
      </c>
    </row>
    <row r="43" ht="22.5" customHeight="1">
      <c r="A43" s="4">
        <v>42.0</v>
      </c>
      <c r="B43" s="5" t="s">
        <v>3992</v>
      </c>
      <c r="C43" s="5" t="s">
        <v>3993</v>
      </c>
      <c r="D43" s="5" t="s">
        <v>3994</v>
      </c>
      <c r="E43" s="5" t="s">
        <v>3995</v>
      </c>
      <c r="F43" s="15"/>
      <c r="G43" s="4">
        <v>42.0</v>
      </c>
      <c r="H43" s="5" t="str">
        <f>IFERROR(__xludf.DUMMYFUNCTION("GOOGLETRANSLATE(B43,""it"",""en"")"),"Who was the most famous Morra champion in the Middle Ages?")</f>
        <v>Who was the most famous Morra champion in the Middle Ages?</v>
      </c>
      <c r="I43" s="5" t="str">
        <f>IFERROR(__xludf.DUMMYFUNCTION("GOOGLETRANSLATE(C43,""it"",""en"")"),"A. Luigi of Naples B. Giovanni of Verona C. Richard the Lionheart D. Giuseppe Verdi")</f>
        <v>A. Luigi of Naples B. Giovanni of Verona C. Richard the Lionheart D. Giuseppe Verdi</v>
      </c>
      <c r="J43" s="5" t="str">
        <f>IFERROR(__xludf.DUMMYFUNCTION("GOOGLETRANSLATE(D43,""it"",""en"")"),"John of Verona")</f>
        <v>John of Verona</v>
      </c>
      <c r="K43" s="5" t="str">
        <f>IFERROR(__xludf.DUMMYFUNCTION("GOOGLETRANSLATE(E43,""it"",""en"")"),"Giovanni da Verona was known as one of the greatest champions of Morra in the Middle Ages.")</f>
        <v>Giovanni da Verona was known as one of the greatest champions of Morra in the Middle Ages.</v>
      </c>
    </row>
    <row r="44" ht="22.5" customHeight="1">
      <c r="A44" s="4">
        <v>43.0</v>
      </c>
      <c r="B44" s="5" t="s">
        <v>3996</v>
      </c>
      <c r="C44" s="5" t="s">
        <v>3997</v>
      </c>
      <c r="D44" s="5" t="s">
        <v>2980</v>
      </c>
      <c r="E44" s="5" t="s">
        <v>3998</v>
      </c>
      <c r="F44" s="15"/>
      <c r="G44" s="4">
        <v>43.0</v>
      </c>
      <c r="H44" s="5" t="str">
        <f>IFERROR(__xludf.DUMMYFUNCTION("GOOGLETRANSLATE(B44,""it"",""en"")"),"In which Italian city does the Morra national championship take place?")</f>
        <v>In which Italian city does the Morra national championship take place?</v>
      </c>
      <c r="I44" s="5" t="str">
        <f>IFERROR(__xludf.DUMMYFUNCTION("GOOGLETRANSLATE(C44,""it"",""en"")"),"A. Naples B. Rome C. Florence D. Milan")</f>
        <v>A. Naples B. Rome C. Florence D. Milan</v>
      </c>
      <c r="J44" s="5" t="str">
        <f>IFERROR(__xludf.DUMMYFUNCTION("GOOGLETRANSLATE(D44,""it"",""en"")"),"Rome")</f>
        <v>Rome</v>
      </c>
      <c r="K44" s="5" t="str">
        <f>IFERROR(__xludf.DUMMYFUNCTION("GOOGLETRANSLATE(E44,""it"",""en"")"),"The Morra national championship is held every year in Rome.")</f>
        <v>The Morra national championship is held every year in Rome.</v>
      </c>
    </row>
    <row r="45" ht="22.5" customHeight="1">
      <c r="A45" s="4">
        <v>44.0</v>
      </c>
      <c r="B45" s="5" t="s">
        <v>3999</v>
      </c>
      <c r="C45" s="5" t="s">
        <v>4000</v>
      </c>
      <c r="D45" s="5" t="s">
        <v>4001</v>
      </c>
      <c r="E45" s="5" t="s">
        <v>4002</v>
      </c>
      <c r="F45" s="15"/>
      <c r="G45" s="4">
        <v>44.0</v>
      </c>
      <c r="H45" s="5" t="str">
        <f>IFERROR(__xludf.DUMMYFUNCTION("GOOGLETRANSLATE(B45,""it"",""en"")"),"When was Morra played in Italian squares?")</f>
        <v>When was Morra played in Italian squares?</v>
      </c>
      <c r="I45" s="5" t="str">
        <f>IFERROR(__xludf.DUMMYFUNCTION("GOOGLETRANSLATE(C45,""it"",""en"")"),"A. Only in winter B. In spring and summer C. In autumn D. During all seasons")</f>
        <v>A. Only in winter B. In spring and summer C. In autumn D. During all seasons</v>
      </c>
      <c r="J45" s="5" t="str">
        <f>IFERROR(__xludf.DUMMYFUNCTION("GOOGLETRANSLATE(D45,""it"",""en"")"),"In spring and summer")</f>
        <v>In spring and summer</v>
      </c>
      <c r="K45" s="5" t="str">
        <f>IFERROR(__xludf.DUMMYFUNCTION("GOOGLETRANSLATE(E45,""it"",""en"")"),"Morra was often played in the squares during the spring and summer.")</f>
        <v>Morra was often played in the squares during the spring and summer.</v>
      </c>
    </row>
    <row r="46" ht="22.5" customHeight="1">
      <c r="A46" s="4">
        <v>45.0</v>
      </c>
      <c r="B46" s="5" t="s">
        <v>4003</v>
      </c>
      <c r="C46" s="5" t="s">
        <v>4004</v>
      </c>
      <c r="D46" s="5" t="s">
        <v>4005</v>
      </c>
      <c r="E46" s="5" t="s">
        <v>4006</v>
      </c>
      <c r="F46" s="15"/>
      <c r="G46" s="4">
        <v>45.0</v>
      </c>
      <c r="H46" s="5" t="str">
        <f>IFERROR(__xludf.DUMMYFUNCTION("GOOGLETRANSLATE(B46,""it"",""en"")"),"What is the name of the annual Morra tournament?")</f>
        <v>What is the name of the annual Morra tournament?</v>
      </c>
      <c r="I46" s="5" t="str">
        <f>IFERROR(__xludf.DUMMYFUNCTION("GOOGLETRANSLATE(C46,""it"",""en"")"),"A. Morra Championship B. Finger Game C. Italian Morra Championship D. Morra Show")</f>
        <v>A. Morra Championship B. Finger Game C. Italian Morra Championship D. Morra Show</v>
      </c>
      <c r="J46" s="5" t="str">
        <f>IFERROR(__xludf.DUMMYFUNCTION("GOOGLETRANSLATE(D46,""it"",""en"")"),"Italian Morra Championship")</f>
        <v>Italian Morra Championship</v>
      </c>
      <c r="K46" s="5" t="str">
        <f>IFERROR(__xludf.DUMMYFUNCTION("GOOGLETRANSLATE(E46,""it"",""en"")"),"The most important annual tournament in Morra is the ""Italian Morra Championship"".")</f>
        <v>The most important annual tournament in Morra is the "Italian Morra Championship".</v>
      </c>
    </row>
    <row r="47" ht="22.5" customHeight="1">
      <c r="A47" s="4">
        <v>46.0</v>
      </c>
      <c r="B47" s="5" t="s">
        <v>4007</v>
      </c>
      <c r="C47" s="5" t="s">
        <v>4008</v>
      </c>
      <c r="D47" s="5" t="s">
        <v>4009</v>
      </c>
      <c r="E47" s="5" t="s">
        <v>4010</v>
      </c>
      <c r="F47" s="15"/>
      <c r="G47" s="4">
        <v>46.0</v>
      </c>
      <c r="H47" s="5" t="str">
        <f>IFERROR(__xludf.DUMMYFUNCTION("GOOGLETRANSLATE(B47,""it"",""en"")"),"Who is considered the founder of the game of Morra?")</f>
        <v>Who is considered the founder of the game of Morra?</v>
      </c>
      <c r="I47" s="5" t="str">
        <f>IFERROR(__xludf.DUMMYFUNCTION("GOOGLETRANSLATE(C47,""it"",""en"")"),"A. Giuseppe Morra B. Giovanni da Napoli C. Luigi Bianchi D. An anonymous person")</f>
        <v>A. Giuseppe Morra B. Giovanni da Napoli C. Luigi Bianchi D. An anonymous person</v>
      </c>
      <c r="J47" s="5" t="str">
        <f>IFERROR(__xludf.DUMMYFUNCTION("GOOGLETRANSLATE(D47,""it"",""en"")"),"John from Naples")</f>
        <v>John from Naples</v>
      </c>
      <c r="K47" s="5" t="str">
        <f>IFERROR(__xludf.DUMMYFUNCTION("GOOGLETRANSLATE(E47,""it"",""en"")"),"Giovanni da Napoli is considered one of the main promoters of the game of Morra.")</f>
        <v>Giovanni da Napoli is considered one of the main promoters of the game of Morra.</v>
      </c>
    </row>
    <row r="48" ht="22.5" customHeight="1">
      <c r="A48" s="4">
        <v>47.0</v>
      </c>
      <c r="B48" s="5" t="s">
        <v>4011</v>
      </c>
      <c r="C48" s="5" t="s">
        <v>4012</v>
      </c>
      <c r="D48" s="5" t="s">
        <v>1551</v>
      </c>
      <c r="E48" s="5" t="s">
        <v>4013</v>
      </c>
      <c r="F48" s="15"/>
      <c r="G48" s="4">
        <v>47.0</v>
      </c>
      <c r="H48" s="5" t="str">
        <f>IFERROR(__xludf.DUMMYFUNCTION("GOOGLETRANSLATE(B48,""it"",""en"")"),"In which century did Morra become a popular game in Italian squares?")</f>
        <v>In which century did Morra become a popular game in Italian squares?</v>
      </c>
      <c r="I48" s="5" t="str">
        <f>IFERROR(__xludf.DUMMYFUNCTION("GOOGLETRANSLATE(C48,""it"",""en"")"),"A. 12th century B. 13th century C. 14th century D. 16th century")</f>
        <v>A. 12th century B. 13th century C. 14th century D. 16th century</v>
      </c>
      <c r="J48" s="5" t="str">
        <f>IFERROR(__xludf.DUMMYFUNCTION("GOOGLETRANSLATE(D48,""it"",""en"")"),"13th century")</f>
        <v>13th century</v>
      </c>
      <c r="K48" s="5" t="str">
        <f>IFERROR(__xludf.DUMMYFUNCTION("GOOGLETRANSLATE(E48,""it"",""en"")"),"La Morra became popular in Italian squares in the 13th century.")</f>
        <v>La Morra became popular in Italian squares in the 13th century.</v>
      </c>
    </row>
    <row r="49" ht="22.5" customHeight="1">
      <c r="A49" s="4">
        <v>48.0</v>
      </c>
      <c r="B49" s="5" t="s">
        <v>4014</v>
      </c>
      <c r="C49" s="5" t="s">
        <v>4015</v>
      </c>
      <c r="D49" s="5" t="s">
        <v>4016</v>
      </c>
      <c r="E49" s="5" t="s">
        <v>4017</v>
      </c>
      <c r="F49" s="15"/>
      <c r="G49" s="4">
        <v>48.0</v>
      </c>
      <c r="H49" s="5" t="str">
        <f>IFERROR(__xludf.DUMMYFUNCTION("GOOGLETRANSLATE(B49,""it"",""en"")"),"What is one of the main characteristics of Morra?")</f>
        <v>What is one of the main characteristics of Morra?</v>
      </c>
      <c r="I49" s="5" t="str">
        <f>IFERROR(__xludf.DUMMYFUNCTION("GOOGLETRANSLATE(C49,""it"",""en"")"),"A. It's a game of words B. It's a game of chance C. It's a game of strategy D. It's a game of dexterity")</f>
        <v>A. It's a game of words B. It's a game of chance C. It's a game of strategy D. It's a game of dexterity</v>
      </c>
      <c r="J49" s="5" t="str">
        <f>IFERROR(__xludf.DUMMYFUNCTION("GOOGLETRANSLATE(D49,""it"",""en"")"),"It's a game of dexterity")</f>
        <v>It's a game of dexterity</v>
      </c>
      <c r="K49" s="5" t="str">
        <f>IFERROR(__xludf.DUMMYFUNCTION("GOOGLETRANSLATE(E49,""it"",""en"")"),"Morra is based on the dexterity and speed of the players in showing their fingers.")</f>
        <v>Morra is based on the dexterity and speed of the players in showing their fingers.</v>
      </c>
    </row>
    <row r="50" ht="22.5" customHeight="1">
      <c r="A50" s="4">
        <v>49.0</v>
      </c>
      <c r="B50" s="5" t="s">
        <v>4018</v>
      </c>
      <c r="C50" s="5" t="s">
        <v>4019</v>
      </c>
      <c r="D50" s="5" t="s">
        <v>4020</v>
      </c>
      <c r="E50" s="5" t="s">
        <v>4021</v>
      </c>
      <c r="F50" s="15"/>
      <c r="G50" s="4">
        <v>49.0</v>
      </c>
      <c r="H50" s="5" t="str">
        <f>IFERROR(__xludf.DUMMYFUNCTION("GOOGLETRANSLATE(B50,""it"",""en"")"),"How many hands are typically played in a Morra tournament?")</f>
        <v>How many hands are typically played in a Morra tournament?</v>
      </c>
      <c r="I50" s="5" t="str">
        <f>IFERROR(__xludf.DUMMYFUNCTION("GOOGLETRANSLATE(C50,""it"",""en"")"),"A. 5 hands B. 10 hands C. 20 hands D. 30 hands")</f>
        <v>A. 5 hands B. 10 hands C. 20 hands D. 30 hands</v>
      </c>
      <c r="J50" s="5" t="str">
        <f>IFERROR(__xludf.DUMMYFUNCTION("GOOGLETRANSLATE(D50,""it"",""en"")"),"10 hands")</f>
        <v>10 hands</v>
      </c>
      <c r="K50" s="5" t="str">
        <f>IFERROR(__xludf.DUMMYFUNCTION("GOOGLETRANSLATE(E50,""it"",""en"")"),"In a Morra tournament, 10 hands are generally played between the participants.")</f>
        <v>In a Morra tournament, 10 hands are generally played between the participants.</v>
      </c>
    </row>
    <row r="51" ht="22.5" customHeight="1">
      <c r="A51" s="4">
        <v>50.0</v>
      </c>
      <c r="B51" s="5" t="s">
        <v>4022</v>
      </c>
      <c r="C51" s="5" t="s">
        <v>4023</v>
      </c>
      <c r="D51" s="5" t="s">
        <v>4024</v>
      </c>
      <c r="E51" s="5" t="s">
        <v>4025</v>
      </c>
      <c r="F51" s="15"/>
      <c r="G51" s="4">
        <v>50.0</v>
      </c>
      <c r="H51" s="5" t="str">
        <f>IFERROR(__xludf.DUMMYFUNCTION("GOOGLETRANSLATE(B51,""it"",""en"")"),"What other Italian sport can be considered similar to Morra?")</f>
        <v>What other Italian sport can be considered similar to Morra?</v>
      </c>
      <c r="I51" s="5" t="str">
        <f>IFERROR(__xludf.DUMMYFUNCTION("GOOGLETRANSLATE(C51,""it"",""en"")"),"A. Football B. Five-a-side football C. Table tennis D. Ball and bracelet")</f>
        <v>A. Football B. Five-a-side football C. Table tennis D. Ball and bracelet</v>
      </c>
      <c r="J51" s="5" t="str">
        <f>IFERROR(__xludf.DUMMYFUNCTION("GOOGLETRANSLATE(D51,""it"",""en"")"),"Ball with Bracelet")</f>
        <v>Ball with Bracelet</v>
      </c>
      <c r="K51" s="5" t="str">
        <f>IFERROR(__xludf.DUMMYFUNCTION("GOOGLETRANSLATE(E51,""it"",""en"")"),"""Pallone col Bracciale"" is a traditional Italian sport that may seem similar to La Morra.")</f>
        <v>"Pallone col Bracciale" is a traditional Italian sport that may seem similar to La Morra.</v>
      </c>
    </row>
    <row r="52" ht="22.5" customHeight="1">
      <c r="A52" s="4">
        <v>51.0</v>
      </c>
      <c r="B52" s="5" t="s">
        <v>4026</v>
      </c>
      <c r="C52" s="5" t="s">
        <v>4027</v>
      </c>
      <c r="D52" s="5" t="s">
        <v>3978</v>
      </c>
      <c r="E52" s="5" t="s">
        <v>4028</v>
      </c>
      <c r="F52" s="15"/>
      <c r="G52" s="4">
        <v>51.0</v>
      </c>
      <c r="H52" s="5" t="str">
        <f>IFERROR(__xludf.DUMMYFUNCTION("GOOGLETRANSLATE(B52,""it"",""en"")"),"Which historical figure wrote a poem about Morra?")</f>
        <v>Which historical figure wrote a poem about Morra?</v>
      </c>
      <c r="I52" s="5" t="str">
        <f>IFERROR(__xludf.DUMMYFUNCTION("GOOGLETRANSLATE(C52,""it"",""en"")"),"A. Dante Alighieri B. Giovanni Boccaccio C. Francesco Petrarca D. Giuseppe Verdi")</f>
        <v>A. Dante Alighieri B. Giovanni Boccaccio C. Francesco Petrarca D. Giuseppe Verdi</v>
      </c>
      <c r="J52" s="5" t="str">
        <f>IFERROR(__xludf.DUMMYFUNCTION("GOOGLETRANSLATE(D52,""it"",""en"")"),"John Boccaccio")</f>
        <v>John Boccaccio</v>
      </c>
      <c r="K52" s="5" t="str">
        <f>IFERROR(__xludf.DUMMYFUNCTION("GOOGLETRANSLATE(E52,""it"",""en"")"),"Giovanni Boccaccio wrote a poem about the popularity of La Morra.")</f>
        <v>Giovanni Boccaccio wrote a poem about the popularity of La Morra.</v>
      </c>
    </row>
    <row r="53" ht="22.5" customHeight="1">
      <c r="A53" s="4">
        <v>52.0</v>
      </c>
      <c r="B53" s="5" t="s">
        <v>4029</v>
      </c>
      <c r="C53" s="5" t="s">
        <v>4030</v>
      </c>
      <c r="D53" s="5" t="s">
        <v>4031</v>
      </c>
      <c r="E53" s="5" t="s">
        <v>4032</v>
      </c>
      <c r="F53" s="15"/>
      <c r="G53" s="4">
        <v>52.0</v>
      </c>
      <c r="H53" s="5" t="str">
        <f>IFERROR(__xludf.DUMMYFUNCTION("GOOGLETRANSLATE(B53,""it"",""en"")"),"What is the most common technique for winning at Morra?")</f>
        <v>What is the most common technique for winning at Morra?</v>
      </c>
      <c r="I53" s="5" t="str">
        <f>IFERROR(__xludf.DUMMYFUNCTION("GOOGLETRANSLATE(C53,""it"",""en"")"),"A. Flexibility of the hands B. Observation of the opponent C. Prediction of the number shown D. Instant reaction")</f>
        <v>A. Flexibility of the hands B. Observation of the opponent C. Prediction of the number shown D. Instant reaction</v>
      </c>
      <c r="J53" s="5" t="str">
        <f>IFERROR(__xludf.DUMMYFUNCTION("GOOGLETRANSLATE(D53,""it"",""en"")"),"Instant reaction")</f>
        <v>Instant reaction</v>
      </c>
      <c r="K53" s="5" t="str">
        <f>IFERROR(__xludf.DUMMYFUNCTION("GOOGLETRANSLATE(E53,""it"",""en"")"),"The key to winning in Morra is instant reaction and speed in responding.")</f>
        <v>The key to winning in Morra is instant reaction and speed in responding.</v>
      </c>
    </row>
    <row r="54" ht="22.5" customHeight="1">
      <c r="A54" s="4">
        <v>53.0</v>
      </c>
      <c r="B54" s="5" t="s">
        <v>4033</v>
      </c>
      <c r="C54" s="5" t="s">
        <v>4034</v>
      </c>
      <c r="D54" s="5" t="s">
        <v>4035</v>
      </c>
      <c r="E54" s="5" t="s">
        <v>4036</v>
      </c>
      <c r="F54" s="15"/>
      <c r="G54" s="4">
        <v>53.0</v>
      </c>
      <c r="H54" s="5" t="str">
        <f>IFERROR(__xludf.DUMMYFUNCTION("GOOGLETRANSLATE(B54,""it"",""en"")"),"In which historical event was La Morra used to decide the winner?")</f>
        <v>In which historical event was La Morra used to decide the winner?</v>
      </c>
      <c r="I54" s="5" t="str">
        <f>IFERROR(__xludf.DUMMYFUNCTION("GOOGLETRANSLATE(C54,""it"",""en"")"),"A. During the Renaissance B. In medieval battles C. At religious fairs D. At local festivals")</f>
        <v>A. During the Renaissance B. In medieval battles C. At religious fairs D. At local festivals</v>
      </c>
      <c r="J54" s="5" t="str">
        <f>IFERROR(__xludf.DUMMYFUNCTION("GOOGLETRANSLATE(D54,""it"",""en"")"),"In medieval battles")</f>
        <v>In medieval battles</v>
      </c>
      <c r="K54" s="5" t="str">
        <f>IFERROR(__xludf.DUMMYFUNCTION("GOOGLETRANSLATE(E54,""it"",""en"")"),"La Morra was used during medieval battles as a way to decide the winner.")</f>
        <v>La Morra was used during medieval battles as a way to decide the winner.</v>
      </c>
    </row>
    <row r="55" ht="22.5" customHeight="1">
      <c r="A55" s="4">
        <v>54.0</v>
      </c>
      <c r="B55" s="5" t="s">
        <v>4037</v>
      </c>
      <c r="C55" s="5" t="s">
        <v>4038</v>
      </c>
      <c r="D55" s="5" t="s">
        <v>4039</v>
      </c>
      <c r="E55" s="5" t="s">
        <v>4040</v>
      </c>
      <c r="F55" s="15"/>
      <c r="G55" s="4">
        <v>54.0</v>
      </c>
      <c r="H55" s="5" t="str">
        <f>IFERROR(__xludf.DUMMYFUNCTION("GOOGLETRANSLATE(B55,""it"",""en"")"),"Which people introduced La Morra to Italy?")</f>
        <v>Which people introduced La Morra to Italy?</v>
      </c>
      <c r="I55" s="5" t="str">
        <f>IFERROR(__xludf.DUMMYFUNCTION("GOOGLETRANSLATE(C55,""it"",""en"")"),"A. The Romans B. The Etruscans C. The Germanic tribes D. The Celtic tribes")</f>
        <v>A. The Romans B. The Etruscans C. The Germanic tribes D. The Celtic tribes</v>
      </c>
      <c r="J55" s="5" t="str">
        <f>IFERROR(__xludf.DUMMYFUNCTION("GOOGLETRANSLATE(D55,""it"",""en"")"),"The Romans")</f>
        <v>The Romans</v>
      </c>
      <c r="K55" s="5" t="str">
        <f>IFERROR(__xludf.DUMMYFUNCTION("GOOGLETRANSLATE(E55,""it"",""en"")"),"Morra was introduced to Italy by the Romans as a street game.")</f>
        <v>Morra was introduced to Italy by the Romans as a street game.</v>
      </c>
    </row>
    <row r="56" ht="22.5" customHeight="1">
      <c r="A56" s="4">
        <v>55.0</v>
      </c>
      <c r="B56" s="5" t="s">
        <v>4041</v>
      </c>
      <c r="C56" s="5" t="s">
        <v>4042</v>
      </c>
      <c r="D56" s="5" t="s">
        <v>4043</v>
      </c>
      <c r="E56" s="5" t="s">
        <v>4044</v>
      </c>
      <c r="F56" s="15"/>
      <c r="G56" s="4">
        <v>55.0</v>
      </c>
      <c r="H56" s="5" t="str">
        <f>IFERROR(__xludf.DUMMYFUNCTION("GOOGLETRANSLATE(B56,""it"",""en"")"),"When did Morra tournaments take place in Italian squares?")</f>
        <v>When did Morra tournaments take place in Italian squares?</v>
      </c>
      <c r="I56" s="5" t="str">
        <f>IFERROR(__xludf.DUMMYFUNCTION("GOOGLETRANSLATE(C56,""it"",""en"")"),"A. During religious holidays B. During Carnival C. In summer and autumn D. During fairs and festivals")</f>
        <v>A. During religious holidays B. During Carnival C. In summer and autumn D. During fairs and festivals</v>
      </c>
      <c r="J56" s="5" t="str">
        <f>IFERROR(__xludf.DUMMYFUNCTION("GOOGLETRANSLATE(D56,""it"",""en"")"),"During fairs and festivals")</f>
        <v>During fairs and festivals</v>
      </c>
      <c r="K56" s="5" t="str">
        <f>IFERROR(__xludf.DUMMYFUNCTION("GOOGLETRANSLATE(E56,""it"",""en"")"),"Morra was often played during local fairs and festivals.")</f>
        <v>Morra was often played during local fairs and festivals.</v>
      </c>
    </row>
    <row r="57" ht="22.5" customHeight="1">
      <c r="A57" s="4">
        <v>56.0</v>
      </c>
      <c r="B57" s="5" t="s">
        <v>4045</v>
      </c>
      <c r="C57" s="5" t="s">
        <v>4046</v>
      </c>
      <c r="D57" s="5" t="s">
        <v>4047</v>
      </c>
      <c r="E57" s="5" t="s">
        <v>4048</v>
      </c>
      <c r="F57" s="15"/>
      <c r="G57" s="4">
        <v>56.0</v>
      </c>
      <c r="H57" s="5" t="str">
        <f>IFERROR(__xludf.DUMMYFUNCTION("GOOGLETRANSLATE(B57,""it"",""en"")"),"What is the objective of the game of Morra?")</f>
        <v>What is the objective of the game of Morra?</v>
      </c>
      <c r="I57" s="5" t="str">
        <f>IFERROR(__xludf.DUMMYFUNCTION("GOOGLETRANSLATE(C57,""it"",""en"")"),"A. Guess the exact number B. Impersonate the opponent C. Discover the secret number D. Be the fastest")</f>
        <v>A. Guess the exact number B. Impersonate the opponent C. Discover the secret number D. Be the fastest</v>
      </c>
      <c r="J57" s="5" t="str">
        <f>IFERROR(__xludf.DUMMYFUNCTION("GOOGLETRANSLATE(D57,""it"",""en"")"),"Guess the exact number")</f>
        <v>Guess the exact number</v>
      </c>
      <c r="K57" s="5" t="str">
        <f>IFERROR(__xludf.DUMMYFUNCTION("GOOGLETRANSLATE(E57,""it"",""en"")"),"The aim of the game of Morra is to guess the number of fingers shown by the opponent.")</f>
        <v>The aim of the game of Morra is to guess the number of fingers shown by the opponent.</v>
      </c>
    </row>
    <row r="58" ht="22.5" customHeight="1">
      <c r="A58" s="4">
        <v>57.0</v>
      </c>
      <c r="B58" s="5" t="s">
        <v>4049</v>
      </c>
      <c r="C58" s="5" t="s">
        <v>4050</v>
      </c>
      <c r="D58" s="5" t="s">
        <v>4051</v>
      </c>
      <c r="E58" s="5" t="s">
        <v>4052</v>
      </c>
      <c r="F58" s="15"/>
      <c r="G58" s="4">
        <v>57.0</v>
      </c>
      <c r="H58" s="5" t="str">
        <f>IFERROR(__xludf.DUMMYFUNCTION("GOOGLETRANSLATE(B58,""it"",""en"")"),"What type of game is La Morra considered?")</f>
        <v>What type of game is La Morra considered?</v>
      </c>
      <c r="I58" s="5" t="str">
        <f>IFERROR(__xludf.DUMMYFUNCTION("GOOGLETRANSLATE(C58,""it"",""en"")"),"A. Of action B. Of reflexes C. Of luck D. Of resistance")</f>
        <v>A. Of action B. Of reflexes C. Of luck D. Of resistance</v>
      </c>
      <c r="J58" s="5" t="str">
        <f>IFERROR(__xludf.DUMMYFUNCTION("GOOGLETRANSLATE(D58,""it"",""en"")"),"Of reflections")</f>
        <v>Of reflections</v>
      </c>
      <c r="K58" s="5" t="str">
        <f>IFERROR(__xludf.DUMMYFUNCTION("GOOGLETRANSLATE(E58,""it"",""en"")"),"Morra is primarily a game that tests the players' quick reflexes.")</f>
        <v>Morra is primarily a game that tests the players' quick reflexes.</v>
      </c>
    </row>
    <row r="59" ht="22.5" customHeight="1">
      <c r="A59" s="4">
        <v>58.0</v>
      </c>
      <c r="B59" s="5" t="s">
        <v>4053</v>
      </c>
      <c r="C59" s="5" t="s">
        <v>4054</v>
      </c>
      <c r="D59" s="5" t="s">
        <v>4055</v>
      </c>
      <c r="E59" s="5" t="s">
        <v>4056</v>
      </c>
      <c r="F59" s="15"/>
      <c r="G59" s="4">
        <v>58.0</v>
      </c>
      <c r="H59" s="5" t="str">
        <f>IFERROR(__xludf.DUMMYFUNCTION("GOOGLETRANSLATE(B59,""it"",""en"")"),"How is the game of Morra defined in literature?")</f>
        <v>How is the game of Morra defined in literature?</v>
      </c>
      <c r="I59" s="5" t="str">
        <f>IFERROR(__xludf.DUMMYFUNCTION("GOOGLETRANSLATE(C59,""it"",""en"")"),"A. Social game B. Competitive game C. Training game D. Square game")</f>
        <v>A. Social game B. Competitive game C. Training game D. Square game</v>
      </c>
      <c r="J59" s="5" t="str">
        <f>IFERROR(__xludf.DUMMYFUNCTION("GOOGLETRANSLATE(D59,""it"",""en"")"),"Square game")</f>
        <v>Square game</v>
      </c>
      <c r="K59" s="5" t="str">
        <f>IFERROR(__xludf.DUMMYFUNCTION("GOOGLETRANSLATE(E59,""it"",""en"")"),"La Morra is defined as a ""street game"" in Italian literary traditions.")</f>
        <v>La Morra is defined as a "street game" in Italian literary traditions.</v>
      </c>
    </row>
    <row r="60" ht="22.5" customHeight="1">
      <c r="A60" s="4">
        <v>59.0</v>
      </c>
      <c r="B60" s="5" t="s">
        <v>4057</v>
      </c>
      <c r="C60" s="5" t="s">
        <v>4058</v>
      </c>
      <c r="D60" s="5" t="s">
        <v>4059</v>
      </c>
      <c r="E60" s="5" t="s">
        <v>4060</v>
      </c>
      <c r="F60" s="15"/>
      <c r="G60" s="4">
        <v>59.0</v>
      </c>
      <c r="H60" s="5" t="str">
        <f>IFERROR(__xludf.DUMMYFUNCTION("GOOGLETRANSLATE(B60,""it"",""en"")"),"In which part of Italy is La Morra less known?")</f>
        <v>In which part of Italy is La Morra less known?</v>
      </c>
      <c r="I60" s="5" t="str">
        <f>IFERROR(__xludf.DUMMYFUNCTION("GOOGLETRANSLATE(C60,""it"",""en"")"),"A. North B. Center C. Island D. South")</f>
        <v>A. North B. Center C. Island D. South</v>
      </c>
      <c r="J60" s="5" t="str">
        <f>IFERROR(__xludf.DUMMYFUNCTION("GOOGLETRANSLATE(D60,""it"",""en"")"),"North")</f>
        <v>North</v>
      </c>
      <c r="K60" s="5" t="str">
        <f>IFERROR(__xludf.DUMMYFUNCTION("GOOGLETRANSLATE(E60,""it"",""en"")"),"La Morra is less known in the northern regions of Italy.")</f>
        <v>La Morra is less known in the northern regions of Italy.</v>
      </c>
    </row>
    <row r="61" ht="22.5" customHeight="1">
      <c r="A61" s="4">
        <v>60.0</v>
      </c>
      <c r="B61" s="5" t="s">
        <v>4061</v>
      </c>
      <c r="C61" s="5" t="s">
        <v>4062</v>
      </c>
      <c r="D61" s="5" t="s">
        <v>4063</v>
      </c>
      <c r="E61" s="5" t="s">
        <v>4064</v>
      </c>
      <c r="F61" s="15"/>
      <c r="G61" s="4">
        <v>60.0</v>
      </c>
      <c r="H61" s="5" t="str">
        <f>IFERROR(__xludf.DUMMYFUNCTION("GOOGLETRANSLATE(B61,""it"",""en"")"),"Who is the ideal audience for Morra tournaments?")</f>
        <v>Who is the ideal audience for Morra tournaments?</v>
      </c>
      <c r="I61" s="5" t="str">
        <f>IFERROR(__xludf.DUMMYFUNCTION("GOOGLETRANSLATE(C61,""it"",""en"")"),"A. Seniors only B. Young adults C. Traditional game enthusiasts D. Everyone")</f>
        <v>A. Seniors only B. Young adults C. Traditional game enthusiasts D. Everyone</v>
      </c>
      <c r="J61" s="5" t="str">
        <f>IFERROR(__xludf.DUMMYFUNCTION("GOOGLETRANSLATE(D61,""it"",""en"")"),"Everyone")</f>
        <v>Everyone</v>
      </c>
      <c r="K61" s="5" t="str">
        <f>IFERROR(__xludf.DUMMYFUNCTION("GOOGLETRANSLATE(E61,""it"",""en"")"),"The ideal audience for Morra tournaments is very varied and includes people of all ages.")</f>
        <v>The ideal audience for Morra tournaments is very varied and includes people of all ages.</v>
      </c>
    </row>
    <row r="62" ht="22.5" customHeight="1">
      <c r="A62" s="4">
        <v>61.0</v>
      </c>
      <c r="B62" s="5" t="s">
        <v>4065</v>
      </c>
      <c r="C62" s="5" t="s">
        <v>4066</v>
      </c>
      <c r="D62" s="5" t="s">
        <v>4067</v>
      </c>
      <c r="E62" s="5" t="s">
        <v>4068</v>
      </c>
      <c r="F62" s="15"/>
      <c r="G62" s="4">
        <v>61.0</v>
      </c>
      <c r="H62" s="5" t="str">
        <f>IFERROR(__xludf.DUMMYFUNCTION("GOOGLETRANSLATE(B62,""it"",""en"")"),"In which city is La Morra considered a cultural heritage site?")</f>
        <v>In which city is La Morra considered a cultural heritage site?</v>
      </c>
      <c r="I62" s="5" t="str">
        <f>IFERROR(__xludf.DUMMYFUNCTION("GOOGLETRANSLATE(C62,""it"",""en"")"),"A. Palermo B. Rome C. Florence D. Genoa")</f>
        <v>A. Palermo B. Rome C. Florence D. Genoa</v>
      </c>
      <c r="J62" s="5" t="str">
        <f>IFERROR(__xludf.DUMMYFUNCTION("GOOGLETRANSLATE(D62,""it"",""en"")"),"Palermo")</f>
        <v>Palermo</v>
      </c>
      <c r="K62" s="5" t="str">
        <f>IFERROR(__xludf.DUMMYFUNCTION("GOOGLETRANSLATE(E62,""it"",""en"")"),"Palermo has declared La Morra a cultural heritage of its city.")</f>
        <v>Palermo has declared La Morra a cultural heritage of its city.</v>
      </c>
    </row>
    <row r="63" ht="22.5" customHeight="1">
      <c r="A63" s="4">
        <v>62.0</v>
      </c>
      <c r="B63" s="5" t="s">
        <v>4069</v>
      </c>
      <c r="C63" s="5" t="s">
        <v>4070</v>
      </c>
      <c r="D63" s="5" t="s">
        <v>4071</v>
      </c>
      <c r="E63" s="5" t="s">
        <v>4072</v>
      </c>
      <c r="F63" s="15"/>
      <c r="G63" s="4">
        <v>62.0</v>
      </c>
      <c r="H63" s="5" t="str">
        <f>IFERROR(__xludf.DUMMYFUNCTION("GOOGLETRANSLATE(B63,""it"",""en"")"),"What is the main reason why La Morra has been kept alive over time?")</f>
        <v>What is the main reason why La Morra has been kept alive over time?</v>
      </c>
      <c r="I63" s="5" t="str">
        <f>IFERROR(__xludf.DUMMYFUNCTION("GOOGLETRANSLATE(C63,""it"",""en"")"),"A. For its ease of play B. For its cultural tradition C. For its educational value D. For its social appeal")</f>
        <v>A. For its ease of play B. For its cultural tradition C. For its educational value D. For its social appeal</v>
      </c>
      <c r="J63" s="5" t="str">
        <f>IFERROR(__xludf.DUMMYFUNCTION("GOOGLETRANSLATE(D63,""it"",""en"")"),"For its cultural tradition")</f>
        <v>For its cultural tradition</v>
      </c>
      <c r="K63" s="5" t="str">
        <f>IFERROR(__xludf.DUMMYFUNCTION("GOOGLETRANSLATE(E63,""it"",""en"")"),"La Morra has been kept alive thanks to its strong cultural tradition in many Italian cities.")</f>
        <v>La Morra has been kept alive thanks to its strong cultural tradition in many Italian cities.</v>
      </c>
    </row>
    <row r="64" ht="22.5" customHeight="1">
      <c r="A64" s="4">
        <v>63.0</v>
      </c>
      <c r="B64" s="5" t="s">
        <v>4073</v>
      </c>
      <c r="C64" s="5" t="s">
        <v>4074</v>
      </c>
      <c r="D64" s="5" t="s">
        <v>4075</v>
      </c>
      <c r="E64" s="5" t="s">
        <v>4076</v>
      </c>
      <c r="F64" s="15"/>
      <c r="G64" s="4">
        <v>63.0</v>
      </c>
      <c r="H64" s="5" t="str">
        <f>IFERROR(__xludf.DUMMYFUNCTION("GOOGLETRANSLATE(B64,""it"",""en"")"),"When does the annual festival dedicated to La Morra take place?")</f>
        <v>When does the annual festival dedicated to La Morra take place?</v>
      </c>
      <c r="I64" s="5" t="str">
        <f>IFERROR(__xludf.DUMMYFUNCTION("GOOGLETRANSLATE(C64,""it"",""en"")"),"A. At Christmas B. At Easter C. During Carnival D. During the summer holidays")</f>
        <v>A. At Christmas B. At Easter C. During Carnival D. During the summer holidays</v>
      </c>
      <c r="J64" s="5" t="str">
        <f>IFERROR(__xludf.DUMMYFUNCTION("GOOGLETRANSLATE(D64,""it"",""en"")"),"During Carnival")</f>
        <v>During Carnival</v>
      </c>
      <c r="K64" s="5" t="str">
        <f>IFERROR(__xludf.DUMMYFUNCTION("GOOGLETRANSLATE(E64,""it"",""en"")"),"The annual festival dedicated to La Morra typically takes place during Carnival.")</f>
        <v>The annual festival dedicated to La Morra typically takes place during Carnival.</v>
      </c>
    </row>
    <row r="65" ht="22.5" customHeight="1">
      <c r="A65" s="4">
        <v>64.0</v>
      </c>
      <c r="B65" s="5" t="s">
        <v>4077</v>
      </c>
      <c r="C65" s="5" t="s">
        <v>4078</v>
      </c>
      <c r="D65" s="5" t="s">
        <v>4079</v>
      </c>
      <c r="E65" s="5" t="s">
        <v>4080</v>
      </c>
      <c r="F65" s="15"/>
      <c r="G65" s="4">
        <v>64.0</v>
      </c>
      <c r="H65" s="5" t="str">
        <f>IFERROR(__xludf.DUMMYFUNCTION("GOOGLETRANSLATE(B65,""it"",""en"")"),"What is the most important rule of Morra?")</f>
        <v>What is the most important rule of Morra?</v>
      </c>
      <c r="I65" s="5" t="str">
        <f>IFERROR(__xludf.DUMMYFUNCTION("GOOGLETRANSLATE(C65,""it"",""en"")"),"A. Never show the same number twice B. Never look your opponent in the eye C. Always guess the correct number D. Be the fastest in showing your fingers")</f>
        <v>A. Never show the same number twice B. Never look your opponent in the eye C. Always guess the correct number D. Be the fastest in showing your fingers</v>
      </c>
      <c r="J65" s="5" t="str">
        <f>IFERROR(__xludf.DUMMYFUNCTION("GOOGLETRANSLATE(D65,""it"",""en"")"),"Be the fastest at showing fingers")</f>
        <v>Be the fastest at showing fingers</v>
      </c>
      <c r="K65" s="5" t="str">
        <f>IFERROR(__xludf.DUMMYFUNCTION("GOOGLETRANSLATE(E65,""it"",""en"")"),"The most important rule of Morra is the speed in showing your fingers.")</f>
        <v>The most important rule of Morra is the speed in showing your fingers.</v>
      </c>
    </row>
    <row r="66" ht="22.5" customHeight="1">
      <c r="A66" s="4">
        <v>65.0</v>
      </c>
      <c r="B66" s="5" t="s">
        <v>4081</v>
      </c>
      <c r="C66" s="5" t="s">
        <v>4082</v>
      </c>
      <c r="D66" s="5" t="s">
        <v>4083</v>
      </c>
      <c r="E66" s="5" t="s">
        <v>4084</v>
      </c>
      <c r="F66" s="15"/>
      <c r="G66" s="4">
        <v>65.0</v>
      </c>
      <c r="H66" s="5" t="str">
        <f>IFERROR(__xludf.DUMMYFUNCTION("GOOGLETRANSLATE(B66,""it"",""en"")"),"When can a player declare his number in Morra?")</f>
        <v>When can a player declare his number in Morra?</v>
      </c>
      <c r="I66" s="5" t="str">
        <f>IFERROR(__xludf.DUMMYFUNCTION("GOOGLETRANSLATE(C66,""it"",""en"")"),"A. Before showing fingers B. Immediately after showing fingers C. When the opponent makes a mistake D. When the audience encourages him")</f>
        <v>A. Before showing fingers B. Immediately after showing fingers C. When the opponent makes a mistake D. When the audience encourages him</v>
      </c>
      <c r="J66" s="5" t="str">
        <f>IFERROR(__xludf.DUMMYFUNCTION("GOOGLETRANSLATE(D66,""it"",""en"")"),"Before showing fingers")</f>
        <v>Before showing fingers</v>
      </c>
      <c r="K66" s="5" t="str">
        <f>IFERROR(__xludf.DUMMYFUNCTION("GOOGLETRANSLATE(E66,""it"",""en"")"),"The player declares the number he intends to guess before showing his fingers.")</f>
        <v>The player declares the number he intends to guess before showing his fingers.</v>
      </c>
    </row>
    <row r="67" ht="22.5" customHeight="1">
      <c r="A67" s="4">
        <v>66.0</v>
      </c>
      <c r="B67" s="5" t="s">
        <v>4085</v>
      </c>
      <c r="C67" s="5" t="s">
        <v>4086</v>
      </c>
      <c r="D67" s="5" t="s">
        <v>4087</v>
      </c>
      <c r="E67" s="5" t="s">
        <v>4088</v>
      </c>
      <c r="F67" s="15"/>
      <c r="G67" s="4">
        <v>66.0</v>
      </c>
      <c r="H67" s="5" t="str">
        <f>IFERROR(__xludf.DUMMYFUNCTION("GOOGLETRANSLATE(B67,""it"",""en"")"),"Which part of the body is mainly involved in the game of Morra?")</f>
        <v>Which part of the body is mainly involved in the game of Morra?</v>
      </c>
      <c r="I67" s="5" t="str">
        <f>IFERROR(__xludf.DUMMYFUNCTION("GOOGLETRANSLATE(C67,""it"",""en"")"),"A. The hands B. The legs C. The face D. The chest")</f>
        <v>A. The hands B. The legs C. The face D. The chest</v>
      </c>
      <c r="J67" s="5" t="str">
        <f>IFERROR(__xludf.DUMMYFUNCTION("GOOGLETRANSLATE(D67,""it"",""en"")"),"The hands")</f>
        <v>The hands</v>
      </c>
      <c r="K67" s="5" t="str">
        <f>IFERROR(__xludf.DUMMYFUNCTION("GOOGLETRANSLATE(E67,""it"",""en"")"),"The hands are the part of the body mainly involved in the game of Morra.")</f>
        <v>The hands are the part of the body mainly involved in the game of Morra.</v>
      </c>
    </row>
    <row r="68" ht="22.5" customHeight="1">
      <c r="A68" s="4">
        <v>67.0</v>
      </c>
      <c r="B68" s="5" t="s">
        <v>4089</v>
      </c>
      <c r="C68" s="5" t="s">
        <v>4090</v>
      </c>
      <c r="D68" s="5" t="s">
        <v>4091</v>
      </c>
      <c r="E68" s="5" t="s">
        <v>4092</v>
      </c>
      <c r="F68" s="15"/>
      <c r="G68" s="4">
        <v>67.0</v>
      </c>
      <c r="H68" s="5" t="str">
        <f>IFERROR(__xludf.DUMMYFUNCTION("GOOGLETRANSLATE(B68,""it"",""en"")"),"In what year was the game of Morra introduced to Italy?")</f>
        <v>In what year was the game of Morra introduced to Italy?</v>
      </c>
      <c r="I68" s="5" t="str">
        <f>IFERROR(__xludf.DUMMYFUNCTION("GOOGLETRANSLATE(C68,""it"",""en"")"),"A. In 1000 AD B. In 1200 AD C. In 1500 AD D. In 1800 AD")</f>
        <v>A. In 1000 AD B. In 1200 AD C. In 1500 AD D. In 1800 AD</v>
      </c>
      <c r="J68" s="5" t="str">
        <f>IFERROR(__xludf.DUMMYFUNCTION("GOOGLETRANSLATE(D68,""it"",""en"")"),"In 1200 AD")</f>
        <v>In 1200 AD</v>
      </c>
      <c r="K68" s="5" t="str">
        <f>IFERROR(__xludf.DUMMYFUNCTION("GOOGLETRANSLATE(E68,""it"",""en"")"),"La Morra was introduced to Italy in 1200 AD during the medieval period.")</f>
        <v>La Morra was introduced to Italy in 1200 AD during the medieval period.</v>
      </c>
    </row>
    <row r="69" ht="22.5" customHeight="1">
      <c r="A69" s="4">
        <v>68.0</v>
      </c>
      <c r="B69" s="5" t="s">
        <v>4093</v>
      </c>
      <c r="C69" s="5" t="s">
        <v>4094</v>
      </c>
      <c r="D69" s="5" t="s">
        <v>4067</v>
      </c>
      <c r="E69" s="5" t="s">
        <v>4095</v>
      </c>
      <c r="F69" s="15"/>
      <c r="G69" s="4">
        <v>68.0</v>
      </c>
      <c r="H69" s="5" t="str">
        <f>IFERROR(__xludf.DUMMYFUNCTION("GOOGLETRANSLATE(B69,""it"",""en"")"),"Which Italian city is famous for an annual Morra tournament?")</f>
        <v>Which Italian city is famous for an annual Morra tournament?</v>
      </c>
      <c r="I69" s="5" t="str">
        <f>IFERROR(__xludf.DUMMYFUNCTION("GOOGLETRANSLATE(C69,""it"",""en"")"),"A. Naples B. Bologna C. Florence D. Palermo")</f>
        <v>A. Naples B. Bologna C. Florence D. Palermo</v>
      </c>
      <c r="J69" s="5" t="str">
        <f>IFERROR(__xludf.DUMMYFUNCTION("GOOGLETRANSLATE(D69,""it"",""en"")"),"Palermo")</f>
        <v>Palermo</v>
      </c>
      <c r="K69" s="5" t="str">
        <f>IFERROR(__xludf.DUMMYFUNCTION("GOOGLETRANSLATE(E69,""it"",""en"")"),"Palermo hosts a famous Morra tournament that attracts participants from all over Italy every year.")</f>
        <v>Palermo hosts a famous Morra tournament that attracts participants from all over Italy every year.</v>
      </c>
    </row>
    <row r="70" ht="22.5" customHeight="1">
      <c r="A70" s="4">
        <v>69.0</v>
      </c>
      <c r="B70" s="5" t="s">
        <v>4096</v>
      </c>
      <c r="C70" s="5" t="s">
        <v>4097</v>
      </c>
      <c r="D70" s="5" t="s">
        <v>4098</v>
      </c>
      <c r="E70" s="5" t="s">
        <v>4099</v>
      </c>
      <c r="F70" s="15"/>
      <c r="G70" s="4">
        <v>69.0</v>
      </c>
      <c r="H70" s="5" t="str">
        <f>IFERROR(__xludf.DUMMYFUNCTION("GOOGLETRANSLATE(B70,""it"",""en"")"),"What was the popular custom during fairs for playing Morra?")</f>
        <v>What was the popular custom during fairs for playing Morra?</v>
      </c>
      <c r="I70" s="5" t="str">
        <f>IFERROR(__xludf.DUMMYFUNCTION("GOOGLETRANSLATE(C70,""it"",""en"")"),"A. Playing under the fairground tent B. Playing during lunch C. Playing in the street D. Playing at sunset")</f>
        <v>A. Playing under the fairground tent B. Playing during lunch C. Playing in the street D. Playing at sunset</v>
      </c>
      <c r="J70" s="5" t="str">
        <f>IFERROR(__xludf.DUMMYFUNCTION("GOOGLETRANSLATE(D70,""it"",""en"")"),"Playing in the street")</f>
        <v>Playing in the street</v>
      </c>
      <c r="K70" s="5" t="str">
        <f>IFERROR(__xludf.DUMMYFUNCTION("GOOGLETRANSLATE(E70,""it"",""en"")"),"Tradition dictated that Morra was played in the streets during fairs and festivals.")</f>
        <v>Tradition dictated that Morra was played in the streets during fairs and festivals.</v>
      </c>
    </row>
    <row r="71" ht="22.5" customHeight="1">
      <c r="A71" s="4">
        <v>70.0</v>
      </c>
      <c r="B71" s="5" t="s">
        <v>4100</v>
      </c>
      <c r="C71" s="5" t="s">
        <v>4101</v>
      </c>
      <c r="D71" s="5" t="s">
        <v>4102</v>
      </c>
      <c r="E71" s="5" t="s">
        <v>4103</v>
      </c>
      <c r="F71" s="15"/>
      <c r="G71" s="4">
        <v>70.0</v>
      </c>
      <c r="H71" s="5" t="str">
        <f>IFERROR(__xludf.DUMMYFUNCTION("GOOGLETRANSLATE(B71,""it"",""en"")"),"In what period in history did the game of Morra become particularly popular?")</f>
        <v>In what period in history did the game of Morra become particularly popular?</v>
      </c>
      <c r="I71" s="5" t="str">
        <f>IFERROR(__xludf.DUMMYFUNCTION("GOOGLETRANSLATE(C71,""it"",""en"")"),"A. During the Middle Ages B. During the Renaissance C. During the Roman occupation D. During the Fascist period")</f>
        <v>A. During the Middle Ages B. During the Renaissance C. During the Roman occupation D. During the Fascist period</v>
      </c>
      <c r="J71" s="5" t="str">
        <f>IFERROR(__xludf.DUMMYFUNCTION("GOOGLETRANSLATE(D71,""it"",""en"")"),"During the medieval era")</f>
        <v>During the medieval era</v>
      </c>
      <c r="K71" s="5" t="str">
        <f>IFERROR(__xludf.DUMMYFUNCTION("GOOGLETRANSLATE(E71,""it"",""en"")"),"La Morra became very popular during the medieval era in Italy.")</f>
        <v>La Morra became very popular during the medieval era in Italy.</v>
      </c>
    </row>
    <row r="72" ht="22.5" customHeight="1">
      <c r="A72" s="4">
        <v>71.0</v>
      </c>
      <c r="B72" s="5" t="s">
        <v>4104</v>
      </c>
      <c r="C72" s="5" t="s">
        <v>4105</v>
      </c>
      <c r="D72" s="5" t="s">
        <v>1224</v>
      </c>
      <c r="E72" s="5" t="s">
        <v>4106</v>
      </c>
      <c r="F72" s="15"/>
      <c r="G72" s="4">
        <v>71.0</v>
      </c>
      <c r="H72" s="5" t="str">
        <f>IFERROR(__xludf.DUMMYFUNCTION("GOOGLETRANSLATE(B72,""it"",""en"")"),"In which century did La Morra begin to be described in Italian literary texts?")</f>
        <v>In which century did La Morra begin to be described in Italian literary texts?</v>
      </c>
      <c r="I72" s="5" t="str">
        <f>IFERROR(__xludf.DUMMYFUNCTION("GOOGLETRANSLATE(C72,""it"",""en"")"),"A. 15th century B. 14th century C. 16th century D. 17th century")</f>
        <v>A. 15th century B. 14th century C. 16th century D. 17th century</v>
      </c>
      <c r="J72" s="5" t="str">
        <f>IFERROR(__xludf.DUMMYFUNCTION("GOOGLETRANSLATE(D72,""it"",""en"")"),"14th century")</f>
        <v>14th century</v>
      </c>
      <c r="K72" s="5" t="str">
        <f>IFERROR(__xludf.DUMMYFUNCTION("GOOGLETRANSLATE(E72,""it"",""en"")"),"La Morra has been described in literary texts since the 14th century.")</f>
        <v>La Morra has been described in literary texts since the 14th century.</v>
      </c>
    </row>
    <row r="73" ht="22.5" customHeight="1">
      <c r="A73" s="4">
        <v>72.0</v>
      </c>
      <c r="B73" s="5" t="s">
        <v>4107</v>
      </c>
      <c r="C73" s="5" t="s">
        <v>4108</v>
      </c>
      <c r="D73" s="5" t="s">
        <v>1816</v>
      </c>
      <c r="E73" s="5" t="s">
        <v>4109</v>
      </c>
      <c r="F73" s="15"/>
      <c r="G73" s="4">
        <v>72.0</v>
      </c>
      <c r="H73" s="5" t="str">
        <f>IFERROR(__xludf.DUMMYFUNCTION("GOOGLETRANSLATE(B73,""it"",""en"")"),"How many people traditionally play Morra?")</f>
        <v>How many people traditionally play Morra?</v>
      </c>
      <c r="I73" s="5" t="str">
        <f>IFERROR(__xludf.DUMMYFUNCTION("GOOGLETRANSLATE(C73,""it"",""en"")"),"A. Two B. Four C. Six D. Ten")</f>
        <v>A. Two B. Four C. Six D. Ten</v>
      </c>
      <c r="J73" s="5" t="str">
        <f>IFERROR(__xludf.DUMMYFUNCTION("GOOGLETRANSLATE(D73,""it"",""en"")"),"Two")</f>
        <v>Two</v>
      </c>
      <c r="K73" s="5" t="str">
        <f>IFERROR(__xludf.DUMMYFUNCTION("GOOGLETRANSLATE(E73,""it"",""en"")"),"Morra is traditionally a game for two people who challenge each other directly.")</f>
        <v>Morra is traditionally a game for two people who challenge each other directly.</v>
      </c>
    </row>
    <row r="74" ht="22.5" customHeight="1">
      <c r="A74" s="4">
        <v>73.0</v>
      </c>
      <c r="B74" s="5" t="s">
        <v>4110</v>
      </c>
      <c r="C74" s="5" t="s">
        <v>4111</v>
      </c>
      <c r="D74" s="5" t="s">
        <v>4067</v>
      </c>
      <c r="E74" s="5" t="s">
        <v>4112</v>
      </c>
      <c r="F74" s="15"/>
      <c r="G74" s="4">
        <v>73.0</v>
      </c>
      <c r="H74" s="5" t="str">
        <f>IFERROR(__xludf.DUMMYFUNCTION("GOOGLETRANSLATE(B74,""it"",""en"")"),"In which Sicilian city is La Morra part of an annual festival?")</f>
        <v>In which Sicilian city is La Morra part of an annual festival?</v>
      </c>
      <c r="I74" s="5" t="str">
        <f>IFERROR(__xludf.DUMMYFUNCTION("GOOGLETRANSLATE(C74,""it"",""en"")"),"A. Catania B. Messina C. Palermo D. Trapani")</f>
        <v>A. Catania B. Messina C. Palermo D. Trapani</v>
      </c>
      <c r="J74" s="5" t="str">
        <f>IFERROR(__xludf.DUMMYFUNCTION("GOOGLETRANSLATE(D74,""it"",""en"")"),"Palermo")</f>
        <v>Palermo</v>
      </c>
      <c r="K74" s="5" t="str">
        <f>IFERROR(__xludf.DUMMYFUNCTION("GOOGLETRANSLATE(E74,""it"",""en"")"),"Palermo is the Sicilian city where La Morra is an integral part of an annual festival.")</f>
        <v>Palermo is the Sicilian city where La Morra is an integral part of an annual festival.</v>
      </c>
    </row>
    <row r="75" ht="22.5" customHeight="1">
      <c r="A75" s="4">
        <v>74.0</v>
      </c>
      <c r="B75" s="5" t="s">
        <v>4113</v>
      </c>
      <c r="C75" s="5" t="s">
        <v>4114</v>
      </c>
      <c r="D75" s="5" t="s">
        <v>4115</v>
      </c>
      <c r="E75" s="5" t="s">
        <v>4116</v>
      </c>
      <c r="F75" s="15"/>
      <c r="G75" s="4">
        <v>74.0</v>
      </c>
      <c r="H75" s="5" t="str">
        <f>IFERROR(__xludf.DUMMYFUNCTION("GOOGLETRANSLATE(B75,""it"",""en"")"),"What type of traditional festival is La Morra associated with?")</f>
        <v>What type of traditional festival is La Morra associated with?</v>
      </c>
      <c r="I75" s="5" t="str">
        <f>IFERROR(__xludf.DUMMYFUNCTION("GOOGLETRANSLATE(C75,""it"",""en"")"),"A. Religious festivals B. Agricultural festivals C. Carnival festivals D. Wedding festivals")</f>
        <v>A. Religious festivals B. Agricultural festivals C. Carnival festivals D. Wedding festivals</v>
      </c>
      <c r="J75" s="5" t="str">
        <f>IFERROR(__xludf.DUMMYFUNCTION("GOOGLETRANSLATE(D75,""it"",""en"")"),"Carnival celebrations")</f>
        <v>Carnival celebrations</v>
      </c>
      <c r="K75" s="5" t="str">
        <f>IFERROR(__xludf.DUMMYFUNCTION("GOOGLETRANSLATE(E75,""it"",""en"")"),"Morra is often played during Carnival celebrations in many Italian regions.")</f>
        <v>Morra is often played during Carnival celebrations in many Italian regions.</v>
      </c>
    </row>
    <row r="76" ht="22.5" customHeight="1">
      <c r="A76" s="4">
        <v>75.0</v>
      </c>
      <c r="B76" s="5" t="s">
        <v>4117</v>
      </c>
      <c r="C76" s="5" t="s">
        <v>4118</v>
      </c>
      <c r="D76" s="5" t="s">
        <v>4119</v>
      </c>
      <c r="E76" s="5" t="s">
        <v>4120</v>
      </c>
      <c r="F76" s="15"/>
      <c r="G76" s="4">
        <v>75.0</v>
      </c>
      <c r="H76" s="5" t="str">
        <f>IFERROR(__xludf.DUMMYFUNCTION("GOOGLETRANSLATE(B76,""it"",""en"")"),"Who are the main opponents in the game of Morra?")</f>
        <v>Who are the main opponents in the game of Morra?</v>
      </c>
      <c r="I76" s="5" t="str">
        <f>IFERROR(__xludf.DUMMYFUNCTION("GOOGLETRANSLATE(C76,""it"",""en"")"),"A. Teams B. Two individual players C. A single player against the crowd D. A single player against the clock")</f>
        <v>A. Teams B. Two individual players C. A single player against the crowd D. A single player against the clock</v>
      </c>
      <c r="J76" s="5" t="str">
        <f>IFERROR(__xludf.DUMMYFUNCTION("GOOGLETRANSLATE(D76,""it"",""en"")"),"Two single players")</f>
        <v>Two single players</v>
      </c>
      <c r="K76" s="5" t="str">
        <f>IFERROR(__xludf.DUMMYFUNCTION("GOOGLETRANSLATE(E76,""it"",""en"")"),"La Morra is a game between two players.")</f>
        <v>La Morra is a game between two players.</v>
      </c>
    </row>
    <row r="77" ht="22.5" customHeight="1">
      <c r="A77" s="4">
        <v>76.0</v>
      </c>
      <c r="B77" s="5" t="s">
        <v>4121</v>
      </c>
      <c r="C77" s="5" t="s">
        <v>4122</v>
      </c>
      <c r="D77" s="5" t="s">
        <v>4123</v>
      </c>
      <c r="E77" s="5" t="s">
        <v>4124</v>
      </c>
      <c r="F77" s="15"/>
      <c r="G77" s="4">
        <v>76.0</v>
      </c>
      <c r="H77" s="5" t="str">
        <f>IFERROR(__xludf.DUMMYFUNCTION("GOOGLETRANSLATE(B77,""it"",""en"")"),"What kind of physical preparation is necessary to play Morra?")</f>
        <v>What kind of physical preparation is necessary to play Morra?</v>
      </c>
      <c r="I77" s="5" t="str">
        <f>IFERROR(__xludf.DUMMYFUNCTION("GOOGLETRANSLATE(C77,""it"",""en"")"),"A. No physical preparation B. Cardiovascular training C. Hand training D. Mental training")</f>
        <v>A. No physical preparation B. Cardiovascular training C. Hand training D. Mental training</v>
      </c>
      <c r="J77" s="5" t="str">
        <f>IFERROR(__xludf.DUMMYFUNCTION("GOOGLETRANSLATE(D77,""it"",""en"")"),"Hand training")</f>
        <v>Hand training</v>
      </c>
      <c r="K77" s="5" t="str">
        <f>IFERROR(__xludf.DUMMYFUNCTION("GOOGLETRANSLATE(E77,""it"",""en"")"),"The main physical preparation for playing Morra involves training the hands to improve speed.")</f>
        <v>The main physical preparation for playing Morra involves training the hands to improve speed.</v>
      </c>
    </row>
    <row r="78" ht="22.5" customHeight="1">
      <c r="A78" s="4">
        <v>77.0</v>
      </c>
      <c r="B78" s="5" t="s">
        <v>4125</v>
      </c>
      <c r="C78" s="5" t="s">
        <v>4126</v>
      </c>
      <c r="D78" s="5" t="s">
        <v>4127</v>
      </c>
      <c r="E78" s="5" t="s">
        <v>4128</v>
      </c>
      <c r="F78" s="15"/>
      <c r="G78" s="4">
        <v>77.0</v>
      </c>
      <c r="H78" s="5" t="str">
        <f>IFERROR(__xludf.DUMMYFUNCTION("GOOGLETRANSLATE(B78,""it"",""en"")"),"In which century was Morra officially regulated as a game?")</f>
        <v>In which century was Morra officially regulated as a game?</v>
      </c>
      <c r="I78" s="5" t="str">
        <f>IFERROR(__xludf.DUMMYFUNCTION("GOOGLETRANSLATE(C78,""it"",""en"")"),"A. In the 15th century B. In the 16th century C. In the 18th century D. In the 19th century")</f>
        <v>A. In the 15th century B. In the 16th century C. In the 18th century D. In the 19th century</v>
      </c>
      <c r="J78" s="5" t="str">
        <f>IFERROR(__xludf.DUMMYFUNCTION("GOOGLETRANSLATE(D78,""it"",""en"")"),"In the 16th century")</f>
        <v>In the 16th century</v>
      </c>
      <c r="K78" s="5" t="str">
        <f>IFERROR(__xludf.DUMMYFUNCTION("GOOGLETRANSLATE(E78,""it"",""en"")"),"Morra was officially regulated as a game in the 16th century.")</f>
        <v>Morra was officially regulated as a game in the 16th century.</v>
      </c>
    </row>
    <row r="79" ht="22.5" customHeight="1">
      <c r="A79" s="4">
        <v>78.0</v>
      </c>
      <c r="B79" s="5" t="s">
        <v>4129</v>
      </c>
      <c r="C79" s="5" t="s">
        <v>4130</v>
      </c>
      <c r="D79" s="5" t="s">
        <v>4087</v>
      </c>
      <c r="E79" s="5" t="s">
        <v>4131</v>
      </c>
      <c r="F79" s="15"/>
      <c r="G79" s="4">
        <v>78.0</v>
      </c>
      <c r="H79" s="5" t="str">
        <f>IFERROR(__xludf.DUMMYFUNCTION("GOOGLETRANSLATE(B79,""it"",""en"")"),"What object is Morra traditionally played with?")</f>
        <v>What object is Morra traditionally played with?</v>
      </c>
      <c r="I79" s="5" t="str">
        <f>IFERROR(__xludf.DUMMYFUNCTION("GOOGLETRANSLATE(C79,""it"",""en"")"),"A. A stone B. A ball C. Hands D. A stick")</f>
        <v>A. A stone B. A ball C. Hands D. A stick</v>
      </c>
      <c r="J79" s="5" t="str">
        <f>IFERROR(__xludf.DUMMYFUNCTION("GOOGLETRANSLATE(D79,""it"",""en"")"),"The hands")</f>
        <v>The hands</v>
      </c>
      <c r="K79" s="5" t="str">
        <f>IFERROR(__xludf.DUMMYFUNCTION("GOOGLETRANSLATE(E79,""it"",""en"")"),"The game of Morra is traditionally played using the hands to show the fingers.")</f>
        <v>The game of Morra is traditionally played using the hands to show the fingers.</v>
      </c>
    </row>
    <row r="80" ht="22.5" customHeight="1">
      <c r="A80" s="4">
        <v>79.0</v>
      </c>
      <c r="B80" s="5" t="s">
        <v>4132</v>
      </c>
      <c r="C80" s="5" t="s">
        <v>4133</v>
      </c>
      <c r="D80" s="5" t="s">
        <v>4134</v>
      </c>
      <c r="E80" s="5" t="s">
        <v>4135</v>
      </c>
      <c r="F80" s="15"/>
      <c r="G80" s="4">
        <v>79.0</v>
      </c>
      <c r="H80" s="5" t="str">
        <f>IFERROR(__xludf.DUMMYFUNCTION("GOOGLETRANSLATE(B80,""it"",""en"")"),"In which Italian region is there a variety called ""Morra Romana""?")</f>
        <v>In which Italian region is there a variety called "Morra Romana"?</v>
      </c>
      <c r="I80" s="5" t="str">
        <f>IFERROR(__xludf.DUMMYFUNCTION("GOOGLETRANSLATE(C80,""it"",""en"")"),"A. Lazio B. Campania C. Sicily D. Sardinia")</f>
        <v>A. Lazio B. Campania C. Sicily D. Sardinia</v>
      </c>
      <c r="J80" s="5" t="str">
        <f>IFERROR(__xludf.DUMMYFUNCTION("GOOGLETRANSLATE(D80,""it"",""en"")"),"Lazio")</f>
        <v>Lazio</v>
      </c>
      <c r="K80" s="5" t="str">
        <f>IFERROR(__xludf.DUMMYFUNCTION("GOOGLETRANSLATE(E80,""it"",""en"")"),"The variant called ""Morra Romana"" is popular in the Lazio region.")</f>
        <v>The variant called "Morra Romana" is popular in the Lazio region.</v>
      </c>
    </row>
    <row r="81" ht="22.5" customHeight="1">
      <c r="A81" s="4">
        <v>80.0</v>
      </c>
      <c r="B81" s="5" t="s">
        <v>4136</v>
      </c>
      <c r="C81" s="5" t="s">
        <v>4137</v>
      </c>
      <c r="D81" s="5" t="s">
        <v>1816</v>
      </c>
      <c r="E81" s="5" t="s">
        <v>4138</v>
      </c>
      <c r="F81" s="15"/>
      <c r="G81" s="4">
        <v>80.0</v>
      </c>
      <c r="H81" s="5" t="str">
        <f>IFERROR(__xludf.DUMMYFUNCTION("GOOGLETRANSLATE(B81,""it"",""en"")"),"How many players can participate in Morra simultaneously?")</f>
        <v>How many players can participate in Morra simultaneously?</v>
      </c>
      <c r="I81" s="5" t="str">
        <f>IFERROR(__xludf.DUMMYFUNCTION("GOOGLETRANSLATE(C81,""it"",""en"")"),"A. Two B. Four C. Ten D. More than ten")</f>
        <v>A. Two B. Four C. Ten D. More than ten</v>
      </c>
      <c r="J81" s="5" t="str">
        <f>IFERROR(__xludf.DUMMYFUNCTION("GOOGLETRANSLATE(D81,""it"",""en"")"),"Two")</f>
        <v>Two</v>
      </c>
      <c r="K81" s="5" t="str">
        <f>IFERROR(__xludf.DUMMYFUNCTION("GOOGLETRANSLATE(E81,""it"",""en"")"),"La Morra is a game that involves two players who challenge each other directly.")</f>
        <v>La Morra is a game that involves two players who challenge each other directly.</v>
      </c>
    </row>
    <row r="82" ht="22.5" customHeight="1">
      <c r="A82" s="4">
        <v>81.0</v>
      </c>
      <c r="B82" s="5" t="s">
        <v>4139</v>
      </c>
      <c r="C82" s="5" t="s">
        <v>4140</v>
      </c>
      <c r="D82" s="5" t="s">
        <v>4141</v>
      </c>
      <c r="E82" s="5" t="s">
        <v>4142</v>
      </c>
      <c r="F82" s="15"/>
      <c r="G82" s="4">
        <v>81.0</v>
      </c>
      <c r="H82" s="5" t="str">
        <f>IFERROR(__xludf.DUMMYFUNCTION("GOOGLETRANSLATE(B82,""it"",""en"")"),"When was Morra played among Roman soldiers?")</f>
        <v>When was Morra played among Roman soldiers?</v>
      </c>
      <c r="I82" s="5" t="str">
        <f>IFERROR(__xludf.DUMMYFUNCTION("GOOGLETRANSLATE(C82,""it"",""en"")"),"A. During wars B. During military marches C. During stops in the fields D. During religious ceremonies")</f>
        <v>A. During wars B. During military marches C. During stops in the fields D. During religious ceremonies</v>
      </c>
      <c r="J82" s="5" t="str">
        <f>IFERROR(__xludf.DUMMYFUNCTION("GOOGLETRANSLATE(D82,""it"",""en"")"),"During the stops in the fields")</f>
        <v>During the stops in the fields</v>
      </c>
      <c r="K82" s="5" t="str">
        <f>IFERROR(__xludf.DUMMYFUNCTION("GOOGLETRANSLATE(E82,""it"",""en"")"),"Morra was played by Roman soldiers during stops in the fields during marches.")</f>
        <v>Morra was played by Roman soldiers during stops in the fields during marches.</v>
      </c>
    </row>
    <row r="83" ht="22.5" customHeight="1">
      <c r="A83" s="4">
        <v>82.0</v>
      </c>
      <c r="B83" s="5" t="s">
        <v>4143</v>
      </c>
      <c r="C83" s="5" t="s">
        <v>4144</v>
      </c>
      <c r="D83" s="5" t="s">
        <v>4145</v>
      </c>
      <c r="E83" s="5" t="s">
        <v>4146</v>
      </c>
      <c r="F83" s="15"/>
      <c r="G83" s="4">
        <v>82.0</v>
      </c>
      <c r="H83" s="5" t="str">
        <f>IFERROR(__xludf.DUMMYFUNCTION("GOOGLETRANSLATE(B83,""it"",""en"")"),"What is the key element that makes La Morra exciting?")</f>
        <v>What is the key element that makes La Morra exciting?</v>
      </c>
      <c r="I83" s="5" t="str">
        <f>IFERROR(__xludf.DUMMYFUNCTION("GOOGLETRANSLATE(C83,""it"",""en"")"),"A. The uncertainty of the outcome B. The physical strength of the players C. The mental strategy D. The speed of the hands")</f>
        <v>A. The uncertainty of the outcome B. The physical strength of the players C. The mental strategy D. The speed of the hands</v>
      </c>
      <c r="J83" s="5" t="str">
        <f>IFERROR(__xludf.DUMMYFUNCTION("GOOGLETRANSLATE(D83,""it"",""en"")"),"The uncertainty of the outcome")</f>
        <v>The uncertainty of the outcome</v>
      </c>
      <c r="K83" s="5" t="str">
        <f>IFERROR(__xludf.DUMMYFUNCTION("GOOGLETRANSLATE(E83,""it"",""en"")"),"La Morra is exciting because of the uncertainty of the outcome and the quick reaction of the players.")</f>
        <v>La Morra is exciting because of the uncertainty of the outcome and the quick reaction of the players.</v>
      </c>
    </row>
    <row r="84" ht="22.5" customHeight="1">
      <c r="A84" s="4">
        <v>83.0</v>
      </c>
      <c r="B84" s="5" t="s">
        <v>4147</v>
      </c>
      <c r="C84" s="5" t="s">
        <v>4148</v>
      </c>
      <c r="D84" s="5" t="s">
        <v>4149</v>
      </c>
      <c r="E84" s="5" t="s">
        <v>4150</v>
      </c>
      <c r="F84" s="15"/>
      <c r="G84" s="4">
        <v>83.0</v>
      </c>
      <c r="H84" s="5" t="str">
        <f>IFERROR(__xludf.DUMMYFUNCTION("GOOGLETRANSLATE(B84,""it"",""en"")"),"What is the traditional term for the player who wins a hand of Morra?")</f>
        <v>What is the traditional term for the player who wins a hand of Morra?</v>
      </c>
      <c r="I84" s="5" t="str">
        <f>IFERROR(__xludf.DUMMYFUNCTION("GOOGLETRANSLATE(C84,""it"",""en"")"),"A. Champion B. King of the Morra C. The Morris Player D. The Winner")</f>
        <v>A. Champion B. King of the Morra C. The Morris Player D. The Winner</v>
      </c>
      <c r="J84" s="5" t="str">
        <f>IFERROR(__xludf.DUMMYFUNCTION("GOOGLETRANSLATE(D84,""it"",""en"")"),"The Morrisman")</f>
        <v>The Morrisman</v>
      </c>
      <c r="K84" s="5" t="str">
        <f>IFERROR(__xludf.DUMMYFUNCTION("GOOGLETRANSLATE(E84,""it"",""en"")"),"The traditional term for the winner of a hand of Morra is ""Morrista"".")</f>
        <v>The traditional term for the winner of a hand of Morra is "Morrista".</v>
      </c>
    </row>
    <row r="85" ht="22.5" customHeight="1">
      <c r="A85" s="4">
        <v>84.0</v>
      </c>
      <c r="B85" s="5" t="s">
        <v>4151</v>
      </c>
      <c r="C85" s="5" t="s">
        <v>4152</v>
      </c>
      <c r="D85" s="5" t="s">
        <v>4153</v>
      </c>
      <c r="E85" s="5" t="s">
        <v>4154</v>
      </c>
      <c r="F85" s="15"/>
      <c r="G85" s="4">
        <v>84.0</v>
      </c>
      <c r="H85" s="5" t="str">
        <f>IFERROR(__xludf.DUMMYFUNCTION("GOOGLETRANSLATE(B85,""it"",""en"")"),"Whose game has La Morra always been?")</f>
        <v>Whose game has La Morra always been?</v>
      </c>
      <c r="I85" s="5" t="str">
        <f>IFERROR(__xludf.DUMMYFUNCTION("GOOGLETRANSLATE(C85,""it"",""en"")"),"A. Only adults B. Only children C. People of all ages D. Men")</f>
        <v>A. Only adults B. Only children C. People of all ages D. Men</v>
      </c>
      <c r="J85" s="5" t="str">
        <f>IFERROR(__xludf.DUMMYFUNCTION("GOOGLETRANSLATE(D85,""it"",""en"")"),"Of people of all ages")</f>
        <v>Of people of all ages</v>
      </c>
      <c r="K85" s="5" t="str">
        <f>IFERROR(__xludf.DUMMYFUNCTION("GOOGLETRANSLATE(E85,""it"",""en"")"),"Morra has always been a game played by people of all ages.")</f>
        <v>Morra has always been a game played by people of all ages.</v>
      </c>
    </row>
    <row r="86" ht="22.5" customHeight="1">
      <c r="A86" s="4">
        <v>85.0</v>
      </c>
      <c r="B86" s="5" t="s">
        <v>4155</v>
      </c>
      <c r="C86" s="5" t="s">
        <v>4156</v>
      </c>
      <c r="D86" s="5" t="s">
        <v>1039</v>
      </c>
      <c r="E86" s="5" t="s">
        <v>4157</v>
      </c>
      <c r="F86" s="15"/>
      <c r="G86" s="4">
        <v>85.0</v>
      </c>
      <c r="H86" s="5" t="str">
        <f>IFERROR(__xludf.DUMMYFUNCTION("GOOGLETRANSLATE(B86,""it"",""en"")"),"In which century was Morra introduced into Italian schools as a traditional game?")</f>
        <v>In which century was Morra introduced into Italian schools as a traditional game?</v>
      </c>
      <c r="I86" s="5" t="str">
        <f>IFERROR(__xludf.DUMMYFUNCTION("GOOGLETRANSLATE(C86,""it"",""en"")"),"A. 15th century B. 15th century C. 20th century D. 18th century")</f>
        <v>A. 15th century B. 15th century C. 20th century D. 18th century</v>
      </c>
      <c r="J86" s="5" t="str">
        <f>IFERROR(__xludf.DUMMYFUNCTION("GOOGLETRANSLATE(D86,""it"",""en"")"),"20th century")</f>
        <v>20th century</v>
      </c>
      <c r="K86" s="5" t="str">
        <f>IFERROR(__xludf.DUMMYFUNCTION("GOOGLETRANSLATE(E86,""it"",""en"")"),"Morra was introduced into Italian schools in the 20th century as a traditional game.")</f>
        <v>Morra was introduced into Italian schools in the 20th century as a traditional game.</v>
      </c>
    </row>
    <row r="87" ht="22.5" customHeight="1">
      <c r="A87" s="4">
        <v>86.0</v>
      </c>
      <c r="B87" s="5" t="s">
        <v>4158</v>
      </c>
      <c r="C87" s="5" t="s">
        <v>4159</v>
      </c>
      <c r="D87" s="5" t="s">
        <v>4160</v>
      </c>
      <c r="E87" s="5" t="s">
        <v>4161</v>
      </c>
      <c r="F87" s="15"/>
      <c r="G87" s="4">
        <v>86.0</v>
      </c>
      <c r="H87" s="5" t="str">
        <f>IFERROR(__xludf.DUMMYFUNCTION("GOOGLETRANSLATE(B87,""it"",""en"")"),"In which Tuscan city is an annual Morra tournament held?")</f>
        <v>In which Tuscan city is an annual Morra tournament held?</v>
      </c>
      <c r="I87" s="5" t="str">
        <f>IFERROR(__xludf.DUMMYFUNCTION("GOOGLETRANSLATE(C87,""it"",""en"")"),"A. Siena B. Lucca C. Florence D. Pisa")</f>
        <v>A. Siena B. Lucca C. Florence D. Pisa</v>
      </c>
      <c r="J87" s="5" t="str">
        <f>IFERROR(__xludf.DUMMYFUNCTION("GOOGLETRANSLATE(D87,""it"",""en"")"),"Siena")</f>
        <v>Siena</v>
      </c>
      <c r="K87" s="5" t="str">
        <f>IFERROR(__xludf.DUMMYFUNCTION("GOOGLETRANSLATE(E87,""it"",""en"")"),"The city of Siena hosts an annual Morra tournament that attracts tourists and enthusiasts.")</f>
        <v>The city of Siena hosts an annual Morra tournament that attracts tourists and enthusiasts.</v>
      </c>
    </row>
    <row r="88" ht="22.5" customHeight="1">
      <c r="A88" s="4">
        <v>87.0</v>
      </c>
      <c r="B88" s="5" t="s">
        <v>4162</v>
      </c>
      <c r="C88" s="5" t="s">
        <v>4163</v>
      </c>
      <c r="D88" s="5" t="s">
        <v>4164</v>
      </c>
      <c r="E88" s="5" t="s">
        <v>4165</v>
      </c>
      <c r="F88" s="15"/>
      <c r="G88" s="4">
        <v>87.0</v>
      </c>
      <c r="H88" s="5" t="str">
        <f>IFERROR(__xludf.DUMMYFUNCTION("GOOGLETRANSLATE(B88,""it"",""en"")"),"What type of competition was often combined with Morra in medieval festivals?")</f>
        <v>What type of competition was often combined with Morra in medieval festivals?</v>
      </c>
      <c r="I88" s="5" t="str">
        <f>IFERROR(__xludf.DUMMYFUNCTION("GOOGLETRANSLATE(C88,""it"",""en"")"),"A. Horse racing B. Games of strength C. Games of skill D. Shooting games")</f>
        <v>A. Horse racing B. Games of strength C. Games of skill D. Shooting games</v>
      </c>
      <c r="J88" s="5" t="str">
        <f>IFERROR(__xludf.DUMMYFUNCTION("GOOGLETRANSLATE(D88,""it"",""en"")"),"Skill games")</f>
        <v>Skill games</v>
      </c>
      <c r="K88" s="5" t="str">
        <f>IFERROR(__xludf.DUMMYFUNCTION("GOOGLETRANSLATE(E88,""it"",""en"")"),"Morra was often combined with games of skill during medieval festivals.")</f>
        <v>Morra was often combined with games of skill during medieval festivals.</v>
      </c>
    </row>
    <row r="89" ht="22.5" customHeight="1">
      <c r="A89" s="4">
        <v>88.0</v>
      </c>
      <c r="B89" s="5" t="s">
        <v>4166</v>
      </c>
      <c r="C89" s="5" t="s">
        <v>4167</v>
      </c>
      <c r="D89" s="5" t="s">
        <v>4168</v>
      </c>
      <c r="E89" s="5" t="s">
        <v>4169</v>
      </c>
      <c r="F89" s="15"/>
      <c r="G89" s="4">
        <v>88.0</v>
      </c>
      <c r="H89" s="5" t="str">
        <f>IFERROR(__xludf.DUMMYFUNCTION("GOOGLETRANSLATE(B89,""it"",""en"")"),"The term ""Morrista"" refers to what role?")</f>
        <v>The term "Morrista" refers to what role?</v>
      </c>
      <c r="I89" s="5" t="str">
        <f>IFERROR(__xludf.DUMMYFUNCTION("GOOGLETRANSLATE(C89,""it"",""en"")"),"A. The winner of the game B. The player C. The judge of the game D. The narrator")</f>
        <v>A. The winner of the game B. The player C. The judge of the game D. The narrator</v>
      </c>
      <c r="J89" s="5" t="str">
        <f>IFERROR(__xludf.DUMMYFUNCTION("GOOGLETRANSLATE(D89,""it"",""en"")"),"The player")</f>
        <v>The player</v>
      </c>
      <c r="K89" s="5" t="str">
        <f>IFERROR(__xludf.DUMMYFUNCTION("GOOGLETRANSLATE(E89,""it"",""en"")"),"Morrista is the term used to indicate the player who takes part in a game of Morra.")</f>
        <v>Morrista is the term used to indicate the player who takes part in a game of Morra.</v>
      </c>
    </row>
    <row r="90" ht="22.5" customHeight="1">
      <c r="A90" s="4">
        <v>89.0</v>
      </c>
      <c r="B90" s="5" t="s">
        <v>4170</v>
      </c>
      <c r="C90" s="5" t="s">
        <v>4171</v>
      </c>
      <c r="D90" s="5" t="s">
        <v>4172</v>
      </c>
      <c r="E90" s="5" t="s">
        <v>4173</v>
      </c>
      <c r="F90" s="15"/>
      <c r="G90" s="4">
        <v>89.0</v>
      </c>
      <c r="H90" s="5" t="str">
        <f>IFERROR(__xludf.DUMMYFUNCTION("GOOGLETRANSLATE(B90,""it"",""en"")"),"Morra has been described as a game that fosters which skill?")</f>
        <v>Morra has been described as a game that fosters which skill?</v>
      </c>
      <c r="I90" s="5" t="str">
        <f>IFERROR(__xludf.DUMMYFUNCTION("GOOGLETRANSLATE(C90,""it"",""en"")"),"A. Mental speed B. Physical flexibility C. Strategic intelligence D. Quick reaction")</f>
        <v>A. Mental speed B. Physical flexibility C. Strategic intelligence D. Quick reaction</v>
      </c>
      <c r="J90" s="5" t="str">
        <f>IFERROR(__xludf.DUMMYFUNCTION("GOOGLETRANSLATE(D90,""it"",""en"")"),"Mental speed")</f>
        <v>Mental speed</v>
      </c>
      <c r="K90" s="5" t="str">
        <f>IFERROR(__xludf.DUMMYFUNCTION("GOOGLETRANSLATE(E90,""it"",""en"")"),"Morra promotes mental speed and the ability to react quickly to opponents.")</f>
        <v>Morra promotes mental speed and the ability to react quickly to opponents.</v>
      </c>
    </row>
    <row r="91" ht="22.5" customHeight="1">
      <c r="A91" s="4">
        <v>90.0</v>
      </c>
      <c r="B91" s="5" t="s">
        <v>4174</v>
      </c>
      <c r="C91" s="5" t="s">
        <v>4175</v>
      </c>
      <c r="D91" s="5" t="s">
        <v>4176</v>
      </c>
      <c r="E91" s="5" t="s">
        <v>4177</v>
      </c>
      <c r="F91" s="15"/>
      <c r="G91" s="4">
        <v>90.0</v>
      </c>
      <c r="H91" s="5" t="str">
        <f>IFERROR(__xludf.DUMMYFUNCTION("GOOGLETRANSLATE(B91,""it"",""en"")"),"When did la Morra become a national tradition in Italy?")</f>
        <v>When did la Morra become a national tradition in Italy?</v>
      </c>
      <c r="I91" s="5" t="str">
        <f>IFERROR(__xludf.DUMMYFUNCTION("GOOGLETRANSLATE(C91,""it"",""en"")"),"A. In the Renaissance B. In the Middle Ages C. In the modern age D. In the fascist era")</f>
        <v>A. In the Renaissance B. In the Middle Ages C. In the modern age D. In the fascist era</v>
      </c>
      <c r="J91" s="5" t="str">
        <f>IFERROR(__xludf.DUMMYFUNCTION("GOOGLETRANSLATE(D91,""it"",""en"")"),"In the Middle Ages")</f>
        <v>In the Middle Ages</v>
      </c>
      <c r="K91" s="5" t="str">
        <f>IFERROR(__xludf.DUMMYFUNCTION("GOOGLETRANSLATE(E91,""it"",""en"")"),"La Morra became a national tradition in Italy during the Middle Ages.")</f>
        <v>La Morra became a national tradition in Italy during the Middle Ages.</v>
      </c>
    </row>
    <row r="92" ht="22.5" customHeight="1">
      <c r="A92" s="4">
        <v>91.0</v>
      </c>
      <c r="B92" s="5" t="s">
        <v>4178</v>
      </c>
      <c r="C92" s="5" t="s">
        <v>4179</v>
      </c>
      <c r="D92" s="5" t="s">
        <v>3978</v>
      </c>
      <c r="E92" s="5" t="s">
        <v>4180</v>
      </c>
      <c r="F92" s="15"/>
      <c r="G92" s="4">
        <v>91.0</v>
      </c>
      <c r="H92" s="5" t="str">
        <f>IFERROR(__xludf.DUMMYFUNCTION("GOOGLETRANSLATE(B92,""it"",""en"")"),"Who wrote the first detailed description of the game of Morra?")</f>
        <v>Who wrote the first detailed description of the game of Morra?</v>
      </c>
      <c r="I92" s="5" t="str">
        <f>IFERROR(__xludf.DUMMYFUNCTION("GOOGLETRANSLATE(C92,""it"",""en"")"),"A. Giovanni Boccaccio B. Francesco Petrarca C. Leonardo da Vinci D. Giambattista Vico")</f>
        <v>A. Giovanni Boccaccio B. Francesco Petrarca C. Leonardo da Vinci D. Giambattista Vico</v>
      </c>
      <c r="J92" s="5" t="str">
        <f>IFERROR(__xludf.DUMMYFUNCTION("GOOGLETRANSLATE(D92,""it"",""en"")"),"John Boccaccio")</f>
        <v>John Boccaccio</v>
      </c>
      <c r="K92" s="5" t="str">
        <f>IFERROR(__xludf.DUMMYFUNCTION("GOOGLETRANSLATE(E92,""it"",""en"")"),"Giovanni Boccaccio was the first to write a detailed description of La Morra.")</f>
        <v>Giovanni Boccaccio was the first to write a detailed description of La Morra.</v>
      </c>
    </row>
    <row r="93" ht="22.5" customHeight="1">
      <c r="A93" s="4">
        <v>92.0</v>
      </c>
      <c r="B93" s="5" t="s">
        <v>4181</v>
      </c>
      <c r="C93" s="5" t="s">
        <v>4182</v>
      </c>
      <c r="D93" s="5" t="s">
        <v>4183</v>
      </c>
      <c r="E93" s="5" t="s">
        <v>4184</v>
      </c>
      <c r="F93" s="15"/>
      <c r="G93" s="4">
        <v>92.0</v>
      </c>
      <c r="H93" s="5" t="str">
        <f>IFERROR(__xludf.DUMMYFUNCTION("GOOGLETRANSLATE(B93,""it"",""en"")"),"What type of hands is Morra traditionally played with?")</f>
        <v>What type of hands is Morra traditionally played with?</v>
      </c>
      <c r="I93" s="5" t="str">
        <f>IFERROR(__xludf.DUMMYFUNCTION("GOOGLETRANSLATE(C93,""it"",""en"")"),"A. With one hand only B. With both hands C. With both hands moving D. With one hand and one foot")</f>
        <v>A. With one hand only B. With both hands C. With both hands moving D. With one hand and one foot</v>
      </c>
      <c r="J93" s="5" t="str">
        <f>IFERROR(__xludf.DUMMYFUNCTION("GOOGLETRANSLATE(D93,""it"",""en"")"),"With both hands")</f>
        <v>With both hands</v>
      </c>
      <c r="K93" s="5" t="str">
        <f>IFERROR(__xludf.DUMMYFUNCTION("GOOGLETRANSLATE(E93,""it"",""en"")"),"Morra is played using both hands to show the numbers.")</f>
        <v>Morra is played using both hands to show the numbers.</v>
      </c>
    </row>
    <row r="94" ht="22.5" customHeight="1">
      <c r="A94" s="4">
        <v>93.0</v>
      </c>
      <c r="B94" s="5" t="s">
        <v>4185</v>
      </c>
      <c r="C94" s="5" t="s">
        <v>4186</v>
      </c>
      <c r="D94" s="5" t="s">
        <v>2738</v>
      </c>
      <c r="E94" s="5" t="s">
        <v>4187</v>
      </c>
      <c r="F94" s="15"/>
      <c r="G94" s="4">
        <v>93.0</v>
      </c>
      <c r="H94" s="5" t="str">
        <f>IFERROR(__xludf.DUMMYFUNCTION("GOOGLETRANSLATE(B94,""it"",""en"")"),"What type of events is La Morra a traditional practice?")</f>
        <v>What type of events is La Morra a traditional practice?</v>
      </c>
      <c r="I94" s="5" t="str">
        <f>IFERROR(__xludf.DUMMYFUNCTION("GOOGLETRANSLATE(C94,""it"",""en"")"),"A. Popular festivals B. Religious festivals C. Sports conferences D. Official events")</f>
        <v>A. Popular festivals B. Religious festivals C. Sports conferences D. Official events</v>
      </c>
      <c r="J94" s="5" t="str">
        <f>IFERROR(__xludf.DUMMYFUNCTION("GOOGLETRANSLATE(D94,""it"",""en"")"),"Popular festivals")</f>
        <v>Popular festivals</v>
      </c>
      <c r="K94" s="5" t="str">
        <f>IFERROR(__xludf.DUMMYFUNCTION("GOOGLETRANSLATE(E94,""it"",""en"")"),"La Morra is mainly practiced during popular festivals and fairs in Italy.")</f>
        <v>La Morra is mainly practiced during popular festivals and fairs in Italy.</v>
      </c>
    </row>
    <row r="95" ht="22.5" customHeight="1">
      <c r="A95" s="4">
        <v>94.0</v>
      </c>
      <c r="B95" s="5" t="s">
        <v>4188</v>
      </c>
      <c r="C95" s="5" t="s">
        <v>4189</v>
      </c>
      <c r="D95" s="5" t="s">
        <v>4190</v>
      </c>
      <c r="E95" s="5" t="s">
        <v>4191</v>
      </c>
      <c r="F95" s="15"/>
      <c r="G95" s="4">
        <v>94.0</v>
      </c>
      <c r="H95" s="5" t="str">
        <f>IFERROR(__xludf.DUMMYFUNCTION("GOOGLETRANSLATE(B95,""it"",""en"")"),"What type of environments was Morra traditionally played in?")</f>
        <v>What type of environments was Morra traditionally played in?</v>
      </c>
      <c r="I95" s="5" t="str">
        <f>IFERROR(__xludf.DUMMYFUNCTION("GOOGLETRANSLATE(C95,""it"",""en"")"),"A. Squares B. Theaters C. Schools D. Palaces")</f>
        <v>A. Squares B. Theaters C. Schools D. Palaces</v>
      </c>
      <c r="J95" s="5" t="str">
        <f>IFERROR(__xludf.DUMMYFUNCTION("GOOGLETRANSLATE(D95,""it"",""en"")"),"Squares")</f>
        <v>Squares</v>
      </c>
      <c r="K95" s="5" t="str">
        <f>IFERROR(__xludf.DUMMYFUNCTION("GOOGLETRANSLATE(E95,""it"",""en"")"),"Morra was traditionally played in the squares of Italian cities during holidays and fairs.")</f>
        <v>Morra was traditionally played in the squares of Italian cities during holidays and fairs.</v>
      </c>
    </row>
    <row r="96" ht="22.5" customHeight="1">
      <c r="A96" s="4">
        <v>95.0</v>
      </c>
      <c r="B96" s="5" t="s">
        <v>4192</v>
      </c>
      <c r="C96" s="5" t="s">
        <v>4193</v>
      </c>
      <c r="D96" s="5" t="s">
        <v>4194</v>
      </c>
      <c r="E96" s="5" t="s">
        <v>4195</v>
      </c>
      <c r="F96" s="15"/>
      <c r="G96" s="4">
        <v>95.0</v>
      </c>
      <c r="H96" s="5" t="str">
        <f>IFERROR(__xludf.DUMMYFUNCTION("GOOGLETRANSLATE(B96,""it"",""en"")"),"What part of Roman history saw La Morra as a pastime for the legionaries?")</f>
        <v>What part of Roman history saw La Morra as a pastime for the legionaries?</v>
      </c>
      <c r="I96" s="5" t="str">
        <f>IFERROR(__xludf.DUMMYFUNCTION("GOOGLETRANSLATE(C96,""it"",""en"")"),"A. During wars B. During marches C. During battles D. During religious ceremonies")</f>
        <v>A. During wars B. During marches C. During battles D. During religious ceremonies</v>
      </c>
      <c r="J96" s="5" t="str">
        <f>IFERROR(__xludf.DUMMYFUNCTION("GOOGLETRANSLATE(D96,""it"",""en"")"),"During the marches")</f>
        <v>During the marches</v>
      </c>
      <c r="K96" s="5" t="str">
        <f>IFERROR(__xludf.DUMMYFUNCTION("GOOGLETRANSLATE(E96,""it"",""en"")"),"La Morra was used by Roman legionaries during long marches as a pastime.")</f>
        <v>La Morra was used by Roman legionaries during long marches as a pastime.</v>
      </c>
    </row>
    <row r="97" ht="22.5" customHeight="1">
      <c r="A97" s="4">
        <v>96.0</v>
      </c>
      <c r="B97" s="5" t="s">
        <v>4196</v>
      </c>
      <c r="C97" s="5" t="s">
        <v>4197</v>
      </c>
      <c r="D97" s="5" t="s">
        <v>4198</v>
      </c>
      <c r="E97" s="5" t="s">
        <v>4199</v>
      </c>
      <c r="F97" s="15"/>
      <c r="G97" s="4">
        <v>96.0</v>
      </c>
      <c r="H97" s="5" t="str">
        <f>IFERROR(__xludf.DUMMYFUNCTION("GOOGLETRANSLATE(B97,""it"",""en"")"),"What historical sources document the game of Morra?")</f>
        <v>What historical sources document the game of Morra?</v>
      </c>
      <c r="I97" s="5" t="str">
        <f>IFERROR(__xludf.DUMMYFUNCTION("GOOGLETRANSLATE(C97,""it"",""en"")"),"A. Religious manuscripts B. Philosophical texts C. Historical texts D. Epic poems")</f>
        <v>A. Religious manuscripts B. Philosophical texts C. Historical texts D. Epic poems</v>
      </c>
      <c r="J97" s="5" t="str">
        <f>IFERROR(__xludf.DUMMYFUNCTION("GOOGLETRANSLATE(D97,""it"",""en"")"),"Historical texts")</f>
        <v>Historical texts</v>
      </c>
      <c r="K97" s="5" t="str">
        <f>IFERROR(__xludf.DUMMYFUNCTION("GOOGLETRANSLATE(E97,""it"",""en"")"),"La Morra has been documented in historical texts since ancient times.")</f>
        <v>La Morra has been documented in historical texts since ancient times.</v>
      </c>
    </row>
    <row r="98" ht="22.5" customHeight="1">
      <c r="A98" s="4">
        <v>97.0</v>
      </c>
      <c r="B98" s="5" t="s">
        <v>4200</v>
      </c>
      <c r="C98" s="5" t="s">
        <v>4201</v>
      </c>
      <c r="D98" s="5" t="s">
        <v>4202</v>
      </c>
      <c r="E98" s="5" t="s">
        <v>4203</v>
      </c>
      <c r="F98" s="15"/>
      <c r="G98" s="4">
        <v>97.0</v>
      </c>
      <c r="H98" s="5" t="str">
        <f>IFERROR(__xludf.DUMMYFUNCTION("GOOGLETRANSLATE(B98,""it"",""en"")"),"In which region of Puglia was La Morra particularly celebrated?")</f>
        <v>In which region of Puglia was La Morra particularly celebrated?</v>
      </c>
      <c r="I98" s="5" t="str">
        <f>IFERROR(__xludf.DUMMYFUNCTION("GOOGLETRANSLATE(C98,""it"",""en"")"),"A. Bari B. Brindisi C. Lecce D. Foggia")</f>
        <v>A. Bari B. Brindisi C. Lecce D. Foggia</v>
      </c>
      <c r="J98" s="5" t="str">
        <f>IFERROR(__xludf.DUMMYFUNCTION("GOOGLETRANSLATE(D98,""it"",""en"")"),"Lecce")</f>
        <v>Lecce</v>
      </c>
      <c r="K98" s="5" t="str">
        <f>IFERROR(__xludf.DUMMYFUNCTION("GOOGLETRANSLATE(E98,""it"",""en"")"),"The city of Lecce is known for its Morra tradition during local holidays.")</f>
        <v>The city of Lecce is known for its Morra tradition during local holidays.</v>
      </c>
    </row>
    <row r="99" ht="22.5" customHeight="1">
      <c r="A99" s="4">
        <v>98.0</v>
      </c>
      <c r="B99" s="5" t="s">
        <v>4204</v>
      </c>
      <c r="C99" s="5" t="s">
        <v>4205</v>
      </c>
      <c r="D99" s="5" t="s">
        <v>4206</v>
      </c>
      <c r="E99" s="5" t="s">
        <v>4207</v>
      </c>
      <c r="F99" s="15"/>
      <c r="G99" s="4">
        <v>98.0</v>
      </c>
      <c r="H99" s="5" t="str">
        <f>IFERROR(__xludf.DUMMYFUNCTION("GOOGLETRANSLATE(B99,""it"",""en"")"),"La Morra was mentioned in which famous Italian poem?")</f>
        <v>La Morra was mentioned in which famous Italian poem?</v>
      </c>
      <c r="I99" s="5" t="str">
        <f>IFERROR(__xludf.DUMMYFUNCTION("GOOGLETRANSLATE(C99,""it"",""en"")"),"A. Divine Comedy B. Orlando Furioso C. Decameron D. Jerusalem Delivered")</f>
        <v>A. Divine Comedy B. Orlando Furioso C. Decameron D. Jerusalem Delivered</v>
      </c>
      <c r="J99" s="5" t="str">
        <f>IFERROR(__xludf.DUMMYFUNCTION("GOOGLETRANSLATE(D99,""it"",""en"")"),"Decameron")</f>
        <v>Decameron</v>
      </c>
      <c r="K99" s="5" t="str">
        <f>IFERROR(__xludf.DUMMYFUNCTION("GOOGLETRANSLATE(E99,""it"",""en"")"),"La Morra is mentioned in Giovanni Boccaccio's *Decameron*.")</f>
        <v>La Morra is mentioned in Giovanni Boccaccio's *Decameron*.</v>
      </c>
    </row>
    <row r="100" ht="22.5" customHeight="1">
      <c r="A100" s="4">
        <v>99.0</v>
      </c>
      <c r="B100" s="5" t="s">
        <v>4208</v>
      </c>
      <c r="C100" s="5" t="s">
        <v>4209</v>
      </c>
      <c r="D100" s="5" t="s">
        <v>4210</v>
      </c>
      <c r="E100" s="5" t="s">
        <v>4211</v>
      </c>
      <c r="F100" s="15"/>
      <c r="G100" s="4">
        <v>99.0</v>
      </c>
      <c r="H100" s="5" t="str">
        <f>IFERROR(__xludf.DUMMYFUNCTION("GOOGLETRANSLATE(B100,""it"",""en"")"),"What type of family events is Morra traditionally played during?")</f>
        <v>What type of family events is Morra traditionally played during?</v>
      </c>
      <c r="I100" s="5" t="str">
        <f>IFERROR(__xludf.DUMMYFUNCTION("GOOGLETRANSLATE(C100,""it"",""en"")"),"A. Weddings B. Birthday parties C. Christmas parties D. Anniversaries")</f>
        <v>A. Weddings B. Birthday parties C. Christmas parties D. Anniversaries</v>
      </c>
      <c r="J100" s="5" t="str">
        <f>IFERROR(__xludf.DUMMYFUNCTION("GOOGLETRANSLATE(D100,""it"",""en"")"),"Weddings")</f>
        <v>Weddings</v>
      </c>
      <c r="K100" s="5" t="str">
        <f>IFERROR(__xludf.DUMMYFUNCTION("GOOGLETRANSLATE(E100,""it"",""en"")"),"Morra is traditionally played at weddings and other large family celebrations in Italy.")</f>
        <v>Morra is traditionally played at weddings and other large family celebrations in Italy.</v>
      </c>
    </row>
    <row r="101" ht="22.5" customHeight="1">
      <c r="A101" s="4">
        <v>100.0</v>
      </c>
      <c r="B101" s="5" t="s">
        <v>4212</v>
      </c>
      <c r="C101" s="5" t="s">
        <v>4213</v>
      </c>
      <c r="D101" s="5" t="s">
        <v>3978</v>
      </c>
      <c r="E101" s="5" t="s">
        <v>4214</v>
      </c>
      <c r="F101" s="15"/>
      <c r="G101" s="4">
        <v>100.0</v>
      </c>
      <c r="H101" s="5" t="str">
        <f>IFERROR(__xludf.DUMMYFUNCTION("GOOGLETRANSLATE(B101,""it"",""en"")"),"Which historical Italian figure is known for promoting La Morra?")</f>
        <v>Which historical Italian figure is known for promoting La Morra?</v>
      </c>
      <c r="I101" s="5" t="str">
        <f>IFERROR(__xludf.DUMMYFUNCTION("GOOGLETRANSLATE(C101,""it"",""en"")"),"A. Giuseppe Garibaldi B. Luigi Pirandello C. Giovanni Boccaccio D. Leonardo da Vinci")</f>
        <v>A. Giuseppe Garibaldi B. Luigi Pirandello C. Giovanni Boccaccio D. Leonardo da Vinci</v>
      </c>
      <c r="J101" s="5" t="str">
        <f>IFERROR(__xludf.DUMMYFUNCTION("GOOGLETRANSLATE(D101,""it"",""en"")"),"John Boccaccio")</f>
        <v>John Boccaccio</v>
      </c>
      <c r="K101" s="5" t="str">
        <f>IFERROR(__xludf.DUMMYFUNCTION("GOOGLETRANSLATE(E101,""it"",""en"")"),"Giovanni Boccaccio is known for having promoted La Morra and described it in his writings.")</f>
        <v>Giovanni Boccaccio is known for having promoted La Morra and described it in his writings.</v>
      </c>
    </row>
    <row r="102" ht="22.5" customHeight="1">
      <c r="A102" s="4">
        <v>101.0</v>
      </c>
      <c r="B102" s="5" t="s">
        <v>4215</v>
      </c>
      <c r="C102" s="5" t="s">
        <v>4216</v>
      </c>
      <c r="D102" s="5" t="s">
        <v>1795</v>
      </c>
      <c r="E102" s="5" t="s">
        <v>4217</v>
      </c>
      <c r="F102" s="15"/>
      <c r="G102" s="4">
        <v>101.0</v>
      </c>
      <c r="H102" s="5" t="str">
        <f>IFERROR(__xludf.DUMMYFUNCTION("GOOGLETRANSLATE(B102,""it"",""en"")"),"What is the key skill a player must have to win at Morra?")</f>
        <v>What is the key skill a player must have to win at Morra?</v>
      </c>
      <c r="I102" s="5" t="str">
        <f>IFERROR(__xludf.DUMMYFUNCTION("GOOGLETRANSLATE(C102,""it"",""en"")"),"A. Speed ​​B. Strategy C. Memory D. Flexibility")</f>
        <v>A. Speed ​​B. Strategy C. Memory D. Flexibility</v>
      </c>
      <c r="J102" s="5" t="str">
        <f>IFERROR(__xludf.DUMMYFUNCTION("GOOGLETRANSLATE(D102,""it"",""en"")"),"Speed")</f>
        <v>Speed</v>
      </c>
      <c r="K102" s="5" t="str">
        <f>IFERROR(__xludf.DUMMYFUNCTION("GOOGLETRANSLATE(E102,""it"",""en"")"),"Speed ​​is the key skill a player must possess to be successful in the game of Morra.")</f>
        <v>Speed ​​is the key skill a player must possess to be successful in the game of Morra.</v>
      </c>
    </row>
  </sheetData>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3" width="37.63"/>
    <col customWidth="1" min="4" max="4" width="25.13"/>
    <col customWidth="1" min="5" max="5" width="37.63"/>
    <col customWidth="1" min="8" max="8" width="18.5"/>
    <col customWidth="1" min="9" max="10" width="37.63"/>
    <col customWidth="1" min="11" max="11" width="19.38"/>
    <col customWidth="1" min="12" max="12" width="37.63"/>
  </cols>
  <sheetData>
    <row r="1" ht="22.5" customHeight="1">
      <c r="A1" s="8" t="s">
        <v>0</v>
      </c>
      <c r="B1" s="8" t="s">
        <v>1</v>
      </c>
      <c r="C1" s="2" t="s">
        <v>2</v>
      </c>
      <c r="D1" s="8" t="s">
        <v>3</v>
      </c>
      <c r="E1" s="8" t="s">
        <v>8</v>
      </c>
      <c r="H1" s="8" t="s">
        <v>0</v>
      </c>
      <c r="I1" s="8" t="s">
        <v>5</v>
      </c>
      <c r="J1" s="2" t="s">
        <v>6</v>
      </c>
      <c r="K1" s="8" t="s">
        <v>7</v>
      </c>
      <c r="L1" s="8" t="s">
        <v>8</v>
      </c>
      <c r="M1" s="3"/>
    </row>
    <row r="2" ht="22.5" customHeight="1">
      <c r="A2" s="4">
        <v>1.0</v>
      </c>
      <c r="B2" s="5" t="s">
        <v>4218</v>
      </c>
      <c r="C2" s="5" t="s">
        <v>4219</v>
      </c>
      <c r="D2" s="5" t="s">
        <v>4220</v>
      </c>
      <c r="E2" s="5" t="s">
        <v>4221</v>
      </c>
      <c r="H2" s="4">
        <v>1.0</v>
      </c>
      <c r="I2" s="10" t="str">
        <f>IFERROR(__xludf.DUMMYFUNCTION("GOOGLETRANSLATE(B2,""it"",""en"")"),"What is the origin of alpine skiing?")</f>
        <v>What is the origin of alpine skiing?</v>
      </c>
      <c r="J2" s="10" t="str">
        <f>IFERROR(__xludf.DUMMYFUNCTION("GOOGLETRANSLATE(C2,""it"",""en"")"),"A. Norway B. Sweden C. Italian Alps D. Austria")</f>
        <v>A. Norway B. Sweden C. Italian Alps D. Austria</v>
      </c>
      <c r="K2" s="10" t="str">
        <f>IFERROR(__xludf.DUMMYFUNCTION("GOOGLETRANSLATE(D2,""it"",""en"")"),"Italian Alps")</f>
        <v>Italian Alps</v>
      </c>
      <c r="L2" s="10" t="str">
        <f>IFERROR(__xludf.DUMMYFUNCTION("GOOGLETRANSLATE(E2,""it"",""en"")"),"Alpine skiing originated in the Italian Alps and became popular in the 20th century.")</f>
        <v>Alpine skiing originated in the Italian Alps and became popular in the 20th century.</v>
      </c>
    </row>
    <row r="3" ht="22.5" customHeight="1">
      <c r="A3" s="4">
        <v>2.0</v>
      </c>
      <c r="B3" s="5" t="s">
        <v>4222</v>
      </c>
      <c r="C3" s="5" t="s">
        <v>4223</v>
      </c>
      <c r="D3" s="5" t="s">
        <v>4224</v>
      </c>
      <c r="E3" s="5" t="s">
        <v>4225</v>
      </c>
      <c r="H3" s="4">
        <v>2.0</v>
      </c>
      <c r="I3" s="10" t="str">
        <f>IFERROR(__xludf.DUMMYFUNCTION("GOOGLETRANSLATE(B3,""it"",""en"")"),"What was the first official alpine skiing competition?")</f>
        <v>What was the first official alpine skiing competition?</v>
      </c>
      <c r="J3" s="10" t="str">
        <f>IFERROR(__xludf.DUMMYFUNCTION("GOOGLETRANSLATE(C3,""it"",""en"")"),"A. 1905 in Cortina B. 1911 in Chamonix C. 1921 in Garmisch D. 1924 in St. Moritz")</f>
        <v>A. 1905 in Cortina B. 1911 in Chamonix C. 1921 in Garmisch D. 1924 in St. Moritz</v>
      </c>
      <c r="K3" s="10" t="str">
        <f>IFERROR(__xludf.DUMMYFUNCTION("GOOGLETRANSLATE(D3,""it"",""en"")"),"1905 in Cortina")</f>
        <v>1905 in Cortina</v>
      </c>
      <c r="L3" s="10" t="str">
        <f>IFERROR(__xludf.DUMMYFUNCTION("GOOGLETRANSLATE(E3,""it"",""en"")"),"The first official race took place in Cortina in 1905.")</f>
        <v>The first official race took place in Cortina in 1905.</v>
      </c>
    </row>
    <row r="4" ht="22.5" customHeight="1">
      <c r="A4" s="4">
        <v>3.0</v>
      </c>
      <c r="B4" s="5" t="s">
        <v>4226</v>
      </c>
      <c r="C4" s="5" t="s">
        <v>4227</v>
      </c>
      <c r="D4" s="5" t="s">
        <v>4228</v>
      </c>
      <c r="E4" s="5" t="s">
        <v>4229</v>
      </c>
      <c r="H4" s="4">
        <v>3.0</v>
      </c>
      <c r="I4" s="10" t="str">
        <f>IFERROR(__xludf.DUMMYFUNCTION("GOOGLETRANSLATE(B4,""it"",""en"")"),"Which Italian city hosted the first Winter Olympic Games in the Alps?")</f>
        <v>Which Italian city hosted the first Winter Olympic Games in the Alps?</v>
      </c>
      <c r="J4" s="10" t="str">
        <f>IFERROR(__xludf.DUMMYFUNCTION("GOOGLETRANSLATE(C4,""it"",""en"")"),"A. Turin B. Cortina d'Ampezzo C. Milan D. Trento")</f>
        <v>A. Turin B. Cortina d'Ampezzo C. Milan D. Trento</v>
      </c>
      <c r="K4" s="10" t="str">
        <f>IFERROR(__xludf.DUMMYFUNCTION("GOOGLETRANSLATE(D4,""it"",""en"")"),"Cortina d'Ampezzo")</f>
        <v>Cortina d'Ampezzo</v>
      </c>
      <c r="L4" s="10" t="str">
        <f>IFERROR(__xludf.DUMMYFUNCTION("GOOGLETRANSLATE(E4,""it"",""en"")"),"Cortina d'Ampezzo hosted the Winter Olympic Games in 1956.")</f>
        <v>Cortina d'Ampezzo hosted the Winter Olympic Games in 1956.</v>
      </c>
    </row>
    <row r="5" ht="22.5" customHeight="1">
      <c r="A5" s="4">
        <v>4.0</v>
      </c>
      <c r="B5" s="5" t="s">
        <v>4230</v>
      </c>
      <c r="C5" s="5" t="s">
        <v>4231</v>
      </c>
      <c r="D5" s="5" t="s">
        <v>4232</v>
      </c>
      <c r="E5" s="5" t="s">
        <v>4233</v>
      </c>
      <c r="H5" s="4">
        <v>4.0</v>
      </c>
      <c r="I5" s="10" t="str">
        <f>IFERROR(__xludf.DUMMYFUNCTION("GOOGLETRANSLATE(B5,""it"",""en"")"),"Who is considered the pioneer of modern skiing?")</f>
        <v>Who is considered the pioneer of modern skiing?</v>
      </c>
      <c r="J5" s="10" t="str">
        <f>IFERROR(__xludf.DUMMYFUNCTION("GOOGLETRANSLATE(C5,""it"",""en"")"),"A. Matteo Paganella B. Gustav Thöni C. Emilio Comici D. Hannes Schneider")</f>
        <v>A. Matteo Paganella B. Gustav Thöni C. Emilio Comici D. Hannes Schneider</v>
      </c>
      <c r="K5" s="10" t="str">
        <f>IFERROR(__xludf.DUMMYFUNCTION("GOOGLETRANSLATE(D5,""it"",""en"")"),"Hannes Schneider")</f>
        <v>Hannes Schneider</v>
      </c>
      <c r="L5" s="10" t="str">
        <f>IFERROR(__xludf.DUMMYFUNCTION("GOOGLETRANSLATE(E5,""it"",""en"")"),"Hannes Schneider developed modern alpine skiing techniques.")</f>
        <v>Hannes Schneider developed modern alpine skiing techniques.</v>
      </c>
    </row>
    <row r="6" ht="22.5" customHeight="1">
      <c r="A6" s="4">
        <v>5.0</v>
      </c>
      <c r="B6" s="5" t="s">
        <v>4234</v>
      </c>
      <c r="C6" s="5" t="s">
        <v>4235</v>
      </c>
      <c r="D6" s="4">
        <v>1948.0</v>
      </c>
      <c r="E6" s="5" t="s">
        <v>4236</v>
      </c>
      <c r="H6" s="4">
        <v>5.0</v>
      </c>
      <c r="I6" s="10" t="str">
        <f>IFERROR(__xludf.DUMMYFUNCTION("GOOGLETRANSLATE(B6,""it"",""en"")"),"When was slalom introduced as an Olympic discipline?")</f>
        <v>When was slalom introduced as an Olympic discipline?</v>
      </c>
      <c r="J6" s="10" t="str">
        <f>IFERROR(__xludf.DUMMYFUNCTION("GOOGLETRANSLATE(C6,""it"",""en"")"),"A. 1936 B. 1948 C. 1964 D. 1976")</f>
        <v>A. 1936 B. 1948 C. 1964 D. 1976</v>
      </c>
      <c r="K6" s="10" t="str">
        <f>IFERROR(__xludf.DUMMYFUNCTION("GOOGLETRANSLATE(D6,""it"",""en"")"),"1948")</f>
        <v>1948</v>
      </c>
      <c r="L6" s="10" t="str">
        <f>IFERROR(__xludf.DUMMYFUNCTION("GOOGLETRANSLATE(E6,""it"",""en"")"),"Slalom became an Olympic discipline in 1948.")</f>
        <v>Slalom became an Olympic discipline in 1948.</v>
      </c>
    </row>
    <row r="7" ht="22.5" customHeight="1">
      <c r="A7" s="4">
        <v>6.0</v>
      </c>
      <c r="B7" s="5" t="s">
        <v>4237</v>
      </c>
      <c r="C7" s="5" t="s">
        <v>4238</v>
      </c>
      <c r="D7" s="5" t="s">
        <v>654</v>
      </c>
      <c r="E7" s="5" t="s">
        <v>4239</v>
      </c>
      <c r="H7" s="4">
        <v>6.0</v>
      </c>
      <c r="I7" s="10" t="str">
        <f>IFERROR(__xludf.DUMMYFUNCTION("GOOGLETRANSLATE(B7,""it"",""en"")"),"What is the traditional material used for skis in the Alps?")</f>
        <v>What is the traditional material used for skis in the Alps?</v>
      </c>
      <c r="J7" s="10" t="str">
        <f>IFERROR(__xludf.DUMMYFUNCTION("GOOGLETRANSLATE(C7,""it"",""en"")"),"A. Plastic B. Metal C. Wood D. Carbon fiber")</f>
        <v>A. Plastic B. Metal C. Wood D. Carbon fiber</v>
      </c>
      <c r="K7" s="10" t="str">
        <f>IFERROR(__xludf.DUMMYFUNCTION("GOOGLETRANSLATE(D7,""it"",""en"")"),"Wood")</f>
        <v>Wood</v>
      </c>
      <c r="L7" s="10" t="str">
        <f>IFERROR(__xludf.DUMMYFUNCTION("GOOGLETRANSLATE(E7,""it"",""en"")"),"Traditional skis were made of wood.")</f>
        <v>Traditional skis were made of wood.</v>
      </c>
    </row>
    <row r="8" ht="22.5" customHeight="1">
      <c r="A8" s="4">
        <v>7.0</v>
      </c>
      <c r="B8" s="5" t="s">
        <v>4240</v>
      </c>
      <c r="C8" s="5" t="s">
        <v>4241</v>
      </c>
      <c r="D8" s="5" t="s">
        <v>4228</v>
      </c>
      <c r="E8" s="5" t="s">
        <v>4242</v>
      </c>
      <c r="H8" s="4">
        <v>7.0</v>
      </c>
      <c r="I8" s="10" t="str">
        <f>IFERROR(__xludf.DUMMYFUNCTION("GOOGLETRANSLATE(B8,""it"",""en"")"),"What was the first ski resort developed in the Italian Alps?")</f>
        <v>What was the first ski resort developed in the Italian Alps?</v>
      </c>
      <c r="J8" s="10" t="str">
        <f>IFERROR(__xludf.DUMMYFUNCTION("GOOGLETRANSLATE(C8,""it"",""en"")"),"A. Cervinia B. Madonna di Campiglio C. Bormio D. Cortina d'Ampezzo")</f>
        <v>A. Cervinia B. Madonna di Campiglio C. Bormio D. Cortina d'Ampezzo</v>
      </c>
      <c r="K8" s="10" t="str">
        <f>IFERROR(__xludf.DUMMYFUNCTION("GOOGLETRANSLATE(D8,""it"",""en"")"),"Cortina d'Ampezzo")</f>
        <v>Cortina d'Ampezzo</v>
      </c>
      <c r="L8" s="10" t="str">
        <f>IFERROR(__xludf.DUMMYFUNCTION("GOOGLETRANSLATE(E8,""it"",""en"")"),"Cortina was one of the first Italian ski resorts.")</f>
        <v>Cortina was one of the first Italian ski resorts.</v>
      </c>
    </row>
    <row r="9" ht="22.5" customHeight="1">
      <c r="A9" s="4">
        <v>8.0</v>
      </c>
      <c r="B9" s="5" t="s">
        <v>4243</v>
      </c>
      <c r="C9" s="5" t="s">
        <v>4244</v>
      </c>
      <c r="D9" s="5" t="s">
        <v>4245</v>
      </c>
      <c r="E9" s="5" t="s">
        <v>4246</v>
      </c>
      <c r="H9" s="4">
        <v>8.0</v>
      </c>
      <c r="I9" s="10" t="str">
        <f>IFERROR(__xludf.DUMMYFUNCTION("GOOGLETRANSLATE(B9,""it"",""en"")"),"What is the name of the technique that revolutionized alpine skiing?")</f>
        <v>What is the name of the technique that revolutionized alpine skiing?</v>
      </c>
      <c r="J9" s="10" t="str">
        <f>IFERROR(__xludf.DUMMYFUNCTION("GOOGLETRANSLATE(C9,""it"",""en"")"),"A. Snowplow technique B. Parallel technique C. Carving technique D. Telemark technique")</f>
        <v>A. Snowplow technique B. Parallel technique C. Carving technique D. Telemark technique</v>
      </c>
      <c r="K9" s="10" t="str">
        <f>IFERROR(__xludf.DUMMYFUNCTION("GOOGLETRANSLATE(D9,""it"",""en"")"),"Carving technique")</f>
        <v>Carving technique</v>
      </c>
      <c r="L9" s="10" t="str">
        <f>IFERROR(__xludf.DUMMYFUNCTION("GOOGLETRANSLATE(E9,""it"",""en"")"),"Carving revolutionized skiing thanks to the use of shaped skis.")</f>
        <v>Carving revolutionized skiing thanks to the use of shaped skis.</v>
      </c>
    </row>
    <row r="10" ht="22.5" customHeight="1">
      <c r="A10" s="4">
        <v>9.0</v>
      </c>
      <c r="B10" s="5" t="s">
        <v>4247</v>
      </c>
      <c r="C10" s="5" t="s">
        <v>4248</v>
      </c>
      <c r="D10" s="5" t="s">
        <v>4249</v>
      </c>
      <c r="E10" s="5" t="s">
        <v>4250</v>
      </c>
      <c r="H10" s="4">
        <v>9.0</v>
      </c>
      <c r="I10" s="10" t="str">
        <f>IFERROR(__xludf.DUMMYFUNCTION("GOOGLETRANSLATE(B10,""it"",""en"")"),"Who won the first men's Alpine Ski World Cup?")</f>
        <v>Who won the first men's Alpine Ski World Cup?</v>
      </c>
      <c r="J10" s="10" t="str">
        <f>IFERROR(__xludf.DUMMYFUNCTION("GOOGLETRANSLATE(C10,""it"",""en"")"),"A. Jean-Claude Killy B. Piero Gros C. Gustav Thöni D. Ingemar Stenmark")</f>
        <v>A. Jean-Claude Killy B. Piero Gros C. Gustav Thöni D. Ingemar Stenmark</v>
      </c>
      <c r="K10" s="10" t="str">
        <f>IFERROR(__xludf.DUMMYFUNCTION("GOOGLETRANSLATE(D10,""it"",""en"")"),"Gustav Thöni")</f>
        <v>Gustav Thöni</v>
      </c>
      <c r="L10" s="10" t="str">
        <f>IFERROR(__xludf.DUMMYFUNCTION("GOOGLETRANSLATE(E10,""it"",""en"")"),"Gustav Thöni won the first World Cup in 1967.")</f>
        <v>Gustav Thöni won the first World Cup in 1967.</v>
      </c>
    </row>
    <row r="11" ht="22.5" customHeight="1">
      <c r="A11" s="4">
        <v>10.0</v>
      </c>
      <c r="B11" s="5" t="s">
        <v>4251</v>
      </c>
      <c r="C11" s="5" t="s">
        <v>4252</v>
      </c>
      <c r="D11" s="5" t="s">
        <v>4253</v>
      </c>
      <c r="E11" s="5" t="s">
        <v>4254</v>
      </c>
      <c r="H11" s="4">
        <v>10.0</v>
      </c>
      <c r="I11" s="10" t="str">
        <f>IFERROR(__xludf.DUMMYFUNCTION("GOOGLETRANSLATE(B11,""it"",""en"")"),"What is the name of the international ski association?")</f>
        <v>What is the name of the international ski association?</v>
      </c>
      <c r="J11" s="10" t="str">
        <f>IFERROR(__xludf.DUMMYFUNCTION("GOOGLETRANSLATE(C11,""it"",""en"")"),"A. FIFA B. IAAF C. FIS D. IOC")</f>
        <v>A. FIFA B. IAAF C. FIS D. IOC</v>
      </c>
      <c r="K11" s="10" t="str">
        <f>IFERROR(__xludf.DUMMYFUNCTION("GOOGLETRANSLATE(D11,""it"",""en"")"),"FIS")</f>
        <v>FIS</v>
      </c>
      <c r="L11" s="10" t="str">
        <f>IFERROR(__xludf.DUMMYFUNCTION("GOOGLETRANSLATE(E11,""it"",""en"")"),"The International Ski Federation (FIS) is the governing body of skiing.")</f>
        <v>The International Ski Federation (FIS) is the governing body of skiing.</v>
      </c>
    </row>
    <row r="12" ht="22.5" customHeight="1">
      <c r="A12" s="4">
        <v>11.0</v>
      </c>
      <c r="B12" s="5" t="s">
        <v>4255</v>
      </c>
      <c r="C12" s="5" t="s">
        <v>3001</v>
      </c>
      <c r="D12" s="4">
        <v>1930.0</v>
      </c>
      <c r="E12" s="5" t="s">
        <v>4256</v>
      </c>
      <c r="H12" s="4">
        <v>11.0</v>
      </c>
      <c r="I12" s="10" t="str">
        <f>IFERROR(__xludf.DUMMYFUNCTION("GOOGLETRANSLATE(B12,""it"",""en"")"),"When were ski lifts introduced in the Italian Alps?")</f>
        <v>When were ski lifts introduced in the Italian Alps?</v>
      </c>
      <c r="J12" s="10" t="str">
        <f>IFERROR(__xludf.DUMMYFUNCTION("GOOGLETRANSLATE(C12,""it"",""en"")"),"A. 1910 B. 1920 C. 1930 D. 1940")</f>
        <v>A. 1910 B. 1920 C. 1930 D. 1940</v>
      </c>
      <c r="K12" s="10" t="str">
        <f>IFERROR(__xludf.DUMMYFUNCTION("GOOGLETRANSLATE(D12,""it"",""en"")"),"1930")</f>
        <v>1930</v>
      </c>
      <c r="L12" s="10" t="str">
        <f>IFERROR(__xludf.DUMMYFUNCTION("GOOGLETRANSLATE(E12,""it"",""en"")"),"Ski lifts were introduced in 1930.")</f>
        <v>Ski lifts were introduced in 1930.</v>
      </c>
    </row>
    <row r="13" ht="22.5" customHeight="1">
      <c r="A13" s="4">
        <v>12.0</v>
      </c>
      <c r="B13" s="5" t="s">
        <v>4257</v>
      </c>
      <c r="C13" s="5" t="s">
        <v>4258</v>
      </c>
      <c r="D13" s="5" t="s">
        <v>4259</v>
      </c>
      <c r="E13" s="5" t="s">
        <v>4260</v>
      </c>
      <c r="H13" s="4">
        <v>12.0</v>
      </c>
      <c r="I13" s="10" t="str">
        <f>IFERROR(__xludf.DUMMYFUNCTION("GOOGLETRANSLATE(B13,""it"",""en"")"),"What is the average length of an Olympic downhill course?")</f>
        <v>What is the average length of an Olympic downhill course?</v>
      </c>
      <c r="J13" s="10" t="str">
        <f>IFERROR(__xludf.DUMMYFUNCTION("GOOGLETRANSLATE(C13,""it"",""en"")"),"A. 1 km B. 2.5 km C. 3 km D. 3.5 km")</f>
        <v>A. 1 km B. 2.5 km C. 3 km D. 3.5 km</v>
      </c>
      <c r="K13" s="10" t="str">
        <f>IFERROR(__xludf.DUMMYFUNCTION("GOOGLETRANSLATE(D13,""it"",""en"")"),"3 km")</f>
        <v>3 km</v>
      </c>
      <c r="L13" s="10" t="str">
        <f>IFERROR(__xludf.DUMMYFUNCTION("GOOGLETRANSLATE(E13,""it"",""en"")"),"Downhill slopes are generally about 3 km long.")</f>
        <v>Downhill slopes are generally about 3 km long.</v>
      </c>
    </row>
    <row r="14" ht="22.5" customHeight="1">
      <c r="A14" s="4">
        <v>13.0</v>
      </c>
      <c r="B14" s="5" t="s">
        <v>4261</v>
      </c>
      <c r="C14" s="5" t="s">
        <v>4262</v>
      </c>
      <c r="D14" s="5" t="s">
        <v>4263</v>
      </c>
      <c r="E14" s="5" t="s">
        <v>4264</v>
      </c>
      <c r="H14" s="4">
        <v>13.0</v>
      </c>
      <c r="I14" s="10" t="str">
        <f>IFERROR(__xludf.DUMMYFUNCTION("GOOGLETRANSLATE(B14,""it"",""en"")"),"What is the name of the most famous alpine ski race in the Dolomites?")</f>
        <v>What is the name of the most famous alpine ski race in the Dolomites?</v>
      </c>
      <c r="J14" s="10" t="str">
        <f>IFERROR(__xludf.DUMMYFUNCTION("GOOGLETRANSLATE(C14,""it"",""en"")"),"A. Val Gardena World Cup B. Cortina Downhill C. Marcialonga D. Trento Slalom")</f>
        <v>A. Val Gardena World Cup B. Cortina Downhill C. Marcialonga D. Trento Slalom</v>
      </c>
      <c r="K14" s="10" t="str">
        <f>IFERROR(__xludf.DUMMYFUNCTION("GOOGLETRANSLATE(D14,""it"",""en"")"),"Val Gardena World Cup")</f>
        <v>Val Gardena World Cup</v>
      </c>
      <c r="L14" s="10" t="str">
        <f>IFERROR(__xludf.DUMMYFUNCTION("GOOGLETRANSLATE(E14,""it"",""en"")"),"Val Gardena hosts a famous downhill race.")</f>
        <v>Val Gardena hosts a famous downhill race.</v>
      </c>
    </row>
    <row r="15" ht="22.5" customHeight="1">
      <c r="A15" s="4">
        <v>14.0</v>
      </c>
      <c r="B15" s="5" t="s">
        <v>4265</v>
      </c>
      <c r="C15" s="5" t="s">
        <v>4266</v>
      </c>
      <c r="D15" s="5" t="s">
        <v>4267</v>
      </c>
      <c r="E15" s="5" t="s">
        <v>4268</v>
      </c>
      <c r="H15" s="4">
        <v>14.0</v>
      </c>
      <c r="I15" s="10" t="str">
        <f>IFERROR(__xludf.DUMMYFUNCTION("GOOGLETRANSLATE(B15,""it"",""en"")"),"Which Italian athlete is famous for alpine skiing?")</f>
        <v>Which Italian athlete is famous for alpine skiing?</v>
      </c>
      <c r="J15" s="10" t="str">
        <f>IFERROR(__xludf.DUMMYFUNCTION("GOOGLETRANSLATE(C15,""it"",""en"")"),"A. Deborah Compagnoni B. Federica Pellegrini C. Sofia Goggia D. Valentina Vezzali")</f>
        <v>A. Deborah Compagnoni B. Federica Pellegrini C. Sofia Goggia D. Valentina Vezzali</v>
      </c>
      <c r="K15" s="10" t="str">
        <f>IFERROR(__xludf.DUMMYFUNCTION("GOOGLETRANSLATE(D15,""it"",""en"")"),"Deborah Compagnoni")</f>
        <v>Deborah Compagnoni</v>
      </c>
      <c r="L15" s="10" t="str">
        <f>IFERROR(__xludf.DUMMYFUNCTION("GOOGLETRANSLATE(E15,""it"",""en"")"),"Deborah Compagnoni is a legend of Italian alpine skiing.")</f>
        <v>Deborah Compagnoni is a legend of Italian alpine skiing.</v>
      </c>
    </row>
    <row r="16" ht="22.5" customHeight="1">
      <c r="A16" s="4">
        <v>15.0</v>
      </c>
      <c r="B16" s="5" t="s">
        <v>4269</v>
      </c>
      <c r="C16" s="5" t="s">
        <v>4270</v>
      </c>
      <c r="D16" s="5" t="s">
        <v>4271</v>
      </c>
      <c r="E16" s="5" t="s">
        <v>4272</v>
      </c>
      <c r="H16" s="4">
        <v>15.0</v>
      </c>
      <c r="I16" s="10" t="str">
        <f>IFERROR(__xludf.DUMMYFUNCTION("GOOGLETRANSLATE(B16,""it"",""en"")"),"When was carving skiing invented?")</f>
        <v>When was carving skiing invented?</v>
      </c>
      <c r="J16" s="10" t="str">
        <f>IFERROR(__xludf.DUMMYFUNCTION("GOOGLETRANSLATE(C16,""it"",""en"")"),"A. 1960s B. 1970s C. 1980s D. 1990s")</f>
        <v>A. 1960s B. 1970s C. 1980s D. 1990s</v>
      </c>
      <c r="K16" s="10" t="str">
        <f>IFERROR(__xludf.DUMMYFUNCTION("GOOGLETRANSLATE(D16,""it"",""en"")"),"1990s")</f>
        <v>1990s</v>
      </c>
      <c r="L16" s="10" t="str">
        <f>IFERROR(__xludf.DUMMYFUNCTION("GOOGLETRANSLATE(E16,""it"",""en"")"),"Carving skiing was developed in the 1990s.")</f>
        <v>Carving skiing was developed in the 1990s.</v>
      </c>
    </row>
    <row r="17" ht="22.5" customHeight="1">
      <c r="A17" s="4">
        <v>16.0</v>
      </c>
      <c r="B17" s="5" t="s">
        <v>4273</v>
      </c>
      <c r="C17" s="5" t="s">
        <v>4274</v>
      </c>
      <c r="D17" s="5" t="s">
        <v>4275</v>
      </c>
      <c r="E17" s="5" t="s">
        <v>4276</v>
      </c>
      <c r="H17" s="4">
        <v>16.0</v>
      </c>
      <c r="I17" s="10" t="str">
        <f>IFERROR(__xludf.DUMMYFUNCTION("GOOGLETRANSLATE(B17,""it"",""en"")"),"What is the main purpose of the telemark technique?")</f>
        <v>What is the main purpose of the telemark technique?</v>
      </c>
      <c r="J17" s="10" t="str">
        <f>IFERROR(__xludf.DUMMYFUNCTION("GOOGLETRANSLATE(C17,""it"",""en"")"),"A. Turn with precision B. Descend quickly C. Stop safely D. Make skiing less demanding")</f>
        <v>A. Turn with precision B. Descend quickly C. Stop safely D. Make skiing less demanding</v>
      </c>
      <c r="K17" s="10" t="str">
        <f>IFERROR(__xludf.DUMMYFUNCTION("GOOGLETRANSLATE(D17,""it"",""en"")"),"Curve with precision")</f>
        <v>Curve with precision</v>
      </c>
      <c r="L17" s="10" t="str">
        <f>IFERROR(__xludf.DUMMYFUNCTION("GOOGLETRANSLATE(E17,""it"",""en"")"),"Telemark skiing allows for smooth and precise turns.")</f>
        <v>Telemark skiing allows for smooth and precise turns.</v>
      </c>
    </row>
    <row r="18" ht="22.5" customHeight="1">
      <c r="A18" s="4">
        <v>17.0</v>
      </c>
      <c r="B18" s="5" t="s">
        <v>4277</v>
      </c>
      <c r="C18" s="5" t="s">
        <v>4278</v>
      </c>
      <c r="D18" s="5" t="s">
        <v>4279</v>
      </c>
      <c r="E18" s="5" t="s">
        <v>4280</v>
      </c>
      <c r="H18" s="4">
        <v>17.0</v>
      </c>
      <c r="I18" s="10" t="str">
        <f>IFERROR(__xludf.DUMMYFUNCTION("GOOGLETRANSLATE(B18,""it"",""en"")"),"What does the word ""slalom"" mean?")</f>
        <v>What does the word "slalom" mean?</v>
      </c>
      <c r="J18" s="10" t="str">
        <f>IFERROR(__xludf.DUMMYFUNCTION("GOOGLETRANSLATE(C18,""it"",""en"")"),"A. Winding course B. Fast discipline C. Soft snow D. Controlled slide")</f>
        <v>A. Winding course B. Fast discipline C. Soft snow D. Controlled slide</v>
      </c>
      <c r="K18" s="10" t="str">
        <f>IFERROR(__xludf.DUMMYFUNCTION("GOOGLETRANSLATE(D18,""it"",""en"")"),"Winding path")</f>
        <v>Winding path</v>
      </c>
      <c r="L18" s="10" t="str">
        <f>IFERROR(__xludf.DUMMYFUNCTION("GOOGLETRANSLATE(E18,""it"",""en"")"),"Slalom literally means ""winding path"".")</f>
        <v>Slalom literally means "winding path".</v>
      </c>
    </row>
    <row r="19" ht="22.5" customHeight="1">
      <c r="A19" s="4">
        <v>18.0</v>
      </c>
      <c r="B19" s="5" t="s">
        <v>4281</v>
      </c>
      <c r="C19" s="5" t="s">
        <v>4282</v>
      </c>
      <c r="D19" s="5" t="s">
        <v>4228</v>
      </c>
      <c r="E19" s="5" t="s">
        <v>4283</v>
      </c>
      <c r="H19" s="4">
        <v>18.0</v>
      </c>
      <c r="I19" s="10" t="str">
        <f>IFERROR(__xludf.DUMMYFUNCTION("GOOGLETRANSLATE(B19,""it"",""en"")"),"Which Italian city is known as ""the queen of the Dolomites""?")</f>
        <v>Which Italian city is known as "the queen of the Dolomites"?</v>
      </c>
      <c r="J19" s="10" t="str">
        <f>IFERROR(__xludf.DUMMYFUNCTION("GOOGLETRANSLATE(C19,""it"",""en"")"),"A. Bolzano B. Cortina d'Ampezzo C. Trento D. Bressanone")</f>
        <v>A. Bolzano B. Cortina d'Ampezzo C. Trento D. Bressanone</v>
      </c>
      <c r="K19" s="10" t="str">
        <f>IFERROR(__xludf.DUMMYFUNCTION("GOOGLETRANSLATE(D19,""it"",""en"")"),"Cortina d'Ampezzo")</f>
        <v>Cortina d'Ampezzo</v>
      </c>
      <c r="L19" s="10" t="str">
        <f>IFERROR(__xludf.DUMMYFUNCTION("GOOGLETRANSLATE(E19,""it"",""en"")"),"Cortina is known as the queen of the Dolomites.")</f>
        <v>Cortina is known as the queen of the Dolomites.</v>
      </c>
    </row>
    <row r="20" ht="22.5" customHeight="1">
      <c r="A20" s="4">
        <v>19.0</v>
      </c>
      <c r="B20" s="5" t="s">
        <v>4284</v>
      </c>
      <c r="C20" s="5" t="s">
        <v>4285</v>
      </c>
      <c r="D20" s="4">
        <v>1936.0</v>
      </c>
      <c r="E20" s="5" t="s">
        <v>4286</v>
      </c>
      <c r="H20" s="4">
        <v>19.0</v>
      </c>
      <c r="I20" s="10" t="str">
        <f>IFERROR(__xludf.DUMMYFUNCTION("GOOGLETRANSLATE(B20,""it"",""en"")"),"When was alpine skiing included in the Olympic Games?")</f>
        <v>When was alpine skiing included in the Olympic Games?</v>
      </c>
      <c r="J20" s="10" t="str">
        <f>IFERROR(__xludf.DUMMYFUNCTION("GOOGLETRANSLATE(C20,""it"",""en"")"),"A. 1924 B. 1936 C. 1956 D. 1968")</f>
        <v>A. 1924 B. 1936 C. 1956 D. 1968</v>
      </c>
      <c r="K20" s="10" t="str">
        <f>IFERROR(__xludf.DUMMYFUNCTION("GOOGLETRANSLATE(D20,""it"",""en"")"),"1936")</f>
        <v>1936</v>
      </c>
      <c r="L20" s="10" t="str">
        <f>IFERROR(__xludf.DUMMYFUNCTION("GOOGLETRANSLATE(E20,""it"",""en"")"),"Alpine skiing became an Olympic sport in 1936.")</f>
        <v>Alpine skiing became an Olympic sport in 1936.</v>
      </c>
    </row>
    <row r="21" ht="22.5" customHeight="1">
      <c r="A21" s="4">
        <v>20.0</v>
      </c>
      <c r="B21" s="5" t="s">
        <v>4287</v>
      </c>
      <c r="C21" s="5" t="s">
        <v>4288</v>
      </c>
      <c r="D21" s="5" t="s">
        <v>4289</v>
      </c>
      <c r="E21" s="5" t="s">
        <v>4290</v>
      </c>
      <c r="H21" s="4">
        <v>20.0</v>
      </c>
      <c r="I21" s="10" t="str">
        <f>IFERROR(__xludf.DUMMYFUNCTION("GOOGLETRANSLATE(B21,""it"",""en"")"),"What type of snow is considered ideal for alpine skiing?")</f>
        <v>What type of snow is considered ideal for alpine skiing?</v>
      </c>
      <c r="J21" s="10" t="str">
        <f>IFERROR(__xludf.DUMMYFUNCTION("GOOGLETRANSLATE(C21,""it"",""en"")"),"A. Powder B. Ice C. Fresh snow D. Artificial snow")</f>
        <v>A. Powder B. Ice C. Fresh snow D. Artificial snow</v>
      </c>
      <c r="K21" s="10" t="str">
        <f>IFERROR(__xludf.DUMMYFUNCTION("GOOGLETRANSLATE(D21,""it"",""en"")"),"Dust")</f>
        <v>Dust</v>
      </c>
      <c r="L21" s="10" t="str">
        <f>IFERROR(__xludf.DUMMYFUNCTION("GOOGLETRANSLATE(E21,""it"",""en"")"),"Powder snow offers the best conditions for skiing.")</f>
        <v>Powder snow offers the best conditions for skiing.</v>
      </c>
    </row>
    <row r="22" ht="22.5" customHeight="1">
      <c r="A22" s="4">
        <v>21.0</v>
      </c>
      <c r="B22" s="5" t="s">
        <v>4291</v>
      </c>
      <c r="C22" s="5" t="s">
        <v>4292</v>
      </c>
      <c r="D22" s="5" t="s">
        <v>4293</v>
      </c>
      <c r="E22" s="5" t="s">
        <v>4294</v>
      </c>
      <c r="H22" s="4">
        <v>21.0</v>
      </c>
      <c r="I22" s="10" t="str">
        <f>IFERROR(__xludf.DUMMYFUNCTION("GOOGLETRANSLATE(B22,""it"",""en"")"),"What is the distinctive symbol of the Dolomites?")</f>
        <v>What is the distinctive symbol of the Dolomites?</v>
      </c>
      <c r="J22" s="10" t="str">
        <f>IFERROR(__xludf.DUMMYFUNCTION("GOOGLETRANSLATE(C22,""it"",""en"")"),"A. Granite mountains B. Limestone mountains C. Glacial valleys D. Volcanic peaks")</f>
        <v>A. Granite mountains B. Limestone mountains C. Glacial valleys D. Volcanic peaks</v>
      </c>
      <c r="K22" s="10" t="str">
        <f>IFERROR(__xludf.DUMMYFUNCTION("GOOGLETRANSLATE(D22,""it"",""en"")"),"Limestone mountains")</f>
        <v>Limestone mountains</v>
      </c>
      <c r="L22" s="10" t="str">
        <f>IFERROR(__xludf.DUMMYFUNCTION("GOOGLETRANSLATE(E22,""it"",""en"")"),"The Dolomites are known for their limestone mountains.")</f>
        <v>The Dolomites are known for their limestone mountains.</v>
      </c>
    </row>
    <row r="23" ht="22.5" customHeight="1">
      <c r="A23" s="4">
        <v>22.0</v>
      </c>
      <c r="B23" s="5" t="s">
        <v>4295</v>
      </c>
      <c r="C23" s="5" t="s">
        <v>4296</v>
      </c>
      <c r="D23" s="5" t="s">
        <v>4297</v>
      </c>
      <c r="E23" s="5" t="s">
        <v>4298</v>
      </c>
      <c r="H23" s="4">
        <v>22.0</v>
      </c>
      <c r="I23" s="10" t="str">
        <f>IFERROR(__xludf.DUMMYFUNCTION("GOOGLETRANSLATE(B23,""it"",""en"")"),"What is the term for an artificially groomed track?")</f>
        <v>What is the term for an artificially groomed track?</v>
      </c>
      <c r="J23" s="10" t="str">
        <f>IFERROR(__xludf.DUMMYFUNCTION("GOOGLETRANSLATE(C23,""it"",""en"")"),"A. Off-piste B. Groomed track C. Fresh track D. Hard track")</f>
        <v>A. Off-piste B. Groomed track C. Fresh track D. Hard track</v>
      </c>
      <c r="K23" s="10" t="str">
        <f>IFERROR(__xludf.DUMMYFUNCTION("GOOGLETRANSLATE(D23,""it"",""en"")"),"Beaten track")</f>
        <v>Beaten track</v>
      </c>
      <c r="L23" s="10" t="str">
        <f>IFERROR(__xludf.DUMMYFUNCTION("GOOGLETRANSLATE(E23,""it"",""en"")"),"The groomed slopes are artificially prepared.")</f>
        <v>The groomed slopes are artificially prepared.</v>
      </c>
    </row>
    <row r="24" ht="22.5" customHeight="1">
      <c r="A24" s="4">
        <v>23.0</v>
      </c>
      <c r="B24" s="5" t="s">
        <v>4299</v>
      </c>
      <c r="C24" s="5" t="s">
        <v>4300</v>
      </c>
      <c r="D24" s="4">
        <v>1930.0</v>
      </c>
      <c r="E24" s="5" t="s">
        <v>4301</v>
      </c>
      <c r="H24" s="4">
        <v>23.0</v>
      </c>
      <c r="I24" s="10" t="str">
        <f>IFERROR(__xludf.DUMMYFUNCTION("GOOGLETRANSLATE(B24,""it"",""en"")"),"When was the first women's ski race held in the Alps?")</f>
        <v>When was the first women's ski race held in the Alps?</v>
      </c>
      <c r="J24" s="10" t="str">
        <f>IFERROR(__xludf.DUMMYFUNCTION("GOOGLETRANSLATE(C24,""it"",""en"")"),"A. 1920 B. 1930 C. 1940 D. 1950")</f>
        <v>A. 1920 B. 1930 C. 1940 D. 1950</v>
      </c>
      <c r="K24" s="10" t="str">
        <f>IFERROR(__xludf.DUMMYFUNCTION("GOOGLETRANSLATE(D24,""it"",""en"")"),"1930")</f>
        <v>1930</v>
      </c>
      <c r="L24" s="10" t="str">
        <f>IFERROR(__xludf.DUMMYFUNCTION("GOOGLETRANSLATE(E24,""it"",""en"")"),"The first women's races took place in the 1930s.")</f>
        <v>The first women's races took place in the 1930s.</v>
      </c>
    </row>
    <row r="25" ht="22.5" customHeight="1">
      <c r="A25" s="4">
        <v>24.0</v>
      </c>
      <c r="B25" s="5" t="s">
        <v>4302</v>
      </c>
      <c r="C25" s="5" t="s">
        <v>4303</v>
      </c>
      <c r="D25" s="5" t="s">
        <v>4304</v>
      </c>
      <c r="E25" s="5" t="s">
        <v>4305</v>
      </c>
      <c r="H25" s="4">
        <v>24.0</v>
      </c>
      <c r="I25" s="10" t="str">
        <f>IFERROR(__xludf.DUMMYFUNCTION("GOOGLETRANSLATE(B25,""it"",""en"")"),"What does ""freeride"" mean in skiing?")</f>
        <v>What does "freeride" mean in skiing?</v>
      </c>
      <c r="J25" s="10" t="str">
        <f>IFERROR(__xludf.DUMMYFUNCTION("GOOGLETRANSLATE(C25,""it"",""en"")"),"A. Off-piste skiing B. Speed ​​downhill C. Giant slalom D. Ski jumping")</f>
        <v>A. Off-piste skiing B. Speed ​​downhill C. Giant slalom D. Ski jumping</v>
      </c>
      <c r="K25" s="10" t="str">
        <f>IFERROR(__xludf.DUMMYFUNCTION("GOOGLETRANSLATE(D25,""it"",""en"")"),"Off-piste skiing")</f>
        <v>Off-piste skiing</v>
      </c>
      <c r="L25" s="10" t="str">
        <f>IFERROR(__xludf.DUMMYFUNCTION("GOOGLETRANSLATE(E25,""it"",""en"")"),"Freeride refers to off-piste skiing.")</f>
        <v>Freeride refers to off-piste skiing.</v>
      </c>
    </row>
    <row r="26" ht="22.5" customHeight="1">
      <c r="A26" s="4">
        <v>25.0</v>
      </c>
      <c r="B26" s="5" t="s">
        <v>4306</v>
      </c>
      <c r="C26" s="5" t="s">
        <v>4307</v>
      </c>
      <c r="D26" s="5" t="s">
        <v>4308</v>
      </c>
      <c r="E26" s="5" t="s">
        <v>4309</v>
      </c>
      <c r="H26" s="4">
        <v>25.0</v>
      </c>
      <c r="I26" s="10" t="str">
        <f>IFERROR(__xludf.DUMMYFUNCTION("GOOGLETRANSLATE(B26,""it"",""en"")"),"What technique is essential for downhill skiing?")</f>
        <v>What technique is essential for downhill skiing?</v>
      </c>
      <c r="J26" s="10" t="str">
        <f>IFERROR(__xludf.DUMMYFUNCTION("GOOGLETRANSLATE(C26,""it"",""en"")"),"A. Control of curves B. Maximum speed C. Ski jumping D. Constant balance")</f>
        <v>A. Control of curves B. Maximum speed C. Ski jumping D. Constant balance</v>
      </c>
      <c r="K26" s="10" t="str">
        <f>IFERROR(__xludf.DUMMYFUNCTION("GOOGLETRANSLATE(D26,""it"",""en"")"),"Maximum speed")</f>
        <v>Maximum speed</v>
      </c>
      <c r="L26" s="10" t="str">
        <f>IFERROR(__xludf.DUMMYFUNCTION("GOOGLETRANSLATE(E26,""it"",""en"")"),"Downhill is focused on top speed.")</f>
        <v>Downhill is focused on top speed.</v>
      </c>
    </row>
    <row r="27" ht="22.5" customHeight="1">
      <c r="A27" s="4">
        <v>26.0</v>
      </c>
      <c r="B27" s="5" t="s">
        <v>4310</v>
      </c>
      <c r="C27" s="5" t="s">
        <v>4311</v>
      </c>
      <c r="D27" s="5" t="s">
        <v>4063</v>
      </c>
      <c r="E27" s="5" t="s">
        <v>4312</v>
      </c>
      <c r="H27" s="4">
        <v>26.0</v>
      </c>
      <c r="I27" s="10" t="str">
        <f>IFERROR(__xludf.DUMMYFUNCTION("GOOGLETRANSLATE(B27,""it"",""en"")"),"What is the main advantage of modern skis over traditional ones?")</f>
        <v>What is the main advantage of modern skis over traditional ones?</v>
      </c>
      <c r="J27" s="10" t="str">
        <f>IFERROR(__xludf.DUMMYFUNCTION("GOOGLETRANSLATE(C27,""it"",""en"")"),"A. Lighter B. More stable C. Better floatation on snow D. Better grip on ice")</f>
        <v>A. Lighter B. More stable C. Better floatation on snow D. Better grip on ice</v>
      </c>
      <c r="K27" s="10" t="str">
        <f>IFERROR(__xludf.DUMMYFUNCTION("GOOGLETRANSLATE(D27,""it"",""en"")"),"Everyone")</f>
        <v>Everyone</v>
      </c>
      <c r="L27" s="10" t="str">
        <f>IFERROR(__xludf.DUMMYFUNCTION("GOOGLETRANSLATE(E27,""it"",""en"")"),"Innovations include lightness")</f>
        <v>Innovations include lightness</v>
      </c>
    </row>
    <row r="28" ht="22.5" customHeight="1">
      <c r="A28" s="4">
        <v>27.0</v>
      </c>
      <c r="B28" s="5" t="s">
        <v>4313</v>
      </c>
      <c r="C28" s="5" t="s">
        <v>4314</v>
      </c>
      <c r="D28" s="5" t="s">
        <v>4315</v>
      </c>
      <c r="E28" s="5" t="s">
        <v>4316</v>
      </c>
      <c r="H28" s="4">
        <v>27.0</v>
      </c>
      <c r="I28" s="10" t="str">
        <f>IFERROR(__xludf.DUMMYFUNCTION("GOOGLETRANSLATE(B28,""it"",""en"")"),"What is the name of the famous ski race ""Sellaronda""?")</f>
        <v>What is the name of the famous ski race "Sellaronda"?</v>
      </c>
      <c r="J28" s="10" t="str">
        <f>IFERROR(__xludf.DUMMYFUNCTION("GOOGLETRANSLATE(C28,""it"",""en"")"),"A. Downhill B. Giant slalom C. Ski mountaineering D. Cross-country skiing")</f>
        <v>A. Downhill B. Giant slalom C. Ski mountaineering D. Cross-country skiing</v>
      </c>
      <c r="K28" s="10" t="str">
        <f>IFERROR(__xludf.DUMMYFUNCTION("GOOGLETRANSLATE(D28,""it"",""en"")"),"Ski mountaineering")</f>
        <v>Ski mountaineering</v>
      </c>
      <c r="L28" s="10" t="str">
        <f>IFERROR(__xludf.DUMMYFUNCTION("GOOGLETRANSLATE(E28,""it"",""en"")"),"The Sellaronda is a ski mountaineering route in the Dolomites.")</f>
        <v>The Sellaronda is a ski mountaineering route in the Dolomites.</v>
      </c>
    </row>
    <row r="29" ht="22.5" customHeight="1">
      <c r="A29" s="4">
        <v>28.0</v>
      </c>
      <c r="B29" s="5" t="s">
        <v>4317</v>
      </c>
      <c r="C29" s="5" t="s">
        <v>4318</v>
      </c>
      <c r="D29" s="5" t="s">
        <v>4319</v>
      </c>
      <c r="E29" s="5" t="s">
        <v>4320</v>
      </c>
      <c r="H29" s="4">
        <v>28.0</v>
      </c>
      <c r="I29" s="10" t="str">
        <f>IFERROR(__xludf.DUMMYFUNCTION("GOOGLETRANSLATE(B29,""it"",""en"")"),"What is the main function of a ski boot?")</f>
        <v>What is the main function of a ski boot?</v>
      </c>
      <c r="J29" s="10" t="str">
        <f>IFERROR(__xludf.DUMMYFUNCTION("GOOGLETRANSLATE(C29,""it"",""en"")"),"A. Aesthetics B. Protection C. Transferring power to the ski D. Keeping feet warm")</f>
        <v>A. Aesthetics B. Protection C. Transferring power to the ski D. Keeping feet warm</v>
      </c>
      <c r="K29" s="10" t="str">
        <f>IFERROR(__xludf.DUMMYFUNCTION("GOOGLETRANSLATE(D29,""it"",""en"")"),"Transferring power to the ski")</f>
        <v>Transferring power to the ski</v>
      </c>
      <c r="L29" s="10" t="str">
        <f>IFERROR(__xludf.DUMMYFUNCTION("GOOGLETRANSLATE(E29,""it"",""en"")"),"Ski boots transfer power and control to the skis.")</f>
        <v>Ski boots transfer power and control to the skis.</v>
      </c>
    </row>
    <row r="30" ht="22.5" customHeight="1">
      <c r="A30" s="4">
        <v>29.0</v>
      </c>
      <c r="B30" s="5" t="s">
        <v>4321</v>
      </c>
      <c r="C30" s="5" t="s">
        <v>4322</v>
      </c>
      <c r="D30" s="5" t="s">
        <v>4323</v>
      </c>
      <c r="E30" s="5" t="s">
        <v>4324</v>
      </c>
      <c r="H30" s="4">
        <v>29.0</v>
      </c>
      <c r="I30" s="10" t="str">
        <f>IFERROR(__xludf.DUMMYFUNCTION("GOOGLETRANSLATE(B30,""it"",""en"")"),"Who invented parallel slalom?")</f>
        <v>Who invented parallel slalom?</v>
      </c>
      <c r="J30" s="10" t="str">
        <f>IFERROR(__xludf.DUMMYFUNCTION("GOOGLETRANSLATE(C30,""it"",""en"")"),"A. Austrian Federation B. Norwegian athletes C. Italian skiers D. French skiers")</f>
        <v>A. Austrian Federation B. Norwegian athletes C. Italian skiers D. French skiers</v>
      </c>
      <c r="K30" s="10" t="str">
        <f>IFERROR(__xludf.DUMMYFUNCTION("GOOGLETRANSLATE(D30,""it"",""en"")"),"Austrian Federation")</f>
        <v>Austrian Federation</v>
      </c>
      <c r="L30" s="10" t="str">
        <f>IFERROR(__xludf.DUMMYFUNCTION("GOOGLETRANSLATE(E30,""it"",""en"")"),"The Austrian Ski Federation has introduced parallel slalom.")</f>
        <v>The Austrian Ski Federation has introduced parallel slalom.</v>
      </c>
    </row>
    <row r="31" ht="22.5" customHeight="1">
      <c r="A31" s="4">
        <v>30.0</v>
      </c>
      <c r="B31" s="5" t="s">
        <v>4325</v>
      </c>
      <c r="C31" s="5" t="s">
        <v>4326</v>
      </c>
      <c r="D31" s="5" t="s">
        <v>4327</v>
      </c>
      <c r="E31" s="5" t="s">
        <v>4328</v>
      </c>
      <c r="H31" s="4">
        <v>30.0</v>
      </c>
      <c r="I31" s="10" t="str">
        <f>IFERROR(__xludf.DUMMYFUNCTION("GOOGLETRANSLATE(B31,""it"",""en"")"),"What is the role of ""skating"" in skiing?")</f>
        <v>What is the role of "skating" in skiing?</v>
      </c>
      <c r="J31" s="10" t="str">
        <f>IFERROR(__xludf.DUMMYFUNCTION("GOOGLETRANSLATE(C31,""it"",""en"")"),"A. Climb hills B. Control speed C. Increase speed D. Turn quickly")</f>
        <v>A. Climb hills B. Control speed C. Increase speed D. Turn quickly</v>
      </c>
      <c r="K31" s="10" t="str">
        <f>IFERROR(__xludf.DUMMYFUNCTION("GOOGLETRANSLATE(D31,""it"",""en"")"),"Increase speed")</f>
        <v>Increase speed</v>
      </c>
      <c r="L31" s="10" t="str">
        <f>IFERROR(__xludf.DUMMYFUNCTION("GOOGLETRANSLATE(E31,""it"",""en"")"),"Skating is used to increase speed on flat terrain.")</f>
        <v>Skating is used to increase speed on flat terrain.</v>
      </c>
    </row>
    <row r="32" ht="22.5" customHeight="1">
      <c r="A32" s="4">
        <v>31.0</v>
      </c>
      <c r="B32" s="5" t="s">
        <v>4329</v>
      </c>
      <c r="C32" s="5" t="s">
        <v>4330</v>
      </c>
      <c r="D32" s="5" t="s">
        <v>4331</v>
      </c>
      <c r="E32" s="5" t="s">
        <v>4332</v>
      </c>
      <c r="H32" s="4">
        <v>31.0</v>
      </c>
      <c r="I32" s="10" t="str">
        <f>IFERROR(__xludf.DUMMYFUNCTION("GOOGLETRANSLATE(B32,""it"",""en"")"),"What does the word ""carving"" mean in skiing?")</f>
        <v>What does the word "carving" mean in skiing?</v>
      </c>
      <c r="J32" s="10" t="str">
        <f>IFERROR(__xludf.DUMMYFUNCTION("GOOGLETRANSLATE(C32,""it"",""en"")"),"A. Cut B. Slide C. Curve D. Climb")</f>
        <v>A. Cut B. Slide C. Curve D. Climb</v>
      </c>
      <c r="K32" s="10" t="str">
        <f>IFERROR(__xludf.DUMMYFUNCTION("GOOGLETRANSLATE(D32,""it"",""en"")"),"To bend")</f>
        <v>To bend</v>
      </c>
      <c r="L32" s="10" t="str">
        <f>IFERROR(__xludf.DUMMYFUNCTION("GOOGLETRANSLATE(E32,""it"",""en"")"),"The term ""carving"" refers to sharp, precise turns on skis.")</f>
        <v>The term "carving" refers to sharp, precise turns on skis.</v>
      </c>
    </row>
    <row r="33" ht="22.5" customHeight="1">
      <c r="A33" s="4">
        <v>32.0</v>
      </c>
      <c r="B33" s="5" t="s">
        <v>4333</v>
      </c>
      <c r="C33" s="5" t="s">
        <v>4334</v>
      </c>
      <c r="D33" s="5" t="s">
        <v>4335</v>
      </c>
      <c r="E33" s="5" t="s">
        <v>4336</v>
      </c>
      <c r="H33" s="4">
        <v>32.0</v>
      </c>
      <c r="I33" s="10" t="str">
        <f>IFERROR(__xludf.DUMMYFUNCTION("GOOGLETRANSLATE(B33,""it"",""en"")"),"Which was the first Italian region to develop alpine skiing?")</f>
        <v>Which was the first Italian region to develop alpine skiing?</v>
      </c>
      <c r="J33" s="10" t="str">
        <f>IFERROR(__xludf.DUMMYFUNCTION("GOOGLETRANSLATE(C33,""it"",""en"")"),"A. Trentino-Alto Adige B. Aosta Valley C. Lombardy D. Veneto")</f>
        <v>A. Trentino-Alto Adige B. Aosta Valley C. Lombardy D. Veneto</v>
      </c>
      <c r="K33" s="10" t="str">
        <f>IFERROR(__xludf.DUMMYFUNCTION("GOOGLETRANSLATE(D33,""it"",""en"")"),"Trentino-Alto Adige")</f>
        <v>Trentino-Alto Adige</v>
      </c>
      <c r="L33" s="10" t="str">
        <f>IFERROR(__xludf.DUMMYFUNCTION("GOOGLETRANSLATE(E33,""it"",""en"")"),"Trentino-Alto Adige was a focal point for the development of alpine skiing.")</f>
        <v>Trentino-Alto Adige was a focal point for the development of alpine skiing.</v>
      </c>
    </row>
    <row r="34" ht="22.5" customHeight="1">
      <c r="A34" s="4">
        <v>33.0</v>
      </c>
      <c r="B34" s="5" t="s">
        <v>4337</v>
      </c>
      <c r="C34" s="5" t="s">
        <v>4338</v>
      </c>
      <c r="D34" s="5" t="s">
        <v>4339</v>
      </c>
      <c r="E34" s="5" t="s">
        <v>4340</v>
      </c>
      <c r="H34" s="4">
        <v>33.0</v>
      </c>
      <c r="I34" s="10" t="str">
        <f>IFERROR(__xludf.DUMMYFUNCTION("GOOGLETRANSLATE(B34,""it"",""en"")"),"What is the name of the famous ski pass in the Dolomites?")</f>
        <v>What is the name of the famous ski pass in the Dolomites?</v>
      </c>
      <c r="J34" s="10" t="str">
        <f>IFERROR(__xludf.DUMMYFUNCTION("GOOGLETRANSLATE(C34,""it"",""en"")"),"A. Tonale Pass B. Stelvio Pass C. Sella Pass D. Gavia Pass")</f>
        <v>A. Tonale Pass B. Stelvio Pass C. Sella Pass D. Gavia Pass</v>
      </c>
      <c r="K34" s="10" t="str">
        <f>IFERROR(__xludf.DUMMYFUNCTION("GOOGLETRANSLATE(D34,""it"",""en"")"),"Sella Pass")</f>
        <v>Sella Pass</v>
      </c>
      <c r="L34" s="10" t="str">
        <f>IFERROR(__xludf.DUMMYFUNCTION("GOOGLETRANSLATE(E34,""it"",""en"")"),"The Sella Pass is known for its access to many Alpine slopes.")</f>
        <v>The Sella Pass is known for its access to many Alpine slopes.</v>
      </c>
    </row>
    <row r="35" ht="22.5" customHeight="1">
      <c r="A35" s="4">
        <v>34.0</v>
      </c>
      <c r="B35" s="5" t="s">
        <v>4341</v>
      </c>
      <c r="C35" s="5" t="s">
        <v>4342</v>
      </c>
      <c r="D35" s="5" t="s">
        <v>2460</v>
      </c>
      <c r="E35" s="5" t="s">
        <v>4343</v>
      </c>
      <c r="H35" s="4">
        <v>34.0</v>
      </c>
      <c r="I35" s="10" t="str">
        <f>IFERROR(__xludf.DUMMYFUNCTION("GOOGLETRANSLATE(B35,""it"",""en"")"),"What is the main enemy of skiing during competitions?")</f>
        <v>What is the main enemy of skiing during competitions?</v>
      </c>
      <c r="J35" s="10" t="str">
        <f>IFERROR(__xludf.DUMMYFUNCTION("GOOGLETRANSLATE(C35,""it"",""en"")"),"A. Frozen snow B. Rain C. Fog D. Wind")</f>
        <v>A. Frozen snow B. Rain C. Fog D. Wind</v>
      </c>
      <c r="K35" s="10" t="str">
        <f>IFERROR(__xludf.DUMMYFUNCTION("GOOGLETRANSLATE(D35,""it"",""en"")"),"Wind")</f>
        <v>Wind</v>
      </c>
      <c r="L35" s="10" t="str">
        <f>IFERROR(__xludf.DUMMYFUNCTION("GOOGLETRANSLATE(E35,""it"",""en"")"),"Wind can affect skiers' speed and balance.")</f>
        <v>Wind can affect skiers' speed and balance.</v>
      </c>
    </row>
    <row r="36" ht="22.5" customHeight="1">
      <c r="A36" s="4">
        <v>35.0</v>
      </c>
      <c r="B36" s="5" t="s">
        <v>4344</v>
      </c>
      <c r="C36" s="5" t="s">
        <v>4345</v>
      </c>
      <c r="D36" s="5" t="s">
        <v>4346</v>
      </c>
      <c r="E36" s="5" t="s">
        <v>4347</v>
      </c>
      <c r="H36" s="4">
        <v>35.0</v>
      </c>
      <c r="I36" s="10" t="str">
        <f>IFERROR(__xludf.DUMMYFUNCTION("GOOGLETRANSLATE(B36,""it"",""en"")"),"What material is used in the bases of modern skis?")</f>
        <v>What material is used in the bases of modern skis?</v>
      </c>
      <c r="J36" s="10" t="str">
        <f>IFERROR(__xludf.DUMMYFUNCTION("GOOGLETRANSLATE(C36,""it"",""en"")"),"A. Plastic B. Carbon C. Graphite D. Aluminum")</f>
        <v>A. Plastic B. Carbon C. Graphite D. Aluminum</v>
      </c>
      <c r="K36" s="10" t="str">
        <f>IFERROR(__xludf.DUMMYFUNCTION("GOOGLETRANSLATE(D36,""it"",""en"")"),"Graphite")</f>
        <v>Graphite</v>
      </c>
      <c r="L36" s="10" t="str">
        <f>IFERROR(__xludf.DUMMYFUNCTION("GOOGLETRANSLATE(E36,""it"",""en"")"),"Graphite improves the glide of skis.")</f>
        <v>Graphite improves the glide of skis.</v>
      </c>
    </row>
    <row r="37" ht="22.5" customHeight="1">
      <c r="A37" s="4">
        <v>36.0</v>
      </c>
      <c r="B37" s="5" t="s">
        <v>4348</v>
      </c>
      <c r="C37" s="5" t="s">
        <v>4349</v>
      </c>
      <c r="D37" s="5" t="s">
        <v>646</v>
      </c>
      <c r="E37" s="5" t="s">
        <v>4350</v>
      </c>
      <c r="H37" s="4">
        <v>36.0</v>
      </c>
      <c r="I37" s="10" t="str">
        <f>IFERROR(__xludf.DUMMYFUNCTION("GOOGLETRANSLATE(B37,""it"",""en"")"),"Which Italian city hosted the 2006 Winter Olympics?")</f>
        <v>Which Italian city hosted the 2006 Winter Olympics?</v>
      </c>
      <c r="J37" s="10" t="str">
        <f>IFERROR(__xludf.DUMMYFUNCTION("GOOGLETRANSLATE(C37,""it"",""en"")"),"A. Cortina d'Ampezzo B. Bormio C. Milan D. Turin")</f>
        <v>A. Cortina d'Ampezzo B. Bormio C. Milan D. Turin</v>
      </c>
      <c r="K37" s="10" t="str">
        <f>IFERROR(__xludf.DUMMYFUNCTION("GOOGLETRANSLATE(D37,""it"",""en"")"),"Turin")</f>
        <v>Turin</v>
      </c>
      <c r="L37" s="10" t="str">
        <f>IFERROR(__xludf.DUMMYFUNCTION("GOOGLETRANSLATE(E37,""it"",""en"")"),"Turin hosted the 2006 Games.")</f>
        <v>Turin hosted the 2006 Games.</v>
      </c>
    </row>
    <row r="38" ht="22.5" customHeight="1">
      <c r="A38" s="4">
        <v>37.0</v>
      </c>
      <c r="B38" s="5" t="s">
        <v>4351</v>
      </c>
      <c r="C38" s="5" t="s">
        <v>4352</v>
      </c>
      <c r="D38" s="4">
        <v>1960.0</v>
      </c>
      <c r="E38" s="5" t="s">
        <v>4353</v>
      </c>
      <c r="H38" s="4">
        <v>37.0</v>
      </c>
      <c r="I38" s="10" t="str">
        <f>IFERROR(__xludf.DUMMYFUNCTION("GOOGLETRANSLATE(B38,""it"",""en"")"),"When was the first artificial ski created?")</f>
        <v>When was the first artificial ski created?</v>
      </c>
      <c r="J38" s="10" t="str">
        <f>IFERROR(__xludf.DUMMYFUNCTION("GOOGLETRANSLATE(C38,""it"",""en"")"),"A. 1940 B. 1950 C. 1960 D. 1970")</f>
        <v>A. 1940 B. 1950 C. 1960 D. 1970</v>
      </c>
      <c r="K38" s="10" t="str">
        <f>IFERROR(__xludf.DUMMYFUNCTION("GOOGLETRANSLATE(D38,""it"",""en"")"),"1960")</f>
        <v>1960</v>
      </c>
      <c r="L38" s="10" t="str">
        <f>IFERROR(__xludf.DUMMYFUNCTION("GOOGLETRANSLATE(E38,""it"",""en"")"),"Artificial fiberglass skis were introduced in the 1960s.")</f>
        <v>Artificial fiberglass skis were introduced in the 1960s.</v>
      </c>
    </row>
    <row r="39" ht="22.5" customHeight="1">
      <c r="A39" s="4">
        <v>38.0</v>
      </c>
      <c r="B39" s="5" t="s">
        <v>4354</v>
      </c>
      <c r="C39" s="5" t="s">
        <v>4355</v>
      </c>
      <c r="D39" s="5" t="s">
        <v>4356</v>
      </c>
      <c r="E39" s="5" t="s">
        <v>4357</v>
      </c>
      <c r="H39" s="4">
        <v>38.0</v>
      </c>
      <c r="I39" s="10" t="str">
        <f>IFERROR(__xludf.DUMMYFUNCTION("GOOGLETRANSLATE(B39,""it"",""en"")"),"What is the name of the discipline that combines cross-country skiing and shooting?")</f>
        <v>What is the name of the discipline that combines cross-country skiing and shooting?</v>
      </c>
      <c r="J39" s="10" t="str">
        <f>IFERROR(__xludf.DUMMYFUNCTION("GOOGLETRANSLATE(C39,""it"",""en"")"),"A. Slalom B. Biathlon C. Freestyle D. Ski mountaineering")</f>
        <v>A. Slalom B. Biathlon C. Freestyle D. Ski mountaineering</v>
      </c>
      <c r="K39" s="10" t="str">
        <f>IFERROR(__xludf.DUMMYFUNCTION("GOOGLETRANSLATE(D39,""it"",""en"")"),"Biathlon")</f>
        <v>Biathlon</v>
      </c>
      <c r="L39" s="10" t="str">
        <f>IFERROR(__xludf.DUMMYFUNCTION("GOOGLETRANSLATE(E39,""it"",""en"")"),"Biathlon combines cross-country skiing and shooting.")</f>
        <v>Biathlon combines cross-country skiing and shooting.</v>
      </c>
    </row>
    <row r="40" ht="22.5" customHeight="1">
      <c r="A40" s="4">
        <v>39.0</v>
      </c>
      <c r="B40" s="5" t="s">
        <v>4358</v>
      </c>
      <c r="C40" s="5" t="s">
        <v>4359</v>
      </c>
      <c r="D40" s="5" t="s">
        <v>4360</v>
      </c>
      <c r="E40" s="5" t="s">
        <v>4361</v>
      </c>
      <c r="H40" s="4">
        <v>39.0</v>
      </c>
      <c r="I40" s="10" t="str">
        <f>IFERROR(__xludf.DUMMYFUNCTION("GOOGLETRANSLATE(B40,""it"",""en"")"),"What is the average altitude of the Dolomites?")</f>
        <v>What is the average altitude of the Dolomites?</v>
      </c>
      <c r="J40" s="10" t="str">
        <f>IFERROR(__xludf.DUMMYFUNCTION("GOOGLETRANSLATE(C40,""it"",""en"")"),"A. 1500 meters B. 2000 meters C. 3000 meters D. 4000 meters")</f>
        <v>A. 1500 meters B. 2000 meters C. 3000 meters D. 4000 meters</v>
      </c>
      <c r="K40" s="10" t="str">
        <f>IFERROR(__xludf.DUMMYFUNCTION("GOOGLETRANSLATE(D40,""it"",""en"")"),"3000 meters")</f>
        <v>3000 meters</v>
      </c>
      <c r="L40" s="10" t="str">
        <f>IFERROR(__xludf.DUMMYFUNCTION("GOOGLETRANSLATE(E40,""it"",""en"")"),"The peaks of the Dolomites reach around 3000 metres in height.")</f>
        <v>The peaks of the Dolomites reach around 3000 metres in height.</v>
      </c>
    </row>
    <row r="41" ht="22.5" customHeight="1">
      <c r="A41" s="4">
        <v>40.0</v>
      </c>
      <c r="B41" s="5" t="s">
        <v>4362</v>
      </c>
      <c r="C41" s="5" t="s">
        <v>4363</v>
      </c>
      <c r="D41" s="5" t="s">
        <v>4364</v>
      </c>
      <c r="E41" s="5" t="s">
        <v>4365</v>
      </c>
      <c r="H41" s="4">
        <v>40.0</v>
      </c>
      <c r="I41" s="10" t="str">
        <f>IFERROR(__xludf.DUMMYFUNCTION("GOOGLETRANSLATE(B41,""it"",""en"")"),"What is the symbol of the Winter Olympic Games?")</f>
        <v>What is the symbol of the Winter Olympic Games?</v>
      </c>
      <c r="J41" s="10" t="str">
        <f>IFERROR(__xludf.DUMMYFUNCTION("GOOGLETRANSLATE(C41,""it"",""en"")"),"A. Olympic torch B. Five rings C. Crystal trophy D. Snow")</f>
        <v>A. Olympic torch B. Five rings C. Crystal trophy D. Snow</v>
      </c>
      <c r="K41" s="10" t="str">
        <f>IFERROR(__xludf.DUMMYFUNCTION("GOOGLETRANSLATE(D41,""it"",""en"")"),"Five circles")</f>
        <v>Five circles</v>
      </c>
      <c r="L41" s="10" t="str">
        <f>IFERROR(__xludf.DUMMYFUNCTION("GOOGLETRANSLATE(E41,""it"",""en"")"),"The five rings represent the union of the continents also in the Winter Games.")</f>
        <v>The five rings represent the union of the continents also in the Winter Games.</v>
      </c>
    </row>
    <row r="42" ht="22.5" customHeight="1">
      <c r="A42" s="4">
        <v>41.0</v>
      </c>
      <c r="B42" s="5" t="s">
        <v>4366</v>
      </c>
      <c r="C42" s="5" t="s">
        <v>4367</v>
      </c>
      <c r="D42" s="5" t="s">
        <v>4368</v>
      </c>
      <c r="E42" s="5" t="s">
        <v>4369</v>
      </c>
      <c r="H42" s="4">
        <v>41.0</v>
      </c>
      <c r="I42" s="10" t="str">
        <f>IFERROR(__xludf.DUMMYFUNCTION("GOOGLETRANSLATE(B42,""it"",""en"")"),"Who is the Italian with the most Olympic medals in alpine skiing?")</f>
        <v>Who is the Italian with the most Olympic medals in alpine skiing?</v>
      </c>
      <c r="J42" s="10" t="str">
        <f>IFERROR(__xludf.DUMMYFUNCTION("GOOGLETRANSLATE(C42,""it"",""en"")"),"A. Alberto Tomba B. Deborah Compagnoni C. Sofia Goggia D. Gustav Thöni")</f>
        <v>A. Alberto Tomba B. Deborah Compagnoni C. Sofia Goggia D. Gustav Thöni</v>
      </c>
      <c r="K42" s="10" t="str">
        <f>IFERROR(__xludf.DUMMYFUNCTION("GOOGLETRANSLATE(D42,""it"",""en"")"),"Alberto Tomba")</f>
        <v>Alberto Tomba</v>
      </c>
      <c r="L42" s="10" t="str">
        <f>IFERROR(__xludf.DUMMYFUNCTION("GOOGLETRANSLATE(E42,""it"",""en"")"),"Alberto Tomba is one of the most decorated Italian skiers.")</f>
        <v>Alberto Tomba is one of the most decorated Italian skiers.</v>
      </c>
    </row>
    <row r="43" ht="22.5" customHeight="1">
      <c r="A43" s="4">
        <v>42.0</v>
      </c>
      <c r="B43" s="5" t="s">
        <v>4370</v>
      </c>
      <c r="C43" s="5" t="s">
        <v>4371</v>
      </c>
      <c r="D43" s="5" t="s">
        <v>4372</v>
      </c>
      <c r="E43" s="5" t="s">
        <v>4373</v>
      </c>
      <c r="H43" s="4">
        <v>42.0</v>
      </c>
      <c r="I43" s="10" t="str">
        <f>IFERROR(__xludf.DUMMYFUNCTION("GOOGLETRANSLATE(B43,""it"",""en"")"),"What is the main purpose of ski wax?")</f>
        <v>What is the main purpose of ski wax?</v>
      </c>
      <c r="J43" s="10" t="str">
        <f>IFERROR(__xludf.DUMMYFUNCTION("GOOGLETRANSLATE(C43,""it"",""en"")"),"A. Reduce friction B. Increase grip C. Improve curvature D. Strengthen the ski")</f>
        <v>A. Reduce friction B. Increase grip C. Improve curvature D. Strengthen the ski</v>
      </c>
      <c r="K43" s="10" t="str">
        <f>IFERROR(__xludf.DUMMYFUNCTION("GOOGLETRANSLATE(D43,""it"",""en"")"),"Reduce friction")</f>
        <v>Reduce friction</v>
      </c>
      <c r="L43" s="10" t="str">
        <f>IFERROR(__xludf.DUMMYFUNCTION("GOOGLETRANSLATE(E43,""it"",""en"")"),"Ski wax reduces friction and improves glide.")</f>
        <v>Ski wax reduces friction and improves glide.</v>
      </c>
    </row>
    <row r="44" ht="22.5" customHeight="1">
      <c r="A44" s="4">
        <v>43.0</v>
      </c>
      <c r="B44" s="5" t="s">
        <v>4374</v>
      </c>
      <c r="C44" s="5" t="s">
        <v>4375</v>
      </c>
      <c r="D44" s="5" t="s">
        <v>4376</v>
      </c>
      <c r="E44" s="5" t="s">
        <v>4377</v>
      </c>
      <c r="H44" s="4">
        <v>43.0</v>
      </c>
      <c r="I44" s="10" t="str">
        <f>IFERROR(__xludf.DUMMYFUNCTION("GOOGLETRANSLATE(B44,""it"",""en"")"),"What is the name of the famous Bormio slope?")</f>
        <v>What is the name of the famous Bormio slope?</v>
      </c>
      <c r="J44" s="10" t="str">
        <f>IFERROR(__xludf.DUMMYFUNCTION("GOOGLETRANSLATE(C44,""it"",""en"")"),"A. Stelvio B. Olimpica C. Gran Paradiso D. Sella Ronda")</f>
        <v>A. Stelvio B. Olimpica C. Gran Paradiso D. Sella Ronda</v>
      </c>
      <c r="K44" s="10" t="str">
        <f>IFERROR(__xludf.DUMMYFUNCTION("GOOGLETRANSLATE(D44,""it"",""en"")"),"Stelvio")</f>
        <v>Stelvio</v>
      </c>
      <c r="L44" s="10" t="str">
        <f>IFERROR(__xludf.DUMMYFUNCTION("GOOGLETRANSLATE(E44,""it"",""en"")"),"The Stelvio is an iconic slope in Bormio.")</f>
        <v>The Stelvio is an iconic slope in Bormio.</v>
      </c>
    </row>
    <row r="45" ht="22.5" customHeight="1">
      <c r="A45" s="4">
        <v>44.0</v>
      </c>
      <c r="B45" s="5" t="s">
        <v>4378</v>
      </c>
      <c r="C45" s="5" t="s">
        <v>4270</v>
      </c>
      <c r="D45" s="5" t="s">
        <v>4379</v>
      </c>
      <c r="E45" s="5" t="s">
        <v>4380</v>
      </c>
      <c r="H45" s="4">
        <v>44.0</v>
      </c>
      <c r="I45" s="10" t="str">
        <f>IFERROR(__xludf.DUMMYFUNCTION("GOOGLETRANSLATE(B45,""it"",""en"")"),"When was snowboarding born?")</f>
        <v>When was snowboarding born?</v>
      </c>
      <c r="J45" s="10" t="str">
        <f>IFERROR(__xludf.DUMMYFUNCTION("GOOGLETRANSLATE(C45,""it"",""en"")"),"A. 1960s B. 1970s C. 1980s D. 1990s")</f>
        <v>A. 1960s B. 1970s C. 1980s D. 1990s</v>
      </c>
      <c r="K45" s="10" t="str">
        <f>IFERROR(__xludf.DUMMYFUNCTION("GOOGLETRANSLATE(D45,""it"",""en"")"),"1970s")</f>
        <v>1970s</v>
      </c>
      <c r="L45" s="10" t="str">
        <f>IFERROR(__xludf.DUMMYFUNCTION("GOOGLETRANSLATE(E45,""it"",""en"")"),"Snowboarding was born in the 1970s.")</f>
        <v>Snowboarding was born in the 1970s.</v>
      </c>
    </row>
    <row r="46" ht="22.5" customHeight="1">
      <c r="A46" s="4">
        <v>45.0</v>
      </c>
      <c r="B46" s="5" t="s">
        <v>4381</v>
      </c>
      <c r="C46" s="5" t="s">
        <v>4382</v>
      </c>
      <c r="D46" s="5" t="s">
        <v>4383</v>
      </c>
      <c r="E46" s="5" t="s">
        <v>4384</v>
      </c>
      <c r="H46" s="4">
        <v>45.0</v>
      </c>
      <c r="I46" s="10" t="str">
        <f>IFERROR(__xludf.DUMMYFUNCTION("GOOGLETRANSLATE(B46,""it"",""en"")"),"Which race is considered the ""queen"" of alpine skiing?")</f>
        <v>Which race is considered the "queen" of alpine skiing?</v>
      </c>
      <c r="J46" s="10" t="str">
        <f>IFERROR(__xludf.DUMMYFUNCTION("GOOGLETRANSLATE(C46,""it"",""en"")"),"A. Giant slalom B. Super G C. Downhill D. Special slalom")</f>
        <v>A. Giant slalom B. Super G C. Downhill D. Special slalom</v>
      </c>
      <c r="K46" s="10" t="str">
        <f>IFERROR(__xludf.DUMMYFUNCTION("GOOGLETRANSLATE(D46,""it"",""en"")"),"Downhill")</f>
        <v>Downhill</v>
      </c>
      <c r="L46" s="10" t="str">
        <f>IFERROR(__xludf.DUMMYFUNCTION("GOOGLETRANSLATE(E46,""it"",""en"")"),"The downhill is the most prestigious race in alpine skiing.")</f>
        <v>The downhill is the most prestigious race in alpine skiing.</v>
      </c>
    </row>
    <row r="47" ht="22.5" customHeight="1">
      <c r="A47" s="4">
        <v>46.0</v>
      </c>
      <c r="B47" s="5" t="s">
        <v>4385</v>
      </c>
      <c r="C47" s="5" t="s">
        <v>4386</v>
      </c>
      <c r="D47" s="5" t="s">
        <v>4387</v>
      </c>
      <c r="E47" s="5" t="s">
        <v>4388</v>
      </c>
      <c r="H47" s="4">
        <v>46.0</v>
      </c>
      <c r="I47" s="10" t="str">
        <f>IFERROR(__xludf.DUMMYFUNCTION("GOOGLETRANSLATE(B47,""it"",""en"")"),"What is the main role of a ski jacket?")</f>
        <v>What is the main role of a ski jacket?</v>
      </c>
      <c r="J47" s="10" t="str">
        <f>IFERROR(__xludf.DUMMYFUNCTION("GOOGLETRANSLATE(C47,""it"",""en"")"),"A. Aesthetics B. Wind resistance C. Waterproofness D. Heat")</f>
        <v>A. Aesthetics B. Wind resistance C. Waterproofness D. Heat</v>
      </c>
      <c r="K47" s="10" t="str">
        <f>IFERROR(__xludf.DUMMYFUNCTION("GOOGLETRANSLATE(D47,""it"",""en"")"),"Waterproof")</f>
        <v>Waterproof</v>
      </c>
      <c r="L47" s="10" t="str">
        <f>IFERROR(__xludf.DUMMYFUNCTION("GOOGLETRANSLATE(E47,""it"",""en"")"),"Ski jackets are designed to protect against water and snow.")</f>
        <v>Ski jackets are designed to protect against water and snow.</v>
      </c>
    </row>
    <row r="48" ht="22.5" customHeight="1">
      <c r="A48" s="4">
        <v>47.0</v>
      </c>
      <c r="B48" s="5" t="s">
        <v>4389</v>
      </c>
      <c r="C48" s="5" t="s">
        <v>4390</v>
      </c>
      <c r="D48" s="5" t="s">
        <v>4391</v>
      </c>
      <c r="E48" s="5" t="s">
        <v>4392</v>
      </c>
      <c r="H48" s="4">
        <v>47.0</v>
      </c>
      <c r="I48" s="10" t="str">
        <f>IFERROR(__xludf.DUMMYFUNCTION("GOOGLETRANSLATE(B48,""it"",""en"")"),"What is the typical slope of a downhill slope?")</f>
        <v>What is the typical slope of a downhill slope?</v>
      </c>
      <c r="J48" s="10" t="str">
        <f>IFERROR(__xludf.DUMMYFUNCTION("GOOGLETRANSLATE(C48,""it"",""en"")"),"A. 10-20% B. 20-30% C. 30-40% D. 40-50%")</f>
        <v>A. 10-20% B. 20-30% C. 30-40% D. 40-50%</v>
      </c>
      <c r="K48" s="10" t="str">
        <f>IFERROR(__xludf.DUMMYFUNCTION("GOOGLETRANSLATE(D48,""it"",""en"")"),"30-40%")</f>
        <v>30-40%</v>
      </c>
      <c r="L48" s="10" t="str">
        <f>IFERROR(__xludf.DUMMYFUNCTION("GOOGLETRANSLATE(E48,""it"",""en"")"),"The downhill slopes have steep gradients between 30 and 40%.")</f>
        <v>The downhill slopes have steep gradients between 30 and 40%.</v>
      </c>
    </row>
    <row r="49" ht="22.5" customHeight="1">
      <c r="A49" s="4">
        <v>48.0</v>
      </c>
      <c r="B49" s="5" t="s">
        <v>4393</v>
      </c>
      <c r="C49" s="5" t="s">
        <v>4394</v>
      </c>
      <c r="D49" s="5" t="s">
        <v>4395</v>
      </c>
      <c r="E49" s="5" t="s">
        <v>4396</v>
      </c>
      <c r="H49" s="4">
        <v>48.0</v>
      </c>
      <c r="I49" s="10" t="str">
        <f>IFERROR(__xludf.DUMMYFUNCTION("GOOGLETRANSLATE(B49,""it"",""en"")"),"What is the name of the international alpine ski circuit?")</f>
        <v>What is the name of the international alpine ski circuit?</v>
      </c>
      <c r="J49" s="10" t="str">
        <f>IFERROR(__xludf.DUMMYFUNCTION("GOOGLETRANSLATE(C49,""it"",""en"")"),"A. European Cup B. World Cup C. FIS Trophy D. Winter Games")</f>
        <v>A. European Cup B. World Cup C. FIS Trophy D. Winter Games</v>
      </c>
      <c r="K49" s="10" t="str">
        <f>IFERROR(__xludf.DUMMYFUNCTION("GOOGLETRANSLATE(D49,""it"",""en"")"),"World Cup")</f>
        <v>World Cup</v>
      </c>
      <c r="L49" s="10" t="str">
        <f>IFERROR(__xludf.DUMMYFUNCTION("GOOGLETRANSLATE(E49,""it"",""en"")"),"The World Cup is the main circuit for alpine skiing.")</f>
        <v>The World Cup is the main circuit for alpine skiing.</v>
      </c>
    </row>
    <row r="50" ht="22.5" customHeight="1">
      <c r="A50" s="4">
        <v>49.0</v>
      </c>
      <c r="B50" s="5" t="s">
        <v>4397</v>
      </c>
      <c r="C50" s="5" t="s">
        <v>4398</v>
      </c>
      <c r="D50" s="5" t="s">
        <v>4399</v>
      </c>
      <c r="E50" s="5" t="s">
        <v>4400</v>
      </c>
      <c r="H50" s="4">
        <v>49.0</v>
      </c>
      <c r="I50" s="10" t="str">
        <f>IFERROR(__xludf.DUMMYFUNCTION("GOOGLETRANSLATE(B50,""it"",""en"")"),"Which Italian is famous for the Nordic combination?")</f>
        <v>Which Italian is famous for the Nordic combination?</v>
      </c>
      <c r="J50" s="10" t="str">
        <f>IFERROR(__xludf.DUMMYFUNCTION("GOOGLETRANSLATE(C50,""it"",""en"")"),"A. Francesco De Fabiani B. Pietro Piller Cottrer C. Stefano Gros D. Maurilio De Zolt")</f>
        <v>A. Francesco De Fabiani B. Pietro Piller Cottrer C. Stefano Gros D. Maurilio De Zolt</v>
      </c>
      <c r="K50" s="10" t="str">
        <f>IFERROR(__xludf.DUMMYFUNCTION("GOOGLETRANSLATE(D50,""it"",""en"")"),"Peter Piller Cottrer")</f>
        <v>Peter Piller Cottrer</v>
      </c>
      <c r="L50" s="10" t="str">
        <f>IFERROR(__xludf.DUMMYFUNCTION("GOOGLETRANSLATE(E50,""it"",""en"")"),"Pietro is known for his performances in the Nordic combination.")</f>
        <v>Pietro is known for his performances in the Nordic combination.</v>
      </c>
    </row>
    <row r="51" ht="22.5" customHeight="1">
      <c r="A51" s="4">
        <v>50.0</v>
      </c>
      <c r="B51" s="5" t="s">
        <v>4401</v>
      </c>
      <c r="C51" s="5" t="s">
        <v>4402</v>
      </c>
      <c r="D51" s="5" t="s">
        <v>4403</v>
      </c>
      <c r="E51" s="5" t="s">
        <v>4404</v>
      </c>
      <c r="H51" s="4">
        <v>50.0</v>
      </c>
      <c r="I51" s="10" t="str">
        <f>IFERROR(__xludf.DUMMYFUNCTION("GOOGLETRANSLATE(B51,""it"",""en"")"),"What does ""off-piste"" mean in skiing?")</f>
        <v>What does "off-piste" mean in skiing?</v>
      </c>
      <c r="J51" s="10" t="str">
        <f>IFERROR(__xludf.DUMMYFUNCTION("GOOGLETRANSLATE(C51,""it"",""en"")"),"A. Skiing on a groomed trail B. Skiing off marked trails C. Skiing on ice D. Skiing at a slow speed")</f>
        <v>A. Skiing on a groomed trail B. Skiing off marked trails C. Skiing on ice D. Skiing at a slow speed</v>
      </c>
      <c r="K51" s="10" t="str">
        <f>IFERROR(__xludf.DUMMYFUNCTION("GOOGLETRANSLATE(D51,""it"",""en"")"),"Skiing off the marked slopes")</f>
        <v>Skiing off the marked slopes</v>
      </c>
      <c r="L51" s="10" t="str">
        <f>IFERROR(__xludf.DUMMYFUNCTION("GOOGLETRANSLATE(E51,""it"",""en"")"),"Off-piste refers to skiing on ungroomed snow.")</f>
        <v>Off-piste refers to skiing on ungroomed snow.</v>
      </c>
    </row>
    <row r="52" ht="22.5" customHeight="1">
      <c r="A52" s="4">
        <v>51.0</v>
      </c>
      <c r="B52" s="5" t="s">
        <v>4405</v>
      </c>
      <c r="C52" s="5" t="s">
        <v>4406</v>
      </c>
      <c r="D52" s="5" t="s">
        <v>4407</v>
      </c>
      <c r="E52" s="5" t="s">
        <v>4408</v>
      </c>
      <c r="H52" s="4">
        <v>51.0</v>
      </c>
      <c r="I52" s="10" t="str">
        <f>IFERROR(__xludf.DUMMYFUNCTION("GOOGLETRANSLATE(B52,""it"",""en"")"),"What is the average length of a Super G?")</f>
        <v>What is the average length of a Super G?</v>
      </c>
      <c r="J52" s="10" t="str">
        <f>IFERROR(__xludf.DUMMYFUNCTION("GOOGLETRANSLATE(C52,""it"",""en"")"),"A. 500-800 meters B. 800-1200 meters C. 1200-1800 meters D. 1800-2500 meters")</f>
        <v>A. 500-800 meters B. 800-1200 meters C. 1200-1800 meters D. 1800-2500 meters</v>
      </c>
      <c r="K52" s="10" t="str">
        <f>IFERROR(__xludf.DUMMYFUNCTION("GOOGLETRANSLATE(D52,""it"",""en"")"),"1200-1800 meters")</f>
        <v>1200-1800 meters</v>
      </c>
      <c r="L52" s="10" t="str">
        <f>IFERROR(__xludf.DUMMYFUNCTION("GOOGLETRANSLATE(E52,""it"",""en"")"),"The Super G has lengths between 1200 and 1800 meters.")</f>
        <v>The Super G has lengths between 1200 and 1800 meters.</v>
      </c>
    </row>
    <row r="53" ht="22.5" customHeight="1">
      <c r="A53" s="4">
        <v>52.0</v>
      </c>
      <c r="B53" s="5" t="s">
        <v>4409</v>
      </c>
      <c r="C53" s="5" t="s">
        <v>4410</v>
      </c>
      <c r="D53" s="5" t="s">
        <v>4411</v>
      </c>
      <c r="E53" s="5" t="s">
        <v>4412</v>
      </c>
      <c r="H53" s="4">
        <v>52.0</v>
      </c>
      <c r="I53" s="10" t="str">
        <f>IFERROR(__xludf.DUMMYFUNCTION("GOOGLETRANSLATE(B53,""it"",""en"")"),"What is the main risk factor in alpine skiing?")</f>
        <v>What is the main risk factor in alpine skiing?</v>
      </c>
      <c r="J53" s="10" t="str">
        <f>IFERROR(__xludf.DUMMYFUNCTION("GOOGLETRANSLATE(C53,""it"",""en"")"),"A. Ice B. Fog C. Hidden stones D. High speed")</f>
        <v>A. Ice B. Fog C. Hidden stones D. High speed</v>
      </c>
      <c r="K53" s="10" t="str">
        <f>IFERROR(__xludf.DUMMYFUNCTION("GOOGLETRANSLATE(D53,""it"",""en"")"),"High speed")</f>
        <v>High speed</v>
      </c>
      <c r="L53" s="10" t="str">
        <f>IFERROR(__xludf.DUMMYFUNCTION("GOOGLETRANSLATE(E53,""it"",""en"")"),"High speed increases the risk of accidents in alpine skiing.")</f>
        <v>High speed increases the risk of accidents in alpine skiing.</v>
      </c>
    </row>
    <row r="54" ht="22.5" customHeight="1">
      <c r="A54" s="4">
        <v>53.0</v>
      </c>
      <c r="B54" s="5" t="s">
        <v>4413</v>
      </c>
      <c r="C54" s="5" t="s">
        <v>4414</v>
      </c>
      <c r="D54" s="5" t="s">
        <v>4415</v>
      </c>
      <c r="E54" s="5" t="s">
        <v>4416</v>
      </c>
      <c r="H54" s="4">
        <v>53.0</v>
      </c>
      <c r="I54" s="10" t="str">
        <f>IFERROR(__xludf.DUMMYFUNCTION("GOOGLETRANSLATE(B54,""it"",""en"")"),"What is the basic technique for beginners in alpine skiing?")</f>
        <v>What is the basic technique for beginners in alpine skiing?</v>
      </c>
      <c r="J54" s="10" t="str">
        <f>IFERROR(__xludf.DUMMYFUNCTION("GOOGLETRANSLATE(C54,""it"",""en"")"),"A. Slalom B. Snowplowing C. Carving D. Telemark")</f>
        <v>A. Slalom B. Snowplowing C. Carving D. Telemark</v>
      </c>
      <c r="K54" s="10" t="str">
        <f>IFERROR(__xludf.DUMMYFUNCTION("GOOGLETRANSLATE(D54,""it"",""en"")"),"Snowplow")</f>
        <v>Snowplow</v>
      </c>
      <c r="L54" s="10" t="str">
        <f>IFERROR(__xludf.DUMMYFUNCTION("GOOGLETRANSLATE(E54,""it"",""en"")"),"Snowplowing technique is essential for beginners.")</f>
        <v>Snowplowing technique is essential for beginners.</v>
      </c>
    </row>
    <row r="55" ht="22.5" customHeight="1">
      <c r="A55" s="4">
        <v>54.0</v>
      </c>
      <c r="B55" s="5" t="s">
        <v>4417</v>
      </c>
      <c r="C55" s="5" t="s">
        <v>4418</v>
      </c>
      <c r="D55" s="5" t="s">
        <v>4419</v>
      </c>
      <c r="E55" s="5" t="s">
        <v>4420</v>
      </c>
      <c r="H55" s="4">
        <v>54.0</v>
      </c>
      <c r="I55" s="10" t="str">
        <f>IFERROR(__xludf.DUMMYFUNCTION("GOOGLETRANSLATE(B55,""it"",""en"")"),"What is the name of the famous cross-country skiing race in Italy?")</f>
        <v>What is the name of the famous cross-country skiing race in Italy?</v>
      </c>
      <c r="J55" s="10" t="str">
        <f>IFERROR(__xludf.DUMMYFUNCTION("GOOGLETRANSLATE(C55,""it"",""en"")"),"A. Gran Paradiso B. Marcialonga C. Sella Ronda D. Italian Cup")</f>
        <v>A. Gran Paradiso B. Marcialonga C. Sella Ronda D. Italian Cup</v>
      </c>
      <c r="K55" s="10" t="str">
        <f>IFERROR(__xludf.DUMMYFUNCTION("GOOGLETRANSLATE(D55,""it"",""en"")"),"Marcialonga")</f>
        <v>Marcialonga</v>
      </c>
      <c r="L55" s="10" t="str">
        <f>IFERROR(__xludf.DUMMYFUNCTION("GOOGLETRANSLATE(E55,""it"",""en"")"),"The Marcialonga is an iconic cross-country skiing race in Italy.")</f>
        <v>The Marcialonga is an iconic cross-country skiing race in Italy.</v>
      </c>
    </row>
    <row r="56" ht="22.5" customHeight="1">
      <c r="A56" s="4">
        <v>55.0</v>
      </c>
      <c r="B56" s="5" t="s">
        <v>4421</v>
      </c>
      <c r="C56" s="5" t="s">
        <v>4422</v>
      </c>
      <c r="D56" s="5" t="s">
        <v>4335</v>
      </c>
      <c r="E56" s="5" t="s">
        <v>4423</v>
      </c>
      <c r="H56" s="4">
        <v>55.0</v>
      </c>
      <c r="I56" s="10" t="str">
        <f>IFERROR(__xludf.DUMMYFUNCTION("GOOGLETRANSLATE(B56,""it"",""en"")"),"Which Italian region is famous for the Dolomiti Superski area?")</f>
        <v>Which Italian region is famous for the Dolomiti Superski area?</v>
      </c>
      <c r="J56" s="10" t="str">
        <f>IFERROR(__xludf.DUMMYFUNCTION("GOOGLETRANSLATE(C56,""it"",""en"")"),"A. Lombardy B. Trentino-Alto Adige C. Piedmont D. Aosta Valley")</f>
        <v>A. Lombardy B. Trentino-Alto Adige C. Piedmont D. Aosta Valley</v>
      </c>
      <c r="K56" s="10" t="str">
        <f>IFERROR(__xludf.DUMMYFUNCTION("GOOGLETRANSLATE(D56,""it"",""en"")"),"Trentino-Alto Adige")</f>
        <v>Trentino-Alto Adige</v>
      </c>
      <c r="L56" s="10" t="str">
        <f>IFERROR(__xludf.DUMMYFUNCTION("GOOGLETRANSLATE(E56,""it"",""en"")"),"Dolomiti Superski is located in Trentino-Alto Adige.")</f>
        <v>Dolomiti Superski is located in Trentino-Alto Adige.</v>
      </c>
    </row>
    <row r="57" ht="22.5" customHeight="1">
      <c r="A57" s="4">
        <v>56.0</v>
      </c>
      <c r="B57" s="5" t="s">
        <v>4424</v>
      </c>
      <c r="C57" s="5" t="s">
        <v>4425</v>
      </c>
      <c r="D57" s="5" t="s">
        <v>4426</v>
      </c>
      <c r="E57" s="5" t="s">
        <v>4427</v>
      </c>
      <c r="H57" s="4">
        <v>56.0</v>
      </c>
      <c r="I57" s="10" t="str">
        <f>IFERROR(__xludf.DUMMYFUNCTION("GOOGLETRANSLATE(B57,""it"",""en"")"),"What is the main advantage of twin-tip skis?")</f>
        <v>What is the main advantage of twin-tip skis?</v>
      </c>
      <c r="J57" s="10" t="str">
        <f>IFERROR(__xludf.DUMMYFUNCTION("GOOGLETRANSLATE(C57,""it"",""en"")"),"A. Stability on icy snow B. Better control at speed C. Ease in acrobatics D. Better flotation")</f>
        <v>A. Stability on icy snow B. Better control at speed C. Ease in acrobatics D. Better flotation</v>
      </c>
      <c r="K57" s="10" t="str">
        <f>IFERROR(__xludf.DUMMYFUNCTION("GOOGLETRANSLATE(D57,""it"",""en"")"),"Ease in acrobatics")</f>
        <v>Ease in acrobatics</v>
      </c>
      <c r="L57" s="10" t="str">
        <f>IFERROR(__xludf.DUMMYFUNCTION("GOOGLETRANSLATE(E57,""it"",""en"")"),"Twin-tip skis are designed for tricks and freestyle.")</f>
        <v>Twin-tip skis are designed for tricks and freestyle.</v>
      </c>
    </row>
    <row r="58" ht="22.5" customHeight="1">
      <c r="A58" s="4">
        <v>57.0</v>
      </c>
      <c r="B58" s="5" t="s">
        <v>4428</v>
      </c>
      <c r="C58" s="5" t="s">
        <v>4429</v>
      </c>
      <c r="D58" s="5" t="s">
        <v>4430</v>
      </c>
      <c r="E58" s="5" t="s">
        <v>4431</v>
      </c>
      <c r="H58" s="4">
        <v>57.0</v>
      </c>
      <c r="I58" s="10" t="str">
        <f>IFERROR(__xludf.DUMMYFUNCTION("GOOGLETRANSLATE(B58,""it"",""en"")"),"What does ""fresh snow"" mean in skiing?")</f>
        <v>What does "fresh snow" mean in skiing?</v>
      </c>
      <c r="J58" s="10" t="str">
        <f>IFERROR(__xludf.DUMMYFUNCTION("GOOGLETRANSLATE(C58,""it"",""en"")"),"A. Frozen snow B. Freshly fallen snow C. Packed snow D. Artificial snow")</f>
        <v>A. Frozen snow B. Freshly fallen snow C. Packed snow D. Artificial snow</v>
      </c>
      <c r="K58" s="10" t="str">
        <f>IFERROR(__xludf.DUMMYFUNCTION("GOOGLETRANSLATE(D58,""it"",""en"")"),"Freshly fallen snow")</f>
        <v>Freshly fallen snow</v>
      </c>
      <c r="L58" s="10" t="str">
        <f>IFERROR(__xludf.DUMMYFUNCTION("GOOGLETRANSLATE(E58,""it"",""en"")"),"Fresh snow is snow that has just fallen and not yet been worked.")</f>
        <v>Fresh snow is snow that has just fallen and not yet been worked.</v>
      </c>
    </row>
    <row r="59" ht="22.5" customHeight="1">
      <c r="A59" s="4">
        <v>58.0</v>
      </c>
      <c r="B59" s="5" t="s">
        <v>4432</v>
      </c>
      <c r="C59" s="5" t="s">
        <v>4433</v>
      </c>
      <c r="D59" s="5" t="s">
        <v>4434</v>
      </c>
      <c r="E59" s="5" t="s">
        <v>4435</v>
      </c>
      <c r="H59" s="4">
        <v>58.0</v>
      </c>
      <c r="I59" s="10" t="str">
        <f>IFERROR(__xludf.DUMMYFUNCTION("GOOGLETRANSLATE(B59,""it"",""en"")"),"What is the name of the famous slope in Cortina d'Ampezzo?")</f>
        <v>What is the name of the famous slope in Cortina d'Ampezzo?</v>
      </c>
      <c r="J59" s="10" t="str">
        <f>IFERROR(__xludf.DUMMYFUNCTION("GOOGLETRANSLATE(C59,""it"",""en"")"),"A. Tofane B. Olympia C. Gran Risa D. Saslong")</f>
        <v>A. Tofane B. Olympia C. Gran Risa D. Saslong</v>
      </c>
      <c r="K59" s="10" t="str">
        <f>IFERROR(__xludf.DUMMYFUNCTION("GOOGLETRANSLATE(D59,""it"",""en"")"),"Tofane")</f>
        <v>Tofane</v>
      </c>
      <c r="L59" s="10" t="str">
        <f>IFERROR(__xludf.DUMMYFUNCTION("GOOGLETRANSLATE(E59,""it"",""en"")"),"Tofane is one of the most famous slopes in Cortina.")</f>
        <v>Tofane is one of the most famous slopes in Cortina.</v>
      </c>
    </row>
    <row r="60" ht="22.5" customHeight="1">
      <c r="A60" s="4">
        <v>59.0</v>
      </c>
      <c r="B60" s="5" t="s">
        <v>4436</v>
      </c>
      <c r="C60" s="5" t="s">
        <v>4437</v>
      </c>
      <c r="D60" s="5" t="s">
        <v>4438</v>
      </c>
      <c r="E60" s="5" t="s">
        <v>4439</v>
      </c>
      <c r="H60" s="4">
        <v>59.0</v>
      </c>
      <c r="I60" s="10" t="str">
        <f>IFERROR(__xludf.DUMMYFUNCTION("GOOGLETRANSLATE(B60,""it"",""en"")"),"What is the main difference between Nordic skiing and Alpine skiing?")</f>
        <v>What is the main difference between Nordic skiing and Alpine skiing?</v>
      </c>
      <c r="J60" s="10" t="str">
        <f>IFERROR(__xludf.DUMMYFUNCTION("GOOGLETRANSLATE(C60,""it"",""en"")"),"A. Slope gradient B. Type of snow C. Descent technique D. Equipment and technique")</f>
        <v>A. Slope gradient B. Type of snow C. Descent technique D. Equipment and technique</v>
      </c>
      <c r="K60" s="10" t="str">
        <f>IFERROR(__xludf.DUMMYFUNCTION("GOOGLETRANSLATE(D60,""it"",""en"")"),"Equipment and technique")</f>
        <v>Equipment and technique</v>
      </c>
      <c r="L60" s="10" t="str">
        <f>IFERROR(__xludf.DUMMYFUNCTION("GOOGLETRANSLATE(E60,""it"",""en"")"),"The main differences lie in the equipment and technique.")</f>
        <v>The main differences lie in the equipment and technique.</v>
      </c>
    </row>
    <row r="61" ht="22.5" customHeight="1">
      <c r="A61" s="4">
        <v>60.0</v>
      </c>
      <c r="B61" s="5" t="s">
        <v>4440</v>
      </c>
      <c r="C61" s="5" t="s">
        <v>4441</v>
      </c>
      <c r="D61" s="5" t="s">
        <v>4442</v>
      </c>
      <c r="E61" s="5" t="s">
        <v>4443</v>
      </c>
      <c r="H61" s="4">
        <v>60.0</v>
      </c>
      <c r="I61" s="10" t="str">
        <f>IFERROR(__xludf.DUMMYFUNCTION("GOOGLETRANSLATE(B61,""it"",""en"")"),"When is the best time to ski in the Italian Alps?")</f>
        <v>When is the best time to ski in the Italian Alps?</v>
      </c>
      <c r="J61" s="10" t="str">
        <f>IFERROR(__xludf.DUMMYFUNCTION("GOOGLETRANSLATE(C61,""it"",""en"")"),"A. November-December B. December-February C. February-March D. March-April")</f>
        <v>A. November-December B. December-February C. February-March D. March-April</v>
      </c>
      <c r="K61" s="10" t="str">
        <f>IFERROR(__xludf.DUMMYFUNCTION("GOOGLETRANSLATE(D61,""it"",""en"")"),"February-March")</f>
        <v>February-March</v>
      </c>
      <c r="L61" s="10" t="str">
        <f>IFERROR(__xludf.DUMMYFUNCTION("GOOGLETRANSLATE(E61,""it"",""en"")"),"February and March offer the best conditions for skiing in the Italian Alps.")</f>
        <v>February and March offer the best conditions for skiing in the Italian Alps.</v>
      </c>
    </row>
    <row r="62" ht="22.5" customHeight="1">
      <c r="A62" s="4">
        <v>61.0</v>
      </c>
      <c r="B62" s="5" t="s">
        <v>4444</v>
      </c>
      <c r="C62" s="5" t="s">
        <v>4445</v>
      </c>
      <c r="D62" s="5" t="s">
        <v>4446</v>
      </c>
      <c r="E62" s="5" t="s">
        <v>4447</v>
      </c>
      <c r="H62" s="4">
        <v>61.0</v>
      </c>
      <c r="I62" s="10" t="str">
        <f>IFERROR(__xludf.DUMMYFUNCTION("GOOGLETRANSLATE(B62,""it"",""en"")"),"What is the main advantage of artificial slopes?")</f>
        <v>What is the main advantage of artificial slopes?</v>
      </c>
      <c r="J62" s="10" t="str">
        <f>IFERROR(__xludf.DUMMYFUNCTION("GOOGLETRANSLATE(C62,""it"",""en"")"),"A. They allow you to ski all year round B. They cost less to maintain C. They are wider D. They are less steep")</f>
        <v>A. They allow you to ski all year round B. They cost less to maintain C. They are wider D. They are less steep</v>
      </c>
      <c r="K62" s="10" t="str">
        <f>IFERROR(__xludf.DUMMYFUNCTION("GOOGLETRANSLATE(D62,""it"",""en"")"),"Permanent skiing all year round")</f>
        <v>Permanent skiing all year round</v>
      </c>
      <c r="L62" s="10" t="str">
        <f>IFERROR(__xludf.DUMMYFUNCTION("GOOGLETRANSLATE(E62,""it"",""en"")"),"The artificial slopes allow skiing in every season.")</f>
        <v>The artificial slopes allow skiing in every season.</v>
      </c>
    </row>
    <row r="63" ht="22.5" customHeight="1">
      <c r="A63" s="4">
        <v>62.0</v>
      </c>
      <c r="B63" s="5" t="s">
        <v>4448</v>
      </c>
      <c r="C63" s="5" t="s">
        <v>4449</v>
      </c>
      <c r="D63" s="5" t="s">
        <v>4356</v>
      </c>
      <c r="E63" s="5" t="s">
        <v>4357</v>
      </c>
      <c r="H63" s="4">
        <v>62.0</v>
      </c>
      <c r="I63" s="10" t="str">
        <f>IFERROR(__xludf.DUMMYFUNCTION("GOOGLETRANSLATE(B63,""it"",""en"")"),"Which Olympic event combines alpine skiing and archery?")</f>
        <v>Which Olympic event combines alpine skiing and archery?</v>
      </c>
      <c r="J63" s="10" t="str">
        <f>IFERROR(__xludf.DUMMYFUNCTION("GOOGLETRANSLATE(C63,""it"",""en"")"),"A. Biathlon B. Nordic Combined C. Giant Slalom D. Super G")</f>
        <v>A. Biathlon B. Nordic Combined C. Giant Slalom D. Super G</v>
      </c>
      <c r="K63" s="10" t="str">
        <f>IFERROR(__xludf.DUMMYFUNCTION("GOOGLETRANSLATE(D63,""it"",""en"")"),"Biathlon")</f>
        <v>Biathlon</v>
      </c>
      <c r="L63" s="10" t="str">
        <f>IFERROR(__xludf.DUMMYFUNCTION("GOOGLETRANSLATE(E63,""it"",""en"")"),"Biathlon combines cross-country skiing and shooting.")</f>
        <v>Biathlon combines cross-country skiing and shooting.</v>
      </c>
    </row>
    <row r="64" ht="22.5" customHeight="1">
      <c r="A64" s="4">
        <v>63.0</v>
      </c>
      <c r="B64" s="5" t="s">
        <v>4450</v>
      </c>
      <c r="C64" s="5" t="s">
        <v>4451</v>
      </c>
      <c r="D64" s="5" t="s">
        <v>4452</v>
      </c>
      <c r="E64" s="5" t="s">
        <v>4453</v>
      </c>
      <c r="H64" s="4">
        <v>63.0</v>
      </c>
      <c r="I64" s="10" t="str">
        <f>IFERROR(__xludf.DUMMYFUNCTION("GOOGLETRANSLATE(B64,""it"",""en"")"),"What technology has improved skier safety in recent years?")</f>
        <v>What technology has improved skier safety in recent years?</v>
      </c>
      <c r="J64" s="10" t="str">
        <f>IFERROR(__xludf.DUMMYFUNCTION("GOOGLETRANSLATE(C64,""it"",""en"")"),"A. Advanced waxing B. Carbon fiber skis C. Ski airbags D. Lightweight helmets")</f>
        <v>A. Advanced waxing B. Carbon fiber skis C. Ski airbags D. Lightweight helmets</v>
      </c>
      <c r="K64" s="10" t="str">
        <f>IFERROR(__xludf.DUMMYFUNCTION("GOOGLETRANSLATE(D64,""it"",""en"")"),"Ski airbag")</f>
        <v>Ski airbag</v>
      </c>
      <c r="L64" s="10" t="str">
        <f>IFERROR(__xludf.DUMMYFUNCTION("GOOGLETRANSLATE(E64,""it"",""en"")"),"Ski airbags increase safety during falls.")</f>
        <v>Ski airbags increase safety during falls.</v>
      </c>
    </row>
    <row r="65" ht="22.5" customHeight="1">
      <c r="A65" s="4">
        <v>64.0</v>
      </c>
      <c r="B65" s="5" t="s">
        <v>4454</v>
      </c>
      <c r="C65" s="5" t="s">
        <v>4455</v>
      </c>
      <c r="D65" s="5" t="s">
        <v>4456</v>
      </c>
      <c r="E65" s="5" t="s">
        <v>4457</v>
      </c>
      <c r="H65" s="4">
        <v>64.0</v>
      </c>
      <c r="I65" s="10" t="str">
        <f>IFERROR(__xludf.DUMMYFUNCTION("GOOGLETRANSLATE(B65,""it"",""en"")"),"What is the term to describe a series of consecutive turns in skiing?")</f>
        <v>What is the term to describe a series of consecutive turns in skiing?</v>
      </c>
      <c r="J65" s="10" t="str">
        <f>IFERROR(__xludf.DUMMYFUNCTION("GOOGLETRANSLATE(C65,""it"",""en"")"),"A. Switch B. Freeride C. Slalom D. Freestyle")</f>
        <v>A. Switch B. Freeride C. Slalom D. Freestyle</v>
      </c>
      <c r="K65" s="10" t="str">
        <f>IFERROR(__xludf.DUMMYFUNCTION("GOOGLETRANSLATE(D65,""it"",""en"")"),"Slalom")</f>
        <v>Slalom</v>
      </c>
      <c r="L65" s="10" t="str">
        <f>IFERROR(__xludf.DUMMYFUNCTION("GOOGLETRANSLATE(E65,""it"",""en"")"),"Slalom is a discipline that requires fast, consecutive turns.")</f>
        <v>Slalom is a discipline that requires fast, consecutive turns.</v>
      </c>
    </row>
    <row r="66" ht="22.5" customHeight="1">
      <c r="A66" s="4">
        <v>65.0</v>
      </c>
      <c r="B66" s="5" t="s">
        <v>4458</v>
      </c>
      <c r="C66" s="5" t="s">
        <v>4459</v>
      </c>
      <c r="D66" s="5" t="s">
        <v>4460</v>
      </c>
      <c r="E66" s="5" t="s">
        <v>4461</v>
      </c>
      <c r="H66" s="4">
        <v>65.0</v>
      </c>
      <c r="I66" s="10" t="str">
        <f>IFERROR(__xludf.DUMMYFUNCTION("GOOGLETRANSLATE(B66,""it"",""en"")"),"What is the role of edges in skis?")</f>
        <v>What is the role of edges in skis?</v>
      </c>
      <c r="J66" s="10" t="str">
        <f>IFERROR(__xludf.DUMMYFUNCTION("GOOGLETRANSLATE(C66,""it"",""en"")"),"A. Reduce speed B. Improve grip C. Make the ski lighter D. Make jumps easier")</f>
        <v>A. Reduce speed B. Improve grip C. Make the ski lighter D. Make jumps easier</v>
      </c>
      <c r="K66" s="10" t="str">
        <f>IFERROR(__xludf.DUMMYFUNCTION("GOOGLETRANSLATE(D66,""it"",""en"")"),"Improve grip")</f>
        <v>Improve grip</v>
      </c>
      <c r="L66" s="10" t="str">
        <f>IFERROR(__xludf.DUMMYFUNCTION("GOOGLETRANSLATE(E66,""it"",""en"")"),"The edges improve grip on ice and hard snow.")</f>
        <v>The edges improve grip on ice and hard snow.</v>
      </c>
    </row>
    <row r="67" ht="22.5" customHeight="1">
      <c r="A67" s="4">
        <v>66.0</v>
      </c>
      <c r="B67" s="5" t="s">
        <v>4462</v>
      </c>
      <c r="C67" s="5" t="s">
        <v>4463</v>
      </c>
      <c r="D67" s="5" t="s">
        <v>4464</v>
      </c>
      <c r="E67" s="5" t="s">
        <v>4465</v>
      </c>
      <c r="H67" s="4">
        <v>66.0</v>
      </c>
      <c r="I67" s="10" t="str">
        <f>IFERROR(__xludf.DUMMYFUNCTION("GOOGLETRANSLATE(B67,""it"",""en"")"),"What is the name of the famous ski circuit around the Sella Group?")</f>
        <v>What is the name of the famous ski circuit around the Sella Group?</v>
      </c>
      <c r="J67" s="10" t="str">
        <f>IFERROR(__xludf.DUMMYFUNCTION("GOOGLETRANSLATE(C67,""it"",""en"")"),"A. Alpine Tour B. Sella Ronda C. Val Gardena Tour D. Dolomites Circuit")</f>
        <v>A. Alpine Tour B. Sella Ronda C. Val Gardena Tour D. Dolomites Circuit</v>
      </c>
      <c r="K67" s="10" t="str">
        <f>IFERROR(__xludf.DUMMYFUNCTION("GOOGLETRANSLATE(D67,""it"",""en"")"),"Sella Ronda")</f>
        <v>Sella Ronda</v>
      </c>
      <c r="L67" s="10" t="str">
        <f>IFERROR(__xludf.DUMMYFUNCTION("GOOGLETRANSLATE(E67,""it"",""en"")"),"The Sella Ronda is a famous ski route in the Dolomites.")</f>
        <v>The Sella Ronda is a famous ski route in the Dolomites.</v>
      </c>
    </row>
    <row r="68" ht="22.5" customHeight="1">
      <c r="A68" s="4">
        <v>67.0</v>
      </c>
      <c r="B68" s="5" t="s">
        <v>4466</v>
      </c>
      <c r="C68" s="5" t="s">
        <v>4467</v>
      </c>
      <c r="D68" s="5" t="s">
        <v>4468</v>
      </c>
      <c r="E68" s="5" t="s">
        <v>4469</v>
      </c>
      <c r="H68" s="4">
        <v>67.0</v>
      </c>
      <c r="I68" s="10" t="str">
        <f>IFERROR(__xludf.DUMMYFUNCTION("GOOGLETRANSLATE(B68,""it"",""en"")"),"Who was the first Italian to win an Olympic medal in alpine skiing?")</f>
        <v>Who was the first Italian to win an Olympic medal in alpine skiing?</v>
      </c>
      <c r="J68" s="10" t="str">
        <f>IFERROR(__xludf.DUMMYFUNCTION("GOOGLETRANSLATE(C68,""it"",""en"")"),"A. Zeno Colò B. Alberto Tomba C. Gustav Thöni D. Piero Gros")</f>
        <v>A. Zeno Colò B. Alberto Tomba C. Gustav Thöni D. Piero Gros</v>
      </c>
      <c r="K68" s="10" t="str">
        <f>IFERROR(__xludf.DUMMYFUNCTION("GOOGLETRANSLATE(D68,""it"",""en"")"),"Zeno Colò")</f>
        <v>Zeno Colò</v>
      </c>
      <c r="L68" s="10" t="str">
        <f>IFERROR(__xludf.DUMMYFUNCTION("GOOGLETRANSLATE(E68,""it"",""en"")"),"Zeno Colò won the first gold medal for Italy in 1952.")</f>
        <v>Zeno Colò won the first gold medal for Italy in 1952.</v>
      </c>
    </row>
    <row r="69" ht="22.5" customHeight="1">
      <c r="A69" s="4">
        <v>68.0</v>
      </c>
      <c r="B69" s="5" t="s">
        <v>4470</v>
      </c>
      <c r="C69" s="5" t="s">
        <v>4471</v>
      </c>
      <c r="D69" s="5" t="s">
        <v>4472</v>
      </c>
      <c r="E69" s="5" t="s">
        <v>4473</v>
      </c>
      <c r="H69" s="4">
        <v>68.0</v>
      </c>
      <c r="I69" s="10" t="str">
        <f>IFERROR(__xludf.DUMMYFUNCTION("GOOGLETRANSLATE(B69,""it"",""en"")"),"What is the main characteristic of a ""black"" run?")</f>
        <v>What is the main characteristic of a "black" run?</v>
      </c>
      <c r="J69" s="10" t="str">
        <f>IFERROR(__xludf.DUMMYFUNCTION("GOOGLETRANSLATE(C69,""it"",""en"")"),"A. Greater length B. Steep slope C. Fresh snow D. Greater width")</f>
        <v>A. Greater length B. Steep slope C. Fresh snow D. Greater width</v>
      </c>
      <c r="K69" s="10" t="str">
        <f>IFERROR(__xludf.DUMMYFUNCTION("GOOGLETRANSLATE(D69,""it"",""en"")"),"Steep slope")</f>
        <v>Steep slope</v>
      </c>
      <c r="L69" s="10" t="str">
        <f>IFERROR(__xludf.DUMMYFUNCTION("GOOGLETRANSLATE(E69,""it"",""en"")"),"Black runs are known for their steep gradients.")</f>
        <v>Black runs are known for their steep gradients.</v>
      </c>
    </row>
    <row r="70" ht="22.5" customHeight="1">
      <c r="A70" s="4">
        <v>69.0</v>
      </c>
      <c r="B70" s="5" t="s">
        <v>4474</v>
      </c>
      <c r="C70" s="5" t="s">
        <v>4475</v>
      </c>
      <c r="D70" s="5" t="s">
        <v>4476</v>
      </c>
      <c r="E70" s="5" t="s">
        <v>4477</v>
      </c>
      <c r="H70" s="4">
        <v>69.0</v>
      </c>
      <c r="I70" s="10" t="str">
        <f>IFERROR(__xludf.DUMMYFUNCTION("GOOGLETRANSLATE(B70,""it"",""en"")"),"Which ski race takes place at sunset or at night?")</f>
        <v>Which ski race takes place at sunset or at night?</v>
      </c>
      <c r="J70" s="10" t="str">
        <f>IFERROR(__xludf.DUMMYFUNCTION("GOOGLETRANSLATE(C70,""it"",""en"")"),"A. Night slalom B. Alpine Super G C. Alpine freeride D. Evening downhill")</f>
        <v>A. Night slalom B. Alpine Super G C. Alpine freeride D. Evening downhill</v>
      </c>
      <c r="K70" s="10" t="str">
        <f>IFERROR(__xludf.DUMMYFUNCTION("GOOGLETRANSLATE(D70,""it"",""en"")"),"Night slalom")</f>
        <v>Night slalom</v>
      </c>
      <c r="L70" s="10" t="str">
        <f>IFERROR(__xludf.DUMMYFUNCTION("GOOGLETRANSLATE(E70,""it"",""en"")"),"The night slalom takes place under artificial lighting.")</f>
        <v>The night slalom takes place under artificial lighting.</v>
      </c>
    </row>
    <row r="71" ht="22.5" customHeight="1">
      <c r="A71" s="4">
        <v>70.0</v>
      </c>
      <c r="B71" s="5" t="s">
        <v>4478</v>
      </c>
      <c r="C71" s="5" t="s">
        <v>4479</v>
      </c>
      <c r="D71" s="5" t="s">
        <v>4480</v>
      </c>
      <c r="E71" s="5" t="s">
        <v>4481</v>
      </c>
      <c r="H71" s="4">
        <v>70.0</v>
      </c>
      <c r="I71" s="10" t="str">
        <f>IFERROR(__xludf.DUMMYFUNCTION("GOOGLETRANSLATE(B71,""it"",""en"")"),"What type of skis are used for freestyle?")</f>
        <v>What type of skis are used for freestyle?</v>
      </c>
      <c r="J71" s="10" t="str">
        <f>IFERROR(__xludf.DUMMYFUNCTION("GOOGLETRANSLATE(C71,""it"",""en"")"),"A. Twin-Tip Skis B. Carving Skis C. Downhill Skis D. Cross-Country Skis")</f>
        <v>A. Twin-Tip Skis B. Carving Skis C. Downhill Skis D. Cross-Country Skis</v>
      </c>
      <c r="K71" s="10" t="str">
        <f>IFERROR(__xludf.DUMMYFUNCTION("GOOGLETRANSLATE(D71,""it"",""en"")"),"Twin-Tip Skis")</f>
        <v>Twin-Tip Skis</v>
      </c>
      <c r="L71" s="10" t="str">
        <f>IFERROR(__xludf.DUMMYFUNCTION("GOOGLETRANSLATE(E71,""it"",""en"")"),"Twin-Tip skis are designed for acrobatic and freestyle maneuvers.")</f>
        <v>Twin-Tip skis are designed for acrobatic and freestyle maneuvers.</v>
      </c>
    </row>
    <row r="72" ht="22.5" customHeight="1">
      <c r="A72" s="4">
        <v>71.0</v>
      </c>
      <c r="B72" s="5" t="s">
        <v>4482</v>
      </c>
      <c r="C72" s="5" t="s">
        <v>4483</v>
      </c>
      <c r="D72" s="4">
        <v>1967.0</v>
      </c>
      <c r="E72" s="5" t="s">
        <v>4484</v>
      </c>
      <c r="H72" s="4">
        <v>71.0</v>
      </c>
      <c r="I72" s="10" t="str">
        <f>IFERROR(__xludf.DUMMYFUNCTION("GOOGLETRANSLATE(B72,""it"",""en"")"),"When was the first Alpine Ski World Cup held?")</f>
        <v>When was the first Alpine Ski World Cup held?</v>
      </c>
      <c r="J72" s="10" t="str">
        <f>IFERROR(__xludf.DUMMYFUNCTION("GOOGLETRANSLATE(C72,""it"",""en"")"),"A. 1966 B. 1967 C. 1968 D. 1969")</f>
        <v>A. 1966 B. 1967 C. 1968 D. 1969</v>
      </c>
      <c r="K72" s="10" t="str">
        <f>IFERROR(__xludf.DUMMYFUNCTION("GOOGLETRANSLATE(D72,""it"",""en"")"),"1967")</f>
        <v>1967</v>
      </c>
      <c r="L72" s="10" t="str">
        <f>IFERROR(__xludf.DUMMYFUNCTION("GOOGLETRANSLATE(E72,""it"",""en"")"),"The first edition of the Alpine Ski World Cup took place in 1967.")</f>
        <v>The first edition of the Alpine Ski World Cup took place in 1967.</v>
      </c>
    </row>
    <row r="73" ht="22.5" customHeight="1">
      <c r="A73" s="4">
        <v>72.0</v>
      </c>
      <c r="B73" s="5" t="s">
        <v>4485</v>
      </c>
      <c r="C73" s="5" t="s">
        <v>4486</v>
      </c>
      <c r="D73" s="5" t="s">
        <v>4415</v>
      </c>
      <c r="E73" s="5" t="s">
        <v>4487</v>
      </c>
      <c r="H73" s="4">
        <v>72.0</v>
      </c>
      <c r="I73" s="10" t="str">
        <f>IFERROR(__xludf.DUMMYFUNCTION("GOOGLETRANSLATE(B73,""it"",""en"")"),"What technique was developed to make skiing easier for beginners?")</f>
        <v>What technique was developed to make skiing easier for beginners?</v>
      </c>
      <c r="J73" s="10" t="str">
        <f>IFERROR(__xludf.DUMMYFUNCTION("GOOGLETRANSLATE(C73,""it"",""en"")"),"A. Step technique B. Snowplow C. Carving D. Telemark")</f>
        <v>A. Step technique B. Snowplow C. Carving D. Telemark</v>
      </c>
      <c r="K73" s="10" t="str">
        <f>IFERROR(__xludf.DUMMYFUNCTION("GOOGLETRANSLATE(D73,""it"",""en"")"),"Snowplow")</f>
        <v>Snowplow</v>
      </c>
      <c r="L73" s="10" t="str">
        <f>IFERROR(__xludf.DUMMYFUNCTION("GOOGLETRANSLATE(E73,""it"",""en"")"),"The snowplow technique helps beginners maintain control.")</f>
        <v>The snowplow technique helps beginners maintain control.</v>
      </c>
    </row>
    <row r="74" ht="22.5" customHeight="1">
      <c r="A74" s="4">
        <v>73.0</v>
      </c>
      <c r="B74" s="5" t="s">
        <v>4488</v>
      </c>
      <c r="C74" s="5" t="s">
        <v>4489</v>
      </c>
      <c r="D74" s="5" t="s">
        <v>4368</v>
      </c>
      <c r="E74" s="5" t="s">
        <v>4490</v>
      </c>
      <c r="H74" s="4">
        <v>73.0</v>
      </c>
      <c r="I74" s="10" t="str">
        <f>IFERROR(__xludf.DUMMYFUNCTION("GOOGLETRANSLATE(B74,""it"",""en"")"),"Which Italian dominated skiing in the 1990s?")</f>
        <v>Which Italian dominated skiing in the 1990s?</v>
      </c>
      <c r="J74" s="10" t="str">
        <f>IFERROR(__xludf.DUMMYFUNCTION("GOOGLETRANSLATE(C74,""it"",""en"")"),"A. Gustav Thöni B. Deborah Compagnoni C. Alberto Tomba D. Kristian Ghedina")</f>
        <v>A. Gustav Thöni B. Deborah Compagnoni C. Alberto Tomba D. Kristian Ghedina</v>
      </c>
      <c r="K74" s="10" t="str">
        <f>IFERROR(__xludf.DUMMYFUNCTION("GOOGLETRANSLATE(D74,""it"",""en"")"),"Alberto Tomba")</f>
        <v>Alberto Tomba</v>
      </c>
      <c r="L74" s="10" t="str">
        <f>IFERROR(__xludf.DUMMYFUNCTION("GOOGLETRANSLATE(E74,""it"",""en"")"),"Alberto Tomba won numerous titles in the 90s.")</f>
        <v>Alberto Tomba won numerous titles in the 90s.</v>
      </c>
    </row>
    <row r="75" ht="22.5" customHeight="1">
      <c r="A75" s="4">
        <v>74.0</v>
      </c>
      <c r="B75" s="5" t="s">
        <v>4491</v>
      </c>
      <c r="C75" s="5" t="s">
        <v>4296</v>
      </c>
      <c r="D75" s="5" t="s">
        <v>4492</v>
      </c>
      <c r="E75" s="5" t="s">
        <v>4404</v>
      </c>
      <c r="H75" s="4">
        <v>74.0</v>
      </c>
      <c r="I75" s="10" t="str">
        <f>IFERROR(__xludf.DUMMYFUNCTION("GOOGLETRANSLATE(B75,""it"",""en"")"),"What is the term for a descent on ungroomed snow?")</f>
        <v>What is the term for a descent on ungroomed snow?</v>
      </c>
      <c r="J75" s="10" t="str">
        <f>IFERROR(__xludf.DUMMYFUNCTION("GOOGLETRANSLATE(C75,""it"",""en"")"),"A. Off-piste B. Groomed track C. Fresh track D. Hard track")</f>
        <v>A. Off-piste B. Groomed track C. Fresh track D. Hard track</v>
      </c>
      <c r="K75" s="10" t="str">
        <f>IFERROR(__xludf.DUMMYFUNCTION("GOOGLETRANSLATE(D75,""it"",""en"")"),"Off-piste")</f>
        <v>Off-piste</v>
      </c>
      <c r="L75" s="10" t="str">
        <f>IFERROR(__xludf.DUMMYFUNCTION("GOOGLETRANSLATE(E75,""it"",""en"")"),"Off-piste refers to skiing on ungroomed snow.")</f>
        <v>Off-piste refers to skiing on ungroomed snow.</v>
      </c>
    </row>
    <row r="76" ht="22.5" customHeight="1">
      <c r="A76" s="4">
        <v>75.0</v>
      </c>
      <c r="B76" s="5" t="s">
        <v>4493</v>
      </c>
      <c r="C76" s="5" t="s">
        <v>4494</v>
      </c>
      <c r="D76" s="5" t="s">
        <v>4411</v>
      </c>
      <c r="E76" s="5" t="s">
        <v>4495</v>
      </c>
      <c r="H76" s="4">
        <v>75.0</v>
      </c>
      <c r="I76" s="10" t="str">
        <f>IFERROR(__xludf.DUMMYFUNCTION("GOOGLETRANSLATE(B76,""it"",""en"")"),"What is the main feature of the Super G?")</f>
        <v>What is the main feature of the Super G?</v>
      </c>
      <c r="J76" s="10" t="str">
        <f>IFERROR(__xludf.DUMMYFUNCTION("GOOGLETRANSLATE(C76,""it"",""en"")"),"A. Sharp curves B. High speed C. Small jumps D. Artificial snow")</f>
        <v>A. Sharp curves B. High speed C. Small jumps D. Artificial snow</v>
      </c>
      <c r="K76" s="10" t="str">
        <f>IFERROR(__xludf.DUMMYFUNCTION("GOOGLETRANSLATE(D76,""it"",""en"")"),"High speed")</f>
        <v>High speed</v>
      </c>
      <c r="L76" s="10" t="str">
        <f>IFERROR(__xludf.DUMMYFUNCTION("GOOGLETRANSLATE(E76,""it"",""en"")"),"The Super G combines speed and technique.")</f>
        <v>The Super G combines speed and technique.</v>
      </c>
    </row>
    <row r="77" ht="22.5" customHeight="1">
      <c r="A77" s="4">
        <v>76.0</v>
      </c>
      <c r="B77" s="5" t="s">
        <v>4496</v>
      </c>
      <c r="C77" s="5" t="s">
        <v>4497</v>
      </c>
      <c r="D77" s="5" t="s">
        <v>4498</v>
      </c>
      <c r="E77" s="5" t="s">
        <v>4499</v>
      </c>
      <c r="H77" s="4">
        <v>76.0</v>
      </c>
      <c r="I77" s="10" t="str">
        <f>IFERROR(__xludf.DUMMYFUNCTION("GOOGLETRANSLATE(B77,""it"",""en"")"),"What is the ideal temperature for making artificial snow?")</f>
        <v>What is the ideal temperature for making artificial snow?</v>
      </c>
      <c r="J77" s="10" t="str">
        <f>IFERROR(__xludf.DUMMYFUNCTION("GOOGLETRANSLATE(C77,""it"",""en"")"),"A. -5°C B. -2°C C. 0°C D. +2°C")</f>
        <v>A. -5°C B. -2°C C. 0°C D. +2°C</v>
      </c>
      <c r="K77" s="10" t="str">
        <f>IFERROR(__xludf.DUMMYFUNCTION("GOOGLETRANSLATE(D77,""it"",""en"")"),"-2°C")</f>
        <v>-2°C</v>
      </c>
      <c r="L77" s="10" t="str">
        <f>IFERROR(__xludf.DUMMYFUNCTION("GOOGLETRANSLATE(E77,""it"",""en"")"),"Artificial snow is best produced at temperatures around -2°C.")</f>
        <v>Artificial snow is best produced at temperatures around -2°C.</v>
      </c>
    </row>
    <row r="78" ht="22.5" customHeight="1">
      <c r="A78" s="4">
        <v>77.0</v>
      </c>
      <c r="B78" s="5" t="s">
        <v>4500</v>
      </c>
      <c r="C78" s="5" t="s">
        <v>4501</v>
      </c>
      <c r="D78" s="5" t="s">
        <v>4275</v>
      </c>
      <c r="E78" s="5" t="s">
        <v>4502</v>
      </c>
      <c r="H78" s="4">
        <v>77.0</v>
      </c>
      <c r="I78" s="10" t="str">
        <f>IFERROR(__xludf.DUMMYFUNCTION("GOOGLETRANSLATE(B78,""it"",""en"")"),"What does the term ""carving"" mean in modern skiing?")</f>
        <v>What does the term "carving" mean in modern skiing?</v>
      </c>
      <c r="J78" s="10" t="str">
        <f>IFERROR(__xludf.DUMMYFUNCTION("GOOGLETRANSLATE(C78,""it"",""en"")"),"A. Jump on the slopes B. Turn with precision C. Go down at a constant speed D. Use only one edge")</f>
        <v>A. Jump on the slopes B. Turn with precision C. Go down at a constant speed D. Use only one edge</v>
      </c>
      <c r="K78" s="10" t="str">
        <f>IFERROR(__xludf.DUMMYFUNCTION("GOOGLETRANSLATE(D78,""it"",""en"")"),"Curve with precision")</f>
        <v>Curve with precision</v>
      </c>
      <c r="L78" s="10" t="str">
        <f>IFERROR(__xludf.DUMMYFUNCTION("GOOGLETRANSLATE(E78,""it"",""en"")"),"Carving refers to precise, controlled turns.")</f>
        <v>Carving refers to precise, controlled turns.</v>
      </c>
    </row>
    <row r="79" ht="22.5" customHeight="1">
      <c r="A79" s="4">
        <v>78.0</v>
      </c>
      <c r="B79" s="5" t="s">
        <v>4503</v>
      </c>
      <c r="C79" s="5" t="s">
        <v>4504</v>
      </c>
      <c r="D79" s="5" t="s">
        <v>4419</v>
      </c>
      <c r="E79" s="5" t="s">
        <v>4505</v>
      </c>
      <c r="H79" s="4">
        <v>78.0</v>
      </c>
      <c r="I79" s="10" t="str">
        <f>IFERROR(__xludf.DUMMYFUNCTION("GOOGLETRANSLATE(B79,""it"",""en"")"),"What is the main international cross-country skiing event in the Dolomites?")</f>
        <v>What is the main international cross-country skiing event in the Dolomites?</v>
      </c>
      <c r="J79" s="10" t="str">
        <f>IFERROR(__xludf.DUMMYFUNCTION("GOOGLETRANSLATE(C79,""it"",""en"")"),"A. Marcialonga B. World Cup C. FIS Tour D. Sella Skimarathon")</f>
        <v>A. Marcialonga B. World Cup C. FIS Tour D. Sella Skimarathon</v>
      </c>
      <c r="K79" s="10" t="str">
        <f>IFERROR(__xludf.DUMMYFUNCTION("GOOGLETRANSLATE(D79,""it"",""en"")"),"Marcialonga")</f>
        <v>Marcialonga</v>
      </c>
      <c r="L79" s="10" t="str">
        <f>IFERROR(__xludf.DUMMYFUNCTION("GOOGLETRANSLATE(E79,""it"",""en"")"),"The Marcialonga is an iconic cross-country skiing race.")</f>
        <v>The Marcialonga is an iconic cross-country skiing race.</v>
      </c>
    </row>
    <row r="80" ht="22.5" customHeight="1">
      <c r="A80" s="4">
        <v>79.0</v>
      </c>
      <c r="B80" s="5" t="s">
        <v>4506</v>
      </c>
      <c r="C80" s="5" t="s">
        <v>4507</v>
      </c>
      <c r="D80" s="5" t="s">
        <v>4508</v>
      </c>
      <c r="E80" s="5" t="s">
        <v>4509</v>
      </c>
      <c r="H80" s="4">
        <v>79.0</v>
      </c>
      <c r="I80" s="10" t="str">
        <f>IFERROR(__xludf.DUMMYFUNCTION("GOOGLETRANSLATE(B80,""it"",""en"")"),"What is the main advantage of carbon fiber skis?")</f>
        <v>What is the main advantage of carbon fiber skis?</v>
      </c>
      <c r="J80" s="10" t="str">
        <f>IFERROR(__xludf.DUMMYFUNCTION("GOOGLETRANSLATE(C80,""it"",""en"")"),"A. Greater resistance B. Lightness C. Stiffness D. Cost reduction")</f>
        <v>A. Greater resistance B. Lightness C. Stiffness D. Cost reduction</v>
      </c>
      <c r="K80" s="10" t="str">
        <f>IFERROR(__xludf.DUMMYFUNCTION("GOOGLETRANSLATE(D80,""it"",""en"")"),"Lightness")</f>
        <v>Lightness</v>
      </c>
      <c r="L80" s="10" t="str">
        <f>IFERROR(__xludf.DUMMYFUNCTION("GOOGLETRANSLATE(E80,""it"",""en"")"),"Carbon fiber skis are lighter and easier to handle.")</f>
        <v>Carbon fiber skis are lighter and easier to handle.</v>
      </c>
    </row>
    <row r="81" ht="22.5" customHeight="1">
      <c r="A81" s="4">
        <v>80.0</v>
      </c>
      <c r="B81" s="5" t="s">
        <v>4510</v>
      </c>
      <c r="C81" s="5" t="s">
        <v>4511</v>
      </c>
      <c r="D81" s="5" t="s">
        <v>4512</v>
      </c>
      <c r="E81" s="5" t="s">
        <v>4513</v>
      </c>
      <c r="H81" s="4">
        <v>80.0</v>
      </c>
      <c r="I81" s="10" t="str">
        <f>IFERROR(__xludf.DUMMYFUNCTION("GOOGLETRANSLATE(B81,""it"",""en"")"),"What type of binding is used in Nordic skiing?")</f>
        <v>What type of binding is used in Nordic skiing?</v>
      </c>
      <c r="J81" s="10" t="str">
        <f>IFERROR(__xludf.DUMMYFUNCTION("GOOGLETRANSLATE(C81,""it"",""en"")"),"A. Fixed attachment B. Mobile attachment C. Attachment with plate D. Magnetic attachment")</f>
        <v>A. Fixed attachment B. Mobile attachment C. Attachment with plate D. Magnetic attachment</v>
      </c>
      <c r="K81" s="10" t="str">
        <f>IFERROR(__xludf.DUMMYFUNCTION("GOOGLETRANSLATE(D81,""it"",""en"")"),"Mobile attack")</f>
        <v>Mobile attack</v>
      </c>
      <c r="L81" s="10" t="str">
        <f>IFERROR(__xludf.DUMMYFUNCTION("GOOGLETRANSLATE(E81,""it"",""en"")"),"Nordic skis use a mobile binding that allows freedom of movement at the heel.")</f>
        <v>Nordic skis use a mobile binding that allows freedom of movement at the heel.</v>
      </c>
    </row>
    <row r="82" ht="22.5" customHeight="1">
      <c r="A82" s="4">
        <v>81.0</v>
      </c>
      <c r="B82" s="5" t="s">
        <v>4514</v>
      </c>
      <c r="C82" s="5" t="s">
        <v>4515</v>
      </c>
      <c r="D82" s="5" t="s">
        <v>4516</v>
      </c>
      <c r="E82" s="5" t="s">
        <v>4517</v>
      </c>
      <c r="H82" s="4">
        <v>81.0</v>
      </c>
      <c r="I82" s="10" t="str">
        <f>IFERROR(__xludf.DUMMYFUNCTION("GOOGLETRANSLATE(B82,""it"",""en"")"),"Which Italian athlete won Olympic gold at PyeongChang 2018?")</f>
        <v>Which Italian athlete won Olympic gold at PyeongChang 2018?</v>
      </c>
      <c r="J82" s="10" t="str">
        <f>IFERROR(__xludf.DUMMYFUNCTION("GOOGLETRANSLATE(C82,""it"",""en"")"),"A. Federica Brignone B. Sofia Goggia C. Deborah Compagnoni D. Nadia Fanchini")</f>
        <v>A. Federica Brignone B. Sofia Goggia C. Deborah Compagnoni D. Nadia Fanchini</v>
      </c>
      <c r="K82" s="10" t="str">
        <f>IFERROR(__xludf.DUMMYFUNCTION("GOOGLETRANSLATE(D82,""it"",""en"")"),"Sofia Goggia")</f>
        <v>Sofia Goggia</v>
      </c>
      <c r="L82" s="10" t="str">
        <f>IFERROR(__xludf.DUMMYFUNCTION("GOOGLETRANSLATE(E82,""it"",""en"")"),"Sofia Goggia won gold in the downhill race in PyeongChang.")</f>
        <v>Sofia Goggia won gold in the downhill race in PyeongChang.</v>
      </c>
    </row>
    <row r="83" ht="22.5" customHeight="1">
      <c r="A83" s="4">
        <v>82.0</v>
      </c>
      <c r="B83" s="5" t="s">
        <v>4518</v>
      </c>
      <c r="C83" s="5" t="s">
        <v>4519</v>
      </c>
      <c r="D83" s="5" t="s">
        <v>4456</v>
      </c>
      <c r="E83" s="5" t="s">
        <v>4520</v>
      </c>
      <c r="H83" s="4">
        <v>82.0</v>
      </c>
      <c r="I83" s="10" t="str">
        <f>IFERROR(__xludf.DUMMYFUNCTION("GOOGLETRANSLATE(B83,""it"",""en"")"),"What is the term for a tight, fast turn in alpine skiing?")</f>
        <v>What is the term for a tight, fast turn in alpine skiing?</v>
      </c>
      <c r="J83" s="10" t="str">
        <f>IFERROR(__xludf.DUMMYFUNCTION("GOOGLETRANSLATE(C83,""it"",""en"")"),"A. Carving B. Slalom C. Switch D. Telemark")</f>
        <v>A. Carving B. Slalom C. Switch D. Telemark</v>
      </c>
      <c r="K83" s="10" t="str">
        <f>IFERROR(__xludf.DUMMYFUNCTION("GOOGLETRANSLATE(D83,""it"",""en"")"),"Slalom")</f>
        <v>Slalom</v>
      </c>
      <c r="L83" s="10" t="str">
        <f>IFERROR(__xludf.DUMMYFUNCTION("GOOGLETRANSLATE(E83,""it"",""en"")"),"Slalom is a discipline that requires tight, fast turns.")</f>
        <v>Slalom is a discipline that requires tight, fast turns.</v>
      </c>
    </row>
    <row r="84" ht="22.5" customHeight="1">
      <c r="A84" s="4">
        <v>83.0</v>
      </c>
      <c r="B84" s="5" t="s">
        <v>4521</v>
      </c>
      <c r="C84" s="5" t="s">
        <v>4522</v>
      </c>
      <c r="D84" s="5" t="s">
        <v>4523</v>
      </c>
      <c r="E84" s="5" t="s">
        <v>4524</v>
      </c>
      <c r="H84" s="4">
        <v>83.0</v>
      </c>
      <c r="I84" s="10" t="str">
        <f>IFERROR(__xludf.DUMMYFUNCTION("GOOGLETRANSLATE(B84,""it"",""en"")"),"What does the term ""freestyle"" mean in skiing?")</f>
        <v>What does the term "freestyle" mean in skiing?</v>
      </c>
      <c r="J84" s="10" t="str">
        <f>IFERROR(__xludf.DUMMYFUNCTION("GOOGLETRANSLATE(C84,""it"",""en"")"),"A. Skiing fast B. Skiing freely on ungroomed slopes C. Performing acrobatic maneuvers D. Climbing mountains")</f>
        <v>A. Skiing fast B. Skiing freely on ungroomed slopes C. Performing acrobatic maneuvers D. Climbing mountains</v>
      </c>
      <c r="K84" s="10" t="str">
        <f>IFERROR(__xludf.DUMMYFUNCTION("GOOGLETRANSLATE(D84,""it"",""en"")"),"Perform acrobatic maneuvers")</f>
        <v>Perform acrobatic maneuvers</v>
      </c>
      <c r="L84" s="10" t="str">
        <f>IFERROR(__xludf.DUMMYFUNCTION("GOOGLETRANSLATE(E84,""it"",""en"")"),"Freestyle includes jumps and stunts.")</f>
        <v>Freestyle includes jumps and stunts.</v>
      </c>
    </row>
    <row r="85" ht="22.5" customHeight="1">
      <c r="A85" s="4">
        <v>84.0</v>
      </c>
      <c r="B85" s="5" t="s">
        <v>4525</v>
      </c>
      <c r="C85" s="5" t="s">
        <v>4526</v>
      </c>
      <c r="D85" s="5" t="s">
        <v>4228</v>
      </c>
      <c r="E85" s="5" t="s">
        <v>4527</v>
      </c>
      <c r="H85" s="4">
        <v>84.0</v>
      </c>
      <c r="I85" s="10" t="str">
        <f>IFERROR(__xludf.DUMMYFUNCTION("GOOGLETRANSLATE(B85,""it"",""en"")"),"Which Italian city hosted the 2021 Alpine Ski World Championships?")</f>
        <v>Which Italian city hosted the 2021 Alpine Ski World Championships?</v>
      </c>
      <c r="J85" s="10" t="str">
        <f>IFERROR(__xludf.DUMMYFUNCTION("GOOGLETRANSLATE(C85,""it"",""en"")"),"A. Bormio B. Val Gardena C. Cortina d'Ampezzo D. Sestriere")</f>
        <v>A. Bormio B. Val Gardena C. Cortina d'Ampezzo D. Sestriere</v>
      </c>
      <c r="K85" s="10" t="str">
        <f>IFERROR(__xludf.DUMMYFUNCTION("GOOGLETRANSLATE(D85,""it"",""en"")"),"Cortina d'Ampezzo")</f>
        <v>Cortina d'Ampezzo</v>
      </c>
      <c r="L85" s="10" t="str">
        <f>IFERROR(__xludf.DUMMYFUNCTION("GOOGLETRANSLATE(E85,""it"",""en"")"),"Cortina d'Ampezzo hosted the World Championships in 2021.")</f>
        <v>Cortina d'Ampezzo hosted the World Championships in 2021.</v>
      </c>
    </row>
    <row r="86" ht="22.5" customHeight="1">
      <c r="A86" s="4">
        <v>85.0</v>
      </c>
      <c r="B86" s="5" t="s">
        <v>4528</v>
      </c>
      <c r="C86" s="5" t="s">
        <v>4529</v>
      </c>
      <c r="D86" s="5" t="s">
        <v>4530</v>
      </c>
      <c r="E86" s="5" t="s">
        <v>4531</v>
      </c>
      <c r="H86" s="4">
        <v>85.0</v>
      </c>
      <c r="I86" s="10" t="str">
        <f>IFERROR(__xludf.DUMMYFUNCTION("GOOGLETRANSLATE(B86,""it"",""en"")"),"What is the main difference between Super G and Downhill?")</f>
        <v>What is the main difference between Super G and Downhill?</v>
      </c>
      <c r="J86" s="10" t="str">
        <f>IFERROR(__xludf.DUMMYFUNCTION("GOOGLETRANSLATE(C86,""it"",""en"")"),"A. Speed ​​B. Type of curves C. Length of the tracks D. Slope")</f>
        <v>A. Speed ​​B. Type of curves C. Length of the tracks D. Slope</v>
      </c>
      <c r="K86" s="10" t="str">
        <f>IFERROR(__xludf.DUMMYFUNCTION("GOOGLETRANSLATE(D86,""it"",""en"")"),"Type of curves")</f>
        <v>Type of curves</v>
      </c>
      <c r="L86" s="10" t="str">
        <f>IFERROR(__xludf.DUMMYFUNCTION("GOOGLETRANSLATE(E86,""it"",""en"")"),"The Super G includes more technical turns than the Downhill.")</f>
        <v>The Super G includes more technical turns than the Downhill.</v>
      </c>
    </row>
    <row r="87" ht="22.5" customHeight="1">
      <c r="A87" s="4">
        <v>86.0</v>
      </c>
      <c r="B87" s="5" t="s">
        <v>4532</v>
      </c>
      <c r="C87" s="5" t="s">
        <v>4533</v>
      </c>
      <c r="D87" s="5" t="s">
        <v>4534</v>
      </c>
      <c r="E87" s="5" t="s">
        <v>4535</v>
      </c>
      <c r="H87" s="4">
        <v>86.0</v>
      </c>
      <c r="I87" s="10" t="str">
        <f>IFERROR(__xludf.DUMMYFUNCTION("GOOGLETRANSLATE(B87,""it"",""en"")"),"What is the deadline for a team ski race?")</f>
        <v>What is the deadline for a team ski race?</v>
      </c>
      <c r="J87" s="10" t="str">
        <f>IFERROR(__xludf.DUMMYFUNCTION("GOOGLETRANSLATE(C87,""it"",""en"")"),"A. Relay B. Team Combined C. Parallel Slalom D. Team Freestyle")</f>
        <v>A. Relay B. Team Combined C. Parallel Slalom D. Team Freestyle</v>
      </c>
      <c r="K87" s="10" t="str">
        <f>IFERROR(__xludf.DUMMYFUNCTION("GOOGLETRANSLATE(D87,""it"",""en"")"),"Parallel slalom")</f>
        <v>Parallel slalom</v>
      </c>
      <c r="L87" s="10" t="str">
        <f>IFERROR(__xludf.DUMMYFUNCTION("GOOGLETRANSLATE(E87,""it"",""en"")"),"The parallel slalom is a race that can be done in teams.")</f>
        <v>The parallel slalom is a race that can be done in teams.</v>
      </c>
    </row>
    <row r="88" ht="22.5" customHeight="1">
      <c r="A88" s="4">
        <v>87.0</v>
      </c>
      <c r="B88" s="5" t="s">
        <v>4536</v>
      </c>
      <c r="C88" s="5" t="s">
        <v>4537</v>
      </c>
      <c r="D88" s="5" t="s">
        <v>4538</v>
      </c>
      <c r="E88" s="5" t="s">
        <v>4539</v>
      </c>
      <c r="H88" s="4">
        <v>87.0</v>
      </c>
      <c r="I88" s="10" t="str">
        <f>IFERROR(__xludf.DUMMYFUNCTION("GOOGLETRANSLATE(B88,""it"",""en"")"),"What color identifies beginner slopes?")</f>
        <v>What color identifies beginner slopes?</v>
      </c>
      <c r="J88" s="10" t="str">
        <f>IFERROR(__xludf.DUMMYFUNCTION("GOOGLETRANSLATE(C88,""it"",""en"")"),"A. Red B. Blue C. Black D. Green")</f>
        <v>A. Red B. Blue C. Black D. Green</v>
      </c>
      <c r="K88" s="10" t="str">
        <f>IFERROR(__xludf.DUMMYFUNCTION("GOOGLETRANSLATE(D88,""it"",""en"")"),"Blue")</f>
        <v>Blue</v>
      </c>
      <c r="L88" s="10" t="str">
        <f>IFERROR(__xludf.DUMMYFUNCTION("GOOGLETRANSLATE(E88,""it"",""en"")"),"The blue slopes are suitable for beginners due to their ease.")</f>
        <v>The blue slopes are suitable for beginners due to their ease.</v>
      </c>
    </row>
    <row r="89" ht="22.5" customHeight="1">
      <c r="A89" s="4">
        <v>88.0</v>
      </c>
      <c r="B89" s="5" t="s">
        <v>4540</v>
      </c>
      <c r="C89" s="5" t="s">
        <v>4541</v>
      </c>
      <c r="D89" s="5" t="s">
        <v>4542</v>
      </c>
      <c r="E89" s="5" t="s">
        <v>4543</v>
      </c>
      <c r="H89" s="4">
        <v>88.0</v>
      </c>
      <c r="I89" s="10" t="str">
        <f>IFERROR(__xludf.DUMMYFUNCTION("GOOGLETRANSLATE(B89,""it"",""en"")"),"What is the essential equipment to protect your eyes while skiing?")</f>
        <v>What is the essential equipment to protect your eyes while skiing?</v>
      </c>
      <c r="J89" s="10" t="str">
        <f>IFERROR(__xludf.DUMMYFUNCTION("GOOGLETRANSLATE(C89,""it"",""en"")"),"A. Sunglasses B. Ski mask C. Visor D. Hat")</f>
        <v>A. Sunglasses B. Ski mask C. Visor D. Hat</v>
      </c>
      <c r="K89" s="10" t="str">
        <f>IFERROR(__xludf.DUMMYFUNCTION("GOOGLETRANSLATE(D89,""it"",""en"")"),"Ski mask")</f>
        <v>Ski mask</v>
      </c>
      <c r="L89" s="10" t="str">
        <f>IFERROR(__xludf.DUMMYFUNCTION("GOOGLETRANSLATE(E89,""it"",""en"")"),"The mask protects the eyes from the wind")</f>
        <v>The mask protects the eyes from the wind</v>
      </c>
    </row>
    <row r="90" ht="22.5" customHeight="1">
      <c r="A90" s="4">
        <v>89.0</v>
      </c>
      <c r="B90" s="5" t="s">
        <v>4544</v>
      </c>
      <c r="C90" s="5" t="s">
        <v>4545</v>
      </c>
      <c r="D90" s="5" t="s">
        <v>4546</v>
      </c>
      <c r="E90" s="5" t="s">
        <v>4547</v>
      </c>
      <c r="H90" s="4">
        <v>89.0</v>
      </c>
      <c r="I90" s="10" t="str">
        <f>IFERROR(__xludf.DUMMYFUNCTION("GOOGLETRANSLATE(B90,""it"",""en"")"),"What does ""skicross"" mean in skiing?")</f>
        <v>What does "skicross" mean in skiing?</v>
      </c>
      <c r="J90" s="10" t="str">
        <f>IFERROR(__xludf.DUMMYFUNCTION("GOOGLETRANSLATE(C90,""it"",""en"")"),"A. Downhill on technical trails B. Race between skiers on obstacle courses C. Ski jumping on ramps D. Freeride on fresh snow")</f>
        <v>A. Downhill on technical trails B. Race between skiers on obstacle courses C. Ski jumping on ramps D. Freeride on fresh snow</v>
      </c>
      <c r="K90" s="10" t="str">
        <f>IFERROR(__xludf.DUMMYFUNCTION("GOOGLETRANSLATE(D90,""it"",""en"")"),"Race between skiers on obstacle courses")</f>
        <v>Race between skiers on obstacle courses</v>
      </c>
      <c r="L90" s="10" t="str">
        <f>IFERROR(__xludf.DUMMYFUNCTION("GOOGLETRANSLATE(E90,""it"",""en"")"),"Skicross is a discipline with technical courses and obstacles.")</f>
        <v>Skicross is a discipline with technical courses and obstacles.</v>
      </c>
    </row>
    <row r="91" ht="22.5" customHeight="1">
      <c r="A91" s="4">
        <v>90.0</v>
      </c>
      <c r="B91" s="5" t="s">
        <v>4548</v>
      </c>
      <c r="C91" s="5" t="s">
        <v>4549</v>
      </c>
      <c r="D91" s="5" t="s">
        <v>4550</v>
      </c>
      <c r="E91" s="5" t="s">
        <v>4551</v>
      </c>
      <c r="H91" s="4">
        <v>90.0</v>
      </c>
      <c r="I91" s="10" t="str">
        <f>IFERROR(__xludf.DUMMYFUNCTION("GOOGLETRANSLATE(B91,""it"",""en"")"),"Which athlete is considered the greatest alpine skier of all time?")</f>
        <v>Which athlete is considered the greatest alpine skier of all time?</v>
      </c>
      <c r="J91" s="10" t="str">
        <f>IFERROR(__xludf.DUMMYFUNCTION("GOOGLETRANSLATE(C91,""it"",""en"")"),"A. Alberto Tomba B. Ingemar Stenmark C. Hermann Maier D. Marcel Hirscher")</f>
        <v>A. Alberto Tomba B. Ingemar Stenmark C. Hermann Maier D. Marcel Hirscher</v>
      </c>
      <c r="K91" s="10" t="str">
        <f>IFERROR(__xludf.DUMMYFUNCTION("GOOGLETRANSLATE(D91,""it"",""en"")"),"Ingemar Stenmark")</f>
        <v>Ingemar Stenmark</v>
      </c>
      <c r="L91" s="10" t="str">
        <f>IFERROR(__xludf.DUMMYFUNCTION("GOOGLETRANSLATE(E91,""it"",""en"")"),"Ingemar Stenmark holds the record for most World Cup victories.")</f>
        <v>Ingemar Stenmark holds the record for most World Cup victories.</v>
      </c>
    </row>
    <row r="92" ht="22.5" customHeight="1">
      <c r="A92" s="4">
        <v>91.0</v>
      </c>
      <c r="B92" s="5" t="s">
        <v>4552</v>
      </c>
      <c r="C92" s="5" t="s">
        <v>4553</v>
      </c>
      <c r="D92" s="5" t="s">
        <v>4554</v>
      </c>
      <c r="E92" s="5" t="s">
        <v>4555</v>
      </c>
      <c r="H92" s="4">
        <v>91.0</v>
      </c>
      <c r="I92" s="10" t="str">
        <f>IFERROR(__xludf.DUMMYFUNCTION("GOOGLETRANSLATE(B92,""it"",""en"")"),"What is the term used to indicate the starting point in ski racing?")</f>
        <v>What is the term used to indicate the starting point in ski racing?</v>
      </c>
      <c r="J92" s="10" t="str">
        <f>IFERROR(__xludf.DUMMYFUNCTION("GOOGLETRANSLATE(C92,""it"",""en"")"),"A. Free start B. Departure gate C. Zero point D. Departure station")</f>
        <v>A. Free start B. Departure gate C. Zero point D. Departure station</v>
      </c>
      <c r="K92" s="10" t="str">
        <f>IFERROR(__xludf.DUMMYFUNCTION("GOOGLETRANSLATE(D92,""it"",""en"")"),"Departure gate")</f>
        <v>Departure gate</v>
      </c>
      <c r="L92" s="10" t="str">
        <f>IFERROR(__xludf.DUMMYFUNCTION("GOOGLETRANSLATE(E92,""it"",""en"")"),"The starting gate is the starting point of ski races.")</f>
        <v>The starting gate is the starting point of ski races.</v>
      </c>
    </row>
    <row r="93" ht="22.5" customHeight="1">
      <c r="A93" s="4">
        <v>92.0</v>
      </c>
      <c r="B93" s="5" t="s">
        <v>4556</v>
      </c>
      <c r="C93" s="5" t="s">
        <v>4557</v>
      </c>
      <c r="D93" s="5" t="s">
        <v>4558</v>
      </c>
      <c r="E93" s="5" t="s">
        <v>4559</v>
      </c>
      <c r="H93" s="4">
        <v>92.0</v>
      </c>
      <c r="I93" s="10" t="str">
        <f>IFERROR(__xludf.DUMMYFUNCTION("GOOGLETRANSLATE(B93,""it"",""en"")"),"What does ""telemark"" mean in skiing?")</f>
        <v>What does "telemark" mean in skiing?</v>
      </c>
      <c r="J93" s="10" t="str">
        <f>IFERROR(__xludf.DUMMYFUNCTION("GOOGLETRANSLATE(C93,""it"",""en"")"),"A. Downhill technique B. Type of ski C. Jumping style D. Name of a slope")</f>
        <v>A. Downhill technique B. Type of ski C. Jumping style D. Name of a slope</v>
      </c>
      <c r="K93" s="10" t="str">
        <f>IFERROR(__xludf.DUMMYFUNCTION("GOOGLETRANSLATE(D93,""it"",""en"")"),"Downhill technique")</f>
        <v>Downhill technique</v>
      </c>
      <c r="L93" s="10" t="str">
        <f>IFERROR(__xludf.DUMMYFUNCTION("GOOGLETRANSLATE(E93,""it"",""en"")"),"Telemark skiing is a downhill technique characterized by free-heel turns.")</f>
        <v>Telemark skiing is a downhill technique characterized by free-heel turns.</v>
      </c>
    </row>
    <row r="94" ht="22.5" customHeight="1">
      <c r="A94" s="4">
        <v>93.0</v>
      </c>
      <c r="B94" s="5" t="s">
        <v>4560</v>
      </c>
      <c r="C94" s="5" t="s">
        <v>4561</v>
      </c>
      <c r="D94" s="5" t="s">
        <v>4562</v>
      </c>
      <c r="E94" s="5" t="s">
        <v>4563</v>
      </c>
      <c r="H94" s="4">
        <v>93.0</v>
      </c>
      <c r="I94" s="10" t="str">
        <f>IFERROR(__xludf.DUMMYFUNCTION("GOOGLETRANSLATE(B94,""it"",""en"")"),"What is the main goal in parallel slalom?")</f>
        <v>What is the main goal in parallel slalom?</v>
      </c>
      <c r="J94" s="10" t="str">
        <f>IFERROR(__xludf.DUMMYFUNCTION("GOOGLETRANSLATE(C94,""it"",""en"")"),"A. Descend with speed B. Overtake the opponent C. Turn with precision D. Go up a ramp")</f>
        <v>A. Descend with speed B. Overtake the opponent C. Turn with precision D. Go up a ramp</v>
      </c>
      <c r="K94" s="10" t="str">
        <f>IFERROR(__xludf.DUMMYFUNCTION("GOOGLETRANSLATE(D94,""it"",""en"")"),"Overcome the opponent")</f>
        <v>Overcome the opponent</v>
      </c>
      <c r="L94" s="10" t="str">
        <f>IFERROR(__xludf.DUMMYFUNCTION("GOOGLETRANSLATE(E94,""it"",""en"")"),"In parallel slalom, competitors compete directly.")</f>
        <v>In parallel slalom, competitors compete directly.</v>
      </c>
    </row>
    <row r="95" ht="22.5" customHeight="1">
      <c r="A95" s="4">
        <v>94.0</v>
      </c>
      <c r="B95" s="5" t="s">
        <v>4564</v>
      </c>
      <c r="C95" s="5" t="s">
        <v>4565</v>
      </c>
      <c r="D95" s="5" t="s">
        <v>4566</v>
      </c>
      <c r="E95" s="5" t="s">
        <v>4567</v>
      </c>
      <c r="H95" s="4">
        <v>94.0</v>
      </c>
      <c r="I95" s="10" t="str">
        <f>IFERROR(__xludf.DUMMYFUNCTION("GOOGLETRANSLATE(B95,""it"",""en"")"),"What is the main material used to build modern skis?")</f>
        <v>What is the main material used to build modern skis?</v>
      </c>
      <c r="J95" s="10" t="str">
        <f>IFERROR(__xludf.DUMMYFUNCTION("GOOGLETRANSLATE(C95,""it"",""en"")"),"A. Wood B. Plastic C. Fiberglass D. Carbon")</f>
        <v>A. Wood B. Plastic C. Fiberglass D. Carbon</v>
      </c>
      <c r="K95" s="10" t="str">
        <f>IFERROR(__xludf.DUMMYFUNCTION("GOOGLETRANSLATE(D95,""it"",""en"")"),"Fiberglass")</f>
        <v>Fiberglass</v>
      </c>
      <c r="L95" s="10" t="str">
        <f>IFERROR(__xludf.DUMMYFUNCTION("GOOGLETRANSLATE(E95,""it"",""en"")"),"Fiberglass is used to make skis strong and lightweight.")</f>
        <v>Fiberglass is used to make skis strong and lightweight.</v>
      </c>
    </row>
    <row r="96" ht="22.5" customHeight="1">
      <c r="A96" s="4">
        <v>95.0</v>
      </c>
      <c r="B96" s="5" t="s">
        <v>4568</v>
      </c>
      <c r="C96" s="5" t="s">
        <v>4569</v>
      </c>
      <c r="D96" s="5" t="s">
        <v>4570</v>
      </c>
      <c r="E96" s="5" t="s">
        <v>4571</v>
      </c>
      <c r="H96" s="4">
        <v>95.0</v>
      </c>
      <c r="I96" s="10" t="str">
        <f>IFERROR(__xludf.DUMMYFUNCTION("GOOGLETRANSLATE(B96,""it"",""en"")"),"What is the name of the famous ski mountaineering event in the Dolomites?")</f>
        <v>What is the name of the famous ski mountaineering event in the Dolomites?</v>
      </c>
      <c r="J96" s="10" t="str">
        <f>IFERROR(__xludf.DUMMYFUNCTION("GOOGLETRANSLATE(C96,""it"",""en"")"),"A. Sellaronda Skimarathon B. Marcialonga Skialp C. Gran Fondo delle Dolomiti D. Val Gardena Alpine Tour")</f>
        <v>A. Sellaronda Skimarathon B. Marcialonga Skialp C. Gran Fondo delle Dolomiti D. Val Gardena Alpine Tour</v>
      </c>
      <c r="K96" s="10" t="str">
        <f>IFERROR(__xludf.DUMMYFUNCTION("GOOGLETRANSLATE(D96,""it"",""en"")"),"Sellaronda Ski Marathon")</f>
        <v>Sellaronda Ski Marathon</v>
      </c>
      <c r="L96" s="10" t="str">
        <f>IFERROR(__xludf.DUMMYFUNCTION("GOOGLETRANSLATE(E96,""it"",""en"")"),"The Sellaronda Skimarathon is an iconic ski mountaineering race.")</f>
        <v>The Sellaronda Skimarathon is an iconic ski mountaineering race.</v>
      </c>
    </row>
    <row r="97" ht="22.5" customHeight="1">
      <c r="A97" s="4">
        <v>96.0</v>
      </c>
      <c r="B97" s="5" t="s">
        <v>4572</v>
      </c>
      <c r="C97" s="5" t="s">
        <v>4573</v>
      </c>
      <c r="D97" s="5" t="s">
        <v>4574</v>
      </c>
      <c r="E97" s="5" t="s">
        <v>4575</v>
      </c>
      <c r="H97" s="4">
        <v>96.0</v>
      </c>
      <c r="I97" s="10" t="str">
        <f>IFERROR(__xludf.DUMMYFUNCTION("GOOGLETRANSLATE(B97,""it"",""en"")"),"What is the main difference between ski mountaineering and alpine skiing?")</f>
        <v>What is the main difference between ski mountaineering and alpine skiing?</v>
      </c>
      <c r="J97" s="10" t="str">
        <f>IFERROR(__xludf.DUMMYFUNCTION("GOOGLETRANSLATE(C97,""it"",""en"")"),"A. Speed ​​B. Type of equipment C. Discipline D. Difference in altitude")</f>
        <v>A. Speed ​​B. Type of equipment C. Discipline D. Difference in altitude</v>
      </c>
      <c r="K97" s="10" t="str">
        <f>IFERROR(__xludf.DUMMYFUNCTION("GOOGLETRANSLATE(D97,""it"",""en"")"),"Type of equipment")</f>
        <v>Type of equipment</v>
      </c>
      <c r="L97" s="10" t="str">
        <f>IFERROR(__xludf.DUMMYFUNCTION("GOOGLETRANSLATE(E97,""it"",""en"")"),"Ski mountaineering requires specific equipment for ascents and descents.")</f>
        <v>Ski mountaineering requires specific equipment for ascents and descents.</v>
      </c>
    </row>
    <row r="98" ht="22.5" customHeight="1">
      <c r="A98" s="4">
        <v>97.0</v>
      </c>
      <c r="B98" s="5" t="s">
        <v>4576</v>
      </c>
      <c r="C98" s="5" t="s">
        <v>4577</v>
      </c>
      <c r="D98" s="5" t="s">
        <v>4578</v>
      </c>
      <c r="E98" s="5" t="s">
        <v>4579</v>
      </c>
      <c r="H98" s="4">
        <v>97.0</v>
      </c>
      <c r="I98" s="10" t="str">
        <f>IFERROR(__xludf.DUMMYFUNCTION("GOOGLETRANSLATE(B98,""it"",""en"")"),"What is the standard length of a men's racing ski?")</f>
        <v>What is the standard length of a men's racing ski?</v>
      </c>
      <c r="J98" s="10" t="str">
        <f>IFERROR(__xludf.DUMMYFUNCTION("GOOGLETRANSLATE(C98,""it"",""en"")"),"A. 160 cm B. 170 cm C. 180 cm D. 200 cm")</f>
        <v>A. 160 cm B. 170 cm C. 180 cm D. 200 cm</v>
      </c>
      <c r="K98" s="10" t="str">
        <f>IFERROR(__xludf.DUMMYFUNCTION("GOOGLETRANSLATE(D98,""it"",""en"")"),"180 cm")</f>
        <v>180 cm</v>
      </c>
      <c r="L98" s="10" t="str">
        <f>IFERROR(__xludf.DUMMYFUNCTION("GOOGLETRANSLATE(E98,""it"",""en"")"),"Men's racing skis typically measure around 180cm.")</f>
        <v>Men's racing skis typically measure around 180cm.</v>
      </c>
    </row>
    <row r="99" ht="22.5" customHeight="1">
      <c r="A99" s="4">
        <v>98.0</v>
      </c>
      <c r="B99" s="5" t="s">
        <v>4580</v>
      </c>
      <c r="C99" s="5" t="s">
        <v>4581</v>
      </c>
      <c r="D99" s="5" t="s">
        <v>4582</v>
      </c>
      <c r="E99" s="5" t="s">
        <v>4583</v>
      </c>
      <c r="H99" s="4">
        <v>98.0</v>
      </c>
      <c r="I99" s="10" t="str">
        <f>IFERROR(__xludf.DUMMYFUNCTION("GOOGLETRANSLATE(B99,""it"",""en"")"),"What is the function of ski backpacks?")</f>
        <v>What is the function of ski backpacks?</v>
      </c>
      <c r="J99" s="10" t="str">
        <f>IFERROR(__xludf.DUMMYFUNCTION("GOOGLETRANSLATE(C99,""it"",""en"")"),"A. Carrying food and water B. Protection in case of a fall C. Carrying equipment D. Carrying wax")</f>
        <v>A. Carrying food and water B. Protection in case of a fall C. Carrying equipment D. Carrying wax</v>
      </c>
      <c r="K99" s="10" t="str">
        <f>IFERROR(__xludf.DUMMYFUNCTION("GOOGLETRANSLATE(D99,""it"",""en"")"),"Transporting the equipment")</f>
        <v>Transporting the equipment</v>
      </c>
      <c r="L99" s="10" t="str">
        <f>IFERROR(__xludf.DUMMYFUNCTION("GOOGLETRANSLATE(E99,""it"",""en"")"),"Ski backpacks are useful for carrying equipment in the mountains.")</f>
        <v>Ski backpacks are useful for carrying equipment in the mountains.</v>
      </c>
    </row>
    <row r="100" ht="22.5" customHeight="1">
      <c r="A100" s="4">
        <v>99.0</v>
      </c>
      <c r="B100" s="5" t="s">
        <v>4584</v>
      </c>
      <c r="C100" s="5" t="s">
        <v>4585</v>
      </c>
      <c r="D100" s="5" t="s">
        <v>4586</v>
      </c>
      <c r="E100" s="5" t="s">
        <v>4587</v>
      </c>
      <c r="H100" s="4">
        <v>99.0</v>
      </c>
      <c r="I100" s="10" t="str">
        <f>IFERROR(__xludf.DUMMYFUNCTION("GOOGLETRANSLATE(B100,""it"",""en"")"),"What does ""ski lift"" mean?")</f>
        <v>What does "ski lift" mean?</v>
      </c>
      <c r="J100" s="10" t="str">
        <f>IFERROR(__xludf.DUMMYFUNCTION("GOOGLETRANSLATE(C100,""it"",""en"")"),"A. Snow-making system B. Structure for climbing mountains C. Starting point of the slopes D. Safety system for skiers")</f>
        <v>A. Snow-making system B. Structure for climbing mountains C. Starting point of the slopes D. Safety system for skiers</v>
      </c>
      <c r="K100" s="10" t="str">
        <f>IFERROR(__xludf.DUMMYFUNCTION("GOOGLETRANSLATE(D100,""it"",""en"")"),"Structure for climbing the mountain")</f>
        <v>Structure for climbing the mountain</v>
      </c>
      <c r="L100" s="10" t="str">
        <f>IFERROR(__xludf.DUMMYFUNCTION("GOOGLETRANSLATE(E100,""it"",""en"")"),"Ski lifts allow skiers to reach the top of the slopes.")</f>
        <v>Ski lifts allow skiers to reach the top of the slopes.</v>
      </c>
    </row>
    <row r="101" ht="22.5" customHeight="1">
      <c r="A101" s="4">
        <v>100.0</v>
      </c>
      <c r="B101" s="5" t="s">
        <v>4588</v>
      </c>
      <c r="C101" s="5" t="s">
        <v>4589</v>
      </c>
      <c r="D101" s="5" t="s">
        <v>4590</v>
      </c>
      <c r="E101" s="5" t="s">
        <v>4591</v>
      </c>
      <c r="H101" s="4">
        <v>100.0</v>
      </c>
      <c r="I101" s="10" t="str">
        <f>IFERROR(__xludf.DUMMYFUNCTION("GOOGLETRANSLATE(B101,""it"",""en"")"),"What is the name of the famous ski run in Val Gardena?")</f>
        <v>What is the name of the famous ski run in Val Gardena?</v>
      </c>
      <c r="J101" s="10" t="str">
        <f>IFERROR(__xludf.DUMMYFUNCTION("GOOGLETRANSLATE(C101,""it"",""en"")"),"A. Gran Risa B. Tofane C. Saslong D. Stelvio")</f>
        <v>A. Gran Risa B. Tofane C. Saslong D. Stelvio</v>
      </c>
      <c r="K101" s="10" t="str">
        <f>IFERROR(__xludf.DUMMYFUNCTION("GOOGLETRANSLATE(D101,""it"",""en"")"),"Saslong")</f>
        <v>Saslong</v>
      </c>
      <c r="L101" s="10" t="str">
        <f>IFERROR(__xludf.DUMMYFUNCTION("GOOGLETRANSLATE(E101,""it"",""en"")"),"The Saslong slope is one of the most famous in Val Gardena.")</f>
        <v>The Saslong slope is one of the most famous in Val Gardena.</v>
      </c>
    </row>
    <row r="102" ht="22.5" customHeight="1">
      <c r="A102" s="4">
        <v>101.0</v>
      </c>
      <c r="B102" s="5" t="s">
        <v>4592</v>
      </c>
      <c r="C102" s="5" t="s">
        <v>4593</v>
      </c>
      <c r="D102" s="5" t="s">
        <v>4594</v>
      </c>
      <c r="E102" s="5" t="s">
        <v>4595</v>
      </c>
      <c r="H102" s="4">
        <v>101.0</v>
      </c>
      <c r="I102" s="10" t="str">
        <f>IFERROR(__xludf.DUMMYFUNCTION("GOOGLETRANSLATE(B102,""it"",""en"")"),"What is the main goal in freeriding?")</f>
        <v>What is the main goal in freeriding?</v>
      </c>
      <c r="J102" s="10" t="str">
        <f>IFERROR(__xludf.DUMMYFUNCTION("GOOGLETRANSLATE(C102,""it"",""en"")"),"A. Speed ​​B. Acrobatic jumps C. Skiing on fresh snow D. Overtaking an opponent")</f>
        <v>A. Speed ​​B. Acrobatic jumps C. Skiing on fresh snow D. Overtaking an opponent</v>
      </c>
      <c r="K102" s="10" t="str">
        <f>IFERROR(__xludf.DUMMYFUNCTION("GOOGLETRANSLATE(D102,""it"",""en"")"),"Skiing on fresh snow")</f>
        <v>Skiing on fresh snow</v>
      </c>
      <c r="L102" s="10" t="str">
        <f>IFERROR(__xludf.DUMMYFUNCTION("GOOGLETRANSLATE(E102,""it"",""en"")"),"Freeriding is practiced on fresh, ungroomed snow.")</f>
        <v>Freeriding is practiced on fresh, ungroomed snow.</v>
      </c>
    </row>
    <row r="103" ht="22.5" customHeight="1">
      <c r="A103" s="4">
        <v>102.0</v>
      </c>
      <c r="B103" s="5" t="s">
        <v>4596</v>
      </c>
      <c r="C103" s="5" t="s">
        <v>4597</v>
      </c>
      <c r="D103" s="5" t="s">
        <v>4598</v>
      </c>
      <c r="E103" s="5" t="s">
        <v>4599</v>
      </c>
      <c r="H103" s="4">
        <v>102.0</v>
      </c>
      <c r="I103" s="10" t="str">
        <f>IFERROR(__xludf.DUMMYFUNCTION("GOOGLETRANSLATE(B103,""it"",""en"")"),"What does ""ski jumping"" mean?")</f>
        <v>What does "ski jumping" mean?</v>
      </c>
      <c r="J103" s="10" t="str">
        <f>IFERROR(__xludf.DUMMYFUNCTION("GOOGLETRANSLATE(C103,""it"",""en"")"),"A. Speed ​​competition B. Distance competition C. Style competition D. Endurance competition")</f>
        <v>A. Speed ​​competition B. Distance competition C. Style competition D. Endurance competition</v>
      </c>
      <c r="K103" s="10" t="str">
        <f>IFERROR(__xludf.DUMMYFUNCTION("GOOGLETRANSLATE(D103,""it"",""en"")"),"Distance competition")</f>
        <v>Distance competition</v>
      </c>
      <c r="L103" s="10" t="str">
        <f>IFERROR(__xludf.DUMMYFUNCTION("GOOGLETRANSLATE(E103,""it"",""en"")"),"Ski jumping is about achieving the greatest distance.")</f>
        <v>Ski jumping is about achieving the greatest distance.</v>
      </c>
    </row>
    <row r="104" ht="22.5" customHeight="1">
      <c r="A104" s="4">
        <v>103.0</v>
      </c>
      <c r="B104" s="5" t="s">
        <v>4600</v>
      </c>
      <c r="C104" s="5" t="s">
        <v>4601</v>
      </c>
      <c r="D104" s="5" t="s">
        <v>4602</v>
      </c>
      <c r="E104" s="5" t="s">
        <v>4603</v>
      </c>
      <c r="H104" s="4">
        <v>103.0</v>
      </c>
      <c r="I104" s="10" t="str">
        <f>IFERROR(__xludf.DUMMYFUNCTION("GOOGLETRANSLATE(B104,""it"",""en"")"),"What is the main function of ski poles?")</f>
        <v>What is the main function of ski poles?</v>
      </c>
      <c r="J104" s="10" t="str">
        <f>IFERROR(__xludf.DUMMYFUNCTION("GOOGLETRANSLATE(C104,""it"",""en"")"),"A. Stabilize during descents B. Assist in ascents C. Reduce fatigue D. Maintain balance")</f>
        <v>A. Stabilize during descents B. Assist in ascents C. Reduce fatigue D. Maintain balance</v>
      </c>
      <c r="K104" s="10" t="str">
        <f>IFERROR(__xludf.DUMMYFUNCTION("GOOGLETRANSLATE(D104,""it"",""en"")"),"Maintaining balance")</f>
        <v>Maintaining balance</v>
      </c>
      <c r="L104" s="10" t="str">
        <f>IFERROR(__xludf.DUMMYFUNCTION("GOOGLETRANSLATE(E104,""it"",""en"")"),"Ski poles help you maintain balance and make turns easier.")</f>
        <v>Ski poles help you maintain balance and make turns easier.</v>
      </c>
    </row>
    <row r="105" ht="22.5" customHeight="1">
      <c r="A105" s="4">
        <v>104.0</v>
      </c>
      <c r="B105" s="5" t="s">
        <v>4604</v>
      </c>
      <c r="C105" s="5" t="s">
        <v>4605</v>
      </c>
      <c r="D105" s="5" t="s">
        <v>4606</v>
      </c>
      <c r="E105" s="5" t="s">
        <v>4607</v>
      </c>
      <c r="H105" s="4">
        <v>104.0</v>
      </c>
      <c r="I105" s="10" t="str">
        <f>IFERROR(__xludf.DUMMYFUNCTION("GOOGLETRANSLATE(B105,""it"",""en"")"),"What is the name of the equipment used for ski mountaineering?")</f>
        <v>What is the name of the equipment used for ski mountaineering?</v>
      </c>
      <c r="J105" s="10" t="str">
        <f>IFERROR(__xludf.DUMMYFUNCTION("GOOGLETRANSLATE(C105,""it"",""en"")"),"A. Crampons B. Sealskins C. Special wax D. Trekking boots")</f>
        <v>A. Crampons B. Sealskins C. Special wax D. Trekking boots</v>
      </c>
      <c r="K105" s="10" t="str">
        <f>IFERROR(__xludf.DUMMYFUNCTION("GOOGLETRANSLATE(D105,""it"",""en"")"),"Seal skins")</f>
        <v>Seal skins</v>
      </c>
      <c r="L105" s="10" t="str">
        <f>IFERROR(__xludf.DUMMYFUNCTION("GOOGLETRANSLATE(E105,""it"",""en"")"),"Seal skins allow you to stick to the snow while climbing.")</f>
        <v>Seal skins allow you to stick to the snow while climbing.</v>
      </c>
    </row>
    <row r="106" ht="22.5" customHeight="1">
      <c r="A106" s="4">
        <v>105.0</v>
      </c>
      <c r="B106" s="5" t="s">
        <v>4608</v>
      </c>
      <c r="C106" s="5" t="s">
        <v>4609</v>
      </c>
      <c r="D106" s="5" t="s">
        <v>4610</v>
      </c>
      <c r="E106" s="5" t="s">
        <v>4611</v>
      </c>
      <c r="H106" s="4">
        <v>105.0</v>
      </c>
      <c r="I106" s="10" t="str">
        <f>IFERROR(__xludf.DUMMYFUNCTION("GOOGLETRANSLATE(B106,""it"",""en"")"),"What color identifies the most difficult slopes in Italy?")</f>
        <v>What color identifies the most difficult slopes in Italy?</v>
      </c>
      <c r="J106" s="10" t="str">
        <f>IFERROR(__xludf.DUMMYFUNCTION("GOOGLETRANSLATE(C106,""it"",""en"")"),"A. Blue B. Red C. Black D. Green")</f>
        <v>A. Blue B. Red C. Black D. Green</v>
      </c>
      <c r="K106" s="10" t="str">
        <f>IFERROR(__xludf.DUMMYFUNCTION("GOOGLETRANSLATE(D106,""it"",""en"")"),"Black")</f>
        <v>Black</v>
      </c>
      <c r="L106" s="10" t="str">
        <f>IFERROR(__xludf.DUMMYFUNCTION("GOOGLETRANSLATE(E106,""it"",""en"")"),"The black runs are the most difficult in terms of steepness and technique required.")</f>
        <v>The black runs are the most difficult in terms of steepness and technique required.</v>
      </c>
    </row>
    <row r="107" ht="22.5" customHeight="1">
      <c r="A107" s="4">
        <v>106.0</v>
      </c>
      <c r="B107" s="5" t="s">
        <v>4612</v>
      </c>
      <c r="C107" s="5" t="s">
        <v>4613</v>
      </c>
      <c r="D107" s="5" t="s">
        <v>4614</v>
      </c>
      <c r="E107" s="5" t="s">
        <v>4615</v>
      </c>
      <c r="H107" s="4">
        <v>106.0</v>
      </c>
      <c r="I107" s="10" t="str">
        <f>IFERROR(__xludf.DUMMYFUNCTION("GOOGLETRANSLATE(B107,""it"",""en"")"),"What is the main goal in snowboard cross?")</f>
        <v>What is the main goal in snowboard cross?</v>
      </c>
      <c r="J107" s="10" t="str">
        <f>IFERROR(__xludf.DUMMYFUNCTION("GOOGLETRANSLATE(C107,""it"",""en"")"),"A. Speed ​​downhill B. Overcoming obstacles C. Overcoming opponents D. Performing technical jumps")</f>
        <v>A. Speed ​​downhill B. Overcoming obstacles C. Overcoming opponents D. Performing technical jumps</v>
      </c>
      <c r="K107" s="10" t="str">
        <f>IFERROR(__xludf.DUMMYFUNCTION("GOOGLETRANSLATE(D107,""it"",""en"")"),"Overcoming opponents")</f>
        <v>Overcoming opponents</v>
      </c>
      <c r="L107" s="10" t="str">
        <f>IFERROR(__xludf.DUMMYFUNCTION("GOOGLETRANSLATE(E107,""it"",""en"")"),"In snowboard cross you compete directly against other competitors.")</f>
        <v>In snowboard cross you compete directly against other competitors.</v>
      </c>
    </row>
    <row r="108" ht="22.5" customHeight="1">
      <c r="A108" s="4">
        <v>107.0</v>
      </c>
      <c r="B108" s="5" t="s">
        <v>4616</v>
      </c>
      <c r="C108" s="5" t="s">
        <v>4617</v>
      </c>
      <c r="D108" s="5" t="s">
        <v>4456</v>
      </c>
      <c r="E108" s="5" t="s">
        <v>4618</v>
      </c>
      <c r="H108" s="4">
        <v>107.0</v>
      </c>
      <c r="I108" s="10" t="str">
        <f>IFERROR(__xludf.DUMMYFUNCTION("GOOGLETRANSLATE(B108,""it"",""en"")"),"What is the term for a series of fast downhill turns?")</f>
        <v>What is the term for a series of fast downhill turns?</v>
      </c>
      <c r="J108" s="10" t="str">
        <f>IFERROR(__xludf.DUMMYFUNCTION("GOOGLETRANSLATE(C108,""it"",""en"")"),"A. Slalom B. Carving C. Freeride D. Telemark")</f>
        <v>A. Slalom B. Carving C. Freeride D. Telemark</v>
      </c>
      <c r="K108" s="10" t="str">
        <f>IFERROR(__xludf.DUMMYFUNCTION("GOOGLETRANSLATE(D108,""it"",""en"")"),"Slalom")</f>
        <v>Slalom</v>
      </c>
      <c r="L108" s="10" t="str">
        <f>IFERROR(__xludf.DUMMYFUNCTION("GOOGLETRANSLATE(E108,""it"",""en"")"),"Slalom involves a series of fast turns.")</f>
        <v>Slalom involves a series of fast turns.</v>
      </c>
    </row>
    <row r="109" ht="22.5" customHeight="1">
      <c r="A109" s="4">
        <v>108.0</v>
      </c>
      <c r="B109" s="5" t="s">
        <v>4619</v>
      </c>
      <c r="C109" s="5" t="s">
        <v>4620</v>
      </c>
      <c r="D109" s="5" t="s">
        <v>4621</v>
      </c>
      <c r="E109" s="5" t="s">
        <v>4622</v>
      </c>
      <c r="H109" s="4">
        <v>108.0</v>
      </c>
      <c r="I109" s="10" t="str">
        <f>IFERROR(__xludf.DUMMYFUNCTION("GOOGLETRANSLATE(B109,""it"",""en"")"),"What is the main risk of skiing on fresh snow?")</f>
        <v>What is the main risk of skiing on fresh snow?</v>
      </c>
      <c r="J109" s="10" t="str">
        <f>IFERROR(__xludf.DUMMYFUNCTION("GOOGLETRANSLATE(C109,""it"",""en"")"),"A. Avalanches B. Slides C. Strong winds D. Hidden ice")</f>
        <v>A. Avalanches B. Slides C. Strong winds D. Hidden ice</v>
      </c>
      <c r="K109" s="10" t="str">
        <f>IFERROR(__xludf.DUMMYFUNCTION("GOOGLETRANSLATE(D109,""it"",""en"")"),"Avalanches")</f>
        <v>Avalanches</v>
      </c>
      <c r="L109" s="10" t="str">
        <f>IFERROR(__xludf.DUMMYFUNCTION("GOOGLETRANSLATE(E109,""it"",""en"")"),"Skiing on fresh snow can carry the risk of avalanches.")</f>
        <v>Skiing on fresh snow can carry the risk of avalanches.</v>
      </c>
    </row>
    <row r="110" ht="22.5" customHeight="1">
      <c r="A110" s="4">
        <v>109.0</v>
      </c>
      <c r="B110" s="5" t="s">
        <v>4623</v>
      </c>
      <c r="C110" s="5" t="s">
        <v>4624</v>
      </c>
      <c r="D110" s="5" t="s">
        <v>4625</v>
      </c>
      <c r="E110" s="5" t="s">
        <v>4626</v>
      </c>
      <c r="H110" s="4">
        <v>109.0</v>
      </c>
      <c r="I110" s="10" t="str">
        <f>IFERROR(__xludf.DUMMYFUNCTION("GOOGLETRANSLATE(B110,""it"",""en"")"),"What material is used to improve speed on skis?")</f>
        <v>What material is used to improve speed on skis?</v>
      </c>
      <c r="J110" s="10" t="str">
        <f>IFERROR(__xludf.DUMMYFUNCTION("GOOGLETRANSLATE(C110,""it"",""en"")"),"A. Graphite B. Plastic C. Wax D. Fiberglass")</f>
        <v>A. Graphite B. Plastic C. Wax D. Fiberglass</v>
      </c>
      <c r="K110" s="10" t="str">
        <f>IFERROR(__xludf.DUMMYFUNCTION("GOOGLETRANSLATE(D110,""it"",""en"")"),"There was")</f>
        <v>There was</v>
      </c>
      <c r="L110" s="10" t="str">
        <f>IFERROR(__xludf.DUMMYFUNCTION("GOOGLETRANSLATE(E110,""it"",""en"")"),"Wax is applied to reduce friction and improve speed.")</f>
        <v>Wax is applied to reduce friction and improve speed.</v>
      </c>
    </row>
    <row r="111" ht="22.5" customHeight="1">
      <c r="A111" s="4">
        <v>110.0</v>
      </c>
      <c r="B111" s="5" t="s">
        <v>4627</v>
      </c>
      <c r="C111" s="5" t="s">
        <v>4628</v>
      </c>
      <c r="D111" s="5" t="s">
        <v>4629</v>
      </c>
      <c r="E111" s="5" t="s">
        <v>4630</v>
      </c>
      <c r="H111" s="4">
        <v>110.0</v>
      </c>
      <c r="I111" s="10" t="str">
        <f>IFERROR(__xludf.DUMMYFUNCTION("GOOGLETRANSLATE(B111,""it"",""en"")"),"What is the function of a helmet in skiing?")</f>
        <v>What is the function of a helmet in skiing?</v>
      </c>
      <c r="J111" s="10" t="str">
        <f>IFERROR(__xludf.DUMMYFUNCTION("GOOGLETRANSLATE(C111,""it"",""en"")"),"A. Improve aerodynamics B. Protection against impacts C. Keep your head warm D. Stabilize your vision")</f>
        <v>A. Improve aerodynamics B. Protection against impacts C. Keep your head warm D. Stabilize your vision</v>
      </c>
      <c r="K111" s="10" t="str">
        <f>IFERROR(__xludf.DUMMYFUNCTION("GOOGLETRANSLATE(D111,""it"",""en"")"),"Impact protection")</f>
        <v>Impact protection</v>
      </c>
      <c r="L111" s="10" t="str">
        <f>IFERROR(__xludf.DUMMYFUNCTION("GOOGLETRANSLATE(E111,""it"",""en"")"),"The helmet protects against impacts in the event of falls or collisions.")</f>
        <v>The helmet protects against impacts in the event of falls or collisions.</v>
      </c>
    </row>
    <row r="112" ht="22.5" customHeight="1">
      <c r="A112" s="4">
        <v>111.0</v>
      </c>
      <c r="B112" s="5" t="s">
        <v>4631</v>
      </c>
      <c r="C112" s="5" t="s">
        <v>4632</v>
      </c>
      <c r="D112" s="5" t="s">
        <v>4633</v>
      </c>
      <c r="E112" s="5" t="s">
        <v>4634</v>
      </c>
      <c r="H112" s="4">
        <v>111.0</v>
      </c>
      <c r="I112" s="10" t="str">
        <f>IFERROR(__xludf.DUMMYFUNCTION("GOOGLETRANSLATE(B112,""it"",""en"")"),"What type of ski is designed for speed?")</f>
        <v>What type of ski is designed for speed?</v>
      </c>
      <c r="J112" s="10" t="str">
        <f>IFERROR(__xludf.DUMMYFUNCTION("GOOGLETRANSLATE(C112,""it"",""en"")"),"A. Cross-country skis B. Carving skis C. Downhill skis D. Twin-tip skis")</f>
        <v>A. Cross-country skis B. Carving skis C. Downhill skis D. Twin-tip skis</v>
      </c>
      <c r="K112" s="10" t="str">
        <f>IFERROR(__xludf.DUMMYFUNCTION("GOOGLETRANSLATE(D112,""it"",""en"")"),"Downhill skiing")</f>
        <v>Downhill skiing</v>
      </c>
      <c r="L112" s="10" t="str">
        <f>IFERROR(__xludf.DUMMYFUNCTION("GOOGLETRANSLATE(E112,""it"",""en"")"),"Downhill skis are designed to reach high speeds.")</f>
        <v>Downhill skis are designed to reach high speeds.</v>
      </c>
    </row>
    <row r="113" ht="22.5" customHeight="1">
      <c r="A113" s="4">
        <v>112.0</v>
      </c>
      <c r="B113" s="5" t="s">
        <v>4635</v>
      </c>
      <c r="C113" s="5" t="s">
        <v>4636</v>
      </c>
      <c r="D113" s="5" t="s">
        <v>4637</v>
      </c>
      <c r="E113" s="5" t="s">
        <v>4638</v>
      </c>
      <c r="H113" s="4">
        <v>112.0</v>
      </c>
      <c r="I113" s="10" t="str">
        <f>IFERROR(__xludf.DUMMYFUNCTION("GOOGLETRANSLATE(B113,""it"",""en"")"),"What is the term for the area where you take the ski lifts?")</f>
        <v>What is the term for the area where you take the ski lifts?</v>
      </c>
      <c r="J113" s="10" t="str">
        <f>IFERROR(__xludf.DUMMYFUNCTION("GOOGLETRANSLATE(C113,""it"",""en"")"),"A. Base of the slope B. Valley station C. Starting point D. Access point")</f>
        <v>A. Base of the slope B. Valley station C. Starting point D. Access point</v>
      </c>
      <c r="K113" s="10" t="str">
        <f>IFERROR(__xludf.DUMMYFUNCTION("GOOGLETRANSLATE(D113,""it"",""en"")"),"Valley station")</f>
        <v>Valley station</v>
      </c>
      <c r="L113" s="10" t="str">
        <f>IFERROR(__xludf.DUMMYFUNCTION("GOOGLETRANSLATE(E113,""it"",""en"")"),"The valley station is the access area to the ski lifts.")</f>
        <v>The valley station is the access area to the ski lifts.</v>
      </c>
    </row>
    <row r="114" ht="22.5" customHeight="1">
      <c r="A114" s="4">
        <v>113.0</v>
      </c>
      <c r="B114" s="5" t="s">
        <v>4639</v>
      </c>
      <c r="C114" s="5" t="s">
        <v>4640</v>
      </c>
      <c r="D114" s="5" t="s">
        <v>4415</v>
      </c>
      <c r="E114" s="5" t="s">
        <v>4641</v>
      </c>
      <c r="H114" s="4">
        <v>113.0</v>
      </c>
      <c r="I114" s="10" t="str">
        <f>IFERROR(__xludf.DUMMYFUNCTION("GOOGLETRANSLATE(B114,""it"",""en"")"),"What is the basic braking technique in alpine skiing?")</f>
        <v>What is the basic braking technique in alpine skiing?</v>
      </c>
      <c r="J114" s="10" t="str">
        <f>IFERROR(__xludf.DUMMYFUNCTION("GOOGLETRANSLATE(C114,""it"",""en"")"),"A. Parallel curve B. Snowplow C. Lateral braking D. Slide")</f>
        <v>A. Parallel curve B. Snowplow C. Lateral braking D. Slide</v>
      </c>
      <c r="K114" s="10" t="str">
        <f>IFERROR(__xludf.DUMMYFUNCTION("GOOGLETRANSLATE(D114,""it"",""en"")"),"Snowplow")</f>
        <v>Snowplow</v>
      </c>
      <c r="L114" s="10" t="str">
        <f>IFERROR(__xludf.DUMMYFUNCTION("GOOGLETRANSLATE(E114,""it"",""en"")"),"The snowplow technique is the most used braking technique by beginners.")</f>
        <v>The snowplow technique is the most used braking technique by beginners.</v>
      </c>
    </row>
    <row r="115" ht="22.5" customHeight="1">
      <c r="A115" s="4">
        <v>114.0</v>
      </c>
      <c r="B115" s="5" t="s">
        <v>4642</v>
      </c>
      <c r="C115" s="5" t="s">
        <v>4643</v>
      </c>
      <c r="D115" s="5" t="s">
        <v>4644</v>
      </c>
      <c r="E115" s="5" t="s">
        <v>4645</v>
      </c>
      <c r="H115" s="4">
        <v>114.0</v>
      </c>
      <c r="I115" s="10" t="str">
        <f>IFERROR(__xludf.DUMMYFUNCTION("GOOGLETRANSLATE(B115,""it"",""en"")"),"What is the goal of biathlon?")</f>
        <v>What is the goal of biathlon?</v>
      </c>
      <c r="J115" s="10" t="str">
        <f>IFERROR(__xludf.DUMMYFUNCTION("GOOGLETRANSLATE(C115,""it"",""en"")"),"A. Reaching maximum speed B. Shooting accurately while skiing C. Maintaining balance while jumping D. Overtaking an opponent")</f>
        <v>A. Reaching maximum speed B. Shooting accurately while skiing C. Maintaining balance while jumping D. Overtaking an opponent</v>
      </c>
      <c r="K115" s="10" t="str">
        <f>IFERROR(__xludf.DUMMYFUNCTION("GOOGLETRANSLATE(D115,""it"",""en"")"),"Pulling with precision while skiing")</f>
        <v>Pulling with precision while skiing</v>
      </c>
      <c r="L115" s="10" t="str">
        <f>IFERROR(__xludf.DUMMYFUNCTION("GOOGLETRANSLATE(E115,""it"",""en"")"),"Biathlon combines cross-country skiing and target shooting.")</f>
        <v>Biathlon combines cross-country skiing and target shooting.</v>
      </c>
    </row>
    <row r="116" ht="22.5" customHeight="1">
      <c r="A116" s="4">
        <v>115.0</v>
      </c>
      <c r="B116" s="5" t="s">
        <v>4646</v>
      </c>
      <c r="C116" s="5" t="s">
        <v>4647</v>
      </c>
      <c r="D116" s="5" t="s">
        <v>4648</v>
      </c>
      <c r="E116" s="5" t="s">
        <v>4649</v>
      </c>
      <c r="H116" s="4">
        <v>115.0</v>
      </c>
      <c r="I116" s="10" t="str">
        <f>IFERROR(__xludf.DUMMYFUNCTION("GOOGLETRANSLATE(B116,""it"",""en"")"),"What is the term for a track groomed for freestyle?")</f>
        <v>What is the term for a track groomed for freestyle?</v>
      </c>
      <c r="J116" s="10" t="str">
        <f>IFERROR(__xludf.DUMMYFUNCTION("GOOGLETRANSLATE(C116,""it"",""en"")"),"A. Half-pipe B. Ski Park C. Acrobatic slope D. Red slope")</f>
        <v>A. Half-pipe B. Ski Park C. Acrobatic slope D. Red slope</v>
      </c>
      <c r="K116" s="10" t="str">
        <f>IFERROR(__xludf.DUMMYFUNCTION("GOOGLETRANSLATE(D116,""it"",""en"")"),"Half-pipe")</f>
        <v>Half-pipe</v>
      </c>
      <c r="L116" s="10" t="str">
        <f>IFERROR(__xludf.DUMMYFUNCTION("GOOGLETRANSLATE(E116,""it"",""en"")"),"The half-pipe is a track used for freestyle stunts.")</f>
        <v>The half-pipe is a track used for freestyle stunts.</v>
      </c>
    </row>
    <row r="117" ht="22.5" customHeight="1">
      <c r="A117" s="4">
        <v>116.0</v>
      </c>
      <c r="B117" s="5" t="s">
        <v>4650</v>
      </c>
      <c r="C117" s="5" t="s">
        <v>4651</v>
      </c>
      <c r="D117" s="5" t="s">
        <v>4652</v>
      </c>
      <c r="E117" s="5" t="s">
        <v>4653</v>
      </c>
      <c r="H117" s="4">
        <v>116.0</v>
      </c>
      <c r="I117" s="10" t="str">
        <f>IFERROR(__xludf.DUMMYFUNCTION("GOOGLETRANSLATE(B117,""it"",""en"")"),"What is the ideal temperature for storing artificial snow?")</f>
        <v>What is the ideal temperature for storing artificial snow?</v>
      </c>
      <c r="J117" s="10" t="str">
        <f>IFERROR(__xludf.DUMMYFUNCTION("GOOGLETRANSLATE(C117,""it"",""en"")"),"A. -10°C B. -5°C C. 0°C D. +5°C")</f>
        <v>A. -10°C B. -5°C C. 0°C D. +5°C</v>
      </c>
      <c r="K117" s="10" t="str">
        <f>IFERROR(__xludf.DUMMYFUNCTION("GOOGLETRANSLATE(D117,""it"",""en"")"),"-5°C")</f>
        <v>-5°C</v>
      </c>
      <c r="L117" s="10" t="str">
        <f>IFERROR(__xludf.DUMMYFUNCTION("GOOGLETRANSLATE(E117,""it"",""en"")"),"Artificial snow keeps best at temperatures around -5°C.")</f>
        <v>Artificial snow keeps best at temperatures around -5°C.</v>
      </c>
    </row>
    <row r="118" ht="22.5" customHeight="1">
      <c r="A118" s="4">
        <v>117.0</v>
      </c>
      <c r="B118" s="5" t="s">
        <v>4654</v>
      </c>
      <c r="C118" s="5" t="s">
        <v>4655</v>
      </c>
      <c r="D118" s="5" t="s">
        <v>4656</v>
      </c>
      <c r="E118" s="5" t="s">
        <v>4657</v>
      </c>
      <c r="H118" s="4">
        <v>117.0</v>
      </c>
      <c r="I118" s="10" t="str">
        <f>IFERROR(__xludf.DUMMYFUNCTION("GOOGLETRANSLATE(B118,""it"",""en"")"),"What is the main goal in Super G racing?")</f>
        <v>What is the main goal in Super G racing?</v>
      </c>
      <c r="J118" s="10" t="str">
        <f>IFERROR(__xludf.DUMMYFUNCTION("GOOGLETRANSLATE(C118,""it"",""en"")"),"A. Go down in the shortest time possible B. Make perfect turns C. Maintain a constant speed D. Overtake an opponent")</f>
        <v>A. Go down in the shortest time possible B. Make perfect turns C. Maintain a constant speed D. Overtake an opponent</v>
      </c>
      <c r="K118" s="10" t="str">
        <f>IFERROR(__xludf.DUMMYFUNCTION("GOOGLETRANSLATE(D118,""it"",""en"")"),"Get down as quickly as possible")</f>
        <v>Get down as quickly as possible</v>
      </c>
      <c r="L118" s="10" t="str">
        <f>IFERROR(__xludf.DUMMYFUNCTION("GOOGLETRANSLATE(E118,""it"",""en"")"),"The Super G is a race of speed and technique.")</f>
        <v>The Super G is a race of speed and technique.</v>
      </c>
    </row>
    <row r="119" ht="22.5" customHeight="1">
      <c r="A119" s="4">
        <v>118.0</v>
      </c>
      <c r="B119" s="5" t="s">
        <v>4658</v>
      </c>
      <c r="C119" s="5" t="s">
        <v>4659</v>
      </c>
      <c r="D119" s="5" t="s">
        <v>4275</v>
      </c>
      <c r="E119" s="5" t="s">
        <v>4660</v>
      </c>
      <c r="H119" s="4">
        <v>118.0</v>
      </c>
      <c r="I119" s="10" t="str">
        <f>IFERROR(__xludf.DUMMYFUNCTION("GOOGLETRANSLATE(B119,""it"",""en"")"),"What does ""carving"" mean in skiing?")</f>
        <v>What does "carving" mean in skiing?</v>
      </c>
      <c r="J119" s="10" t="str">
        <f>IFERROR(__xludf.DUMMYFUNCTION("GOOGLETRANSLATE(C119,""it"",""en"")"),"A. Turn precisely B. Accelerate downhill C. Climb faster D. Maintain a straight line")</f>
        <v>A. Turn precisely B. Accelerate downhill C. Climb faster D. Maintain a straight line</v>
      </c>
      <c r="K119" s="10" t="str">
        <f>IFERROR(__xludf.DUMMYFUNCTION("GOOGLETRANSLATE(D119,""it"",""en"")"),"Curve with precision")</f>
        <v>Curve with precision</v>
      </c>
      <c r="L119" s="10" t="str">
        <f>IFERROR(__xludf.DUMMYFUNCTION("GOOGLETRANSLATE(E119,""it"",""en"")"),"Carving refers to precise turns on skis.")</f>
        <v>Carving refers to precise turns on skis.</v>
      </c>
    </row>
    <row r="120" ht="22.5" customHeight="1">
      <c r="A120" s="4">
        <v>119.0</v>
      </c>
      <c r="B120" s="5" t="s">
        <v>4661</v>
      </c>
      <c r="C120" s="5" t="s">
        <v>4662</v>
      </c>
      <c r="D120" s="5" t="s">
        <v>4663</v>
      </c>
      <c r="E120" s="5" t="s">
        <v>4664</v>
      </c>
      <c r="H120" s="4">
        <v>119.0</v>
      </c>
      <c r="I120" s="10" t="str">
        <f>IFERROR(__xludf.DUMMYFUNCTION("GOOGLETRANSLATE(B120,""it"",""en"")"),"What device is used for avalanche safety?")</f>
        <v>What device is used for avalanche safety?</v>
      </c>
      <c r="J120" s="10" t="str">
        <f>IFERROR(__xludf.DUMMYFUNCTION("GOOGLETRANSLATE(C120,""it"",""en"")"),"A. Transponder B. Probe C. Airbag D. First aid kit")</f>
        <v>A. Transponder B. Probe C. Airbag D. First aid kit</v>
      </c>
      <c r="K120" s="10" t="str">
        <f>IFERROR(__xludf.DUMMYFUNCTION("GOOGLETRANSLATE(D120,""it"",""en"")"),"Airbag")</f>
        <v>Airbag</v>
      </c>
      <c r="L120" s="10" t="str">
        <f>IFERROR(__xludf.DUMMYFUNCTION("GOOGLETRANSLATE(E120,""it"",""en"")"),"Avalanche airbags can increase your chances of survival.")</f>
        <v>Avalanche airbags can increase your chances of survival.</v>
      </c>
    </row>
    <row r="121" ht="22.5" customHeight="1">
      <c r="A121" s="4">
        <v>120.0</v>
      </c>
      <c r="B121" s="5" t="s">
        <v>4665</v>
      </c>
      <c r="C121" s="5" t="s">
        <v>4666</v>
      </c>
      <c r="D121" s="5" t="s">
        <v>4667</v>
      </c>
      <c r="E121" s="5" t="s">
        <v>4668</v>
      </c>
      <c r="H121" s="4">
        <v>120.0</v>
      </c>
      <c r="I121" s="10" t="str">
        <f>IFERROR(__xludf.DUMMYFUNCTION("GOOGLETRANSLATE(B121,""it"",""en"")"),"What is the typical length of a freestyle ski?")</f>
        <v>What is the typical length of a freestyle ski?</v>
      </c>
      <c r="J121" s="10" t="str">
        <f>IFERROR(__xludf.DUMMYFUNCTION("GOOGLETRANSLATE(C121,""it"",""en"")"),"A. 160 cm B. 170 cm C. 180 cm D. 190 cm")</f>
        <v>A. 160 cm B. 170 cm C. 180 cm D. 190 cm</v>
      </c>
      <c r="K121" s="10" t="str">
        <f>IFERROR(__xludf.DUMMYFUNCTION("GOOGLETRANSLATE(D121,""it"",""en"")"),"170 cm")</f>
        <v>170 cm</v>
      </c>
      <c r="L121" s="10" t="str">
        <f>IFERROR(__xludf.DUMMYFUNCTION("GOOGLETRANSLATE(E121,""it"",""en"")"),"Freestyle skis are generally shorter to make tricks easier.")</f>
        <v>Freestyle skis are generally shorter to make tricks easier.</v>
      </c>
    </row>
    <row r="122" ht="22.5" customHeight="1">
      <c r="A122" s="4">
        <v>121.0</v>
      </c>
      <c r="B122" s="5" t="s">
        <v>4669</v>
      </c>
      <c r="C122" s="5" t="s">
        <v>4670</v>
      </c>
      <c r="D122" s="5" t="s">
        <v>4671</v>
      </c>
      <c r="E122" s="5" t="s">
        <v>4672</v>
      </c>
      <c r="H122" s="4">
        <v>121.0</v>
      </c>
      <c r="I122" s="10" t="str">
        <f>IFERROR(__xludf.DUMMYFUNCTION("GOOGLETRANSLATE(B122,""it"",""en"")"),"What is the main goal in giant slalom racing?")</f>
        <v>What is the main goal in giant slalom racing?</v>
      </c>
      <c r="J122" s="10" t="str">
        <f>IFERROR(__xludf.DUMMYFUNCTION("GOOGLETRANSLATE(C122,""it"",""en"")"),"A. Make wide, fast turns B. Overtake an opponent C. Maintain a straight line D. Descend at a constant speed")</f>
        <v>A. Make wide, fast turns B. Overtake an opponent C. Maintain a straight line D. Descend at a constant speed</v>
      </c>
      <c r="K122" s="10" t="str">
        <f>IFERROR(__xludf.DUMMYFUNCTION("GOOGLETRANSLATE(D122,""it"",""en"")"),"Make wide, fast turns")</f>
        <v>Make wide, fast turns</v>
      </c>
      <c r="L122" s="10" t="str">
        <f>IFERROR(__xludf.DUMMYFUNCTION("GOOGLETRANSLATE(E122,""it"",""en"")"),"Giant slalom requires technical, wide turns at high speeds.")</f>
        <v>Giant slalom requires technical, wide turns at high speeds.</v>
      </c>
    </row>
    <row r="123" ht="22.5" customHeight="1">
      <c r="A123" s="4">
        <v>122.0</v>
      </c>
      <c r="B123" s="5" t="s">
        <v>4673</v>
      </c>
      <c r="C123" s="5" t="s">
        <v>4674</v>
      </c>
      <c r="D123" s="5" t="s">
        <v>4675</v>
      </c>
      <c r="E123" s="5" t="s">
        <v>4676</v>
      </c>
      <c r="H123" s="4">
        <v>122.0</v>
      </c>
      <c r="I123" s="10" t="str">
        <f>IFERROR(__xludf.DUMMYFUNCTION("GOOGLETRANSLATE(B123,""it"",""en"")"),"What is the name of the system for measuring time in ski racing?")</f>
        <v>What is the name of the system for measuring time in ski racing?</v>
      </c>
      <c r="J123" s="10" t="str">
        <f>IFERROR(__xludf.DUMMYFUNCTION("GOOGLETRANSLATE(C123,""it"",""en"")"),"A. Chronograph B. Telemetry C. Electronic chronometer D. Manual timer")</f>
        <v>A. Chronograph B. Telemetry C. Electronic chronometer D. Manual timer</v>
      </c>
      <c r="K123" s="10" t="str">
        <f>IFERROR(__xludf.DUMMYFUNCTION("GOOGLETRANSLATE(D123,""it"",""en"")"),"Electronic chronometer")</f>
        <v>Electronic chronometer</v>
      </c>
      <c r="L123" s="10" t="str">
        <f>IFERROR(__xludf.DUMMYFUNCTION("GOOGLETRANSLATE(E123,""it"",""en"")"),"The electronic stopwatch ensures precise measurements in competitions.")</f>
        <v>The electronic stopwatch ensures precise measurements in competitions.</v>
      </c>
    </row>
    <row r="124" ht="22.5" customHeight="1">
      <c r="A124" s="4">
        <v>123.0</v>
      </c>
      <c r="B124" s="5" t="s">
        <v>4677</v>
      </c>
      <c r="C124" s="5" t="s">
        <v>4678</v>
      </c>
      <c r="D124" s="5" t="s">
        <v>4679</v>
      </c>
      <c r="E124" s="5" t="s">
        <v>4680</v>
      </c>
      <c r="H124" s="4">
        <v>123.0</v>
      </c>
      <c r="I124" s="10" t="str">
        <f>IFERROR(__xludf.DUMMYFUNCTION("GOOGLETRANSLATE(B124,""it"",""en"")"),"What is the function of ski gloves?")</f>
        <v>What is the function of ski gloves?</v>
      </c>
      <c r="J124" s="10" t="str">
        <f>IFERROR(__xludf.DUMMYFUNCTION("GOOGLETRANSLATE(C124,""it"",""en"")"),"A. Protect from the cold B. Absorb shock C. Improve grip D. Block the wind")</f>
        <v>A. Protect from the cold B. Absorb shock C. Improve grip D. Block the wind</v>
      </c>
      <c r="K124" s="10" t="str">
        <f>IFERROR(__xludf.DUMMYFUNCTION("GOOGLETRANSLATE(D124,""it"",""en"")"),"Protect from the cold")</f>
        <v>Protect from the cold</v>
      </c>
      <c r="L124" s="10" t="str">
        <f>IFERROR(__xludf.DUMMYFUNCTION("GOOGLETRANSLATE(E124,""it"",""en"")"),"Ski gloves keep your hands warm during activity.")</f>
        <v>Ski gloves keep your hands warm during activity.</v>
      </c>
    </row>
    <row r="125" ht="22.5" customHeight="1">
      <c r="A125" s="4">
        <v>124.0</v>
      </c>
      <c r="B125" s="5" t="s">
        <v>4681</v>
      </c>
      <c r="C125" s="5" t="s">
        <v>4682</v>
      </c>
      <c r="D125" s="5" t="s">
        <v>4683</v>
      </c>
      <c r="E125" s="5" t="s">
        <v>4684</v>
      </c>
      <c r="H125" s="4">
        <v>124.0</v>
      </c>
      <c r="I125" s="10" t="str">
        <f>IFERROR(__xludf.DUMMYFUNCTION("GOOGLETRANSLATE(B125,""it"",""en"")"),"What does ""skating"" mean in cross-country skiing?")</f>
        <v>What does "skating" mean in cross-country skiing?</v>
      </c>
      <c r="J125" s="10" t="str">
        <f>IFERROR(__xludf.DUMMYFUNCTION("GOOGLETRANSLATE(C125,""it"",""en"")"),"A. Skiing downhill fast B. Using the poles alternately C. Pushing sideways with the skis D. Making quick turns")</f>
        <v>A. Skiing downhill fast B. Using the poles alternately C. Pushing sideways with the skis D. Making quick turns</v>
      </c>
      <c r="K125" s="10" t="str">
        <f>IFERROR(__xludf.DUMMYFUNCTION("GOOGLETRANSLATE(D125,""it"",""en"")"),"Push sideways with skis")</f>
        <v>Push sideways with skis</v>
      </c>
      <c r="L125" s="10" t="str">
        <f>IFERROR(__xludf.DUMMYFUNCTION("GOOGLETRANSLATE(E125,""it"",""en"")"),"The skating technique increases speed in cross-country skiing.")</f>
        <v>The skating technique increases speed in cross-country skiing.</v>
      </c>
    </row>
    <row r="126" ht="22.5" customHeight="1">
      <c r="A126" s="4">
        <v>125.0</v>
      </c>
      <c r="B126" s="5" t="s">
        <v>4685</v>
      </c>
      <c r="C126" s="5" t="s">
        <v>4686</v>
      </c>
      <c r="D126" s="5" t="s">
        <v>4687</v>
      </c>
      <c r="E126" s="5" t="s">
        <v>4688</v>
      </c>
      <c r="H126" s="4">
        <v>125.0</v>
      </c>
      <c r="I126" s="10" t="str">
        <f>IFERROR(__xludf.DUMMYFUNCTION("GOOGLETRANSLATE(B126,""it"",""en"")"),"What is the name of the famous downhill ski race in Kitzbühel?")</f>
        <v>What is the name of the famous downhill ski race in Kitzbühel?</v>
      </c>
      <c r="J126" s="10" t="str">
        <f>IFERROR(__xludf.DUMMYFUNCTION("GOOGLETRANSLATE(C126,""it"",""en"")"),"A. Saslong B. Streif C. Gran Risa D. Lauberhorn")</f>
        <v>A. Saslong B. Streif C. Gran Risa D. Lauberhorn</v>
      </c>
      <c r="K126" s="10" t="str">
        <f>IFERROR(__xludf.DUMMYFUNCTION("GOOGLETRANSLATE(D126,""it"",""en"")"),"Streif")</f>
        <v>Streif</v>
      </c>
      <c r="L126" s="10" t="str">
        <f>IFERROR(__xludf.DUMMYFUNCTION("GOOGLETRANSLATE(E126,""it"",""en"")"),"The Streif is one of the most difficult and prestigious slopes.")</f>
        <v>The Streif is one of the most difficult and prestigious slopes.</v>
      </c>
    </row>
    <row r="127" ht="22.5" customHeight="1">
      <c r="A127" s="4">
        <v>126.0</v>
      </c>
      <c r="B127" s="5" t="s">
        <v>4689</v>
      </c>
      <c r="C127" s="5" t="s">
        <v>4690</v>
      </c>
      <c r="D127" s="5" t="s">
        <v>4691</v>
      </c>
      <c r="E127" s="5" t="s">
        <v>4692</v>
      </c>
      <c r="H127" s="4">
        <v>126.0</v>
      </c>
      <c r="I127" s="10" t="str">
        <f>IFERROR(__xludf.DUMMYFUNCTION("GOOGLETRANSLATE(B127,""it"",""en"")"),"What is the advantage of rockered skis?")</f>
        <v>What is the advantage of rockered skis?</v>
      </c>
      <c r="J127" s="10" t="str">
        <f>IFERROR(__xludf.DUMMYFUNCTION("GOOGLETRANSLATE(C127,""it"",""en"")"),"A. Better floatation on fresh snow B. Greater speed on the slopes C. Reduced weight D. Stiffer cornering")</f>
        <v>A. Better floatation on fresh snow B. Greater speed on the slopes C. Reduced weight D. Stiffer cornering</v>
      </c>
      <c r="K127" s="10" t="str">
        <f>IFERROR(__xludf.DUMMYFUNCTION("GOOGLETRANSLATE(D127,""it"",""en"")"),"Better floatation on fresh snow")</f>
        <v>Better floatation on fresh snow</v>
      </c>
      <c r="L127" s="10" t="str">
        <f>IFERROR(__xludf.DUMMYFUNCTION("GOOGLETRANSLATE(E127,""it"",""en"")"),"Rockered skis offer greater maneuverability in fresh snow.")</f>
        <v>Rockered skis offer greater maneuverability in fresh snow.</v>
      </c>
    </row>
    <row r="128" ht="22.5" customHeight="1">
      <c r="A128" s="4">
        <v>127.0</v>
      </c>
      <c r="B128" s="5" t="s">
        <v>4693</v>
      </c>
      <c r="C128" s="5" t="s">
        <v>4694</v>
      </c>
      <c r="D128" s="5" t="s">
        <v>4695</v>
      </c>
      <c r="E128" s="5" t="s">
        <v>4696</v>
      </c>
      <c r="H128" s="4">
        <v>127.0</v>
      </c>
      <c r="I128" s="10" t="str">
        <f>IFERROR(__xludf.DUMMYFUNCTION("GOOGLETRANSLATE(B128,""it"",""en"")"),"What is the term for a group of connected tracks?")</f>
        <v>What is the term for a group of connected tracks?</v>
      </c>
      <c r="J128" s="10" t="str">
        <f>IFERROR(__xludf.DUMMYFUNCTION("GOOGLETRANSLATE(C128,""it"",""en"")"),"A. Ski area B. Circular slope C. Alpine area D. Ski ring")</f>
        <v>A. Ski area B. Circular slope C. Alpine area D. Ski ring</v>
      </c>
      <c r="K128" s="10" t="str">
        <f>IFERROR(__xludf.DUMMYFUNCTION("GOOGLETRANSLATE(D128,""it"",""en"")"),"Ski area")</f>
        <v>Ski area</v>
      </c>
      <c r="L128" s="10" t="str">
        <f>IFERROR(__xludf.DUMMYFUNCTION("GOOGLETRANSLATE(E128,""it"",""en"")"),"A ski area connects several slopes and ski lifts.")</f>
        <v>A ski area connects several slopes and ski lifts.</v>
      </c>
    </row>
    <row r="129" ht="22.5" customHeight="1">
      <c r="A129" s="4">
        <v>128.0</v>
      </c>
      <c r="B129" s="5" t="s">
        <v>4697</v>
      </c>
      <c r="C129" s="5" t="s">
        <v>4698</v>
      </c>
      <c r="D129" s="5" t="s">
        <v>4699</v>
      </c>
      <c r="E129" s="5" t="s">
        <v>4700</v>
      </c>
      <c r="H129" s="4">
        <v>128.0</v>
      </c>
      <c r="I129" s="10" t="str">
        <f>IFERROR(__xludf.DUMMYFUNCTION("GOOGLETRANSLATE(B129,""it"",""en"")"),"What is the essential equipment for cross-country skiing?")</f>
        <v>What is the essential equipment for cross-country skiing?</v>
      </c>
      <c r="J129" s="10" t="str">
        <f>IFERROR(__xludf.DUMMYFUNCTION("GOOGLETRANSLATE(C129,""it"",""en"")"),"A. Freestyle skis B. Long poles C. Seal skins D. Narrow and light skis")</f>
        <v>A. Freestyle skis B. Long poles C. Seal skins D. Narrow and light skis</v>
      </c>
      <c r="K129" s="10" t="str">
        <f>IFERROR(__xludf.DUMMYFUNCTION("GOOGLETRANSLATE(D129,""it"",""en"")"),"Narrow and light skis")</f>
        <v>Narrow and light skis</v>
      </c>
      <c r="L129" s="10" t="str">
        <f>IFERROR(__xludf.DUMMYFUNCTION("GOOGLETRANSLATE(E129,""it"",""en"")"),"Cross-country skis are designed to be light and narrow.")</f>
        <v>Cross-country skis are designed to be light and narrow.</v>
      </c>
    </row>
    <row r="130" ht="22.5" customHeight="1">
      <c r="A130" s="4">
        <v>129.0</v>
      </c>
      <c r="B130" s="5" t="s">
        <v>4701</v>
      </c>
      <c r="C130" s="5" t="s">
        <v>4702</v>
      </c>
      <c r="D130" s="5" t="s">
        <v>4703</v>
      </c>
      <c r="E130" s="5" t="s">
        <v>4704</v>
      </c>
      <c r="H130" s="4">
        <v>129.0</v>
      </c>
      <c r="I130" s="10" t="str">
        <f>IFERROR(__xludf.DUMMYFUNCTION("GOOGLETRANSLATE(B130,""it"",""en"")"),"What is the role of boots in alpine skiing?")</f>
        <v>What is the role of boots in alpine skiing?</v>
      </c>
      <c r="J130" s="10" t="str">
        <f>IFERROR(__xludf.DUMMYFUNCTION("GOOGLETRANSLATE(C130,""it"",""en"")"),"A. Provide warmth B. Protect from impacts C. Transmit energy to the skis D. Support balance")</f>
        <v>A. Provide warmth B. Protect from impacts C. Transmit energy to the skis D. Support balance</v>
      </c>
      <c r="K130" s="10" t="str">
        <f>IFERROR(__xludf.DUMMYFUNCTION("GOOGLETRANSLATE(D130,""it"",""en"")"),"Transmitting energy to the skis")</f>
        <v>Transmitting energy to the skis</v>
      </c>
      <c r="L130" s="10" t="str">
        <f>IFERROR(__xludf.DUMMYFUNCTION("GOOGLETRANSLATE(E130,""it"",""en"")"),"Ski boots transfer body movement to the skis.")</f>
        <v>Ski boots transfer body movement to the skis.</v>
      </c>
    </row>
    <row r="131" ht="22.5" customHeight="1">
      <c r="A131" s="4">
        <v>130.0</v>
      </c>
      <c r="B131" s="5" t="s">
        <v>4705</v>
      </c>
      <c r="C131" s="5" t="s">
        <v>4706</v>
      </c>
      <c r="D131" s="5" t="s">
        <v>4707</v>
      </c>
      <c r="E131" s="5" t="s">
        <v>4708</v>
      </c>
      <c r="H131" s="4">
        <v>130.0</v>
      </c>
      <c r="I131" s="10" t="str">
        <f>IFERROR(__xludf.DUMMYFUNCTION("GOOGLETRANSLATE(B131,""it"",""en"")"),"What does ""beaten track"" mean?")</f>
        <v>What does "beaten track" mean?</v>
      </c>
      <c r="J131" s="10" t="str">
        <f>IFERROR(__xludf.DUMMYFUNCTION("GOOGLETRANSLATE(C131,""it"",""en"")"),"A. Track with fresh snow B. Track prepared with machines C. Track with obstacles D. Track with icy snow")</f>
        <v>A. Track with fresh snow B. Track prepared with machines C. Track with obstacles D. Track with icy snow</v>
      </c>
      <c r="K131" s="10" t="str">
        <f>IFERROR(__xludf.DUMMYFUNCTION("GOOGLETRANSLATE(D131,""it"",""en"")"),"Track prepared with machinery")</f>
        <v>Track prepared with machinery</v>
      </c>
      <c r="L131" s="10" t="str">
        <f>IFERROR(__xludf.DUMMYFUNCTION("GOOGLETRANSLATE(E131,""it"",""en"")"),"A groomed trail is smoothed and prepared for skiing.")</f>
        <v>A groomed trail is smoothed and prepared for skiing.</v>
      </c>
    </row>
    <row r="132" ht="22.5" customHeight="1">
      <c r="A132" s="4">
        <v>131.0</v>
      </c>
      <c r="B132" s="5" t="s">
        <v>4709</v>
      </c>
      <c r="C132" s="5" t="s">
        <v>4710</v>
      </c>
      <c r="D132" s="5" t="s">
        <v>4711</v>
      </c>
      <c r="E132" s="5" t="s">
        <v>4712</v>
      </c>
      <c r="H132" s="4">
        <v>131.0</v>
      </c>
      <c r="I132" s="10" t="str">
        <f>IFERROR(__xludf.DUMMYFUNCTION("GOOGLETRANSLATE(B132,""it"",""en"")"),"What is the name of the device that allows you to attach your skis to your foot?")</f>
        <v>What is the name of the device that allows you to attach your skis to your foot?</v>
      </c>
      <c r="J132" s="10" t="str">
        <f>IFERROR(__xludf.DUMMYFUNCTION("GOOGLETRANSLATE(C132,""it"",""en"")"),"A. Edge B. Binding C. Wax D. Pole")</f>
        <v>A. Edge B. Binding C. Wax D. Pole</v>
      </c>
      <c r="K132" s="10" t="str">
        <f>IFERROR(__xludf.DUMMYFUNCTION("GOOGLETRANSLATE(D132,""it"",""en"")"),"Attack")</f>
        <v>Attack</v>
      </c>
      <c r="L132" s="10" t="str">
        <f>IFERROR(__xludf.DUMMYFUNCTION("GOOGLETRANSLATE(E132,""it"",""en"")"),"Bindings attach skis to boots.")</f>
        <v>Bindings attach skis to boots.</v>
      </c>
    </row>
    <row r="133" ht="22.5" customHeight="1">
      <c r="A133" s="4">
        <v>132.0</v>
      </c>
      <c r="B133" s="5" t="s">
        <v>4713</v>
      </c>
      <c r="C133" s="5" t="s">
        <v>4714</v>
      </c>
      <c r="D133" s="5" t="s">
        <v>4715</v>
      </c>
      <c r="E133" s="5" t="s">
        <v>4716</v>
      </c>
      <c r="H133" s="4">
        <v>132.0</v>
      </c>
      <c r="I133" s="10" t="str">
        <f>IFERROR(__xludf.DUMMYFUNCTION("GOOGLETRANSLATE(B133,""it"",""en"")"),"What is the function of UV masks in skiing?")</f>
        <v>What is the function of UV masks in skiing?</v>
      </c>
      <c r="J133" s="10" t="str">
        <f>IFERROR(__xludf.DUMMYFUNCTION("GOOGLETRANSLATE(C133,""it"",""en"")"),"A. Improve visibility B. Protect from impacts C. Block ultraviolet rays D. Absorb sweat")</f>
        <v>A. Improve visibility B. Protect from impacts C. Block ultraviolet rays D. Absorb sweat</v>
      </c>
      <c r="K133" s="10" t="str">
        <f>IFERROR(__xludf.DUMMYFUNCTION("GOOGLETRANSLATE(D133,""it"",""en"")"),"Block ultraviolet rays")</f>
        <v>Block ultraviolet rays</v>
      </c>
      <c r="L133" s="10" t="str">
        <f>IFERROR(__xludf.DUMMYFUNCTION("GOOGLETRANSLATE(E133,""it"",""en"")"),"UV masks protect your eyes from the sun in the mountains.")</f>
        <v>UV masks protect your eyes from the sun in the mountains.</v>
      </c>
    </row>
    <row r="134" ht="22.5" customHeight="1">
      <c r="A134" s="4">
        <v>133.0</v>
      </c>
      <c r="B134" s="5" t="s">
        <v>4717</v>
      </c>
      <c r="C134" s="5" t="s">
        <v>4718</v>
      </c>
      <c r="D134" s="5" t="s">
        <v>4438</v>
      </c>
      <c r="E134" s="5" t="s">
        <v>4719</v>
      </c>
      <c r="H134" s="4">
        <v>133.0</v>
      </c>
      <c r="I134" s="10" t="str">
        <f>IFERROR(__xludf.DUMMYFUNCTION("GOOGLETRANSLATE(B134,""it"",""en"")"),"What is the main difference between cross-country skiing and alpine skiing?")</f>
        <v>What is the main difference between cross-country skiing and alpine skiing?</v>
      </c>
      <c r="J134" s="10" t="str">
        <f>IFERROR(__xludf.DUMMYFUNCTION("GOOGLETRANSLATE(C134,""it"",""en"")"),"A. Type of snow B. Speed ​​C. Equipment and technique D. Place of practice")</f>
        <v>A. Type of snow B. Speed ​​C. Equipment and technique D. Place of practice</v>
      </c>
      <c r="K134" s="10" t="str">
        <f>IFERROR(__xludf.DUMMYFUNCTION("GOOGLETRANSLATE(D134,""it"",""en"")"),"Equipment and technique")</f>
        <v>Equipment and technique</v>
      </c>
      <c r="L134" s="10" t="str">
        <f>IFERROR(__xludf.DUMMYFUNCTION("GOOGLETRANSLATE(E134,""it"",""en"")"),"Cross-country skiing uses different equipment and techniques than alpine skiing.")</f>
        <v>Cross-country skiing uses different equipment and techniques than alpine skiing.</v>
      </c>
    </row>
    <row r="135" ht="22.5" customHeight="1">
      <c r="A135" s="4">
        <v>134.0</v>
      </c>
      <c r="B135" s="5" t="s">
        <v>4720</v>
      </c>
      <c r="C135" s="5" t="s">
        <v>4721</v>
      </c>
      <c r="D135" s="5" t="s">
        <v>4722</v>
      </c>
      <c r="E135" s="5" t="s">
        <v>4723</v>
      </c>
      <c r="H135" s="4">
        <v>134.0</v>
      </c>
      <c r="I135" s="10" t="str">
        <f>IFERROR(__xludf.DUMMYFUNCTION("GOOGLETRANSLATE(B135,""it"",""en"")"),"What is the term for a fall where the skis cross?")</f>
        <v>What is the term for a fall where the skis cross?</v>
      </c>
      <c r="J135" s="10" t="str">
        <f>IFERROR(__xludf.DUMMYFUNCTION("GOOGLETRANSLATE(C135,""it"",""en"")"),"A. Wedge fall B. Snowplow fall C. Scissors fall D. Parallel fall")</f>
        <v>A. Wedge fall B. Snowplow fall C. Scissors fall D. Parallel fall</v>
      </c>
      <c r="K135" s="10" t="str">
        <f>IFERROR(__xludf.DUMMYFUNCTION("GOOGLETRANSLATE(D135,""it"",""en"")"),"Scissor fall")</f>
        <v>Scissor fall</v>
      </c>
      <c r="L135" s="10" t="str">
        <f>IFERROR(__xludf.DUMMYFUNCTION("GOOGLETRANSLATE(E135,""it"",""en"")"),"Scissor falls occur when skis cross each other.")</f>
        <v>Scissor falls occur when skis cross each other.</v>
      </c>
    </row>
    <row r="136" ht="22.5" customHeight="1">
      <c r="A136" s="4">
        <v>135.0</v>
      </c>
      <c r="B136" s="5" t="s">
        <v>4724</v>
      </c>
      <c r="C136" s="5" t="s">
        <v>4725</v>
      </c>
      <c r="D136" s="5" t="s">
        <v>4726</v>
      </c>
      <c r="E136" s="5" t="s">
        <v>4727</v>
      </c>
      <c r="H136" s="4">
        <v>135.0</v>
      </c>
      <c r="I136" s="10" t="str">
        <f>IFERROR(__xludf.DUMMYFUNCTION("GOOGLETRANSLATE(B136,""it"",""en"")"),"What is the main goal of beginner ski lessons?")</f>
        <v>What is the main goal of beginner ski lessons?</v>
      </c>
      <c r="J136" s="10" t="str">
        <f>IFERROR(__xludf.DUMMYFUNCTION("GOOGLETRANSLATE(C136,""it"",""en"")"),"A. Learning speed B. Learning control C. Learning to jump D. Learning to ski in fresh snow")</f>
        <v>A. Learning speed B. Learning control C. Learning to jump D. Learning to ski in fresh snow</v>
      </c>
      <c r="K136" s="10" t="str">
        <f>IFERROR(__xludf.DUMMYFUNCTION("GOOGLETRANSLATE(D136,""it"",""en"")"),"Learning Control")</f>
        <v>Learning Control</v>
      </c>
      <c r="L136" s="10" t="str">
        <f>IFERROR(__xludf.DUMMYFUNCTION("GOOGLETRANSLATE(E136,""it"",""en"")"),"Beginner classes focus on control and balance.")</f>
        <v>Beginner classes focus on control and balance.</v>
      </c>
    </row>
    <row r="137" ht="22.5" customHeight="1">
      <c r="A137" s="4">
        <v>136.0</v>
      </c>
      <c r="B137" s="5" t="s">
        <v>4728</v>
      </c>
      <c r="C137" s="5" t="s">
        <v>4729</v>
      </c>
      <c r="D137" s="5" t="s">
        <v>4730</v>
      </c>
      <c r="E137" s="5" t="s">
        <v>4731</v>
      </c>
      <c r="H137" s="4">
        <v>136.0</v>
      </c>
      <c r="I137" s="10" t="str">
        <f>IFERROR(__xludf.DUMMYFUNCTION("GOOGLETRANSLATE(B137,""it"",""en"")"),"What is the main function of airbag backpacks for skiers?")</f>
        <v>What is the main function of airbag backpacks for skiers?</v>
      </c>
      <c r="J137" s="10" t="str">
        <f>IFERROR(__xludf.DUMMYFUNCTION("GOOGLETRANSLATE(C137,""it"",""en"")"),"A. Increase carrying capacity B. Protection during an avalanche C. Facilitate jumps D. Store skis")</f>
        <v>A. Increase carrying capacity B. Protection during an avalanche C. Facilitate jumps D. Store skis</v>
      </c>
      <c r="K137" s="10" t="str">
        <f>IFERROR(__xludf.DUMMYFUNCTION("GOOGLETRANSLATE(D137,""it"",""en"")"),"Protection during an avalanche")</f>
        <v>Protection during an avalanche</v>
      </c>
      <c r="L137" s="10" t="str">
        <f>IFERROR(__xludf.DUMMYFUNCTION("GOOGLETRANSLATE(E137,""it"",""en"")"),"Airbag backpacks help you stay on the surface in an avalanche.")</f>
        <v>Airbag backpacks help you stay on the surface in an avalanche.</v>
      </c>
    </row>
    <row r="138" ht="22.5" customHeight="1">
      <c r="A138" s="4">
        <v>137.0</v>
      </c>
      <c r="B138" s="5" t="s">
        <v>4732</v>
      </c>
      <c r="C138" s="5" t="s">
        <v>4733</v>
      </c>
      <c r="D138" s="5" t="s">
        <v>4734</v>
      </c>
      <c r="E138" s="5" t="s">
        <v>4735</v>
      </c>
      <c r="H138" s="4">
        <v>137.0</v>
      </c>
      <c r="I138" s="10" t="str">
        <f>IFERROR(__xludf.DUMMYFUNCTION("GOOGLETRANSLATE(B138,""it"",""en"")"),"What is the deadline for a ski race on artificial snow?")</f>
        <v>What is the deadline for a ski race on artificial snow?</v>
      </c>
      <c r="J138" s="10" t="str">
        <f>IFERROR(__xludf.DUMMYFUNCTION("GOOGLETRANSLATE(C138,""it"",""en"")"),"A. Indoor competition B. Synthetic downhill C. Artificial slalom D. Indoor slalom")</f>
        <v>A. Indoor competition B. Synthetic downhill C. Artificial slalom D. Indoor slalom</v>
      </c>
      <c r="K138" s="10" t="str">
        <f>IFERROR(__xludf.DUMMYFUNCTION("GOOGLETRANSLATE(D138,""it"",""en"")"),"Indoor competition")</f>
        <v>Indoor competition</v>
      </c>
      <c r="L138" s="10" t="str">
        <f>IFERROR(__xludf.DUMMYFUNCTION("GOOGLETRANSLATE(E138,""it"",""en"")"),"Indoor competitions take place on artificial snow.")</f>
        <v>Indoor competitions take place on artificial snow.</v>
      </c>
    </row>
    <row r="139" ht="22.5" customHeight="1">
      <c r="A139" s="4">
        <v>138.0</v>
      </c>
      <c r="B139" s="5" t="s">
        <v>4736</v>
      </c>
      <c r="C139" s="5" t="s">
        <v>4737</v>
      </c>
      <c r="D139" s="5" t="s">
        <v>4738</v>
      </c>
      <c r="E139" s="5" t="s">
        <v>4739</v>
      </c>
      <c r="H139" s="4">
        <v>138.0</v>
      </c>
      <c r="I139" s="10" t="str">
        <f>IFERROR(__xludf.DUMMYFUNCTION("GOOGLETRANSLATE(B139,""it"",""en"")"),"What is the meaning of ""skibrake""?")</f>
        <v>What is the meaning of "skibrake"?</v>
      </c>
      <c r="J139" s="10" t="str">
        <f>IFERROR(__xludf.DUMMYFUNCTION("GOOGLETRANSLATE(C139,""it"",""en"")"),"A. Speed ​​reduction device B. Automatic ski lock C. Safety system to prevent ski loss D. Brake for steep descents")</f>
        <v>A. Speed ​​reduction device B. Automatic ski lock C. Safety system to prevent ski loss D. Brake for steep descents</v>
      </c>
      <c r="K139" s="10" t="str">
        <f>IFERROR(__xludf.DUMMYFUNCTION("GOOGLETRANSLATE(D139,""it"",""en"")"),"Safety system to prevent ski loss")</f>
        <v>Safety system to prevent ski loss</v>
      </c>
      <c r="L139" s="10" t="str">
        <f>IFERROR(__xludf.DUMMYFUNCTION("GOOGLETRANSLATE(E139,""it"",""en"")"),"Ski brakes prevent your skis from slipping off in the event of a fall.")</f>
        <v>Ski brakes prevent your skis from slipping off in the event of a fall.</v>
      </c>
    </row>
    <row r="140" ht="22.5" customHeight="1">
      <c r="A140" s="4">
        <v>139.0</v>
      </c>
      <c r="B140" s="5" t="s">
        <v>4740</v>
      </c>
      <c r="C140" s="5" t="s">
        <v>4741</v>
      </c>
      <c r="D140" s="5" t="s">
        <v>4438</v>
      </c>
      <c r="E140" s="5" t="s">
        <v>4742</v>
      </c>
      <c r="H140" s="4">
        <v>139.0</v>
      </c>
      <c r="I140" s="10" t="str">
        <f>IFERROR(__xludf.DUMMYFUNCTION("GOOGLETRANSLATE(B140,""it"",""en"")"),"What is the main difference between snowboarding and skiing?")</f>
        <v>What is the main difference between snowboarding and skiing?</v>
      </c>
      <c r="J140" s="10" t="str">
        <f>IFERROR(__xludf.DUMMYFUNCTION("GOOGLETRANSLATE(C140,""it"",""en"")"),"A. Type of surface B. Equipment and technique C. Maximum speed D. Racing style")</f>
        <v>A. Type of surface B. Equipment and technique C. Maximum speed D. Racing style</v>
      </c>
      <c r="K140" s="10" t="str">
        <f>IFERROR(__xludf.DUMMYFUNCTION("GOOGLETRANSLATE(D140,""it"",""en"")"),"Equipment and technique")</f>
        <v>Equipment and technique</v>
      </c>
      <c r="L140" s="10" t="str">
        <f>IFERROR(__xludf.DUMMYFUNCTION("GOOGLETRANSLATE(E140,""it"",""en"")"),"Snowboarding uses one board while skiing uses two skis.")</f>
        <v>Snowboarding uses one board while skiing uses two skis.</v>
      </c>
    </row>
    <row r="141" ht="22.5" customHeight="1">
      <c r="A141" s="4">
        <v>140.0</v>
      </c>
      <c r="B141" s="5" t="s">
        <v>4743</v>
      </c>
      <c r="C141" s="5" t="s">
        <v>4744</v>
      </c>
      <c r="D141" s="5" t="s">
        <v>4745</v>
      </c>
      <c r="E141" s="5" t="s">
        <v>4746</v>
      </c>
      <c r="H141" s="4">
        <v>140.0</v>
      </c>
      <c r="I141" s="10" t="str">
        <f>IFERROR(__xludf.DUMMYFUNCTION("GOOGLETRANSLATE(B141,""it"",""en"")"),"What is the function of marked trails in the mountains?")</f>
        <v>What is the function of marked trails in the mountains?</v>
      </c>
      <c r="J141" s="10" t="str">
        <f>IFERROR(__xludf.DUMMYFUNCTION("GOOGLETRANSLATE(C141,""it"",""en"")"),"A. Identify difficulty levels B. Orient hikers C. Maintain safety D. Indicate the fastest route")</f>
        <v>A. Identify difficulty levels B. Orient hikers C. Maintain safety D. Indicate the fastest route</v>
      </c>
      <c r="K141" s="10" t="str">
        <f>IFERROR(__xludf.DUMMYFUNCTION("GOOGLETRANSLATE(D141,""it"",""en"")"),"Identify difficulty levels")</f>
        <v>Identify difficulty levels</v>
      </c>
      <c r="L141" s="10" t="str">
        <f>IFERROR(__xludf.DUMMYFUNCTION("GOOGLETRANSLATE(E141,""it"",""en"")"),"The marked slopes indicate the difficulty levels for skiers.")</f>
        <v>The marked slopes indicate the difficulty levels for skiers.</v>
      </c>
    </row>
    <row r="142" ht="22.5" customHeight="1">
      <c r="A142" s="4">
        <v>141.0</v>
      </c>
      <c r="B142" s="5" t="s">
        <v>4747</v>
      </c>
      <c r="C142" s="5" t="s">
        <v>4748</v>
      </c>
      <c r="D142" s="5" t="s">
        <v>4749</v>
      </c>
      <c r="E142" s="5" t="s">
        <v>4750</v>
      </c>
      <c r="H142" s="4">
        <v>141.0</v>
      </c>
      <c r="I142" s="10" t="str">
        <f>IFERROR(__xludf.DUMMYFUNCTION("GOOGLETRANSLATE(B142,""it"",""en"")"),"What is the deadline for a two-run slalom race?")</f>
        <v>What is the deadline for a two-run slalom race?</v>
      </c>
      <c r="J142" s="10" t="str">
        <f>IFERROR(__xludf.DUMMYFUNCTION("GOOGLETRANSLATE(C142,""it"",""en"")"),"A. Parallel slalom B. Combined slalom C. Giant slalom D. Special slalom")</f>
        <v>A. Parallel slalom B. Combined slalom C. Giant slalom D. Special slalom</v>
      </c>
      <c r="K142" s="10" t="str">
        <f>IFERROR(__xludf.DUMMYFUNCTION("GOOGLETRANSLATE(D142,""it"",""en"")"),"Special slalom")</f>
        <v>Special slalom</v>
      </c>
      <c r="L142" s="10" t="str">
        <f>IFERROR(__xludf.DUMMYFUNCTION("GOOGLETRANSLATE(E142,""it"",""en"")"),"The special slalom includes two runs on different courses.")</f>
        <v>The special slalom includes two runs on different courses.</v>
      </c>
    </row>
    <row r="143" ht="22.5" customHeight="1">
      <c r="A143" s="4">
        <v>142.0</v>
      </c>
      <c r="B143" s="5" t="s">
        <v>4751</v>
      </c>
      <c r="C143" s="5" t="s">
        <v>4752</v>
      </c>
      <c r="D143" s="5" t="s">
        <v>4753</v>
      </c>
      <c r="E143" s="5" t="s">
        <v>4754</v>
      </c>
      <c r="H143" s="4">
        <v>142.0</v>
      </c>
      <c r="I143" s="10" t="str">
        <f>IFERROR(__xludf.DUMMYFUNCTION("GOOGLETRANSLATE(B143,""it"",""en"")"),"What type of skis are used for ice racing?")</f>
        <v>What type of skis are used for ice racing?</v>
      </c>
      <c r="J143" s="10" t="str">
        <f>IFERROR(__xludf.DUMMYFUNCTION("GOOGLETRANSLATE(C143,""it"",""en"")"),"A. Twin-Tip Skis B. Carving Skis C. Ice Skis D. Skis with Reinforced Edges")</f>
        <v>A. Twin-Tip Skis B. Carving Skis C. Ice Skis D. Skis with Reinforced Edges</v>
      </c>
      <c r="K143" s="10" t="str">
        <f>IFERROR(__xludf.DUMMYFUNCTION("GOOGLETRANSLATE(D143,""it"",""en"")"),"Skis with reinforced edges")</f>
        <v>Skis with reinforced edges</v>
      </c>
      <c r="L143" s="10" t="str">
        <f>IFERROR(__xludf.DUMMYFUNCTION("GOOGLETRANSLATE(E143,""it"",""en"")"),"Skis with reinforced edges offer better grip on ice.")</f>
        <v>Skis with reinforced edges offer better grip on ice.</v>
      </c>
    </row>
    <row r="144" ht="22.5" customHeight="1">
      <c r="A144" s="4">
        <v>143.0</v>
      </c>
      <c r="B144" s="5" t="s">
        <v>4755</v>
      </c>
      <c r="C144" s="5" t="s">
        <v>4756</v>
      </c>
      <c r="D144" s="5" t="s">
        <v>4757</v>
      </c>
      <c r="E144" s="5" t="s">
        <v>4758</v>
      </c>
      <c r="H144" s="4">
        <v>143.0</v>
      </c>
      <c r="I144" s="10" t="str">
        <f>IFERROR(__xludf.DUMMYFUNCTION("GOOGLETRANSLATE(B144,""it"",""en"")"),"What is the main goal in Nordic combined?")</f>
        <v>What is the main goal in Nordic combined?</v>
      </c>
      <c r="J144" s="10" t="str">
        <f>IFERROR(__xludf.DUMMYFUNCTION("GOOGLETRANSLATE(C144,""it"",""en"")"),"A. Win the ski jumping competition B. Combine cross-country skiing and ski jumping C. Complete the fastest course D. Outrun your opponents")</f>
        <v>A. Win the ski jumping competition B. Combine cross-country skiing and ski jumping C. Complete the fastest course D. Outrun your opponents</v>
      </c>
      <c r="K144" s="10" t="str">
        <f>IFERROR(__xludf.DUMMYFUNCTION("GOOGLETRANSLATE(D144,""it"",""en"")"),"Combining cross-country skiing and jumping")</f>
        <v>Combining cross-country skiing and jumping</v>
      </c>
      <c r="L144" s="10" t="str">
        <f>IFERROR(__xludf.DUMMYFUNCTION("GOOGLETRANSLATE(E144,""it"",""en"")"),"Nordic combined combines ski jumping and cross-country skiing.")</f>
        <v>Nordic combined combines ski jumping and cross-country skiing.</v>
      </c>
    </row>
    <row r="145" ht="22.5" customHeight="1">
      <c r="A145" s="4">
        <v>144.0</v>
      </c>
      <c r="B145" s="5" t="s">
        <v>4759</v>
      </c>
      <c r="C145" s="5" t="s">
        <v>4760</v>
      </c>
      <c r="D145" s="5" t="s">
        <v>4761</v>
      </c>
      <c r="E145" s="5" t="s">
        <v>4762</v>
      </c>
      <c r="H145" s="4">
        <v>144.0</v>
      </c>
      <c r="I145" s="10" t="str">
        <f>IFERROR(__xludf.DUMMYFUNCTION("GOOGLETRANSLATE(B145,""it"",""en"")"),"What is the term to describe a wide turn at speed?")</f>
        <v>What is the term to describe a wide turn at speed?</v>
      </c>
      <c r="J145" s="10" t="str">
        <f>IFERROR(__xludf.DUMMYFUNCTION("GOOGLETRANSLATE(C145,""it"",""en"")"),"A. Carving turn B. Snowplough turn C. Parallel turn D. Telemark turn")</f>
        <v>A. Carving turn B. Snowplough turn C. Parallel turn D. Telemark turn</v>
      </c>
      <c r="K145" s="10" t="str">
        <f>IFERROR(__xludf.DUMMYFUNCTION("GOOGLETRANSLATE(D145,""it"",""en"")"),"Carving curve")</f>
        <v>Carving curve</v>
      </c>
      <c r="L145" s="10" t="str">
        <f>IFERROR(__xludf.DUMMYFUNCTION("GOOGLETRANSLATE(E145,""it"",""en"")"),"The carving turns are wide and precise.")</f>
        <v>The carving turns are wide and precise.</v>
      </c>
    </row>
    <row r="146" ht="22.5" customHeight="1">
      <c r="A146" s="4">
        <v>145.0</v>
      </c>
      <c r="B146" s="5" t="s">
        <v>4763</v>
      </c>
      <c r="C146" s="5" t="s">
        <v>4764</v>
      </c>
      <c r="D146" s="5" t="s">
        <v>4765</v>
      </c>
      <c r="E146" s="5" t="s">
        <v>4766</v>
      </c>
      <c r="H146" s="4">
        <v>145.0</v>
      </c>
      <c r="I146" s="10" t="str">
        <f>IFERROR(__xludf.DUMMYFUNCTION("GOOGLETRANSLATE(B146,""it"",""en"")"),"What is the main purpose of a full-face helmet when skiing?")</f>
        <v>What is the main purpose of a full-face helmet when skiing?</v>
      </c>
      <c r="J146" s="10" t="str">
        <f>IFERROR(__xludf.DUMMYFUNCTION("GOOGLETRANSLATE(C146,""it"",""en"")"),"A. Complete protection B. Block the wind C. Improve aerodynamics D. Support the face")</f>
        <v>A. Complete protection B. Block the wind C. Improve aerodynamics D. Support the face</v>
      </c>
      <c r="K146" s="10" t="str">
        <f>IFERROR(__xludf.DUMMYFUNCTION("GOOGLETRANSLATE(D146,""it"",""en"")"),"Complete protection")</f>
        <v>Complete protection</v>
      </c>
      <c r="L146" s="10" t="str">
        <f>IFERROR(__xludf.DUMMYFUNCTION("GOOGLETRANSLATE(E146,""it"",""en"")"),"The full-face helmet offers total protection for the head and face.")</f>
        <v>The full-face helmet offers total protection for the head and face.</v>
      </c>
    </row>
    <row r="147" ht="22.5" customHeight="1">
      <c r="A147" s="4">
        <v>146.0</v>
      </c>
      <c r="B147" s="5" t="s">
        <v>4767</v>
      </c>
      <c r="C147" s="5" t="s">
        <v>4768</v>
      </c>
      <c r="D147" s="5" t="s">
        <v>4769</v>
      </c>
      <c r="E147" s="5" t="s">
        <v>4770</v>
      </c>
      <c r="H147" s="4">
        <v>146.0</v>
      </c>
      <c r="I147" s="10" t="str">
        <f>IFERROR(__xludf.DUMMYFUNCTION("GOOGLETRANSLATE(B147,""it"",""en"")"),"What does the term ""ski resort closed"" mean?")</f>
        <v>What does the term "ski resort closed" mean?</v>
      </c>
      <c r="J147" s="10" t="str">
        <f>IFERROR(__xludf.DUMMYFUNCTION("GOOGLETRANSLATE(C147,""it"",""en"")"),"A. Closure due to fresh snow B. System not functioning C. System without access D. System temporarily closed")</f>
        <v>A. Closure due to fresh snow B. System not functioning C. System without access D. System temporarily closed</v>
      </c>
      <c r="K147" s="10" t="str">
        <f>IFERROR(__xludf.DUMMYFUNCTION("GOOGLETRANSLATE(D147,""it"",""en"")"),"System not working")</f>
        <v>System not working</v>
      </c>
      <c r="L147" s="10" t="str">
        <f>IFERROR(__xludf.DUMMYFUNCTION("GOOGLETRANSLATE(E147,""it"",""en"")"),"Closed facilities are not operational due to maintenance or adverse conditions.")</f>
        <v>Closed facilities are not operational due to maintenance or adverse conditions.</v>
      </c>
    </row>
    <row r="148" ht="22.5" customHeight="1">
      <c r="A148" s="4">
        <v>147.0</v>
      </c>
      <c r="B148" s="5" t="s">
        <v>4771</v>
      </c>
      <c r="C148" s="5" t="s">
        <v>4772</v>
      </c>
      <c r="D148" s="5" t="s">
        <v>4773</v>
      </c>
      <c r="E148" s="5" t="s">
        <v>4774</v>
      </c>
      <c r="H148" s="4">
        <v>147.0</v>
      </c>
      <c r="I148" s="10" t="str">
        <f>IFERROR(__xludf.DUMMYFUNCTION("GOOGLETRANSLATE(B148,""it"",""en"")"),"What material is used to build the lightest skis?")</f>
        <v>What material is used to build the lightest skis?</v>
      </c>
      <c r="J148" s="10" t="str">
        <f>IFERROR(__xludf.DUMMYFUNCTION("GOOGLETRANSLATE(C148,""it"",""en"")"),"A. Wood B. Carbon fiber C. Reinforced plastic D. Aluminum")</f>
        <v>A. Wood B. Carbon fiber C. Reinforced plastic D. Aluminum</v>
      </c>
      <c r="K148" s="10" t="str">
        <f>IFERROR(__xludf.DUMMYFUNCTION("GOOGLETRANSLATE(D148,""it"",""en"")"),"Carbon fiber")</f>
        <v>Carbon fiber</v>
      </c>
      <c r="L148" s="10" t="str">
        <f>IFERROR(__xludf.DUMMYFUNCTION("GOOGLETRANSLATE(E148,""it"",""en"")"),"Carbon fiber skis are extremely light and high-performance.")</f>
        <v>Carbon fiber skis are extremely light and high-performance.</v>
      </c>
    </row>
    <row r="149" ht="22.5" customHeight="1">
      <c r="A149" s="4">
        <v>148.0</v>
      </c>
      <c r="B149" s="5" t="s">
        <v>4775</v>
      </c>
      <c r="C149" s="5" t="s">
        <v>4776</v>
      </c>
      <c r="D149" s="5" t="s">
        <v>4777</v>
      </c>
      <c r="E149" s="5" t="s">
        <v>4778</v>
      </c>
      <c r="H149" s="4">
        <v>148.0</v>
      </c>
      <c r="I149" s="10" t="str">
        <f>IFERROR(__xludf.DUMMYFUNCTION("GOOGLETRANSLATE(B149,""it"",""en"")"),"What is the main function of shin guards in slalom racing?")</f>
        <v>What is the main function of shin guards in slalom racing?</v>
      </c>
      <c r="J149" s="10" t="str">
        <f>IFERROR(__xludf.DUMMYFUNCTION("GOOGLETRANSLATE(C149,""it"",""en"")"),"A. Impact protection B. Improve speed C. Reduce wind resistance D. Increase balance")</f>
        <v>A. Impact protection B. Improve speed C. Reduce wind resistance D. Increase balance</v>
      </c>
      <c r="K149" s="10" t="str">
        <f>IFERROR(__xludf.DUMMYFUNCTION("GOOGLETRANSLATE(D149,""it"",""en"")"),"Impact protection")</f>
        <v>Impact protection</v>
      </c>
      <c r="L149" s="10" t="str">
        <f>IFERROR(__xludf.DUMMYFUNCTION("GOOGLETRANSLATE(E149,""it"",""en"")"),"Shin guards protect against impacts with the poles during slalom.")</f>
        <v>Shin guards protect against impacts with the poles during slalom.</v>
      </c>
    </row>
    <row r="150" ht="22.5" customHeight="1">
      <c r="A150" s="4">
        <v>149.0</v>
      </c>
      <c r="B150" s="5" t="s">
        <v>4779</v>
      </c>
      <c r="C150" s="5" t="s">
        <v>4780</v>
      </c>
      <c r="D150" s="5" t="s">
        <v>4781</v>
      </c>
      <c r="E150" s="5" t="s">
        <v>4782</v>
      </c>
      <c r="H150" s="4">
        <v>149.0</v>
      </c>
      <c r="I150" s="10" t="str">
        <f>IFERROR(__xludf.DUMMYFUNCTION("GOOGLETRANSLATE(B150,""it"",""en"")"),"What is the deadline for a steep slope race?")</f>
        <v>What is the deadline for a steep slope race?</v>
      </c>
      <c r="J150" s="10" t="str">
        <f>IFERROR(__xludf.DUMMYFUNCTION("GOOGLETRANSLATE(C150,""it"",""en"")"),"A. Extreme downhill B. Freeride C. Giant slalom D. Big Mountain")</f>
        <v>A. Extreme downhill B. Freeride C. Giant slalom D. Big Mountain</v>
      </c>
      <c r="K150" s="10" t="str">
        <f>IFERROR(__xludf.DUMMYFUNCTION("GOOGLETRANSLATE(D150,""it"",""en"")"),"Extreme descent")</f>
        <v>Extreme descent</v>
      </c>
      <c r="L150" s="10" t="str">
        <f>IFERROR(__xludf.DUMMYFUNCTION("GOOGLETRANSLATE(E150,""it"",""en"")"),"The extreme descent takes place on very steep and technical slopes.")</f>
        <v>The extreme descent takes place on very steep and technical slopes.</v>
      </c>
    </row>
    <row r="151" ht="22.5" customHeight="1">
      <c r="A151" s="4">
        <v>150.0</v>
      </c>
      <c r="B151" s="5" t="s">
        <v>4783</v>
      </c>
      <c r="C151" s="5" t="s">
        <v>4784</v>
      </c>
      <c r="D151" s="5" t="s">
        <v>4785</v>
      </c>
      <c r="E151" s="5" t="s">
        <v>4786</v>
      </c>
      <c r="H151" s="4">
        <v>150.0</v>
      </c>
      <c r="I151" s="10" t="str">
        <f>IFERROR(__xludf.DUMMYFUNCTION("GOOGLETRANSLATE(B151,""it"",""en"")"),"What is the role of straps on ski backpacks?")</f>
        <v>What is the role of straps on ski backpacks?</v>
      </c>
      <c r="J151" s="10" t="str">
        <f>IFERROR(__xludf.DUMMYFUNCTION("GOOGLETRANSLATE(C151,""it"",""en"")"),"A. Distribute weight B. Increase stability C. Make carrying easier D. Reduce fatigue")</f>
        <v>A. Distribute weight B. Increase stability C. Make carrying easier D. Reduce fatigue</v>
      </c>
      <c r="K151" s="10" t="str">
        <f>IFERROR(__xludf.DUMMYFUNCTION("GOOGLETRANSLATE(D151,""it"",""en"")"),"Increase stability")</f>
        <v>Increase stability</v>
      </c>
      <c r="L151" s="10" t="str">
        <f>IFERROR(__xludf.DUMMYFUNCTION("GOOGLETRANSLATE(E151,""it"",""en"")"),"The straps keep the backpack stable when descending.")</f>
        <v>The straps keep the backpack stable when descending.</v>
      </c>
    </row>
  </sheetData>
  <drawing r:id="rId1"/>
  <tableParts count="2">
    <tablePart r:id="rId4"/>
    <tablePart r:id="rId5"/>
  </tableParts>
</worksheet>
</file>
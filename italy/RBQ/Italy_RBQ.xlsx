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8.xml"/>
  <Override ContentType="application/vnd.openxmlformats-officedocument.spreadsheetml.table+xml" PartName="/xl/tables/table13.xml"/>
  <Override ContentType="application/vnd.openxmlformats-officedocument.spreadsheetml.table+xml" PartName="/xl/tables/table4.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15.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3.xml"/>
  <Override ContentType="application/vnd.openxmlformats-officedocument.spreadsheetml.table+xml" PartName="/xl/tables/table17.xml"/>
  <Override ContentType="application/vnd.openxmlformats-officedocument.spreadsheetml.table+xml" PartName="/xl/tables/table10.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14.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alcio" sheetId="1" r:id="rId4"/>
    <sheet state="visible" name="Bocc" sheetId="2" r:id="rId5"/>
    <sheet state="visible" name="Pallone" sheetId="3" r:id="rId6"/>
    <sheet state="visible" name="Palio" sheetId="4" r:id="rId7"/>
    <sheet state="visible" name="Ruzzola" sheetId="5" r:id="rId8"/>
    <sheet state="visible" name="Pallanuto" sheetId="6" r:id="rId9"/>
    <sheet state="visible" name="Pallavolo" sheetId="7" r:id="rId10"/>
    <sheet state="visible" name="Morra" sheetId="8" r:id="rId11"/>
    <sheet state="visible" name="Skiing" sheetId="9" r:id="rId12"/>
  </sheets>
  <definedNames/>
  <calcPr/>
</workbook>
</file>

<file path=xl/sharedStrings.xml><?xml version="1.0" encoding="utf-8"?>
<sst xmlns="http://schemas.openxmlformats.org/spreadsheetml/2006/main" count="5388" uniqueCount="3891">
  <si>
    <t>Question Number</t>
  </si>
  <si>
    <t>Domanda</t>
  </si>
  <si>
    <t>Opzioni</t>
  </si>
  <si>
    <t>Risposta corretta</t>
  </si>
  <si>
    <t>Description</t>
  </si>
  <si>
    <t>Question</t>
  </si>
  <si>
    <t>Options</t>
  </si>
  <si>
    <t>Correct Answer</t>
  </si>
  <si>
    <t>Quanti giocatori ci sono in una squadra di Calcio Storico?</t>
  </si>
  <si>
    <t>A. 11 B. 27 C. 15 D. 8</t>
  </si>
  <si>
    <t>Ogni squadra di Calcio Storico è composta da 27 giocatori.</t>
  </si>
  <si>
    <t>Qual è l'obiettivo principale del Calcio Storico?</t>
  </si>
  <si>
    <t>A. Fare più "caccia" possibile B. Proteggere la porta C. Passare la palla al capitano D. Sfidare il pubblico</t>
  </si>
  <si>
    <t>Fare più "caccia" possibile</t>
  </si>
  <si>
    <t>L'obiettivo è segnare più "caccia" (goal) della squadra avversaria.</t>
  </si>
  <si>
    <t>Come si segna una "caccia" nel Calcio Storico?</t>
  </si>
  <si>
    <t>A. Calciando il pallone nella porta B. Lanciando il pallone sopra una rete C. Facendo passare il pallone in una linea laterale D. Mettendo il pallone in una rete bassa</t>
  </si>
  <si>
    <t>Lanciando il pallone sopra una rete</t>
  </si>
  <si>
    <t>Una "caccia" si segna lanciando la palla sopra la rete avversaria.</t>
  </si>
  <si>
    <t>Cosa succede se si sbaglia un tiro nel Calcio Storico?</t>
  </si>
  <si>
    <t>A. L'altra squadra guadagna un punto B. Il gioco si ferma C. La squadra perde un giocatore D. L'altra squadra perde un punto</t>
  </si>
  <si>
    <t>L'altra squadra guadagna un punto</t>
  </si>
  <si>
    <t>Un errore di tiro assegna un punto agli avversari.</t>
  </si>
  <si>
    <t>Quante squadre partecipano al torneo di Calcio Storico?</t>
  </si>
  <si>
    <t>A. 2 B. 3 C. 4 D. 6</t>
  </si>
  <si>
    <t>Le squadre rappresentano i quattro quartieri storici di Firenze.</t>
  </si>
  <si>
    <t>Quanto dura una partita di Calcio Storico?</t>
  </si>
  <si>
    <t>A. 60 minuti B. 40 minuti C. 50 minuti D. 20 minuti</t>
  </si>
  <si>
    <t>50 minuti</t>
  </si>
  <si>
    <t>Ogni partita dura 50 minuti senza interruzioni.</t>
  </si>
  <si>
    <t>Dove si svolge tradizionalmente il Calcio Storico?</t>
  </si>
  <si>
    <t>A. Piazza della Repubblica B. Piazza San Marco C. Piazza Santa Croce D. Stadio Artemio Franchi</t>
  </si>
  <si>
    <t>Piazza Santa Croce</t>
  </si>
  <si>
    <t>Le partite si giocano nella storica Piazza Santa Croce a Firenze.</t>
  </si>
  <si>
    <t>Quando si gioca tradizionalmente il torneo di Calcio Storico?</t>
  </si>
  <si>
    <t>A. Natale B. Pasqua C. Giugno D. Agosto</t>
  </si>
  <si>
    <t>Giugno</t>
  </si>
  <si>
    <t>Il torneo si svolge tradizionalmente a giugno.</t>
  </si>
  <si>
    <t>Qual è la regola principale sui contatti fisici nel Calcio Storico?</t>
  </si>
  <si>
    <t>A. Sono completamente vietati B. Sono permessi solo con il pallone C. Non ci sono restrizioni D. Sono consentiti con limitazioni</t>
  </si>
  <si>
    <t>Sono consentiti con limitazioni</t>
  </si>
  <si>
    <t>Il contatto fisico è permesso ma con alcune regole per evitare violenze estreme.</t>
  </si>
  <si>
    <t>Quale parte del corpo non può essere usata per lanciare la palla?</t>
  </si>
  <si>
    <t>A. Le mani B. I piedi C. La testa D. Le braccia</t>
  </si>
  <si>
    <t>I piedi</t>
  </si>
  <si>
    <t>Non è permesso calciare la palla con i piedi.</t>
  </si>
  <si>
    <t>Chi arbitra una partita di Calcio Storico?</t>
  </si>
  <si>
    <t>A. Un solo arbitro centrale B. Una squadra di quattro arbitri C. Un comitato di arbitri D. I capitani delle squadre</t>
  </si>
  <si>
    <t>Un comitato di arbitri</t>
  </si>
  <si>
    <t>Il gioco è supervisionato da un comitato di arbitri per garantire il rispetto delle regole.</t>
  </si>
  <si>
    <t>Come inizia una partita di Calcio Storico?</t>
  </si>
  <si>
    <t>A. Con un calcio d'inizio B. Con una palla al centro C. Con il lancio della palla da parte dell'arbitro D. Con un sorteggio</t>
  </si>
  <si>
    <t>Con il lancio della palla da parte dell'arbitro</t>
  </si>
  <si>
    <t>La partita inizia con il lancio della palla al centro del campo.</t>
  </si>
  <si>
    <t>Quanti attaccanti ha una squadra di Calcio Storico?</t>
  </si>
  <si>
    <t>A. 3 B. 4 C. 5 D. 6</t>
  </si>
  <si>
    <t>Ogni squadra schiera 5 attaccanti.</t>
  </si>
  <si>
    <t>Quanti difensori ci sono in una squadra di Calcio Storico?</t>
  </si>
  <si>
    <t>A. 3 B. 4 C. 8 D. 10</t>
  </si>
  <si>
    <t>Ogni squadra ha 4 difensori.</t>
  </si>
  <si>
    <t>Cosa succede in caso di parità alla fine della partita?</t>
  </si>
  <si>
    <t>A. Supplementari B. Rigori C. La squadra con meno falli vince D. Non esistono pareggi</t>
  </si>
  <si>
    <t>Non esistono pareggi</t>
  </si>
  <si>
    <t>Il Calcio Storico non prevede pareggi; il vincitore viene deciso.</t>
  </si>
  <si>
    <t>Cosa è vietato fare ai portatori di palla?</t>
  </si>
  <si>
    <t>A. Correre più di 10 metri B. Bloccare la palla C. Passare indietro D. Colpire gli avversari</t>
  </si>
  <si>
    <t>Colpire gli avversari</t>
  </si>
  <si>
    <t>Il portatore di palla non può colpire gli avversari.</t>
  </si>
  <si>
    <t>Qual è la superficie del campo da gioco?</t>
  </si>
  <si>
    <t>A. Erba sintetica B. Tappeto di gomma C. Sabbia naturale D. Asfalto</t>
  </si>
  <si>
    <t>Sabbia naturale</t>
  </si>
  <si>
    <t>Il campo è ricoperto di sabbia per ammortizzare gli impatti.</t>
  </si>
  <si>
    <t>Cosa rappresenta storicamente il Calcio Storico?</t>
  </si>
  <si>
    <t>A. Un esercizio religioso B. Un passatempo dei nobili C. Una simulazione di battaglia D. Un gioco per contadini</t>
  </si>
  <si>
    <t>Una simulazione di battaglia</t>
  </si>
  <si>
    <t>Il gioco nasce come addestramento militare.</t>
  </si>
  <si>
    <t>Chi vince il torneo di Calcio Storico?</t>
  </si>
  <si>
    <t>A. Riceve un trofeo d'oro B. Riceve una cena gratuita C. Riceve una mucca D. Non c'è un premio specifico</t>
  </si>
  <si>
    <t>Riceve una mucca</t>
  </si>
  <si>
    <t>Il vincitore tradizionalmente riceve una mucca.</t>
  </si>
  <si>
    <t>Quanti passaggi consecutivi sono permessi prima di un tiro?</t>
  </si>
  <si>
    <t>A. 1 B. 2 C. Illimitati D. 5</t>
  </si>
  <si>
    <t>Illimitati</t>
  </si>
  <si>
    <t>Non ci sono limiti al numero di passaggi.</t>
  </si>
  <si>
    <t>Qual è la lunghezza del campo da gioco?</t>
  </si>
  <si>
    <t>A. 50 metri B. 80 metri C. 100 metri D. 120 metri</t>
  </si>
  <si>
    <t>80 metri</t>
  </si>
  <si>
    <t>Il campo è lungo circa 80 metri.</t>
  </si>
  <si>
    <t>Qual è la larghezza del campo?</t>
  </si>
  <si>
    <t>A. 30 metri B. 40 metri C. 50 metri D. 60 metri</t>
  </si>
  <si>
    <t>40 metri</t>
  </si>
  <si>
    <t>Il campo è largo circa 40 metri.</t>
  </si>
  <si>
    <t>Cosa succede se un giocatore viene espulso?</t>
  </si>
  <si>
    <t>A. La squadra può sostituirlo B. La squadra resta in inferiorità numerica C. Il giocatore rientra dopo 10 minuti D. La partita termina</t>
  </si>
  <si>
    <t>La squadra resta in inferiorità numerica</t>
  </si>
  <si>
    <t>Un giocatore espulso non può essere sostituito.</t>
  </si>
  <si>
    <t>Come si chiama l'arbitro principale?</t>
  </si>
  <si>
    <t>A. Maestro di Campo B. Comandante C. Garantore D. Capitano</t>
  </si>
  <si>
    <t>Maestro di Campo</t>
  </si>
  <si>
    <t>Il Maestro di Campo è l'arbitro principale del gioco.</t>
  </si>
  <si>
    <t>Quante linee centrali ha il campo?</t>
  </si>
  <si>
    <t>A. 1 B. 2 C. 3 D. 4</t>
  </si>
  <si>
    <t>Il campo è diviso da due linee centrali.</t>
  </si>
  <si>
    <t>Quando è nato storicamente il Calcio Storico?</t>
  </si>
  <si>
    <t>A. Nel XIII secolo B. Nel XV secolo C. Nel XVII secolo D. Nel XIX secolo</t>
  </si>
  <si>
    <t>Nel XIII secolo</t>
  </si>
  <si>
    <t>Il gioco ha origine nel XIII secolo.</t>
  </si>
  <si>
    <t>Quanti punti vale una "mezza caccia"?</t>
  </si>
  <si>
    <t>A. 1 B. 2 C. 3 D. 0</t>
  </si>
  <si>
    <t>Una mezza caccia non vale punti.</t>
  </si>
  <si>
    <t>Quale azione è considerata antisportiva?</t>
  </si>
  <si>
    <t>A. Passare lateralmente B. Bloccare la palla C. Colpire un avversario senza motivo D. Gridare</t>
  </si>
  <si>
    <t>Colpire un avversario senza motivo</t>
  </si>
  <si>
    <t>Gli atti violenti gratuiti sono considerati antisportivi.</t>
  </si>
  <si>
    <t>Cosa succede se un giocatore si infortuna?</t>
  </si>
  <si>
    <t>A. Viene sostituito B. Deve lasciare il campo C. Continua a giocare D. La partita viene sospesa</t>
  </si>
  <si>
    <t>Deve lasciare il campo</t>
  </si>
  <si>
    <t>Un giocatore infortunato deve abbandonare il campo.</t>
  </si>
  <si>
    <t>Qual è il ruolo dei "Portatori" nel Calcio Storico?</t>
  </si>
  <si>
    <t>A. Segnare le cacce B. Proteggere i difensori C. Mantenere il possesso palla D. Bloccare i passaggi</t>
  </si>
  <si>
    <t>Mantenere il possesso palla</t>
  </si>
  <si>
    <t>I "Portatori" sono incaricati di mantenere il controllo della palla.</t>
  </si>
  <si>
    <t>Qual è l'importanza del "Capitano" in una squadra di Calcio Storico?</t>
  </si>
  <si>
    <t>A. Segna le cacce B. Arbitra la partita C. Coordina la strategia D. Assume ruoli difensivi</t>
  </si>
  <si>
    <t>Coordina la strategia</t>
  </si>
  <si>
    <t>Il Capitano guida la squadra e decide la tattica.</t>
  </si>
  <si>
    <t>Cosa non è permesso durante i contatti fisici?</t>
  </si>
  <si>
    <t>A. Bloccare l'avversario B. Strattonare la maglia C. Colpire al volto D. Spingere</t>
  </si>
  <si>
    <t>Colpire al volto</t>
  </si>
  <si>
    <t>Colpire al volto è considerato un comportamento scorretto.</t>
  </si>
  <si>
    <t>Qual è l'importanza delle "Guardie"?</t>
  </si>
  <si>
    <t>A. Difendere l'area di rete B. Impedire passaggi lunghi C. Bloccare gli attaccanti D. Proteggere il Capitano</t>
  </si>
  <si>
    <t>Bloccare gli attaccanti</t>
  </si>
  <si>
    <t>Le Guardie sono incaricate di fermare gli attaccanti avversari.</t>
  </si>
  <si>
    <t>Quale atteggiamento è considerato rispettoso verso l'avversario?</t>
  </si>
  <si>
    <t>A. Evitare il contatto fisico B. Evitare insulti e violenze C. Non segnare troppi punti D. Chiedere scusa durante il gioco</t>
  </si>
  <si>
    <t>Evitare insulti e violenze</t>
  </si>
  <si>
    <t>Il rispetto è fondamentale in Calcio Storico.</t>
  </si>
  <si>
    <t>Cosa rappresenta una "mezza caccia"?</t>
  </si>
  <si>
    <t>A. Un goal completo B. Un errore di mira C. Un goal annullato D. Un punto bonus</t>
  </si>
  <si>
    <t>Un errore di mira</t>
  </si>
  <si>
    <t>La "mezza caccia" è un tiro che sbaglia il bersaglio.</t>
  </si>
  <si>
    <t>Quando il pubblico può intervenire nel Calcio Storico?</t>
  </si>
  <si>
    <t>A. Mai B. Dopo un fallo C. Durante il sorteggio iniziale D. Solo alla fine della partita</t>
  </si>
  <si>
    <t>Mai</t>
  </si>
  <si>
    <t>Il pubblico non è autorizzato a intervenire nel gioco.</t>
  </si>
  <si>
    <t>Qual è il tipo di abbigliamento usato nel Calcio Storico?</t>
  </si>
  <si>
    <t>A. Magliette moderne B. Uniformi medievali C. Costumi tradizionali D. Casacche di lino</t>
  </si>
  <si>
    <t>Casacche di lino</t>
  </si>
  <si>
    <t>I giocatori indossano casacche tradizionali di lino.</t>
  </si>
  <si>
    <t>Quali materiali sono usati per costruire la palla?</t>
  </si>
  <si>
    <t>A. Pelle sintetica B. Plastica C. Pelle di animale D. Legno</t>
  </si>
  <si>
    <t>Pelle di animale</t>
  </si>
  <si>
    <t>Le palle sono fatte di pelle di animale.</t>
  </si>
  <si>
    <t>Come viene considerato il fair play nel Calcio Storico?</t>
  </si>
  <si>
    <t>A. Non necessario B. Essenziale C. Marginale D. Opzionale</t>
  </si>
  <si>
    <t>Essenziale</t>
  </si>
  <si>
    <t>Il fair play è un valore fondamentale nel gioco.</t>
  </si>
  <si>
    <t>Qual è il ruolo del pubblico durante il Calcio Storico?</t>
  </si>
  <si>
    <t>A. Incitare la propria squadra B. Suggerire strategie C. Interrompere il gioco D. Influenzare gli arbitri</t>
  </si>
  <si>
    <t>Incitare la propria squadra</t>
  </si>
  <si>
    <t>Il pubblico può solo tifare per la propria squadra.</t>
  </si>
  <si>
    <t>Cosa non è ammesso durante il gioco?</t>
  </si>
  <si>
    <t>A. Tuffarsi per prendere la palla B. Usare oggetti esterni C. Parlare con gli arbitri D. Correre verso il pubblico</t>
  </si>
  <si>
    <t>Usare oggetti esterni</t>
  </si>
  <si>
    <t>Non sono ammessi oggetti esterni durante il gioco.</t>
  </si>
  <si>
    <t>Come viene gestito un fallo grave?</t>
  </si>
  <si>
    <t>A. Con un avvertimento B. Con un'espulsione C. Con una penalità di punti D. Con una pausa nel gioco</t>
  </si>
  <si>
    <t>Con un'espulsione</t>
  </si>
  <si>
    <t>Falli gravi portano all'espulsione del giocatore.</t>
  </si>
  <si>
    <t>Chi decide il vincitore del torneo?</t>
  </si>
  <si>
    <t>A. Una giuria popolare B. Il pubblico C. Un comitato di arbitri D. Il sindaco di Firenze</t>
  </si>
  <si>
    <t>Il comitato di arbitri dichiara il vincitore ufficiale.</t>
  </si>
  <si>
    <t>Cosa distingue il Calcio Storico dagli sport moderni?</t>
  </si>
  <si>
    <t>A. L'assenza di arbitri B. Le regole rigide C. Il contesto storico D. La presenza di tifosi neutrali</t>
  </si>
  <si>
    <t>Il contesto storico</t>
  </si>
  <si>
    <t>Il Calcio Storico ha radici storiche uniche.</t>
  </si>
  <si>
    <t>Cosa succede durante una "mischia"?</t>
  </si>
  <si>
    <t>A. La partita si ferma B. Si combatte per il possesso palla C. Viene assegnato un fallo D. Viene chiamato un timeout</t>
  </si>
  <si>
    <t>Si combatte per il possesso palla</t>
  </si>
  <si>
    <t>Le "mischie" sono lotte per il controllo della palla.</t>
  </si>
  <si>
    <t>Cosa simboleggia il torneo di Calcio Storico?</t>
  </si>
  <si>
    <t>A. L'unità nazionale B. Il coraggio e l'abilità C. La forza fisica D. La gloria dei quartieri</t>
  </si>
  <si>
    <t>L'unità nazionale</t>
  </si>
  <si>
    <t>Il torneo celebra l'identità e la storia fiorentina.</t>
  </si>
  <si>
    <t>Quante categorie di giocatori esistono in una squadra?</t>
  </si>
  <si>
    <t>A. 2 B. 3 C. 4 D. 5</t>
  </si>
  <si>
    <t>Le categorie sono Attaccanti</t>
  </si>
  <si>
    <t>Qual è il primo criterio per entrare in una squadra di Calcio Storico?</t>
  </si>
  <si>
    <t>A. Forza fisica B. Agilità C. Appartenenza al quartiere D. Esperienza sportiva</t>
  </si>
  <si>
    <t>Appartenenza al quartiere</t>
  </si>
  <si>
    <t>Ogni giocatore deve rappresentare il proprio quartiere.</t>
  </si>
  <si>
    <t>Cosa rappresentano i colori delle squadre?</t>
  </si>
  <si>
    <t>A. Identità personale B. Origine storica dei quartieri C. Strategie di gioco D. Ruoli dei giocatori</t>
  </si>
  <si>
    <t>Origine storica dei quartieri</t>
  </si>
  <si>
    <t>I colori rappresentano i quartieri storici di Firenze.</t>
  </si>
  <si>
    <t>Chi può fermare la partita per infortuni?</t>
  </si>
  <si>
    <t>A. Il Capitano B. Il Pubblico C. Gli Arbitri D. Il Portatore di Palla</t>
  </si>
  <si>
    <t>Gli Arbitri</t>
  </si>
  <si>
    <t>Gli arbitri possono fermare la partita in caso di infortuni seri.</t>
  </si>
  <si>
    <t>Cosa distingue un torneo tradizionale?</t>
  </si>
  <si>
    <t>A. La durata delle partite B. Il numero di squadre C. Il premio finale D. La celebrazione storica</t>
  </si>
  <si>
    <t>La celebrazione storica</t>
  </si>
  <si>
    <t>Il torneo è un evento che onora la tradizione.</t>
  </si>
  <si>
    <t>Come vengono risolti i conflitti tra giocatori?</t>
  </si>
  <si>
    <t>A. Con il dialogo B. Con decisioni arbitrali C. Con sanzioni pecuniarie D. Con penalità di squadra</t>
  </si>
  <si>
    <t>Con decisioni arbitrali</t>
  </si>
  <si>
    <t>Gli arbitri risolvono ogni controversia sul campo.</t>
  </si>
  <si>
    <t>Cosa non è consentito fare con la palla?</t>
  </si>
  <si>
    <t>A. Passarla lateralmente B. Bloccarla a terra C. Calciarla verso un avversario D. Lanciarla indietro</t>
  </si>
  <si>
    <t>Calciarla verso un avversario</t>
  </si>
  <si>
    <t>Lanciare la palla verso un avversario è proibito.</t>
  </si>
  <si>
    <t>Qual è la principale qualità richiesta per un attaccante?</t>
  </si>
  <si>
    <t>A. Velocità B. Precisione C. Forza fisica D. Strategia</t>
  </si>
  <si>
    <t>Precisione</t>
  </si>
  <si>
    <t>Gli attaccanti devono avere grande precisione per segnare cacce.</t>
  </si>
  <si>
    <t>Cosa rende il Calcio Storico unico?</t>
  </si>
  <si>
    <t>A. L'uso di tecnologie moderne B. Le regole complicate C. La combinazione di sport e storia D. La mancanza di arbitri</t>
  </si>
  <si>
    <t>La combinazione di sport e storia</t>
  </si>
  <si>
    <t>Il gioco mescola competizione atletica e tradizione storica.</t>
  </si>
  <si>
    <t>Quando è stato ufficialmente regolamentato il Calcio Storico?</t>
  </si>
  <si>
    <t>A. 1600 B. 1700 C. 1900 D. 1930</t>
  </si>
  <si>
    <t>Le regole ufficiali furono scritte nel 1930.</t>
  </si>
  <si>
    <t>Quale qualità è cruciale per i difensori?</t>
  </si>
  <si>
    <t>A. Agilità B. Resistenza C. Forza fisica D. Velocità</t>
  </si>
  <si>
    <t>Forza fisica</t>
  </si>
  <si>
    <t>I difensori devono avere forza per fermare gli avversari.</t>
  </si>
  <si>
    <t>Cosa succede se una squadra abbandona la partita?</t>
  </si>
  <si>
    <t>A. Perde automaticamente B. Viene squalificata C. Ottiene una penalità D. La partita viene rigiocata</t>
  </si>
  <si>
    <t>Perde automaticamente</t>
  </si>
  <si>
    <t>L'abbandono equivale a una sconfitta.</t>
  </si>
  <si>
    <t>Come viene celebrato il torneo di Calcio Storico?</t>
  </si>
  <si>
    <t>A. Con una parata storica B. Con una premiazione televisiva C. Con una festa privata D. Con una lotteria pubblica</t>
  </si>
  <si>
    <t>Con una parata storica</t>
  </si>
  <si>
    <t>Il torneo viene introdotto da una parata storica in costume.</t>
  </si>
  <si>
    <t>Qual è la durata tipica di una partita di Calcio Storico?</t>
  </si>
  <si>
    <t>A. 50 minuti B. 80 minuti C. 20 minuti D. 40 minuti</t>
  </si>
  <si>
    <t>Ogni partita dura circa 50 minuti senza interruzioni significative.</t>
  </si>
  <si>
    <t>Quanti giocatori ci sono in ogni squadra?</t>
  </si>
  <si>
    <t>A. 20 B. 27 C. 15 D. 22</t>
  </si>
  <si>
    <t>Ogni squadra è composta da 27 giocatori.</t>
  </si>
  <si>
    <t>Cosa non è ammesso durante una caccia?</t>
  </si>
  <si>
    <t>A. Utilizzare le mani B. Utilizzare i piedi C. Tirare la maglia di un avversario D. Passare la palla indietro</t>
  </si>
  <si>
    <t>Tirare la maglia di un avversario</t>
  </si>
  <si>
    <t>Tirare la maglia è considerato scorretto.</t>
  </si>
  <si>
    <t>In che periodo dell'anno si tiene il torneo di Calcio Storico?</t>
  </si>
  <si>
    <t>A. Primavera B. Estate C. Autunno D. Inverno</t>
  </si>
  <si>
    <t>Estate</t>
  </si>
  <si>
    <t>Qual è lo scopo principale del gioco?</t>
  </si>
  <si>
    <t>A. Difendere la propria area B. Segnare più cacce C. Bloccare gli avversari D. Fare mosse spettacolari</t>
  </si>
  <si>
    <t>Segnare più cacce</t>
  </si>
  <si>
    <t>Il team che segna più cacce vince.</t>
  </si>
  <si>
    <t>Cosa rappresentano le "cacce" nel Calcio Storico?</t>
  </si>
  <si>
    <t>A. Punti B. Penalità C. Bonus D. Espulsioni</t>
  </si>
  <si>
    <t>Punti</t>
  </si>
  <si>
    <t>Le cacce rappresentano i punti guadagnati.</t>
  </si>
  <si>
    <t>Cosa succede quando la palla esce dal campo?</t>
  </si>
  <si>
    <t>A. Il gioco continua B. Viene assegnato un fallo C. Viene fermata e ripresa dagli arbitri D. Viene conteggiato un punto nullo</t>
  </si>
  <si>
    <t>Viene fermata e ripresa dagli arbitri</t>
  </si>
  <si>
    <t>Gli arbitri decidono la ripresa del gioco.</t>
  </si>
  <si>
    <t>Chi arbitra le partite di Calcio Storico?</t>
  </si>
  <si>
    <t>A. Un solo arbitro B. Due arbitri C. Un team di arbitri D. Giocatori veterani</t>
  </si>
  <si>
    <t>Un team di arbitri</t>
  </si>
  <si>
    <t>Un gruppo di arbitri controlla il gioco.</t>
  </si>
  <si>
    <t>Cosa non è permesso durante il passaggio della palla?</t>
  </si>
  <si>
    <t>A. Lanciare troppo alto B. Lanciare troppo lontano C. Passare direttamente agli avversari D. Usare la testa per passare</t>
  </si>
  <si>
    <t>Passare direttamente agli avversari</t>
  </si>
  <si>
    <t>Passare agli avversari è scorretto.</t>
  </si>
  <si>
    <t>Qual è l'origine storica del Calcio Storico?</t>
  </si>
  <si>
    <t>A. Epoca romana B. Rinascimento C. Medioevo D. Epoca moderna</t>
  </si>
  <si>
    <t>Rinascimento</t>
  </si>
  <si>
    <t>Il gioco risale al Rinascimento fiorentino.</t>
  </si>
  <si>
    <t>Come si segna una caccia?</t>
  </si>
  <si>
    <t>A. Con un calcio in rete B. Con un lancio in un'area specifica C. Con un colpo diretto D. Con un passaggio strategico</t>
  </si>
  <si>
    <t>Con un lancio in un'area specifica</t>
  </si>
  <si>
    <t>La caccia si segna lanciando la palla nella rete avversaria.</t>
  </si>
  <si>
    <t>Cosa è considerato comportamento antisportivo?</t>
  </si>
  <si>
    <t>A. Evitare il contatto fisico B. Insultare gli avversari C. Non passare la palla D. Evitare il gioco fisico</t>
  </si>
  <si>
    <t>Insultare gli avversari</t>
  </si>
  <si>
    <t>Insulti e violenze verbali sono vietati.</t>
  </si>
  <si>
    <t>Qual è il premio per la squadra vincente?</t>
  </si>
  <si>
    <t>A. Un trofeo B. Denaro C. Una mucca D. Una corona di fiori</t>
  </si>
  <si>
    <t>Una mucca</t>
  </si>
  <si>
    <t>La squadra vincente riceve una mucca come premio simbolico.</t>
  </si>
  <si>
    <t>Cosa simboleggiano le regole del gioco?</t>
  </si>
  <si>
    <t>A. Competizione equa B. Disordine controllato C. Spettacolo senza limiti D. Tradizione e rispetto</t>
  </si>
  <si>
    <t>Tradizione e rispetto</t>
  </si>
  <si>
    <t>Le regole onorano le tradizioni storiche.</t>
  </si>
  <si>
    <t>Come viene deciso il possesso iniziale della palla?</t>
  </si>
  <si>
    <t>A. Sorteggio B. Competizione fisica C. Decisione del Capitano D. Scelta del pubblico</t>
  </si>
  <si>
    <t>Sorteggio</t>
  </si>
  <si>
    <t>Il sorteggio determina chi inizia con la palla.</t>
  </si>
  <si>
    <t>Cosa non è ammesso fare durante le mischie?</t>
  </si>
  <si>
    <t>A. Spingere l'avversario B. Trattenere la palla C. Colpire intenzionalmente D. Bloccare la palla</t>
  </si>
  <si>
    <t>Colpire intenzionalmente</t>
  </si>
  <si>
    <t>Colpire intenzionalmente è vietato.</t>
  </si>
  <si>
    <t>Cosa succede in caso di pareggio alla fine del tempo?</t>
  </si>
  <si>
    <t>A. La squadra con meno falli vince B. Si gioca un tempo supplementare C. Il risultato rimane in parità D. Viene effettuato un nuovo sorteggio</t>
  </si>
  <si>
    <t>Il risultato rimane in parità</t>
  </si>
  <si>
    <t>Non sono previsti supplementari.</t>
  </si>
  <si>
    <t>Chi supervisiona il rispetto delle regole?</t>
  </si>
  <si>
    <t>A. I capitani B. Il pubblico C. Gli arbitri D. Il sindaco</t>
  </si>
  <si>
    <t>Gli arbitri</t>
  </si>
  <si>
    <t>Gli arbitri garantiscono il rispetto delle regole.</t>
  </si>
  <si>
    <t>Qual è la posizione della rete nel campo?</t>
  </si>
  <si>
    <t>A. Al centro B. Agli angoli C. Nelle estremità del campo D. Lungo i lati</t>
  </si>
  <si>
    <t>Nelle estremità del campo</t>
  </si>
  <si>
    <t>Le reti si trovano alle estremità opposte.</t>
  </si>
  <si>
    <t>Come si gestisce un comportamento violento?</t>
  </si>
  <si>
    <t>A. Con avvertimenti B. Espulsione immediata C. Sospensione del gioco D. Richiamo verbale</t>
  </si>
  <si>
    <t>Espulsione immediata</t>
  </si>
  <si>
    <t>La violenza porta all'espulsione immediata.</t>
  </si>
  <si>
    <t>Cosa distingue il Calcio Storico dal calcio moderno?</t>
  </si>
  <si>
    <t>A. La velocità del gioco B. La fisicità intensa C. La mancanza di arbitri D. Il numero di giocatori</t>
  </si>
  <si>
    <t>La fisicità intensa</t>
  </si>
  <si>
    <t>Il Calcio Storico è noto per il contatto fisico.</t>
  </si>
  <si>
    <t>Come si celebra la vittoria?</t>
  </si>
  <si>
    <t>A. Con una parata per le vie della città B. Con una cerimonia privata C. Con una conferenza stampa D. Con una festa tra giocatori</t>
  </si>
  <si>
    <t>Con una parata per le vie della città</t>
  </si>
  <si>
    <t>La vittoria è celebrata con una parata pubblica.</t>
  </si>
  <si>
    <t>Qual è la struttura del campo?</t>
  </si>
  <si>
    <t>A. Quadrato B. Rettangolare C. Ovale D. Irregolare</t>
  </si>
  <si>
    <t>Rettangolare</t>
  </si>
  <si>
    <t>Il campo ha una forma rettangolare.</t>
  </si>
  <si>
    <t>Qual è il compito degli attaccanti?</t>
  </si>
  <si>
    <t>A. Difendere la squadra B. Fermare gli avversari C. Segnare cacce D. Arbitrare il gioco</t>
  </si>
  <si>
    <t>Segnare cacce</t>
  </si>
  <si>
    <t>Gli attaccanti si concentrano nel segnare.</t>
  </si>
  <si>
    <t>Chi può interrompere la partita?</t>
  </si>
  <si>
    <t>A. Gli spettatori B. I Capitani C. Gli Arbitri D. Il Sindaco</t>
  </si>
  <si>
    <t>Solo gli arbitri hanno l'autorità di interrompere la partita.</t>
  </si>
  <si>
    <t>Qual è la funzione delle guardie?</t>
  </si>
  <si>
    <t>A. Proteggere il Capitano B. Fermare gli attaccanti avversari C. Segnare punti D. Arbitrare</t>
  </si>
  <si>
    <t>Fermare gli attaccanti avversari</t>
  </si>
  <si>
    <t>Le guardie proteggono la difesa.</t>
  </si>
  <si>
    <t>Quali sono i requisiti fisici per giocare?</t>
  </si>
  <si>
    <t>A. Solo velocità B. Resistenza e forza fisica C. Agilità e precisione D. Intelligenza e tattica</t>
  </si>
  <si>
    <t>Resistenza e forza fisica</t>
  </si>
  <si>
    <t>Resistenza e forza sono essenziali.</t>
  </si>
  <si>
    <t>Cosa si celebra con il Calcio Storico?</t>
  </si>
  <si>
    <t>A. La modernità sportiva B. La storia di Firenze C. La cultura nazionale D. La vittoria personale</t>
  </si>
  <si>
    <t>La storia di Firenze</t>
  </si>
  <si>
    <t>Il torneo celebra il patrimonio storico della città.</t>
  </si>
  <si>
    <t>Qual è il ruolo del Capitano in una squadra di Calcio Storico?</t>
  </si>
  <si>
    <t>A. Segnare cacce B. Arbitrare la partita C. Motivare i giocatori e guidare la strategia D. Fermare gli avversari</t>
  </si>
  <si>
    <t>Motivare i giocatori e guidare la strategia</t>
  </si>
  <si>
    <t>Il Capitano guida la squadra e sviluppa la strategia.</t>
  </si>
  <si>
    <t>Come si chiama il torneo annuale di Calcio Storico a Firenze?</t>
  </si>
  <si>
    <t>A. Torneo dei Gigli B. Torneo di San Lorenzo C. Torneo di Santa Croce D. Torneo di San Giovanni</t>
  </si>
  <si>
    <t>Torneo di San Giovanni</t>
  </si>
  <si>
    <t>Il torneo si tiene in onore del patrono di Firenze</t>
  </si>
  <si>
    <t>Che cosa non è permesso ai difensori durante il gioco?</t>
  </si>
  <si>
    <t>A. Usare le mani B. Spingere gli avversari C. Bloccare la palla D. Colpire intenzionalmente gli attaccanti</t>
  </si>
  <si>
    <t>Colpire intenzionalmente gli attaccanti</t>
  </si>
  <si>
    <t>Cosa rappresentano i costumi indossati dai giocatori?</t>
  </si>
  <si>
    <t>A. Tradizione e orgoglio del quartiere B. Una strategia di gioco C. Un omaggio alla modernità sportiva D. Una divisa standard</t>
  </si>
  <si>
    <t>Tradizione e orgoglio del quartiere</t>
  </si>
  <si>
    <t>I costumi richiamano le origini storiche e i quartieri di Firenze.</t>
  </si>
  <si>
    <t>Che cosa simboleggiano i quattro colori delle squadre?</t>
  </si>
  <si>
    <t>A. Le stagioni B. Le arti C. Le virtù D. Quartieri di Firenze</t>
  </si>
  <si>
    <t>Quartieri di Firenze</t>
  </si>
  <si>
    <t>I colori rappresentano i quartieri storici della città.</t>
  </si>
  <si>
    <t>Come viene assegnato il primo possesso della palla?</t>
  </si>
  <si>
    <t>A. Con una moneta B. Con una sfida fisica C. Con il sorteggio del Capitano D. Con il consenso del pubblico</t>
  </si>
  <si>
    <t>Con una moneta</t>
  </si>
  <si>
    <t>Il possesso iniziale viene deciso con il lancio di una moneta.</t>
  </si>
  <si>
    <t>Qual è l'importanza storica del Calcio Storico?</t>
  </si>
  <si>
    <t>A. Promuovere l'uguaglianza sportiva B. Favorire l'unità cittadina C. Commemorare la battaglia di Firenze D. Omaggiare i grandi atleti</t>
  </si>
  <si>
    <t>Commemorare la battaglia di Firenze</t>
  </si>
  <si>
    <t>Il gioco nasce per celebrare eventi storici della città.</t>
  </si>
  <si>
    <t>Come vengono puniti i falli gravi?</t>
  </si>
  <si>
    <t>A. Con un cartellino rosso B. Con l'espulsione del giocatore C. Con una penalità alla squadra D. Con l'annullamento di una caccia</t>
  </si>
  <si>
    <t>Con l'espulsione del giocatore</t>
  </si>
  <si>
    <t>I falli gravi portano all'espulsione immediata.</t>
  </si>
  <si>
    <t>Chi stabilisce le regole del gioco?</t>
  </si>
  <si>
    <t>A. Il pubblico B. Gli organizzatori del torneo C. Gli arbitri D. Il sindaco</t>
  </si>
  <si>
    <t>Gli organizzatori del torneo</t>
  </si>
  <si>
    <t>Le regole sono decise dagli organizzatori.</t>
  </si>
  <si>
    <t>Qual è l'area principale in cui si gioca?</t>
  </si>
  <si>
    <t>A. Piazza Santa Croce B. Piazza del Duomo C. Piazza della Signoria D. Piazza della Libertà</t>
  </si>
  <si>
    <t>Il gioco si svolge nella storica Piazza Santa Croce.</t>
  </si>
  <si>
    <t>Chi sono i principali rivali nel torneo?</t>
  </si>
  <si>
    <t>A. Squadre dello stesso quartiere B. Squadre di quartieri opposti C. Squadre di altre città D. Squadre internazionali</t>
  </si>
  <si>
    <t>Squadre di quartieri opposti</t>
  </si>
  <si>
    <t>I quartieri rivali si sfidano tradizionalmente.</t>
  </si>
  <si>
    <t>Cosa non può fare un giocatore quando possiede la palla?</t>
  </si>
  <si>
    <t>A. Passarla al Capitano B. Bloccare gli avversari C. Correre verso la rete avversaria D. Calciare un avversario</t>
  </si>
  <si>
    <t>Calciare un avversario</t>
  </si>
  <si>
    <t>Calciare è vietato in ogni situazione.</t>
  </si>
  <si>
    <t>Qual è il significato delle bandiere esposte durante il gioco?</t>
  </si>
  <si>
    <t>A. Indicare il punteggio B. Simboli dei quartieri C. Ricordi storici D. Divertimento per il pubblico</t>
  </si>
  <si>
    <t>Simboli dei quartieri</t>
  </si>
  <si>
    <t>Le bandiere rappresentano i quartieri in competizione.</t>
  </si>
  <si>
    <t>Che tipo di scarpe sono utilizzate nel gioco?</t>
  </si>
  <si>
    <t>A. Scarpe da calcio B. Sandali C. Scarpe storiche personalizzate D. Scarpe da corsa</t>
  </si>
  <si>
    <t>Scarpe storiche personalizzate</t>
  </si>
  <si>
    <t>Le calzature sono in linea con la tradizione storica.</t>
  </si>
  <si>
    <t>A. La squadra gioca con meno membri B. Il gioco si ferma C. Il giocatore viene sostituito D. Il Capitano decide il cambio</t>
  </si>
  <si>
    <t>Il giocatore viene sostituito</t>
  </si>
  <si>
    <t>Il sostituto può entrare in campo.</t>
  </si>
  <si>
    <t>Qual è la responsabilità dei portieri?</t>
  </si>
  <si>
    <t>A. Difendere la rete B. Segnare cacce C. Fermare le mischie D. Bloccare gli attaccanti avversari</t>
  </si>
  <si>
    <t>Difendere la rete</t>
  </si>
  <si>
    <t>I portieri proteggono la propria area di caccia.</t>
  </si>
  <si>
    <t>Cosa rappresenta la rete avversaria?</t>
  </si>
  <si>
    <t>A. La gloria per il quartiere B. Il risultato sportivo C. La conquista simbolica D. Il punteggio individuale</t>
  </si>
  <si>
    <t>La conquista simbolica</t>
  </si>
  <si>
    <t>La rete rappresenta una conquista per la squadra.</t>
  </si>
  <si>
    <t>Come sono trattati gli spettatori durante il gioco?</t>
  </si>
  <si>
    <t>A. Come semplici osservatori B. Come partecipanti attivi C. Come giudici D. Come ospiti di onore</t>
  </si>
  <si>
    <t>Come partecipanti attivi</t>
  </si>
  <si>
    <t>Gli spettatori sono coinvolti e incoraggiati a partecipare all'atmosfera.</t>
  </si>
  <si>
    <t>Cosa si celebra durante il Calcio Storico?</t>
  </si>
  <si>
    <t>A. La cultura contemporanea B. Le guerre medievali C. Le tradizioni fiorentine D. La vittoria personale</t>
  </si>
  <si>
    <t>Le tradizioni fiorentine</t>
  </si>
  <si>
    <t>Il gioco celebra le antiche tradizioni della città.</t>
  </si>
  <si>
    <t>Qual è l'età minima per partecipare al torneo?</t>
  </si>
  <si>
    <t>A. 18 anni B. 16 anni C. 20 anni D. 21 anni</t>
  </si>
  <si>
    <t>18 anni</t>
  </si>
  <si>
    <t>È necessario avere almeno 18 anni per partecipare.</t>
  </si>
  <si>
    <t>Che cos'è la "palla grossa"?</t>
  </si>
  <si>
    <t>A. Un pallone specifico per il gioco B. Una strategia difensiva C. Una penalità D. Un termine per indicare il Capitano</t>
  </si>
  <si>
    <t>Un pallone specifico per il gioco</t>
  </si>
  <si>
    <t>La "palla grossa" è il pallone utilizzato nel gioco.</t>
  </si>
  <si>
    <t>Come viene suddiviso il campo?</t>
  </si>
  <si>
    <t>A. In quattro quadranti B. In due metà C. In tre zone D. In sei aree</t>
  </si>
  <si>
    <t>In due metà</t>
  </si>
  <si>
    <t>Il campo è diviso in due metà principali.</t>
  </si>
  <si>
    <t>Qual è lo scopo del torneo?</t>
  </si>
  <si>
    <t>A. Divertire il pubblico B. Risolvere rivalità storiche C. Promuovere il turismo D. Insegnare le tradizioni</t>
  </si>
  <si>
    <t>Risolvere rivalità storiche</t>
  </si>
  <si>
    <t>Il torneo permette di sfidare i quartieri rivali in un contesto sportivo.</t>
  </si>
  <si>
    <t>Quanti arbitri sono presenti durante una partita?</t>
  </si>
  <si>
    <t>A. Uno B. Tre C. Sei D. Due</t>
  </si>
  <si>
    <t>Tre</t>
  </si>
  <si>
    <t>Ci sono tre arbitri che supervisionano il gioco.</t>
  </si>
  <si>
    <t>Cosa si richiede agli spettatori?</t>
  </si>
  <si>
    <t>A. Tifare per una squadra B. Restare in silenzio C. Seguire le regole D. Fare offerte monetarie</t>
  </si>
  <si>
    <t>Tifare per una squadra</t>
  </si>
  <si>
    <t>Gli spettatori sono incoraggiati a sostenere attivamente la propria squadra.</t>
  </si>
  <si>
    <t>Qual è il premio simbolico per la vittoria?</t>
  </si>
  <si>
    <t>A. Un trofeo in oro B. Un set di palloni C. Una mucca bianca D. Un mazzo di fiori</t>
  </si>
  <si>
    <t>Una mucca bianca</t>
  </si>
  <si>
    <t>Il premio tradizionale è una mucca bianca.</t>
  </si>
  <si>
    <t>Cosa è proibito durante le mischie?</t>
  </si>
  <si>
    <t>A. Colpire con il gomito B. Utilizzare le mani per spingere C. Trattenere gli avversari D. Bloccare il gioco intenzionalmente</t>
  </si>
  <si>
    <t>Colpire con il gomito</t>
  </si>
  <si>
    <t>Colpire con il gomito è considerato scorretto.</t>
  </si>
  <si>
    <t>Cosa distingue i giocatori veterani?</t>
  </si>
  <si>
    <t>A. Esperienza e tattica B. Abilità fisiche superiori C. Conoscenza delle regole D. Leadership naturale</t>
  </si>
  <si>
    <t>Esperienza e tattica</t>
  </si>
  <si>
    <t>I veterani si distinguono per la loro esperienza e capacità strategica.</t>
  </si>
  <si>
    <t>Qual è l'importanza del Calcio Storico oggi?</t>
  </si>
  <si>
    <t>A. Un simbolo di modernità B. Una celebrazione della tradizione C. Un evento commerciale D. Un torneo globale</t>
  </si>
  <si>
    <t>Una celebrazione della tradizione</t>
  </si>
  <si>
    <t>Il Calcio Storico conserva le tradizioni fiorentine.</t>
  </si>
  <si>
    <t>Cosa non è previsto durante la partita?</t>
  </si>
  <si>
    <t>A. Pause per riflessione B. Intervalli per il pubblico C. Time-out per le squadre D. Fermate arbitrarie inutili</t>
  </si>
  <si>
    <t>Time-out per le squadre</t>
  </si>
  <si>
    <t>Non sono previsti time-out per le squadre.</t>
  </si>
  <si>
    <t>Come viene determinata la durata di una partita di Calcio Storico?</t>
  </si>
  <si>
    <t>A. È stabilita in base al punteggio B. È decisa dagli arbitri C. Ha una durata fissa di 50 minuti D. Si conclude quando una squadra segna 10 cacce</t>
  </si>
  <si>
    <t>Ha una durata fissa di 50 minuti</t>
  </si>
  <si>
    <t>Le partite durano esattamente 50 minuti senza interruzioni.</t>
  </si>
  <si>
    <t>Cosa rappresenta la linea di centrocampo nel Calcio Storico?</t>
  </si>
  <si>
    <t>A. Il punto di inizio B. Una zona neutrale C. Un'area di punizione D. Il confine tra le squadre</t>
  </si>
  <si>
    <t>Il punto di inizio</t>
  </si>
  <si>
    <t>La linea di centrocampo è il punto da cui inizia la partita.</t>
  </si>
  <si>
    <t>A. Un festival religioso B. Un'esercitazione militare C. Un gioco per bambini D. Un evento commerciale</t>
  </si>
  <si>
    <t>Un'esercitazione militare</t>
  </si>
  <si>
    <t>Il Calcio Storico era originariamente un allenamento per i soldati.</t>
  </si>
  <si>
    <t>Cosa succede se un giocatore abbandona il campo senza motivo?</t>
  </si>
  <si>
    <t>A. La squadra perde punti B. Il giocatore viene squalificato C. Il Capitano subisce una penalità D. La squadra perde un membro</t>
  </si>
  <si>
    <t>Il giocatore viene squalificato</t>
  </si>
  <si>
    <t>L'abbandono ingiustificato comporta la squalifica immediata.</t>
  </si>
  <si>
    <t>Come viene segnata una caccia?</t>
  </si>
  <si>
    <t>A. Lanciando la palla in rete B. Colpendo un avversario con la palla C. Passando attraverso la linea di fondo D. Con un calcio al pallone in porta</t>
  </si>
  <si>
    <t>Lanciando la palla in rete</t>
  </si>
  <si>
    <t>Una caccia è segnata quando la palla attraversa la rete avversaria.</t>
  </si>
  <si>
    <t>Cosa accade se una caccia viene segnata in modo irregolare?</t>
  </si>
  <si>
    <t>A. È assegnata alla squadra avversaria B. Viene annullata C. Porta a una penalità per la squadra D. Viene conteggiata come mezza caccia</t>
  </si>
  <si>
    <t>Viene annullata</t>
  </si>
  <si>
    <t>Le cacce irregolari non sono valide.</t>
  </si>
  <si>
    <t>Come vengono selezionati i giocatori per una squadra?</t>
  </si>
  <si>
    <t>A. Per anzianità B. Per abilità fisiche C. Per tradizione familiare D. Per estrazione casuale</t>
  </si>
  <si>
    <t>Per abilità fisiche</t>
  </si>
  <si>
    <t>Le squadre selezionano i migliori atleti disponibili.</t>
  </si>
  <si>
    <t>Che ruolo ha il pubblico durante il Calcio Storico?</t>
  </si>
  <si>
    <t>A. Rimanere spettatore passivo B. Partecipare al gioco C. Supportare la propria squadra D. Essere giudici</t>
  </si>
  <si>
    <t>Supportare la propria squadra</t>
  </si>
  <si>
    <t>Il pubblico è fondamentale per creare l'atmosfera.</t>
  </si>
  <si>
    <t>Cosa si fa prima di una partita di Calcio Storico?</t>
  </si>
  <si>
    <t>A. Un sorteggio per il campo B. Una preghiera ufficiale C. Un corteo storico D. Un allenamento comune</t>
  </si>
  <si>
    <t>Un corteo storico</t>
  </si>
  <si>
    <t>Il gioco è preceduto da una rievocazione storica.</t>
  </si>
  <si>
    <t>Qual è il significato della musica durante il torneo?</t>
  </si>
  <si>
    <t>A. Decorazione festiva B. Incitamento per i giocatori C. Creare un'atmosfera storica D. Intrattenere gli arbitri</t>
  </si>
  <si>
    <t>Creare un'atmosfera storica</t>
  </si>
  <si>
    <t>La musica accompagna il gioco e richiama le sue origini.</t>
  </si>
  <si>
    <t>Quali qualità sono essenziali per un giocatore?</t>
  </si>
  <si>
    <t>A. Forza fisica e resistenza B. Agilità e velocità C. Solo forza fisica D. Solo strategia</t>
  </si>
  <si>
    <t>Forza fisica e resistenza</t>
  </si>
  <si>
    <t>Forza e resistenza sono fondamentali nel Calcio Storico.</t>
  </si>
  <si>
    <t>Cosa avviene in caso di pareggio alla fine dei 50 minuti?</t>
  </si>
  <si>
    <t>A. Un tempo supplementare B. Una ripetizione della partita C. Il punteggio è considerato definitivo D. Una decisione degli arbitri</t>
  </si>
  <si>
    <t>Il punteggio è considerato definitivo</t>
  </si>
  <si>
    <t>Non ci sono tempi supplementari.</t>
  </si>
  <si>
    <t>Cosa rappresentano i costumi storici indossati dagli arbitri?</t>
  </si>
  <si>
    <t>A. Ruolo di neutralità B. Segno di autorità C. Collegamento con la tradizione D. Un decoro moderno</t>
  </si>
  <si>
    <t>Collegamento con la tradizione</t>
  </si>
  <si>
    <t>Gli arbitri portano costumi che riflettono le radici storiche del gioco.</t>
  </si>
  <si>
    <t>Come vengono celebrate le vittorie?</t>
  </si>
  <si>
    <t>A. Con un trofeo B. Con una processione del quartiere C. Con un banchetto D. Con un premio in denaro</t>
  </si>
  <si>
    <t>Con una processione del quartiere</t>
  </si>
  <si>
    <t>La celebrazione include una processione tradizionale.</t>
  </si>
  <si>
    <t>Quali abilità sono indispensabili per un difensore?</t>
  </si>
  <si>
    <t>A. Velocità e tattica B. Forza e strategia C. Agilità e destrezza D. Precisione e intuito</t>
  </si>
  <si>
    <t>Forza e strategia</t>
  </si>
  <si>
    <t>I difensori devono essere fisicamente forti e tattici.</t>
  </si>
  <si>
    <t>Qual è il numero massimo di giocatori per squadra?</t>
  </si>
  <si>
    <t>A. 21 B. 22 C. 27 D. 30</t>
  </si>
  <si>
    <t>Ogni squadra può schierare fino a 27 giocatori.</t>
  </si>
  <si>
    <t>Cosa succede se un arbitro rileva una scorrettezza?</t>
  </si>
  <si>
    <t>A. Assegna una penalità B. Interrompe il gioco C. Espelle il giocatore D. Richiede un'assemblea</t>
  </si>
  <si>
    <t>Assegna una penalità</t>
  </si>
  <si>
    <t>Le scorrettezze portano a penalità.</t>
  </si>
  <si>
    <t>Come vengono distinti i giocatori di diverse squadre?</t>
  </si>
  <si>
    <t>A. Per numero di maglia B. Per colore del costume C. Per posizione in campo D. Per un accessorio</t>
  </si>
  <si>
    <t>Per colore del costume</t>
  </si>
  <si>
    <t>I colori dei costumi rappresentano i quartieri.</t>
  </si>
  <si>
    <t>Cosa non è ammesso nel gioco?</t>
  </si>
  <si>
    <t>A. L'uso di oggetti estranei B. La cooperazione tra avversari C. La difesa personale D. La strategia di gruppo</t>
  </si>
  <si>
    <t>L'uso di oggetti estranei</t>
  </si>
  <si>
    <t>Ogni accessorio esterno è vietato.</t>
  </si>
  <si>
    <t>Chi ha il diritto di fermare il gioco in caso di emergenza?</t>
  </si>
  <si>
    <t>A. Il Capitano B. Il pubblico C. Un arbitro D. Un portiere</t>
  </si>
  <si>
    <t>Un arbitro</t>
  </si>
  <si>
    <t>Gli arbitri possono fermare il gioco in qualsiasi momento.</t>
  </si>
  <si>
    <t>Come si conclude ufficialmente una partita?</t>
  </si>
  <si>
    <t>A. Con un fischio dell'arbitro B. Con il punteggio finale C. Cerimonia di chiusura D. Fine dei 50 minuti</t>
  </si>
  <si>
    <t>Con un fischio dell'arbitro</t>
  </si>
  <si>
    <t>Il fischio segna la fine del gioco.</t>
  </si>
  <si>
    <t>Cosa simboleggiano le cacce?</t>
  </si>
  <si>
    <t>A. Supremazia sportiva B. Unità del quartiere C. Vittoria strategica D. Abilità fisica</t>
  </si>
  <si>
    <t>Vittoria strategica</t>
  </si>
  <si>
    <t>Le cacce rappresentano il successo strategico della squadra.</t>
  </si>
  <si>
    <t>Qual è il peso approssimativo della palla usata?</t>
  </si>
  <si>
    <t>A. 1 kg B. 1.5 kg C. 2 kg D. 2.5 kg</t>
  </si>
  <si>
    <t>1.5 kg</t>
  </si>
  <si>
    <t>La palla è progettata per un gioco fisico intenso.</t>
  </si>
  <si>
    <t>Cosa non può fare un Capitano durante il gioco?</t>
  </si>
  <si>
    <t>A. Dare indicazioni B. Difendere la rete C. Segnare cacce D. Partecipare a mischie</t>
  </si>
  <si>
    <t>Partecipare a mischie</t>
  </si>
  <si>
    <t>Il Capitano si concentra sulla guida della squadra.</t>
  </si>
  <si>
    <t>Come viene mantenuta l'equità tra le squadre?</t>
  </si>
  <si>
    <t>A. Con un sistema di penalità B. Con l'arbitraggio rigoroso C. Con la rotazione dei giocatori D. Con il pubblico come giudice</t>
  </si>
  <si>
    <t>Con l'arbitraggio rigoroso</t>
  </si>
  <si>
    <t>Gli arbitri garantiscono un gioco equo.</t>
  </si>
  <si>
    <t>Cosa non è permesso ai giocatori in fase difensiva?</t>
  </si>
  <si>
    <t>A. Spingere B. Bloccare la palla C. Colpire intenzionalmente D. Formare una barriera</t>
  </si>
  <si>
    <t>La violenza non è tollerata.</t>
  </si>
  <si>
    <t>Cosa rappresenta l'evento per Firenze oggi?</t>
  </si>
  <si>
    <t>A. Un evento sportivo moderno B. Un richiamo culturale C. Un'opportunità turistica D. Una festa cittadina</t>
  </si>
  <si>
    <t>Un richiamo culturale</t>
  </si>
  <si>
    <t>Il Calcio Storico è un simbolo culturale per la città.</t>
  </si>
  <si>
    <t>Come sono distribuiti i ruoli dei giocatori?</t>
  </si>
  <si>
    <t>A. In base all'età B. In base alla strategia C. In base alla forza D. In base al sorteggio</t>
  </si>
  <si>
    <t>In base alla strategia</t>
  </si>
  <si>
    <t>I ruoli vengono decisi in base alla tattica della squadra.</t>
  </si>
  <si>
    <t>Qual è il compito degli arbitri secondari?</t>
  </si>
  <si>
    <t>A. Supervisionare le mischie B. Gestire le sostituzioni C. Mantenere il punteggio D. Segnalare le scorrettezze</t>
  </si>
  <si>
    <t>Segnalare le scorrettezze</t>
  </si>
  <si>
    <t>Gli arbitri secondari aiutano a rilevare falli e scorrettezze.</t>
  </si>
  <si>
    <t>Cosa significa "giocare per il quartiere"?</t>
  </si>
  <si>
    <t>A. Difendere i colori B. Competere per il premio C. Divertirsi insieme D. Promuovere la città</t>
  </si>
  <si>
    <t>Difendere i colori</t>
  </si>
  <si>
    <t>Il gioco rappresenta l'orgoglio e l'identità del quartiere.</t>
  </si>
  <si>
    <t>Descrizione</t>
  </si>
  <si>
    <t>Qual è l'obiettivo principale nel gioco del Bocce?</t>
  </si>
  <si>
    <t>A. Lanciare la boccia il più lontano possibile B. Avvicinare la boccia il più possibile al pallino C. Colpire il pallino con la boccia D. Lanciare la boccia in aria</t>
  </si>
  <si>
    <t>Avvicinare la boccia il più possibile al pallino</t>
  </si>
  <si>
    <t>L'obiettivo è posizionare la boccia più vicino al pallino rispetto agli avversari.</t>
  </si>
  <si>
    <t>Quante bocce ha ogni giocatore in una partita di singolo?</t>
  </si>
  <si>
    <t>A. 1 boccia B. 2 bocce C. 3 bocce D. 4 bocce</t>
  </si>
  <si>
    <t>4 bocce</t>
  </si>
  <si>
    <t>Nelle partite di singolo</t>
  </si>
  <si>
    <t>Qual è il nome della piccola palla utilizzata come bersaglio?</t>
  </si>
  <si>
    <t>A. Boccia B. Pallina C. Pallino D. Sfera</t>
  </si>
  <si>
    <t>Pallino</t>
  </si>
  <si>
    <t>Il pallino è il bersaglio che i giocatori devono avvicinare con le loro bocce.</t>
  </si>
  <si>
    <t>Cosa succede se il pallino viene spostato fuori dal campo?</t>
  </si>
  <si>
    <t>A. Il gioco continua normalmente B. Viene rimesso al centro del campo C. Viene posizionato nel punto più vicino entro il campo D. La squadra che l'ha spostato perde il turno</t>
  </si>
  <si>
    <t>Viene posizionato nel punto più vicino entro il campo</t>
  </si>
  <si>
    <t>Se il pallino esce</t>
  </si>
  <si>
    <t>Quanti punti si ottengono se tutte le bocce di un giocatore sono più vicine al pallino rispetto a quelle dell'avversario?</t>
  </si>
  <si>
    <t>A. 1 punto B. 2 punti C. 4 punti D. Tanti punti quante bocce più vicine</t>
  </si>
  <si>
    <t>Tanti punti quante bocce più vicine</t>
  </si>
  <si>
    <t>Il punteggio è determinato dal numero di bocce più vicine al pallino rispetto all'avversario.</t>
  </si>
  <si>
    <t>Cosa significa "boccia vincente"?</t>
  </si>
  <si>
    <t>A. La boccia più vicina al pallino B. La boccia lanciata per ultima C. La boccia più lontana dal pallino D. La boccia che colpisce il pallino</t>
  </si>
  <si>
    <t>La boccia più vicina al pallino</t>
  </si>
  <si>
    <t>La boccia vincente è quella più vicina al pallino.</t>
  </si>
  <si>
    <t>Qual è la dimensione regolamentare del campo da bocce?</t>
  </si>
  <si>
    <t>A. 20 metri x 4 metri B. 26 metri x 4 metri C. 30 metri x 5 metri D. 20 metri x 6 metri</t>
  </si>
  <si>
    <t>26 metri x 4 metri</t>
  </si>
  <si>
    <t>Il campo regolamentare misura 26 metri di lunghezza per 4 metri di larghezza.</t>
  </si>
  <si>
    <t>Quante squadre possono giocare in una partita di Bocce?</t>
  </si>
  <si>
    <t>A. Solo due squadre B. Due o quattro squadre C. Tre squadre D. Qualsiasi numero di squadre</t>
  </si>
  <si>
    <t>Solo due squadre</t>
  </si>
  <si>
    <t>Una partita si gioca tra due squadre.</t>
  </si>
  <si>
    <t>Come viene determinato il turno di lancio?</t>
  </si>
  <si>
    <t>A. Tirando a sorte B. Chi si avvicina di più al pallino con il primo lancio C. Lanciando la boccia più lontano dal pallino D. Decidendo tra i giocatori</t>
  </si>
  <si>
    <t>Chi si avvicina di più al pallino con il primo lancio</t>
  </si>
  <si>
    <t>Il primo turno è determinato da chi si avvicina di più al pallino con la boccia.</t>
  </si>
  <si>
    <t>Cosa accade se due bocce sono equidistanti dal pallino?</t>
  </si>
  <si>
    <t>A. Nessuno ottiene punti B. Entrambi ottengono un punto C. Si misura di nuovo D. Il turno si annulla</t>
  </si>
  <si>
    <t>Nessuno ottiene punti</t>
  </si>
  <si>
    <t>Se due bocce sono alla stessa distanza</t>
  </si>
  <si>
    <t>Cosa si utilizza per misurare la distanza tra bocce e pallino?</t>
  </si>
  <si>
    <t>A. Un righello B. Un metro a nastro C. Una corda D. Un bastone</t>
  </si>
  <si>
    <t>Un metro a nastro</t>
  </si>
  <si>
    <t>Un metro a nastro è comunemente usato per misurare le distanze.</t>
  </si>
  <si>
    <t>Quanti punti servono per vincere una partita regolamentare?</t>
  </si>
  <si>
    <t>A. 10 punti B. 13 punti C. 15 punti D. 21 punti</t>
  </si>
  <si>
    <t>13 punti</t>
  </si>
  <si>
    <t>Di solito</t>
  </si>
  <si>
    <t>Chi ha diritto a lanciare dopo il primo turno?</t>
  </si>
  <si>
    <t>A. La squadra più vicina al pallino B. La squadra più lontana dal pallino C. La squadra che ha segnato punti D. La squadra che ha perso il turno</t>
  </si>
  <si>
    <t>La squadra più lontana dal pallino</t>
  </si>
  <si>
    <t>La squadra che ha la boccia più lontana dal pallino lancia successivamente.</t>
  </si>
  <si>
    <t>Cosa accade se una boccia colpisce il pallino e lo sposta?</t>
  </si>
  <si>
    <t>A. Il gioco continua B. Il turno finisce C. Il pallino viene rimesso a posto D. Il turno si ripete</t>
  </si>
  <si>
    <t>Il gioco continua</t>
  </si>
  <si>
    <t>Il pallino può essere spostato durante il gioco senza penalità.</t>
  </si>
  <si>
    <t>Quante bocce può avere una squadra in totale?</t>
  </si>
  <si>
    <t>A. 4 bocce B. 6 bocce C. 8 bocce D. 10 bocce</t>
  </si>
  <si>
    <t>8 bocce</t>
  </si>
  <si>
    <t>Ogni squadra ha 8 bocce</t>
  </si>
  <si>
    <t>Qual è il materiale tradizionale delle bocce?</t>
  </si>
  <si>
    <t>A. Legno B. Plastica C. Acciaio D. Bronzo</t>
  </si>
  <si>
    <t>Legno</t>
  </si>
  <si>
    <t>Le bocce tradizionali erano fatte di legno.</t>
  </si>
  <si>
    <t>Come viene chiamata la zona in cui il giocatore deve lanciare?</t>
  </si>
  <si>
    <t>A. Zona neutra B. Linea di lancio C. Area di tiro D. Zona di punteggio</t>
  </si>
  <si>
    <t>Linea di lancio</t>
  </si>
  <si>
    <t>La linea di lancio è la zona da cui si deve lanciare la boccia.</t>
  </si>
  <si>
    <t>Qual è l'ordine dei lanci in un turno?</t>
  </si>
  <si>
    <t>A. Prima tutte le bocce di una squadra B. Alternato tra squadre C. Una squadra alla volta D. Una boccia per giocatore</t>
  </si>
  <si>
    <t>Alternato tra squadre</t>
  </si>
  <si>
    <t>Le squadre lanciano alternandosi.</t>
  </si>
  <si>
    <t>Cosa succede se una boccia colpisce un'altra boccia?</t>
  </si>
  <si>
    <t>A. L'altra boccia viene rimossa B. Entrambe le bocce vengono eliminate C. Rimane in gioco dove si ferma D. Rimane in gioco ma è penalizzata</t>
  </si>
  <si>
    <t>Rimane in gioco dove si ferma</t>
  </si>
  <si>
    <t>Le bocce possono spostarsi e rimanere in gioco.</t>
  </si>
  <si>
    <t>Quale distanza minima deve essere rispettata nel posizionamento iniziale del pallino?</t>
  </si>
  <si>
    <t>A. 0 B. 5 metri C. 1 metro D. 1</t>
  </si>
  <si>
    <t>5 metri</t>
  </si>
  <si>
    <t>2 metri</t>
  </si>
  <si>
    <t>Come viene definita una partita a squadre con due giocatori per squadra?</t>
  </si>
  <si>
    <t>A. Doppio B. Tris C. Individuale D. Quattro</t>
  </si>
  <si>
    <t>Doppio</t>
  </si>
  <si>
    <t>Una partita con due giocatori per squadra si chiama doppio.</t>
  </si>
  <si>
    <t>Cosa succede se una boccia esce dal campo?</t>
  </si>
  <si>
    <t>A. Viene eliminata dal gioco B. Viene rimessa in gioco C. Viene data alla squadra avversaria D. Il turno si ripete</t>
  </si>
  <si>
    <t>Viene eliminata dal gioco</t>
  </si>
  <si>
    <t>Le bocce fuori dal campo vengono eliminate.</t>
  </si>
  <si>
    <t>Cosa significa “annullare il turno”?</t>
  </si>
  <si>
    <t>A. Non assegnare punti a nessuno B. Resettare il punteggio C. Rilanciare tutte le bocce D. Terminare la partita</t>
  </si>
  <si>
    <t>Non assegnare punti a nessuno</t>
  </si>
  <si>
    <t>Annullare il turno significa non assegnare punti a nessuno.</t>
  </si>
  <si>
    <t>Cosa determina l'inizio di una nuova partita?</t>
  </si>
  <si>
    <t>A. Chi vince il sorteggio B. Chi perde la partita precedente C. Chi segna il primo punto D. Chi ha il pallino</t>
  </si>
  <si>
    <t>Chi vince il sorteggio</t>
  </si>
  <si>
    <t>L'inizio è determinato da chi vince il sorteggio.</t>
  </si>
  <si>
    <t>Cosa accade se un giocatore lancia una boccia fuori turno?</t>
  </si>
  <si>
    <t>A. La boccia viene rimossa B. La squadra perde un punto C. La boccia rimane in gioco D. Il turno si ripete</t>
  </si>
  <si>
    <t>La boccia viene rimossa</t>
  </si>
  <si>
    <t>Se una boccia viene lanciata fuori turno</t>
  </si>
  <si>
    <t>Qual è il massimo numero di giocatori per una squadra?</t>
  </si>
  <si>
    <t>A. 2 giocatori B. 4 giocatori C. 6 giocatori D. 8 giocatori</t>
  </si>
  <si>
    <t>4 giocatori</t>
  </si>
  <si>
    <t>Ogni squadra può avere un massimo di 4 giocatori.</t>
  </si>
  <si>
    <t>Qual è la regola per scegliere il colore delle bocce?</t>
  </si>
  <si>
    <t>A. Sorteggio B. Scelta casuale C. Determinato dall'arbitro D. Scelta della squadra vincente</t>
  </si>
  <si>
    <t>Il colore delle bocce è deciso tramite sorteggio.</t>
  </si>
  <si>
    <t>Come si chiama l'azione di colpire deliberatamente una boccia avversaria?</t>
  </si>
  <si>
    <t>A. Lancio strategico B. Colpo mirato C. Tiro di spinta D. Schiacciata</t>
  </si>
  <si>
    <t>Tiro di spinta</t>
  </si>
  <si>
    <t>Il tiro di spinta è usato per colpire le bocce avversarie.</t>
  </si>
  <si>
    <t>Cosa accade se il pallino viene colpito e finisce in una posizione irregolare?</t>
  </si>
  <si>
    <t>A. Il gioco termina B. Il pallino viene rimesso a posto C. Il turno viene annullato D. Il pallino rimane dov'è</t>
  </si>
  <si>
    <t>Il pallino rimane dov'è</t>
  </si>
  <si>
    <t>Il pallino rimane nella posizione in cui si ferma</t>
  </si>
  <si>
    <t>Qual è l'elemento più importante per vincere nel gioco del Bocce?</t>
  </si>
  <si>
    <t>A. Precisione B. Velocità C. Forza D. Strategia</t>
  </si>
  <si>
    <t>La precisione è essenziale per avvicinare le bocce al pallino.</t>
  </si>
  <si>
    <t>Qual è il diametro regolamentare delle bocce?</t>
  </si>
  <si>
    <t>A. 85 mm B. 100 mm C. 110 mm D. 120 mm</t>
  </si>
  <si>
    <t>110 mm</t>
  </si>
  <si>
    <t>Le bocce regolamentari hanno un diametro massimo di 110 mm.</t>
  </si>
  <si>
    <t>In quale direzione deve essere lanciato il pallino?</t>
  </si>
  <si>
    <t>A. Verso l'arbitro B. Verso il centro del campo C. In una qualsiasi direzione D. Verso la fine opposta del campo</t>
  </si>
  <si>
    <t>Verso la fine opposta del campo</t>
  </si>
  <si>
    <t>Il pallino deve essere lanciato verso la parte opposta del campo.</t>
  </si>
  <si>
    <t>Cosa accade se il pallino non supera la metà del campo?</t>
  </si>
  <si>
    <t>A. Il turno continua B. Viene lanciato di nuovo C. Il turno è annullato D. Viene assegnato all'altra squadra</t>
  </si>
  <si>
    <t>Viene lanciato di nuovo</t>
  </si>
  <si>
    <t>Il pallino deve superare la metà del campo per essere valido.</t>
  </si>
  <si>
    <t>Chi è responsabile della misurazione durante le partite ufficiali?</t>
  </si>
  <si>
    <t>A. Il capitano della squadra B. Un giocatore scelto a caso C. L'arbitro D. Entrambe le squadre</t>
  </si>
  <si>
    <t>L'arbitro</t>
  </si>
  <si>
    <t>Durante le partite ufficiali</t>
  </si>
  <si>
    <t>Qual è la lunghezza minima del campo regolamentare di Bocce?</t>
  </si>
  <si>
    <t>A. 15 metri B. 20 metri C. 24 metri D. 26 metri</t>
  </si>
  <si>
    <t>24 metri</t>
  </si>
  <si>
    <t>La lunghezza minima del campo è di 24 metri.</t>
  </si>
  <si>
    <t>Qual è il limite massimo di punti per vincere una partita amatoriale?</t>
  </si>
  <si>
    <t>A. 10 punti B. 13 punti C. 16 punti D. 21 punti</t>
  </si>
  <si>
    <t>21 punti</t>
  </si>
  <si>
    <t>In alcune partite amatoriali</t>
  </si>
  <si>
    <t>Cosa significa "boccia da punto"?</t>
  </si>
  <si>
    <t>A. La boccia più lontana dal pallino B. La boccia che viene usata per fare punto C. La boccia lanciata per ultima D. La boccia rimossa dal gioco</t>
  </si>
  <si>
    <t>La boccia che viene usata per fare punto</t>
  </si>
  <si>
    <t>Boccia da punto si riferisce a una boccia usata per avvicinarsi al pallino.</t>
  </si>
  <si>
    <t>Cosa rappresentano i colori delle bocce?</t>
  </si>
  <si>
    <t>A. La squadra di appartenenza B. Il tipo di boccia C. La direzione di lancio D. Il punteggio del giocatore</t>
  </si>
  <si>
    <t>La squadra di appartenenza</t>
  </si>
  <si>
    <t>I colori identificano la squadra di appartenenza.</t>
  </si>
  <si>
    <t>Qual è la penalità per spostare intenzionalmente il pallino?</t>
  </si>
  <si>
    <t>A. Perdita di un punto B. Perdita del turno C. Esclusione dal gioco D. Nessuna penalità</t>
  </si>
  <si>
    <t>Perdita del turno</t>
  </si>
  <si>
    <t>Spostare intenzionalmente il pallino porta alla perdita del turno.</t>
  </si>
  <si>
    <t>Cosa si intende per "giocata tattica"?</t>
  </si>
  <si>
    <t>A. Un lancio casuale B. Un tiro calcolato per disturbare l'avversario C. Un errore volontario D. Un colpo di fortuna</t>
  </si>
  <si>
    <t>Un tiro calcolato per disturbare l'avversario</t>
  </si>
  <si>
    <t>La giocata tattica mira a disturbare la strategia dell'avversario.</t>
  </si>
  <si>
    <t>Quanti tipi di tiro esistono nel gioco del Bocce?</t>
  </si>
  <si>
    <t>I principali tipi di tiro sono punto</t>
  </si>
  <si>
    <t>Come si chiama il tiro che colpisce una boccia in aria?</t>
  </si>
  <si>
    <t>A. Tiro di precisione B. Tiro a raffa C. Tiro di volo D. Tiro lungo</t>
  </si>
  <si>
    <t>Tiro di volo</t>
  </si>
  <si>
    <t>Il tiro di volo mira a colpire una boccia o il pallino in aria.</t>
  </si>
  <si>
    <t>Qual è il peso massimo di una boccia regolamentare?</t>
  </si>
  <si>
    <t>A. 1 B. 5 kg C. 2 kg D. 2</t>
  </si>
  <si>
    <t>5 kg</t>
  </si>
  <si>
    <t>3 kg</t>
  </si>
  <si>
    <t>Cosa succede se tutte le bocce di una squadra sono più lontane dal pallino rispetto all'avversario?</t>
  </si>
  <si>
    <t>A. Ottengono un punto B. L'avversario ottiene punti per tutte le sue bocce più vicine C. Il turno si annulla D. Si ricomincia il gioco</t>
  </si>
  <si>
    <t>L'avversario ottiene punti per tutte le sue bocce più vicine</t>
  </si>
  <si>
    <t>Il punteggio è calcolato considerando tutte le bocce più vicine al pallino.</t>
  </si>
  <si>
    <t>Come si chiama la linea che delimita l'inizio del campo?</t>
  </si>
  <si>
    <t>A. Linea di bordo B. Linea di fondo C. Linea di gioco D. Linea del pallino</t>
  </si>
  <si>
    <t>Linea di fondo</t>
  </si>
  <si>
    <t>La linea di fondo delimita l'inizio del campo.</t>
  </si>
  <si>
    <t>Qual è la lunghezza massima del campo regolamentare?</t>
  </si>
  <si>
    <t>A. 24 metri B. 26 metri C. 28 metri D. 30 metri</t>
  </si>
  <si>
    <t>28 metri</t>
  </si>
  <si>
    <t>La lunghezza massima del campo è di 28 metri.</t>
  </si>
  <si>
    <t>Cosa si deve fare prima di ogni lancio?</t>
  </si>
  <si>
    <t>A. Chiedere il permesso all'arbitro B. Scegliere la direzione del lancio C. Segnare la posizione delle bocce D. Confermare il punteggio</t>
  </si>
  <si>
    <t>Segnare la posizione delle bocce</t>
  </si>
  <si>
    <t>Prima di ogni lancio</t>
  </si>
  <si>
    <t>Quale superficie è ideale per il gioco del Bocce?</t>
  </si>
  <si>
    <t>A. Erba sintetica B. Tappeto di gomma C. Terreno naturale D. Terreno liscio e sabbioso</t>
  </si>
  <si>
    <t>Terreno liscio e sabbioso</t>
  </si>
  <si>
    <t>Un terreno liscio e sabbioso è ideale per il gioco.</t>
  </si>
  <si>
    <t>Quanto tempo ha un giocatore per effettuare il lancio?</t>
  </si>
  <si>
    <t>A. 15 secondi B. 30 secondi C. 1 minuto D. 2 minuti</t>
  </si>
  <si>
    <t>30 secondi</t>
  </si>
  <si>
    <t>Un giocatore ha 30 secondi per lanciare la boccia.</t>
  </si>
  <si>
    <t>Quale azione è vietata durante il gioco?</t>
  </si>
  <si>
    <t>A. Parlare con i compagni B. Guardare le bocce avversarie C. Camminare sul campo durante un turno D. Lanciare la boccia oltre la linea di fondo</t>
  </si>
  <si>
    <t>Camminare sul campo durante un turno</t>
  </si>
  <si>
    <t>È vietato camminare sul campo mentre è in corso un turno.</t>
  </si>
  <si>
    <t>Come si chiama la strategia di bloccare il pallino?</t>
  </si>
  <si>
    <t>A. Tiro a raffa B. Tiro di volo C. Tiro difensivo D. Tiro di blocco</t>
  </si>
  <si>
    <t>Tiro difensivo</t>
  </si>
  <si>
    <t>Un tiro difensivo è usato per bloccare l'accesso al pallino.</t>
  </si>
  <si>
    <t>Qual è la penalità per aver lanciato oltre la linea di fondo?</t>
  </si>
  <si>
    <t>A. Perdita del turno B. Penalità di un punto C. Esclusione dal gioco D. Nessuna penalità</t>
  </si>
  <si>
    <t>Lanciare oltre la linea di fondo comporta la perdita del turno.</t>
  </si>
  <si>
    <t>Cosa indica il termine "volo"?</t>
  </si>
  <si>
    <t>A. Un tipo di boccia B. Un tipo di tiro C. Una fase del gioco D. Un errore di lancio</t>
  </si>
  <si>
    <t>Un tipo di tiro</t>
  </si>
  <si>
    <t>Volo è un tipo di tiro per colpire bocce o pallino.</t>
  </si>
  <si>
    <t>Quanti giocatori ci sono in una partita di individuale?</t>
  </si>
  <si>
    <t>A. 1 per squadra B. 2 per squadra C. 4 per squadra D. 6 per squadra</t>
  </si>
  <si>
    <t>1 per squadra</t>
  </si>
  <si>
    <t>Nelle partite individuali</t>
  </si>
  <si>
    <t>Cosa si intende per "vantaggio tattico"?</t>
  </si>
  <si>
    <t>A. Posizionare la boccia vicino al pallino B. Allontanare il pallino dall'avversario C. Disturbare l'avversario con parole D. Guadagnare punti extra</t>
  </si>
  <si>
    <t>Allontanare il pallino dall'avversario</t>
  </si>
  <si>
    <t>Un vantaggio tattico può significare allontanare il pallino dall'avversario.</t>
  </si>
  <si>
    <t>Cosa deve fare l'arbitro in caso di contestazioni?</t>
  </si>
  <si>
    <t>A. Assegnare punti a caso B. Assegnare punti alla squadra avversaria C. Effettuare una misurazione D. Annullare il turno</t>
  </si>
  <si>
    <t>Effettuare una misurazione</t>
  </si>
  <si>
    <t>L'arbitro deve misurare le distanze in caso di contestazioni.</t>
  </si>
  <si>
    <t>Qual è il ruolo del capitano di squadra?</t>
  </si>
  <si>
    <t>A. Lanciare il pallino B. Controllare il punteggio C. Organizzare i turni e discutere con l'arbitro D. Giocare per tutta la squadra</t>
  </si>
  <si>
    <t>Organizzare i turni e discutere con l'arbitro</t>
  </si>
  <si>
    <t>Il capitano organizza i turni e rappresenta la squadra nelle decisioni.</t>
  </si>
  <si>
    <t>Qual è la regola principale per dichiarare una boccia valida?</t>
  </si>
  <si>
    <t>A. Deve toccare il pallino B. Deve rimanere dentro il campo C. Deve superare tutte le altre bocce D. Deve essere di colore diverso</t>
  </si>
  <si>
    <t>Deve rimanere dentro il campo</t>
  </si>
  <si>
    <t>Una boccia è valida se rimane all'interno del campo.</t>
  </si>
  <si>
    <t>Cosa si intende per "fine del turno"?</t>
  </si>
  <si>
    <t>A. Quando tutte le bocce sono lanciate B. Quando il pallino è colpito C. Quando un giocatore decide D. Quando l'arbitro annuncia la fine</t>
  </si>
  <si>
    <t>Quando tutte le bocce sono lanciate</t>
  </si>
  <si>
    <t>Un turno termina quando tutte le bocce sono lanciate.</t>
  </si>
  <si>
    <t>Cosa accade se una squadra non ha più bocce da lanciare?</t>
  </si>
  <si>
    <t>A. Il turno si conclude B. L'altra squadra lancia tutte le bocce rimaste C. La partita finisce D. Il punteggio viene assegnato a caso</t>
  </si>
  <si>
    <t>L'altra squadra lancia tutte le bocce rimaste</t>
  </si>
  <si>
    <t>L'altra squadra completa i propri lanci prima di concludere il turno.</t>
  </si>
  <si>
    <t>Qual è il massimo numero di punti che una squadra può ottenere in un turno?</t>
  </si>
  <si>
    <t>A. 4 punti B. 6 punti C. 8 punti D. 10 punti</t>
  </si>
  <si>
    <t>8 punti</t>
  </si>
  <si>
    <t>Una squadra può ottenere fino a 8 punti in un turno se tutte le sue bocce sono più vicine al pallino rispetto a quelle avversarie.</t>
  </si>
  <si>
    <t>Qual è l'obiettivo del tiro di raffa?</t>
  </si>
  <si>
    <t>A. Colpire il pallino direttamente B. Colpire una boccia avversaria per cambiare la posizione C. Colpire una boccia propria per avvicinarla D. Far uscire una boccia dal campo</t>
  </si>
  <si>
    <t>Colpire una boccia avversaria per cambiare la posizione</t>
  </si>
  <si>
    <t>Il tiro di raffa mira a modificare la disposizione delle bocce sul campo.</t>
  </si>
  <si>
    <t>Cosa accade se una boccia si ferma sopra il pallino?</t>
  </si>
  <si>
    <t>A. Il turno si ripete B. Il pallino viene spostato C. La boccia viene rimossa D. Il gioco continua</t>
  </si>
  <si>
    <t>Il gioco prosegue normalmente</t>
  </si>
  <si>
    <t>Quale azione è considerata scorrettezza nel gioco del Bocce?</t>
  </si>
  <si>
    <t>A. Parlare durante il turno dell'avversario B. Muoversi sul campo C. Contestare il punteggio senza motivo D. Parlare durante il turno dell'avversario</t>
  </si>
  <si>
    <t>Parlare durante il turno dell'avversario è considerato scorretto.</t>
  </si>
  <si>
    <t>Come viene deciso l'ordine di lancio dopo il sorteggio iniziale?</t>
  </si>
  <si>
    <t>A. Chi perde il sorteggio lancia per primo B. Chi vince il sorteggio lancia per primo C. Deciso dall'arbitro D. Alternanza casuale</t>
  </si>
  <si>
    <t>Chi vince il sorteggio lancia per primo</t>
  </si>
  <si>
    <t>Il vincitore del sorteggio decide chi lancia per primo.</t>
  </si>
  <si>
    <t>Qual è il termine usato per indicare la boccia che devia il pallino?</t>
  </si>
  <si>
    <t>A. Boccia strategica B. Boccia di raffa C. Boccia volante D. Boccia di spostamento</t>
  </si>
  <si>
    <t>Boccia di raffa</t>
  </si>
  <si>
    <t>La boccia che devia il pallino con un tiro strategico è detta boccia di raffa.</t>
  </si>
  <si>
    <t>Cosa succede se il pallino viene posizionato vicino a una boccia avversaria?</t>
  </si>
  <si>
    <t>A. Il gioco continua normalmente B. Il pallino viene spostato C. Il turno viene annullato D. La boccia avversaria viene rimossa</t>
  </si>
  <si>
    <t>Il gioco continua normalmente</t>
  </si>
  <si>
    <t>Il pallino può essere vicino a qualsiasi boccia senza penalità.</t>
  </si>
  <si>
    <t>Come si calcola il punteggio in un turno?</t>
  </si>
  <si>
    <t>A. Somma del numero di bocce lanciate B. Somma delle bocce più vicine al pallino rispetto a quelle avversarie C. Distanza totale delle bocce dal pallino D. Punti decisi dall'arbitro</t>
  </si>
  <si>
    <t>Somma delle bocce più vicine al pallino rispetto a quelle avversarie</t>
  </si>
  <si>
    <t>Il punteggio è basato sulle bocce più vicine al pallino rispetto agli avversari.</t>
  </si>
  <si>
    <t>Cosa significa “giocare in difesa” nel Bocce?</t>
  </si>
  <si>
    <t>A. Lanciare bocce lontane dal pallino B. Lanciare bocce per bloccare le bocce avversarie C. Lanciare bocce vicino ai bordi del campo D. Non lanciare la boccia</t>
  </si>
  <si>
    <t>Lanciare bocce per bloccare le bocce avversarie</t>
  </si>
  <si>
    <t>Giocare in difesa implica bloccare le strategie dell'avversario.</t>
  </si>
  <si>
    <t>Cosa deve fare una squadra se tutte le sue bocce sono fuori dal campo?</t>
  </si>
  <si>
    <t>A. Attendere il turno successivo B. Rilanciare le bocce C. Perdere il turno D. Ricevere una penalità</t>
  </si>
  <si>
    <t>Attendere il turno successivo</t>
  </si>
  <si>
    <t>Le bocce fuori dal campo sono eliminate fino al turno successivo.</t>
  </si>
  <si>
    <t>Cosa si intende per “vantaggio di campo”?</t>
  </si>
  <si>
    <t>A. Giocare nel proprio campo B. Conoscere meglio il terreno C. Avere più bocce dell'avversario D. Scegliere il pallino</t>
  </si>
  <si>
    <t>Conoscere meglio il terreno</t>
  </si>
  <si>
    <t>Il vantaggio di campo si riferisce alla familiarità con il terreno di gioco.</t>
  </si>
  <si>
    <t>Cosa accade se un giocatore colpisce una boccia del compagno di squadra?</t>
  </si>
  <si>
    <t>A. La boccia rimane dov'è B. La boccia viene rimossa C. La squadra perde punti D. Il turno si annulla</t>
  </si>
  <si>
    <t>La boccia rimane dov'è</t>
  </si>
  <si>
    <t>Le bocce colpite dai compagni restano in gioco.</t>
  </si>
  <si>
    <t>Qual è il peso minimo di una boccia regolamentare?</t>
  </si>
  <si>
    <t>A. 1 kg B. 1 C. 2 kg D. 1</t>
  </si>
  <si>
    <t>2 kg</t>
  </si>
  <si>
    <t>Cosa si deve fare se il pallino è irraggiungibile?</t>
  </si>
  <si>
    <t>A. Il turno si annulla B. Viene posizionato di nuovo C. Viene assegnato un punto a caso D. Si misura la distanza tra le bocce</t>
  </si>
  <si>
    <t>Viene posizionato di nuovo</t>
  </si>
  <si>
    <t>Il pallino viene riposizionato in un punto valido.</t>
  </si>
  <si>
    <t>Qual è la regola per i lanci fuori turno?</t>
  </si>
  <si>
    <t>A. Sono considerati validi B. Vengono ripetuti C. Vengono rimossi D. Il giocatore è penalizzato</t>
  </si>
  <si>
    <t>Vengono rimossi</t>
  </si>
  <si>
    <t>I lanci fuori turno non sono validi e vengono rimossi.</t>
  </si>
  <si>
    <t>Come si chiama il tiro che punta direttamente al pallino?</t>
  </si>
  <si>
    <t>A. Tiro di precisione B. Tiro di raffa C. Tiro di pallino D. Tiro strategico</t>
  </si>
  <si>
    <t>Tiro di pallino</t>
  </si>
  <si>
    <t>Il tiro di pallino mira a colpire direttamente il bersaglio.</t>
  </si>
  <si>
    <t>Cosa si usa per segnalare la posizione delle bocce?</t>
  </si>
  <si>
    <t>A. Un gesso B. Un nastro C. Un marcatore D. Un righello</t>
  </si>
  <si>
    <t>Un gesso</t>
  </si>
  <si>
    <t>Il gesso è usato per segnare la posizione delle bocce.</t>
  </si>
  <si>
    <t>Quale parte del campo è chiamata "area di lancio"?</t>
  </si>
  <si>
    <t>A. La zona centrale B. La parte posteriore C. La zona entro la linea di fondo D. La zona attorno al pallino</t>
  </si>
  <si>
    <t>La zona entro la linea di fondo</t>
  </si>
  <si>
    <t>L'area di lancio è quella entro la linea di fondo.</t>
  </si>
  <si>
    <t>Cosa si intende per “riposizionare il pallino”?</t>
  </si>
  <si>
    <t>A. Muoverlo vicino a una boccia B. Metterlo nel punto originale C. Spingerlo verso una linea D. Posizionarlo a metà campo</t>
  </si>
  <si>
    <t>Metterlo nel punto originale</t>
  </si>
  <si>
    <t>Riposizionare il pallino significa rimetterlo nel punto originale.</t>
  </si>
  <si>
    <t>Qual è l'obiettivo principale del tiro difensivo?</t>
  </si>
  <si>
    <t>A. Avvicinare la boccia al pallino B. Bloccare l'accesso al pallino C. Colpire una boccia avversaria D. Fare uscire una boccia dal campo</t>
  </si>
  <si>
    <t>Bloccare l'accesso al pallino</t>
  </si>
  <si>
    <t>Il tiro difensivo blocca l'accesso al pallino.</t>
  </si>
  <si>
    <t>Cosa accade se una squadra lancia una boccia non regolamentare?</t>
  </si>
  <si>
    <t>A. La boccia viene accettata B. La boccia viene rimossa C. Il turno si annulla D. Viene assegnato un punto all'avversario</t>
  </si>
  <si>
    <t>Le bocce non regolamentari non sono valide.</t>
  </si>
  <si>
    <t>Chi ha l'autorità finale sul punteggio?</t>
  </si>
  <si>
    <t>A. Il capitano B. L'arbitro C. I giocatori D. La squadra vincente</t>
  </si>
  <si>
    <t>L'arbitro decide il punteggio finale.</t>
  </si>
  <si>
    <t>Qual è la distanza massima consentita tra il pallino e la linea di fondo?</t>
  </si>
  <si>
    <t>A. 6 metri B. 8 metri C. 10 metri D. 12 metri</t>
  </si>
  <si>
    <t>10 metri</t>
  </si>
  <si>
    <t>Il pallino non deve essere posizionato a più di 10 metri dalla linea di fondo.</t>
  </si>
  <si>
    <t>Cosa si intende per “tiro aperto”?</t>
  </si>
  <si>
    <t>A. Un tiro diretto senza ostacoli B. Un tiro che colpisce altre bocce C. Un tiro per fare punto D. Un tiro di difesa</t>
  </si>
  <si>
    <t>Un tiro diretto senza ostacoli</t>
  </si>
  <si>
    <t>Un tiro aperto è effettuato senza ostacoli tra la boccia e il bersaglio.</t>
  </si>
  <si>
    <t>Cosa si deve evitare durante il turno dell'avversario?</t>
  </si>
  <si>
    <t>A. Guardare il campo B. Parlare o disturbare C. Rimanere sul bordo del campo D. Posizionarsi dietro il giocatore</t>
  </si>
  <si>
    <t>Parlare o disturbare</t>
  </si>
  <si>
    <t>È importante non disturbare durante il turno dell'avversario.</t>
  </si>
  <si>
    <t>Cosa accade se il pallino viene colpito fuori dal campo?</t>
  </si>
  <si>
    <t>A. Viene posizionato nel punto più vicino entro il campo B. Il turno si annulla C. Viene rimesso al centro D. Il pallino rimane fuori dal campo</t>
  </si>
  <si>
    <t>Il pallino deve essere riportato entro i limiti del campo.</t>
  </si>
  <si>
    <t>Cosa si usa per determinare la boccia più vicina al pallino?</t>
  </si>
  <si>
    <t>A. Un bastone B. Un metro C. Un calibro D. Un righello</t>
  </si>
  <si>
    <t>Un metro</t>
  </si>
  <si>
    <t>Un metro è usato per misurare la distanza.</t>
  </si>
  <si>
    <t>Come si chiama il tiro usato per colpire più bocce insieme?</t>
  </si>
  <si>
    <t>A. Tiro multiplo B. Tiro di massa C. Tiro combinato D. Tiro di raffa</t>
  </si>
  <si>
    <t>Tiro combinato</t>
  </si>
  <si>
    <t>Il tiro combinato è usato per colpire più bocce in un unico lancio.</t>
  </si>
  <si>
    <t>Cosa accade se un giocatore supera il tempo limite per il lancio?</t>
  </si>
  <si>
    <t>A. Perde il turno B. Viene penalizzato un punto C. Può rilanciare D. Il turno si annulla</t>
  </si>
  <si>
    <t>Perde il turno</t>
  </si>
  <si>
    <t>Superare il tempo limite comporta la perdita del turno.</t>
  </si>
  <si>
    <t>Cosa indica il termine “campo neutro”?</t>
  </si>
  <si>
    <t>A. Un campo condiviso da più squadre B. Una zona del campo senza bocce C. Un campo privo di squadre residenti D. Un'area designata dall'arbitro</t>
  </si>
  <si>
    <t>Una zona del campo senza bocce</t>
  </si>
  <si>
    <t>Il campo neutro è una zona libera da bocce.</t>
  </si>
  <si>
    <t>Qual è l'obiettivo del tiro a volo?</t>
  </si>
  <si>
    <t>A. Colpire una boccia in aria B. Colpire il pallino senza toccare il terreno C. Colpire il terreno prima di colpire il pallino D. Effettuare un lancio lungo</t>
  </si>
  <si>
    <t>Colpire una boccia in aria</t>
  </si>
  <si>
    <t>Il tiro a volo è mirato a colpire una boccia o il pallino senza toccare il terreno.</t>
  </si>
  <si>
    <t>Cosa succede se il pallino viene spinto fuori dal campo durante un turno?</t>
  </si>
  <si>
    <t>A. Viene riposizionato nel punto originale B. Viene eliminato dal gioco C. Il turno viene annullato D. Il gioco continua senza pallino</t>
  </si>
  <si>
    <t>Viene riposizionato nel punto originale</t>
  </si>
  <si>
    <t>Il pallino viene riportato nel punto originale se esce dal campo.</t>
  </si>
  <si>
    <t>Quante bocce può lanciare ogni giocatore in una partita individuale?</t>
  </si>
  <si>
    <t>Nelle partite individuali ogni giocatore può lanciare fino a 4 bocce.</t>
  </si>
  <si>
    <t>Cosa si intende per “zona di punteggio”?</t>
  </si>
  <si>
    <t>A. La parte del campo dove si trova il pallino B. La zona entro cui si trovano le bocce più vicine al pallino C. La parte centrale del campo D. La parte opposta al lancio</t>
  </si>
  <si>
    <t>La zona entro cui si trovano le bocce più vicine al pallino</t>
  </si>
  <si>
    <t>Le bocce nella zona di punteggio determinano il punteggio del turno.</t>
  </si>
  <si>
    <t>Qual è il termine usato per descrivere una boccia perfettamente posizionata vicino al pallino?</t>
  </si>
  <si>
    <t>A. Boccia d'oro B. Boccia strategica C. Boccia perfetta D. Boccia di punto</t>
  </si>
  <si>
    <t>Boccia di punto</t>
  </si>
  <si>
    <t>Una boccia vicinissima al pallino è detta boccia di punto.</t>
  </si>
  <si>
    <t>Qual è la distanza minima tra la linea di lancio e il pallino?</t>
  </si>
  <si>
    <t>A. 3 metri B. 4 metri C. 5 metri D. 6 metri</t>
  </si>
  <si>
    <t>4 metri</t>
  </si>
  <si>
    <t>Il pallino deve essere lanciato a una distanza minima di 4 metri dalla linea di lancio.</t>
  </si>
  <si>
    <t>Cosa accade se una boccia lanciata rompe il pallino?</t>
  </si>
  <si>
    <t>A. Il pallino viene sostituito B. Viene assegnato un punto all'altra squadra C. Il turno è annullato D. Il gioco continua con il pallino rotto</t>
  </si>
  <si>
    <t>Il pallino viene sostituito</t>
  </si>
  <si>
    <t>Se il pallino si rompe viene sostituito senza penalità.</t>
  </si>
  <si>
    <t>Quanti arbitri ci sono in una partita ufficiale di Bocce?</t>
  </si>
  <si>
    <t>In una partita ufficiale di Bocce c'è un arbitro principale.</t>
  </si>
  <si>
    <t>Cosa rappresenta il termine “spinta” nel gioco del Bocce?</t>
  </si>
  <si>
    <t>A. Un colpo per avvicinare una boccia B. Un colpo per spingere il pallino C. Un colpo per allontanare una boccia avversaria D. Un colpo per spostare più bocce</t>
  </si>
  <si>
    <t>Un colpo per avvicinare una boccia</t>
  </si>
  <si>
    <t>La spinta è usata per avvicinare una boccia al pallino.</t>
  </si>
  <si>
    <t>Cosa si intende per “campo regolamentare”?</t>
  </si>
  <si>
    <t>A. Un campo di dimensioni ufficiali B. Un campo con regole personalizzate C. Un campo aperto a tutti i giocatori D. Un campo con bordi alti</t>
  </si>
  <si>
    <t>Un campo di dimensioni ufficiali</t>
  </si>
  <si>
    <t>Il campo regolamentare segue le misure ufficiali.</t>
  </si>
  <si>
    <t>Come viene scelto il capitano di una squadra?</t>
  </si>
  <si>
    <t>A. A caso B. Per abilità di gioco C. Per esperienza D. Per decisione dell'arbitro</t>
  </si>
  <si>
    <t>Per abilità di gioco</t>
  </si>
  <si>
    <t>Il capitano è spesso scelto per la sua abilità strategica.</t>
  </si>
  <si>
    <t>Cosa accade se una boccia colpisce una barriera laterale e rientra in campo?</t>
  </si>
  <si>
    <t>A. Viene considerata valida B. Viene rimossa dal gioco C. Viene rilanciata D. Viene conteggiata come un errore</t>
  </si>
  <si>
    <t>Viene rimossa dal gioco</t>
  </si>
  <si>
    <t>Le bocce che colpiscono le barriere sono rimosse.</t>
  </si>
  <si>
    <t>Cosa significa “vantaggio strategico” nel Bocce?</t>
  </si>
  <si>
    <t>A. Avere più bocce vicino al pallino B. Avere il primo turno C. Avere una boccia più pesante D. Controllare il terreno di gioco</t>
  </si>
  <si>
    <t>Avere più bocce vicino al pallino</t>
  </si>
  <si>
    <t>Il vantaggio strategico è dato dalla posizione delle bocce.</t>
  </si>
  <si>
    <t>Qual è il tempo massimo per una partita regolamentare di Bocce?</t>
  </si>
  <si>
    <t>A. 1 ora B. 1 ora e 30 minuti C. 2 ore D. Tempo illimitato</t>
  </si>
  <si>
    <t>1 ora e 30 minuti</t>
  </si>
  <si>
    <t>Una partita regolamentare dura al massimo 1 ora e 30 minuti.</t>
  </si>
  <si>
    <t>Cosa succede se il pallino non raggiunge la distanza minima al lancio?</t>
  </si>
  <si>
    <t>A. Il turno viene annullato B. Il pallino viene rilanciato C. Il turno passa all'avversario D. Il gioco continua senza pallino</t>
  </si>
  <si>
    <t>Il pallino viene rilanciato</t>
  </si>
  <si>
    <t>Il pallino deve essere rilanciato fino a raggiungere la distanza minima.</t>
  </si>
  <si>
    <t>Qual è il numero massimo di giocatori per squadra in una partita di Bocce tradizionale?</t>
  </si>
  <si>
    <t>A. 2 B. 4 C. 6 D. 8</t>
  </si>
  <si>
    <t>Ogni squadra può avere al massimo 4 giocatori in una partita tradizionale.</t>
  </si>
  <si>
    <t>Cosa si deve fare se due bocce sono alla stessa distanza dal pallino?</t>
  </si>
  <si>
    <t>A. Assegnare un punto a entrambe le squadre B. Rilanciare le bocce C. Effettuare una nuova misurazione D. Il turno viene annullato</t>
  </si>
  <si>
    <t>Effettuare una nuova misurazione</t>
  </si>
  <si>
    <t>Una nuova misurazione è necessaria per decidere.</t>
  </si>
  <si>
    <t>Qual è l'angolo ideale per un tiro di precisione?</t>
  </si>
  <si>
    <t>A. 20° B. 30° C. 45° D. 60°</t>
  </si>
  <si>
    <t>45°</t>
  </si>
  <si>
    <t>Un angolo di 45° è ideale per un tiro di precisione.</t>
  </si>
  <si>
    <t>Come viene gestita una boccia che si ferma esattamente sulla linea di bordo?</t>
  </si>
  <si>
    <t>A. È considerata fuori B. È considerata valida C. Deve essere rilanciata D. Viene rimossa dal campo</t>
  </si>
  <si>
    <t>È considerata valida</t>
  </si>
  <si>
    <t>Le bocce sulla linea di bordo sono valide.</t>
  </si>
  <si>
    <t>Cosa si intende per “zona neutra” nel campo di Bocce?</t>
  </si>
  <si>
    <t>A. Una zona senza bocce B. La zona centrale del campo C. La zona tra la linea di lancio e il pallino D. La zona dietro il pallino</t>
  </si>
  <si>
    <t>La zona centrale del campo</t>
  </si>
  <si>
    <t>La zona neutra è la parte centrale del campo.</t>
  </si>
  <si>
    <t>Cosa succede se il pallino si ferma sulla linea di fondo?</t>
  </si>
  <si>
    <t>A. Viene considerato valido B. Viene riposizionato C. Il turno si annulla D. Il gioco continua senza pallino</t>
  </si>
  <si>
    <t>Viene considerato valido</t>
  </si>
  <si>
    <t>Il pallino è valido anche se si ferma sulla linea di fondo.</t>
  </si>
  <si>
    <t>Cosa si usa per misurare con precisione la distanza delle bocce?</t>
  </si>
  <si>
    <t>A. Un laser B. Un calibro C. Un metro speciale D. Un righello di precisione</t>
  </si>
  <si>
    <t>Un calibro</t>
  </si>
  <si>
    <t>Il calibro è usato per misurazioni precise.</t>
  </si>
  <si>
    <t>Come si chiama la fase iniziale del gioco in cui si lancia il pallino?</t>
  </si>
  <si>
    <t>A. Inizio partita B. Tiro di apertura C. Lancio iniziale D. Avvio del turno</t>
  </si>
  <si>
    <t>Tiro di apertura</t>
  </si>
  <si>
    <t>La fase iniziale è detta tiro di apertura.</t>
  </si>
  <si>
    <t>Cosa succede se una squadra non riesce a raggiungere il punteggio massimo dopo il tempo limite?</t>
  </si>
  <si>
    <t>A. La partita si prolunga B. La partita termina e vince chi ha più punti C. La partita viene annullata D. La partita finisce in parità</t>
  </si>
  <si>
    <t>La partita termina e vince chi ha più punti</t>
  </si>
  <si>
    <t>Alla fine del tempo limite vince chi ha più punti.</t>
  </si>
  <si>
    <t>Cosa si intende per “boccia avversaria”?</t>
  </si>
  <si>
    <t>A. Una boccia con colore diverso B. Una boccia appartenente alla squadra opposta C. Una boccia che colpisce il pallino D. Una boccia fuori dal campo</t>
  </si>
  <si>
    <t>Una boccia appartenente alla squadra opposta</t>
  </si>
  <si>
    <t>Le bocce avversarie sono quelle dell'altra squadra.</t>
  </si>
  <si>
    <t>Cosa rappresenta il termine “precisione” nel gioco del Bocce?</t>
  </si>
  <si>
    <t>A. La capacità di colpire altre bocce B. La capacità di avvicinare la boccia al pallino C. La forza del tiro D. La velocità del lancio</t>
  </si>
  <si>
    <t>La capacità di avvicinare la boccia al pallino</t>
  </si>
  <si>
    <t>La precisione è fondamentale per avvicinarsi al pallino.</t>
  </si>
  <si>
    <t>Come viene scelto il colore delle bocce per ogni squadra?</t>
  </si>
  <si>
    <t>A. Sorteggio B. Decisione dell'arbitro C. Consegna casuale D. Scelta dei giocatori</t>
  </si>
  <si>
    <t>Il colore delle bocce viene assegnato tramite sorteggio.</t>
  </si>
  <si>
    <t>Qual è il ruolo dell'arbitro in caso di dispute sul punteggio?</t>
  </si>
  <si>
    <t>A. Assegnare un punto a ciascuna squadra B. Consultare i giocatori C. Effettuare una misurazione ufficiale D. Decidere a caso</t>
  </si>
  <si>
    <t>Effettuare una misurazione ufficiale</t>
  </si>
  <si>
    <t>L'arbitro misura per risolvere le dispute.</t>
  </si>
  <si>
    <t>Cosa accade se il pallino viene toccato da una boccia in movimento?</t>
  </si>
  <si>
    <t>A. Il gioco continua normalmente B. Il pallino viene riposizionato C. Il turno viene annullato D. Il pallino è rimosso dal campo</t>
  </si>
  <si>
    <t>Il pallino può essere spostato durante il gioco.</t>
  </si>
  <si>
    <t>Cosa si intende per “tiro lungo”?</t>
  </si>
  <si>
    <t>A. Un lancio oltre la metà campo B. Un lancio che colpisce il pallino C. Un lancio molto potente D. Un lancio che supera il pallino</t>
  </si>
  <si>
    <t>Un lancio oltre la metà campo</t>
  </si>
  <si>
    <t>Il tiro lungo è usato per raggiungere distanze maggiori.</t>
  </si>
  <si>
    <t>Cosa significa “cambio di mano” nel gioco delle Bocce?</t>
  </si>
  <si>
    <t>A. Passare la boccia a un compagno B. Utilizzare la mano opposta per il lancio C. Cedere il turno all'avversario D. Colpire una boccia avversaria</t>
  </si>
  <si>
    <t>Utilizzare la mano opposta per il lancio</t>
  </si>
  <si>
    <t>Cambio di mano indica il lancio con la mano opposta a quella dominante.</t>
  </si>
  <si>
    <t>Cosa si intende per “boccia tattica”?</t>
  </si>
  <si>
    <t>A. Una boccia lanciata senza obiettivo B. Una boccia usata per ostacolare l'avversario C. Una boccia lanciata per errore D. Una boccia fuori dal campo</t>
  </si>
  <si>
    <t>Una boccia usata per ostacolare l'avversario</t>
  </si>
  <si>
    <t>Le bocce tattiche sono usate per controllare il campo.</t>
  </si>
  <si>
    <t>Cosa accade se il pallino tocca una boccia avversaria?</t>
  </si>
  <si>
    <t>A. Il gioco si interrompe B. Il pallino rimane dov'è C. Il turno si annulla D. La boccia avversaria viene rimossa</t>
  </si>
  <si>
    <t>Il pallino resta in gioco nella nuova posizione.</t>
  </si>
  <si>
    <t>Qual è il termine per un tiro che elimina una boccia avversaria dal gioco?</t>
  </si>
  <si>
    <t>A. Tiro di potenza B. Tiro di volo C. Tiro di eliminazione D. Tiro strategico</t>
  </si>
  <si>
    <t>Un tiro di volo può rimuovere una boccia avversaria dal gioco.</t>
  </si>
  <si>
    <t>Come viene determinato il vincitore in caso di punteggio pari alla fine della partita?</t>
  </si>
  <si>
    <t>A. Un turno supplementare B. Sorteggio C. Calcolo della distanza dal pallino D. Il gioco si dichiara pari</t>
  </si>
  <si>
    <t>Un turno supplementare</t>
  </si>
  <si>
    <t>Un turno extra è spesso usato per risolvere il pareggio.</t>
  </si>
  <si>
    <t>Cosa significa “protezione del pallino”?</t>
  </si>
  <si>
    <t>A. Bloccare l'accesso al pallino con le bocce B. Spingere il pallino più lontano C. Tenere il pallino in mano D. Proteggere il pallino da tiri avversari</t>
  </si>
  <si>
    <t>Bloccare l'accesso al pallino con le bocce</t>
  </si>
  <si>
    <t>La protezione implica circondare il pallino con bocce alleate.</t>
  </si>
  <si>
    <t>Cosa accade se il pallino si ferma sulla linea di fondo?</t>
  </si>
  <si>
    <t>A. Viene considerato fuori B. Viene riposizionato C. Viene lasciato in quella posizione D. Il turno si annulla</t>
  </si>
  <si>
    <t>Viene lasciato in quella posizione</t>
  </si>
  <si>
    <t>Il pallino rimane in gioco anche sulla linea di fondo.</t>
  </si>
  <si>
    <t>Qual è l'importanza della posizione del lanciatore?</t>
  </si>
  <si>
    <t>A. Aumentare la potenza del tiro B. Aumentare la precisione del tiro C. Influenzare il punteggio D. Rendere il gioco più veloce</t>
  </si>
  <si>
    <t>Aumentare la precisione del tiro</t>
  </si>
  <si>
    <t>La posizione del lanciatore è fondamentale per la precisione.</t>
  </si>
  <si>
    <t>Cosa accade se una boccia si rompe durante un lancio?</t>
  </si>
  <si>
    <t>A. Il lancio si ripete B. La boccia viene sostituita C. Il turno si annulla D. Il punteggio viene assegnato automaticamente</t>
  </si>
  <si>
    <t>La boccia viene sostituita</t>
  </si>
  <si>
    <t>Una boccia rotta viene sostituita e il lancio può essere ripetuto.</t>
  </si>
  <si>
    <t>Cosa si intende per “zona di sicurezza”?</t>
  </si>
  <si>
    <t>A. Un'area dove non è permesso lanciare B. Un'area dedicata agli spettatori C. Un'area lontana dalle bocce e dal pallino D. Un'area per il riposo dei giocatori</t>
  </si>
  <si>
    <t>Un'area lontana dalle bocce e dal pallino</t>
  </si>
  <si>
    <t>La zona di sicurezza è destinata a evitare interferenze.</t>
  </si>
  <si>
    <t>Cosa rappresenta il termine “campo attivo”?</t>
  </si>
  <si>
    <t>A. Un campo pronto per il gioco B. Una zona dove si concentrano le bocce C. Una zona di allenamento D. Un campo utilizzato per partite ufficiali</t>
  </si>
  <si>
    <t>Un campo pronto per il gioco</t>
  </si>
  <si>
    <t>Il campo attivo è quello dove si svolge il gioco.</t>
  </si>
  <si>
    <t>Cosa significa “gioco bilanciato” nel Bocce?</t>
  </si>
  <si>
    <t>A. Punteggio pari tra le squadre B. Distribuzione equa delle bocce nel campo C. Un tiro che non colpisce nulla D. Giocatori con abilità simili</t>
  </si>
  <si>
    <t>Punteggio pari tra le squadre</t>
  </si>
  <si>
    <t>Un gioco bilanciato indica un punteggio equilibrato.</t>
  </si>
  <si>
    <t>Cosa accade se un giocatore lancia una boccia fuori dal turno?</t>
  </si>
  <si>
    <t>A. La boccia viene rimossa B. La squadra perde punti C. Il turno si annulla D. L'avversario ottiene un punto</t>
  </si>
  <si>
    <t>Lanciare fuori turno invalida il tiro.</t>
  </si>
  <si>
    <t>Come si chiama un tiro che avvicina il pallino alla boccia?</t>
  </si>
  <si>
    <t>A. Tiro d'invito B. Tiro di precisione C. Tiro di accosto D. Tiro strategico</t>
  </si>
  <si>
    <t>Tiro di accosto</t>
  </si>
  <si>
    <t>Il tiro di accosto posiziona il pallino vicino a una boccia.</t>
  </si>
  <si>
    <t>Qual è la distanza minima consentita per il lancio del pallino?</t>
  </si>
  <si>
    <t>A. 1 metro B. 2 metri C. 3 metri D. 4 metri</t>
  </si>
  <si>
    <t>Il pallino deve essere lanciato ad almeno 2 metri di distanza.</t>
  </si>
  <si>
    <t>Cosa accade se il pallino tocca un ostacolo fisico?</t>
  </si>
  <si>
    <t>A. Il gioco continua B. Viene riposizionato C. Viene considerato fuori D. Il turno si annulla</t>
  </si>
  <si>
    <t>Viene riposizionato</t>
  </si>
  <si>
    <t>Il pallino deve essere riposizionato in una zona valida.</t>
  </si>
  <si>
    <t>Cosa rappresenta il termine “boccia chiave”?</t>
  </si>
  <si>
    <t>A. Una boccia usata per aprire il gioco B. La boccia più vicina al pallino C. Una boccia che blocca le avversarie D. La boccia lanciata per prima</t>
  </si>
  <si>
    <t>La boccia chiave è quella che controlla il gioco.</t>
  </si>
  <si>
    <t>Come viene trattata una boccia che si ferma esattamente sopra il pallino?</t>
  </si>
  <si>
    <t>A. Viene lasciata in quella posizione B. Viene rimossa C. Viene considerata irregolare D. Il turno si annulla</t>
  </si>
  <si>
    <t>Viene lasciata in quella posizione</t>
  </si>
  <si>
    <t>La boccia rimane valida nella posizione sopra il pallino.</t>
  </si>
  <si>
    <t>Cosa significa “marcare il campo”?</t>
  </si>
  <si>
    <t>A. Segnare i limiti del campo B. Indicare la posizione delle bocce con precisione C. Tracciare linee aggiuntive D. Segnare l'area di lancio</t>
  </si>
  <si>
    <t>Indicare la posizione delle bocce con precisione</t>
  </si>
  <si>
    <t>Marcature precise garantiscono la correttezza del gioco.</t>
  </si>
  <si>
    <t>Cosa accade se un giocatore supera la linea di lancio?</t>
  </si>
  <si>
    <t>A. Il lancio è considerato valido B. Il lancio è annullato C. Il turno si ripete D. La squadra perde punti</t>
  </si>
  <si>
    <t>Il lancio è annullato</t>
  </si>
  <si>
    <t>Superare la linea di lancio invalida il tiro.</t>
  </si>
  <si>
    <t>Cosa si intende per “gioco rapido”?</t>
  </si>
  <si>
    <t>A. Lanciare le bocce senza attendere B. Lanciare tutte le bocce in sequenza C. Giocare con tempo limitato D. Giocare senza regole</t>
  </si>
  <si>
    <t>Giocare con tempo limitato</t>
  </si>
  <si>
    <t>Il gioco rapido è caratterizzato da un limite di tempo per ogni turno.</t>
  </si>
  <si>
    <t>Qual è lo scopo di un tiro di potenza?</t>
  </si>
  <si>
    <t>A. Colpire più bocce insieme B. Spingere il pallino fuori dal campo C. Eliminare una boccia avversaria D. Allontanare le bocce avversarie</t>
  </si>
  <si>
    <t>Eliminare una boccia avversaria</t>
  </si>
  <si>
    <t>Un tiro di potenza mira a rimuovere una boccia specifica.</t>
  </si>
  <si>
    <t>Cosa accade se il pallino viene colpito da entrambe le squadre nello stesso turno?</t>
  </si>
  <si>
    <t>A. Viene riposizionato B. Il turno si ripete C. La squadra con l'ultimo colpo perde punti D. Il gioco continua normalmente</t>
  </si>
  <si>
    <t>Il pallino rimane nella posizione finale.</t>
  </si>
  <si>
    <t>Cosa indica il termine “sorpasso tattico”?</t>
  </si>
  <si>
    <t>A. Una squadra che supera l'altra nel punteggio B. Un tiro che avvicina il pallino alla boccia più lontana C. Un'azione che blocca l'avversario D. Un tiro che cambia il controllo del pallino</t>
  </si>
  <si>
    <t>Un tiro che cambia il controllo del pallino</t>
  </si>
  <si>
    <t>Un sorpasso tattico modifica la dinamica del gioco.</t>
  </si>
  <si>
    <t>Come si decide chi inizia una partita di Bocce?</t>
  </si>
  <si>
    <t>A. Sorteggio B. Deciso dall'arbitro C. Scelta della squadra ospite D. Ordine casuale</t>
  </si>
  <si>
    <t>Il sorteggio stabilisce chi lancia per primo.</t>
  </si>
  <si>
    <t>Cosa si intende per “gioco pulito” nel Bocce?</t>
  </si>
  <si>
    <t>A. Giocare senza fare errori B. Giocare rispettando le regole e l'avversario C. Giocare con poche bocce sul campo D. Giocare in tempi rapidi</t>
  </si>
  <si>
    <t>Giocare rispettando le regole e l'avversario</t>
  </si>
  <si>
    <t>Il gioco pulito implica rispetto per le regole e gli altri.</t>
  </si>
  <si>
    <t>Cosa accade se una squadra tocca accidentalmente il pallino durante una misurazione?</t>
  </si>
  <si>
    <t>A. Il pallino viene riposizionato B. La squadra perde punti C. L'arbitro assegna un punto all'avversario D. Il turno si annulla</t>
  </si>
  <si>
    <t>Il pallino viene riposizionato</t>
  </si>
  <si>
    <t>L'arbitro interviene per riposizionare il pallino.</t>
  </si>
  <si>
    <t>Cosa rappresenta il termine “gioco bloccato”?</t>
  </si>
  <si>
    <t>A. Un turno senza punteggio B. Una situazione in cui nessuna boccia può avvicinarsi al pallino C. Un errore tecnico D. Un'interruzione del gioco</t>
  </si>
  <si>
    <t>Una situazione in cui nessuna boccia può avvicinarsi al pallino</t>
  </si>
  <si>
    <t>Un gioco bloccato si verifica quando le bocce impediscono ulteriori movimenti strategici.</t>
  </si>
  <si>
    <t>Cosa significa “linea morta” nel Bocce?</t>
  </si>
  <si>
    <t>A. La linea dove le bocce vengono eliminate B. La linea oltre la quale il pallino è fuori C. La linea che segna il centro del campo D. La linea che delimita l'area di lancio</t>
  </si>
  <si>
    <t>La linea oltre la quale il pallino è fuori</t>
  </si>
  <si>
    <t>La linea morta segna il limite del gioco valido.</t>
  </si>
  <si>
    <t>Qual è l'obiettivo principale in Pallone col Bracciale?</t>
  </si>
  <si>
    <t>A. Colpire il pallone con il bracciale B. Portare il pallone oltre la linea di fondo C. Bloccare il pallone con le mani D. Fare passaggi precisi tra i giocatori</t>
  </si>
  <si>
    <t>Colpire il pallone con il bracciale</t>
  </si>
  <si>
    <t>L'obiettivo principale è colpire il pallone con il bracciale per segnare punti.</t>
  </si>
  <si>
    <t>Qual è il peso standard del pallone in questo gioco?</t>
  </si>
  <si>
    <t>A. 250-300 grammi B. 400-450 grammi C. 500-600 grammi D. 700-800 grammi</t>
  </si>
  <si>
    <t>500-600 grammi</t>
  </si>
  <si>
    <t>Il pallone pesa generalmente tra 500 e 600 grammi.</t>
  </si>
  <si>
    <t>Come si determina la vittoria in una partita?</t>
  </si>
  <si>
    <t>A. Il primo a segnare 10 punti B. Il primo a segnare 15 punti C. Il primo a segnare 21 punti D. Il primo a segnare 30 punti</t>
  </si>
  <si>
    <t>Il primo a segnare 21 punti</t>
  </si>
  <si>
    <t>La squadra che raggiunge 21 punti vince la partita.</t>
  </si>
  <si>
    <t>Qual è la lunghezza standard del campo di gioco?</t>
  </si>
  <si>
    <t>A. 30 metri B. 50 metri C. 80 metri D. 100 metri</t>
  </si>
  <si>
    <t>Il campo di gioco misura solitamente circa 80 metri di lunghezza.</t>
  </si>
  <si>
    <t>Cosa si utilizza per colpire il pallone?</t>
  </si>
  <si>
    <t>A. Le mani B. Una racchetta C. Un guanto di pelle D. Un bracciale di legno</t>
  </si>
  <si>
    <t>Un bracciale di legno</t>
  </si>
  <si>
    <t>Il pallone viene colpito con un bracciale di legno.</t>
  </si>
  <si>
    <t>Ogni squadra può avere un massimo di 3 giocatori.</t>
  </si>
  <si>
    <t>Qual è il ruolo del battitore in questo gioco?</t>
  </si>
  <si>
    <t>A. Bloccare i tiri avversari B. Servire il pallone agli avversari C. Iniziare il gioco colpendo il pallone D. Dirigere la strategia della squadra</t>
  </si>
  <si>
    <t>Iniziare il gioco colpendo il pallone</t>
  </si>
  <si>
    <t>Il battitore inizia ogni punto colpendo il pallone.</t>
  </si>
  <si>
    <t>Cosa accade se il pallone tocca il suolo prima di attraversare la linea di centro campo?</t>
  </si>
  <si>
    <t>A. Punto alla squadra avversaria B. Replay del servizio C. Penalità di un punto D. Il pallone è considerato fuori</t>
  </si>
  <si>
    <t>Punto alla squadra avversaria</t>
  </si>
  <si>
    <t>Se il pallone non supera il centro campo</t>
  </si>
  <si>
    <t>Qual è l'altezza tipica della rete laterale?</t>
  </si>
  <si>
    <t>A. 1 metro B. 2 metri C. 3 metri D. Non c'è una rete laterale</t>
  </si>
  <si>
    <t>La rete laterale è alta circa 2 metri per evitare che il pallone esca.</t>
  </si>
  <si>
    <t>Come si guadagna un punto in Pallone col Bracciale?</t>
  </si>
  <si>
    <t>A. Colpendo il pallone fuori dal campo B. Facendo passare il pallone sopra il bracciale dell'avversario C. Colpendo il pallone in modo che gli avversari non lo restituiscano D. Fermando il pallone a metà campo</t>
  </si>
  <si>
    <t>Colpendo il pallone in modo che gli avversari non lo restituiscano</t>
  </si>
  <si>
    <t>Un punto si guadagna quando l'avversario non riesce a restituire il pallone.</t>
  </si>
  <si>
    <t>Cosa accade se un giocatore tocca il pallone con una parte del corpo diversa dal bracciale?</t>
  </si>
  <si>
    <t>A. Perdita del punto B. Penalità di un punto C. Replay del colpo D. Il pallone è considerato fuori gioco</t>
  </si>
  <si>
    <t>Perdita del punto</t>
  </si>
  <si>
    <t>Se un giocatore usa una parte del corpo diversa dal bracciale</t>
  </si>
  <si>
    <t>Come si misura la vittoria in un torneo di Pallone col Bracciale?</t>
  </si>
  <si>
    <t>A. Tempo di gioco B. Punti totali C. Ringraziamento del pubblico D. Vittorie complessive</t>
  </si>
  <si>
    <t>Vittorie complessive</t>
  </si>
  <si>
    <t>La squadra con più vittorie nelle partite avanza nel torneo.</t>
  </si>
  <si>
    <t>Quante volte può rimbalzare il pallone prima di essere colpito?</t>
  </si>
  <si>
    <t>A. 1 rimbalzo B. 2 rimbalzi C. 3 rimbalzi D. Infiniti rimbalzi</t>
  </si>
  <si>
    <t>1 rimbalzo</t>
  </si>
  <si>
    <t>Il pallone può rimbalzare una sola volta prima di essere colpito.</t>
  </si>
  <si>
    <t>Qual è la durata tipica di una partita?</t>
  </si>
  <si>
    <t>A. 30 minuti B. 60 minuti C. 90 minuti D. 120 minuti</t>
  </si>
  <si>
    <t>90 minuti</t>
  </si>
  <si>
    <t>Le partite durano generalmente 90 minuti</t>
  </si>
  <si>
    <t>Qual è il materiale tradizionale del bracciale?</t>
  </si>
  <si>
    <t>A. Plastica B. Metallo C. Legno D. Pelle</t>
  </si>
  <si>
    <t>Il bracciale è tradizionalmente realizzato in legno.</t>
  </si>
  <si>
    <t>Qual è la distanza tra la linea di servizio e il centro campo?</t>
  </si>
  <si>
    <t>A. 5 metri B. 10 metri C. 15 metri D. 20 metri</t>
  </si>
  <si>
    <t>15 metri</t>
  </si>
  <si>
    <t>La linea di servizio è a 15 metri dal centro campo.</t>
  </si>
  <si>
    <t>È consentito bloccare il pallone con il corpo?</t>
  </si>
  <si>
    <t>A. Sì B. No C. Sì solo in difesa D. Solo con il permesso dell'arbitro</t>
  </si>
  <si>
    <t>No</t>
  </si>
  <si>
    <t>Bloccare il pallone con il corpo è vietato.</t>
  </si>
  <si>
    <t>Qual è la penalità per una violazione del servizio?</t>
  </si>
  <si>
    <t>A. Replay del servizio B. Perdita del turno C. Punto all'avversario D. Penalità di un punto</t>
  </si>
  <si>
    <t>Punto all'avversario</t>
  </si>
  <si>
    <t>Un servizio scorretto assegna un punto agli avversari.</t>
  </si>
  <si>
    <t>Cosa accade se il pallone esce dal campo?</t>
  </si>
  <si>
    <t>A. Punto all'avversario B. Replay del colpo C. Punto al giocatore D. Penalità di un punto</t>
  </si>
  <si>
    <t>Se il pallone esce</t>
  </si>
  <si>
    <t>Qual è il ruolo del ricevitore in questo gioco?</t>
  </si>
  <si>
    <t>A. Bloccare i colpi avversari B. Restituire il pallone colpendolo C. Servire il pallone D. Raccogliere il pallone fuori dal campo</t>
  </si>
  <si>
    <t>Restituire il pallone colpendolo</t>
  </si>
  <si>
    <t>Il ricevitore risponde al servizio colpendo il pallone.</t>
  </si>
  <si>
    <t>Come si inizia una partita?</t>
  </si>
  <si>
    <t>A. Con un tiro di monetina B. Con un sorteggio C. Con il servizio del battitore D. Con il lancio del pallone</t>
  </si>
  <si>
    <t>Con il servizio del battitore</t>
  </si>
  <si>
    <t>Il battitore inizia il gioco con il servizio.</t>
  </si>
  <si>
    <t>Qual è la penalità per comportamento scorretto?</t>
  </si>
  <si>
    <t>A. Perdita di punti B. Ammonizione C. Espulsione D. Replay del punto</t>
  </si>
  <si>
    <t>Ammonizione</t>
  </si>
  <si>
    <t>Un comportamento scorretto porta a un'ammonizione.</t>
  </si>
  <si>
    <t>Come si calcola il punteggio totale alla fine di una partita?</t>
  </si>
  <si>
    <t>A. Somma dei punti per ogni round B. Numero di servizi vinti C. Numero di colpi totali D. Tempo di gioco</t>
  </si>
  <si>
    <t>Somma dei punti per ogni round</t>
  </si>
  <si>
    <t>Il punteggio totale è la somma dei punti vinti in ogni round.</t>
  </si>
  <si>
    <t>Quanti arbitri sono necessari per una partita ufficiale?</t>
  </si>
  <si>
    <t>A. 1 arbitro B. 2 arbitri C. 3 arbitri D. 4 arbitri</t>
  </si>
  <si>
    <t>1 arbitro</t>
  </si>
  <si>
    <t>Un arbitro è sufficiente per controllare il gioco.</t>
  </si>
  <si>
    <t>Come si chiamano i punti segnati in successione senza risposta?</t>
  </si>
  <si>
    <t>A. Colpi consecutivi B. Punti netti C. Vittoria immediata D. Serie</t>
  </si>
  <si>
    <t>Punti netti</t>
  </si>
  <si>
    <t>Una serie di punti consecutivi senza risposta è chiamata "punti netti."</t>
  </si>
  <si>
    <t>Qual è la regola per cambiare lato del campo?</t>
  </si>
  <si>
    <t>A. Ogni 5 punti B. Ogni 10 punti C. Alla fine del round D. Solo con il permesso dell'arbitro</t>
  </si>
  <si>
    <t>Ogni 10 punti</t>
  </si>
  <si>
    <t>I lati vengono cambiati ogni 10 punti segnati.</t>
  </si>
  <si>
    <t>Cosa accade se il pallone tocca il bracciale e poi cade a terra?</t>
  </si>
  <si>
    <t>A. Replay del colpo B. Perdita del punto C. Vantaggio al ricevitore D. Nessuna penalità</t>
  </si>
  <si>
    <t>Se il pallone cade dopo aver toccato il bracciale</t>
  </si>
  <si>
    <t>Come si regola il tempo di pausa tra i round?</t>
  </si>
  <si>
    <t>A. Massimo 2 minuti B. Massimo 5 minuti C. Massimo 10 minuti D. Nessuna pausa consentita</t>
  </si>
  <si>
    <t>Massimo 5 minuti</t>
  </si>
  <si>
    <t>Le pause tra i round non possono superare i 5 minuti.</t>
  </si>
  <si>
    <t>Qual è la funzione della linea di fondo campo?</t>
  </si>
  <si>
    <t>A. Separare le squadre B. Indicare la zona di gioco C. Segnalare il punto di uscita del pallone D. Segnalare la linea di servizio</t>
  </si>
  <si>
    <t>Segnalare il punto di uscita del pallone</t>
  </si>
  <si>
    <t>La linea di fondo campo segna il punto oltre il quale il pallone è fuori.</t>
  </si>
  <si>
    <t>Cosa si deve fare se il bracciale di un giocatore si rompe durante il gioco?</t>
  </si>
  <si>
    <t>A. Sostituirlo immediatamente B. Interrompere il gioco C. Continuare senza bracciale D. Chiedere il permesso all'arbitro</t>
  </si>
  <si>
    <t>Sostituirlo immediatamente</t>
  </si>
  <si>
    <t>Un bracciale rotto deve essere sostituito prima di continuare.</t>
  </si>
  <si>
    <t>Qual è l'origine storica di Pallone col Bracciale?</t>
  </si>
  <si>
    <t>A. Antica Roma B. Medioevo C. Epoca rinascimentale D. Periodo moderno</t>
  </si>
  <si>
    <t>Epoca rinascimentale</t>
  </si>
  <si>
    <t>Il gioco ha origine durante il Rinascimento in Italia.</t>
  </si>
  <si>
    <t>Qual è la funzione principale della zona centrale del campo?</t>
  </si>
  <si>
    <t>A. Separare le squadre B. Indicare l'area di servizio C. Limitare i rimbalzi D. Segnalare il punto di ripresa</t>
  </si>
  <si>
    <t>Indicare l'area di servizio</t>
  </si>
  <si>
    <t>La zona centrale delimita l'area per il servizio.</t>
  </si>
  <si>
    <t>Qual è la durata massima di una partita in un torneo ufficiale?</t>
  </si>
  <si>
    <t>A. 90 minuti B. 120 minuti C. 150 minuti D. Non c'è limite</t>
  </si>
  <si>
    <t>120 minuti</t>
  </si>
  <si>
    <t>Le partite in torneo durano generalmente massimo 120 minuti.</t>
  </si>
  <si>
    <t>Qual è il ruolo del capitano della squadra?</t>
  </si>
  <si>
    <t>A. Organizzare la strategia B. Servire il pallone C. Assistere l'arbitro D. Rispondere ai colpi avversari</t>
  </si>
  <si>
    <t>Organizzare la strategia</t>
  </si>
  <si>
    <t>Il capitano è responsabile della strategia della squadra.</t>
  </si>
  <si>
    <t>Qual è il termine usato per descrivere un colpo perfetto?</t>
  </si>
  <si>
    <t>A. Servizio netto B. Rimbalzo preciso C. Tiro diretto D. Colpo maestro</t>
  </si>
  <si>
    <t>Colpo maestro</t>
  </si>
  <si>
    <t>Un colpo perfetto viene chiamato "colpo maestro."</t>
  </si>
  <si>
    <t>Qual è il punteggio per vincere un set?</t>
  </si>
  <si>
    <t>A. 11 punti B. 15 punti C. 21 punti D. 25 punti</t>
  </si>
  <si>
    <t>Un set viene vinto raggiungendo 21 punti.</t>
  </si>
  <si>
    <t>Come vengono scelte le squadre in una partita informale?</t>
  </si>
  <si>
    <t>A. Sorteggio B. Scelta dei giocatori a turno C. Gioco di prova D. Decisione arbitrale</t>
  </si>
  <si>
    <t>Scelta dei giocatori a turno</t>
  </si>
  <si>
    <t>Nelle partite informali</t>
  </si>
  <si>
    <t>Qual è il miglior materiale per i campi di Pallone col Bracciale?</t>
  </si>
  <si>
    <t>A. Erba naturale B. Terra battuta C. Erba sintetica D. Sabbia</t>
  </si>
  <si>
    <t>Terra battuta</t>
  </si>
  <si>
    <t>La terra battuta è ideale per questo gioco.</t>
  </si>
  <si>
    <t>Qual è la distanza tipica tra la zona di servizio e la linea di fondo?</t>
  </si>
  <si>
    <t>A. 10 metri B. 20 metri C. 30 metri D. 40 metri</t>
  </si>
  <si>
    <t>30 metri</t>
  </si>
  <si>
    <t>La distanza tra la zona di servizio e la linea di fondo è di circa 30 metri.</t>
  </si>
  <si>
    <t>Quanti punti si guadagnano per un servizio vincente?</t>
  </si>
  <si>
    <t>A. 1 punto B. 2 punti C. 3 punti D. 5 punti</t>
  </si>
  <si>
    <t>1 punto</t>
  </si>
  <si>
    <t>Un servizio vincente vale 1 punto.</t>
  </si>
  <si>
    <t>Cosa succede se il pallone si rompe durante il gioco?</t>
  </si>
  <si>
    <t>A. Il punto viene annullato B. Viene sostituito e il gioco riprende C. La squadra avversaria vince il punto D. Il gioco viene sospeso</t>
  </si>
  <si>
    <t>Viene sostituito e il gioco riprende</t>
  </si>
  <si>
    <t>Un pallone rotto viene sostituito per continuare la partita.</t>
  </si>
  <si>
    <t>Come si definisce una zona fuori gioco?</t>
  </si>
  <si>
    <t>A. Qualsiasi area fuori dalla linea laterale B. Qualsiasi area oltre il centro campo C. Zone non regolamentate dal gioco D. Zone vicino al pubblico</t>
  </si>
  <si>
    <t>Qualsiasi area fuori dalla linea laterale</t>
  </si>
  <si>
    <t>Le aree fuori dalle linee laterali sono considerate fuori gioco.</t>
  </si>
  <si>
    <t>Cosa si intende per "colpo mancato"?</t>
  </si>
  <si>
    <t>A. Un pallone che non raggiunge il centro campo B. Un pallone che rimbalza fuori C. Un colpo che non colpisce il pallone D. Un pallone che tocca la rete laterale</t>
  </si>
  <si>
    <t>Un colpo che non colpisce il pallone</t>
  </si>
  <si>
    <t>Un "colpo mancato" è quando il pallone non viene colpito.</t>
  </si>
  <si>
    <t>Chi determina se un colpo è valido?</t>
  </si>
  <si>
    <t>A. L'arbitro B. Il capitano della squadra C. Il giocatore avversario D. Il pubblico</t>
  </si>
  <si>
    <t>L'arbitro ha l'autorità finale sui colpi validi.</t>
  </si>
  <si>
    <t>Cosa succede se due giocatori colpiscono il pallone contemporaneamente?</t>
  </si>
  <si>
    <t>A. Il colpo è considerato nullo B. Il punto va all'avversario C. Il gioco continua D. Si rigioca il punto</t>
  </si>
  <si>
    <t>Se due giocatori colpiscono insieme</t>
  </si>
  <si>
    <t>Cosa si deve fare per iniziare un torneo ufficiale?</t>
  </si>
  <si>
    <t>A. Firmare un modulo di partecipazione B. Presentarsi all'arbitro C. Eseguire un riscaldamento collettivo D. Lanciare una moneta</t>
  </si>
  <si>
    <t>Presentarsi all'arbitro</t>
  </si>
  <si>
    <t>Gli arbitri verificano i giocatori prima dell'inizio.</t>
  </si>
  <si>
    <t>Cosa è vietato durante un colpo?</t>
  </si>
  <si>
    <t>A. Cambiare mano durante il colpo B. Toccare il pallone con entrambe le mani C. Gridare durante il tiro D. Colpire il pallone con il corpo</t>
  </si>
  <si>
    <t>Colpire il pallone con il corpo</t>
  </si>
  <si>
    <t>Il pallone deve essere colpito solo con il bracciale.</t>
  </si>
  <si>
    <t>Qual è il significato della linea di demarcazione?</t>
  </si>
  <si>
    <t>A. Separare le squadre B. Segnalare il cambio lato C. Indicare i punti di gioco D. Indicare i limiti del campo</t>
  </si>
  <si>
    <t>Indicare i limiti del campo</t>
  </si>
  <si>
    <t>La linea di demarcazione indica i confini del campo.</t>
  </si>
  <si>
    <t>Qual è l'importanza di un allenamento regolare?</t>
  </si>
  <si>
    <t>A. Migliorare la forza B. Perfezionare la tecnica C. Prevenire gli infortuni D. Tutte le precedenti</t>
  </si>
  <si>
    <t>Tutte le precedenti</t>
  </si>
  <si>
    <t>L'allenamento regolare è essenziale per forza</t>
  </si>
  <si>
    <t>Cosa indica il termine "servizio nullo"?</t>
  </si>
  <si>
    <t>A. Un servizio che non raggiunge il centro campo B. Un servizio che esce dal campo C. Un servizio che rimbalza sulla rete laterale D. Un servizio eseguito senza forza</t>
  </si>
  <si>
    <t>Un servizio che non raggiunge il centro campo</t>
  </si>
  <si>
    <t>Un servizio nullo non supera il centro campo.</t>
  </si>
  <si>
    <t>Qual è il tempo massimo consentito per un giocatore tra un colpo e l'altro?</t>
  </si>
  <si>
    <t>A. 10 secondi B. 20 secondi C. 30 secondi D. 1 minuto</t>
  </si>
  <si>
    <t>Un giocatore ha massimo 30 secondi per prepararsi al colpo successivo.</t>
  </si>
  <si>
    <t>Cosa si utilizza per tracciare il punteggio?</t>
  </si>
  <si>
    <t>A. Tabellone manuale B. Segnapunti elettronico C. Liste cartacee D. Chiamate verbali</t>
  </si>
  <si>
    <t>Tabellone manuale</t>
  </si>
  <si>
    <t>Tradizionalmente si utilizza un tabellone manuale per segnare i punti.</t>
  </si>
  <si>
    <t>Come si stabilisce il vincitore in caso di parità?</t>
  </si>
  <si>
    <t>A. Prolungamento del tempo di gioco B. Sfida di servizio C. Regola del primo punto D. Decisione arbitrale</t>
  </si>
  <si>
    <t>Prolungamento del tempo di gioco</t>
  </si>
  <si>
    <t>Il gioco continua finché una squadra non segna un punto.</t>
  </si>
  <si>
    <t>Cosa si deve fare se un giocatore si infortuna durante il gioco?</t>
  </si>
  <si>
    <t>A. Sostituire il giocatore B. Sospendere la partita C. Permettere una pausa D. Continuare il gioco con penalità</t>
  </si>
  <si>
    <t>Permettere una pausa</t>
  </si>
  <si>
    <t>Le regole prevedono pause per infortuni.</t>
  </si>
  <si>
    <t>Cosa accade se il pallone tocca il bracciale del giocatore avversario?</t>
  </si>
  <si>
    <t>A. Il punto è considerato nullo B. Il gioco continua normalmente C. Il punto va all'avversario D. Il giocatore deve rigiocare</t>
  </si>
  <si>
    <t>Il gioco non si interrompe se il pallone tocca il bracciale dell'avversario.</t>
  </si>
  <si>
    <t>Come si controlla l'integrità del bracciale?</t>
  </si>
  <si>
    <t>A. Verifica visiva B. Test di resistenza C. Confronto con standard regolamentari D. Tutte le precedenti</t>
  </si>
  <si>
    <t>Il bracciale viene controllato visivamente e attraverso test.</t>
  </si>
  <si>
    <t>Qual è la distanza massima consentita tra il punto di servizio e il centro campo?</t>
  </si>
  <si>
    <t>A. 10 metri B. 15 metri C. 20 metri D. 25 metri</t>
  </si>
  <si>
    <t>La distanza massima è di 15 metri.</t>
  </si>
  <si>
    <t>Cosa indica un segnale acustico durante il gioco?</t>
  </si>
  <si>
    <t>A. Cambio turno B. Pausa richiesta C. Infrazione rilevata D. Fine del round</t>
  </si>
  <si>
    <t>Infrazione rilevata</t>
  </si>
  <si>
    <t>Un segnale acustico indica un'infrazione durante il gioco.</t>
  </si>
  <si>
    <t>Qual è il limite massimo di sostituzioni per partita?</t>
  </si>
  <si>
    <t>A. Nessuna sostituzione consentita B. 1 sostituzione C. 2 sostituzioni D. 3 sostituzioni</t>
  </si>
  <si>
    <t>2 sostituzioni</t>
  </si>
  <si>
    <t>Sono consentite massimo 2 sostituzioni per squadra.</t>
  </si>
  <si>
    <t>Cosa succede se un giocatore abbandona il campo senza permesso?</t>
  </si>
  <si>
    <t>A. Punto all'avversario B. Penalità di 2 punti C. Espulsione dalla partita D. Ammonizione</t>
  </si>
  <si>
    <t>Espulsione dalla partita</t>
  </si>
  <si>
    <t>Lasciare il campo senza permesso comporta l'espulsione.</t>
  </si>
  <si>
    <t>Qual è il significato di un colpo "a rimbalzo"?</t>
  </si>
  <si>
    <t>A. Un colpo che colpisce il campo prima del bracciale B. Un colpo diretto al centro campo C. Un colpo che supera il limite del campo D. Un colpo che colpisce un avversario</t>
  </si>
  <si>
    <t>Un colpo che colpisce il campo prima del bracciale</t>
  </si>
  <si>
    <t>Un colpo "a rimbalzo" è quando il pallone rimbalza sul campo prima di essere colpito.</t>
  </si>
  <si>
    <t>Come viene determinata la squadra che inizia il servizio?</t>
  </si>
  <si>
    <t>A. Sorteggio B. Scelta del capitano C. Punteggio precedente D. Decisione arbitrale</t>
  </si>
  <si>
    <t>Il sorteggio determina quale squadra inizia il servizio.</t>
  </si>
  <si>
    <t>Qual è il principale scopo del servizio?</t>
  </si>
  <si>
    <t>A. Ottenere un punto diretto B. Impedire la risposta avversaria C. Iniziare lo scambio D. Confondere l’avversario</t>
  </si>
  <si>
    <t>Iniziare lo scambio</t>
  </si>
  <si>
    <t>Il servizio serve ad avviare lo scambio.</t>
  </si>
  <si>
    <t>Cosa accade se un giocatore colpisce il pallone fuori dal campo?</t>
  </si>
  <si>
    <t>A. Il punto va all’avversario B. Il giocatore deve rigiocare C. Il colpo è considerato nullo D. Viene inflitta una penalità</t>
  </si>
  <si>
    <t>Il punto va all’avversario</t>
  </si>
  <si>
    <t>Un pallone fuori dal campo assegna il punto all’avversario.</t>
  </si>
  <si>
    <t>Qual è la dimensione standard di un campo di Pallone col Bracciale?</t>
  </si>
  <si>
    <t>A. 20x30 metri B. 16x34 metri C. 30x50 metri D. 25x40 metri</t>
  </si>
  <si>
    <t>16x34 metri</t>
  </si>
  <si>
    <t>Le dimensioni standard del campo sono 16x34 metri.</t>
  </si>
  <si>
    <t>Come viene controllata la pressione del pallone prima di una partita?</t>
  </si>
  <si>
    <t>A. Misurazione manuale B. Utilizzo di un manometro C. Verifica visiva D. Non viene controllata</t>
  </si>
  <si>
    <t>Utilizzo di un manometro</t>
  </si>
  <si>
    <t>Un manometro viene usato per verificare la pressione del pallone.</t>
  </si>
  <si>
    <t>Cosa succede se il pallone tocca un oggetto esterno durante il gioco?</t>
  </si>
  <si>
    <t>A. Il punto è nullo B. Il gioco continua normalmente C. Il punto va all’avversario D. Si rigioca il punto</t>
  </si>
  <si>
    <t>Il punto è nullo</t>
  </si>
  <si>
    <t>Se il pallone tocca un oggetto esterno</t>
  </si>
  <si>
    <t>Qual è il termine usato per descrivere un punto decisivo?</t>
  </si>
  <si>
    <t>A. Punto di chiusura B. Punto maestro C. Punto finale D. Punto chiave</t>
  </si>
  <si>
    <t>Punto maestro</t>
  </si>
  <si>
    <t>Un punto decisivo viene chiamato "punto maestro."</t>
  </si>
  <si>
    <t>Come si deve comportare un giocatore verso l’arbitro?</t>
  </si>
  <si>
    <t>A. Contestare ogni decisione B. Seguire le indicazioni C. Ignorare le istruzioni D. Chiedere spiegazioni a ogni punto</t>
  </si>
  <si>
    <t>Seguire le indicazioni</t>
  </si>
  <si>
    <t>Il giocatore deve rispettare le indicazioni dell’arbitro.</t>
  </si>
  <si>
    <t>Cosa si intende per “colpo di forza”?</t>
  </si>
  <si>
    <t>A. Un colpo lento ma preciso B. Un colpo eseguito con estrema potenza C. Un colpo a effetto D. Un colpo vicino al limite del campo</t>
  </si>
  <si>
    <t>Un colpo eseguito con estrema potenza</t>
  </si>
  <si>
    <t>Il “colpo di forza” si distingue per la sua potenza.</t>
  </si>
  <si>
    <t>Qual è la responsabilità del giudice di linea?</t>
  </si>
  <si>
    <t>A. Segnalare i punti B. Monitorare le infrazioni C. Indicare i limiti del campo D. Convalidare il servizio</t>
  </si>
  <si>
    <t>Il giudice di linea si occupa dei confini del campo.</t>
  </si>
  <si>
    <t>Come si assegna un punto in caso di doppia infrazione?</t>
  </si>
  <si>
    <t>A. Al primo giocatore che commette l’infrazione B. Al secondo giocatore che commette l’infrazione C. Il punto viene annullato D. Il punto va all’avversario</t>
  </si>
  <si>
    <t>Il punto viene annullato</t>
  </si>
  <si>
    <t>In caso di doppia infrazione il punto è nullo.</t>
  </si>
  <si>
    <t>Qual è il significato di un “gioco pulito”?</t>
  </si>
  <si>
    <t>A. Non utilizzare tattiche difensive B. Evitare infrazioni C. Giocare senza errori D. Non usare la massima forza</t>
  </si>
  <si>
    <t>Evitare infrazioni</t>
  </si>
  <si>
    <t>Un gioco pulito implica evitare infrazioni e rispettare le regole.</t>
  </si>
  <si>
    <t>Qual è il limite minimo di altezza per il lancio del servizio?</t>
  </si>
  <si>
    <t>A. 1 metro B. 1.5 metri C. 2 metri D. Non esiste un limite</t>
  </si>
  <si>
    <t>1.5 metri</t>
  </si>
  <si>
    <t>Il servizio deve raggiungere almeno 1.5 metri di altezza.</t>
  </si>
  <si>
    <t>Qual è il materiale tradizionale usato per il bracciale?</t>
  </si>
  <si>
    <t>A. Legno B. Plastica C. Metallo D. Cuoio</t>
  </si>
  <si>
    <t>Il bracciale tradizionale è realizzato in legno.</t>
  </si>
  <si>
    <t>Cosa deve fare un arbitro se un giocatore infrange ripetutamente le regole?</t>
  </si>
  <si>
    <t>A. Assegnare un punto all’avversario B. Ammonire il giocatore C. Espellere il giocatore D. Interrompere la partita</t>
  </si>
  <si>
    <t>Ammonire il giocatore</t>
  </si>
  <si>
    <t>L’arbitro ammonisce i giocatori per infrazioni ripetute.</t>
  </si>
  <si>
    <t>Cosa accade se un giocatore non si presenta al campo entro il tempo stabilito?</t>
  </si>
  <si>
    <t>A. La squadra perde il set B. Viene penalizzata di 2 punti C. Il giocatore viene squalificato D. Viene data una proroga di 5 minuti</t>
  </si>
  <si>
    <t>La mancata presenza entro il tempo stabilito comporta la squalifica.</t>
  </si>
  <si>
    <t>Cosa si intende per “punto di vantaggio”?</t>
  </si>
  <si>
    <t>A. Un punto assegnato per un colpo spettacolare B. Un punto decisivo nei set finali C. Un punto ottenuto per infrazione avversaria D. Un punto supplementare per l’ultima squadra in vantaggio</t>
  </si>
  <si>
    <t>Un punto decisivo nei set finali</t>
  </si>
  <si>
    <t>Il “punto di vantaggio” si verifica nei set finali.</t>
  </si>
  <si>
    <t>2 arbitri</t>
  </si>
  <si>
    <t>Una partita ufficiale richiede almeno 2 arbitri.</t>
  </si>
  <si>
    <t>Qual è il ruolo di un sostituto durante la partita?</t>
  </si>
  <si>
    <t>A. Riposare il giocatore principale B. Subentrare solo per infortuni C. Partecipare alle strategie D. Essere pronto a sostituire in qualsiasi momento</t>
  </si>
  <si>
    <t>Essere pronto a sostituire in qualsiasi momento</t>
  </si>
  <si>
    <t>Un sostituto deve essere sempre pronto a entrare in gioco.</t>
  </si>
  <si>
    <t>Qual è il significato di un “colpo alto”?</t>
  </si>
  <si>
    <t>A. Un colpo che supera il bracciale avversario B. Un colpo che raggiunge un’altezza maggiore di 3 metri C. Un colpo diretto al centro campo D. Un colpo che esce dal campo</t>
  </si>
  <si>
    <t>Un colpo che raggiunge un’altezza maggiore di 3 metri</t>
  </si>
  <si>
    <t>Un “colpo alto” è riconosciuto per la sua altezza.</t>
  </si>
  <si>
    <t>Come viene determinato un fallo di piede?</t>
  </si>
  <si>
    <t>A. Il piede oltrepassa la linea di servizio B. Il piede tocca il pallone C. Il piede esce dal campo D. Il piede si alza durante il servizio</t>
  </si>
  <si>
    <t>Il piede oltrepassa la linea di servizio</t>
  </si>
  <si>
    <t>Un fallo di piede si verifica se il piede supera la linea di servizio.</t>
  </si>
  <si>
    <t>Cosa accade se un giocatore utilizza un bracciale non regolamentare?</t>
  </si>
  <si>
    <t>A. Penalità di 1 punto B. Espulsione immediata C. Squalifica del bracciale D. Il gioco viene sospeso</t>
  </si>
  <si>
    <t>L’utilizzo di un bracciale non regolamentare porta all’espulsione.</t>
  </si>
  <si>
    <t>Qual è il metodo corretto per allenarsi al servizio?</t>
  </si>
  <si>
    <t>A. Ripetere il servizio in sequenza B. Alternare forza e precisione C. Utilizzare palloni di diverse dimensioni D. Simulare situazioni di partita</t>
  </si>
  <si>
    <t>Alternare forza e precisione</t>
  </si>
  <si>
    <t>Un allenamento efficace alterna forza e precisione.</t>
  </si>
  <si>
    <t>Cosa indica una bandiera rossa alzata dal giudice?</t>
  </si>
  <si>
    <t>A. Un punto segnato B. Un’infrazione commessa C. Un cambio di lato D. La fine del set</t>
  </si>
  <si>
    <t>Un’infrazione commessa</t>
  </si>
  <si>
    <t>La bandiera rossa segnala un’infrazione.</t>
  </si>
  <si>
    <t>Cosa si deve fare se il campo diventa impraticabile?</t>
  </si>
  <si>
    <t>A. Continuare il gioco B. Interrompere la partita temporaneamente C. Annunciare la squadra vincitrice D. Spostarsi su un altro campo</t>
  </si>
  <si>
    <t>Interrompere la partita temporaneamente</t>
  </si>
  <si>
    <t>Il gioco si interrompe se il campo è impraticabile.</t>
  </si>
  <si>
    <t>Come si calcola il punteggio finale in caso di abbandono?</t>
  </si>
  <si>
    <t>A. Assegnando la vittoria all’altra squadra B. Azzerando il punteggio C. Confrontando i punti segnati D. Considerando il vantaggio attuale</t>
  </si>
  <si>
    <t>Assegnando la vittoria all’altra squadra</t>
  </si>
  <si>
    <t>L’abbandono assegna la vittoria all’avversario.</t>
  </si>
  <si>
    <t>Qual è il modo più corretto di proteggere il bracciale?</t>
  </si>
  <si>
    <t>A. Pulirlo regolarmente B. Custodirlo in una custodia C. Non utilizzarlo su superfici dure D. Tutte le precedenti</t>
  </si>
  <si>
    <t>La manutenzione del bracciale include tutte queste pratiche.</t>
  </si>
  <si>
    <t>Cosa si intende per “zona sicura” del campo?</t>
  </si>
  <si>
    <t>A. Una zona dove il pallone non può essere colpito B. Una zona di riscaldamento C. Una zona dove i giocatori non subiscono penalità D. Una zona fuori dai confini del gioco</t>
  </si>
  <si>
    <t>Una zona dove il pallone non può essere colpito</t>
  </si>
  <si>
    <t>La “zona sicura” è un’area dove il pallone non può essere colpito.</t>
  </si>
  <si>
    <t>Qual è la caratteristica distintiva di una partita di esibizione?</t>
  </si>
  <si>
    <t>A. Non vengono assegnati punti B. Si gioca con regole semplificate C. Viene utilizzato un campo più piccolo D. Si usano palloni più leggeri</t>
  </si>
  <si>
    <t>Si gioca con</t>
  </si>
  <si>
    <t>Cosa rappresenta un “colpo basso” in Pallone col Bracciale?</t>
  </si>
  <si>
    <t>A. Un colpo vicino al suolo B. Un colpo sotto la rete C. Un colpo diretto alle gambe D. Un colpo con poca forza</t>
  </si>
  <si>
    <t>Un colpo vicino al suolo</t>
  </si>
  <si>
    <t>Un “colpo basso” è un colpo che si mantiene vicino al suolo.</t>
  </si>
  <si>
    <t>Cosa si intende per “linea di rispetto”?</t>
  </si>
  <si>
    <t>A. La linea che separa le squadre B. La linea che indica l’area sicura C. La linea che i giocatori non possono oltrepassare durante il servizio D. La linea centrale del campo</t>
  </si>
  <si>
    <t>La linea che i giocatori non possono oltrepassare durante il servizio</t>
  </si>
  <si>
    <t>La “linea di rispetto” delimita il servizio.</t>
  </si>
  <si>
    <t>Qual è il massimo numero di giocatori per squadra in una partita ufficiale?</t>
  </si>
  <si>
    <t>Ogni squadra può avere al massimo 3 giocatori in campo.</t>
  </si>
  <si>
    <t>Cosa accade se un giocatore interrompe volontariamente il gioco?</t>
  </si>
  <si>
    <t>A. Il punto va all’avversario B. Viene ammonito C. Viene espulso D. Viene assegnata una ripetizione del punto</t>
  </si>
  <si>
    <t>Interrompere il gioco dà automaticamente il punto all’avversario.</t>
  </si>
  <si>
    <t>Qual è il termine usato per descrivere un colpo che termina un set?</t>
  </si>
  <si>
    <t>A. Colpo di grazia B. Colpo di chiusura C. Colpo maestro D. Colpo decisivo</t>
  </si>
  <si>
    <t>Colpo di chiusura</t>
  </si>
  <si>
    <t>Un colpo che termina un set si chiama “colpo di chiusura.”</t>
  </si>
  <si>
    <t>Che ruolo ha il capitano di una squadra?</t>
  </si>
  <si>
    <t>A. Fare strategie durante il gioco B. Solo eseguire il servizio principale C. Decidere le sostituzioni durante il gioco D. Protestare contro le decisioni arbitrali</t>
  </si>
  <si>
    <t>Fare strategie durante il gioco</t>
  </si>
  <si>
    <t>Il capitano guida la squadra e stabilisce le strategie.</t>
  </si>
  <si>
    <t>Cosa si deve fare se il pallone si rompe durante il gioco?</t>
  </si>
  <si>
    <t>A. Continuare con un nuovo pallone B. Interrompere la partita C. Assegnare il punto al colpo precedente D. Ricominciare il set</t>
  </si>
  <si>
    <t>Continuare con un nuovo pallone</t>
  </si>
  <si>
    <t>Un pallone rotto viene sostituito e il gioco continua.</t>
  </si>
  <si>
    <t>Come viene stabilita la durata di un set?</t>
  </si>
  <si>
    <t>A. Basandosi su un limite di tempo B. Determinando un numero fisso di punti C. Lasciando che il gioco continui fino alla stanchezza D. Stabilendo un accordo tra le squadre</t>
  </si>
  <si>
    <t>Determinando un numero fisso di punti</t>
  </si>
  <si>
    <t>La durata di un set è determinata dai punti da raggiungere.</t>
  </si>
  <si>
    <t>Cosa si intende per “pallone fuori misura”?</t>
  </si>
  <si>
    <t>A. Un pallone con dimensioni irregolari B. Un pallone troppo pesante C. Un pallone non approvato dall’arbitro D. Un pallone fuori dal campo</t>
  </si>
  <si>
    <t>Un pallone con dimensioni irregolari</t>
  </si>
  <si>
    <t>Un “pallone fuori misura” non rispetta le dimensioni regolamentari.</t>
  </si>
  <si>
    <t>Qual è la posizione iniziale di un giocatore durante il servizio?</t>
  </si>
  <si>
    <t>A. Vicino alla rete B. Sulla linea di fondo campo C. Sulla linea di servizio D. Nel centro del campo</t>
  </si>
  <si>
    <t>Sulla linea di servizio</t>
  </si>
  <si>
    <t>Il servizio si effettua partendo dalla linea di servizio.</t>
  </si>
  <si>
    <t>Cosa indica una bandiera verde alzata dal giudice di linea?</t>
  </si>
  <si>
    <t>A. Un punto segnato B. Un fallo commesso C. Una chiamata di attenzione D. Un colpo valido</t>
  </si>
  <si>
    <t>Un colpo valido</t>
  </si>
  <si>
    <t>La bandiera verde segnala che il colpo è valido.</t>
  </si>
  <si>
    <t>Come si può prevenire un infortunio durante una partita?</t>
  </si>
  <si>
    <t>A. Riscaldandosi correttamente B. Utilizzando protezioni adeguate C. Allenandosi regolarmente D. Tutte le precedenti</t>
  </si>
  <si>
    <t>La prevenzione degli infortuni richiede una combinazione di pratiche.</t>
  </si>
  <si>
    <t>Cosa succede se un giocatore colpisce il pallone due volte consecutivamente?</t>
  </si>
  <si>
    <t>A. Il colpo è valido B. Il punto va all’avversario C. Si ripete il colpo D. Viene ammonito</t>
  </si>
  <si>
    <t>Un doppio colpo assegna il punto all’avversario.</t>
  </si>
  <si>
    <t>Cosa rappresenta un “errore non forzato”?</t>
  </si>
  <si>
    <t>A. Un errore causato dalla pressione avversaria B. Un errore commesso senza interferenze esterne C. Un errore dovuto alle condizioni del campo D. Un errore che provoca una ripetizione del punto</t>
  </si>
  <si>
    <t>Un errore commesso senza interferenze esterne</t>
  </si>
  <si>
    <t>Un errore non forzato è un errore evitabile.</t>
  </si>
  <si>
    <t>Cosa si intende per “vantaggio” in un set?</t>
  </si>
  <si>
    <t>A. Una squadra che domina il gioco B. Un margine di almeno 2 punti C. Un colpo spettacolare D. Un fallo avversario</t>
  </si>
  <si>
    <t>Un margine di almeno 2 punti</t>
  </si>
  <si>
    <t>Il vantaggio implica un distacco di 2 punti.</t>
  </si>
  <si>
    <t>Cosa deve fare un giocatore se il pallone è difficile da raggiungere?</t>
  </si>
  <si>
    <t>A. Chiedere una ripetizione B. Provare comunque a colpirlo C. Rinunciare al colpo D. Segnalare all’arbitro</t>
  </si>
  <si>
    <t>Provare comunque a colpirlo</t>
  </si>
  <si>
    <t>Un giocatore deve sempre cercare di colpire il pallone.</t>
  </si>
  <si>
    <t>Cosa accade se entrambe le squadre commettono fallo contemporaneamente?</t>
  </si>
  <si>
    <t>A. Il punto viene ripetuto B. Il punto va alla squadra in vantaggio C. Viene assegnato un doppio fallo D. Il punto viene annullato</t>
  </si>
  <si>
    <t>Il punto viene ripetuto</t>
  </si>
  <si>
    <t>Un doppio fallo comporta la ripetizione del punto.</t>
  </si>
  <si>
    <t>Cosa si intende per “pallone in gioco”?</t>
  </si>
  <si>
    <t>A. Un pallone valido e in movimento B. Un pallone non ancora servito C. Un pallone che non tocca il suolo D. Un pallone fuori dal campo</t>
  </si>
  <si>
    <t>Un pallone valido e in movimento</t>
  </si>
  <si>
    <t>Un pallone è in gioco quando è valido e in movimento.</t>
  </si>
  <si>
    <t>Cosa indica una palla che rimbalza due volte sul campo?</t>
  </si>
  <si>
    <t>A. Un colpo nullo B. Un punto per l’avversario C. Un fallo tecnico D. Una ripetizione del colpo</t>
  </si>
  <si>
    <t>Un punto per l’avversario</t>
  </si>
  <si>
    <t>Due rimbalzi assegnano il punto all’avversario.</t>
  </si>
  <si>
    <t>Come viene premiata la squadra vincitrice?</t>
  </si>
  <si>
    <t>A. Con un trofeo B. Con una somma di denaro C. Con medaglie D. Tutte le precedenti</t>
  </si>
  <si>
    <t>Le squadre vincitrici possono ricevere trofei</t>
  </si>
  <si>
    <t>Qual è l'importanza della comunicazione tra compagni di squadra?</t>
  </si>
  <si>
    <t>A. Evitare collisioni B. Rendere il gioco più fluido C. Coordinarsi per colpi strategici D. Tutte le precedenti</t>
  </si>
  <si>
    <t>La comunicazione è essenziale per la strategia e la sicurezza.</t>
  </si>
  <si>
    <t>Quale è un comune errore dei principianti?</t>
  </si>
  <si>
    <t>A. Mancanza di precisione B. Colpire con troppa forza C. Non mantenere la posizione corretta D. Tutti i precedenti</t>
  </si>
  <si>
    <t>Tutti i precedenti</t>
  </si>
  <si>
    <t>I principianti commettono spesso questi errori.</t>
  </si>
  <si>
    <t>Cosa rappresenta una “partita amichevole”?</t>
  </si>
  <si>
    <t>A. Un incontro non competitivo B. Una partita con regole flessibili C. Un gioco per allenamento D. Tutte le precedenti</t>
  </si>
  <si>
    <t>Le partite amichevoli sono meno formali e possono avere regole flessibili.</t>
  </si>
  <si>
    <t>Come si calcola il vincitore in caso di parità?</t>
  </si>
  <si>
    <t>A. Basandosi sui punti totali B. Giocando un set supplementare C. Consultando l’arbitro D. Assegnando la vittoria a entrambe le squadre</t>
  </si>
  <si>
    <t>Giocando un set supplementare</t>
  </si>
  <si>
    <t>Un set supplementare determina il vincitore.</t>
  </si>
  <si>
    <t>Qual è il modo corretto per segnalare un problema al giudice?</t>
  </si>
  <si>
    <t>A. Alzando la mano B. Parlando direttamente C. Chiedendo una pausa D. Non si può segnalare durante il gioco</t>
  </si>
  <si>
    <t>Alzando la mano</t>
  </si>
  <si>
    <t>I giocatori segnalano i problemi alzando la mano.</t>
  </si>
  <si>
    <t>Cosa si deve fare se un giocatore si infortuna durante una partita?</t>
  </si>
  <si>
    <t>A. Chiedere la sostituzione B. Continuare a giocare C. Richiedere un timeout medico D. Abbandonare il campo</t>
  </si>
  <si>
    <t>Richiedere un timeout medico</t>
  </si>
  <si>
    <t>Un infortunio richiede un timeout per l’assistenza medica.</t>
  </si>
  <si>
    <t>Qual è il significato di “pallone al limite”?</t>
  </si>
  <si>
    <t>A. Un pallone vicino alla linea del campo B. Un pallone che tocca la rete C. Un pallone in aria D. Un pallone che colpisce il bracciale</t>
  </si>
  <si>
    <t>Un pallone vicino alla linea del campo</t>
  </si>
  <si>
    <t>Un “pallone al limite” si trova vicino alla linea del campo.</t>
  </si>
  <si>
    <t>Come viene deciso il lato del campo?</t>
  </si>
  <si>
    <t>A. Sorteggio B. Punteggio precedente C. Scelta dell’arbitro D. Decisione del capitano</t>
  </si>
  <si>
    <t>Il lato del campo viene deciso tramite sorteggio.</t>
  </si>
  <si>
    <t>Cosa rappresenta il termine “colpo tecnico”?</t>
  </si>
  <si>
    <t>A. Un colpo eseguito con precisione B. Un colpo irregolare C. Un colpo casuale D. Un colpo non valido</t>
  </si>
  <si>
    <t>Un colpo eseguito con precisione</t>
  </si>
  <si>
    <t>Un “colpo tecnico” si distingue per la sua esecuzione precisa.</t>
  </si>
  <si>
    <t>Come viene preparato il campo prima di una partita ufficiale?</t>
  </si>
  <si>
    <t>A. Misurandolo accuratamente B. Pulendolo C. Riparando eventuali danni D. Tutte le precedenti</t>
  </si>
  <si>
    <t>La preparazione del campo include misurazioni</t>
  </si>
  <si>
    <t>Cosa si intende per “servizio nullo” in Pallone col Bracciale?</t>
  </si>
  <si>
    <t>A. Un servizio che non supera la linea di rispetto B. Un servizio che tocca il terreno prima di essere colpito C. Un servizio fuori dal campo D. Un servizio troppo debole</t>
  </si>
  <si>
    <t>Un servizio che non supera la linea di rispetto</t>
  </si>
  <si>
    <t>Un “servizio nullo” non rispetta le regole di base del servizio.</t>
  </si>
  <si>
    <t>Qual è lo scopo principale del bracciale nel gioco?</t>
  </si>
  <si>
    <t>A. Proteggere la mano del giocatore B. Migliorare la potenza del colpo C. Rendere il gioco più spettacolare D. Tutti i precedenti</t>
  </si>
  <si>
    <t>Il bracciale protegge e aumenta la forza e la precisione.</t>
  </si>
  <si>
    <t>Qual è il ruolo del giudice di campo?</t>
  </si>
  <si>
    <t>A. Supervisionare il gioco B. Contare i punti C. Gestire i falli D. Tutti i precedenti</t>
  </si>
  <si>
    <t>Il giudice di campo supervisiona tutti gli aspetti del gioco.</t>
  </si>
  <si>
    <t>Cosa accade se un pallone colpisce la rete durante il gioco?</t>
  </si>
  <si>
    <t>A. Il punto va all’avversario B. Il punto viene ripetuto C. Il colpo è valido se il pallone supera la rete D. Il colpo viene considerato nullo</t>
  </si>
  <si>
    <t>Il colpo è valido se il pallone supera la rete</t>
  </si>
  <si>
    <t>Un pallone che supera la rete dopo averla colpita è valido.</t>
  </si>
  <si>
    <t>Cosa si deve fare se il bracciale si danneggia durante una partita?</t>
  </si>
  <si>
    <t>A. Richiedere un timeout tecnico B. Sostituirlo immediatamente C. Continuare a giocare con il bracciale danneggiato D. Chiedere l’approvazione del giudice</t>
  </si>
  <si>
    <t>Un bracciale danneggiato deve essere sostituito.</t>
  </si>
  <si>
    <t>Cosa si intende per “fallo tecnico” in Pallone col Bracciale?</t>
  </si>
  <si>
    <t>A. Un errore dovuto a una violazione delle regole di base B. Un errore legato alla posizione del giocatore C. Un errore legato all’equipaggiamento D. Un errore casuale</t>
  </si>
  <si>
    <t>Un errore dovuto a una violazione delle regole di base</t>
  </si>
  <si>
    <t>Un fallo tecnico implica una violazione regolamentare.</t>
  </si>
  <si>
    <t>Qual è il segnale utilizzato per iniziare una partita?</t>
  </si>
  <si>
    <t>A. Un fischio del giudice B. Battendo le mani C. Alzando una bandiera verde D. Un colpo di tamburo</t>
  </si>
  <si>
    <t>Un fischio del giudice</t>
  </si>
  <si>
    <t>La partita inizia con un fischio.</t>
  </si>
  <si>
    <t>Come si deve comportare un giocatore dopo un fallo?</t>
  </si>
  <si>
    <t>A. Chiedere scusa all’arbitro B. Accettare la decisione e continuare a giocare C. Protestare contro la decisione D. Chiedere una ripetizione del punto</t>
  </si>
  <si>
    <t>Accettare la decisione e continuare a giocare</t>
  </si>
  <si>
    <t>Un buon comportamento è essenziale nel gioco.</t>
  </si>
  <si>
    <t>Cosa si intende per “zona morta” in campo?</t>
  </si>
  <si>
    <t>A. Una zona del campo raramente utilizzata B. Una zona fuori dal gioco C. Una zona che provoca punti nulli D. Una zona non visibile al pubblico</t>
  </si>
  <si>
    <t>Una zona del campo raramente utilizzata</t>
  </si>
  <si>
    <t>La “zona morta” è poco coinvolta nel gioco.</t>
  </si>
  <si>
    <t>Come si determinano le squadre in una partita amatoriale?</t>
  </si>
  <si>
    <t>A. Scelta casuale B. Sorteggio C. Decisione del capitano D. Accordo tra i giocatori</t>
  </si>
  <si>
    <t>Accordo tra i giocatori</t>
  </si>
  <si>
    <t>Le squadre amatoriali si formano tramite accordi.</t>
  </si>
  <si>
    <t>Cosa rappresenta un “colpo vincente”?</t>
  </si>
  <si>
    <t>A. Un colpo che termina un set B. Un colpo che supera l’avversario C. Un colpo che causa un errore avversario D. Tutti i precedenti</t>
  </si>
  <si>
    <t>Un “colpo vincente” garantisce un punto o la fine di un set.</t>
  </si>
  <si>
    <t>Cosa accade se un giocatore tocca la rete durante il gioco?</t>
  </si>
  <si>
    <t>A. Il punto va all’avversario B. Viene ammonito C. Il punto viene ripetuto D. Il colpo viene considerato nullo</t>
  </si>
  <si>
    <t>Toccare la rete comporta la perdita del punto.</t>
  </si>
  <si>
    <t>Qual è l'importanza di una buona postura nel gioco?</t>
  </si>
  <si>
    <t>A. Aumentare la potenza B. Prevenire infortuni C. Migliorare la precisione D. Tutte le precedenti</t>
  </si>
  <si>
    <t>Una buona postura migliora le prestazioni e previene problemi fisici.</t>
  </si>
  <si>
    <t>Quale materiale è comunemente utilizzato per i bracciali?</t>
  </si>
  <si>
    <t>A. Legno B. Metallo C. Plastica D. Pelle</t>
  </si>
  <si>
    <t>I bracciali tradizionali sono spesso fatti di legno.</t>
  </si>
  <si>
    <t>Cosa si deve fare se un giocatore non è in grado di continuare a giocare?</t>
  </si>
  <si>
    <t>A. Abbandonare la partita B. Chiedere una pausa tecnica C. Richiedere una sostituzione D. Segnalare il problema al capitano</t>
  </si>
  <si>
    <t>Richiedere una sostituzione</t>
  </si>
  <si>
    <t>Un giocatore può essere sostituito se necessario.</t>
  </si>
  <si>
    <t>Qual è l'obiettivo del riscaldamento pre-partita?</t>
  </si>
  <si>
    <t>A. Evitare strappi muscolari B. Migliorare la concentrazione C. Preparare il corpo al gioco D. Tutti i precedenti</t>
  </si>
  <si>
    <t>Il riscaldamento è fondamentale per la preparazione fisica e mentale.</t>
  </si>
  <si>
    <t>Cosa si intende per “colpo controllato”?</t>
  </si>
  <si>
    <t>A. Un colpo eseguito con precisione B. Un colpo casuale C. Un colpo debole D. Un colpo che non supera la rete</t>
  </si>
  <si>
    <t>Un colpo controllato mira a precisione e strategia.</t>
  </si>
  <si>
    <t>Come viene trattata una palla fuori campo?</t>
  </si>
  <si>
    <t>A. Come punto per l’avversario B. Come fallo C. Come colpo nullo D. Come ripetizione del punto</t>
  </si>
  <si>
    <t>Come punto per l’avversario</t>
  </si>
  <si>
    <t>Un pallone fuori campo assegna il punto all’avversario.</t>
  </si>
  <si>
    <t>Qual è il ruolo di un allenatore durante il gioco?</t>
  </si>
  <si>
    <t>A. Dare istruzioni tattiche B. Incoraggiare i giocatori C. Chiedere timeout D. Gestire tutti gli aspetti della squadra</t>
  </si>
  <si>
    <t>Dare istruzioni tattiche</t>
  </si>
  <si>
    <t>Un allenatore guida la strategia della squadra.</t>
  </si>
  <si>
    <t>Cosa si intende per “tempo tecnico”?</t>
  </si>
  <si>
    <t>A. Un timeout richiesto per motivi di regolamento B. Un timeout per riparare il campo C. Un timeout legato alle condizioni atmosferiche D. Un timeout per un problema personale</t>
  </si>
  <si>
    <t>Un timeout richiesto per motivi di regolamento</t>
  </si>
  <si>
    <t>Il “tempo tecnico” serve a gestire problemi regolamentari.</t>
  </si>
  <si>
    <t>A. Viene ammonito B. Viene squalificato C. Il punto viene annullato D. Deve sostituire il bracciale</t>
  </si>
  <si>
    <t>Deve sostituire il bracciale</t>
  </si>
  <si>
    <t>Un bracciale non regolamentare deve essere cambiato.</t>
  </si>
  <si>
    <t>Qual è l’importanza del rispetto reciproco tra i giocatori?</t>
  </si>
  <si>
    <t>A. Evitare conflitti B. Mantenere un buon ambiente di gioco C. Dimostrare sportività D. Tutte le precedenti</t>
  </si>
  <si>
    <t>Il rispetto reciproco è essenziale per un gioco corretto.</t>
  </si>
  <si>
    <t>Cosa indica un “colpo lungo”?</t>
  </si>
  <si>
    <t>A. Un colpo che supera l’area di gioco B. Un colpo con molta potenza C. Un colpo che tocca la linea di fondo D. Un colpo che dura più del previsto</t>
  </si>
  <si>
    <t>Un colpo che supera l’area di gioco</t>
  </si>
  <si>
    <t>Un colpo lungo esce dal campo.</t>
  </si>
  <si>
    <t>Cosa si intende per “gioco fluido”?</t>
  </si>
  <si>
    <t>A. Un gioco senza interruzioni inutili B. Un gioco veloce C. Un gioco senza regole rigide D. Un gioco amichevole</t>
  </si>
  <si>
    <t>Un gioco senza interruzioni inutili</t>
  </si>
  <si>
    <t>Un gioco fluido è scorrevole e ben organizzato.</t>
  </si>
  <si>
    <t>Cosa rappresenta un “errore forzato”?</t>
  </si>
  <si>
    <t>A. Un errore causato dalla pressione avversaria B. Un errore commesso volontariamente C. Un errore legato al bracciale D. Un errore casuale</t>
  </si>
  <si>
    <t>Un errore causato dalla pressione avversaria</t>
  </si>
  <si>
    <t>Un errore forzato deriva dalla strategia avversaria.</t>
  </si>
  <si>
    <t>Come viene definito un “colpo strategico”?</t>
  </si>
  <si>
    <t>A. Un colpo che mira a mettere in difficoltà l’avversario B. Un colpo casuale C. Un colpo troppo debole D. Un colpo che si ripete spesso</t>
  </si>
  <si>
    <t>Un colpo che mira a mettere in difficoltà l’avversario</t>
  </si>
  <si>
    <t>Un colpo strategico serve a guadagnare un vantaggio.</t>
  </si>
  <si>
    <t>Qual è la penalità per un comportamento antisportivo?</t>
  </si>
  <si>
    <t>A. Ammonizione B. Espulsione dal gioco C. Perdita di un punto D. Tutte le precedenti</t>
  </si>
  <si>
    <t>Il comportamento antisportivo può portare a varie sanzioni.</t>
  </si>
  <si>
    <t>Cosa si intende per “linea laterale”?</t>
  </si>
  <si>
    <t>A. La linea che segna i confini laterali del campo B. La linea utilizzata per il servizio C. Una linea decorativa sul campo D. La linea che divide le squadre</t>
  </si>
  <si>
    <t>La linea che segna i confini laterali del campo</t>
  </si>
  <si>
    <t>La linea laterale delimita il campo di gioco.</t>
  </si>
  <si>
    <t>Qual è l'importanza dell'equipaggiamento regolamentare?</t>
  </si>
  <si>
    <t>A. Evitare infortuni B. Assicurare la correttezza del gioco C. Migliorare le prestazioni D. Tutte le precedenti</t>
  </si>
  <si>
    <t>L’equipaggiamento regolamentare garantisce sicurezza e correttezza.</t>
  </si>
  <si>
    <t>Cosa accade se un giocatore è in ritardo per la partita?</t>
  </si>
  <si>
    <t>A. Perdita automatica del set B. Ammonizione C. Perdita automatica della partita D. Viene dato tempo extra per prepararsi</t>
  </si>
  <si>
    <t>Perdita automatica della partita</t>
  </si>
  <si>
    <t>Il ritardo comporta la sconfitta.</t>
  </si>
  <si>
    <t xml:space="preserve"> Risposta corretta</t>
  </si>
  <si>
    <t>Qual è l'obiettivo principale nel Palio di Siena?</t>
  </si>
  <si>
    <t>A. Vincere il maggior numero di giri B. Vincere il primo giro C. Vincere la corsa completando tre giri D. Vincere rimanendo l'ultimo sul campo</t>
  </si>
  <si>
    <t>Vincere la corsa completando tre giri</t>
  </si>
  <si>
    <t>Il Palio è vinto dal cavallo che completa per primo tre giri della piazza.</t>
  </si>
  <si>
    <t>Quante contrade partecipano al Palio?</t>
  </si>
  <si>
    <t>A. 7 B. 10 C. 12 D. 17</t>
  </si>
  <si>
    <t>Le dieci contrade partecipano al Palio</t>
  </si>
  <si>
    <t>Dove si svolge il Palio di Siena?</t>
  </si>
  <si>
    <t>A. Nella Piazza del Campo B. Nella Piazza della Repubblica C. Nella Piazza San Marco D. Nel Colosseo</t>
  </si>
  <si>
    <t>Nella Piazza del Campo</t>
  </si>
  <si>
    <t>Il Palio si svolge nella storica Piazza del Campo a Siena.</t>
  </si>
  <si>
    <t>Quanti Palii si tengono ogni anno?</t>
  </si>
  <si>
    <t>A. Uno B. Due C. Tre D. Quattro</t>
  </si>
  <si>
    <t>Due</t>
  </si>
  <si>
    <t>Si svolgono due Palii l'anno: il 2 luglio e il 16 agosto.</t>
  </si>
  <si>
    <t>Cosa rappresentano le contrade nel Palio?</t>
  </si>
  <si>
    <t>A. Famiglie nobili B. Quartieri di Siena C. Scuole militari D. Repubbliche marinare</t>
  </si>
  <si>
    <t>Quartieri di Siena</t>
  </si>
  <si>
    <t>Le contrade rappresentano i quartieri storici di Siena.</t>
  </si>
  <si>
    <t>Come si chiama il cavallo senza cavaliere che vince il Palio?</t>
  </si>
  <si>
    <t>A. Cavallo sciolto B. Cavallo scosso C. Cavallo libero D. Cavallo ferito</t>
  </si>
  <si>
    <t>Cavallo scosso</t>
  </si>
  <si>
    <t>Anche un cavallo senza cavaliere può vincere se arriva primo.</t>
  </si>
  <si>
    <t>Come si chiama la cerimonia che assegna i cavalli alle contrade?</t>
  </si>
  <si>
    <t>A. Tratta B. Giostra C. Corsa preliminare D. Sorteggio</t>
  </si>
  <si>
    <t>Tratta</t>
  </si>
  <si>
    <t>La Tratta è la cerimonia ufficiale di assegnazione dei cavalli.</t>
  </si>
  <si>
    <t>Quante prove si tengono prima della corsa principale?</t>
  </si>
  <si>
    <t>A. Due B. Quattro C. Sei D. Otto</t>
  </si>
  <si>
    <t>Sei</t>
  </si>
  <si>
    <t>Si tengono sei prove prima della corsa finale.</t>
  </si>
  <si>
    <t>Chi è il mossiere?</t>
  </si>
  <si>
    <t>A. L'arbitro della corsa B. Il fantino più anziano C. Un rappresentante delle contrade D. Il cavaliere vincitore</t>
  </si>
  <si>
    <t>L'arbitro della corsa</t>
  </si>
  <si>
    <t>Il mossiere controlla la partenza e dà il via alla corsa.</t>
  </si>
  <si>
    <t>Quale premio riceve la contrada vincente?</t>
  </si>
  <si>
    <t>A. Una corona d'oro B. Un drappellone C. Un trofeo di bronzo D. Un cavallo nuovo</t>
  </si>
  <si>
    <t>Un drappellone</t>
  </si>
  <si>
    <t>Il drappellone è il premio simbolico per la contrada vincente.</t>
  </si>
  <si>
    <t>Cosa simboleggia il drappellone?</t>
  </si>
  <si>
    <t>A. La vittoria della contrada B. Il cavallo vincente C. La storia di Siena D. La gloria dei fantini</t>
  </si>
  <si>
    <t>La vittoria della contrada</t>
  </si>
  <si>
    <t>Il drappellone celebra la vittoria della contrada.</t>
  </si>
  <si>
    <t>Cosa succede se un fantino cade durante la corsa?</t>
  </si>
  <si>
    <t>A. La contrada è squalificata B. La corsa continua C. Il fantino è eliminato D. Il cavallo è ritirato</t>
  </si>
  <si>
    <t>La corsa continua</t>
  </si>
  <si>
    <t>Anche senza fantino</t>
  </si>
  <si>
    <t>Chi disegna il drappellone?</t>
  </si>
  <si>
    <t>A. Un artista locale B. Un fantino C. Un artigiano D. Un mossiere</t>
  </si>
  <si>
    <t>Un artista locale</t>
  </si>
  <si>
    <t>Il drappellone è disegnato da un artista scelto ogni anno.</t>
  </si>
  <si>
    <t>Qual è il significato del Palio?</t>
  </si>
  <si>
    <t>A. Una celebrazione religiosa B. Una competizione per il turismo C. Una prova di forza militare D. Un evento commerciale</t>
  </si>
  <si>
    <t>Una celebrazione religiosa</t>
  </si>
  <si>
    <t>Il Palio ha origini legate a celebrazioni religiose.</t>
  </si>
  <si>
    <t>Qual è il ruolo del fantino?</t>
  </si>
  <si>
    <t>A. Guidare il cavallo durante la corsa B. Spingere il cavallo a mano C. Allestire il drappellone D. Condurre la cerimonia iniziale</t>
  </si>
  <si>
    <t>Guidare il cavallo durante la corsa</t>
  </si>
  <si>
    <t>Il fantino guida il cavallo durante la gara.</t>
  </si>
  <si>
    <t>Da dove partono i cavalli nel Palio?</t>
  </si>
  <si>
    <t>A. Da un cancello fisso B. Da una corda tesa C. Da una linea tracciata per terra D. Da un recinto</t>
  </si>
  <si>
    <t>Da una corda tesa</t>
  </si>
  <si>
    <t>La partenza avviene dietro una corda chiamata canape.</t>
  </si>
  <si>
    <t>Chi decide l'ordine di partenza?</t>
  </si>
  <si>
    <t>A. Il sindaco B. Il mossiere C. Un sorteggio D. Il capitano di contrada</t>
  </si>
  <si>
    <t>Un sorteggio</t>
  </si>
  <si>
    <t>L'ordine di partenza è deciso tramite sorteggio.</t>
  </si>
  <si>
    <t>Quanto dura la corsa del Palio?</t>
  </si>
  <si>
    <t>A. Circa 90 secondi B. Circa 3 minuti C. Circa 10 minuti D. Circa 30 minuti</t>
  </si>
  <si>
    <t>Circa 90 secondi</t>
  </si>
  <si>
    <t>La corsa dura poco più di un minuto e mezzo.</t>
  </si>
  <si>
    <t>Quale contrada ha il record di vittorie?</t>
  </si>
  <si>
    <t>A. Oca B. Giraffa C. Torre D. Drago</t>
  </si>
  <si>
    <t>Oca</t>
  </si>
  <si>
    <t>La contrada dell'Oca ha il record storico di vittorie.</t>
  </si>
  <si>
    <t>Quanti giorni dura la celebrazione del Palio?</t>
  </si>
  <si>
    <t>A. Uno B. Tre C. Una settimana D. Dieci giorni</t>
  </si>
  <si>
    <t>Le celebrazioni durano tre giorni</t>
  </si>
  <si>
    <t>Come viene scelto il fantino?</t>
  </si>
  <si>
    <t>A. Attraverso un'asta B. Da un comitato della contrada C. Per successione familiare D. Con un concorso pubblico</t>
  </si>
  <si>
    <t>Da un comitato della contrada</t>
  </si>
  <si>
    <t>Ogni contrada sceglie il proprio fantino.</t>
  </si>
  <si>
    <t>Cosa succede se la partenza non è regolare?</t>
  </si>
  <si>
    <t>A. Il mossiere ferma la corsa B. Il fantino viene punito C. La corsa continua con penalità D. Il cavallo è squalificato</t>
  </si>
  <si>
    <t>Il mossiere ferma la corsa</t>
  </si>
  <si>
    <t>Il mossiere deve garantire una partenza regolare.</t>
  </si>
  <si>
    <t>Cosa significa "provaccia"?</t>
  </si>
  <si>
    <t>A. Una prova generale B. Una corsa di riserva C. Un test per il mossiere D. Una celebrazione finale</t>
  </si>
  <si>
    <t>Una prova generale</t>
  </si>
  <si>
    <t>La provaccia è l'ultima prova prima della gara.</t>
  </si>
  <si>
    <t>Cosa è vietato ai fantini durante la corsa?</t>
  </si>
  <si>
    <t>A. Usare fruste B. Parlare tra loro C. Cadere intenzionalmente D. Bloccare altri cavalli</t>
  </si>
  <si>
    <t>Bloccare altri cavalli</t>
  </si>
  <si>
    <t>Bloccare o ostacolare intenzionalmente è vietato.</t>
  </si>
  <si>
    <t>Cosa succede al drappellone dopo la vittoria?</t>
  </si>
  <si>
    <t>A. Viene esposto nella contrada vincente B. Viene distrutto C. Viene restituito D. Viene conservato dal mossiere</t>
  </si>
  <si>
    <t>Viene esposto nella contrada vincente</t>
  </si>
  <si>
    <t>Il drappellone è custodito come simbolo di vittoria.</t>
  </si>
  <si>
    <t>Qual è il simbolo delle contrade?</t>
  </si>
  <si>
    <t>A. Stemma B. Cavallo C. Fantino D. Scudo</t>
  </si>
  <si>
    <t>Stemma</t>
  </si>
  <si>
    <t>Ogni contrada ha il proprio stemma unico.</t>
  </si>
  <si>
    <t>Cosa succede ai cavalli dopo il Palio?</t>
  </si>
  <si>
    <t>A. Tornano ai proprietari B. Restano con la contrada C. Si ritirano dalle corse D. Partecipano a un'altra corsa</t>
  </si>
  <si>
    <t>Tornano ai proprietari</t>
  </si>
  <si>
    <t>I cavalli sono restituiti ai loro proprietari dopo il Palio.</t>
  </si>
  <si>
    <t>Qual è l'origine storica del Palio?</t>
  </si>
  <si>
    <t>A. Competizioni medievali B. Feste romane C. Gare rinascimentali D. Eventi napoleonici</t>
  </si>
  <si>
    <t>Competizioni medievali</t>
  </si>
  <si>
    <t>Il Palio ha origine nelle competizioni medievali.</t>
  </si>
  <si>
    <t>Come si chiama la cena di celebrazione del Palio?</t>
  </si>
  <si>
    <t>A. Cena della Vittoria B. Cena della Tratta C. Cena del Campo D. Cena del Fantino</t>
  </si>
  <si>
    <t>Cena della Vittoria</t>
  </si>
  <si>
    <t>La contrada vincente organizza una cena per festeggiare.</t>
  </si>
  <si>
    <t>Qual è il ruolo del capitano di contrada?</t>
  </si>
  <si>
    <t>A. Organizzare strategie per la vittoria B. Guidare il cavallo C. Creare il drappellone D. Essere il mossiere</t>
  </si>
  <si>
    <t>Organizzare strategie per la vittoria</t>
  </si>
  <si>
    <t>Il capitano coordina la contrada per ottenere il successo.</t>
  </si>
  <si>
    <t>Cosa rappresentano i colori di una contrada?</t>
  </si>
  <si>
    <t>A. Il cavallo della contrada B. I valori e la storia della contrada C. Il drappellone dell'anno D. Le tradizioni del mossiere</t>
  </si>
  <si>
    <t>I valori e la storia della contrada</t>
  </si>
  <si>
    <t>I colori simboleggiano l'identità storica e culturale di ogni contrada.</t>
  </si>
  <si>
    <t>Cosa succede se un cavallo si ferisce durante la corsa?</t>
  </si>
  <si>
    <t>A. Viene curato immediatamente B. Viene ritirato C. Viene sostituito D. Viene lasciato continuare la corsa</t>
  </si>
  <si>
    <t>Viene ritirato</t>
  </si>
  <si>
    <t>Un cavallo ferito viene subito ritirato per sicurezza.</t>
  </si>
  <si>
    <t>Quale contrada è soprannominata "nonna"?</t>
  </si>
  <si>
    <t>A. Aquila B. Torre C. Nicchio D. Chiocciola</t>
  </si>
  <si>
    <t>Nicchio</t>
  </si>
  <si>
    <t>La contrada "nonna" è quella che non vince da più tempo.</t>
  </si>
  <si>
    <t>Qual è il significato della bandiera della contrada?</t>
  </si>
  <si>
    <t>A. Simbolizza la vittoria B. Identifica la contrada C. Indica il mossiere D. Decora il drappellone</t>
  </si>
  <si>
    <t>Identifica la contrada</t>
  </si>
  <si>
    <t>La bandiera è un simbolo distintivo della contrada.</t>
  </si>
  <si>
    <t>Come si chiama il rituale religioso prima del Palio?</t>
  </si>
  <si>
    <t>A. Messa del fantino B. Benedizione del cavallo C. Preghiera del mossiere D. Offerta del drappellone</t>
  </si>
  <si>
    <t>Benedizione del cavallo</t>
  </si>
  <si>
    <t>Ogni cavallo viene benedetto prima della gara.</t>
  </si>
  <si>
    <t>Quanti cavalli partecipano alla corsa?</t>
  </si>
  <si>
    <t>A. 7 B. 10 C. 15 D. 17</t>
  </si>
  <si>
    <t>Dieci cavalli competono nella corsa.</t>
  </si>
  <si>
    <t>Cosa si celebra il 2 luglio durante il Palio?</t>
  </si>
  <si>
    <t>A. La Madonna di Provenzano B. La nascita di Siena C. La gloria delle contrade D. La fine delle guerre</t>
  </si>
  <si>
    <t>La Madonna di Provenzano</t>
  </si>
  <si>
    <t>Il Palio del 2 luglio è dedicato alla Madonna di Provenzano.</t>
  </si>
  <si>
    <t>Cosa si celebra il 16 agosto durante il Palio?</t>
  </si>
  <si>
    <t>A. La Madonna Assunta B. La pace tra le contrade C. La vittoria di Siena D. La festa del fantino</t>
  </si>
  <si>
    <t>La Madonna Assunta</t>
  </si>
  <si>
    <t>Il Palio del 16 agosto è dedicato alla Madonna Assunta.</t>
  </si>
  <si>
    <t>Quale ruolo ha la comparsa di una contrada?</t>
  </si>
  <si>
    <t>A. Rappresentare la contrada durante la sfilata B. Guidare il cavallo C. Tracciare il percorso D. Condurre la cerimonia di premiazione</t>
  </si>
  <si>
    <t>Rappresentare la contrada durante la sfilata</t>
  </si>
  <si>
    <t>La comparsa è composta da figuranti che rappresentano la contrada.</t>
  </si>
  <si>
    <t>Qual è il ruolo del priore di una contrada?</t>
  </si>
  <si>
    <t>A. Gestire gli affari interni della contrada B. Condurre il cavallo C. Tracciare il percorso D. Creare il drappellone</t>
  </si>
  <si>
    <t>Gestire gli affari interni della contrada</t>
  </si>
  <si>
    <t>Il priore si occupa della gestione della contrada.</t>
  </si>
  <si>
    <t>Cosa avviene se due cavalli tagliano il traguardo insieme?</t>
  </si>
  <si>
    <t>A. Si tiene un'altra corsa B. Vince il cavallo scosso C. Vince il cavallo più vicino al mossiere D. Si dichiara il pari merito</t>
  </si>
  <si>
    <t>Si dichiara il pari merito</t>
  </si>
  <si>
    <t>Un pareggio è accettato se i cavalli arrivano insieme.</t>
  </si>
  <si>
    <t>Chi può partecipare come fantino?</t>
  </si>
  <si>
    <t>A. Solo cittadini di Siena B. Solo membri delle contrade C. Chiunque sia ingaggiato dalla contrada D. Fantini scelti dallo Stato</t>
  </si>
  <si>
    <t>Chiunque sia ingaggiato dalla contrada</t>
  </si>
  <si>
    <t>Le contrade possono scegliere fantini esterni.</t>
  </si>
  <si>
    <t>Come vengono scelti i cavalli per il Palio?</t>
  </si>
  <si>
    <t>A. Sorteggio B. Selezione per velocità C. Selezione per esperienza D. Concorso pubblico</t>
  </si>
  <si>
    <t>I cavalli sono assegnati tramite sorteggio ufficiale.</t>
  </si>
  <si>
    <t>Cosa si intende per "fare la mossa"?</t>
  </si>
  <si>
    <t>A. Preparare il drappellone B. Avvicinarsi alla partenza C. Posizionarsi al canape D. Fermarsi dopo il primo giro</t>
  </si>
  <si>
    <t>Posizionarsi al canape</t>
  </si>
  <si>
    <t>Fare la mossa significa posizionarsi per la partenza.</t>
  </si>
  <si>
    <t>Quale contrada ha come simbolo una giraffa?</t>
  </si>
  <si>
    <t>A. Oca B. Giraffa C. Drago D. Chiocciola</t>
  </si>
  <si>
    <t>Giraffa</t>
  </si>
  <si>
    <t>La contrada della Giraffa ha come simbolo una giraffa.</t>
  </si>
  <si>
    <t>Qual è il termine per una vittoria ripetuta della stessa contrada?</t>
  </si>
  <si>
    <t>A. Doppietta B. Tris C. Rivincita D. Conquista</t>
  </si>
  <si>
    <t>Doppietta</t>
  </si>
  <si>
    <t>Una doppietta si verifica quando una contrada vince due Palii consecutivi.</t>
  </si>
  <si>
    <t>Cosa significa "estrazione a sorte"?</t>
  </si>
  <si>
    <t>A. Selezione del mossiere B. Scelta dei cavalli C. Scelta delle contrade partecipanti D. Distribuzione del drappellone</t>
  </si>
  <si>
    <t>Scelta delle contrade partecipanti</t>
  </si>
  <si>
    <t>Sette contrade sono estratte a sorte per partecipare al Palio.</t>
  </si>
  <si>
    <t>Qual è la regola principale per i cavalli?</t>
  </si>
  <si>
    <t>A. Devono essere purosangue B. Devono provenire da Siena C. Devono essere mezzosangue D. Devono essere bianchi</t>
  </si>
  <si>
    <t>Devono essere mezzosangue</t>
  </si>
  <si>
    <t>Per sicurezza e tradizione si usano cavalli mezzosangue.</t>
  </si>
  <si>
    <t>Cosa rappresentano i tamburi durante la sfilata?</t>
  </si>
  <si>
    <t>A. Il ritmo della corsa B. La chiamata alla competizione C. La storia della contrada D. La gloria del vincitore</t>
  </si>
  <si>
    <t>La chiamata alla competizione</t>
  </si>
  <si>
    <t>I tamburi scandiscono il ritmo e richiamano l'attenzione.</t>
  </si>
  <si>
    <t>Quanti giorni prima inizia la Tratta?</t>
  </si>
  <si>
    <t>La Tratta si svolge tre giorni prima della corsa.</t>
  </si>
  <si>
    <t>Cosa simboleggia il giubbetto del fantino?</t>
  </si>
  <si>
    <t>A. La bandiera della contrada B. Il drappellone C. La storia di Siena D. I colori della contrada</t>
  </si>
  <si>
    <t>I colori della contrada</t>
  </si>
  <si>
    <t>Il giubbetto riporta i colori distintivi della contrada.</t>
  </si>
  <si>
    <t>Come si chiama la prova in cui i fantini provano la partenza?</t>
  </si>
  <si>
    <t>A. Prova della mossa B. Prova generale C. Prova del mossiere D. Prova notturna</t>
  </si>
  <si>
    <t>Prova della mossa</t>
  </si>
  <si>
    <t>La prova della mossa è dedicata alla partenza.</t>
  </si>
  <si>
    <t>Chi celebra la messa prima del Palio?</t>
  </si>
  <si>
    <t>A. Il priore B. Il sindaco C. Il vescovo D. Un fantino</t>
  </si>
  <si>
    <t>Il vescovo</t>
  </si>
  <si>
    <t>La messa è celebrata dal vescovo di Siena.</t>
  </si>
  <si>
    <t>Cosa avviene alla cena della vittoria?</t>
  </si>
  <si>
    <t>A. Si consegna il drappellone B. Si prepara il cavallo C. Si celebra la contrada vincente D. Si decide il mossiere</t>
  </si>
  <si>
    <t>Si celebra la contrada vincente</t>
  </si>
  <si>
    <t>È un momento di festa per la contrada vincitrice.</t>
  </si>
  <si>
    <t>Come si chiama la corsa preliminare?</t>
  </si>
  <si>
    <t>A. Provaccia B. Prova notturna C. Tratta D. Giostra</t>
  </si>
  <si>
    <t>Provaccia</t>
  </si>
  <si>
    <t>La provaccia è una corsa preliminare prima del Palio.</t>
  </si>
  <si>
    <t>Cosa succede se un cavallo scosso taglia il traguardo per primo?</t>
  </si>
  <si>
    <t>A. Vince la corsa B. È eliminato C. Il drappellone viene riassegnato D. Si corre un'altra gara</t>
  </si>
  <si>
    <t>Vince la corsa</t>
  </si>
  <si>
    <t>Anche un cavallo senza fantino può vincere il Palio.</t>
  </si>
  <si>
    <t>Chi coordina la sicurezza della piazza durante il Palio?</t>
  </si>
  <si>
    <t>A. Il priore B. Il mossiere C. Le forze dell'ordine D. Il capitano della contrada</t>
  </si>
  <si>
    <t>Le forze dell'ordine</t>
  </si>
  <si>
    <t>La sicurezza è gestita dalle forze dell'ordine.</t>
  </si>
  <si>
    <t>Quante volte una contrada può partecipare al Palio in un anno?</t>
  </si>
  <si>
    <t>A. Una volta B. Due volte C. Tre volte D. Illimitate</t>
  </si>
  <si>
    <t>Due volte</t>
  </si>
  <si>
    <t>Ogni contrada può partecipare ai due Palii dell'anno.</t>
  </si>
  <si>
    <t>Quale contrada ha come simbolo un drago?</t>
  </si>
  <si>
    <t>A. Giraffa B. Torre C. Oca D. Drago</t>
  </si>
  <si>
    <t>Drago</t>
  </si>
  <si>
    <t>La contrada del Drago ha come simbolo un drago.</t>
  </si>
  <si>
    <t>Chi decide i vincitori in caso di disputa?</t>
  </si>
  <si>
    <t>A. Il mossiere B. Il priore C. Il giudice del Palio D. Il sindaco</t>
  </si>
  <si>
    <t>Il giudice del Palio</t>
  </si>
  <si>
    <t>Il giudice del Palio interviene in caso di controversie.</t>
  </si>
  <si>
    <t>Cosa si celebra durante il corteo storico del Palio?</t>
  </si>
  <si>
    <t>A. Le origini di Siena B. La gloria delle contrade C. Le antiche tradizioni medievali D. La vittoria della contrada</t>
  </si>
  <si>
    <t>Le antiche tradizioni medievali</t>
  </si>
  <si>
    <t>Il corteo storico rievoca le tradizioni medievali della città.</t>
  </si>
  <si>
    <t>Qual è la funzione del canape durante il Palio?</t>
  </si>
  <si>
    <t>A. Segnare il traguardo B. Separare le contrade C. Indicare la partenza D. Delimitare la piazza</t>
  </si>
  <si>
    <t>Indicare la partenza</t>
  </si>
  <si>
    <t>Il canape è la corda che segna la linea di partenza.</t>
  </si>
  <si>
    <t>Qual è il ruolo del cavallo nella tradizione del Palio?</t>
  </si>
  <si>
    <t>A. Essere un simbolo di forza B. Essere un elemento puramente decorativo C. Essere il vero protagonista D. Essere un tributo alla Madonna</t>
  </si>
  <si>
    <t>Essere il vero protagonista</t>
  </si>
  <si>
    <t>Il cavallo è il vero protagonista della corsa.</t>
  </si>
  <si>
    <t>Quante contrade sono escluse ogni anno dal Palio?</t>
  </si>
  <si>
    <t>A. 1 B. 3 C. 5 D. 7</t>
  </si>
  <si>
    <t>Sette contrade sono escluse a rotazione ogni anno.</t>
  </si>
  <si>
    <t>Chi decide il disegno del drappellone?</t>
  </si>
  <si>
    <t>A. Il comune di Siena B. Il mossiere C. Il priore della contrada vincente D. Il vescovo</t>
  </si>
  <si>
    <t>Il comune di Siena</t>
  </si>
  <si>
    <t>Il comune seleziona un artista per realizzarlo.</t>
  </si>
  <si>
    <t>Cosa rappresentano gli stendardi portati durante il corteo?</t>
  </si>
  <si>
    <t>A. Le alleanze tra contrade B. Le guerre medievali C. La storia e l’identità delle contrade D. La pace di Siena</t>
  </si>
  <si>
    <t>La storia e l’identità delle contrade</t>
  </si>
  <si>
    <t>Gli stendardi raccontano la storia e l'identità di ogni contrada.</t>
  </si>
  <si>
    <t>Chi può partecipare al corteo storico?</t>
  </si>
  <si>
    <t>A. Solo cittadini di Siena B. Tutti i membri delle contrade C. Persone scelte dal comune D. Chiunque lo desideri</t>
  </si>
  <si>
    <t>Tutti i membri delle contrade</t>
  </si>
  <si>
    <t>Il corteo è composto dai membri delle contrade.</t>
  </si>
  <si>
    <t>Cosa avviene durante la "bandiera al vento"?</t>
  </si>
  <si>
    <t>A. Si assegna il drappellone B. Si celebra la vittoria C. Si esibiscono i vessilliferi delle contrade D. Si annuncia il mossiere</t>
  </si>
  <si>
    <t>Si esibiscono i vessilliferi delle contrade</t>
  </si>
  <si>
    <t>Gli sbandieratori eseguono coreografie con le bandiere.</t>
  </si>
  <si>
    <t>Qual è il materiale tradizionale del drappellone?</t>
  </si>
  <si>
    <t>A. Seta B. Lino C. Cotone D. Velluto</t>
  </si>
  <si>
    <t>Seta</t>
  </si>
  <si>
    <t>Il drappellone è tradizionalmente dipinto su seta.</t>
  </si>
  <si>
    <t>Come si chiama la via d'accesso alla Piazza del Campo?</t>
  </si>
  <si>
    <t>A. Via del Drappellone B. Via della Vittoria C. Via del Casato D. Via delle Contrade</t>
  </si>
  <si>
    <t>Via del Casato</t>
  </si>
  <si>
    <t>La Via del Casato è uno degli accessi principali alla piazza.</t>
  </si>
  <si>
    <t>Cosa significa "Palio alla lunga"?</t>
  </si>
  <si>
    <t>A. Una corsa più lunga del solito B. Una competizione fuori Siena C. Un Palio disputato su un percorso rettilineo D. Un Palio con più di 10 contrade</t>
  </si>
  <si>
    <t>Un Palio disputato su un percorso rettilineo</t>
  </si>
  <si>
    <t>Il "Palio alla lunga" si correva su percorsi rettilinei fuori città.</t>
  </si>
  <si>
    <t>Cosa indica la presenza di un cavallo bianco nel corteo storico?</t>
  </si>
  <si>
    <t>A. Una contrada ospite B. Un simbolo di purezza C. La Madonna D. Un omaggio al drappellone</t>
  </si>
  <si>
    <t>Un simbolo di purezza</t>
  </si>
  <si>
    <t>Il cavallo bianco rappresenta la purezza e la devozione.</t>
  </si>
  <si>
    <t>Cosa avviene se il canape si rompe durante la partenza?</t>
  </si>
  <si>
    <t>A. La corsa è rimandata B. La corsa continua C. Si annulla il Palio D. Si procede a una nuova mossa</t>
  </si>
  <si>
    <t>Si procede a una nuova mossa</t>
  </si>
  <si>
    <t>Una nuova mossa è necessaria per garantire l’equità.</t>
  </si>
  <si>
    <t>Quante volte un cavallo può partecipare al Palio?</t>
  </si>
  <si>
    <t>A. Solo una volta B. Tutte le volte che viene selezionato C. Fino a tre volte D. Una volta ogni due anni</t>
  </si>
  <si>
    <t>Tutte le volte che viene selezionato</t>
  </si>
  <si>
    <t>Un cavallo può partecipare più volte se ritenuto idoneo.</t>
  </si>
  <si>
    <t>Cosa rappresenta la figura del tamburino nel corteo storico?</t>
  </si>
  <si>
    <t>A. Il ritmo della sfilata B. Un simbolo di battaglia C. La celebrazione della contrada D. Un omaggio alla Madonna</t>
  </si>
  <si>
    <t>Il ritmo della sfilata</t>
  </si>
  <si>
    <t>Il tamburino scandisce il ritmo della sfilata.</t>
  </si>
  <si>
    <t>Quale contrada ha come simbolo un'aquila?</t>
  </si>
  <si>
    <t>A. Drago B. Oca C. Aquila D. Pantera</t>
  </si>
  <si>
    <t>Aquila</t>
  </si>
  <si>
    <t>L’Aquila ha come simbolo un’aquila.</t>
  </si>
  <si>
    <t>Chi scrive l’inno di una contrada?</t>
  </si>
  <si>
    <t>A. Il mossiere B. Un membro della contrada C. Un artista locale D. Un fantino</t>
  </si>
  <si>
    <t>Un membro della contrada</t>
  </si>
  <si>
    <t>Gli inni sono composti da membri o sostenitori della contrada.</t>
  </si>
  <si>
    <t>Cosa rappresentano i cavalli bardati durante il corteo storico?</t>
  </si>
  <si>
    <t>A. Gli antichi cavalieri medievali B. La forza delle contrade C. Un omaggio alla Madonna D. La gloria del Palio</t>
  </si>
  <si>
    <t>Gli antichi cavalieri medievali</t>
  </si>
  <si>
    <t>I cavalli bardati rievocano i cavalieri medievali.</t>
  </si>
  <si>
    <t>Qual è il ruolo del porta-insegna?</t>
  </si>
  <si>
    <t>A. Portare il drappellone B. Guidare il corteo storico C. Portare lo stendardo della contrada D. Segnalare l’inizio della corsa</t>
  </si>
  <si>
    <t>Portare lo stendardo della contrada</t>
  </si>
  <si>
    <t>Il porta-insegna rappresenta la contrada con il suo stendardo.</t>
  </si>
  <si>
    <t>Cosa significa "fare cappotto"?</t>
  </si>
  <si>
    <t>A. Vincere due Palii consecutivi B. Vincere senza fantino C. Vincere tutte le prove D. Vincere ogni anno</t>
  </si>
  <si>
    <t>Vincere due Palii consecutivi</t>
  </si>
  <si>
    <t>Una contrada fa "cappotto" vincendo entrambi i Palii dell’anno.</t>
  </si>
  <si>
    <t>Come si chiama il cavallo vincente senza fantino?</t>
  </si>
  <si>
    <t>A. Scosso B. Libero C. Sciolto D. Abbandonato</t>
  </si>
  <si>
    <t>Scosso</t>
  </si>
  <si>
    <t>Il cavallo vincente senza fantino è detto "scosso".</t>
  </si>
  <si>
    <t>Quale contrada ha come simbolo una pantera?</t>
  </si>
  <si>
    <t>A. Oca B. Torre C. Pantera D. Istrice</t>
  </si>
  <si>
    <t>Pantera</t>
  </si>
  <si>
    <t>La Pantera ha come simbolo una pantera.</t>
  </si>
  <si>
    <t>Cosa simboleggia la corona indossata durante il corteo storico?</t>
  </si>
  <si>
    <t>A. La vittoria della contrada B. Il potere del priore C. L'omaggio alla Madonna D. La gloria di Siena</t>
  </si>
  <si>
    <t>L'omaggio alla Madonna</t>
  </si>
  <si>
    <t>La corona è un simbolo religioso.</t>
  </si>
  <si>
    <t>Quale contrada ha come simbolo un istrice?</t>
  </si>
  <si>
    <t>A. Torre B. Istrice C. Oca D. Lupa</t>
  </si>
  <si>
    <t>Istrice</t>
  </si>
  <si>
    <t>L’Istrice ha come simbolo un istrice.</t>
  </si>
  <si>
    <t>Chi sceglie il mossiere?</t>
  </si>
  <si>
    <t>A. Il comune B. Le contrade C. Un comitato cittadino D. Il priore della contrada vincente</t>
  </si>
  <si>
    <t>Il comune</t>
  </si>
  <si>
    <t>Il mossiere è scelto dal comune.</t>
  </si>
  <si>
    <t>Cosa rappresentano le fiaccole durante il corteo storico?</t>
  </si>
  <si>
    <t>A. La pace B. Le celebrazioni notturne C. La luce della Madonna D. La guida per le contrade</t>
  </si>
  <si>
    <t>La luce della Madonna</t>
  </si>
  <si>
    <t>Le fiaccole simboleggiano la devozione alla Madonna.</t>
  </si>
  <si>
    <t>Cosa avviene se due contrade si ostacolano durante la corsa?</t>
  </si>
  <si>
    <t>A. Entrambe vengono squalificate B. Viene assegnata una penalità C. Vince chi arriva per primo D. Il mossiere interviene</t>
  </si>
  <si>
    <t>Viene assegnata una penalità</t>
  </si>
  <si>
    <t>Le interferenze sono punite con penalità.</t>
  </si>
  <si>
    <t>Qual è il significato della "carriera"?</t>
  </si>
  <si>
    <t>A. La corsa stessa B. La storia della contrada C. Il drappellone D. La vittoria del cavallo scosso</t>
  </si>
  <si>
    <t>La corsa stessa</t>
  </si>
  <si>
    <t>La "carriera" è il termine che indica la corsa del Palio.</t>
  </si>
  <si>
    <t>Chi assiste il fantino durante la preparazione?</t>
  </si>
  <si>
    <t>A. Il priore B. Il capitano della contrada C. Il mossiere D. Un compagno fantino</t>
  </si>
  <si>
    <t>Il capitano della contrada</t>
  </si>
  <si>
    <t>Il capitano fornisce supporto strategico e logistico.</t>
  </si>
  <si>
    <t>Come si chiama il tratto più stretto della Piazza del Campo?</t>
  </si>
  <si>
    <t>A. San Martino B. Casato C. Mattarella D. Costarella di Fontebranda</t>
  </si>
  <si>
    <t>San Martino</t>
  </si>
  <si>
    <t>La curva di San Martino è famosa per la sua difficoltà.</t>
  </si>
  <si>
    <t>Qual è il significato del termine "barbaresco"?</t>
  </si>
  <si>
    <t>A. Colui che si prende cura del cavallo B. Un rappresentante della contrada C. Il fantino di riserva D. Il mossiere</t>
  </si>
  <si>
    <t>Colui che si prende cura del cavallo</t>
  </si>
  <si>
    <t>Il barbaresco è il custode del cavallo della contrada.</t>
  </si>
  <si>
    <t>Cosa avviene se un cavallo viene ritenuto non idoneo?</t>
  </si>
  <si>
    <t>A. Viene sostituito B. Viene squalificato C. Viene assegnato a un’altra contrada D. Non può partecipare al Palio</t>
  </si>
  <si>
    <t>Viene sostituito</t>
  </si>
  <si>
    <t>Un cavallo non idoneo viene sostituito prima della gara.</t>
  </si>
  <si>
    <t>Quante prove si svolgono prima del Palio?</t>
  </si>
  <si>
    <t>Prima del Palio si svolgono sei prove ufficiali.</t>
  </si>
  <si>
    <t>Chi consegna il drappellone alla contrada vincente?</t>
  </si>
  <si>
    <t>A. Il sindaco B. Il mossiere C. Il capitano della contrada D. Il priore</t>
  </si>
  <si>
    <t>Il sindaco</t>
  </si>
  <si>
    <t>Il sindaco di Siena consegna il drappellone.</t>
  </si>
  <si>
    <t>Cosa rappresentano i colori del drappellone?</t>
  </si>
  <si>
    <t>A. Le contrade partecipanti B. La celebrazione religiosa C. La vittoria del Palio D. L’arte locale</t>
  </si>
  <si>
    <t>La celebrazione religiosa</t>
  </si>
  <si>
    <t>Il drappellone simboleggia la devozione alla Madonna.</t>
  </si>
  <si>
    <t>Cosa avviene durante la "provaccia"?</t>
  </si>
  <si>
    <t>A. L’assegnazione del drappellone B. Una prova generale C. La cerimonia di apertura D. La scelta del mossiere</t>
  </si>
  <si>
    <t>La provaccia è una prova prima della gara ufficiale.</t>
  </si>
  <si>
    <t>Come si chiama il fantino più giovane che abbia mai vinto il Palio?</t>
  </si>
  <si>
    <t>A. Il Mossiere B. Il Barbaresco C. Il Vergine D. Il Novizio</t>
  </si>
  <si>
    <t>Il Novizio</t>
  </si>
  <si>
    <t>Il fantino più giovane è conosciuto come "Novizio".</t>
  </si>
  <si>
    <t>Qual è il tratto più pericoloso del percorso del Palio?</t>
  </si>
  <si>
    <t>A. La curva di San Martino B. La partenza C. Il rettilineo finale D. La curva del Casato</t>
  </si>
  <si>
    <t>La curva di San Martino</t>
  </si>
  <si>
    <t>La curva di San Martino è nota per la sua pericolosità.</t>
  </si>
  <si>
    <t>Cosa significa "fare melina" durante il Palio?</t>
  </si>
  <si>
    <t>A. Ostacolare gli avversari B. Rallentare intenzionalmente C. Evitare la corsa D. Spingere il cavallo al massimo</t>
  </si>
  <si>
    <t>Rallentare intenzionalmente</t>
  </si>
  <si>
    <t>Fare melina significa rallentare per una strategia.</t>
  </si>
  <si>
    <t>Quale contrada ha come simbolo una lupa?</t>
  </si>
  <si>
    <t>A. Oca B. Lupa C. Drago D. Giraffa</t>
  </si>
  <si>
    <t>Lupa</t>
  </si>
  <si>
    <t>La Lupa ha come simbolo una lupa.</t>
  </si>
  <si>
    <t>Cosa avviene al cavallo vincente?</t>
  </si>
  <si>
    <t>A. Viene premiato con il drappellone B. Viene celebrato in chiesa C. Viene liberato in piazza D. Viene ospitato dal priore</t>
  </si>
  <si>
    <t>Viene celebrato in chiesa</t>
  </si>
  <si>
    <t>Il cavallo vincente è benedetto in chiesa.</t>
  </si>
  <si>
    <t>Chi è responsabile delle decisioni tattiche della contrada?</t>
  </si>
  <si>
    <t>A. Il priore B. Il capitano C. Il mossiere D. Il fantino</t>
  </si>
  <si>
    <t>Il capitano</t>
  </si>
  <si>
    <t>Il capitano guida le scelte tattiche della contrada.</t>
  </si>
  <si>
    <t>Cosa simboleggiano i costumi medievali del corteo storico?</t>
  </si>
  <si>
    <t>A. La ricchezza della contrada B. La storia di Siena C. La tradizione militare D. La fede religiosa</t>
  </si>
  <si>
    <t>La storia di Siena</t>
  </si>
  <si>
    <t>I costumi medievali rievocano le origini storiche della città.</t>
  </si>
  <si>
    <t>Quale contrada ha come simbolo un'oca?</t>
  </si>
  <si>
    <t>A. Drago B. Oca C. Istrice D. Lupa</t>
  </si>
  <si>
    <t>L’Oca ha come simbolo un’oca.</t>
  </si>
  <si>
    <t>Cosa accade se il fantino cade durante la corsa?</t>
  </si>
  <si>
    <t>A. La contrada perde B. Il cavallo continua a correre C. Viene squalificato D. La corsa si ferma</t>
  </si>
  <si>
    <t>Il cavallo continua a correre</t>
  </si>
  <si>
    <t>Il cavallo può vincere anche senza fantino.</t>
  </si>
  <si>
    <t>Cosa indica il termine "mossa"?</t>
  </si>
  <si>
    <t>A. L’inizio della corsa B. La fine della corsa C. La distribuzione del drappellone D. La selezione del mossiere</t>
  </si>
  <si>
    <t>L’inizio della corsa</t>
  </si>
  <si>
    <t>La "mossa" è il momento della partenza.</t>
  </si>
  <si>
    <t>Qual è il nome del dipinto che orna il drappellone?</t>
  </si>
  <si>
    <t>A. Il Palio B. L’Assunta C. Il Cencio D. Il Trionfo</t>
  </si>
  <si>
    <t>Il Cencio</t>
  </si>
  <si>
    <t>Il drappellone è comunemente chiamato "Cencio".</t>
  </si>
  <si>
    <t>Come vengono assegnati i cavalli alle contrade?</t>
  </si>
  <si>
    <t>A. Per selezione B. Per voto C. Per sorteggio D. Per preferenza del priore</t>
  </si>
  <si>
    <t>Per sorteggio</t>
  </si>
  <si>
    <t>I cavalli sono assegnati tramite sorteggio.</t>
  </si>
  <si>
    <t>Cosa rappresentano gli scudi portati nel corteo storico?</t>
  </si>
  <si>
    <t>A. Le vittorie delle contrade B. Le alleanze tra contrade C. Le armi medievali D. Le contrade partecipanti</t>
  </si>
  <si>
    <t>Le contrade partecipanti</t>
  </si>
  <si>
    <t>Gli scudi mostrano i simboli delle contrade.</t>
  </si>
  <si>
    <t>Cosa accade se due contrade finiscono in parità?</t>
  </si>
  <si>
    <t>A. Vince la contrada con il fantino B. Si corre una nuova gara C. Il Palio viene annullato D. La vittoria è condivisa</t>
  </si>
  <si>
    <t>La vittoria è condivisa</t>
  </si>
  <si>
    <t>Un pareggio comporta una vittoria condivisa.</t>
  </si>
  <si>
    <t>Qual è la funzione del mossiere?</t>
  </si>
  <si>
    <t>A. Gestire la partenza B. Fare rispettare le regole C. Premiare il vincitore D. Scegliere i cavalli</t>
  </si>
  <si>
    <t>Gestire la partenza</t>
  </si>
  <si>
    <t>Il mossiere supervisiona la partenza.</t>
  </si>
  <si>
    <t>Quale contrada ha come simbolo una torre?</t>
  </si>
  <si>
    <t>A. Aquila B. Chiocciola C. Oca D. Torre</t>
  </si>
  <si>
    <t>Torre</t>
  </si>
  <si>
    <t>La Torre ha come simbolo una torre.</t>
  </si>
  <si>
    <t>Cosa si intende per "contrade nemiche"?</t>
  </si>
  <si>
    <t>A. Contrade con rivalità storica B. Contrade escluse dal Palio C. Contrade senza alleanze D. Contrade sconfitte</t>
  </si>
  <si>
    <t>Contrade con rivalità storica</t>
  </si>
  <si>
    <t>Le "contrade nemiche" hanno rivalità storiche.</t>
  </si>
  <si>
    <t>Cosa rappresentano i vessilli nel corteo?</t>
  </si>
  <si>
    <t>A. I confini di Siena B. I quartieri della città C. Le contrade D. Le vittorie del Palio</t>
  </si>
  <si>
    <t>Le contrade</t>
  </si>
  <si>
    <t>I vessilli identificano le contrade.</t>
  </si>
  <si>
    <t>Cosa avviene durante la benedizione del cavallo?</t>
  </si>
  <si>
    <t>A. Il cavallo viene decorato B. Il cavallo viene preparato per la corsa C. Il cavallo viene benedetto con acqua santa D. Il cavallo riceve il drappellone</t>
  </si>
  <si>
    <t>Il cavallo viene benedetto con acqua santa</t>
  </si>
  <si>
    <t>La benedizione è un rito tradizionale.</t>
  </si>
  <si>
    <t>Qual è il significato della parola "contrada"?</t>
  </si>
  <si>
    <t>A. Un gruppo religioso B. Un distretto cittadino C. Un simbolo del Palio D. Una famiglia nobile</t>
  </si>
  <si>
    <t>Un distretto cittadino</t>
  </si>
  <si>
    <t>Le contrade sono divisioni storiche di Siena.</t>
  </si>
  <si>
    <t>Qual è il premio per la contrada vincente?</t>
  </si>
  <si>
    <t>A. Un trofeo d’oro B. Il drappellone C. Una corona D. Un titolo onorifico</t>
  </si>
  <si>
    <t>Il drappellone</t>
  </si>
  <si>
    <t>La contrada vincente riceve il drappellone.</t>
  </si>
  <si>
    <t>Come si chiama il leader della contrada?</t>
  </si>
  <si>
    <t>A. Il mossiere B. Il capitano C. Il priore D. Il barbaresco</t>
  </si>
  <si>
    <t>Il priore</t>
  </si>
  <si>
    <t>Il priore è il leader della contrada.</t>
  </si>
  <si>
    <t>Cosa avviene dopo la corsa del Palio?</t>
  </si>
  <si>
    <t>A. La distribuzione dei premi B. La cena della vittoria C. Una nuova assegnazione dei cavalli D. Una cerimonia religiosa</t>
  </si>
  <si>
    <t>La cena della vittoria</t>
  </si>
  <si>
    <t>La contrada vincente celebra con una cena.</t>
  </si>
  <si>
    <t>Qual è il ruolo del fantino nella contrada?</t>
  </si>
  <si>
    <t>A. Solo correre nel Palio B. Rappresentare la contrada in tutte le gare C. Essere ambasciatore della contrada D. Fare parte delle decisioni strategiche</t>
  </si>
  <si>
    <t>Far parte delle decisioni strategiche</t>
  </si>
  <si>
    <t>Il fantino contribuisce anche alla strategia della corsa.</t>
  </si>
  <si>
    <t>Cosa simboleggia il carro portato nel corteo storico?</t>
  </si>
  <si>
    <t>A. La vittoria del Palio B. La gloria della città C. Le antiche feste medievali D. Le alleanze tra contrade</t>
  </si>
  <si>
    <t>Le antiche feste medievali</t>
  </si>
  <si>
    <t>Il carro rappresenta le celebrazioni medievali.</t>
  </si>
  <si>
    <t>A. Chiocciola B. Drago C. Oca D. Istrice</t>
  </si>
  <si>
    <t>Il Drago ha come simbolo un drago.</t>
  </si>
  <si>
    <t>Cosa accade al cavallo dopo la benedizione?</t>
  </si>
  <si>
    <t>A. Ritorna nella stalla B. Inizia il corteo C. È accompagnato alla mossa D. È decorato con il drappellone</t>
  </si>
  <si>
    <t>È accompagnato alla mossa</t>
  </si>
  <si>
    <t>Dopo la benedizione</t>
  </si>
  <si>
    <t>Chi supervisiona il corteo storico?</t>
  </si>
  <si>
    <t>A. Il priore B. Il mossiere C. Il sindaco D. Il capitano del corteo</t>
  </si>
  <si>
    <t>Il sindaco di Siena supervisiona il corteo storico.</t>
  </si>
  <si>
    <t>Cosa rappresenta il tamburo nel corteo storico?</t>
  </si>
  <si>
    <t>A. La voce delle contrade B. Il ritmo della parata C. La forza della contrada D. Un simbolo religioso</t>
  </si>
  <si>
    <t>Il ritmo della parata</t>
  </si>
  <si>
    <t>Il tamburo dà ritmo e intensità alla sfilata.</t>
  </si>
  <si>
    <t>Quale contrada ha come simbolo una chiocciola?</t>
  </si>
  <si>
    <t>A. Drago B. Istrice C. Chiocciola D. Lupa</t>
  </si>
  <si>
    <t>Chiocciola</t>
  </si>
  <si>
    <t>La Chiocciola ha come simbolo una chiocciola.</t>
  </si>
  <si>
    <t>Cosa si intende per "provaccia"?</t>
  </si>
  <si>
    <t>A. L’ultima prova prima del Palio B. Un’esibizione della contrada C. La scelta del fantino D. La benedizione dei cavalli</t>
  </si>
  <si>
    <t>L’ultima prova prima del Palio</t>
  </si>
  <si>
    <t>La provaccia è la prova finale prima della gara.</t>
  </si>
  <si>
    <t>Qual è il significato della benedizione del cavallo?</t>
  </si>
  <si>
    <t>A. Assicurare protezione divina B. Garantire la vittoria C. Preparare il cavallo per la corsa D. Celebrarne la forza</t>
  </si>
  <si>
    <t>Assicurare protezione divina</t>
  </si>
  <si>
    <t>La benedizione invoca protezione e successo.</t>
  </si>
  <si>
    <t>Cosa accade se il drappellone viene danneggiato?</t>
  </si>
  <si>
    <t>A. È riparato e consegnato B. È sostituito C. La gara è annullata D. La contrada vincente ne riceve uno nuovo</t>
  </si>
  <si>
    <t>È riparato e consegnato</t>
  </si>
  <si>
    <t>Un drappellone danneggiato viene restaurato.</t>
  </si>
  <si>
    <t>Come si chiama la chiesa in cui si benedice il cavallo?</t>
  </si>
  <si>
    <t>A. Chiesa del Drappellone B. Cattedrale di Siena C. Chiesa della Contrada D. Chiesa di San Martino</t>
  </si>
  <si>
    <t>Chiesa della Contrada</t>
  </si>
  <si>
    <t>Ogni contrada ha una chiesa dedicata per la benedizione.</t>
  </si>
  <si>
    <t>Cosa rappresenta la "carriera" nel Palio?</t>
  </si>
  <si>
    <t>A. Il percorso della corsa B. La storia delle contrade C. Il premio assegnato D. Il ruolo del fantino</t>
  </si>
  <si>
    <t>Il percorso della corsa</t>
  </si>
  <si>
    <t>La carriera è il termine che descrive il tracciato della corsa.</t>
  </si>
  <si>
    <t>Cosa significa il termine "partito" nel Palio?</t>
  </si>
  <si>
    <t>A. Un’alleanza tra contrade B. Un evento celebrativo C. La distribuzione dei cavalli D. La rivalità tra due contrade</t>
  </si>
  <si>
    <t>Un’alleanza tra contrade</t>
  </si>
  <si>
    <t>Un partito indica un’alleanza tattica.</t>
  </si>
  <si>
    <t>A. Oca B. Lupa C. Giraffa D. Pantera</t>
  </si>
  <si>
    <t>La Giraffa ha come simbolo una giraffa.</t>
  </si>
  <si>
    <t>Cosa avviene durante la "mossa"?</t>
  </si>
  <si>
    <t>A. L’inizio del corteo B. L’assegnazione dei cavalli C. La partenza della corsa D. La benedizione del cavallo</t>
  </si>
  <si>
    <t>La partenza della corsa</t>
  </si>
  <si>
    <t>La mossa è il momento cruciale della partenza.</t>
  </si>
  <si>
    <t>Cosa simboleggia la piazza del Campo durante il Palio?</t>
  </si>
  <si>
    <t>A. La forza delle contrade B. La storia di Siena C. La devozione religiosa D. La centralità della città</t>
  </si>
  <si>
    <t>La centralità della città</t>
  </si>
  <si>
    <t>La Piazza del Campo è il cuore simbolico della città.</t>
  </si>
  <si>
    <t>Quale contrada ha come simbolo un leone?</t>
  </si>
  <si>
    <t>A. Aquila B. Leocorno C. Pantera D. Onda</t>
  </si>
  <si>
    <t>Leocorno</t>
  </si>
  <si>
    <t>Il Leocorno ha come simbolo un leone.</t>
  </si>
  <si>
    <t>Cosa rappresenta l'onda nel simbolo della contrada omonima?</t>
  </si>
  <si>
    <t>A. La forza delle acque B. Il commercio marittimo C. La difesa di Siena D. La purezza della Madonna</t>
  </si>
  <si>
    <t>Il commercio marittimo</t>
  </si>
  <si>
    <t>L’Onda rappresenta il legame con il commercio marittimo.</t>
  </si>
  <si>
    <t>Quale contrada ha come simbolo un cavallo?</t>
  </si>
  <si>
    <t>A. Oca B. Nicchio C. Onda D. Civetta</t>
  </si>
  <si>
    <t>Il Nicchio ha come simbolo un cavallo.</t>
  </si>
  <si>
    <t>Qual è il significato della "tratta" nel Palio?</t>
  </si>
  <si>
    <t>A. La distribuzione dei cavalli B. La benedizione dei cavalli C. Il corteo storico D. La selezione del mossiere</t>
  </si>
  <si>
    <t>La distribuzione dei cavalli</t>
  </si>
  <si>
    <t>La tratta è il sorteggio dei cavalli tra le contrade.</t>
  </si>
  <si>
    <t>Cosa si intende per "fantino scosso"?</t>
  </si>
  <si>
    <t>A. Un fantino che non partecipa B. Un fantino in difficoltà C. Un cavallo che corre senza fantino D. Un fantino sostituito</t>
  </si>
  <si>
    <t>Un cavallo che corre senza fantino</t>
  </si>
  <si>
    <t>Il fantino scosso è quello caduto durante la corsa.</t>
  </si>
  <si>
    <t>Cosa accade se un cavallo si ferisce durante il Palio?</t>
  </si>
  <si>
    <t>A. Viene escluso dalla gara B. Viene assistito immediatamente C. Viene squalificata la contrada D. Viene sospesa la gara</t>
  </si>
  <si>
    <t>Viene assistito immediatamente</t>
  </si>
  <si>
    <t>Il cavallo riceve cure immediate.</t>
  </si>
  <si>
    <t>A. Il custode del cavallo B. Un ruolo nel corteo storico C. Un giudice del Palio D. Un termine per il mossiere</t>
  </si>
  <si>
    <t>Il custode del cavallo</t>
  </si>
  <si>
    <t>Il barbaresco si occupa del cavallo della contrada.</t>
  </si>
  <si>
    <t>Qual è la durata media della corsa del Palio?</t>
  </si>
  <si>
    <t>A. 30 secondi B. 1 minuto C. 90 secondi D. 2 minuti</t>
  </si>
  <si>
    <t>90 secondi</t>
  </si>
  <si>
    <t>La corsa del Palio dura circa 90 secondi.</t>
  </si>
  <si>
    <t>Quale contrada ha come simbolo un elefante?</t>
  </si>
  <si>
    <t>A. Aquila B. Tartuca C. Drago D. Onda</t>
  </si>
  <si>
    <t>Tartuca</t>
  </si>
  <si>
    <t>La Tartuca ha come simbolo un elefante.</t>
  </si>
  <si>
    <t>Cosa rappresenta il simbolo della contrada dell'Oca?</t>
  </si>
  <si>
    <t>A. La devozione alla Madonna B. La purezza dell’acqua C. Il legame con la natura D. La fortuna e il successo</t>
  </si>
  <si>
    <t>La devozione alla Madonna</t>
  </si>
  <si>
    <t>L’Oca simboleggia la devozione alla Madonna.</t>
  </si>
  <si>
    <t>Cosa accade se un cavallo completa la corsa senza fantino?</t>
  </si>
  <si>
    <t>A. Viene squalificato B. La contrada perde C. Può vincere il Palio D. La corsa viene annullata</t>
  </si>
  <si>
    <t>Può vincere il Palio</t>
  </si>
  <si>
    <t>Un cavallo scosso può ancora vincere.</t>
  </si>
  <si>
    <t>Qual è la contrada con più vittorie nella storia del Palio?</t>
  </si>
  <si>
    <t>A. Oca B. Giraffa C. Lupa D. Torre</t>
  </si>
  <si>
    <t>L’Oca è nota per avere il maggior numero di vittorie.</t>
  </si>
  <si>
    <t>Cosa indica il termine "cencio"?</t>
  </si>
  <si>
    <t>A. Il drappellone B. Il simbolo della contrada C. Un cavallo scosso D. Il corteo storico</t>
  </si>
  <si>
    <t>Il "cencio" è il soprannome del drappellone.</t>
  </si>
  <si>
    <t>Cosa accade se una contrada non presenta un cavallo?</t>
  </si>
  <si>
    <t>A. Viene squalificata B. Partecipa con un cavallo sorteggiato C. Viene esclusa dal Palio D. Viene penalizzata</t>
  </si>
  <si>
    <t>Partecipa con un cavallo sorteggiato</t>
  </si>
  <si>
    <t>La contrada può usare un cavallo sorteggiato.</t>
  </si>
  <si>
    <t>Come viene deciso il fantino di ogni contrada?</t>
  </si>
  <si>
    <t>A. Per votazione B. Per sorteggio C. Su decisione del capitano D. Su invito del mossiere</t>
  </si>
  <si>
    <t>Su decisione del capitano</t>
  </si>
  <si>
    <t>Il capitano decide quale fantino rappresenterà la contrada.</t>
  </si>
  <si>
    <t>Quanti giocatori ci sono in una squadra di pallanuoto?</t>
  </si>
  <si>
    <t>A. 6 B. 7 C. 11 D. 9</t>
  </si>
  <si>
    <t>Una squadra di pallanuoto è composta da 7 giocatori: 6 giocatori di campo e 1 portiere.</t>
  </si>
  <si>
    <t>Quanto dura un tempo di gioco in una partita di pallanuoto?</t>
  </si>
  <si>
    <t>A. 6 minuti B. 8 minuti C. 10 minuti D. 12 minuti</t>
  </si>
  <si>
    <t>8 minuti</t>
  </si>
  <si>
    <t>Ogni tempo di una partita di pallanuoto dura 8 minuti effettivi.</t>
  </si>
  <si>
    <t>Quante sospensioni può richiedere una squadra in una partita di pallanuoto?</t>
  </si>
  <si>
    <t>A. 2 B. 3 C. 4 D. 1</t>
  </si>
  <si>
    <t>Ogni squadra può richiedere due sospensioni per partita.</t>
  </si>
  <si>
    <t>Qual è il diametro regolamentare della palla usata nella pallanuoto maschile?</t>
  </si>
  <si>
    <t>A. 65-67 cm B. 68-70 cm C. 60-62 cm D. 72-74 cm</t>
  </si>
  <si>
    <t>68-70 cm</t>
  </si>
  <si>
    <t>La palla maschile ha un diametro regolamentare di 68-70 cm.</t>
  </si>
  <si>
    <t>Quante espulsioni temporanee può subire un giocatore prima di essere squalificato?</t>
  </si>
  <si>
    <t>Un giocatore viene squalificato dopo tre espulsioni temporanee.</t>
  </si>
  <si>
    <t>Come si avvia una partita di pallanuoto?</t>
  </si>
  <si>
    <t>A. Con una rimessa a centro campo B. Con il lancio della palla al centro C. Con una sfida di rigori D. Con un tiro libero</t>
  </si>
  <si>
    <t>Con il lancio della palla al centro</t>
  </si>
  <si>
    <t>La partita inizia con il lancio della palla al centro e i giocatori nuotano per raggiungerla.</t>
  </si>
  <si>
    <t>Quanto tempo ha una squadra per concludere un'azione offensiva?</t>
  </si>
  <si>
    <t>A. 20 secondi B. 24 secondi C. 30 secondi D. 35 secondi</t>
  </si>
  <si>
    <t>Una squadra ha 30 secondi per concludere un'azione offensiva.</t>
  </si>
  <si>
    <t>Cosa accade se un giocatore tiene la palla sott'acqua intenzionalmente?</t>
  </si>
  <si>
    <t>A. È consentito B. Viene fischiato un fallo C. Viene espulso temporaneamente D. Viene ammonito</t>
  </si>
  <si>
    <t>Viene fischiato un fallo</t>
  </si>
  <si>
    <t>Non è consentito tenere la palla sott'acqua intenzionalmente per difendersi.</t>
  </si>
  <si>
    <t>Quanti metri dista il punto di rigore dalla porta?</t>
  </si>
  <si>
    <t>A. 4 metri B. 5 metri C. 6 metri D. 7 metri</t>
  </si>
  <si>
    <t>Il punto di rigore è situato a 5 metri dalla porta.</t>
  </si>
  <si>
    <t>Chi può toccare il fondo della piscina durante una partita?</t>
  </si>
  <si>
    <t>A. Tutti i giocatori B. Nessun giocatore C. Il portiere D. Il capitano</t>
  </si>
  <si>
    <t>Nessun giocatore</t>
  </si>
  <si>
    <t>È vietato toccare il fondo della piscina durante il gioco.</t>
  </si>
  <si>
    <t>Cosa rappresenta una bandiera bianca alzata dall'arbitro?</t>
  </si>
  <si>
    <t>A. Un gol valido B. Un fallo C. Un rigore D. Un time-out</t>
  </si>
  <si>
    <t>Un gol valido</t>
  </si>
  <si>
    <t>La bandiera bianca indica che un gol è stato convalidato.</t>
  </si>
  <si>
    <t>Quanti arbitri officiamo una partita ufficiale di pallanuoto?</t>
  </si>
  <si>
    <t>Le partite ufficiali di pallanuoto sono arbitrate da due arbitri.</t>
  </si>
  <si>
    <t>Qual è il numero massimo di giocatori in panchina per una squadra?</t>
  </si>
  <si>
    <t>A. 6 B. 7 C. 9 D. 5</t>
  </si>
  <si>
    <t>Ogni squadra può avere un massimo di 6 giocatori in panchina.</t>
  </si>
  <si>
    <t>Quanto misura una piscina regolamentare di pallanuoto in lunghezza?</t>
  </si>
  <si>
    <t>A. 20 metri B. 25 metri C. 30 metri D. 35 metri</t>
  </si>
  <si>
    <t>La lunghezza regolamentare di una piscina di pallanuoto è di 30 metri.</t>
  </si>
  <si>
    <t>Che colore hanno le cuffie dei portieri?</t>
  </si>
  <si>
    <t>A. Blu B. Rosse C. Bianche D. Nere</t>
  </si>
  <si>
    <t>Rosse</t>
  </si>
  <si>
    <t>I portieri indossano cuffie rosse per essere distinti dagli altri giocatori.</t>
  </si>
  <si>
    <t>Quanti gol valgono le reti segnate da centrocampo?</t>
  </si>
  <si>
    <t>Ogni rete</t>
  </si>
  <si>
    <t>Cosa accade se un portiere esce dall’area dei 5 metri con la palla?</t>
  </si>
  <si>
    <t>A. Nulla B. Perde il possesso della palla C. Viene ammonito D. Viene espulso temporaneamente</t>
  </si>
  <si>
    <t>Perde il possesso della palla</t>
  </si>
  <si>
    <t>Il portiere non può uscire dall'area dei 5 metri con la palla.</t>
  </si>
  <si>
    <t>Quanto è larga una porta regolamentare di pallanuoto?</t>
  </si>
  <si>
    <t>A. 2 metri B. 2.5 metri C. 3 metri D. 3.5 metri</t>
  </si>
  <si>
    <t>3 metri</t>
  </si>
  <si>
    <t>La larghezza di una porta regolamentare è di 3 metri.</t>
  </si>
  <si>
    <t>Cosa accade quando un fallo grave viene commesso?</t>
  </si>
  <si>
    <t>A. Viene assegnato un tiro libero B. Viene assegnato un rigore C. Il giocatore viene espulso D. Viene concesso un tiro di punizione</t>
  </si>
  <si>
    <t>Viene assegnato un rigore</t>
  </si>
  <si>
    <t>Un fallo grave può portare all’assegnazione di un rigore.</t>
  </si>
  <si>
    <t>Cosa indica una bandiera gialla alzata dall’arbitro?</t>
  </si>
  <si>
    <t>A. Un time-out tecnico B. Un rigore C. Un cambio giocatore D. Un fallo tecnico</t>
  </si>
  <si>
    <t>Un time-out tecnico</t>
  </si>
  <si>
    <t>La bandiera gialla segnala un time-out tecnico.</t>
  </si>
  <si>
    <t>Qual è il tempo massimo di permanenza di un giocatore espulso temporaneamente?</t>
  </si>
  <si>
    <t>A. 15 secondi B. 20 secondi C. 30 secondi D. 45 secondi</t>
  </si>
  <si>
    <t>20 secondi</t>
  </si>
  <si>
    <t>Un giocatore espulso temporaneamente può rientrare dopo 20 secondi o dopo un gol.</t>
  </si>
  <si>
    <t>Cosa accade se la palla tocca il soffitto della piscina coperta?</t>
  </si>
  <si>
    <t>A. Si continua a giocare B. Viene assegnato un fallo C. Viene data rimessa all'altra squadra D. La palla è contesa</t>
  </si>
  <si>
    <t>Viene data rimessa all'altra squadra</t>
  </si>
  <si>
    <t>Se la palla tocca il soffitto</t>
  </si>
  <si>
    <t>Cosa rappresentano le linee rosse a 2 metri dalla porta?</t>
  </si>
  <si>
    <t>A. L'area di tiro libero B. L'area di rigore C. L'area del portiere D. L'area di fuorigioco</t>
  </si>
  <si>
    <t>L'area di fuorigioco</t>
  </si>
  <si>
    <t>I giocatori non possono ricevere la palla in questa area se sono già al suo interno.</t>
  </si>
  <si>
    <t>Quanto dura l’intervallo tra i tempi?</t>
  </si>
  <si>
    <t>A. 1 minuto B. 2 minuti C. 3 minuti D. 5 minuti</t>
  </si>
  <si>
    <t>2 minuti</t>
  </si>
  <si>
    <t>Tra i tempi vi è un intervallo di 2 minuti.</t>
  </si>
  <si>
    <t>Cosa indica un cartellino rosso mostrato dall’arbitro?</t>
  </si>
  <si>
    <t>A. Un'espulsione definitiva B. Un’ammonizione C. Un cambio obbligato D. Un rigore</t>
  </si>
  <si>
    <t>Un'espulsione definitiva</t>
  </si>
  <si>
    <t>Il cartellino rosso indica l'espulsione definitiva di un giocatore o allenatore.</t>
  </si>
  <si>
    <t>Chi può effettuare un tiro libero in pallanuoto?</t>
  </si>
  <si>
    <t>A. Solo il portiere B. Chiunque della squadra difensiva C. Chiunque della squadra offensiva D. Qualsiasi giocatore in campo</t>
  </si>
  <si>
    <t>Chiunque della squadra offensiva</t>
  </si>
  <si>
    <t>Il tiro libero è effettuato dalla squadra che subisce il fallo.</t>
  </si>
  <si>
    <t>Qual è l'altezza minima della piscina in una partita regolamentare?</t>
  </si>
  <si>
    <t>A. 1 metro B. 1.5 metri C. 2 metri D. 2.5 metri</t>
  </si>
  <si>
    <t>L'altezza minima della piscina deve essere di 2 metri.</t>
  </si>
  <si>
    <t>Cosa accade quando una squadra esaurisce il tempo di possesso?</t>
  </si>
  <si>
    <t>A. Nulla B. Perde la palla C. Viene assegnato un rigore D. Viene assegnata una punizione</t>
  </si>
  <si>
    <t>Perde la palla</t>
  </si>
  <si>
    <t>La squadra perde il possesso della palla.</t>
  </si>
  <si>
    <t>Cosa rappresentano le linee gialle a 5 metri dalla porta?</t>
  </si>
  <si>
    <t>A. L'area del portiere B. L'area di rigore C. L'area di tiro libero D. L'area di espulsione</t>
  </si>
  <si>
    <t>L'area di rigore</t>
  </si>
  <si>
    <t>Le linee gialle a 5 metri delimitano l'area di rigore.</t>
  </si>
  <si>
    <t>Come viene deciso un vincitore in caso di parità dopo i tempi regolamentari?</t>
  </si>
  <si>
    <t>A. Con un pareggio B. Con un lancio della moneta C. Con i tiri di rigore D. Con tempi supplementari</t>
  </si>
  <si>
    <t>Con i tiri di rigore</t>
  </si>
  <si>
    <t>In caso di parità si passa ai tiri di rigore.</t>
  </si>
  <si>
    <t>Quanti tempi supplementari si giocano in caso di parità?</t>
  </si>
  <si>
    <t>In caso di parità si giocano 2 tempi supplementari da 3 minuti ciascuno.</t>
  </si>
  <si>
    <t>Quanti arbitri monitorano il tempo di gioco in una partita di pallanuoto?</t>
  </si>
  <si>
    <t>Due arbitri sono responsabili del cronometraggio ufficiale.</t>
  </si>
  <si>
    <t>Che tipo di fallo è commesso se un giocatore colpisce intenzionalmente un avversario?</t>
  </si>
  <si>
    <t>A. Fallo minore B. Fallo grave C. Espulsione D. Fallo tecnico</t>
  </si>
  <si>
    <t>Fallo grave</t>
  </si>
  <si>
    <t>Un contatto violento intenzionale è classificato come fallo grave.</t>
  </si>
  <si>
    <t>Quanti metri dista l'area del portiere dal bordo della piscina?</t>
  </si>
  <si>
    <t>L'area del portiere è delimitata a 2 metri dalla porta.</t>
  </si>
  <si>
    <t>Cosa accade se un giocatore entra in acqua prima di ottenere l'autorizzazione dell'arbitro?</t>
  </si>
  <si>
    <t>A. Nulla B. La squadra subisce una penalità C. Viene assegnato un rigore D. Viene espulso</t>
  </si>
  <si>
    <t>Entrare senza autorizzazione può comportare l'assegnazione di un rigore.</t>
  </si>
  <si>
    <t>Quanto è alto il bordo superiore di una porta di pallanuoto?</t>
  </si>
  <si>
    <t>A. 1.5 metri B. 2 metri C. 0.9 metri D. 1 metro</t>
  </si>
  <si>
    <t>0.9 metri</t>
  </si>
  <si>
    <t>Il bordo superiore di una porta regolamentare è alto 0.9 metri.</t>
  </si>
  <si>
    <t>Qual è il colore della palla utilizzata nelle partite di pallanuoto femminile?</t>
  </si>
  <si>
    <t>A. Blu B. Gialla C. Rossa D. Verde</t>
  </si>
  <si>
    <t>Gialla</t>
  </si>
  <si>
    <t>La palla utilizzata nelle partite femminili è di colore giallo.</t>
  </si>
  <si>
    <t>Quale distanza deve essere mantenuta dai difensori durante un tiro libero?</t>
  </si>
  <si>
    <t>I difensori devono mantenere una distanza di almeno 2 metri durante un tiro libero.</t>
  </si>
  <si>
    <t>Cosa accade se la palla viene tenuta fuori dall'acqua per oltre 5 secondi?</t>
  </si>
  <si>
    <t>A. Nulla B. Viene fischiato un fallo C. Viene assegnato un rigore D. Il possesso cambia</t>
  </si>
  <si>
    <t>Non è consentito trattenere la palla fuori dall'acqua per troppo tempo.</t>
  </si>
  <si>
    <t>Cosa significa un cartellino giallo mostrato a un allenatore?</t>
  </si>
  <si>
    <t>A. Avvertimento ufficiale B. Espulsione immediata C. Permesso di sostituzione D. Richiamo disciplinare</t>
  </si>
  <si>
    <t>Avvertimento ufficiale</t>
  </si>
  <si>
    <t>Un cartellino giallo è un avvertimento ufficiale all'allenatore.</t>
  </si>
  <si>
    <t>Qual è il diametro della palla usata nella pallanuoto femminile?</t>
  </si>
  <si>
    <t>65-67 cm</t>
  </si>
  <si>
    <t>La palla femminile ha un diametro di 65-67 cm.</t>
  </si>
  <si>
    <t>Cosa accade se una squadra schiera più giocatori del consentito in acqua?</t>
  </si>
  <si>
    <t>A. Nulla B. La squadra avversaria riceve un rigore C. Un giocatore viene espulso temporaneamente D. Il possesso della palla cambia</t>
  </si>
  <si>
    <t>Un giocatore viene espulso temporaneamente</t>
  </si>
  <si>
    <t>Schierare troppi giocatori comporta un'espulsione temporanea.</t>
  </si>
  <si>
    <t>Cosa rappresentano le linee bianche a 5 metri dalla porta?</t>
  </si>
  <si>
    <t>A. Area del portiere B. Area di rigore C. Area di tiro diretto D. Area di rimessa laterale</t>
  </si>
  <si>
    <t>Area di tiro diretto</t>
  </si>
  <si>
    <t>Le linee bianche a 5 metri indicano la distanza per i tiri diretti.</t>
  </si>
  <si>
    <t>Quanti cambi liberi può effettuare una squadra durante una partita?</t>
  </si>
  <si>
    <t>A. 5 B. 7 C. Illimitati D. 10</t>
  </si>
  <si>
    <t>Le squadre possono effettuare un numero illimitato di cambi durante il gioco.</t>
  </si>
  <si>
    <t>Qual è il segnale usato per indicare la fine di un periodo di gioco?</t>
  </si>
  <si>
    <t>A. Un fischio B. Una sirena C. Un colpo di tamburo D. Un cartello</t>
  </si>
  <si>
    <t>Una sirena</t>
  </si>
  <si>
    <t>Una sirena indica la fine di un periodo di gioco.</t>
  </si>
  <si>
    <t>Cosa succede se un giocatore tira con entrambe le mani sulla palla?</t>
  </si>
  <si>
    <t>A. Nulla B. Viene assegnato un fallo C. Viene ammonito D. Il tiro è annullato</t>
  </si>
  <si>
    <t>Viene assegnato un fallo</t>
  </si>
  <si>
    <t>Non è permesso usare entrambe le mani per tirare.</t>
  </si>
  <si>
    <t>Cosa indica una linea di 2 metri dalla porta?</t>
  </si>
  <si>
    <t>A. Area del portiere B. Area di fuorigioco C. Area di rigore D. Area di espulsione</t>
  </si>
  <si>
    <t>Area di fuorigioco</t>
  </si>
  <si>
    <t>La linea di 2 metri indica l'area di fuorigioco per i giocatori attaccanti.</t>
  </si>
  <si>
    <t>Chi può chiamare un time-out durante la partita?</t>
  </si>
  <si>
    <t>A. Un giocatore B. Il portiere C. Un allenatore D. L'arbitro</t>
  </si>
  <si>
    <t>Un allenatore</t>
  </si>
  <si>
    <t>Soltanto gli allenatori possono chiamare un time-out.</t>
  </si>
  <si>
    <t>Quanto tempo ha un giocatore per effettuare un tiro di rigore?</t>
  </si>
  <si>
    <t>A. 5 secondi B. 6 secondi C. 8 secondi D. 10 secondi</t>
  </si>
  <si>
    <t>5 secondi</t>
  </si>
  <si>
    <t>Un giocatore ha 5 secondi per effettuare un rigore.</t>
  </si>
  <si>
    <t>Cosa accade se un portiere tocca la palla oltre la linea di metà campo?</t>
  </si>
  <si>
    <t>A. Nulla B. Viene assegnato un fallo C. Il possesso cambia D. Il portiere è ammonito</t>
  </si>
  <si>
    <t>Il possesso cambia</t>
  </si>
  <si>
    <t>Il portiere non può toccare la palla oltre la linea di metà campo.</t>
  </si>
  <si>
    <t>Che dimensioni deve avere una piscina regolamentare di pallanuoto in larghezza?</t>
  </si>
  <si>
    <t>A. 15 metri B. 20 metri C. 25 metri D. 30 metri</t>
  </si>
  <si>
    <t>20 metri</t>
  </si>
  <si>
    <t>La larghezza regolamentare è di 20 metri.</t>
  </si>
  <si>
    <t>Qual è la penalità per un fallo di brutalità?</t>
  </si>
  <si>
    <t>A. Espulsione definitiva B. Espulsione temporanea C. Assegnazione di un rigore D. Ammonizione</t>
  </si>
  <si>
    <t>Espulsione definitiva</t>
  </si>
  <si>
    <t>Un fallo di brutalità porta all'espulsione definitiva.</t>
  </si>
  <si>
    <t>Quanti metri deve nuotare un giocatore per un cambio libero?</t>
  </si>
  <si>
    <t>A. 2 metri B. 3 metri C. 5 metri D. 7 metri</t>
  </si>
  <si>
    <t>Un giocatore deve nuotare fino alla linea dei 3 metri per effettuare un cambio libero.</t>
  </si>
  <si>
    <t>Cosa accade se la palla tocca il bordo della piscina?</t>
  </si>
  <si>
    <t>A. Nulla B. Viene fischiato un fallo C. Il possesso cambia D. Viene assegnata una rimessa laterale</t>
  </si>
  <si>
    <t>Viene assegnata una rimessa laterale</t>
  </si>
  <si>
    <t>Se la palla tocca il bordo</t>
  </si>
  <si>
    <t>A. Area di rigore B. Area di fuorigioco C. Area del portiere D. Area di tiro libero</t>
  </si>
  <si>
    <t>I giocatori non possono ricevere passaggi dentro l’area di 2 metri se sono già posizionati lì.</t>
  </si>
  <si>
    <t>Cosa significa se un arbitro alza entrambe le braccia?</t>
  </si>
  <si>
    <t>A. Indica un gol valido B. Indica un fallo C. Segnala il fine del possesso D. Concede un rigore</t>
  </si>
  <si>
    <t>Segnala il fine del possesso</t>
  </si>
  <si>
    <t>L'arbitro alza entrambe le braccia per indicare il fine del possesso.</t>
  </si>
  <si>
    <t>Cosa accade se un portiere colpisce un avversario?</t>
  </si>
  <si>
    <t>A. Nulla B. Viene ammonito C. Viene espulso D. Viene sostituito</t>
  </si>
  <si>
    <t>Viene espulso</t>
  </si>
  <si>
    <t>Un portiere che colpisce un avversario è soggetto a espulsione.</t>
  </si>
  <si>
    <t>Cosa succede se la palla non entra completamente in porta?</t>
  </si>
  <si>
    <t>A. Nulla B. È considerato gol C. Viene fischiato un fallo D. Il possesso cambia</t>
  </si>
  <si>
    <t>Nulla</t>
  </si>
  <si>
    <t>Un gol è valido solo se la palla attraversa completamente la linea di porta.</t>
  </si>
  <si>
    <t>Qual è l'altezza massima della piscina regolamentare per la pallanuoto?</t>
  </si>
  <si>
    <t>A. 2 metri B. 2.5 metri C. 3 metri D. Non c'è limite</t>
  </si>
  <si>
    <t>Non c'è limite</t>
  </si>
  <si>
    <t>L'altezza della piscina non ha un limite massimo stabilito.</t>
  </si>
  <si>
    <t>Come si segna un gol valido in pallanuoto?</t>
  </si>
  <si>
    <t>A. Tirando con due mani B. Tirando con una sola mano C. Spingendo la palla D. Tirando la palla oltre la linea di porta con tutta la sfera</t>
  </si>
  <si>
    <t>Tirando la palla oltre la linea di porta con tutta la sfera</t>
  </si>
  <si>
    <t>Un gol è valido solo se tutta la palla attraversa la linea di porta.</t>
  </si>
  <si>
    <t>Qual è il numero minimo di giocatori necessari per iniziare una partita di pallanuoto?</t>
  </si>
  <si>
    <t>A. 5 B. 6 C. 7 D. 8</t>
  </si>
  <si>
    <t>Per iniziare una partita</t>
  </si>
  <si>
    <t>Che tipo di fallo viene commesso quando un giocatore impedisce il movimento di un avversario con il corpo?</t>
  </si>
  <si>
    <t>A. Fallo tecnico B. Fallo grave C. Fallo minore D. Fallo di gioco</t>
  </si>
  <si>
    <t>Fallo minore</t>
  </si>
  <si>
    <t>Un contatto fisico leggero che non è intenzionale è un fallo minore.</t>
  </si>
  <si>
    <t>Cosa succede se la palla viene lanciata fuori dalla piscina durante una partita?</t>
  </si>
  <si>
    <t>A. La squadra avversaria ottiene una rimessa laterale B. Viene assegnato un rigore C. La palla è contesa D. Viene assegnato un fallo</t>
  </si>
  <si>
    <t>La squadra avversaria ottiene una rimessa laterale</t>
  </si>
  <si>
    <t>La squadra che manda fuori la palla perde il possesso.</t>
  </si>
  <si>
    <t>Chi è responsabile di determinare se un gol è valido?</t>
  </si>
  <si>
    <t>A. L'arbitro B. Il portiere C. Il capitano della squadra D. Il giudice di gara</t>
  </si>
  <si>
    <t>È compito dell'arbitro decidere se il gol è valido o meno.</t>
  </si>
  <si>
    <t>Cosa indica una linea a 1 metro dalla porta?</t>
  </si>
  <si>
    <t>A. La distanza per i tiri liberi B. La zona di esclusione C. La zona di rigore D. Il limite dell'area del portiere</t>
  </si>
  <si>
    <t>La zona di esclusione</t>
  </si>
  <si>
    <t>La linea a 1 metro segna la zona di esclusione per i giocatori in attacco.</t>
  </si>
  <si>
    <t>Quanto dura l'espulsione temporanea di un giocatore in pallanuoto?</t>
  </si>
  <si>
    <t>L'espulsione temporanea dura 20 secondi.</t>
  </si>
  <si>
    <t>Chi può segnare un gol in pallanuoto?</t>
  </si>
  <si>
    <t>A. Solo il portiere B. Qualsiasi giocatore di campo C. Solamente il capitano D. Solo i difensori</t>
  </si>
  <si>
    <t>Qualsiasi giocatore di campo</t>
  </si>
  <si>
    <t>Tutti i giocatori di campo possono segnare un gol.</t>
  </si>
  <si>
    <t>Quanti tiri di rigore vengono eseguiti in una serie di rigori?</t>
  </si>
  <si>
    <t>A. 5 B. 7 C. 3 D. 9</t>
  </si>
  <si>
    <t>In una serie di rigori</t>
  </si>
  <si>
    <t>Cosa accade se un giocatore colpisce intenzionalmente la palla con il piede?</t>
  </si>
  <si>
    <t>A. Viene fischiato un fallo B. Non succede nulla C. Il giocatore viene ammonito D. La palla viene data alla squadra avversaria</t>
  </si>
  <si>
    <t>Colpire la palla con il piede è vietato e comporta un fallo.</t>
  </si>
  <si>
    <t>Quanto deve durare un intervallo tra i tempi supplementari?</t>
  </si>
  <si>
    <t>Ogni intervallo tra i tempi supplementari dura 2 minuti.</t>
  </si>
  <si>
    <t>Che succede se un portiere non è in grado di giocare durante una partita?</t>
  </si>
  <si>
    <t>A. Un altro giocatore può sostituirlo B. La squadra perde automaticamente C. Un sostituto entra in campo D. La squadra gioca senza portiere</t>
  </si>
  <si>
    <t>Un altro giocatore può sostituirlo</t>
  </si>
  <si>
    <t>Un altro giocatore della squadra può fare da portiere.</t>
  </si>
  <si>
    <t>Quanti rigori si effettuano se una partita di pallanuoto finisce in parità dopo i tempi supplementari?</t>
  </si>
  <si>
    <t>A. 3 B. 5 C. 7 D. 9</t>
  </si>
  <si>
    <t>In caso di parità dopo i supplementari</t>
  </si>
  <si>
    <t>Cosa accade quando un giocatore commette un fallo in attacco?</t>
  </si>
  <si>
    <t>A. La palla passa alla squadra avversaria B. Il giocatore viene espulso temporaneamente C. Viene assegnato un rigore D. Viene ammonito</t>
  </si>
  <si>
    <t>La palla passa alla squadra avversaria</t>
  </si>
  <si>
    <t>Il fallo in attacco comporta il cambio di possesso.</t>
  </si>
  <si>
    <t>In che situazione si assegna un rigore?</t>
  </si>
  <si>
    <t>A. Quando un giocatore commette un fallo grave in difesa B. Quando un giocatore segna un gol C. Quando la palla esce dalla piscina D. Quando la squadra subisce un fallo tecnico</t>
  </si>
  <si>
    <t>Quando un giocatore commette un fallo grave in difesa.</t>
  </si>
  <si>
    <t>Quanti cambi possono essere effettuati in una partita senza penalità?</t>
  </si>
  <si>
    <t>A. Illimitati B. 2 C. 4 D. 3</t>
  </si>
  <si>
    <t>Non c'è limite al numero di cambi durante una partita di pallanuoto.</t>
  </si>
  <si>
    <t>Che succede se la palla tocca un giocatore espulso?</t>
  </si>
  <si>
    <t>A. Nulla B. Il possesso cambia C. Si assegna un rigore D. Il gioco viene fermato</t>
  </si>
  <si>
    <t>La palla può toccare qualsiasi giocatore</t>
  </si>
  <si>
    <t>Cosa deve fare un giocatore per ricevere un passaggio da un compagno?</t>
  </si>
  <si>
    <t>A. Essere nel campo di gioco B. Essere fuori dal campo C. Essere nella zona di fuorigioco D. Essere nell'area del portiere</t>
  </si>
  <si>
    <t>Essere nel campo di gioco</t>
  </si>
  <si>
    <t>Un giocatore deve essere nel campo per ricevere un passaggio.</t>
  </si>
  <si>
    <t>Cosa rappresentano le linee a 3 metri dalla porta?</t>
  </si>
  <si>
    <t>A. Area di fuorigioco B. Area del portiere C. Area di rigore D. Area di attacco</t>
  </si>
  <si>
    <t>Area di attacco</t>
  </si>
  <si>
    <t>Le linee a 3 metri definiscono la zona di attacco per i giocatori.</t>
  </si>
  <si>
    <t>In che situazione il portiere non può toccare la palla?</t>
  </si>
  <si>
    <t>A. Quando è fuori dalla propria area B. Quando è in possesso della palla C. Quando è sotto attacco D. Quando ha la palla in mano</t>
  </si>
  <si>
    <t>Quando è fuori dalla propria area</t>
  </si>
  <si>
    <t>Il portiere non può toccare la palla se esce dalla propria area.</t>
  </si>
  <si>
    <t>Qual è la durata minima di una pausa tra i tempi?</t>
  </si>
  <si>
    <t>Ogni pausa tra i tempi dura almeno 2 minuti.</t>
  </si>
  <si>
    <t>Quanto tempo ha un giocatore per passare la palla dopo averla ricevuta?</t>
  </si>
  <si>
    <t>A. 5 secondi B. 10 secondi C. 15 secondi D. 30 secondi</t>
  </si>
  <si>
    <t>Un giocatore ha 5 secondi per passare la palla dopo averla ricevuta.</t>
  </si>
  <si>
    <t>Che succede se un giocatore tocca il pallone fuori dai limiti?</t>
  </si>
  <si>
    <t>A. Viene fischiato un fallo B. Viene concesso un rigore C. La palla è contesa D. Viene assegnata una rimessa laterale</t>
  </si>
  <si>
    <t>Se la palla esce fuori dai limiti</t>
  </si>
  <si>
    <t>Cosa accade se un giocatore compie un fallo fuori dall'acqua?</t>
  </si>
  <si>
    <t>A. Nulla B. Viene fischiato un fallo C. La squadra avversaria riceve la palla D. Viene espulso temporaneamente</t>
  </si>
  <si>
    <t>Un fallo commesso fuori dall'acqua porta alla perdita di possesso.</t>
  </si>
  <si>
    <t>Cosa accade se una squadra non rispetta il limite di tempo per l'azione offensiva?</t>
  </si>
  <si>
    <t>A. La squadra perde la palla B. La squadra ottiene un rigore C. Il gioco viene fermato D. La squadra subisce una penalità</t>
  </si>
  <si>
    <t>La squadra perde la palla</t>
  </si>
  <si>
    <t>Il tempo di possesso è limitato a 30 secondi.</t>
  </si>
  <si>
    <t>Qual è la lunghezza massima di un passaggio?</t>
  </si>
  <si>
    <t>A. Non c'è limite B. 5 metri C. 10 metri D. 15 metri</t>
  </si>
  <si>
    <t>Non esiste un limite massimo per la lunghezza di un passaggio.</t>
  </si>
  <si>
    <t>Che succede se un giocatore ha il pallone in mano durante un fallo?</t>
  </si>
  <si>
    <t>A. La palla passa alla squadra avversaria B. Viene ammonito C. Viene fischiato un rigore D. Viene espulso temporaneamente</t>
  </si>
  <si>
    <t>Il fallo porta alla perdita del possesso.</t>
  </si>
  <si>
    <t>Quanto tempo dura la pausa tra i due tempi supplementari?</t>
  </si>
  <si>
    <t>1 minuto</t>
  </si>
  <si>
    <t>La pausa tra i due tempi supplementari dura 1 minuto.</t>
  </si>
  <si>
    <t>Cosa accade se un giocatore non segue le istruzioni dell'arbitro?</t>
  </si>
  <si>
    <t>A. Riceve una penalità B. Subisce un ammonimento C. Subisce una sanzione D. La squadra perde un giocatore</t>
  </si>
  <si>
    <t>Subisce una sanzione</t>
  </si>
  <si>
    <t>Un giocatore che non segue le istruzioni riceve una sanzione disciplinare.</t>
  </si>
  <si>
    <t>Quanti giocatori devono essere in acqua per considerare valida una squadra in una partita?</t>
  </si>
  <si>
    <t>Ogni squadra deve avere almeno 6 giocatori in acqua durante una partita.</t>
  </si>
  <si>
    <t>Chi può intervenire durante una pausa tecnica?</t>
  </si>
  <si>
    <t>A. Solo l'allenatore B. Il capitano e l'allenatore C. Tutti i giocatori D. L'arbitro</t>
  </si>
  <si>
    <t>Il capitano e l'allenatore</t>
  </si>
  <si>
    <t>Durante una pausa tecnica solo l'allenatore e il capitano possono intervenire.</t>
  </si>
  <si>
    <t>Quanti minuti dura un tempo di gioco in una partita di pallanuoto?</t>
  </si>
  <si>
    <t>A. 4 minuti B. 5 minuti C. 6 minuti D. 7 minuti</t>
  </si>
  <si>
    <t>Un tempo di gioco dura 8 minuti.</t>
  </si>
  <si>
    <t>In quale situazione un giocatore riceve una espulsione definitiva?</t>
  </si>
  <si>
    <t>A. Quando commette un fallo grave B. Quando fa un gesto antisportivo C. Quando tocca la palla fuori gioco D. Quando interrompe il gioco</t>
  </si>
  <si>
    <t>Quando commette un fallo grave</t>
  </si>
  <si>
    <t>Un fallo grave o antisportivo comporta l'espulsione definitiva.</t>
  </si>
  <si>
    <t>Chi ha il compito di chiamare un time-out?</t>
  </si>
  <si>
    <t>A. L'arbitro B. Il portiere C. Il capitano D. Un allenatore</t>
  </si>
  <si>
    <t>È solo l'allenatore che può chiamare un time-out.</t>
  </si>
  <si>
    <t>Se un giocatore viene espulso temporaneamente</t>
  </si>
  <si>
    <t>A. dove si trova? B. In panchina C. Fuori dall'acqua D. Viene sostituito</t>
  </si>
  <si>
    <t>In acqua con un altro ruolo</t>
  </si>
  <si>
    <t>In panchina</t>
  </si>
  <si>
    <t>Quando un portiere può lasciare la propria area?</t>
  </si>
  <si>
    <t>A. Mai B. Quando c'è un'azione offensiva C. Quando l'avversario è lontano D. Quando la squadra sta vincendo</t>
  </si>
  <si>
    <t>Quando c'è un'azione offensiva</t>
  </si>
  <si>
    <t>Un portiere può lasciare la propria area solo durante l'attacco.</t>
  </si>
  <si>
    <t>Quanti gol sono necessari per vincere un rigore?</t>
  </si>
  <si>
    <t>Un solo gol è necessario per vincere un rigore.</t>
  </si>
  <si>
    <t>Quanti tiri possono essere effettuati in caso di rigori?</t>
  </si>
  <si>
    <t>Ogni squadra può effettuare 3 tiri di rigore in caso di parità.</t>
  </si>
  <si>
    <t>Quante sostituzioni possono essere fatte durante la partita?</t>
  </si>
  <si>
    <t>A. Illimitate B. 2 C. 5 D. 3</t>
  </si>
  <si>
    <t>Illimitate</t>
  </si>
  <si>
    <t>Le sostituzioni sono illimitate durante una partita.</t>
  </si>
  <si>
    <t>Quando un giocatore esegue un tiro di rigore</t>
  </si>
  <si>
    <t>A. come deve comportarsi? B. Deve tirare entro 5 secondi C. Deve fare un passaggio D. Deve tirare senza fermarsi</t>
  </si>
  <si>
    <t>Deve dribblare prima di tirare</t>
  </si>
  <si>
    <t>Deve tirare entro 5 secondi</t>
  </si>
  <si>
    <t>Cosa accade se un giocatore esce dall'area durante un attacco?</t>
  </si>
  <si>
    <t>A. Non succede nulla B. Si fischia un fallo C. Il gioco viene interrotto D. Viene dato un rigore</t>
  </si>
  <si>
    <t>Si fischia un fallo</t>
  </si>
  <si>
    <t>Il giocatore non può uscire dall'area di attacco.</t>
  </si>
  <si>
    <t>Quando un portiere deve eseguire un rilancio?</t>
  </si>
  <si>
    <t>A. Quando la palla esce dalla sua area B. Quando il gioco è fermo C. Quando l'arbitro lo ordina D. Quando il portiere ha la palla in mano</t>
  </si>
  <si>
    <t>Quando la palla esce dalla sua area</t>
  </si>
  <si>
    <t>Il rilancio avviene quando la palla esce dall'area di difesa del portiere.</t>
  </si>
  <si>
    <t>Quante espulsioni temporanee può ricevere un giocatore?</t>
  </si>
  <si>
    <t>Un giocatore può ricevere al massimo 2 espulsioni temporanee durante una partita.</t>
  </si>
  <si>
    <t>Cosa accade se una squadra commette un fallo tecnico?</t>
  </si>
  <si>
    <t>A. Viene data la palla alla squadra avversaria B. Viene assegnato un rigore C. La squadra subisce un’espulsione D. Il gioco si interrompe</t>
  </si>
  <si>
    <t>Viene data la palla alla squadra avversaria</t>
  </si>
  <si>
    <t>Il fallo tecnico porta al cambio di possesso.</t>
  </si>
  <si>
    <t>In quale zona della piscina il portiere non può toccare la palla?</t>
  </si>
  <si>
    <t>A. Dentro l'area di attacco B. Fuori dalla propria area C. Dentro l'area di difesa D. In qualsiasi parte della piscina</t>
  </si>
  <si>
    <t>Fuori dalla propria area</t>
  </si>
  <si>
    <t>Il portiere non può toccare la palla fuori dalla sua area.</t>
  </si>
  <si>
    <t>Quanto dura una partita di pallanuoto?</t>
  </si>
  <si>
    <t>A. 60 minuti B. 80 minuti C. 90 minuti D. 70 minuti</t>
  </si>
  <si>
    <t>60 minuti</t>
  </si>
  <si>
    <t>Una partita di pallanuoto dura 60 minuti divisi in 4 tempi.</t>
  </si>
  <si>
    <t>Cosa succede se il portiere fa un passaggio al suo compagno?</t>
  </si>
  <si>
    <t>A. Il gioco continua B. La palla passa alla squadra avversaria C. La squadra subisce un fallo D. Il portiere viene ammonito</t>
  </si>
  <si>
    <t>Il passaggio del portiere al compagno è una parte normale del gioco.</t>
  </si>
  <si>
    <t>Quando è permesso un cambio di ruolo durante la partita?</t>
  </si>
  <si>
    <t>A. Quando il gioco è fermo B. Quando l’arbitro lo consente C. Quando la squadra è in attacco D. Quando un giocatore è espulso</t>
  </si>
  <si>
    <t>Quando il gioco è fermo</t>
  </si>
  <si>
    <t>Il cambio di ruolo è permesso solo durante le pause.</t>
  </si>
  <si>
    <t>Cosa deve fare un giocatore per segnare un gol valido?</t>
  </si>
  <si>
    <t>A. Tirare dentro l'area del portiere B. Tirare fuori dall'area C. Colpire la palla con la testa D. Tirare oltre la linea di porta</t>
  </si>
  <si>
    <t>Tirare oltre la linea di porta</t>
  </si>
  <si>
    <t>Un gol è valido se la palla attraversa completamente la linea di porta.</t>
  </si>
  <si>
    <t>Se un giocatore commette un fallo grave in difesa</t>
  </si>
  <si>
    <t>A. cosa succede? B. Viene espulso temporaneamente C. Subisce una penalità D. La squadra avversaria ottiene un rigore</t>
  </si>
  <si>
    <t>Viene ammonito</t>
  </si>
  <si>
    <t>La squadra avversaria ottiene un rigore</t>
  </si>
  <si>
    <t>Quanti arbitri ci sono durante una partita di pallanuoto?</t>
  </si>
  <si>
    <t>Ogni partita è controllata da 2 arbitri.</t>
  </si>
  <si>
    <t>Che tipo di passaggio è vietato in una partita di pallanuoto?</t>
  </si>
  <si>
    <t>A. Passaggio con due mani B. Passaggio con una mano sola C. Passaggio sott'acqua D. Passaggio verso la porta avversaria</t>
  </si>
  <si>
    <t>Passaggio con due mani</t>
  </si>
  <si>
    <t>È vietato effettuare passaggi con entrambe le mani contemporaneamente.</t>
  </si>
  <si>
    <t>Che accade quando un giocatore commette un fallo di gioco?</t>
  </si>
  <si>
    <t>A. La squadra subisce un'espulsione temporanea B. La squadra perde il possesso della palla C. Viene dato un rigore D. Il gioco si interrompe</t>
  </si>
  <si>
    <t>La squadra perde il possesso della palla</t>
  </si>
  <si>
    <t>Un fallo di gioco comporta il cambio di possesso.</t>
  </si>
  <si>
    <t>Quanto dura una pausa tra due tempi di gioco?</t>
  </si>
  <si>
    <t>A. 1 minuto B. 2 minuti C. 5 minuti D. 10 minuti</t>
  </si>
  <si>
    <t>La pausa tra due tempi dura 2 minuti.</t>
  </si>
  <si>
    <t>Cosa succede se la squadra che sta difendendo commette un fallo in area di rigore?</t>
  </si>
  <si>
    <t>A. Il giocatore è espulso temporaneamente B. La squadra avversaria riceve un rigore C. La squadra perde la palla D. Il gioco si ferma</t>
  </si>
  <si>
    <t>La squadra avversaria riceve un rigore.</t>
  </si>
  <si>
    <t>Quando un giocatore può usare il pallone per fare un passaggio?</t>
  </si>
  <si>
    <t>A. Solo quando la palla è ferma B. Quando si trova in possesso della palla C. Quando si trova fuori dall’acqua D. Quando la palla è sopra la superficie</t>
  </si>
  <si>
    <t>Quando si trova in possesso della palla</t>
  </si>
  <si>
    <t>Un passaggio può essere fatto solo quando il giocatore ha il possesso della palla.</t>
  </si>
  <si>
    <t>Cosa deve fare un portiere quando la squadra avversaria segna un gol?</t>
  </si>
  <si>
    <t>A. Riprendere il gioco dalla propria area B. Chiedere il time-out C. Concedere un nuovo rigore D. Cominciare con il rilancio</t>
  </si>
  <si>
    <t>Riprendere il gioco dalla propria area</t>
  </si>
  <si>
    <t>Il portiere deve eseguire il rilancio dal proprio lato della piscina.</t>
  </si>
  <si>
    <t>Quante espulsioni definitive può ricevere un giocatore durante una partita?</t>
  </si>
  <si>
    <t>Un giocatore può ricevere un'espulsione definitiva solo una volta in una partita.</t>
  </si>
  <si>
    <t>Cosa accade se un giocatore colpisce un avversario intenzionalmente?</t>
  </si>
  <si>
    <t>A. Viene ammonito B. Il gioco continua C. Viene espulso D. La squadra avversaria ottiene un rigore</t>
  </si>
  <si>
    <t>Colpire un avversario intenzionalmente porta all'espulsione del giocatore.</t>
  </si>
  <si>
    <t>Quanto tempo deve passare prima che un giocatore possa entrare in acqua dopo una sostituzione?</t>
  </si>
  <si>
    <t>Un giocatore può entrare in acqua entro 5 secondi dalla sostituzione.</t>
  </si>
  <si>
    <t>Cosa accade se il portiere lascia la sua area durante un'azione offensiva?</t>
  </si>
  <si>
    <t>A. Viene ammonito B. Il gioco continua C. Viene espulso D. Si fischia un fallo</t>
  </si>
  <si>
    <t>Il portiere è soggetto a ammonizione se lascia la sua area durante l'attacco.</t>
  </si>
  <si>
    <t>Cosa accade se un giocatore commette un fallo durante un tiro in porta?</t>
  </si>
  <si>
    <t>A. Il tiro è annullato B. Il giocatore è espulso C. La squadra avversaria ottiene un rigore D. La squadra guadagna una rimessa</t>
  </si>
  <si>
    <t>Il fallo durante un tiro in porta comporta un rigore.</t>
  </si>
  <si>
    <t>Cosa succede se un portiere tocca la palla con una mano fuori dalla sua area?</t>
  </si>
  <si>
    <t>A. Viene assegnato un rigore B. Il gioco viene fermato C. Il portiere è ammonito D. La squadra perde il possesso</t>
  </si>
  <si>
    <t>Il portiere non può toccare la palla fuori dalla propria area.</t>
  </si>
  <si>
    <t>Quanto tempo ha una squadra per far partire l'azione dopo un fallo?</t>
  </si>
  <si>
    <t>A. 5 secondi B. 10 secondi C. 15 secondi D. 20 secondi</t>
  </si>
  <si>
    <t>Una squadra ha 5 secondi per far partire l'azione dopo un fallo.</t>
  </si>
  <si>
    <t>Quanti tempi supplementari vengono giocati in caso di parità dopo la fine dei 4 tempi regolamentari?</t>
  </si>
  <si>
    <t>Se la partita finisce in parità</t>
  </si>
  <si>
    <t>Cosa accade se un giocatore commette un fallo in attacco?</t>
  </si>
  <si>
    <t>A. La palla passa alla squadra avversaria B. Il giocatore viene espulso temporaneamente C. La squadra subisce una penalità D. La squadra guadagna un rigore</t>
  </si>
  <si>
    <t>Un fallo in attacco comporta il cambio di possesso.</t>
  </si>
  <si>
    <t>In che parte della piscina si svolge principalmente il gioco offensivo?</t>
  </si>
  <si>
    <t>A. Nell'area del portiere B. Fuori dalla piscina C. Al centro della piscina D. Nella zona di attacco</t>
  </si>
  <si>
    <t>Nella zona di attacco</t>
  </si>
  <si>
    <t>Il gioco offensivo si svolge principalmente nella zona di attacco.</t>
  </si>
  <si>
    <t>Cosa accade se un giocatore colpisce accidentalmente un avversario?</t>
  </si>
  <si>
    <t>A. Il gioco continua B. Si fischia un fallo C. Il giocatore è espulso D. La squadra guadagna una penalità</t>
  </si>
  <si>
    <t>Il gioco riprende dopo un fallo.</t>
  </si>
  <si>
    <t>Quando il portiere effettua un rilancio</t>
  </si>
  <si>
    <t>A. come deve fare? B. Lanciando la palla direttamente in porta C. Passando la palla ai compagni D. Facendo un passaggio diretto</t>
  </si>
  <si>
    <t>Passando la palla ad un difensore</t>
  </si>
  <si>
    <t>Passando la palla ai compagni</t>
  </si>
  <si>
    <t>Cosa accade se un giocatore commette un fallo tecnico?</t>
  </si>
  <si>
    <t>A. Viene assegnato un rigore B. La squadra perde il possesso della palla C. Il gioco viene interrotto D. Viene dato un fallo di punizione</t>
  </si>
  <si>
    <t>Un fallo tecnico comporta il cambio di possesso.</t>
  </si>
  <si>
    <t>Che succede se la palla tocca la parte superiore della piscina?</t>
  </si>
  <si>
    <t>A. La squadra guadagna un rigore B. Il gioco continua C. La palla viene rimessa in gioco dalla squadra avversaria D. La palla è contesa</t>
  </si>
  <si>
    <t>Se la palla tocca la parte superiore della piscina</t>
  </si>
  <si>
    <t>Quanto dura un time-out durante una partita di pallanuoto?</t>
  </si>
  <si>
    <t>A. 1 minuto B. 2 minuti C. 3 minuti D. 4 minuti</t>
  </si>
  <si>
    <t>Ogni time-out durante una partita dura 1 minuto.</t>
  </si>
  <si>
    <t>Quando si applica una sanzione di espulsione temporanea?</t>
  </si>
  <si>
    <t>A. Quando un giocatore commette un fallo grave B. Quando il portiere lascia la propria area C. Quando il gioco è interrotto D. Quando un giocatore tocca la palla con i piedi</t>
  </si>
  <si>
    <t>Quando un giocatore commette un fallo grave.</t>
  </si>
  <si>
    <t>Cosa accade se un portiere non riesce a fermare un tiro in porta?</t>
  </si>
  <si>
    <t>A. Il gol è convalidato B. Il gioco continua C. La squadra avversaria ottiene un rigore D. Il portiere viene ammonito</t>
  </si>
  <si>
    <t>Il gol è convalidato</t>
  </si>
  <si>
    <t>Se il portiere non riesce a fermare un tiro</t>
  </si>
  <si>
    <t>Quanto tempo dura l’espulsione temporanea di un giocatore?</t>
  </si>
  <si>
    <t>L’espulsione temporanea dura 20 secondi.</t>
  </si>
  <si>
    <t>Che succede se un giocatore commette un fallo mentre è in fase di attacco?</t>
  </si>
  <si>
    <t>A. Il giocatore viene espulso B. Il gioco continua C. La squadra guadagna una penalità D. Il possesso passa alla squadra avversaria</t>
  </si>
  <si>
    <t>Il possesso passa alla squadra avversaria</t>
  </si>
  <si>
    <t>Un fallo durante l'attacco comporta il cambio di possesso.</t>
  </si>
  <si>
    <t>Quando è possibile un cambio di portiere?</t>
  </si>
  <si>
    <t>A. Solo a fine tempo B. In qualsiasi momento durante la partita C. Solo durante il time-out D. Quando il portiere è espulso</t>
  </si>
  <si>
    <t>In qualsiasi momento durante la partita</t>
  </si>
  <si>
    <t>Il cambio di portiere può avvenire in qualsiasi momento.</t>
  </si>
  <si>
    <t>A. Il portiere e i difensori B. Solo gli attaccanti C. Qualsiasi giocatore di campo D. Il capitano e il portiere</t>
  </si>
  <si>
    <t>Qualsiasi giocatore in campo può segnare un gol.</t>
  </si>
  <si>
    <t>A. 60 minuti B. 70 minuti C. 80 minuti D. 90 minuti</t>
  </si>
  <si>
    <t>Una partita di pallanuoto è divisa in 4 tempi da 15 minuti per un totale di 60 minuti.</t>
  </si>
  <si>
    <t>Quando viene fischiato un rigore?</t>
  </si>
  <si>
    <t>A. Quando un fallo viene commesso in area di rigore B. Quando un giocatore non ha il possesso della palla C. Quando il gioco è fermo D. Quando il portiere fa un errore</t>
  </si>
  <si>
    <t>Quando un fallo viene commesso in area di rigore.</t>
  </si>
  <si>
    <t>In quale situazione si usa la regola del "gol annullato"?</t>
  </si>
  <si>
    <t>A. Quando la palla esce prima di entrare in porta B. Quando il portiere commette un fallo C. Quando il tiro non è diretto D. Quando un giocatore tocca il pallone fuori dalla zona</t>
  </si>
  <si>
    <t>Quando la palla esce prima di entrare in porta</t>
  </si>
  <si>
    <t>Se la palla esce prima di entrare in porta</t>
  </si>
  <si>
    <t>Chi ha il compito di mantenere il tempo durante la partita?</t>
  </si>
  <si>
    <t>A. Il cronometrista B. L'arbitro C. Il capitano D. Il portiere</t>
  </si>
  <si>
    <t>Il cronometrista</t>
  </si>
  <si>
    <t>Il cronometrista è responsabile del controllo del tempo durante la partita.</t>
  </si>
  <si>
    <t>Cosa accade se un giocatore colpisce la palla con una mano fuori dalla sua area?</t>
  </si>
  <si>
    <t>A. Viene ammonito B. Si fischia un rigore C. Il gioco continua D. Il portiere è espulso</t>
  </si>
  <si>
    <t>Si fischia un rigore</t>
  </si>
  <si>
    <t>Un fallo fuori dall'area del portiere comporta l'assegnazione di un rigore.</t>
  </si>
  <si>
    <t>Qual è la durata di un tempo supplementare?</t>
  </si>
  <si>
    <t>A. 5 minuti B. 10 minuti C. 15 minuti D. 20 minuti</t>
  </si>
  <si>
    <t>5 minuti</t>
  </si>
  <si>
    <t>Ogni tempo supplementare dura 5 minuti.</t>
  </si>
  <si>
    <t>Cosa accade se un giocatore commette un fallo durante il passaggio?</t>
  </si>
  <si>
    <t>A. La squadra avversaria guadagna il possesso B. La palla è contesa C. Il gioco si interrompe D. Il giocatore viene ammonito</t>
  </si>
  <si>
    <t>La squadra avversaria guadagna il possesso</t>
  </si>
  <si>
    <t>Un fallo durante il passaggio comporta la perdita di possesso.</t>
  </si>
  <si>
    <t>Cosa accade se una squadra commette un fallo in attacco?</t>
  </si>
  <si>
    <t>A. Il possesso passa alla squadra avversaria B. Il giocatore è espulso temporaneamente C. Il gioco si interrompe D. La squadra subisce una penalità</t>
  </si>
  <si>
    <t>Il possesso passa alla squadra avversaria.</t>
  </si>
  <si>
    <t>Quanti minuti dura la pausa tra i due tempi supplementari?</t>
  </si>
  <si>
    <t>Cosa succede se la palla tocca il palo durante un tiro?</t>
  </si>
  <si>
    <t>A. Il gioco continua B. Il tiro è annullato C. La palla viene rimessa in gioco dalla squadra avversaria D. Il portiere deve rilanciare</t>
  </si>
  <si>
    <t>Se la palla tocca il palo</t>
  </si>
  <si>
    <t>Cosa accade se un giocatore mette la palla in porta da fuori gioco?</t>
  </si>
  <si>
    <t>A. Il gol non è valido B. Il gioco continua C. Il gol è convalidato D. La squadra avversaria guadagna un rigore</t>
  </si>
  <si>
    <t>Il gol non è valido</t>
  </si>
  <si>
    <t>Un gol segnato da un giocatore in fuorigioco non viene convalidato.</t>
  </si>
  <si>
    <t>Cosa accade se un giocatore tira la palla fuori dalla piscina?</t>
  </si>
  <si>
    <t>A. La squadra avversaria guadagna la rimessa B. Il gioco continua C. La squadra guadagna un rigore D. Il gioco viene fermato</t>
  </si>
  <si>
    <t>La squadra avversaria guadagna la rimessa.</t>
  </si>
  <si>
    <t>Quante sostituzioni possono essere fatte in una partita di pallanuoto?</t>
  </si>
  <si>
    <t>A. Illimitate B. 2 C. 3 D. 5</t>
  </si>
  <si>
    <t>Le sostituzioni sono illimitate durante la partita.</t>
  </si>
  <si>
    <t>Come si vince una partita di Morra?</t>
  </si>
  <si>
    <t>A. Indovinando il numero corretto totale B. Dicendo "Morra" più velocemente C. Bloccando le dita dell'avversario D. Facendo più punti in una mano</t>
  </si>
  <si>
    <t>Indovinando il numero corretto totale</t>
  </si>
  <si>
    <t>Il vincitore è colui che indovina correttamente la somma delle dita mostrate.</t>
  </si>
  <si>
    <t>Qual è il numero massimo di dita che un giocatore può mostrare in Morra?</t>
  </si>
  <si>
    <t>A. 2 B. 5 C. 10 D. 7</t>
  </si>
  <si>
    <t>Un giocatore può mostrare fino a 5 dita per mano.</t>
  </si>
  <si>
    <t>Qual è l'obiettivo principale del gioco Morra?</t>
  </si>
  <si>
    <t>A. Bloccare l'avversario B. Indovinare la somma totale delle dita mostrate C. Essere il più veloce a gridare D. Non sbagliare la somma</t>
  </si>
  <si>
    <t>Indovinare la somma totale delle dita mostrate</t>
  </si>
  <si>
    <t>L'obiettivo è indovinare la somma esatta delle dita mostrate da entrambi i giocatori.</t>
  </si>
  <si>
    <t>Quanti giocatori partecipano solitamente a una partita di Morra?</t>
  </si>
  <si>
    <t>A. 2 B. 4 C. 6 D. 10</t>
  </si>
  <si>
    <t>Di solito Morra viene giocata tra due giocatori.</t>
  </si>
  <si>
    <t>Come viene deciso il vincitore in Morra?</t>
  </si>
  <si>
    <t>A. Chi indovina più volte B. Chi sbaglia di meno C. Chi fa il punteggio più basso D. Chi usa entrambe le mani</t>
  </si>
  <si>
    <t>Chi indovina più volte</t>
  </si>
  <si>
    <t>Vince chi indovina il numero corretto il maggior numero di volte.</t>
  </si>
  <si>
    <t>Che cosa si grida durante una partita di Morra?</t>
  </si>
  <si>
    <t>A. La somma prevista delle dita mostrate B. Il proprio nome C. Il nome dell'avversario D. Morra</t>
  </si>
  <si>
    <t>La somma prevista delle dita mostrate</t>
  </si>
  <si>
    <t>I giocatori gridano il numero che rappresenta la loro previsione della somma totale delle dita.</t>
  </si>
  <si>
    <t>Cosa succede se entrambi i giocatori indovinano la somma?</t>
  </si>
  <si>
    <t>A. Nessuno guadagna punti B. Entrambi guadagnano punti C. Si ripete il turno D. L'arbitro decide</t>
  </si>
  <si>
    <t>Entrambi guadagnano punti</t>
  </si>
  <si>
    <t>Se entrambi indovinano</t>
  </si>
  <si>
    <t>Qual è il ruolo dell'arbitro in Morra?</t>
  </si>
  <si>
    <t>A. Contare i punti e controllare che le regole vengano rispettate B. Gridare i numeri C. Mostrare le dita D. Decidere il vincitore finale</t>
  </si>
  <si>
    <t>Contare i punti e controllare che le regole vengano rispettate</t>
  </si>
  <si>
    <t>L'arbitro monitora il gioco e tiene traccia dei punti.</t>
  </si>
  <si>
    <t>Cosa significa "fare Morra"?</t>
  </si>
  <si>
    <t>A. Indovinare la somma corretta B. Mostrare il numero massimo di dita C. Usare entrambe le mani contemporaneamente D. Non indovinare la somma</t>
  </si>
  <si>
    <t>Indovinare la somma corretta</t>
  </si>
  <si>
    <t>Fare Morra significa azzeccare la somma delle dita mostrate.</t>
  </si>
  <si>
    <t>Qual è il limite di tempo per gridare un numero in Morra?</t>
  </si>
  <si>
    <t>A. 3 secondi B. 5 secondi C. Non c'è limite D. 10 secondi</t>
  </si>
  <si>
    <t>I giocatori devono gridare la loro previsione entro 5 secondi.</t>
  </si>
  <si>
    <t>Quante mani può usare un giocatore in una singola partita di Morra?</t>
  </si>
  <si>
    <t>Solitamente si usa una mano.</t>
  </si>
  <si>
    <t>Cosa succede se un giocatore grida un numero impossibile?</t>
  </si>
  <si>
    <t>A. Perde automaticamente B. Il turno viene ripetuto C. Non succede nulla D. Guadagna punti extra</t>
  </si>
  <si>
    <t>Gridare un numero impossibile comporta la perdita del turno.</t>
  </si>
  <si>
    <t>Qual è l'origine del gioco Morra?</t>
  </si>
  <si>
    <t>A. Italia antica B. Germania medievale C. Francia del XIX secolo D. Egitto antico</t>
  </si>
  <si>
    <t>Italia antica</t>
  </si>
  <si>
    <t>Il gioco ha origini nell'antica Italia.</t>
  </si>
  <si>
    <t>Morra può essere giocata in squadra?</t>
  </si>
  <si>
    <t>A. Sì B. No C. Solo con 4 giocatori D. Solo con arbitro</t>
  </si>
  <si>
    <t>Sì</t>
  </si>
  <si>
    <t>Può essere giocata sia individualmente che a squadre.</t>
  </si>
  <si>
    <t>Cosa succede se un giocatore non mostra alcuna dita?</t>
  </si>
  <si>
    <t>A. Il turno è nullo B. Perde il turno C. Guadagna punti D. Si continua senza penalità</t>
  </si>
  <si>
    <t>Il turno è nullo</t>
  </si>
  <si>
    <t>Non mostrare alcuna dita annulla il turno.</t>
  </si>
  <si>
    <t>Qual è il numero minimo di dita che un giocatore può mostrare?</t>
  </si>
  <si>
    <t>A. 0 B. 1 C. 2 D. 3</t>
  </si>
  <si>
    <t>Un giocatore può scegliere di non mostrare alcuna dita.</t>
  </si>
  <si>
    <t>Qual è l'elemento chiave di Morra?</t>
  </si>
  <si>
    <t>A. La velocità B. La memoria C. La strategia D. La fortuna</t>
  </si>
  <si>
    <t>La strategia</t>
  </si>
  <si>
    <t>L'elemento chiave è la strategia nel predire la somma.</t>
  </si>
  <si>
    <t>Cosa rappresenta il termine "Morra" in italiano?</t>
  </si>
  <si>
    <t>A. Un grido di vittoria B. La somma delle dita C. Una regola del gioco D. Il nome del vincitore</t>
  </si>
  <si>
    <t>La somma delle dita</t>
  </si>
  <si>
    <t>Il termine si riferisce alla somma totale delle dita.</t>
  </si>
  <si>
    <t>Morra è considerato un gioco di...</t>
  </si>
  <si>
    <t>A. Abilità pura B. Fortuna pura C. Abilità e fortuna D. Forza fisica</t>
  </si>
  <si>
    <t>Abilità e fortuna</t>
  </si>
  <si>
    <t>Morra richiede una combinazione di abilità strategica e fortuna.</t>
  </si>
  <si>
    <t>Quale di questi non è un requisito per giocare a Morra?</t>
  </si>
  <si>
    <t>A. Velocità mentale B. Un arbitro C. Un partner di gioco D. Dita funzionanti</t>
  </si>
  <si>
    <t>Un arbitro non è strettamente necessario per giocare.</t>
  </si>
  <si>
    <t>Morra può essere giocata silenziosamente?</t>
  </si>
  <si>
    <t>A. No B. Sì C. ma è difficile D. Sì</t>
  </si>
  <si>
    <t>ma con segnali</t>
  </si>
  <si>
    <t>Solo con regole speciali</t>
  </si>
  <si>
    <t>Qual è il punteggio massimo raggiungibile in un round?</t>
  </si>
  <si>
    <t>A. 5 B. 10 C. 15 D. Non c'è limite</t>
  </si>
  <si>
    <t>Il punteggio dipende dal numero di round giocati.</t>
  </si>
  <si>
    <t>Morra è considerata un gioco...</t>
  </si>
  <si>
    <t>A. Competitivo B. Cooperativo C. Individuale D. Rilassante</t>
  </si>
  <si>
    <t>Competitivo</t>
  </si>
  <si>
    <t>È un gioco altamente competitivo.</t>
  </si>
  <si>
    <t>In quale regione italiana Morra è particolarmente popolare?</t>
  </si>
  <si>
    <t>A. Sardegna B. Toscana C. Veneto D. Lazio</t>
  </si>
  <si>
    <t>Sardegna</t>
  </si>
  <si>
    <t>Morra è tradizionalmente popolare in Sardegna.</t>
  </si>
  <si>
    <t>Qual è il vantaggio di giocare a Morra all'aperto?</t>
  </si>
  <si>
    <t>A. Migliore visibilità B. Più spazio per i giocatori C. Meno rumore D. Più spettatori</t>
  </si>
  <si>
    <t>Migliore visibilità</t>
  </si>
  <si>
    <t>Giocare all'aperto offre maggiore visibilità per le mani.</t>
  </si>
  <si>
    <t>Morra è adatto a bambini?</t>
  </si>
  <si>
    <t>A. Sì B. No C. Solo sopra i 10 anni D. Solo con supervisione adulta</t>
  </si>
  <si>
    <t>È un gioco semplice adatto anche ai bambini.</t>
  </si>
  <si>
    <t>Quanti round ci sono in una partita standard di Morra?</t>
  </si>
  <si>
    <t>A. 3 B. 5 C. 7 D. Variabile</t>
  </si>
  <si>
    <t>Variabile</t>
  </si>
  <si>
    <t>Il numero di round può variare a seconda delle regole concordate.</t>
  </si>
  <si>
    <t>Come si chiama il gesto di mostrare le dita?</t>
  </si>
  <si>
    <t>A. Segno B. Giocata C. Chiamata D. Morra</t>
  </si>
  <si>
    <t>Giocata</t>
  </si>
  <si>
    <t>Mostrare le dita si chiama "giocata".</t>
  </si>
  <si>
    <t>Qual è il rischio di gridare troppo velocemente un numero?</t>
  </si>
  <si>
    <t>A. Sbagliare la somma B. Confondere l'avversario C. Farsi squalificare D. Nulla</t>
  </si>
  <si>
    <t>Sbagliare la somma</t>
  </si>
  <si>
    <t>Gridare troppo velocemente può portare a errori nella previsione.</t>
  </si>
  <si>
    <t>Perché Morra è considerata una tradizione?</t>
  </si>
  <si>
    <t>A. È un gioco antico B. È giocata solo in Italia C. Ha regole molto particolari D. È sempre accompagnata da musica</t>
  </si>
  <si>
    <t>È un gioco antico</t>
  </si>
  <si>
    <t>Morra è considerata una tradizione per le sue origini storiche.</t>
  </si>
  <si>
    <t>Come si chiama la somma di tutte le dita mostrate in Morra?</t>
  </si>
  <si>
    <t>A. Risultato B. Numero totale C. Chiamata D. Punteggio</t>
  </si>
  <si>
    <t>Numero totale</t>
  </si>
  <si>
    <t>La somma di tutte le dita mostrate viene chiamata "numero totale".</t>
  </si>
  <si>
    <t>Cosa indica il termine "chiamata" in Morra?</t>
  </si>
  <si>
    <t>A. Il numero gridato dal giocatore B. Le dita mostrate C. La vittoria di un turno D. Il totale dei punti</t>
  </si>
  <si>
    <t>Il numero gridato dal giocatore</t>
  </si>
  <si>
    <t>La "chiamata" è il numero che il giocatore prevede come somma totale.</t>
  </si>
  <si>
    <t>Qual è la penalità per chi bara in Morra?</t>
  </si>
  <si>
    <t>A. Squalifica immediata B. Perdita di punti C. Vittoria all'avversario D. Si ripete il turno</t>
  </si>
  <si>
    <t>Squalifica immediata</t>
  </si>
  <si>
    <t>Chi bara è squalificato immediatamente dalla partita.</t>
  </si>
  <si>
    <t>Quanti giocatori possono partecipare in una versione di gruppo di Morra?</t>
  </si>
  <si>
    <t>A. 3 B. 4 o più C. 2 o più D. 10 massimo</t>
  </si>
  <si>
    <t>2 o più</t>
  </si>
  <si>
    <t>Nella versione di gruppo</t>
  </si>
  <si>
    <t>Qual è l'importanza della velocità in Morra?</t>
  </si>
  <si>
    <t>A. È fondamentale per vincere B. Non è importante C. Serve solo per la precisione D. Determina il punteggio finale</t>
  </si>
  <si>
    <t>È fondamentale per vincere</t>
  </si>
  <si>
    <t>La velocità è essenziale per gridare prima dell'avversario.</t>
  </si>
  <si>
    <t>Quando un turno di Morra si considera valido?</t>
  </si>
  <si>
    <t>A. Quando entrambi mostrano le dita e gridano il numero B. Quando solo un giocatore grida il numero C. Quando si arriva a 10 punti D. Quando l'arbitro dà il via</t>
  </si>
  <si>
    <t>Quando entrambi mostrano le dita e gridano il numero</t>
  </si>
  <si>
    <t>Un turno valido richiede che entrambi i giocatori partecipino contemporaneamente.</t>
  </si>
  <si>
    <t>Come vengono calcolati i punti in Morra?</t>
  </si>
  <si>
    <t>A. 1 punto per ogni somma indovinata B. 2 punti per turno vinto C. 1 punto per ogni chiamata D. 2 punti per ogni round completato</t>
  </si>
  <si>
    <t>1 punto per ogni somma indovinata</t>
  </si>
  <si>
    <t>Ogni somma corretta equivale a un punto.</t>
  </si>
  <si>
    <t>Quanti tipi di strategie si possono usare in Morra?</t>
  </si>
  <si>
    <t>A. Nessuna B. Almeno 2 C. Infinite D. 1 principale</t>
  </si>
  <si>
    <t>Infinite</t>
  </si>
  <si>
    <t>Le strategie possono variare a seconda dei giocatori.</t>
  </si>
  <si>
    <t>Cosa significa "Morra a squadre"?</t>
  </si>
  <si>
    <t>A. Ogni squadra ha più giocatori B. Si gioca in coppia contro coppia C. È un torneo tra squadre D. Si gioca con regole speciali</t>
  </si>
  <si>
    <t>Si gioca in coppia contro coppia</t>
  </si>
  <si>
    <t>Nella versione a squadre si gioca in coppie.</t>
  </si>
  <si>
    <t>Come si chiama il gesto di gridare un numero in Morra?</t>
  </si>
  <si>
    <t>A. Mossa B. Voce C. Giocata D. Chiamata</t>
  </si>
  <si>
    <t>Chiamata</t>
  </si>
  <si>
    <t>Gridare un numero è chiamato "chiamata".</t>
  </si>
  <si>
    <t>In che occasione Morra viene spesso giocata in Italia?</t>
  </si>
  <si>
    <t>A. Durante le feste tradizionali B. Nelle scuole C. Durante eventi religiosi D. Nei campionati nazionali</t>
  </si>
  <si>
    <t>Durante le feste tradizionali</t>
  </si>
  <si>
    <t>È spesso giocata durante le feste locali o sagre.</t>
  </si>
  <si>
    <t>Morra è inclusa in competizioni ufficiali?</t>
  </si>
  <si>
    <t>A. Sì B. No C. Solo in tornei amatoriali D. Solo in Sardegna</t>
  </si>
  <si>
    <t>In alcune regioni è presente in competizioni ufficiali.</t>
  </si>
  <si>
    <t>Quante dita mostra il vincitore in una giocata perfetta?</t>
  </si>
  <si>
    <t>A. Tutte e cinque B. Nessuna C. Tre D. Non è rilevante</t>
  </si>
  <si>
    <t>Non è rilevante</t>
  </si>
  <si>
    <t>La somma mostrata dipende dalla strategia e non è un fattore fisso.</t>
  </si>
  <si>
    <t>Quanti tipi di chiamate sono possibili in Morra con due mani?</t>
  </si>
  <si>
    <t>A. Da 0 a 10 B. Da 0 a 5 C. Da 0 a 20 D. Illimitate</t>
  </si>
  <si>
    <t>Da 0 a 10</t>
  </si>
  <si>
    <t>Con una mano per giocatore</t>
  </si>
  <si>
    <t>Qual è il miglior ambiente per giocare a Morra?</t>
  </si>
  <si>
    <t>A. Silenzioso e ben illuminato B. Rumoroso con molta gente C. All'ombra D. In qualsiasi luogo con spazio</t>
  </si>
  <si>
    <t>Silenzioso e ben illuminato</t>
  </si>
  <si>
    <t>Un ambiente silenzioso favorisce la concentrazione.</t>
  </si>
  <si>
    <t>Morra può essere giocata online?</t>
  </si>
  <si>
    <t>A. No B. Sì C. con versioni digitali D. Solo su smartphone</t>
  </si>
  <si>
    <t>Non è ancora sviluppata</t>
  </si>
  <si>
    <t>Cosa succede se due giocatori mostrano lo stesso numero di dita?</t>
  </si>
  <si>
    <t>A. Vince chi chiama prima B. Si annulla il turno C. Entrambi perdono D. Si ripete il turno</t>
  </si>
  <si>
    <t>Si annulla il turno</t>
  </si>
  <si>
    <t>Quando mostrano lo stesso numero</t>
  </si>
  <si>
    <t>Qual è il fattore chiave per anticipare l'avversario?</t>
  </si>
  <si>
    <t>A. Conoscere le sue abitudini B. Essere più veloce C. Confonderlo D. Non esiste un fattore chiave</t>
  </si>
  <si>
    <t>Conoscere le sue abitudini</t>
  </si>
  <si>
    <t>Capire le abitudini dell'avversario aiuta a prevedere le sue mosse.</t>
  </si>
  <si>
    <t>Cosa rappresenta il grido in Morra?</t>
  </si>
  <si>
    <t>A. La somma totale prevista B. Un avvertimento C. Un richiamo al gioco D. Una provocazione</t>
  </si>
  <si>
    <t>La somma totale prevista</t>
  </si>
  <si>
    <t>Il grido rappresenta la previsione della somma totale delle dita.</t>
  </si>
  <si>
    <t>Quale parte del corpo è fondamentale per giocare a Morra?</t>
  </si>
  <si>
    <t>A. Mano B. Occhi C. Voce D. Tutte le precedenti</t>
  </si>
  <si>
    <t>Sono necessarie mani</t>
  </si>
  <si>
    <t>Cosa rende Morra un gioco popolare?</t>
  </si>
  <si>
    <t>A. Regole semplici e velocità B. Richiede molta attrezzatura C. È un gioco lento D. Ha molti premi</t>
  </si>
  <si>
    <t>Regole semplici e velocità</t>
  </si>
  <si>
    <t>Le regole facili e la velocità del gioco lo rendono popolare.</t>
  </si>
  <si>
    <t>Quando viene dichiarata la fine di una partita di Morra?</t>
  </si>
  <si>
    <t>A. Quando un giocatore raggiunge un certo punteggio B. Quando l'arbitro lo decide C. Dopo 5 turni D. Dopo 30 minuti</t>
  </si>
  <si>
    <t>Quando un giocatore raggiunge un certo punteggio</t>
  </si>
  <si>
    <t>La partita termina quando un giocatore raggiunge il punteggio prestabilito.</t>
  </si>
  <si>
    <t>Morra può essere giocata con più di due mani?</t>
  </si>
  <si>
    <t>A. No B. Sì C. ma è complicato D. Non ufficialmente</t>
  </si>
  <si>
    <t>Solo in tornei speciali</t>
  </si>
  <si>
    <t>Come viene chiamato un errore intenzionale in Morra?</t>
  </si>
  <si>
    <t>A. Truffa B. Fallo C. Bluff D. Mossa sbagliata</t>
  </si>
  <si>
    <t>Fallo</t>
  </si>
  <si>
    <t>Gli errori intenzionali sono considerati falli.</t>
  </si>
  <si>
    <t>Qual è l'obiettivo di una squadra in Morra?</t>
  </si>
  <si>
    <t>A. Indovinare la somma più volte B. Fare confusione nell'altra squadra C. Urlare più forte D. Mostrare più dita</t>
  </si>
  <si>
    <t>Indovinare la somma più volte</t>
  </si>
  <si>
    <t>L'obiettivo è indovinare il numero corretto più volte rispetto all'avversario.</t>
  </si>
  <si>
    <t>Cosa succede se nessuno indovina la somma in un turno?</t>
  </si>
  <si>
    <t>A. Nessuno ottiene punti B. Entrambi ottengono punti C. Il turno è ripetuto D. Si aggiunge un punto bonus</t>
  </si>
  <si>
    <t>Se nessuno indovina</t>
  </si>
  <si>
    <t>Quanti tipi di varianti ha Morra?</t>
  </si>
  <si>
    <t>A. Nessuna B. Almeno 3 C. Illimitate D. Una sola ufficiale</t>
  </si>
  <si>
    <t>Almeno 3</t>
  </si>
  <si>
    <t>Esistono diverse varianti del gioco in diverse regioni.</t>
  </si>
  <si>
    <t>Come viene chiamato il gioco in Sardegna?</t>
  </si>
  <si>
    <t>A. Morra B. Sa Murra C. La Morra D. S'Indovina</t>
  </si>
  <si>
    <t>Sa Murra</t>
  </si>
  <si>
    <t>In Sardegna il gioco è noto come Sa Murra.</t>
  </si>
  <si>
    <t>Qual è il rischio di urlare troppo lentamente?</t>
  </si>
  <si>
    <t>A. Perdere il turno B. Essere penalizzati C. Confondere l'arbitro D. Nessuno</t>
  </si>
  <si>
    <t>Perdere il turno</t>
  </si>
  <si>
    <t>Chi grida troppo lentamente rischia di perdere il turno.</t>
  </si>
  <si>
    <t>Qual è l'età minima consigliata per giocare a Morra?</t>
  </si>
  <si>
    <t>A. 5 anni B. 10 anni C. Non c'è età minima D. 18 anni</t>
  </si>
  <si>
    <t>5 anni</t>
  </si>
  <si>
    <t>Essendo semplice</t>
  </si>
  <si>
    <t>Cosa accade se i giocatori non rispettano il ritmo del gioco?</t>
  </si>
  <si>
    <t>A. Il turno è annullato B. Perdono entrambi un punto C. Il giocatore più lento è penalizzato D. Non accade nulla</t>
  </si>
  <si>
    <t>Il turno è annullato</t>
  </si>
  <si>
    <t>Non rispettare il ritmo stabilito rende il turno nullo.</t>
  </si>
  <si>
    <t>Qual è una strategia comune in Morra?</t>
  </si>
  <si>
    <t>A. Confondere l'avversario con gesti B. Urlare numeri alti C. Mostrare sempre cinque dita D. Non urlare mai</t>
  </si>
  <si>
    <t>Confondere l'avversario con gesti</t>
  </si>
  <si>
    <t>La confusione può rendere difficile per l'avversario prevedere la mossa.</t>
  </si>
  <si>
    <t>Quanti round ci vogliono per dichiarare un vincitore?</t>
  </si>
  <si>
    <t>A. Minimo 3 B. Minimo 5 C. Minimo 7 D. È variabile</t>
  </si>
  <si>
    <t>È variabile</t>
  </si>
  <si>
    <t>Il numero di round dipende dalle regole stabilite dai giocatori.</t>
  </si>
  <si>
    <t>Come si stabilisce l’inizio del gioco?</t>
  </si>
  <si>
    <t>A. Con un sorteggio B. Chi urla per primo C. Con il punteggio più basso D. Con un accordo tra i giocatori</t>
  </si>
  <si>
    <t>Con un sorteggio</t>
  </si>
  <si>
    <t>Un sorteggio decide spesso chi inizia il gioco.</t>
  </si>
  <si>
    <t>Qual è un errore comune in Morra?</t>
  </si>
  <si>
    <t>A. Gridare un numero sbagliato B. Non mostrare dita C. Mostrare dita in ritardo D. Tutte le precedenti</t>
  </si>
  <si>
    <t>Gli errori possono includere numeri errati</t>
  </si>
  <si>
    <t>A. Di logica B. Di fortuna C. Di precisione e velocità D. Di forza fisica</t>
  </si>
  <si>
    <t>Di precisione e velocità</t>
  </si>
  <si>
    <t>Morra si basa su precisione e velocità per avere successo.</t>
  </si>
  <si>
    <t>Quale atteggiamento è importante in Morra?</t>
  </si>
  <si>
    <t>A. Calma e concentrazione B. Impulsività C. Agitazione D. Silenzio assoluto</t>
  </si>
  <si>
    <t>Calma e concentrazione</t>
  </si>
  <si>
    <t>Essere calmi e concentrati aiuta a fare mosse strategiche.</t>
  </si>
  <si>
    <t>Qual è l'origine del termine "Morra"?</t>
  </si>
  <si>
    <t>A. Dal latino "murmur" B. Dall'italiano "moro" C. Dal francese antico D. Dallo spagnolo</t>
  </si>
  <si>
    <t>Dal latino "murmur"</t>
  </si>
  <si>
    <t>Il termine deriva dal latino "murmur"</t>
  </si>
  <si>
    <t>Cosa rappresentano le dita mostrate in Morra?</t>
  </si>
  <si>
    <t>A. Un segnale B. Un valore numerico C. Una provocazione D. Un punto di riferimento</t>
  </si>
  <si>
    <t>Un valore numerico</t>
  </si>
  <si>
    <t>Le dita mostrate rappresentano un valore numerico.</t>
  </si>
  <si>
    <t>Qual è una variante comune di Morra?</t>
  </si>
  <si>
    <t>A. Usare entrambe le mani B. Giocare in silenzio C. Gridare sempre numeri pari D. Usare dadi per decidere</t>
  </si>
  <si>
    <t>Usare entrambe le mani</t>
  </si>
  <si>
    <t>Una variante include l'uso di entrambe le mani.</t>
  </si>
  <si>
    <t>Morra è praticata solo in Italia?</t>
  </si>
  <si>
    <t>A. No B. Sì C. ma con differenze locali D. Sì</t>
  </si>
  <si>
    <t>Il gioco è diffuso anche in altri paesi mediterranei.</t>
  </si>
  <si>
    <t>Come si chiama una partita rapida di Morra?</t>
  </si>
  <si>
    <t>A. Turno flash B. Morra veloce C. Partita secca D. Sfida breve</t>
  </si>
  <si>
    <t>Partita secca</t>
  </si>
  <si>
    <t>Una "partita secca" si riferisce a un gioco veloce e diretto.</t>
  </si>
  <si>
    <t>Come viene registrato il punteggio in Morra?</t>
  </si>
  <si>
    <t>A. Su carta B. Memorizzato dai giocatori C. Con l'aiuto di un arbitro D. Tutte le precedenti</t>
  </si>
  <si>
    <t>Il punteggio può essere annotato</t>
  </si>
  <si>
    <t>Qual è una caratteristica unica di Morra?</t>
  </si>
  <si>
    <t>A. Nessun bisogno di attrezzatura B. Richiede una superficie piatta C. Si gioca in silenzio D. Richiede un orologio</t>
  </si>
  <si>
    <t>Nessun bisogno di attrezzatura</t>
  </si>
  <si>
    <t>Morra si gioca senza strumenti particolari.</t>
  </si>
  <si>
    <t>Perché Morra è considerato un gioco sociale?</t>
  </si>
  <si>
    <t>A. Richiede interazione diretta B. Si gioca in gruppo C. Ha regole collettive D. Promuove la cooperazione</t>
  </si>
  <si>
    <t>Richiesta interazione diretta</t>
  </si>
  <si>
    <t>La natura diretta del gioco favorisce l'interazione tra i giocatori.</t>
  </si>
  <si>
    <t>Come si conclude un round in Morra?</t>
  </si>
  <si>
    <t>A. Con la chiamata del vincitore B. Quando entrambi mostrano le dita C. Quando un giocatore sbaglia D. Quando l'arbitro fischia</t>
  </si>
  <si>
    <t>Quando entrambi mostrano le dita</t>
  </si>
  <si>
    <t>Un round finisce quando tutti mostrano le dita e gridano.</t>
  </si>
  <si>
    <t>Cosa rende Morra semplice da apprendere?</t>
  </si>
  <si>
    <t>A. Regole intuitive B. Tempi brevi C. Serve solo una mano D. Tutte le precedenti</t>
  </si>
  <si>
    <t>Morra è accessibile grazie alla semplicità delle regole e al ritmo veloce.</t>
  </si>
  <si>
    <t>Qual è un comportamento scorretto in Morra?</t>
  </si>
  <si>
    <t>A. Cambiare il numero gridato B. Non partecipare attivamente C. Fare segnali ambigui D. Tutti i precedenti</t>
  </si>
  <si>
    <t>Qualsiasi comportamento scorretto compromette la partita.</t>
  </si>
  <si>
    <t>Qual è la principale emozione associata a Morra?</t>
  </si>
  <si>
    <t>A. Adrenalina B. Calma C. Frustrazione D. Noia</t>
  </si>
  <si>
    <t>Adrenalina</t>
  </si>
  <si>
    <t>Morra è un gioco emozionante e competitivo.</t>
  </si>
  <si>
    <t>Qual è una variante culturale di Morra?</t>
  </si>
  <si>
    <t>A. Sa Murra in Sardegna B. La Chiamata in Puglia C. La Morra Francese D. Lotta con Morra</t>
  </si>
  <si>
    <t>Sa Murra in Sardegna</t>
  </si>
  <si>
    <t>Come si decide il ritmo del gioco?</t>
  </si>
  <si>
    <t>A. Accordo tra i giocatori B. Un timer fisso C. Regole tradizionali D. L'arbitro stabilisce</t>
  </si>
  <si>
    <t>Il ritmo è spesso deciso dai giocatori stessi.</t>
  </si>
  <si>
    <t>Morra è adatta a persone di ogni età?</t>
  </si>
  <si>
    <t>A. Sì B. Con limitazioni C. No D. Solo adulti</t>
  </si>
  <si>
    <t>La semplicità del gioco lo rende adatto a tutti.</t>
  </si>
  <si>
    <t>Qual è un possibile premio simbolico in Morra?</t>
  </si>
  <si>
    <t>A. Un brindisi B. Un premio in denaro C. Un trofeo D. Una stretta di mano</t>
  </si>
  <si>
    <t>Un brindisi</t>
  </si>
  <si>
    <t>In contesti informali</t>
  </si>
  <si>
    <t>Qual è l'obiettivo mentale di Morra?</t>
  </si>
  <si>
    <t>A. Leggere l'avversario B. Concentrazione assoluta C. Gridare prima D. Memorizzare i turni</t>
  </si>
  <si>
    <t>Leggere l'avversario</t>
  </si>
  <si>
    <t>Capire le intenzioni dell'avversario è fondamentale.</t>
  </si>
  <si>
    <t>Cosa si intende per "giocata vincente"?</t>
  </si>
  <si>
    <t>A. La somma corretta indovinata B. Gridare prima C. Bloccare l'avversario D. Non sbagliare mai</t>
  </si>
  <si>
    <t>La somma corretta indovinata</t>
  </si>
  <si>
    <t>Una giocata vincente si basa sulla previsione esatta.</t>
  </si>
  <si>
    <t>Qual è una variante di Morra giocata in altre culture?</t>
  </si>
  <si>
    <t>A. Morra Greca B. Morra Spagnola C. Morra Egiziana D. Tutte le precedenti</t>
  </si>
  <si>
    <t>Varianti del gioco esistono in diverse culture.</t>
  </si>
  <si>
    <t>Morra è riconosciuta come sport ufficiale?</t>
  </si>
  <si>
    <t>A. Sì B. No C. Solo in Sardegna D. Solo in eventi speciali</t>
  </si>
  <si>
    <t>Morra è considerata un gioco tradizionale</t>
  </si>
  <si>
    <t>Qual è un sinonimo di "chiamata" in Morra?</t>
  </si>
  <si>
    <t>A. Previsione B. Deduzione C. Mossa D. Voce</t>
  </si>
  <si>
    <t>Previsione</t>
  </si>
  <si>
    <t>La "chiamata" rappresenta una previsione numerica.</t>
  </si>
  <si>
    <t>Qual è un vantaggio di essere esperto in Morra?</t>
  </si>
  <si>
    <t>A. Migliore lettura dell'avversario B. Maggior velocità C. Migliore concentrazione D. Tutte le precedenti</t>
  </si>
  <si>
    <t>L'esperienza migliora tutti gli aspetti del gioco.</t>
  </si>
  <si>
    <t>Cosa si celebra con una partita di Morra?</t>
  </si>
  <si>
    <t>A. Amicizia e competizione B. La vittoria personale C. Il rispetto delle regole D. La tradizione locale</t>
  </si>
  <si>
    <t>Amicizia e competizione</t>
  </si>
  <si>
    <t>Morra celebra l'interazione sociale e la sfida.</t>
  </si>
  <si>
    <t>Qual è un aspetto culturale di Morra?</t>
  </si>
  <si>
    <t>A. Rappresenta la tradizione orale B. Ricorda i giochi antichi C. Unisce le comunità locali D. Tutti i precedenti</t>
  </si>
  <si>
    <t>Morra è radicata nelle tradizioni culturali e sociali di molte regioni.</t>
  </si>
  <si>
    <t>Come si affronta un avversario in Morra?</t>
  </si>
  <si>
    <t>A. Con calma e strategia B. Con velocità e forza C. Con confusione D. Con il silenzio</t>
  </si>
  <si>
    <t>Con calma e strategia</t>
  </si>
  <si>
    <t>Un approccio strategico e calmo è essenziale.</t>
  </si>
  <si>
    <t>Qual è un elemento distintivo del gioco Morra?</t>
  </si>
  <si>
    <t>A. La semplicità delle regole B. La rapidità di gioco C. Il coinvolgimento immediato D. Tutti i precedenti</t>
  </si>
  <si>
    <t>Morra si distingue per la sua velocità e accessibilità.</t>
  </si>
  <si>
    <t>Come si può migliorare in Morra?</t>
  </si>
  <si>
    <t>A. Praticando regolarmente B. Osservando gli avversari C. Cercando di prevedere le mosse D. Tutti i precedenti</t>
  </si>
  <si>
    <t>Pratica</t>
  </si>
  <si>
    <t>Qual è un errore frequente nei principianti in Morra?</t>
  </si>
  <si>
    <t>A. Gridare troppo presto B. Mostrare dita sbagliate C. Confondere la somma D. Tutti i precedenti</t>
  </si>
  <si>
    <t>Gli errori nei principianti includono gesti e chiamate sbagliate.</t>
  </si>
  <si>
    <t>Cosa si intende per "strategia avanzata" in Morra?</t>
  </si>
  <si>
    <t>A. Prevedere le mosse dell'avversario B. Usare trucchi C. Urlare numeri alti D. Non esiste una strategia avanzata</t>
  </si>
  <si>
    <t>Prevedere le mosse dell'avversario</t>
  </si>
  <si>
    <t>Le strategie avanzate si basano su osservazione e anticipazione.</t>
  </si>
  <si>
    <t>Come si può allenare la velocità in Morra?</t>
  </si>
  <si>
    <t>A. Con giochi di riflessi B. Con tornei C. Urlando velocemente D. Con esercizi vocali</t>
  </si>
  <si>
    <t>Con giochi di riflessi</t>
  </si>
  <si>
    <t>Allenare i riflessi è utile per migliorare la velocità.</t>
  </si>
  <si>
    <t>Qual è una caratteristica essenziale per giocare a Morra?</t>
  </si>
  <si>
    <t>A. Buona memoria B. Riflessi pronti C. Voce forte D. Tutte le precedenti</t>
  </si>
  <si>
    <t>Memoria</t>
  </si>
  <si>
    <t>Qual è una regola comune per iniziare Morra?</t>
  </si>
  <si>
    <t>A. Un accordo tra giocatori B. Una decisione casuale C. Il più giovane inizia D. Il più anziano inizia</t>
  </si>
  <si>
    <t>Un accordo tra giocatori</t>
  </si>
  <si>
    <t>La partenza viene spesso decisa di comune accordo.</t>
  </si>
  <si>
    <t>Quale regione italiana è famosa per Morra?</t>
  </si>
  <si>
    <t>A. Sardegna B. Toscana C. Lombardia D. Sicilia</t>
  </si>
  <si>
    <t>La Sardegna è celebre per le sue versioni di Morra.</t>
  </si>
  <si>
    <t>Morra è mai utilizzata come attività educativa?</t>
  </si>
  <si>
    <t>A. Sì B. No C. In rari casi D. Solo in Sardegna</t>
  </si>
  <si>
    <t>Può essere usata per insegnare numeri e strategia ai bambini.</t>
  </si>
  <si>
    <t>Come si può variare il gioco di Morra?</t>
  </si>
  <si>
    <t>A. Aggiungendo più mani B. Limitando i numeri chiamati C. Giocando a turni D. Tutte le precedenti</t>
  </si>
  <si>
    <t>Si possono aggiungere varianti per aumentare la complessità.</t>
  </si>
  <si>
    <t>Qual è una conseguenza del gridare troppo tardi in Morra?</t>
  </si>
  <si>
    <t>A. Perdita automatica del turno B. Punizione C. Si ripete il turno D. Non accade nulla</t>
  </si>
  <si>
    <t>Perdita automatica del turno</t>
  </si>
  <si>
    <t>Il ritardo porta alla sconfitta nel turno.</t>
  </si>
  <si>
    <t>Qual è il significato simbolico di Morra?</t>
  </si>
  <si>
    <t>A. Unità sociale B. Competizione amichevole C. Rappresentazione della tradizione D. Tutti i precedenti</t>
  </si>
  <si>
    <t>Morra rappresenta una combinazione di tradizione</t>
  </si>
  <si>
    <t>Cosa succede se un giocatore si distrae durante il gioco?</t>
  </si>
  <si>
    <t>A. Perde il turno B. Vince l'avversario C. Si annulla il round D. Non accade nulla</t>
  </si>
  <si>
    <t>La distrazione porta alla perdita immediata del turno.</t>
  </si>
  <si>
    <t>Qual è un beneficio di giocare a Morra?</t>
  </si>
  <si>
    <t>A. Migliora i riflessi B. Stimola la concentrazione C. Insegna a lavorare in squadra D. Tutti i precedenti</t>
  </si>
  <si>
    <t>Morra sviluppa abilità utili come riflessi e concentrazione.</t>
  </si>
  <si>
    <t>Qual è un metodo per anticipare l'avversario in Morra?</t>
  </si>
  <si>
    <t>A. Osservare le sue abitudini B. Gridare numeri casuali C. Non guardare l'avversario D. Mantenere sempre la stessa chiamata</t>
  </si>
  <si>
    <t>Osservare le sue abitudini</t>
  </si>
  <si>
    <t>Studiare l'avversario aiuta a prevederne le mosse.</t>
  </si>
  <si>
    <t>Cosa significa "essere prevedibili" in Morra?</t>
  </si>
  <si>
    <t>A. Mostrare sempre lo stesso schema B. Gridare con ritardo C. Essere troppo lenti D. Non seguire il ritmo del gioco</t>
  </si>
  <si>
    <t>Mostrare sempre lo stesso schema</t>
  </si>
  <si>
    <t>Essere prevedibili rende facile per l'avversario indovinare.</t>
  </si>
  <si>
    <t>Qual è il tempo medio di una partita di Morra?</t>
  </si>
  <si>
    <t>A. 5-10 minuti B. 15-20 minuti C. 30 minuti D. Variabile</t>
  </si>
  <si>
    <t>5-10 minuti</t>
  </si>
  <si>
    <t>Morra è un gioco veloce che dura pochi minuti.</t>
  </si>
  <si>
    <t>Cosa si intende per "mano nascosta" in Morra?</t>
  </si>
  <si>
    <t>A. Preparare la giocata senza mostrare dita B. Non partecipare al turno C. Non urlare un numero D. Mostrare la mano sotto un tavolo</t>
  </si>
  <si>
    <t>Preparare la giocata senza mostrare dita</t>
  </si>
  <si>
    <t>Mano nascosta si riferisce al momento prima di rivelare le dita.</t>
  </si>
  <si>
    <t>Morra richiede un arbitro?</t>
  </si>
  <si>
    <t>A. No B. Sì C. In tornei ufficiali D. Dipende dai giocatori</t>
  </si>
  <si>
    <t>In tornei ufficiali</t>
  </si>
  <si>
    <t>In contesti formali</t>
  </si>
  <si>
    <t>Come si evita una lite durante Morra?</t>
  </si>
  <si>
    <t>A. Seguendo le regole B. Facendo attenzione al ritmo C. Essendo sportivi D. Tutti i precedenti</t>
  </si>
  <si>
    <t>Il rispetto delle regole e dell'avversario previene litigi.</t>
  </si>
  <si>
    <t>Qual è un trucco per confondere l’avversario?</t>
  </si>
  <si>
    <t>A. Mostrare movimenti rapidi B. Gridare un numero sbagliato C. Non gridare nulla D. Usare entrambe le mani</t>
  </si>
  <si>
    <t>Mostrare movimenti rapidi</t>
  </si>
  <si>
    <t>Movimenti inaspettati possono distrarre l'avversario.</t>
  </si>
  <si>
    <t>Cosa si celebra spesso con una vittoria a Morra?</t>
  </si>
  <si>
    <t>A. Un brindisi B. Una canzone C. Un abbraccio D. Una risata</t>
  </si>
  <si>
    <t>La vittoria è spesso accompagnata da celebrazioni conviviali.</t>
  </si>
  <si>
    <t>Quale regione d’Italia associa Morra a tradizioni religiose?</t>
  </si>
  <si>
    <t>A. Abruzzo B. Sardegna C. Sicilia D. Puglia</t>
  </si>
  <si>
    <t>In Sardegna</t>
  </si>
  <si>
    <t>Cosa si verifica in caso di pareggio in Morra?</t>
  </si>
  <si>
    <t>A. Nessuno ottiene punti B. Si gioca un turno extra C. Entrambi guadagnano punti D. Si decide a sorte</t>
  </si>
  <si>
    <t>Si gioca un turno extra</t>
  </si>
  <si>
    <t>Il pareggio porta spesso a un turno supplementare.</t>
  </si>
  <si>
    <t>Cosa serve per essere un buon giocatore di Morra?</t>
  </si>
  <si>
    <t>A. Calcolo rapido B. Vocabolario ampio C. Capacità di urlare forte D. Resistenza fisica</t>
  </si>
  <si>
    <t>Calcolo rapido</t>
  </si>
  <si>
    <t>Una mente veloce aiuta a prevedere e reagire.</t>
  </si>
  <si>
    <t>Morra è adatta come gioco per grandi eventi?</t>
  </si>
  <si>
    <t>A. Sì B. No C. Solo eventi privati D. Solo in tornei</t>
  </si>
  <si>
    <t>La sua natura coinvolgente lo rende ideale per eventi sociali.</t>
  </si>
  <si>
    <t>Qual è un aspetto tecnico del gioco?</t>
  </si>
  <si>
    <t>A. Coordinazione tra voce e gesti B. Posizione delle dita C. Volume della voce D. Durata del turno</t>
  </si>
  <si>
    <t>Coordinazione tra voce e gesti</t>
  </si>
  <si>
    <t>Sincronizzare voce e movimenti è fondamentale.</t>
  </si>
  <si>
    <t>Come si promuove Morra alle nuove generazioni?</t>
  </si>
  <si>
    <t>A. Con eventi scolastici B. Tornei locali C. Corsi nelle scuole D. Tutti i precedenti</t>
  </si>
  <si>
    <t>Le nuove generazioni vengono coinvolte attraverso eventi e corsi.</t>
  </si>
  <si>
    <t>Qual è l'elemento più importante per vincere a Morra?</t>
  </si>
  <si>
    <t>A. La velocità B. La forza fisica C. La memoria D. La strategia</t>
  </si>
  <si>
    <t>La velocità</t>
  </si>
  <si>
    <t>Morra richiede reazioni rapide e previsioni veloci.</t>
  </si>
  <si>
    <t>Quanto tempo ha un giocatore per chiamare un numero?</t>
  </si>
  <si>
    <t>A. 5 secondi B. 10 secondi C. 20 secondi D. Non c'è limite</t>
  </si>
  <si>
    <t>10 secondi</t>
  </si>
  <si>
    <t>Come si può confondere l'avversario in Morra?</t>
  </si>
  <si>
    <t>A. Variante nelle chiamate B. Essere sempre troppo veloci C. Mostrando solo 4 dita D. Non fare mai rumore</t>
  </si>
  <si>
    <t>Variante nelle chiamate</t>
  </si>
  <si>
    <t>Variando le chiamate si può ingannare l'avversario.</t>
  </si>
  <si>
    <t>Cosa accade se entrambi i giocatori gridano lo stesso numero?</t>
  </si>
  <si>
    <t>A. Si ripete il turno B. Il numero è annullato C. Il gioco finisce D. Si vince il primo che grida</t>
  </si>
  <si>
    <t>Si ripete il turno</t>
  </si>
  <si>
    <t>Il turno viene annullato e ripetuto.</t>
  </si>
  <si>
    <t>Quale atteggiamento è scorretto in Morra?</t>
  </si>
  <si>
    <t>A. Accusare l'avversario di barare B. Parlare troppo durante il gioco C. Non mostrare le dita D. Allungare troppo il tempo</t>
  </si>
  <si>
    <t>Accusare l'avversario di barare</t>
  </si>
  <si>
    <t>Il gioco deve restare amichevole e rispettoso.</t>
  </si>
  <si>
    <t>Qual è il ruolo principale della voce nel gioco di Morra?</t>
  </si>
  <si>
    <t>A. Indicare la mossa B. Segnalare la vittoria C. Iniziare il gioco D. Contare i punti</t>
  </si>
  <si>
    <t>Indicare la mossa</t>
  </si>
  <si>
    <t>La voce serve per dichiarare il numero che si prevede.</t>
  </si>
  <si>
    <t>In quale contesto viene spesso giocato Morra?</t>
  </si>
  <si>
    <t>A. Eventi familiari B. Feste di paese C. In piazza D. In tornei sportivi</t>
  </si>
  <si>
    <t>In piazza</t>
  </si>
  <si>
    <t>Morra è un gioco che si gioca frequentemente all'aperto nelle piazze.</t>
  </si>
  <si>
    <t>Quante mani vengono usate in Morra?</t>
  </si>
  <si>
    <t>A. Una B. Due C. Variabili D. In alcuni casi nessuna</t>
  </si>
  <si>
    <t>Una</t>
  </si>
  <si>
    <t>Generalmente</t>
  </si>
  <si>
    <t>Quanto è importante la concentrazione per giocare a Morra?</t>
  </si>
  <si>
    <t>A. Essenziale B. Non è importante C. Importante solo per i principianti D. Secondario</t>
  </si>
  <si>
    <t>La concentrazione è fondamentale per rispondere rapidamente e fare mosse corrette.</t>
  </si>
  <si>
    <t>Qual è la sfida mentale principale in Morra?</t>
  </si>
  <si>
    <t>A. Leggere le intenzioni dell'avversario B. Essere i più veloci a chiamare il numero C. Non fare errori D. Non perdere la calma</t>
  </si>
  <si>
    <t>Leggere le intenzioni dell'avversario</t>
  </si>
  <si>
    <t>Prevedere la mossa dell'avversario è la sfida più grande.</t>
  </si>
  <si>
    <t>Quanto dura tipicamente una partita di Morra?</t>
  </si>
  <si>
    <t>A. Almeno 10 minuti B. 5-10 minuti C. 30 minuti D. Variabile</t>
  </si>
  <si>
    <t>Una partita tipica di Morra dura tra i 5 e i 10 minuti.</t>
  </si>
  <si>
    <t>Qual è un errore che si può commettere in Morra?</t>
  </si>
  <si>
    <t>A. Gridare senza pensare B. Mostrare troppe dita C. Confondere il numero D. Non osservare l'avversario</t>
  </si>
  <si>
    <t>Gridare senza pensare</t>
  </si>
  <si>
    <t>Una risposta impulsiva e mal pensata può causare errori.</t>
  </si>
  <si>
    <t>Cosa si intende per "sfida di Morra"?</t>
  </si>
  <si>
    <t>A. Una partita ad eliminazione diretta B. Un torneo con più giocatori C. Una sfida tra due persone D. Una competizione con punteggi totali</t>
  </si>
  <si>
    <t>Una sfida tra due persone</t>
  </si>
  <si>
    <t>Una sfida di Morra è una competizione tra due individui.</t>
  </si>
  <si>
    <t>Quante varianti di Morra esistono?</t>
  </si>
  <si>
    <t>A. Una B. Due C. Tre D. Più di tre</t>
  </si>
  <si>
    <t>Più di tre</t>
  </si>
  <si>
    <t>Esistono molte varianti regionali di Morra</t>
  </si>
  <si>
    <t>Qual è la regola fondamentale in Morra?</t>
  </si>
  <si>
    <t>A. Indovinare il numero esatto B. Usare entrambe le mani C. Usare un solo numero D. Essere veloci</t>
  </si>
  <si>
    <t>Indovinare il numero esatto</t>
  </si>
  <si>
    <t>Indovinare correttamente il numero è la chiave per vincere.</t>
  </si>
  <si>
    <t>Qual è l'origine di Morra?</t>
  </si>
  <si>
    <t>A. Un gioco romano B. Un gioco greco C. Un gioco medievale D. Un gioco moderno</t>
  </si>
  <si>
    <t>Un gioco romano</t>
  </si>
  <si>
    <t>Morra ha origini che risalgono all'antica Roma.</t>
  </si>
  <si>
    <t>Cosa succede se un giocatore sbaglia il numero?</t>
  </si>
  <si>
    <t>A. Perde il turno B. Vince l'avversario C. Si gioca un altro turno D. Il numero viene ripetuto</t>
  </si>
  <si>
    <t>Un errore nella chiamata porta alla perdita del turno.</t>
  </si>
  <si>
    <t>Qual è un modo per allenarsi a Morra?</t>
  </si>
  <si>
    <t>A. Partecipare a tornei B. Allenarsi con gli amici C. Osservare video tutorial D. Leggere manuali</t>
  </si>
  <si>
    <t>Allenarsi con gli amici</t>
  </si>
  <si>
    <t>La pratica con altre persone è il miglior modo per migliorare.</t>
  </si>
  <si>
    <t>Quanto è importante l'intuizione in Morra?</t>
  </si>
  <si>
    <t>A. Abbastanza B. Non è importante C. Molto importante D. Non serve</t>
  </si>
  <si>
    <t>Molto importante</t>
  </si>
  <si>
    <t>L'intuizione gioca un ruolo fondamentale nel prevedere le mosse dell'avversario.</t>
  </si>
  <si>
    <t>Che tipo di gioco è Morra?</t>
  </si>
  <si>
    <t>A. Un gioco di riflessi B. Un gioco di parole C. Un gioco di memoria D. Un gioco di strategia</t>
  </si>
  <si>
    <t>Un gioco di riflessi</t>
  </si>
  <si>
    <t>Morra richiede riflessi rapidi e buone capacità di previsione.</t>
  </si>
  <si>
    <t>Che tipo di competizione è Morra?</t>
  </si>
  <si>
    <t>A. Una competizione fisica B. Una competizione mentale C. Una competizione di velocità D. Una competizione sociale</t>
  </si>
  <si>
    <t>Una competizione mentale</t>
  </si>
  <si>
    <t>Morra è soprattutto un gioco mentale</t>
  </si>
  <si>
    <t>Quanto conta l’esperienza per vincere a Morra?</t>
  </si>
  <si>
    <t>A. Poco B. Non conta C. Conta moltissimo D. Non è rilevante</t>
  </si>
  <si>
    <t>Conta moltissimo</t>
  </si>
  <si>
    <t>L'esperienza aiuta a comprendere meglio le dinamiche di gioco e ad anticipare le mosse.</t>
  </si>
  <si>
    <t>Qual è una caratteristica di un buon giocatore di Morra?</t>
  </si>
  <si>
    <t>A. Saper fare previsioni rapide B. Essere calmo e riflessivo C. Saper indovinare i numeri D. Saper urlare con forza</t>
  </si>
  <si>
    <t>Saper fare previsioni rapide</t>
  </si>
  <si>
    <t>Prevedere correttamente il numero è cruciale per vincere.</t>
  </si>
  <si>
    <t>Qual è l'importanza del numero scelto in Morra?</t>
  </si>
  <si>
    <t>A. Determina la vittoria B. Non ha importanza C. Influenza il punteggio D. Decide la durata del gioco</t>
  </si>
  <si>
    <t>Determina la vittoria</t>
  </si>
  <si>
    <t>Indovinare correttamente il numero scelto determina il risultato.</t>
  </si>
  <si>
    <t>Qual è una strategia per ingannare l’avversario?</t>
  </si>
  <si>
    <t>A. Cambiare velocemente numero B. Usare gesti ambigui C. Restare sempre nel silenzio D. Mostrare il numero più alto</t>
  </si>
  <si>
    <t>Cambiare velocemente numero</t>
  </si>
  <si>
    <t>Variando velocemente i numeri si può confondere l'avversario.</t>
  </si>
  <si>
    <t>Quando si gioca a Morra si deve avere una buona...</t>
  </si>
  <si>
    <t>A. Vista B. Fisicità C. Velocità mentale D. Altezza</t>
  </si>
  <si>
    <t>Velocità mentale</t>
  </si>
  <si>
    <t>La velocità mentale è fondamentale per reagire velocemente alle mosse dell'avversario.</t>
  </si>
  <si>
    <t>Qual è la differenza tra Morra e giochi simili?</t>
  </si>
  <si>
    <t>A. Morra non ha bisogno di attrezzatura B. La durata della partita C. La strategia più complessa D. Il numero di giocatori</t>
  </si>
  <si>
    <t>Morra non ha bisogno di attrezzatura</t>
  </si>
  <si>
    <t>Lo rende molto accessibile a chiunque.</t>
  </si>
  <si>
    <t>Che tipo di evento promuove la pratica di Morra?</t>
  </si>
  <si>
    <t>A. Eventi sportivi B. Eventi scolastici C. Tornei di strada D. Eventi culturali</t>
  </si>
  <si>
    <t>Eventi di strada</t>
  </si>
  <si>
    <t>Morra viene spesso giocata in eventi di strada e fiere locali.</t>
  </si>
  <si>
    <t>Chi può partecipare a una partita di Morra?</t>
  </si>
  <si>
    <t>A. Tutti B. Adulti C. Anziani D. Giovani</t>
  </si>
  <si>
    <t>Tutti</t>
  </si>
  <si>
    <t>Morra è un gioco che può essere praticato da persone di tutte le età.</t>
  </si>
  <si>
    <t>In Morra</t>
  </si>
  <si>
    <t>A. il punteggio finale dipende da? B. Il numero di turni vinti C. La velocità con cui si grida il numero D. La correttezza della chiamata</t>
  </si>
  <si>
    <t>La posizione delle mani</t>
  </si>
  <si>
    <t>Il numero di turni vinti</t>
  </si>
  <si>
    <t>What is the primary objective of shinty?</t>
  </si>
  <si>
    <t>A. To score goals by hitting the ball into the net B. To hit the opponent's caman C. To block the ball with hands D. To throw the ball into the goal</t>
  </si>
  <si>
    <t>To score goals by hitting the ball into the net</t>
  </si>
  <si>
    <t>The main goal of shinty is to score by striking the ball into the opponent's net.</t>
  </si>
  <si>
    <t>How many players are on a shinty team?</t>
  </si>
  <si>
    <t>A. 7 B. 10 C. 12 D. 14</t>
  </si>
  <si>
    <t>A shinty team consists of 12 players.</t>
  </si>
  <si>
    <t>What equipment is used to hit the ball in shinty?</t>
  </si>
  <si>
    <t>A. A stick called a caman B. A racket C. A bat D. A paddle</t>
  </si>
  <si>
    <t>A stick called a caman</t>
  </si>
  <si>
    <t>Players use a caman to hit the ball.</t>
  </si>
  <si>
    <t>What is the ball used in shinty called?</t>
  </si>
  <si>
    <t>A. Puck B. Shinty Ball C. Quoit D. Sliotar</t>
  </si>
  <si>
    <t>Shinty Ball</t>
  </si>
  <si>
    <t>The ball used is specifically called a shinty ball.</t>
  </si>
  <si>
    <t>Can players use their hands to touch the ball in shinty?</t>
  </si>
  <si>
    <t>A. Yes B. No C. Only the goalkeeper can use hands D. Only in certain areas</t>
  </si>
  <si>
    <t>Only the goalkeeper can use hands</t>
  </si>
  <si>
    <t>Only the goalkeeper can use their hands within the designated area.</t>
  </si>
  <si>
    <t>How long does a shinty match last?</t>
  </si>
  <si>
    <t>A. 60 minutes B. 70 minutes C. 80 minutes D. 90 minutes</t>
  </si>
  <si>
    <t>90 minutes</t>
  </si>
  <si>
    <t>A shinty match lasts 90 minutes</t>
  </si>
  <si>
    <t>What is the role of the goalkeeper in shinty?</t>
  </si>
  <si>
    <t>A. To defend the goal and use hands B. To assist in attack C. To score goals D. To block opponents with the caman</t>
  </si>
  <si>
    <t>To defend the goal and use hands</t>
  </si>
  <si>
    <t>The goalkeeper protects the goal and can use their hands within the penalty area.</t>
  </si>
  <si>
    <t>What is not allowed in shinty?</t>
  </si>
  <si>
    <t>A. Striking the ball with the caman B. Blocking the ball with the caman C. Using the caman to strike an opponent D. Passing the ball</t>
  </si>
  <si>
    <t>Using the caman to strike an opponent</t>
  </si>
  <si>
    <t>It is illegal to use the caman to hit an opponent.</t>
  </si>
  <si>
    <t>What is the penalty for a foul in shinty?</t>
  </si>
  <si>
    <t>A. A free hit for the opponent B. Yellow card C. Immediate suspension D. The opponent gets a point</t>
  </si>
  <si>
    <t>A free hit for the opponent</t>
  </si>
  <si>
    <t>Fouls result in a free hit for the opposing team.</t>
  </si>
  <si>
    <t>Where is shinty primarily played?</t>
  </si>
  <si>
    <t>A. Ireland B. England C. Scotland D. Wales</t>
  </si>
  <si>
    <t>Scotland</t>
  </si>
  <si>
    <t>Shinty is predominantly played in Scotland.</t>
  </si>
  <si>
    <t>How does a shinty match begin?</t>
  </si>
  <si>
    <t>A. With a coin toss B. With a throw-in C. With a hit-in D. With a ball placed at the center</t>
  </si>
  <si>
    <t>With a ball placed at the center</t>
  </si>
  <si>
    <t>The game begins with a hit from the center spot.</t>
  </si>
  <si>
    <t>What is the maximum number of substitutions allowed in shinty?</t>
  </si>
  <si>
    <t>A. 3 B. 4 C. 5 D. Unlimited</t>
  </si>
  <si>
    <t>Teams are allowed up to 5 substitutions per match.</t>
  </si>
  <si>
    <t>What is the minimum distance required for a free hit?</t>
  </si>
  <si>
    <t>A. 2 yards B. 5 yards C. 10 yards D. 15 yards</t>
  </si>
  <si>
    <t>5 yards</t>
  </si>
  <si>
    <t>Players must be at least 5 yards away during a free hit.</t>
  </si>
  <si>
    <t>What happens if the ball goes out of bounds?</t>
  </si>
  <si>
    <t>A. The opposing team gets a hit-in B. A penalty is awarded C. Play continues D. A throw-in occurs</t>
  </si>
  <si>
    <t>The opposing team gets a hit-in</t>
  </si>
  <si>
    <t>The team that didn’t touch it last takes a hit-in.</t>
  </si>
  <si>
    <t>Can players use both sides of the caman?</t>
  </si>
  <si>
    <t>A. Yes B. No C. Only for defensive moves D. Only for attacking moves</t>
  </si>
  <si>
    <t>Yes</t>
  </si>
  <si>
    <t>Players are allowed to use both sides of the caman to play the ball.</t>
  </si>
  <si>
    <t>What is the width of a standard shinty goal?</t>
  </si>
  <si>
    <t>A. 6 feet B. 10 feet C. 12 feet D. 14 feet</t>
  </si>
  <si>
    <t>12 feet</t>
  </si>
  <si>
    <t>A standard shinty goal is 12 feet wide.</t>
  </si>
  <si>
    <t>What is the height of a standard shinty goal?</t>
  </si>
  <si>
    <t>A. 6 feet B. 8 feet C. 10 feet D. 12 feet</t>
  </si>
  <si>
    <t>10 feet</t>
  </si>
  <si>
    <t>A standard shinty goal is 10 feet high.</t>
  </si>
  <si>
    <t>How many referees are used in a shinty match?</t>
  </si>
  <si>
    <t>Two referees officiate a shinty match.</t>
  </si>
  <si>
    <t>What is the purpose of the center circle in shinty?</t>
  </si>
  <si>
    <t>A. For the starting hit B. For penalties C. For substitutions D. To mark the goalkeeper's area</t>
  </si>
  <si>
    <t>For the starting hit</t>
  </si>
  <si>
    <t>The center circle is used to mark the starting point of the game.</t>
  </si>
  <si>
    <t>Is body-checking allowed in shinty?</t>
  </si>
  <si>
    <t>A. Yes B. No C. Only accidental body-checking is allowed D. Only the goalkeeper can body-check</t>
  </si>
  <si>
    <t>Body-checking is allowed as long as it is not dangerous.</t>
  </si>
  <si>
    <t>What happens if there is a tie in a tournament match?</t>
  </si>
  <si>
    <t>A. Extra time is played B. The match is replayed C. The winner is decided by penalties D. The team with the most fouls loses</t>
  </si>
  <si>
    <t>Extra time is played</t>
  </si>
  <si>
    <t>If a match ends in a draw</t>
  </si>
  <si>
    <t>Can players block shots with their caman?</t>
  </si>
  <si>
    <t>A. Yes B. No C. Only defenders can D. Only the goalkeeper can</t>
  </si>
  <si>
    <t>Blocking with the caman is permitted.</t>
  </si>
  <si>
    <t>What is the typical diameter of a shinty ball?</t>
  </si>
  <si>
    <t>A. 2 inches B. 2.5 inches C. 3 inches D. 3.5 inches</t>
  </si>
  <si>
    <t>3 inches</t>
  </si>
  <si>
    <t>A shinty ball typically has a diameter of 3 inches.</t>
  </si>
  <si>
    <t>What is a penalty hit in shinty?</t>
  </si>
  <si>
    <t>A. A direct shot at goal B. An indirect shot at goal C. A hit from the side D. A hit after a foul</t>
  </si>
  <si>
    <t>A direct shot at goal</t>
  </si>
  <si>
    <t>A penalty hit is awarded for serious fouls near the goal.</t>
  </si>
  <si>
    <t>How far is the penalty spot from the goal?</t>
  </si>
  <si>
    <t>A. 10 yards B. 15 yards C. 20 yards D. 25 yards</t>
  </si>
  <si>
    <t>20 yards</t>
  </si>
  <si>
    <t>The penalty spot is located 20 yards from the goal.</t>
  </si>
  <si>
    <t>Is offside a rule in shinty?</t>
  </si>
  <si>
    <t>A. Yes B. No C. Only in the penalty area D. Only in the attacking half</t>
  </si>
  <si>
    <t>There is no offside rule in shinty.</t>
  </si>
  <si>
    <t>What type of footwear is recommended for shinty?</t>
  </si>
  <si>
    <t>A. Cleats B. Sneakers C. Spiked shoes D. Boots with studs</t>
  </si>
  <si>
    <t>Cleats</t>
  </si>
  <si>
    <t>Players typically wear cleats for better grip on the field.</t>
  </si>
  <si>
    <t>What color is typically used for the shinty ball?</t>
  </si>
  <si>
    <t>A. White B. Yellow C. Red D. Blue</t>
  </si>
  <si>
    <t>White</t>
  </si>
  <si>
    <t>Shinty balls are commonly white for visibility.</t>
  </si>
  <si>
    <t>How is the winner determined in shinty?</t>
  </si>
  <si>
    <t>A. The team with the most goals B. The team with the most possession C. The team with fewer fouls D. The team with the best defense</t>
  </si>
  <si>
    <t>The team with the most goals</t>
  </si>
  <si>
    <t>The winner is the team that scores the most goals.</t>
  </si>
  <si>
    <t>What is the role of the half-back in shinty?</t>
  </si>
  <si>
    <t>A. To attack and score B. To defend and support the forwards C. To only defend the goal D. To referee the match</t>
  </si>
  <si>
    <t>To defend and support the forwards</t>
  </si>
  <si>
    <t>Half-backs are key in transitioning between defense and attack.</t>
  </si>
  <si>
    <t>What is the length of a standard shinty pitch?</t>
  </si>
  <si>
    <t>A. 100-120 yards B. 120-140 yards C. 140-160 yards D. 160-180 yards</t>
  </si>
  <si>
    <t>140-160 yards</t>
  </si>
  <si>
    <t>A shinty pitch is typically between 140 and 160 yards long.</t>
  </si>
  <si>
    <t>What is the maximum width of a shinty pitch?</t>
  </si>
  <si>
    <t>A. 60 yards B. 70 yards C. 80 yards D. 90 yards</t>
  </si>
  <si>
    <t>80 yards</t>
  </si>
  <si>
    <t>The maximum width of a shinty pitch is 80 yards.</t>
  </si>
  <si>
    <t>Can players kick the ball in shinty?</t>
  </si>
  <si>
    <t>A. Yes B. No C. Only in the penalty area D. Only for defensive purposes</t>
  </si>
  <si>
    <t>Players can kick the ball</t>
  </si>
  <si>
    <t>What is the role of a forward in shinty?</t>
  </si>
  <si>
    <t>A. To defend the goal B. To assist the midfield C. To score goals D. To block opponents</t>
  </si>
  <si>
    <t>To score goals</t>
  </si>
  <si>
    <t>Forwards are primarily responsible for scoring.</t>
  </si>
  <si>
    <t>What is a "hit-in" in shinty?</t>
  </si>
  <si>
    <t>A. A hit taken from the sideline B. A shot at goal C. A pass between teammates D. A defensive move</t>
  </si>
  <si>
    <t>A hit taken from the sideline</t>
  </si>
  <si>
    <t>A hit-in is awarded when the ball goes out of play.</t>
  </si>
  <si>
    <t>How many halves are in a shinty match?</t>
  </si>
  <si>
    <t>Shinty matches are divided into two halves.</t>
  </si>
  <si>
    <t>What is the term for hitting the ball in the air with a caman?</t>
  </si>
  <si>
    <t>A. Volley B. Drive C. Chip D. Hit</t>
  </si>
  <si>
    <t>Volley</t>
  </si>
  <si>
    <t>Striking the ball while it is in the air is called a volley.</t>
  </si>
  <si>
    <t>Can players use their body to shield the ball in shinty?</t>
  </si>
  <si>
    <t>A. Yes B. No C. Only forwards can D. Only defenders can</t>
  </si>
  <si>
    <t>Shielding the ball with the body is allowed.</t>
  </si>
  <si>
    <t>What is the role of a full-back in shinty?</t>
  </si>
  <si>
    <t>A. To score goals B. To defend against opposing forwards C. To referee the game D. To block penalties</t>
  </si>
  <si>
    <t>To defend against opposing forwards</t>
  </si>
  <si>
    <t>Full-backs protect their goal from attacks.</t>
  </si>
  <si>
    <t>Is a draw possible in a league match of shinty?</t>
  </si>
  <si>
    <t>A. Yes B. No C. Only after extra time D. Only in friendly matches</t>
  </si>
  <si>
    <t>League matches can end in a draw.</t>
  </si>
  <si>
    <t>What is the area around the goal called in shinty?</t>
  </si>
  <si>
    <t>A. Penalty box B. Goal circle C. Goal crease D. Scoring zone</t>
  </si>
  <si>
    <t>Goal crease</t>
  </si>
  <si>
    <t>The goal crease is the area surrounding the goal.</t>
  </si>
  <si>
    <t>What is not permitted during a shinty match?</t>
  </si>
  <si>
    <t>A. Blocking shots with the caman B. Kicking the ball C. Playing dangerously D. Hitting the ball with the caman</t>
  </si>
  <si>
    <t>Playing dangerously</t>
  </si>
  <si>
    <t>Playing dangerously is prohibited in shinty.</t>
  </si>
  <si>
    <t>How many goals are scored for a "hat trick" in shinty?</t>
  </si>
  <si>
    <t>A hat trick is achieved by scoring three goals in a match.</t>
  </si>
  <si>
    <t>What is the maximum allowed length of a caman?</t>
  </si>
  <si>
    <t>A. 36 inches B. 42 inches C. 48 inches D. 54 inches</t>
  </si>
  <si>
    <t>42 inches</t>
  </si>
  <si>
    <t>A caman can be up to 42 inches long.</t>
  </si>
  <si>
    <t>Can substitutions be made at any time in shinty?</t>
  </si>
  <si>
    <t>A. Yes B. No C. Only during a stoppage D. Only at halftime</t>
  </si>
  <si>
    <t>Only during a stoppage</t>
  </si>
  <si>
    <t>Substitutions are allowed only during stoppages.</t>
  </si>
  <si>
    <t>What happens after a foul near the goal in shinty?</t>
  </si>
  <si>
    <t>A. A penalty hit is awarded B. A free hit is taken from midfield C. A throw-in is given D. The match restarts with a hit-in</t>
  </si>
  <si>
    <t>A penalty hit is awarded</t>
  </si>
  <si>
    <t>Fouls near the goal result in a penalty hit.</t>
  </si>
  <si>
    <t>What does the referee carry during a shinty match?</t>
  </si>
  <si>
    <t>A. A whistle and a stopwatch B. A flag and a whistle C. A caman and a whistle D. A rulebook and a stopwatch</t>
  </si>
  <si>
    <t>A whistle and a stopwatch</t>
  </si>
  <si>
    <t>The referee uses a whistle to control the game and a stopwatch to track time.</t>
  </si>
  <si>
    <t>What type of match ball is used in shinty?</t>
  </si>
  <si>
    <t>A. Rubber-coated leather ball B. Plastic ball C. Wooden ball D. Metal ball</t>
  </si>
  <si>
    <t>Rubber-coated leather ball</t>
  </si>
  <si>
    <t>A shinty ball is typically made of rubber-coated leather.</t>
  </si>
  <si>
    <t>What is the penalty for dangerous play in shinty?</t>
  </si>
  <si>
    <t>A. A yellow card B. A free hit C. Immediate suspension D. A penalty hit</t>
  </si>
  <si>
    <t>A free hit</t>
  </si>
  <si>
    <t>Dangerous play results in a free hit for the opposing team.</t>
  </si>
  <si>
    <t>What is the maximum time a goalkeeper can hold the ball?</t>
  </si>
  <si>
    <t>A. 5 seconds B. 10 seconds C. 15 seconds D. No time limit</t>
  </si>
  <si>
    <t>5 seconds</t>
  </si>
  <si>
    <t>Goalkeepers can hold the ball for a maximum of 5 seconds.</t>
  </si>
  <si>
    <t>How many referees are on the sideline in shinty?</t>
  </si>
  <si>
    <t>Two referees assist from the sidelines.</t>
  </si>
  <si>
    <t>Can the ball be played off the ground in shinty?</t>
  </si>
  <si>
    <t>A. Yes B. No C. Only in the defensive area D. Only in the attacking area</t>
  </si>
  <si>
    <t>The ball can be played off the ground using the caman.</t>
  </si>
  <si>
    <t>What color is the referee's uniform in shinty?</t>
  </si>
  <si>
    <t>A. White B. Black C. Yellow D. Red</t>
  </si>
  <si>
    <t>Black</t>
  </si>
  <si>
    <t>Referees typically wear black uniforms.</t>
  </si>
  <si>
    <t>What is the standard duration of extra time in shinty?</t>
  </si>
  <si>
    <t>A. 10 minutes B. 15 minutes C. 20 minutes D. 30 minutes</t>
  </si>
  <si>
    <t>15 minutes</t>
  </si>
  <si>
    <t>Extra time usually lasts 15 minutes.</t>
  </si>
  <si>
    <t>Is a helmet mandatory in shinty?</t>
  </si>
  <si>
    <t>A. Yes B. No C. Only for goalkeepers D. Only for youth players</t>
  </si>
  <si>
    <t>Helmets are not mandatory in shinty</t>
  </si>
  <si>
    <t>What is the term for a high shot in shinty?</t>
  </si>
  <si>
    <t>A. A drive B. A lob C. A flick D. A chip</t>
  </si>
  <si>
    <t>A lob</t>
  </si>
  <si>
    <t>A high shot in shinty is called a lob.</t>
  </si>
  <si>
    <t>What material is a traditional caman made of?</t>
  </si>
  <si>
    <t>A. Metal B. Plastic C. Wood D. Fiberglass</t>
  </si>
  <si>
    <t>Wood</t>
  </si>
  <si>
    <t>Traditional camans are made of wood.</t>
  </si>
  <si>
    <t>Can a player score directly from a hit-in?</t>
  </si>
  <si>
    <t>A. Yes B. No C. Only if it is a penalty hit D. Only if it is in extra time</t>
  </si>
  <si>
    <t>A player cannot score directly from a hit-in.</t>
  </si>
  <si>
    <t>What is the signal for a foul in shinty?</t>
  </si>
  <si>
    <t>A. A raised flag B. A whistle blow C. A shout from the referee D. A hand gesture</t>
  </si>
  <si>
    <t>A whistle blow</t>
  </si>
  <si>
    <t>The referee signals fouls with a whistle blow.</t>
  </si>
  <si>
    <t>What is the key difference between shinty and field hockey?</t>
  </si>
  <si>
    <t>A. The ball is smaller in shinty B. The use of both sides of the stick C. The absence of a penalty area D. The number of players</t>
  </si>
  <si>
    <t>The use of both sides of the stick</t>
  </si>
  <si>
    <t>In shinty</t>
  </si>
  <si>
    <t>What is the maximum weight of a shinty ball?</t>
  </si>
  <si>
    <t>A. 100 grams B. 125 grams C. 150 grams D. 200 grams</t>
  </si>
  <si>
    <t>125 grams</t>
  </si>
  <si>
    <t>A shinty ball can weigh up to 125 grams.</t>
  </si>
  <si>
    <t>Can a player block an opponent's caman in shinty?</t>
  </si>
  <si>
    <t>A. Yes B. No C. Only in defensive moves D. Only in attacking moves</t>
  </si>
  <si>
    <t>Blocking an opponent's caman is not allowed.</t>
  </si>
  <si>
    <t>What happens if the ball hits the referee in shinty?</t>
  </si>
  <si>
    <t>A. Play continues B. A free hit is awarded C. The match is stopped D. A penalty is awarded</t>
  </si>
  <si>
    <t>Play continues</t>
  </si>
  <si>
    <t>The ball remains in play if it hits the referee.</t>
  </si>
  <si>
    <t>What is the proper stance for hitting the ball in shinty?</t>
  </si>
  <si>
    <t>A. Feet close together B. One foot forward and knees bent C. Standing upright D. Leaning backward</t>
  </si>
  <si>
    <t>One foot forward and knees bent</t>
  </si>
  <si>
    <t>Players adopt this stance for better control and power.</t>
  </si>
  <si>
    <t>What is the term for dribbling in shinty?</t>
  </si>
  <si>
    <t>A. Dragging B. Flicking C. Shoveling D. Shintying</t>
  </si>
  <si>
    <t>Dragging</t>
  </si>
  <si>
    <t>Dribbling is commonly referred to as dragging in shinty.</t>
  </si>
  <si>
    <t>What is the role of the midfielders in shinty?</t>
  </si>
  <si>
    <t>A. To defend the goal B. To score goals C. To transition between defense and attack D. To officiate the match</t>
  </si>
  <si>
    <t>To transition between defense and attack</t>
  </si>
  <si>
    <t>Midfielders are crucial in connecting the defense and attack.</t>
  </si>
  <si>
    <t>What is the typical length of the halftime break in shinty?</t>
  </si>
  <si>
    <t>A. 5 minutes B. 10 minutes C. 15 minutes D. 20 minutes</t>
  </si>
  <si>
    <t>10 minutes</t>
  </si>
  <si>
    <t>The halftime break in shinty typically lasts 10 minutes.</t>
  </si>
  <si>
    <t>Can a shinty goalkeeper score a goal?</t>
  </si>
  <si>
    <t>A. Yes B. No C. Only in penalty situations D. Only in extra time</t>
  </si>
  <si>
    <t>Goalkeepers can score if they strike the ball into the opponent's net.</t>
  </si>
  <si>
    <t>What is the signal for a goal in shinty?</t>
  </si>
  <si>
    <t>A. A whistle blow B. A raised hand C. Pointing to the center circle D. A flag wave</t>
  </si>
  <si>
    <t>Pointing to the center circle</t>
  </si>
  <si>
    <t>The referee signals a goal by pointing to the center circle.</t>
  </si>
  <si>
    <t>How is a tied match resolved in a knockout tournament?</t>
  </si>
  <si>
    <t>A. Replay the match B. Decide by coin toss C. Extra time followed by penalties D. Extra time only</t>
  </si>
  <si>
    <t>Extra time followed by penalties</t>
  </si>
  <si>
    <t>If necessary</t>
  </si>
  <si>
    <t>What is a caman traditionally shaped like?</t>
  </si>
  <si>
    <t>A. A T shape B. A J shape C. A L shape D. A C shape</t>
  </si>
  <si>
    <t>A J shape</t>
  </si>
  <si>
    <t>A caman is shaped like a "J" for effective ball control.</t>
  </si>
  <si>
    <t>What is the term for a long-range shot in shinty?</t>
  </si>
  <si>
    <t>A. Drive B. Smash C. Flick D. Volley</t>
  </si>
  <si>
    <t>Drive</t>
  </si>
  <si>
    <t>A long-range shot is commonly referred to as a drive.</t>
  </si>
  <si>
    <t>What happens if a player receives two yellow cards in shinty?</t>
  </si>
  <si>
    <t>A. Immediate suspension B. A red card is issued C. A free hit for the opposing team D. They must leave for 5 minutes</t>
  </si>
  <si>
    <t>A red card is issued</t>
  </si>
  <si>
    <t>Two yellow cards result in a red card and dismissal.</t>
  </si>
  <si>
    <t>What is the maximum penalty for dangerous play?</t>
  </si>
  <si>
    <t>A. A yellow card B. A free hit C. A red card D. A penalty hit</t>
  </si>
  <si>
    <t>A red card</t>
  </si>
  <si>
    <t>Dangerous play can result in a red card.</t>
  </si>
  <si>
    <t>What is the diameter of the goal crease in shinty?</t>
  </si>
  <si>
    <t>A. 5 yards B. 10 yards C. 12 yards D. 15 yards</t>
  </si>
  <si>
    <t>10 yards</t>
  </si>
  <si>
    <t>The goal crease has a diameter of 10 yards.</t>
  </si>
  <si>
    <t>Can the ball be played over shoulder height in shinty?</t>
  </si>
  <si>
    <t>A. Yes B. No C. Only by goalkeepers D. Only with permission of the referee</t>
  </si>
  <si>
    <t>The ball can be played above shoulder height with proper control.</t>
  </si>
  <si>
    <t>What is the responsibility of the linesmen in shinty?</t>
  </si>
  <si>
    <t>A. To score goals B. To mark the pitch C. To assist the referees D. To keep time</t>
  </si>
  <si>
    <t>To assist the referees</t>
  </si>
  <si>
    <t>Linesmen help referees in making decisions.</t>
  </si>
  <si>
    <t>What type of surface is shinty usually played on?</t>
  </si>
  <si>
    <t>A. Clay B. Grass C. Artificial turf D. Concrete</t>
  </si>
  <si>
    <t>Grass</t>
  </si>
  <si>
    <t>Shinty is traditionally played on grass fields.</t>
  </si>
  <si>
    <t>What is the outcome if a team is short on players?</t>
  </si>
  <si>
    <t>A. The match is forfeited B. The match continues with fewer players C. The opposing team is given extra players D. The match is rescheduled</t>
  </si>
  <si>
    <t>The match continues with fewer players</t>
  </si>
  <si>
    <t>Teams can play short if necessary.</t>
  </si>
  <si>
    <t>What is the proper term for stopping the ball with the caman in shinty?</t>
  </si>
  <si>
    <t>A. Trapping B. Catching C. Blocking D. Interception</t>
  </si>
  <si>
    <t>Trapping</t>
  </si>
  <si>
    <t>Trapping is used to stop the ball effectively.</t>
  </si>
  <si>
    <t>What happens if the ball is not visible during play?</t>
  </si>
  <si>
    <t>A. Play is paused B. The ball is replaced C. The game continues D. The match is restarted</t>
  </si>
  <si>
    <t>The ball is replaced</t>
  </si>
  <si>
    <t>A new ball is provided if the original becomes unplayable.</t>
  </si>
  <si>
    <t>What is the role of the umpire in shinty?</t>
  </si>
  <si>
    <t>A. To score goals B. To manage substitutions C. To oversee fair play D. To time the match</t>
  </si>
  <si>
    <t>To oversee fair play</t>
  </si>
  <si>
    <t>Umpires ensure that the game is played fairly.</t>
  </si>
  <si>
    <t>What is the key defensive strategy in shinty?</t>
  </si>
  <si>
    <t>A. Pressing B. Marking opponents C. Zone defense D. Counterattacking</t>
  </si>
  <si>
    <t>Marking opponents</t>
  </si>
  <si>
    <t>Defenders focus on marking opponents to prevent goals.</t>
  </si>
  <si>
    <t>How does a shinty player handle a bouncing ball?</t>
  </si>
  <si>
    <t>A. Kick it B. Stop it with the caman C. Hit it mid-air D. Let it drop</t>
  </si>
  <si>
    <t>Stop it with the caman</t>
  </si>
  <si>
    <t>The caman is used to control bouncing balls.</t>
  </si>
  <si>
    <t>What is a defensive hit in shinty called?</t>
  </si>
  <si>
    <t>A. Clearance B. Drive C. Chip D. Volley</t>
  </si>
  <si>
    <t>Clearance</t>
  </si>
  <si>
    <t>A clearance is used to send the ball away from the goal area.</t>
  </si>
  <si>
    <t>What is the term for excessive force in shinty?</t>
  </si>
  <si>
    <t>A. Aggressive play B. Dangerous play C. Reckless play D. Foul play</t>
  </si>
  <si>
    <t>Dangerous play</t>
  </si>
  <si>
    <t>Excessive force is classified as dangerous play.</t>
  </si>
  <si>
    <t>What is the minimum number of players required to start a shinty match?</t>
  </si>
  <si>
    <t>A. 7 B. 8 C. 9 D. 10</t>
  </si>
  <si>
    <t>A team must have at least 9 players to start a match.</t>
  </si>
  <si>
    <t>What is the distance for a hit-in from the sideline?</t>
  </si>
  <si>
    <t>A. 1 yard B. 2 yards C. 3 yards D. 5 yards</t>
  </si>
  <si>
    <t>2 yards</t>
  </si>
  <si>
    <t>The ball must be hit-in from a spot 2 yards from the sideline.</t>
  </si>
  <si>
    <t>What happens if a team deliberately delays the match?</t>
  </si>
  <si>
    <t>A. A penalty is awarded B. A free hit is given C. A warning is issued D. A player is sent off</t>
  </si>
  <si>
    <t>A free hit is given</t>
  </si>
  <si>
    <t>Delaying the match results in a free hit for the opposition.</t>
  </si>
  <si>
    <t>What is the term for a direct hit at goal in shinty?</t>
  </si>
  <si>
    <t>A. Strike B. Shot C. Drive D. Smash</t>
  </si>
  <si>
    <t>Shot</t>
  </si>
  <si>
    <t>A direct hit at goal is called a shot.</t>
  </si>
  <si>
    <t>What is the maximum number of players a team can have on the bench?</t>
  </si>
  <si>
    <t>Teams can have up to 4 substitutes on the bench.</t>
  </si>
  <si>
    <t>What happens if the ball bursts during play?</t>
  </si>
  <si>
    <t>A. Play continues B. The referee replaces the ball C. The match is paused and restarted D. The opposing team gets a free hit</t>
  </si>
  <si>
    <t>The referee replaces the ball</t>
  </si>
  <si>
    <t>The referee stops play to replace the damaged ball.</t>
  </si>
  <si>
    <t>What is the proper grip for holding a caman?</t>
  </si>
  <si>
    <t>A. Hands close together B. One hand at the top and one at the middle C. Both hands on the bottom D. One hand on the caman</t>
  </si>
  <si>
    <t>One hand at the top and one at the middle</t>
  </si>
  <si>
    <t>This grip provides better control and leverage.</t>
  </si>
  <si>
    <t>How are points scored in shinty?</t>
  </si>
  <si>
    <t>A. By hitting the ball into the goal B. By blocking the ball C. By holding possession D. By dribbling into the goal</t>
  </si>
  <si>
    <t>By hitting the ball into the goal</t>
  </si>
  <si>
    <t>Goals are scored by striking the ball into the opponent's net.</t>
  </si>
  <si>
    <t>What is the penalty for deliberate handball by an outfield player?</t>
  </si>
  <si>
    <t>A. A free hit B. A penalty hit C. Immediate suspension D. A yellow card</t>
  </si>
  <si>
    <t>Deliberate handball results in a free hit for the opponent.</t>
  </si>
  <si>
    <t>Can players wear jewelry during a shinty match?</t>
  </si>
  <si>
    <t>A. Yes B. No C. Only rings are allowed D. Only necklaces are allowed</t>
  </si>
  <si>
    <t>Players are prohibited from wearing jewelry for safety reasons.</t>
  </si>
  <si>
    <t>What is the role of the captain in shinty?</t>
  </si>
  <si>
    <t>A. To assist the referee B. To lead the team and communicate with officials C. To manage substitutions D. To decide the tactics</t>
  </si>
  <si>
    <t>To lead the team and communicate with officials</t>
  </si>
  <si>
    <t>The captain represents the team in discussions with referees.</t>
  </si>
  <si>
    <t>What is a "flick" in shinty?</t>
  </si>
  <si>
    <t>A. A short pass B. A high lob C. A defensive move D. A quick upward strike</t>
  </si>
  <si>
    <t>A quick upward strike</t>
  </si>
  <si>
    <t>A flick is used to lift the ball quickly.</t>
  </si>
  <si>
    <t>How is a penalty hit taken in shinty?</t>
  </si>
  <si>
    <t>A. By striking the ball from the penalty spot B. By flicking the ball into the air C. By rolling the ball first D. By passing to a teammate</t>
  </si>
  <si>
    <t>By striking the ball from the penalty spot</t>
  </si>
  <si>
    <t>The penalty hit is taken directly from the spot.</t>
  </si>
  <si>
    <t>What is the maximum number of players allowed on a shinty team?</t>
  </si>
  <si>
    <t>A. 11 B. 12 C. 13 D. 14</t>
  </si>
  <si>
    <t>A full shinty team consists of 12 players on the field.</t>
  </si>
  <si>
    <t>What is the minimum distance for opponents during a free hit?</t>
  </si>
  <si>
    <t>Opponents must stand at least 5 yards away during a free hit.</t>
  </si>
  <si>
    <t>Can a shinty match end early?</t>
  </si>
  <si>
    <t>A. Yes B. if both teams agree C. Yes D. if the referee decides</t>
  </si>
  <si>
    <t>due to weather conditions</t>
  </si>
  <si>
    <t>What is the duration of a youth shinty match?</t>
  </si>
  <si>
    <t>A. 40 minutes B. 50 minutes C. 60 minutes D. 70 minutes</t>
  </si>
  <si>
    <t>50 minutes</t>
  </si>
  <si>
    <t>Youth matches are typically shorter and last 50 minutes.</t>
  </si>
  <si>
    <t>What happens if a player commits repeated fouls?</t>
  </si>
  <si>
    <t>A. They are given a warning B. They are shown a yellow card C. They are sent off D. The opposing team gets a penalty</t>
  </si>
  <si>
    <t>They are shown a yellow card</t>
  </si>
  <si>
    <t>Repeated fouls lead to a yellow card.</t>
  </si>
  <si>
    <t>Can players wear gloves during a shinty match?</t>
  </si>
  <si>
    <t>A. Yes B. No C. Only in cold weather D. Only goalkeepers can</t>
  </si>
  <si>
    <t>Gloves are allowed but must not give unfair advantage.</t>
  </si>
  <si>
    <t>What is the primary defensive tactic in shinty?</t>
  </si>
  <si>
    <t>A. Blocking shots B. Marking opponents C. Tackling aggressively D. Clearing the ball</t>
  </si>
  <si>
    <t>Marking is the key defensive strategy to prevent scoring opportunities.</t>
  </si>
  <si>
    <t>What is a "chip" in shinty?</t>
  </si>
  <si>
    <t>A. A short pass B. A high C. soft strike D. A defensive block</t>
  </si>
  <si>
    <t>A goal-scoring shot</t>
  </si>
  <si>
    <t>A high</t>
  </si>
  <si>
    <t>How is a player disciplined for dangerous play?</t>
  </si>
  <si>
    <t>A. A free hit is awarded to the opponent B. A yellow card is shown C. A red card is shown D. They are sent off for 5 minutes</t>
  </si>
  <si>
    <t>A yellow card is shown</t>
  </si>
  <si>
    <t>Dangerous play typically results in a yellow card.</t>
  </si>
  <si>
    <t>A. To mark the start of play B. To define the penalty area C. To indicate substitutions D. To set the offside rule</t>
  </si>
  <si>
    <t>To mark the start of play</t>
  </si>
  <si>
    <t>The center circle is where play begins at the start of each half.</t>
  </si>
  <si>
    <t>What is the significance of the toss before the match?</t>
  </si>
  <si>
    <t>A. To choose the referee B. To decide the first possession C. To select the goal to defend D. To determine the match duration</t>
  </si>
  <si>
    <t>To decide the first possession</t>
  </si>
  <si>
    <t>The toss determines which team starts with the ball.</t>
  </si>
  <si>
    <t>Can a player score a goal with their body?</t>
  </si>
  <si>
    <t>A. Yes B. No C. Only by accident D. Only in extra time</t>
  </si>
  <si>
    <t>A goal must be scored using the caman</t>
  </si>
  <si>
    <t>What happens if a goal is disallowed?</t>
  </si>
  <si>
    <t>A. The match restarts with a throw-in B. The match restarts with a free hit C. The referee gives a penalty D. The match restarts with a hit-in</t>
  </si>
  <si>
    <t>The match restarts with a free hit</t>
  </si>
  <si>
    <t>Disallowed goals lead to a free hit for the defending team.</t>
  </si>
  <si>
    <t>What is the key skill required for a forward in shinty?</t>
  </si>
  <si>
    <t>A. Defensive marking B. Goal-scoring ability C. Refereeing skills D. Passing accuracy</t>
  </si>
  <si>
    <t>Goal-scoring ability</t>
  </si>
  <si>
    <t>Forwards need to excel in scoring goals.</t>
  </si>
  <si>
    <t>What is the role of a referee's assistant in shinty?</t>
  </si>
  <si>
    <t>A. To manage player discipline B. To assist with offsides C. To monitor the sidelines and assist with decisions D. To keep time</t>
  </si>
  <si>
    <t>To monitor the sidelines and assist with decisions</t>
  </si>
  <si>
    <t>Referee's assistants ensure fairness on the sidelines.</t>
  </si>
  <si>
    <t>What is the maximum allowed length of a shinty pitch?</t>
  </si>
  <si>
    <t>A. 160 yards B. 180 yards C. 200 yards D. 220 yards</t>
  </si>
  <si>
    <t>180 yards</t>
  </si>
  <si>
    <t>A shinty pitch can be up to 180 yards long.</t>
  </si>
  <si>
    <t>What material is modern protective gear made of in shinty?</t>
  </si>
  <si>
    <t>A. Wood B. Metal C. Plastic and foam D. Fiberglass</t>
  </si>
  <si>
    <t>Plastic and foam</t>
  </si>
  <si>
    <t>Modern protective gear is lightweight and durable.</t>
  </si>
  <si>
    <t>What happens if the caman is broken during play?</t>
  </si>
  <si>
    <t>A. The player must leave the field B. The player must use a spare caman C. The referee stops play D. The opposing team gets a free hit</t>
  </si>
  <si>
    <t>The player must use a spare caman</t>
  </si>
  <si>
    <t>Players must replace broken equipment immediately.</t>
  </si>
  <si>
    <t>Can a player re-enter the game after being substituted in shinty?</t>
  </si>
  <si>
    <t>A. Yes B. No C. Only if approved by the referee D. Only in extra time</t>
  </si>
  <si>
    <t>Once substituted</t>
  </si>
  <si>
    <t>What is the penalty for time-wasting in shinty?</t>
  </si>
  <si>
    <t>A. A yellow card B. A free hit C. A red card D. Loss of possession</t>
  </si>
  <si>
    <t>Time-wasting results in a free hit for the opposition.</t>
  </si>
  <si>
    <t>What is a common strategy for attackers in shinty?</t>
  </si>
  <si>
    <t>A. Man-marking B. Passing and movement C. Defensive clearing D. Holding possession</t>
  </si>
  <si>
    <t>Passing and movement</t>
  </si>
  <si>
    <t>Attackers focus on quick passes and movement to create scoring opportunities.</t>
  </si>
  <si>
    <t>What is the standard width of a shinty goal?</t>
  </si>
  <si>
    <t>A. 8 feet B. 10 feet C. 12 feet D. 14 feet</t>
  </si>
  <si>
    <t>Shinty goals are typically 12 feet wide.</t>
  </si>
  <si>
    <t>What is the standard height of a shinty goal?</t>
  </si>
  <si>
    <t>Shinty goals are typically 10 feet high.</t>
  </si>
  <si>
    <t>What happens when the ball goes out of play on the sideline?</t>
  </si>
  <si>
    <t>A. A hit-in is awarded B. A free hit is given C. A penalty hit is awarded D. The game is restarted with a throw-in</t>
  </si>
  <si>
    <t>A hit-in is awarded</t>
  </si>
  <si>
    <t>A hit-in is used to restart play from the sideline.</t>
  </si>
  <si>
    <t>Can a goalkeeper use their hands outside the goal crease in shinty?</t>
  </si>
  <si>
    <t>A. Yes B. No C. Only to stop a goal D. Only if the referee allows</t>
  </si>
  <si>
    <t>Goalkeepers cannot use their hands outside the goal crease.</t>
  </si>
  <si>
    <t>What is the minimum age for senior-level shinty players?</t>
  </si>
  <si>
    <t>A. 14 B. 16 C. 18 D. 21</t>
  </si>
  <si>
    <t>Players must be at least 16 years old to compete at the senior level.</t>
  </si>
  <si>
    <t>What happens if both teams score the same number of goals?</t>
  </si>
  <si>
    <t>A. The match is drawn B. Extra time is played C. A penalty shootout is held D. A rematch is scheduled</t>
  </si>
  <si>
    <t>The match is drawn</t>
  </si>
  <si>
    <t>In regular matches</t>
  </si>
  <si>
    <t>What is the referee’s primary duty in shinty?</t>
  </si>
  <si>
    <t>A. To enforce the rules B. To score goals C. To coach the players D. To manage substitutions</t>
  </si>
  <si>
    <t>To enforce the rules</t>
  </si>
  <si>
    <t>The referee ensures the match follows the rules.</t>
  </si>
  <si>
    <t>What is the typical duration of a women’s shinty match?</t>
  </si>
  <si>
    <t>A. 50 minutes B. 60 minutes C. 70 minutes D. 80 minutes</t>
  </si>
  <si>
    <t>70 minutes</t>
  </si>
  <si>
    <t>A women's shinty match typically lasts 70 minutes.</t>
  </si>
  <si>
    <t>What is the purpose of a caman's curved head?</t>
  </si>
  <si>
    <t>A. To control the ball B. To increase swing power C. To prevent fouls D. To mark players</t>
  </si>
  <si>
    <t>To control the ball</t>
  </si>
  <si>
    <t>The curved head helps players maneuver the ball effectively.</t>
  </si>
  <si>
    <t>How does a referee signal the end of the match?</t>
  </si>
  <si>
    <t>A. Blows the whistle once B. Blows the whistle twice C. Raises both hands D. Rings a bell</t>
  </si>
  <si>
    <t>Blows the whistle twice</t>
  </si>
  <si>
    <t>The referee blows the whistle twice to signal the end of the match.</t>
  </si>
  <si>
    <t>What is the maximum number of yellow cards a player can receive before a red card?</t>
  </si>
  <si>
    <t>A player is shown a red card after receiving two yellow cards.</t>
  </si>
  <si>
    <t>Can a player change their caman during the match?</t>
  </si>
  <si>
    <t>A. Yes B. No C. Only if the referee approves D. Only during halftime</t>
  </si>
  <si>
    <t>Players can replace their caman if necessary.</t>
  </si>
  <si>
    <t>What is the term for a shot that deflects off another player into the goal?</t>
  </si>
  <si>
    <t>A. Own goal B. Deflected shot C. Lucky strike D. Redirected goal</t>
  </si>
  <si>
    <t>Deflected shot</t>
  </si>
  <si>
    <t>A goal resulting from a deflection is called a deflected shot.</t>
  </si>
  <si>
    <t>What happens if the ball hits the goalpost and bounces back?</t>
  </si>
  <si>
    <t>A. Play continues B. The defending team gets a free hit C. The attacking team gets a penalty D. The referee stops the game</t>
  </si>
  <si>
    <t>The ball remains in play after hitting the goalpost.</t>
  </si>
  <si>
    <t>What is the maximum number of players allowed on a shinty field?</t>
  </si>
  <si>
    <t>A. 12 B. 14 C. 16 D. 18</t>
  </si>
  <si>
    <t>Each team fields a maximum of 12 players during a match.</t>
  </si>
  <si>
    <t>What is the name of the defensive area in shinty?</t>
  </si>
  <si>
    <t>A. Goal crease B. Defensive circle C. Keeper's zone D. Penalty arc</t>
  </si>
  <si>
    <t>The defensive area around the goal is called the goal crease.</t>
  </si>
  <si>
    <t>What happens if a shinty match is abandoned?</t>
  </si>
  <si>
    <t>A. The match is replayed B. The team leading wins C. The score at abandonment stands D. The result is determined by officials</t>
  </si>
  <si>
    <t>The match is replayed</t>
  </si>
  <si>
    <t>Abandoned matches are typically replayed.</t>
  </si>
  <si>
    <t>What is the purpose of a goal judge in shinty?</t>
  </si>
  <si>
    <t>A. To assist with offsides B. To determine if the ball crosses the goal line C. To mark fouls D. To oversee substitutions</t>
  </si>
  <si>
    <t>To determine if the ball crosses the goal line</t>
  </si>
  <si>
    <t>Goal judges help decide whether a goal has been scored.</t>
  </si>
  <si>
    <t>What is the main use of the flat side of the caman?</t>
  </si>
  <si>
    <t>A. To block the ball B. To hit the ball C. To stop the ball D. To pass the ball</t>
  </si>
  <si>
    <t>To block the ball</t>
  </si>
  <si>
    <t>The flat side is used primarily for blocking.</t>
  </si>
  <si>
    <t>What does the term "swinging" refer to in shinty?</t>
  </si>
  <si>
    <t>A. A passing technique B. A goal-scoring move C. A foul involving a dangerous caman movement D. A style of play</t>
  </si>
  <si>
    <t>A foul involving a dangerous caman movement</t>
  </si>
  <si>
    <t>Swinging is a foul involving reckless use of the caman.</t>
  </si>
  <si>
    <t>What is the term for stopping a high ball in shinty?</t>
  </si>
  <si>
    <t>A. Catching B. Blocking C. Trapping D. Volleying</t>
  </si>
  <si>
    <t>Trapping is the act of stopping a high ball.</t>
  </si>
  <si>
    <t>What is the signal for extra time in shinty?</t>
  </si>
  <si>
    <t>A. A whistle blow B. An announcement by the referee C. Hand gestures by the referee D. A flag wave</t>
  </si>
  <si>
    <t>An announcement by the referee</t>
  </si>
  <si>
    <t>The referee announces extra time verbally.</t>
  </si>
  <si>
    <t>Can a team substitute the goalkeeper during play?</t>
  </si>
  <si>
    <t>A. Yes B. No C. Only in case of injury D. Only during a stoppage</t>
  </si>
  <si>
    <t>Goalkeepers can be substituted only during stoppages.</t>
  </si>
  <si>
    <t>What is the purpose of the "knot" at the end of the caman handle?</t>
  </si>
  <si>
    <t>A. To improve grip B. To increase weight C. To mark the player’s position D. To make it easier to control</t>
  </si>
  <si>
    <t>To improve grip</t>
  </si>
  <si>
    <t>The knot enhances the player’s grip on the caman.</t>
  </si>
  <si>
    <t>What is the role of a wing forward in shinty?</t>
  </si>
  <si>
    <t>A. To assist in defense B. To cover midfield C. To create scoring opportunities D. To referee the game</t>
  </si>
  <si>
    <t>To create scoring opportunities</t>
  </si>
  <si>
    <t>Wing forwards focus on setting up and scoring goals.</t>
  </si>
  <si>
    <t>What does the term "center" refer to in shinty?</t>
  </si>
  <si>
    <t>A. The midfield area B. The goalpost C. The referee D. The ball</t>
  </si>
  <si>
    <t>The midfield area</t>
  </si>
  <si>
    <t>The center is the key area where midfielders operate.</t>
  </si>
  <si>
    <t>What is the minimum length of a shinty pitch?</t>
  </si>
  <si>
    <t>A. 100 yards B. 120 yards C. 140 yards D. 160 yards</t>
  </si>
  <si>
    <t>140 yards</t>
  </si>
  <si>
    <t>A shinty pitch must be at least 140 yards long.</t>
  </si>
  <si>
    <t>What happens if the ball is intentionally kicked into the goal?</t>
  </si>
  <si>
    <t>A. The goal counts B. The goal is disallowed C. The attacking team gets a penalty D. The defending team gets a free hit</t>
  </si>
  <si>
    <t>The goal is disallowed</t>
  </si>
  <si>
    <t>Goals cannot be scored by intentionally kicking the ball.</t>
  </si>
  <si>
    <t>What is the purpose of the caman's tapered end?</t>
  </si>
  <si>
    <t>A. To increase swing speed B. To control high balls C. To provide a striking surface D. To make it lighter</t>
  </si>
  <si>
    <t>To control high balls</t>
  </si>
  <si>
    <t>The tapered end helps in managing high balls effectively.</t>
  </si>
  <si>
    <t>Can a match official overrule a goal judge’s decision?</t>
  </si>
  <si>
    <t>A. Yes B. No C. Only with video evidence D. Only with the team's consent</t>
  </si>
  <si>
    <t>Match officials can overrule goal judges if necessary.</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</si>
</sst>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2" numFmtId="0" xfId="0" applyAlignment="1" applyFont="1">
      <alignment vertical="bottom"/>
    </xf>
    <xf borderId="0" fillId="0" fontId="1" numFmtId="0" xfId="0" applyAlignment="1" applyFont="1">
      <alignment shrinkToFit="0" vertical="center" wrapText="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8">
    <tableStyle count="4" pivot="0" name="Calcio-style">
      <tableStyleElement dxfId="1" type="headerRow"/>
      <tableStyleElement dxfId="2" type="firstRowStripe"/>
      <tableStyleElement dxfId="3" type="secondRowStripe"/>
      <tableStyleElement dxfId="4" size="0" type="wholeTable"/>
    </tableStyle>
    <tableStyle count="4" pivot="0" name="Calcio-style 2">
      <tableStyleElement dxfId="1" type="headerRow"/>
      <tableStyleElement dxfId="2" type="firstRowStripe"/>
      <tableStyleElement dxfId="3" type="secondRowStripe"/>
      <tableStyleElement dxfId="4" size="0" type="wholeTable"/>
    </tableStyle>
    <tableStyle count="4" pivot="0" name="Bocc-style">
      <tableStyleElement dxfId="1" type="headerRow"/>
      <tableStyleElement dxfId="2" type="firstRowStripe"/>
      <tableStyleElement dxfId="3" type="secondRowStripe"/>
      <tableStyleElement dxfId="4" size="0" type="wholeTable"/>
    </tableStyle>
    <tableStyle count="4" pivot="0" name="Bocc-style 2">
      <tableStyleElement dxfId="1" type="headerRow"/>
      <tableStyleElement dxfId="2" type="firstRowStripe"/>
      <tableStyleElement dxfId="3" type="secondRowStripe"/>
      <tableStyleElement dxfId="4" size="0" type="wholeTable"/>
    </tableStyle>
    <tableStyle count="4" pivot="0" name="Pallone-style">
      <tableStyleElement dxfId="1" type="headerRow"/>
      <tableStyleElement dxfId="2" type="firstRowStripe"/>
      <tableStyleElement dxfId="3" type="secondRowStripe"/>
      <tableStyleElement dxfId="4" size="0" type="wholeTable"/>
    </tableStyle>
    <tableStyle count="4" pivot="0" name="Pallone-style 2">
      <tableStyleElement dxfId="1" type="headerRow"/>
      <tableStyleElement dxfId="2" type="firstRowStripe"/>
      <tableStyleElement dxfId="3" type="secondRowStripe"/>
      <tableStyleElement dxfId="4" size="0" type="wholeTable"/>
    </tableStyle>
    <tableStyle count="4" pivot="0" name="Palio-style">
      <tableStyleElement dxfId="1" type="headerRow"/>
      <tableStyleElement dxfId="2" type="firstRowStripe"/>
      <tableStyleElement dxfId="3" type="secondRowStripe"/>
      <tableStyleElement dxfId="4" size="0" type="wholeTable"/>
    </tableStyle>
    <tableStyle count="4" pivot="0" name="Palio-style 2">
      <tableStyleElement dxfId="1" type="headerRow"/>
      <tableStyleElement dxfId="2" type="firstRowStripe"/>
      <tableStyleElement dxfId="3" type="secondRowStripe"/>
      <tableStyleElement dxfId="4" size="0" type="wholeTable"/>
    </tableStyle>
    <tableStyle count="4" pivot="0" name="Ruzzola-style">
      <tableStyleElement dxfId="1" type="headerRow"/>
      <tableStyleElement dxfId="2" type="firstRowStripe"/>
      <tableStyleElement dxfId="3" type="secondRowStripe"/>
      <tableStyleElement dxfId="4" size="0" type="wholeTable"/>
    </tableStyle>
    <tableStyle count="4" pivot="0" name="Ruzzola-style 2">
      <tableStyleElement dxfId="1" type="headerRow"/>
      <tableStyleElement dxfId="2" type="firstRowStripe"/>
      <tableStyleElement dxfId="3" type="secondRowStripe"/>
      <tableStyleElement dxfId="4" size="0" type="wholeTable"/>
    </tableStyle>
    <tableStyle count="4" pivot="0" name="Pallanuto-style">
      <tableStyleElement dxfId="1" type="headerRow"/>
      <tableStyleElement dxfId="2" type="firstRowStripe"/>
      <tableStyleElement dxfId="3" type="secondRowStripe"/>
      <tableStyleElement dxfId="4" size="0" type="wholeTable"/>
    </tableStyle>
    <tableStyle count="4" pivot="0" name="Pallanuto-style 2">
      <tableStyleElement dxfId="1" type="headerRow"/>
      <tableStyleElement dxfId="2" type="firstRowStripe"/>
      <tableStyleElement dxfId="3" type="secondRowStripe"/>
      <tableStyleElement dxfId="4" size="0" type="wholeTable"/>
    </tableStyle>
    <tableStyle count="4" pivot="0" name="Pallavolo-style">
      <tableStyleElement dxfId="1" type="headerRow"/>
      <tableStyleElement dxfId="2" type="firstRowStripe"/>
      <tableStyleElement dxfId="3" type="secondRowStripe"/>
      <tableStyleElement dxfId="4" size="0" type="wholeTable"/>
    </tableStyle>
    <tableStyle count="4" pivot="0" name="Pallavolo-style 2">
      <tableStyleElement dxfId="1" type="headerRow"/>
      <tableStyleElement dxfId="2" type="firstRowStripe"/>
      <tableStyleElement dxfId="3" type="secondRowStripe"/>
      <tableStyleElement dxfId="4" size="0" type="wholeTable"/>
    </tableStyle>
    <tableStyle count="4" pivot="0" name="Morra-style">
      <tableStyleElement dxfId="1" type="headerRow"/>
      <tableStyleElement dxfId="2" type="firstRowStripe"/>
      <tableStyleElement dxfId="3" type="secondRowStripe"/>
      <tableStyleElement dxfId="4" size="0" type="wholeTable"/>
    </tableStyle>
    <tableStyle count="4" pivot="0" name="Morra-style 2">
      <tableStyleElement dxfId="1" type="headerRow"/>
      <tableStyleElement dxfId="2" type="firstRowStripe"/>
      <tableStyleElement dxfId="3" type="secondRowStripe"/>
      <tableStyleElement dxfId="4" size="0" type="wholeTable"/>
    </tableStyle>
    <tableStyle count="4" pivot="0" name="Skiing-style">
      <tableStyleElement dxfId="1" type="headerRow"/>
      <tableStyleElement dxfId="2" type="firstRowStripe"/>
      <tableStyleElement dxfId="3" type="secondRowStripe"/>
      <tableStyleElement dxfId="4" size="0" type="wholeTable"/>
    </tableStyle>
    <tableStyle count="4" pivot="0" name="Skiing-style 2">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12" Type="http://schemas.openxmlformats.org/officeDocument/2006/relationships/worksheet" Target="worksheets/sheet9.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E149" displayName="Table1" name="Table1" id="1">
  <tableColumns count="5">
    <tableColumn name="Question Number" id="1"/>
    <tableColumn name="Domanda" id="2"/>
    <tableColumn name="Opzioni" id="3"/>
    <tableColumn name="Risposta corretta" id="4"/>
    <tableColumn name="Description" id="5"/>
  </tableColumns>
  <tableStyleInfo name="Calcio-style" showColumnStripes="0" showFirstColumn="1" showLastColumn="1" showRowStripes="1"/>
</table>
</file>

<file path=xl/tables/table2.xml><?xml version="1.0" encoding="utf-8"?>
<table xmlns="http://schemas.openxmlformats.org/spreadsheetml/2006/main" ref="G1:K149" displayName="Table2" name="Table2" id="2">
  <tableColumns count="5">
    <tableColumn name="Question Number" id="1"/>
    <tableColumn name="Question" id="2"/>
    <tableColumn name="Options" id="3"/>
    <tableColumn name="Correct Answer" id="4"/>
    <tableColumn name="Description" id="5"/>
  </tableColumns>
  <tableStyleInfo name="Calcio-style 2" showColumnStripes="0" showFirstColumn="1" showLastColumn="1" showRowStripes="1"/>
</table>
</file>

<file path=xl/tables/table3.xml><?xml version="1.0" encoding="utf-8"?>
<table xmlns="http://schemas.openxmlformats.org/spreadsheetml/2006/main" ref="A1:E150" displayName="Table3" name="Table3" id="3">
  <tableColumns count="5">
    <tableColumn name="Question Number" id="1"/>
    <tableColumn name="Domanda" id="2"/>
    <tableColumn name="Opzioni" id="3"/>
    <tableColumn name="Risposta corretta" id="4"/>
    <tableColumn name="Descrizione" id="5"/>
  </tableColumns>
  <tableStyleInfo name="Bocc-style" showColumnStripes="0" showFirstColumn="1" showLastColumn="1" showRowStripes="1"/>
</table>
</file>

<file path=xl/tables/table4.xml><?xml version="1.0" encoding="utf-8"?>
<table xmlns="http://schemas.openxmlformats.org/spreadsheetml/2006/main" ref="G1:K150" displayName="Table4" name="Table4" id="4">
  <tableColumns count="5">
    <tableColumn name="Question Number" id="1"/>
    <tableColumn name="Question" id="2"/>
    <tableColumn name="Options" id="3"/>
    <tableColumn name="Correct Answer" id="4"/>
    <tableColumn name="Description" id="5"/>
  </tableColumns>
  <tableStyleInfo name="Bocc-style 2" showColumnStripes="0" showFirstColumn="1" showLastColumn="1" showRowStripes="1"/>
</table>
</file>

<file path=xl/tables/table5.xml><?xml version="1.0" encoding="utf-8"?>
<table xmlns="http://schemas.openxmlformats.org/spreadsheetml/2006/main" ref="A1:E151" displayName="Table5" name="Table5" id="5">
  <tableColumns count="5">
    <tableColumn name="Question Number" id="1"/>
    <tableColumn name="Domanda" id="2"/>
    <tableColumn name="Opzioni" id="3"/>
    <tableColumn name="Risposta corretta" id="4"/>
    <tableColumn name="Descrizione" id="5"/>
  </tableColumns>
  <tableStyleInfo name="Pallone-style" showColumnStripes="0" showFirstColumn="1" showLastColumn="1" showRowStripes="1"/>
</table>
</file>

<file path=xl/tables/table6.xml><?xml version="1.0" encoding="utf-8"?>
<table xmlns="http://schemas.openxmlformats.org/spreadsheetml/2006/main" ref="G1:K151" displayName="Table6" name="Table6" id="6">
  <tableColumns count="5">
    <tableColumn name="Question Number" id="1"/>
    <tableColumn name="Question" id="2"/>
    <tableColumn name="Options" id="3"/>
    <tableColumn name="Correct Answer" id="4"/>
    <tableColumn name="Description" id="5"/>
  </tableColumns>
  <tableStyleInfo name="Pallone-style 2" showColumnStripes="0" showFirstColumn="1" showLastColumn="1" showRowStripes="1"/>
</table>
</file>

<file path=xl/tables/table7.xml><?xml version="1.0" encoding="utf-8"?>
<table xmlns="http://schemas.openxmlformats.org/spreadsheetml/2006/main" ref="A1:E151" displayName="Table7" name="Table7" id="7">
  <tableColumns count="5">
    <tableColumn name="Question Number" id="1"/>
    <tableColumn name="Domanda" id="2"/>
    <tableColumn name="Opzioni" id="3"/>
    <tableColumn name=" Risposta corretta" id="4"/>
    <tableColumn name="Descrizione" id="5"/>
  </tableColumns>
  <tableStyleInfo name="Palio-style" showColumnStripes="0" showFirstColumn="1" showLastColumn="1" showRowStripes="1"/>
</table>
</file>

<file path=xl/tables/table8.xml><?xml version="1.0" encoding="utf-8"?>
<table xmlns="http://schemas.openxmlformats.org/spreadsheetml/2006/main" ref="G1:K151" displayName="Table8" name="Table8" id="8">
  <tableColumns count="5">
    <tableColumn name="Question Number" id="1"/>
    <tableColumn name="Question" id="2"/>
    <tableColumn name="Options" id="3"/>
    <tableColumn name="Correct Answer" id="4"/>
    <tableColumn name="Description" id="5"/>
  </tableColumns>
  <tableStyleInfo name="Palio-style 2" showColumnStripes="0" showFirstColumn="1" showLastColumn="1" showRowStripes="1"/>
</table>
</file>

<file path=xl/tables/table9.xml><?xml version="1.0" encoding="utf-8"?>
<table xmlns="http://schemas.openxmlformats.org/spreadsheetml/2006/main" ref="A1:E151" displayName="Table9" name="Table9" id="9">
  <tableColumns count="5">
    <tableColumn name="Question Number" id="1"/>
    <tableColumn name="Domanda" id="2"/>
    <tableColumn name="Opzioni" id="3"/>
    <tableColumn name="Risposta corretta" id="4"/>
    <tableColumn name="Descrizione" id="5"/>
  </tableColumns>
  <tableStyleInfo name="Ruzzola-style" showColumnStripes="0" showFirstColumn="1" showLastColumn="1" showRowStripes="1"/>
</table>
</file>

<file path=xl/tables/table10.xml><?xml version="1.0" encoding="utf-8"?>
<table xmlns="http://schemas.openxmlformats.org/spreadsheetml/2006/main" ref="G1:K151" displayName="Table10" name="Table10" id="10">
  <tableColumns count="5">
    <tableColumn name="Question Number" id="1"/>
    <tableColumn name="Question" id="2"/>
    <tableColumn name="Options" id="3"/>
    <tableColumn name="Correct Answer" id="4"/>
    <tableColumn name="Description" id="5"/>
  </tableColumns>
  <tableStyleInfo name="Ruzzola-style 2" showColumnStripes="0" showFirstColumn="1" showLastColumn="1" showRowStripes="1"/>
</table>
</file>

<file path=xl/tables/table11.xml><?xml version="1.0" encoding="utf-8"?>
<table xmlns="http://schemas.openxmlformats.org/spreadsheetml/2006/main" ref="A1:E151" displayName="Table11" name="Table11" id="11">
  <tableColumns count="5">
    <tableColumn name="Question Number" id="1"/>
    <tableColumn name="Domanda" id="2"/>
    <tableColumn name="Opzioni" id="3"/>
    <tableColumn name="Risposta corretta" id="4"/>
    <tableColumn name="Descrizione" id="5"/>
  </tableColumns>
  <tableStyleInfo name="Pallanuto-style" showColumnStripes="0" showFirstColumn="1" showLastColumn="1" showRowStripes="1"/>
</table>
</file>

<file path=xl/tables/table12.xml><?xml version="1.0" encoding="utf-8"?>
<table xmlns="http://schemas.openxmlformats.org/spreadsheetml/2006/main" ref="G1:K151" displayName="Table12" name="Table12" id="12">
  <tableColumns count="5">
    <tableColumn name="Question Number" id="1"/>
    <tableColumn name="Question" id="2"/>
    <tableColumn name="Options" id="3"/>
    <tableColumn name="Correct Answer" id="4"/>
    <tableColumn name="Description" id="5"/>
  </tableColumns>
  <tableStyleInfo name="Pallanuto-style 2" showColumnStripes="0" showFirstColumn="1" showLastColumn="1" showRowStripes="1"/>
</table>
</file>

<file path=xl/tables/table13.xml><?xml version="1.0" encoding="utf-8"?>
<table xmlns="http://schemas.openxmlformats.org/spreadsheetml/2006/main" ref="A1:E151" displayName="Table13" name="Table13" id="13">
  <tableColumns count="5">
    <tableColumn name="Question Number" id="1"/>
    <tableColumn name="Domanda" id="2"/>
    <tableColumn name="Opzioni" id="3"/>
    <tableColumn name="Risposta corretta" id="4"/>
    <tableColumn name="Descrizione" id="5"/>
  </tableColumns>
  <tableStyleInfo name="Pallavolo-style" showColumnStripes="0" showFirstColumn="1" showLastColumn="1" showRowStripes="1"/>
</table>
</file>

<file path=xl/tables/table14.xml><?xml version="1.0" encoding="utf-8"?>
<table xmlns="http://schemas.openxmlformats.org/spreadsheetml/2006/main" ref="G1:K151" displayName="Table14" name="Table14" id="14">
  <tableColumns count="5">
    <tableColumn name="Question Number" id="1"/>
    <tableColumn name="Question" id="2"/>
    <tableColumn name="Options" id="3"/>
    <tableColumn name="Correct Answer" id="4"/>
    <tableColumn name="Description" id="5"/>
  </tableColumns>
  <tableStyleInfo name="Pallavolo-style 2" showColumnStripes="0" showFirstColumn="1" showLastColumn="1" showRowStripes="1"/>
</table>
</file>

<file path=xl/tables/table15.xml><?xml version="1.0" encoding="utf-8"?>
<table xmlns="http://schemas.openxmlformats.org/spreadsheetml/2006/main" ref="A1:E151" displayName="Table15" name="Table15" id="15">
  <tableColumns count="5">
    <tableColumn name="Question Number" id="1"/>
    <tableColumn name="Domanda" id="2"/>
    <tableColumn name="Opzioni" id="3"/>
    <tableColumn name="Risposta corretta" id="4"/>
    <tableColumn name="Descrizione" id="5"/>
  </tableColumns>
  <tableStyleInfo name="Morra-style" showColumnStripes="0" showFirstColumn="1" showLastColumn="1" showRowStripes="1"/>
</table>
</file>

<file path=xl/tables/table16.xml><?xml version="1.0" encoding="utf-8"?>
<table xmlns="http://schemas.openxmlformats.org/spreadsheetml/2006/main" ref="G1:K151" displayName="Table16" name="Table16" id="16">
  <tableColumns count="5">
    <tableColumn name="Question Number" id="1"/>
    <tableColumn name="Question" id="2"/>
    <tableColumn name="Options" id="3"/>
    <tableColumn name="Correct Answer" id="4"/>
    <tableColumn name="Description" id="5"/>
  </tableColumns>
  <tableStyleInfo name="Morra-style 2" showColumnStripes="0" showFirstColumn="1" showLastColumn="1" showRowStripes="1"/>
</table>
</file>

<file path=xl/tables/table17.xml><?xml version="1.0" encoding="utf-8"?>
<table xmlns="http://schemas.openxmlformats.org/spreadsheetml/2006/main" ref="A1:E151" displayName="Table17" name="Table17" id="17">
  <tableColumns count="5">
    <tableColumn name="Question Number" id="1"/>
    <tableColumn name="Domanda" id="2"/>
    <tableColumn name="Opzioni" id="3"/>
    <tableColumn name="Risposta corretta" id="4"/>
    <tableColumn name="Descrizione" id="5"/>
  </tableColumns>
  <tableStyleInfo name="Skiing-style" showColumnStripes="0" showFirstColumn="1" showLastColumn="1" showRowStripes="1"/>
</table>
</file>

<file path=xl/tables/table18.xml><?xml version="1.0" encoding="utf-8"?>
<table xmlns="http://schemas.openxmlformats.org/spreadsheetml/2006/main" ref="G1:K151" displayName="Table18" name="Table18" id="18">
  <tableColumns count="5">
    <tableColumn name="Question Number" id="1"/>
    <tableColumn name="Question" id="2"/>
    <tableColumn name="Options" id="3"/>
    <tableColumn name="Correct Answer" id="4"/>
    <tableColumn name="Description" id="5"/>
  </tableColumns>
  <tableStyleInfo name="Skiing-style 2"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4" Type="http://schemas.openxmlformats.org/officeDocument/2006/relationships/table" Target="../tables/table1.xml"/><Relationship Id="rId5" Type="http://schemas.openxmlformats.org/officeDocument/2006/relationships/table" Target="../tables/table2.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4" Type="http://schemas.openxmlformats.org/officeDocument/2006/relationships/table" Target="../tables/table3.xml"/><Relationship Id="rId5" Type="http://schemas.openxmlformats.org/officeDocument/2006/relationships/table" Target="../tables/table4.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4" Type="http://schemas.openxmlformats.org/officeDocument/2006/relationships/table" Target="../tables/table5.xml"/><Relationship Id="rId5" Type="http://schemas.openxmlformats.org/officeDocument/2006/relationships/table" Target="../tables/table6.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4" Type="http://schemas.openxmlformats.org/officeDocument/2006/relationships/table" Target="../tables/table7.xml"/><Relationship Id="rId5" Type="http://schemas.openxmlformats.org/officeDocument/2006/relationships/table" Target="../tables/table8.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4" Type="http://schemas.openxmlformats.org/officeDocument/2006/relationships/table" Target="../tables/table9.xml"/><Relationship Id="rId5" Type="http://schemas.openxmlformats.org/officeDocument/2006/relationships/table" Target="../tables/table10.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4" Type="http://schemas.openxmlformats.org/officeDocument/2006/relationships/table" Target="../tables/table11.xml"/><Relationship Id="rId5" Type="http://schemas.openxmlformats.org/officeDocument/2006/relationships/table" Target="../tables/table1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4" Type="http://schemas.openxmlformats.org/officeDocument/2006/relationships/table" Target="../tables/table13.xml"/><Relationship Id="rId5" Type="http://schemas.openxmlformats.org/officeDocument/2006/relationships/table" Target="../tables/table14.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4" Type="http://schemas.openxmlformats.org/officeDocument/2006/relationships/table" Target="../tables/table15.xml"/><Relationship Id="rId5" Type="http://schemas.openxmlformats.org/officeDocument/2006/relationships/table" Target="../tables/table1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4" Type="http://schemas.openxmlformats.org/officeDocument/2006/relationships/table" Target="../tables/table17.xml"/><Relationship Id="rId5" Type="http://schemas.openxmlformats.org/officeDocument/2006/relationships/table" Target="../tables/table1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ht="22.5" customHeight="1">
      <c r="A1" s="1" t="s">
        <v>0</v>
      </c>
      <c r="B1" s="1" t="s">
        <v>1</v>
      </c>
      <c r="C1" s="1" t="s">
        <v>2</v>
      </c>
      <c r="D1" s="1" t="s">
        <v>3</v>
      </c>
      <c r="E1" s="1" t="s">
        <v>4</v>
      </c>
      <c r="F1" s="2"/>
      <c r="G1" s="1" t="s">
        <v>0</v>
      </c>
      <c r="H1" s="1" t="s">
        <v>5</v>
      </c>
      <c r="I1" s="1" t="s">
        <v>6</v>
      </c>
      <c r="J1" s="1" t="s">
        <v>7</v>
      </c>
      <c r="K1" s="1" t="s">
        <v>4</v>
      </c>
      <c r="L1" s="2"/>
      <c r="M1" s="2"/>
      <c r="N1" s="2"/>
      <c r="O1" s="2"/>
      <c r="P1" s="2"/>
      <c r="Q1" s="2"/>
      <c r="R1" s="2"/>
      <c r="S1" s="2"/>
      <c r="T1" s="2"/>
      <c r="U1" s="2"/>
      <c r="V1" s="2"/>
      <c r="W1" s="2"/>
    </row>
    <row r="2" ht="22.5" customHeight="1">
      <c r="A2" s="3">
        <v>1.0</v>
      </c>
      <c r="B2" s="3" t="s">
        <v>8</v>
      </c>
      <c r="C2" s="3" t="s">
        <v>9</v>
      </c>
      <c r="D2" s="3">
        <v>27.0</v>
      </c>
      <c r="E2" s="3" t="s">
        <v>10</v>
      </c>
      <c r="F2" s="2"/>
      <c r="G2" s="3" t="str">
        <f>IFERROR(__xludf.DUMMYFUNCTION("GOOGLETRANSLATE(A2, ""it"", ""en"")"),"1")</f>
        <v>1</v>
      </c>
      <c r="H2" s="3" t="str">
        <f>IFERROR(__xludf.DUMMYFUNCTION("GOOGLETRANSLATE(B2, ""it"", ""en"")"),"How many players are there in a Calcio Storico team?")</f>
        <v>How many players are there in a Calcio Storico team?</v>
      </c>
      <c r="I2" s="3" t="str">
        <f>IFERROR(__xludf.DUMMYFUNCTION("GOOGLETRANSLATE(C2, ""it"", ""en"")"),"A. 11 B. 27 C. 15 D. 8")</f>
        <v>A. 11 B. 27 C. 15 D. 8</v>
      </c>
      <c r="J2" s="3" t="str">
        <f>IFERROR(__xludf.DUMMYFUNCTION("GOOGLETRANSLATE(D2, ""it"", ""en"")"),"27")</f>
        <v>27</v>
      </c>
      <c r="K2" s="3" t="str">
        <f>IFERROR(__xludf.DUMMYFUNCTION("GOOGLETRANSLATE(E2, ""it"", ""en"")"),"Each Calcio Storico team is made up of 27 players.")</f>
        <v>Each Calcio Storico team is made up of 27 players.</v>
      </c>
      <c r="L2" s="2"/>
      <c r="M2" s="2"/>
      <c r="N2" s="2"/>
      <c r="O2" s="2"/>
      <c r="P2" s="2"/>
      <c r="Q2" s="2"/>
      <c r="R2" s="2"/>
      <c r="S2" s="2"/>
      <c r="T2" s="2"/>
      <c r="U2" s="2"/>
      <c r="V2" s="2"/>
      <c r="W2" s="2"/>
    </row>
    <row r="3" ht="22.5" customHeight="1">
      <c r="A3" s="3">
        <v>2.0</v>
      </c>
      <c r="B3" s="3" t="s">
        <v>11</v>
      </c>
      <c r="C3" s="3" t="s">
        <v>12</v>
      </c>
      <c r="D3" s="3" t="s">
        <v>13</v>
      </c>
      <c r="E3" s="3" t="s">
        <v>14</v>
      </c>
      <c r="F3" s="2"/>
      <c r="G3" s="3" t="str">
        <f>IFERROR(__xludf.DUMMYFUNCTION("GOOGLETRANSLATE(A3, ""it"", ""en"")"),"2")</f>
        <v>2</v>
      </c>
      <c r="H3" s="3" t="str">
        <f>IFERROR(__xludf.DUMMYFUNCTION("GOOGLETRANSLATE(B3, ""it"", ""en"")"),"What is the main objective of Calcio Storico?")</f>
        <v>What is the main objective of Calcio Storico?</v>
      </c>
      <c r="I3" s="3" t="str">
        <f>IFERROR(__xludf.DUMMYFUNCTION("GOOGLETRANSLATE(C3, ""it"", ""en"")"),"A. Do as much ""hunting"" as possible B. Protect the goal C. Pass the ball to the captain D. Challenge the crowd")</f>
        <v>A. Do as much "hunting" as possible B. Protect the goal C. Pass the ball to the captain D. Challenge the crowd</v>
      </c>
      <c r="J3" s="3" t="str">
        <f>IFERROR(__xludf.DUMMYFUNCTION("GOOGLETRANSLATE(D3, ""it"", ""en"")"),"Do as much ""hunting"" as possible")</f>
        <v>Do as much "hunting" as possible</v>
      </c>
      <c r="K3" s="3" t="str">
        <f>IFERROR(__xludf.DUMMYFUNCTION("GOOGLETRANSLATE(E3, ""it"", ""en"")"),"The goal is to score more ""caccia"" (goals) than the opposing team.")</f>
        <v>The goal is to score more "caccia" (goals) than the opposing team.</v>
      </c>
      <c r="L3" s="2"/>
      <c r="M3" s="2"/>
      <c r="N3" s="2"/>
      <c r="O3" s="2"/>
      <c r="P3" s="2"/>
      <c r="Q3" s="2"/>
      <c r="R3" s="2"/>
      <c r="S3" s="2"/>
      <c r="T3" s="2"/>
      <c r="U3" s="2"/>
      <c r="V3" s="2"/>
      <c r="W3" s="2"/>
    </row>
    <row r="4" ht="22.5" customHeight="1">
      <c r="A4" s="3">
        <v>3.0</v>
      </c>
      <c r="B4" s="3" t="s">
        <v>15</v>
      </c>
      <c r="C4" s="3" t="s">
        <v>16</v>
      </c>
      <c r="D4" s="3" t="s">
        <v>17</v>
      </c>
      <c r="E4" s="3" t="s">
        <v>18</v>
      </c>
      <c r="F4" s="2"/>
      <c r="G4" s="3" t="str">
        <f>IFERROR(__xludf.DUMMYFUNCTION("GOOGLETRANSLATE(A4, ""it"", ""en"")"),"3")</f>
        <v>3</v>
      </c>
      <c r="H4" s="3" t="str">
        <f>IFERROR(__xludf.DUMMYFUNCTION("GOOGLETRANSLATE(B4, ""it"", ""en"")"),"How do you score a ""caccia"" in Calcio Storico?")</f>
        <v>How do you score a "caccia" in Calcio Storico?</v>
      </c>
      <c r="I4" s="3" t="str">
        <f>IFERROR(__xludf.DUMMYFUNCTION("GOOGLETRANSLATE(C4, ""it"", ""en"")"),"A. Kicking the ball into the goal B. Throwing the ball over a net C. Passing the ball over a sideline D. Putting the ball into a low net")</f>
        <v>A. Kicking the ball into the goal B. Throwing the ball over a net C. Passing the ball over a sideline D. Putting the ball into a low net</v>
      </c>
      <c r="J4" s="3" t="str">
        <f>IFERROR(__xludf.DUMMYFUNCTION("GOOGLETRANSLATE(D4, ""it"", ""en"")"),"Throwing the ball over a net")</f>
        <v>Throwing the ball over a net</v>
      </c>
      <c r="K4" s="3" t="str">
        <f>IFERROR(__xludf.DUMMYFUNCTION("GOOGLETRANSLATE(E4, ""it"", ""en"")"),"A ""caccia"" is scored by throwing the ball over the opponent's net.")</f>
        <v>A "caccia" is scored by throwing the ball over the opponent's net.</v>
      </c>
      <c r="L4" s="2"/>
      <c r="M4" s="2"/>
      <c r="N4" s="2"/>
      <c r="O4" s="2"/>
      <c r="P4" s="2"/>
      <c r="Q4" s="2"/>
      <c r="R4" s="2"/>
      <c r="S4" s="2"/>
      <c r="T4" s="2"/>
      <c r="U4" s="2"/>
      <c r="V4" s="2"/>
      <c r="W4" s="2"/>
    </row>
    <row r="5" ht="22.5" customHeight="1">
      <c r="A5" s="3">
        <v>4.0</v>
      </c>
      <c r="B5" s="3" t="s">
        <v>19</v>
      </c>
      <c r="C5" s="3" t="s">
        <v>20</v>
      </c>
      <c r="D5" s="3" t="s">
        <v>21</v>
      </c>
      <c r="E5" s="3" t="s">
        <v>22</v>
      </c>
      <c r="F5" s="2"/>
      <c r="G5" s="3" t="str">
        <f>IFERROR(__xludf.DUMMYFUNCTION("GOOGLETRANSLATE(A5, ""it"", ""en"")"),"4")</f>
        <v>4</v>
      </c>
      <c r="H5" s="3" t="str">
        <f>IFERROR(__xludf.DUMMYFUNCTION("GOOGLETRANSLATE(B5, ""it"", ""en"")"),"What happens if you miss a shot in Calcio Storico?")</f>
        <v>What happens if you miss a shot in Calcio Storico?</v>
      </c>
      <c r="I5" s="3" t="str">
        <f>IFERROR(__xludf.DUMMYFUNCTION("GOOGLETRANSLATE(C5, ""it"", ""en"")"),"A. The other team earns a point B. The game stops C. The team loses a player D. The other team loses a point")</f>
        <v>A. The other team earns a point B. The game stops C. The team loses a player D. The other team loses a point</v>
      </c>
      <c r="J5" s="3" t="str">
        <f>IFERROR(__xludf.DUMMYFUNCTION("GOOGLETRANSLATE(D5, ""it"", ""en"")"),"The other team earns a point")</f>
        <v>The other team earns a point</v>
      </c>
      <c r="K5" s="3" t="str">
        <f>IFERROR(__xludf.DUMMYFUNCTION("GOOGLETRANSLATE(E5, ""it"", ""en"")"),"A missed shot awards a point to the opponents.")</f>
        <v>A missed shot awards a point to the opponents.</v>
      </c>
      <c r="L5" s="2"/>
      <c r="M5" s="2"/>
      <c r="N5" s="2"/>
      <c r="O5" s="2"/>
      <c r="P5" s="2"/>
      <c r="Q5" s="2"/>
      <c r="R5" s="2"/>
      <c r="S5" s="2"/>
      <c r="T5" s="2"/>
      <c r="U5" s="2"/>
      <c r="V5" s="2"/>
      <c r="W5" s="2"/>
    </row>
    <row r="6" ht="22.5" customHeight="1">
      <c r="A6" s="3">
        <v>5.0</v>
      </c>
      <c r="B6" s="3" t="s">
        <v>23</v>
      </c>
      <c r="C6" s="3" t="s">
        <v>24</v>
      </c>
      <c r="D6" s="3">
        <v>4.0</v>
      </c>
      <c r="E6" s="3" t="s">
        <v>25</v>
      </c>
      <c r="F6" s="2"/>
      <c r="G6" s="3" t="str">
        <f>IFERROR(__xludf.DUMMYFUNCTION("GOOGLETRANSLATE(A6, ""it"", ""en"")"),"5")</f>
        <v>5</v>
      </c>
      <c r="H6" s="3" t="str">
        <f>IFERROR(__xludf.DUMMYFUNCTION("GOOGLETRANSLATE(B6, ""it"", ""en"")"),"How many teams participate in the Calcio Storico tournament?")</f>
        <v>How many teams participate in the Calcio Storico tournament?</v>
      </c>
      <c r="I6" s="3" t="str">
        <f>IFERROR(__xludf.DUMMYFUNCTION("GOOGLETRANSLATE(C6, ""it"", ""en"")"),"A. 2 B. 3 C. 4 D. 6")</f>
        <v>A. 2 B. 3 C. 4 D. 6</v>
      </c>
      <c r="J6" s="3" t="str">
        <f>IFERROR(__xludf.DUMMYFUNCTION("GOOGLETRANSLATE(D6, ""it"", ""en"")"),"4")</f>
        <v>4</v>
      </c>
      <c r="K6" s="3" t="str">
        <f>IFERROR(__xludf.DUMMYFUNCTION("GOOGLETRANSLATE(E6, ""it"", ""en"")"),"The teams represent the four historic districts of Florence.")</f>
        <v>The teams represent the four historic districts of Florence.</v>
      </c>
      <c r="L6" s="2"/>
      <c r="M6" s="2"/>
      <c r="N6" s="2"/>
      <c r="O6" s="2"/>
      <c r="P6" s="2"/>
      <c r="Q6" s="2"/>
      <c r="R6" s="2"/>
      <c r="S6" s="2"/>
      <c r="T6" s="2"/>
      <c r="U6" s="2"/>
      <c r="V6" s="2"/>
      <c r="W6" s="2"/>
    </row>
    <row r="7" ht="22.5" customHeight="1">
      <c r="A7" s="3">
        <v>7.0</v>
      </c>
      <c r="B7" s="3" t="s">
        <v>26</v>
      </c>
      <c r="C7" s="3" t="s">
        <v>27</v>
      </c>
      <c r="D7" s="3" t="s">
        <v>28</v>
      </c>
      <c r="E7" s="3" t="s">
        <v>29</v>
      </c>
      <c r="F7" s="2"/>
      <c r="G7" s="3" t="str">
        <f>IFERROR(__xludf.DUMMYFUNCTION("GOOGLETRANSLATE(A7, ""it"", ""en"")"),"7")</f>
        <v>7</v>
      </c>
      <c r="H7" s="3" t="str">
        <f>IFERROR(__xludf.DUMMYFUNCTION("GOOGLETRANSLATE(B7, ""it"", ""en"")"),"How long does a Calcio Storico match last?")</f>
        <v>How long does a Calcio Storico match last?</v>
      </c>
      <c r="I7" s="3" t="str">
        <f>IFERROR(__xludf.DUMMYFUNCTION("GOOGLETRANSLATE(C7, ""it"", ""en"")"),"A. 60 minutes B. 40 minutes C. 50 minutes D. 20 minutes")</f>
        <v>A. 60 minutes B. 40 minutes C. 50 minutes D. 20 minutes</v>
      </c>
      <c r="J7" s="3" t="str">
        <f>IFERROR(__xludf.DUMMYFUNCTION("GOOGLETRANSLATE(D7, ""it"", ""en"")"),"50 minutes")</f>
        <v>50 minutes</v>
      </c>
      <c r="K7" s="3" t="str">
        <f>IFERROR(__xludf.DUMMYFUNCTION("GOOGLETRANSLATE(E7, ""it"", ""en"")"),"Each match lasts 50 minutes without interruptions.")</f>
        <v>Each match lasts 50 minutes without interruptions.</v>
      </c>
      <c r="L7" s="2"/>
      <c r="M7" s="2"/>
      <c r="N7" s="2"/>
      <c r="O7" s="2"/>
      <c r="P7" s="2"/>
      <c r="Q7" s="2"/>
      <c r="R7" s="2"/>
      <c r="S7" s="2"/>
      <c r="T7" s="2"/>
      <c r="U7" s="2"/>
      <c r="V7" s="2"/>
      <c r="W7" s="2"/>
    </row>
    <row r="8" ht="22.5" customHeight="1">
      <c r="A8" s="3">
        <v>8.0</v>
      </c>
      <c r="B8" s="3" t="s">
        <v>30</v>
      </c>
      <c r="C8" s="3" t="s">
        <v>31</v>
      </c>
      <c r="D8" s="3" t="s">
        <v>32</v>
      </c>
      <c r="E8" s="3" t="s">
        <v>33</v>
      </c>
      <c r="F8" s="2"/>
      <c r="G8" s="3" t="str">
        <f>IFERROR(__xludf.DUMMYFUNCTION("GOOGLETRANSLATE(A8, ""it"", ""en"")"),"8")</f>
        <v>8</v>
      </c>
      <c r="H8" s="3" t="str">
        <f>IFERROR(__xludf.DUMMYFUNCTION("GOOGLETRANSLATE(B8, ""it"", ""en"")"),"Where does Calcio Storico traditionally take place?")</f>
        <v>Where does Calcio Storico traditionally take place?</v>
      </c>
      <c r="I8" s="3" t="str">
        <f>IFERROR(__xludf.DUMMYFUNCTION("GOOGLETRANSLATE(C8, ""it"", ""en"")"),"A. Republic Square B. St. Mark's Square C. Santa Croce Square D. Artemio Franchi Stadium")</f>
        <v>A. Republic Square B. St. Mark's Square C. Santa Croce Square D. Artemio Franchi Stadium</v>
      </c>
      <c r="J8" s="3" t="str">
        <f>IFERROR(__xludf.DUMMYFUNCTION("GOOGLETRANSLATE(D8, ""it"", ""en"")"),"Santa Croce Square")</f>
        <v>Santa Croce Square</v>
      </c>
      <c r="K8" s="3" t="str">
        <f>IFERROR(__xludf.DUMMYFUNCTION("GOOGLETRANSLATE(E8, ""it"", ""en"")"),"The matches are played in the historic Piazza Santa Croce in Florence.")</f>
        <v>The matches are played in the historic Piazza Santa Croce in Florence.</v>
      </c>
      <c r="L8" s="2"/>
      <c r="M8" s="2"/>
      <c r="N8" s="2"/>
      <c r="O8" s="2"/>
      <c r="P8" s="2"/>
      <c r="Q8" s="2"/>
      <c r="R8" s="2"/>
      <c r="S8" s="2"/>
      <c r="T8" s="2"/>
      <c r="U8" s="2"/>
      <c r="V8" s="2"/>
      <c r="W8" s="2"/>
    </row>
    <row r="9" ht="22.5" customHeight="1">
      <c r="A9" s="3">
        <v>9.0</v>
      </c>
      <c r="B9" s="3" t="s">
        <v>34</v>
      </c>
      <c r="C9" s="3" t="s">
        <v>35</v>
      </c>
      <c r="D9" s="3" t="s">
        <v>36</v>
      </c>
      <c r="E9" s="3" t="s">
        <v>37</v>
      </c>
      <c r="F9" s="2"/>
      <c r="G9" s="3" t="str">
        <f>IFERROR(__xludf.DUMMYFUNCTION("GOOGLETRANSLATE(A9, ""it"", ""en"")"),"9")</f>
        <v>9</v>
      </c>
      <c r="H9" s="3" t="str">
        <f>IFERROR(__xludf.DUMMYFUNCTION("GOOGLETRANSLATE(B9, ""it"", ""en"")"),"When is the Calcio Storico tournament traditionally played?")</f>
        <v>When is the Calcio Storico tournament traditionally played?</v>
      </c>
      <c r="I9" s="3" t="str">
        <f>IFERROR(__xludf.DUMMYFUNCTION("GOOGLETRANSLATE(C9, ""it"", ""en"")"),"A. Christmas B. Easter C. June D. August")</f>
        <v>A. Christmas B. Easter C. June D. August</v>
      </c>
      <c r="J9" s="3" t="str">
        <f>IFERROR(__xludf.DUMMYFUNCTION("GOOGLETRANSLATE(D9, ""it"", ""en"")"),"June")</f>
        <v>June</v>
      </c>
      <c r="K9" s="3" t="str">
        <f>IFERROR(__xludf.DUMMYFUNCTION("GOOGLETRANSLATE(E9, ""it"", ""en"")"),"The tournament traditionally takes place in June.")</f>
        <v>The tournament traditionally takes place in June.</v>
      </c>
      <c r="L9" s="2"/>
      <c r="M9" s="2"/>
      <c r="N9" s="2"/>
      <c r="O9" s="2"/>
      <c r="P9" s="2"/>
      <c r="Q9" s="2"/>
      <c r="R9" s="2"/>
      <c r="S9" s="2"/>
      <c r="T9" s="2"/>
      <c r="U9" s="2"/>
      <c r="V9" s="2"/>
      <c r="W9" s="2"/>
    </row>
    <row r="10" ht="22.5" customHeight="1">
      <c r="A10" s="3">
        <v>10.0</v>
      </c>
      <c r="B10" s="3" t="s">
        <v>38</v>
      </c>
      <c r="C10" s="3" t="s">
        <v>39</v>
      </c>
      <c r="D10" s="3" t="s">
        <v>40</v>
      </c>
      <c r="E10" s="3" t="s">
        <v>41</v>
      </c>
      <c r="F10" s="2"/>
      <c r="G10" s="3" t="str">
        <f>IFERROR(__xludf.DUMMYFUNCTION("GOOGLETRANSLATE(A10, ""it"", ""en"")"),"10")</f>
        <v>10</v>
      </c>
      <c r="H10" s="3" t="str">
        <f>IFERROR(__xludf.DUMMYFUNCTION("GOOGLETRANSLATE(B10, ""it"", ""en"")"),"What is the main rule regarding physical contact in Calcio Storico?")</f>
        <v>What is the main rule regarding physical contact in Calcio Storico?</v>
      </c>
      <c r="I10" s="3" t="str">
        <f>IFERROR(__xludf.DUMMYFUNCTION("GOOGLETRANSLATE(C10, ""it"", ""en"")"),"A. They are completely prohibited B. They are only allowed with a ball C. There are no restrictions D. They are allowed with limitations")</f>
        <v>A. They are completely prohibited B. They are only allowed with a ball C. There are no restrictions D. They are allowed with limitations</v>
      </c>
      <c r="J10" s="3" t="str">
        <f>IFERROR(__xludf.DUMMYFUNCTION("GOOGLETRANSLATE(D10, ""it"", ""en"")"),"They are allowed with limitations")</f>
        <v>They are allowed with limitations</v>
      </c>
      <c r="K10" s="3" t="str">
        <f>IFERROR(__xludf.DUMMYFUNCTION("GOOGLETRANSLATE(E10, ""it"", ""en"")"),"Physical contact is allowed but with some rules to avoid extreme violence.")</f>
        <v>Physical contact is allowed but with some rules to avoid extreme violence.</v>
      </c>
      <c r="L10" s="2"/>
      <c r="M10" s="2"/>
      <c r="N10" s="2"/>
      <c r="O10" s="2"/>
      <c r="P10" s="2"/>
      <c r="Q10" s="2"/>
      <c r="R10" s="2"/>
      <c r="S10" s="2"/>
      <c r="T10" s="2"/>
      <c r="U10" s="2"/>
      <c r="V10" s="2"/>
      <c r="W10" s="2"/>
    </row>
    <row r="11" ht="22.5" customHeight="1">
      <c r="A11" s="3">
        <v>11.0</v>
      </c>
      <c r="B11" s="3" t="s">
        <v>42</v>
      </c>
      <c r="C11" s="3" t="s">
        <v>43</v>
      </c>
      <c r="D11" s="3" t="s">
        <v>44</v>
      </c>
      <c r="E11" s="3" t="s">
        <v>45</v>
      </c>
      <c r="F11" s="2"/>
      <c r="G11" s="3" t="str">
        <f>IFERROR(__xludf.DUMMYFUNCTION("GOOGLETRANSLATE(A11, ""it"", ""en"")"),"11")</f>
        <v>11</v>
      </c>
      <c r="H11" s="3" t="str">
        <f>IFERROR(__xludf.DUMMYFUNCTION("GOOGLETRANSLATE(B11, ""it"", ""en"")"),"Which part of the body cannot be used to throw the ball?")</f>
        <v>Which part of the body cannot be used to throw the ball?</v>
      </c>
      <c r="I11" s="3" t="str">
        <f>IFERROR(__xludf.DUMMYFUNCTION("GOOGLETRANSLATE(C11, ""it"", ""en"")"),"A. The hands B. The feet C. The head D. The arms")</f>
        <v>A. The hands B. The feet C. The head D. The arms</v>
      </c>
      <c r="J11" s="3" t="str">
        <f>IFERROR(__xludf.DUMMYFUNCTION("GOOGLETRANSLATE(D11, ""it"", ""en"")"),"The feet")</f>
        <v>The feet</v>
      </c>
      <c r="K11" s="3" t="str">
        <f>IFERROR(__xludf.DUMMYFUNCTION("GOOGLETRANSLATE(E11, ""it"", ""en"")"),"Kicking the ball with your feet is not allowed.")</f>
        <v>Kicking the ball with your feet is not allowed.</v>
      </c>
      <c r="L11" s="2"/>
      <c r="M11" s="2"/>
      <c r="N11" s="2"/>
      <c r="O11" s="2"/>
      <c r="P11" s="2"/>
      <c r="Q11" s="2"/>
      <c r="R11" s="2"/>
      <c r="S11" s="2"/>
      <c r="T11" s="2"/>
      <c r="U11" s="2"/>
      <c r="V11" s="2"/>
      <c r="W11" s="2"/>
    </row>
    <row r="12" ht="22.5" customHeight="1">
      <c r="A12" s="3">
        <v>12.0</v>
      </c>
      <c r="B12" s="3" t="s">
        <v>46</v>
      </c>
      <c r="C12" s="3" t="s">
        <v>47</v>
      </c>
      <c r="D12" s="3" t="s">
        <v>48</v>
      </c>
      <c r="E12" s="3" t="s">
        <v>49</v>
      </c>
      <c r="F12" s="2"/>
      <c r="G12" s="3" t="str">
        <f>IFERROR(__xludf.DUMMYFUNCTION("GOOGLETRANSLATE(A12, ""it"", ""en"")"),"12")</f>
        <v>12</v>
      </c>
      <c r="H12" s="3" t="str">
        <f>IFERROR(__xludf.DUMMYFUNCTION("GOOGLETRANSLATE(B12, ""it"", ""en"")"),"Who referees a Calcio Storico match?")</f>
        <v>Who referees a Calcio Storico match?</v>
      </c>
      <c r="I12" s="3" t="str">
        <f>IFERROR(__xludf.DUMMYFUNCTION("GOOGLETRANSLATE(C12, ""it"", ""en"")"),"A. A single central referee B. A team of four referees C. A committee of referees D. The team captains")</f>
        <v>A. A single central referee B. A team of four referees C. A committee of referees D. The team captains</v>
      </c>
      <c r="J12" s="3" t="str">
        <f>IFERROR(__xludf.DUMMYFUNCTION("GOOGLETRANSLATE(D12, ""it"", ""en"")"),"A committee of referees")</f>
        <v>A committee of referees</v>
      </c>
      <c r="K12" s="3" t="str">
        <f>IFERROR(__xludf.DUMMYFUNCTION("GOOGLETRANSLATE(E12, ""it"", ""en"")"),"The game is supervised by a committee of referees to ensure compliance with the rules.")</f>
        <v>The game is supervised by a committee of referees to ensure compliance with the rules.</v>
      </c>
      <c r="L12" s="2"/>
      <c r="M12" s="2"/>
      <c r="N12" s="2"/>
      <c r="O12" s="2"/>
      <c r="P12" s="2"/>
      <c r="Q12" s="2"/>
      <c r="R12" s="2"/>
      <c r="S12" s="2"/>
      <c r="T12" s="2"/>
      <c r="U12" s="2"/>
      <c r="V12" s="2"/>
      <c r="W12" s="2"/>
    </row>
    <row r="13" ht="22.5" customHeight="1">
      <c r="A13" s="3">
        <v>13.0</v>
      </c>
      <c r="B13" s="3" t="s">
        <v>50</v>
      </c>
      <c r="C13" s="3" t="s">
        <v>51</v>
      </c>
      <c r="D13" s="3" t="s">
        <v>52</v>
      </c>
      <c r="E13" s="3" t="s">
        <v>53</v>
      </c>
      <c r="F13" s="2"/>
      <c r="G13" s="3" t="str">
        <f>IFERROR(__xludf.DUMMYFUNCTION("GOOGLETRANSLATE(A13, ""it"", ""en"")"),"13")</f>
        <v>13</v>
      </c>
      <c r="H13" s="3" t="str">
        <f>IFERROR(__xludf.DUMMYFUNCTION("GOOGLETRANSLATE(B13, ""it"", ""en"")"),"How does a Calcio Storico match start?")</f>
        <v>How does a Calcio Storico match start?</v>
      </c>
      <c r="I13" s="3" t="str">
        <f>IFERROR(__xludf.DUMMYFUNCTION("GOOGLETRANSLATE(C13, ""it"", ""en"")"),"A. With a kick-off B. With a ball in the centre C. With the ball being thrown by the referee D. With a toss")</f>
        <v>A. With a kick-off B. With a ball in the centre C. With the ball being thrown by the referee D. With a toss</v>
      </c>
      <c r="J13" s="3" t="str">
        <f>IFERROR(__xludf.DUMMYFUNCTION("GOOGLETRANSLATE(D13, ""it"", ""en"")"),"With the throw of the ball by the referee")</f>
        <v>With the throw of the ball by the referee</v>
      </c>
      <c r="K13" s="3" t="str">
        <f>IFERROR(__xludf.DUMMYFUNCTION("GOOGLETRANSLATE(E13, ""it"", ""en"")"),"The game begins with the ball being thrown into the center of the field.")</f>
        <v>The game begins with the ball being thrown into the center of the field.</v>
      </c>
      <c r="L13" s="2"/>
      <c r="M13" s="2"/>
      <c r="N13" s="2"/>
      <c r="O13" s="2"/>
      <c r="P13" s="2"/>
      <c r="Q13" s="2"/>
      <c r="R13" s="2"/>
      <c r="S13" s="2"/>
      <c r="T13" s="2"/>
      <c r="U13" s="2"/>
      <c r="V13" s="2"/>
      <c r="W13" s="2"/>
    </row>
    <row r="14" ht="22.5" customHeight="1">
      <c r="A14" s="3">
        <v>14.0</v>
      </c>
      <c r="B14" s="3" t="s">
        <v>54</v>
      </c>
      <c r="C14" s="3" t="s">
        <v>55</v>
      </c>
      <c r="D14" s="3">
        <v>5.0</v>
      </c>
      <c r="E14" s="3" t="s">
        <v>56</v>
      </c>
      <c r="F14" s="2"/>
      <c r="G14" s="3" t="str">
        <f>IFERROR(__xludf.DUMMYFUNCTION("GOOGLETRANSLATE(A14, ""it"", ""en"")"),"14")</f>
        <v>14</v>
      </c>
      <c r="H14" s="3" t="str">
        <f>IFERROR(__xludf.DUMMYFUNCTION("GOOGLETRANSLATE(B14, ""it"", ""en"")"),"How many forwards does a Calcio Storico team have?")</f>
        <v>How many forwards does a Calcio Storico team have?</v>
      </c>
      <c r="I14" s="3" t="str">
        <f>IFERROR(__xludf.DUMMYFUNCTION("GOOGLETRANSLATE(C14, ""it"", ""en"")"),"A. 3 B. 4 C. 5 D. 6")</f>
        <v>A. 3 B. 4 C. 5 D. 6</v>
      </c>
      <c r="J14" s="3" t="str">
        <f>IFERROR(__xludf.DUMMYFUNCTION("GOOGLETRANSLATE(D14, ""it"", ""en"")"),"5")</f>
        <v>5</v>
      </c>
      <c r="K14" s="3" t="str">
        <f>IFERROR(__xludf.DUMMYFUNCTION("GOOGLETRANSLATE(E14, ""it"", ""en"")"),"Each team fields 5 attackers.")</f>
        <v>Each team fields 5 attackers.</v>
      </c>
      <c r="L14" s="2"/>
      <c r="M14" s="2"/>
      <c r="N14" s="2"/>
      <c r="O14" s="2"/>
      <c r="P14" s="2"/>
      <c r="Q14" s="2"/>
      <c r="R14" s="2"/>
      <c r="S14" s="2"/>
      <c r="T14" s="2"/>
      <c r="U14" s="2"/>
      <c r="V14" s="2"/>
      <c r="W14" s="2"/>
    </row>
    <row r="15" ht="22.5" customHeight="1">
      <c r="A15" s="3">
        <v>15.0</v>
      </c>
      <c r="B15" s="3" t="s">
        <v>57</v>
      </c>
      <c r="C15" s="3" t="s">
        <v>58</v>
      </c>
      <c r="D15" s="3">
        <v>4.0</v>
      </c>
      <c r="E15" s="3" t="s">
        <v>59</v>
      </c>
      <c r="F15" s="2"/>
      <c r="G15" s="3" t="str">
        <f>IFERROR(__xludf.DUMMYFUNCTION("GOOGLETRANSLATE(A15, ""it"", ""en"")"),"15")</f>
        <v>15</v>
      </c>
      <c r="H15" s="3" t="str">
        <f>IFERROR(__xludf.DUMMYFUNCTION("GOOGLETRANSLATE(B15, ""it"", ""en"")"),"How many defenders are there in a Calcio Storico team?")</f>
        <v>How many defenders are there in a Calcio Storico team?</v>
      </c>
      <c r="I15" s="3" t="str">
        <f>IFERROR(__xludf.DUMMYFUNCTION("GOOGLETRANSLATE(C15, ""it"", ""en"")"),"A. 3 B. 4 C. 8 D. 10")</f>
        <v>A. 3 B. 4 C. 8 D. 10</v>
      </c>
      <c r="J15" s="3" t="str">
        <f>IFERROR(__xludf.DUMMYFUNCTION("GOOGLETRANSLATE(D15, ""it"", ""en"")"),"4")</f>
        <v>4</v>
      </c>
      <c r="K15" s="3" t="str">
        <f>IFERROR(__xludf.DUMMYFUNCTION("GOOGLETRANSLATE(E15, ""it"", ""en"")"),"Each team has 4 defenders.")</f>
        <v>Each team has 4 defenders.</v>
      </c>
      <c r="L15" s="2"/>
      <c r="M15" s="2"/>
      <c r="N15" s="2"/>
      <c r="O15" s="2"/>
      <c r="P15" s="2"/>
      <c r="Q15" s="2"/>
      <c r="R15" s="2"/>
      <c r="S15" s="2"/>
      <c r="T15" s="2"/>
      <c r="U15" s="2"/>
      <c r="V15" s="2"/>
      <c r="W15" s="2"/>
    </row>
    <row r="16" ht="22.5" customHeight="1">
      <c r="A16" s="3">
        <v>16.0</v>
      </c>
      <c r="B16" s="3" t="s">
        <v>60</v>
      </c>
      <c r="C16" s="3" t="s">
        <v>61</v>
      </c>
      <c r="D16" s="3" t="s">
        <v>62</v>
      </c>
      <c r="E16" s="3" t="s">
        <v>63</v>
      </c>
      <c r="F16" s="2"/>
      <c r="G16" s="3" t="str">
        <f>IFERROR(__xludf.DUMMYFUNCTION("GOOGLETRANSLATE(A16, ""it"", ""en"")"),"16")</f>
        <v>16</v>
      </c>
      <c r="H16" s="3" t="str">
        <f>IFERROR(__xludf.DUMMYFUNCTION("GOOGLETRANSLATE(B16, ""it"", ""en"")"),"What happens if there is a tie at the end of the match?")</f>
        <v>What happens if there is a tie at the end of the match?</v>
      </c>
      <c r="I16" s="3" t="str">
        <f>IFERROR(__xludf.DUMMYFUNCTION("GOOGLETRANSLATE(C16, ""it"", ""en"")"),"A. Extra time B. Penalties C. The team with the fewest fouls wins D. There are no ties")</f>
        <v>A. Extra time B. Penalties C. The team with the fewest fouls wins D. There are no ties</v>
      </c>
      <c r="J16" s="3" t="str">
        <f>IFERROR(__xludf.DUMMYFUNCTION("GOOGLETRANSLATE(D16, ""it"", ""en"")"),"There are no draws")</f>
        <v>There are no draws</v>
      </c>
      <c r="K16" s="3" t="str">
        <f>IFERROR(__xludf.DUMMYFUNCTION("GOOGLETRANSLATE(E16, ""it"", ""en"")"),"Calcio Storico does not allow for draws; the winner is decided.")</f>
        <v>Calcio Storico does not allow for draws; the winner is decided.</v>
      </c>
      <c r="L16" s="2"/>
      <c r="M16" s="2"/>
      <c r="N16" s="2"/>
      <c r="O16" s="2"/>
      <c r="P16" s="2"/>
      <c r="Q16" s="2"/>
      <c r="R16" s="2"/>
      <c r="S16" s="2"/>
      <c r="T16" s="2"/>
      <c r="U16" s="2"/>
      <c r="V16" s="2"/>
      <c r="W16" s="2"/>
    </row>
    <row r="17" ht="22.5" customHeight="1">
      <c r="A17" s="3">
        <v>17.0</v>
      </c>
      <c r="B17" s="3" t="s">
        <v>64</v>
      </c>
      <c r="C17" s="3" t="s">
        <v>65</v>
      </c>
      <c r="D17" s="3" t="s">
        <v>66</v>
      </c>
      <c r="E17" s="3" t="s">
        <v>67</v>
      </c>
      <c r="F17" s="2"/>
      <c r="G17" s="3" t="str">
        <f>IFERROR(__xludf.DUMMYFUNCTION("GOOGLETRANSLATE(A17, ""it"", ""en"")"),"17")</f>
        <v>17</v>
      </c>
      <c r="H17" s="3" t="str">
        <f>IFERROR(__xludf.DUMMYFUNCTION("GOOGLETRANSLATE(B17, ""it"", ""en"")"),"What are ball carriers forbidden to do?")</f>
        <v>What are ball carriers forbidden to do?</v>
      </c>
      <c r="I17" s="3" t="str">
        <f>IFERROR(__xludf.DUMMYFUNCTION("GOOGLETRANSLATE(C17, ""it"", ""en"")"),"A. Running more than 10 meters B. Blocking the ball C. Passing backwards D. Hitting opponents")</f>
        <v>A. Running more than 10 meters B. Blocking the ball C. Passing backwards D. Hitting opponents</v>
      </c>
      <c r="J17" s="3" t="str">
        <f>IFERROR(__xludf.DUMMYFUNCTION("GOOGLETRANSLATE(D17, ""it"", ""en"")"),"Hitting opponents")</f>
        <v>Hitting opponents</v>
      </c>
      <c r="K17" s="3" t="str">
        <f>IFERROR(__xludf.DUMMYFUNCTION("GOOGLETRANSLATE(E17, ""it"", ""en"")"),"The ball carrier cannot hit opponents.")</f>
        <v>The ball carrier cannot hit opponents.</v>
      </c>
      <c r="L17" s="2"/>
      <c r="M17" s="2"/>
      <c r="N17" s="2"/>
      <c r="O17" s="2"/>
      <c r="P17" s="2"/>
      <c r="Q17" s="2"/>
      <c r="R17" s="2"/>
      <c r="S17" s="2"/>
      <c r="T17" s="2"/>
      <c r="U17" s="2"/>
      <c r="V17" s="2"/>
      <c r="W17" s="2"/>
    </row>
    <row r="18" ht="22.5" customHeight="1">
      <c r="A18" s="3">
        <v>18.0</v>
      </c>
      <c r="B18" s="3" t="s">
        <v>68</v>
      </c>
      <c r="C18" s="3" t="s">
        <v>69</v>
      </c>
      <c r="D18" s="3" t="s">
        <v>70</v>
      </c>
      <c r="E18" s="3" t="s">
        <v>71</v>
      </c>
      <c r="F18" s="2"/>
      <c r="G18" s="3" t="str">
        <f>IFERROR(__xludf.DUMMYFUNCTION("GOOGLETRANSLATE(A18, ""it"", ""en"")"),"18")</f>
        <v>18</v>
      </c>
      <c r="H18" s="3" t="str">
        <f>IFERROR(__xludf.DUMMYFUNCTION("GOOGLETRANSLATE(B18, ""it"", ""en"")"),"What is the surface area of ​​the playing field?")</f>
        <v>What is the surface area of ​​the playing field?</v>
      </c>
      <c r="I18" s="3" t="str">
        <f>IFERROR(__xludf.DUMMYFUNCTION("GOOGLETRANSLATE(C18, ""it"", ""en"")"),"A. Synthetic grass B. Rubber mat C. Natural sand D. Asphalt")</f>
        <v>A. Synthetic grass B. Rubber mat C. Natural sand D. Asphalt</v>
      </c>
      <c r="J18" s="3" t="str">
        <f>IFERROR(__xludf.DUMMYFUNCTION("GOOGLETRANSLATE(D18, ""it"", ""en"")"),"Natural sand")</f>
        <v>Natural sand</v>
      </c>
      <c r="K18" s="3" t="str">
        <f>IFERROR(__xludf.DUMMYFUNCTION("GOOGLETRANSLATE(E18, ""it"", ""en"")"),"The pitch is covered with sand to cushion impacts.")</f>
        <v>The pitch is covered with sand to cushion impacts.</v>
      </c>
      <c r="L18" s="2"/>
      <c r="M18" s="2"/>
      <c r="N18" s="2"/>
      <c r="O18" s="2"/>
      <c r="P18" s="2"/>
      <c r="Q18" s="2"/>
      <c r="R18" s="2"/>
      <c r="S18" s="2"/>
      <c r="T18" s="2"/>
      <c r="U18" s="2"/>
      <c r="V18" s="2"/>
      <c r="W18" s="2"/>
    </row>
    <row r="19" ht="22.5" customHeight="1">
      <c r="A19" s="3">
        <v>19.0</v>
      </c>
      <c r="B19" s="3" t="s">
        <v>72</v>
      </c>
      <c r="C19" s="3" t="s">
        <v>73</v>
      </c>
      <c r="D19" s="3" t="s">
        <v>74</v>
      </c>
      <c r="E19" s="3" t="s">
        <v>75</v>
      </c>
      <c r="F19" s="2"/>
      <c r="G19" s="3" t="str">
        <f>IFERROR(__xludf.DUMMYFUNCTION("GOOGLETRANSLATE(A19, ""it"", ""en"")"),"19")</f>
        <v>19</v>
      </c>
      <c r="H19" s="3" t="str">
        <f>IFERROR(__xludf.DUMMYFUNCTION("GOOGLETRANSLATE(B19, ""it"", ""en"")"),"What does Calcio Storico represent historically?")</f>
        <v>What does Calcio Storico represent historically?</v>
      </c>
      <c r="I19" s="3" t="str">
        <f>IFERROR(__xludf.DUMMYFUNCTION("GOOGLETRANSLATE(C19, ""it"", ""en"")"),"A. A religious exercise B. A pastime of the nobles C. A battle simulation D. A game for peasants")</f>
        <v>A. A religious exercise B. A pastime of the nobles C. A battle simulation D. A game for peasants</v>
      </c>
      <c r="J19" s="3" t="str">
        <f>IFERROR(__xludf.DUMMYFUNCTION("GOOGLETRANSLATE(D19, ""it"", ""en"")"),"A battle simulation")</f>
        <v>A battle simulation</v>
      </c>
      <c r="K19" s="3" t="str">
        <f>IFERROR(__xludf.DUMMYFUNCTION("GOOGLETRANSLATE(E19, ""it"", ""en"")"),"The game was born as military training.")</f>
        <v>The game was born as military training.</v>
      </c>
      <c r="L19" s="2"/>
      <c r="M19" s="2"/>
      <c r="N19" s="2"/>
      <c r="O19" s="2"/>
      <c r="P19" s="2"/>
      <c r="Q19" s="2"/>
      <c r="R19" s="2"/>
      <c r="S19" s="2"/>
      <c r="T19" s="2"/>
      <c r="U19" s="2"/>
      <c r="V19" s="2"/>
      <c r="W19" s="2"/>
    </row>
    <row r="20" ht="22.5" customHeight="1">
      <c r="A20" s="3">
        <v>20.0</v>
      </c>
      <c r="B20" s="3" t="s">
        <v>76</v>
      </c>
      <c r="C20" s="3" t="s">
        <v>77</v>
      </c>
      <c r="D20" s="3" t="s">
        <v>78</v>
      </c>
      <c r="E20" s="3" t="s">
        <v>79</v>
      </c>
      <c r="F20" s="2"/>
      <c r="G20" s="3" t="str">
        <f>IFERROR(__xludf.DUMMYFUNCTION("GOOGLETRANSLATE(A20, ""it"", ""en"")"),"20")</f>
        <v>20</v>
      </c>
      <c r="H20" s="3" t="str">
        <f>IFERROR(__xludf.DUMMYFUNCTION("GOOGLETRANSLATE(B20, ""it"", ""en"")"),"Who wins the Calcio Storico tournament?")</f>
        <v>Who wins the Calcio Storico tournament?</v>
      </c>
      <c r="I20" s="3" t="str">
        <f>IFERROR(__xludf.DUMMYFUNCTION("GOOGLETRANSLATE(C20, ""it"", ""en"")"),"A. He receives a gold trophy B. He receives a free dinner C. He receives a cow D. There is no specific prize")</f>
        <v>A. He receives a gold trophy B. He receives a free dinner C. He receives a cow D. There is no specific prize</v>
      </c>
      <c r="J20" s="3" t="str">
        <f>IFERROR(__xludf.DUMMYFUNCTION("GOOGLETRANSLATE(D20, ""it"", ""en"")"),"He receives a cow")</f>
        <v>He receives a cow</v>
      </c>
      <c r="K20" s="3" t="str">
        <f>IFERROR(__xludf.DUMMYFUNCTION("GOOGLETRANSLATE(E20, ""it"", ""en"")"),"The winner traditionally receives a cow.")</f>
        <v>The winner traditionally receives a cow.</v>
      </c>
      <c r="L20" s="2"/>
      <c r="M20" s="2"/>
      <c r="N20" s="2"/>
      <c r="O20" s="2"/>
      <c r="P20" s="2"/>
      <c r="Q20" s="2"/>
      <c r="R20" s="2"/>
      <c r="S20" s="2"/>
      <c r="T20" s="2"/>
      <c r="U20" s="2"/>
      <c r="V20" s="2"/>
      <c r="W20" s="2"/>
    </row>
    <row r="21" ht="22.5" customHeight="1">
      <c r="A21" s="3">
        <v>21.0</v>
      </c>
      <c r="B21" s="3" t="s">
        <v>80</v>
      </c>
      <c r="C21" s="3" t="s">
        <v>81</v>
      </c>
      <c r="D21" s="3" t="s">
        <v>82</v>
      </c>
      <c r="E21" s="3" t="s">
        <v>83</v>
      </c>
      <c r="F21" s="2"/>
      <c r="G21" s="3" t="str">
        <f>IFERROR(__xludf.DUMMYFUNCTION("GOOGLETRANSLATE(A21, ""it"", ""en"")"),"21")</f>
        <v>21</v>
      </c>
      <c r="H21" s="3" t="str">
        <f>IFERROR(__xludf.DUMMYFUNCTION("GOOGLETRANSLATE(B21, ""it"", ""en"")"),"How many consecutive passes are allowed before a shot?")</f>
        <v>How many consecutive passes are allowed before a shot?</v>
      </c>
      <c r="I21" s="3" t="str">
        <f>IFERROR(__xludf.DUMMYFUNCTION("GOOGLETRANSLATE(C21, ""it"", ""en"")"),"A. 1 B. 2 C. Unlimited D. 5")</f>
        <v>A. 1 B. 2 C. Unlimited D. 5</v>
      </c>
      <c r="J21" s="3" t="str">
        <f>IFERROR(__xludf.DUMMYFUNCTION("GOOGLETRANSLATE(D21, ""it"", ""en"")"),"Unlimited")</f>
        <v>Unlimited</v>
      </c>
      <c r="K21" s="3" t="str">
        <f>IFERROR(__xludf.DUMMYFUNCTION("GOOGLETRANSLATE(E21, ""it"", ""en"")"),"There is no limit to the number of steps.")</f>
        <v>There is no limit to the number of steps.</v>
      </c>
      <c r="L21" s="2"/>
      <c r="M21" s="2"/>
      <c r="N21" s="2"/>
      <c r="O21" s="2"/>
      <c r="P21" s="2"/>
      <c r="Q21" s="2"/>
      <c r="R21" s="2"/>
      <c r="S21" s="2"/>
      <c r="T21" s="2"/>
      <c r="U21" s="2"/>
      <c r="V21" s="2"/>
      <c r="W21" s="2"/>
    </row>
    <row r="22" ht="22.5" customHeight="1">
      <c r="A22" s="3">
        <v>22.0</v>
      </c>
      <c r="B22" s="3" t="s">
        <v>84</v>
      </c>
      <c r="C22" s="3" t="s">
        <v>85</v>
      </c>
      <c r="D22" s="3" t="s">
        <v>86</v>
      </c>
      <c r="E22" s="3" t="s">
        <v>87</v>
      </c>
      <c r="F22" s="2"/>
      <c r="G22" s="3" t="str">
        <f>IFERROR(__xludf.DUMMYFUNCTION("GOOGLETRANSLATE(A22, ""it"", ""en"")"),"22")</f>
        <v>22</v>
      </c>
      <c r="H22" s="3" t="str">
        <f>IFERROR(__xludf.DUMMYFUNCTION("GOOGLETRANSLATE(B22, ""it"", ""en"")"),"What is the length of the playing field?")</f>
        <v>What is the length of the playing field?</v>
      </c>
      <c r="I22" s="3" t="str">
        <f>IFERROR(__xludf.DUMMYFUNCTION("GOOGLETRANSLATE(C22, ""it"", ""en"")"),"A. 50 meters B. 80 meters C. 100 meters D. 120 meters")</f>
        <v>A. 50 meters B. 80 meters C. 100 meters D. 120 meters</v>
      </c>
      <c r="J22" s="3" t="str">
        <f>IFERROR(__xludf.DUMMYFUNCTION("GOOGLETRANSLATE(D22, ""it"", ""en"")"),"80 meters")</f>
        <v>80 meters</v>
      </c>
      <c r="K22" s="3" t="str">
        <f>IFERROR(__xludf.DUMMYFUNCTION("GOOGLETRANSLATE(E22, ""it"", ""en"")"),"The field is approximately 80 meters long.")</f>
        <v>The field is approximately 80 meters long.</v>
      </c>
      <c r="L22" s="2"/>
      <c r="M22" s="2"/>
      <c r="N22" s="2"/>
      <c r="O22" s="2"/>
      <c r="P22" s="2"/>
      <c r="Q22" s="2"/>
      <c r="R22" s="2"/>
      <c r="S22" s="2"/>
      <c r="T22" s="2"/>
      <c r="U22" s="2"/>
      <c r="V22" s="2"/>
      <c r="W22" s="2"/>
    </row>
    <row r="23" ht="22.5" customHeight="1">
      <c r="A23" s="3">
        <v>23.0</v>
      </c>
      <c r="B23" s="3" t="s">
        <v>88</v>
      </c>
      <c r="C23" s="3" t="s">
        <v>89</v>
      </c>
      <c r="D23" s="3" t="s">
        <v>90</v>
      </c>
      <c r="E23" s="3" t="s">
        <v>91</v>
      </c>
      <c r="F23" s="2"/>
      <c r="G23" s="3" t="str">
        <f>IFERROR(__xludf.DUMMYFUNCTION("GOOGLETRANSLATE(A23, ""it"", ""en"")"),"23")</f>
        <v>23</v>
      </c>
      <c r="H23" s="3" t="str">
        <f>IFERROR(__xludf.DUMMYFUNCTION("GOOGLETRANSLATE(B23, ""it"", ""en"")"),"What is the width of the field?")</f>
        <v>What is the width of the field?</v>
      </c>
      <c r="I23" s="3" t="str">
        <f>IFERROR(__xludf.DUMMYFUNCTION("GOOGLETRANSLATE(C23, ""it"", ""en"")"),"A. 30 meters B. 40 meters C. 50 meters D. 60 meters")</f>
        <v>A. 30 meters B. 40 meters C. 50 meters D. 60 meters</v>
      </c>
      <c r="J23" s="3" t="str">
        <f>IFERROR(__xludf.DUMMYFUNCTION("GOOGLETRANSLATE(D23, ""it"", ""en"")"),"40 meters")</f>
        <v>40 meters</v>
      </c>
      <c r="K23" s="3" t="str">
        <f>IFERROR(__xludf.DUMMYFUNCTION("GOOGLETRANSLATE(E23, ""it"", ""en"")"),"The field is approximately 40 meters wide.")</f>
        <v>The field is approximately 40 meters wide.</v>
      </c>
      <c r="L23" s="2"/>
      <c r="M23" s="2"/>
      <c r="N23" s="2"/>
      <c r="O23" s="2"/>
      <c r="P23" s="2"/>
      <c r="Q23" s="2"/>
      <c r="R23" s="2"/>
      <c r="S23" s="2"/>
      <c r="T23" s="2"/>
      <c r="U23" s="2"/>
      <c r="V23" s="2"/>
      <c r="W23" s="2"/>
    </row>
    <row r="24" ht="22.5" customHeight="1">
      <c r="A24" s="3">
        <v>24.0</v>
      </c>
      <c r="B24" s="3" t="s">
        <v>92</v>
      </c>
      <c r="C24" s="3" t="s">
        <v>93</v>
      </c>
      <c r="D24" s="3" t="s">
        <v>94</v>
      </c>
      <c r="E24" s="3" t="s">
        <v>95</v>
      </c>
      <c r="F24" s="2"/>
      <c r="G24" s="3" t="str">
        <f>IFERROR(__xludf.DUMMYFUNCTION("GOOGLETRANSLATE(A24, ""it"", ""en"")"),"24")</f>
        <v>24</v>
      </c>
      <c r="H24" s="3" t="str">
        <f>IFERROR(__xludf.DUMMYFUNCTION("GOOGLETRANSLATE(B24, ""it"", ""en"")"),"What happens if a player is sent off?")</f>
        <v>What happens if a player is sent off?</v>
      </c>
      <c r="I24" s="3" t="str">
        <f>IFERROR(__xludf.DUMMYFUNCTION("GOOGLETRANSLATE(C24, ""it"", ""en"")"),"A. The team can replace him B. The team remains numerically inferior C. The player returns after 10 minutes D. The match ends")</f>
        <v>A. The team can replace him B. The team remains numerically inferior C. The player returns after 10 minutes D. The match ends</v>
      </c>
      <c r="J24" s="3" t="str">
        <f>IFERROR(__xludf.DUMMYFUNCTION("GOOGLETRANSLATE(D24, ""it"", ""en"")"),"The team remains outnumbered")</f>
        <v>The team remains outnumbered</v>
      </c>
      <c r="K24" s="3" t="str">
        <f>IFERROR(__xludf.DUMMYFUNCTION("GOOGLETRANSLATE(E24, ""it"", ""en"")"),"A sent off player cannot be replaced.")</f>
        <v>A sent off player cannot be replaced.</v>
      </c>
      <c r="L24" s="2"/>
      <c r="M24" s="2"/>
      <c r="N24" s="2"/>
      <c r="O24" s="2"/>
      <c r="P24" s="2"/>
      <c r="Q24" s="2"/>
      <c r="R24" s="2"/>
      <c r="S24" s="2"/>
      <c r="T24" s="2"/>
      <c r="U24" s="2"/>
      <c r="V24" s="2"/>
      <c r="W24" s="2"/>
    </row>
    <row r="25" ht="22.5" customHeight="1">
      <c r="A25" s="3">
        <v>25.0</v>
      </c>
      <c r="B25" s="3" t="s">
        <v>96</v>
      </c>
      <c r="C25" s="3" t="s">
        <v>97</v>
      </c>
      <c r="D25" s="3" t="s">
        <v>98</v>
      </c>
      <c r="E25" s="3" t="s">
        <v>99</v>
      </c>
      <c r="F25" s="2"/>
      <c r="G25" s="3" t="str">
        <f>IFERROR(__xludf.DUMMYFUNCTION("GOOGLETRANSLATE(A25, ""it"", ""en"")"),"25")</f>
        <v>25</v>
      </c>
      <c r="H25" s="3" t="str">
        <f>IFERROR(__xludf.DUMMYFUNCTION("GOOGLETRANSLATE(B25, ""it"", ""en"")"),"What is the name of the chief referee?")</f>
        <v>What is the name of the chief referee?</v>
      </c>
      <c r="I25" s="3" t="str">
        <f>IFERROR(__xludf.DUMMYFUNCTION("GOOGLETRANSLATE(C25, ""it"", ""en"")"),"A. Master of the Camp B. Commander C. Guarantor D. Captain")</f>
        <v>A. Master of the Camp B. Commander C. Guarantor D. Captain</v>
      </c>
      <c r="J25" s="3" t="str">
        <f>IFERROR(__xludf.DUMMYFUNCTION("GOOGLETRANSLATE(D25, ""it"", ""en"")"),"Master of the Field")</f>
        <v>Master of the Field</v>
      </c>
      <c r="K25" s="3" t="str">
        <f>IFERROR(__xludf.DUMMYFUNCTION("GOOGLETRANSLATE(E25, ""it"", ""en"")"),"The Field Master is the main referee of the game.")</f>
        <v>The Field Master is the main referee of the game.</v>
      </c>
      <c r="L25" s="2"/>
      <c r="M25" s="2"/>
      <c r="N25" s="2"/>
      <c r="O25" s="2"/>
      <c r="P25" s="2"/>
      <c r="Q25" s="2"/>
      <c r="R25" s="2"/>
      <c r="S25" s="2"/>
      <c r="T25" s="2"/>
      <c r="U25" s="2"/>
      <c r="V25" s="2"/>
      <c r="W25" s="2"/>
    </row>
    <row r="26" ht="22.5" customHeight="1">
      <c r="A26" s="3">
        <v>26.0</v>
      </c>
      <c r="B26" s="3" t="s">
        <v>100</v>
      </c>
      <c r="C26" s="3" t="s">
        <v>101</v>
      </c>
      <c r="D26" s="3">
        <v>2.0</v>
      </c>
      <c r="E26" s="3" t="s">
        <v>102</v>
      </c>
      <c r="F26" s="2"/>
      <c r="G26" s="3" t="str">
        <f>IFERROR(__xludf.DUMMYFUNCTION("GOOGLETRANSLATE(A26, ""it"", ""en"")"),"26")</f>
        <v>26</v>
      </c>
      <c r="H26" s="3" t="str">
        <f>IFERROR(__xludf.DUMMYFUNCTION("GOOGLETRANSLATE(B26, ""it"", ""en"")"),"How many center lines does the field have?")</f>
        <v>How many center lines does the field have?</v>
      </c>
      <c r="I26" s="3" t="str">
        <f>IFERROR(__xludf.DUMMYFUNCTION("GOOGLETRANSLATE(C26, ""it"", ""en"")"),"A. 1 B. 2 C. 3 D. 4")</f>
        <v>A. 1 B. 2 C. 3 D. 4</v>
      </c>
      <c r="J26" s="3" t="str">
        <f>IFERROR(__xludf.DUMMYFUNCTION("GOOGLETRANSLATE(D26, ""it"", ""en"")"),"2")</f>
        <v>2</v>
      </c>
      <c r="K26" s="3" t="str">
        <f>IFERROR(__xludf.DUMMYFUNCTION("GOOGLETRANSLATE(E26, ""it"", ""en"")"),"The field is divided by two central lines.")</f>
        <v>The field is divided by two central lines.</v>
      </c>
      <c r="L26" s="2"/>
      <c r="M26" s="2"/>
      <c r="N26" s="2"/>
      <c r="O26" s="2"/>
      <c r="P26" s="2"/>
      <c r="Q26" s="2"/>
      <c r="R26" s="2"/>
      <c r="S26" s="2"/>
      <c r="T26" s="2"/>
      <c r="U26" s="2"/>
      <c r="V26" s="2"/>
      <c r="W26" s="2"/>
    </row>
    <row r="27" ht="22.5" customHeight="1">
      <c r="A27" s="3">
        <v>27.0</v>
      </c>
      <c r="B27" s="3" t="s">
        <v>103</v>
      </c>
      <c r="C27" s="3" t="s">
        <v>104</v>
      </c>
      <c r="D27" s="3" t="s">
        <v>105</v>
      </c>
      <c r="E27" s="3" t="s">
        <v>106</v>
      </c>
      <c r="F27" s="2"/>
      <c r="G27" s="3" t="str">
        <f>IFERROR(__xludf.DUMMYFUNCTION("GOOGLETRANSLATE(A27, ""it"", ""en"")"),"27")</f>
        <v>27</v>
      </c>
      <c r="H27" s="3" t="str">
        <f>IFERROR(__xludf.DUMMYFUNCTION("GOOGLETRANSLATE(B27, ""it"", ""en"")"),"When was Calcio Storico born?")</f>
        <v>When was Calcio Storico born?</v>
      </c>
      <c r="I27" s="3" t="str">
        <f>IFERROR(__xludf.DUMMYFUNCTION("GOOGLETRANSLATE(C27, ""it"", ""en"")"),"A. In the 13th century B. In the 15th century C. In the 17th century D. In the 19th century")</f>
        <v>A. In the 13th century B. In the 15th century C. In the 17th century D. In the 19th century</v>
      </c>
      <c r="J27" s="3" t="str">
        <f>IFERROR(__xludf.DUMMYFUNCTION("GOOGLETRANSLATE(D27, ""it"", ""en"")"),"In the 13th century")</f>
        <v>In the 13th century</v>
      </c>
      <c r="K27" s="3" t="str">
        <f>IFERROR(__xludf.DUMMYFUNCTION("GOOGLETRANSLATE(E27, ""it"", ""en"")"),"The game originated in the 13th century.")</f>
        <v>The game originated in the 13th century.</v>
      </c>
      <c r="L27" s="2"/>
      <c r="M27" s="2"/>
      <c r="N27" s="2"/>
      <c r="O27" s="2"/>
      <c r="P27" s="2"/>
      <c r="Q27" s="2"/>
      <c r="R27" s="2"/>
      <c r="S27" s="2"/>
      <c r="T27" s="2"/>
      <c r="U27" s="2"/>
      <c r="V27" s="2"/>
      <c r="W27" s="2"/>
    </row>
    <row r="28" ht="22.5" customHeight="1">
      <c r="A28" s="3">
        <v>28.0</v>
      </c>
      <c r="B28" s="3" t="s">
        <v>107</v>
      </c>
      <c r="C28" s="3" t="s">
        <v>108</v>
      </c>
      <c r="D28" s="3">
        <v>0.0</v>
      </c>
      <c r="E28" s="3" t="s">
        <v>109</v>
      </c>
      <c r="F28" s="2"/>
      <c r="G28" s="3" t="str">
        <f>IFERROR(__xludf.DUMMYFUNCTION("GOOGLETRANSLATE(A28, ""it"", ""en"")"),"28")</f>
        <v>28</v>
      </c>
      <c r="H28" s="3" t="str">
        <f>IFERROR(__xludf.DUMMYFUNCTION("GOOGLETRANSLATE(B28, ""it"", ""en"")"),"How many points is a ""half hunt"" worth?")</f>
        <v>How many points is a "half hunt" worth?</v>
      </c>
      <c r="I28" s="3" t="str">
        <f>IFERROR(__xludf.DUMMYFUNCTION("GOOGLETRANSLATE(C28, ""it"", ""en"")"),"A. 1 B. 2 C. 3 D. 0")</f>
        <v>A. 1 B. 2 C. 3 D. 0</v>
      </c>
      <c r="J28" s="3" t="str">
        <f>IFERROR(__xludf.DUMMYFUNCTION("GOOGLETRANSLATE(D28, ""it"", ""en"")"),"0")</f>
        <v>0</v>
      </c>
      <c r="K28" s="3" t="str">
        <f>IFERROR(__xludf.DUMMYFUNCTION("GOOGLETRANSLATE(E28, ""it"", ""en"")"),"A half hunt is worth no points.")</f>
        <v>A half hunt is worth no points.</v>
      </c>
      <c r="L28" s="2"/>
      <c r="M28" s="2"/>
      <c r="N28" s="2"/>
      <c r="O28" s="2"/>
      <c r="P28" s="2"/>
      <c r="Q28" s="2"/>
      <c r="R28" s="2"/>
      <c r="S28" s="2"/>
      <c r="T28" s="2"/>
      <c r="U28" s="2"/>
      <c r="V28" s="2"/>
      <c r="W28" s="2"/>
    </row>
    <row r="29" ht="22.5" customHeight="1">
      <c r="A29" s="3">
        <v>29.0</v>
      </c>
      <c r="B29" s="3" t="s">
        <v>110</v>
      </c>
      <c r="C29" s="3" t="s">
        <v>111</v>
      </c>
      <c r="D29" s="3" t="s">
        <v>112</v>
      </c>
      <c r="E29" s="3" t="s">
        <v>113</v>
      </c>
      <c r="F29" s="2"/>
      <c r="G29" s="3" t="str">
        <f>IFERROR(__xludf.DUMMYFUNCTION("GOOGLETRANSLATE(A29, ""it"", ""en"")"),"29")</f>
        <v>29</v>
      </c>
      <c r="H29" s="3" t="str">
        <f>IFERROR(__xludf.DUMMYFUNCTION("GOOGLETRANSLATE(B29, ""it"", ""en"")"),"What action is considered unsportsmanlike?")</f>
        <v>What action is considered unsportsmanlike?</v>
      </c>
      <c r="I29" s="3" t="str">
        <f>IFERROR(__xludf.DUMMYFUNCTION("GOOGLETRANSLATE(C29, ""it"", ""en"")"),"A. Passing laterally B. Blocking the ball C. Hitting an opponent for no reason D. Shouting")</f>
        <v>A. Passing laterally B. Blocking the ball C. Hitting an opponent for no reason D. Shouting</v>
      </c>
      <c r="J29" s="3" t="str">
        <f>IFERROR(__xludf.DUMMYFUNCTION("GOOGLETRANSLATE(D29, ""it"", ""en"")"),"Hitting an opponent without reason")</f>
        <v>Hitting an opponent without reason</v>
      </c>
      <c r="K29" s="3" t="str">
        <f>IFERROR(__xludf.DUMMYFUNCTION("GOOGLETRANSLATE(E29, ""it"", ""en"")"),"Unnecessary acts of violence are considered unsportsmanlike.")</f>
        <v>Unnecessary acts of violence are considered unsportsmanlike.</v>
      </c>
      <c r="L29" s="2"/>
      <c r="M29" s="2"/>
      <c r="N29" s="2"/>
      <c r="O29" s="2"/>
      <c r="P29" s="2"/>
      <c r="Q29" s="2"/>
      <c r="R29" s="2"/>
      <c r="S29" s="2"/>
      <c r="T29" s="2"/>
      <c r="U29" s="2"/>
      <c r="V29" s="2"/>
      <c r="W29" s="2"/>
    </row>
    <row r="30" ht="22.5" customHeight="1">
      <c r="A30" s="3">
        <v>30.0</v>
      </c>
      <c r="B30" s="3" t="s">
        <v>114</v>
      </c>
      <c r="C30" s="3" t="s">
        <v>115</v>
      </c>
      <c r="D30" s="3" t="s">
        <v>116</v>
      </c>
      <c r="E30" s="3" t="s">
        <v>117</v>
      </c>
      <c r="F30" s="2"/>
      <c r="G30" s="3" t="str">
        <f>IFERROR(__xludf.DUMMYFUNCTION("GOOGLETRANSLATE(A30, ""it"", ""en"")"),"30")</f>
        <v>30</v>
      </c>
      <c r="H30" s="3" t="str">
        <f>IFERROR(__xludf.DUMMYFUNCTION("GOOGLETRANSLATE(B30, ""it"", ""en"")"),"What happens if a player gets injured?")</f>
        <v>What happens if a player gets injured?</v>
      </c>
      <c r="I30" s="3" t="str">
        <f>IFERROR(__xludf.DUMMYFUNCTION("GOOGLETRANSLATE(C30, ""it"", ""en"")"),"A. He is substituted B. He must leave the pitch C. He continues playing D. The match is suspended")</f>
        <v>A. He is substituted B. He must leave the pitch C. He continues playing D. The match is suspended</v>
      </c>
      <c r="J30" s="3" t="str">
        <f>IFERROR(__xludf.DUMMYFUNCTION("GOOGLETRANSLATE(D30, ""it"", ""en"")"),"He must leave the field")</f>
        <v>He must leave the field</v>
      </c>
      <c r="K30" s="3" t="str">
        <f>IFERROR(__xludf.DUMMYFUNCTION("GOOGLETRANSLATE(E30, ""it"", ""en"")"),"An injured player must leave the field.")</f>
        <v>An injured player must leave the field.</v>
      </c>
      <c r="L30" s="2"/>
      <c r="M30" s="2"/>
      <c r="N30" s="2"/>
      <c r="O30" s="2"/>
      <c r="P30" s="2"/>
      <c r="Q30" s="2"/>
      <c r="R30" s="2"/>
      <c r="S30" s="2"/>
      <c r="T30" s="2"/>
      <c r="U30" s="2"/>
      <c r="V30" s="2"/>
      <c r="W30" s="2"/>
    </row>
    <row r="31" ht="22.5" customHeight="1">
      <c r="A31" s="3">
        <v>31.0</v>
      </c>
      <c r="B31" s="3" t="s">
        <v>118</v>
      </c>
      <c r="C31" s="3" t="s">
        <v>119</v>
      </c>
      <c r="D31" s="3" t="s">
        <v>120</v>
      </c>
      <c r="E31" s="3" t="s">
        <v>121</v>
      </c>
      <c r="F31" s="2"/>
      <c r="G31" s="3" t="str">
        <f>IFERROR(__xludf.DUMMYFUNCTION("GOOGLETRANSLATE(A31, ""it"", ""en"")"),"31")</f>
        <v>31</v>
      </c>
      <c r="H31" s="3" t="str">
        <f>IFERROR(__xludf.DUMMYFUNCTION("GOOGLETRANSLATE(B31, ""it"", ""en"")"),"What is the role of the ""Portatori"" in Calcio Storico?")</f>
        <v>What is the role of the "Portatori" in Calcio Storico?</v>
      </c>
      <c r="I31" s="3" t="str">
        <f>IFERROR(__xludf.DUMMYFUNCTION("GOOGLETRANSLATE(C31, ""it"", ""en"")"),"A. Mark the chases B. Protect the defenders C. Maintain possession D. Block the passes")</f>
        <v>A. Mark the chases B. Protect the defenders C. Maintain possession D. Block the passes</v>
      </c>
      <c r="J31" s="3" t="str">
        <f>IFERROR(__xludf.DUMMYFUNCTION("GOOGLETRANSLATE(D31, ""it"", ""en"")"),"Maintain possession of the ball")</f>
        <v>Maintain possession of the ball</v>
      </c>
      <c r="K31" s="3" t="str">
        <f>IFERROR(__xludf.DUMMYFUNCTION("GOOGLETRANSLATE(E31, ""it"", ""en"")"),"The ""Carriers"" are responsible for maintaining control of the ball.")</f>
        <v>The "Carriers" are responsible for maintaining control of the ball.</v>
      </c>
      <c r="L31" s="2"/>
      <c r="M31" s="2"/>
      <c r="N31" s="2"/>
      <c r="O31" s="2"/>
      <c r="P31" s="2"/>
      <c r="Q31" s="2"/>
      <c r="R31" s="2"/>
      <c r="S31" s="2"/>
      <c r="T31" s="2"/>
      <c r="U31" s="2"/>
      <c r="V31" s="2"/>
      <c r="W31" s="2"/>
    </row>
    <row r="32" ht="22.5" customHeight="1">
      <c r="A32" s="3">
        <v>32.0</v>
      </c>
      <c r="B32" s="3" t="s">
        <v>122</v>
      </c>
      <c r="C32" s="3" t="s">
        <v>123</v>
      </c>
      <c r="D32" s="3" t="s">
        <v>124</v>
      </c>
      <c r="E32" s="3" t="s">
        <v>125</v>
      </c>
      <c r="F32" s="2"/>
      <c r="G32" s="3" t="str">
        <f>IFERROR(__xludf.DUMMYFUNCTION("GOOGLETRANSLATE(A32, ""it"", ""en"")"),"32")</f>
        <v>32</v>
      </c>
      <c r="H32" s="3" t="str">
        <f>IFERROR(__xludf.DUMMYFUNCTION("GOOGLETRANSLATE(B32, ""it"", ""en"")"),"What is the importance of the ""Captain"" in a Calcio Storico team?")</f>
        <v>What is the importance of the "Captain" in a Calcio Storico team?</v>
      </c>
      <c r="I32" s="3" t="str">
        <f>IFERROR(__xludf.DUMMYFUNCTION("GOOGLETRANSLATE(C32, ""it"", ""en"")"),"A. Marks the hunts B. Referees the match C. Coordinates the strategy D. Assumes defensive roles")</f>
        <v>A. Marks the hunts B. Referees the match C. Coordinates the strategy D. Assumes defensive roles</v>
      </c>
      <c r="J32" s="3" t="str">
        <f>IFERROR(__xludf.DUMMYFUNCTION("GOOGLETRANSLATE(D32, ""it"", ""en"")"),"Coordinate the strategy")</f>
        <v>Coordinate the strategy</v>
      </c>
      <c r="K32" s="3" t="str">
        <f>IFERROR(__xludf.DUMMYFUNCTION("GOOGLETRANSLATE(E32, ""it"", ""en"")"),"The Captain leads the team and decides the tactics.")</f>
        <v>The Captain leads the team and decides the tactics.</v>
      </c>
      <c r="L32" s="2"/>
      <c r="M32" s="2"/>
      <c r="N32" s="2"/>
      <c r="O32" s="2"/>
      <c r="P32" s="2"/>
      <c r="Q32" s="2"/>
      <c r="R32" s="2"/>
      <c r="S32" s="2"/>
      <c r="T32" s="2"/>
      <c r="U32" s="2"/>
      <c r="V32" s="2"/>
      <c r="W32" s="2"/>
    </row>
    <row r="33" ht="22.5" customHeight="1">
      <c r="A33" s="3">
        <v>33.0</v>
      </c>
      <c r="B33" s="3" t="s">
        <v>126</v>
      </c>
      <c r="C33" s="3" t="s">
        <v>127</v>
      </c>
      <c r="D33" s="3" t="s">
        <v>128</v>
      </c>
      <c r="E33" s="3" t="s">
        <v>129</v>
      </c>
      <c r="F33" s="2"/>
      <c r="G33" s="3" t="str">
        <f>IFERROR(__xludf.DUMMYFUNCTION("GOOGLETRANSLATE(A33, ""it"", ""en"")"),"33")</f>
        <v>33</v>
      </c>
      <c r="H33" s="3" t="str">
        <f>IFERROR(__xludf.DUMMYFUNCTION("GOOGLETRANSLATE(B33, ""it"", ""en"")"),"What is not allowed during physical contact?")</f>
        <v>What is not allowed during physical contact?</v>
      </c>
      <c r="I33" s="3" t="str">
        <f>IFERROR(__xludf.DUMMYFUNCTION("GOOGLETRANSLATE(C33, ""it"", ""en"")"),"A. Blocking the opponent B. Tugging on the shirt C. Hitting in the face D. Pushing")</f>
        <v>A. Blocking the opponent B. Tugging on the shirt C. Hitting in the face D. Pushing</v>
      </c>
      <c r="J33" s="3" t="str">
        <f>IFERROR(__xludf.DUMMYFUNCTION("GOOGLETRANSLATE(D33, ""it"", ""en"")"),"Hitting in the face")</f>
        <v>Hitting in the face</v>
      </c>
      <c r="K33" s="3" t="str">
        <f>IFERROR(__xludf.DUMMYFUNCTION("GOOGLETRANSLATE(E33, ""it"", ""en"")"),"Hitting someone in the face is considered bad behavior.")</f>
        <v>Hitting someone in the face is considered bad behavior.</v>
      </c>
      <c r="L33" s="2"/>
      <c r="M33" s="2"/>
      <c r="N33" s="2"/>
      <c r="O33" s="2"/>
      <c r="P33" s="2"/>
      <c r="Q33" s="2"/>
      <c r="R33" s="2"/>
      <c r="S33" s="2"/>
      <c r="T33" s="2"/>
      <c r="U33" s="2"/>
      <c r="V33" s="2"/>
      <c r="W33" s="2"/>
    </row>
    <row r="34" ht="22.5" customHeight="1">
      <c r="A34" s="3">
        <v>34.0</v>
      </c>
      <c r="B34" s="3" t="s">
        <v>130</v>
      </c>
      <c r="C34" s="3" t="s">
        <v>131</v>
      </c>
      <c r="D34" s="3" t="s">
        <v>132</v>
      </c>
      <c r="E34" s="3" t="s">
        <v>133</v>
      </c>
      <c r="F34" s="2"/>
      <c r="G34" s="3" t="str">
        <f>IFERROR(__xludf.DUMMYFUNCTION("GOOGLETRANSLATE(A34, ""it"", ""en"")"),"34")</f>
        <v>34</v>
      </c>
      <c r="H34" s="3" t="str">
        <f>IFERROR(__xludf.DUMMYFUNCTION("GOOGLETRANSLATE(B34, ""it"", ""en"")"),"What is the importance of the ""Guards""?")</f>
        <v>What is the importance of the "Guards"?</v>
      </c>
      <c r="I34" s="3" t="str">
        <f>IFERROR(__xludf.DUMMYFUNCTION("GOOGLETRANSLATE(C34, ""it"", ""en"")"),"A. Defend the goal area B. Prevent long passes C. Block attackers D. Protect the Captain")</f>
        <v>A. Defend the goal area B. Prevent long passes C. Block attackers D. Protect the Captain</v>
      </c>
      <c r="J34" s="3" t="str">
        <f>IFERROR(__xludf.DUMMYFUNCTION("GOOGLETRANSLATE(D34, ""it"", ""en"")"),"Block the attackers")</f>
        <v>Block the attackers</v>
      </c>
      <c r="K34" s="3" t="str">
        <f>IFERROR(__xludf.DUMMYFUNCTION("GOOGLETRANSLATE(E34, ""it"", ""en"")"),"The Guards are responsible for stopping opposing attackers.")</f>
        <v>The Guards are responsible for stopping opposing attackers.</v>
      </c>
      <c r="L34" s="2"/>
      <c r="M34" s="2"/>
      <c r="N34" s="2"/>
      <c r="O34" s="2"/>
      <c r="P34" s="2"/>
      <c r="Q34" s="2"/>
      <c r="R34" s="2"/>
      <c r="S34" s="2"/>
      <c r="T34" s="2"/>
      <c r="U34" s="2"/>
      <c r="V34" s="2"/>
      <c r="W34" s="2"/>
    </row>
    <row r="35" ht="22.5" customHeight="1">
      <c r="A35" s="3">
        <v>35.0</v>
      </c>
      <c r="B35" s="3" t="s">
        <v>134</v>
      </c>
      <c r="C35" s="3" t="s">
        <v>135</v>
      </c>
      <c r="D35" s="3" t="s">
        <v>136</v>
      </c>
      <c r="E35" s="3" t="s">
        <v>137</v>
      </c>
      <c r="F35" s="2"/>
      <c r="G35" s="3" t="str">
        <f>IFERROR(__xludf.DUMMYFUNCTION("GOOGLETRANSLATE(A35, ""it"", ""en"")"),"35")</f>
        <v>35</v>
      </c>
      <c r="H35" s="3" t="str">
        <f>IFERROR(__xludf.DUMMYFUNCTION("GOOGLETRANSLATE(B35, ""it"", ""en"")"),"What attitude is considered respectful towards the opponent?")</f>
        <v>What attitude is considered respectful towards the opponent?</v>
      </c>
      <c r="I35" s="3" t="str">
        <f>IFERROR(__xludf.DUMMYFUNCTION("GOOGLETRANSLATE(C35, ""it"", ""en"")"),"A. Avoid physical contact B. Avoid insults and violence C. Do not score too many points D. Apologize during the game")</f>
        <v>A. Avoid physical contact B. Avoid insults and violence C. Do not score too many points D. Apologize during the game</v>
      </c>
      <c r="J35" s="3" t="str">
        <f>IFERROR(__xludf.DUMMYFUNCTION("GOOGLETRANSLATE(D35, ""it"", ""en"")"),"Avoid insults and violence")</f>
        <v>Avoid insults and violence</v>
      </c>
      <c r="K35" s="3" t="str">
        <f>IFERROR(__xludf.DUMMYFUNCTION("GOOGLETRANSLATE(E35, ""it"", ""en"")"),"Respect is fundamental in Calcio Storico.")</f>
        <v>Respect is fundamental in Calcio Storico.</v>
      </c>
      <c r="L35" s="2"/>
      <c r="M35" s="2"/>
      <c r="N35" s="2"/>
      <c r="O35" s="2"/>
      <c r="P35" s="2"/>
      <c r="Q35" s="2"/>
      <c r="R35" s="2"/>
      <c r="S35" s="2"/>
      <c r="T35" s="2"/>
      <c r="U35" s="2"/>
      <c r="V35" s="2"/>
      <c r="W35" s="2"/>
    </row>
    <row r="36" ht="22.5" customHeight="1">
      <c r="A36" s="3">
        <v>36.0</v>
      </c>
      <c r="B36" s="3" t="s">
        <v>138</v>
      </c>
      <c r="C36" s="3" t="s">
        <v>139</v>
      </c>
      <c r="D36" s="3" t="s">
        <v>140</v>
      </c>
      <c r="E36" s="3" t="s">
        <v>141</v>
      </c>
      <c r="F36" s="2"/>
      <c r="G36" s="3" t="str">
        <f>IFERROR(__xludf.DUMMYFUNCTION("GOOGLETRANSLATE(A36, ""it"", ""en"")"),"36")</f>
        <v>36</v>
      </c>
      <c r="H36" s="3" t="str">
        <f>IFERROR(__xludf.DUMMYFUNCTION("GOOGLETRANSLATE(B36, ""it"", ""en"")"),"What does a ""half hunt"" represent?")</f>
        <v>What does a "half hunt" represent?</v>
      </c>
      <c r="I36" s="3" t="str">
        <f>IFERROR(__xludf.DUMMYFUNCTION("GOOGLETRANSLATE(C36, ""it"", ""en"")"),"A. A completed goal B. An aiming error C. A disallowed goal D. A bonus point")</f>
        <v>A. A completed goal B. An aiming error C. A disallowed goal D. A bonus point</v>
      </c>
      <c r="J36" s="3" t="str">
        <f>IFERROR(__xludf.DUMMYFUNCTION("GOOGLETRANSLATE(D36, ""it"", ""en"")"),"An aiming error")</f>
        <v>An aiming error</v>
      </c>
      <c r="K36" s="3" t="str">
        <f>IFERROR(__xludf.DUMMYFUNCTION("GOOGLETRANSLATE(E36, ""it"", ""en"")"),"A ""half-shot"" is a shot that misses the target.")</f>
        <v>A "half-shot" is a shot that misses the target.</v>
      </c>
      <c r="L36" s="2"/>
      <c r="M36" s="2"/>
      <c r="N36" s="2"/>
      <c r="O36" s="2"/>
      <c r="P36" s="2"/>
      <c r="Q36" s="2"/>
      <c r="R36" s="2"/>
      <c r="S36" s="2"/>
      <c r="T36" s="2"/>
      <c r="U36" s="2"/>
      <c r="V36" s="2"/>
      <c r="W36" s="2"/>
    </row>
    <row r="37" ht="22.5" customHeight="1">
      <c r="A37" s="3">
        <v>37.0</v>
      </c>
      <c r="B37" s="3" t="s">
        <v>142</v>
      </c>
      <c r="C37" s="3" t="s">
        <v>143</v>
      </c>
      <c r="D37" s="3" t="s">
        <v>144</v>
      </c>
      <c r="E37" s="3" t="s">
        <v>145</v>
      </c>
      <c r="F37" s="2"/>
      <c r="G37" s="3" t="str">
        <f>IFERROR(__xludf.DUMMYFUNCTION("GOOGLETRANSLATE(A37, ""it"", ""en"")"),"37")</f>
        <v>37</v>
      </c>
      <c r="H37" s="3" t="str">
        <f>IFERROR(__xludf.DUMMYFUNCTION("GOOGLETRANSLATE(B37, ""it"", ""en"")"),"When can the public attend Calcio Storico?")</f>
        <v>When can the public attend Calcio Storico?</v>
      </c>
      <c r="I37" s="3" t="str">
        <f>IFERROR(__xludf.DUMMYFUNCTION("GOOGLETRANSLATE(C37, ""it"", ""en"")"),"A. Never B. After a foul C. During the initial toss D. Only at the end of the match")</f>
        <v>A. Never B. After a foul C. During the initial toss D. Only at the end of the match</v>
      </c>
      <c r="J37" s="3" t="str">
        <f>IFERROR(__xludf.DUMMYFUNCTION("GOOGLETRANSLATE(D37, ""it"", ""en"")"),"Never")</f>
        <v>Never</v>
      </c>
      <c r="K37" s="3" t="str">
        <f>IFERROR(__xludf.DUMMYFUNCTION("GOOGLETRANSLATE(E37, ""it"", ""en"")"),"The public is not allowed to intervene in the game.")</f>
        <v>The public is not allowed to intervene in the game.</v>
      </c>
      <c r="L37" s="2"/>
      <c r="M37" s="2"/>
      <c r="N37" s="2"/>
      <c r="O37" s="2"/>
      <c r="P37" s="2"/>
      <c r="Q37" s="2"/>
      <c r="R37" s="2"/>
      <c r="S37" s="2"/>
      <c r="T37" s="2"/>
      <c r="U37" s="2"/>
      <c r="V37" s="2"/>
      <c r="W37" s="2"/>
    </row>
    <row r="38" ht="22.5" customHeight="1">
      <c r="A38" s="3">
        <v>38.0</v>
      </c>
      <c r="B38" s="3" t="s">
        <v>146</v>
      </c>
      <c r="C38" s="3" t="s">
        <v>147</v>
      </c>
      <c r="D38" s="3" t="s">
        <v>148</v>
      </c>
      <c r="E38" s="3" t="s">
        <v>149</v>
      </c>
      <c r="F38" s="2"/>
      <c r="G38" s="3" t="str">
        <f>IFERROR(__xludf.DUMMYFUNCTION("GOOGLETRANSLATE(A38, ""it"", ""en"")"),"38")</f>
        <v>38</v>
      </c>
      <c r="H38" s="3" t="str">
        <f>IFERROR(__xludf.DUMMYFUNCTION("GOOGLETRANSLATE(B38, ""it"", ""en"")"),"What type of clothing is used in Calcio Storico?")</f>
        <v>What type of clothing is used in Calcio Storico?</v>
      </c>
      <c r="I38" s="3" t="str">
        <f>IFERROR(__xludf.DUMMYFUNCTION("GOOGLETRANSLATE(C38, ""it"", ""en"")"),"A. Modern T-shirts B. Medieval uniforms C. Traditional costumes D. Linen tunics")</f>
        <v>A. Modern T-shirts B. Medieval uniforms C. Traditional costumes D. Linen tunics</v>
      </c>
      <c r="J38" s="3" t="str">
        <f>IFERROR(__xludf.DUMMYFUNCTION("GOOGLETRANSLATE(D38, ""it"", ""en"")"),"Linen shirts")</f>
        <v>Linen shirts</v>
      </c>
      <c r="K38" s="3" t="str">
        <f>IFERROR(__xludf.DUMMYFUNCTION("GOOGLETRANSLATE(E38, ""it"", ""en"")"),"The players wear traditional linen jerseys.")</f>
        <v>The players wear traditional linen jerseys.</v>
      </c>
      <c r="L38" s="2"/>
      <c r="M38" s="2"/>
      <c r="N38" s="2"/>
      <c r="O38" s="2"/>
      <c r="P38" s="2"/>
      <c r="Q38" s="2"/>
      <c r="R38" s="2"/>
      <c r="S38" s="2"/>
      <c r="T38" s="2"/>
      <c r="U38" s="2"/>
      <c r="V38" s="2"/>
      <c r="W38" s="2"/>
    </row>
    <row r="39" ht="22.5" customHeight="1">
      <c r="A39" s="3">
        <v>39.0</v>
      </c>
      <c r="B39" s="3" t="s">
        <v>150</v>
      </c>
      <c r="C39" s="3" t="s">
        <v>151</v>
      </c>
      <c r="D39" s="3" t="s">
        <v>152</v>
      </c>
      <c r="E39" s="3" t="s">
        <v>153</v>
      </c>
      <c r="F39" s="2"/>
      <c r="G39" s="3" t="str">
        <f>IFERROR(__xludf.DUMMYFUNCTION("GOOGLETRANSLATE(A39, ""it"", ""en"")"),"39")</f>
        <v>39</v>
      </c>
      <c r="H39" s="3" t="str">
        <f>IFERROR(__xludf.DUMMYFUNCTION("GOOGLETRANSLATE(B39, ""it"", ""en"")"),"What materials are used to make the ball?")</f>
        <v>What materials are used to make the ball?</v>
      </c>
      <c r="I39" s="3" t="str">
        <f>IFERROR(__xludf.DUMMYFUNCTION("GOOGLETRANSLATE(C39, ""it"", ""en"")"),"A. Synthetic leather B. Plastic C. Animal skin D. Wood")</f>
        <v>A. Synthetic leather B. Plastic C. Animal skin D. Wood</v>
      </c>
      <c r="J39" s="3" t="str">
        <f>IFERROR(__xludf.DUMMYFUNCTION("GOOGLETRANSLATE(D39, ""it"", ""en"")"),"Animal skin")</f>
        <v>Animal skin</v>
      </c>
      <c r="K39" s="3" t="str">
        <f>IFERROR(__xludf.DUMMYFUNCTION("GOOGLETRANSLATE(E39, ""it"", ""en"")"),"The balls are made of animal skin.")</f>
        <v>The balls are made of animal skin.</v>
      </c>
      <c r="L39" s="2"/>
      <c r="M39" s="2"/>
      <c r="N39" s="2"/>
      <c r="O39" s="2"/>
      <c r="P39" s="2"/>
      <c r="Q39" s="2"/>
      <c r="R39" s="2"/>
      <c r="S39" s="2"/>
      <c r="T39" s="2"/>
      <c r="U39" s="2"/>
      <c r="V39" s="2"/>
      <c r="W39" s="2"/>
    </row>
    <row r="40" ht="22.5" customHeight="1">
      <c r="A40" s="3">
        <v>40.0</v>
      </c>
      <c r="B40" s="3" t="s">
        <v>154</v>
      </c>
      <c r="C40" s="3" t="s">
        <v>155</v>
      </c>
      <c r="D40" s="3" t="s">
        <v>156</v>
      </c>
      <c r="E40" s="3" t="s">
        <v>157</v>
      </c>
      <c r="F40" s="2"/>
      <c r="G40" s="3" t="str">
        <f>IFERROR(__xludf.DUMMYFUNCTION("GOOGLETRANSLATE(A40, ""it"", ""en"")"),"40")</f>
        <v>40</v>
      </c>
      <c r="H40" s="3" t="str">
        <f>IFERROR(__xludf.DUMMYFUNCTION("GOOGLETRANSLATE(B40, ""it"", ""en"")"),"How is fair play considered in Calcio Storico?")</f>
        <v>How is fair play considered in Calcio Storico?</v>
      </c>
      <c r="I40" s="3" t="str">
        <f>IFERROR(__xludf.DUMMYFUNCTION("GOOGLETRANSLATE(C40, ""it"", ""en"")"),"A. Not necessary B. Essential C. Marginal D. Optional")</f>
        <v>A. Not necessary B. Essential C. Marginal D. Optional</v>
      </c>
      <c r="J40" s="3" t="str">
        <f>IFERROR(__xludf.DUMMYFUNCTION("GOOGLETRANSLATE(D40, ""it"", ""en"")"),"Essential")</f>
        <v>Essential</v>
      </c>
      <c r="K40" s="3" t="str">
        <f>IFERROR(__xludf.DUMMYFUNCTION("GOOGLETRANSLATE(E40, ""it"", ""en"")"),"Fair play is a fundamental value in the game.")</f>
        <v>Fair play is a fundamental value in the game.</v>
      </c>
      <c r="L40" s="2"/>
      <c r="M40" s="2"/>
      <c r="N40" s="2"/>
      <c r="O40" s="2"/>
      <c r="P40" s="2"/>
      <c r="Q40" s="2"/>
      <c r="R40" s="2"/>
      <c r="S40" s="2"/>
      <c r="T40" s="2"/>
      <c r="U40" s="2"/>
      <c r="V40" s="2"/>
      <c r="W40" s="2"/>
    </row>
    <row r="41" ht="22.5" customHeight="1">
      <c r="A41" s="3">
        <v>41.0</v>
      </c>
      <c r="B41" s="3" t="s">
        <v>158</v>
      </c>
      <c r="C41" s="3" t="s">
        <v>159</v>
      </c>
      <c r="D41" s="3" t="s">
        <v>160</v>
      </c>
      <c r="E41" s="3" t="s">
        <v>161</v>
      </c>
      <c r="F41" s="2"/>
      <c r="G41" s="3" t="str">
        <f>IFERROR(__xludf.DUMMYFUNCTION("GOOGLETRANSLATE(A41, ""it"", ""en"")"),"41")</f>
        <v>41</v>
      </c>
      <c r="H41" s="3" t="str">
        <f>IFERROR(__xludf.DUMMYFUNCTION("GOOGLETRANSLATE(B41, ""it"", ""en"")"),"What is the role of the public during Calcio Storico?")</f>
        <v>What is the role of the public during Calcio Storico?</v>
      </c>
      <c r="I41" s="3" t="str">
        <f>IFERROR(__xludf.DUMMYFUNCTION("GOOGLETRANSLATE(C41, ""it"", ""en"")"),"A. Cheer on your team B. Suggest strategies C. Interrupt the game D. Influence the referees")</f>
        <v>A. Cheer on your team B. Suggest strategies C. Interrupt the game D. Influence the referees</v>
      </c>
      <c r="J41" s="3" t="str">
        <f>IFERROR(__xludf.DUMMYFUNCTION("GOOGLETRANSLATE(D41, ""it"", ""en"")"),"Cheer on your team")</f>
        <v>Cheer on your team</v>
      </c>
      <c r="K41" s="3" t="str">
        <f>IFERROR(__xludf.DUMMYFUNCTION("GOOGLETRANSLATE(E41, ""it"", ""en"")"),"The crowd can only cheer for their own team.")</f>
        <v>The crowd can only cheer for their own team.</v>
      </c>
      <c r="L41" s="2"/>
      <c r="M41" s="2"/>
      <c r="N41" s="2"/>
      <c r="O41" s="2"/>
      <c r="P41" s="2"/>
      <c r="Q41" s="2"/>
      <c r="R41" s="2"/>
      <c r="S41" s="2"/>
      <c r="T41" s="2"/>
      <c r="U41" s="2"/>
      <c r="V41" s="2"/>
      <c r="W41" s="2"/>
    </row>
    <row r="42" ht="22.5" customHeight="1">
      <c r="A42" s="3">
        <v>42.0</v>
      </c>
      <c r="B42" s="3" t="s">
        <v>162</v>
      </c>
      <c r="C42" s="3" t="s">
        <v>163</v>
      </c>
      <c r="D42" s="3" t="s">
        <v>164</v>
      </c>
      <c r="E42" s="3" t="s">
        <v>165</v>
      </c>
      <c r="F42" s="2"/>
      <c r="G42" s="3" t="str">
        <f>IFERROR(__xludf.DUMMYFUNCTION("GOOGLETRANSLATE(A42, ""it"", ""en"")"),"42")</f>
        <v>42</v>
      </c>
      <c r="H42" s="3" t="str">
        <f>IFERROR(__xludf.DUMMYFUNCTION("GOOGLETRANSLATE(B42, ""it"", ""en"")"),"What is not allowed during the game?")</f>
        <v>What is not allowed during the game?</v>
      </c>
      <c r="I42" s="3" t="str">
        <f>IFERROR(__xludf.DUMMYFUNCTION("GOOGLETRANSLATE(C42, ""it"", ""en"")"),"A. Diving to catch the ball B. Using external objects C. Talking to the officials D. Running towards the crowd")</f>
        <v>A. Diving to catch the ball B. Using external objects C. Talking to the officials D. Running towards the crowd</v>
      </c>
      <c r="J42" s="3" t="str">
        <f>IFERROR(__xludf.DUMMYFUNCTION("GOOGLETRANSLATE(D42, ""it"", ""en"")"),"Using external objects")</f>
        <v>Using external objects</v>
      </c>
      <c r="K42" s="3" t="str">
        <f>IFERROR(__xludf.DUMMYFUNCTION("GOOGLETRANSLATE(E42, ""it"", ""en"")"),"No external objects are allowed during gameplay.")</f>
        <v>No external objects are allowed during gameplay.</v>
      </c>
      <c r="L42" s="2"/>
      <c r="M42" s="2"/>
      <c r="N42" s="2"/>
      <c r="O42" s="2"/>
      <c r="P42" s="2"/>
      <c r="Q42" s="2"/>
      <c r="R42" s="2"/>
      <c r="S42" s="2"/>
      <c r="T42" s="2"/>
      <c r="U42" s="2"/>
      <c r="V42" s="2"/>
      <c r="W42" s="2"/>
    </row>
    <row r="43" ht="22.5" customHeight="1">
      <c r="A43" s="3">
        <v>43.0</v>
      </c>
      <c r="B43" s="3" t="s">
        <v>166</v>
      </c>
      <c r="C43" s="3" t="s">
        <v>167</v>
      </c>
      <c r="D43" s="3" t="s">
        <v>168</v>
      </c>
      <c r="E43" s="3" t="s">
        <v>169</v>
      </c>
      <c r="F43" s="2"/>
      <c r="G43" s="3" t="str">
        <f>IFERROR(__xludf.DUMMYFUNCTION("GOOGLETRANSLATE(A43, ""it"", ""en"")"),"43")</f>
        <v>43</v>
      </c>
      <c r="H43" s="3" t="str">
        <f>IFERROR(__xludf.DUMMYFUNCTION("GOOGLETRANSLATE(B43, ""it"", ""en"")"),"How is a serious foul handled?")</f>
        <v>How is a serious foul handled?</v>
      </c>
      <c r="I43" s="3" t="str">
        <f>IFERROR(__xludf.DUMMYFUNCTION("GOOGLETRANSLATE(C43, ""it"", ""en"")"),"A. With a warning B. With an ejection C. With a point penalty D. With a pause in play")</f>
        <v>A. With a warning B. With an ejection C. With a point penalty D. With a pause in play</v>
      </c>
      <c r="J43" s="3" t="str">
        <f>IFERROR(__xludf.DUMMYFUNCTION("GOOGLETRANSLATE(D43, ""it"", ""en"")"),"With an expulsion")</f>
        <v>With an expulsion</v>
      </c>
      <c r="K43" s="3" t="str">
        <f>IFERROR(__xludf.DUMMYFUNCTION("GOOGLETRANSLATE(E43, ""it"", ""en"")"),"Serious fouls lead to the player being sent off.")</f>
        <v>Serious fouls lead to the player being sent off.</v>
      </c>
      <c r="L43" s="2"/>
      <c r="M43" s="2"/>
      <c r="N43" s="2"/>
      <c r="O43" s="2"/>
      <c r="P43" s="2"/>
      <c r="Q43" s="2"/>
      <c r="R43" s="2"/>
      <c r="S43" s="2"/>
      <c r="T43" s="2"/>
      <c r="U43" s="2"/>
      <c r="V43" s="2"/>
      <c r="W43" s="2"/>
    </row>
    <row r="44" ht="22.5" customHeight="1">
      <c r="A44" s="3">
        <v>44.0</v>
      </c>
      <c r="B44" s="3" t="s">
        <v>170</v>
      </c>
      <c r="C44" s="3" t="s">
        <v>171</v>
      </c>
      <c r="D44" s="3" t="s">
        <v>48</v>
      </c>
      <c r="E44" s="3" t="s">
        <v>172</v>
      </c>
      <c r="F44" s="2"/>
      <c r="G44" s="3" t="str">
        <f>IFERROR(__xludf.DUMMYFUNCTION("GOOGLETRANSLATE(A44, ""it"", ""en"")"),"44")</f>
        <v>44</v>
      </c>
      <c r="H44" s="3" t="str">
        <f>IFERROR(__xludf.DUMMYFUNCTION("GOOGLETRANSLATE(B44, ""it"", ""en"")"),"Who decides the winner of the tournament?")</f>
        <v>Who decides the winner of the tournament?</v>
      </c>
      <c r="I44" s="3" t="str">
        <f>IFERROR(__xludf.DUMMYFUNCTION("GOOGLETRANSLATE(C44, ""it"", ""en"")"),"A. A popular jury B. The public C. A committee of referees D. The mayor of Florence")</f>
        <v>A. A popular jury B. The public C. A committee of referees D. The mayor of Florence</v>
      </c>
      <c r="J44" s="3" t="str">
        <f>IFERROR(__xludf.DUMMYFUNCTION("GOOGLETRANSLATE(D44, ""it"", ""en"")"),"A committee of referees")</f>
        <v>A committee of referees</v>
      </c>
      <c r="K44" s="3" t="str">
        <f>IFERROR(__xludf.DUMMYFUNCTION("GOOGLETRANSLATE(E44, ""it"", ""en"")"),"The referee committee declares the official winner.")</f>
        <v>The referee committee declares the official winner.</v>
      </c>
      <c r="L44" s="2"/>
      <c r="M44" s="2"/>
      <c r="N44" s="2"/>
      <c r="O44" s="2"/>
      <c r="P44" s="2"/>
      <c r="Q44" s="2"/>
      <c r="R44" s="2"/>
      <c r="S44" s="2"/>
      <c r="T44" s="2"/>
      <c r="U44" s="2"/>
      <c r="V44" s="2"/>
      <c r="W44" s="2"/>
    </row>
    <row r="45" ht="22.5" customHeight="1">
      <c r="A45" s="3">
        <v>45.0</v>
      </c>
      <c r="B45" s="3" t="s">
        <v>173</v>
      </c>
      <c r="C45" s="3" t="s">
        <v>174</v>
      </c>
      <c r="D45" s="3" t="s">
        <v>175</v>
      </c>
      <c r="E45" s="3" t="s">
        <v>176</v>
      </c>
      <c r="F45" s="2"/>
      <c r="G45" s="3" t="str">
        <f>IFERROR(__xludf.DUMMYFUNCTION("GOOGLETRANSLATE(A45, ""it"", ""en"")"),"45")</f>
        <v>45</v>
      </c>
      <c r="H45" s="3" t="str">
        <f>IFERROR(__xludf.DUMMYFUNCTION("GOOGLETRANSLATE(B45, ""it"", ""en"")"),"What distinguishes Calcio Storico from modern sports?")</f>
        <v>What distinguishes Calcio Storico from modern sports?</v>
      </c>
      <c r="I45" s="3" t="str">
        <f>IFERROR(__xludf.DUMMYFUNCTION("GOOGLETRANSLATE(C45, ""it"", ""en"")"),"A. The absence of referees B. The rigid rules C. The historical context D. The presence of neutral fans")</f>
        <v>A. The absence of referees B. The rigid rules C. The historical context D. The presence of neutral fans</v>
      </c>
      <c r="J45" s="3" t="str">
        <f>IFERROR(__xludf.DUMMYFUNCTION("GOOGLETRANSLATE(D45, ""it"", ""en"")"),"The historical context")</f>
        <v>The historical context</v>
      </c>
      <c r="K45" s="3" t="str">
        <f>IFERROR(__xludf.DUMMYFUNCTION("GOOGLETRANSLATE(E45, ""it"", ""en"")"),"Calcio Storico has unique historical roots.")</f>
        <v>Calcio Storico has unique historical roots.</v>
      </c>
      <c r="L45" s="2"/>
      <c r="M45" s="2"/>
      <c r="N45" s="2"/>
      <c r="O45" s="2"/>
      <c r="P45" s="2"/>
      <c r="Q45" s="2"/>
      <c r="R45" s="2"/>
      <c r="S45" s="2"/>
      <c r="T45" s="2"/>
      <c r="U45" s="2"/>
      <c r="V45" s="2"/>
      <c r="W45" s="2"/>
    </row>
    <row r="46" ht="22.5" customHeight="1">
      <c r="A46" s="3">
        <v>46.0</v>
      </c>
      <c r="B46" s="3" t="s">
        <v>177</v>
      </c>
      <c r="C46" s="3" t="s">
        <v>178</v>
      </c>
      <c r="D46" s="3" t="s">
        <v>179</v>
      </c>
      <c r="E46" s="3" t="s">
        <v>180</v>
      </c>
      <c r="F46" s="2"/>
      <c r="G46" s="3" t="str">
        <f>IFERROR(__xludf.DUMMYFUNCTION("GOOGLETRANSLATE(A46, ""it"", ""en"")"),"46")</f>
        <v>46</v>
      </c>
      <c r="H46" s="3" t="str">
        <f>IFERROR(__xludf.DUMMYFUNCTION("GOOGLETRANSLATE(B46, ""it"", ""en"")"),"What happens during a ""scrum""?")</f>
        <v>What happens during a "scrum"?</v>
      </c>
      <c r="I46" s="3" t="str">
        <f>IFERROR(__xludf.DUMMYFUNCTION("GOOGLETRANSLATE(C46, ""it"", ""en"")"),"A. The game is stopped B. There is a fight for possession of the ball C. A foul is called D. A timeout is called")</f>
        <v>A. The game is stopped B. There is a fight for possession of the ball C. A foul is called D. A timeout is called</v>
      </c>
      <c r="J46" s="3" t="str">
        <f>IFERROR(__xludf.DUMMYFUNCTION("GOOGLETRANSLATE(D46, ""it"", ""en"")"),"The fight is for ball possession")</f>
        <v>The fight is for ball possession</v>
      </c>
      <c r="K46" s="3" t="str">
        <f>IFERROR(__xludf.DUMMYFUNCTION("GOOGLETRANSLATE(E46, ""it"", ""en"")"),"""Scrums"" are fights for control of the ball.")</f>
        <v>"Scrums" are fights for control of the ball.</v>
      </c>
      <c r="L46" s="2"/>
      <c r="M46" s="2"/>
      <c r="N46" s="2"/>
      <c r="O46" s="2"/>
      <c r="P46" s="2"/>
      <c r="Q46" s="2"/>
      <c r="R46" s="2"/>
      <c r="S46" s="2"/>
      <c r="T46" s="2"/>
      <c r="U46" s="2"/>
      <c r="V46" s="2"/>
      <c r="W46" s="2"/>
    </row>
    <row r="47" ht="22.5" customHeight="1">
      <c r="A47" s="3">
        <v>47.0</v>
      </c>
      <c r="B47" s="3" t="s">
        <v>181</v>
      </c>
      <c r="C47" s="3" t="s">
        <v>182</v>
      </c>
      <c r="D47" s="3" t="s">
        <v>183</v>
      </c>
      <c r="E47" s="3" t="s">
        <v>184</v>
      </c>
      <c r="F47" s="2"/>
      <c r="G47" s="3" t="str">
        <f>IFERROR(__xludf.DUMMYFUNCTION("GOOGLETRANSLATE(A47, ""it"", ""en"")"),"47")</f>
        <v>47</v>
      </c>
      <c r="H47" s="3" t="str">
        <f>IFERROR(__xludf.DUMMYFUNCTION("GOOGLETRANSLATE(B47, ""it"", ""en"")"),"What does the Calcio Storico tournament symbolize?")</f>
        <v>What does the Calcio Storico tournament symbolize?</v>
      </c>
      <c r="I47" s="3" t="str">
        <f>IFERROR(__xludf.DUMMYFUNCTION("GOOGLETRANSLATE(C47, ""it"", ""en"")"),"A. National unity B. Courage and skill C. Physical strength D. The glory of the neighborhoods")</f>
        <v>A. National unity B. Courage and skill C. Physical strength D. The glory of the neighborhoods</v>
      </c>
      <c r="J47" s="3" t="str">
        <f>IFERROR(__xludf.DUMMYFUNCTION("GOOGLETRANSLATE(D47, ""it"", ""en"")"),"National unity")</f>
        <v>National unity</v>
      </c>
      <c r="K47" s="3" t="str">
        <f>IFERROR(__xludf.DUMMYFUNCTION("GOOGLETRANSLATE(E47, ""it"", ""en"")"),"The tournament celebrates Florentine identity and history.")</f>
        <v>The tournament celebrates Florentine identity and history.</v>
      </c>
      <c r="L47" s="2"/>
      <c r="M47" s="2"/>
      <c r="N47" s="2"/>
      <c r="O47" s="2"/>
      <c r="P47" s="2"/>
      <c r="Q47" s="2"/>
      <c r="R47" s="2"/>
      <c r="S47" s="2"/>
      <c r="T47" s="2"/>
      <c r="U47" s="2"/>
      <c r="V47" s="2"/>
      <c r="W47" s="2"/>
    </row>
    <row r="48" ht="22.5" customHeight="1">
      <c r="A48" s="3">
        <v>48.0</v>
      </c>
      <c r="B48" s="3" t="s">
        <v>185</v>
      </c>
      <c r="C48" s="3" t="s">
        <v>186</v>
      </c>
      <c r="D48" s="3">
        <v>4.0</v>
      </c>
      <c r="E48" s="3" t="s">
        <v>187</v>
      </c>
      <c r="F48" s="2"/>
      <c r="G48" s="3" t="str">
        <f>IFERROR(__xludf.DUMMYFUNCTION("GOOGLETRANSLATE(A48, ""it"", ""en"")"),"48")</f>
        <v>48</v>
      </c>
      <c r="H48" s="3" t="str">
        <f>IFERROR(__xludf.DUMMYFUNCTION("GOOGLETRANSLATE(B48, ""it"", ""en"")"),"How many categories of players are there in a team?")</f>
        <v>How many categories of players are there in a team?</v>
      </c>
      <c r="I48" s="3" t="str">
        <f>IFERROR(__xludf.DUMMYFUNCTION("GOOGLETRANSLATE(C48, ""it"", ""en"")"),"A. 2 B. 3 C. 4 D. 5")</f>
        <v>A. 2 B. 3 C. 4 D. 5</v>
      </c>
      <c r="J48" s="3" t="str">
        <f>IFERROR(__xludf.DUMMYFUNCTION("GOOGLETRANSLATE(D48, ""it"", ""en"")"),"4")</f>
        <v>4</v>
      </c>
      <c r="K48" s="3" t="str">
        <f>IFERROR(__xludf.DUMMYFUNCTION("GOOGLETRANSLATE(E48, ""it"", ""en"")"),"The categories are Attackers")</f>
        <v>The categories are Attackers</v>
      </c>
      <c r="L48" s="2"/>
      <c r="M48" s="2"/>
      <c r="N48" s="2"/>
      <c r="O48" s="2"/>
      <c r="P48" s="2"/>
      <c r="Q48" s="2"/>
      <c r="R48" s="2"/>
      <c r="S48" s="2"/>
      <c r="T48" s="2"/>
      <c r="U48" s="2"/>
      <c r="V48" s="2"/>
      <c r="W48" s="2"/>
    </row>
    <row r="49" ht="22.5" customHeight="1">
      <c r="A49" s="3">
        <v>49.0</v>
      </c>
      <c r="B49" s="3" t="s">
        <v>188</v>
      </c>
      <c r="C49" s="3" t="s">
        <v>189</v>
      </c>
      <c r="D49" s="3" t="s">
        <v>190</v>
      </c>
      <c r="E49" s="3" t="s">
        <v>191</v>
      </c>
      <c r="F49" s="2"/>
      <c r="G49" s="3" t="str">
        <f>IFERROR(__xludf.DUMMYFUNCTION("GOOGLETRANSLATE(A49, ""it"", ""en"")"),"49")</f>
        <v>49</v>
      </c>
      <c r="H49" s="3" t="str">
        <f>IFERROR(__xludf.DUMMYFUNCTION("GOOGLETRANSLATE(B49, ""it"", ""en"")"),"What is the first criterion for joining a Calcio Storico team?")</f>
        <v>What is the first criterion for joining a Calcio Storico team?</v>
      </c>
      <c r="I49" s="3" t="str">
        <f>IFERROR(__xludf.DUMMYFUNCTION("GOOGLETRANSLATE(C49, ""it"", ""en"")"),"A. Physical strength B. Agility C. Neighborhood affiliation D. Sports experience")</f>
        <v>A. Physical strength B. Agility C. Neighborhood affiliation D. Sports experience</v>
      </c>
      <c r="J49" s="3" t="str">
        <f>IFERROR(__xludf.DUMMYFUNCTION("GOOGLETRANSLATE(D49, ""it"", ""en"")"),"Belonging to the neighborhood")</f>
        <v>Belonging to the neighborhood</v>
      </c>
      <c r="K49" s="3" t="str">
        <f>IFERROR(__xludf.DUMMYFUNCTION("GOOGLETRANSLATE(E49, ""it"", ""en"")"),"Each player must represent their own neighborhood.")</f>
        <v>Each player must represent their own neighborhood.</v>
      </c>
      <c r="L49" s="2"/>
      <c r="M49" s="2"/>
      <c r="N49" s="2"/>
      <c r="O49" s="2"/>
      <c r="P49" s="2"/>
      <c r="Q49" s="2"/>
      <c r="R49" s="2"/>
      <c r="S49" s="2"/>
      <c r="T49" s="2"/>
      <c r="U49" s="2"/>
      <c r="V49" s="2"/>
      <c r="W49" s="2"/>
    </row>
    <row r="50" ht="22.5" customHeight="1">
      <c r="A50" s="3">
        <v>50.0</v>
      </c>
      <c r="B50" s="3" t="s">
        <v>192</v>
      </c>
      <c r="C50" s="3" t="s">
        <v>193</v>
      </c>
      <c r="D50" s="3" t="s">
        <v>194</v>
      </c>
      <c r="E50" s="3" t="s">
        <v>195</v>
      </c>
      <c r="F50" s="2"/>
      <c r="G50" s="3" t="str">
        <f>IFERROR(__xludf.DUMMYFUNCTION("GOOGLETRANSLATE(A50, ""it"", ""en"")"),"50")</f>
        <v>50</v>
      </c>
      <c r="H50" s="3" t="str">
        <f>IFERROR(__xludf.DUMMYFUNCTION("GOOGLETRANSLATE(B50, ""it"", ""en"")"),"What do the team colors represent?")</f>
        <v>What do the team colors represent?</v>
      </c>
      <c r="I50" s="3" t="str">
        <f>IFERROR(__xludf.DUMMYFUNCTION("GOOGLETRANSLATE(C50, ""it"", ""en"")"),"A. Personal identity B. Historical origin of the neighborhoods C. Game strategies D. Player roles")</f>
        <v>A. Personal identity B. Historical origin of the neighborhoods C. Game strategies D. Player roles</v>
      </c>
      <c r="J50" s="3" t="str">
        <f>IFERROR(__xludf.DUMMYFUNCTION("GOOGLETRANSLATE(D50, ""it"", ""en"")"),"Historical origin of the neighborhoods")</f>
        <v>Historical origin of the neighborhoods</v>
      </c>
      <c r="K50" s="3" t="str">
        <f>IFERROR(__xludf.DUMMYFUNCTION("GOOGLETRANSLATE(E50, ""it"", ""en"")"),"The colors represent the historic neighborhoods of Florence.")</f>
        <v>The colors represent the historic neighborhoods of Florence.</v>
      </c>
      <c r="L50" s="2"/>
      <c r="M50" s="2"/>
      <c r="N50" s="2"/>
      <c r="O50" s="2"/>
      <c r="P50" s="2"/>
      <c r="Q50" s="2"/>
      <c r="R50" s="2"/>
      <c r="S50" s="2"/>
      <c r="T50" s="2"/>
      <c r="U50" s="2"/>
      <c r="V50" s="2"/>
      <c r="W50" s="2"/>
    </row>
    <row r="51" ht="22.5" customHeight="1">
      <c r="A51" s="3">
        <v>51.0</v>
      </c>
      <c r="B51" s="3" t="s">
        <v>196</v>
      </c>
      <c r="C51" s="3" t="s">
        <v>197</v>
      </c>
      <c r="D51" s="3" t="s">
        <v>198</v>
      </c>
      <c r="E51" s="3" t="s">
        <v>199</v>
      </c>
      <c r="F51" s="2"/>
      <c r="G51" s="3" t="str">
        <f>IFERROR(__xludf.DUMMYFUNCTION("GOOGLETRANSLATE(A51, ""it"", ""en"")"),"51")</f>
        <v>51</v>
      </c>
      <c r="H51" s="3" t="str">
        <f>IFERROR(__xludf.DUMMYFUNCTION("GOOGLETRANSLATE(B51, ""it"", ""en"")"),"Who can stop the match due to injuries?")</f>
        <v>Who can stop the match due to injuries?</v>
      </c>
      <c r="I51" s="3" t="str">
        <f>IFERROR(__xludf.DUMMYFUNCTION("GOOGLETRANSLATE(C51, ""it"", ""en"")"),"A. The Captain B. The Audience C. The Referees D. The Ball Carrier")</f>
        <v>A. The Captain B. The Audience C. The Referees D. The Ball Carrier</v>
      </c>
      <c r="J51" s="3" t="str">
        <f>IFERROR(__xludf.DUMMYFUNCTION("GOOGLETRANSLATE(D51, ""it"", ""en"")"),"The Referees")</f>
        <v>The Referees</v>
      </c>
      <c r="K51" s="3" t="str">
        <f>IFERROR(__xludf.DUMMYFUNCTION("GOOGLETRANSLATE(E51, ""it"", ""en"")"),"Referees can stop the game in case of serious injuries.")</f>
        <v>Referees can stop the game in case of serious injuries.</v>
      </c>
      <c r="L51" s="2"/>
      <c r="M51" s="2"/>
      <c r="N51" s="2"/>
      <c r="O51" s="2"/>
      <c r="P51" s="2"/>
      <c r="Q51" s="2"/>
      <c r="R51" s="2"/>
      <c r="S51" s="2"/>
      <c r="T51" s="2"/>
      <c r="U51" s="2"/>
      <c r="V51" s="2"/>
      <c r="W51" s="2"/>
    </row>
    <row r="52" ht="22.5" customHeight="1">
      <c r="A52" s="3">
        <v>52.0</v>
      </c>
      <c r="B52" s="3" t="s">
        <v>200</v>
      </c>
      <c r="C52" s="3" t="s">
        <v>201</v>
      </c>
      <c r="D52" s="3" t="s">
        <v>202</v>
      </c>
      <c r="E52" s="3" t="s">
        <v>203</v>
      </c>
      <c r="F52" s="2"/>
      <c r="G52" s="3" t="str">
        <f>IFERROR(__xludf.DUMMYFUNCTION("GOOGLETRANSLATE(A52, ""it"", ""en"")"),"52")</f>
        <v>52</v>
      </c>
      <c r="H52" s="3" t="str">
        <f>IFERROR(__xludf.DUMMYFUNCTION("GOOGLETRANSLATE(B52, ""it"", ""en"")"),"What distinguishes a traditional tournament?")</f>
        <v>What distinguishes a traditional tournament?</v>
      </c>
      <c r="I52" s="3" t="str">
        <f>IFERROR(__xludf.DUMMYFUNCTION("GOOGLETRANSLATE(C52, ""it"", ""en"")"),"A. The duration of the matches B. The number of teams C. The final prize D. The historical celebration")</f>
        <v>A. The duration of the matches B. The number of teams C. The final prize D. The historical celebration</v>
      </c>
      <c r="J52" s="3" t="str">
        <f>IFERROR(__xludf.DUMMYFUNCTION("GOOGLETRANSLATE(D52, ""it"", ""en"")"),"The historic celebration")</f>
        <v>The historic celebration</v>
      </c>
      <c r="K52" s="3" t="str">
        <f>IFERROR(__xludf.DUMMYFUNCTION("GOOGLETRANSLATE(E52, ""it"", ""en"")"),"The tournament is an event that honors tradition.")</f>
        <v>The tournament is an event that honors tradition.</v>
      </c>
      <c r="L52" s="2"/>
      <c r="M52" s="2"/>
      <c r="N52" s="2"/>
      <c r="O52" s="2"/>
      <c r="P52" s="2"/>
      <c r="Q52" s="2"/>
      <c r="R52" s="2"/>
      <c r="S52" s="2"/>
      <c r="T52" s="2"/>
      <c r="U52" s="2"/>
      <c r="V52" s="2"/>
      <c r="W52" s="2"/>
    </row>
    <row r="53" ht="22.5" customHeight="1">
      <c r="A53" s="3">
        <v>53.0</v>
      </c>
      <c r="B53" s="3" t="s">
        <v>204</v>
      </c>
      <c r="C53" s="3" t="s">
        <v>205</v>
      </c>
      <c r="D53" s="3" t="s">
        <v>206</v>
      </c>
      <c r="E53" s="3" t="s">
        <v>207</v>
      </c>
      <c r="F53" s="2"/>
      <c r="G53" s="3" t="str">
        <f>IFERROR(__xludf.DUMMYFUNCTION("GOOGLETRANSLATE(A53, ""it"", ""en"")"),"53")</f>
        <v>53</v>
      </c>
      <c r="H53" s="3" t="str">
        <f>IFERROR(__xludf.DUMMYFUNCTION("GOOGLETRANSLATE(B53, ""it"", ""en"")"),"How are conflicts between players resolved?")</f>
        <v>How are conflicts between players resolved?</v>
      </c>
      <c r="I53" s="3" t="str">
        <f>IFERROR(__xludf.DUMMYFUNCTION("GOOGLETRANSLATE(C53, ""it"", ""en"")"),"A. Through dialogue B. Through referee decisions C. Through financial sanctions D. Through team penalties")</f>
        <v>A. Through dialogue B. Through referee decisions C. Through financial sanctions D. Through team penalties</v>
      </c>
      <c r="J53" s="3" t="str">
        <f>IFERROR(__xludf.DUMMYFUNCTION("GOOGLETRANSLATE(D53, ""it"", ""en"")"),"With arbitration decisions")</f>
        <v>With arbitration decisions</v>
      </c>
      <c r="K53" s="3" t="str">
        <f>IFERROR(__xludf.DUMMYFUNCTION("GOOGLETRANSLATE(E53, ""it"", ""en"")"),"The referees resolve any disputes on the field.")</f>
        <v>The referees resolve any disputes on the field.</v>
      </c>
      <c r="L53" s="2"/>
      <c r="M53" s="2"/>
      <c r="N53" s="2"/>
      <c r="O53" s="2"/>
      <c r="P53" s="2"/>
      <c r="Q53" s="2"/>
      <c r="R53" s="2"/>
      <c r="S53" s="2"/>
      <c r="T53" s="2"/>
      <c r="U53" s="2"/>
      <c r="V53" s="2"/>
      <c r="W53" s="2"/>
    </row>
    <row r="54" ht="22.5" customHeight="1">
      <c r="A54" s="3">
        <v>54.0</v>
      </c>
      <c r="B54" s="3" t="s">
        <v>208</v>
      </c>
      <c r="C54" s="3" t="s">
        <v>209</v>
      </c>
      <c r="D54" s="3" t="s">
        <v>210</v>
      </c>
      <c r="E54" s="3" t="s">
        <v>211</v>
      </c>
      <c r="F54" s="2"/>
      <c r="G54" s="3" t="str">
        <f>IFERROR(__xludf.DUMMYFUNCTION("GOOGLETRANSLATE(A54, ""it"", ""en"")"),"54")</f>
        <v>54</v>
      </c>
      <c r="H54" s="3" t="str">
        <f>IFERROR(__xludf.DUMMYFUNCTION("GOOGLETRANSLATE(B54, ""it"", ""en"")"),"What are you not allowed to do with the ball?")</f>
        <v>What are you not allowed to do with the ball?</v>
      </c>
      <c r="I54" s="3" t="str">
        <f>IFERROR(__xludf.DUMMYFUNCTION("GOOGLETRANSLATE(C54, ""it"", ""en"")"),"A. Pass it sideways B. Block it on the ground C. Kick it towards an opponent D. Throw it back")</f>
        <v>A. Pass it sideways B. Block it on the ground C. Kick it towards an opponent D. Throw it back</v>
      </c>
      <c r="J54" s="3" t="str">
        <f>IFERROR(__xludf.DUMMYFUNCTION("GOOGLETRANSLATE(D54, ""it"", ""en"")"),"Kick it towards an opponent")</f>
        <v>Kick it towards an opponent</v>
      </c>
      <c r="K54" s="3" t="str">
        <f>IFERROR(__xludf.DUMMYFUNCTION("GOOGLETRANSLATE(E54, ""it"", ""en"")"),"Throwing the ball towards an opponent is prohibited.")</f>
        <v>Throwing the ball towards an opponent is prohibited.</v>
      </c>
      <c r="L54" s="2"/>
      <c r="M54" s="2"/>
      <c r="N54" s="2"/>
      <c r="O54" s="2"/>
      <c r="P54" s="2"/>
      <c r="Q54" s="2"/>
      <c r="R54" s="2"/>
      <c r="S54" s="2"/>
      <c r="T54" s="2"/>
      <c r="U54" s="2"/>
      <c r="V54" s="2"/>
      <c r="W54" s="2"/>
    </row>
    <row r="55" ht="22.5" customHeight="1">
      <c r="A55" s="3">
        <v>55.0</v>
      </c>
      <c r="B55" s="3" t="s">
        <v>212</v>
      </c>
      <c r="C55" s="3" t="s">
        <v>213</v>
      </c>
      <c r="D55" s="3" t="s">
        <v>214</v>
      </c>
      <c r="E55" s="3" t="s">
        <v>215</v>
      </c>
      <c r="F55" s="2"/>
      <c r="G55" s="3" t="str">
        <f>IFERROR(__xludf.DUMMYFUNCTION("GOOGLETRANSLATE(A55, ""it"", ""en"")"),"55")</f>
        <v>55</v>
      </c>
      <c r="H55" s="3" t="str">
        <f>IFERROR(__xludf.DUMMYFUNCTION("GOOGLETRANSLATE(B55, ""it"", ""en"")"),"What is the main quality required for a striker?")</f>
        <v>What is the main quality required for a striker?</v>
      </c>
      <c r="I55" s="3" t="str">
        <f>IFERROR(__xludf.DUMMYFUNCTION("GOOGLETRANSLATE(C55, ""it"", ""en"")"),"A. Speed ​​B. Accuracy C. Physical strength D. Strategy")</f>
        <v>A. Speed ​​B. Accuracy C. Physical strength D. Strategy</v>
      </c>
      <c r="J55" s="3" t="str">
        <f>IFERROR(__xludf.DUMMYFUNCTION("GOOGLETRANSLATE(D55, ""it"", ""en"")"),"Precision")</f>
        <v>Precision</v>
      </c>
      <c r="K55" s="3" t="str">
        <f>IFERROR(__xludf.DUMMYFUNCTION("GOOGLETRANSLATE(E55, ""it"", ""en"")"),"Attackers must have great accuracy to score shots.")</f>
        <v>Attackers must have great accuracy to score shots.</v>
      </c>
      <c r="L55" s="2"/>
      <c r="M55" s="2"/>
      <c r="N55" s="2"/>
      <c r="O55" s="2"/>
      <c r="P55" s="2"/>
      <c r="Q55" s="2"/>
      <c r="R55" s="2"/>
      <c r="S55" s="2"/>
      <c r="T55" s="2"/>
      <c r="U55" s="2"/>
      <c r="V55" s="2"/>
      <c r="W55" s="2"/>
    </row>
    <row r="56" ht="22.5" customHeight="1">
      <c r="A56" s="3">
        <v>56.0</v>
      </c>
      <c r="B56" s="3" t="s">
        <v>216</v>
      </c>
      <c r="C56" s="3" t="s">
        <v>217</v>
      </c>
      <c r="D56" s="3" t="s">
        <v>218</v>
      </c>
      <c r="E56" s="3" t="s">
        <v>219</v>
      </c>
      <c r="F56" s="2"/>
      <c r="G56" s="3" t="str">
        <f>IFERROR(__xludf.DUMMYFUNCTION("GOOGLETRANSLATE(A56, ""it"", ""en"")"),"56")</f>
        <v>56</v>
      </c>
      <c r="H56" s="3" t="str">
        <f>IFERROR(__xludf.DUMMYFUNCTION("GOOGLETRANSLATE(B56, ""it"", ""en"")"),"What makes Calcio Storico unique?")</f>
        <v>What makes Calcio Storico unique?</v>
      </c>
      <c r="I56" s="3" t="str">
        <f>IFERROR(__xludf.DUMMYFUNCTION("GOOGLETRANSLATE(C56, ""it"", ""en"")"),"A. The use of modern technologies B. The complicated rules C. The combination of sport and history D. The lack of referees")</f>
        <v>A. The use of modern technologies B. The complicated rules C. The combination of sport and history D. The lack of referees</v>
      </c>
      <c r="J56" s="3" t="str">
        <f>IFERROR(__xludf.DUMMYFUNCTION("GOOGLETRANSLATE(D56, ""it"", ""en"")"),"The combination of sport and history")</f>
        <v>The combination of sport and history</v>
      </c>
      <c r="K56" s="3" t="str">
        <f>IFERROR(__xludf.DUMMYFUNCTION("GOOGLETRANSLATE(E56, ""it"", ""en"")"),"The game mixes athletic competition and historical tradition.")</f>
        <v>The game mixes athletic competition and historical tradition.</v>
      </c>
      <c r="L56" s="2"/>
      <c r="M56" s="2"/>
      <c r="N56" s="2"/>
      <c r="O56" s="2"/>
      <c r="P56" s="2"/>
      <c r="Q56" s="2"/>
      <c r="R56" s="2"/>
      <c r="S56" s="2"/>
      <c r="T56" s="2"/>
      <c r="U56" s="2"/>
      <c r="V56" s="2"/>
      <c r="W56" s="2"/>
    </row>
    <row r="57" ht="22.5" customHeight="1">
      <c r="A57" s="3">
        <v>57.0</v>
      </c>
      <c r="B57" s="3" t="s">
        <v>220</v>
      </c>
      <c r="C57" s="3" t="s">
        <v>221</v>
      </c>
      <c r="D57" s="3">
        <v>1930.0</v>
      </c>
      <c r="E57" s="3" t="s">
        <v>222</v>
      </c>
      <c r="F57" s="2"/>
      <c r="G57" s="3" t="str">
        <f>IFERROR(__xludf.DUMMYFUNCTION("GOOGLETRANSLATE(A57, ""it"", ""en"")"),"57")</f>
        <v>57</v>
      </c>
      <c r="H57" s="3" t="str">
        <f>IFERROR(__xludf.DUMMYFUNCTION("GOOGLETRANSLATE(B57, ""it"", ""en"")"),"When was Calcio Storico officially regulated?")</f>
        <v>When was Calcio Storico officially regulated?</v>
      </c>
      <c r="I57" s="3" t="str">
        <f>IFERROR(__xludf.DUMMYFUNCTION("GOOGLETRANSLATE(C57, ""it"", ""en"")"),"A. 1600 B. 1700 C. 1900 D. 1930")</f>
        <v>A. 1600 B. 1700 C. 1900 D. 1930</v>
      </c>
      <c r="J57" s="3" t="str">
        <f>IFERROR(__xludf.DUMMYFUNCTION("GOOGLETRANSLATE(D57, ""it"", ""en"")"),"1930")</f>
        <v>1930</v>
      </c>
      <c r="K57" s="3" t="str">
        <f>IFERROR(__xludf.DUMMYFUNCTION("GOOGLETRANSLATE(E57, ""it"", ""en"")"),"The official rules were written in 1930.")</f>
        <v>The official rules were written in 1930.</v>
      </c>
      <c r="L57" s="2"/>
      <c r="M57" s="2"/>
      <c r="N57" s="2"/>
      <c r="O57" s="2"/>
      <c r="P57" s="2"/>
      <c r="Q57" s="2"/>
      <c r="R57" s="2"/>
      <c r="S57" s="2"/>
      <c r="T57" s="2"/>
      <c r="U57" s="2"/>
      <c r="V57" s="2"/>
      <c r="W57" s="2"/>
    </row>
    <row r="58" ht="22.5" customHeight="1">
      <c r="A58" s="3">
        <v>58.0</v>
      </c>
      <c r="B58" s="3" t="s">
        <v>223</v>
      </c>
      <c r="C58" s="3" t="s">
        <v>224</v>
      </c>
      <c r="D58" s="3" t="s">
        <v>225</v>
      </c>
      <c r="E58" s="3" t="s">
        <v>226</v>
      </c>
      <c r="F58" s="2"/>
      <c r="G58" s="3" t="str">
        <f>IFERROR(__xludf.DUMMYFUNCTION("GOOGLETRANSLATE(A58, ""it"", ""en"")"),"58")</f>
        <v>58</v>
      </c>
      <c r="H58" s="3" t="str">
        <f>IFERROR(__xludf.DUMMYFUNCTION("GOOGLETRANSLATE(B58, ""it"", ""en"")"),"What quality is crucial for defenders?")</f>
        <v>What quality is crucial for defenders?</v>
      </c>
      <c r="I58" s="3" t="str">
        <f>IFERROR(__xludf.DUMMYFUNCTION("GOOGLETRANSLATE(C58, ""it"", ""en"")"),"A. Agility B. Endurance C. Physical strength D. Speed")</f>
        <v>A. Agility B. Endurance C. Physical strength D. Speed</v>
      </c>
      <c r="J58" s="3" t="str">
        <f>IFERROR(__xludf.DUMMYFUNCTION("GOOGLETRANSLATE(D58, ""it"", ""en"")"),"Physical strength")</f>
        <v>Physical strength</v>
      </c>
      <c r="K58" s="3" t="str">
        <f>IFERROR(__xludf.DUMMYFUNCTION("GOOGLETRANSLATE(E58, ""it"", ""en"")"),"Defenders must have strength to stop opponents.")</f>
        <v>Defenders must have strength to stop opponents.</v>
      </c>
      <c r="L58" s="2"/>
      <c r="M58" s="2"/>
      <c r="N58" s="2"/>
      <c r="O58" s="2"/>
      <c r="P58" s="2"/>
      <c r="Q58" s="2"/>
      <c r="R58" s="2"/>
      <c r="S58" s="2"/>
      <c r="T58" s="2"/>
      <c r="U58" s="2"/>
      <c r="V58" s="2"/>
      <c r="W58" s="2"/>
    </row>
    <row r="59" ht="22.5" customHeight="1">
      <c r="A59" s="3">
        <v>59.0</v>
      </c>
      <c r="B59" s="3" t="s">
        <v>227</v>
      </c>
      <c r="C59" s="3" t="s">
        <v>228</v>
      </c>
      <c r="D59" s="3" t="s">
        <v>229</v>
      </c>
      <c r="E59" s="3" t="s">
        <v>230</v>
      </c>
      <c r="F59" s="2"/>
      <c r="G59" s="3" t="str">
        <f>IFERROR(__xludf.DUMMYFUNCTION("GOOGLETRANSLATE(A59, ""it"", ""en"")"),"59")</f>
        <v>59</v>
      </c>
      <c r="H59" s="3" t="str">
        <f>IFERROR(__xludf.DUMMYFUNCTION("GOOGLETRANSLATE(B59, ""it"", ""en"")"),"What happens if a team abandons the match?")</f>
        <v>What happens if a team abandons the match?</v>
      </c>
      <c r="I59" s="3" t="str">
        <f>IFERROR(__xludf.DUMMYFUNCTION("GOOGLETRANSLATE(C59, ""it"", ""en"")"),"A. She automatically loses B. She is disqualified C. She receives a penalty D. The match is replayed")</f>
        <v>A. She automatically loses B. She is disqualified C. She receives a penalty D. The match is replayed</v>
      </c>
      <c r="J59" s="3" t="str">
        <f>IFERROR(__xludf.DUMMYFUNCTION("GOOGLETRANSLATE(D59, ""it"", ""en"")"),"It automatically loses")</f>
        <v>It automatically loses</v>
      </c>
      <c r="K59" s="3" t="str">
        <f>IFERROR(__xludf.DUMMYFUNCTION("GOOGLETRANSLATE(E59, ""it"", ""en"")"),"Abandonment equals defeat.")</f>
        <v>Abandonment equals defeat.</v>
      </c>
      <c r="L59" s="2"/>
      <c r="M59" s="2"/>
      <c r="N59" s="2"/>
      <c r="O59" s="2"/>
      <c r="P59" s="2"/>
      <c r="Q59" s="2"/>
      <c r="R59" s="2"/>
      <c r="S59" s="2"/>
      <c r="T59" s="2"/>
      <c r="U59" s="2"/>
      <c r="V59" s="2"/>
      <c r="W59" s="2"/>
    </row>
    <row r="60" ht="22.5" customHeight="1">
      <c r="A60" s="3">
        <v>60.0</v>
      </c>
      <c r="B60" s="3" t="s">
        <v>231</v>
      </c>
      <c r="C60" s="3" t="s">
        <v>232</v>
      </c>
      <c r="D60" s="3" t="s">
        <v>233</v>
      </c>
      <c r="E60" s="3" t="s">
        <v>234</v>
      </c>
      <c r="F60" s="2"/>
      <c r="G60" s="3" t="str">
        <f>IFERROR(__xludf.DUMMYFUNCTION("GOOGLETRANSLATE(A60, ""it"", ""en"")"),"60")</f>
        <v>60</v>
      </c>
      <c r="H60" s="3" t="str">
        <f>IFERROR(__xludf.DUMMYFUNCTION("GOOGLETRANSLATE(B60, ""it"", ""en"")"),"How is the Calcio Storico tournament celebrated?")</f>
        <v>How is the Calcio Storico tournament celebrated?</v>
      </c>
      <c r="I60" s="3" t="str">
        <f>IFERROR(__xludf.DUMMYFUNCTION("GOOGLETRANSLATE(C60, ""it"", ""en"")"),"A. With a historical parade B. With a televised awards ceremony C. With a private party D. With a public lottery")</f>
        <v>A. With a historical parade B. With a televised awards ceremony C. With a private party D. With a public lottery</v>
      </c>
      <c r="J60" s="3" t="str">
        <f>IFERROR(__xludf.DUMMYFUNCTION("GOOGLETRANSLATE(D60, ""it"", ""en"")"),"With a historic parade")</f>
        <v>With a historic parade</v>
      </c>
      <c r="K60" s="3" t="str">
        <f>IFERROR(__xludf.DUMMYFUNCTION("GOOGLETRANSLATE(E60, ""it"", ""en"")"),"The tournament is introduced by a historical costume parade.")</f>
        <v>The tournament is introduced by a historical costume parade.</v>
      </c>
      <c r="L60" s="2"/>
      <c r="M60" s="2"/>
      <c r="N60" s="2"/>
      <c r="O60" s="2"/>
      <c r="P60" s="2"/>
      <c r="Q60" s="2"/>
      <c r="R60" s="2"/>
      <c r="S60" s="2"/>
      <c r="T60" s="2"/>
      <c r="U60" s="2"/>
      <c r="V60" s="2"/>
      <c r="W60" s="2"/>
    </row>
    <row r="61" ht="22.5" customHeight="1">
      <c r="A61" s="3">
        <v>61.0</v>
      </c>
      <c r="B61" s="3" t="s">
        <v>235</v>
      </c>
      <c r="C61" s="3" t="s">
        <v>236</v>
      </c>
      <c r="D61" s="3" t="s">
        <v>28</v>
      </c>
      <c r="E61" s="3" t="s">
        <v>237</v>
      </c>
      <c r="F61" s="2"/>
      <c r="G61" s="3" t="str">
        <f>IFERROR(__xludf.DUMMYFUNCTION("GOOGLETRANSLATE(A61, ""it"", ""en"")"),"61")</f>
        <v>61</v>
      </c>
      <c r="H61" s="3" t="str">
        <f>IFERROR(__xludf.DUMMYFUNCTION("GOOGLETRANSLATE(B61, ""it"", ""en"")"),"How long does a Calcio Storico match typically last?")</f>
        <v>How long does a Calcio Storico match typically last?</v>
      </c>
      <c r="I61" s="3" t="str">
        <f>IFERROR(__xludf.DUMMYFUNCTION("GOOGLETRANSLATE(C61, ""it"", ""en"")"),"A. 50 minutes B. 80 minutes C. 20 minutes D. 40 minutes")</f>
        <v>A. 50 minutes B. 80 minutes C. 20 minutes D. 40 minutes</v>
      </c>
      <c r="J61" s="3" t="str">
        <f>IFERROR(__xludf.DUMMYFUNCTION("GOOGLETRANSLATE(D61, ""it"", ""en"")"),"50 minutes")</f>
        <v>50 minutes</v>
      </c>
      <c r="K61" s="3" t="str">
        <f>IFERROR(__xludf.DUMMYFUNCTION("GOOGLETRANSLATE(E61, ""it"", ""en"")"),"Each match lasts approximately 50 minutes without significant interruptions.")</f>
        <v>Each match lasts approximately 50 minutes without significant interruptions.</v>
      </c>
      <c r="L61" s="2"/>
      <c r="M61" s="2"/>
      <c r="N61" s="2"/>
      <c r="O61" s="2"/>
      <c r="P61" s="2"/>
      <c r="Q61" s="2"/>
      <c r="R61" s="2"/>
      <c r="S61" s="2"/>
      <c r="T61" s="2"/>
      <c r="U61" s="2"/>
      <c r="V61" s="2"/>
      <c r="W61" s="2"/>
    </row>
    <row r="62" ht="22.5" customHeight="1">
      <c r="A62" s="3">
        <v>62.0</v>
      </c>
      <c r="B62" s="3" t="s">
        <v>238</v>
      </c>
      <c r="C62" s="3" t="s">
        <v>239</v>
      </c>
      <c r="D62" s="3">
        <v>27.0</v>
      </c>
      <c r="E62" s="3" t="s">
        <v>240</v>
      </c>
      <c r="F62" s="2"/>
      <c r="G62" s="3" t="str">
        <f>IFERROR(__xludf.DUMMYFUNCTION("GOOGLETRANSLATE(A62, ""it"", ""en"")"),"62")</f>
        <v>62</v>
      </c>
      <c r="H62" s="3" t="str">
        <f>IFERROR(__xludf.DUMMYFUNCTION("GOOGLETRANSLATE(B62, ""it"", ""en"")"),"How many players are on each team?")</f>
        <v>How many players are on each team?</v>
      </c>
      <c r="I62" s="3" t="str">
        <f>IFERROR(__xludf.DUMMYFUNCTION("GOOGLETRANSLATE(C62, ""it"", ""en"")"),"A. 20 B. 27 C. 15 D. 22")</f>
        <v>A. 20 B. 27 C. 15 D. 22</v>
      </c>
      <c r="J62" s="3" t="str">
        <f>IFERROR(__xludf.DUMMYFUNCTION("GOOGLETRANSLATE(D62, ""it"", ""en"")"),"27")</f>
        <v>27</v>
      </c>
      <c r="K62" s="3" t="str">
        <f>IFERROR(__xludf.DUMMYFUNCTION("GOOGLETRANSLATE(E62, ""it"", ""en"")"),"Each team consists of 27 players.")</f>
        <v>Each team consists of 27 players.</v>
      </c>
      <c r="L62" s="2"/>
      <c r="M62" s="2"/>
      <c r="N62" s="2"/>
      <c r="O62" s="2"/>
      <c r="P62" s="2"/>
      <c r="Q62" s="2"/>
      <c r="R62" s="2"/>
      <c r="S62" s="2"/>
      <c r="T62" s="2"/>
      <c r="U62" s="2"/>
      <c r="V62" s="2"/>
      <c r="W62" s="2"/>
    </row>
    <row r="63" ht="22.5" customHeight="1">
      <c r="A63" s="3">
        <v>63.0</v>
      </c>
      <c r="B63" s="3" t="s">
        <v>241</v>
      </c>
      <c r="C63" s="3" t="s">
        <v>242</v>
      </c>
      <c r="D63" s="3" t="s">
        <v>243</v>
      </c>
      <c r="E63" s="3" t="s">
        <v>244</v>
      </c>
      <c r="F63" s="2"/>
      <c r="G63" s="3" t="str">
        <f>IFERROR(__xludf.DUMMYFUNCTION("GOOGLETRANSLATE(A63, ""it"", ""en"")"),"63")</f>
        <v>63</v>
      </c>
      <c r="H63" s="3" t="str">
        <f>IFERROR(__xludf.DUMMYFUNCTION("GOOGLETRANSLATE(B63, ""it"", ""en"")"),"What is not allowed during a hunt?")</f>
        <v>What is not allowed during a hunt?</v>
      </c>
      <c r="I63" s="3" t="str">
        <f>IFERROR(__xludf.DUMMYFUNCTION("GOOGLETRANSLATE(C63, ""it"", ""en"")"),"A. Using your hands B. Using your feet C. Pulling an opponent's shirt D. Passing the ball backwards")</f>
        <v>A. Using your hands B. Using your feet C. Pulling an opponent's shirt D. Passing the ball backwards</v>
      </c>
      <c r="J63" s="3" t="str">
        <f>IFERROR(__xludf.DUMMYFUNCTION("GOOGLETRANSLATE(D63, ""it"", ""en"")"),"Pulling an opponent's shirt")</f>
        <v>Pulling an opponent's shirt</v>
      </c>
      <c r="K63" s="3" t="str">
        <f>IFERROR(__xludf.DUMMYFUNCTION("GOOGLETRANSLATE(E63, ""it"", ""en"")"),"Pulling the shirt is considered unfair.")</f>
        <v>Pulling the shirt is considered unfair.</v>
      </c>
      <c r="L63" s="2"/>
      <c r="M63" s="2"/>
      <c r="N63" s="2"/>
      <c r="O63" s="2"/>
      <c r="P63" s="2"/>
      <c r="Q63" s="2"/>
      <c r="R63" s="2"/>
      <c r="S63" s="2"/>
      <c r="T63" s="2"/>
      <c r="U63" s="2"/>
      <c r="V63" s="2"/>
      <c r="W63" s="2"/>
    </row>
    <row r="64" ht="22.5" customHeight="1">
      <c r="A64" s="3">
        <v>64.0</v>
      </c>
      <c r="B64" s="3" t="s">
        <v>245</v>
      </c>
      <c r="C64" s="3" t="s">
        <v>246</v>
      </c>
      <c r="D64" s="3" t="s">
        <v>247</v>
      </c>
      <c r="E64" s="3" t="s">
        <v>37</v>
      </c>
      <c r="F64" s="2"/>
      <c r="G64" s="3" t="str">
        <f>IFERROR(__xludf.DUMMYFUNCTION("GOOGLETRANSLATE(A64, ""it"", ""en"")"),"64")</f>
        <v>64</v>
      </c>
      <c r="H64" s="3" t="str">
        <f>IFERROR(__xludf.DUMMYFUNCTION("GOOGLETRANSLATE(B64, ""it"", ""en"")"),"What time of year is the Calcio Storico tournament held?")</f>
        <v>What time of year is the Calcio Storico tournament held?</v>
      </c>
      <c r="I64" s="3" t="str">
        <f>IFERROR(__xludf.DUMMYFUNCTION("GOOGLETRANSLATE(C64, ""it"", ""en"")"),"A. Spring B. Summer C. Autumn D. Winter")</f>
        <v>A. Spring B. Summer C. Autumn D. Winter</v>
      </c>
      <c r="J64" s="3" t="str">
        <f>IFERROR(__xludf.DUMMYFUNCTION("GOOGLETRANSLATE(D64, ""it"", ""en"")"),"Summer")</f>
        <v>Summer</v>
      </c>
      <c r="K64" s="3" t="str">
        <f>IFERROR(__xludf.DUMMYFUNCTION("GOOGLETRANSLATE(E64, ""it"", ""en"")"),"The tournament traditionally takes place in June.")</f>
        <v>The tournament traditionally takes place in June.</v>
      </c>
      <c r="L64" s="2"/>
      <c r="M64" s="2"/>
      <c r="N64" s="2"/>
      <c r="O64" s="2"/>
      <c r="P64" s="2"/>
      <c r="Q64" s="2"/>
      <c r="R64" s="2"/>
      <c r="S64" s="2"/>
      <c r="T64" s="2"/>
      <c r="U64" s="2"/>
      <c r="V64" s="2"/>
      <c r="W64" s="2"/>
    </row>
    <row r="65" ht="22.5" customHeight="1">
      <c r="A65" s="3">
        <v>65.0</v>
      </c>
      <c r="B65" s="3" t="s">
        <v>248</v>
      </c>
      <c r="C65" s="3" t="s">
        <v>249</v>
      </c>
      <c r="D65" s="3" t="s">
        <v>250</v>
      </c>
      <c r="E65" s="3" t="s">
        <v>251</v>
      </c>
      <c r="F65" s="2"/>
      <c r="G65" s="3" t="str">
        <f>IFERROR(__xludf.DUMMYFUNCTION("GOOGLETRANSLATE(A65, ""it"", ""en"")"),"65")</f>
        <v>65</v>
      </c>
      <c r="H65" s="3" t="str">
        <f>IFERROR(__xludf.DUMMYFUNCTION("GOOGLETRANSLATE(B65, ""it"", ""en"")"),"What is the main purpose of the game?")</f>
        <v>What is the main purpose of the game?</v>
      </c>
      <c r="I65" s="3" t="str">
        <f>IFERROR(__xludf.DUMMYFUNCTION("GOOGLETRANSLATE(C65, ""it"", ""en"")"),"A. Defend your area B. Score more shots C. Block opponents D. Make spectacular moves")</f>
        <v>A. Defend your area B. Score more shots C. Block opponents D. Make spectacular moves</v>
      </c>
      <c r="J65" s="3" t="str">
        <f>IFERROR(__xludf.DUMMYFUNCTION("GOOGLETRANSLATE(D65, ""it"", ""en"")"),"Score more hunts")</f>
        <v>Score more hunts</v>
      </c>
      <c r="K65" s="3" t="str">
        <f>IFERROR(__xludf.DUMMYFUNCTION("GOOGLETRANSLATE(E65, ""it"", ""en"")"),"The team that scores the most hunts wins.")</f>
        <v>The team that scores the most hunts wins.</v>
      </c>
      <c r="L65" s="2"/>
      <c r="M65" s="2"/>
      <c r="N65" s="2"/>
      <c r="O65" s="2"/>
      <c r="P65" s="2"/>
      <c r="Q65" s="2"/>
      <c r="R65" s="2"/>
      <c r="S65" s="2"/>
      <c r="T65" s="2"/>
      <c r="U65" s="2"/>
      <c r="V65" s="2"/>
      <c r="W65" s="2"/>
    </row>
    <row r="66" ht="22.5" customHeight="1">
      <c r="A66" s="3">
        <v>66.0</v>
      </c>
      <c r="B66" s="3" t="s">
        <v>252</v>
      </c>
      <c r="C66" s="3" t="s">
        <v>253</v>
      </c>
      <c r="D66" s="3" t="s">
        <v>254</v>
      </c>
      <c r="E66" s="3" t="s">
        <v>255</v>
      </c>
      <c r="F66" s="2"/>
      <c r="G66" s="3" t="str">
        <f>IFERROR(__xludf.DUMMYFUNCTION("GOOGLETRANSLATE(A66, ""it"", ""en"")"),"66")</f>
        <v>66</v>
      </c>
      <c r="H66" s="3" t="str">
        <f>IFERROR(__xludf.DUMMYFUNCTION("GOOGLETRANSLATE(B66, ""it"", ""en"")"),"What do the ""hunts"" represent in Calcio Storico?")</f>
        <v>What do the "hunts" represent in Calcio Storico?</v>
      </c>
      <c r="I66" s="3" t="str">
        <f>IFERROR(__xludf.DUMMYFUNCTION("GOOGLETRANSLATE(C66, ""it"", ""en"")"),"A. Points B. Penalties C. Bonuses D. Expulsions")</f>
        <v>A. Points B. Penalties C. Bonuses D. Expulsions</v>
      </c>
      <c r="J66" s="3" t="str">
        <f>IFERROR(__xludf.DUMMYFUNCTION("GOOGLETRANSLATE(D66, ""it"", ""en"")"),"Points")</f>
        <v>Points</v>
      </c>
      <c r="K66" s="3" t="str">
        <f>IFERROR(__xludf.DUMMYFUNCTION("GOOGLETRANSLATE(E66, ""it"", ""en"")"),"Hunts represent points earned.")</f>
        <v>Hunts represent points earned.</v>
      </c>
      <c r="L66" s="2"/>
      <c r="M66" s="2"/>
      <c r="N66" s="2"/>
      <c r="O66" s="2"/>
      <c r="P66" s="2"/>
      <c r="Q66" s="2"/>
      <c r="R66" s="2"/>
      <c r="S66" s="2"/>
      <c r="T66" s="2"/>
      <c r="U66" s="2"/>
      <c r="V66" s="2"/>
      <c r="W66" s="2"/>
    </row>
    <row r="67" ht="22.5" customHeight="1">
      <c r="A67" s="3">
        <v>67.0</v>
      </c>
      <c r="B67" s="3" t="s">
        <v>256</v>
      </c>
      <c r="C67" s="3" t="s">
        <v>257</v>
      </c>
      <c r="D67" s="3" t="s">
        <v>258</v>
      </c>
      <c r="E67" s="3" t="s">
        <v>259</v>
      </c>
      <c r="F67" s="2"/>
      <c r="G67" s="3" t="str">
        <f>IFERROR(__xludf.DUMMYFUNCTION("GOOGLETRANSLATE(A67, ""it"", ""en"")"),"67")</f>
        <v>67</v>
      </c>
      <c r="H67" s="3" t="str">
        <f>IFERROR(__xludf.DUMMYFUNCTION("GOOGLETRANSLATE(B67, ""it"", ""en"")"),"What happens when the ball goes out of bounds?")</f>
        <v>What happens when the ball goes out of bounds?</v>
      </c>
      <c r="I67" s="3" t="str">
        <f>IFERROR(__xludf.DUMMYFUNCTION("GOOGLETRANSLATE(C67, ""it"", ""en"")"),"A. The game continues B. A foul is called C. It is stopped and restarted by the referees D. A disallowed point is scored")</f>
        <v>A. The game continues B. A foul is called C. It is stopped and restarted by the referees D. A disallowed point is scored</v>
      </c>
      <c r="J67" s="3" t="str">
        <f>IFERROR(__xludf.DUMMYFUNCTION("GOOGLETRANSLATE(D67, ""it"", ""en"")"),"It is stopped and restarted by the referees")</f>
        <v>It is stopped and restarted by the referees</v>
      </c>
      <c r="K67" s="3" t="str">
        <f>IFERROR(__xludf.DUMMYFUNCTION("GOOGLETRANSLATE(E67, ""it"", ""en"")"),"The referees decide when to restart the game.")</f>
        <v>The referees decide when to restart the game.</v>
      </c>
      <c r="L67" s="2"/>
      <c r="M67" s="2"/>
      <c r="N67" s="2"/>
      <c r="O67" s="2"/>
      <c r="P67" s="2"/>
      <c r="Q67" s="2"/>
      <c r="R67" s="2"/>
      <c r="S67" s="2"/>
      <c r="T67" s="2"/>
      <c r="U67" s="2"/>
      <c r="V67" s="2"/>
      <c r="W67" s="2"/>
    </row>
    <row r="68" ht="22.5" customHeight="1">
      <c r="A68" s="3">
        <v>68.0</v>
      </c>
      <c r="B68" s="3" t="s">
        <v>260</v>
      </c>
      <c r="C68" s="3" t="s">
        <v>261</v>
      </c>
      <c r="D68" s="3" t="s">
        <v>262</v>
      </c>
      <c r="E68" s="3" t="s">
        <v>263</v>
      </c>
      <c r="F68" s="2"/>
      <c r="G68" s="3" t="str">
        <f>IFERROR(__xludf.DUMMYFUNCTION("GOOGLETRANSLATE(A68, ""it"", ""en"")"),"68")</f>
        <v>68</v>
      </c>
      <c r="H68" s="3" t="str">
        <f>IFERROR(__xludf.DUMMYFUNCTION("GOOGLETRANSLATE(B68, ""it"", ""en"")"),"Who referees Calcio Storico matches?")</f>
        <v>Who referees Calcio Storico matches?</v>
      </c>
      <c r="I68" s="3" t="str">
        <f>IFERROR(__xludf.DUMMYFUNCTION("GOOGLETRANSLATE(C68, ""it"", ""en"")"),"A. A single referee B. Two referees C. A team of referees D. Veteran players")</f>
        <v>A. A single referee B. Two referees C. A team of referees D. Veteran players</v>
      </c>
      <c r="J68" s="3" t="str">
        <f>IFERROR(__xludf.DUMMYFUNCTION("GOOGLETRANSLATE(D68, ""it"", ""en"")"),"A team of referees")</f>
        <v>A team of referees</v>
      </c>
      <c r="K68" s="3" t="str">
        <f>IFERROR(__xludf.DUMMYFUNCTION("GOOGLETRANSLATE(E68, ""it"", ""en"")"),"A group of referees monitors the game.")</f>
        <v>A group of referees monitors the game.</v>
      </c>
      <c r="L68" s="2"/>
      <c r="M68" s="2"/>
      <c r="N68" s="2"/>
      <c r="O68" s="2"/>
      <c r="P68" s="2"/>
      <c r="Q68" s="2"/>
      <c r="R68" s="2"/>
      <c r="S68" s="2"/>
      <c r="T68" s="2"/>
      <c r="U68" s="2"/>
      <c r="V68" s="2"/>
      <c r="W68" s="2"/>
    </row>
    <row r="69" ht="22.5" customHeight="1">
      <c r="A69" s="3">
        <v>70.0</v>
      </c>
      <c r="B69" s="3" t="s">
        <v>264</v>
      </c>
      <c r="C69" s="3" t="s">
        <v>265</v>
      </c>
      <c r="D69" s="3" t="s">
        <v>266</v>
      </c>
      <c r="E69" s="3" t="s">
        <v>267</v>
      </c>
      <c r="F69" s="2"/>
      <c r="G69" s="3" t="str">
        <f>IFERROR(__xludf.DUMMYFUNCTION("GOOGLETRANSLATE(A69, ""it"", ""en"")"),"70")</f>
        <v>70</v>
      </c>
      <c r="H69" s="3" t="str">
        <f>IFERROR(__xludf.DUMMYFUNCTION("GOOGLETRANSLATE(B69, ""it"", ""en"")"),"What is not allowed when passing the ball?")</f>
        <v>What is not allowed when passing the ball?</v>
      </c>
      <c r="I69" s="3" t="str">
        <f>IFERROR(__xludf.DUMMYFUNCTION("GOOGLETRANSLATE(C69, ""it"", ""en"")"),"A. Throwing too high B. Throwing too far C. Passing directly to opponents D. Using your head to pass")</f>
        <v>A. Throwing too high B. Throwing too far C. Passing directly to opponents D. Using your head to pass</v>
      </c>
      <c r="J69" s="3" t="str">
        <f>IFERROR(__xludf.DUMMYFUNCTION("GOOGLETRANSLATE(D69, ""it"", ""en"")"),"Go directly to the opponents")</f>
        <v>Go directly to the opponents</v>
      </c>
      <c r="K69" s="3" t="str">
        <f>IFERROR(__xludf.DUMMYFUNCTION("GOOGLETRANSLATE(E69, ""it"", ""en"")"),"Passing to opponents is incorrect.")</f>
        <v>Passing to opponents is incorrect.</v>
      </c>
      <c r="L69" s="2"/>
      <c r="M69" s="2"/>
      <c r="N69" s="2"/>
      <c r="O69" s="2"/>
      <c r="P69" s="2"/>
      <c r="Q69" s="2"/>
      <c r="R69" s="2"/>
      <c r="S69" s="2"/>
      <c r="T69" s="2"/>
      <c r="U69" s="2"/>
      <c r="V69" s="2"/>
      <c r="W69" s="2"/>
    </row>
    <row r="70" ht="22.5" customHeight="1">
      <c r="A70" s="3">
        <v>71.0</v>
      </c>
      <c r="B70" s="3" t="s">
        <v>268</v>
      </c>
      <c r="C70" s="3" t="s">
        <v>269</v>
      </c>
      <c r="D70" s="3" t="s">
        <v>270</v>
      </c>
      <c r="E70" s="3" t="s">
        <v>271</v>
      </c>
      <c r="F70" s="2"/>
      <c r="G70" s="3" t="str">
        <f>IFERROR(__xludf.DUMMYFUNCTION("GOOGLETRANSLATE(A70, ""it"", ""en"")"),"71")</f>
        <v>71</v>
      </c>
      <c r="H70" s="3" t="str">
        <f>IFERROR(__xludf.DUMMYFUNCTION("GOOGLETRANSLATE(B70, ""it"", ""en"")"),"What is the historical origin of Calcio Storico?")</f>
        <v>What is the historical origin of Calcio Storico?</v>
      </c>
      <c r="I70" s="3" t="str">
        <f>IFERROR(__xludf.DUMMYFUNCTION("GOOGLETRANSLATE(C70, ""it"", ""en"")"),"A. Roman era B. Renaissance C. Middle Ages D. Modern era")</f>
        <v>A. Roman era B. Renaissance C. Middle Ages D. Modern era</v>
      </c>
      <c r="J70" s="3" t="str">
        <f>IFERROR(__xludf.DUMMYFUNCTION("GOOGLETRANSLATE(D70, ""it"", ""en"")"),"Renaissance")</f>
        <v>Renaissance</v>
      </c>
      <c r="K70" s="3" t="str">
        <f>IFERROR(__xludf.DUMMYFUNCTION("GOOGLETRANSLATE(E70, ""it"", ""en"")"),"The game dates back to the Florentine Renaissance.")</f>
        <v>The game dates back to the Florentine Renaissance.</v>
      </c>
      <c r="L70" s="2"/>
      <c r="M70" s="2"/>
      <c r="N70" s="2"/>
      <c r="O70" s="2"/>
      <c r="P70" s="2"/>
      <c r="Q70" s="2"/>
      <c r="R70" s="2"/>
      <c r="S70" s="2"/>
      <c r="T70" s="2"/>
      <c r="U70" s="2"/>
      <c r="V70" s="2"/>
      <c r="W70" s="2"/>
    </row>
    <row r="71" ht="22.5" customHeight="1">
      <c r="A71" s="3">
        <v>72.0</v>
      </c>
      <c r="B71" s="3" t="s">
        <v>272</v>
      </c>
      <c r="C71" s="3" t="s">
        <v>273</v>
      </c>
      <c r="D71" s="3" t="s">
        <v>274</v>
      </c>
      <c r="E71" s="3" t="s">
        <v>275</v>
      </c>
      <c r="F71" s="2"/>
      <c r="G71" s="3" t="str">
        <f>IFERROR(__xludf.DUMMYFUNCTION("GOOGLETRANSLATE(A71, ""it"", ""en"")"),"72")</f>
        <v>72</v>
      </c>
      <c r="H71" s="3" t="str">
        <f>IFERROR(__xludf.DUMMYFUNCTION("GOOGLETRANSLATE(B71, ""it"", ""en"")"),"How do you score a hunt?")</f>
        <v>How do you score a hunt?</v>
      </c>
      <c r="I71" s="3" t="str">
        <f>IFERROR(__xludf.DUMMYFUNCTION("GOOGLETRANSLATE(C71, ""it"", ""en"")"),"A. With a kick into the net B. With a throw into a specific area C. With a direct hit D. With a strategic pass")</f>
        <v>A. With a kick into the net B. With a throw into a specific area C. With a direct hit D. With a strategic pass</v>
      </c>
      <c r="J71" s="3" t="str">
        <f>IFERROR(__xludf.DUMMYFUNCTION("GOOGLETRANSLATE(D71, ""it"", ""en"")"),"With a launch in a specific area")</f>
        <v>With a launch in a specific area</v>
      </c>
      <c r="K71" s="3" t="str">
        <f>IFERROR(__xludf.DUMMYFUNCTION("GOOGLETRANSLATE(E71, ""it"", ""en"")"),"The chase is scored by throwing the ball into the opponent's net.")</f>
        <v>The chase is scored by throwing the ball into the opponent's net.</v>
      </c>
      <c r="L71" s="2"/>
      <c r="M71" s="2"/>
      <c r="N71" s="2"/>
      <c r="O71" s="2"/>
      <c r="P71" s="2"/>
      <c r="Q71" s="2"/>
      <c r="R71" s="2"/>
      <c r="S71" s="2"/>
      <c r="T71" s="2"/>
      <c r="U71" s="2"/>
      <c r="V71" s="2"/>
      <c r="W71" s="2"/>
    </row>
    <row r="72" ht="22.5" customHeight="1">
      <c r="A72" s="3">
        <v>73.0</v>
      </c>
      <c r="B72" s="3" t="s">
        <v>276</v>
      </c>
      <c r="C72" s="3" t="s">
        <v>277</v>
      </c>
      <c r="D72" s="3" t="s">
        <v>278</v>
      </c>
      <c r="E72" s="3" t="s">
        <v>279</v>
      </c>
      <c r="F72" s="2"/>
      <c r="G72" s="3" t="str">
        <f>IFERROR(__xludf.DUMMYFUNCTION("GOOGLETRANSLATE(A72, ""it"", ""en"")"),"73")</f>
        <v>73</v>
      </c>
      <c r="H72" s="3" t="str">
        <f>IFERROR(__xludf.DUMMYFUNCTION("GOOGLETRANSLATE(B72, ""it"", ""en"")"),"What is considered unsportsmanlike conduct?")</f>
        <v>What is considered unsportsmanlike conduct?</v>
      </c>
      <c r="I72" s="3" t="str">
        <f>IFERROR(__xludf.DUMMYFUNCTION("GOOGLETRANSLATE(C72, ""it"", ""en"")"),"A. Avoid physical contact B. Insulting opponents C. Not passing the ball D. Avoiding physical play")</f>
        <v>A. Avoid physical contact B. Insulting opponents C. Not passing the ball D. Avoiding physical play</v>
      </c>
      <c r="J72" s="3" t="str">
        <f>IFERROR(__xludf.DUMMYFUNCTION("GOOGLETRANSLATE(D72, ""it"", ""en"")"),"Insulting opponents")</f>
        <v>Insulting opponents</v>
      </c>
      <c r="K72" s="3" t="str">
        <f>IFERROR(__xludf.DUMMYFUNCTION("GOOGLETRANSLATE(E72, ""it"", ""en"")"),"Insults and verbal abuse are prohibited.")</f>
        <v>Insults and verbal abuse are prohibited.</v>
      </c>
      <c r="L72" s="2"/>
      <c r="M72" s="2"/>
      <c r="N72" s="2"/>
      <c r="O72" s="2"/>
      <c r="P72" s="2"/>
      <c r="Q72" s="2"/>
      <c r="R72" s="2"/>
      <c r="S72" s="2"/>
      <c r="T72" s="2"/>
      <c r="U72" s="2"/>
      <c r="V72" s="2"/>
      <c r="W72" s="2"/>
    </row>
    <row r="73" ht="22.5" customHeight="1">
      <c r="A73" s="3">
        <v>74.0</v>
      </c>
      <c r="B73" s="3" t="s">
        <v>280</v>
      </c>
      <c r="C73" s="3" t="s">
        <v>281</v>
      </c>
      <c r="D73" s="3" t="s">
        <v>282</v>
      </c>
      <c r="E73" s="3" t="s">
        <v>283</v>
      </c>
      <c r="F73" s="2"/>
      <c r="G73" s="3" t="str">
        <f>IFERROR(__xludf.DUMMYFUNCTION("GOOGLETRANSLATE(A73, ""it"", ""en"")"),"74")</f>
        <v>74</v>
      </c>
      <c r="H73" s="3" t="str">
        <f>IFERROR(__xludf.DUMMYFUNCTION("GOOGLETRANSLATE(B73, ""it"", ""en"")"),"What is the prize for the winning team?")</f>
        <v>What is the prize for the winning team?</v>
      </c>
      <c r="I73" s="3" t="str">
        <f>IFERROR(__xludf.DUMMYFUNCTION("GOOGLETRANSLATE(C73, ""it"", ""en"")"),"A. A trophy B. Money C. A cow D. A wreath")</f>
        <v>A. A trophy B. Money C. A cow D. A wreath</v>
      </c>
      <c r="J73" s="3" t="str">
        <f>IFERROR(__xludf.DUMMYFUNCTION("GOOGLETRANSLATE(D73, ""it"", ""en"")"),"A cow")</f>
        <v>A cow</v>
      </c>
      <c r="K73" s="3" t="str">
        <f>IFERROR(__xludf.DUMMYFUNCTION("GOOGLETRANSLATE(E73, ""it"", ""en"")"),"The winning team receives a cow as a symbolic prize.")</f>
        <v>The winning team receives a cow as a symbolic prize.</v>
      </c>
      <c r="L73" s="2"/>
      <c r="M73" s="2"/>
      <c r="N73" s="2"/>
      <c r="O73" s="2"/>
      <c r="P73" s="2"/>
      <c r="Q73" s="2"/>
      <c r="R73" s="2"/>
      <c r="S73" s="2"/>
      <c r="T73" s="2"/>
      <c r="U73" s="2"/>
      <c r="V73" s="2"/>
      <c r="W73" s="2"/>
    </row>
    <row r="74" ht="22.5" customHeight="1">
      <c r="A74" s="3">
        <v>75.0</v>
      </c>
      <c r="B74" s="3" t="s">
        <v>284</v>
      </c>
      <c r="C74" s="3" t="s">
        <v>285</v>
      </c>
      <c r="D74" s="3" t="s">
        <v>286</v>
      </c>
      <c r="E74" s="3" t="s">
        <v>287</v>
      </c>
      <c r="F74" s="2"/>
      <c r="G74" s="3" t="str">
        <f>IFERROR(__xludf.DUMMYFUNCTION("GOOGLETRANSLATE(A74, ""it"", ""en"")"),"75")</f>
        <v>75</v>
      </c>
      <c r="H74" s="3" t="str">
        <f>IFERROR(__xludf.DUMMYFUNCTION("GOOGLETRANSLATE(B74, ""it"", ""en"")"),"What do the rules of the game symbolize?")</f>
        <v>What do the rules of the game symbolize?</v>
      </c>
      <c r="I74" s="3" t="str">
        <f>IFERROR(__xludf.DUMMYFUNCTION("GOOGLETRANSLATE(C74, ""it"", ""en"")"),"A. Fair competition B. Controlled disorder C. Unrestricted entertainment D. Tradition and respect")</f>
        <v>A. Fair competition B. Controlled disorder C. Unrestricted entertainment D. Tradition and respect</v>
      </c>
      <c r="J74" s="3" t="str">
        <f>IFERROR(__xludf.DUMMYFUNCTION("GOOGLETRANSLATE(D74, ""it"", ""en"")"),"Tradition and respect")</f>
        <v>Tradition and respect</v>
      </c>
      <c r="K74" s="3" t="str">
        <f>IFERROR(__xludf.DUMMYFUNCTION("GOOGLETRANSLATE(E74, ""it"", ""en"")"),"The rules honor historical traditions.")</f>
        <v>The rules honor historical traditions.</v>
      </c>
      <c r="L74" s="2"/>
      <c r="M74" s="2"/>
      <c r="N74" s="2"/>
      <c r="O74" s="2"/>
      <c r="P74" s="2"/>
      <c r="Q74" s="2"/>
      <c r="R74" s="2"/>
      <c r="S74" s="2"/>
      <c r="T74" s="2"/>
      <c r="U74" s="2"/>
      <c r="V74" s="2"/>
      <c r="W74" s="2"/>
    </row>
    <row r="75" ht="22.5" customHeight="1">
      <c r="A75" s="3">
        <v>76.0</v>
      </c>
      <c r="B75" s="3" t="s">
        <v>288</v>
      </c>
      <c r="C75" s="3" t="s">
        <v>289</v>
      </c>
      <c r="D75" s="3" t="s">
        <v>290</v>
      </c>
      <c r="E75" s="3" t="s">
        <v>291</v>
      </c>
      <c r="F75" s="2"/>
      <c r="G75" s="3" t="str">
        <f>IFERROR(__xludf.DUMMYFUNCTION("GOOGLETRANSLATE(A75, ""it"", ""en"")"),"76")</f>
        <v>76</v>
      </c>
      <c r="H75" s="3" t="str">
        <f>IFERROR(__xludf.DUMMYFUNCTION("GOOGLETRANSLATE(B75, ""it"", ""en"")"),"How is initial possession of the ball decided?")</f>
        <v>How is initial possession of the ball decided?</v>
      </c>
      <c r="I75" s="3" t="str">
        <f>IFERROR(__xludf.DUMMYFUNCTION("GOOGLETRANSLATE(C75, ""it"", ""en"")"),"A. Draw B. Physical competition C. Captain's decision D. Public choice")</f>
        <v>A. Draw B. Physical competition C. Captain's decision D. Public choice</v>
      </c>
      <c r="J75" s="3" t="str">
        <f>IFERROR(__xludf.DUMMYFUNCTION("GOOGLETRANSLATE(D75, ""it"", ""en"")"),"Draw")</f>
        <v>Draw</v>
      </c>
      <c r="K75" s="3" t="str">
        <f>IFERROR(__xludf.DUMMYFUNCTION("GOOGLETRANSLATE(E75, ""it"", ""en"")"),"The toss determines who starts with the ball.")</f>
        <v>The toss determines who starts with the ball.</v>
      </c>
      <c r="L75" s="2"/>
      <c r="M75" s="2"/>
      <c r="N75" s="2"/>
      <c r="O75" s="2"/>
      <c r="P75" s="2"/>
      <c r="Q75" s="2"/>
      <c r="R75" s="2"/>
      <c r="S75" s="2"/>
      <c r="T75" s="2"/>
      <c r="U75" s="2"/>
      <c r="V75" s="2"/>
      <c r="W75" s="2"/>
    </row>
    <row r="76" ht="22.5" customHeight="1">
      <c r="A76" s="3">
        <v>77.0</v>
      </c>
      <c r="B76" s="3" t="s">
        <v>292</v>
      </c>
      <c r="C76" s="3" t="s">
        <v>293</v>
      </c>
      <c r="D76" s="3" t="s">
        <v>294</v>
      </c>
      <c r="E76" s="3" t="s">
        <v>295</v>
      </c>
      <c r="F76" s="2"/>
      <c r="G76" s="3" t="str">
        <f>IFERROR(__xludf.DUMMYFUNCTION("GOOGLETRANSLATE(A76, ""it"", ""en"")"),"77")</f>
        <v>77</v>
      </c>
      <c r="H76" s="3" t="str">
        <f>IFERROR(__xludf.DUMMYFUNCTION("GOOGLETRANSLATE(B76, ""it"", ""en"")"),"What are you not allowed to do during scrums?")</f>
        <v>What are you not allowed to do during scrums?</v>
      </c>
      <c r="I76" s="3" t="str">
        <f>IFERROR(__xludf.DUMMYFUNCTION("GOOGLETRANSLATE(C76, ""it"", ""en"")"),"A. Pushing the opponent B. Holding the ball C. Intentionally hitting D. Blocking the ball")</f>
        <v>A. Pushing the opponent B. Holding the ball C. Intentionally hitting D. Blocking the ball</v>
      </c>
      <c r="J76" s="3" t="str">
        <f>IFERROR(__xludf.DUMMYFUNCTION("GOOGLETRANSLATE(D76, ""it"", ""en"")"),"To intentionally strike")</f>
        <v>To intentionally strike</v>
      </c>
      <c r="K76" s="3" t="str">
        <f>IFERROR(__xludf.DUMMYFUNCTION("GOOGLETRANSLATE(E76, ""it"", ""en"")"),"Intentional hitting is prohibited.")</f>
        <v>Intentional hitting is prohibited.</v>
      </c>
      <c r="L76" s="2"/>
      <c r="M76" s="2"/>
      <c r="N76" s="2"/>
      <c r="O76" s="2"/>
      <c r="P76" s="2"/>
      <c r="Q76" s="2"/>
      <c r="R76" s="2"/>
      <c r="S76" s="2"/>
      <c r="T76" s="2"/>
      <c r="U76" s="2"/>
      <c r="V76" s="2"/>
      <c r="W76" s="2"/>
    </row>
    <row r="77" ht="22.5" customHeight="1">
      <c r="A77" s="3">
        <v>78.0</v>
      </c>
      <c r="B77" s="3" t="s">
        <v>296</v>
      </c>
      <c r="C77" s="3" t="s">
        <v>297</v>
      </c>
      <c r="D77" s="3" t="s">
        <v>298</v>
      </c>
      <c r="E77" s="3" t="s">
        <v>299</v>
      </c>
      <c r="F77" s="2"/>
      <c r="G77" s="3" t="str">
        <f>IFERROR(__xludf.DUMMYFUNCTION("GOOGLETRANSLATE(A77, ""it"", ""en"")"),"78")</f>
        <v>78</v>
      </c>
      <c r="H77" s="3" t="str">
        <f>IFERROR(__xludf.DUMMYFUNCTION("GOOGLETRANSLATE(B77, ""it"", ""en"")"),"What happens if there is a tie at the end of the half?")</f>
        <v>What happens if there is a tie at the end of the half?</v>
      </c>
      <c r="I77" s="3" t="str">
        <f>IFERROR(__xludf.DUMMYFUNCTION("GOOGLETRANSLATE(C77, ""it"", ""en"")"),"A. The team with the fewest fouls wins B. Extra time is played C. The score remains tied D. A new toss is made")</f>
        <v>A. The team with the fewest fouls wins B. Extra time is played C. The score remains tied D. A new toss is made</v>
      </c>
      <c r="J77" s="3" t="str">
        <f>IFERROR(__xludf.DUMMYFUNCTION("GOOGLETRANSLATE(D77, ""it"", ""en"")"),"The result remains tied")</f>
        <v>The result remains tied</v>
      </c>
      <c r="K77" s="3" t="str">
        <f>IFERROR(__xludf.DUMMYFUNCTION("GOOGLETRANSLATE(E77, ""it"", ""en"")"),"No extra charges are foreseen.")</f>
        <v>No extra charges are foreseen.</v>
      </c>
      <c r="L77" s="2"/>
      <c r="M77" s="2"/>
      <c r="N77" s="2"/>
      <c r="O77" s="2"/>
      <c r="P77" s="2"/>
      <c r="Q77" s="2"/>
      <c r="R77" s="2"/>
      <c r="S77" s="2"/>
      <c r="T77" s="2"/>
      <c r="U77" s="2"/>
      <c r="V77" s="2"/>
      <c r="W77" s="2"/>
    </row>
    <row r="78" ht="22.5" customHeight="1">
      <c r="A78" s="3">
        <v>79.0</v>
      </c>
      <c r="B78" s="3" t="s">
        <v>300</v>
      </c>
      <c r="C78" s="3" t="s">
        <v>301</v>
      </c>
      <c r="D78" s="3" t="s">
        <v>302</v>
      </c>
      <c r="E78" s="3" t="s">
        <v>303</v>
      </c>
      <c r="F78" s="2"/>
      <c r="G78" s="3" t="str">
        <f>IFERROR(__xludf.DUMMYFUNCTION("GOOGLETRANSLATE(A78, ""it"", ""en"")"),"79")</f>
        <v>79</v>
      </c>
      <c r="H78" s="3" t="str">
        <f>IFERROR(__xludf.DUMMYFUNCTION("GOOGLETRANSLATE(B78, ""it"", ""en"")"),"Who supervises compliance with the rules?")</f>
        <v>Who supervises compliance with the rules?</v>
      </c>
      <c r="I78" s="3" t="str">
        <f>IFERROR(__xludf.DUMMYFUNCTION("GOOGLETRANSLATE(C78, ""it"", ""en"")"),"A. The captains B. The public C. The referees D. The mayor")</f>
        <v>A. The captains B. The public C. The referees D. The mayor</v>
      </c>
      <c r="J78" s="3" t="str">
        <f>IFERROR(__xludf.DUMMYFUNCTION("GOOGLETRANSLATE(D78, ""it"", ""en"")"),"The referees")</f>
        <v>The referees</v>
      </c>
      <c r="K78" s="3" t="str">
        <f>IFERROR(__xludf.DUMMYFUNCTION("GOOGLETRANSLATE(E78, ""it"", ""en"")"),"The referees ensure that the rules are respected.")</f>
        <v>The referees ensure that the rules are respected.</v>
      </c>
      <c r="L78" s="2"/>
      <c r="M78" s="2"/>
      <c r="N78" s="2"/>
      <c r="O78" s="2"/>
      <c r="P78" s="2"/>
      <c r="Q78" s="2"/>
      <c r="R78" s="2"/>
      <c r="S78" s="2"/>
      <c r="T78" s="2"/>
      <c r="U78" s="2"/>
      <c r="V78" s="2"/>
      <c r="W78" s="2"/>
    </row>
    <row r="79" ht="22.5" customHeight="1">
      <c r="A79" s="3">
        <v>80.0</v>
      </c>
      <c r="B79" s="3" t="s">
        <v>304</v>
      </c>
      <c r="C79" s="3" t="s">
        <v>305</v>
      </c>
      <c r="D79" s="3" t="s">
        <v>306</v>
      </c>
      <c r="E79" s="3" t="s">
        <v>307</v>
      </c>
      <c r="F79" s="2"/>
      <c r="G79" s="3" t="str">
        <f>IFERROR(__xludf.DUMMYFUNCTION("GOOGLETRANSLATE(A79, ""it"", ""en"")"),"80")</f>
        <v>80</v>
      </c>
      <c r="H79" s="3" t="str">
        <f>IFERROR(__xludf.DUMMYFUNCTION("GOOGLETRANSLATE(B79, ""it"", ""en"")"),"What is the position of the net in the field?")</f>
        <v>What is the position of the net in the field?</v>
      </c>
      <c r="I79" s="3" t="str">
        <f>IFERROR(__xludf.DUMMYFUNCTION("GOOGLETRANSLATE(C79, ""it"", ""en"")"),"A. In the center B. At the corners C. At the ends of the field D. Along the sides")</f>
        <v>A. In the center B. At the corners C. At the ends of the field D. Along the sides</v>
      </c>
      <c r="J79" s="3" t="str">
        <f>IFERROR(__xludf.DUMMYFUNCTION("GOOGLETRANSLATE(D79, ""it"", ""en"")"),"At the ends of the field")</f>
        <v>At the ends of the field</v>
      </c>
      <c r="K79" s="3" t="str">
        <f>IFERROR(__xludf.DUMMYFUNCTION("GOOGLETRANSLATE(E79, ""it"", ""en"")"),"The networks are at opposite ends.")</f>
        <v>The networks are at opposite ends.</v>
      </c>
      <c r="L79" s="2"/>
      <c r="M79" s="2"/>
      <c r="N79" s="2"/>
      <c r="O79" s="2"/>
      <c r="P79" s="2"/>
      <c r="Q79" s="2"/>
      <c r="R79" s="2"/>
      <c r="S79" s="2"/>
      <c r="T79" s="2"/>
      <c r="U79" s="2"/>
      <c r="V79" s="2"/>
      <c r="W79" s="2"/>
    </row>
    <row r="80" ht="22.5" customHeight="1">
      <c r="A80" s="3">
        <v>81.0</v>
      </c>
      <c r="B80" s="3" t="s">
        <v>308</v>
      </c>
      <c r="C80" s="3" t="s">
        <v>309</v>
      </c>
      <c r="D80" s="3" t="s">
        <v>310</v>
      </c>
      <c r="E80" s="3" t="s">
        <v>311</v>
      </c>
      <c r="F80" s="2"/>
      <c r="G80" s="3" t="str">
        <f>IFERROR(__xludf.DUMMYFUNCTION("GOOGLETRANSLATE(A80, ""it"", ""en"")"),"81")</f>
        <v>81</v>
      </c>
      <c r="H80" s="3" t="str">
        <f>IFERROR(__xludf.DUMMYFUNCTION("GOOGLETRANSLATE(B80, ""it"", ""en"")"),"How do you manage violent behavior?")</f>
        <v>How do you manage violent behavior?</v>
      </c>
      <c r="I80" s="3" t="str">
        <f>IFERROR(__xludf.DUMMYFUNCTION("GOOGLETRANSLATE(C80, ""it"", ""en"")"),"A. With warnings B. Immediate expulsion C. Suspension of play D. Verbal warning")</f>
        <v>A. With warnings B. Immediate expulsion C. Suspension of play D. Verbal warning</v>
      </c>
      <c r="J80" s="3" t="str">
        <f>IFERROR(__xludf.DUMMYFUNCTION("GOOGLETRANSLATE(D80, ""it"", ""en"")"),"Immediate expulsion")</f>
        <v>Immediate expulsion</v>
      </c>
      <c r="K80" s="3" t="str">
        <f>IFERROR(__xludf.DUMMYFUNCTION("GOOGLETRANSLATE(E80, ""it"", ""en"")"),"Violence leads to immediate expulsion.")</f>
        <v>Violence leads to immediate expulsion.</v>
      </c>
      <c r="L80" s="2"/>
      <c r="M80" s="2"/>
      <c r="N80" s="2"/>
      <c r="O80" s="2"/>
      <c r="P80" s="2"/>
      <c r="Q80" s="2"/>
      <c r="R80" s="2"/>
      <c r="S80" s="2"/>
      <c r="T80" s="2"/>
      <c r="U80" s="2"/>
      <c r="V80" s="2"/>
      <c r="W80" s="2"/>
    </row>
    <row r="81" ht="22.5" customHeight="1">
      <c r="A81" s="3">
        <v>82.0</v>
      </c>
      <c r="B81" s="3" t="s">
        <v>312</v>
      </c>
      <c r="C81" s="3" t="s">
        <v>313</v>
      </c>
      <c r="D81" s="3" t="s">
        <v>314</v>
      </c>
      <c r="E81" s="3" t="s">
        <v>315</v>
      </c>
      <c r="F81" s="2"/>
      <c r="G81" s="3" t="str">
        <f>IFERROR(__xludf.DUMMYFUNCTION("GOOGLETRANSLATE(A81, ""it"", ""en"")"),"82")</f>
        <v>82</v>
      </c>
      <c r="H81" s="3" t="str">
        <f>IFERROR(__xludf.DUMMYFUNCTION("GOOGLETRANSLATE(B81, ""it"", ""en"")"),"What distinguishes Calcio Storico from modern football?")</f>
        <v>What distinguishes Calcio Storico from modern football?</v>
      </c>
      <c r="I81" s="3" t="str">
        <f>IFERROR(__xludf.DUMMYFUNCTION("GOOGLETRANSLATE(C81, ""it"", ""en"")"),"A. The speed of the game B. The intense physicality C. The lack of referees D. The number of players")</f>
        <v>A. The speed of the game B. The intense physicality C. The lack of referees D. The number of players</v>
      </c>
      <c r="J81" s="3" t="str">
        <f>IFERROR(__xludf.DUMMYFUNCTION("GOOGLETRANSLATE(D81, ""it"", ""en"")"),"The intense physicality")</f>
        <v>The intense physicality</v>
      </c>
      <c r="K81" s="3" t="str">
        <f>IFERROR(__xludf.DUMMYFUNCTION("GOOGLETRANSLATE(E81, ""it"", ""en"")"),"Calcio Storico is known for its physical contact.")</f>
        <v>Calcio Storico is known for its physical contact.</v>
      </c>
      <c r="L81" s="2"/>
      <c r="M81" s="2"/>
      <c r="N81" s="2"/>
      <c r="O81" s="2"/>
      <c r="P81" s="2"/>
      <c r="Q81" s="2"/>
      <c r="R81" s="2"/>
      <c r="S81" s="2"/>
      <c r="T81" s="2"/>
      <c r="U81" s="2"/>
      <c r="V81" s="2"/>
      <c r="W81" s="2"/>
    </row>
    <row r="82" ht="22.5" customHeight="1">
      <c r="A82" s="3">
        <v>83.0</v>
      </c>
      <c r="B82" s="3" t="s">
        <v>316</v>
      </c>
      <c r="C82" s="3" t="s">
        <v>317</v>
      </c>
      <c r="D82" s="3" t="s">
        <v>318</v>
      </c>
      <c r="E82" s="3" t="s">
        <v>319</v>
      </c>
      <c r="F82" s="2"/>
      <c r="G82" s="3" t="str">
        <f>IFERROR(__xludf.DUMMYFUNCTION("GOOGLETRANSLATE(A82, ""it"", ""en"")"),"83")</f>
        <v>83</v>
      </c>
      <c r="H82" s="3" t="str">
        <f>IFERROR(__xludf.DUMMYFUNCTION("GOOGLETRANSLATE(B82, ""it"", ""en"")"),"How do you celebrate victory?")</f>
        <v>How do you celebrate victory?</v>
      </c>
      <c r="I82" s="3" t="str">
        <f>IFERROR(__xludf.DUMMYFUNCTION("GOOGLETRANSLATE(C82, ""it"", ""en"")"),"A. With a parade through the streets of the city B. With a private ceremony C. With a press conference D. With a party among the players")</f>
        <v>A. With a parade through the streets of the city B. With a private ceremony C. With a press conference D. With a party among the players</v>
      </c>
      <c r="J82" s="3" t="str">
        <f>IFERROR(__xludf.DUMMYFUNCTION("GOOGLETRANSLATE(D82, ""it"", ""en"")"),"With a parade through the streets of the city")</f>
        <v>With a parade through the streets of the city</v>
      </c>
      <c r="K82" s="3" t="str">
        <f>IFERROR(__xludf.DUMMYFUNCTION("GOOGLETRANSLATE(E82, ""it"", ""en"")"),"The victory is celebrated with a public parade.")</f>
        <v>The victory is celebrated with a public parade.</v>
      </c>
      <c r="L82" s="2"/>
      <c r="M82" s="2"/>
      <c r="N82" s="2"/>
      <c r="O82" s="2"/>
      <c r="P82" s="2"/>
      <c r="Q82" s="2"/>
      <c r="R82" s="2"/>
      <c r="S82" s="2"/>
      <c r="T82" s="2"/>
      <c r="U82" s="2"/>
      <c r="V82" s="2"/>
      <c r="W82" s="2"/>
    </row>
    <row r="83" ht="22.5" customHeight="1">
      <c r="A83" s="3">
        <v>84.0</v>
      </c>
      <c r="B83" s="3" t="s">
        <v>320</v>
      </c>
      <c r="C83" s="3" t="s">
        <v>321</v>
      </c>
      <c r="D83" s="3" t="s">
        <v>322</v>
      </c>
      <c r="E83" s="3" t="s">
        <v>323</v>
      </c>
      <c r="F83" s="2"/>
      <c r="G83" s="3" t="str">
        <f>IFERROR(__xludf.DUMMYFUNCTION("GOOGLETRANSLATE(A83, ""it"", ""en"")"),"84")</f>
        <v>84</v>
      </c>
      <c r="H83" s="3" t="str">
        <f>IFERROR(__xludf.DUMMYFUNCTION("GOOGLETRANSLATE(B83, ""it"", ""en"")"),"What is the structure of the field?")</f>
        <v>What is the structure of the field?</v>
      </c>
      <c r="I83" s="3" t="str">
        <f>IFERROR(__xludf.DUMMYFUNCTION("GOOGLETRANSLATE(C83, ""it"", ""en"")"),"A. Square B. Rectangular C. Oval D. Irregular")</f>
        <v>A. Square B. Rectangular C. Oval D. Irregular</v>
      </c>
      <c r="J83" s="3" t="str">
        <f>IFERROR(__xludf.DUMMYFUNCTION("GOOGLETRANSLATE(D83, ""it"", ""en"")"),"Rectangular")</f>
        <v>Rectangular</v>
      </c>
      <c r="K83" s="3" t="str">
        <f>IFERROR(__xludf.DUMMYFUNCTION("GOOGLETRANSLATE(E83, ""it"", ""en"")"),"The field has a rectangular shape.")</f>
        <v>The field has a rectangular shape.</v>
      </c>
      <c r="L83" s="2"/>
      <c r="M83" s="2"/>
      <c r="N83" s="2"/>
      <c r="O83" s="2"/>
      <c r="P83" s="2"/>
      <c r="Q83" s="2"/>
      <c r="R83" s="2"/>
      <c r="S83" s="2"/>
      <c r="T83" s="2"/>
      <c r="U83" s="2"/>
      <c r="V83" s="2"/>
      <c r="W83" s="2"/>
    </row>
    <row r="84" ht="22.5" customHeight="1">
      <c r="A84" s="3">
        <v>85.0</v>
      </c>
      <c r="B84" s="3" t="s">
        <v>324</v>
      </c>
      <c r="C84" s="3" t="s">
        <v>325</v>
      </c>
      <c r="D84" s="3" t="s">
        <v>326</v>
      </c>
      <c r="E84" s="3" t="s">
        <v>327</v>
      </c>
      <c r="F84" s="2"/>
      <c r="G84" s="3" t="str">
        <f>IFERROR(__xludf.DUMMYFUNCTION("GOOGLETRANSLATE(A84, ""it"", ""en"")"),"85")</f>
        <v>85</v>
      </c>
      <c r="H84" s="3" t="str">
        <f>IFERROR(__xludf.DUMMYFUNCTION("GOOGLETRANSLATE(B84, ""it"", ""en"")"),"What is the task of the attackers?")</f>
        <v>What is the task of the attackers?</v>
      </c>
      <c r="I84" s="3" t="str">
        <f>IFERROR(__xludf.DUMMYFUNCTION("GOOGLETRANSLATE(C84, ""it"", ""en"")"),"A. Defending the team B. Stopping the opponents C. Scoring shots D. Refereeing the game")</f>
        <v>A. Defending the team B. Stopping the opponents C. Scoring shots D. Refereeing the game</v>
      </c>
      <c r="J84" s="3" t="str">
        <f>IFERROR(__xludf.DUMMYFUNCTION("GOOGLETRANSLATE(D84, ""it"", ""en"")"),"Mark hunts")</f>
        <v>Mark hunts</v>
      </c>
      <c r="K84" s="3" t="str">
        <f>IFERROR(__xludf.DUMMYFUNCTION("GOOGLETRANSLATE(E84, ""it"", ""en"")"),"The attackers focus on scoring.")</f>
        <v>The attackers focus on scoring.</v>
      </c>
      <c r="L84" s="2"/>
      <c r="M84" s="2"/>
      <c r="N84" s="2"/>
      <c r="O84" s="2"/>
      <c r="P84" s="2"/>
      <c r="Q84" s="2"/>
      <c r="R84" s="2"/>
      <c r="S84" s="2"/>
      <c r="T84" s="2"/>
      <c r="U84" s="2"/>
      <c r="V84" s="2"/>
      <c r="W84" s="2"/>
    </row>
    <row r="85" ht="22.5" customHeight="1">
      <c r="A85" s="3">
        <v>86.0</v>
      </c>
      <c r="B85" s="3" t="s">
        <v>328</v>
      </c>
      <c r="C85" s="3" t="s">
        <v>329</v>
      </c>
      <c r="D85" s="3" t="s">
        <v>198</v>
      </c>
      <c r="E85" s="3" t="s">
        <v>330</v>
      </c>
      <c r="F85" s="2"/>
      <c r="G85" s="3" t="str">
        <f>IFERROR(__xludf.DUMMYFUNCTION("GOOGLETRANSLATE(A85, ""it"", ""en"")"),"86")</f>
        <v>86</v>
      </c>
      <c r="H85" s="3" t="str">
        <f>IFERROR(__xludf.DUMMYFUNCTION("GOOGLETRANSLATE(B85, ""it"", ""en"")"),"Who can interrupt the game?")</f>
        <v>Who can interrupt the game?</v>
      </c>
      <c r="I85" s="3" t="str">
        <f>IFERROR(__xludf.DUMMYFUNCTION("GOOGLETRANSLATE(C85, ""it"", ""en"")"),"A. The spectators B. The captains C. The referees D. The mayor")</f>
        <v>A. The spectators B. The captains C. The referees D. The mayor</v>
      </c>
      <c r="J85" s="3" t="str">
        <f>IFERROR(__xludf.DUMMYFUNCTION("GOOGLETRANSLATE(D85, ""it"", ""en"")"),"The Referees")</f>
        <v>The Referees</v>
      </c>
      <c r="K85" s="3" t="str">
        <f>IFERROR(__xludf.DUMMYFUNCTION("GOOGLETRANSLATE(E85, ""it"", ""en"")"),"Only the referees have the authority to stop the game.")</f>
        <v>Only the referees have the authority to stop the game.</v>
      </c>
      <c r="L85" s="2"/>
      <c r="M85" s="2"/>
      <c r="N85" s="2"/>
      <c r="O85" s="2"/>
      <c r="P85" s="2"/>
      <c r="Q85" s="2"/>
      <c r="R85" s="2"/>
      <c r="S85" s="2"/>
      <c r="T85" s="2"/>
      <c r="U85" s="2"/>
      <c r="V85" s="2"/>
      <c r="W85" s="2"/>
    </row>
    <row r="86" ht="22.5" customHeight="1">
      <c r="A86" s="3">
        <v>87.0</v>
      </c>
      <c r="B86" s="3" t="s">
        <v>331</v>
      </c>
      <c r="C86" s="3" t="s">
        <v>332</v>
      </c>
      <c r="D86" s="3" t="s">
        <v>333</v>
      </c>
      <c r="E86" s="3" t="s">
        <v>334</v>
      </c>
      <c r="F86" s="2"/>
      <c r="G86" s="3" t="str">
        <f>IFERROR(__xludf.DUMMYFUNCTION("GOOGLETRANSLATE(A86, ""it"", ""en"")"),"87")</f>
        <v>87</v>
      </c>
      <c r="H86" s="3" t="str">
        <f>IFERROR(__xludf.DUMMYFUNCTION("GOOGLETRANSLATE(B86, ""it"", ""en"")"),"What is the function of the guards?")</f>
        <v>What is the function of the guards?</v>
      </c>
      <c r="I86" s="3" t="str">
        <f>IFERROR(__xludf.DUMMYFUNCTION("GOOGLETRANSLATE(C86, ""it"", ""en"")"),"A. Protect the Captain B. Stop the opposing attackers C. Score points D. Referee")</f>
        <v>A. Protect the Captain B. Stop the opposing attackers C. Score points D. Referee</v>
      </c>
      <c r="J86" s="3" t="str">
        <f>IFERROR(__xludf.DUMMYFUNCTION("GOOGLETRANSLATE(D86, ""it"", ""en"")"),"Stop opposing attackers")</f>
        <v>Stop opposing attackers</v>
      </c>
      <c r="K86" s="3" t="str">
        <f>IFERROR(__xludf.DUMMYFUNCTION("GOOGLETRANSLATE(E86, ""it"", ""en"")"),"The guards protect the defense.")</f>
        <v>The guards protect the defense.</v>
      </c>
      <c r="L86" s="2"/>
      <c r="M86" s="2"/>
      <c r="N86" s="2"/>
      <c r="O86" s="2"/>
      <c r="P86" s="2"/>
      <c r="Q86" s="2"/>
      <c r="R86" s="2"/>
      <c r="S86" s="2"/>
      <c r="T86" s="2"/>
      <c r="U86" s="2"/>
      <c r="V86" s="2"/>
      <c r="W86" s="2"/>
    </row>
    <row r="87" ht="22.5" customHeight="1">
      <c r="A87" s="3">
        <v>88.0</v>
      </c>
      <c r="B87" s="3" t="s">
        <v>84</v>
      </c>
      <c r="C87" s="3" t="s">
        <v>85</v>
      </c>
      <c r="D87" s="3" t="s">
        <v>86</v>
      </c>
      <c r="E87" s="3" t="s">
        <v>87</v>
      </c>
      <c r="F87" s="2"/>
      <c r="G87" s="3" t="str">
        <f>IFERROR(__xludf.DUMMYFUNCTION("GOOGLETRANSLATE(A87, ""it"", ""en"")"),"88")</f>
        <v>88</v>
      </c>
      <c r="H87" s="3" t="str">
        <f>IFERROR(__xludf.DUMMYFUNCTION("GOOGLETRANSLATE(B87, ""it"", ""en"")"),"What is the length of the playing field?")</f>
        <v>What is the length of the playing field?</v>
      </c>
      <c r="I87" s="3" t="str">
        <f>IFERROR(__xludf.DUMMYFUNCTION("GOOGLETRANSLATE(C87, ""it"", ""en"")"),"A. 50 meters B. 80 meters C. 100 meters D. 120 meters")</f>
        <v>A. 50 meters B. 80 meters C. 100 meters D. 120 meters</v>
      </c>
      <c r="J87" s="3" t="str">
        <f>IFERROR(__xludf.DUMMYFUNCTION("GOOGLETRANSLATE(D87, ""it"", ""en"")"),"80 meters")</f>
        <v>80 meters</v>
      </c>
      <c r="K87" s="3" t="str">
        <f>IFERROR(__xludf.DUMMYFUNCTION("GOOGLETRANSLATE(E87, ""it"", ""en"")"),"The field is approximately 80 meters long.")</f>
        <v>The field is approximately 80 meters long.</v>
      </c>
      <c r="L87" s="2"/>
      <c r="M87" s="2"/>
      <c r="N87" s="2"/>
      <c r="O87" s="2"/>
      <c r="P87" s="2"/>
      <c r="Q87" s="2"/>
      <c r="R87" s="2"/>
      <c r="S87" s="2"/>
      <c r="T87" s="2"/>
      <c r="U87" s="2"/>
      <c r="V87" s="2"/>
      <c r="W87" s="2"/>
    </row>
    <row r="88" ht="22.5" customHeight="1">
      <c r="A88" s="3">
        <v>89.0</v>
      </c>
      <c r="B88" s="3" t="s">
        <v>335</v>
      </c>
      <c r="C88" s="3" t="s">
        <v>336</v>
      </c>
      <c r="D88" s="3" t="s">
        <v>337</v>
      </c>
      <c r="E88" s="3" t="s">
        <v>338</v>
      </c>
      <c r="F88" s="2"/>
      <c r="G88" s="3" t="str">
        <f>IFERROR(__xludf.DUMMYFUNCTION("GOOGLETRANSLATE(A88, ""it"", ""en"")"),"89")</f>
        <v>89</v>
      </c>
      <c r="H88" s="3" t="str">
        <f>IFERROR(__xludf.DUMMYFUNCTION("GOOGLETRANSLATE(B88, ""it"", ""en"")"),"What are the physical requirements to play?")</f>
        <v>What are the physical requirements to play?</v>
      </c>
      <c r="I88" s="3" t="str">
        <f>IFERROR(__xludf.DUMMYFUNCTION("GOOGLETRANSLATE(C88, ""it"", ""en"")"),"A. Speed ​​only B. Stamina and physical strength C. Agility and precision D. Intelligence and tactics")</f>
        <v>A. Speed ​​only B. Stamina and physical strength C. Agility and precision D. Intelligence and tactics</v>
      </c>
      <c r="J88" s="3" t="str">
        <f>IFERROR(__xludf.DUMMYFUNCTION("GOOGLETRANSLATE(D88, ""it"", ""en"")"),"Endurance and physical strength")</f>
        <v>Endurance and physical strength</v>
      </c>
      <c r="K88" s="3" t="str">
        <f>IFERROR(__xludf.DUMMYFUNCTION("GOOGLETRANSLATE(E88, ""it"", ""en"")"),"Endurance and strength are essential.")</f>
        <v>Endurance and strength are essential.</v>
      </c>
      <c r="L88" s="2"/>
      <c r="M88" s="2"/>
      <c r="N88" s="2"/>
      <c r="O88" s="2"/>
      <c r="P88" s="2"/>
      <c r="Q88" s="2"/>
      <c r="R88" s="2"/>
      <c r="S88" s="2"/>
      <c r="T88" s="2"/>
      <c r="U88" s="2"/>
      <c r="V88" s="2"/>
      <c r="W88" s="2"/>
    </row>
    <row r="89" ht="22.5" customHeight="1">
      <c r="A89" s="3">
        <v>90.0</v>
      </c>
      <c r="B89" s="3" t="s">
        <v>339</v>
      </c>
      <c r="C89" s="3" t="s">
        <v>340</v>
      </c>
      <c r="D89" s="3" t="s">
        <v>341</v>
      </c>
      <c r="E89" s="3" t="s">
        <v>342</v>
      </c>
      <c r="F89" s="2"/>
      <c r="G89" s="3" t="str">
        <f>IFERROR(__xludf.DUMMYFUNCTION("GOOGLETRANSLATE(A89, ""it"", ""en"")"),"90")</f>
        <v>90</v>
      </c>
      <c r="H89" s="3" t="str">
        <f>IFERROR(__xludf.DUMMYFUNCTION("GOOGLETRANSLATE(B89, ""it"", ""en"")"),"What is celebrated with Calcio Storico?")</f>
        <v>What is celebrated with Calcio Storico?</v>
      </c>
      <c r="I89" s="3" t="str">
        <f>IFERROR(__xludf.DUMMYFUNCTION("GOOGLETRANSLATE(C89, ""it"", ""en"")"),"A. Modern sporting history B. The history of Florence C. National culture D. Personal victory")</f>
        <v>A. Modern sporting history B. The history of Florence C. National culture D. Personal victory</v>
      </c>
      <c r="J89" s="3" t="str">
        <f>IFERROR(__xludf.DUMMYFUNCTION("GOOGLETRANSLATE(D89, ""it"", ""en"")"),"The history of Florence")</f>
        <v>The history of Florence</v>
      </c>
      <c r="K89" s="3" t="str">
        <f>IFERROR(__xludf.DUMMYFUNCTION("GOOGLETRANSLATE(E89, ""it"", ""en"")"),"The tournament celebrates the city's historical heritage.")</f>
        <v>The tournament celebrates the city's historical heritage.</v>
      </c>
      <c r="L89" s="2"/>
      <c r="M89" s="2"/>
      <c r="N89" s="2"/>
      <c r="O89" s="2"/>
      <c r="P89" s="2"/>
      <c r="Q89" s="2"/>
      <c r="R89" s="2"/>
      <c r="S89" s="2"/>
      <c r="T89" s="2"/>
      <c r="U89" s="2"/>
      <c r="V89" s="2"/>
      <c r="W89" s="2"/>
    </row>
    <row r="90" ht="22.5" customHeight="1">
      <c r="A90" s="3">
        <v>91.0</v>
      </c>
      <c r="B90" s="3" t="s">
        <v>343</v>
      </c>
      <c r="C90" s="3" t="s">
        <v>344</v>
      </c>
      <c r="D90" s="3" t="s">
        <v>345</v>
      </c>
      <c r="E90" s="3" t="s">
        <v>346</v>
      </c>
      <c r="F90" s="2"/>
      <c r="G90" s="3" t="str">
        <f>IFERROR(__xludf.DUMMYFUNCTION("GOOGLETRANSLATE(A90, ""it"", ""en"")"),"91")</f>
        <v>91</v>
      </c>
      <c r="H90" s="3" t="str">
        <f>IFERROR(__xludf.DUMMYFUNCTION("GOOGLETRANSLATE(B90, ""it"", ""en"")"),"What is the role of the Captain in a Calcio Storico team?")</f>
        <v>What is the role of the Captain in a Calcio Storico team?</v>
      </c>
      <c r="I90" s="3" t="str">
        <f>IFERROR(__xludf.DUMMYFUNCTION("GOOGLETRANSLATE(C90, ""it"", ""en"")"),"A. Scoring shots B. Refereeing the game C. Motivating the players and guiding the strategy D. Stopping the opponents")</f>
        <v>A. Scoring shots B. Refereeing the game C. Motivating the players and guiding the strategy D. Stopping the opponents</v>
      </c>
      <c r="J90" s="3" t="str">
        <f>IFERROR(__xludf.DUMMYFUNCTION("GOOGLETRANSLATE(D90, ""it"", ""en"")"),"Motivate players and drive strategy")</f>
        <v>Motivate players and drive strategy</v>
      </c>
      <c r="K90" s="3" t="str">
        <f>IFERROR(__xludf.DUMMYFUNCTION("GOOGLETRANSLATE(E90, ""it"", ""en"")"),"The Captain leads the team and develops the strategy.")</f>
        <v>The Captain leads the team and develops the strategy.</v>
      </c>
      <c r="L90" s="2"/>
      <c r="M90" s="2"/>
      <c r="N90" s="2"/>
      <c r="O90" s="2"/>
      <c r="P90" s="2"/>
      <c r="Q90" s="2"/>
      <c r="R90" s="2"/>
      <c r="S90" s="2"/>
      <c r="T90" s="2"/>
      <c r="U90" s="2"/>
      <c r="V90" s="2"/>
      <c r="W90" s="2"/>
    </row>
    <row r="91" ht="22.5" customHeight="1">
      <c r="A91" s="3">
        <v>92.0</v>
      </c>
      <c r="B91" s="3" t="s">
        <v>347</v>
      </c>
      <c r="C91" s="3" t="s">
        <v>348</v>
      </c>
      <c r="D91" s="3" t="s">
        <v>349</v>
      </c>
      <c r="E91" s="3" t="s">
        <v>350</v>
      </c>
      <c r="F91" s="2"/>
      <c r="G91" s="3" t="str">
        <f>IFERROR(__xludf.DUMMYFUNCTION("GOOGLETRANSLATE(A91, ""it"", ""en"")"),"92")</f>
        <v>92</v>
      </c>
      <c r="H91" s="3" t="str">
        <f>IFERROR(__xludf.DUMMYFUNCTION("GOOGLETRANSLATE(B91, ""it"", ""en"")"),"What is the name of the annual Calcio Storico tournament in Florence?")</f>
        <v>What is the name of the annual Calcio Storico tournament in Florence?</v>
      </c>
      <c r="I91" s="3" t="str">
        <f>IFERROR(__xludf.DUMMYFUNCTION("GOOGLETRANSLATE(C91, ""it"", ""en"")"),"A. Tournament of the Lilies B. Tournament of San Lorenzo C. Tournament of Santa Croce D. Tournament of San Giovanni")</f>
        <v>A. Tournament of the Lilies B. Tournament of San Lorenzo C. Tournament of Santa Croce D. Tournament of San Giovanni</v>
      </c>
      <c r="J91" s="3" t="str">
        <f>IFERROR(__xludf.DUMMYFUNCTION("GOOGLETRANSLATE(D91, ""it"", ""en"")"),"San Giovanni Tournament")</f>
        <v>San Giovanni Tournament</v>
      </c>
      <c r="K91" s="3" t="str">
        <f>IFERROR(__xludf.DUMMYFUNCTION("GOOGLETRANSLATE(E91, ""it"", ""en"")"),"The tournament is held in honor of the patron saint of Florence")</f>
        <v>The tournament is held in honor of the patron saint of Florence</v>
      </c>
      <c r="L91" s="2"/>
      <c r="M91" s="2"/>
      <c r="N91" s="2"/>
      <c r="O91" s="2"/>
      <c r="P91" s="2"/>
      <c r="Q91" s="2"/>
      <c r="R91" s="2"/>
      <c r="S91" s="2"/>
      <c r="T91" s="2"/>
      <c r="U91" s="2"/>
      <c r="V91" s="2"/>
      <c r="W91" s="2"/>
    </row>
    <row r="92" ht="22.5" customHeight="1">
      <c r="A92" s="3">
        <v>93.0</v>
      </c>
      <c r="B92" s="3" t="s">
        <v>351</v>
      </c>
      <c r="C92" s="3" t="s">
        <v>352</v>
      </c>
      <c r="D92" s="3" t="s">
        <v>353</v>
      </c>
      <c r="E92" s="3" t="s">
        <v>295</v>
      </c>
      <c r="F92" s="2"/>
      <c r="G92" s="3" t="str">
        <f>IFERROR(__xludf.DUMMYFUNCTION("GOOGLETRANSLATE(A92, ""it"", ""en"")"),"93")</f>
        <v>93</v>
      </c>
      <c r="H92" s="3" t="str">
        <f>IFERROR(__xludf.DUMMYFUNCTION("GOOGLETRANSLATE(B92, ""it"", ""en"")"),"What are defenders not allowed to do during the game?")</f>
        <v>What are defenders not allowed to do during the game?</v>
      </c>
      <c r="I92" s="3" t="str">
        <f>IFERROR(__xludf.DUMMYFUNCTION("GOOGLETRANSLATE(C92, ""it"", ""en"")"),"A. Using hands B. Pushing opponents C. Blocking the ball D. Intentionally hitting attackers")</f>
        <v>A. Using hands B. Pushing opponents C. Blocking the ball D. Intentionally hitting attackers</v>
      </c>
      <c r="J92" s="3" t="str">
        <f>IFERROR(__xludf.DUMMYFUNCTION("GOOGLETRANSLATE(D92, ""it"", ""en"")"),"Intentionally hitting attackers")</f>
        <v>Intentionally hitting attackers</v>
      </c>
      <c r="K92" s="3" t="str">
        <f>IFERROR(__xludf.DUMMYFUNCTION("GOOGLETRANSLATE(E92, ""it"", ""en"")"),"Intentional hitting is prohibited.")</f>
        <v>Intentional hitting is prohibited.</v>
      </c>
      <c r="L92" s="2"/>
      <c r="M92" s="2"/>
      <c r="N92" s="2"/>
      <c r="O92" s="2"/>
      <c r="P92" s="2"/>
      <c r="Q92" s="2"/>
      <c r="R92" s="2"/>
      <c r="S92" s="2"/>
      <c r="T92" s="2"/>
      <c r="U92" s="2"/>
      <c r="V92" s="2"/>
      <c r="W92" s="2"/>
    </row>
    <row r="93" ht="22.5" customHeight="1">
      <c r="A93" s="3">
        <v>94.0</v>
      </c>
      <c r="B93" s="3" t="s">
        <v>354</v>
      </c>
      <c r="C93" s="3" t="s">
        <v>355</v>
      </c>
      <c r="D93" s="3" t="s">
        <v>356</v>
      </c>
      <c r="E93" s="3" t="s">
        <v>357</v>
      </c>
      <c r="F93" s="2"/>
      <c r="G93" s="3" t="str">
        <f>IFERROR(__xludf.DUMMYFUNCTION("GOOGLETRANSLATE(A93, ""it"", ""en"")"),"94")</f>
        <v>94</v>
      </c>
      <c r="H93" s="3" t="str">
        <f>IFERROR(__xludf.DUMMYFUNCTION("GOOGLETRANSLATE(B93, ""it"", ""en"")"),"What do the costumes worn by the players represent?")</f>
        <v>What do the costumes worn by the players represent?</v>
      </c>
      <c r="I93" s="3" t="str">
        <f>IFERROR(__xludf.DUMMYFUNCTION("GOOGLETRANSLATE(C93, ""it"", ""en"")"),"A. Tradition and pride of the neighborhood B. A game strategy C. A tribute to sporting modernity D. A standard uniform")</f>
        <v>A. Tradition and pride of the neighborhood B. A game strategy C. A tribute to sporting modernity D. A standard uniform</v>
      </c>
      <c r="J93" s="3" t="str">
        <f>IFERROR(__xludf.DUMMYFUNCTION("GOOGLETRANSLATE(D93, ""it"", ""en"")"),"Tradition and pride of the neighborhood")</f>
        <v>Tradition and pride of the neighborhood</v>
      </c>
      <c r="K93" s="3" t="str">
        <f>IFERROR(__xludf.DUMMYFUNCTION("GOOGLETRANSLATE(E93, ""it"", ""en"")"),"The costumes recall the historical origins and neighborhoods of Florence.")</f>
        <v>The costumes recall the historical origins and neighborhoods of Florence.</v>
      </c>
      <c r="L93" s="2"/>
      <c r="M93" s="2"/>
      <c r="N93" s="2"/>
      <c r="O93" s="2"/>
      <c r="P93" s="2"/>
      <c r="Q93" s="2"/>
      <c r="R93" s="2"/>
      <c r="S93" s="2"/>
      <c r="T93" s="2"/>
      <c r="U93" s="2"/>
      <c r="V93" s="2"/>
      <c r="W93" s="2"/>
    </row>
    <row r="94" ht="22.5" customHeight="1">
      <c r="A94" s="3">
        <v>95.0</v>
      </c>
      <c r="B94" s="3" t="s">
        <v>358</v>
      </c>
      <c r="C94" s="3" t="s">
        <v>359</v>
      </c>
      <c r="D94" s="3" t="s">
        <v>360</v>
      </c>
      <c r="E94" s="3" t="s">
        <v>361</v>
      </c>
      <c r="F94" s="2"/>
      <c r="G94" s="3" t="str">
        <f>IFERROR(__xludf.DUMMYFUNCTION("GOOGLETRANSLATE(A94, ""it"", ""en"")"),"95")</f>
        <v>95</v>
      </c>
      <c r="H94" s="3" t="str">
        <f>IFERROR(__xludf.DUMMYFUNCTION("GOOGLETRANSLATE(B94, ""it"", ""en"")"),"What do the four team colors symbolize?")</f>
        <v>What do the four team colors symbolize?</v>
      </c>
      <c r="I94" s="3" t="str">
        <f>IFERROR(__xludf.DUMMYFUNCTION("GOOGLETRANSLATE(C94, ""it"", ""en"")"),"A. The seasons B. The arts C. The virtues D. Districts of Florence")</f>
        <v>A. The seasons B. The arts C. The virtues D. Districts of Florence</v>
      </c>
      <c r="J94" s="3" t="str">
        <f>IFERROR(__xludf.DUMMYFUNCTION("GOOGLETRANSLATE(D94, ""it"", ""en"")"),"Neighborhoods of Florence")</f>
        <v>Neighborhoods of Florence</v>
      </c>
      <c r="K94" s="3" t="str">
        <f>IFERROR(__xludf.DUMMYFUNCTION("GOOGLETRANSLATE(E94, ""it"", ""en"")"),"The colors represent the city's historic neighborhoods.")</f>
        <v>The colors represent the city's historic neighborhoods.</v>
      </c>
      <c r="L94" s="2"/>
      <c r="M94" s="2"/>
      <c r="N94" s="2"/>
      <c r="O94" s="2"/>
      <c r="P94" s="2"/>
      <c r="Q94" s="2"/>
      <c r="R94" s="2"/>
      <c r="S94" s="2"/>
      <c r="T94" s="2"/>
      <c r="U94" s="2"/>
      <c r="V94" s="2"/>
      <c r="W94" s="2"/>
    </row>
    <row r="95" ht="22.5" customHeight="1">
      <c r="A95" s="3">
        <v>96.0</v>
      </c>
      <c r="B95" s="3" t="s">
        <v>362</v>
      </c>
      <c r="C95" s="3" t="s">
        <v>363</v>
      </c>
      <c r="D95" s="3" t="s">
        <v>364</v>
      </c>
      <c r="E95" s="3" t="s">
        <v>365</v>
      </c>
      <c r="F95" s="2"/>
      <c r="G95" s="3" t="str">
        <f>IFERROR(__xludf.DUMMYFUNCTION("GOOGLETRANSLATE(A95, ""it"", ""en"")"),"96")</f>
        <v>96</v>
      </c>
      <c r="H95" s="3" t="str">
        <f>IFERROR(__xludf.DUMMYFUNCTION("GOOGLETRANSLATE(B95, ""it"", ""en"")"),"How is first possession of the ball awarded?")</f>
        <v>How is first possession of the ball awarded?</v>
      </c>
      <c r="I95" s="3" t="str">
        <f>IFERROR(__xludf.DUMMYFUNCTION("GOOGLETRANSLATE(C95, ""it"", ""en"")"),"A. With a coin B. With a physical challenge C. With the Captain's drawing D. With the consent of the public")</f>
        <v>A. With a coin B. With a physical challenge C. With the Captain's drawing D. With the consent of the public</v>
      </c>
      <c r="J95" s="3" t="str">
        <f>IFERROR(__xludf.DUMMYFUNCTION("GOOGLETRANSLATE(D95, ""it"", ""en"")"),"With a coin")</f>
        <v>With a coin</v>
      </c>
      <c r="K95" s="3" t="str">
        <f>IFERROR(__xludf.DUMMYFUNCTION("GOOGLETRANSLATE(E95, ""it"", ""en"")"),"Initial possession is decided by a coin toss.")</f>
        <v>Initial possession is decided by a coin toss.</v>
      </c>
      <c r="L95" s="2"/>
      <c r="M95" s="2"/>
      <c r="N95" s="2"/>
      <c r="O95" s="2"/>
      <c r="P95" s="2"/>
      <c r="Q95" s="2"/>
      <c r="R95" s="2"/>
      <c r="S95" s="2"/>
      <c r="T95" s="2"/>
      <c r="U95" s="2"/>
      <c r="V95" s="2"/>
      <c r="W95" s="2"/>
    </row>
    <row r="96" ht="22.5" customHeight="1">
      <c r="A96" s="3">
        <v>97.0</v>
      </c>
      <c r="B96" s="3" t="s">
        <v>366</v>
      </c>
      <c r="C96" s="3" t="s">
        <v>367</v>
      </c>
      <c r="D96" s="3" t="s">
        <v>368</v>
      </c>
      <c r="E96" s="3" t="s">
        <v>369</v>
      </c>
      <c r="F96" s="2"/>
      <c r="G96" s="3" t="str">
        <f>IFERROR(__xludf.DUMMYFUNCTION("GOOGLETRANSLATE(A96, ""it"", ""en"")"),"97")</f>
        <v>97</v>
      </c>
      <c r="H96" s="3" t="str">
        <f>IFERROR(__xludf.DUMMYFUNCTION("GOOGLETRANSLATE(B96, ""it"", ""en"")"),"What is the historical importance of Calcio Storico?")</f>
        <v>What is the historical importance of Calcio Storico?</v>
      </c>
      <c r="I96" s="3" t="str">
        <f>IFERROR(__xludf.DUMMYFUNCTION("GOOGLETRANSLATE(C96, ""it"", ""en"")"),"A. Promote equality in sport B. Foster civic unity C. Commemorate the Battle of Florence D. Pay homage to great athletes")</f>
        <v>A. Promote equality in sport B. Foster civic unity C. Commemorate the Battle of Florence D. Pay homage to great athletes</v>
      </c>
      <c r="J96" s="3" t="str">
        <f>IFERROR(__xludf.DUMMYFUNCTION("GOOGLETRANSLATE(D96, ""it"", ""en"")"),"Commemorating the Battle of Florence")</f>
        <v>Commemorating the Battle of Florence</v>
      </c>
      <c r="K96" s="3" t="str">
        <f>IFERROR(__xludf.DUMMYFUNCTION("GOOGLETRANSLATE(E96, ""it"", ""en"")"),"The game was created to celebrate historical events in the city.")</f>
        <v>The game was created to celebrate historical events in the city.</v>
      </c>
      <c r="L96" s="2"/>
      <c r="M96" s="2"/>
      <c r="N96" s="2"/>
      <c r="O96" s="2"/>
      <c r="P96" s="2"/>
      <c r="Q96" s="2"/>
      <c r="R96" s="2"/>
      <c r="S96" s="2"/>
      <c r="T96" s="2"/>
      <c r="U96" s="2"/>
      <c r="V96" s="2"/>
      <c r="W96" s="2"/>
    </row>
    <row r="97" ht="22.5" customHeight="1">
      <c r="A97" s="3">
        <v>98.0</v>
      </c>
      <c r="B97" s="3" t="s">
        <v>370</v>
      </c>
      <c r="C97" s="3" t="s">
        <v>371</v>
      </c>
      <c r="D97" s="3" t="s">
        <v>372</v>
      </c>
      <c r="E97" s="3" t="s">
        <v>373</v>
      </c>
      <c r="F97" s="2"/>
      <c r="G97" s="3" t="str">
        <f>IFERROR(__xludf.DUMMYFUNCTION("GOOGLETRANSLATE(A97, ""it"", ""en"")"),"98")</f>
        <v>98</v>
      </c>
      <c r="H97" s="3" t="str">
        <f>IFERROR(__xludf.DUMMYFUNCTION("GOOGLETRANSLATE(B97, ""it"", ""en"")"),"How are serious fouls punished?")</f>
        <v>How are serious fouls punished?</v>
      </c>
      <c r="I97" s="3" t="str">
        <f>IFERROR(__xludf.DUMMYFUNCTION("GOOGLETRANSLATE(C97, ""it"", ""en"")"),"A. With a red card B. With the expulsion of the player C. With a penalty to the team D. With the cancellation of a hunt")</f>
        <v>A. With a red card B. With the expulsion of the player C. With a penalty to the team D. With the cancellation of a hunt</v>
      </c>
      <c r="J97" s="3" t="str">
        <f>IFERROR(__xludf.DUMMYFUNCTION("GOOGLETRANSLATE(D97, ""it"", ""en"")"),"With the expulsion of the player")</f>
        <v>With the expulsion of the player</v>
      </c>
      <c r="K97" s="3" t="str">
        <f>IFERROR(__xludf.DUMMYFUNCTION("GOOGLETRANSLATE(E97, ""it"", ""en"")"),"Serious fouls lead to immediate expulsion.")</f>
        <v>Serious fouls lead to immediate expulsion.</v>
      </c>
      <c r="L97" s="2"/>
      <c r="M97" s="2"/>
      <c r="N97" s="2"/>
      <c r="O97" s="2"/>
      <c r="P97" s="2"/>
      <c r="Q97" s="2"/>
      <c r="R97" s="2"/>
      <c r="S97" s="2"/>
      <c r="T97" s="2"/>
      <c r="U97" s="2"/>
      <c r="V97" s="2"/>
      <c r="W97" s="2"/>
    </row>
    <row r="98" ht="22.5" customHeight="1">
      <c r="A98" s="3">
        <v>99.0</v>
      </c>
      <c r="B98" s="3" t="s">
        <v>374</v>
      </c>
      <c r="C98" s="3" t="s">
        <v>375</v>
      </c>
      <c r="D98" s="3" t="s">
        <v>376</v>
      </c>
      <c r="E98" s="3" t="s">
        <v>377</v>
      </c>
      <c r="F98" s="2"/>
      <c r="G98" s="3" t="str">
        <f>IFERROR(__xludf.DUMMYFUNCTION("GOOGLETRANSLATE(A98, ""it"", ""en"")"),"99")</f>
        <v>99</v>
      </c>
      <c r="H98" s="3" t="str">
        <f>IFERROR(__xludf.DUMMYFUNCTION("GOOGLETRANSLATE(B98, ""it"", ""en"")"),"Who sets the rules of the game?")</f>
        <v>Who sets the rules of the game?</v>
      </c>
      <c r="I98" s="3" t="str">
        <f>IFERROR(__xludf.DUMMYFUNCTION("GOOGLETRANSLATE(C98, ""it"", ""en"")"),"A. The public B. The tournament organizers C. The referees D. The mayor")</f>
        <v>A. The public B. The tournament organizers C. The referees D. The mayor</v>
      </c>
      <c r="J98" s="3" t="str">
        <f>IFERROR(__xludf.DUMMYFUNCTION("GOOGLETRANSLATE(D98, ""it"", ""en"")"),"The organizers of the tournament")</f>
        <v>The organizers of the tournament</v>
      </c>
      <c r="K98" s="3" t="str">
        <f>IFERROR(__xludf.DUMMYFUNCTION("GOOGLETRANSLATE(E98, ""it"", ""en"")"),"The rules are decided by the organizers.")</f>
        <v>The rules are decided by the organizers.</v>
      </c>
      <c r="L98" s="2"/>
      <c r="M98" s="2"/>
      <c r="N98" s="2"/>
      <c r="O98" s="2"/>
      <c r="P98" s="2"/>
      <c r="Q98" s="2"/>
      <c r="R98" s="2"/>
      <c r="S98" s="2"/>
      <c r="T98" s="2"/>
      <c r="U98" s="2"/>
      <c r="V98" s="2"/>
      <c r="W98" s="2"/>
    </row>
    <row r="99" ht="22.5" customHeight="1">
      <c r="A99" s="3">
        <v>100.0</v>
      </c>
      <c r="B99" s="3" t="s">
        <v>378</v>
      </c>
      <c r="C99" s="3" t="s">
        <v>379</v>
      </c>
      <c r="D99" s="3" t="s">
        <v>32</v>
      </c>
      <c r="E99" s="3" t="s">
        <v>380</v>
      </c>
      <c r="F99" s="2"/>
      <c r="G99" s="3" t="str">
        <f>IFERROR(__xludf.DUMMYFUNCTION("GOOGLETRANSLATE(A99, ""it"", ""en"")"),"100")</f>
        <v>100</v>
      </c>
      <c r="H99" s="3" t="str">
        <f>IFERROR(__xludf.DUMMYFUNCTION("GOOGLETRANSLATE(B99, ""it"", ""en"")"),"What is the main area where the game is played?")</f>
        <v>What is the main area where the game is played?</v>
      </c>
      <c r="I99" s="3" t="str">
        <f>IFERROR(__xludf.DUMMYFUNCTION("GOOGLETRANSLATE(C99, ""it"", ""en"")"),"A. Santa Croce Square B. Cathedral Square C. Signoria Square D. Liberty Square")</f>
        <v>A. Santa Croce Square B. Cathedral Square C. Signoria Square D. Liberty Square</v>
      </c>
      <c r="J99" s="3" t="str">
        <f>IFERROR(__xludf.DUMMYFUNCTION("GOOGLETRANSLATE(D99, ""it"", ""en"")"),"Santa Croce Square")</f>
        <v>Santa Croce Square</v>
      </c>
      <c r="K99" s="3" t="str">
        <f>IFERROR(__xludf.DUMMYFUNCTION("GOOGLETRANSLATE(E99, ""it"", ""en"")"),"The game takes place in the historic Piazza Santa Croce.")</f>
        <v>The game takes place in the historic Piazza Santa Croce.</v>
      </c>
      <c r="L99" s="2"/>
      <c r="M99" s="2"/>
      <c r="N99" s="2"/>
      <c r="O99" s="2"/>
      <c r="P99" s="2"/>
      <c r="Q99" s="2"/>
      <c r="R99" s="2"/>
      <c r="S99" s="2"/>
      <c r="T99" s="2"/>
      <c r="U99" s="2"/>
      <c r="V99" s="2"/>
      <c r="W99" s="2"/>
    </row>
    <row r="100" ht="22.5" customHeight="1">
      <c r="A100" s="3">
        <v>101.0</v>
      </c>
      <c r="B100" s="3" t="s">
        <v>381</v>
      </c>
      <c r="C100" s="3" t="s">
        <v>382</v>
      </c>
      <c r="D100" s="3" t="s">
        <v>383</v>
      </c>
      <c r="E100" s="3" t="s">
        <v>384</v>
      </c>
      <c r="F100" s="2"/>
      <c r="G100" s="3" t="str">
        <f>IFERROR(__xludf.DUMMYFUNCTION("GOOGLETRANSLATE(A100, ""it"", ""en"")"),"101")</f>
        <v>101</v>
      </c>
      <c r="H100" s="3" t="str">
        <f>IFERROR(__xludf.DUMMYFUNCTION("GOOGLETRANSLATE(B100, ""it"", ""en"")"),"Who are the main rivals in the tournament?")</f>
        <v>Who are the main rivals in the tournament?</v>
      </c>
      <c r="I100" s="3" t="str">
        <f>IFERROR(__xludf.DUMMYFUNCTION("GOOGLETRANSLATE(C100, ""it"", ""en"")"),"A. Teams from the same neighborhood B. Teams from opposite neighborhoods C. Teams from other cities D. International teams")</f>
        <v>A. Teams from the same neighborhood B. Teams from opposite neighborhoods C. Teams from other cities D. International teams</v>
      </c>
      <c r="J100" s="3" t="str">
        <f>IFERROR(__xludf.DUMMYFUNCTION("GOOGLETRANSLATE(D100, ""it"", ""en"")"),"Teams from opposing neighborhoods")</f>
        <v>Teams from opposing neighborhoods</v>
      </c>
      <c r="K100" s="3" t="str">
        <f>IFERROR(__xludf.DUMMYFUNCTION("GOOGLETRANSLATE(E100, ""it"", ""en"")"),"Rival neighborhoods traditionally challenge each other.")</f>
        <v>Rival neighborhoods traditionally challenge each other.</v>
      </c>
      <c r="L100" s="2"/>
      <c r="M100" s="2"/>
      <c r="N100" s="2"/>
      <c r="O100" s="2"/>
      <c r="P100" s="2"/>
      <c r="Q100" s="2"/>
      <c r="R100" s="2"/>
      <c r="S100" s="2"/>
      <c r="T100" s="2"/>
      <c r="U100" s="2"/>
      <c r="V100" s="2"/>
      <c r="W100" s="2"/>
    </row>
    <row r="101" ht="22.5" customHeight="1">
      <c r="A101" s="3">
        <v>102.0</v>
      </c>
      <c r="B101" s="3" t="s">
        <v>385</v>
      </c>
      <c r="C101" s="3" t="s">
        <v>386</v>
      </c>
      <c r="D101" s="3" t="s">
        <v>387</v>
      </c>
      <c r="E101" s="3" t="s">
        <v>388</v>
      </c>
      <c r="F101" s="2"/>
      <c r="G101" s="3" t="str">
        <f>IFERROR(__xludf.DUMMYFUNCTION("GOOGLETRANSLATE(A101, ""it"", ""en"")"),"102")</f>
        <v>102</v>
      </c>
      <c r="H101" s="3" t="str">
        <f>IFERROR(__xludf.DUMMYFUNCTION("GOOGLETRANSLATE(B101, ""it"", ""en"")"),"What can't a player do when he has the ball?")</f>
        <v>What can't a player do when he has the ball?</v>
      </c>
      <c r="I101" s="3" t="str">
        <f>IFERROR(__xludf.DUMMYFUNCTION("GOOGLETRANSLATE(C101, ""it"", ""en"")"),"A. Pass it to the Captain B. Block the opponents C. Run towards the opponent's goal D. Kick an opponent")</f>
        <v>A. Pass it to the Captain B. Block the opponents C. Run towards the opponent's goal D. Kick an opponent</v>
      </c>
      <c r="J101" s="3" t="str">
        <f>IFERROR(__xludf.DUMMYFUNCTION("GOOGLETRANSLATE(D101, ""it"", ""en"")"),"Kick an opponent")</f>
        <v>Kick an opponent</v>
      </c>
      <c r="K101" s="3" t="str">
        <f>IFERROR(__xludf.DUMMYFUNCTION("GOOGLETRANSLATE(E101, ""it"", ""en"")"),"Kicking is prohibited in any situation.")</f>
        <v>Kicking is prohibited in any situation.</v>
      </c>
      <c r="L101" s="2"/>
      <c r="M101" s="2"/>
      <c r="N101" s="2"/>
      <c r="O101" s="2"/>
      <c r="P101" s="2"/>
      <c r="Q101" s="2"/>
      <c r="R101" s="2"/>
      <c r="S101" s="2"/>
      <c r="T101" s="2"/>
      <c r="U101" s="2"/>
      <c r="V101" s="2"/>
      <c r="W101" s="2"/>
    </row>
    <row r="102" ht="22.5" customHeight="1">
      <c r="A102" s="3">
        <v>103.0</v>
      </c>
      <c r="B102" s="3" t="s">
        <v>389</v>
      </c>
      <c r="C102" s="3" t="s">
        <v>390</v>
      </c>
      <c r="D102" s="3" t="s">
        <v>391</v>
      </c>
      <c r="E102" s="3" t="s">
        <v>392</v>
      </c>
      <c r="F102" s="2"/>
      <c r="G102" s="3" t="str">
        <f>IFERROR(__xludf.DUMMYFUNCTION("GOOGLETRANSLATE(A102, ""it"", ""en"")"),"103")</f>
        <v>103</v>
      </c>
      <c r="H102" s="3" t="str">
        <f>IFERROR(__xludf.DUMMYFUNCTION("GOOGLETRANSLATE(B102, ""it"", ""en"")"),"What is the meaning of the flags displayed during the game?")</f>
        <v>What is the meaning of the flags displayed during the game?</v>
      </c>
      <c r="I102" s="3" t="str">
        <f>IFERROR(__xludf.DUMMYFUNCTION("GOOGLETRANSLATE(C102, ""it"", ""en"")"),"A. Indicate the score B. Symbols of the neighborhoods C. Historical memories D. Entertainment for the public")</f>
        <v>A. Indicate the score B. Symbols of the neighborhoods C. Historical memories D. Entertainment for the public</v>
      </c>
      <c r="J102" s="3" t="str">
        <f>IFERROR(__xludf.DUMMYFUNCTION("GOOGLETRANSLATE(D102, ""it"", ""en"")"),"Neighborhood symbols")</f>
        <v>Neighborhood symbols</v>
      </c>
      <c r="K102" s="3" t="str">
        <f>IFERROR(__xludf.DUMMYFUNCTION("GOOGLETRANSLATE(E102, ""it"", ""en"")"),"The flags represent the competing neighborhoods.")</f>
        <v>The flags represent the competing neighborhoods.</v>
      </c>
      <c r="L102" s="2"/>
      <c r="M102" s="2"/>
      <c r="N102" s="2"/>
      <c r="O102" s="2"/>
      <c r="P102" s="2"/>
      <c r="Q102" s="2"/>
      <c r="R102" s="2"/>
      <c r="S102" s="2"/>
      <c r="T102" s="2"/>
      <c r="U102" s="2"/>
      <c r="V102" s="2"/>
      <c r="W102" s="2"/>
    </row>
    <row r="103" ht="22.5" customHeight="1">
      <c r="A103" s="3">
        <v>104.0</v>
      </c>
      <c r="B103" s="3" t="s">
        <v>393</v>
      </c>
      <c r="C103" s="3" t="s">
        <v>394</v>
      </c>
      <c r="D103" s="3" t="s">
        <v>395</v>
      </c>
      <c r="E103" s="3" t="s">
        <v>396</v>
      </c>
      <c r="F103" s="2"/>
      <c r="G103" s="3" t="str">
        <f>IFERROR(__xludf.DUMMYFUNCTION("GOOGLETRANSLATE(A103, ""it"", ""en"")"),"104")</f>
        <v>104</v>
      </c>
      <c r="H103" s="3" t="str">
        <f>IFERROR(__xludf.DUMMYFUNCTION("GOOGLETRANSLATE(B103, ""it"", ""en"")"),"What kind of shoes are used in the game?")</f>
        <v>What kind of shoes are used in the game?</v>
      </c>
      <c r="I103" s="3" t="str">
        <f>IFERROR(__xludf.DUMMYFUNCTION("GOOGLETRANSLATE(C103, ""it"", ""en"")"),"A. Soccer shoes B. Sandals C. Custom historical shoes D. Running shoes")</f>
        <v>A. Soccer shoes B. Sandals C. Custom historical shoes D. Running shoes</v>
      </c>
      <c r="J103" s="3" t="str">
        <f>IFERROR(__xludf.DUMMYFUNCTION("GOOGLETRANSLATE(D103, ""it"", ""en"")"),"Custom historical shoes")</f>
        <v>Custom historical shoes</v>
      </c>
      <c r="K103" s="3" t="str">
        <f>IFERROR(__xludf.DUMMYFUNCTION("GOOGLETRANSLATE(E103, ""it"", ""en"")"),"The footwear is in line with historical tradition.")</f>
        <v>The footwear is in line with historical tradition.</v>
      </c>
      <c r="L103" s="2"/>
      <c r="M103" s="2"/>
      <c r="N103" s="2"/>
      <c r="O103" s="2"/>
      <c r="P103" s="2"/>
      <c r="Q103" s="2"/>
      <c r="R103" s="2"/>
      <c r="S103" s="2"/>
      <c r="T103" s="2"/>
      <c r="U103" s="2"/>
      <c r="V103" s="2"/>
      <c r="W103" s="2"/>
    </row>
    <row r="104" ht="22.5" customHeight="1">
      <c r="A104" s="3">
        <v>105.0</v>
      </c>
      <c r="B104" s="3" t="s">
        <v>114</v>
      </c>
      <c r="C104" s="3" t="s">
        <v>397</v>
      </c>
      <c r="D104" s="3" t="s">
        <v>398</v>
      </c>
      <c r="E104" s="3" t="s">
        <v>399</v>
      </c>
      <c r="F104" s="2"/>
      <c r="G104" s="3" t="str">
        <f>IFERROR(__xludf.DUMMYFUNCTION("GOOGLETRANSLATE(A104, ""it"", ""en"")"),"105")</f>
        <v>105</v>
      </c>
      <c r="H104" s="3" t="str">
        <f>IFERROR(__xludf.DUMMYFUNCTION("GOOGLETRANSLATE(B104, ""it"", ""en"")"),"What happens if a player gets injured?")</f>
        <v>What happens if a player gets injured?</v>
      </c>
      <c r="I104" s="3" t="str">
        <f>IFERROR(__xludf.DUMMYFUNCTION("GOOGLETRANSLATE(C104, ""it"", ""en"")"),"A. The team plays with fewer members B. The game stops C. The player is replaced D. The Captain decides the change")</f>
        <v>A. The team plays with fewer members B. The game stops C. The player is replaced D. The Captain decides the change</v>
      </c>
      <c r="J104" s="3" t="str">
        <f>IFERROR(__xludf.DUMMYFUNCTION("GOOGLETRANSLATE(D104, ""it"", ""en"")"),"The player is replaced")</f>
        <v>The player is replaced</v>
      </c>
      <c r="K104" s="3" t="str">
        <f>IFERROR(__xludf.DUMMYFUNCTION("GOOGLETRANSLATE(E104, ""it"", ""en"")"),"The substitute can enter the field.")</f>
        <v>The substitute can enter the field.</v>
      </c>
      <c r="L104" s="2"/>
      <c r="M104" s="2"/>
      <c r="N104" s="2"/>
      <c r="O104" s="2"/>
      <c r="P104" s="2"/>
      <c r="Q104" s="2"/>
      <c r="R104" s="2"/>
      <c r="S104" s="2"/>
      <c r="T104" s="2"/>
      <c r="U104" s="2"/>
      <c r="V104" s="2"/>
      <c r="W104" s="2"/>
    </row>
    <row r="105" ht="22.5" customHeight="1">
      <c r="A105" s="3">
        <v>106.0</v>
      </c>
      <c r="B105" s="3" t="s">
        <v>400</v>
      </c>
      <c r="C105" s="3" t="s">
        <v>401</v>
      </c>
      <c r="D105" s="3" t="s">
        <v>402</v>
      </c>
      <c r="E105" s="3" t="s">
        <v>403</v>
      </c>
      <c r="F105" s="2"/>
      <c r="G105" s="3" t="str">
        <f>IFERROR(__xludf.DUMMYFUNCTION("GOOGLETRANSLATE(A105, ""it"", ""en"")"),"106")</f>
        <v>106</v>
      </c>
      <c r="H105" s="3" t="str">
        <f>IFERROR(__xludf.DUMMYFUNCTION("GOOGLETRANSLATE(B105, ""it"", ""en"")"),"What is the goalkeepers' responsibility?")</f>
        <v>What is the goalkeepers' responsibility?</v>
      </c>
      <c r="I105" s="3" t="str">
        <f>IFERROR(__xludf.DUMMYFUNCTION("GOOGLETRANSLATE(C105, ""it"", ""en"")"),"A. Defending the net B. Scoring shots C. Stopping scrums D. Blocking opposing attackers")</f>
        <v>A. Defending the net B. Scoring shots C. Stopping scrums D. Blocking opposing attackers</v>
      </c>
      <c r="J105" s="3" t="str">
        <f>IFERROR(__xludf.DUMMYFUNCTION("GOOGLETRANSLATE(D105, ""it"", ""en"")"),"Defending the network")</f>
        <v>Defending the network</v>
      </c>
      <c r="K105" s="3" t="str">
        <f>IFERROR(__xludf.DUMMYFUNCTION("GOOGLETRANSLATE(E105, ""it"", ""en"")"),"Goalkeepers protect their hunting area.")</f>
        <v>Goalkeepers protect their hunting area.</v>
      </c>
      <c r="L105" s="2"/>
      <c r="M105" s="2"/>
      <c r="N105" s="2"/>
      <c r="O105" s="2"/>
      <c r="P105" s="2"/>
      <c r="Q105" s="2"/>
      <c r="R105" s="2"/>
      <c r="S105" s="2"/>
      <c r="T105" s="2"/>
      <c r="U105" s="2"/>
      <c r="V105" s="2"/>
      <c r="W105" s="2"/>
    </row>
    <row r="106" ht="22.5" customHeight="1">
      <c r="A106" s="3">
        <v>107.0</v>
      </c>
      <c r="B106" s="3" t="s">
        <v>404</v>
      </c>
      <c r="C106" s="3" t="s">
        <v>405</v>
      </c>
      <c r="D106" s="3" t="s">
        <v>406</v>
      </c>
      <c r="E106" s="3" t="s">
        <v>407</v>
      </c>
      <c r="F106" s="2"/>
      <c r="G106" s="3" t="str">
        <f>IFERROR(__xludf.DUMMYFUNCTION("GOOGLETRANSLATE(A106, ""it"", ""en"")"),"107")</f>
        <v>107</v>
      </c>
      <c r="H106" s="3" t="str">
        <f>IFERROR(__xludf.DUMMYFUNCTION("GOOGLETRANSLATE(B106, ""it"", ""en"")"),"What does the opponent's net represent?")</f>
        <v>What does the opponent's net represent?</v>
      </c>
      <c r="I106" s="3" t="str">
        <f>IFERROR(__xludf.DUMMYFUNCTION("GOOGLETRANSLATE(C106, ""it"", ""en"")"),"A. Glory for the neighborhood B. The sporting result C. The symbolic conquest D. The individual score")</f>
        <v>A. Glory for the neighborhood B. The sporting result C. The symbolic conquest D. The individual score</v>
      </c>
      <c r="J106" s="3" t="str">
        <f>IFERROR(__xludf.DUMMYFUNCTION("GOOGLETRANSLATE(D106, ""it"", ""en"")"),"The symbolic conquest")</f>
        <v>The symbolic conquest</v>
      </c>
      <c r="K106" s="3" t="str">
        <f>IFERROR(__xludf.DUMMYFUNCTION("GOOGLETRANSLATE(E106, ""it"", ""en"")"),"The goal represents a victory for the team.")</f>
        <v>The goal represents a victory for the team.</v>
      </c>
      <c r="L106" s="2"/>
      <c r="M106" s="2"/>
      <c r="N106" s="2"/>
      <c r="O106" s="2"/>
      <c r="P106" s="2"/>
      <c r="Q106" s="2"/>
      <c r="R106" s="2"/>
      <c r="S106" s="2"/>
      <c r="T106" s="2"/>
      <c r="U106" s="2"/>
      <c r="V106" s="2"/>
      <c r="W106" s="2"/>
    </row>
    <row r="107" ht="22.5" customHeight="1">
      <c r="A107" s="3">
        <v>108.0</v>
      </c>
      <c r="B107" s="3" t="s">
        <v>408</v>
      </c>
      <c r="C107" s="3" t="s">
        <v>409</v>
      </c>
      <c r="D107" s="3" t="s">
        <v>410</v>
      </c>
      <c r="E107" s="3" t="s">
        <v>411</v>
      </c>
      <c r="F107" s="2"/>
      <c r="G107" s="3" t="str">
        <f>IFERROR(__xludf.DUMMYFUNCTION("GOOGLETRANSLATE(A107, ""it"", ""en"")"),"108")</f>
        <v>108</v>
      </c>
      <c r="H107" s="3" t="str">
        <f>IFERROR(__xludf.DUMMYFUNCTION("GOOGLETRANSLATE(B107, ""it"", ""en"")"),"How are spectators treated during the game?")</f>
        <v>How are spectators treated during the game?</v>
      </c>
      <c r="I107" s="3" t="str">
        <f>IFERROR(__xludf.DUMMYFUNCTION("GOOGLETRANSLATE(C107, ""it"", ""en"")"),"A. As simple observers B. As active participants C. As judges D. As guests of honor")</f>
        <v>A. As simple observers B. As active participants C. As judges D. As guests of honor</v>
      </c>
      <c r="J107" s="3" t="str">
        <f>IFERROR(__xludf.DUMMYFUNCTION("GOOGLETRANSLATE(D107, ""it"", ""en"")"),"As active participants")</f>
        <v>As active participants</v>
      </c>
      <c r="K107" s="3" t="str">
        <f>IFERROR(__xludf.DUMMYFUNCTION("GOOGLETRANSLATE(E107, ""it"", ""en"")"),"Spectators are engaged and encouraged to participate in the atmosphere.")</f>
        <v>Spectators are engaged and encouraged to participate in the atmosphere.</v>
      </c>
      <c r="L107" s="2"/>
      <c r="M107" s="2"/>
      <c r="N107" s="2"/>
      <c r="O107" s="2"/>
      <c r="P107" s="2"/>
      <c r="Q107" s="2"/>
      <c r="R107" s="2"/>
      <c r="S107" s="2"/>
      <c r="T107" s="2"/>
      <c r="U107" s="2"/>
      <c r="V107" s="2"/>
      <c r="W107" s="2"/>
    </row>
    <row r="108" ht="22.5" customHeight="1">
      <c r="A108" s="3">
        <v>109.0</v>
      </c>
      <c r="B108" s="3" t="s">
        <v>412</v>
      </c>
      <c r="C108" s="3" t="s">
        <v>413</v>
      </c>
      <c r="D108" s="3" t="s">
        <v>414</v>
      </c>
      <c r="E108" s="3" t="s">
        <v>415</v>
      </c>
      <c r="F108" s="2"/>
      <c r="G108" s="3" t="str">
        <f>IFERROR(__xludf.DUMMYFUNCTION("GOOGLETRANSLATE(A108, ""it"", ""en"")"),"109")</f>
        <v>109</v>
      </c>
      <c r="H108" s="3" t="str">
        <f>IFERROR(__xludf.DUMMYFUNCTION("GOOGLETRANSLATE(B108, ""it"", ""en"")"),"What is celebrated during Calcio Storico?")</f>
        <v>What is celebrated during Calcio Storico?</v>
      </c>
      <c r="I108" s="3" t="str">
        <f>IFERROR(__xludf.DUMMYFUNCTION("GOOGLETRANSLATE(C108, ""it"", ""en"")"),"A. Contemporary culture B. Medieval wars C. Florentine traditions D. Personal victory")</f>
        <v>A. Contemporary culture B. Medieval wars C. Florentine traditions D. Personal victory</v>
      </c>
      <c r="J108" s="3" t="str">
        <f>IFERROR(__xludf.DUMMYFUNCTION("GOOGLETRANSLATE(D108, ""it"", ""en"")"),"Florentine traditions")</f>
        <v>Florentine traditions</v>
      </c>
      <c r="K108" s="3" t="str">
        <f>IFERROR(__xludf.DUMMYFUNCTION("GOOGLETRANSLATE(E108, ""it"", ""en"")"),"The game celebrates the city's ancient traditions.")</f>
        <v>The game celebrates the city's ancient traditions.</v>
      </c>
      <c r="L108" s="2"/>
      <c r="M108" s="2"/>
      <c r="N108" s="2"/>
      <c r="O108" s="2"/>
      <c r="P108" s="2"/>
      <c r="Q108" s="2"/>
      <c r="R108" s="2"/>
      <c r="S108" s="2"/>
      <c r="T108" s="2"/>
      <c r="U108" s="2"/>
      <c r="V108" s="2"/>
      <c r="W108" s="2"/>
    </row>
    <row r="109" ht="22.5" customHeight="1">
      <c r="A109" s="3">
        <v>110.0</v>
      </c>
      <c r="B109" s="3" t="s">
        <v>416</v>
      </c>
      <c r="C109" s="3" t="s">
        <v>417</v>
      </c>
      <c r="D109" s="3" t="s">
        <v>418</v>
      </c>
      <c r="E109" s="3" t="s">
        <v>419</v>
      </c>
      <c r="F109" s="2"/>
      <c r="G109" s="3" t="str">
        <f>IFERROR(__xludf.DUMMYFUNCTION("GOOGLETRANSLATE(A109, ""it"", ""en"")"),"110")</f>
        <v>110</v>
      </c>
      <c r="H109" s="3" t="str">
        <f>IFERROR(__xludf.DUMMYFUNCTION("GOOGLETRANSLATE(B109, ""it"", ""en"")"),"What is the minimum age to participate in the tournament?")</f>
        <v>What is the minimum age to participate in the tournament?</v>
      </c>
      <c r="I109" s="3" t="str">
        <f>IFERROR(__xludf.DUMMYFUNCTION("GOOGLETRANSLATE(C109, ""it"", ""en"")"),"A. 18 years B. 16 years C. 20 years D. 21 years")</f>
        <v>A. 18 years B. 16 years C. 20 years D. 21 years</v>
      </c>
      <c r="J109" s="3" t="str">
        <f>IFERROR(__xludf.DUMMYFUNCTION("GOOGLETRANSLATE(D109, ""it"", ""en"")"),"18 years old")</f>
        <v>18 years old</v>
      </c>
      <c r="K109" s="3" t="str">
        <f>IFERROR(__xludf.DUMMYFUNCTION("GOOGLETRANSLATE(E109, ""it"", ""en"")"),"You must be at least 18 years old to participate.")</f>
        <v>You must be at least 18 years old to participate.</v>
      </c>
      <c r="L109" s="2"/>
      <c r="M109" s="2"/>
      <c r="N109" s="2"/>
      <c r="O109" s="2"/>
      <c r="P109" s="2"/>
      <c r="Q109" s="2"/>
      <c r="R109" s="2"/>
      <c r="S109" s="2"/>
      <c r="T109" s="2"/>
      <c r="U109" s="2"/>
      <c r="V109" s="2"/>
      <c r="W109" s="2"/>
    </row>
    <row r="110" ht="22.5" customHeight="1">
      <c r="A110" s="3">
        <v>111.0</v>
      </c>
      <c r="B110" s="3" t="s">
        <v>420</v>
      </c>
      <c r="C110" s="3" t="s">
        <v>421</v>
      </c>
      <c r="D110" s="3" t="s">
        <v>422</v>
      </c>
      <c r="E110" s="3" t="s">
        <v>423</v>
      </c>
      <c r="F110" s="2"/>
      <c r="G110" s="3" t="str">
        <f>IFERROR(__xludf.DUMMYFUNCTION("GOOGLETRANSLATE(A110, ""it"", ""en"")"),"111")</f>
        <v>111</v>
      </c>
      <c r="H110" s="3" t="str">
        <f>IFERROR(__xludf.DUMMYFUNCTION("GOOGLETRANSLATE(B110, ""it"", ""en"")"),"What is the ""big ball""?")</f>
        <v>What is the "big ball"?</v>
      </c>
      <c r="I110" s="3" t="str">
        <f>IFERROR(__xludf.DUMMYFUNCTION("GOOGLETRANSLATE(C110, ""it"", ""en"")"),"A. A specific ball for the game B. A defensive strategy C. A penalty D. A term for the Captain")</f>
        <v>A. A specific ball for the game B. A defensive strategy C. A penalty D. A term for the Captain</v>
      </c>
      <c r="J110" s="3" t="str">
        <f>IFERROR(__xludf.DUMMYFUNCTION("GOOGLETRANSLATE(D110, ""it"", ""en"")"),"A specific ball for the game")</f>
        <v>A specific ball for the game</v>
      </c>
      <c r="K110" s="3" t="str">
        <f>IFERROR(__xludf.DUMMYFUNCTION("GOOGLETRANSLATE(E110, ""it"", ""en"")"),"The ""big ball"" is the ball used in the game.")</f>
        <v>The "big ball" is the ball used in the game.</v>
      </c>
      <c r="L110" s="2"/>
      <c r="M110" s="2"/>
      <c r="N110" s="2"/>
      <c r="O110" s="2"/>
      <c r="P110" s="2"/>
      <c r="Q110" s="2"/>
      <c r="R110" s="2"/>
      <c r="S110" s="2"/>
      <c r="T110" s="2"/>
      <c r="U110" s="2"/>
      <c r="V110" s="2"/>
      <c r="W110" s="2"/>
    </row>
    <row r="111" ht="22.5" customHeight="1">
      <c r="A111" s="3">
        <v>112.0</v>
      </c>
      <c r="B111" s="3" t="s">
        <v>424</v>
      </c>
      <c r="C111" s="3" t="s">
        <v>425</v>
      </c>
      <c r="D111" s="3" t="s">
        <v>426</v>
      </c>
      <c r="E111" s="3" t="s">
        <v>427</v>
      </c>
      <c r="F111" s="2"/>
      <c r="G111" s="3" t="str">
        <f>IFERROR(__xludf.DUMMYFUNCTION("GOOGLETRANSLATE(A111, ""it"", ""en"")"),"112")</f>
        <v>112</v>
      </c>
      <c r="H111" s="3" t="str">
        <f>IFERROR(__xludf.DUMMYFUNCTION("GOOGLETRANSLATE(B111, ""it"", ""en"")"),"How is the field divided?")</f>
        <v>How is the field divided?</v>
      </c>
      <c r="I111" s="3" t="str">
        <f>IFERROR(__xludf.DUMMYFUNCTION("GOOGLETRANSLATE(C111, ""it"", ""en"")"),"A. In four quadrants B. In two halves C. In three zones D. In six areas")</f>
        <v>A. In four quadrants B. In two halves C. In three zones D. In six areas</v>
      </c>
      <c r="J111" s="3" t="str">
        <f>IFERROR(__xludf.DUMMYFUNCTION("GOOGLETRANSLATE(D111, ""it"", ""en"")"),"In two halves")</f>
        <v>In two halves</v>
      </c>
      <c r="K111" s="3" t="str">
        <f>IFERROR(__xludf.DUMMYFUNCTION("GOOGLETRANSLATE(E111, ""it"", ""en"")"),"The field is divided into two main halves.")</f>
        <v>The field is divided into two main halves.</v>
      </c>
      <c r="L111" s="2"/>
      <c r="M111" s="2"/>
      <c r="N111" s="2"/>
      <c r="O111" s="2"/>
      <c r="P111" s="2"/>
      <c r="Q111" s="2"/>
      <c r="R111" s="2"/>
      <c r="S111" s="2"/>
      <c r="T111" s="2"/>
      <c r="U111" s="2"/>
      <c r="V111" s="2"/>
      <c r="W111" s="2"/>
    </row>
    <row r="112" ht="22.5" customHeight="1">
      <c r="A112" s="3">
        <v>113.0</v>
      </c>
      <c r="B112" s="3" t="s">
        <v>428</v>
      </c>
      <c r="C112" s="3" t="s">
        <v>429</v>
      </c>
      <c r="D112" s="3" t="s">
        <v>430</v>
      </c>
      <c r="E112" s="3" t="s">
        <v>431</v>
      </c>
      <c r="F112" s="2"/>
      <c r="G112" s="3" t="str">
        <f>IFERROR(__xludf.DUMMYFUNCTION("GOOGLETRANSLATE(A112, ""it"", ""en"")"),"113")</f>
        <v>113</v>
      </c>
      <c r="H112" s="3" t="str">
        <f>IFERROR(__xludf.DUMMYFUNCTION("GOOGLETRANSLATE(B112, ""it"", ""en"")"),"What is the purpose of the tournament?")</f>
        <v>What is the purpose of the tournament?</v>
      </c>
      <c r="I112" s="3" t="str">
        <f>IFERROR(__xludf.DUMMYFUNCTION("GOOGLETRANSLATE(C112, ""it"", ""en"")"),"A. Entertain the public B. Resolve historical rivalries C. Promote tourism D. Teach traditions")</f>
        <v>A. Entertain the public B. Resolve historical rivalries C. Promote tourism D. Teach traditions</v>
      </c>
      <c r="J112" s="3" t="str">
        <f>IFERROR(__xludf.DUMMYFUNCTION("GOOGLETRANSLATE(D112, ""it"", ""en"")"),"Resolving historical rivalries")</f>
        <v>Resolving historical rivalries</v>
      </c>
      <c r="K112" s="3" t="str">
        <f>IFERROR(__xludf.DUMMYFUNCTION("GOOGLETRANSLATE(E112, ""it"", ""en"")"),"The tournament allows you to challenge rival neighborhoods in a sporting context.")</f>
        <v>The tournament allows you to challenge rival neighborhoods in a sporting context.</v>
      </c>
      <c r="L112" s="2"/>
      <c r="M112" s="2"/>
      <c r="N112" s="2"/>
      <c r="O112" s="2"/>
      <c r="P112" s="2"/>
      <c r="Q112" s="2"/>
      <c r="R112" s="2"/>
      <c r="S112" s="2"/>
      <c r="T112" s="2"/>
      <c r="U112" s="2"/>
      <c r="V112" s="2"/>
      <c r="W112" s="2"/>
    </row>
    <row r="113" ht="22.5" customHeight="1">
      <c r="A113" s="3">
        <v>114.0</v>
      </c>
      <c r="B113" s="3" t="s">
        <v>432</v>
      </c>
      <c r="C113" s="3" t="s">
        <v>433</v>
      </c>
      <c r="D113" s="3" t="s">
        <v>434</v>
      </c>
      <c r="E113" s="3" t="s">
        <v>435</v>
      </c>
      <c r="F113" s="2"/>
      <c r="G113" s="3" t="str">
        <f>IFERROR(__xludf.DUMMYFUNCTION("GOOGLETRANSLATE(A113, ""it"", ""en"")"),"114")</f>
        <v>114</v>
      </c>
      <c r="H113" s="3" t="str">
        <f>IFERROR(__xludf.DUMMYFUNCTION("GOOGLETRANSLATE(B113, ""it"", ""en"")"),"How many referees are present during a match?")</f>
        <v>How many referees are present during a match?</v>
      </c>
      <c r="I113" s="3" t="str">
        <f>IFERROR(__xludf.DUMMYFUNCTION("GOOGLETRANSLATE(C113, ""it"", ""en"")"),"A. One B. Three C. Six D. Two")</f>
        <v>A. One B. Three C. Six D. Two</v>
      </c>
      <c r="J113" s="3" t="str">
        <f>IFERROR(__xludf.DUMMYFUNCTION("GOOGLETRANSLATE(D113, ""it"", ""en"")"),"Three")</f>
        <v>Three</v>
      </c>
      <c r="K113" s="3" t="str">
        <f>IFERROR(__xludf.DUMMYFUNCTION("GOOGLETRANSLATE(E113, ""it"", ""en"")"),"There are three referees who supervise the game.")</f>
        <v>There are three referees who supervise the game.</v>
      </c>
      <c r="L113" s="2"/>
      <c r="M113" s="2"/>
      <c r="N113" s="2"/>
      <c r="O113" s="2"/>
      <c r="P113" s="2"/>
      <c r="Q113" s="2"/>
      <c r="R113" s="2"/>
      <c r="S113" s="2"/>
      <c r="T113" s="2"/>
      <c r="U113" s="2"/>
      <c r="V113" s="2"/>
      <c r="W113" s="2"/>
    </row>
    <row r="114" ht="22.5" customHeight="1">
      <c r="A114" s="3">
        <v>115.0</v>
      </c>
      <c r="B114" s="3" t="s">
        <v>436</v>
      </c>
      <c r="C114" s="3" t="s">
        <v>437</v>
      </c>
      <c r="D114" s="3" t="s">
        <v>438</v>
      </c>
      <c r="E114" s="3" t="s">
        <v>439</v>
      </c>
      <c r="F114" s="2"/>
      <c r="G114" s="3" t="str">
        <f>IFERROR(__xludf.DUMMYFUNCTION("GOOGLETRANSLATE(A114, ""it"", ""en"")"),"115")</f>
        <v>115</v>
      </c>
      <c r="H114" s="3" t="str">
        <f>IFERROR(__xludf.DUMMYFUNCTION("GOOGLETRANSLATE(B114, ""it"", ""en"")"),"What is required of spectators?")</f>
        <v>What is required of spectators?</v>
      </c>
      <c r="I114" s="3" t="str">
        <f>IFERROR(__xludf.DUMMYFUNCTION("GOOGLETRANSLATE(C114, ""it"", ""en"")"),"A. Cheering for a team B. Remaining silent C. Following the rules D. Making monetary donations")</f>
        <v>A. Cheering for a team B. Remaining silent C. Following the rules D. Making monetary donations</v>
      </c>
      <c r="J114" s="3" t="str">
        <f>IFERROR(__xludf.DUMMYFUNCTION("GOOGLETRANSLATE(D114, ""it"", ""en"")"),"Cheering for a team")</f>
        <v>Cheering for a team</v>
      </c>
      <c r="K114" s="3" t="str">
        <f>IFERROR(__xludf.DUMMYFUNCTION("GOOGLETRANSLATE(E114, ""it"", ""en"")"),"Spectators are encouraged to actively support their team.")</f>
        <v>Spectators are encouraged to actively support their team.</v>
      </c>
      <c r="L114" s="2"/>
      <c r="M114" s="2"/>
      <c r="N114" s="2"/>
      <c r="O114" s="2"/>
      <c r="P114" s="2"/>
      <c r="Q114" s="2"/>
      <c r="R114" s="2"/>
      <c r="S114" s="2"/>
      <c r="T114" s="2"/>
      <c r="U114" s="2"/>
      <c r="V114" s="2"/>
      <c r="W114" s="2"/>
    </row>
    <row r="115" ht="22.5" customHeight="1">
      <c r="A115" s="3">
        <v>116.0</v>
      </c>
      <c r="B115" s="3" t="s">
        <v>440</v>
      </c>
      <c r="C115" s="3" t="s">
        <v>441</v>
      </c>
      <c r="D115" s="3" t="s">
        <v>442</v>
      </c>
      <c r="E115" s="3" t="s">
        <v>443</v>
      </c>
      <c r="F115" s="2"/>
      <c r="G115" s="3" t="str">
        <f>IFERROR(__xludf.DUMMYFUNCTION("GOOGLETRANSLATE(A115, ""it"", ""en"")"),"116")</f>
        <v>116</v>
      </c>
      <c r="H115" s="3" t="str">
        <f>IFERROR(__xludf.DUMMYFUNCTION("GOOGLETRANSLATE(B115, ""it"", ""en"")"),"What is the symbolic prize for victory?")</f>
        <v>What is the symbolic prize for victory?</v>
      </c>
      <c r="I115" s="3" t="str">
        <f>IFERROR(__xludf.DUMMYFUNCTION("GOOGLETRANSLATE(C115, ""it"", ""en"")"),"A. A gold trophy B. A set of footballs C. A white cow D. A bouquet of flowers")</f>
        <v>A. A gold trophy B. A set of footballs C. A white cow D. A bouquet of flowers</v>
      </c>
      <c r="J115" s="3" t="str">
        <f>IFERROR(__xludf.DUMMYFUNCTION("GOOGLETRANSLATE(D115, ""it"", ""en"")"),"A white cow")</f>
        <v>A white cow</v>
      </c>
      <c r="K115" s="3" t="str">
        <f>IFERROR(__xludf.DUMMYFUNCTION("GOOGLETRANSLATE(E115, ""it"", ""en"")"),"The traditional prize is a white cow.")</f>
        <v>The traditional prize is a white cow.</v>
      </c>
      <c r="L115" s="2"/>
      <c r="M115" s="2"/>
      <c r="N115" s="2"/>
      <c r="O115" s="2"/>
      <c r="P115" s="2"/>
      <c r="Q115" s="2"/>
      <c r="R115" s="2"/>
      <c r="S115" s="2"/>
      <c r="T115" s="2"/>
      <c r="U115" s="2"/>
      <c r="V115" s="2"/>
      <c r="W115" s="2"/>
    </row>
    <row r="116" ht="22.5" customHeight="1">
      <c r="A116" s="3">
        <v>117.0</v>
      </c>
      <c r="B116" s="3" t="s">
        <v>444</v>
      </c>
      <c r="C116" s="3" t="s">
        <v>445</v>
      </c>
      <c r="D116" s="3" t="s">
        <v>446</v>
      </c>
      <c r="E116" s="3" t="s">
        <v>447</v>
      </c>
      <c r="F116" s="2"/>
      <c r="G116" s="3" t="str">
        <f>IFERROR(__xludf.DUMMYFUNCTION("GOOGLETRANSLATE(A116, ""it"", ""en"")"),"117")</f>
        <v>117</v>
      </c>
      <c r="H116" s="3" t="str">
        <f>IFERROR(__xludf.DUMMYFUNCTION("GOOGLETRANSLATE(B116, ""it"", ""en"")"),"What is prohibited during scrums?")</f>
        <v>What is prohibited during scrums?</v>
      </c>
      <c r="I116" s="3" t="str">
        <f>IFERROR(__xludf.DUMMYFUNCTION("GOOGLETRANSLATE(C116, ""it"", ""en"")"),"A. Hitting with the elbow B. Using the hands to push C. Holding opponents D. Intentionally blocking the game")</f>
        <v>A. Hitting with the elbow B. Using the hands to push C. Holding opponents D. Intentionally blocking the game</v>
      </c>
      <c r="J116" s="3" t="str">
        <f>IFERROR(__xludf.DUMMYFUNCTION("GOOGLETRANSLATE(D116, ""it"", ""en"")"),"Hit with the elbow")</f>
        <v>Hit with the elbow</v>
      </c>
      <c r="K116" s="3" t="str">
        <f>IFERROR(__xludf.DUMMYFUNCTION("GOOGLETRANSLATE(E116, ""it"", ""en"")"),"Hitting with the elbow is considered incorrect.")</f>
        <v>Hitting with the elbow is considered incorrect.</v>
      </c>
      <c r="L116" s="2"/>
      <c r="M116" s="2"/>
      <c r="N116" s="2"/>
      <c r="O116" s="2"/>
      <c r="P116" s="2"/>
      <c r="Q116" s="2"/>
      <c r="R116" s="2"/>
      <c r="S116" s="2"/>
      <c r="T116" s="2"/>
      <c r="U116" s="2"/>
      <c r="V116" s="2"/>
      <c r="W116" s="2"/>
    </row>
    <row r="117" ht="22.5" customHeight="1">
      <c r="A117" s="3">
        <v>118.0</v>
      </c>
      <c r="B117" s="3" t="s">
        <v>448</v>
      </c>
      <c r="C117" s="3" t="s">
        <v>449</v>
      </c>
      <c r="D117" s="3" t="s">
        <v>450</v>
      </c>
      <c r="E117" s="3" t="s">
        <v>451</v>
      </c>
      <c r="F117" s="2"/>
      <c r="G117" s="3" t="str">
        <f>IFERROR(__xludf.DUMMYFUNCTION("GOOGLETRANSLATE(A117, ""it"", ""en"")"),"118")</f>
        <v>118</v>
      </c>
      <c r="H117" s="3" t="str">
        <f>IFERROR(__xludf.DUMMYFUNCTION("GOOGLETRANSLATE(B117, ""it"", ""en"")"),"What sets veteran players apart?")</f>
        <v>What sets veteran players apart?</v>
      </c>
      <c r="I117" s="3" t="str">
        <f>IFERROR(__xludf.DUMMYFUNCTION("GOOGLETRANSLATE(C117, ""it"", ""en"")"),"A. Experience and tactics B. Superior physical ability C. Knowledge of the rules D. Natural leadership")</f>
        <v>A. Experience and tactics B. Superior physical ability C. Knowledge of the rules D. Natural leadership</v>
      </c>
      <c r="J117" s="3" t="str">
        <f>IFERROR(__xludf.DUMMYFUNCTION("GOOGLETRANSLATE(D117, ""it"", ""en"")"),"Experience and tactics")</f>
        <v>Experience and tactics</v>
      </c>
      <c r="K117" s="3" t="str">
        <f>IFERROR(__xludf.DUMMYFUNCTION("GOOGLETRANSLATE(E117, ""it"", ""en"")"),"Veterans stand out for their experience and strategic ability.")</f>
        <v>Veterans stand out for their experience and strategic ability.</v>
      </c>
      <c r="L117" s="2"/>
      <c r="M117" s="2"/>
      <c r="N117" s="2"/>
      <c r="O117" s="2"/>
      <c r="P117" s="2"/>
      <c r="Q117" s="2"/>
      <c r="R117" s="2"/>
      <c r="S117" s="2"/>
      <c r="T117" s="2"/>
      <c r="U117" s="2"/>
      <c r="V117" s="2"/>
      <c r="W117" s="2"/>
    </row>
    <row r="118" ht="22.5" customHeight="1">
      <c r="A118" s="3">
        <v>119.0</v>
      </c>
      <c r="B118" s="3" t="s">
        <v>452</v>
      </c>
      <c r="C118" s="3" t="s">
        <v>453</v>
      </c>
      <c r="D118" s="3" t="s">
        <v>454</v>
      </c>
      <c r="E118" s="3" t="s">
        <v>455</v>
      </c>
      <c r="F118" s="2"/>
      <c r="G118" s="3" t="str">
        <f>IFERROR(__xludf.DUMMYFUNCTION("GOOGLETRANSLATE(A118, ""it"", ""en"")"),"119")</f>
        <v>119</v>
      </c>
      <c r="H118" s="3" t="str">
        <f>IFERROR(__xludf.DUMMYFUNCTION("GOOGLETRANSLATE(B118, ""it"", ""en"")"),"What is the importance of Calcio Storico today?")</f>
        <v>What is the importance of Calcio Storico today?</v>
      </c>
      <c r="I118" s="3" t="str">
        <f>IFERROR(__xludf.DUMMYFUNCTION("GOOGLETRANSLATE(C118, ""it"", ""en"")"),"A. A symbol of modernity B. A celebration of tradition C. A commercial event D. A global tournament")</f>
        <v>A. A symbol of modernity B. A celebration of tradition C. A commercial event D. A global tournament</v>
      </c>
      <c r="J118" s="3" t="str">
        <f>IFERROR(__xludf.DUMMYFUNCTION("GOOGLETRANSLATE(D118, ""it"", ""en"")"),"A celebration of tradition")</f>
        <v>A celebration of tradition</v>
      </c>
      <c r="K118" s="3" t="str">
        <f>IFERROR(__xludf.DUMMYFUNCTION("GOOGLETRANSLATE(E118, ""it"", ""en"")"),"Calcio Storico preserves the Florentine traditions.")</f>
        <v>Calcio Storico preserves the Florentine traditions.</v>
      </c>
      <c r="L118" s="2"/>
      <c r="M118" s="2"/>
      <c r="N118" s="2"/>
      <c r="O118" s="2"/>
      <c r="P118" s="2"/>
      <c r="Q118" s="2"/>
      <c r="R118" s="2"/>
      <c r="S118" s="2"/>
      <c r="T118" s="2"/>
      <c r="U118" s="2"/>
      <c r="V118" s="2"/>
      <c r="W118" s="2"/>
    </row>
    <row r="119" ht="22.5" customHeight="1">
      <c r="A119" s="3">
        <v>120.0</v>
      </c>
      <c r="B119" s="3" t="s">
        <v>456</v>
      </c>
      <c r="C119" s="3" t="s">
        <v>457</v>
      </c>
      <c r="D119" s="3" t="s">
        <v>458</v>
      </c>
      <c r="E119" s="3" t="s">
        <v>459</v>
      </c>
      <c r="F119" s="2"/>
      <c r="G119" s="3" t="str">
        <f>IFERROR(__xludf.DUMMYFUNCTION("GOOGLETRANSLATE(A119, ""it"", ""en"")"),"120")</f>
        <v>120</v>
      </c>
      <c r="H119" s="3" t="str">
        <f>IFERROR(__xludf.DUMMYFUNCTION("GOOGLETRANSLATE(B119, ""it"", ""en"")"),"What is not expected during the match?")</f>
        <v>What is not expected during the match?</v>
      </c>
      <c r="I119" s="3" t="str">
        <f>IFERROR(__xludf.DUMMYFUNCTION("GOOGLETRANSLATE(C119, ""it"", ""en"")"),"A. Pauses for reflection B. Intervals for the public C. Time-outs for the teams D. Unnecessary arbitrary stops")</f>
        <v>A. Pauses for reflection B. Intervals for the public C. Time-outs for the teams D. Unnecessary arbitrary stops</v>
      </c>
      <c r="J119" s="3" t="str">
        <f>IFERROR(__xludf.DUMMYFUNCTION("GOOGLETRANSLATE(D119, ""it"", ""en"")"),"Time-out for teams")</f>
        <v>Time-out for teams</v>
      </c>
      <c r="K119" s="3" t="str">
        <f>IFERROR(__xludf.DUMMYFUNCTION("GOOGLETRANSLATE(E119, ""it"", ""en"")"),"There are no team timeouts.")</f>
        <v>There are no team timeouts.</v>
      </c>
      <c r="L119" s="2"/>
      <c r="M119" s="2"/>
      <c r="N119" s="2"/>
      <c r="O119" s="2"/>
      <c r="P119" s="2"/>
      <c r="Q119" s="2"/>
      <c r="R119" s="2"/>
      <c r="S119" s="2"/>
      <c r="T119" s="2"/>
      <c r="U119" s="2"/>
      <c r="V119" s="2"/>
      <c r="W119" s="2"/>
    </row>
    <row r="120" ht="22.5" customHeight="1">
      <c r="A120" s="3">
        <v>121.0</v>
      </c>
      <c r="B120" s="3" t="s">
        <v>460</v>
      </c>
      <c r="C120" s="3" t="s">
        <v>461</v>
      </c>
      <c r="D120" s="3" t="s">
        <v>462</v>
      </c>
      <c r="E120" s="3" t="s">
        <v>463</v>
      </c>
      <c r="F120" s="2"/>
      <c r="G120" s="3" t="str">
        <f>IFERROR(__xludf.DUMMYFUNCTION("GOOGLETRANSLATE(A120, ""it"", ""en"")"),"121")</f>
        <v>121</v>
      </c>
      <c r="H120" s="3" t="str">
        <f>IFERROR(__xludf.DUMMYFUNCTION("GOOGLETRANSLATE(B120, ""it"", ""en"")"),"How is the length of a Calcio Storico match determined?")</f>
        <v>How is the length of a Calcio Storico match determined?</v>
      </c>
      <c r="I120" s="3" t="str">
        <f>IFERROR(__xludf.DUMMYFUNCTION("GOOGLETRANSLATE(C120, ""it"", ""en"")"),"A. It is established based on the score B. It is decided by the referees C. It has a fixed duration of 50 minutes D. It ends when a team scores 10 hunts")</f>
        <v>A. It is established based on the score B. It is decided by the referees C. It has a fixed duration of 50 minutes D. It ends when a team scores 10 hunts</v>
      </c>
      <c r="J120" s="3" t="str">
        <f>IFERROR(__xludf.DUMMYFUNCTION("GOOGLETRANSLATE(D120, ""it"", ""en"")"),"It has a fixed duration of 50 minutes")</f>
        <v>It has a fixed duration of 50 minutes</v>
      </c>
      <c r="K120" s="3" t="str">
        <f>IFERROR(__xludf.DUMMYFUNCTION("GOOGLETRANSLATE(E120, ""it"", ""en"")"),"Matches last exactly 50 minutes without interruptions.")</f>
        <v>Matches last exactly 50 minutes without interruptions.</v>
      </c>
      <c r="L120" s="2"/>
      <c r="M120" s="2"/>
      <c r="N120" s="2"/>
      <c r="O120" s="2"/>
      <c r="P120" s="2"/>
      <c r="Q120" s="2"/>
      <c r="R120" s="2"/>
      <c r="S120" s="2"/>
      <c r="T120" s="2"/>
      <c r="U120" s="2"/>
      <c r="V120" s="2"/>
      <c r="W120" s="2"/>
    </row>
    <row r="121" ht="22.5" customHeight="1">
      <c r="A121" s="3">
        <v>122.0</v>
      </c>
      <c r="B121" s="3" t="s">
        <v>464</v>
      </c>
      <c r="C121" s="3" t="s">
        <v>465</v>
      </c>
      <c r="D121" s="3" t="s">
        <v>466</v>
      </c>
      <c r="E121" s="3" t="s">
        <v>467</v>
      </c>
      <c r="F121" s="2"/>
      <c r="G121" s="3" t="str">
        <f>IFERROR(__xludf.DUMMYFUNCTION("GOOGLETRANSLATE(A121, ""it"", ""en"")"),"122")</f>
        <v>122</v>
      </c>
      <c r="H121" s="3" t="str">
        <f>IFERROR(__xludf.DUMMYFUNCTION("GOOGLETRANSLATE(B121, ""it"", ""en"")"),"What does the midfield line represent in Calcio Storico?")</f>
        <v>What does the midfield line represent in Calcio Storico?</v>
      </c>
      <c r="I121" s="3" t="str">
        <f>IFERROR(__xludf.DUMMYFUNCTION("GOOGLETRANSLATE(C121, ""it"", ""en"")"),"A. The starting point B. A neutral zone C. A penalty area D. The boundary between the teams")</f>
        <v>A. The starting point B. A neutral zone C. A penalty area D. The boundary between the teams</v>
      </c>
      <c r="J121" s="3" t="str">
        <f>IFERROR(__xludf.DUMMYFUNCTION("GOOGLETRANSLATE(D121, ""it"", ""en"")"),"The starting point")</f>
        <v>The starting point</v>
      </c>
      <c r="K121" s="3" t="str">
        <f>IFERROR(__xludf.DUMMYFUNCTION("GOOGLETRANSLATE(E121, ""it"", ""en"")"),"The midfield line is the point from which the game starts.")</f>
        <v>The midfield line is the point from which the game starts.</v>
      </c>
      <c r="L121" s="2"/>
      <c r="M121" s="2"/>
      <c r="N121" s="2"/>
      <c r="O121" s="2"/>
      <c r="P121" s="2"/>
      <c r="Q121" s="2"/>
      <c r="R121" s="2"/>
      <c r="S121" s="2"/>
      <c r="T121" s="2"/>
      <c r="U121" s="2"/>
      <c r="V121" s="2"/>
      <c r="W121" s="2"/>
    </row>
    <row r="122" ht="22.5" customHeight="1">
      <c r="A122" s="3">
        <v>123.0</v>
      </c>
      <c r="B122" s="3" t="s">
        <v>268</v>
      </c>
      <c r="C122" s="3" t="s">
        <v>468</v>
      </c>
      <c r="D122" s="3" t="s">
        <v>469</v>
      </c>
      <c r="E122" s="3" t="s">
        <v>470</v>
      </c>
      <c r="F122" s="2"/>
      <c r="G122" s="3" t="str">
        <f>IFERROR(__xludf.DUMMYFUNCTION("GOOGLETRANSLATE(A122, ""it"", ""en"")"),"123")</f>
        <v>123</v>
      </c>
      <c r="H122" s="3" t="str">
        <f>IFERROR(__xludf.DUMMYFUNCTION("GOOGLETRANSLATE(B122, ""it"", ""en"")"),"What is the historical origin of Calcio Storico?")</f>
        <v>What is the historical origin of Calcio Storico?</v>
      </c>
      <c r="I122" s="3" t="str">
        <f>IFERROR(__xludf.DUMMYFUNCTION("GOOGLETRANSLATE(C122, ""it"", ""en"")"),"A. A religious festival B. A military exercise C. A children's game D. A commercial event")</f>
        <v>A. A religious festival B. A military exercise C. A children's game D. A commercial event</v>
      </c>
      <c r="J122" s="3" t="str">
        <f>IFERROR(__xludf.DUMMYFUNCTION("GOOGLETRANSLATE(D122, ""it"", ""en"")"),"A military exercise")</f>
        <v>A military exercise</v>
      </c>
      <c r="K122" s="3" t="str">
        <f>IFERROR(__xludf.DUMMYFUNCTION("GOOGLETRANSLATE(E122, ""it"", ""en"")"),"Calcio Storico was originally a training game for soldiers.")</f>
        <v>Calcio Storico was originally a training game for soldiers.</v>
      </c>
      <c r="L122" s="2"/>
      <c r="M122" s="2"/>
      <c r="N122" s="2"/>
      <c r="O122" s="2"/>
      <c r="P122" s="2"/>
      <c r="Q122" s="2"/>
      <c r="R122" s="2"/>
      <c r="S122" s="2"/>
      <c r="T122" s="2"/>
      <c r="U122" s="2"/>
      <c r="V122" s="2"/>
      <c r="W122" s="2"/>
    </row>
    <row r="123" ht="22.5" customHeight="1">
      <c r="A123" s="3">
        <v>124.0</v>
      </c>
      <c r="B123" s="3" t="s">
        <v>471</v>
      </c>
      <c r="C123" s="3" t="s">
        <v>472</v>
      </c>
      <c r="D123" s="3" t="s">
        <v>473</v>
      </c>
      <c r="E123" s="3" t="s">
        <v>474</v>
      </c>
      <c r="F123" s="2"/>
      <c r="G123" s="3" t="str">
        <f>IFERROR(__xludf.DUMMYFUNCTION("GOOGLETRANSLATE(A123, ""it"", ""en"")"),"124")</f>
        <v>124</v>
      </c>
      <c r="H123" s="3" t="str">
        <f>IFERROR(__xludf.DUMMYFUNCTION("GOOGLETRANSLATE(B123, ""it"", ""en"")"),"What happens if a player leaves the field without reason?")</f>
        <v>What happens if a player leaves the field without reason?</v>
      </c>
      <c r="I123" s="3" t="str">
        <f>IFERROR(__xludf.DUMMYFUNCTION("GOOGLETRANSLATE(C123, ""it"", ""en"")"),"A. The team loses points B. The player is disqualified C. The Captain receives a penalty D. The team loses a member")</f>
        <v>A. The team loses points B. The player is disqualified C. The Captain receives a penalty D. The team loses a member</v>
      </c>
      <c r="J123" s="3" t="str">
        <f>IFERROR(__xludf.DUMMYFUNCTION("GOOGLETRANSLATE(D123, ""it"", ""en"")"),"The player is disqualified")</f>
        <v>The player is disqualified</v>
      </c>
      <c r="K123" s="3" t="str">
        <f>IFERROR(__xludf.DUMMYFUNCTION("GOOGLETRANSLATE(E123, ""it"", ""en"")"),"Unjustified abandonment will result in immediate disqualification.")</f>
        <v>Unjustified abandonment will result in immediate disqualification.</v>
      </c>
      <c r="L123" s="2"/>
      <c r="M123" s="2"/>
      <c r="N123" s="2"/>
      <c r="O123" s="2"/>
      <c r="P123" s="2"/>
      <c r="Q123" s="2"/>
      <c r="R123" s="2"/>
      <c r="S123" s="2"/>
      <c r="T123" s="2"/>
      <c r="U123" s="2"/>
      <c r="V123" s="2"/>
      <c r="W123" s="2"/>
    </row>
    <row r="124" ht="22.5" customHeight="1">
      <c r="A124" s="3">
        <v>125.0</v>
      </c>
      <c r="B124" s="3" t="s">
        <v>475</v>
      </c>
      <c r="C124" s="3" t="s">
        <v>476</v>
      </c>
      <c r="D124" s="3" t="s">
        <v>477</v>
      </c>
      <c r="E124" s="3" t="s">
        <v>478</v>
      </c>
      <c r="F124" s="2"/>
      <c r="G124" s="3" t="str">
        <f>IFERROR(__xludf.DUMMYFUNCTION("GOOGLETRANSLATE(A124, ""it"", ""en"")"),"125")</f>
        <v>125</v>
      </c>
      <c r="H124" s="3" t="str">
        <f>IFERROR(__xludf.DUMMYFUNCTION("GOOGLETRANSLATE(B124, ""it"", ""en"")"),"How is a hunt scored?")</f>
        <v>How is a hunt scored?</v>
      </c>
      <c r="I124" s="3" t="str">
        <f>IFERROR(__xludf.DUMMYFUNCTION("GOOGLETRANSLATE(C124, ""it"", ""en"")"),"A. Throwing the ball into the net B. Hitting an opponent with the ball C. Passing through the goal line D. Kicking the ball into the goal")</f>
        <v>A. Throwing the ball into the net B. Hitting an opponent with the ball C. Passing through the goal line D. Kicking the ball into the goal</v>
      </c>
      <c r="J124" s="3" t="str">
        <f>IFERROR(__xludf.DUMMYFUNCTION("GOOGLETRANSLATE(D124, ""it"", ""en"")"),"Throwing the ball into the net")</f>
        <v>Throwing the ball into the net</v>
      </c>
      <c r="K124" s="3" t="str">
        <f>IFERROR(__xludf.DUMMYFUNCTION("GOOGLETRANSLATE(E124, ""it"", ""en"")"),"A chase is scored when the ball goes through the opponent's net.")</f>
        <v>A chase is scored when the ball goes through the opponent's net.</v>
      </c>
      <c r="L124" s="2"/>
      <c r="M124" s="2"/>
      <c r="N124" s="2"/>
      <c r="O124" s="2"/>
      <c r="P124" s="2"/>
      <c r="Q124" s="2"/>
      <c r="R124" s="2"/>
      <c r="S124" s="2"/>
      <c r="T124" s="2"/>
      <c r="U124" s="2"/>
      <c r="V124" s="2"/>
      <c r="W124" s="2"/>
    </row>
    <row r="125" ht="22.5" customHeight="1">
      <c r="A125" s="3">
        <v>126.0</v>
      </c>
      <c r="B125" s="3" t="s">
        <v>479</v>
      </c>
      <c r="C125" s="3" t="s">
        <v>480</v>
      </c>
      <c r="D125" s="3" t="s">
        <v>481</v>
      </c>
      <c r="E125" s="3" t="s">
        <v>482</v>
      </c>
      <c r="F125" s="2"/>
      <c r="G125" s="3" t="str">
        <f>IFERROR(__xludf.DUMMYFUNCTION("GOOGLETRANSLATE(A125, ""it"", ""en"")"),"126")</f>
        <v>126</v>
      </c>
      <c r="H125" s="3" t="str">
        <f>IFERROR(__xludf.DUMMYFUNCTION("GOOGLETRANSLATE(B125, ""it"", ""en"")"),"What happens if a hunt is marked incorrectly?")</f>
        <v>What happens if a hunt is marked incorrectly?</v>
      </c>
      <c r="I125" s="3" t="str">
        <f>IFERROR(__xludf.DUMMYFUNCTION("GOOGLETRANSLATE(C125, ""it"", ""en"")"),"A. It is awarded to the opposing team B. It is cancelled C. It leads to a penalty for the team D. It is counted as half a hunt")</f>
        <v>A. It is awarded to the opposing team B. It is cancelled C. It leads to a penalty for the team D. It is counted as half a hunt</v>
      </c>
      <c r="J125" s="3" t="str">
        <f>IFERROR(__xludf.DUMMYFUNCTION("GOOGLETRANSLATE(D125, ""it"", ""en"")"),"It is cancelled")</f>
        <v>It is cancelled</v>
      </c>
      <c r="K125" s="3" t="str">
        <f>IFERROR(__xludf.DUMMYFUNCTION("GOOGLETRANSLATE(E125, ""it"", ""en"")"),"Irregular hunts are invalid.")</f>
        <v>Irregular hunts are invalid.</v>
      </c>
      <c r="L125" s="2"/>
      <c r="M125" s="2"/>
      <c r="N125" s="2"/>
      <c r="O125" s="2"/>
      <c r="P125" s="2"/>
      <c r="Q125" s="2"/>
      <c r="R125" s="2"/>
      <c r="S125" s="2"/>
      <c r="T125" s="2"/>
      <c r="U125" s="2"/>
      <c r="V125" s="2"/>
      <c r="W125" s="2"/>
    </row>
    <row r="126" ht="22.5" customHeight="1">
      <c r="A126" s="3">
        <v>127.0</v>
      </c>
      <c r="B126" s="3" t="s">
        <v>483</v>
      </c>
      <c r="C126" s="3" t="s">
        <v>484</v>
      </c>
      <c r="D126" s="3" t="s">
        <v>485</v>
      </c>
      <c r="E126" s="3" t="s">
        <v>486</v>
      </c>
      <c r="F126" s="2"/>
      <c r="G126" s="3" t="str">
        <f>IFERROR(__xludf.DUMMYFUNCTION("GOOGLETRANSLATE(A126, ""it"", ""en"")"),"127")</f>
        <v>127</v>
      </c>
      <c r="H126" s="3" t="str">
        <f>IFERROR(__xludf.DUMMYFUNCTION("GOOGLETRANSLATE(B126, ""it"", ""en"")"),"How are players selected for a team?")</f>
        <v>How are players selected for a team?</v>
      </c>
      <c r="I126" s="3" t="str">
        <f>IFERROR(__xludf.DUMMYFUNCTION("GOOGLETRANSLATE(C126, ""it"", ""en"")"),"A. By seniority B. By physical ability C. By family tradition D. By random selection")</f>
        <v>A. By seniority B. By physical ability C. By family tradition D. By random selection</v>
      </c>
      <c r="J126" s="3" t="str">
        <f>IFERROR(__xludf.DUMMYFUNCTION("GOOGLETRANSLATE(D126, ""it"", ""en"")"),"For physical abilities")</f>
        <v>For physical abilities</v>
      </c>
      <c r="K126" s="3" t="str">
        <f>IFERROR(__xludf.DUMMYFUNCTION("GOOGLETRANSLATE(E126, ""it"", ""en"")"),"Teams select the best available athletes.")</f>
        <v>Teams select the best available athletes.</v>
      </c>
      <c r="L126" s="2"/>
      <c r="M126" s="2"/>
      <c r="N126" s="2"/>
      <c r="O126" s="2"/>
      <c r="P126" s="2"/>
      <c r="Q126" s="2"/>
      <c r="R126" s="2"/>
      <c r="S126" s="2"/>
      <c r="T126" s="2"/>
      <c r="U126" s="2"/>
      <c r="V126" s="2"/>
      <c r="W126" s="2"/>
    </row>
    <row r="127" ht="22.5" customHeight="1">
      <c r="A127" s="3">
        <v>128.0</v>
      </c>
      <c r="B127" s="3" t="s">
        <v>487</v>
      </c>
      <c r="C127" s="3" t="s">
        <v>488</v>
      </c>
      <c r="D127" s="3" t="s">
        <v>489</v>
      </c>
      <c r="E127" s="3" t="s">
        <v>490</v>
      </c>
      <c r="F127" s="2"/>
      <c r="G127" s="3" t="str">
        <f>IFERROR(__xludf.DUMMYFUNCTION("GOOGLETRANSLATE(A127, ""it"", ""en"")"),"128")</f>
        <v>128</v>
      </c>
      <c r="H127" s="3" t="str">
        <f>IFERROR(__xludf.DUMMYFUNCTION("GOOGLETRANSLATE(B127, ""it"", ""en"")"),"What role does the public have during Calcio Storico?")</f>
        <v>What role does the public have during Calcio Storico?</v>
      </c>
      <c r="I127" s="3" t="str">
        <f>IFERROR(__xludf.DUMMYFUNCTION("GOOGLETRANSLATE(C127, ""it"", ""en"")"),"A. Remain a passive spectator B. Participate in the game C. Support your team D. Be a judge")</f>
        <v>A. Remain a passive spectator B. Participate in the game C. Support your team D. Be a judge</v>
      </c>
      <c r="J127" s="3" t="str">
        <f>IFERROR(__xludf.DUMMYFUNCTION("GOOGLETRANSLATE(D127, ""it"", ""en"")"),"Support your team")</f>
        <v>Support your team</v>
      </c>
      <c r="K127" s="3" t="str">
        <f>IFERROR(__xludf.DUMMYFUNCTION("GOOGLETRANSLATE(E127, ""it"", ""en"")"),"The audience is essential to creating the atmosphere.")</f>
        <v>The audience is essential to creating the atmosphere.</v>
      </c>
      <c r="L127" s="2"/>
      <c r="M127" s="2"/>
      <c r="N127" s="2"/>
      <c r="O127" s="2"/>
      <c r="P127" s="2"/>
      <c r="Q127" s="2"/>
      <c r="R127" s="2"/>
      <c r="S127" s="2"/>
      <c r="T127" s="2"/>
      <c r="U127" s="2"/>
      <c r="V127" s="2"/>
      <c r="W127" s="2"/>
    </row>
    <row r="128" ht="22.5" customHeight="1">
      <c r="A128" s="3">
        <v>129.0</v>
      </c>
      <c r="B128" s="3" t="s">
        <v>491</v>
      </c>
      <c r="C128" s="3" t="s">
        <v>492</v>
      </c>
      <c r="D128" s="3" t="s">
        <v>493</v>
      </c>
      <c r="E128" s="3" t="s">
        <v>494</v>
      </c>
      <c r="F128" s="2"/>
      <c r="G128" s="3" t="str">
        <f>IFERROR(__xludf.DUMMYFUNCTION("GOOGLETRANSLATE(A128, ""it"", ""en"")"),"129")</f>
        <v>129</v>
      </c>
      <c r="H128" s="3" t="str">
        <f>IFERROR(__xludf.DUMMYFUNCTION("GOOGLETRANSLATE(B128, ""it"", ""en"")"),"What do you do before a Calcio Storico match?")</f>
        <v>What do you do before a Calcio Storico match?</v>
      </c>
      <c r="I128" s="3" t="str">
        <f>IFERROR(__xludf.DUMMYFUNCTION("GOOGLETRANSLATE(C128, ""it"", ""en"")"),"A. A draw for the field B. An official prayer C. A historical procession D. A common training session")</f>
        <v>A. A draw for the field B. An official prayer C. A historical procession D. A common training session</v>
      </c>
      <c r="J128" s="3" t="str">
        <f>IFERROR(__xludf.DUMMYFUNCTION("GOOGLETRANSLATE(D128, ""it"", ""en"")"),"A historical procession")</f>
        <v>A historical procession</v>
      </c>
      <c r="K128" s="3" t="str">
        <f>IFERROR(__xludf.DUMMYFUNCTION("GOOGLETRANSLATE(E128, ""it"", ""en"")"),"The game is preceded by a historical reenactment.")</f>
        <v>The game is preceded by a historical reenactment.</v>
      </c>
      <c r="L128" s="2"/>
      <c r="M128" s="2"/>
      <c r="N128" s="2"/>
      <c r="O128" s="2"/>
      <c r="P128" s="2"/>
      <c r="Q128" s="2"/>
      <c r="R128" s="2"/>
      <c r="S128" s="2"/>
      <c r="T128" s="2"/>
      <c r="U128" s="2"/>
      <c r="V128" s="2"/>
      <c r="W128" s="2"/>
    </row>
    <row r="129" ht="22.5" customHeight="1">
      <c r="A129" s="3">
        <v>130.0</v>
      </c>
      <c r="B129" s="3" t="s">
        <v>495</v>
      </c>
      <c r="C129" s="3" t="s">
        <v>496</v>
      </c>
      <c r="D129" s="3" t="s">
        <v>497</v>
      </c>
      <c r="E129" s="3" t="s">
        <v>498</v>
      </c>
      <c r="F129" s="2"/>
      <c r="G129" s="3" t="str">
        <f>IFERROR(__xludf.DUMMYFUNCTION("GOOGLETRANSLATE(A129, ""it"", ""en"")"),"130")</f>
        <v>130</v>
      </c>
      <c r="H129" s="3" t="str">
        <f>IFERROR(__xludf.DUMMYFUNCTION("GOOGLETRANSLATE(B129, ""it"", ""en"")"),"What is the significance of music during the tournament?")</f>
        <v>What is the significance of music during the tournament?</v>
      </c>
      <c r="I129" s="3" t="str">
        <f>IFERROR(__xludf.DUMMYFUNCTION("GOOGLETRANSLATE(C129, ""it"", ""en"")"),"A. Festive decoration B. Cheering on the players C. Creating a historical atmosphere D. Entertaining the referees")</f>
        <v>A. Festive decoration B. Cheering on the players C. Creating a historical atmosphere D. Entertaining the referees</v>
      </c>
      <c r="J129" s="3" t="str">
        <f>IFERROR(__xludf.DUMMYFUNCTION("GOOGLETRANSLATE(D129, ""it"", ""en"")"),"Creating a historical atmosphere")</f>
        <v>Creating a historical atmosphere</v>
      </c>
      <c r="K129" s="3" t="str">
        <f>IFERROR(__xludf.DUMMYFUNCTION("GOOGLETRANSLATE(E129, ""it"", ""en"")"),"The music accompanies the game and recalls its origins.")</f>
        <v>The music accompanies the game and recalls its origins.</v>
      </c>
      <c r="L129" s="2"/>
      <c r="M129" s="2"/>
      <c r="N129" s="2"/>
      <c r="O129" s="2"/>
      <c r="P129" s="2"/>
      <c r="Q129" s="2"/>
      <c r="R129" s="2"/>
      <c r="S129" s="2"/>
      <c r="T129" s="2"/>
      <c r="U129" s="2"/>
      <c r="V129" s="2"/>
      <c r="W129" s="2"/>
    </row>
    <row r="130" ht="22.5" customHeight="1">
      <c r="A130" s="3">
        <v>131.0</v>
      </c>
      <c r="B130" s="3" t="s">
        <v>499</v>
      </c>
      <c r="C130" s="3" t="s">
        <v>500</v>
      </c>
      <c r="D130" s="3" t="s">
        <v>501</v>
      </c>
      <c r="E130" s="3" t="s">
        <v>502</v>
      </c>
      <c r="F130" s="2"/>
      <c r="G130" s="3" t="str">
        <f>IFERROR(__xludf.DUMMYFUNCTION("GOOGLETRANSLATE(A130, ""it"", ""en"")"),"131")</f>
        <v>131</v>
      </c>
      <c r="H130" s="3" t="str">
        <f>IFERROR(__xludf.DUMMYFUNCTION("GOOGLETRANSLATE(B130, ""it"", ""en"")"),"What qualities are essential for a player?")</f>
        <v>What qualities are essential for a player?</v>
      </c>
      <c r="I130" s="3" t="str">
        <f>IFERROR(__xludf.DUMMYFUNCTION("GOOGLETRANSLATE(C130, ""it"", ""en"")"),"A. Physical strength and endurance B. Agility and speed C. Only physical strength D. Only strategy")</f>
        <v>A. Physical strength and endurance B. Agility and speed C. Only physical strength D. Only strategy</v>
      </c>
      <c r="J130" s="3" t="str">
        <f>IFERROR(__xludf.DUMMYFUNCTION("GOOGLETRANSLATE(D130, ""it"", ""en"")"),"Physical strength and endurance")</f>
        <v>Physical strength and endurance</v>
      </c>
      <c r="K130" s="3" t="str">
        <f>IFERROR(__xludf.DUMMYFUNCTION("GOOGLETRANSLATE(E130, ""it"", ""en"")"),"Strength and endurance are fundamental in Calcio Storico.")</f>
        <v>Strength and endurance are fundamental in Calcio Storico.</v>
      </c>
      <c r="L130" s="2"/>
      <c r="M130" s="2"/>
      <c r="N130" s="2"/>
      <c r="O130" s="2"/>
      <c r="P130" s="2"/>
      <c r="Q130" s="2"/>
      <c r="R130" s="2"/>
      <c r="S130" s="2"/>
      <c r="T130" s="2"/>
      <c r="U130" s="2"/>
      <c r="V130" s="2"/>
      <c r="W130" s="2"/>
    </row>
    <row r="131" ht="22.5" customHeight="1">
      <c r="A131" s="3">
        <v>132.0</v>
      </c>
      <c r="B131" s="3" t="s">
        <v>503</v>
      </c>
      <c r="C131" s="3" t="s">
        <v>504</v>
      </c>
      <c r="D131" s="3" t="s">
        <v>505</v>
      </c>
      <c r="E131" s="3" t="s">
        <v>506</v>
      </c>
      <c r="F131" s="2"/>
      <c r="G131" s="3" t="str">
        <f>IFERROR(__xludf.DUMMYFUNCTION("GOOGLETRANSLATE(A131, ""it"", ""en"")"),"132")</f>
        <v>132</v>
      </c>
      <c r="H131" s="3" t="str">
        <f>IFERROR(__xludf.DUMMYFUNCTION("GOOGLETRANSLATE(B131, ""it"", ""en"")"),"What happens if there is a draw after 50 minutes?")</f>
        <v>What happens if there is a draw after 50 minutes?</v>
      </c>
      <c r="I131" s="3" t="str">
        <f>IFERROR(__xludf.DUMMYFUNCTION("GOOGLETRANSLATE(C131, ""it"", ""en"")"),"A. An extra period B. A replay of the match C. The score is considered final D. A decision by the referees")</f>
        <v>A. An extra period B. A replay of the match C. The score is considered final D. A decision by the referees</v>
      </c>
      <c r="J131" s="3" t="str">
        <f>IFERROR(__xludf.DUMMYFUNCTION("GOOGLETRANSLATE(D131, ""it"", ""en"")"),"The score is considered final")</f>
        <v>The score is considered final</v>
      </c>
      <c r="K131" s="3" t="str">
        <f>IFERROR(__xludf.DUMMYFUNCTION("GOOGLETRANSLATE(E131, ""it"", ""en"")"),"There is no extra time.")</f>
        <v>There is no extra time.</v>
      </c>
      <c r="L131" s="2"/>
      <c r="M131" s="2"/>
      <c r="N131" s="2"/>
      <c r="O131" s="2"/>
      <c r="P131" s="2"/>
      <c r="Q131" s="2"/>
      <c r="R131" s="2"/>
      <c r="S131" s="2"/>
      <c r="T131" s="2"/>
      <c r="U131" s="2"/>
      <c r="V131" s="2"/>
      <c r="W131" s="2"/>
    </row>
    <row r="132" ht="22.5" customHeight="1">
      <c r="A132" s="3">
        <v>133.0</v>
      </c>
      <c r="B132" s="3" t="s">
        <v>507</v>
      </c>
      <c r="C132" s="3" t="s">
        <v>508</v>
      </c>
      <c r="D132" s="3" t="s">
        <v>509</v>
      </c>
      <c r="E132" s="3" t="s">
        <v>510</v>
      </c>
      <c r="F132" s="2"/>
      <c r="G132" s="3" t="str">
        <f>IFERROR(__xludf.DUMMYFUNCTION("GOOGLETRANSLATE(A132, ""it"", ""en"")"),"133")</f>
        <v>133</v>
      </c>
      <c r="H132" s="3" t="str">
        <f>IFERROR(__xludf.DUMMYFUNCTION("GOOGLETRANSLATE(B132, ""it"", ""en"")"),"What do the historical costumes worn by referees represent?")</f>
        <v>What do the historical costumes worn by referees represent?</v>
      </c>
      <c r="I132" s="3" t="str">
        <f>IFERROR(__xludf.DUMMYFUNCTION("GOOGLETRANSLATE(C132, ""it"", ""en"")"),"A. Role of neutrality B. Sign of authority C. Connection with tradition D. A modern decoration")</f>
        <v>A. Role of neutrality B. Sign of authority C. Connection with tradition D. A modern decoration</v>
      </c>
      <c r="J132" s="3" t="str">
        <f>IFERROR(__xludf.DUMMYFUNCTION("GOOGLETRANSLATE(D132, ""it"", ""en"")"),"Connection with tradition")</f>
        <v>Connection with tradition</v>
      </c>
      <c r="K132" s="3" t="str">
        <f>IFERROR(__xludf.DUMMYFUNCTION("GOOGLETRANSLATE(E132, ""it"", ""en"")"),"Referees wear costumes that reflect the historical roots of the game.")</f>
        <v>Referees wear costumes that reflect the historical roots of the game.</v>
      </c>
      <c r="L132" s="2"/>
      <c r="M132" s="2"/>
      <c r="N132" s="2"/>
      <c r="O132" s="2"/>
      <c r="P132" s="2"/>
      <c r="Q132" s="2"/>
      <c r="R132" s="2"/>
      <c r="S132" s="2"/>
      <c r="T132" s="2"/>
      <c r="U132" s="2"/>
      <c r="V132" s="2"/>
      <c r="W132" s="2"/>
    </row>
    <row r="133" ht="22.5" customHeight="1">
      <c r="A133" s="3">
        <v>134.0</v>
      </c>
      <c r="B133" s="3" t="s">
        <v>511</v>
      </c>
      <c r="C133" s="3" t="s">
        <v>512</v>
      </c>
      <c r="D133" s="3" t="s">
        <v>513</v>
      </c>
      <c r="E133" s="3" t="s">
        <v>514</v>
      </c>
      <c r="F133" s="2"/>
      <c r="G133" s="3" t="str">
        <f>IFERROR(__xludf.DUMMYFUNCTION("GOOGLETRANSLATE(A133, ""it"", ""en"")"),"134")</f>
        <v>134</v>
      </c>
      <c r="H133" s="3" t="str">
        <f>IFERROR(__xludf.DUMMYFUNCTION("GOOGLETRANSLATE(B133, ""it"", ""en"")"),"How are victories celebrated?")</f>
        <v>How are victories celebrated?</v>
      </c>
      <c r="I133" s="3" t="str">
        <f>IFERROR(__xludf.DUMMYFUNCTION("GOOGLETRANSLATE(C133, ""it"", ""en"")"),"A. With a trophy B. With a neighborhood procession C. With a banquet D. With a cash prize")</f>
        <v>A. With a trophy B. With a neighborhood procession C. With a banquet D. With a cash prize</v>
      </c>
      <c r="J133" s="3" t="str">
        <f>IFERROR(__xludf.DUMMYFUNCTION("GOOGLETRANSLATE(D133, ""it"", ""en"")"),"With a neighborhood procession")</f>
        <v>With a neighborhood procession</v>
      </c>
      <c r="K133" s="3" t="str">
        <f>IFERROR(__xludf.DUMMYFUNCTION("GOOGLETRANSLATE(E133, ""it"", ""en"")"),"The celebration includes a traditional procession.")</f>
        <v>The celebration includes a traditional procession.</v>
      </c>
      <c r="L133" s="2"/>
      <c r="M133" s="2"/>
      <c r="N133" s="2"/>
      <c r="O133" s="2"/>
      <c r="P133" s="2"/>
      <c r="Q133" s="2"/>
      <c r="R133" s="2"/>
      <c r="S133" s="2"/>
      <c r="T133" s="2"/>
      <c r="U133" s="2"/>
      <c r="V133" s="2"/>
      <c r="W133" s="2"/>
    </row>
    <row r="134" ht="22.5" customHeight="1">
      <c r="A134" s="3">
        <v>135.0</v>
      </c>
      <c r="B134" s="3" t="s">
        <v>515</v>
      </c>
      <c r="C134" s="3" t="s">
        <v>516</v>
      </c>
      <c r="D134" s="3" t="s">
        <v>517</v>
      </c>
      <c r="E134" s="3" t="s">
        <v>518</v>
      </c>
      <c r="F134" s="2"/>
      <c r="G134" s="3" t="str">
        <f>IFERROR(__xludf.DUMMYFUNCTION("GOOGLETRANSLATE(A134, ""it"", ""en"")"),"135")</f>
        <v>135</v>
      </c>
      <c r="H134" s="3" t="str">
        <f>IFERROR(__xludf.DUMMYFUNCTION("GOOGLETRANSLATE(B134, ""it"", ""en"")"),"What skills are essential for a defender?")</f>
        <v>What skills are essential for a defender?</v>
      </c>
      <c r="I134" s="3" t="str">
        <f>IFERROR(__xludf.DUMMYFUNCTION("GOOGLETRANSLATE(C134, ""it"", ""en"")"),"A. Speed ​​and tactics B. Strength and strategy C. Agility and dexterity D. Precision and intuition")</f>
        <v>A. Speed ​​and tactics B. Strength and strategy C. Agility and dexterity D. Precision and intuition</v>
      </c>
      <c r="J134" s="3" t="str">
        <f>IFERROR(__xludf.DUMMYFUNCTION("GOOGLETRANSLATE(D134, ""it"", ""en"")"),"Strength and strategy")</f>
        <v>Strength and strategy</v>
      </c>
      <c r="K134" s="3" t="str">
        <f>IFERROR(__xludf.DUMMYFUNCTION("GOOGLETRANSLATE(E134, ""it"", ""en"")"),"Defenders must be physically strong and tactical.")</f>
        <v>Defenders must be physically strong and tactical.</v>
      </c>
      <c r="L134" s="2"/>
      <c r="M134" s="2"/>
      <c r="N134" s="2"/>
      <c r="O134" s="2"/>
      <c r="P134" s="2"/>
      <c r="Q134" s="2"/>
      <c r="R134" s="2"/>
      <c r="S134" s="2"/>
      <c r="T134" s="2"/>
      <c r="U134" s="2"/>
      <c r="V134" s="2"/>
      <c r="W134" s="2"/>
    </row>
    <row r="135" ht="22.5" customHeight="1">
      <c r="A135" s="3">
        <v>136.0</v>
      </c>
      <c r="B135" s="3" t="s">
        <v>519</v>
      </c>
      <c r="C135" s="3" t="s">
        <v>520</v>
      </c>
      <c r="D135" s="3">
        <v>27.0</v>
      </c>
      <c r="E135" s="3" t="s">
        <v>521</v>
      </c>
      <c r="F135" s="2"/>
      <c r="G135" s="3" t="str">
        <f>IFERROR(__xludf.DUMMYFUNCTION("GOOGLETRANSLATE(A135, ""it"", ""en"")"),"136")</f>
        <v>136</v>
      </c>
      <c r="H135" s="3" t="str">
        <f>IFERROR(__xludf.DUMMYFUNCTION("GOOGLETRANSLATE(B135, ""it"", ""en"")"),"What is the maximum number of players per team?")</f>
        <v>What is the maximum number of players per team?</v>
      </c>
      <c r="I135" s="3" t="str">
        <f>IFERROR(__xludf.DUMMYFUNCTION("GOOGLETRANSLATE(C135, ""it"", ""en"")"),"A. 21 B. 22 C. 27 D. 30")</f>
        <v>A. 21 B. 22 C. 27 D. 30</v>
      </c>
      <c r="J135" s="3" t="str">
        <f>IFERROR(__xludf.DUMMYFUNCTION("GOOGLETRANSLATE(D135, ""it"", ""en"")"),"27")</f>
        <v>27</v>
      </c>
      <c r="K135" s="3" t="str">
        <f>IFERROR(__xludf.DUMMYFUNCTION("GOOGLETRANSLATE(E135, ""it"", ""en"")"),"Each team can field up to 27 players.")</f>
        <v>Each team can field up to 27 players.</v>
      </c>
      <c r="L135" s="2"/>
      <c r="M135" s="2"/>
      <c r="N135" s="2"/>
      <c r="O135" s="2"/>
      <c r="P135" s="2"/>
      <c r="Q135" s="2"/>
      <c r="R135" s="2"/>
      <c r="S135" s="2"/>
      <c r="T135" s="2"/>
      <c r="U135" s="2"/>
      <c r="V135" s="2"/>
      <c r="W135" s="2"/>
    </row>
    <row r="136" ht="22.5" customHeight="1">
      <c r="A136" s="3">
        <v>137.0</v>
      </c>
      <c r="B136" s="3" t="s">
        <v>522</v>
      </c>
      <c r="C136" s="3" t="s">
        <v>523</v>
      </c>
      <c r="D136" s="3" t="s">
        <v>524</v>
      </c>
      <c r="E136" s="3" t="s">
        <v>525</v>
      </c>
      <c r="F136" s="2"/>
      <c r="G136" s="3" t="str">
        <f>IFERROR(__xludf.DUMMYFUNCTION("GOOGLETRANSLATE(A136, ""it"", ""en"")"),"137")</f>
        <v>137</v>
      </c>
      <c r="H136" s="3" t="str">
        <f>IFERROR(__xludf.DUMMYFUNCTION("GOOGLETRANSLATE(B136, ""it"", ""en"")"),"What happens if a referee detects foul play?")</f>
        <v>What happens if a referee detects foul play?</v>
      </c>
      <c r="I136" s="3" t="str">
        <f>IFERROR(__xludf.DUMMYFUNCTION("GOOGLETRANSLATE(C136, ""it"", ""en"")"),"A. Assigns a penalty B. Stops the game C. Ejects the player D. Requests a meeting")</f>
        <v>A. Assigns a penalty B. Stops the game C. Ejects the player D. Requests a meeting</v>
      </c>
      <c r="J136" s="3" t="str">
        <f>IFERROR(__xludf.DUMMYFUNCTION("GOOGLETRANSLATE(D136, ""it"", ""en"")"),"Assign a penalty")</f>
        <v>Assign a penalty</v>
      </c>
      <c r="K136" s="3" t="str">
        <f>IFERROR(__xludf.DUMMYFUNCTION("GOOGLETRANSLATE(E136, ""it"", ""en"")"),"Incorrect practices lead to penalties.")</f>
        <v>Incorrect practices lead to penalties.</v>
      </c>
      <c r="L136" s="2"/>
      <c r="M136" s="2"/>
      <c r="N136" s="2"/>
      <c r="O136" s="2"/>
      <c r="P136" s="2"/>
      <c r="Q136" s="2"/>
      <c r="R136" s="2"/>
      <c r="S136" s="2"/>
      <c r="T136" s="2"/>
      <c r="U136" s="2"/>
      <c r="V136" s="2"/>
      <c r="W136" s="2"/>
    </row>
    <row r="137" ht="22.5" customHeight="1">
      <c r="A137" s="3">
        <v>138.0</v>
      </c>
      <c r="B137" s="3" t="s">
        <v>526</v>
      </c>
      <c r="C137" s="3" t="s">
        <v>527</v>
      </c>
      <c r="D137" s="3" t="s">
        <v>528</v>
      </c>
      <c r="E137" s="3" t="s">
        <v>529</v>
      </c>
      <c r="F137" s="2"/>
      <c r="G137" s="3" t="str">
        <f>IFERROR(__xludf.DUMMYFUNCTION("GOOGLETRANSLATE(A137, ""it"", ""en"")"),"138")</f>
        <v>138</v>
      </c>
      <c r="H137" s="3" t="str">
        <f>IFERROR(__xludf.DUMMYFUNCTION("GOOGLETRANSLATE(B137, ""it"", ""en"")"),"How are players from different teams distinguished?")</f>
        <v>How are players from different teams distinguished?</v>
      </c>
      <c r="I137" s="3" t="str">
        <f>IFERROR(__xludf.DUMMYFUNCTION("GOOGLETRANSLATE(C137, ""it"", ""en"")"),"A. By shirt number B. By costume color C. By position on the field D. By an accessory")</f>
        <v>A. By shirt number B. By costume color C. By position on the field D. By an accessory</v>
      </c>
      <c r="J137" s="3" t="str">
        <f>IFERROR(__xludf.DUMMYFUNCTION("GOOGLETRANSLATE(D137, ""it"", ""en"")"),"By costume color")</f>
        <v>By costume color</v>
      </c>
      <c r="K137" s="3" t="str">
        <f>IFERROR(__xludf.DUMMYFUNCTION("GOOGLETRANSLATE(E137, ""it"", ""en"")"),"The colors of the costumes represent the neighborhoods.")</f>
        <v>The colors of the costumes represent the neighborhoods.</v>
      </c>
      <c r="L137" s="2"/>
      <c r="M137" s="2"/>
      <c r="N137" s="2"/>
      <c r="O137" s="2"/>
      <c r="P137" s="2"/>
      <c r="Q137" s="2"/>
      <c r="R137" s="2"/>
      <c r="S137" s="2"/>
      <c r="T137" s="2"/>
      <c r="U137" s="2"/>
      <c r="V137" s="2"/>
      <c r="W137" s="2"/>
    </row>
    <row r="138" ht="22.5" customHeight="1">
      <c r="A138" s="3">
        <v>139.0</v>
      </c>
      <c r="B138" s="3" t="s">
        <v>530</v>
      </c>
      <c r="C138" s="3" t="s">
        <v>531</v>
      </c>
      <c r="D138" s="3" t="s">
        <v>532</v>
      </c>
      <c r="E138" s="3" t="s">
        <v>533</v>
      </c>
      <c r="F138" s="2"/>
      <c r="G138" s="3" t="str">
        <f>IFERROR(__xludf.DUMMYFUNCTION("GOOGLETRANSLATE(A138, ""it"", ""en"")"),"139")</f>
        <v>139</v>
      </c>
      <c r="H138" s="3" t="str">
        <f>IFERROR(__xludf.DUMMYFUNCTION("GOOGLETRANSLATE(B138, ""it"", ""en"")"),"What is not allowed in the game?")</f>
        <v>What is not allowed in the game?</v>
      </c>
      <c r="I138" s="3" t="str">
        <f>IFERROR(__xludf.DUMMYFUNCTION("GOOGLETRANSLATE(C138, ""it"", ""en"")"),"A. The use of foreign objects B. Cooperation between opponents C. Self-defense D. Group strategy")</f>
        <v>A. The use of foreign objects B. Cooperation between opponents C. Self-defense D. Group strategy</v>
      </c>
      <c r="J138" s="3" t="str">
        <f>IFERROR(__xludf.DUMMYFUNCTION("GOOGLETRANSLATE(D138, ""it"", ""en"")"),"The use of foreign objects")</f>
        <v>The use of foreign objects</v>
      </c>
      <c r="K138" s="3" t="str">
        <f>IFERROR(__xludf.DUMMYFUNCTION("GOOGLETRANSLATE(E138, ""it"", ""en"")"),"Any external accessories are prohibited.")</f>
        <v>Any external accessories are prohibited.</v>
      </c>
      <c r="L138" s="2"/>
      <c r="M138" s="2"/>
      <c r="N138" s="2"/>
      <c r="O138" s="2"/>
      <c r="P138" s="2"/>
      <c r="Q138" s="2"/>
      <c r="R138" s="2"/>
      <c r="S138" s="2"/>
      <c r="T138" s="2"/>
      <c r="U138" s="2"/>
      <c r="V138" s="2"/>
      <c r="W138" s="2"/>
    </row>
    <row r="139" ht="22.5" customHeight="1">
      <c r="A139" s="3">
        <v>140.0</v>
      </c>
      <c r="B139" s="3" t="s">
        <v>534</v>
      </c>
      <c r="C139" s="3" t="s">
        <v>535</v>
      </c>
      <c r="D139" s="3" t="s">
        <v>536</v>
      </c>
      <c r="E139" s="3" t="s">
        <v>537</v>
      </c>
      <c r="F139" s="2"/>
      <c r="G139" s="3" t="str">
        <f>IFERROR(__xludf.DUMMYFUNCTION("GOOGLETRANSLATE(A139, ""it"", ""en"")"),"140")</f>
        <v>140</v>
      </c>
      <c r="H139" s="3" t="str">
        <f>IFERROR(__xludf.DUMMYFUNCTION("GOOGLETRANSLATE(B139, ""it"", ""en"")"),"Who has the right to stop the game in case of emergency?")</f>
        <v>Who has the right to stop the game in case of emergency?</v>
      </c>
      <c r="I139" s="3" t="str">
        <f>IFERROR(__xludf.DUMMYFUNCTION("GOOGLETRANSLATE(C139, ""it"", ""en"")"),"A. The Captain B. The crowd C. A referee D. A goalkeeper")</f>
        <v>A. The Captain B. The crowd C. A referee D. A goalkeeper</v>
      </c>
      <c r="J139" s="3" t="str">
        <f>IFERROR(__xludf.DUMMYFUNCTION("GOOGLETRANSLATE(D139, ""it"", ""en"")"),"A referee")</f>
        <v>A referee</v>
      </c>
      <c r="K139" s="3" t="str">
        <f>IFERROR(__xludf.DUMMYFUNCTION("GOOGLETRANSLATE(E139, ""it"", ""en"")"),"Referees can stop play at any time.")</f>
        <v>Referees can stop play at any time.</v>
      </c>
      <c r="L139" s="2"/>
      <c r="M139" s="2"/>
      <c r="N139" s="2"/>
      <c r="O139" s="2"/>
      <c r="P139" s="2"/>
      <c r="Q139" s="2"/>
      <c r="R139" s="2"/>
      <c r="S139" s="2"/>
      <c r="T139" s="2"/>
      <c r="U139" s="2"/>
      <c r="V139" s="2"/>
      <c r="W139" s="2"/>
    </row>
    <row r="140" ht="22.5" customHeight="1">
      <c r="A140" s="3">
        <v>141.0</v>
      </c>
      <c r="B140" s="3" t="s">
        <v>538</v>
      </c>
      <c r="C140" s="3" t="s">
        <v>539</v>
      </c>
      <c r="D140" s="3" t="s">
        <v>540</v>
      </c>
      <c r="E140" s="3" t="s">
        <v>541</v>
      </c>
      <c r="F140" s="2"/>
      <c r="G140" s="3" t="str">
        <f>IFERROR(__xludf.DUMMYFUNCTION("GOOGLETRANSLATE(A140, ""it"", ""en"")"),"141")</f>
        <v>141</v>
      </c>
      <c r="H140" s="3" t="str">
        <f>IFERROR(__xludf.DUMMYFUNCTION("GOOGLETRANSLATE(B140, ""it"", ""en"")"),"How does a match officially end?")</f>
        <v>How does a match officially end?</v>
      </c>
      <c r="I140" s="3" t="str">
        <f>IFERROR(__xludf.DUMMYFUNCTION("GOOGLETRANSLATE(C140, ""it"", ""en"")"),"A. With the referee's whistle B. With the final score C. Closing ceremony D. End of 50 minutes")</f>
        <v>A. With the referee's whistle B. With the final score C. Closing ceremony D. End of 50 minutes</v>
      </c>
      <c r="J140" s="3" t="str">
        <f>IFERROR(__xludf.DUMMYFUNCTION("GOOGLETRANSLATE(D140, ""it"", ""en"")"),"With a whistle from the referee")</f>
        <v>With a whistle from the referee</v>
      </c>
      <c r="K140" s="3" t="str">
        <f>IFERROR(__xludf.DUMMYFUNCTION("GOOGLETRANSLATE(E140, ""it"", ""en"")"),"The whistle signals the end of the game.")</f>
        <v>The whistle signals the end of the game.</v>
      </c>
      <c r="L140" s="2"/>
      <c r="M140" s="2"/>
      <c r="N140" s="2"/>
      <c r="O140" s="2"/>
      <c r="P140" s="2"/>
      <c r="Q140" s="2"/>
      <c r="R140" s="2"/>
      <c r="S140" s="2"/>
      <c r="T140" s="2"/>
      <c r="U140" s="2"/>
      <c r="V140" s="2"/>
      <c r="W140" s="2"/>
    </row>
    <row r="141" ht="22.5" customHeight="1">
      <c r="A141" s="3">
        <v>142.0</v>
      </c>
      <c r="B141" s="3" t="s">
        <v>542</v>
      </c>
      <c r="C141" s="3" t="s">
        <v>543</v>
      </c>
      <c r="D141" s="3" t="s">
        <v>544</v>
      </c>
      <c r="E141" s="3" t="s">
        <v>545</v>
      </c>
      <c r="F141" s="2"/>
      <c r="G141" s="3" t="str">
        <f>IFERROR(__xludf.DUMMYFUNCTION("GOOGLETRANSLATE(A141, ""it"", ""en"")"),"142")</f>
        <v>142</v>
      </c>
      <c r="H141" s="3" t="str">
        <f>IFERROR(__xludf.DUMMYFUNCTION("GOOGLETRANSLATE(B141, ""it"", ""en"")"),"What do the hunts symbolize?")</f>
        <v>What do the hunts symbolize?</v>
      </c>
      <c r="I141" s="3" t="str">
        <f>IFERROR(__xludf.DUMMYFUNCTION("GOOGLETRANSLATE(C141, ""it"", ""en"")"),"A. Sports supremacy B. Neighborhood unity C. Strategic victory D. Physical ability")</f>
        <v>A. Sports supremacy B. Neighborhood unity C. Strategic victory D. Physical ability</v>
      </c>
      <c r="J141" s="3" t="str">
        <f>IFERROR(__xludf.DUMMYFUNCTION("GOOGLETRANSLATE(D141, ""it"", ""en"")"),"Strategic victory")</f>
        <v>Strategic victory</v>
      </c>
      <c r="K141" s="3" t="str">
        <f>IFERROR(__xludf.DUMMYFUNCTION("GOOGLETRANSLATE(E141, ""it"", ""en"")"),"Hunts represent the team's strategic success.")</f>
        <v>Hunts represent the team's strategic success.</v>
      </c>
      <c r="L141" s="2"/>
      <c r="M141" s="2"/>
      <c r="N141" s="2"/>
      <c r="O141" s="2"/>
      <c r="P141" s="2"/>
      <c r="Q141" s="2"/>
      <c r="R141" s="2"/>
      <c r="S141" s="2"/>
      <c r="T141" s="2"/>
      <c r="U141" s="2"/>
      <c r="V141" s="2"/>
      <c r="W141" s="2"/>
    </row>
    <row r="142" ht="22.5" customHeight="1">
      <c r="A142" s="3">
        <v>143.0</v>
      </c>
      <c r="B142" s="3" t="s">
        <v>546</v>
      </c>
      <c r="C142" s="3" t="s">
        <v>547</v>
      </c>
      <c r="D142" s="3" t="s">
        <v>548</v>
      </c>
      <c r="E142" s="3" t="s">
        <v>549</v>
      </c>
      <c r="F142" s="2"/>
      <c r="G142" s="3" t="str">
        <f>IFERROR(__xludf.DUMMYFUNCTION("GOOGLETRANSLATE(A142, ""it"", ""en"")"),"143")</f>
        <v>143</v>
      </c>
      <c r="H142" s="3" t="str">
        <f>IFERROR(__xludf.DUMMYFUNCTION("GOOGLETRANSLATE(B142, ""it"", ""en"")"),"What is the approximate weight of the ball used?")</f>
        <v>What is the approximate weight of the ball used?</v>
      </c>
      <c r="I142" s="3" t="str">
        <f>IFERROR(__xludf.DUMMYFUNCTION("GOOGLETRANSLATE(C142, ""it"", ""en"")"),"A. 1 kg B. 1.5 kg C. 2 kg D. 2.5 kg")</f>
        <v>A. 1 kg B. 1.5 kg C. 2 kg D. 2.5 kg</v>
      </c>
      <c r="J142" s="3" t="str">
        <f>IFERROR(__xludf.DUMMYFUNCTION("GOOGLETRANSLATE(D142, ""it"", ""en"")"),"1.5 kg")</f>
        <v>1.5 kg</v>
      </c>
      <c r="K142" s="3" t="str">
        <f>IFERROR(__xludf.DUMMYFUNCTION("GOOGLETRANSLATE(E142, ""it"", ""en"")"),"The ball is designed for intense physical play.")</f>
        <v>The ball is designed for intense physical play.</v>
      </c>
      <c r="L142" s="2"/>
      <c r="M142" s="2"/>
      <c r="N142" s="2"/>
      <c r="O142" s="2"/>
      <c r="P142" s="2"/>
      <c r="Q142" s="2"/>
      <c r="R142" s="2"/>
      <c r="S142" s="2"/>
      <c r="T142" s="2"/>
      <c r="U142" s="2"/>
      <c r="V142" s="2"/>
      <c r="W142" s="2"/>
    </row>
    <row r="143" ht="22.5" customHeight="1">
      <c r="A143" s="3">
        <v>144.0</v>
      </c>
      <c r="B143" s="3" t="s">
        <v>550</v>
      </c>
      <c r="C143" s="3" t="s">
        <v>551</v>
      </c>
      <c r="D143" s="3" t="s">
        <v>552</v>
      </c>
      <c r="E143" s="3" t="s">
        <v>553</v>
      </c>
      <c r="F143" s="2"/>
      <c r="G143" s="3" t="str">
        <f>IFERROR(__xludf.DUMMYFUNCTION("GOOGLETRANSLATE(A143, ""it"", ""en"")"),"144")</f>
        <v>144</v>
      </c>
      <c r="H143" s="3" t="str">
        <f>IFERROR(__xludf.DUMMYFUNCTION("GOOGLETRANSLATE(B143, ""it"", ""en"")"),"What can't a Captain do during the game?")</f>
        <v>What can't a Captain do during the game?</v>
      </c>
      <c r="I143" s="3" t="str">
        <f>IFERROR(__xludf.DUMMYFUNCTION("GOOGLETRANSLATE(C143, ""it"", ""en"")"),"A. Give directions B. Defend the net C. Score shots D. Participate in scrums")</f>
        <v>A. Give directions B. Defend the net C. Score shots D. Participate in scrums</v>
      </c>
      <c r="J143" s="3" t="str">
        <f>IFERROR(__xludf.DUMMYFUNCTION("GOOGLETRANSLATE(D143, ""it"", ""en"")"),"Participate in scrums")</f>
        <v>Participate in scrums</v>
      </c>
      <c r="K143" s="3" t="str">
        <f>IFERROR(__xludf.DUMMYFUNCTION("GOOGLETRANSLATE(E143, ""it"", ""en"")"),"The Captain focuses on leading the team.")</f>
        <v>The Captain focuses on leading the team.</v>
      </c>
      <c r="L143" s="2"/>
      <c r="M143" s="2"/>
      <c r="N143" s="2"/>
      <c r="O143" s="2"/>
      <c r="P143" s="2"/>
      <c r="Q143" s="2"/>
      <c r="R143" s="2"/>
      <c r="S143" s="2"/>
      <c r="T143" s="2"/>
      <c r="U143" s="2"/>
      <c r="V143" s="2"/>
      <c r="W143" s="2"/>
    </row>
    <row r="144" ht="22.5" customHeight="1">
      <c r="A144" s="3">
        <v>145.0</v>
      </c>
      <c r="B144" s="3" t="s">
        <v>554</v>
      </c>
      <c r="C144" s="3" t="s">
        <v>555</v>
      </c>
      <c r="D144" s="3" t="s">
        <v>556</v>
      </c>
      <c r="E144" s="3" t="s">
        <v>557</v>
      </c>
      <c r="F144" s="2"/>
      <c r="G144" s="3" t="str">
        <f>IFERROR(__xludf.DUMMYFUNCTION("GOOGLETRANSLATE(A144, ""it"", ""en"")"),"145")</f>
        <v>145</v>
      </c>
      <c r="H144" s="3" t="str">
        <f>IFERROR(__xludf.DUMMYFUNCTION("GOOGLETRANSLATE(B144, ""it"", ""en"")"),"How is fairness maintained between teams?")</f>
        <v>How is fairness maintained between teams?</v>
      </c>
      <c r="I144" s="3" t="str">
        <f>IFERROR(__xludf.DUMMYFUNCTION("GOOGLETRANSLATE(C144, ""it"", ""en"")"),"A. With a penalty system B. With strict refereeing C. With player rotation D. With the public as judge")</f>
        <v>A. With a penalty system B. With strict refereeing C. With player rotation D. With the public as judge</v>
      </c>
      <c r="J144" s="3" t="str">
        <f>IFERROR(__xludf.DUMMYFUNCTION("GOOGLETRANSLATE(D144, ""it"", ""en"")"),"With strict refereeing")</f>
        <v>With strict refereeing</v>
      </c>
      <c r="K144" s="3" t="str">
        <f>IFERROR(__xludf.DUMMYFUNCTION("GOOGLETRANSLATE(E144, ""it"", ""en"")"),"Referees ensure fair play.")</f>
        <v>Referees ensure fair play.</v>
      </c>
      <c r="L144" s="2"/>
      <c r="M144" s="2"/>
      <c r="N144" s="2"/>
      <c r="O144" s="2"/>
      <c r="P144" s="2"/>
      <c r="Q144" s="2"/>
      <c r="R144" s="2"/>
      <c r="S144" s="2"/>
      <c r="T144" s="2"/>
      <c r="U144" s="2"/>
      <c r="V144" s="2"/>
      <c r="W144" s="2"/>
    </row>
    <row r="145" ht="22.5" customHeight="1">
      <c r="A145" s="3">
        <v>146.0</v>
      </c>
      <c r="B145" s="3" t="s">
        <v>558</v>
      </c>
      <c r="C145" s="3" t="s">
        <v>559</v>
      </c>
      <c r="D145" s="3" t="s">
        <v>294</v>
      </c>
      <c r="E145" s="3" t="s">
        <v>560</v>
      </c>
      <c r="F145" s="2"/>
      <c r="G145" s="3" t="str">
        <f>IFERROR(__xludf.DUMMYFUNCTION("GOOGLETRANSLATE(A145, ""it"", ""en"")"),"146")</f>
        <v>146</v>
      </c>
      <c r="H145" s="3" t="str">
        <f>IFERROR(__xludf.DUMMYFUNCTION("GOOGLETRANSLATE(B145, ""it"", ""en"")"),"What are defensive players not allowed to do?")</f>
        <v>What are defensive players not allowed to do?</v>
      </c>
      <c r="I145" s="3" t="str">
        <f>IFERROR(__xludf.DUMMYFUNCTION("GOOGLETRANSLATE(C145, ""it"", ""en"")"),"A. Push B. Block the ball C. Intentionally hit D. Form a barrier")</f>
        <v>A. Push B. Block the ball C. Intentionally hit D. Form a barrier</v>
      </c>
      <c r="J145" s="3" t="str">
        <f>IFERROR(__xludf.DUMMYFUNCTION("GOOGLETRANSLATE(D145, ""it"", ""en"")"),"To intentionally strike")</f>
        <v>To intentionally strike</v>
      </c>
      <c r="K145" s="3" t="str">
        <f>IFERROR(__xludf.DUMMYFUNCTION("GOOGLETRANSLATE(E145, ""it"", ""en"")"),"Violence is not tolerated.")</f>
        <v>Violence is not tolerated.</v>
      </c>
      <c r="L145" s="2"/>
      <c r="M145" s="2"/>
      <c r="N145" s="2"/>
      <c r="O145" s="2"/>
      <c r="P145" s="2"/>
      <c r="Q145" s="2"/>
      <c r="R145" s="2"/>
      <c r="S145" s="2"/>
      <c r="T145" s="2"/>
      <c r="U145" s="2"/>
      <c r="V145" s="2"/>
      <c r="W145" s="2"/>
    </row>
    <row r="146" ht="22.5" customHeight="1">
      <c r="A146" s="3">
        <v>147.0</v>
      </c>
      <c r="B146" s="3" t="s">
        <v>561</v>
      </c>
      <c r="C146" s="3" t="s">
        <v>562</v>
      </c>
      <c r="D146" s="3" t="s">
        <v>563</v>
      </c>
      <c r="E146" s="3" t="s">
        <v>564</v>
      </c>
      <c r="F146" s="2"/>
      <c r="G146" s="3" t="str">
        <f>IFERROR(__xludf.DUMMYFUNCTION("GOOGLETRANSLATE(A146, ""it"", ""en"")"),"147")</f>
        <v>147</v>
      </c>
      <c r="H146" s="3" t="str">
        <f>IFERROR(__xludf.DUMMYFUNCTION("GOOGLETRANSLATE(B146, ""it"", ""en"")"),"What does the event represent for Florence today?")</f>
        <v>What does the event represent for Florence today?</v>
      </c>
      <c r="I146" s="3" t="str">
        <f>IFERROR(__xludf.DUMMYFUNCTION("GOOGLETRANSLATE(C146, ""it"", ""en"")"),"A. A modern sporting event B. A cultural attraction C. A tourist opportunity D. A city festival")</f>
        <v>A. A modern sporting event B. A cultural attraction C. A tourist opportunity D. A city festival</v>
      </c>
      <c r="J146" s="3" t="str">
        <f>IFERROR(__xludf.DUMMYFUNCTION("GOOGLETRANSLATE(D146, ""it"", ""en"")"),"A cultural reminder")</f>
        <v>A cultural reminder</v>
      </c>
      <c r="K146" s="3" t="str">
        <f>IFERROR(__xludf.DUMMYFUNCTION("GOOGLETRANSLATE(E146, ""it"", ""en"")"),"Calcio Storico is a cultural symbol for the city.")</f>
        <v>Calcio Storico is a cultural symbol for the city.</v>
      </c>
      <c r="L146" s="2"/>
      <c r="M146" s="2"/>
      <c r="N146" s="2"/>
      <c r="O146" s="2"/>
      <c r="P146" s="2"/>
      <c r="Q146" s="2"/>
      <c r="R146" s="2"/>
      <c r="S146" s="2"/>
      <c r="T146" s="2"/>
      <c r="U146" s="2"/>
      <c r="V146" s="2"/>
      <c r="W146" s="2"/>
    </row>
    <row r="147" ht="22.5" customHeight="1">
      <c r="A147" s="3">
        <v>148.0</v>
      </c>
      <c r="B147" s="3" t="s">
        <v>565</v>
      </c>
      <c r="C147" s="3" t="s">
        <v>566</v>
      </c>
      <c r="D147" s="3" t="s">
        <v>567</v>
      </c>
      <c r="E147" s="3" t="s">
        <v>568</v>
      </c>
      <c r="F147" s="2"/>
      <c r="G147" s="3" t="str">
        <f>IFERROR(__xludf.DUMMYFUNCTION("GOOGLETRANSLATE(A147, ""it"", ""en"")"),"148")</f>
        <v>148</v>
      </c>
      <c r="H147" s="3" t="str">
        <f>IFERROR(__xludf.DUMMYFUNCTION("GOOGLETRANSLATE(B147, ""it"", ""en"")"),"How are the player roles distributed?")</f>
        <v>How are the player roles distributed?</v>
      </c>
      <c r="I147" s="3" t="str">
        <f>IFERROR(__xludf.DUMMYFUNCTION("GOOGLETRANSLATE(C147, ""it"", ""en"")"),"A. Based on age B. Based on strategy C. Based on strength D. Based on the draw")</f>
        <v>A. Based on age B. Based on strategy C. Based on strength D. Based on the draw</v>
      </c>
      <c r="J147" s="3" t="str">
        <f>IFERROR(__xludf.DUMMYFUNCTION("GOOGLETRANSLATE(D147, ""it"", ""en"")"),"Based on the strategy")</f>
        <v>Based on the strategy</v>
      </c>
      <c r="K147" s="3" t="str">
        <f>IFERROR(__xludf.DUMMYFUNCTION("GOOGLETRANSLATE(E147, ""it"", ""en"")"),"Roles are decided based on the team's tactics.")</f>
        <v>Roles are decided based on the team's tactics.</v>
      </c>
      <c r="L147" s="2"/>
      <c r="M147" s="2"/>
      <c r="N147" s="2"/>
      <c r="O147" s="2"/>
      <c r="P147" s="2"/>
      <c r="Q147" s="2"/>
      <c r="R147" s="2"/>
      <c r="S147" s="2"/>
      <c r="T147" s="2"/>
      <c r="U147" s="2"/>
      <c r="V147" s="2"/>
      <c r="W147" s="2"/>
    </row>
    <row r="148" ht="22.5" customHeight="1">
      <c r="A148" s="3">
        <v>149.0</v>
      </c>
      <c r="B148" s="3" t="s">
        <v>569</v>
      </c>
      <c r="C148" s="3" t="s">
        <v>570</v>
      </c>
      <c r="D148" s="3" t="s">
        <v>571</v>
      </c>
      <c r="E148" s="3" t="s">
        <v>572</v>
      </c>
      <c r="F148" s="2"/>
      <c r="G148" s="3" t="str">
        <f>IFERROR(__xludf.DUMMYFUNCTION("GOOGLETRANSLATE(A148, ""it"", ""en"")"),"149")</f>
        <v>149</v>
      </c>
      <c r="H148" s="3" t="str">
        <f>IFERROR(__xludf.DUMMYFUNCTION("GOOGLETRANSLATE(B148, ""it"", ""en"")"),"What is the role of the secondary referees?")</f>
        <v>What is the role of the secondary referees?</v>
      </c>
      <c r="I148" s="3" t="str">
        <f>IFERROR(__xludf.DUMMYFUNCTION("GOOGLETRANSLATE(C148, ""it"", ""en"")"),"A. Supervise scrums B. Manage substitutions C. Keep score D. Report fouls")</f>
        <v>A. Supervise scrums B. Manage substitutions C. Keep score D. Report fouls</v>
      </c>
      <c r="J148" s="3" t="str">
        <f>IFERROR(__xludf.DUMMYFUNCTION("GOOGLETRANSLATE(D148, ""it"", ""en"")"),"Reporting misconduct")</f>
        <v>Reporting misconduct</v>
      </c>
      <c r="K148" s="3" t="str">
        <f>IFERROR(__xludf.DUMMYFUNCTION("GOOGLETRANSLATE(E148, ""it"", ""en"")"),"Secondary referees help detect fouls and misconduct.")</f>
        <v>Secondary referees help detect fouls and misconduct.</v>
      </c>
      <c r="L148" s="2"/>
      <c r="M148" s="2"/>
      <c r="N148" s="2"/>
      <c r="O148" s="2"/>
      <c r="P148" s="2"/>
      <c r="Q148" s="2"/>
      <c r="R148" s="2"/>
      <c r="S148" s="2"/>
      <c r="T148" s="2"/>
      <c r="U148" s="2"/>
      <c r="V148" s="2"/>
      <c r="W148" s="2"/>
    </row>
    <row r="149" ht="22.5" customHeight="1">
      <c r="A149" s="3">
        <v>150.0</v>
      </c>
      <c r="B149" s="3" t="s">
        <v>573</v>
      </c>
      <c r="C149" s="3" t="s">
        <v>574</v>
      </c>
      <c r="D149" s="3" t="s">
        <v>575</v>
      </c>
      <c r="E149" s="3" t="s">
        <v>576</v>
      </c>
      <c r="F149" s="2"/>
      <c r="G149" s="3" t="str">
        <f>IFERROR(__xludf.DUMMYFUNCTION("GOOGLETRANSLATE(A149, ""it"", ""en"")"),"150")</f>
        <v>150</v>
      </c>
      <c r="H149" s="3" t="str">
        <f>IFERROR(__xludf.DUMMYFUNCTION("GOOGLETRANSLATE(B149, ""it"", ""en"")"),"What does ""playing for the neighborhood"" mean?")</f>
        <v>What does "playing for the neighborhood" mean?</v>
      </c>
      <c r="I149" s="3" t="str">
        <f>IFERROR(__xludf.DUMMYFUNCTION("GOOGLETRANSLATE(C149, ""it"", ""en"")"),"A. Defend the colors B. Compete for the prize C. Have fun together D. Promote the city")</f>
        <v>A. Defend the colors B. Compete for the prize C. Have fun together D. Promote the city</v>
      </c>
      <c r="J149" s="3" t="str">
        <f>IFERROR(__xludf.DUMMYFUNCTION("GOOGLETRANSLATE(D149, ""it"", ""en"")"),"Defending the colors")</f>
        <v>Defending the colors</v>
      </c>
      <c r="K149" s="3" t="str">
        <f>IFERROR(__xludf.DUMMYFUNCTION("GOOGLETRANSLATE(E149, ""it"", ""en"")"),"The game represents the pride and identity of the neighborhood.")</f>
        <v>The game represents the pride and identity of the neighborhood.</v>
      </c>
      <c r="L149" s="2"/>
      <c r="M149" s="2"/>
      <c r="N149" s="2"/>
      <c r="O149" s="2"/>
      <c r="P149" s="2"/>
      <c r="Q149" s="2"/>
      <c r="R149" s="2"/>
      <c r="S149" s="2"/>
      <c r="T149" s="2"/>
      <c r="U149" s="2"/>
      <c r="V149" s="2"/>
      <c r="W149" s="2"/>
    </row>
    <row r="150">
      <c r="A150" s="2"/>
      <c r="B150" s="2"/>
      <c r="C150" s="2"/>
      <c r="D150" s="2"/>
      <c r="E150" s="2"/>
      <c r="F150" s="2"/>
      <c r="G150" s="2"/>
      <c r="H150" s="2"/>
      <c r="I150" s="2"/>
      <c r="J150" s="2"/>
      <c r="K150" s="2"/>
      <c r="L150" s="2"/>
      <c r="M150" s="2"/>
      <c r="N150" s="2"/>
      <c r="O150" s="2"/>
      <c r="P150" s="2"/>
      <c r="Q150" s="2"/>
      <c r="R150" s="2"/>
      <c r="S150" s="2"/>
      <c r="T150" s="2"/>
      <c r="U150" s="2"/>
      <c r="V150" s="2"/>
      <c r="W150" s="2"/>
    </row>
    <row r="151">
      <c r="A151" s="2"/>
      <c r="B151" s="2"/>
      <c r="C151" s="2"/>
      <c r="D151" s="2"/>
      <c r="E151" s="2"/>
      <c r="F151" s="2"/>
      <c r="G151" s="2"/>
      <c r="H151" s="2"/>
      <c r="I151" s="2"/>
      <c r="J151" s="2"/>
      <c r="K151" s="2"/>
      <c r="L151" s="2"/>
      <c r="M151" s="2"/>
      <c r="N151" s="2"/>
      <c r="O151" s="2"/>
      <c r="P151" s="2"/>
      <c r="Q151" s="2"/>
      <c r="R151" s="2"/>
      <c r="S151" s="2"/>
      <c r="T151" s="2"/>
      <c r="U151" s="2"/>
      <c r="V151" s="2"/>
      <c r="W151" s="2"/>
    </row>
    <row r="152">
      <c r="A152" s="2"/>
      <c r="B152" s="2"/>
      <c r="C152" s="2"/>
      <c r="D152" s="2"/>
      <c r="E152" s="2"/>
      <c r="F152" s="2"/>
      <c r="G152" s="2"/>
      <c r="H152" s="2"/>
      <c r="I152" s="2"/>
      <c r="J152" s="2"/>
      <c r="K152" s="2"/>
      <c r="L152" s="2"/>
      <c r="M152" s="2"/>
      <c r="N152" s="2"/>
      <c r="O152" s="2"/>
      <c r="P152" s="2"/>
      <c r="Q152" s="2"/>
      <c r="R152" s="2"/>
      <c r="S152" s="2"/>
      <c r="T152" s="2"/>
      <c r="U152" s="2"/>
      <c r="V152" s="2"/>
      <c r="W152" s="2"/>
    </row>
    <row r="153">
      <c r="A153" s="2"/>
      <c r="B153" s="2"/>
      <c r="C153" s="2"/>
      <c r="D153" s="2"/>
      <c r="E153" s="2"/>
      <c r="F153" s="2"/>
      <c r="G153" s="2"/>
      <c r="H153" s="2"/>
      <c r="I153" s="2"/>
      <c r="J153" s="2"/>
      <c r="K153" s="2"/>
      <c r="L153" s="2"/>
      <c r="M153" s="2"/>
      <c r="N153" s="2"/>
      <c r="O153" s="2"/>
      <c r="P153" s="2"/>
      <c r="Q153" s="2"/>
      <c r="R153" s="2"/>
      <c r="S153" s="2"/>
      <c r="T153" s="2"/>
      <c r="U153" s="2"/>
      <c r="V153" s="2"/>
      <c r="W153" s="2"/>
    </row>
    <row r="154">
      <c r="A154" s="2"/>
      <c r="B154" s="2"/>
      <c r="C154" s="2"/>
      <c r="D154" s="2"/>
      <c r="E154" s="2"/>
      <c r="F154" s="2"/>
      <c r="G154" s="2"/>
      <c r="H154" s="2"/>
      <c r="I154" s="2"/>
      <c r="J154" s="2"/>
      <c r="K154" s="2"/>
      <c r="L154" s="2"/>
      <c r="M154" s="2"/>
      <c r="N154" s="2"/>
      <c r="O154" s="2"/>
      <c r="P154" s="2"/>
      <c r="Q154" s="2"/>
      <c r="R154" s="2"/>
      <c r="S154" s="2"/>
      <c r="T154" s="2"/>
      <c r="U154" s="2"/>
      <c r="V154" s="2"/>
      <c r="W154" s="2"/>
    </row>
    <row r="155">
      <c r="A155" s="2"/>
      <c r="B155" s="2"/>
      <c r="C155" s="2"/>
      <c r="D155" s="2"/>
      <c r="E155" s="2"/>
      <c r="F155" s="2"/>
      <c r="G155" s="2"/>
      <c r="H155" s="2"/>
      <c r="I155" s="2"/>
      <c r="J155" s="2"/>
      <c r="K155" s="2"/>
      <c r="L155" s="2"/>
      <c r="M155" s="2"/>
      <c r="N155" s="2"/>
      <c r="O155" s="2"/>
      <c r="P155" s="2"/>
      <c r="Q155" s="2"/>
      <c r="R155" s="2"/>
      <c r="S155" s="2"/>
      <c r="T155" s="2"/>
      <c r="U155" s="2"/>
      <c r="V155" s="2"/>
      <c r="W155" s="2"/>
    </row>
    <row r="156">
      <c r="A156" s="2"/>
      <c r="B156" s="2"/>
      <c r="C156" s="2"/>
      <c r="D156" s="2"/>
      <c r="E156" s="2"/>
      <c r="F156" s="2"/>
      <c r="G156" s="2"/>
      <c r="H156" s="2"/>
      <c r="I156" s="2"/>
      <c r="J156" s="2"/>
      <c r="K156" s="2"/>
      <c r="L156" s="2"/>
      <c r="M156" s="2"/>
      <c r="N156" s="2"/>
      <c r="O156" s="2"/>
      <c r="P156" s="2"/>
      <c r="Q156" s="2"/>
      <c r="R156" s="2"/>
      <c r="S156" s="2"/>
      <c r="T156" s="2"/>
      <c r="U156" s="2"/>
      <c r="V156" s="2"/>
      <c r="W156" s="2"/>
    </row>
    <row r="157">
      <c r="A157" s="2"/>
      <c r="B157" s="2"/>
      <c r="C157" s="2"/>
      <c r="D157" s="2"/>
      <c r="E157" s="2"/>
      <c r="F157" s="2"/>
      <c r="G157" s="2"/>
      <c r="H157" s="2"/>
      <c r="I157" s="2"/>
      <c r="J157" s="2"/>
      <c r="K157" s="2"/>
      <c r="L157" s="2"/>
      <c r="M157" s="2"/>
      <c r="N157" s="2"/>
      <c r="O157" s="2"/>
      <c r="P157" s="2"/>
      <c r="Q157" s="2"/>
      <c r="R157" s="2"/>
      <c r="S157" s="2"/>
      <c r="T157" s="2"/>
      <c r="U157" s="2"/>
      <c r="V157" s="2"/>
      <c r="W157" s="2"/>
    </row>
    <row r="158">
      <c r="A158" s="2"/>
      <c r="B158" s="2"/>
      <c r="C158" s="2"/>
      <c r="D158" s="2"/>
      <c r="E158" s="2"/>
      <c r="F158" s="2"/>
      <c r="G158" s="2"/>
      <c r="H158" s="2"/>
      <c r="I158" s="2"/>
      <c r="J158" s="2"/>
      <c r="K158" s="2"/>
      <c r="L158" s="2"/>
      <c r="M158" s="2"/>
      <c r="N158" s="2"/>
      <c r="O158" s="2"/>
      <c r="P158" s="2"/>
      <c r="Q158" s="2"/>
      <c r="R158" s="2"/>
      <c r="S158" s="2"/>
      <c r="T158" s="2"/>
      <c r="U158" s="2"/>
      <c r="V158" s="2"/>
      <c r="W158" s="2"/>
    </row>
    <row r="159">
      <c r="A159" s="2"/>
      <c r="B159" s="2"/>
      <c r="C159" s="2"/>
      <c r="D159" s="2"/>
      <c r="E159" s="2"/>
      <c r="F159" s="2"/>
      <c r="G159" s="2"/>
      <c r="H159" s="2"/>
      <c r="I159" s="2"/>
      <c r="J159" s="2"/>
      <c r="K159" s="2"/>
      <c r="L159" s="2"/>
      <c r="M159" s="2"/>
      <c r="N159" s="2"/>
      <c r="O159" s="2"/>
      <c r="P159" s="2"/>
      <c r="Q159" s="2"/>
      <c r="R159" s="2"/>
      <c r="S159" s="2"/>
      <c r="T159" s="2"/>
      <c r="U159" s="2"/>
      <c r="V159" s="2"/>
      <c r="W159" s="2"/>
    </row>
    <row r="160">
      <c r="A160" s="2"/>
      <c r="B160" s="2"/>
      <c r="C160" s="2"/>
      <c r="D160" s="2"/>
      <c r="E160" s="2"/>
      <c r="F160" s="2"/>
      <c r="G160" s="2"/>
      <c r="H160" s="2"/>
      <c r="I160" s="2"/>
      <c r="J160" s="2"/>
      <c r="K160" s="2"/>
      <c r="L160" s="2"/>
      <c r="M160" s="2"/>
      <c r="N160" s="2"/>
      <c r="O160" s="2"/>
      <c r="P160" s="2"/>
      <c r="Q160" s="2"/>
      <c r="R160" s="2"/>
      <c r="S160" s="2"/>
      <c r="T160" s="2"/>
      <c r="U160" s="2"/>
      <c r="V160" s="2"/>
      <c r="W160" s="2"/>
    </row>
    <row r="161">
      <c r="A161" s="2"/>
      <c r="B161" s="2"/>
      <c r="C161" s="2"/>
      <c r="D161" s="2"/>
      <c r="E161" s="2"/>
      <c r="F161" s="2"/>
      <c r="G161" s="2"/>
      <c r="H161" s="2"/>
      <c r="I161" s="2"/>
      <c r="J161" s="2"/>
      <c r="K161" s="2"/>
      <c r="L161" s="2"/>
      <c r="M161" s="2"/>
      <c r="N161" s="2"/>
      <c r="O161" s="2"/>
      <c r="P161" s="2"/>
      <c r="Q161" s="2"/>
      <c r="R161" s="2"/>
      <c r="S161" s="2"/>
      <c r="T161" s="2"/>
      <c r="U161" s="2"/>
      <c r="V161" s="2"/>
      <c r="W161" s="2"/>
    </row>
    <row r="162">
      <c r="A162" s="2"/>
      <c r="B162" s="2"/>
      <c r="C162" s="2"/>
      <c r="D162" s="2"/>
      <c r="E162" s="2"/>
      <c r="F162" s="2"/>
      <c r="G162" s="2"/>
      <c r="H162" s="2"/>
      <c r="I162" s="2"/>
      <c r="J162" s="2"/>
      <c r="K162" s="2"/>
      <c r="L162" s="2"/>
      <c r="M162" s="2"/>
      <c r="N162" s="2"/>
      <c r="O162" s="2"/>
      <c r="P162" s="2"/>
      <c r="Q162" s="2"/>
      <c r="R162" s="2"/>
      <c r="S162" s="2"/>
      <c r="T162" s="2"/>
      <c r="U162" s="2"/>
      <c r="V162" s="2"/>
      <c r="W162" s="2"/>
    </row>
    <row r="163">
      <c r="A163" s="2"/>
      <c r="B163" s="2"/>
      <c r="C163" s="2"/>
      <c r="D163" s="2"/>
      <c r="E163" s="2"/>
      <c r="F163" s="2"/>
      <c r="G163" s="2"/>
      <c r="H163" s="2"/>
      <c r="I163" s="2"/>
      <c r="J163" s="2"/>
      <c r="K163" s="2"/>
      <c r="L163" s="2"/>
      <c r="M163" s="2"/>
      <c r="N163" s="2"/>
      <c r="O163" s="2"/>
      <c r="P163" s="2"/>
      <c r="Q163" s="2"/>
      <c r="R163" s="2"/>
      <c r="S163" s="2"/>
      <c r="T163" s="2"/>
      <c r="U163" s="2"/>
      <c r="V163" s="2"/>
      <c r="W163" s="2"/>
    </row>
    <row r="164">
      <c r="A164" s="2"/>
      <c r="B164" s="2"/>
      <c r="C164" s="2"/>
      <c r="D164" s="2"/>
      <c r="E164" s="2"/>
      <c r="F164" s="2"/>
      <c r="G164" s="2"/>
      <c r="H164" s="2"/>
      <c r="I164" s="2"/>
      <c r="J164" s="2"/>
      <c r="K164" s="2"/>
      <c r="L164" s="2"/>
      <c r="M164" s="2"/>
      <c r="N164" s="2"/>
      <c r="O164" s="2"/>
      <c r="P164" s="2"/>
      <c r="Q164" s="2"/>
      <c r="R164" s="2"/>
      <c r="S164" s="2"/>
      <c r="T164" s="2"/>
      <c r="U164" s="2"/>
      <c r="V164" s="2"/>
      <c r="W164" s="2"/>
    </row>
    <row r="165">
      <c r="A165" s="2"/>
      <c r="B165" s="2"/>
      <c r="C165" s="2"/>
      <c r="D165" s="2"/>
      <c r="E165" s="2"/>
      <c r="F165" s="2"/>
      <c r="G165" s="2"/>
      <c r="H165" s="2"/>
      <c r="I165" s="2"/>
      <c r="J165" s="2"/>
      <c r="K165" s="2"/>
      <c r="L165" s="2"/>
      <c r="M165" s="2"/>
      <c r="N165" s="2"/>
      <c r="O165" s="2"/>
      <c r="P165" s="2"/>
      <c r="Q165" s="2"/>
      <c r="R165" s="2"/>
      <c r="S165" s="2"/>
      <c r="T165" s="2"/>
      <c r="U165" s="2"/>
      <c r="V165" s="2"/>
      <c r="W165" s="2"/>
    </row>
    <row r="166">
      <c r="A166" s="2"/>
      <c r="B166" s="2"/>
      <c r="C166" s="2"/>
      <c r="D166" s="2"/>
      <c r="E166" s="2"/>
      <c r="F166" s="2"/>
      <c r="G166" s="2"/>
      <c r="H166" s="2"/>
      <c r="I166" s="2"/>
      <c r="J166" s="2"/>
      <c r="K166" s="2"/>
      <c r="L166" s="2"/>
      <c r="M166" s="2"/>
      <c r="N166" s="2"/>
      <c r="O166" s="2"/>
      <c r="P166" s="2"/>
      <c r="Q166" s="2"/>
      <c r="R166" s="2"/>
      <c r="S166" s="2"/>
      <c r="T166" s="2"/>
      <c r="U166" s="2"/>
      <c r="V166" s="2"/>
      <c r="W166" s="2"/>
    </row>
    <row r="167">
      <c r="A167" s="2"/>
      <c r="B167" s="2"/>
      <c r="C167" s="2"/>
      <c r="D167" s="2"/>
      <c r="E167" s="2"/>
      <c r="F167" s="2"/>
      <c r="G167" s="2"/>
      <c r="H167" s="2"/>
      <c r="I167" s="2"/>
      <c r="J167" s="2"/>
      <c r="K167" s="2"/>
      <c r="L167" s="2"/>
      <c r="M167" s="2"/>
      <c r="N167" s="2"/>
      <c r="O167" s="2"/>
      <c r="P167" s="2"/>
      <c r="Q167" s="2"/>
      <c r="R167" s="2"/>
      <c r="S167" s="2"/>
      <c r="T167" s="2"/>
      <c r="U167" s="2"/>
      <c r="V167" s="2"/>
      <c r="W167" s="2"/>
    </row>
    <row r="168">
      <c r="A168" s="2"/>
      <c r="B168" s="2"/>
      <c r="C168" s="2"/>
      <c r="D168" s="2"/>
      <c r="E168" s="2"/>
      <c r="F168" s="2"/>
      <c r="G168" s="2"/>
      <c r="H168" s="2"/>
      <c r="I168" s="2"/>
      <c r="J168" s="2"/>
      <c r="K168" s="2"/>
      <c r="L168" s="2"/>
      <c r="M168" s="2"/>
      <c r="N168" s="2"/>
      <c r="O168" s="2"/>
      <c r="P168" s="2"/>
      <c r="Q168" s="2"/>
      <c r="R168" s="2"/>
      <c r="S168" s="2"/>
      <c r="T168" s="2"/>
      <c r="U168" s="2"/>
      <c r="V168" s="2"/>
      <c r="W168" s="2"/>
    </row>
    <row r="169">
      <c r="A169" s="2"/>
      <c r="B169" s="2"/>
      <c r="C169" s="2"/>
      <c r="D169" s="2"/>
      <c r="E169" s="2"/>
      <c r="F169" s="2"/>
      <c r="G169" s="2"/>
      <c r="H169" s="2"/>
      <c r="I169" s="2"/>
      <c r="J169" s="2"/>
      <c r="K169" s="2"/>
      <c r="L169" s="2"/>
      <c r="M169" s="2"/>
      <c r="N169" s="2"/>
      <c r="O169" s="2"/>
      <c r="P169" s="2"/>
      <c r="Q169" s="2"/>
      <c r="R169" s="2"/>
      <c r="S169" s="2"/>
      <c r="T169" s="2"/>
      <c r="U169" s="2"/>
      <c r="V169" s="2"/>
      <c r="W169" s="2"/>
    </row>
    <row r="170">
      <c r="A170" s="2"/>
      <c r="B170" s="2"/>
      <c r="C170" s="2"/>
      <c r="D170" s="2"/>
      <c r="E170" s="2"/>
      <c r="F170" s="2"/>
      <c r="G170" s="2"/>
      <c r="H170" s="2"/>
      <c r="I170" s="2"/>
      <c r="J170" s="2"/>
      <c r="K170" s="2"/>
      <c r="L170" s="2"/>
      <c r="M170" s="2"/>
      <c r="N170" s="2"/>
      <c r="O170" s="2"/>
      <c r="P170" s="2"/>
      <c r="Q170" s="2"/>
      <c r="R170" s="2"/>
      <c r="S170" s="2"/>
      <c r="T170" s="2"/>
      <c r="U170" s="2"/>
      <c r="V170" s="2"/>
      <c r="W170" s="2"/>
    </row>
    <row r="171">
      <c r="A171" s="2"/>
      <c r="B171" s="2"/>
      <c r="C171" s="2"/>
      <c r="D171" s="2"/>
      <c r="E171" s="2"/>
      <c r="F171" s="2"/>
      <c r="G171" s="2"/>
      <c r="H171" s="2"/>
      <c r="I171" s="2"/>
      <c r="J171" s="2"/>
      <c r="K171" s="2"/>
      <c r="L171" s="2"/>
      <c r="M171" s="2"/>
      <c r="N171" s="2"/>
      <c r="O171" s="2"/>
      <c r="P171" s="2"/>
      <c r="Q171" s="2"/>
      <c r="R171" s="2"/>
      <c r="S171" s="2"/>
      <c r="T171" s="2"/>
      <c r="U171" s="2"/>
      <c r="V171" s="2"/>
      <c r="W171" s="2"/>
    </row>
    <row r="172">
      <c r="A172" s="2"/>
      <c r="B172" s="2"/>
      <c r="C172" s="2"/>
      <c r="D172" s="2"/>
      <c r="E172" s="2"/>
      <c r="F172" s="2"/>
      <c r="G172" s="2"/>
      <c r="H172" s="2"/>
      <c r="I172" s="2"/>
      <c r="J172" s="2"/>
      <c r="K172" s="2"/>
      <c r="L172" s="2"/>
      <c r="M172" s="2"/>
      <c r="N172" s="2"/>
      <c r="O172" s="2"/>
      <c r="P172" s="2"/>
      <c r="Q172" s="2"/>
      <c r="R172" s="2"/>
      <c r="S172" s="2"/>
      <c r="T172" s="2"/>
      <c r="U172" s="2"/>
      <c r="V172" s="2"/>
      <c r="W172" s="2"/>
    </row>
    <row r="173">
      <c r="A173" s="2"/>
      <c r="B173" s="2"/>
      <c r="C173" s="2"/>
      <c r="D173" s="2"/>
      <c r="E173" s="2"/>
      <c r="F173" s="2"/>
      <c r="G173" s="2"/>
      <c r="H173" s="2"/>
      <c r="I173" s="2"/>
      <c r="J173" s="2"/>
      <c r="K173" s="2"/>
      <c r="L173" s="2"/>
      <c r="M173" s="2"/>
      <c r="N173" s="2"/>
      <c r="O173" s="2"/>
      <c r="P173" s="2"/>
      <c r="Q173" s="2"/>
      <c r="R173" s="2"/>
      <c r="S173" s="2"/>
      <c r="T173" s="2"/>
      <c r="U173" s="2"/>
      <c r="V173" s="2"/>
      <c r="W173" s="2"/>
    </row>
    <row r="174">
      <c r="A174" s="2"/>
      <c r="B174" s="2"/>
      <c r="C174" s="2"/>
      <c r="D174" s="2"/>
      <c r="E174" s="2"/>
      <c r="F174" s="2"/>
      <c r="G174" s="2"/>
      <c r="H174" s="2"/>
      <c r="I174" s="2"/>
      <c r="J174" s="2"/>
      <c r="K174" s="2"/>
      <c r="L174" s="2"/>
      <c r="M174" s="2"/>
      <c r="N174" s="2"/>
      <c r="O174" s="2"/>
      <c r="P174" s="2"/>
      <c r="Q174" s="2"/>
      <c r="R174" s="2"/>
      <c r="S174" s="2"/>
      <c r="T174" s="2"/>
      <c r="U174" s="2"/>
      <c r="V174" s="2"/>
      <c r="W174" s="2"/>
    </row>
    <row r="175">
      <c r="A175" s="2"/>
      <c r="B175" s="2"/>
      <c r="C175" s="2"/>
      <c r="D175" s="2"/>
      <c r="E175" s="2"/>
      <c r="F175" s="2"/>
      <c r="G175" s="2"/>
      <c r="H175" s="2"/>
      <c r="I175" s="2"/>
      <c r="J175" s="2"/>
      <c r="K175" s="2"/>
      <c r="L175" s="2"/>
      <c r="M175" s="2"/>
      <c r="N175" s="2"/>
      <c r="O175" s="2"/>
      <c r="P175" s="2"/>
      <c r="Q175" s="2"/>
      <c r="R175" s="2"/>
      <c r="S175" s="2"/>
      <c r="T175" s="2"/>
      <c r="U175" s="2"/>
      <c r="V175" s="2"/>
      <c r="W175" s="2"/>
    </row>
    <row r="176">
      <c r="A176" s="2"/>
      <c r="B176" s="2"/>
      <c r="C176" s="2"/>
      <c r="D176" s="2"/>
      <c r="E176" s="2"/>
      <c r="F176" s="2"/>
      <c r="G176" s="2"/>
      <c r="H176" s="2"/>
      <c r="I176" s="2"/>
      <c r="J176" s="2"/>
      <c r="K176" s="2"/>
      <c r="L176" s="2"/>
      <c r="M176" s="2"/>
      <c r="N176" s="2"/>
      <c r="O176" s="2"/>
      <c r="P176" s="2"/>
      <c r="Q176" s="2"/>
      <c r="R176" s="2"/>
      <c r="S176" s="2"/>
      <c r="T176" s="2"/>
      <c r="U176" s="2"/>
      <c r="V176" s="2"/>
      <c r="W176" s="2"/>
    </row>
    <row r="177">
      <c r="A177" s="2"/>
      <c r="B177" s="2"/>
      <c r="C177" s="2"/>
      <c r="D177" s="2"/>
      <c r="E177" s="2"/>
      <c r="F177" s="2"/>
      <c r="G177" s="2"/>
      <c r="H177" s="2"/>
      <c r="I177" s="2"/>
      <c r="J177" s="2"/>
      <c r="K177" s="2"/>
      <c r="L177" s="2"/>
      <c r="M177" s="2"/>
      <c r="N177" s="2"/>
      <c r="O177" s="2"/>
      <c r="P177" s="2"/>
      <c r="Q177" s="2"/>
      <c r="R177" s="2"/>
      <c r="S177" s="2"/>
      <c r="T177" s="2"/>
      <c r="U177" s="2"/>
      <c r="V177" s="2"/>
      <c r="W177" s="2"/>
    </row>
    <row r="178">
      <c r="A178" s="2"/>
      <c r="B178" s="2"/>
      <c r="C178" s="2"/>
      <c r="D178" s="2"/>
      <c r="E178" s="2"/>
      <c r="F178" s="2"/>
      <c r="G178" s="2"/>
      <c r="H178" s="2"/>
      <c r="I178" s="2"/>
      <c r="J178" s="2"/>
      <c r="K178" s="2"/>
      <c r="L178" s="2"/>
      <c r="M178" s="2"/>
      <c r="N178" s="2"/>
      <c r="O178" s="2"/>
      <c r="P178" s="2"/>
      <c r="Q178" s="2"/>
      <c r="R178" s="2"/>
      <c r="S178" s="2"/>
      <c r="T178" s="2"/>
      <c r="U178" s="2"/>
      <c r="V178" s="2"/>
      <c r="W178" s="2"/>
    </row>
    <row r="179">
      <c r="A179" s="2"/>
      <c r="B179" s="2"/>
      <c r="C179" s="2"/>
      <c r="D179" s="2"/>
      <c r="E179" s="2"/>
      <c r="F179" s="2"/>
      <c r="G179" s="2"/>
      <c r="H179" s="2"/>
      <c r="I179" s="2"/>
      <c r="J179" s="2"/>
      <c r="K179" s="2"/>
      <c r="L179" s="2"/>
      <c r="M179" s="2"/>
      <c r="N179" s="2"/>
      <c r="O179" s="2"/>
      <c r="P179" s="2"/>
      <c r="Q179" s="2"/>
      <c r="R179" s="2"/>
      <c r="S179" s="2"/>
      <c r="T179" s="2"/>
      <c r="U179" s="2"/>
      <c r="V179" s="2"/>
      <c r="W179" s="2"/>
    </row>
    <row r="180">
      <c r="A180" s="2"/>
      <c r="B180" s="2"/>
      <c r="C180" s="2"/>
      <c r="D180" s="2"/>
      <c r="E180" s="2"/>
      <c r="F180" s="2"/>
      <c r="G180" s="2"/>
      <c r="H180" s="2"/>
      <c r="I180" s="2"/>
      <c r="J180" s="2"/>
      <c r="K180" s="2"/>
      <c r="L180" s="2"/>
      <c r="M180" s="2"/>
      <c r="N180" s="2"/>
      <c r="O180" s="2"/>
      <c r="P180" s="2"/>
      <c r="Q180" s="2"/>
      <c r="R180" s="2"/>
      <c r="S180" s="2"/>
      <c r="T180" s="2"/>
      <c r="U180" s="2"/>
      <c r="V180" s="2"/>
      <c r="W180" s="2"/>
    </row>
    <row r="181">
      <c r="A181" s="2"/>
      <c r="B181" s="2"/>
      <c r="C181" s="2"/>
      <c r="D181" s="2"/>
      <c r="E181" s="2"/>
      <c r="F181" s="2"/>
      <c r="G181" s="2"/>
      <c r="H181" s="2"/>
      <c r="I181" s="2"/>
      <c r="J181" s="2"/>
      <c r="K181" s="2"/>
      <c r="L181" s="2"/>
      <c r="M181" s="2"/>
      <c r="N181" s="2"/>
      <c r="O181" s="2"/>
      <c r="P181" s="2"/>
      <c r="Q181" s="2"/>
      <c r="R181" s="2"/>
      <c r="S181" s="2"/>
      <c r="T181" s="2"/>
      <c r="U181" s="2"/>
      <c r="V181" s="2"/>
      <c r="W181" s="2"/>
    </row>
    <row r="182">
      <c r="A182" s="2"/>
      <c r="B182" s="2"/>
      <c r="C182" s="2"/>
      <c r="D182" s="2"/>
      <c r="E182" s="2"/>
      <c r="F182" s="2"/>
      <c r="G182" s="2"/>
      <c r="H182" s="2"/>
      <c r="I182" s="2"/>
      <c r="J182" s="2"/>
      <c r="K182" s="2"/>
      <c r="L182" s="2"/>
      <c r="M182" s="2"/>
      <c r="N182" s="2"/>
      <c r="O182" s="2"/>
      <c r="P182" s="2"/>
      <c r="Q182" s="2"/>
      <c r="R182" s="2"/>
      <c r="S182" s="2"/>
      <c r="T182" s="2"/>
      <c r="U182" s="2"/>
      <c r="V182" s="2"/>
      <c r="W182" s="2"/>
    </row>
    <row r="183">
      <c r="A183" s="2"/>
      <c r="B183" s="2"/>
      <c r="C183" s="2"/>
      <c r="D183" s="2"/>
      <c r="E183" s="2"/>
      <c r="F183" s="2"/>
      <c r="G183" s="2"/>
      <c r="H183" s="2"/>
      <c r="I183" s="2"/>
      <c r="J183" s="2"/>
      <c r="K183" s="2"/>
      <c r="L183" s="2"/>
      <c r="M183" s="2"/>
      <c r="N183" s="2"/>
      <c r="O183" s="2"/>
      <c r="P183" s="2"/>
      <c r="Q183" s="2"/>
      <c r="R183" s="2"/>
      <c r="S183" s="2"/>
      <c r="T183" s="2"/>
      <c r="U183" s="2"/>
      <c r="V183" s="2"/>
      <c r="W183" s="2"/>
    </row>
    <row r="184">
      <c r="A184" s="2"/>
      <c r="B184" s="2"/>
      <c r="C184" s="2"/>
      <c r="D184" s="2"/>
      <c r="E184" s="2"/>
      <c r="F184" s="2"/>
      <c r="G184" s="2"/>
      <c r="H184" s="2"/>
      <c r="I184" s="2"/>
      <c r="J184" s="2"/>
      <c r="K184" s="2"/>
      <c r="L184" s="2"/>
      <c r="M184" s="2"/>
      <c r="N184" s="2"/>
      <c r="O184" s="2"/>
      <c r="P184" s="2"/>
      <c r="Q184" s="2"/>
      <c r="R184" s="2"/>
      <c r="S184" s="2"/>
      <c r="T184" s="2"/>
      <c r="U184" s="2"/>
      <c r="V184" s="2"/>
      <c r="W184" s="2"/>
    </row>
    <row r="185">
      <c r="A185" s="2"/>
      <c r="B185" s="2"/>
      <c r="C185" s="2"/>
      <c r="D185" s="2"/>
      <c r="E185" s="2"/>
      <c r="F185" s="2"/>
      <c r="G185" s="2"/>
      <c r="H185" s="2"/>
      <c r="I185" s="2"/>
      <c r="J185" s="2"/>
      <c r="K185" s="2"/>
      <c r="L185" s="2"/>
      <c r="M185" s="2"/>
      <c r="N185" s="2"/>
      <c r="O185" s="2"/>
      <c r="P185" s="2"/>
      <c r="Q185" s="2"/>
      <c r="R185" s="2"/>
      <c r="S185" s="2"/>
      <c r="T185" s="2"/>
      <c r="U185" s="2"/>
      <c r="V185" s="2"/>
      <c r="W185" s="2"/>
    </row>
    <row r="186">
      <c r="A186" s="2"/>
      <c r="B186" s="2"/>
      <c r="C186" s="2"/>
      <c r="D186" s="2"/>
      <c r="E186" s="2"/>
      <c r="F186" s="2"/>
      <c r="G186" s="2"/>
      <c r="H186" s="2"/>
      <c r="I186" s="2"/>
      <c r="J186" s="2"/>
      <c r="K186" s="2"/>
      <c r="L186" s="2"/>
      <c r="M186" s="2"/>
      <c r="N186" s="2"/>
      <c r="O186" s="2"/>
      <c r="P186" s="2"/>
      <c r="Q186" s="2"/>
      <c r="R186" s="2"/>
      <c r="S186" s="2"/>
      <c r="T186" s="2"/>
      <c r="U186" s="2"/>
      <c r="V186" s="2"/>
      <c r="W186" s="2"/>
    </row>
    <row r="187">
      <c r="A187" s="2"/>
      <c r="B187" s="2"/>
      <c r="C187" s="2"/>
      <c r="D187" s="2"/>
      <c r="E187" s="2"/>
      <c r="F187" s="2"/>
      <c r="G187" s="2"/>
      <c r="H187" s="2"/>
      <c r="I187" s="2"/>
      <c r="J187" s="2"/>
      <c r="K187" s="2"/>
      <c r="L187" s="2"/>
      <c r="M187" s="2"/>
      <c r="N187" s="2"/>
      <c r="O187" s="2"/>
      <c r="P187" s="2"/>
      <c r="Q187" s="2"/>
      <c r="R187" s="2"/>
      <c r="S187" s="2"/>
      <c r="T187" s="2"/>
      <c r="U187" s="2"/>
      <c r="V187" s="2"/>
      <c r="W187" s="2"/>
    </row>
    <row r="188">
      <c r="A188" s="2"/>
      <c r="B188" s="2"/>
      <c r="C188" s="2"/>
      <c r="D188" s="2"/>
      <c r="E188" s="2"/>
      <c r="F188" s="2"/>
      <c r="G188" s="2"/>
      <c r="H188" s="2"/>
      <c r="I188" s="2"/>
      <c r="J188" s="2"/>
      <c r="K188" s="2"/>
      <c r="L188" s="2"/>
      <c r="M188" s="2"/>
      <c r="N188" s="2"/>
      <c r="O188" s="2"/>
      <c r="P188" s="2"/>
      <c r="Q188" s="2"/>
      <c r="R188" s="2"/>
      <c r="S188" s="2"/>
      <c r="T188" s="2"/>
      <c r="U188" s="2"/>
      <c r="V188" s="2"/>
      <c r="W188" s="2"/>
    </row>
    <row r="189">
      <c r="A189" s="2"/>
      <c r="B189" s="2"/>
      <c r="C189" s="2"/>
      <c r="D189" s="2"/>
      <c r="E189" s="2"/>
      <c r="F189" s="2"/>
      <c r="G189" s="2"/>
      <c r="H189" s="2"/>
      <c r="I189" s="2"/>
      <c r="J189" s="2"/>
      <c r="K189" s="2"/>
      <c r="L189" s="2"/>
      <c r="M189" s="2"/>
      <c r="N189" s="2"/>
      <c r="O189" s="2"/>
      <c r="P189" s="2"/>
      <c r="Q189" s="2"/>
      <c r="R189" s="2"/>
      <c r="S189" s="2"/>
      <c r="T189" s="2"/>
      <c r="U189" s="2"/>
      <c r="V189" s="2"/>
      <c r="W189" s="2"/>
    </row>
    <row r="190">
      <c r="A190" s="2"/>
      <c r="B190" s="2"/>
      <c r="C190" s="2"/>
      <c r="D190" s="2"/>
      <c r="E190" s="2"/>
      <c r="F190" s="2"/>
      <c r="G190" s="2"/>
      <c r="H190" s="2"/>
      <c r="I190" s="2"/>
      <c r="J190" s="2"/>
      <c r="K190" s="2"/>
      <c r="L190" s="2"/>
      <c r="M190" s="2"/>
      <c r="N190" s="2"/>
      <c r="O190" s="2"/>
      <c r="P190" s="2"/>
      <c r="Q190" s="2"/>
      <c r="R190" s="2"/>
      <c r="S190" s="2"/>
      <c r="T190" s="2"/>
      <c r="U190" s="2"/>
      <c r="V190" s="2"/>
      <c r="W190" s="2"/>
    </row>
    <row r="191">
      <c r="A191" s="2"/>
      <c r="B191" s="2"/>
      <c r="C191" s="2"/>
      <c r="D191" s="2"/>
      <c r="E191" s="2"/>
      <c r="F191" s="2"/>
      <c r="G191" s="2"/>
      <c r="H191" s="2"/>
      <c r="I191" s="2"/>
      <c r="J191" s="2"/>
      <c r="K191" s="2"/>
      <c r="L191" s="2"/>
      <c r="M191" s="2"/>
      <c r="N191" s="2"/>
      <c r="O191" s="2"/>
      <c r="P191" s="2"/>
      <c r="Q191" s="2"/>
      <c r="R191" s="2"/>
      <c r="S191" s="2"/>
      <c r="T191" s="2"/>
      <c r="U191" s="2"/>
      <c r="V191" s="2"/>
      <c r="W191" s="2"/>
    </row>
    <row r="192">
      <c r="A192" s="2"/>
      <c r="B192" s="2"/>
      <c r="C192" s="2"/>
      <c r="D192" s="2"/>
      <c r="E192" s="2"/>
      <c r="F192" s="2"/>
      <c r="G192" s="2"/>
      <c r="H192" s="2"/>
      <c r="I192" s="2"/>
      <c r="J192" s="2"/>
      <c r="K192" s="2"/>
      <c r="L192" s="2"/>
      <c r="M192" s="2"/>
      <c r="N192" s="2"/>
      <c r="O192" s="2"/>
      <c r="P192" s="2"/>
      <c r="Q192" s="2"/>
      <c r="R192" s="2"/>
      <c r="S192" s="2"/>
      <c r="T192" s="2"/>
      <c r="U192" s="2"/>
      <c r="V192" s="2"/>
      <c r="W192" s="2"/>
    </row>
    <row r="193">
      <c r="A193" s="2"/>
      <c r="B193" s="2"/>
      <c r="C193" s="2"/>
      <c r="D193" s="2"/>
      <c r="E193" s="2"/>
      <c r="F193" s="2"/>
      <c r="G193" s="2"/>
      <c r="H193" s="2"/>
      <c r="I193" s="2"/>
      <c r="J193" s="2"/>
      <c r="K193" s="2"/>
      <c r="L193" s="2"/>
      <c r="M193" s="2"/>
      <c r="N193" s="2"/>
      <c r="O193" s="2"/>
      <c r="P193" s="2"/>
      <c r="Q193" s="2"/>
      <c r="R193" s="2"/>
      <c r="S193" s="2"/>
      <c r="T193" s="2"/>
      <c r="U193" s="2"/>
      <c r="V193" s="2"/>
      <c r="W193" s="2"/>
    </row>
    <row r="194">
      <c r="A194" s="2"/>
      <c r="B194" s="2"/>
      <c r="C194" s="2"/>
      <c r="D194" s="2"/>
      <c r="E194" s="2"/>
      <c r="F194" s="2"/>
      <c r="G194" s="2"/>
      <c r="H194" s="2"/>
      <c r="I194" s="2"/>
      <c r="J194" s="2"/>
      <c r="K194" s="2"/>
      <c r="L194" s="2"/>
      <c r="M194" s="2"/>
      <c r="N194" s="2"/>
      <c r="O194" s="2"/>
      <c r="P194" s="2"/>
      <c r="Q194" s="2"/>
      <c r="R194" s="2"/>
      <c r="S194" s="2"/>
      <c r="T194" s="2"/>
      <c r="U194" s="2"/>
      <c r="V194" s="2"/>
      <c r="W194" s="2"/>
    </row>
    <row r="195">
      <c r="A195" s="2"/>
      <c r="B195" s="2"/>
      <c r="C195" s="2"/>
      <c r="D195" s="2"/>
      <c r="E195" s="2"/>
      <c r="F195" s="2"/>
      <c r="G195" s="2"/>
      <c r="H195" s="2"/>
      <c r="I195" s="2"/>
      <c r="J195" s="2"/>
      <c r="K195" s="2"/>
      <c r="L195" s="2"/>
      <c r="M195" s="2"/>
      <c r="N195" s="2"/>
      <c r="O195" s="2"/>
      <c r="P195" s="2"/>
      <c r="Q195" s="2"/>
      <c r="R195" s="2"/>
      <c r="S195" s="2"/>
      <c r="T195" s="2"/>
      <c r="U195" s="2"/>
      <c r="V195" s="2"/>
      <c r="W195" s="2"/>
    </row>
    <row r="196">
      <c r="A196" s="2"/>
      <c r="B196" s="2"/>
      <c r="C196" s="2"/>
      <c r="D196" s="2"/>
      <c r="E196" s="2"/>
      <c r="F196" s="2"/>
      <c r="G196" s="2"/>
      <c r="H196" s="2"/>
      <c r="I196" s="2"/>
      <c r="J196" s="2"/>
      <c r="K196" s="2"/>
      <c r="L196" s="2"/>
      <c r="M196" s="2"/>
      <c r="N196" s="2"/>
      <c r="O196" s="2"/>
      <c r="P196" s="2"/>
      <c r="Q196" s="2"/>
      <c r="R196" s="2"/>
      <c r="S196" s="2"/>
      <c r="T196" s="2"/>
      <c r="U196" s="2"/>
      <c r="V196" s="2"/>
      <c r="W196" s="2"/>
    </row>
    <row r="197">
      <c r="A197" s="2"/>
      <c r="B197" s="2"/>
      <c r="C197" s="2"/>
      <c r="D197" s="2"/>
      <c r="E197" s="2"/>
      <c r="F197" s="2"/>
      <c r="G197" s="2"/>
      <c r="H197" s="2"/>
      <c r="I197" s="2"/>
      <c r="J197" s="2"/>
      <c r="K197" s="2"/>
      <c r="L197" s="2"/>
      <c r="M197" s="2"/>
      <c r="N197" s="2"/>
      <c r="O197" s="2"/>
      <c r="P197" s="2"/>
      <c r="Q197" s="2"/>
      <c r="R197" s="2"/>
      <c r="S197" s="2"/>
      <c r="T197" s="2"/>
      <c r="U197" s="2"/>
      <c r="V197" s="2"/>
      <c r="W197" s="2"/>
    </row>
    <row r="198">
      <c r="A198" s="2"/>
      <c r="B198" s="2"/>
      <c r="C198" s="2"/>
      <c r="D198" s="2"/>
      <c r="E198" s="2"/>
      <c r="F198" s="2"/>
      <c r="G198" s="2"/>
      <c r="H198" s="2"/>
      <c r="I198" s="2"/>
      <c r="J198" s="2"/>
      <c r="K198" s="2"/>
      <c r="L198" s="2"/>
      <c r="M198" s="2"/>
      <c r="N198" s="2"/>
      <c r="O198" s="2"/>
      <c r="P198" s="2"/>
      <c r="Q198" s="2"/>
      <c r="R198" s="2"/>
      <c r="S198" s="2"/>
      <c r="T198" s="2"/>
      <c r="U198" s="2"/>
      <c r="V198" s="2"/>
      <c r="W198" s="2"/>
    </row>
    <row r="199">
      <c r="A199" s="2"/>
      <c r="B199" s="2"/>
      <c r="C199" s="2"/>
      <c r="D199" s="2"/>
      <c r="E199" s="2"/>
      <c r="F199" s="2"/>
      <c r="G199" s="2"/>
      <c r="H199" s="2"/>
      <c r="I199" s="2"/>
      <c r="J199" s="2"/>
      <c r="K199" s="2"/>
      <c r="L199" s="2"/>
      <c r="M199" s="2"/>
      <c r="N199" s="2"/>
      <c r="O199" s="2"/>
      <c r="P199" s="2"/>
      <c r="Q199" s="2"/>
      <c r="R199" s="2"/>
      <c r="S199" s="2"/>
      <c r="T199" s="2"/>
      <c r="U199" s="2"/>
      <c r="V199" s="2"/>
      <c r="W199" s="2"/>
    </row>
    <row r="200">
      <c r="A200" s="2"/>
      <c r="B200" s="2"/>
      <c r="C200" s="2"/>
      <c r="D200" s="2"/>
      <c r="E200" s="2"/>
      <c r="F200" s="2"/>
      <c r="G200" s="2"/>
      <c r="H200" s="2"/>
      <c r="I200" s="2"/>
      <c r="J200" s="2"/>
      <c r="K200" s="2"/>
      <c r="L200" s="2"/>
      <c r="M200" s="2"/>
      <c r="N200" s="2"/>
      <c r="O200" s="2"/>
      <c r="P200" s="2"/>
      <c r="Q200" s="2"/>
      <c r="R200" s="2"/>
      <c r="S200" s="2"/>
      <c r="T200" s="2"/>
      <c r="U200" s="2"/>
      <c r="V200" s="2"/>
      <c r="W200" s="2"/>
    </row>
    <row r="201">
      <c r="A201" s="2"/>
      <c r="B201" s="2"/>
      <c r="C201" s="2"/>
      <c r="D201" s="2"/>
      <c r="E201" s="2"/>
      <c r="F201" s="2"/>
      <c r="G201" s="2"/>
      <c r="H201" s="2"/>
      <c r="I201" s="2"/>
      <c r="J201" s="2"/>
      <c r="K201" s="2"/>
      <c r="L201" s="2"/>
      <c r="M201" s="2"/>
      <c r="N201" s="2"/>
      <c r="O201" s="2"/>
      <c r="P201" s="2"/>
      <c r="Q201" s="2"/>
      <c r="R201" s="2"/>
      <c r="S201" s="2"/>
      <c r="T201" s="2"/>
      <c r="U201" s="2"/>
      <c r="V201" s="2"/>
      <c r="W201" s="2"/>
    </row>
    <row r="202">
      <c r="A202" s="2"/>
      <c r="B202" s="2"/>
      <c r="C202" s="2"/>
      <c r="D202" s="2"/>
      <c r="E202" s="2"/>
      <c r="F202" s="2"/>
      <c r="G202" s="2"/>
      <c r="H202" s="2"/>
      <c r="I202" s="2"/>
      <c r="J202" s="2"/>
      <c r="K202" s="2"/>
      <c r="L202" s="2"/>
      <c r="M202" s="2"/>
      <c r="N202" s="2"/>
      <c r="O202" s="2"/>
      <c r="P202" s="2"/>
      <c r="Q202" s="2"/>
      <c r="R202" s="2"/>
      <c r="S202" s="2"/>
      <c r="T202" s="2"/>
      <c r="U202" s="2"/>
      <c r="V202" s="2"/>
      <c r="W202" s="2"/>
    </row>
    <row r="203">
      <c r="A203" s="2"/>
      <c r="B203" s="2"/>
      <c r="C203" s="2"/>
      <c r="D203" s="2"/>
      <c r="E203" s="2"/>
      <c r="F203" s="2"/>
      <c r="G203" s="2"/>
      <c r="H203" s="2"/>
      <c r="I203" s="2"/>
      <c r="J203" s="2"/>
      <c r="K203" s="2"/>
      <c r="L203" s="2"/>
      <c r="M203" s="2"/>
      <c r="N203" s="2"/>
      <c r="O203" s="2"/>
      <c r="P203" s="2"/>
      <c r="Q203" s="2"/>
      <c r="R203" s="2"/>
      <c r="S203" s="2"/>
      <c r="T203" s="2"/>
      <c r="U203" s="2"/>
      <c r="V203" s="2"/>
      <c r="W203" s="2"/>
    </row>
    <row r="204">
      <c r="A204" s="2"/>
      <c r="B204" s="2"/>
      <c r="C204" s="2"/>
      <c r="D204" s="2"/>
      <c r="E204" s="2"/>
      <c r="F204" s="2"/>
      <c r="G204" s="2"/>
      <c r="H204" s="2"/>
      <c r="I204" s="2"/>
      <c r="J204" s="2"/>
      <c r="K204" s="2"/>
      <c r="L204" s="2"/>
      <c r="M204" s="2"/>
      <c r="N204" s="2"/>
      <c r="O204" s="2"/>
      <c r="P204" s="2"/>
      <c r="Q204" s="2"/>
      <c r="R204" s="2"/>
      <c r="S204" s="2"/>
      <c r="T204" s="2"/>
      <c r="U204" s="2"/>
      <c r="V204" s="2"/>
      <c r="W204" s="2"/>
    </row>
    <row r="205">
      <c r="A205" s="2"/>
      <c r="B205" s="2"/>
      <c r="C205" s="2"/>
      <c r="D205" s="2"/>
      <c r="E205" s="2"/>
      <c r="F205" s="2"/>
      <c r="G205" s="2"/>
      <c r="H205" s="2"/>
      <c r="I205" s="2"/>
      <c r="J205" s="2"/>
      <c r="K205" s="2"/>
      <c r="L205" s="2"/>
      <c r="M205" s="2"/>
      <c r="N205" s="2"/>
      <c r="O205" s="2"/>
      <c r="P205" s="2"/>
      <c r="Q205" s="2"/>
      <c r="R205" s="2"/>
      <c r="S205" s="2"/>
      <c r="T205" s="2"/>
      <c r="U205" s="2"/>
      <c r="V205" s="2"/>
      <c r="W205" s="2"/>
    </row>
    <row r="206">
      <c r="A206" s="2"/>
      <c r="B206" s="2"/>
      <c r="C206" s="2"/>
      <c r="D206" s="2"/>
      <c r="E206" s="2"/>
      <c r="F206" s="2"/>
      <c r="G206" s="2"/>
      <c r="H206" s="2"/>
      <c r="I206" s="2"/>
      <c r="J206" s="2"/>
      <c r="K206" s="2"/>
      <c r="L206" s="2"/>
      <c r="M206" s="2"/>
      <c r="N206" s="2"/>
      <c r="O206" s="2"/>
      <c r="P206" s="2"/>
      <c r="Q206" s="2"/>
      <c r="R206" s="2"/>
      <c r="S206" s="2"/>
      <c r="T206" s="2"/>
      <c r="U206" s="2"/>
      <c r="V206" s="2"/>
      <c r="W206" s="2"/>
    </row>
    <row r="207">
      <c r="A207" s="2"/>
      <c r="B207" s="2"/>
      <c r="C207" s="2"/>
      <c r="D207" s="2"/>
      <c r="E207" s="2"/>
      <c r="F207" s="2"/>
      <c r="G207" s="2"/>
      <c r="H207" s="2"/>
      <c r="I207" s="2"/>
      <c r="J207" s="2"/>
      <c r="K207" s="2"/>
      <c r="L207" s="2"/>
      <c r="M207" s="2"/>
      <c r="N207" s="2"/>
      <c r="O207" s="2"/>
      <c r="P207" s="2"/>
      <c r="Q207" s="2"/>
      <c r="R207" s="2"/>
      <c r="S207" s="2"/>
      <c r="T207" s="2"/>
      <c r="U207" s="2"/>
      <c r="V207" s="2"/>
      <c r="W207" s="2"/>
    </row>
    <row r="208">
      <c r="A208" s="2"/>
      <c r="B208" s="2"/>
      <c r="C208" s="2"/>
      <c r="D208" s="2"/>
      <c r="E208" s="2"/>
      <c r="F208" s="2"/>
      <c r="G208" s="2"/>
      <c r="H208" s="2"/>
      <c r="I208" s="2"/>
      <c r="J208" s="2"/>
      <c r="K208" s="2"/>
      <c r="L208" s="2"/>
      <c r="M208" s="2"/>
      <c r="N208" s="2"/>
      <c r="O208" s="2"/>
      <c r="P208" s="2"/>
      <c r="Q208" s="2"/>
      <c r="R208" s="2"/>
      <c r="S208" s="2"/>
      <c r="T208" s="2"/>
      <c r="U208" s="2"/>
      <c r="V208" s="2"/>
      <c r="W208" s="2"/>
    </row>
    <row r="209">
      <c r="A209" s="2"/>
      <c r="B209" s="2"/>
      <c r="C209" s="2"/>
      <c r="D209" s="2"/>
      <c r="E209" s="2"/>
      <c r="F209" s="2"/>
      <c r="G209" s="2"/>
      <c r="H209" s="2"/>
      <c r="I209" s="2"/>
      <c r="J209" s="2"/>
      <c r="K209" s="2"/>
      <c r="L209" s="2"/>
      <c r="M209" s="2"/>
      <c r="N209" s="2"/>
      <c r="O209" s="2"/>
      <c r="P209" s="2"/>
      <c r="Q209" s="2"/>
      <c r="R209" s="2"/>
      <c r="S209" s="2"/>
      <c r="T209" s="2"/>
      <c r="U209" s="2"/>
      <c r="V209" s="2"/>
      <c r="W209" s="2"/>
    </row>
    <row r="210">
      <c r="A210" s="2"/>
      <c r="B210" s="2"/>
      <c r="C210" s="2"/>
      <c r="D210" s="2"/>
      <c r="E210" s="2"/>
      <c r="F210" s="2"/>
      <c r="G210" s="2"/>
      <c r="H210" s="2"/>
      <c r="I210" s="2"/>
      <c r="J210" s="2"/>
      <c r="K210" s="2"/>
      <c r="L210" s="2"/>
      <c r="M210" s="2"/>
      <c r="N210" s="2"/>
      <c r="O210" s="2"/>
      <c r="P210" s="2"/>
      <c r="Q210" s="2"/>
      <c r="R210" s="2"/>
      <c r="S210" s="2"/>
      <c r="T210" s="2"/>
      <c r="U210" s="2"/>
      <c r="V210" s="2"/>
      <c r="W210" s="2"/>
    </row>
    <row r="211">
      <c r="A211" s="2"/>
      <c r="B211" s="2"/>
      <c r="C211" s="2"/>
      <c r="D211" s="2"/>
      <c r="E211" s="2"/>
      <c r="F211" s="2"/>
      <c r="G211" s="2"/>
      <c r="H211" s="2"/>
      <c r="I211" s="2"/>
      <c r="J211" s="2"/>
      <c r="K211" s="2"/>
      <c r="L211" s="2"/>
      <c r="M211" s="2"/>
      <c r="N211" s="2"/>
      <c r="O211" s="2"/>
      <c r="P211" s="2"/>
      <c r="Q211" s="2"/>
      <c r="R211" s="2"/>
      <c r="S211" s="2"/>
      <c r="T211" s="2"/>
      <c r="U211" s="2"/>
      <c r="V211" s="2"/>
      <c r="W211" s="2"/>
    </row>
    <row r="212">
      <c r="A212" s="2"/>
      <c r="B212" s="2"/>
      <c r="C212" s="2"/>
      <c r="D212" s="2"/>
      <c r="E212" s="2"/>
      <c r="F212" s="2"/>
      <c r="G212" s="2"/>
      <c r="H212" s="2"/>
      <c r="I212" s="2"/>
      <c r="J212" s="2"/>
      <c r="K212" s="2"/>
      <c r="L212" s="2"/>
      <c r="M212" s="2"/>
      <c r="N212" s="2"/>
      <c r="O212" s="2"/>
      <c r="P212" s="2"/>
      <c r="Q212" s="2"/>
      <c r="R212" s="2"/>
      <c r="S212" s="2"/>
      <c r="T212" s="2"/>
      <c r="U212" s="2"/>
      <c r="V212" s="2"/>
      <c r="W212" s="2"/>
    </row>
    <row r="213">
      <c r="A213" s="2"/>
      <c r="B213" s="2"/>
      <c r="C213" s="2"/>
      <c r="D213" s="2"/>
      <c r="E213" s="2"/>
      <c r="F213" s="2"/>
      <c r="G213" s="2"/>
      <c r="H213" s="2"/>
      <c r="I213" s="2"/>
      <c r="J213" s="2"/>
      <c r="K213" s="2"/>
      <c r="L213" s="2"/>
      <c r="M213" s="2"/>
      <c r="N213" s="2"/>
      <c r="O213" s="2"/>
      <c r="P213" s="2"/>
      <c r="Q213" s="2"/>
      <c r="R213" s="2"/>
      <c r="S213" s="2"/>
      <c r="T213" s="2"/>
      <c r="U213" s="2"/>
      <c r="V213" s="2"/>
      <c r="W213" s="2"/>
    </row>
    <row r="214">
      <c r="A214" s="2"/>
      <c r="B214" s="2"/>
      <c r="C214" s="2"/>
      <c r="D214" s="2"/>
      <c r="E214" s="2"/>
      <c r="F214" s="2"/>
      <c r="G214" s="2"/>
      <c r="H214" s="2"/>
      <c r="I214" s="2"/>
      <c r="J214" s="2"/>
      <c r="K214" s="2"/>
      <c r="L214" s="2"/>
      <c r="M214" s="2"/>
      <c r="N214" s="2"/>
      <c r="O214" s="2"/>
      <c r="P214" s="2"/>
      <c r="Q214" s="2"/>
      <c r="R214" s="2"/>
      <c r="S214" s="2"/>
      <c r="T214" s="2"/>
      <c r="U214" s="2"/>
      <c r="V214" s="2"/>
      <c r="W214" s="2"/>
    </row>
    <row r="215">
      <c r="A215" s="2"/>
      <c r="B215" s="2"/>
      <c r="C215" s="2"/>
      <c r="D215" s="2"/>
      <c r="E215" s="2"/>
      <c r="F215" s="2"/>
      <c r="G215" s="2"/>
      <c r="H215" s="2"/>
      <c r="I215" s="2"/>
      <c r="J215" s="2"/>
      <c r="K215" s="2"/>
      <c r="L215" s="2"/>
      <c r="M215" s="2"/>
      <c r="N215" s="2"/>
      <c r="O215" s="2"/>
      <c r="P215" s="2"/>
      <c r="Q215" s="2"/>
      <c r="R215" s="2"/>
      <c r="S215" s="2"/>
      <c r="T215" s="2"/>
      <c r="U215" s="2"/>
      <c r="V215" s="2"/>
      <c r="W215" s="2"/>
    </row>
    <row r="216">
      <c r="A216" s="2"/>
      <c r="B216" s="2"/>
      <c r="C216" s="2"/>
      <c r="D216" s="2"/>
      <c r="E216" s="2"/>
      <c r="F216" s="2"/>
      <c r="G216" s="2"/>
      <c r="H216" s="2"/>
      <c r="I216" s="2"/>
      <c r="J216" s="2"/>
      <c r="K216" s="2"/>
      <c r="L216" s="2"/>
      <c r="M216" s="2"/>
      <c r="N216" s="2"/>
      <c r="O216" s="2"/>
      <c r="P216" s="2"/>
      <c r="Q216" s="2"/>
      <c r="R216" s="2"/>
      <c r="S216" s="2"/>
      <c r="T216" s="2"/>
      <c r="U216" s="2"/>
      <c r="V216" s="2"/>
      <c r="W216" s="2"/>
    </row>
    <row r="217">
      <c r="A217" s="2"/>
      <c r="B217" s="2"/>
      <c r="C217" s="2"/>
      <c r="D217" s="2"/>
      <c r="E217" s="2"/>
      <c r="F217" s="2"/>
      <c r="G217" s="2"/>
      <c r="H217" s="2"/>
      <c r="I217" s="2"/>
      <c r="J217" s="2"/>
      <c r="K217" s="2"/>
      <c r="L217" s="2"/>
      <c r="M217" s="2"/>
      <c r="N217" s="2"/>
      <c r="O217" s="2"/>
      <c r="P217" s="2"/>
      <c r="Q217" s="2"/>
      <c r="R217" s="2"/>
      <c r="S217" s="2"/>
      <c r="T217" s="2"/>
      <c r="U217" s="2"/>
      <c r="V217" s="2"/>
      <c r="W217" s="2"/>
    </row>
    <row r="218">
      <c r="A218" s="2"/>
      <c r="B218" s="2"/>
      <c r="C218" s="2"/>
      <c r="D218" s="2"/>
      <c r="E218" s="2"/>
      <c r="F218" s="2"/>
      <c r="G218" s="2"/>
      <c r="H218" s="2"/>
      <c r="I218" s="2"/>
      <c r="J218" s="2"/>
      <c r="K218" s="2"/>
      <c r="L218" s="2"/>
      <c r="M218" s="2"/>
      <c r="N218" s="2"/>
      <c r="O218" s="2"/>
      <c r="P218" s="2"/>
      <c r="Q218" s="2"/>
      <c r="R218" s="2"/>
      <c r="S218" s="2"/>
      <c r="T218" s="2"/>
      <c r="U218" s="2"/>
      <c r="V218" s="2"/>
      <c r="W218" s="2"/>
    </row>
    <row r="219">
      <c r="A219" s="2"/>
      <c r="B219" s="2"/>
      <c r="C219" s="2"/>
      <c r="D219" s="2"/>
      <c r="E219" s="2"/>
      <c r="F219" s="2"/>
      <c r="G219" s="2"/>
      <c r="H219" s="2"/>
      <c r="I219" s="2"/>
      <c r="J219" s="2"/>
      <c r="K219" s="2"/>
      <c r="L219" s="2"/>
      <c r="M219" s="2"/>
      <c r="N219" s="2"/>
      <c r="O219" s="2"/>
      <c r="P219" s="2"/>
      <c r="Q219" s="2"/>
      <c r="R219" s="2"/>
      <c r="S219" s="2"/>
      <c r="T219" s="2"/>
      <c r="U219" s="2"/>
      <c r="V219" s="2"/>
      <c r="W219" s="2"/>
    </row>
    <row r="220">
      <c r="A220" s="2"/>
      <c r="B220" s="2"/>
      <c r="C220" s="2"/>
      <c r="D220" s="2"/>
      <c r="E220" s="2"/>
      <c r="F220" s="2"/>
      <c r="G220" s="2"/>
      <c r="H220" s="2"/>
      <c r="I220" s="2"/>
      <c r="J220" s="2"/>
      <c r="K220" s="2"/>
      <c r="L220" s="2"/>
      <c r="M220" s="2"/>
      <c r="N220" s="2"/>
      <c r="O220" s="2"/>
      <c r="P220" s="2"/>
      <c r="Q220" s="2"/>
      <c r="R220" s="2"/>
      <c r="S220" s="2"/>
      <c r="T220" s="2"/>
      <c r="U220" s="2"/>
      <c r="V220" s="2"/>
      <c r="W220" s="2"/>
    </row>
    <row r="221">
      <c r="A221" s="2"/>
      <c r="B221" s="2"/>
      <c r="C221" s="2"/>
      <c r="D221" s="2"/>
      <c r="E221" s="2"/>
      <c r="F221" s="2"/>
      <c r="G221" s="2"/>
      <c r="H221" s="2"/>
      <c r="I221" s="2"/>
      <c r="J221" s="2"/>
      <c r="K221" s="2"/>
      <c r="L221" s="2"/>
      <c r="M221" s="2"/>
      <c r="N221" s="2"/>
      <c r="O221" s="2"/>
      <c r="P221" s="2"/>
      <c r="Q221" s="2"/>
      <c r="R221" s="2"/>
      <c r="S221" s="2"/>
      <c r="T221" s="2"/>
      <c r="U221" s="2"/>
      <c r="V221" s="2"/>
      <c r="W221" s="2"/>
    </row>
    <row r="222">
      <c r="A222" s="2"/>
      <c r="B222" s="2"/>
      <c r="C222" s="2"/>
      <c r="D222" s="2"/>
      <c r="E222" s="2"/>
      <c r="F222" s="2"/>
      <c r="G222" s="2"/>
      <c r="H222" s="2"/>
      <c r="I222" s="2"/>
      <c r="J222" s="2"/>
      <c r="K222" s="2"/>
      <c r="L222" s="2"/>
      <c r="M222" s="2"/>
      <c r="N222" s="2"/>
      <c r="O222" s="2"/>
      <c r="P222" s="2"/>
      <c r="Q222" s="2"/>
      <c r="R222" s="2"/>
      <c r="S222" s="2"/>
      <c r="T222" s="2"/>
      <c r="U222" s="2"/>
      <c r="V222" s="2"/>
      <c r="W222" s="2"/>
    </row>
    <row r="223">
      <c r="A223" s="2"/>
      <c r="B223" s="2"/>
      <c r="C223" s="2"/>
      <c r="D223" s="2"/>
      <c r="E223" s="2"/>
      <c r="F223" s="2"/>
      <c r="G223" s="2"/>
      <c r="H223" s="2"/>
      <c r="I223" s="2"/>
      <c r="J223" s="2"/>
      <c r="K223" s="2"/>
      <c r="L223" s="2"/>
      <c r="M223" s="2"/>
      <c r="N223" s="2"/>
      <c r="O223" s="2"/>
      <c r="P223" s="2"/>
      <c r="Q223" s="2"/>
      <c r="R223" s="2"/>
      <c r="S223" s="2"/>
      <c r="T223" s="2"/>
      <c r="U223" s="2"/>
      <c r="V223" s="2"/>
      <c r="W223" s="2"/>
    </row>
    <row r="224">
      <c r="A224" s="2"/>
      <c r="B224" s="2"/>
      <c r="C224" s="2"/>
      <c r="D224" s="2"/>
      <c r="E224" s="2"/>
      <c r="F224" s="2"/>
      <c r="G224" s="2"/>
      <c r="H224" s="2"/>
      <c r="I224" s="2"/>
      <c r="J224" s="2"/>
      <c r="K224" s="2"/>
      <c r="L224" s="2"/>
      <c r="M224" s="2"/>
      <c r="N224" s="2"/>
      <c r="O224" s="2"/>
      <c r="P224" s="2"/>
      <c r="Q224" s="2"/>
      <c r="R224" s="2"/>
      <c r="S224" s="2"/>
      <c r="T224" s="2"/>
      <c r="U224" s="2"/>
      <c r="V224" s="2"/>
      <c r="W224" s="2"/>
    </row>
    <row r="225">
      <c r="A225" s="2"/>
      <c r="B225" s="2"/>
      <c r="C225" s="2"/>
      <c r="D225" s="2"/>
      <c r="E225" s="2"/>
      <c r="F225" s="2"/>
      <c r="G225" s="2"/>
      <c r="H225" s="2"/>
      <c r="I225" s="2"/>
      <c r="J225" s="2"/>
      <c r="K225" s="2"/>
      <c r="L225" s="2"/>
      <c r="M225" s="2"/>
      <c r="N225" s="2"/>
      <c r="O225" s="2"/>
      <c r="P225" s="2"/>
      <c r="Q225" s="2"/>
      <c r="R225" s="2"/>
      <c r="S225" s="2"/>
      <c r="T225" s="2"/>
      <c r="U225" s="2"/>
      <c r="V225" s="2"/>
      <c r="W225" s="2"/>
    </row>
    <row r="226">
      <c r="A226" s="2"/>
      <c r="B226" s="2"/>
      <c r="C226" s="2"/>
      <c r="D226" s="2"/>
      <c r="E226" s="2"/>
      <c r="F226" s="2"/>
      <c r="G226" s="2"/>
      <c r="H226" s="2"/>
      <c r="I226" s="2"/>
      <c r="J226" s="2"/>
      <c r="K226" s="2"/>
      <c r="L226" s="2"/>
      <c r="M226" s="2"/>
      <c r="N226" s="2"/>
      <c r="O226" s="2"/>
      <c r="P226" s="2"/>
      <c r="Q226" s="2"/>
      <c r="R226" s="2"/>
      <c r="S226" s="2"/>
      <c r="T226" s="2"/>
      <c r="U226" s="2"/>
      <c r="V226" s="2"/>
      <c r="W226" s="2"/>
    </row>
    <row r="227">
      <c r="A227" s="2"/>
      <c r="B227" s="2"/>
      <c r="C227" s="2"/>
      <c r="D227" s="2"/>
      <c r="E227" s="2"/>
      <c r="F227" s="2"/>
      <c r="G227" s="2"/>
      <c r="H227" s="2"/>
      <c r="I227" s="2"/>
      <c r="J227" s="2"/>
      <c r="K227" s="2"/>
      <c r="L227" s="2"/>
      <c r="M227" s="2"/>
      <c r="N227" s="2"/>
      <c r="O227" s="2"/>
      <c r="P227" s="2"/>
      <c r="Q227" s="2"/>
      <c r="R227" s="2"/>
      <c r="S227" s="2"/>
      <c r="T227" s="2"/>
      <c r="U227" s="2"/>
      <c r="V227" s="2"/>
      <c r="W227" s="2"/>
    </row>
    <row r="228">
      <c r="A228" s="2"/>
      <c r="B228" s="2"/>
      <c r="C228" s="2"/>
      <c r="D228" s="2"/>
      <c r="E228" s="2"/>
      <c r="F228" s="2"/>
      <c r="G228" s="2"/>
      <c r="H228" s="2"/>
      <c r="I228" s="2"/>
      <c r="J228" s="2"/>
      <c r="K228" s="2"/>
      <c r="L228" s="2"/>
      <c r="M228" s="2"/>
      <c r="N228" s="2"/>
      <c r="O228" s="2"/>
      <c r="P228" s="2"/>
      <c r="Q228" s="2"/>
      <c r="R228" s="2"/>
      <c r="S228" s="2"/>
      <c r="T228" s="2"/>
      <c r="U228" s="2"/>
      <c r="V228" s="2"/>
      <c r="W228" s="2"/>
    </row>
    <row r="229">
      <c r="A229" s="2"/>
      <c r="B229" s="2"/>
      <c r="C229" s="2"/>
      <c r="D229" s="2"/>
      <c r="E229" s="2"/>
      <c r="F229" s="2"/>
      <c r="G229" s="2"/>
      <c r="H229" s="2"/>
      <c r="I229" s="2"/>
      <c r="J229" s="2"/>
      <c r="K229" s="2"/>
      <c r="L229" s="2"/>
      <c r="M229" s="2"/>
      <c r="N229" s="2"/>
      <c r="O229" s="2"/>
      <c r="P229" s="2"/>
      <c r="Q229" s="2"/>
      <c r="R229" s="2"/>
      <c r="S229" s="2"/>
      <c r="T229" s="2"/>
      <c r="U229" s="2"/>
      <c r="V229" s="2"/>
      <c r="W229" s="2"/>
    </row>
    <row r="230">
      <c r="A230" s="2"/>
      <c r="B230" s="2"/>
      <c r="C230" s="2"/>
      <c r="D230" s="2"/>
      <c r="E230" s="2"/>
      <c r="F230" s="2"/>
      <c r="G230" s="2"/>
      <c r="H230" s="2"/>
      <c r="I230" s="2"/>
      <c r="J230" s="2"/>
      <c r="K230" s="2"/>
      <c r="L230" s="2"/>
      <c r="M230" s="2"/>
      <c r="N230" s="2"/>
      <c r="O230" s="2"/>
      <c r="P230" s="2"/>
      <c r="Q230" s="2"/>
      <c r="R230" s="2"/>
      <c r="S230" s="2"/>
      <c r="T230" s="2"/>
      <c r="U230" s="2"/>
      <c r="V230" s="2"/>
      <c r="W230" s="2"/>
    </row>
    <row r="231">
      <c r="A231" s="2"/>
      <c r="B231" s="2"/>
      <c r="C231" s="2"/>
      <c r="D231" s="2"/>
      <c r="E231" s="2"/>
      <c r="F231" s="2"/>
      <c r="G231" s="2"/>
      <c r="H231" s="2"/>
      <c r="I231" s="2"/>
      <c r="J231" s="2"/>
      <c r="K231" s="2"/>
      <c r="L231" s="2"/>
      <c r="M231" s="2"/>
      <c r="N231" s="2"/>
      <c r="O231" s="2"/>
      <c r="P231" s="2"/>
      <c r="Q231" s="2"/>
      <c r="R231" s="2"/>
      <c r="S231" s="2"/>
      <c r="T231" s="2"/>
      <c r="U231" s="2"/>
      <c r="V231" s="2"/>
      <c r="W231" s="2"/>
    </row>
    <row r="232">
      <c r="A232" s="2"/>
      <c r="B232" s="2"/>
      <c r="C232" s="2"/>
      <c r="D232" s="2"/>
      <c r="E232" s="2"/>
      <c r="F232" s="2"/>
      <c r="G232" s="2"/>
      <c r="H232" s="2"/>
      <c r="I232" s="2"/>
      <c r="J232" s="2"/>
      <c r="K232" s="2"/>
      <c r="L232" s="2"/>
      <c r="M232" s="2"/>
      <c r="N232" s="2"/>
      <c r="O232" s="2"/>
      <c r="P232" s="2"/>
      <c r="Q232" s="2"/>
      <c r="R232" s="2"/>
      <c r="S232" s="2"/>
      <c r="T232" s="2"/>
      <c r="U232" s="2"/>
      <c r="V232" s="2"/>
      <c r="W232" s="2"/>
    </row>
    <row r="233">
      <c r="A233" s="2"/>
      <c r="B233" s="2"/>
      <c r="C233" s="2"/>
      <c r="D233" s="2"/>
      <c r="E233" s="2"/>
      <c r="F233" s="2"/>
      <c r="G233" s="2"/>
      <c r="H233" s="2"/>
      <c r="I233" s="2"/>
      <c r="J233" s="2"/>
      <c r="K233" s="2"/>
      <c r="L233" s="2"/>
      <c r="M233" s="2"/>
      <c r="N233" s="2"/>
      <c r="O233" s="2"/>
      <c r="P233" s="2"/>
      <c r="Q233" s="2"/>
      <c r="R233" s="2"/>
      <c r="S233" s="2"/>
      <c r="T233" s="2"/>
      <c r="U233" s="2"/>
      <c r="V233" s="2"/>
      <c r="W233" s="2"/>
    </row>
    <row r="234">
      <c r="A234" s="2"/>
      <c r="B234" s="2"/>
      <c r="C234" s="2"/>
      <c r="D234" s="2"/>
      <c r="E234" s="2"/>
      <c r="F234" s="2"/>
      <c r="G234" s="2"/>
      <c r="H234" s="2"/>
      <c r="I234" s="2"/>
      <c r="J234" s="2"/>
      <c r="K234" s="2"/>
      <c r="L234" s="2"/>
      <c r="M234" s="2"/>
      <c r="N234" s="2"/>
      <c r="O234" s="2"/>
      <c r="P234" s="2"/>
      <c r="Q234" s="2"/>
      <c r="R234" s="2"/>
      <c r="S234" s="2"/>
      <c r="T234" s="2"/>
      <c r="U234" s="2"/>
      <c r="V234" s="2"/>
      <c r="W234" s="2"/>
    </row>
    <row r="235">
      <c r="A235" s="2"/>
      <c r="B235" s="2"/>
      <c r="C235" s="2"/>
      <c r="D235" s="2"/>
      <c r="E235" s="2"/>
      <c r="F235" s="2"/>
      <c r="G235" s="2"/>
      <c r="H235" s="2"/>
      <c r="I235" s="2"/>
      <c r="J235" s="2"/>
      <c r="K235" s="2"/>
      <c r="L235" s="2"/>
      <c r="M235" s="2"/>
      <c r="N235" s="2"/>
      <c r="O235" s="2"/>
      <c r="P235" s="2"/>
      <c r="Q235" s="2"/>
      <c r="R235" s="2"/>
      <c r="S235" s="2"/>
      <c r="T235" s="2"/>
      <c r="U235" s="2"/>
      <c r="V235" s="2"/>
      <c r="W235" s="2"/>
    </row>
    <row r="236">
      <c r="A236" s="2"/>
      <c r="B236" s="2"/>
      <c r="C236" s="2"/>
      <c r="D236" s="2"/>
      <c r="E236" s="2"/>
      <c r="F236" s="2"/>
      <c r="G236" s="2"/>
      <c r="H236" s="2"/>
      <c r="I236" s="2"/>
      <c r="J236" s="2"/>
      <c r="K236" s="2"/>
      <c r="L236" s="2"/>
      <c r="M236" s="2"/>
      <c r="N236" s="2"/>
      <c r="O236" s="2"/>
      <c r="P236" s="2"/>
      <c r="Q236" s="2"/>
      <c r="R236" s="2"/>
      <c r="S236" s="2"/>
      <c r="T236" s="2"/>
      <c r="U236" s="2"/>
      <c r="V236" s="2"/>
      <c r="W236" s="2"/>
    </row>
    <row r="237">
      <c r="A237" s="2"/>
      <c r="B237" s="2"/>
      <c r="C237" s="2"/>
      <c r="D237" s="2"/>
      <c r="E237" s="2"/>
      <c r="F237" s="2"/>
      <c r="G237" s="2"/>
      <c r="H237" s="2"/>
      <c r="I237" s="2"/>
      <c r="J237" s="2"/>
      <c r="K237" s="2"/>
      <c r="L237" s="2"/>
      <c r="M237" s="2"/>
      <c r="N237" s="2"/>
      <c r="O237" s="2"/>
      <c r="P237" s="2"/>
      <c r="Q237" s="2"/>
      <c r="R237" s="2"/>
      <c r="S237" s="2"/>
      <c r="T237" s="2"/>
      <c r="U237" s="2"/>
      <c r="V237" s="2"/>
      <c r="W237" s="2"/>
    </row>
    <row r="238">
      <c r="A238" s="2"/>
      <c r="B238" s="2"/>
      <c r="C238" s="2"/>
      <c r="D238" s="2"/>
      <c r="E238" s="2"/>
      <c r="F238" s="2"/>
      <c r="G238" s="2"/>
      <c r="H238" s="2"/>
      <c r="I238" s="2"/>
      <c r="J238" s="2"/>
      <c r="K238" s="2"/>
      <c r="L238" s="2"/>
      <c r="M238" s="2"/>
      <c r="N238" s="2"/>
      <c r="O238" s="2"/>
      <c r="P238" s="2"/>
      <c r="Q238" s="2"/>
      <c r="R238" s="2"/>
      <c r="S238" s="2"/>
      <c r="T238" s="2"/>
      <c r="U238" s="2"/>
      <c r="V238" s="2"/>
      <c r="W238" s="2"/>
    </row>
    <row r="239">
      <c r="A239" s="2"/>
      <c r="B239" s="2"/>
      <c r="C239" s="2"/>
      <c r="D239" s="2"/>
      <c r="E239" s="2"/>
      <c r="F239" s="2"/>
      <c r="G239" s="2"/>
      <c r="H239" s="2"/>
      <c r="I239" s="2"/>
      <c r="J239" s="2"/>
      <c r="K239" s="2"/>
      <c r="L239" s="2"/>
      <c r="M239" s="2"/>
      <c r="N239" s="2"/>
      <c r="O239" s="2"/>
      <c r="P239" s="2"/>
      <c r="Q239" s="2"/>
      <c r="R239" s="2"/>
      <c r="S239" s="2"/>
      <c r="T239" s="2"/>
      <c r="U239" s="2"/>
      <c r="V239" s="2"/>
      <c r="W239" s="2"/>
    </row>
    <row r="240">
      <c r="A240" s="2"/>
      <c r="B240" s="2"/>
      <c r="C240" s="2"/>
      <c r="D240" s="2"/>
      <c r="E240" s="2"/>
      <c r="F240" s="2"/>
      <c r="G240" s="2"/>
      <c r="H240" s="2"/>
      <c r="I240" s="2"/>
      <c r="J240" s="2"/>
      <c r="K240" s="2"/>
      <c r="L240" s="2"/>
      <c r="M240" s="2"/>
      <c r="N240" s="2"/>
      <c r="O240" s="2"/>
      <c r="P240" s="2"/>
      <c r="Q240" s="2"/>
      <c r="R240" s="2"/>
      <c r="S240" s="2"/>
      <c r="T240" s="2"/>
      <c r="U240" s="2"/>
      <c r="V240" s="2"/>
      <c r="W240" s="2"/>
    </row>
    <row r="241">
      <c r="A241" s="2"/>
      <c r="B241" s="2"/>
      <c r="C241" s="2"/>
      <c r="D241" s="2"/>
      <c r="E241" s="2"/>
      <c r="F241" s="2"/>
      <c r="G241" s="2"/>
      <c r="H241" s="2"/>
      <c r="I241" s="2"/>
      <c r="J241" s="2"/>
      <c r="K241" s="2"/>
      <c r="L241" s="2"/>
      <c r="M241" s="2"/>
      <c r="N241" s="2"/>
      <c r="O241" s="2"/>
      <c r="P241" s="2"/>
      <c r="Q241" s="2"/>
      <c r="R241" s="2"/>
      <c r="S241" s="2"/>
      <c r="T241" s="2"/>
      <c r="U241" s="2"/>
      <c r="V241" s="2"/>
      <c r="W241" s="2"/>
    </row>
    <row r="242">
      <c r="A242" s="2"/>
      <c r="B242" s="2"/>
      <c r="C242" s="2"/>
      <c r="D242" s="2"/>
      <c r="E242" s="2"/>
      <c r="F242" s="2"/>
      <c r="G242" s="2"/>
      <c r="H242" s="2"/>
      <c r="I242" s="2"/>
      <c r="J242" s="2"/>
      <c r="K242" s="2"/>
      <c r="L242" s="2"/>
      <c r="M242" s="2"/>
      <c r="N242" s="2"/>
      <c r="O242" s="2"/>
      <c r="P242" s="2"/>
      <c r="Q242" s="2"/>
      <c r="R242" s="2"/>
      <c r="S242" s="2"/>
      <c r="T242" s="2"/>
      <c r="U242" s="2"/>
      <c r="V242" s="2"/>
      <c r="W242" s="2"/>
    </row>
    <row r="243">
      <c r="A243" s="2"/>
      <c r="B243" s="2"/>
      <c r="C243" s="2"/>
      <c r="D243" s="2"/>
      <c r="E243" s="2"/>
      <c r="F243" s="2"/>
      <c r="G243" s="2"/>
      <c r="H243" s="2"/>
      <c r="I243" s="2"/>
      <c r="J243" s="2"/>
      <c r="K243" s="2"/>
      <c r="L243" s="2"/>
      <c r="M243" s="2"/>
      <c r="N243" s="2"/>
      <c r="O243" s="2"/>
      <c r="P243" s="2"/>
      <c r="Q243" s="2"/>
      <c r="R243" s="2"/>
      <c r="S243" s="2"/>
      <c r="T243" s="2"/>
      <c r="U243" s="2"/>
      <c r="V243" s="2"/>
      <c r="W243" s="2"/>
    </row>
    <row r="244">
      <c r="A244" s="2"/>
      <c r="B244" s="2"/>
      <c r="C244" s="2"/>
      <c r="D244" s="2"/>
      <c r="E244" s="2"/>
      <c r="F244" s="2"/>
      <c r="G244" s="2"/>
      <c r="H244" s="2"/>
      <c r="I244" s="2"/>
      <c r="J244" s="2"/>
      <c r="K244" s="2"/>
      <c r="L244" s="2"/>
      <c r="M244" s="2"/>
      <c r="N244" s="2"/>
      <c r="O244" s="2"/>
      <c r="P244" s="2"/>
      <c r="Q244" s="2"/>
      <c r="R244" s="2"/>
      <c r="S244" s="2"/>
      <c r="T244" s="2"/>
      <c r="U244" s="2"/>
      <c r="V244" s="2"/>
      <c r="W244" s="2"/>
    </row>
    <row r="245">
      <c r="A245" s="2"/>
      <c r="B245" s="2"/>
      <c r="C245" s="2"/>
      <c r="D245" s="2"/>
      <c r="E245" s="2"/>
      <c r="F245" s="2"/>
      <c r="G245" s="2"/>
      <c r="H245" s="2"/>
      <c r="I245" s="2"/>
      <c r="J245" s="2"/>
      <c r="K245" s="2"/>
      <c r="L245" s="2"/>
      <c r="M245" s="2"/>
      <c r="N245" s="2"/>
      <c r="O245" s="2"/>
      <c r="P245" s="2"/>
      <c r="Q245" s="2"/>
      <c r="R245" s="2"/>
      <c r="S245" s="2"/>
      <c r="T245" s="2"/>
      <c r="U245" s="2"/>
      <c r="V245" s="2"/>
      <c r="W245" s="2"/>
    </row>
    <row r="246">
      <c r="A246" s="2"/>
      <c r="B246" s="2"/>
      <c r="C246" s="2"/>
      <c r="D246" s="2"/>
      <c r="E246" s="2"/>
      <c r="F246" s="2"/>
      <c r="G246" s="2"/>
      <c r="H246" s="2"/>
      <c r="I246" s="2"/>
      <c r="J246" s="2"/>
      <c r="K246" s="2"/>
      <c r="L246" s="2"/>
      <c r="M246" s="2"/>
      <c r="N246" s="2"/>
      <c r="O246" s="2"/>
      <c r="P246" s="2"/>
      <c r="Q246" s="2"/>
      <c r="R246" s="2"/>
      <c r="S246" s="2"/>
      <c r="T246" s="2"/>
      <c r="U246" s="2"/>
      <c r="V246" s="2"/>
      <c r="W246" s="2"/>
    </row>
    <row r="247">
      <c r="A247" s="2"/>
      <c r="B247" s="2"/>
      <c r="C247" s="2"/>
      <c r="D247" s="2"/>
      <c r="E247" s="2"/>
      <c r="F247" s="2"/>
      <c r="G247" s="2"/>
      <c r="H247" s="2"/>
      <c r="I247" s="2"/>
      <c r="J247" s="2"/>
      <c r="K247" s="2"/>
      <c r="L247" s="2"/>
      <c r="M247" s="2"/>
      <c r="N247" s="2"/>
      <c r="O247" s="2"/>
      <c r="P247" s="2"/>
      <c r="Q247" s="2"/>
      <c r="R247" s="2"/>
      <c r="S247" s="2"/>
      <c r="T247" s="2"/>
      <c r="U247" s="2"/>
      <c r="V247" s="2"/>
      <c r="W247" s="2"/>
    </row>
    <row r="248">
      <c r="A248" s="2"/>
      <c r="B248" s="2"/>
      <c r="C248" s="2"/>
      <c r="D248" s="2"/>
      <c r="E248" s="2"/>
      <c r="F248" s="2"/>
      <c r="G248" s="2"/>
      <c r="H248" s="2"/>
      <c r="I248" s="2"/>
      <c r="J248" s="2"/>
      <c r="K248" s="2"/>
      <c r="L248" s="2"/>
      <c r="M248" s="2"/>
      <c r="N248" s="2"/>
      <c r="O248" s="2"/>
      <c r="P248" s="2"/>
      <c r="Q248" s="2"/>
      <c r="R248" s="2"/>
      <c r="S248" s="2"/>
      <c r="T248" s="2"/>
      <c r="U248" s="2"/>
      <c r="V248" s="2"/>
      <c r="W248" s="2"/>
    </row>
    <row r="249">
      <c r="A249" s="2"/>
      <c r="B249" s="2"/>
      <c r="C249" s="2"/>
      <c r="D249" s="2"/>
      <c r="E249" s="2"/>
      <c r="F249" s="2"/>
      <c r="G249" s="2"/>
      <c r="H249" s="2"/>
      <c r="I249" s="2"/>
      <c r="J249" s="2"/>
      <c r="K249" s="2"/>
      <c r="L249" s="2"/>
      <c r="M249" s="2"/>
      <c r="N249" s="2"/>
      <c r="O249" s="2"/>
      <c r="P249" s="2"/>
      <c r="Q249" s="2"/>
      <c r="R249" s="2"/>
      <c r="S249" s="2"/>
      <c r="T249" s="2"/>
      <c r="U249" s="2"/>
      <c r="V249" s="2"/>
      <c r="W249" s="2"/>
    </row>
    <row r="250">
      <c r="A250" s="2"/>
      <c r="B250" s="2"/>
      <c r="C250" s="2"/>
      <c r="D250" s="2"/>
      <c r="E250" s="2"/>
      <c r="F250" s="2"/>
      <c r="G250" s="2"/>
      <c r="H250" s="2"/>
      <c r="I250" s="2"/>
      <c r="J250" s="2"/>
      <c r="K250" s="2"/>
      <c r="L250" s="2"/>
      <c r="M250" s="2"/>
      <c r="N250" s="2"/>
      <c r="O250" s="2"/>
      <c r="P250" s="2"/>
      <c r="Q250" s="2"/>
      <c r="R250" s="2"/>
      <c r="S250" s="2"/>
      <c r="T250" s="2"/>
      <c r="U250" s="2"/>
      <c r="V250" s="2"/>
      <c r="W250" s="2"/>
    </row>
    <row r="251">
      <c r="A251" s="2"/>
      <c r="B251" s="2"/>
      <c r="C251" s="2"/>
      <c r="D251" s="2"/>
      <c r="E251" s="2"/>
      <c r="F251" s="2"/>
      <c r="G251" s="2"/>
      <c r="H251" s="2"/>
      <c r="I251" s="2"/>
      <c r="J251" s="2"/>
      <c r="K251" s="2"/>
      <c r="L251" s="2"/>
      <c r="M251" s="2"/>
      <c r="N251" s="2"/>
      <c r="O251" s="2"/>
      <c r="P251" s="2"/>
      <c r="Q251" s="2"/>
      <c r="R251" s="2"/>
      <c r="S251" s="2"/>
      <c r="T251" s="2"/>
      <c r="U251" s="2"/>
      <c r="V251" s="2"/>
      <c r="W251" s="2"/>
    </row>
    <row r="252">
      <c r="A252" s="2"/>
      <c r="B252" s="2"/>
      <c r="C252" s="2"/>
      <c r="D252" s="2"/>
      <c r="E252" s="2"/>
      <c r="F252" s="2"/>
      <c r="G252" s="2"/>
      <c r="H252" s="2"/>
      <c r="I252" s="2"/>
      <c r="J252" s="2"/>
      <c r="K252" s="2"/>
      <c r="L252" s="2"/>
      <c r="M252" s="2"/>
      <c r="N252" s="2"/>
      <c r="O252" s="2"/>
      <c r="P252" s="2"/>
      <c r="Q252" s="2"/>
      <c r="R252" s="2"/>
      <c r="S252" s="2"/>
      <c r="T252" s="2"/>
      <c r="U252" s="2"/>
      <c r="V252" s="2"/>
      <c r="W252" s="2"/>
    </row>
    <row r="253">
      <c r="A253" s="2"/>
      <c r="B253" s="2"/>
      <c r="C253" s="2"/>
      <c r="D253" s="2"/>
      <c r="E253" s="2"/>
      <c r="F253" s="2"/>
      <c r="G253" s="2"/>
      <c r="H253" s="2"/>
      <c r="I253" s="2"/>
      <c r="J253" s="2"/>
      <c r="K253" s="2"/>
      <c r="L253" s="2"/>
      <c r="M253" s="2"/>
      <c r="N253" s="2"/>
      <c r="O253" s="2"/>
      <c r="P253" s="2"/>
      <c r="Q253" s="2"/>
      <c r="R253" s="2"/>
      <c r="S253" s="2"/>
      <c r="T253" s="2"/>
      <c r="U253" s="2"/>
      <c r="V253" s="2"/>
      <c r="W253" s="2"/>
    </row>
    <row r="254">
      <c r="A254" s="2"/>
      <c r="B254" s="2"/>
      <c r="C254" s="2"/>
      <c r="D254" s="2"/>
      <c r="E254" s="2"/>
      <c r="F254" s="2"/>
      <c r="G254" s="2"/>
      <c r="H254" s="2"/>
      <c r="I254" s="2"/>
      <c r="J254" s="2"/>
      <c r="K254" s="2"/>
      <c r="L254" s="2"/>
      <c r="M254" s="2"/>
      <c r="N254" s="2"/>
      <c r="O254" s="2"/>
      <c r="P254" s="2"/>
      <c r="Q254" s="2"/>
      <c r="R254" s="2"/>
      <c r="S254" s="2"/>
      <c r="T254" s="2"/>
      <c r="U254" s="2"/>
      <c r="V254" s="2"/>
      <c r="W254" s="2"/>
    </row>
    <row r="255">
      <c r="A255" s="2"/>
      <c r="B255" s="2"/>
      <c r="C255" s="2"/>
      <c r="D255" s="2"/>
      <c r="E255" s="2"/>
      <c r="F255" s="2"/>
      <c r="G255" s="2"/>
      <c r="H255" s="2"/>
      <c r="I255" s="2"/>
      <c r="J255" s="2"/>
      <c r="K255" s="2"/>
      <c r="L255" s="2"/>
      <c r="M255" s="2"/>
      <c r="N255" s="2"/>
      <c r="O255" s="2"/>
      <c r="P255" s="2"/>
      <c r="Q255" s="2"/>
      <c r="R255" s="2"/>
      <c r="S255" s="2"/>
      <c r="T255" s="2"/>
      <c r="U255" s="2"/>
      <c r="V255" s="2"/>
      <c r="W255" s="2"/>
    </row>
    <row r="256">
      <c r="A256" s="2"/>
      <c r="B256" s="2"/>
      <c r="C256" s="2"/>
      <c r="D256" s="2"/>
      <c r="E256" s="2"/>
      <c r="F256" s="2"/>
      <c r="G256" s="2"/>
      <c r="H256" s="2"/>
      <c r="I256" s="2"/>
      <c r="J256" s="2"/>
      <c r="K256" s="2"/>
      <c r="L256" s="2"/>
      <c r="M256" s="2"/>
      <c r="N256" s="2"/>
      <c r="O256" s="2"/>
      <c r="P256" s="2"/>
      <c r="Q256" s="2"/>
      <c r="R256" s="2"/>
      <c r="S256" s="2"/>
      <c r="T256" s="2"/>
      <c r="U256" s="2"/>
      <c r="V256" s="2"/>
      <c r="W256" s="2"/>
    </row>
    <row r="257">
      <c r="A257" s="2"/>
      <c r="B257" s="2"/>
      <c r="C257" s="2"/>
      <c r="D257" s="2"/>
      <c r="E257" s="2"/>
      <c r="F257" s="2"/>
      <c r="G257" s="2"/>
      <c r="H257" s="2"/>
      <c r="I257" s="2"/>
      <c r="J257" s="2"/>
      <c r="K257" s="2"/>
      <c r="L257" s="2"/>
      <c r="M257" s="2"/>
      <c r="N257" s="2"/>
      <c r="O257" s="2"/>
      <c r="P257" s="2"/>
      <c r="Q257" s="2"/>
      <c r="R257" s="2"/>
      <c r="S257" s="2"/>
      <c r="T257" s="2"/>
      <c r="U257" s="2"/>
      <c r="V257" s="2"/>
      <c r="W257" s="2"/>
    </row>
    <row r="258">
      <c r="A258" s="2"/>
      <c r="B258" s="2"/>
      <c r="C258" s="2"/>
      <c r="D258" s="2"/>
      <c r="E258" s="2"/>
      <c r="F258" s="2"/>
      <c r="G258" s="2"/>
      <c r="H258" s="2"/>
      <c r="I258" s="2"/>
      <c r="J258" s="2"/>
      <c r="K258" s="2"/>
      <c r="L258" s="2"/>
      <c r="M258" s="2"/>
      <c r="N258" s="2"/>
      <c r="O258" s="2"/>
      <c r="P258" s="2"/>
      <c r="Q258" s="2"/>
      <c r="R258" s="2"/>
      <c r="S258" s="2"/>
      <c r="T258" s="2"/>
      <c r="U258" s="2"/>
      <c r="V258" s="2"/>
      <c r="W258" s="2"/>
    </row>
    <row r="259">
      <c r="A259" s="2"/>
      <c r="B259" s="2"/>
      <c r="C259" s="2"/>
      <c r="D259" s="2"/>
      <c r="E259" s="2"/>
      <c r="F259" s="2"/>
      <c r="G259" s="2"/>
      <c r="H259" s="2"/>
      <c r="I259" s="2"/>
      <c r="J259" s="2"/>
      <c r="K259" s="2"/>
      <c r="L259" s="2"/>
      <c r="M259" s="2"/>
      <c r="N259" s="2"/>
      <c r="O259" s="2"/>
      <c r="P259" s="2"/>
      <c r="Q259" s="2"/>
      <c r="R259" s="2"/>
      <c r="S259" s="2"/>
      <c r="T259" s="2"/>
      <c r="U259" s="2"/>
      <c r="V259" s="2"/>
      <c r="W259" s="2"/>
    </row>
    <row r="260">
      <c r="A260" s="2"/>
      <c r="B260" s="2"/>
      <c r="C260" s="2"/>
      <c r="D260" s="2"/>
      <c r="E260" s="2"/>
      <c r="F260" s="2"/>
      <c r="G260" s="2"/>
      <c r="H260" s="2"/>
      <c r="I260" s="2"/>
      <c r="J260" s="2"/>
      <c r="K260" s="2"/>
      <c r="L260" s="2"/>
      <c r="M260" s="2"/>
      <c r="N260" s="2"/>
      <c r="O260" s="2"/>
      <c r="P260" s="2"/>
      <c r="Q260" s="2"/>
      <c r="R260" s="2"/>
      <c r="S260" s="2"/>
      <c r="T260" s="2"/>
      <c r="U260" s="2"/>
      <c r="V260" s="2"/>
      <c r="W260" s="2"/>
    </row>
    <row r="261">
      <c r="A261" s="2"/>
      <c r="B261" s="2"/>
      <c r="C261" s="2"/>
      <c r="D261" s="2"/>
      <c r="E261" s="2"/>
      <c r="F261" s="2"/>
      <c r="G261" s="2"/>
      <c r="H261" s="2"/>
      <c r="I261" s="2"/>
      <c r="J261" s="2"/>
      <c r="K261" s="2"/>
      <c r="L261" s="2"/>
      <c r="M261" s="2"/>
      <c r="N261" s="2"/>
      <c r="O261" s="2"/>
      <c r="P261" s="2"/>
      <c r="Q261" s="2"/>
      <c r="R261" s="2"/>
      <c r="S261" s="2"/>
      <c r="T261" s="2"/>
      <c r="U261" s="2"/>
      <c r="V261" s="2"/>
      <c r="W261" s="2"/>
    </row>
    <row r="262">
      <c r="A262" s="2"/>
      <c r="B262" s="2"/>
      <c r="C262" s="2"/>
      <c r="D262" s="2"/>
      <c r="E262" s="2"/>
      <c r="F262" s="2"/>
      <c r="G262" s="2"/>
      <c r="H262" s="2"/>
      <c r="I262" s="2"/>
      <c r="J262" s="2"/>
      <c r="K262" s="2"/>
      <c r="L262" s="2"/>
      <c r="M262" s="2"/>
      <c r="N262" s="2"/>
      <c r="O262" s="2"/>
      <c r="P262" s="2"/>
      <c r="Q262" s="2"/>
      <c r="R262" s="2"/>
      <c r="S262" s="2"/>
      <c r="T262" s="2"/>
      <c r="U262" s="2"/>
      <c r="V262" s="2"/>
      <c r="W262" s="2"/>
    </row>
    <row r="263">
      <c r="A263" s="2"/>
      <c r="B263" s="2"/>
      <c r="C263" s="2"/>
      <c r="D263" s="2"/>
      <c r="E263" s="2"/>
      <c r="F263" s="2"/>
      <c r="G263" s="2"/>
      <c r="H263" s="2"/>
      <c r="I263" s="2"/>
      <c r="J263" s="2"/>
      <c r="K263" s="2"/>
      <c r="L263" s="2"/>
      <c r="M263" s="2"/>
      <c r="N263" s="2"/>
      <c r="O263" s="2"/>
      <c r="P263" s="2"/>
      <c r="Q263" s="2"/>
      <c r="R263" s="2"/>
      <c r="S263" s="2"/>
      <c r="T263" s="2"/>
      <c r="U263" s="2"/>
      <c r="V263" s="2"/>
      <c r="W263" s="2"/>
    </row>
    <row r="264">
      <c r="A264" s="2"/>
      <c r="B264" s="2"/>
      <c r="C264" s="2"/>
      <c r="D264" s="2"/>
      <c r="E264" s="2"/>
      <c r="F264" s="2"/>
      <c r="G264" s="2"/>
      <c r="H264" s="2"/>
      <c r="I264" s="2"/>
      <c r="J264" s="2"/>
      <c r="K264" s="2"/>
      <c r="L264" s="2"/>
      <c r="M264" s="2"/>
      <c r="N264" s="2"/>
      <c r="O264" s="2"/>
      <c r="P264" s="2"/>
      <c r="Q264" s="2"/>
      <c r="R264" s="2"/>
      <c r="S264" s="2"/>
      <c r="T264" s="2"/>
      <c r="U264" s="2"/>
      <c r="V264" s="2"/>
      <c r="W264" s="2"/>
    </row>
    <row r="265">
      <c r="A265" s="2"/>
      <c r="B265" s="2"/>
      <c r="C265" s="2"/>
      <c r="D265" s="2"/>
      <c r="E265" s="2"/>
      <c r="F265" s="2"/>
      <c r="G265" s="2"/>
      <c r="H265" s="2"/>
      <c r="I265" s="2"/>
      <c r="J265" s="2"/>
      <c r="K265" s="2"/>
      <c r="L265" s="2"/>
      <c r="M265" s="2"/>
      <c r="N265" s="2"/>
      <c r="O265" s="2"/>
      <c r="P265" s="2"/>
      <c r="Q265" s="2"/>
      <c r="R265" s="2"/>
      <c r="S265" s="2"/>
      <c r="T265" s="2"/>
      <c r="U265" s="2"/>
      <c r="V265" s="2"/>
      <c r="W265" s="2"/>
    </row>
    <row r="266">
      <c r="A266" s="2"/>
      <c r="B266" s="2"/>
      <c r="C266" s="2"/>
      <c r="D266" s="2"/>
      <c r="E266" s="2"/>
      <c r="F266" s="2"/>
      <c r="G266" s="2"/>
      <c r="H266" s="2"/>
      <c r="I266" s="2"/>
      <c r="J266" s="2"/>
      <c r="K266" s="2"/>
      <c r="L266" s="2"/>
      <c r="M266" s="2"/>
      <c r="N266" s="2"/>
      <c r="O266" s="2"/>
      <c r="P266" s="2"/>
      <c r="Q266" s="2"/>
      <c r="R266" s="2"/>
      <c r="S266" s="2"/>
      <c r="T266" s="2"/>
      <c r="U266" s="2"/>
      <c r="V266" s="2"/>
      <c r="W266" s="2"/>
    </row>
    <row r="267">
      <c r="A267" s="2"/>
      <c r="B267" s="2"/>
      <c r="C267" s="2"/>
      <c r="D267" s="2"/>
      <c r="E267" s="2"/>
      <c r="F267" s="2"/>
      <c r="G267" s="2"/>
      <c r="H267" s="2"/>
      <c r="I267" s="2"/>
      <c r="J267" s="2"/>
      <c r="K267" s="2"/>
      <c r="L267" s="2"/>
      <c r="M267" s="2"/>
      <c r="N267" s="2"/>
      <c r="O267" s="2"/>
      <c r="P267" s="2"/>
      <c r="Q267" s="2"/>
      <c r="R267" s="2"/>
      <c r="S267" s="2"/>
      <c r="T267" s="2"/>
      <c r="U267" s="2"/>
      <c r="V267" s="2"/>
      <c r="W267" s="2"/>
    </row>
    <row r="268">
      <c r="A268" s="2"/>
      <c r="B268" s="2"/>
      <c r="C268" s="2"/>
      <c r="D268" s="2"/>
      <c r="E268" s="2"/>
      <c r="F268" s="2"/>
      <c r="G268" s="2"/>
      <c r="H268" s="2"/>
      <c r="I268" s="2"/>
      <c r="J268" s="2"/>
      <c r="K268" s="2"/>
      <c r="L268" s="2"/>
      <c r="M268" s="2"/>
      <c r="N268" s="2"/>
      <c r="O268" s="2"/>
      <c r="P268" s="2"/>
      <c r="Q268" s="2"/>
      <c r="R268" s="2"/>
      <c r="S268" s="2"/>
      <c r="T268" s="2"/>
      <c r="U268" s="2"/>
      <c r="V268" s="2"/>
      <c r="W268" s="2"/>
    </row>
    <row r="269">
      <c r="A269" s="2"/>
      <c r="B269" s="2"/>
      <c r="C269" s="2"/>
      <c r="D269" s="2"/>
      <c r="E269" s="2"/>
      <c r="F269" s="2"/>
      <c r="G269" s="2"/>
      <c r="H269" s="2"/>
      <c r="I269" s="2"/>
      <c r="J269" s="2"/>
      <c r="K269" s="2"/>
      <c r="L269" s="2"/>
      <c r="M269" s="2"/>
      <c r="N269" s="2"/>
      <c r="O269" s="2"/>
      <c r="P269" s="2"/>
      <c r="Q269" s="2"/>
      <c r="R269" s="2"/>
      <c r="S269" s="2"/>
      <c r="T269" s="2"/>
      <c r="U269" s="2"/>
      <c r="V269" s="2"/>
      <c r="W269" s="2"/>
    </row>
    <row r="270">
      <c r="A270" s="2"/>
      <c r="B270" s="2"/>
      <c r="C270" s="2"/>
      <c r="D270" s="2"/>
      <c r="E270" s="2"/>
      <c r="F270" s="2"/>
      <c r="G270" s="2"/>
      <c r="H270" s="2"/>
      <c r="I270" s="2"/>
      <c r="J270" s="2"/>
      <c r="K270" s="2"/>
      <c r="L270" s="2"/>
      <c r="M270" s="2"/>
      <c r="N270" s="2"/>
      <c r="O270" s="2"/>
      <c r="P270" s="2"/>
      <c r="Q270" s="2"/>
      <c r="R270" s="2"/>
      <c r="S270" s="2"/>
      <c r="T270" s="2"/>
      <c r="U270" s="2"/>
      <c r="V270" s="2"/>
      <c r="W270" s="2"/>
    </row>
    <row r="271">
      <c r="A271" s="2"/>
      <c r="B271" s="2"/>
      <c r="C271" s="2"/>
      <c r="D271" s="2"/>
      <c r="E271" s="2"/>
      <c r="F271" s="2"/>
      <c r="G271" s="2"/>
      <c r="H271" s="2"/>
      <c r="I271" s="2"/>
      <c r="J271" s="2"/>
      <c r="K271" s="2"/>
      <c r="L271" s="2"/>
      <c r="M271" s="2"/>
      <c r="N271" s="2"/>
      <c r="O271" s="2"/>
      <c r="P271" s="2"/>
      <c r="Q271" s="2"/>
      <c r="R271" s="2"/>
      <c r="S271" s="2"/>
      <c r="T271" s="2"/>
      <c r="U271" s="2"/>
      <c r="V271" s="2"/>
      <c r="W271" s="2"/>
    </row>
    <row r="272">
      <c r="A272" s="2"/>
      <c r="B272" s="2"/>
      <c r="C272" s="2"/>
      <c r="D272" s="2"/>
      <c r="E272" s="2"/>
      <c r="F272" s="2"/>
      <c r="G272" s="2"/>
      <c r="H272" s="2"/>
      <c r="I272" s="2"/>
      <c r="J272" s="2"/>
      <c r="K272" s="2"/>
      <c r="L272" s="2"/>
      <c r="M272" s="2"/>
      <c r="N272" s="2"/>
      <c r="O272" s="2"/>
      <c r="P272" s="2"/>
      <c r="Q272" s="2"/>
      <c r="R272" s="2"/>
      <c r="S272" s="2"/>
      <c r="T272" s="2"/>
      <c r="U272" s="2"/>
      <c r="V272" s="2"/>
      <c r="W272" s="2"/>
    </row>
    <row r="273">
      <c r="A273" s="2"/>
      <c r="B273" s="2"/>
      <c r="C273" s="2"/>
      <c r="D273" s="2"/>
      <c r="E273" s="2"/>
      <c r="F273" s="2"/>
      <c r="G273" s="2"/>
      <c r="H273" s="2"/>
      <c r="I273" s="2"/>
      <c r="J273" s="2"/>
      <c r="K273" s="2"/>
      <c r="L273" s="2"/>
      <c r="M273" s="2"/>
      <c r="N273" s="2"/>
      <c r="O273" s="2"/>
      <c r="P273" s="2"/>
      <c r="Q273" s="2"/>
      <c r="R273" s="2"/>
      <c r="S273" s="2"/>
      <c r="T273" s="2"/>
      <c r="U273" s="2"/>
      <c r="V273" s="2"/>
      <c r="W273" s="2"/>
    </row>
    <row r="274">
      <c r="A274" s="2"/>
      <c r="B274" s="2"/>
      <c r="C274" s="2"/>
      <c r="D274" s="2"/>
      <c r="E274" s="2"/>
      <c r="F274" s="2"/>
      <c r="G274" s="2"/>
      <c r="H274" s="2"/>
      <c r="I274" s="2"/>
      <c r="J274" s="2"/>
      <c r="K274" s="2"/>
      <c r="L274" s="2"/>
      <c r="M274" s="2"/>
      <c r="N274" s="2"/>
      <c r="O274" s="2"/>
      <c r="P274" s="2"/>
      <c r="Q274" s="2"/>
      <c r="R274" s="2"/>
      <c r="S274" s="2"/>
      <c r="T274" s="2"/>
      <c r="U274" s="2"/>
      <c r="V274" s="2"/>
      <c r="W274" s="2"/>
    </row>
    <row r="275">
      <c r="A275" s="2"/>
      <c r="B275" s="2"/>
      <c r="C275" s="2"/>
      <c r="D275" s="2"/>
      <c r="E275" s="2"/>
      <c r="F275" s="2"/>
      <c r="G275" s="2"/>
      <c r="H275" s="2"/>
      <c r="I275" s="2"/>
      <c r="J275" s="2"/>
      <c r="K275" s="2"/>
      <c r="L275" s="2"/>
      <c r="M275" s="2"/>
      <c r="N275" s="2"/>
      <c r="O275" s="2"/>
      <c r="P275" s="2"/>
      <c r="Q275" s="2"/>
      <c r="R275" s="2"/>
      <c r="S275" s="2"/>
      <c r="T275" s="2"/>
      <c r="U275" s="2"/>
      <c r="V275" s="2"/>
      <c r="W275" s="2"/>
    </row>
    <row r="276">
      <c r="A276" s="2"/>
      <c r="B276" s="2"/>
      <c r="C276" s="2"/>
      <c r="D276" s="2"/>
      <c r="E276" s="2"/>
      <c r="F276" s="2"/>
      <c r="G276" s="2"/>
      <c r="H276" s="2"/>
      <c r="I276" s="2"/>
      <c r="J276" s="2"/>
      <c r="K276" s="2"/>
      <c r="L276" s="2"/>
      <c r="M276" s="2"/>
      <c r="N276" s="2"/>
      <c r="O276" s="2"/>
      <c r="P276" s="2"/>
      <c r="Q276" s="2"/>
      <c r="R276" s="2"/>
      <c r="S276" s="2"/>
      <c r="T276" s="2"/>
      <c r="U276" s="2"/>
      <c r="V276" s="2"/>
      <c r="W276" s="2"/>
    </row>
    <row r="277">
      <c r="A277" s="2"/>
      <c r="B277" s="2"/>
      <c r="C277" s="2"/>
      <c r="D277" s="2"/>
      <c r="E277" s="2"/>
      <c r="F277" s="2"/>
      <c r="G277" s="2"/>
      <c r="H277" s="2"/>
      <c r="I277" s="2"/>
      <c r="J277" s="2"/>
      <c r="K277" s="2"/>
      <c r="L277" s="2"/>
      <c r="M277" s="2"/>
      <c r="N277" s="2"/>
      <c r="O277" s="2"/>
      <c r="P277" s="2"/>
      <c r="Q277" s="2"/>
      <c r="R277" s="2"/>
      <c r="S277" s="2"/>
      <c r="T277" s="2"/>
      <c r="U277" s="2"/>
      <c r="V277" s="2"/>
      <c r="W277" s="2"/>
    </row>
    <row r="278">
      <c r="A278" s="2"/>
      <c r="B278" s="2"/>
      <c r="C278" s="2"/>
      <c r="D278" s="2"/>
      <c r="E278" s="2"/>
      <c r="F278" s="2"/>
      <c r="G278" s="2"/>
      <c r="H278" s="2"/>
      <c r="I278" s="2"/>
      <c r="J278" s="2"/>
      <c r="K278" s="2"/>
      <c r="L278" s="2"/>
      <c r="M278" s="2"/>
      <c r="N278" s="2"/>
      <c r="O278" s="2"/>
      <c r="P278" s="2"/>
      <c r="Q278" s="2"/>
      <c r="R278" s="2"/>
      <c r="S278" s="2"/>
      <c r="T278" s="2"/>
      <c r="U278" s="2"/>
      <c r="V278" s="2"/>
      <c r="W278" s="2"/>
    </row>
    <row r="279">
      <c r="A279" s="2"/>
      <c r="B279" s="2"/>
      <c r="C279" s="2"/>
      <c r="D279" s="2"/>
      <c r="E279" s="2"/>
      <c r="F279" s="2"/>
      <c r="G279" s="2"/>
      <c r="H279" s="2"/>
      <c r="I279" s="2"/>
      <c r="J279" s="2"/>
      <c r="K279" s="2"/>
      <c r="L279" s="2"/>
      <c r="M279" s="2"/>
      <c r="N279" s="2"/>
      <c r="O279" s="2"/>
      <c r="P279" s="2"/>
      <c r="Q279" s="2"/>
      <c r="R279" s="2"/>
      <c r="S279" s="2"/>
      <c r="T279" s="2"/>
      <c r="U279" s="2"/>
      <c r="V279" s="2"/>
      <c r="W279" s="2"/>
    </row>
    <row r="280">
      <c r="A280" s="2"/>
      <c r="B280" s="2"/>
      <c r="C280" s="2"/>
      <c r="D280" s="2"/>
      <c r="E280" s="2"/>
      <c r="F280" s="2"/>
      <c r="G280" s="2"/>
      <c r="H280" s="2"/>
      <c r="I280" s="2"/>
      <c r="J280" s="2"/>
      <c r="K280" s="2"/>
      <c r="L280" s="2"/>
      <c r="M280" s="2"/>
      <c r="N280" s="2"/>
      <c r="O280" s="2"/>
      <c r="P280" s="2"/>
      <c r="Q280" s="2"/>
      <c r="R280" s="2"/>
      <c r="S280" s="2"/>
      <c r="T280" s="2"/>
      <c r="U280" s="2"/>
      <c r="V280" s="2"/>
      <c r="W280" s="2"/>
    </row>
    <row r="281">
      <c r="A281" s="2"/>
      <c r="B281" s="2"/>
      <c r="C281" s="2"/>
      <c r="D281" s="2"/>
      <c r="E281" s="2"/>
      <c r="F281" s="2"/>
      <c r="G281" s="2"/>
      <c r="H281" s="2"/>
      <c r="I281" s="2"/>
      <c r="J281" s="2"/>
      <c r="K281" s="2"/>
      <c r="L281" s="2"/>
      <c r="M281" s="2"/>
      <c r="N281" s="2"/>
      <c r="O281" s="2"/>
      <c r="P281" s="2"/>
      <c r="Q281" s="2"/>
      <c r="R281" s="2"/>
      <c r="S281" s="2"/>
      <c r="T281" s="2"/>
      <c r="U281" s="2"/>
      <c r="V281" s="2"/>
      <c r="W281" s="2"/>
    </row>
    <row r="282">
      <c r="A282" s="2"/>
      <c r="B282" s="2"/>
      <c r="C282" s="2"/>
      <c r="D282" s="2"/>
      <c r="E282" s="2"/>
      <c r="F282" s="2"/>
      <c r="G282" s="2"/>
      <c r="H282" s="2"/>
      <c r="I282" s="2"/>
      <c r="J282" s="2"/>
      <c r="K282" s="2"/>
      <c r="L282" s="2"/>
      <c r="M282" s="2"/>
      <c r="N282" s="2"/>
      <c r="O282" s="2"/>
      <c r="P282" s="2"/>
      <c r="Q282" s="2"/>
      <c r="R282" s="2"/>
      <c r="S282" s="2"/>
      <c r="T282" s="2"/>
      <c r="U282" s="2"/>
      <c r="V282" s="2"/>
      <c r="W282" s="2"/>
    </row>
    <row r="283">
      <c r="A283" s="2"/>
      <c r="B283" s="2"/>
      <c r="C283" s="2"/>
      <c r="D283" s="2"/>
      <c r="E283" s="2"/>
      <c r="F283" s="2"/>
      <c r="G283" s="2"/>
      <c r="H283" s="2"/>
      <c r="I283" s="2"/>
      <c r="J283" s="2"/>
      <c r="K283" s="2"/>
      <c r="L283" s="2"/>
      <c r="M283" s="2"/>
      <c r="N283" s="2"/>
      <c r="O283" s="2"/>
      <c r="P283" s="2"/>
      <c r="Q283" s="2"/>
      <c r="R283" s="2"/>
      <c r="S283" s="2"/>
      <c r="T283" s="2"/>
      <c r="U283" s="2"/>
      <c r="V283" s="2"/>
      <c r="W283" s="2"/>
    </row>
    <row r="284">
      <c r="A284" s="2"/>
      <c r="B284" s="2"/>
      <c r="C284" s="2"/>
      <c r="D284" s="2"/>
      <c r="E284" s="2"/>
      <c r="F284" s="2"/>
      <c r="G284" s="2"/>
      <c r="H284" s="2"/>
      <c r="I284" s="2"/>
      <c r="J284" s="2"/>
      <c r="K284" s="2"/>
      <c r="L284" s="2"/>
      <c r="M284" s="2"/>
      <c r="N284" s="2"/>
      <c r="O284" s="2"/>
      <c r="P284" s="2"/>
      <c r="Q284" s="2"/>
      <c r="R284" s="2"/>
      <c r="S284" s="2"/>
      <c r="T284" s="2"/>
      <c r="U284" s="2"/>
      <c r="V284" s="2"/>
      <c r="W284" s="2"/>
    </row>
    <row r="285">
      <c r="A285" s="2"/>
      <c r="B285" s="2"/>
      <c r="C285" s="2"/>
      <c r="D285" s="2"/>
      <c r="E285" s="2"/>
      <c r="F285" s="2"/>
      <c r="G285" s="2"/>
      <c r="H285" s="2"/>
      <c r="I285" s="2"/>
      <c r="J285" s="2"/>
      <c r="K285" s="2"/>
      <c r="L285" s="2"/>
      <c r="M285" s="2"/>
      <c r="N285" s="2"/>
      <c r="O285" s="2"/>
      <c r="P285" s="2"/>
      <c r="Q285" s="2"/>
      <c r="R285" s="2"/>
      <c r="S285" s="2"/>
      <c r="T285" s="2"/>
      <c r="U285" s="2"/>
      <c r="V285" s="2"/>
      <c r="W285" s="2"/>
    </row>
    <row r="286">
      <c r="A286" s="2"/>
      <c r="B286" s="2"/>
      <c r="C286" s="2"/>
      <c r="D286" s="2"/>
      <c r="E286" s="2"/>
      <c r="F286" s="2"/>
      <c r="G286" s="2"/>
      <c r="H286" s="2"/>
      <c r="I286" s="2"/>
      <c r="J286" s="2"/>
      <c r="K286" s="2"/>
      <c r="L286" s="2"/>
      <c r="M286" s="2"/>
      <c r="N286" s="2"/>
      <c r="O286" s="2"/>
      <c r="P286" s="2"/>
      <c r="Q286" s="2"/>
      <c r="R286" s="2"/>
      <c r="S286" s="2"/>
      <c r="T286" s="2"/>
      <c r="U286" s="2"/>
      <c r="V286" s="2"/>
      <c r="W286" s="2"/>
    </row>
    <row r="287">
      <c r="A287" s="2"/>
      <c r="B287" s="2"/>
      <c r="C287" s="2"/>
      <c r="D287" s="2"/>
      <c r="E287" s="2"/>
      <c r="F287" s="2"/>
      <c r="G287" s="2"/>
      <c r="H287" s="2"/>
      <c r="I287" s="2"/>
      <c r="J287" s="2"/>
      <c r="K287" s="2"/>
      <c r="L287" s="2"/>
      <c r="M287" s="2"/>
      <c r="N287" s="2"/>
      <c r="O287" s="2"/>
      <c r="P287" s="2"/>
      <c r="Q287" s="2"/>
      <c r="R287" s="2"/>
      <c r="S287" s="2"/>
      <c r="T287" s="2"/>
      <c r="U287" s="2"/>
      <c r="V287" s="2"/>
      <c r="W287" s="2"/>
    </row>
    <row r="288">
      <c r="A288" s="2"/>
      <c r="B288" s="2"/>
      <c r="C288" s="2"/>
      <c r="D288" s="2"/>
      <c r="E288" s="2"/>
      <c r="F288" s="2"/>
      <c r="G288" s="2"/>
      <c r="H288" s="2"/>
      <c r="I288" s="2"/>
      <c r="J288" s="2"/>
      <c r="K288" s="2"/>
      <c r="L288" s="2"/>
      <c r="M288" s="2"/>
      <c r="N288" s="2"/>
      <c r="O288" s="2"/>
      <c r="P288" s="2"/>
      <c r="Q288" s="2"/>
      <c r="R288" s="2"/>
      <c r="S288" s="2"/>
      <c r="T288" s="2"/>
      <c r="U288" s="2"/>
      <c r="V288" s="2"/>
      <c r="W288" s="2"/>
    </row>
    <row r="289">
      <c r="A289" s="2"/>
      <c r="B289" s="2"/>
      <c r="C289" s="2"/>
      <c r="D289" s="2"/>
      <c r="E289" s="2"/>
      <c r="F289" s="2"/>
      <c r="G289" s="2"/>
      <c r="H289" s="2"/>
      <c r="I289" s="2"/>
      <c r="J289" s="2"/>
      <c r="K289" s="2"/>
      <c r="L289" s="2"/>
      <c r="M289" s="2"/>
      <c r="N289" s="2"/>
      <c r="O289" s="2"/>
      <c r="P289" s="2"/>
      <c r="Q289" s="2"/>
      <c r="R289" s="2"/>
      <c r="S289" s="2"/>
      <c r="T289" s="2"/>
      <c r="U289" s="2"/>
      <c r="V289" s="2"/>
      <c r="W289" s="2"/>
    </row>
    <row r="290">
      <c r="A290" s="2"/>
      <c r="B290" s="2"/>
      <c r="C290" s="2"/>
      <c r="D290" s="2"/>
      <c r="E290" s="2"/>
      <c r="F290" s="2"/>
      <c r="G290" s="2"/>
      <c r="H290" s="2"/>
      <c r="I290" s="2"/>
      <c r="J290" s="2"/>
      <c r="K290" s="2"/>
      <c r="L290" s="2"/>
      <c r="M290" s="2"/>
      <c r="N290" s="2"/>
      <c r="O290" s="2"/>
      <c r="P290" s="2"/>
      <c r="Q290" s="2"/>
      <c r="R290" s="2"/>
      <c r="S290" s="2"/>
      <c r="T290" s="2"/>
      <c r="U290" s="2"/>
      <c r="V290" s="2"/>
      <c r="W290" s="2"/>
    </row>
    <row r="291">
      <c r="A291" s="2"/>
      <c r="B291" s="2"/>
      <c r="C291" s="2"/>
      <c r="D291" s="2"/>
      <c r="E291" s="2"/>
      <c r="F291" s="2"/>
      <c r="G291" s="2"/>
      <c r="H291" s="2"/>
      <c r="I291" s="2"/>
      <c r="J291" s="2"/>
      <c r="K291" s="2"/>
      <c r="L291" s="2"/>
      <c r="M291" s="2"/>
      <c r="N291" s="2"/>
      <c r="O291" s="2"/>
      <c r="P291" s="2"/>
      <c r="Q291" s="2"/>
      <c r="R291" s="2"/>
      <c r="S291" s="2"/>
      <c r="T291" s="2"/>
      <c r="U291" s="2"/>
      <c r="V291" s="2"/>
      <c r="W291" s="2"/>
    </row>
    <row r="292">
      <c r="A292" s="2"/>
      <c r="B292" s="2"/>
      <c r="C292" s="2"/>
      <c r="D292" s="2"/>
      <c r="E292" s="2"/>
      <c r="F292" s="2"/>
      <c r="G292" s="2"/>
      <c r="H292" s="2"/>
      <c r="I292" s="2"/>
      <c r="J292" s="2"/>
      <c r="K292" s="2"/>
      <c r="L292" s="2"/>
      <c r="M292" s="2"/>
      <c r="N292" s="2"/>
      <c r="O292" s="2"/>
      <c r="P292" s="2"/>
      <c r="Q292" s="2"/>
      <c r="R292" s="2"/>
      <c r="S292" s="2"/>
      <c r="T292" s="2"/>
      <c r="U292" s="2"/>
      <c r="V292" s="2"/>
      <c r="W292" s="2"/>
    </row>
    <row r="293">
      <c r="A293" s="2"/>
      <c r="B293" s="2"/>
      <c r="C293" s="2"/>
      <c r="D293" s="2"/>
      <c r="E293" s="2"/>
      <c r="F293" s="2"/>
      <c r="G293" s="2"/>
      <c r="H293" s="2"/>
      <c r="I293" s="2"/>
      <c r="J293" s="2"/>
      <c r="K293" s="2"/>
      <c r="L293" s="2"/>
      <c r="M293" s="2"/>
      <c r="N293" s="2"/>
      <c r="O293" s="2"/>
      <c r="P293" s="2"/>
      <c r="Q293" s="2"/>
      <c r="R293" s="2"/>
      <c r="S293" s="2"/>
      <c r="T293" s="2"/>
      <c r="U293" s="2"/>
      <c r="V293" s="2"/>
      <c r="W293" s="2"/>
    </row>
    <row r="294">
      <c r="A294" s="2"/>
      <c r="B294" s="2"/>
      <c r="C294" s="2"/>
      <c r="D294" s="2"/>
      <c r="E294" s="2"/>
      <c r="F294" s="2"/>
      <c r="G294" s="2"/>
      <c r="H294" s="2"/>
      <c r="I294" s="2"/>
      <c r="J294" s="2"/>
      <c r="K294" s="2"/>
      <c r="L294" s="2"/>
      <c r="M294" s="2"/>
      <c r="N294" s="2"/>
      <c r="O294" s="2"/>
      <c r="P294" s="2"/>
      <c r="Q294" s="2"/>
      <c r="R294" s="2"/>
      <c r="S294" s="2"/>
      <c r="T294" s="2"/>
      <c r="U294" s="2"/>
      <c r="V294" s="2"/>
      <c r="W294" s="2"/>
    </row>
    <row r="295">
      <c r="A295" s="2"/>
      <c r="B295" s="2"/>
      <c r="C295" s="2"/>
      <c r="D295" s="2"/>
      <c r="E295" s="2"/>
      <c r="F295" s="2"/>
      <c r="G295" s="2"/>
      <c r="H295" s="2"/>
      <c r="I295" s="2"/>
      <c r="J295" s="2"/>
      <c r="K295" s="2"/>
      <c r="L295" s="2"/>
      <c r="M295" s="2"/>
      <c r="N295" s="2"/>
      <c r="O295" s="2"/>
      <c r="P295" s="2"/>
      <c r="Q295" s="2"/>
      <c r="R295" s="2"/>
      <c r="S295" s="2"/>
      <c r="T295" s="2"/>
      <c r="U295" s="2"/>
      <c r="V295" s="2"/>
      <c r="W295" s="2"/>
    </row>
    <row r="296">
      <c r="A296" s="2"/>
      <c r="B296" s="2"/>
      <c r="C296" s="2"/>
      <c r="D296" s="2"/>
      <c r="E296" s="2"/>
      <c r="F296" s="2"/>
      <c r="G296" s="2"/>
      <c r="H296" s="2"/>
      <c r="I296" s="2"/>
      <c r="J296" s="2"/>
      <c r="K296" s="2"/>
      <c r="L296" s="2"/>
      <c r="M296" s="2"/>
      <c r="N296" s="2"/>
      <c r="O296" s="2"/>
      <c r="P296" s="2"/>
      <c r="Q296" s="2"/>
      <c r="R296" s="2"/>
      <c r="S296" s="2"/>
      <c r="T296" s="2"/>
      <c r="U296" s="2"/>
      <c r="V296" s="2"/>
      <c r="W296" s="2"/>
    </row>
    <row r="297">
      <c r="A297" s="2"/>
      <c r="B297" s="2"/>
      <c r="C297" s="2"/>
      <c r="D297" s="2"/>
      <c r="E297" s="2"/>
      <c r="F297" s="2"/>
      <c r="G297" s="2"/>
      <c r="H297" s="2"/>
      <c r="I297" s="2"/>
      <c r="J297" s="2"/>
      <c r="K297" s="2"/>
      <c r="L297" s="2"/>
      <c r="M297" s="2"/>
      <c r="N297" s="2"/>
      <c r="O297" s="2"/>
      <c r="P297" s="2"/>
      <c r="Q297" s="2"/>
      <c r="R297" s="2"/>
      <c r="S297" s="2"/>
      <c r="T297" s="2"/>
      <c r="U297" s="2"/>
      <c r="V297" s="2"/>
      <c r="W297" s="2"/>
    </row>
    <row r="298">
      <c r="A298" s="2"/>
      <c r="B298" s="2"/>
      <c r="C298" s="2"/>
      <c r="D298" s="2"/>
      <c r="E298" s="2"/>
      <c r="F298" s="2"/>
      <c r="G298" s="2"/>
      <c r="H298" s="2"/>
      <c r="I298" s="2"/>
      <c r="J298" s="2"/>
      <c r="K298" s="2"/>
      <c r="L298" s="2"/>
      <c r="M298" s="2"/>
      <c r="N298" s="2"/>
      <c r="O298" s="2"/>
      <c r="P298" s="2"/>
      <c r="Q298" s="2"/>
      <c r="R298" s="2"/>
      <c r="S298" s="2"/>
      <c r="T298" s="2"/>
      <c r="U298" s="2"/>
      <c r="V298" s="2"/>
      <c r="W298" s="2"/>
    </row>
    <row r="299">
      <c r="A299" s="2"/>
      <c r="B299" s="2"/>
      <c r="C299" s="2"/>
      <c r="D299" s="2"/>
      <c r="E299" s="2"/>
      <c r="F299" s="2"/>
      <c r="G299" s="2"/>
      <c r="H299" s="2"/>
      <c r="I299" s="2"/>
      <c r="J299" s="2"/>
      <c r="K299" s="2"/>
      <c r="L299" s="2"/>
      <c r="M299" s="2"/>
      <c r="N299" s="2"/>
      <c r="O299" s="2"/>
      <c r="P299" s="2"/>
      <c r="Q299" s="2"/>
      <c r="R299" s="2"/>
      <c r="S299" s="2"/>
      <c r="T299" s="2"/>
      <c r="U299" s="2"/>
      <c r="V299" s="2"/>
      <c r="W299" s="2"/>
    </row>
    <row r="300">
      <c r="A300" s="2"/>
      <c r="B300" s="2"/>
      <c r="C300" s="2"/>
      <c r="D300" s="2"/>
      <c r="E300" s="2"/>
      <c r="F300" s="2"/>
      <c r="G300" s="2"/>
      <c r="H300" s="2"/>
      <c r="I300" s="2"/>
      <c r="J300" s="2"/>
      <c r="K300" s="2"/>
      <c r="L300" s="2"/>
      <c r="M300" s="2"/>
      <c r="N300" s="2"/>
      <c r="O300" s="2"/>
      <c r="P300" s="2"/>
      <c r="Q300" s="2"/>
      <c r="R300" s="2"/>
      <c r="S300" s="2"/>
      <c r="T300" s="2"/>
      <c r="U300" s="2"/>
      <c r="V300" s="2"/>
      <c r="W300" s="2"/>
    </row>
    <row r="301">
      <c r="A301" s="2"/>
      <c r="B301" s="2"/>
      <c r="C301" s="2"/>
      <c r="D301" s="2"/>
      <c r="E301" s="2"/>
      <c r="F301" s="2"/>
      <c r="G301" s="2"/>
      <c r="H301" s="2"/>
      <c r="I301" s="2"/>
      <c r="J301" s="2"/>
      <c r="K301" s="2"/>
      <c r="L301" s="2"/>
      <c r="M301" s="2"/>
      <c r="N301" s="2"/>
      <c r="O301" s="2"/>
      <c r="P301" s="2"/>
      <c r="Q301" s="2"/>
      <c r="R301" s="2"/>
      <c r="S301" s="2"/>
      <c r="T301" s="2"/>
      <c r="U301" s="2"/>
      <c r="V301" s="2"/>
      <c r="W301" s="2"/>
    </row>
    <row r="302">
      <c r="A302" s="2"/>
      <c r="B302" s="2"/>
      <c r="C302" s="2"/>
      <c r="D302" s="2"/>
      <c r="E302" s="2"/>
      <c r="F302" s="2"/>
      <c r="G302" s="2"/>
      <c r="H302" s="2"/>
      <c r="I302" s="2"/>
      <c r="J302" s="2"/>
      <c r="K302" s="2"/>
      <c r="L302" s="2"/>
      <c r="M302" s="2"/>
      <c r="N302" s="2"/>
      <c r="O302" s="2"/>
      <c r="P302" s="2"/>
      <c r="Q302" s="2"/>
      <c r="R302" s="2"/>
      <c r="S302" s="2"/>
      <c r="T302" s="2"/>
      <c r="U302" s="2"/>
      <c r="V302" s="2"/>
      <c r="W302" s="2"/>
    </row>
    <row r="303">
      <c r="A303" s="2"/>
      <c r="B303" s="2"/>
      <c r="C303" s="2"/>
      <c r="D303" s="2"/>
      <c r="E303" s="2"/>
      <c r="F303" s="2"/>
      <c r="G303" s="2"/>
      <c r="H303" s="2"/>
      <c r="I303" s="2"/>
      <c r="J303" s="2"/>
      <c r="K303" s="2"/>
      <c r="L303" s="2"/>
      <c r="M303" s="2"/>
      <c r="N303" s="2"/>
      <c r="O303" s="2"/>
      <c r="P303" s="2"/>
      <c r="Q303" s="2"/>
      <c r="R303" s="2"/>
      <c r="S303" s="2"/>
      <c r="T303" s="2"/>
      <c r="U303" s="2"/>
      <c r="V303" s="2"/>
      <c r="W303" s="2"/>
    </row>
    <row r="304">
      <c r="A304" s="2"/>
      <c r="B304" s="2"/>
      <c r="C304" s="2"/>
      <c r="D304" s="2"/>
      <c r="E304" s="2"/>
      <c r="F304" s="2"/>
      <c r="G304" s="2"/>
      <c r="H304" s="2"/>
      <c r="I304" s="2"/>
      <c r="J304" s="2"/>
      <c r="K304" s="2"/>
      <c r="L304" s="2"/>
      <c r="M304" s="2"/>
      <c r="N304" s="2"/>
      <c r="O304" s="2"/>
      <c r="P304" s="2"/>
      <c r="Q304" s="2"/>
      <c r="R304" s="2"/>
      <c r="S304" s="2"/>
      <c r="T304" s="2"/>
      <c r="U304" s="2"/>
      <c r="V304" s="2"/>
      <c r="W304" s="2"/>
    </row>
    <row r="305">
      <c r="A305" s="2"/>
      <c r="B305" s="2"/>
      <c r="C305" s="2"/>
      <c r="D305" s="2"/>
      <c r="E305" s="2"/>
      <c r="F305" s="2"/>
      <c r="G305" s="2"/>
      <c r="H305" s="2"/>
      <c r="I305" s="2"/>
      <c r="J305" s="2"/>
      <c r="K305" s="2"/>
      <c r="L305" s="2"/>
      <c r="M305" s="2"/>
      <c r="N305" s="2"/>
      <c r="O305" s="2"/>
      <c r="P305" s="2"/>
      <c r="Q305" s="2"/>
      <c r="R305" s="2"/>
      <c r="S305" s="2"/>
      <c r="T305" s="2"/>
      <c r="U305" s="2"/>
      <c r="V305" s="2"/>
      <c r="W305" s="2"/>
    </row>
    <row r="306">
      <c r="A306" s="2"/>
      <c r="B306" s="2"/>
      <c r="C306" s="2"/>
      <c r="D306" s="2"/>
      <c r="E306" s="2"/>
      <c r="F306" s="2"/>
      <c r="G306" s="2"/>
      <c r="H306" s="2"/>
      <c r="I306" s="2"/>
      <c r="J306" s="2"/>
      <c r="K306" s="2"/>
      <c r="L306" s="2"/>
      <c r="M306" s="2"/>
      <c r="N306" s="2"/>
      <c r="O306" s="2"/>
      <c r="P306" s="2"/>
      <c r="Q306" s="2"/>
      <c r="R306" s="2"/>
      <c r="S306" s="2"/>
      <c r="T306" s="2"/>
      <c r="U306" s="2"/>
      <c r="V306" s="2"/>
      <c r="W306" s="2"/>
    </row>
    <row r="307">
      <c r="A307" s="2"/>
      <c r="B307" s="2"/>
      <c r="C307" s="2"/>
      <c r="D307" s="2"/>
      <c r="E307" s="2"/>
      <c r="F307" s="2"/>
      <c r="G307" s="2"/>
      <c r="H307" s="2"/>
      <c r="I307" s="2"/>
      <c r="J307" s="2"/>
      <c r="K307" s="2"/>
      <c r="L307" s="2"/>
      <c r="M307" s="2"/>
      <c r="N307" s="2"/>
      <c r="O307" s="2"/>
      <c r="P307" s="2"/>
      <c r="Q307" s="2"/>
      <c r="R307" s="2"/>
      <c r="S307" s="2"/>
      <c r="T307" s="2"/>
      <c r="U307" s="2"/>
      <c r="V307" s="2"/>
      <c r="W307" s="2"/>
    </row>
    <row r="308">
      <c r="A308" s="2"/>
      <c r="B308" s="2"/>
      <c r="C308" s="2"/>
      <c r="D308" s="2"/>
      <c r="E308" s="2"/>
      <c r="F308" s="2"/>
      <c r="G308" s="2"/>
      <c r="H308" s="2"/>
      <c r="I308" s="2"/>
      <c r="J308" s="2"/>
      <c r="K308" s="2"/>
      <c r="L308" s="2"/>
      <c r="M308" s="2"/>
      <c r="N308" s="2"/>
      <c r="O308" s="2"/>
      <c r="P308" s="2"/>
      <c r="Q308" s="2"/>
      <c r="R308" s="2"/>
      <c r="S308" s="2"/>
      <c r="T308" s="2"/>
      <c r="U308" s="2"/>
      <c r="V308" s="2"/>
      <c r="W308" s="2"/>
    </row>
    <row r="309">
      <c r="A309" s="2"/>
      <c r="B309" s="2"/>
      <c r="C309" s="2"/>
      <c r="D309" s="2"/>
      <c r="E309" s="2"/>
      <c r="F309" s="2"/>
      <c r="G309" s="2"/>
      <c r="H309" s="2"/>
      <c r="I309" s="2"/>
      <c r="J309" s="2"/>
      <c r="K309" s="2"/>
      <c r="L309" s="2"/>
      <c r="M309" s="2"/>
      <c r="N309" s="2"/>
      <c r="O309" s="2"/>
      <c r="P309" s="2"/>
      <c r="Q309" s="2"/>
      <c r="R309" s="2"/>
      <c r="S309" s="2"/>
      <c r="T309" s="2"/>
      <c r="U309" s="2"/>
      <c r="V309" s="2"/>
      <c r="W309" s="2"/>
    </row>
    <row r="310">
      <c r="A310" s="2"/>
      <c r="B310" s="2"/>
      <c r="C310" s="2"/>
      <c r="D310" s="2"/>
      <c r="E310" s="2"/>
      <c r="F310" s="2"/>
      <c r="G310" s="2"/>
      <c r="H310" s="2"/>
      <c r="I310" s="2"/>
      <c r="J310" s="2"/>
      <c r="K310" s="2"/>
      <c r="L310" s="2"/>
      <c r="M310" s="2"/>
      <c r="N310" s="2"/>
      <c r="O310" s="2"/>
      <c r="P310" s="2"/>
      <c r="Q310" s="2"/>
      <c r="R310" s="2"/>
      <c r="S310" s="2"/>
      <c r="T310" s="2"/>
      <c r="U310" s="2"/>
      <c r="V310" s="2"/>
      <c r="W310" s="2"/>
    </row>
    <row r="311">
      <c r="A311" s="2"/>
      <c r="B311" s="2"/>
      <c r="C311" s="2"/>
      <c r="D311" s="2"/>
      <c r="E311" s="2"/>
      <c r="F311" s="2"/>
      <c r="G311" s="2"/>
      <c r="H311" s="2"/>
      <c r="I311" s="2"/>
      <c r="J311" s="2"/>
      <c r="K311" s="2"/>
      <c r="L311" s="2"/>
      <c r="M311" s="2"/>
      <c r="N311" s="2"/>
      <c r="O311" s="2"/>
      <c r="P311" s="2"/>
      <c r="Q311" s="2"/>
      <c r="R311" s="2"/>
      <c r="S311" s="2"/>
      <c r="T311" s="2"/>
      <c r="U311" s="2"/>
      <c r="V311" s="2"/>
      <c r="W311" s="2"/>
    </row>
    <row r="312">
      <c r="A312" s="2"/>
      <c r="B312" s="2"/>
      <c r="C312" s="2"/>
      <c r="D312" s="2"/>
      <c r="E312" s="2"/>
      <c r="F312" s="2"/>
      <c r="G312" s="2"/>
      <c r="H312" s="2"/>
      <c r="I312" s="2"/>
      <c r="J312" s="2"/>
      <c r="K312" s="2"/>
      <c r="L312" s="2"/>
      <c r="M312" s="2"/>
      <c r="N312" s="2"/>
      <c r="O312" s="2"/>
      <c r="P312" s="2"/>
      <c r="Q312" s="2"/>
      <c r="R312" s="2"/>
      <c r="S312" s="2"/>
      <c r="T312" s="2"/>
      <c r="U312" s="2"/>
      <c r="V312" s="2"/>
      <c r="W312" s="2"/>
    </row>
    <row r="313">
      <c r="A313" s="2"/>
      <c r="B313" s="2"/>
      <c r="C313" s="2"/>
      <c r="D313" s="2"/>
      <c r="E313" s="2"/>
      <c r="F313" s="2"/>
      <c r="G313" s="2"/>
      <c r="H313" s="2"/>
      <c r="I313" s="2"/>
      <c r="J313" s="2"/>
      <c r="K313" s="2"/>
      <c r="L313" s="2"/>
      <c r="M313" s="2"/>
      <c r="N313" s="2"/>
      <c r="O313" s="2"/>
      <c r="P313" s="2"/>
      <c r="Q313" s="2"/>
      <c r="R313" s="2"/>
      <c r="S313" s="2"/>
      <c r="T313" s="2"/>
      <c r="U313" s="2"/>
      <c r="V313" s="2"/>
      <c r="W313" s="2"/>
    </row>
    <row r="314">
      <c r="A314" s="2"/>
      <c r="B314" s="2"/>
      <c r="C314" s="2"/>
      <c r="D314" s="2"/>
      <c r="E314" s="2"/>
      <c r="F314" s="2"/>
      <c r="G314" s="2"/>
      <c r="H314" s="2"/>
      <c r="I314" s="2"/>
      <c r="J314" s="2"/>
      <c r="K314" s="2"/>
      <c r="L314" s="2"/>
      <c r="M314" s="2"/>
      <c r="N314" s="2"/>
      <c r="O314" s="2"/>
      <c r="P314" s="2"/>
      <c r="Q314" s="2"/>
      <c r="R314" s="2"/>
      <c r="S314" s="2"/>
      <c r="T314" s="2"/>
      <c r="U314" s="2"/>
      <c r="V314" s="2"/>
      <c r="W314" s="2"/>
    </row>
    <row r="315">
      <c r="A315" s="2"/>
      <c r="B315" s="2"/>
      <c r="C315" s="2"/>
      <c r="D315" s="2"/>
      <c r="E315" s="2"/>
      <c r="F315" s="2"/>
      <c r="G315" s="2"/>
      <c r="H315" s="2"/>
      <c r="I315" s="2"/>
      <c r="J315" s="2"/>
      <c r="K315" s="2"/>
      <c r="L315" s="2"/>
      <c r="M315" s="2"/>
      <c r="N315" s="2"/>
      <c r="O315" s="2"/>
      <c r="P315" s="2"/>
      <c r="Q315" s="2"/>
      <c r="R315" s="2"/>
      <c r="S315" s="2"/>
      <c r="T315" s="2"/>
      <c r="U315" s="2"/>
      <c r="V315" s="2"/>
      <c r="W315" s="2"/>
    </row>
    <row r="316">
      <c r="A316" s="2"/>
      <c r="B316" s="2"/>
      <c r="C316" s="2"/>
      <c r="D316" s="2"/>
      <c r="E316" s="2"/>
      <c r="F316" s="2"/>
      <c r="G316" s="2"/>
      <c r="H316" s="2"/>
      <c r="I316" s="2"/>
      <c r="J316" s="2"/>
      <c r="K316" s="2"/>
      <c r="L316" s="2"/>
      <c r="M316" s="2"/>
      <c r="N316" s="2"/>
      <c r="O316" s="2"/>
      <c r="P316" s="2"/>
      <c r="Q316" s="2"/>
      <c r="R316" s="2"/>
      <c r="S316" s="2"/>
      <c r="T316" s="2"/>
      <c r="U316" s="2"/>
      <c r="V316" s="2"/>
      <c r="W316" s="2"/>
    </row>
    <row r="317">
      <c r="A317" s="2"/>
      <c r="B317" s="2"/>
      <c r="C317" s="2"/>
      <c r="D317" s="2"/>
      <c r="E317" s="2"/>
      <c r="F317" s="2"/>
      <c r="G317" s="2"/>
      <c r="H317" s="2"/>
      <c r="I317" s="2"/>
      <c r="J317" s="2"/>
      <c r="K317" s="2"/>
      <c r="L317" s="2"/>
      <c r="M317" s="2"/>
      <c r="N317" s="2"/>
      <c r="O317" s="2"/>
      <c r="P317" s="2"/>
      <c r="Q317" s="2"/>
      <c r="R317" s="2"/>
      <c r="S317" s="2"/>
      <c r="T317" s="2"/>
      <c r="U317" s="2"/>
      <c r="V317" s="2"/>
      <c r="W317" s="2"/>
    </row>
    <row r="318">
      <c r="A318" s="2"/>
      <c r="B318" s="2"/>
      <c r="C318" s="2"/>
      <c r="D318" s="2"/>
      <c r="E318" s="2"/>
      <c r="F318" s="2"/>
      <c r="G318" s="2"/>
      <c r="H318" s="2"/>
      <c r="I318" s="2"/>
      <c r="J318" s="2"/>
      <c r="K318" s="2"/>
      <c r="L318" s="2"/>
      <c r="M318" s="2"/>
      <c r="N318" s="2"/>
      <c r="O318" s="2"/>
      <c r="P318" s="2"/>
      <c r="Q318" s="2"/>
      <c r="R318" s="2"/>
      <c r="S318" s="2"/>
      <c r="T318" s="2"/>
      <c r="U318" s="2"/>
      <c r="V318" s="2"/>
      <c r="W318" s="2"/>
    </row>
    <row r="319">
      <c r="A319" s="2"/>
      <c r="B319" s="2"/>
      <c r="C319" s="2"/>
      <c r="D319" s="2"/>
      <c r="E319" s="2"/>
      <c r="F319" s="2"/>
      <c r="G319" s="2"/>
      <c r="H319" s="2"/>
      <c r="I319" s="2"/>
      <c r="J319" s="2"/>
      <c r="K319" s="2"/>
      <c r="L319" s="2"/>
      <c r="M319" s="2"/>
      <c r="N319" s="2"/>
      <c r="O319" s="2"/>
      <c r="P319" s="2"/>
      <c r="Q319" s="2"/>
      <c r="R319" s="2"/>
      <c r="S319" s="2"/>
      <c r="T319" s="2"/>
      <c r="U319" s="2"/>
      <c r="V319" s="2"/>
      <c r="W319" s="2"/>
    </row>
    <row r="320">
      <c r="A320" s="2"/>
      <c r="B320" s="2"/>
      <c r="C320" s="2"/>
      <c r="D320" s="2"/>
      <c r="E320" s="2"/>
      <c r="F320" s="2"/>
      <c r="G320" s="2"/>
      <c r="H320" s="2"/>
      <c r="I320" s="2"/>
      <c r="J320" s="2"/>
      <c r="K320" s="2"/>
      <c r="L320" s="2"/>
      <c r="M320" s="2"/>
      <c r="N320" s="2"/>
      <c r="O320" s="2"/>
      <c r="P320" s="2"/>
      <c r="Q320" s="2"/>
      <c r="R320" s="2"/>
      <c r="S320" s="2"/>
      <c r="T320" s="2"/>
      <c r="U320" s="2"/>
      <c r="V320" s="2"/>
      <c r="W320" s="2"/>
    </row>
    <row r="321">
      <c r="A321" s="2"/>
      <c r="B321" s="2"/>
      <c r="C321" s="2"/>
      <c r="D321" s="2"/>
      <c r="E321" s="2"/>
      <c r="F321" s="2"/>
      <c r="G321" s="2"/>
      <c r="H321" s="2"/>
      <c r="I321" s="2"/>
      <c r="J321" s="2"/>
      <c r="K321" s="2"/>
      <c r="L321" s="2"/>
      <c r="M321" s="2"/>
      <c r="N321" s="2"/>
      <c r="O321" s="2"/>
      <c r="P321" s="2"/>
      <c r="Q321" s="2"/>
      <c r="R321" s="2"/>
      <c r="S321" s="2"/>
      <c r="T321" s="2"/>
      <c r="U321" s="2"/>
      <c r="V321" s="2"/>
      <c r="W321" s="2"/>
    </row>
    <row r="322">
      <c r="A322" s="2"/>
      <c r="B322" s="2"/>
      <c r="C322" s="2"/>
      <c r="D322" s="2"/>
      <c r="E322" s="2"/>
      <c r="F322" s="2"/>
      <c r="G322" s="2"/>
      <c r="H322" s="2"/>
      <c r="I322" s="2"/>
      <c r="J322" s="2"/>
      <c r="K322" s="2"/>
      <c r="L322" s="2"/>
      <c r="M322" s="2"/>
      <c r="N322" s="2"/>
      <c r="O322" s="2"/>
      <c r="P322" s="2"/>
      <c r="Q322" s="2"/>
      <c r="R322" s="2"/>
      <c r="S322" s="2"/>
      <c r="T322" s="2"/>
      <c r="U322" s="2"/>
      <c r="V322" s="2"/>
      <c r="W322" s="2"/>
    </row>
    <row r="323">
      <c r="A323" s="2"/>
      <c r="B323" s="2"/>
      <c r="C323" s="2"/>
      <c r="D323" s="2"/>
      <c r="E323" s="2"/>
      <c r="F323" s="2"/>
      <c r="G323" s="2"/>
      <c r="H323" s="2"/>
      <c r="I323" s="2"/>
      <c r="J323" s="2"/>
      <c r="K323" s="2"/>
      <c r="L323" s="2"/>
      <c r="M323" s="2"/>
      <c r="N323" s="2"/>
      <c r="O323" s="2"/>
      <c r="P323" s="2"/>
      <c r="Q323" s="2"/>
      <c r="R323" s="2"/>
      <c r="S323" s="2"/>
      <c r="T323" s="2"/>
      <c r="U323" s="2"/>
      <c r="V323" s="2"/>
      <c r="W323" s="2"/>
    </row>
    <row r="324">
      <c r="A324" s="2"/>
      <c r="B324" s="2"/>
      <c r="C324" s="2"/>
      <c r="D324" s="2"/>
      <c r="E324" s="2"/>
      <c r="F324" s="2"/>
      <c r="G324" s="2"/>
      <c r="H324" s="2"/>
      <c r="I324" s="2"/>
      <c r="J324" s="2"/>
      <c r="K324" s="2"/>
      <c r="L324" s="2"/>
      <c r="M324" s="2"/>
      <c r="N324" s="2"/>
      <c r="O324" s="2"/>
      <c r="P324" s="2"/>
      <c r="Q324" s="2"/>
      <c r="R324" s="2"/>
      <c r="S324" s="2"/>
      <c r="T324" s="2"/>
      <c r="U324" s="2"/>
      <c r="V324" s="2"/>
      <c r="W324" s="2"/>
    </row>
    <row r="325">
      <c r="A325" s="2"/>
      <c r="B325" s="2"/>
      <c r="C325" s="2"/>
      <c r="D325" s="2"/>
      <c r="E325" s="2"/>
      <c r="F325" s="2"/>
      <c r="G325" s="2"/>
      <c r="H325" s="2"/>
      <c r="I325" s="2"/>
      <c r="J325" s="2"/>
      <c r="K325" s="2"/>
      <c r="L325" s="2"/>
      <c r="M325" s="2"/>
      <c r="N325" s="2"/>
      <c r="O325" s="2"/>
      <c r="P325" s="2"/>
      <c r="Q325" s="2"/>
      <c r="R325" s="2"/>
      <c r="S325" s="2"/>
      <c r="T325" s="2"/>
      <c r="U325" s="2"/>
      <c r="V325" s="2"/>
      <c r="W325" s="2"/>
    </row>
    <row r="326">
      <c r="A326" s="2"/>
      <c r="B326" s="2"/>
      <c r="C326" s="2"/>
      <c r="D326" s="2"/>
      <c r="E326" s="2"/>
      <c r="F326" s="2"/>
      <c r="G326" s="2"/>
      <c r="H326" s="2"/>
      <c r="I326" s="2"/>
      <c r="J326" s="2"/>
      <c r="K326" s="2"/>
      <c r="L326" s="2"/>
      <c r="M326" s="2"/>
      <c r="N326" s="2"/>
      <c r="O326" s="2"/>
      <c r="P326" s="2"/>
      <c r="Q326" s="2"/>
      <c r="R326" s="2"/>
      <c r="S326" s="2"/>
      <c r="T326" s="2"/>
      <c r="U326" s="2"/>
      <c r="V326" s="2"/>
      <c r="W326" s="2"/>
    </row>
    <row r="327">
      <c r="A327" s="2"/>
      <c r="B327" s="2"/>
      <c r="C327" s="2"/>
      <c r="D327" s="2"/>
      <c r="E327" s="2"/>
      <c r="F327" s="2"/>
      <c r="G327" s="2"/>
      <c r="H327" s="2"/>
      <c r="I327" s="2"/>
      <c r="J327" s="2"/>
      <c r="K327" s="2"/>
      <c r="L327" s="2"/>
      <c r="M327" s="2"/>
      <c r="N327" s="2"/>
      <c r="O327" s="2"/>
      <c r="P327" s="2"/>
      <c r="Q327" s="2"/>
      <c r="R327" s="2"/>
      <c r="S327" s="2"/>
      <c r="T327" s="2"/>
      <c r="U327" s="2"/>
      <c r="V327" s="2"/>
      <c r="W327" s="2"/>
    </row>
    <row r="328">
      <c r="A328" s="2"/>
      <c r="B328" s="2"/>
      <c r="C328" s="2"/>
      <c r="D328" s="2"/>
      <c r="E328" s="2"/>
      <c r="F328" s="2"/>
      <c r="G328" s="2"/>
      <c r="H328" s="2"/>
      <c r="I328" s="2"/>
      <c r="J328" s="2"/>
      <c r="K328" s="2"/>
      <c r="L328" s="2"/>
      <c r="M328" s="2"/>
      <c r="N328" s="2"/>
      <c r="O328" s="2"/>
      <c r="P328" s="2"/>
      <c r="Q328" s="2"/>
      <c r="R328" s="2"/>
      <c r="S328" s="2"/>
      <c r="T328" s="2"/>
      <c r="U328" s="2"/>
      <c r="V328" s="2"/>
      <c r="W328" s="2"/>
    </row>
    <row r="329">
      <c r="A329" s="2"/>
      <c r="B329" s="2"/>
      <c r="C329" s="2"/>
      <c r="D329" s="2"/>
      <c r="E329" s="2"/>
      <c r="F329" s="2"/>
      <c r="G329" s="2"/>
      <c r="H329" s="2"/>
      <c r="I329" s="2"/>
      <c r="J329" s="2"/>
      <c r="K329" s="2"/>
      <c r="L329" s="2"/>
      <c r="M329" s="2"/>
      <c r="N329" s="2"/>
      <c r="O329" s="2"/>
      <c r="P329" s="2"/>
      <c r="Q329" s="2"/>
      <c r="R329" s="2"/>
      <c r="S329" s="2"/>
      <c r="T329" s="2"/>
      <c r="U329" s="2"/>
      <c r="V329" s="2"/>
      <c r="W329" s="2"/>
    </row>
    <row r="330">
      <c r="A330" s="2"/>
      <c r="B330" s="2"/>
      <c r="C330" s="2"/>
      <c r="D330" s="2"/>
      <c r="E330" s="2"/>
      <c r="F330" s="2"/>
      <c r="G330" s="2"/>
      <c r="H330" s="2"/>
      <c r="I330" s="2"/>
      <c r="J330" s="2"/>
      <c r="K330" s="2"/>
      <c r="L330" s="2"/>
      <c r="M330" s="2"/>
      <c r="N330" s="2"/>
      <c r="O330" s="2"/>
      <c r="P330" s="2"/>
      <c r="Q330" s="2"/>
      <c r="R330" s="2"/>
      <c r="S330" s="2"/>
      <c r="T330" s="2"/>
      <c r="U330" s="2"/>
      <c r="V330" s="2"/>
      <c r="W330" s="2"/>
    </row>
    <row r="331">
      <c r="A331" s="2"/>
      <c r="B331" s="2"/>
      <c r="C331" s="2"/>
      <c r="D331" s="2"/>
      <c r="E331" s="2"/>
      <c r="F331" s="2"/>
      <c r="G331" s="2"/>
      <c r="H331" s="2"/>
      <c r="I331" s="2"/>
      <c r="J331" s="2"/>
      <c r="K331" s="2"/>
      <c r="L331" s="2"/>
      <c r="M331" s="2"/>
      <c r="N331" s="2"/>
      <c r="O331" s="2"/>
      <c r="P331" s="2"/>
      <c r="Q331" s="2"/>
      <c r="R331" s="2"/>
      <c r="S331" s="2"/>
      <c r="T331" s="2"/>
      <c r="U331" s="2"/>
      <c r="V331" s="2"/>
      <c r="W331" s="2"/>
    </row>
    <row r="332">
      <c r="A332" s="2"/>
      <c r="B332" s="2"/>
      <c r="C332" s="2"/>
      <c r="D332" s="2"/>
      <c r="E332" s="2"/>
      <c r="F332" s="2"/>
      <c r="G332" s="2"/>
      <c r="H332" s="2"/>
      <c r="I332" s="2"/>
      <c r="J332" s="2"/>
      <c r="K332" s="2"/>
      <c r="L332" s="2"/>
      <c r="M332" s="2"/>
      <c r="N332" s="2"/>
      <c r="O332" s="2"/>
      <c r="P332" s="2"/>
      <c r="Q332" s="2"/>
      <c r="R332" s="2"/>
      <c r="S332" s="2"/>
      <c r="T332" s="2"/>
      <c r="U332" s="2"/>
      <c r="V332" s="2"/>
      <c r="W332" s="2"/>
    </row>
    <row r="333">
      <c r="A333" s="2"/>
      <c r="B333" s="2"/>
      <c r="C333" s="2"/>
      <c r="D333" s="2"/>
      <c r="E333" s="2"/>
      <c r="F333" s="2"/>
      <c r="G333" s="2"/>
      <c r="H333" s="2"/>
      <c r="I333" s="2"/>
      <c r="J333" s="2"/>
      <c r="K333" s="2"/>
      <c r="L333" s="2"/>
      <c r="M333" s="2"/>
      <c r="N333" s="2"/>
      <c r="O333" s="2"/>
      <c r="P333" s="2"/>
      <c r="Q333" s="2"/>
      <c r="R333" s="2"/>
      <c r="S333" s="2"/>
      <c r="T333" s="2"/>
      <c r="U333" s="2"/>
      <c r="V333" s="2"/>
      <c r="W333" s="2"/>
    </row>
    <row r="334">
      <c r="A334" s="2"/>
      <c r="B334" s="2"/>
      <c r="C334" s="2"/>
      <c r="D334" s="2"/>
      <c r="E334" s="2"/>
      <c r="F334" s="2"/>
      <c r="G334" s="2"/>
      <c r="H334" s="2"/>
      <c r="I334" s="2"/>
      <c r="J334" s="2"/>
      <c r="K334" s="2"/>
      <c r="L334" s="2"/>
      <c r="M334" s="2"/>
      <c r="N334" s="2"/>
      <c r="O334" s="2"/>
      <c r="P334" s="2"/>
      <c r="Q334" s="2"/>
      <c r="R334" s="2"/>
      <c r="S334" s="2"/>
      <c r="T334" s="2"/>
      <c r="U334" s="2"/>
      <c r="V334" s="2"/>
      <c r="W334" s="2"/>
    </row>
    <row r="335">
      <c r="A335" s="2"/>
      <c r="B335" s="2"/>
      <c r="C335" s="2"/>
      <c r="D335" s="2"/>
      <c r="E335" s="2"/>
      <c r="F335" s="2"/>
      <c r="G335" s="2"/>
      <c r="H335" s="2"/>
      <c r="I335" s="2"/>
      <c r="J335" s="2"/>
      <c r="K335" s="2"/>
      <c r="L335" s="2"/>
      <c r="M335" s="2"/>
      <c r="N335" s="2"/>
      <c r="O335" s="2"/>
      <c r="P335" s="2"/>
      <c r="Q335" s="2"/>
      <c r="R335" s="2"/>
      <c r="S335" s="2"/>
      <c r="T335" s="2"/>
      <c r="U335" s="2"/>
      <c r="V335" s="2"/>
      <c r="W335" s="2"/>
    </row>
    <row r="336">
      <c r="A336" s="2"/>
      <c r="B336" s="2"/>
      <c r="C336" s="2"/>
      <c r="D336" s="2"/>
      <c r="E336" s="2"/>
      <c r="F336" s="2"/>
      <c r="G336" s="2"/>
      <c r="H336" s="2"/>
      <c r="I336" s="2"/>
      <c r="J336" s="2"/>
      <c r="K336" s="2"/>
      <c r="L336" s="2"/>
      <c r="M336" s="2"/>
      <c r="N336" s="2"/>
      <c r="O336" s="2"/>
      <c r="P336" s="2"/>
      <c r="Q336" s="2"/>
      <c r="R336" s="2"/>
      <c r="S336" s="2"/>
      <c r="T336" s="2"/>
      <c r="U336" s="2"/>
      <c r="V336" s="2"/>
      <c r="W336" s="2"/>
    </row>
    <row r="337">
      <c r="A337" s="2"/>
      <c r="B337" s="2"/>
      <c r="C337" s="2"/>
      <c r="D337" s="2"/>
      <c r="E337" s="2"/>
      <c r="F337" s="2"/>
      <c r="G337" s="2"/>
      <c r="H337" s="2"/>
      <c r="I337" s="2"/>
      <c r="J337" s="2"/>
      <c r="K337" s="2"/>
      <c r="L337" s="2"/>
      <c r="M337" s="2"/>
      <c r="N337" s="2"/>
      <c r="O337" s="2"/>
      <c r="P337" s="2"/>
      <c r="Q337" s="2"/>
      <c r="R337" s="2"/>
      <c r="S337" s="2"/>
      <c r="T337" s="2"/>
      <c r="U337" s="2"/>
      <c r="V337" s="2"/>
      <c r="W337" s="2"/>
    </row>
    <row r="338">
      <c r="A338" s="2"/>
      <c r="B338" s="2"/>
      <c r="C338" s="2"/>
      <c r="D338" s="2"/>
      <c r="E338" s="2"/>
      <c r="F338" s="2"/>
      <c r="G338" s="2"/>
      <c r="H338" s="2"/>
      <c r="I338" s="2"/>
      <c r="J338" s="2"/>
      <c r="K338" s="2"/>
      <c r="L338" s="2"/>
      <c r="M338" s="2"/>
      <c r="N338" s="2"/>
      <c r="O338" s="2"/>
      <c r="P338" s="2"/>
      <c r="Q338" s="2"/>
      <c r="R338" s="2"/>
      <c r="S338" s="2"/>
      <c r="T338" s="2"/>
      <c r="U338" s="2"/>
      <c r="V338" s="2"/>
      <c r="W338" s="2"/>
    </row>
    <row r="339">
      <c r="A339" s="2"/>
      <c r="B339" s="2"/>
      <c r="C339" s="2"/>
      <c r="D339" s="2"/>
      <c r="E339" s="2"/>
      <c r="F339" s="2"/>
      <c r="G339" s="2"/>
      <c r="H339" s="2"/>
      <c r="I339" s="2"/>
      <c r="J339" s="2"/>
      <c r="K339" s="2"/>
      <c r="L339" s="2"/>
      <c r="M339" s="2"/>
      <c r="N339" s="2"/>
      <c r="O339" s="2"/>
      <c r="P339" s="2"/>
      <c r="Q339" s="2"/>
      <c r="R339" s="2"/>
      <c r="S339" s="2"/>
      <c r="T339" s="2"/>
      <c r="U339" s="2"/>
      <c r="V339" s="2"/>
      <c r="W339" s="2"/>
    </row>
    <row r="340">
      <c r="A340" s="2"/>
      <c r="B340" s="2"/>
      <c r="C340" s="2"/>
      <c r="D340" s="2"/>
      <c r="E340" s="2"/>
      <c r="F340" s="2"/>
      <c r="G340" s="2"/>
      <c r="H340" s="2"/>
      <c r="I340" s="2"/>
      <c r="J340" s="2"/>
      <c r="K340" s="2"/>
      <c r="L340" s="2"/>
      <c r="M340" s="2"/>
      <c r="N340" s="2"/>
      <c r="O340" s="2"/>
      <c r="P340" s="2"/>
      <c r="Q340" s="2"/>
      <c r="R340" s="2"/>
      <c r="S340" s="2"/>
      <c r="T340" s="2"/>
      <c r="U340" s="2"/>
      <c r="V340" s="2"/>
      <c r="W340" s="2"/>
    </row>
    <row r="341">
      <c r="A341" s="2"/>
      <c r="B341" s="2"/>
      <c r="C341" s="2"/>
      <c r="D341" s="2"/>
      <c r="E341" s="2"/>
      <c r="F341" s="2"/>
      <c r="G341" s="2"/>
      <c r="H341" s="2"/>
      <c r="I341" s="2"/>
      <c r="J341" s="2"/>
      <c r="K341" s="2"/>
      <c r="L341" s="2"/>
      <c r="M341" s="2"/>
      <c r="N341" s="2"/>
      <c r="O341" s="2"/>
      <c r="P341" s="2"/>
      <c r="Q341" s="2"/>
      <c r="R341" s="2"/>
      <c r="S341" s="2"/>
      <c r="T341" s="2"/>
      <c r="U341" s="2"/>
      <c r="V341" s="2"/>
      <c r="W341" s="2"/>
    </row>
    <row r="342">
      <c r="A342" s="2"/>
      <c r="B342" s="2"/>
      <c r="C342" s="2"/>
      <c r="D342" s="2"/>
      <c r="E342" s="2"/>
      <c r="F342" s="2"/>
      <c r="G342" s="2"/>
      <c r="H342" s="2"/>
      <c r="I342" s="2"/>
      <c r="J342" s="2"/>
      <c r="K342" s="2"/>
      <c r="L342" s="2"/>
      <c r="M342" s="2"/>
      <c r="N342" s="2"/>
      <c r="O342" s="2"/>
      <c r="P342" s="2"/>
      <c r="Q342" s="2"/>
      <c r="R342" s="2"/>
      <c r="S342" s="2"/>
      <c r="T342" s="2"/>
      <c r="U342" s="2"/>
      <c r="V342" s="2"/>
      <c r="W342" s="2"/>
    </row>
    <row r="343">
      <c r="A343" s="2"/>
      <c r="B343" s="2"/>
      <c r="C343" s="2"/>
      <c r="D343" s="2"/>
      <c r="E343" s="2"/>
      <c r="F343" s="2"/>
      <c r="G343" s="2"/>
      <c r="H343" s="2"/>
      <c r="I343" s="2"/>
      <c r="J343" s="2"/>
      <c r="K343" s="2"/>
      <c r="L343" s="2"/>
      <c r="M343" s="2"/>
      <c r="N343" s="2"/>
      <c r="O343" s="2"/>
      <c r="P343" s="2"/>
      <c r="Q343" s="2"/>
      <c r="R343" s="2"/>
      <c r="S343" s="2"/>
      <c r="T343" s="2"/>
      <c r="U343" s="2"/>
      <c r="V343" s="2"/>
      <c r="W343" s="2"/>
    </row>
    <row r="344">
      <c r="A344" s="2"/>
      <c r="B344" s="2"/>
      <c r="C344" s="2"/>
      <c r="D344" s="2"/>
      <c r="E344" s="2"/>
      <c r="F344" s="2"/>
      <c r="G344" s="2"/>
      <c r="H344" s="2"/>
      <c r="I344" s="2"/>
      <c r="J344" s="2"/>
      <c r="K344" s="2"/>
      <c r="L344" s="2"/>
      <c r="M344" s="2"/>
      <c r="N344" s="2"/>
      <c r="O344" s="2"/>
      <c r="P344" s="2"/>
      <c r="Q344" s="2"/>
      <c r="R344" s="2"/>
      <c r="S344" s="2"/>
      <c r="T344" s="2"/>
      <c r="U344" s="2"/>
      <c r="V344" s="2"/>
      <c r="W344" s="2"/>
    </row>
    <row r="345">
      <c r="A345" s="2"/>
      <c r="B345" s="2"/>
      <c r="C345" s="2"/>
      <c r="D345" s="2"/>
      <c r="E345" s="2"/>
      <c r="F345" s="2"/>
      <c r="G345" s="2"/>
      <c r="H345" s="2"/>
      <c r="I345" s="2"/>
      <c r="J345" s="2"/>
      <c r="K345" s="2"/>
      <c r="L345" s="2"/>
      <c r="M345" s="2"/>
      <c r="N345" s="2"/>
      <c r="O345" s="2"/>
      <c r="P345" s="2"/>
      <c r="Q345" s="2"/>
      <c r="R345" s="2"/>
      <c r="S345" s="2"/>
      <c r="T345" s="2"/>
      <c r="U345" s="2"/>
      <c r="V345" s="2"/>
      <c r="W345" s="2"/>
    </row>
    <row r="346">
      <c r="A346" s="2"/>
      <c r="B346" s="2"/>
      <c r="C346" s="2"/>
      <c r="D346" s="2"/>
      <c r="E346" s="2"/>
      <c r="F346" s="2"/>
      <c r="G346" s="2"/>
      <c r="H346" s="2"/>
      <c r="I346" s="2"/>
      <c r="J346" s="2"/>
      <c r="K346" s="2"/>
      <c r="L346" s="2"/>
      <c r="M346" s="2"/>
      <c r="N346" s="2"/>
      <c r="O346" s="2"/>
      <c r="P346" s="2"/>
      <c r="Q346" s="2"/>
      <c r="R346" s="2"/>
      <c r="S346" s="2"/>
      <c r="T346" s="2"/>
      <c r="U346" s="2"/>
      <c r="V346" s="2"/>
      <c r="W346" s="2"/>
    </row>
    <row r="347">
      <c r="A347" s="2"/>
      <c r="B347" s="2"/>
      <c r="C347" s="2"/>
      <c r="D347" s="2"/>
      <c r="E347" s="2"/>
      <c r="F347" s="2"/>
      <c r="G347" s="2"/>
      <c r="H347" s="2"/>
      <c r="I347" s="2"/>
      <c r="J347" s="2"/>
      <c r="K347" s="2"/>
      <c r="L347" s="2"/>
      <c r="M347" s="2"/>
      <c r="N347" s="2"/>
      <c r="O347" s="2"/>
      <c r="P347" s="2"/>
      <c r="Q347" s="2"/>
      <c r="R347" s="2"/>
      <c r="S347" s="2"/>
      <c r="T347" s="2"/>
      <c r="U347" s="2"/>
      <c r="V347" s="2"/>
      <c r="W347" s="2"/>
    </row>
    <row r="348">
      <c r="A348" s="2"/>
      <c r="B348" s="2"/>
      <c r="C348" s="2"/>
      <c r="D348" s="2"/>
      <c r="E348" s="2"/>
      <c r="F348" s="2"/>
      <c r="G348" s="2"/>
      <c r="H348" s="2"/>
      <c r="I348" s="2"/>
      <c r="J348" s="2"/>
      <c r="K348" s="2"/>
      <c r="L348" s="2"/>
      <c r="M348" s="2"/>
      <c r="N348" s="2"/>
      <c r="O348" s="2"/>
      <c r="P348" s="2"/>
      <c r="Q348" s="2"/>
      <c r="R348" s="2"/>
      <c r="S348" s="2"/>
      <c r="T348" s="2"/>
      <c r="U348" s="2"/>
      <c r="V348" s="2"/>
      <c r="W348" s="2"/>
    </row>
    <row r="349">
      <c r="A349" s="2"/>
      <c r="B349" s="2"/>
      <c r="C349" s="2"/>
      <c r="D349" s="2"/>
      <c r="E349" s="2"/>
      <c r="F349" s="2"/>
      <c r="G349" s="2"/>
      <c r="H349" s="2"/>
      <c r="I349" s="2"/>
      <c r="J349" s="2"/>
      <c r="K349" s="2"/>
      <c r="L349" s="2"/>
      <c r="M349" s="2"/>
      <c r="N349" s="2"/>
      <c r="O349" s="2"/>
      <c r="P349" s="2"/>
      <c r="Q349" s="2"/>
      <c r="R349" s="2"/>
      <c r="S349" s="2"/>
      <c r="T349" s="2"/>
      <c r="U349" s="2"/>
      <c r="V349" s="2"/>
      <c r="W349" s="2"/>
    </row>
    <row r="350">
      <c r="A350" s="2"/>
      <c r="B350" s="2"/>
      <c r="C350" s="2"/>
      <c r="D350" s="2"/>
      <c r="E350" s="2"/>
      <c r="F350" s="2"/>
      <c r="G350" s="2"/>
      <c r="H350" s="2"/>
      <c r="I350" s="2"/>
      <c r="J350" s="2"/>
      <c r="K350" s="2"/>
      <c r="L350" s="2"/>
      <c r="M350" s="2"/>
      <c r="N350" s="2"/>
      <c r="O350" s="2"/>
      <c r="P350" s="2"/>
      <c r="Q350" s="2"/>
      <c r="R350" s="2"/>
      <c r="S350" s="2"/>
      <c r="T350" s="2"/>
      <c r="U350" s="2"/>
      <c r="V350" s="2"/>
      <c r="W350" s="2"/>
    </row>
    <row r="351">
      <c r="A351" s="2"/>
      <c r="B351" s="2"/>
      <c r="C351" s="2"/>
      <c r="D351" s="2"/>
      <c r="E351" s="2"/>
      <c r="F351" s="2"/>
      <c r="G351" s="2"/>
      <c r="H351" s="2"/>
      <c r="I351" s="2"/>
      <c r="J351" s="2"/>
      <c r="K351" s="2"/>
      <c r="L351" s="2"/>
      <c r="M351" s="2"/>
      <c r="N351" s="2"/>
      <c r="O351" s="2"/>
      <c r="P351" s="2"/>
      <c r="Q351" s="2"/>
      <c r="R351" s="2"/>
      <c r="S351" s="2"/>
      <c r="T351" s="2"/>
      <c r="U351" s="2"/>
      <c r="V351" s="2"/>
      <c r="W351" s="2"/>
    </row>
    <row r="352">
      <c r="A352" s="2"/>
      <c r="B352" s="2"/>
      <c r="C352" s="2"/>
      <c r="D352" s="2"/>
      <c r="E352" s="2"/>
      <c r="F352" s="2"/>
      <c r="G352" s="2"/>
      <c r="H352" s="2"/>
      <c r="I352" s="2"/>
      <c r="J352" s="2"/>
      <c r="K352" s="2"/>
      <c r="L352" s="2"/>
      <c r="M352" s="2"/>
      <c r="N352" s="2"/>
      <c r="O352" s="2"/>
      <c r="P352" s="2"/>
      <c r="Q352" s="2"/>
      <c r="R352" s="2"/>
      <c r="S352" s="2"/>
      <c r="T352" s="2"/>
      <c r="U352" s="2"/>
      <c r="V352" s="2"/>
      <c r="W352" s="2"/>
    </row>
    <row r="353">
      <c r="A353" s="2"/>
      <c r="B353" s="2"/>
      <c r="C353" s="2"/>
      <c r="D353" s="2"/>
      <c r="E353" s="2"/>
      <c r="F353" s="2"/>
      <c r="G353" s="2"/>
      <c r="H353" s="2"/>
      <c r="I353" s="2"/>
      <c r="J353" s="2"/>
      <c r="K353" s="2"/>
      <c r="L353" s="2"/>
      <c r="M353" s="2"/>
      <c r="N353" s="2"/>
      <c r="O353" s="2"/>
      <c r="P353" s="2"/>
      <c r="Q353" s="2"/>
      <c r="R353" s="2"/>
      <c r="S353" s="2"/>
      <c r="T353" s="2"/>
      <c r="U353" s="2"/>
      <c r="V353" s="2"/>
      <c r="W353" s="2"/>
    </row>
    <row r="354">
      <c r="A354" s="2"/>
      <c r="B354" s="2"/>
      <c r="C354" s="2"/>
      <c r="D354" s="2"/>
      <c r="E354" s="2"/>
      <c r="F354" s="2"/>
      <c r="G354" s="2"/>
      <c r="H354" s="2"/>
      <c r="I354" s="2"/>
      <c r="J354" s="2"/>
      <c r="K354" s="2"/>
      <c r="L354" s="2"/>
      <c r="M354" s="2"/>
      <c r="N354" s="2"/>
      <c r="O354" s="2"/>
      <c r="P354" s="2"/>
      <c r="Q354" s="2"/>
      <c r="R354" s="2"/>
      <c r="S354" s="2"/>
      <c r="T354" s="2"/>
      <c r="U354" s="2"/>
      <c r="V354" s="2"/>
      <c r="W354" s="2"/>
    </row>
    <row r="355">
      <c r="A355" s="2"/>
      <c r="B355" s="2"/>
      <c r="C355" s="2"/>
      <c r="D355" s="2"/>
      <c r="E355" s="2"/>
      <c r="F355" s="2"/>
      <c r="G355" s="2"/>
      <c r="H355" s="2"/>
      <c r="I355" s="2"/>
      <c r="J355" s="2"/>
      <c r="K355" s="2"/>
      <c r="L355" s="2"/>
      <c r="M355" s="2"/>
      <c r="N355" s="2"/>
      <c r="O355" s="2"/>
      <c r="P355" s="2"/>
      <c r="Q355" s="2"/>
      <c r="R355" s="2"/>
      <c r="S355" s="2"/>
      <c r="T355" s="2"/>
      <c r="U355" s="2"/>
      <c r="V355" s="2"/>
      <c r="W355" s="2"/>
    </row>
    <row r="356">
      <c r="A356" s="2"/>
      <c r="B356" s="2"/>
      <c r="C356" s="2"/>
      <c r="D356" s="2"/>
      <c r="E356" s="2"/>
      <c r="F356" s="2"/>
      <c r="G356" s="2"/>
      <c r="H356" s="2"/>
      <c r="I356" s="2"/>
      <c r="J356" s="2"/>
      <c r="K356" s="2"/>
      <c r="L356" s="2"/>
      <c r="M356" s="2"/>
      <c r="N356" s="2"/>
      <c r="O356" s="2"/>
      <c r="P356" s="2"/>
      <c r="Q356" s="2"/>
      <c r="R356" s="2"/>
      <c r="S356" s="2"/>
      <c r="T356" s="2"/>
      <c r="U356" s="2"/>
      <c r="V356" s="2"/>
      <c r="W356" s="2"/>
    </row>
    <row r="357">
      <c r="A357" s="2"/>
      <c r="B357" s="2"/>
      <c r="C357" s="2"/>
      <c r="D357" s="2"/>
      <c r="E357" s="2"/>
      <c r="F357" s="2"/>
      <c r="G357" s="2"/>
      <c r="H357" s="2"/>
      <c r="I357" s="2"/>
      <c r="J357" s="2"/>
      <c r="K357" s="2"/>
      <c r="L357" s="2"/>
      <c r="M357" s="2"/>
      <c r="N357" s="2"/>
      <c r="O357" s="2"/>
      <c r="P357" s="2"/>
      <c r="Q357" s="2"/>
      <c r="R357" s="2"/>
      <c r="S357" s="2"/>
      <c r="T357" s="2"/>
      <c r="U357" s="2"/>
      <c r="V357" s="2"/>
      <c r="W357" s="2"/>
    </row>
    <row r="358">
      <c r="A358" s="2"/>
      <c r="B358" s="2"/>
      <c r="C358" s="2"/>
      <c r="D358" s="2"/>
      <c r="E358" s="2"/>
      <c r="F358" s="2"/>
      <c r="G358" s="2"/>
      <c r="H358" s="2"/>
      <c r="I358" s="2"/>
      <c r="J358" s="2"/>
      <c r="K358" s="2"/>
      <c r="L358" s="2"/>
      <c r="M358" s="2"/>
      <c r="N358" s="2"/>
      <c r="O358" s="2"/>
      <c r="P358" s="2"/>
      <c r="Q358" s="2"/>
      <c r="R358" s="2"/>
      <c r="S358" s="2"/>
      <c r="T358" s="2"/>
      <c r="U358" s="2"/>
      <c r="V358" s="2"/>
      <c r="W358" s="2"/>
    </row>
    <row r="359">
      <c r="A359" s="2"/>
      <c r="B359" s="2"/>
      <c r="C359" s="2"/>
      <c r="D359" s="2"/>
      <c r="E359" s="2"/>
      <c r="F359" s="2"/>
      <c r="G359" s="2"/>
      <c r="H359" s="2"/>
      <c r="I359" s="2"/>
      <c r="J359" s="2"/>
      <c r="K359" s="2"/>
      <c r="L359" s="2"/>
      <c r="M359" s="2"/>
      <c r="N359" s="2"/>
      <c r="O359" s="2"/>
      <c r="P359" s="2"/>
      <c r="Q359" s="2"/>
      <c r="R359" s="2"/>
      <c r="S359" s="2"/>
      <c r="T359" s="2"/>
      <c r="U359" s="2"/>
      <c r="V359" s="2"/>
      <c r="W359" s="2"/>
    </row>
    <row r="360">
      <c r="A360" s="2"/>
      <c r="B360" s="2"/>
      <c r="C360" s="2"/>
      <c r="D360" s="2"/>
      <c r="E360" s="2"/>
      <c r="F360" s="2"/>
      <c r="G360" s="2"/>
      <c r="H360" s="2"/>
      <c r="I360" s="2"/>
      <c r="J360" s="2"/>
      <c r="K360" s="2"/>
      <c r="L360" s="2"/>
      <c r="M360" s="2"/>
      <c r="N360" s="2"/>
      <c r="O360" s="2"/>
      <c r="P360" s="2"/>
      <c r="Q360" s="2"/>
      <c r="R360" s="2"/>
      <c r="S360" s="2"/>
      <c r="T360" s="2"/>
      <c r="U360" s="2"/>
      <c r="V360" s="2"/>
      <c r="W360" s="2"/>
    </row>
    <row r="361">
      <c r="A361" s="2"/>
      <c r="B361" s="2"/>
      <c r="C361" s="2"/>
      <c r="D361" s="2"/>
      <c r="E361" s="2"/>
      <c r="F361" s="2"/>
      <c r="G361" s="2"/>
      <c r="H361" s="2"/>
      <c r="I361" s="2"/>
      <c r="J361" s="2"/>
      <c r="K361" s="2"/>
      <c r="L361" s="2"/>
      <c r="M361" s="2"/>
      <c r="N361" s="2"/>
      <c r="O361" s="2"/>
      <c r="P361" s="2"/>
      <c r="Q361" s="2"/>
      <c r="R361" s="2"/>
      <c r="S361" s="2"/>
      <c r="T361" s="2"/>
      <c r="U361" s="2"/>
      <c r="V361" s="2"/>
      <c r="W361" s="2"/>
    </row>
    <row r="362">
      <c r="A362" s="2"/>
      <c r="B362" s="2"/>
      <c r="C362" s="2"/>
      <c r="D362" s="2"/>
      <c r="E362" s="2"/>
      <c r="F362" s="2"/>
      <c r="G362" s="2"/>
      <c r="H362" s="2"/>
      <c r="I362" s="2"/>
      <c r="J362" s="2"/>
      <c r="K362" s="2"/>
      <c r="L362" s="2"/>
      <c r="M362" s="2"/>
      <c r="N362" s="2"/>
      <c r="O362" s="2"/>
      <c r="P362" s="2"/>
      <c r="Q362" s="2"/>
      <c r="R362" s="2"/>
      <c r="S362" s="2"/>
      <c r="T362" s="2"/>
      <c r="U362" s="2"/>
      <c r="V362" s="2"/>
      <c r="W362" s="2"/>
    </row>
    <row r="363">
      <c r="A363" s="2"/>
      <c r="B363" s="2"/>
      <c r="C363" s="2"/>
      <c r="D363" s="2"/>
      <c r="E363" s="2"/>
      <c r="F363" s="2"/>
      <c r="G363" s="2"/>
      <c r="H363" s="2"/>
      <c r="I363" s="2"/>
      <c r="J363" s="2"/>
      <c r="K363" s="2"/>
      <c r="L363" s="2"/>
      <c r="M363" s="2"/>
      <c r="N363" s="2"/>
      <c r="O363" s="2"/>
      <c r="P363" s="2"/>
      <c r="Q363" s="2"/>
      <c r="R363" s="2"/>
      <c r="S363" s="2"/>
      <c r="T363" s="2"/>
      <c r="U363" s="2"/>
      <c r="V363" s="2"/>
      <c r="W363" s="2"/>
    </row>
    <row r="364">
      <c r="A364" s="2"/>
      <c r="B364" s="2"/>
      <c r="C364" s="2"/>
      <c r="D364" s="2"/>
      <c r="E364" s="2"/>
      <c r="F364" s="2"/>
      <c r="G364" s="2"/>
      <c r="H364" s="2"/>
      <c r="I364" s="2"/>
      <c r="J364" s="2"/>
      <c r="K364" s="2"/>
      <c r="L364" s="2"/>
      <c r="M364" s="2"/>
      <c r="N364" s="2"/>
      <c r="O364" s="2"/>
      <c r="P364" s="2"/>
      <c r="Q364" s="2"/>
      <c r="R364" s="2"/>
      <c r="S364" s="2"/>
      <c r="T364" s="2"/>
      <c r="U364" s="2"/>
      <c r="V364" s="2"/>
      <c r="W364" s="2"/>
    </row>
    <row r="365">
      <c r="A365" s="2"/>
      <c r="B365" s="2"/>
      <c r="C365" s="2"/>
      <c r="D365" s="2"/>
      <c r="E365" s="2"/>
      <c r="F365" s="2"/>
      <c r="G365" s="2"/>
      <c r="H365" s="2"/>
      <c r="I365" s="2"/>
      <c r="J365" s="2"/>
      <c r="K365" s="2"/>
      <c r="L365" s="2"/>
      <c r="M365" s="2"/>
      <c r="N365" s="2"/>
      <c r="O365" s="2"/>
      <c r="P365" s="2"/>
      <c r="Q365" s="2"/>
      <c r="R365" s="2"/>
      <c r="S365" s="2"/>
      <c r="T365" s="2"/>
      <c r="U365" s="2"/>
      <c r="V365" s="2"/>
      <c r="W365" s="2"/>
    </row>
    <row r="366">
      <c r="A366" s="2"/>
      <c r="B366" s="2"/>
      <c r="C366" s="2"/>
      <c r="D366" s="2"/>
      <c r="E366" s="2"/>
      <c r="F366" s="2"/>
      <c r="G366" s="2"/>
      <c r="H366" s="2"/>
      <c r="I366" s="2"/>
      <c r="J366" s="2"/>
      <c r="K366" s="2"/>
      <c r="L366" s="2"/>
      <c r="M366" s="2"/>
      <c r="N366" s="2"/>
      <c r="O366" s="2"/>
      <c r="P366" s="2"/>
      <c r="Q366" s="2"/>
      <c r="R366" s="2"/>
      <c r="S366" s="2"/>
      <c r="T366" s="2"/>
      <c r="U366" s="2"/>
      <c r="V366" s="2"/>
      <c r="W366" s="2"/>
    </row>
    <row r="367">
      <c r="A367" s="2"/>
      <c r="B367" s="2"/>
      <c r="C367" s="2"/>
      <c r="D367" s="2"/>
      <c r="E367" s="2"/>
      <c r="F367" s="2"/>
      <c r="G367" s="2"/>
      <c r="H367" s="2"/>
      <c r="I367" s="2"/>
      <c r="J367" s="2"/>
      <c r="K367" s="2"/>
      <c r="L367" s="2"/>
      <c r="M367" s="2"/>
      <c r="N367" s="2"/>
      <c r="O367" s="2"/>
      <c r="P367" s="2"/>
      <c r="Q367" s="2"/>
      <c r="R367" s="2"/>
      <c r="S367" s="2"/>
      <c r="T367" s="2"/>
      <c r="U367" s="2"/>
      <c r="V367" s="2"/>
      <c r="W367" s="2"/>
    </row>
    <row r="368">
      <c r="A368" s="2"/>
      <c r="B368" s="2"/>
      <c r="C368" s="2"/>
      <c r="D368" s="2"/>
      <c r="E368" s="2"/>
      <c r="F368" s="2"/>
      <c r="G368" s="2"/>
      <c r="H368" s="2"/>
      <c r="I368" s="2"/>
      <c r="J368" s="2"/>
      <c r="K368" s="2"/>
      <c r="L368" s="2"/>
      <c r="M368" s="2"/>
      <c r="N368" s="2"/>
      <c r="O368" s="2"/>
      <c r="P368" s="2"/>
      <c r="Q368" s="2"/>
      <c r="R368" s="2"/>
      <c r="S368" s="2"/>
      <c r="T368" s="2"/>
      <c r="U368" s="2"/>
      <c r="V368" s="2"/>
      <c r="W368" s="2"/>
    </row>
    <row r="369">
      <c r="A369" s="2"/>
      <c r="B369" s="2"/>
      <c r="C369" s="2"/>
      <c r="D369" s="2"/>
      <c r="E369" s="2"/>
      <c r="F369" s="2"/>
      <c r="G369" s="2"/>
      <c r="H369" s="2"/>
      <c r="I369" s="2"/>
      <c r="J369" s="2"/>
      <c r="K369" s="2"/>
      <c r="L369" s="2"/>
      <c r="M369" s="2"/>
      <c r="N369" s="2"/>
      <c r="O369" s="2"/>
      <c r="P369" s="2"/>
      <c r="Q369" s="2"/>
      <c r="R369" s="2"/>
      <c r="S369" s="2"/>
      <c r="T369" s="2"/>
      <c r="U369" s="2"/>
      <c r="V369" s="2"/>
      <c r="W369" s="2"/>
    </row>
    <row r="370">
      <c r="A370" s="2"/>
      <c r="B370" s="2"/>
      <c r="C370" s="2"/>
      <c r="D370" s="2"/>
      <c r="E370" s="2"/>
      <c r="F370" s="2"/>
      <c r="G370" s="2"/>
      <c r="H370" s="2"/>
      <c r="I370" s="2"/>
      <c r="J370" s="2"/>
      <c r="K370" s="2"/>
      <c r="L370" s="2"/>
      <c r="M370" s="2"/>
      <c r="N370" s="2"/>
      <c r="O370" s="2"/>
      <c r="P370" s="2"/>
      <c r="Q370" s="2"/>
      <c r="R370" s="2"/>
      <c r="S370" s="2"/>
      <c r="T370" s="2"/>
      <c r="U370" s="2"/>
      <c r="V370" s="2"/>
      <c r="W370" s="2"/>
    </row>
    <row r="371">
      <c r="A371" s="2"/>
      <c r="B371" s="2"/>
      <c r="C371" s="2"/>
      <c r="D371" s="2"/>
      <c r="E371" s="2"/>
      <c r="F371" s="2"/>
      <c r="G371" s="2"/>
      <c r="H371" s="2"/>
      <c r="I371" s="2"/>
      <c r="J371" s="2"/>
      <c r="K371" s="2"/>
      <c r="L371" s="2"/>
      <c r="M371" s="2"/>
      <c r="N371" s="2"/>
      <c r="O371" s="2"/>
      <c r="P371" s="2"/>
      <c r="Q371" s="2"/>
      <c r="R371" s="2"/>
      <c r="S371" s="2"/>
      <c r="T371" s="2"/>
      <c r="U371" s="2"/>
      <c r="V371" s="2"/>
      <c r="W371" s="2"/>
    </row>
    <row r="372">
      <c r="A372" s="2"/>
      <c r="B372" s="2"/>
      <c r="C372" s="2"/>
      <c r="D372" s="2"/>
      <c r="E372" s="2"/>
      <c r="F372" s="2"/>
      <c r="G372" s="2"/>
      <c r="H372" s="2"/>
      <c r="I372" s="2"/>
      <c r="J372" s="2"/>
      <c r="K372" s="2"/>
      <c r="L372" s="2"/>
      <c r="M372" s="2"/>
      <c r="N372" s="2"/>
      <c r="O372" s="2"/>
      <c r="P372" s="2"/>
      <c r="Q372" s="2"/>
      <c r="R372" s="2"/>
      <c r="S372" s="2"/>
      <c r="T372" s="2"/>
      <c r="U372" s="2"/>
      <c r="V372" s="2"/>
      <c r="W372" s="2"/>
    </row>
    <row r="373">
      <c r="A373" s="2"/>
      <c r="B373" s="2"/>
      <c r="C373" s="2"/>
      <c r="D373" s="2"/>
      <c r="E373" s="2"/>
      <c r="F373" s="2"/>
      <c r="G373" s="2"/>
      <c r="H373" s="2"/>
      <c r="I373" s="2"/>
      <c r="J373" s="2"/>
      <c r="K373" s="2"/>
      <c r="L373" s="2"/>
      <c r="M373" s="2"/>
      <c r="N373" s="2"/>
      <c r="O373" s="2"/>
      <c r="P373" s="2"/>
      <c r="Q373" s="2"/>
      <c r="R373" s="2"/>
      <c r="S373" s="2"/>
      <c r="T373" s="2"/>
      <c r="U373" s="2"/>
      <c r="V373" s="2"/>
      <c r="W373" s="2"/>
    </row>
    <row r="374">
      <c r="A374" s="2"/>
      <c r="B374" s="2"/>
      <c r="C374" s="2"/>
      <c r="D374" s="2"/>
      <c r="E374" s="2"/>
      <c r="F374" s="2"/>
      <c r="G374" s="2"/>
      <c r="H374" s="2"/>
      <c r="I374" s="2"/>
      <c r="J374" s="2"/>
      <c r="K374" s="2"/>
      <c r="L374" s="2"/>
      <c r="M374" s="2"/>
      <c r="N374" s="2"/>
      <c r="O374" s="2"/>
      <c r="P374" s="2"/>
      <c r="Q374" s="2"/>
      <c r="R374" s="2"/>
      <c r="S374" s="2"/>
      <c r="T374" s="2"/>
      <c r="U374" s="2"/>
      <c r="V374" s="2"/>
      <c r="W374" s="2"/>
    </row>
    <row r="375">
      <c r="A375" s="2"/>
      <c r="B375" s="2"/>
      <c r="C375" s="2"/>
      <c r="D375" s="2"/>
      <c r="E375" s="2"/>
      <c r="F375" s="2"/>
      <c r="G375" s="2"/>
      <c r="H375" s="2"/>
      <c r="I375" s="2"/>
      <c r="J375" s="2"/>
      <c r="K375" s="2"/>
      <c r="L375" s="2"/>
      <c r="M375" s="2"/>
      <c r="N375" s="2"/>
      <c r="O375" s="2"/>
      <c r="P375" s="2"/>
      <c r="Q375" s="2"/>
      <c r="R375" s="2"/>
      <c r="S375" s="2"/>
      <c r="T375" s="2"/>
      <c r="U375" s="2"/>
      <c r="V375" s="2"/>
      <c r="W375" s="2"/>
    </row>
    <row r="376">
      <c r="A376" s="2"/>
      <c r="B376" s="2"/>
      <c r="C376" s="2"/>
      <c r="D376" s="2"/>
      <c r="E376" s="2"/>
      <c r="F376" s="2"/>
      <c r="G376" s="2"/>
      <c r="H376" s="2"/>
      <c r="I376" s="2"/>
      <c r="J376" s="2"/>
      <c r="K376" s="2"/>
      <c r="L376" s="2"/>
      <c r="M376" s="2"/>
      <c r="N376" s="2"/>
      <c r="O376" s="2"/>
      <c r="P376" s="2"/>
      <c r="Q376" s="2"/>
      <c r="R376" s="2"/>
      <c r="S376" s="2"/>
      <c r="T376" s="2"/>
      <c r="U376" s="2"/>
      <c r="V376" s="2"/>
      <c r="W376" s="2"/>
    </row>
    <row r="377">
      <c r="A377" s="2"/>
      <c r="B377" s="2"/>
      <c r="C377" s="2"/>
      <c r="D377" s="2"/>
      <c r="E377" s="2"/>
      <c r="F377" s="2"/>
      <c r="G377" s="2"/>
      <c r="H377" s="2"/>
      <c r="I377" s="2"/>
      <c r="J377" s="2"/>
      <c r="K377" s="2"/>
      <c r="L377" s="2"/>
      <c r="M377" s="2"/>
      <c r="N377" s="2"/>
      <c r="O377" s="2"/>
      <c r="P377" s="2"/>
      <c r="Q377" s="2"/>
      <c r="R377" s="2"/>
      <c r="S377" s="2"/>
      <c r="T377" s="2"/>
      <c r="U377" s="2"/>
      <c r="V377" s="2"/>
      <c r="W377" s="2"/>
    </row>
    <row r="378">
      <c r="A378" s="2"/>
      <c r="B378" s="2"/>
      <c r="C378" s="2"/>
      <c r="D378" s="2"/>
      <c r="E378" s="2"/>
      <c r="F378" s="2"/>
      <c r="G378" s="2"/>
      <c r="H378" s="2"/>
      <c r="I378" s="2"/>
      <c r="J378" s="2"/>
      <c r="K378" s="2"/>
      <c r="L378" s="2"/>
      <c r="M378" s="2"/>
      <c r="N378" s="2"/>
      <c r="O378" s="2"/>
      <c r="P378" s="2"/>
      <c r="Q378" s="2"/>
      <c r="R378" s="2"/>
      <c r="S378" s="2"/>
      <c r="T378" s="2"/>
      <c r="U378" s="2"/>
      <c r="V378" s="2"/>
      <c r="W378" s="2"/>
    </row>
    <row r="379">
      <c r="A379" s="2"/>
      <c r="B379" s="2"/>
      <c r="C379" s="2"/>
      <c r="D379" s="2"/>
      <c r="E379" s="2"/>
      <c r="F379" s="2"/>
      <c r="G379" s="2"/>
      <c r="H379" s="2"/>
      <c r="I379" s="2"/>
      <c r="J379" s="2"/>
      <c r="K379" s="2"/>
      <c r="L379" s="2"/>
      <c r="M379" s="2"/>
      <c r="N379" s="2"/>
      <c r="O379" s="2"/>
      <c r="P379" s="2"/>
      <c r="Q379" s="2"/>
      <c r="R379" s="2"/>
      <c r="S379" s="2"/>
      <c r="T379" s="2"/>
      <c r="U379" s="2"/>
      <c r="V379" s="2"/>
      <c r="W379" s="2"/>
    </row>
    <row r="380">
      <c r="A380" s="2"/>
      <c r="B380" s="2"/>
      <c r="C380" s="2"/>
      <c r="D380" s="2"/>
      <c r="E380" s="2"/>
      <c r="F380" s="2"/>
      <c r="G380" s="2"/>
      <c r="H380" s="2"/>
      <c r="I380" s="2"/>
      <c r="J380" s="2"/>
      <c r="K380" s="2"/>
      <c r="L380" s="2"/>
      <c r="M380" s="2"/>
      <c r="N380" s="2"/>
      <c r="O380" s="2"/>
      <c r="P380" s="2"/>
      <c r="Q380" s="2"/>
      <c r="R380" s="2"/>
      <c r="S380" s="2"/>
      <c r="T380" s="2"/>
      <c r="U380" s="2"/>
      <c r="V380" s="2"/>
      <c r="W380" s="2"/>
    </row>
    <row r="381">
      <c r="A381" s="2"/>
      <c r="B381" s="2"/>
      <c r="C381" s="2"/>
      <c r="D381" s="2"/>
      <c r="E381" s="2"/>
      <c r="F381" s="2"/>
      <c r="G381" s="2"/>
      <c r="H381" s="2"/>
      <c r="I381" s="2"/>
      <c r="J381" s="2"/>
      <c r="K381" s="2"/>
      <c r="L381" s="2"/>
      <c r="M381" s="2"/>
      <c r="N381" s="2"/>
      <c r="O381" s="2"/>
      <c r="P381" s="2"/>
      <c r="Q381" s="2"/>
      <c r="R381" s="2"/>
      <c r="S381" s="2"/>
      <c r="T381" s="2"/>
      <c r="U381" s="2"/>
      <c r="V381" s="2"/>
      <c r="W381" s="2"/>
    </row>
    <row r="382">
      <c r="A382" s="2"/>
      <c r="B382" s="2"/>
      <c r="C382" s="2"/>
      <c r="D382" s="2"/>
      <c r="E382" s="2"/>
      <c r="F382" s="2"/>
      <c r="G382" s="2"/>
      <c r="H382" s="2"/>
      <c r="I382" s="2"/>
      <c r="J382" s="2"/>
      <c r="K382" s="2"/>
      <c r="L382" s="2"/>
      <c r="M382" s="2"/>
      <c r="N382" s="2"/>
      <c r="O382" s="2"/>
      <c r="P382" s="2"/>
      <c r="Q382" s="2"/>
      <c r="R382" s="2"/>
      <c r="S382" s="2"/>
      <c r="T382" s="2"/>
      <c r="U382" s="2"/>
      <c r="V382" s="2"/>
      <c r="W382" s="2"/>
    </row>
    <row r="383">
      <c r="A383" s="2"/>
      <c r="B383" s="2"/>
      <c r="C383" s="2"/>
      <c r="D383" s="2"/>
      <c r="E383" s="2"/>
      <c r="F383" s="2"/>
      <c r="G383" s="2"/>
      <c r="H383" s="2"/>
      <c r="I383" s="2"/>
      <c r="J383" s="2"/>
      <c r="K383" s="2"/>
      <c r="L383" s="2"/>
      <c r="M383" s="2"/>
      <c r="N383" s="2"/>
      <c r="O383" s="2"/>
      <c r="P383" s="2"/>
      <c r="Q383" s="2"/>
      <c r="R383" s="2"/>
      <c r="S383" s="2"/>
      <c r="T383" s="2"/>
      <c r="U383" s="2"/>
      <c r="V383" s="2"/>
      <c r="W383" s="2"/>
    </row>
    <row r="384">
      <c r="A384" s="2"/>
      <c r="B384" s="2"/>
      <c r="C384" s="2"/>
      <c r="D384" s="2"/>
      <c r="E384" s="2"/>
      <c r="F384" s="2"/>
      <c r="G384" s="2"/>
      <c r="H384" s="2"/>
      <c r="I384" s="2"/>
      <c r="J384" s="2"/>
      <c r="K384" s="2"/>
      <c r="L384" s="2"/>
      <c r="M384" s="2"/>
      <c r="N384" s="2"/>
      <c r="O384" s="2"/>
      <c r="P384" s="2"/>
      <c r="Q384" s="2"/>
      <c r="R384" s="2"/>
      <c r="S384" s="2"/>
      <c r="T384" s="2"/>
      <c r="U384" s="2"/>
      <c r="V384" s="2"/>
      <c r="W384" s="2"/>
    </row>
    <row r="385">
      <c r="A385" s="2"/>
      <c r="B385" s="2"/>
      <c r="C385" s="2"/>
      <c r="D385" s="2"/>
      <c r="E385" s="2"/>
      <c r="F385" s="2"/>
      <c r="G385" s="2"/>
      <c r="H385" s="2"/>
      <c r="I385" s="2"/>
      <c r="J385" s="2"/>
      <c r="K385" s="2"/>
      <c r="L385" s="2"/>
      <c r="M385" s="2"/>
      <c r="N385" s="2"/>
      <c r="O385" s="2"/>
      <c r="P385" s="2"/>
      <c r="Q385" s="2"/>
      <c r="R385" s="2"/>
      <c r="S385" s="2"/>
      <c r="T385" s="2"/>
      <c r="U385" s="2"/>
      <c r="V385" s="2"/>
      <c r="W385" s="2"/>
    </row>
    <row r="386">
      <c r="A386" s="2"/>
      <c r="B386" s="2"/>
      <c r="C386" s="2"/>
      <c r="D386" s="2"/>
      <c r="E386" s="2"/>
      <c r="F386" s="2"/>
      <c r="G386" s="2"/>
      <c r="H386" s="2"/>
      <c r="I386" s="2"/>
      <c r="J386" s="2"/>
      <c r="K386" s="2"/>
      <c r="L386" s="2"/>
      <c r="M386" s="2"/>
      <c r="N386" s="2"/>
      <c r="O386" s="2"/>
      <c r="P386" s="2"/>
      <c r="Q386" s="2"/>
      <c r="R386" s="2"/>
      <c r="S386" s="2"/>
      <c r="T386" s="2"/>
      <c r="U386" s="2"/>
      <c r="V386" s="2"/>
      <c r="W386" s="2"/>
    </row>
    <row r="387">
      <c r="A387" s="2"/>
      <c r="B387" s="2"/>
      <c r="C387" s="2"/>
      <c r="D387" s="2"/>
      <c r="E387" s="2"/>
      <c r="F387" s="2"/>
      <c r="G387" s="2"/>
      <c r="H387" s="2"/>
      <c r="I387" s="2"/>
      <c r="J387" s="2"/>
      <c r="K387" s="2"/>
      <c r="L387" s="2"/>
      <c r="M387" s="2"/>
      <c r="N387" s="2"/>
      <c r="O387" s="2"/>
      <c r="P387" s="2"/>
      <c r="Q387" s="2"/>
      <c r="R387" s="2"/>
      <c r="S387" s="2"/>
      <c r="T387" s="2"/>
      <c r="U387" s="2"/>
      <c r="V387" s="2"/>
      <c r="W387" s="2"/>
    </row>
    <row r="388">
      <c r="A388" s="2"/>
      <c r="B388" s="2"/>
      <c r="C388" s="2"/>
      <c r="D388" s="2"/>
      <c r="E388" s="2"/>
      <c r="F388" s="2"/>
      <c r="G388" s="2"/>
      <c r="H388" s="2"/>
      <c r="I388" s="2"/>
      <c r="J388" s="2"/>
      <c r="K388" s="2"/>
      <c r="L388" s="2"/>
      <c r="M388" s="2"/>
      <c r="N388" s="2"/>
      <c r="O388" s="2"/>
      <c r="P388" s="2"/>
      <c r="Q388" s="2"/>
      <c r="R388" s="2"/>
      <c r="S388" s="2"/>
      <c r="T388" s="2"/>
      <c r="U388" s="2"/>
      <c r="V388" s="2"/>
      <c r="W388" s="2"/>
    </row>
    <row r="389">
      <c r="A389" s="2"/>
      <c r="B389" s="2"/>
      <c r="C389" s="2"/>
      <c r="D389" s="2"/>
      <c r="E389" s="2"/>
      <c r="F389" s="2"/>
      <c r="G389" s="2"/>
      <c r="H389" s="2"/>
      <c r="I389" s="2"/>
      <c r="J389" s="2"/>
      <c r="K389" s="2"/>
      <c r="L389" s="2"/>
      <c r="M389" s="2"/>
      <c r="N389" s="2"/>
      <c r="O389" s="2"/>
      <c r="P389" s="2"/>
      <c r="Q389" s="2"/>
      <c r="R389" s="2"/>
      <c r="S389" s="2"/>
      <c r="T389" s="2"/>
      <c r="U389" s="2"/>
      <c r="V389" s="2"/>
      <c r="W389" s="2"/>
    </row>
    <row r="390">
      <c r="A390" s="2"/>
      <c r="B390" s="2"/>
      <c r="C390" s="2"/>
      <c r="D390" s="2"/>
      <c r="E390" s="2"/>
      <c r="F390" s="2"/>
      <c r="G390" s="2"/>
      <c r="H390" s="2"/>
      <c r="I390" s="2"/>
      <c r="J390" s="2"/>
      <c r="K390" s="2"/>
      <c r="L390" s="2"/>
      <c r="M390" s="2"/>
      <c r="N390" s="2"/>
      <c r="O390" s="2"/>
      <c r="P390" s="2"/>
      <c r="Q390" s="2"/>
      <c r="R390" s="2"/>
      <c r="S390" s="2"/>
      <c r="T390" s="2"/>
      <c r="U390" s="2"/>
      <c r="V390" s="2"/>
      <c r="W390" s="2"/>
    </row>
    <row r="391">
      <c r="A391" s="2"/>
      <c r="B391" s="2"/>
      <c r="C391" s="2"/>
      <c r="D391" s="2"/>
      <c r="E391" s="2"/>
      <c r="F391" s="2"/>
      <c r="G391" s="2"/>
      <c r="H391" s="2"/>
      <c r="I391" s="2"/>
      <c r="J391" s="2"/>
      <c r="K391" s="2"/>
      <c r="L391" s="2"/>
      <c r="M391" s="2"/>
      <c r="N391" s="2"/>
      <c r="O391" s="2"/>
      <c r="P391" s="2"/>
      <c r="Q391" s="2"/>
      <c r="R391" s="2"/>
      <c r="S391" s="2"/>
      <c r="T391" s="2"/>
      <c r="U391" s="2"/>
      <c r="V391" s="2"/>
      <c r="W391" s="2"/>
    </row>
    <row r="392">
      <c r="A392" s="2"/>
      <c r="B392" s="2"/>
      <c r="C392" s="2"/>
      <c r="D392" s="2"/>
      <c r="E392" s="2"/>
      <c r="F392" s="2"/>
      <c r="G392" s="2"/>
      <c r="H392" s="2"/>
      <c r="I392" s="2"/>
      <c r="J392" s="2"/>
      <c r="K392" s="2"/>
      <c r="L392" s="2"/>
      <c r="M392" s="2"/>
      <c r="N392" s="2"/>
      <c r="O392" s="2"/>
      <c r="P392" s="2"/>
      <c r="Q392" s="2"/>
      <c r="R392" s="2"/>
      <c r="S392" s="2"/>
      <c r="T392" s="2"/>
      <c r="U392" s="2"/>
      <c r="V392" s="2"/>
      <c r="W392" s="2"/>
    </row>
    <row r="393">
      <c r="A393" s="2"/>
      <c r="B393" s="2"/>
      <c r="C393" s="2"/>
      <c r="D393" s="2"/>
      <c r="E393" s="2"/>
      <c r="F393" s="2"/>
      <c r="G393" s="2"/>
      <c r="H393" s="2"/>
      <c r="I393" s="2"/>
      <c r="J393" s="2"/>
      <c r="K393" s="2"/>
      <c r="L393" s="2"/>
      <c r="M393" s="2"/>
      <c r="N393" s="2"/>
      <c r="O393" s="2"/>
      <c r="P393" s="2"/>
      <c r="Q393" s="2"/>
      <c r="R393" s="2"/>
      <c r="S393" s="2"/>
      <c r="T393" s="2"/>
      <c r="U393" s="2"/>
      <c r="V393" s="2"/>
      <c r="W393" s="2"/>
    </row>
    <row r="394">
      <c r="A394" s="2"/>
      <c r="B394" s="2"/>
      <c r="C394" s="2"/>
      <c r="D394" s="2"/>
      <c r="E394" s="2"/>
      <c r="F394" s="2"/>
      <c r="G394" s="2"/>
      <c r="H394" s="2"/>
      <c r="I394" s="2"/>
      <c r="J394" s="2"/>
      <c r="K394" s="2"/>
      <c r="L394" s="2"/>
      <c r="M394" s="2"/>
      <c r="N394" s="2"/>
      <c r="O394" s="2"/>
      <c r="P394" s="2"/>
      <c r="Q394" s="2"/>
      <c r="R394" s="2"/>
      <c r="S394" s="2"/>
      <c r="T394" s="2"/>
      <c r="U394" s="2"/>
      <c r="V394" s="2"/>
      <c r="W394" s="2"/>
    </row>
    <row r="395">
      <c r="A395" s="2"/>
      <c r="B395" s="2"/>
      <c r="C395" s="2"/>
      <c r="D395" s="2"/>
      <c r="E395" s="2"/>
      <c r="F395" s="2"/>
      <c r="G395" s="2"/>
      <c r="H395" s="2"/>
      <c r="I395" s="2"/>
      <c r="J395" s="2"/>
      <c r="K395" s="2"/>
      <c r="L395" s="2"/>
      <c r="M395" s="2"/>
      <c r="N395" s="2"/>
      <c r="O395" s="2"/>
      <c r="P395" s="2"/>
      <c r="Q395" s="2"/>
      <c r="R395" s="2"/>
      <c r="S395" s="2"/>
      <c r="T395" s="2"/>
      <c r="U395" s="2"/>
      <c r="V395" s="2"/>
      <c r="W395" s="2"/>
    </row>
    <row r="396">
      <c r="A396" s="2"/>
      <c r="B396" s="2"/>
      <c r="C396" s="2"/>
      <c r="D396" s="2"/>
      <c r="E396" s="2"/>
      <c r="F396" s="2"/>
      <c r="G396" s="2"/>
      <c r="H396" s="2"/>
      <c r="I396" s="2"/>
      <c r="J396" s="2"/>
      <c r="K396" s="2"/>
      <c r="L396" s="2"/>
      <c r="M396" s="2"/>
      <c r="N396" s="2"/>
      <c r="O396" s="2"/>
      <c r="P396" s="2"/>
      <c r="Q396" s="2"/>
      <c r="R396" s="2"/>
      <c r="S396" s="2"/>
      <c r="T396" s="2"/>
      <c r="U396" s="2"/>
      <c r="V396" s="2"/>
      <c r="W396" s="2"/>
    </row>
    <row r="397">
      <c r="A397" s="2"/>
      <c r="B397" s="2"/>
      <c r="C397" s="2"/>
      <c r="D397" s="2"/>
      <c r="E397" s="2"/>
      <c r="F397" s="2"/>
      <c r="G397" s="2"/>
      <c r="H397" s="2"/>
      <c r="I397" s="2"/>
      <c r="J397" s="2"/>
      <c r="K397" s="2"/>
      <c r="L397" s="2"/>
      <c r="M397" s="2"/>
      <c r="N397" s="2"/>
      <c r="O397" s="2"/>
      <c r="P397" s="2"/>
      <c r="Q397" s="2"/>
      <c r="R397" s="2"/>
      <c r="S397" s="2"/>
      <c r="T397" s="2"/>
      <c r="U397" s="2"/>
      <c r="V397" s="2"/>
      <c r="W397" s="2"/>
    </row>
    <row r="398">
      <c r="A398" s="2"/>
      <c r="B398" s="2"/>
      <c r="C398" s="2"/>
      <c r="D398" s="2"/>
      <c r="E398" s="2"/>
      <c r="F398" s="2"/>
      <c r="G398" s="2"/>
      <c r="H398" s="2"/>
      <c r="I398" s="2"/>
      <c r="J398" s="2"/>
      <c r="K398" s="2"/>
      <c r="L398" s="2"/>
      <c r="M398" s="2"/>
      <c r="N398" s="2"/>
      <c r="O398" s="2"/>
      <c r="P398" s="2"/>
      <c r="Q398" s="2"/>
      <c r="R398" s="2"/>
      <c r="S398" s="2"/>
      <c r="T398" s="2"/>
      <c r="U398" s="2"/>
      <c r="V398" s="2"/>
      <c r="W398" s="2"/>
    </row>
    <row r="399">
      <c r="A399" s="2"/>
      <c r="B399" s="2"/>
      <c r="C399" s="2"/>
      <c r="D399" s="2"/>
      <c r="E399" s="2"/>
      <c r="F399" s="2"/>
      <c r="G399" s="2"/>
      <c r="H399" s="2"/>
      <c r="I399" s="2"/>
      <c r="J399" s="2"/>
      <c r="K399" s="2"/>
      <c r="L399" s="2"/>
      <c r="M399" s="2"/>
      <c r="N399" s="2"/>
      <c r="O399" s="2"/>
      <c r="P399" s="2"/>
      <c r="Q399" s="2"/>
      <c r="R399" s="2"/>
      <c r="S399" s="2"/>
      <c r="T399" s="2"/>
      <c r="U399" s="2"/>
      <c r="V399" s="2"/>
      <c r="W399" s="2"/>
    </row>
    <row r="400">
      <c r="A400" s="2"/>
      <c r="B400" s="2"/>
      <c r="C400" s="2"/>
      <c r="D400" s="2"/>
      <c r="E400" s="2"/>
      <c r="F400" s="2"/>
      <c r="G400" s="2"/>
      <c r="H400" s="2"/>
      <c r="I400" s="2"/>
      <c r="J400" s="2"/>
      <c r="K400" s="2"/>
      <c r="L400" s="2"/>
      <c r="M400" s="2"/>
      <c r="N400" s="2"/>
      <c r="O400" s="2"/>
      <c r="P400" s="2"/>
      <c r="Q400" s="2"/>
      <c r="R400" s="2"/>
      <c r="S400" s="2"/>
      <c r="T400" s="2"/>
      <c r="U400" s="2"/>
      <c r="V400" s="2"/>
      <c r="W400" s="2"/>
    </row>
    <row r="401">
      <c r="A401" s="2"/>
      <c r="B401" s="2"/>
      <c r="C401" s="2"/>
      <c r="D401" s="2"/>
      <c r="E401" s="2"/>
      <c r="F401" s="2"/>
      <c r="G401" s="2"/>
      <c r="H401" s="2"/>
      <c r="I401" s="2"/>
      <c r="J401" s="2"/>
      <c r="K401" s="2"/>
      <c r="L401" s="2"/>
      <c r="M401" s="2"/>
      <c r="N401" s="2"/>
      <c r="O401" s="2"/>
      <c r="P401" s="2"/>
      <c r="Q401" s="2"/>
      <c r="R401" s="2"/>
      <c r="S401" s="2"/>
      <c r="T401" s="2"/>
      <c r="U401" s="2"/>
      <c r="V401" s="2"/>
      <c r="W401" s="2"/>
    </row>
    <row r="402">
      <c r="A402" s="2"/>
      <c r="B402" s="2"/>
      <c r="C402" s="2"/>
      <c r="D402" s="2"/>
      <c r="E402" s="2"/>
      <c r="F402" s="2"/>
      <c r="G402" s="2"/>
      <c r="H402" s="2"/>
      <c r="I402" s="2"/>
      <c r="J402" s="2"/>
      <c r="K402" s="2"/>
      <c r="L402" s="2"/>
      <c r="M402" s="2"/>
      <c r="N402" s="2"/>
      <c r="O402" s="2"/>
      <c r="P402" s="2"/>
      <c r="Q402" s="2"/>
      <c r="R402" s="2"/>
      <c r="S402" s="2"/>
      <c r="T402" s="2"/>
      <c r="U402" s="2"/>
      <c r="V402" s="2"/>
      <c r="W402" s="2"/>
    </row>
    <row r="403">
      <c r="A403" s="2"/>
      <c r="B403" s="2"/>
      <c r="C403" s="2"/>
      <c r="D403" s="2"/>
      <c r="E403" s="2"/>
      <c r="F403" s="2"/>
      <c r="G403" s="2"/>
      <c r="H403" s="2"/>
      <c r="I403" s="2"/>
      <c r="J403" s="2"/>
      <c r="K403" s="2"/>
      <c r="L403" s="2"/>
      <c r="M403" s="2"/>
      <c r="N403" s="2"/>
      <c r="O403" s="2"/>
      <c r="P403" s="2"/>
      <c r="Q403" s="2"/>
      <c r="R403" s="2"/>
      <c r="S403" s="2"/>
      <c r="T403" s="2"/>
      <c r="U403" s="2"/>
      <c r="V403" s="2"/>
      <c r="W403" s="2"/>
    </row>
    <row r="404">
      <c r="A404" s="2"/>
      <c r="B404" s="2"/>
      <c r="C404" s="2"/>
      <c r="D404" s="2"/>
      <c r="E404" s="2"/>
      <c r="F404" s="2"/>
      <c r="G404" s="2"/>
      <c r="H404" s="2"/>
      <c r="I404" s="2"/>
      <c r="J404" s="2"/>
      <c r="K404" s="2"/>
      <c r="L404" s="2"/>
      <c r="M404" s="2"/>
      <c r="N404" s="2"/>
      <c r="O404" s="2"/>
      <c r="P404" s="2"/>
      <c r="Q404" s="2"/>
      <c r="R404" s="2"/>
      <c r="S404" s="2"/>
      <c r="T404" s="2"/>
      <c r="U404" s="2"/>
      <c r="V404" s="2"/>
      <c r="W404" s="2"/>
    </row>
    <row r="405">
      <c r="A405" s="2"/>
      <c r="B405" s="2"/>
      <c r="C405" s="2"/>
      <c r="D405" s="2"/>
      <c r="E405" s="2"/>
      <c r="F405" s="2"/>
      <c r="G405" s="2"/>
      <c r="H405" s="2"/>
      <c r="I405" s="2"/>
      <c r="J405" s="2"/>
      <c r="K405" s="2"/>
      <c r="L405" s="2"/>
      <c r="M405" s="2"/>
      <c r="N405" s="2"/>
      <c r="O405" s="2"/>
      <c r="P405" s="2"/>
      <c r="Q405" s="2"/>
      <c r="R405" s="2"/>
      <c r="S405" s="2"/>
      <c r="T405" s="2"/>
      <c r="U405" s="2"/>
      <c r="V405" s="2"/>
      <c r="W405" s="2"/>
    </row>
    <row r="406">
      <c r="A406" s="2"/>
      <c r="B406" s="2"/>
      <c r="C406" s="2"/>
      <c r="D406" s="2"/>
      <c r="E406" s="2"/>
      <c r="F406" s="2"/>
      <c r="G406" s="2"/>
      <c r="H406" s="2"/>
      <c r="I406" s="2"/>
      <c r="J406" s="2"/>
      <c r="K406" s="2"/>
      <c r="L406" s="2"/>
      <c r="M406" s="2"/>
      <c r="N406" s="2"/>
      <c r="O406" s="2"/>
      <c r="P406" s="2"/>
      <c r="Q406" s="2"/>
      <c r="R406" s="2"/>
      <c r="S406" s="2"/>
      <c r="T406" s="2"/>
      <c r="U406" s="2"/>
      <c r="V406" s="2"/>
      <c r="W406" s="2"/>
    </row>
    <row r="407">
      <c r="A407" s="2"/>
      <c r="B407" s="2"/>
      <c r="C407" s="2"/>
      <c r="D407" s="2"/>
      <c r="E407" s="2"/>
      <c r="F407" s="2"/>
      <c r="G407" s="2"/>
      <c r="H407" s="2"/>
      <c r="I407" s="2"/>
      <c r="J407" s="2"/>
      <c r="K407" s="2"/>
      <c r="L407" s="2"/>
      <c r="M407" s="2"/>
      <c r="N407" s="2"/>
      <c r="O407" s="2"/>
      <c r="P407" s="2"/>
      <c r="Q407" s="2"/>
      <c r="R407" s="2"/>
      <c r="S407" s="2"/>
      <c r="T407" s="2"/>
      <c r="U407" s="2"/>
      <c r="V407" s="2"/>
      <c r="W407" s="2"/>
    </row>
    <row r="408">
      <c r="A408" s="2"/>
      <c r="B408" s="2"/>
      <c r="C408" s="2"/>
      <c r="D408" s="2"/>
      <c r="E408" s="2"/>
      <c r="F408" s="2"/>
      <c r="G408" s="2"/>
      <c r="H408" s="2"/>
      <c r="I408" s="2"/>
      <c r="J408" s="2"/>
      <c r="K408" s="2"/>
      <c r="L408" s="2"/>
      <c r="M408" s="2"/>
      <c r="N408" s="2"/>
      <c r="O408" s="2"/>
      <c r="P408" s="2"/>
      <c r="Q408" s="2"/>
      <c r="R408" s="2"/>
      <c r="S408" s="2"/>
      <c r="T408" s="2"/>
      <c r="U408" s="2"/>
      <c r="V408" s="2"/>
      <c r="W408" s="2"/>
    </row>
    <row r="409">
      <c r="A409" s="2"/>
      <c r="B409" s="2"/>
      <c r="C409" s="2"/>
      <c r="D409" s="2"/>
      <c r="E409" s="2"/>
      <c r="F409" s="2"/>
      <c r="G409" s="2"/>
      <c r="H409" s="2"/>
      <c r="I409" s="2"/>
      <c r="J409" s="2"/>
      <c r="K409" s="2"/>
      <c r="L409" s="2"/>
      <c r="M409" s="2"/>
      <c r="N409" s="2"/>
      <c r="O409" s="2"/>
      <c r="P409" s="2"/>
      <c r="Q409" s="2"/>
      <c r="R409" s="2"/>
      <c r="S409" s="2"/>
      <c r="T409" s="2"/>
      <c r="U409" s="2"/>
      <c r="V409" s="2"/>
      <c r="W409" s="2"/>
    </row>
    <row r="410">
      <c r="A410" s="2"/>
      <c r="B410" s="2"/>
      <c r="C410" s="2"/>
      <c r="D410" s="2"/>
      <c r="E410" s="2"/>
      <c r="F410" s="2"/>
      <c r="G410" s="2"/>
      <c r="H410" s="2"/>
      <c r="I410" s="2"/>
      <c r="J410" s="2"/>
      <c r="K410" s="2"/>
      <c r="L410" s="2"/>
      <c r="M410" s="2"/>
      <c r="N410" s="2"/>
      <c r="O410" s="2"/>
      <c r="P410" s="2"/>
      <c r="Q410" s="2"/>
      <c r="R410" s="2"/>
      <c r="S410" s="2"/>
      <c r="T410" s="2"/>
      <c r="U410" s="2"/>
      <c r="V410" s="2"/>
      <c r="W410" s="2"/>
    </row>
    <row r="411">
      <c r="A411" s="2"/>
      <c r="B411" s="2"/>
      <c r="C411" s="2"/>
      <c r="D411" s="2"/>
      <c r="E411" s="2"/>
      <c r="F411" s="2"/>
      <c r="G411" s="2"/>
      <c r="H411" s="2"/>
      <c r="I411" s="2"/>
      <c r="J411" s="2"/>
      <c r="K411" s="2"/>
      <c r="L411" s="2"/>
      <c r="M411" s="2"/>
      <c r="N411" s="2"/>
      <c r="O411" s="2"/>
      <c r="P411" s="2"/>
      <c r="Q411" s="2"/>
      <c r="R411" s="2"/>
      <c r="S411" s="2"/>
      <c r="T411" s="2"/>
      <c r="U411" s="2"/>
      <c r="V411" s="2"/>
      <c r="W411" s="2"/>
    </row>
    <row r="412">
      <c r="A412" s="2"/>
      <c r="B412" s="2"/>
      <c r="C412" s="2"/>
      <c r="D412" s="2"/>
      <c r="E412" s="2"/>
      <c r="F412" s="2"/>
      <c r="G412" s="2"/>
      <c r="H412" s="2"/>
      <c r="I412" s="2"/>
      <c r="J412" s="2"/>
      <c r="K412" s="2"/>
      <c r="L412" s="2"/>
      <c r="M412" s="2"/>
      <c r="N412" s="2"/>
      <c r="O412" s="2"/>
      <c r="P412" s="2"/>
      <c r="Q412" s="2"/>
      <c r="R412" s="2"/>
      <c r="S412" s="2"/>
      <c r="T412" s="2"/>
      <c r="U412" s="2"/>
      <c r="V412" s="2"/>
      <c r="W412" s="2"/>
    </row>
    <row r="413">
      <c r="A413" s="2"/>
      <c r="B413" s="2"/>
      <c r="C413" s="2"/>
      <c r="D413" s="2"/>
      <c r="E413" s="2"/>
      <c r="F413" s="2"/>
      <c r="G413" s="2"/>
      <c r="H413" s="2"/>
      <c r="I413" s="2"/>
      <c r="J413" s="2"/>
      <c r="K413" s="2"/>
      <c r="L413" s="2"/>
      <c r="M413" s="2"/>
      <c r="N413" s="2"/>
      <c r="O413" s="2"/>
      <c r="P413" s="2"/>
      <c r="Q413" s="2"/>
      <c r="R413" s="2"/>
      <c r="S413" s="2"/>
      <c r="T413" s="2"/>
      <c r="U413" s="2"/>
      <c r="V413" s="2"/>
      <c r="W413" s="2"/>
    </row>
    <row r="414">
      <c r="A414" s="2"/>
      <c r="B414" s="2"/>
      <c r="C414" s="2"/>
      <c r="D414" s="2"/>
      <c r="E414" s="2"/>
      <c r="F414" s="2"/>
      <c r="G414" s="2"/>
      <c r="H414" s="2"/>
      <c r="I414" s="2"/>
      <c r="J414" s="2"/>
      <c r="K414" s="2"/>
      <c r="L414" s="2"/>
      <c r="M414" s="2"/>
      <c r="N414" s="2"/>
      <c r="O414" s="2"/>
      <c r="P414" s="2"/>
      <c r="Q414" s="2"/>
      <c r="R414" s="2"/>
      <c r="S414" s="2"/>
      <c r="T414" s="2"/>
      <c r="U414" s="2"/>
      <c r="V414" s="2"/>
      <c r="W414" s="2"/>
    </row>
    <row r="415">
      <c r="A415" s="2"/>
      <c r="B415" s="2"/>
      <c r="C415" s="2"/>
      <c r="D415" s="2"/>
      <c r="E415" s="2"/>
      <c r="F415" s="2"/>
      <c r="G415" s="2"/>
      <c r="H415" s="2"/>
      <c r="I415" s="2"/>
      <c r="J415" s="2"/>
      <c r="K415" s="2"/>
      <c r="L415" s="2"/>
      <c r="M415" s="2"/>
      <c r="N415" s="2"/>
      <c r="O415" s="2"/>
      <c r="P415" s="2"/>
      <c r="Q415" s="2"/>
      <c r="R415" s="2"/>
      <c r="S415" s="2"/>
      <c r="T415" s="2"/>
      <c r="U415" s="2"/>
      <c r="V415" s="2"/>
      <c r="W415" s="2"/>
    </row>
    <row r="416">
      <c r="A416" s="2"/>
      <c r="B416" s="2"/>
      <c r="C416" s="2"/>
      <c r="D416" s="2"/>
      <c r="E416" s="2"/>
      <c r="F416" s="2"/>
      <c r="G416" s="2"/>
      <c r="H416" s="2"/>
      <c r="I416" s="2"/>
      <c r="J416" s="2"/>
      <c r="K416" s="2"/>
      <c r="L416" s="2"/>
      <c r="M416" s="2"/>
      <c r="N416" s="2"/>
      <c r="O416" s="2"/>
      <c r="P416" s="2"/>
      <c r="Q416" s="2"/>
      <c r="R416" s="2"/>
      <c r="S416" s="2"/>
      <c r="T416" s="2"/>
      <c r="U416" s="2"/>
      <c r="V416" s="2"/>
      <c r="W416" s="2"/>
    </row>
    <row r="417">
      <c r="A417" s="2"/>
      <c r="B417" s="2"/>
      <c r="C417" s="2"/>
      <c r="D417" s="2"/>
      <c r="E417" s="2"/>
      <c r="F417" s="2"/>
      <c r="G417" s="2"/>
      <c r="H417" s="2"/>
      <c r="I417" s="2"/>
      <c r="J417" s="2"/>
      <c r="K417" s="2"/>
      <c r="L417" s="2"/>
      <c r="M417" s="2"/>
      <c r="N417" s="2"/>
      <c r="O417" s="2"/>
      <c r="P417" s="2"/>
      <c r="Q417" s="2"/>
      <c r="R417" s="2"/>
      <c r="S417" s="2"/>
      <c r="T417" s="2"/>
      <c r="U417" s="2"/>
      <c r="V417" s="2"/>
      <c r="W417" s="2"/>
    </row>
    <row r="418">
      <c r="A418" s="2"/>
      <c r="B418" s="2"/>
      <c r="C418" s="2"/>
      <c r="D418" s="2"/>
      <c r="E418" s="2"/>
      <c r="F418" s="2"/>
      <c r="G418" s="2"/>
      <c r="H418" s="2"/>
      <c r="I418" s="2"/>
      <c r="J418" s="2"/>
      <c r="K418" s="2"/>
      <c r="L418" s="2"/>
      <c r="M418" s="2"/>
      <c r="N418" s="2"/>
      <c r="O418" s="2"/>
      <c r="P418" s="2"/>
      <c r="Q418" s="2"/>
      <c r="R418" s="2"/>
      <c r="S418" s="2"/>
      <c r="T418" s="2"/>
      <c r="U418" s="2"/>
      <c r="V418" s="2"/>
      <c r="W418" s="2"/>
    </row>
    <row r="419">
      <c r="A419" s="2"/>
      <c r="B419" s="2"/>
      <c r="C419" s="2"/>
      <c r="D419" s="2"/>
      <c r="E419" s="2"/>
      <c r="F419" s="2"/>
      <c r="G419" s="2"/>
      <c r="H419" s="2"/>
      <c r="I419" s="2"/>
      <c r="J419" s="2"/>
      <c r="K419" s="2"/>
      <c r="L419" s="2"/>
      <c r="M419" s="2"/>
      <c r="N419" s="2"/>
      <c r="O419" s="2"/>
      <c r="P419" s="2"/>
      <c r="Q419" s="2"/>
      <c r="R419" s="2"/>
      <c r="S419" s="2"/>
      <c r="T419" s="2"/>
      <c r="U419" s="2"/>
      <c r="V419" s="2"/>
      <c r="W419" s="2"/>
    </row>
    <row r="420">
      <c r="A420" s="2"/>
      <c r="B420" s="2"/>
      <c r="C420" s="2"/>
      <c r="D420" s="2"/>
      <c r="E420" s="2"/>
      <c r="F420" s="2"/>
      <c r="G420" s="2"/>
      <c r="H420" s="2"/>
      <c r="I420" s="2"/>
      <c r="J420" s="2"/>
      <c r="K420" s="2"/>
      <c r="L420" s="2"/>
      <c r="M420" s="2"/>
      <c r="N420" s="2"/>
      <c r="O420" s="2"/>
      <c r="P420" s="2"/>
      <c r="Q420" s="2"/>
      <c r="R420" s="2"/>
      <c r="S420" s="2"/>
      <c r="T420" s="2"/>
      <c r="U420" s="2"/>
      <c r="V420" s="2"/>
      <c r="W420" s="2"/>
    </row>
    <row r="421">
      <c r="A421" s="2"/>
      <c r="B421" s="2"/>
      <c r="C421" s="2"/>
      <c r="D421" s="2"/>
      <c r="E421" s="2"/>
      <c r="F421" s="2"/>
      <c r="G421" s="2"/>
      <c r="H421" s="2"/>
      <c r="I421" s="2"/>
      <c r="J421" s="2"/>
      <c r="K421" s="2"/>
      <c r="L421" s="2"/>
      <c r="M421" s="2"/>
      <c r="N421" s="2"/>
      <c r="O421" s="2"/>
      <c r="P421" s="2"/>
      <c r="Q421" s="2"/>
      <c r="R421" s="2"/>
      <c r="S421" s="2"/>
      <c r="T421" s="2"/>
      <c r="U421" s="2"/>
      <c r="V421" s="2"/>
      <c r="W421" s="2"/>
    </row>
    <row r="422">
      <c r="A422" s="2"/>
      <c r="B422" s="2"/>
      <c r="C422" s="2"/>
      <c r="D422" s="2"/>
      <c r="E422" s="2"/>
      <c r="F422" s="2"/>
      <c r="G422" s="2"/>
      <c r="H422" s="2"/>
      <c r="I422" s="2"/>
      <c r="J422" s="2"/>
      <c r="K422" s="2"/>
      <c r="L422" s="2"/>
      <c r="M422" s="2"/>
      <c r="N422" s="2"/>
      <c r="O422" s="2"/>
      <c r="P422" s="2"/>
      <c r="Q422" s="2"/>
      <c r="R422" s="2"/>
      <c r="S422" s="2"/>
      <c r="T422" s="2"/>
      <c r="U422" s="2"/>
      <c r="V422" s="2"/>
      <c r="W422" s="2"/>
    </row>
    <row r="423">
      <c r="A423" s="2"/>
      <c r="B423" s="2"/>
      <c r="C423" s="2"/>
      <c r="D423" s="2"/>
      <c r="E423" s="2"/>
      <c r="F423" s="2"/>
      <c r="G423" s="2"/>
      <c r="H423" s="2"/>
      <c r="I423" s="2"/>
      <c r="J423" s="2"/>
      <c r="K423" s="2"/>
      <c r="L423" s="2"/>
      <c r="M423" s="2"/>
      <c r="N423" s="2"/>
      <c r="O423" s="2"/>
      <c r="P423" s="2"/>
      <c r="Q423" s="2"/>
      <c r="R423" s="2"/>
      <c r="S423" s="2"/>
      <c r="T423" s="2"/>
      <c r="U423" s="2"/>
      <c r="V423" s="2"/>
      <c r="W423" s="2"/>
    </row>
    <row r="424">
      <c r="A424" s="2"/>
      <c r="B424" s="2"/>
      <c r="C424" s="2"/>
      <c r="D424" s="2"/>
      <c r="E424" s="2"/>
      <c r="F424" s="2"/>
      <c r="G424" s="2"/>
      <c r="H424" s="2"/>
      <c r="I424" s="2"/>
      <c r="J424" s="2"/>
      <c r="K424" s="2"/>
      <c r="L424" s="2"/>
      <c r="M424" s="2"/>
      <c r="N424" s="2"/>
      <c r="O424" s="2"/>
      <c r="P424" s="2"/>
      <c r="Q424" s="2"/>
      <c r="R424" s="2"/>
      <c r="S424" s="2"/>
      <c r="T424" s="2"/>
      <c r="U424" s="2"/>
      <c r="V424" s="2"/>
      <c r="W424" s="2"/>
    </row>
    <row r="425">
      <c r="A425" s="2"/>
      <c r="B425" s="2"/>
      <c r="C425" s="2"/>
      <c r="D425" s="2"/>
      <c r="E425" s="2"/>
      <c r="F425" s="2"/>
      <c r="G425" s="2"/>
      <c r="H425" s="2"/>
      <c r="I425" s="2"/>
      <c r="J425" s="2"/>
      <c r="K425" s="2"/>
      <c r="L425" s="2"/>
      <c r="M425" s="2"/>
      <c r="N425" s="2"/>
      <c r="O425" s="2"/>
      <c r="P425" s="2"/>
      <c r="Q425" s="2"/>
      <c r="R425" s="2"/>
      <c r="S425" s="2"/>
      <c r="T425" s="2"/>
      <c r="U425" s="2"/>
      <c r="V425" s="2"/>
      <c r="W425" s="2"/>
    </row>
    <row r="426">
      <c r="A426" s="2"/>
      <c r="B426" s="2"/>
      <c r="C426" s="2"/>
      <c r="D426" s="2"/>
      <c r="E426" s="2"/>
      <c r="F426" s="2"/>
      <c r="G426" s="2"/>
      <c r="H426" s="2"/>
      <c r="I426" s="2"/>
      <c r="J426" s="2"/>
      <c r="K426" s="2"/>
      <c r="L426" s="2"/>
      <c r="M426" s="2"/>
      <c r="N426" s="2"/>
      <c r="O426" s="2"/>
      <c r="P426" s="2"/>
      <c r="Q426" s="2"/>
      <c r="R426" s="2"/>
      <c r="S426" s="2"/>
      <c r="T426" s="2"/>
      <c r="U426" s="2"/>
      <c r="V426" s="2"/>
      <c r="W426" s="2"/>
    </row>
    <row r="427">
      <c r="A427" s="2"/>
      <c r="B427" s="2"/>
      <c r="C427" s="2"/>
      <c r="D427" s="2"/>
      <c r="E427" s="2"/>
      <c r="F427" s="2"/>
      <c r="G427" s="2"/>
      <c r="H427" s="2"/>
      <c r="I427" s="2"/>
      <c r="J427" s="2"/>
      <c r="K427" s="2"/>
      <c r="L427" s="2"/>
      <c r="M427" s="2"/>
      <c r="N427" s="2"/>
      <c r="O427" s="2"/>
      <c r="P427" s="2"/>
      <c r="Q427" s="2"/>
      <c r="R427" s="2"/>
      <c r="S427" s="2"/>
      <c r="T427" s="2"/>
      <c r="U427" s="2"/>
      <c r="V427" s="2"/>
      <c r="W427" s="2"/>
    </row>
    <row r="428">
      <c r="A428" s="2"/>
      <c r="B428" s="2"/>
      <c r="C428" s="2"/>
      <c r="D428" s="2"/>
      <c r="E428" s="2"/>
      <c r="F428" s="2"/>
      <c r="G428" s="2"/>
      <c r="H428" s="2"/>
      <c r="I428" s="2"/>
      <c r="J428" s="2"/>
      <c r="K428" s="2"/>
      <c r="L428" s="2"/>
      <c r="M428" s="2"/>
      <c r="N428" s="2"/>
      <c r="O428" s="2"/>
      <c r="P428" s="2"/>
      <c r="Q428" s="2"/>
      <c r="R428" s="2"/>
      <c r="S428" s="2"/>
      <c r="T428" s="2"/>
      <c r="U428" s="2"/>
      <c r="V428" s="2"/>
      <c r="W428" s="2"/>
    </row>
    <row r="429">
      <c r="A429" s="2"/>
      <c r="B429" s="2"/>
      <c r="C429" s="2"/>
      <c r="D429" s="2"/>
      <c r="E429" s="2"/>
      <c r="F429" s="2"/>
      <c r="G429" s="2"/>
      <c r="H429" s="2"/>
      <c r="I429" s="2"/>
      <c r="J429" s="2"/>
      <c r="K429" s="2"/>
      <c r="L429" s="2"/>
      <c r="M429" s="2"/>
      <c r="N429" s="2"/>
      <c r="O429" s="2"/>
      <c r="P429" s="2"/>
      <c r="Q429" s="2"/>
      <c r="R429" s="2"/>
      <c r="S429" s="2"/>
      <c r="T429" s="2"/>
      <c r="U429" s="2"/>
      <c r="V429" s="2"/>
      <c r="W429" s="2"/>
    </row>
    <row r="430">
      <c r="A430" s="2"/>
      <c r="B430" s="2"/>
      <c r="C430" s="2"/>
      <c r="D430" s="2"/>
      <c r="E430" s="2"/>
      <c r="F430" s="2"/>
      <c r="G430" s="2"/>
      <c r="H430" s="2"/>
      <c r="I430" s="2"/>
      <c r="J430" s="2"/>
      <c r="K430" s="2"/>
      <c r="L430" s="2"/>
      <c r="M430" s="2"/>
      <c r="N430" s="2"/>
      <c r="O430" s="2"/>
      <c r="P430" s="2"/>
      <c r="Q430" s="2"/>
      <c r="R430" s="2"/>
      <c r="S430" s="2"/>
      <c r="T430" s="2"/>
      <c r="U430" s="2"/>
      <c r="V430" s="2"/>
      <c r="W430" s="2"/>
    </row>
    <row r="431">
      <c r="A431" s="2"/>
      <c r="B431" s="2"/>
      <c r="C431" s="2"/>
      <c r="D431" s="2"/>
      <c r="E431" s="2"/>
      <c r="F431" s="2"/>
      <c r="G431" s="2"/>
      <c r="H431" s="2"/>
      <c r="I431" s="2"/>
      <c r="J431" s="2"/>
      <c r="K431" s="2"/>
      <c r="L431" s="2"/>
      <c r="M431" s="2"/>
      <c r="N431" s="2"/>
      <c r="O431" s="2"/>
      <c r="P431" s="2"/>
      <c r="Q431" s="2"/>
      <c r="R431" s="2"/>
      <c r="S431" s="2"/>
      <c r="T431" s="2"/>
      <c r="U431" s="2"/>
      <c r="V431" s="2"/>
      <c r="W431" s="2"/>
    </row>
    <row r="432">
      <c r="A432" s="2"/>
      <c r="B432" s="2"/>
      <c r="C432" s="2"/>
      <c r="D432" s="2"/>
      <c r="E432" s="2"/>
      <c r="F432" s="2"/>
      <c r="G432" s="2"/>
      <c r="H432" s="2"/>
      <c r="I432" s="2"/>
      <c r="J432" s="2"/>
      <c r="K432" s="2"/>
      <c r="L432" s="2"/>
      <c r="M432" s="2"/>
      <c r="N432" s="2"/>
      <c r="O432" s="2"/>
      <c r="P432" s="2"/>
      <c r="Q432" s="2"/>
      <c r="R432" s="2"/>
      <c r="S432" s="2"/>
      <c r="T432" s="2"/>
      <c r="U432" s="2"/>
      <c r="V432" s="2"/>
      <c r="W432" s="2"/>
    </row>
    <row r="433">
      <c r="A433" s="2"/>
      <c r="B433" s="2"/>
      <c r="C433" s="2"/>
      <c r="D433" s="2"/>
      <c r="E433" s="2"/>
      <c r="F433" s="2"/>
      <c r="G433" s="2"/>
      <c r="H433" s="2"/>
      <c r="I433" s="2"/>
      <c r="J433" s="2"/>
      <c r="K433" s="2"/>
      <c r="L433" s="2"/>
      <c r="M433" s="2"/>
      <c r="N433" s="2"/>
      <c r="O433" s="2"/>
      <c r="P433" s="2"/>
      <c r="Q433" s="2"/>
      <c r="R433" s="2"/>
      <c r="S433" s="2"/>
      <c r="T433" s="2"/>
      <c r="U433" s="2"/>
      <c r="V433" s="2"/>
      <c r="W433" s="2"/>
    </row>
    <row r="434">
      <c r="A434" s="2"/>
      <c r="B434" s="2"/>
      <c r="C434" s="2"/>
      <c r="D434" s="2"/>
      <c r="E434" s="2"/>
      <c r="F434" s="2"/>
      <c r="G434" s="2"/>
      <c r="H434" s="2"/>
      <c r="I434" s="2"/>
      <c r="J434" s="2"/>
      <c r="K434" s="2"/>
      <c r="L434" s="2"/>
      <c r="M434" s="2"/>
      <c r="N434" s="2"/>
      <c r="O434" s="2"/>
      <c r="P434" s="2"/>
      <c r="Q434" s="2"/>
      <c r="R434" s="2"/>
      <c r="S434" s="2"/>
      <c r="T434" s="2"/>
      <c r="U434" s="2"/>
      <c r="V434" s="2"/>
      <c r="W434" s="2"/>
    </row>
    <row r="435">
      <c r="A435" s="2"/>
      <c r="B435" s="2"/>
      <c r="C435" s="2"/>
      <c r="D435" s="2"/>
      <c r="E435" s="2"/>
      <c r="F435" s="2"/>
      <c r="G435" s="2"/>
      <c r="H435" s="2"/>
      <c r="I435" s="2"/>
      <c r="J435" s="2"/>
      <c r="K435" s="2"/>
      <c r="L435" s="2"/>
      <c r="M435" s="2"/>
      <c r="N435" s="2"/>
      <c r="O435" s="2"/>
      <c r="P435" s="2"/>
      <c r="Q435" s="2"/>
      <c r="R435" s="2"/>
      <c r="S435" s="2"/>
      <c r="T435" s="2"/>
      <c r="U435" s="2"/>
      <c r="V435" s="2"/>
      <c r="W435" s="2"/>
    </row>
    <row r="436">
      <c r="A436" s="2"/>
      <c r="B436" s="2"/>
      <c r="C436" s="2"/>
      <c r="D436" s="2"/>
      <c r="E436" s="2"/>
      <c r="F436" s="2"/>
      <c r="G436" s="2"/>
      <c r="H436" s="2"/>
      <c r="I436" s="2"/>
      <c r="J436" s="2"/>
      <c r="K436" s="2"/>
      <c r="L436" s="2"/>
      <c r="M436" s="2"/>
      <c r="N436" s="2"/>
      <c r="O436" s="2"/>
      <c r="P436" s="2"/>
      <c r="Q436" s="2"/>
      <c r="R436" s="2"/>
      <c r="S436" s="2"/>
      <c r="T436" s="2"/>
      <c r="U436" s="2"/>
      <c r="V436" s="2"/>
      <c r="W436" s="2"/>
    </row>
    <row r="437">
      <c r="A437" s="2"/>
      <c r="B437" s="2"/>
      <c r="C437" s="2"/>
      <c r="D437" s="2"/>
      <c r="E437" s="2"/>
      <c r="F437" s="2"/>
      <c r="G437" s="2"/>
      <c r="H437" s="2"/>
      <c r="I437" s="2"/>
      <c r="J437" s="2"/>
      <c r="K437" s="2"/>
      <c r="L437" s="2"/>
      <c r="M437" s="2"/>
      <c r="N437" s="2"/>
      <c r="O437" s="2"/>
      <c r="P437" s="2"/>
      <c r="Q437" s="2"/>
      <c r="R437" s="2"/>
      <c r="S437" s="2"/>
      <c r="T437" s="2"/>
      <c r="U437" s="2"/>
      <c r="V437" s="2"/>
      <c r="W437" s="2"/>
    </row>
    <row r="438">
      <c r="A438" s="2"/>
      <c r="B438" s="2"/>
      <c r="C438" s="2"/>
      <c r="D438" s="2"/>
      <c r="E438" s="2"/>
      <c r="F438" s="2"/>
      <c r="G438" s="2"/>
      <c r="H438" s="2"/>
      <c r="I438" s="2"/>
      <c r="J438" s="2"/>
      <c r="K438" s="2"/>
      <c r="L438" s="2"/>
      <c r="M438" s="2"/>
      <c r="N438" s="2"/>
      <c r="O438" s="2"/>
      <c r="P438" s="2"/>
      <c r="Q438" s="2"/>
      <c r="R438" s="2"/>
      <c r="S438" s="2"/>
      <c r="T438" s="2"/>
      <c r="U438" s="2"/>
      <c r="V438" s="2"/>
      <c r="W438" s="2"/>
    </row>
    <row r="439">
      <c r="A439" s="2"/>
      <c r="B439" s="2"/>
      <c r="C439" s="2"/>
      <c r="D439" s="2"/>
      <c r="E439" s="2"/>
      <c r="F439" s="2"/>
      <c r="G439" s="2"/>
      <c r="H439" s="2"/>
      <c r="I439" s="2"/>
      <c r="J439" s="2"/>
      <c r="K439" s="2"/>
      <c r="L439" s="2"/>
      <c r="M439" s="2"/>
      <c r="N439" s="2"/>
      <c r="O439" s="2"/>
      <c r="P439" s="2"/>
      <c r="Q439" s="2"/>
      <c r="R439" s="2"/>
      <c r="S439" s="2"/>
      <c r="T439" s="2"/>
      <c r="U439" s="2"/>
      <c r="V439" s="2"/>
      <c r="W439" s="2"/>
    </row>
    <row r="440">
      <c r="A440" s="2"/>
      <c r="B440" s="2"/>
      <c r="C440" s="2"/>
      <c r="D440" s="2"/>
      <c r="E440" s="2"/>
      <c r="F440" s="2"/>
      <c r="G440" s="2"/>
      <c r="H440" s="2"/>
      <c r="I440" s="2"/>
      <c r="J440" s="2"/>
      <c r="K440" s="2"/>
      <c r="L440" s="2"/>
      <c r="M440" s="2"/>
      <c r="N440" s="2"/>
      <c r="O440" s="2"/>
      <c r="P440" s="2"/>
      <c r="Q440" s="2"/>
      <c r="R440" s="2"/>
      <c r="S440" s="2"/>
      <c r="T440" s="2"/>
      <c r="U440" s="2"/>
      <c r="V440" s="2"/>
      <c r="W440" s="2"/>
    </row>
    <row r="441">
      <c r="A441" s="2"/>
      <c r="B441" s="2"/>
      <c r="C441" s="2"/>
      <c r="D441" s="2"/>
      <c r="E441" s="2"/>
      <c r="F441" s="2"/>
      <c r="G441" s="2"/>
      <c r="H441" s="2"/>
      <c r="I441" s="2"/>
      <c r="J441" s="2"/>
      <c r="K441" s="2"/>
      <c r="L441" s="2"/>
      <c r="M441" s="2"/>
      <c r="N441" s="2"/>
      <c r="O441" s="2"/>
      <c r="P441" s="2"/>
      <c r="Q441" s="2"/>
      <c r="R441" s="2"/>
      <c r="S441" s="2"/>
      <c r="T441" s="2"/>
      <c r="U441" s="2"/>
      <c r="V441" s="2"/>
      <c r="W441" s="2"/>
    </row>
    <row r="442">
      <c r="A442" s="2"/>
      <c r="B442" s="2"/>
      <c r="C442" s="2"/>
      <c r="D442" s="2"/>
      <c r="E442" s="2"/>
      <c r="F442" s="2"/>
      <c r="G442" s="2"/>
      <c r="H442" s="2"/>
      <c r="I442" s="2"/>
      <c r="J442" s="2"/>
      <c r="K442" s="2"/>
      <c r="L442" s="2"/>
      <c r="M442" s="2"/>
      <c r="N442" s="2"/>
      <c r="O442" s="2"/>
      <c r="P442" s="2"/>
      <c r="Q442" s="2"/>
      <c r="R442" s="2"/>
      <c r="S442" s="2"/>
      <c r="T442" s="2"/>
      <c r="U442" s="2"/>
      <c r="V442" s="2"/>
      <c r="W442" s="2"/>
    </row>
    <row r="443">
      <c r="A443" s="2"/>
      <c r="B443" s="2"/>
      <c r="C443" s="2"/>
      <c r="D443" s="2"/>
      <c r="E443" s="2"/>
      <c r="F443" s="2"/>
      <c r="G443" s="2"/>
      <c r="H443" s="2"/>
      <c r="I443" s="2"/>
      <c r="J443" s="2"/>
      <c r="K443" s="2"/>
      <c r="L443" s="2"/>
      <c r="M443" s="2"/>
      <c r="N443" s="2"/>
      <c r="O443" s="2"/>
      <c r="P443" s="2"/>
      <c r="Q443" s="2"/>
      <c r="R443" s="2"/>
      <c r="S443" s="2"/>
      <c r="T443" s="2"/>
      <c r="U443" s="2"/>
      <c r="V443" s="2"/>
      <c r="W443" s="2"/>
    </row>
    <row r="444">
      <c r="A444" s="2"/>
      <c r="B444" s="2"/>
      <c r="C444" s="2"/>
      <c r="D444" s="2"/>
      <c r="E444" s="2"/>
      <c r="F444" s="2"/>
      <c r="G444" s="2"/>
      <c r="H444" s="2"/>
      <c r="I444" s="2"/>
      <c r="J444" s="2"/>
      <c r="K444" s="2"/>
      <c r="L444" s="2"/>
      <c r="M444" s="2"/>
      <c r="N444" s="2"/>
      <c r="O444" s="2"/>
      <c r="P444" s="2"/>
      <c r="Q444" s="2"/>
      <c r="R444" s="2"/>
      <c r="S444" s="2"/>
      <c r="T444" s="2"/>
      <c r="U444" s="2"/>
      <c r="V444" s="2"/>
      <c r="W444" s="2"/>
    </row>
    <row r="445">
      <c r="A445" s="2"/>
      <c r="B445" s="2"/>
      <c r="C445" s="2"/>
      <c r="D445" s="2"/>
      <c r="E445" s="2"/>
      <c r="F445" s="2"/>
      <c r="G445" s="2"/>
      <c r="H445" s="2"/>
      <c r="I445" s="2"/>
      <c r="J445" s="2"/>
      <c r="K445" s="2"/>
      <c r="L445" s="2"/>
      <c r="M445" s="2"/>
      <c r="N445" s="2"/>
      <c r="O445" s="2"/>
      <c r="P445" s="2"/>
      <c r="Q445" s="2"/>
      <c r="R445" s="2"/>
      <c r="S445" s="2"/>
      <c r="T445" s="2"/>
      <c r="U445" s="2"/>
      <c r="V445" s="2"/>
      <c r="W445" s="2"/>
    </row>
    <row r="446">
      <c r="A446" s="2"/>
      <c r="B446" s="2"/>
      <c r="C446" s="2"/>
      <c r="D446" s="2"/>
      <c r="E446" s="2"/>
      <c r="F446" s="2"/>
      <c r="G446" s="2"/>
      <c r="H446" s="2"/>
      <c r="I446" s="2"/>
      <c r="J446" s="2"/>
      <c r="K446" s="2"/>
      <c r="L446" s="2"/>
      <c r="M446" s="2"/>
      <c r="N446" s="2"/>
      <c r="O446" s="2"/>
      <c r="P446" s="2"/>
      <c r="Q446" s="2"/>
      <c r="R446" s="2"/>
      <c r="S446" s="2"/>
      <c r="T446" s="2"/>
      <c r="U446" s="2"/>
      <c r="V446" s="2"/>
      <c r="W446" s="2"/>
    </row>
    <row r="447">
      <c r="A447" s="2"/>
      <c r="B447" s="2"/>
      <c r="C447" s="2"/>
      <c r="D447" s="2"/>
      <c r="E447" s="2"/>
      <c r="F447" s="2"/>
      <c r="G447" s="2"/>
      <c r="H447" s="2"/>
      <c r="I447" s="2"/>
      <c r="J447" s="2"/>
      <c r="K447" s="2"/>
      <c r="L447" s="2"/>
      <c r="M447" s="2"/>
      <c r="N447" s="2"/>
      <c r="O447" s="2"/>
      <c r="P447" s="2"/>
      <c r="Q447" s="2"/>
      <c r="R447" s="2"/>
      <c r="S447" s="2"/>
      <c r="T447" s="2"/>
      <c r="U447" s="2"/>
      <c r="V447" s="2"/>
      <c r="W447" s="2"/>
    </row>
    <row r="448">
      <c r="A448" s="2"/>
      <c r="B448" s="2"/>
      <c r="C448" s="2"/>
      <c r="D448" s="2"/>
      <c r="E448" s="2"/>
      <c r="F448" s="2"/>
      <c r="G448" s="2"/>
      <c r="H448" s="2"/>
      <c r="I448" s="2"/>
      <c r="J448" s="2"/>
      <c r="K448" s="2"/>
      <c r="L448" s="2"/>
      <c r="M448" s="2"/>
      <c r="N448" s="2"/>
      <c r="O448" s="2"/>
      <c r="P448" s="2"/>
      <c r="Q448" s="2"/>
      <c r="R448" s="2"/>
      <c r="S448" s="2"/>
      <c r="T448" s="2"/>
      <c r="U448" s="2"/>
      <c r="V448" s="2"/>
      <c r="W448" s="2"/>
    </row>
    <row r="449">
      <c r="A449" s="2"/>
      <c r="B449" s="2"/>
      <c r="C449" s="2"/>
      <c r="D449" s="2"/>
      <c r="E449" s="2"/>
      <c r="F449" s="2"/>
      <c r="G449" s="2"/>
      <c r="H449" s="2"/>
      <c r="I449" s="2"/>
      <c r="J449" s="2"/>
      <c r="K449" s="2"/>
      <c r="L449" s="2"/>
      <c r="M449" s="2"/>
      <c r="N449" s="2"/>
      <c r="O449" s="2"/>
      <c r="P449" s="2"/>
      <c r="Q449" s="2"/>
      <c r="R449" s="2"/>
      <c r="S449" s="2"/>
      <c r="T449" s="2"/>
      <c r="U449" s="2"/>
      <c r="V449" s="2"/>
      <c r="W449" s="2"/>
    </row>
    <row r="450">
      <c r="A450" s="2"/>
      <c r="B450" s="2"/>
      <c r="C450" s="2"/>
      <c r="D450" s="2"/>
      <c r="E450" s="2"/>
      <c r="F450" s="2"/>
      <c r="G450" s="2"/>
      <c r="H450" s="2"/>
      <c r="I450" s="2"/>
      <c r="J450" s="2"/>
      <c r="K450" s="2"/>
      <c r="L450" s="2"/>
      <c r="M450" s="2"/>
      <c r="N450" s="2"/>
      <c r="O450" s="2"/>
      <c r="P450" s="2"/>
      <c r="Q450" s="2"/>
      <c r="R450" s="2"/>
      <c r="S450" s="2"/>
      <c r="T450" s="2"/>
      <c r="U450" s="2"/>
      <c r="V450" s="2"/>
      <c r="W450" s="2"/>
    </row>
    <row r="451">
      <c r="A451" s="2"/>
      <c r="B451" s="2"/>
      <c r="C451" s="2"/>
      <c r="D451" s="2"/>
      <c r="E451" s="2"/>
      <c r="F451" s="2"/>
      <c r="G451" s="2"/>
      <c r="H451" s="2"/>
      <c r="I451" s="2"/>
      <c r="J451" s="2"/>
      <c r="K451" s="2"/>
      <c r="L451" s="2"/>
      <c r="M451" s="2"/>
      <c r="N451" s="2"/>
      <c r="O451" s="2"/>
      <c r="P451" s="2"/>
      <c r="Q451" s="2"/>
      <c r="R451" s="2"/>
      <c r="S451" s="2"/>
      <c r="T451" s="2"/>
      <c r="U451" s="2"/>
      <c r="V451" s="2"/>
      <c r="W451" s="2"/>
    </row>
    <row r="452">
      <c r="A452" s="2"/>
      <c r="B452" s="2"/>
      <c r="C452" s="2"/>
      <c r="D452" s="2"/>
      <c r="E452" s="2"/>
      <c r="F452" s="2"/>
      <c r="G452" s="2"/>
      <c r="H452" s="2"/>
      <c r="I452" s="2"/>
      <c r="J452" s="2"/>
      <c r="K452" s="2"/>
      <c r="L452" s="2"/>
      <c r="M452" s="2"/>
      <c r="N452" s="2"/>
      <c r="O452" s="2"/>
      <c r="P452" s="2"/>
      <c r="Q452" s="2"/>
      <c r="R452" s="2"/>
      <c r="S452" s="2"/>
      <c r="T452" s="2"/>
      <c r="U452" s="2"/>
      <c r="V452" s="2"/>
      <c r="W452" s="2"/>
    </row>
    <row r="453">
      <c r="A453" s="2"/>
      <c r="B453" s="2"/>
      <c r="C453" s="2"/>
      <c r="D453" s="2"/>
      <c r="E453" s="2"/>
      <c r="F453" s="2"/>
      <c r="G453" s="2"/>
      <c r="H453" s="2"/>
      <c r="I453" s="2"/>
      <c r="J453" s="2"/>
      <c r="K453" s="2"/>
      <c r="L453" s="2"/>
      <c r="M453" s="2"/>
      <c r="N453" s="2"/>
      <c r="O453" s="2"/>
      <c r="P453" s="2"/>
      <c r="Q453" s="2"/>
      <c r="R453" s="2"/>
      <c r="S453" s="2"/>
      <c r="T453" s="2"/>
      <c r="U453" s="2"/>
      <c r="V453" s="2"/>
      <c r="W453" s="2"/>
    </row>
    <row r="454">
      <c r="A454" s="2"/>
      <c r="B454" s="2"/>
      <c r="C454" s="2"/>
      <c r="D454" s="2"/>
      <c r="E454" s="2"/>
      <c r="F454" s="2"/>
      <c r="G454" s="2"/>
      <c r="H454" s="2"/>
      <c r="I454" s="2"/>
      <c r="J454" s="2"/>
      <c r="K454" s="2"/>
      <c r="L454" s="2"/>
      <c r="M454" s="2"/>
      <c r="N454" s="2"/>
      <c r="O454" s="2"/>
      <c r="P454" s="2"/>
      <c r="Q454" s="2"/>
      <c r="R454" s="2"/>
      <c r="S454" s="2"/>
      <c r="T454" s="2"/>
      <c r="U454" s="2"/>
      <c r="V454" s="2"/>
      <c r="W454" s="2"/>
    </row>
    <row r="455">
      <c r="A455" s="2"/>
      <c r="B455" s="2"/>
      <c r="C455" s="2"/>
      <c r="D455" s="2"/>
      <c r="E455" s="2"/>
      <c r="F455" s="2"/>
      <c r="G455" s="2"/>
      <c r="H455" s="2"/>
      <c r="I455" s="2"/>
      <c r="J455" s="2"/>
      <c r="K455" s="2"/>
      <c r="L455" s="2"/>
      <c r="M455" s="2"/>
      <c r="N455" s="2"/>
      <c r="O455" s="2"/>
      <c r="P455" s="2"/>
      <c r="Q455" s="2"/>
      <c r="R455" s="2"/>
      <c r="S455" s="2"/>
      <c r="T455" s="2"/>
      <c r="U455" s="2"/>
      <c r="V455" s="2"/>
      <c r="W455" s="2"/>
    </row>
    <row r="456">
      <c r="A456" s="2"/>
      <c r="B456" s="2"/>
      <c r="C456" s="2"/>
      <c r="D456" s="2"/>
      <c r="E456" s="2"/>
      <c r="F456" s="2"/>
      <c r="G456" s="2"/>
      <c r="H456" s="2"/>
      <c r="I456" s="2"/>
      <c r="J456" s="2"/>
      <c r="K456" s="2"/>
      <c r="L456" s="2"/>
      <c r="M456" s="2"/>
      <c r="N456" s="2"/>
      <c r="O456" s="2"/>
      <c r="P456" s="2"/>
      <c r="Q456" s="2"/>
      <c r="R456" s="2"/>
      <c r="S456" s="2"/>
      <c r="T456" s="2"/>
      <c r="U456" s="2"/>
      <c r="V456" s="2"/>
      <c r="W456" s="2"/>
    </row>
    <row r="457">
      <c r="A457" s="2"/>
      <c r="B457" s="2"/>
      <c r="C457" s="2"/>
      <c r="D457" s="2"/>
      <c r="E457" s="2"/>
      <c r="F457" s="2"/>
      <c r="G457" s="2"/>
      <c r="H457" s="2"/>
      <c r="I457" s="2"/>
      <c r="J457" s="2"/>
      <c r="K457" s="2"/>
      <c r="L457" s="2"/>
      <c r="M457" s="2"/>
      <c r="N457" s="2"/>
      <c r="O457" s="2"/>
      <c r="P457" s="2"/>
      <c r="Q457" s="2"/>
      <c r="R457" s="2"/>
      <c r="S457" s="2"/>
      <c r="T457" s="2"/>
      <c r="U457" s="2"/>
      <c r="V457" s="2"/>
      <c r="W457" s="2"/>
    </row>
    <row r="458">
      <c r="A458" s="2"/>
      <c r="B458" s="2"/>
      <c r="C458" s="2"/>
      <c r="D458" s="2"/>
      <c r="E458" s="2"/>
      <c r="F458" s="2"/>
      <c r="G458" s="2"/>
      <c r="H458" s="2"/>
      <c r="I458" s="2"/>
      <c r="J458" s="2"/>
      <c r="K458" s="2"/>
      <c r="L458" s="2"/>
      <c r="M458" s="2"/>
      <c r="N458" s="2"/>
      <c r="O458" s="2"/>
      <c r="P458" s="2"/>
      <c r="Q458" s="2"/>
      <c r="R458" s="2"/>
      <c r="S458" s="2"/>
      <c r="T458" s="2"/>
      <c r="U458" s="2"/>
      <c r="V458" s="2"/>
      <c r="W458" s="2"/>
    </row>
    <row r="459">
      <c r="A459" s="2"/>
      <c r="B459" s="2"/>
      <c r="C459" s="2"/>
      <c r="D459" s="2"/>
      <c r="E459" s="2"/>
      <c r="F459" s="2"/>
      <c r="G459" s="2"/>
      <c r="H459" s="2"/>
      <c r="I459" s="2"/>
      <c r="J459" s="2"/>
      <c r="K459" s="2"/>
      <c r="L459" s="2"/>
      <c r="M459" s="2"/>
      <c r="N459" s="2"/>
      <c r="O459" s="2"/>
      <c r="P459" s="2"/>
      <c r="Q459" s="2"/>
      <c r="R459" s="2"/>
      <c r="S459" s="2"/>
      <c r="T459" s="2"/>
      <c r="U459" s="2"/>
      <c r="V459" s="2"/>
      <c r="W459" s="2"/>
    </row>
    <row r="460">
      <c r="A460" s="2"/>
      <c r="B460" s="2"/>
      <c r="C460" s="2"/>
      <c r="D460" s="2"/>
      <c r="E460" s="2"/>
      <c r="F460" s="2"/>
      <c r="G460" s="2"/>
      <c r="H460" s="2"/>
      <c r="I460" s="2"/>
      <c r="J460" s="2"/>
      <c r="K460" s="2"/>
      <c r="L460" s="2"/>
      <c r="M460" s="2"/>
      <c r="N460" s="2"/>
      <c r="O460" s="2"/>
      <c r="P460" s="2"/>
      <c r="Q460" s="2"/>
      <c r="R460" s="2"/>
      <c r="S460" s="2"/>
      <c r="T460" s="2"/>
      <c r="U460" s="2"/>
      <c r="V460" s="2"/>
      <c r="W460" s="2"/>
    </row>
    <row r="461">
      <c r="A461" s="2"/>
      <c r="B461" s="2"/>
      <c r="C461" s="2"/>
      <c r="D461" s="2"/>
      <c r="E461" s="2"/>
      <c r="F461" s="2"/>
      <c r="G461" s="2"/>
      <c r="H461" s="2"/>
      <c r="I461" s="2"/>
      <c r="J461" s="2"/>
      <c r="K461" s="2"/>
      <c r="L461" s="2"/>
      <c r="M461" s="2"/>
      <c r="N461" s="2"/>
      <c r="O461" s="2"/>
      <c r="P461" s="2"/>
      <c r="Q461" s="2"/>
      <c r="R461" s="2"/>
      <c r="S461" s="2"/>
      <c r="T461" s="2"/>
      <c r="U461" s="2"/>
      <c r="V461" s="2"/>
      <c r="W461" s="2"/>
    </row>
    <row r="462">
      <c r="A462" s="2"/>
      <c r="B462" s="2"/>
      <c r="C462" s="2"/>
      <c r="D462" s="2"/>
      <c r="E462" s="2"/>
      <c r="F462" s="2"/>
      <c r="G462" s="2"/>
      <c r="H462" s="2"/>
      <c r="I462" s="2"/>
      <c r="J462" s="2"/>
      <c r="K462" s="2"/>
      <c r="L462" s="2"/>
      <c r="M462" s="2"/>
      <c r="N462" s="2"/>
      <c r="O462" s="2"/>
      <c r="P462" s="2"/>
      <c r="Q462" s="2"/>
      <c r="R462" s="2"/>
      <c r="S462" s="2"/>
      <c r="T462" s="2"/>
      <c r="U462" s="2"/>
      <c r="V462" s="2"/>
      <c r="W462" s="2"/>
    </row>
    <row r="463">
      <c r="A463" s="2"/>
      <c r="B463" s="2"/>
      <c r="C463" s="2"/>
      <c r="D463" s="2"/>
      <c r="E463" s="2"/>
      <c r="F463" s="2"/>
      <c r="G463" s="2"/>
      <c r="H463" s="2"/>
      <c r="I463" s="2"/>
      <c r="J463" s="2"/>
      <c r="K463" s="2"/>
      <c r="L463" s="2"/>
      <c r="M463" s="2"/>
      <c r="N463" s="2"/>
      <c r="O463" s="2"/>
      <c r="P463" s="2"/>
      <c r="Q463" s="2"/>
      <c r="R463" s="2"/>
      <c r="S463" s="2"/>
      <c r="T463" s="2"/>
      <c r="U463" s="2"/>
      <c r="V463" s="2"/>
      <c r="W463" s="2"/>
    </row>
    <row r="464">
      <c r="A464" s="2"/>
      <c r="B464" s="2"/>
      <c r="C464" s="2"/>
      <c r="D464" s="2"/>
      <c r="E464" s="2"/>
      <c r="F464" s="2"/>
      <c r="G464" s="2"/>
      <c r="H464" s="2"/>
      <c r="I464" s="2"/>
      <c r="J464" s="2"/>
      <c r="K464" s="2"/>
      <c r="L464" s="2"/>
      <c r="M464" s="2"/>
      <c r="N464" s="2"/>
      <c r="O464" s="2"/>
      <c r="P464" s="2"/>
      <c r="Q464" s="2"/>
      <c r="R464" s="2"/>
      <c r="S464" s="2"/>
      <c r="T464" s="2"/>
      <c r="U464" s="2"/>
      <c r="V464" s="2"/>
      <c r="W464" s="2"/>
    </row>
    <row r="465">
      <c r="A465" s="2"/>
      <c r="B465" s="2"/>
      <c r="C465" s="2"/>
      <c r="D465" s="2"/>
      <c r="E465" s="2"/>
      <c r="F465" s="2"/>
      <c r="G465" s="2"/>
      <c r="H465" s="2"/>
      <c r="I465" s="2"/>
      <c r="J465" s="2"/>
      <c r="K465" s="2"/>
      <c r="L465" s="2"/>
      <c r="M465" s="2"/>
      <c r="N465" s="2"/>
      <c r="O465" s="2"/>
      <c r="P465" s="2"/>
      <c r="Q465" s="2"/>
      <c r="R465" s="2"/>
      <c r="S465" s="2"/>
      <c r="T465" s="2"/>
      <c r="U465" s="2"/>
      <c r="V465" s="2"/>
      <c r="W465" s="2"/>
    </row>
    <row r="466">
      <c r="A466" s="2"/>
      <c r="B466" s="2"/>
      <c r="C466" s="2"/>
      <c r="D466" s="2"/>
      <c r="E466" s="2"/>
      <c r="F466" s="2"/>
      <c r="G466" s="2"/>
      <c r="H466" s="2"/>
      <c r="I466" s="2"/>
      <c r="J466" s="2"/>
      <c r="K466" s="2"/>
      <c r="L466" s="2"/>
      <c r="M466" s="2"/>
      <c r="N466" s="2"/>
      <c r="O466" s="2"/>
      <c r="P466" s="2"/>
      <c r="Q466" s="2"/>
      <c r="R466" s="2"/>
      <c r="S466" s="2"/>
      <c r="T466" s="2"/>
      <c r="U466" s="2"/>
      <c r="V466" s="2"/>
      <c r="W466" s="2"/>
    </row>
    <row r="467">
      <c r="A467" s="2"/>
      <c r="B467" s="2"/>
      <c r="C467" s="2"/>
      <c r="D467" s="2"/>
      <c r="E467" s="2"/>
      <c r="F467" s="2"/>
      <c r="G467" s="2"/>
      <c r="H467" s="2"/>
      <c r="I467" s="2"/>
      <c r="J467" s="2"/>
      <c r="K467" s="2"/>
      <c r="L467" s="2"/>
      <c r="M467" s="2"/>
      <c r="N467" s="2"/>
      <c r="O467" s="2"/>
      <c r="P467" s="2"/>
      <c r="Q467" s="2"/>
      <c r="R467" s="2"/>
      <c r="S467" s="2"/>
      <c r="T467" s="2"/>
      <c r="U467" s="2"/>
      <c r="V467" s="2"/>
      <c r="W467" s="2"/>
    </row>
    <row r="468">
      <c r="A468" s="2"/>
      <c r="B468" s="2"/>
      <c r="C468" s="2"/>
      <c r="D468" s="2"/>
      <c r="E468" s="2"/>
      <c r="F468" s="2"/>
      <c r="G468" s="2"/>
      <c r="H468" s="2"/>
      <c r="I468" s="2"/>
      <c r="J468" s="2"/>
      <c r="K468" s="2"/>
      <c r="L468" s="2"/>
      <c r="M468" s="2"/>
      <c r="N468" s="2"/>
      <c r="O468" s="2"/>
      <c r="P468" s="2"/>
      <c r="Q468" s="2"/>
      <c r="R468" s="2"/>
      <c r="S468" s="2"/>
      <c r="T468" s="2"/>
      <c r="U468" s="2"/>
      <c r="V468" s="2"/>
      <c r="W468" s="2"/>
    </row>
    <row r="469">
      <c r="A469" s="2"/>
      <c r="B469" s="2"/>
      <c r="C469" s="2"/>
      <c r="D469" s="2"/>
      <c r="E469" s="2"/>
      <c r="F469" s="2"/>
      <c r="G469" s="2"/>
      <c r="H469" s="2"/>
      <c r="I469" s="2"/>
      <c r="J469" s="2"/>
      <c r="K469" s="2"/>
      <c r="L469" s="2"/>
      <c r="M469" s="2"/>
      <c r="N469" s="2"/>
      <c r="O469" s="2"/>
      <c r="P469" s="2"/>
      <c r="Q469" s="2"/>
      <c r="R469" s="2"/>
      <c r="S469" s="2"/>
      <c r="T469" s="2"/>
      <c r="U469" s="2"/>
      <c r="V469" s="2"/>
      <c r="W469" s="2"/>
    </row>
    <row r="470">
      <c r="A470" s="2"/>
      <c r="B470" s="2"/>
      <c r="C470" s="2"/>
      <c r="D470" s="2"/>
      <c r="E470" s="2"/>
      <c r="F470" s="2"/>
      <c r="G470" s="2"/>
      <c r="H470" s="2"/>
      <c r="I470" s="2"/>
      <c r="J470" s="2"/>
      <c r="K470" s="2"/>
      <c r="L470" s="2"/>
      <c r="M470" s="2"/>
      <c r="N470" s="2"/>
      <c r="O470" s="2"/>
      <c r="P470" s="2"/>
      <c r="Q470" s="2"/>
      <c r="R470" s="2"/>
      <c r="S470" s="2"/>
      <c r="T470" s="2"/>
      <c r="U470" s="2"/>
      <c r="V470" s="2"/>
      <c r="W470" s="2"/>
    </row>
    <row r="471">
      <c r="A471" s="2"/>
      <c r="B471" s="2"/>
      <c r="C471" s="2"/>
      <c r="D471" s="2"/>
      <c r="E471" s="2"/>
      <c r="F471" s="2"/>
      <c r="G471" s="2"/>
      <c r="H471" s="2"/>
      <c r="I471" s="2"/>
      <c r="J471" s="2"/>
      <c r="K471" s="2"/>
      <c r="L471" s="2"/>
      <c r="M471" s="2"/>
      <c r="N471" s="2"/>
      <c r="O471" s="2"/>
      <c r="P471" s="2"/>
      <c r="Q471" s="2"/>
      <c r="R471" s="2"/>
      <c r="S471" s="2"/>
      <c r="T471" s="2"/>
      <c r="U471" s="2"/>
      <c r="V471" s="2"/>
      <c r="W471" s="2"/>
    </row>
    <row r="472">
      <c r="A472" s="2"/>
      <c r="B472" s="2"/>
      <c r="C472" s="2"/>
      <c r="D472" s="2"/>
      <c r="E472" s="2"/>
      <c r="F472" s="2"/>
      <c r="G472" s="2"/>
      <c r="H472" s="2"/>
      <c r="I472" s="2"/>
      <c r="J472" s="2"/>
      <c r="K472" s="2"/>
      <c r="L472" s="2"/>
      <c r="M472" s="2"/>
      <c r="N472" s="2"/>
      <c r="O472" s="2"/>
      <c r="P472" s="2"/>
      <c r="Q472" s="2"/>
      <c r="R472" s="2"/>
      <c r="S472" s="2"/>
      <c r="T472" s="2"/>
      <c r="U472" s="2"/>
      <c r="V472" s="2"/>
      <c r="W472" s="2"/>
    </row>
    <row r="473">
      <c r="A473" s="2"/>
      <c r="B473" s="2"/>
      <c r="C473" s="2"/>
      <c r="D473" s="2"/>
      <c r="E473" s="2"/>
      <c r="F473" s="2"/>
      <c r="G473" s="2"/>
      <c r="H473" s="2"/>
      <c r="I473" s="2"/>
      <c r="J473" s="2"/>
      <c r="K473" s="2"/>
      <c r="L473" s="2"/>
      <c r="M473" s="2"/>
      <c r="N473" s="2"/>
      <c r="O473" s="2"/>
      <c r="P473" s="2"/>
      <c r="Q473" s="2"/>
      <c r="R473" s="2"/>
      <c r="S473" s="2"/>
      <c r="T473" s="2"/>
      <c r="U473" s="2"/>
      <c r="V473" s="2"/>
      <c r="W473" s="2"/>
    </row>
    <row r="474">
      <c r="A474" s="2"/>
      <c r="B474" s="2"/>
      <c r="C474" s="2"/>
      <c r="D474" s="2"/>
      <c r="E474" s="2"/>
      <c r="F474" s="2"/>
      <c r="G474" s="2"/>
      <c r="H474" s="2"/>
      <c r="I474" s="2"/>
      <c r="J474" s="2"/>
      <c r="K474" s="2"/>
      <c r="L474" s="2"/>
      <c r="M474" s="2"/>
      <c r="N474" s="2"/>
      <c r="O474" s="2"/>
      <c r="P474" s="2"/>
      <c r="Q474" s="2"/>
      <c r="R474" s="2"/>
      <c r="S474" s="2"/>
      <c r="T474" s="2"/>
      <c r="U474" s="2"/>
      <c r="V474" s="2"/>
      <c r="W474" s="2"/>
    </row>
    <row r="475">
      <c r="A475" s="2"/>
      <c r="B475" s="2"/>
      <c r="C475" s="2"/>
      <c r="D475" s="2"/>
      <c r="E475" s="2"/>
      <c r="F475" s="2"/>
      <c r="G475" s="2"/>
      <c r="H475" s="2"/>
      <c r="I475" s="2"/>
      <c r="J475" s="2"/>
      <c r="K475" s="2"/>
      <c r="L475" s="2"/>
      <c r="M475" s="2"/>
      <c r="N475" s="2"/>
      <c r="O475" s="2"/>
      <c r="P475" s="2"/>
      <c r="Q475" s="2"/>
      <c r="R475" s="2"/>
      <c r="S475" s="2"/>
      <c r="T475" s="2"/>
      <c r="U475" s="2"/>
      <c r="V475" s="2"/>
      <c r="W475" s="2"/>
    </row>
    <row r="476">
      <c r="A476" s="2"/>
      <c r="B476" s="2"/>
      <c r="C476" s="2"/>
      <c r="D476" s="2"/>
      <c r="E476" s="2"/>
      <c r="F476" s="2"/>
      <c r="G476" s="2"/>
      <c r="H476" s="2"/>
      <c r="I476" s="2"/>
      <c r="J476" s="2"/>
      <c r="K476" s="2"/>
      <c r="L476" s="2"/>
      <c r="M476" s="2"/>
      <c r="N476" s="2"/>
      <c r="O476" s="2"/>
      <c r="P476" s="2"/>
      <c r="Q476" s="2"/>
      <c r="R476" s="2"/>
      <c r="S476" s="2"/>
      <c r="T476" s="2"/>
      <c r="U476" s="2"/>
      <c r="V476" s="2"/>
      <c r="W476" s="2"/>
    </row>
    <row r="477">
      <c r="A477" s="2"/>
      <c r="B477" s="2"/>
      <c r="C477" s="2"/>
      <c r="D477" s="2"/>
      <c r="E477" s="2"/>
      <c r="F477" s="2"/>
      <c r="G477" s="2"/>
      <c r="H477" s="2"/>
      <c r="I477" s="2"/>
      <c r="J477" s="2"/>
      <c r="K477" s="2"/>
      <c r="L477" s="2"/>
      <c r="M477" s="2"/>
      <c r="N477" s="2"/>
      <c r="O477" s="2"/>
      <c r="P477" s="2"/>
      <c r="Q477" s="2"/>
      <c r="R477" s="2"/>
      <c r="S477" s="2"/>
      <c r="T477" s="2"/>
      <c r="U477" s="2"/>
      <c r="V477" s="2"/>
      <c r="W477" s="2"/>
    </row>
    <row r="478">
      <c r="A478" s="2"/>
      <c r="B478" s="2"/>
      <c r="C478" s="2"/>
      <c r="D478" s="2"/>
      <c r="E478" s="2"/>
      <c r="F478" s="2"/>
      <c r="G478" s="2"/>
      <c r="H478" s="2"/>
      <c r="I478" s="2"/>
      <c r="J478" s="2"/>
      <c r="K478" s="2"/>
      <c r="L478" s="2"/>
      <c r="M478" s="2"/>
      <c r="N478" s="2"/>
      <c r="O478" s="2"/>
      <c r="P478" s="2"/>
      <c r="Q478" s="2"/>
      <c r="R478" s="2"/>
      <c r="S478" s="2"/>
      <c r="T478" s="2"/>
      <c r="U478" s="2"/>
      <c r="V478" s="2"/>
      <c r="W478" s="2"/>
    </row>
    <row r="479">
      <c r="A479" s="2"/>
      <c r="B479" s="2"/>
      <c r="C479" s="2"/>
      <c r="D479" s="2"/>
      <c r="E479" s="2"/>
      <c r="F479" s="2"/>
      <c r="G479" s="2"/>
      <c r="H479" s="2"/>
      <c r="I479" s="2"/>
      <c r="J479" s="2"/>
      <c r="K479" s="2"/>
      <c r="L479" s="2"/>
      <c r="M479" s="2"/>
      <c r="N479" s="2"/>
      <c r="O479" s="2"/>
      <c r="P479" s="2"/>
      <c r="Q479" s="2"/>
      <c r="R479" s="2"/>
      <c r="S479" s="2"/>
      <c r="T479" s="2"/>
      <c r="U479" s="2"/>
      <c r="V479" s="2"/>
      <c r="W479" s="2"/>
    </row>
    <row r="480">
      <c r="A480" s="2"/>
      <c r="B480" s="2"/>
      <c r="C480" s="2"/>
      <c r="D480" s="2"/>
      <c r="E480" s="2"/>
      <c r="F480" s="2"/>
      <c r="G480" s="2"/>
      <c r="H480" s="2"/>
      <c r="I480" s="2"/>
      <c r="J480" s="2"/>
      <c r="K480" s="2"/>
      <c r="L480" s="2"/>
      <c r="M480" s="2"/>
      <c r="N480" s="2"/>
      <c r="O480" s="2"/>
      <c r="P480" s="2"/>
      <c r="Q480" s="2"/>
      <c r="R480" s="2"/>
      <c r="S480" s="2"/>
      <c r="T480" s="2"/>
      <c r="U480" s="2"/>
      <c r="V480" s="2"/>
      <c r="W480" s="2"/>
    </row>
    <row r="481">
      <c r="A481" s="2"/>
      <c r="B481" s="2"/>
      <c r="C481" s="2"/>
      <c r="D481" s="2"/>
      <c r="E481" s="2"/>
      <c r="F481" s="2"/>
      <c r="G481" s="2"/>
      <c r="H481" s="2"/>
      <c r="I481" s="2"/>
      <c r="J481" s="2"/>
      <c r="K481" s="2"/>
      <c r="L481" s="2"/>
      <c r="M481" s="2"/>
      <c r="N481" s="2"/>
      <c r="O481" s="2"/>
      <c r="P481" s="2"/>
      <c r="Q481" s="2"/>
      <c r="R481" s="2"/>
      <c r="S481" s="2"/>
      <c r="T481" s="2"/>
      <c r="U481" s="2"/>
      <c r="V481" s="2"/>
      <c r="W481" s="2"/>
    </row>
    <row r="482">
      <c r="A482" s="2"/>
      <c r="B482" s="2"/>
      <c r="C482" s="2"/>
      <c r="D482" s="2"/>
      <c r="E482" s="2"/>
      <c r="F482" s="2"/>
      <c r="G482" s="2"/>
      <c r="H482" s="2"/>
      <c r="I482" s="2"/>
      <c r="J482" s="2"/>
      <c r="K482" s="2"/>
      <c r="L482" s="2"/>
      <c r="M482" s="2"/>
      <c r="N482" s="2"/>
      <c r="O482" s="2"/>
      <c r="P482" s="2"/>
      <c r="Q482" s="2"/>
      <c r="R482" s="2"/>
      <c r="S482" s="2"/>
      <c r="T482" s="2"/>
      <c r="U482" s="2"/>
      <c r="V482" s="2"/>
      <c r="W482" s="2"/>
    </row>
    <row r="483">
      <c r="A483" s="2"/>
      <c r="B483" s="2"/>
      <c r="C483" s="2"/>
      <c r="D483" s="2"/>
      <c r="E483" s="2"/>
      <c r="F483" s="2"/>
      <c r="G483" s="2"/>
      <c r="H483" s="2"/>
      <c r="I483" s="2"/>
      <c r="J483" s="2"/>
      <c r="K483" s="2"/>
      <c r="L483" s="2"/>
      <c r="M483" s="2"/>
      <c r="N483" s="2"/>
      <c r="O483" s="2"/>
      <c r="P483" s="2"/>
      <c r="Q483" s="2"/>
      <c r="R483" s="2"/>
      <c r="S483" s="2"/>
      <c r="T483" s="2"/>
      <c r="U483" s="2"/>
      <c r="V483" s="2"/>
      <c r="W483" s="2"/>
    </row>
    <row r="484">
      <c r="A484" s="2"/>
      <c r="B484" s="2"/>
      <c r="C484" s="2"/>
      <c r="D484" s="2"/>
      <c r="E484" s="2"/>
      <c r="F484" s="2"/>
      <c r="G484" s="2"/>
      <c r="H484" s="2"/>
      <c r="I484" s="2"/>
      <c r="J484" s="2"/>
      <c r="K484" s="2"/>
      <c r="L484" s="2"/>
      <c r="M484" s="2"/>
      <c r="N484" s="2"/>
      <c r="O484" s="2"/>
      <c r="P484" s="2"/>
      <c r="Q484" s="2"/>
      <c r="R484" s="2"/>
      <c r="S484" s="2"/>
      <c r="T484" s="2"/>
      <c r="U484" s="2"/>
      <c r="V484" s="2"/>
      <c r="W484" s="2"/>
    </row>
    <row r="485">
      <c r="A485" s="2"/>
      <c r="B485" s="2"/>
      <c r="C485" s="2"/>
      <c r="D485" s="2"/>
      <c r="E485" s="2"/>
      <c r="F485" s="2"/>
      <c r="G485" s="2"/>
      <c r="H485" s="2"/>
      <c r="I485" s="2"/>
      <c r="J485" s="2"/>
      <c r="K485" s="2"/>
      <c r="L485" s="2"/>
      <c r="M485" s="2"/>
      <c r="N485" s="2"/>
      <c r="O485" s="2"/>
      <c r="P485" s="2"/>
      <c r="Q485" s="2"/>
      <c r="R485" s="2"/>
      <c r="S485" s="2"/>
      <c r="T485" s="2"/>
      <c r="U485" s="2"/>
      <c r="V485" s="2"/>
      <c r="W485" s="2"/>
    </row>
    <row r="486">
      <c r="A486" s="2"/>
      <c r="B486" s="2"/>
      <c r="C486" s="2"/>
      <c r="D486" s="2"/>
      <c r="E486" s="2"/>
      <c r="F486" s="2"/>
      <c r="G486" s="2"/>
      <c r="H486" s="2"/>
      <c r="I486" s="2"/>
      <c r="J486" s="2"/>
      <c r="K486" s="2"/>
      <c r="L486" s="2"/>
      <c r="M486" s="2"/>
      <c r="N486" s="2"/>
      <c r="O486" s="2"/>
      <c r="P486" s="2"/>
      <c r="Q486" s="2"/>
      <c r="R486" s="2"/>
      <c r="S486" s="2"/>
      <c r="T486" s="2"/>
      <c r="U486" s="2"/>
      <c r="V486" s="2"/>
      <c r="W486" s="2"/>
    </row>
    <row r="487">
      <c r="A487" s="2"/>
      <c r="B487" s="2"/>
      <c r="C487" s="2"/>
      <c r="D487" s="2"/>
      <c r="E487" s="2"/>
      <c r="F487" s="2"/>
      <c r="G487" s="2"/>
      <c r="H487" s="2"/>
      <c r="I487" s="2"/>
      <c r="J487" s="2"/>
      <c r="K487" s="2"/>
      <c r="L487" s="2"/>
      <c r="M487" s="2"/>
      <c r="N487" s="2"/>
      <c r="O487" s="2"/>
      <c r="P487" s="2"/>
      <c r="Q487" s="2"/>
      <c r="R487" s="2"/>
      <c r="S487" s="2"/>
      <c r="T487" s="2"/>
      <c r="U487" s="2"/>
      <c r="V487" s="2"/>
      <c r="W487" s="2"/>
    </row>
    <row r="488">
      <c r="A488" s="2"/>
      <c r="B488" s="2"/>
      <c r="C488" s="2"/>
      <c r="D488" s="2"/>
      <c r="E488" s="2"/>
      <c r="F488" s="2"/>
      <c r="G488" s="2"/>
      <c r="H488" s="2"/>
      <c r="I488" s="2"/>
      <c r="J488" s="2"/>
      <c r="K488" s="2"/>
      <c r="L488" s="2"/>
      <c r="M488" s="2"/>
      <c r="N488" s="2"/>
      <c r="O488" s="2"/>
      <c r="P488" s="2"/>
      <c r="Q488" s="2"/>
      <c r="R488" s="2"/>
      <c r="S488" s="2"/>
      <c r="T488" s="2"/>
      <c r="U488" s="2"/>
      <c r="V488" s="2"/>
      <c r="W488" s="2"/>
    </row>
    <row r="489">
      <c r="A489" s="2"/>
      <c r="B489" s="2"/>
      <c r="C489" s="2"/>
      <c r="D489" s="2"/>
      <c r="E489" s="2"/>
      <c r="F489" s="2"/>
      <c r="G489" s="2"/>
      <c r="H489" s="2"/>
      <c r="I489" s="2"/>
      <c r="J489" s="2"/>
      <c r="K489" s="2"/>
      <c r="L489" s="2"/>
      <c r="M489" s="2"/>
      <c r="N489" s="2"/>
      <c r="O489" s="2"/>
      <c r="P489" s="2"/>
      <c r="Q489" s="2"/>
      <c r="R489" s="2"/>
      <c r="S489" s="2"/>
      <c r="T489" s="2"/>
      <c r="U489" s="2"/>
      <c r="V489" s="2"/>
      <c r="W489" s="2"/>
    </row>
    <row r="490">
      <c r="A490" s="2"/>
      <c r="B490" s="2"/>
      <c r="C490" s="2"/>
      <c r="D490" s="2"/>
      <c r="E490" s="2"/>
      <c r="F490" s="2"/>
      <c r="G490" s="2"/>
      <c r="H490" s="2"/>
      <c r="I490" s="2"/>
      <c r="J490" s="2"/>
      <c r="K490" s="2"/>
      <c r="L490" s="2"/>
      <c r="M490" s="2"/>
      <c r="N490" s="2"/>
      <c r="O490" s="2"/>
      <c r="P490" s="2"/>
      <c r="Q490" s="2"/>
      <c r="R490" s="2"/>
      <c r="S490" s="2"/>
      <c r="T490" s="2"/>
      <c r="U490" s="2"/>
      <c r="V490" s="2"/>
      <c r="W490" s="2"/>
    </row>
    <row r="491">
      <c r="A491" s="2"/>
      <c r="B491" s="2"/>
      <c r="C491" s="2"/>
      <c r="D491" s="2"/>
      <c r="E491" s="2"/>
      <c r="F491" s="2"/>
      <c r="G491" s="2"/>
      <c r="H491" s="2"/>
      <c r="I491" s="2"/>
      <c r="J491" s="2"/>
      <c r="K491" s="2"/>
      <c r="L491" s="2"/>
      <c r="M491" s="2"/>
      <c r="N491" s="2"/>
      <c r="O491" s="2"/>
      <c r="P491" s="2"/>
      <c r="Q491" s="2"/>
      <c r="R491" s="2"/>
      <c r="S491" s="2"/>
      <c r="T491" s="2"/>
      <c r="U491" s="2"/>
      <c r="V491" s="2"/>
      <c r="W491" s="2"/>
    </row>
    <row r="492">
      <c r="A492" s="2"/>
      <c r="B492" s="2"/>
      <c r="C492" s="2"/>
      <c r="D492" s="2"/>
      <c r="E492" s="2"/>
      <c r="F492" s="2"/>
      <c r="G492" s="2"/>
      <c r="H492" s="2"/>
      <c r="I492" s="2"/>
      <c r="J492" s="2"/>
      <c r="K492" s="2"/>
      <c r="L492" s="2"/>
      <c r="M492" s="2"/>
      <c r="N492" s="2"/>
      <c r="O492" s="2"/>
      <c r="P492" s="2"/>
      <c r="Q492" s="2"/>
      <c r="R492" s="2"/>
      <c r="S492" s="2"/>
      <c r="T492" s="2"/>
      <c r="U492" s="2"/>
      <c r="V492" s="2"/>
      <c r="W492" s="2"/>
    </row>
    <row r="493">
      <c r="A493" s="2"/>
      <c r="B493" s="2"/>
      <c r="C493" s="2"/>
      <c r="D493" s="2"/>
      <c r="E493" s="2"/>
      <c r="F493" s="2"/>
      <c r="G493" s="2"/>
      <c r="H493" s="2"/>
      <c r="I493" s="2"/>
      <c r="J493" s="2"/>
      <c r="K493" s="2"/>
      <c r="L493" s="2"/>
      <c r="M493" s="2"/>
      <c r="N493" s="2"/>
      <c r="O493" s="2"/>
      <c r="P493" s="2"/>
      <c r="Q493" s="2"/>
      <c r="R493" s="2"/>
      <c r="S493" s="2"/>
      <c r="T493" s="2"/>
      <c r="U493" s="2"/>
      <c r="V493" s="2"/>
      <c r="W493" s="2"/>
    </row>
    <row r="494">
      <c r="A494" s="2"/>
      <c r="B494" s="2"/>
      <c r="C494" s="2"/>
      <c r="D494" s="2"/>
      <c r="E494" s="2"/>
      <c r="F494" s="2"/>
      <c r="G494" s="2"/>
      <c r="H494" s="2"/>
      <c r="I494" s="2"/>
      <c r="J494" s="2"/>
      <c r="K494" s="2"/>
      <c r="L494" s="2"/>
      <c r="M494" s="2"/>
      <c r="N494" s="2"/>
      <c r="O494" s="2"/>
      <c r="P494" s="2"/>
      <c r="Q494" s="2"/>
      <c r="R494" s="2"/>
      <c r="S494" s="2"/>
      <c r="T494" s="2"/>
      <c r="U494" s="2"/>
      <c r="V494" s="2"/>
      <c r="W494" s="2"/>
    </row>
    <row r="495">
      <c r="A495" s="2"/>
      <c r="B495" s="2"/>
      <c r="C495" s="2"/>
      <c r="D495" s="2"/>
      <c r="E495" s="2"/>
      <c r="F495" s="2"/>
      <c r="G495" s="2"/>
      <c r="H495" s="2"/>
      <c r="I495" s="2"/>
      <c r="J495" s="2"/>
      <c r="K495" s="2"/>
      <c r="L495" s="2"/>
      <c r="M495" s="2"/>
      <c r="N495" s="2"/>
      <c r="O495" s="2"/>
      <c r="P495" s="2"/>
      <c r="Q495" s="2"/>
      <c r="R495" s="2"/>
      <c r="S495" s="2"/>
      <c r="T495" s="2"/>
      <c r="U495" s="2"/>
      <c r="V495" s="2"/>
      <c r="W495" s="2"/>
    </row>
    <row r="496">
      <c r="A496" s="2"/>
      <c r="B496" s="2"/>
      <c r="C496" s="2"/>
      <c r="D496" s="2"/>
      <c r="E496" s="2"/>
      <c r="F496" s="2"/>
      <c r="G496" s="2"/>
      <c r="H496" s="2"/>
      <c r="I496" s="2"/>
      <c r="J496" s="2"/>
      <c r="K496" s="2"/>
      <c r="L496" s="2"/>
      <c r="M496" s="2"/>
      <c r="N496" s="2"/>
      <c r="O496" s="2"/>
      <c r="P496" s="2"/>
      <c r="Q496" s="2"/>
      <c r="R496" s="2"/>
      <c r="S496" s="2"/>
      <c r="T496" s="2"/>
      <c r="U496" s="2"/>
      <c r="V496" s="2"/>
      <c r="W496" s="2"/>
    </row>
    <row r="497">
      <c r="A497" s="2"/>
      <c r="B497" s="2"/>
      <c r="C497" s="2"/>
      <c r="D497" s="2"/>
      <c r="E497" s="2"/>
      <c r="F497" s="2"/>
      <c r="G497" s="2"/>
      <c r="H497" s="2"/>
      <c r="I497" s="2"/>
      <c r="J497" s="2"/>
      <c r="K497" s="2"/>
      <c r="L497" s="2"/>
      <c r="M497" s="2"/>
      <c r="N497" s="2"/>
      <c r="O497" s="2"/>
      <c r="P497" s="2"/>
      <c r="Q497" s="2"/>
      <c r="R497" s="2"/>
      <c r="S497" s="2"/>
      <c r="T497" s="2"/>
      <c r="U497" s="2"/>
      <c r="V497" s="2"/>
      <c r="W497" s="2"/>
    </row>
    <row r="498">
      <c r="A498" s="2"/>
      <c r="B498" s="2"/>
      <c r="C498" s="2"/>
      <c r="D498" s="2"/>
      <c r="E498" s="2"/>
      <c r="F498" s="2"/>
      <c r="G498" s="2"/>
      <c r="H498" s="2"/>
      <c r="I498" s="2"/>
      <c r="J498" s="2"/>
      <c r="K498" s="2"/>
      <c r="L498" s="2"/>
      <c r="M498" s="2"/>
      <c r="N498" s="2"/>
      <c r="O498" s="2"/>
      <c r="P498" s="2"/>
      <c r="Q498" s="2"/>
      <c r="R498" s="2"/>
      <c r="S498" s="2"/>
      <c r="T498" s="2"/>
      <c r="U498" s="2"/>
      <c r="V498" s="2"/>
      <c r="W498" s="2"/>
    </row>
    <row r="499">
      <c r="A499" s="2"/>
      <c r="B499" s="2"/>
      <c r="C499" s="2"/>
      <c r="D499" s="2"/>
      <c r="E499" s="2"/>
      <c r="F499" s="2"/>
      <c r="G499" s="2"/>
      <c r="H499" s="2"/>
      <c r="I499" s="2"/>
      <c r="J499" s="2"/>
      <c r="K499" s="2"/>
      <c r="L499" s="2"/>
      <c r="M499" s="2"/>
      <c r="N499" s="2"/>
      <c r="O499" s="2"/>
      <c r="P499" s="2"/>
      <c r="Q499" s="2"/>
      <c r="R499" s="2"/>
      <c r="S499" s="2"/>
      <c r="T499" s="2"/>
      <c r="U499" s="2"/>
      <c r="V499" s="2"/>
      <c r="W499" s="2"/>
    </row>
    <row r="500">
      <c r="A500" s="2"/>
      <c r="B500" s="2"/>
      <c r="C500" s="2"/>
      <c r="D500" s="2"/>
      <c r="E500" s="2"/>
      <c r="F500" s="2"/>
      <c r="G500" s="2"/>
      <c r="H500" s="2"/>
      <c r="I500" s="2"/>
      <c r="J500" s="2"/>
      <c r="K500" s="2"/>
      <c r="L500" s="2"/>
      <c r="M500" s="2"/>
      <c r="N500" s="2"/>
      <c r="O500" s="2"/>
      <c r="P500" s="2"/>
      <c r="Q500" s="2"/>
      <c r="R500" s="2"/>
      <c r="S500" s="2"/>
      <c r="T500" s="2"/>
      <c r="U500" s="2"/>
      <c r="V500" s="2"/>
      <c r="W500" s="2"/>
    </row>
    <row r="501">
      <c r="A501" s="2"/>
      <c r="B501" s="2"/>
      <c r="C501" s="2"/>
      <c r="D501" s="2"/>
      <c r="E501" s="2"/>
      <c r="F501" s="2"/>
      <c r="G501" s="2"/>
      <c r="H501" s="2"/>
      <c r="I501" s="2"/>
      <c r="J501" s="2"/>
      <c r="K501" s="2"/>
      <c r="L501" s="2"/>
      <c r="M501" s="2"/>
      <c r="N501" s="2"/>
      <c r="O501" s="2"/>
      <c r="P501" s="2"/>
      <c r="Q501" s="2"/>
      <c r="R501" s="2"/>
      <c r="S501" s="2"/>
      <c r="T501" s="2"/>
      <c r="U501" s="2"/>
      <c r="V501" s="2"/>
      <c r="W501" s="2"/>
    </row>
    <row r="502">
      <c r="A502" s="2"/>
      <c r="B502" s="2"/>
      <c r="C502" s="2"/>
      <c r="D502" s="2"/>
      <c r="E502" s="2"/>
      <c r="F502" s="2"/>
      <c r="G502" s="2"/>
      <c r="H502" s="2"/>
      <c r="I502" s="2"/>
      <c r="J502" s="2"/>
      <c r="K502" s="2"/>
      <c r="L502" s="2"/>
      <c r="M502" s="2"/>
      <c r="N502" s="2"/>
      <c r="O502" s="2"/>
      <c r="P502" s="2"/>
      <c r="Q502" s="2"/>
      <c r="R502" s="2"/>
      <c r="S502" s="2"/>
      <c r="T502" s="2"/>
      <c r="U502" s="2"/>
      <c r="V502" s="2"/>
      <c r="W502" s="2"/>
    </row>
    <row r="503">
      <c r="A503" s="2"/>
      <c r="B503" s="2"/>
      <c r="C503" s="2"/>
      <c r="D503" s="2"/>
      <c r="E503" s="2"/>
      <c r="F503" s="2"/>
      <c r="G503" s="2"/>
      <c r="H503" s="2"/>
      <c r="I503" s="2"/>
      <c r="J503" s="2"/>
      <c r="K503" s="2"/>
      <c r="L503" s="2"/>
      <c r="M503" s="2"/>
      <c r="N503" s="2"/>
      <c r="O503" s="2"/>
      <c r="P503" s="2"/>
      <c r="Q503" s="2"/>
      <c r="R503" s="2"/>
      <c r="S503" s="2"/>
      <c r="T503" s="2"/>
      <c r="U503" s="2"/>
      <c r="V503" s="2"/>
      <c r="W503" s="2"/>
    </row>
    <row r="504">
      <c r="A504" s="2"/>
      <c r="B504" s="2"/>
      <c r="C504" s="2"/>
      <c r="D504" s="2"/>
      <c r="E504" s="2"/>
      <c r="F504" s="2"/>
      <c r="G504" s="2"/>
      <c r="H504" s="2"/>
      <c r="I504" s="2"/>
      <c r="J504" s="2"/>
      <c r="K504" s="2"/>
      <c r="L504" s="2"/>
      <c r="M504" s="2"/>
      <c r="N504" s="2"/>
      <c r="O504" s="2"/>
      <c r="P504" s="2"/>
      <c r="Q504" s="2"/>
      <c r="R504" s="2"/>
      <c r="S504" s="2"/>
      <c r="T504" s="2"/>
      <c r="U504" s="2"/>
      <c r="V504" s="2"/>
      <c r="W504" s="2"/>
    </row>
    <row r="505">
      <c r="A505" s="2"/>
      <c r="B505" s="2"/>
      <c r="C505" s="2"/>
      <c r="D505" s="2"/>
      <c r="E505" s="2"/>
      <c r="F505" s="2"/>
      <c r="G505" s="2"/>
      <c r="H505" s="2"/>
      <c r="I505" s="2"/>
      <c r="J505" s="2"/>
      <c r="K505" s="2"/>
      <c r="L505" s="2"/>
      <c r="M505" s="2"/>
      <c r="N505" s="2"/>
      <c r="O505" s="2"/>
      <c r="P505" s="2"/>
      <c r="Q505" s="2"/>
      <c r="R505" s="2"/>
      <c r="S505" s="2"/>
      <c r="T505" s="2"/>
      <c r="U505" s="2"/>
      <c r="V505" s="2"/>
      <c r="W505" s="2"/>
    </row>
    <row r="506">
      <c r="A506" s="2"/>
      <c r="B506" s="2"/>
      <c r="C506" s="2"/>
      <c r="D506" s="2"/>
      <c r="E506" s="2"/>
      <c r="F506" s="2"/>
      <c r="G506" s="2"/>
      <c r="H506" s="2"/>
      <c r="I506" s="2"/>
      <c r="J506" s="2"/>
      <c r="K506" s="2"/>
      <c r="L506" s="2"/>
      <c r="M506" s="2"/>
      <c r="N506" s="2"/>
      <c r="O506" s="2"/>
      <c r="P506" s="2"/>
      <c r="Q506" s="2"/>
      <c r="R506" s="2"/>
      <c r="S506" s="2"/>
      <c r="T506" s="2"/>
      <c r="U506" s="2"/>
      <c r="V506" s="2"/>
      <c r="W506" s="2"/>
    </row>
    <row r="507">
      <c r="A507" s="2"/>
      <c r="B507" s="2"/>
      <c r="C507" s="2"/>
      <c r="D507" s="2"/>
      <c r="E507" s="2"/>
      <c r="F507" s="2"/>
      <c r="G507" s="2"/>
      <c r="H507" s="2"/>
      <c r="I507" s="2"/>
      <c r="J507" s="2"/>
      <c r="K507" s="2"/>
      <c r="L507" s="2"/>
      <c r="M507" s="2"/>
      <c r="N507" s="2"/>
      <c r="O507" s="2"/>
      <c r="P507" s="2"/>
      <c r="Q507" s="2"/>
      <c r="R507" s="2"/>
      <c r="S507" s="2"/>
      <c r="T507" s="2"/>
      <c r="U507" s="2"/>
      <c r="V507" s="2"/>
      <c r="W507" s="2"/>
    </row>
    <row r="508">
      <c r="A508" s="2"/>
      <c r="B508" s="2"/>
      <c r="C508" s="2"/>
      <c r="D508" s="2"/>
      <c r="E508" s="2"/>
      <c r="F508" s="2"/>
      <c r="G508" s="2"/>
      <c r="H508" s="2"/>
      <c r="I508" s="2"/>
      <c r="J508" s="2"/>
      <c r="K508" s="2"/>
      <c r="L508" s="2"/>
      <c r="M508" s="2"/>
      <c r="N508" s="2"/>
      <c r="O508" s="2"/>
      <c r="P508" s="2"/>
      <c r="Q508" s="2"/>
      <c r="R508" s="2"/>
      <c r="S508" s="2"/>
      <c r="T508" s="2"/>
      <c r="U508" s="2"/>
      <c r="V508" s="2"/>
      <c r="W508" s="2"/>
    </row>
    <row r="509">
      <c r="A509" s="2"/>
      <c r="B509" s="2"/>
      <c r="C509" s="2"/>
      <c r="D509" s="2"/>
      <c r="E509" s="2"/>
      <c r="F509" s="2"/>
      <c r="G509" s="2"/>
      <c r="H509" s="2"/>
      <c r="I509" s="2"/>
      <c r="J509" s="2"/>
      <c r="K509" s="2"/>
      <c r="L509" s="2"/>
      <c r="M509" s="2"/>
      <c r="N509" s="2"/>
      <c r="O509" s="2"/>
      <c r="P509" s="2"/>
      <c r="Q509" s="2"/>
      <c r="R509" s="2"/>
      <c r="S509" s="2"/>
      <c r="T509" s="2"/>
      <c r="U509" s="2"/>
      <c r="V509" s="2"/>
      <c r="W509" s="2"/>
    </row>
    <row r="510">
      <c r="A510" s="2"/>
      <c r="B510" s="2"/>
      <c r="C510" s="2"/>
      <c r="D510" s="2"/>
      <c r="E510" s="2"/>
      <c r="F510" s="2"/>
      <c r="G510" s="2"/>
      <c r="H510" s="2"/>
      <c r="I510" s="2"/>
      <c r="J510" s="2"/>
      <c r="K510" s="2"/>
      <c r="L510" s="2"/>
      <c r="M510" s="2"/>
      <c r="N510" s="2"/>
      <c r="O510" s="2"/>
      <c r="P510" s="2"/>
      <c r="Q510" s="2"/>
      <c r="R510" s="2"/>
      <c r="S510" s="2"/>
      <c r="T510" s="2"/>
      <c r="U510" s="2"/>
      <c r="V510" s="2"/>
      <c r="W510" s="2"/>
    </row>
    <row r="511">
      <c r="A511" s="2"/>
      <c r="B511" s="2"/>
      <c r="C511" s="2"/>
      <c r="D511" s="2"/>
      <c r="E511" s="2"/>
      <c r="F511" s="2"/>
      <c r="G511" s="2"/>
      <c r="H511" s="2"/>
      <c r="I511" s="2"/>
      <c r="J511" s="2"/>
      <c r="K511" s="2"/>
      <c r="L511" s="2"/>
      <c r="M511" s="2"/>
      <c r="N511" s="2"/>
      <c r="O511" s="2"/>
      <c r="P511" s="2"/>
      <c r="Q511" s="2"/>
      <c r="R511" s="2"/>
      <c r="S511" s="2"/>
      <c r="T511" s="2"/>
      <c r="U511" s="2"/>
      <c r="V511" s="2"/>
      <c r="W511" s="2"/>
    </row>
    <row r="512">
      <c r="A512" s="2"/>
      <c r="B512" s="2"/>
      <c r="C512" s="2"/>
      <c r="D512" s="2"/>
      <c r="E512" s="2"/>
      <c r="F512" s="2"/>
      <c r="G512" s="2"/>
      <c r="H512" s="2"/>
      <c r="I512" s="2"/>
      <c r="J512" s="2"/>
      <c r="K512" s="2"/>
      <c r="L512" s="2"/>
      <c r="M512" s="2"/>
      <c r="N512" s="2"/>
      <c r="O512" s="2"/>
      <c r="P512" s="2"/>
      <c r="Q512" s="2"/>
      <c r="R512" s="2"/>
      <c r="S512" s="2"/>
      <c r="T512" s="2"/>
      <c r="U512" s="2"/>
      <c r="V512" s="2"/>
      <c r="W512" s="2"/>
    </row>
    <row r="513">
      <c r="A513" s="2"/>
      <c r="B513" s="2"/>
      <c r="C513" s="2"/>
      <c r="D513" s="2"/>
      <c r="E513" s="2"/>
      <c r="F513" s="2"/>
      <c r="G513" s="2"/>
      <c r="H513" s="2"/>
      <c r="I513" s="2"/>
      <c r="J513" s="2"/>
      <c r="K513" s="2"/>
      <c r="L513" s="2"/>
      <c r="M513" s="2"/>
      <c r="N513" s="2"/>
      <c r="O513" s="2"/>
      <c r="P513" s="2"/>
      <c r="Q513" s="2"/>
      <c r="R513" s="2"/>
      <c r="S513" s="2"/>
      <c r="T513" s="2"/>
      <c r="U513" s="2"/>
      <c r="V513" s="2"/>
      <c r="W513" s="2"/>
    </row>
    <row r="514">
      <c r="A514" s="2"/>
      <c r="B514" s="2"/>
      <c r="C514" s="2"/>
      <c r="D514" s="2"/>
      <c r="E514" s="2"/>
      <c r="F514" s="2"/>
      <c r="G514" s="2"/>
      <c r="H514" s="2"/>
      <c r="I514" s="2"/>
      <c r="J514" s="2"/>
      <c r="K514" s="2"/>
      <c r="L514" s="2"/>
      <c r="M514" s="2"/>
      <c r="N514" s="2"/>
      <c r="O514" s="2"/>
      <c r="P514" s="2"/>
      <c r="Q514" s="2"/>
      <c r="R514" s="2"/>
      <c r="S514" s="2"/>
      <c r="T514" s="2"/>
      <c r="U514" s="2"/>
      <c r="V514" s="2"/>
      <c r="W514" s="2"/>
    </row>
    <row r="515">
      <c r="A515" s="2"/>
      <c r="B515" s="2"/>
      <c r="C515" s="2"/>
      <c r="D515" s="2"/>
      <c r="E515" s="2"/>
      <c r="F515" s="2"/>
      <c r="G515" s="2"/>
      <c r="H515" s="2"/>
      <c r="I515" s="2"/>
      <c r="J515" s="2"/>
      <c r="K515" s="2"/>
      <c r="L515" s="2"/>
      <c r="M515" s="2"/>
      <c r="N515" s="2"/>
      <c r="O515" s="2"/>
      <c r="P515" s="2"/>
      <c r="Q515" s="2"/>
      <c r="R515" s="2"/>
      <c r="S515" s="2"/>
      <c r="T515" s="2"/>
      <c r="U515" s="2"/>
      <c r="V515" s="2"/>
      <c r="W515" s="2"/>
    </row>
    <row r="516">
      <c r="A516" s="2"/>
      <c r="B516" s="2"/>
      <c r="C516" s="2"/>
      <c r="D516" s="2"/>
      <c r="E516" s="2"/>
      <c r="F516" s="2"/>
      <c r="G516" s="2"/>
      <c r="H516" s="2"/>
      <c r="I516" s="2"/>
      <c r="J516" s="2"/>
      <c r="K516" s="2"/>
      <c r="L516" s="2"/>
      <c r="M516" s="2"/>
      <c r="N516" s="2"/>
      <c r="O516" s="2"/>
      <c r="P516" s="2"/>
      <c r="Q516" s="2"/>
      <c r="R516" s="2"/>
      <c r="S516" s="2"/>
      <c r="T516" s="2"/>
      <c r="U516" s="2"/>
      <c r="V516" s="2"/>
      <c r="W516" s="2"/>
    </row>
    <row r="517">
      <c r="A517" s="2"/>
      <c r="B517" s="2"/>
      <c r="C517" s="2"/>
      <c r="D517" s="2"/>
      <c r="E517" s="2"/>
      <c r="F517" s="2"/>
      <c r="G517" s="2"/>
      <c r="H517" s="2"/>
      <c r="I517" s="2"/>
      <c r="J517" s="2"/>
      <c r="K517" s="2"/>
      <c r="L517" s="2"/>
      <c r="M517" s="2"/>
      <c r="N517" s="2"/>
      <c r="O517" s="2"/>
      <c r="P517" s="2"/>
      <c r="Q517" s="2"/>
      <c r="R517" s="2"/>
      <c r="S517" s="2"/>
      <c r="T517" s="2"/>
      <c r="U517" s="2"/>
      <c r="V517" s="2"/>
      <c r="W517" s="2"/>
    </row>
    <row r="518">
      <c r="A518" s="2"/>
      <c r="B518" s="2"/>
      <c r="C518" s="2"/>
      <c r="D518" s="2"/>
      <c r="E518" s="2"/>
      <c r="F518" s="2"/>
      <c r="G518" s="2"/>
      <c r="H518" s="2"/>
      <c r="I518" s="2"/>
      <c r="J518" s="2"/>
      <c r="K518" s="2"/>
      <c r="L518" s="2"/>
      <c r="M518" s="2"/>
      <c r="N518" s="2"/>
      <c r="O518" s="2"/>
      <c r="P518" s="2"/>
      <c r="Q518" s="2"/>
      <c r="R518" s="2"/>
      <c r="S518" s="2"/>
      <c r="T518" s="2"/>
      <c r="U518" s="2"/>
      <c r="V518" s="2"/>
      <c r="W518" s="2"/>
    </row>
    <row r="519">
      <c r="A519" s="2"/>
      <c r="B519" s="2"/>
      <c r="C519" s="2"/>
      <c r="D519" s="2"/>
      <c r="E519" s="2"/>
      <c r="F519" s="2"/>
      <c r="G519" s="2"/>
      <c r="H519" s="2"/>
      <c r="I519" s="2"/>
      <c r="J519" s="2"/>
      <c r="K519" s="2"/>
      <c r="L519" s="2"/>
      <c r="M519" s="2"/>
      <c r="N519" s="2"/>
      <c r="O519" s="2"/>
      <c r="P519" s="2"/>
      <c r="Q519" s="2"/>
      <c r="R519" s="2"/>
      <c r="S519" s="2"/>
      <c r="T519" s="2"/>
      <c r="U519" s="2"/>
      <c r="V519" s="2"/>
      <c r="W519" s="2"/>
    </row>
    <row r="520">
      <c r="A520" s="2"/>
      <c r="B520" s="2"/>
      <c r="C520" s="2"/>
      <c r="D520" s="2"/>
      <c r="E520" s="2"/>
      <c r="F520" s="2"/>
      <c r="G520" s="2"/>
      <c r="H520" s="2"/>
      <c r="I520" s="2"/>
      <c r="J520" s="2"/>
      <c r="K520" s="2"/>
      <c r="L520" s="2"/>
      <c r="M520" s="2"/>
      <c r="N520" s="2"/>
      <c r="O520" s="2"/>
      <c r="P520" s="2"/>
      <c r="Q520" s="2"/>
      <c r="R520" s="2"/>
      <c r="S520" s="2"/>
      <c r="T520" s="2"/>
      <c r="U520" s="2"/>
      <c r="V520" s="2"/>
      <c r="W520" s="2"/>
    </row>
    <row r="521">
      <c r="A521" s="2"/>
      <c r="B521" s="2"/>
      <c r="C521" s="2"/>
      <c r="D521" s="2"/>
      <c r="E521" s="2"/>
      <c r="F521" s="2"/>
      <c r="G521" s="2"/>
      <c r="H521" s="2"/>
      <c r="I521" s="2"/>
      <c r="J521" s="2"/>
      <c r="K521" s="2"/>
      <c r="L521" s="2"/>
      <c r="M521" s="2"/>
      <c r="N521" s="2"/>
      <c r="O521" s="2"/>
      <c r="P521" s="2"/>
      <c r="Q521" s="2"/>
      <c r="R521" s="2"/>
      <c r="S521" s="2"/>
      <c r="T521" s="2"/>
      <c r="U521" s="2"/>
      <c r="V521" s="2"/>
      <c r="W521" s="2"/>
    </row>
    <row r="522">
      <c r="A522" s="2"/>
      <c r="B522" s="2"/>
      <c r="C522" s="2"/>
      <c r="D522" s="2"/>
      <c r="E522" s="2"/>
      <c r="F522" s="2"/>
      <c r="G522" s="2"/>
      <c r="H522" s="2"/>
      <c r="I522" s="2"/>
      <c r="J522" s="2"/>
      <c r="K522" s="2"/>
      <c r="L522" s="2"/>
      <c r="M522" s="2"/>
      <c r="N522" s="2"/>
      <c r="O522" s="2"/>
      <c r="P522" s="2"/>
      <c r="Q522" s="2"/>
      <c r="R522" s="2"/>
      <c r="S522" s="2"/>
      <c r="T522" s="2"/>
      <c r="U522" s="2"/>
      <c r="V522" s="2"/>
      <c r="W522" s="2"/>
    </row>
    <row r="523">
      <c r="A523" s="2"/>
      <c r="B523" s="2"/>
      <c r="C523" s="2"/>
      <c r="D523" s="2"/>
      <c r="E523" s="2"/>
      <c r="F523" s="2"/>
      <c r="G523" s="2"/>
      <c r="H523" s="2"/>
      <c r="I523" s="2"/>
      <c r="J523" s="2"/>
      <c r="K523" s="2"/>
      <c r="L523" s="2"/>
      <c r="M523" s="2"/>
      <c r="N523" s="2"/>
      <c r="O523" s="2"/>
      <c r="P523" s="2"/>
      <c r="Q523" s="2"/>
      <c r="R523" s="2"/>
      <c r="S523" s="2"/>
      <c r="T523" s="2"/>
      <c r="U523" s="2"/>
      <c r="V523" s="2"/>
      <c r="W523" s="2"/>
    </row>
    <row r="524">
      <c r="A524" s="2"/>
      <c r="B524" s="2"/>
      <c r="C524" s="2"/>
      <c r="D524" s="2"/>
      <c r="E524" s="2"/>
      <c r="F524" s="2"/>
      <c r="G524" s="2"/>
      <c r="H524" s="2"/>
      <c r="I524" s="2"/>
      <c r="J524" s="2"/>
      <c r="K524" s="2"/>
      <c r="L524" s="2"/>
      <c r="M524" s="2"/>
      <c r="N524" s="2"/>
      <c r="O524" s="2"/>
      <c r="P524" s="2"/>
      <c r="Q524" s="2"/>
      <c r="R524" s="2"/>
      <c r="S524" s="2"/>
      <c r="T524" s="2"/>
      <c r="U524" s="2"/>
      <c r="V524" s="2"/>
      <c r="W524" s="2"/>
    </row>
    <row r="525">
      <c r="A525" s="2"/>
      <c r="B525" s="2"/>
      <c r="C525" s="2"/>
      <c r="D525" s="2"/>
      <c r="E525" s="2"/>
      <c r="F525" s="2"/>
      <c r="G525" s="2"/>
      <c r="H525" s="2"/>
      <c r="I525" s="2"/>
      <c r="J525" s="2"/>
      <c r="K525" s="2"/>
      <c r="L525" s="2"/>
      <c r="M525" s="2"/>
      <c r="N525" s="2"/>
      <c r="O525" s="2"/>
      <c r="P525" s="2"/>
      <c r="Q525" s="2"/>
      <c r="R525" s="2"/>
      <c r="S525" s="2"/>
      <c r="T525" s="2"/>
      <c r="U525" s="2"/>
      <c r="V525" s="2"/>
      <c r="W525" s="2"/>
    </row>
    <row r="526">
      <c r="A526" s="2"/>
      <c r="B526" s="2"/>
      <c r="C526" s="2"/>
      <c r="D526" s="2"/>
      <c r="E526" s="2"/>
      <c r="F526" s="2"/>
      <c r="G526" s="2"/>
      <c r="H526" s="2"/>
      <c r="I526" s="2"/>
      <c r="J526" s="2"/>
      <c r="K526" s="2"/>
      <c r="L526" s="2"/>
      <c r="M526" s="2"/>
      <c r="N526" s="2"/>
      <c r="O526" s="2"/>
      <c r="P526" s="2"/>
      <c r="Q526" s="2"/>
      <c r="R526" s="2"/>
      <c r="S526" s="2"/>
      <c r="T526" s="2"/>
      <c r="U526" s="2"/>
      <c r="V526" s="2"/>
      <c r="W526" s="2"/>
    </row>
    <row r="527">
      <c r="A527" s="2"/>
      <c r="B527" s="2"/>
      <c r="C527" s="2"/>
      <c r="D527" s="2"/>
      <c r="E527" s="2"/>
      <c r="F527" s="2"/>
      <c r="G527" s="2"/>
      <c r="H527" s="2"/>
      <c r="I527" s="2"/>
      <c r="J527" s="2"/>
      <c r="K527" s="2"/>
      <c r="L527" s="2"/>
      <c r="M527" s="2"/>
      <c r="N527" s="2"/>
      <c r="O527" s="2"/>
      <c r="P527" s="2"/>
      <c r="Q527" s="2"/>
      <c r="R527" s="2"/>
      <c r="S527" s="2"/>
      <c r="T527" s="2"/>
      <c r="U527" s="2"/>
      <c r="V527" s="2"/>
      <c r="W527" s="2"/>
    </row>
    <row r="528">
      <c r="A528" s="2"/>
      <c r="B528" s="2"/>
      <c r="C528" s="2"/>
      <c r="D528" s="2"/>
      <c r="E528" s="2"/>
      <c r="F528" s="2"/>
      <c r="G528" s="2"/>
      <c r="H528" s="2"/>
      <c r="I528" s="2"/>
      <c r="J528" s="2"/>
      <c r="K528" s="2"/>
      <c r="L528" s="2"/>
      <c r="M528" s="2"/>
      <c r="N528" s="2"/>
      <c r="O528" s="2"/>
      <c r="P528" s="2"/>
      <c r="Q528" s="2"/>
      <c r="R528" s="2"/>
      <c r="S528" s="2"/>
      <c r="T528" s="2"/>
      <c r="U528" s="2"/>
      <c r="V528" s="2"/>
      <c r="W528" s="2"/>
    </row>
    <row r="529">
      <c r="A529" s="2"/>
      <c r="B529" s="2"/>
      <c r="C529" s="2"/>
      <c r="D529" s="2"/>
      <c r="E529" s="2"/>
      <c r="F529" s="2"/>
      <c r="G529" s="2"/>
      <c r="H529" s="2"/>
      <c r="I529" s="2"/>
      <c r="J529" s="2"/>
      <c r="K529" s="2"/>
      <c r="L529" s="2"/>
      <c r="M529" s="2"/>
      <c r="N529" s="2"/>
      <c r="O529" s="2"/>
      <c r="P529" s="2"/>
      <c r="Q529" s="2"/>
      <c r="R529" s="2"/>
      <c r="S529" s="2"/>
      <c r="T529" s="2"/>
      <c r="U529" s="2"/>
      <c r="V529" s="2"/>
      <c r="W529" s="2"/>
    </row>
    <row r="530">
      <c r="A530" s="2"/>
      <c r="B530" s="2"/>
      <c r="C530" s="2"/>
      <c r="D530" s="2"/>
      <c r="E530" s="2"/>
      <c r="F530" s="2"/>
      <c r="G530" s="2"/>
      <c r="H530" s="2"/>
      <c r="I530" s="2"/>
      <c r="J530" s="2"/>
      <c r="K530" s="2"/>
      <c r="L530" s="2"/>
      <c r="M530" s="2"/>
      <c r="N530" s="2"/>
      <c r="O530" s="2"/>
      <c r="P530" s="2"/>
      <c r="Q530" s="2"/>
      <c r="R530" s="2"/>
      <c r="S530" s="2"/>
      <c r="T530" s="2"/>
      <c r="U530" s="2"/>
      <c r="V530" s="2"/>
      <c r="W530" s="2"/>
    </row>
    <row r="531">
      <c r="A531" s="2"/>
      <c r="B531" s="2"/>
      <c r="C531" s="2"/>
      <c r="D531" s="2"/>
      <c r="E531" s="2"/>
      <c r="F531" s="2"/>
      <c r="G531" s="2"/>
      <c r="H531" s="2"/>
      <c r="I531" s="2"/>
      <c r="J531" s="2"/>
      <c r="K531" s="2"/>
      <c r="L531" s="2"/>
      <c r="M531" s="2"/>
      <c r="N531" s="2"/>
      <c r="O531" s="2"/>
      <c r="P531" s="2"/>
      <c r="Q531" s="2"/>
      <c r="R531" s="2"/>
      <c r="S531" s="2"/>
      <c r="T531" s="2"/>
      <c r="U531" s="2"/>
      <c r="V531" s="2"/>
      <c r="W531" s="2"/>
    </row>
    <row r="532">
      <c r="A532" s="2"/>
      <c r="B532" s="2"/>
      <c r="C532" s="2"/>
      <c r="D532" s="2"/>
      <c r="E532" s="2"/>
      <c r="F532" s="2"/>
      <c r="G532" s="2"/>
      <c r="H532" s="2"/>
      <c r="I532" s="2"/>
      <c r="J532" s="2"/>
      <c r="K532" s="2"/>
      <c r="L532" s="2"/>
      <c r="M532" s="2"/>
      <c r="N532" s="2"/>
      <c r="O532" s="2"/>
      <c r="P532" s="2"/>
      <c r="Q532" s="2"/>
      <c r="R532" s="2"/>
      <c r="S532" s="2"/>
      <c r="T532" s="2"/>
      <c r="U532" s="2"/>
      <c r="V532" s="2"/>
      <c r="W532" s="2"/>
    </row>
    <row r="533">
      <c r="A533" s="2"/>
      <c r="B533" s="2"/>
      <c r="C533" s="2"/>
      <c r="D533" s="2"/>
      <c r="E533" s="2"/>
      <c r="F533" s="2"/>
      <c r="G533" s="2"/>
      <c r="H533" s="2"/>
      <c r="I533" s="2"/>
      <c r="J533" s="2"/>
      <c r="K533" s="2"/>
      <c r="L533" s="2"/>
      <c r="M533" s="2"/>
      <c r="N533" s="2"/>
      <c r="O533" s="2"/>
      <c r="P533" s="2"/>
      <c r="Q533" s="2"/>
      <c r="R533" s="2"/>
      <c r="S533" s="2"/>
      <c r="T533" s="2"/>
      <c r="U533" s="2"/>
      <c r="V533" s="2"/>
      <c r="W533" s="2"/>
    </row>
    <row r="534">
      <c r="A534" s="2"/>
      <c r="B534" s="2"/>
      <c r="C534" s="2"/>
      <c r="D534" s="2"/>
      <c r="E534" s="2"/>
      <c r="F534" s="2"/>
      <c r="G534" s="2"/>
      <c r="H534" s="2"/>
      <c r="I534" s="2"/>
      <c r="J534" s="2"/>
      <c r="K534" s="2"/>
      <c r="L534" s="2"/>
      <c r="M534" s="2"/>
      <c r="N534" s="2"/>
      <c r="O534" s="2"/>
      <c r="P534" s="2"/>
      <c r="Q534" s="2"/>
      <c r="R534" s="2"/>
      <c r="S534" s="2"/>
      <c r="T534" s="2"/>
      <c r="U534" s="2"/>
      <c r="V534" s="2"/>
      <c r="W534" s="2"/>
    </row>
    <row r="535">
      <c r="A535" s="2"/>
      <c r="B535" s="2"/>
      <c r="C535" s="2"/>
      <c r="D535" s="2"/>
      <c r="E535" s="2"/>
      <c r="F535" s="2"/>
      <c r="G535" s="2"/>
      <c r="H535" s="2"/>
      <c r="I535" s="2"/>
      <c r="J535" s="2"/>
      <c r="K535" s="2"/>
      <c r="L535" s="2"/>
      <c r="M535" s="2"/>
      <c r="N535" s="2"/>
      <c r="O535" s="2"/>
      <c r="P535" s="2"/>
      <c r="Q535" s="2"/>
      <c r="R535" s="2"/>
      <c r="S535" s="2"/>
      <c r="T535" s="2"/>
      <c r="U535" s="2"/>
      <c r="V535" s="2"/>
      <c r="W535" s="2"/>
    </row>
    <row r="536">
      <c r="A536" s="2"/>
      <c r="B536" s="2"/>
      <c r="C536" s="2"/>
      <c r="D536" s="2"/>
      <c r="E536" s="2"/>
      <c r="F536" s="2"/>
      <c r="G536" s="2"/>
      <c r="H536" s="2"/>
      <c r="I536" s="2"/>
      <c r="J536" s="2"/>
      <c r="K536" s="2"/>
      <c r="L536" s="2"/>
      <c r="M536" s="2"/>
      <c r="N536" s="2"/>
      <c r="O536" s="2"/>
      <c r="P536" s="2"/>
      <c r="Q536" s="2"/>
      <c r="R536" s="2"/>
      <c r="S536" s="2"/>
      <c r="T536" s="2"/>
      <c r="U536" s="2"/>
      <c r="V536" s="2"/>
      <c r="W536" s="2"/>
    </row>
    <row r="537">
      <c r="A537" s="2"/>
      <c r="B537" s="2"/>
      <c r="C537" s="2"/>
      <c r="D537" s="2"/>
      <c r="E537" s="2"/>
      <c r="F537" s="2"/>
      <c r="G537" s="2"/>
      <c r="H537" s="2"/>
      <c r="I537" s="2"/>
      <c r="J537" s="2"/>
      <c r="K537" s="2"/>
      <c r="L537" s="2"/>
      <c r="M537" s="2"/>
      <c r="N537" s="2"/>
      <c r="O537" s="2"/>
      <c r="P537" s="2"/>
      <c r="Q537" s="2"/>
      <c r="R537" s="2"/>
      <c r="S537" s="2"/>
      <c r="T537" s="2"/>
      <c r="U537" s="2"/>
      <c r="V537" s="2"/>
      <c r="W537" s="2"/>
    </row>
    <row r="538">
      <c r="A538" s="2"/>
      <c r="B538" s="2"/>
      <c r="C538" s="2"/>
      <c r="D538" s="2"/>
      <c r="E538" s="2"/>
      <c r="F538" s="2"/>
      <c r="G538" s="2"/>
      <c r="H538" s="2"/>
      <c r="I538" s="2"/>
      <c r="J538" s="2"/>
      <c r="K538" s="2"/>
      <c r="L538" s="2"/>
      <c r="M538" s="2"/>
      <c r="N538" s="2"/>
      <c r="O538" s="2"/>
      <c r="P538" s="2"/>
      <c r="Q538" s="2"/>
      <c r="R538" s="2"/>
      <c r="S538" s="2"/>
      <c r="T538" s="2"/>
      <c r="U538" s="2"/>
      <c r="V538" s="2"/>
      <c r="W538" s="2"/>
    </row>
    <row r="539">
      <c r="A539" s="2"/>
      <c r="B539" s="2"/>
      <c r="C539" s="2"/>
      <c r="D539" s="2"/>
      <c r="E539" s="2"/>
      <c r="F539" s="2"/>
      <c r="G539" s="2"/>
      <c r="H539" s="2"/>
      <c r="I539" s="2"/>
      <c r="J539" s="2"/>
      <c r="K539" s="2"/>
      <c r="L539" s="2"/>
      <c r="M539" s="2"/>
      <c r="N539" s="2"/>
      <c r="O539" s="2"/>
      <c r="P539" s="2"/>
      <c r="Q539" s="2"/>
      <c r="R539" s="2"/>
      <c r="S539" s="2"/>
      <c r="T539" s="2"/>
      <c r="U539" s="2"/>
      <c r="V539" s="2"/>
      <c r="W539" s="2"/>
    </row>
    <row r="540">
      <c r="A540" s="2"/>
      <c r="B540" s="2"/>
      <c r="C540" s="2"/>
      <c r="D540" s="2"/>
      <c r="E540" s="2"/>
      <c r="F540" s="2"/>
      <c r="G540" s="2"/>
      <c r="H540" s="2"/>
      <c r="I540" s="2"/>
      <c r="J540" s="2"/>
      <c r="K540" s="2"/>
      <c r="L540" s="2"/>
      <c r="M540" s="2"/>
      <c r="N540" s="2"/>
      <c r="O540" s="2"/>
      <c r="P540" s="2"/>
      <c r="Q540" s="2"/>
      <c r="R540" s="2"/>
      <c r="S540" s="2"/>
      <c r="T540" s="2"/>
      <c r="U540" s="2"/>
      <c r="V540" s="2"/>
      <c r="W540" s="2"/>
    </row>
    <row r="541">
      <c r="A541" s="2"/>
      <c r="B541" s="2"/>
      <c r="C541" s="2"/>
      <c r="D541" s="2"/>
      <c r="E541" s="2"/>
      <c r="F541" s="2"/>
      <c r="G541" s="2"/>
      <c r="H541" s="2"/>
      <c r="I541" s="2"/>
      <c r="J541" s="2"/>
      <c r="K541" s="2"/>
      <c r="L541" s="2"/>
      <c r="M541" s="2"/>
      <c r="N541" s="2"/>
      <c r="O541" s="2"/>
      <c r="P541" s="2"/>
      <c r="Q541" s="2"/>
      <c r="R541" s="2"/>
      <c r="S541" s="2"/>
      <c r="T541" s="2"/>
      <c r="U541" s="2"/>
      <c r="V541" s="2"/>
      <c r="W541" s="2"/>
    </row>
    <row r="542">
      <c r="A542" s="2"/>
      <c r="B542" s="2"/>
      <c r="C542" s="2"/>
      <c r="D542" s="2"/>
      <c r="E542" s="2"/>
      <c r="F542" s="2"/>
      <c r="G542" s="2"/>
      <c r="H542" s="2"/>
      <c r="I542" s="2"/>
      <c r="J542" s="2"/>
      <c r="K542" s="2"/>
      <c r="L542" s="2"/>
      <c r="M542" s="2"/>
      <c r="N542" s="2"/>
      <c r="O542" s="2"/>
      <c r="P542" s="2"/>
      <c r="Q542" s="2"/>
      <c r="R542" s="2"/>
      <c r="S542" s="2"/>
      <c r="T542" s="2"/>
      <c r="U542" s="2"/>
      <c r="V542" s="2"/>
      <c r="W542" s="2"/>
    </row>
    <row r="543">
      <c r="A543" s="2"/>
      <c r="B543" s="2"/>
      <c r="C543" s="2"/>
      <c r="D543" s="2"/>
      <c r="E543" s="2"/>
      <c r="F543" s="2"/>
      <c r="G543" s="2"/>
      <c r="H543" s="2"/>
      <c r="I543" s="2"/>
      <c r="J543" s="2"/>
      <c r="K543" s="2"/>
      <c r="L543" s="2"/>
      <c r="M543" s="2"/>
      <c r="N543" s="2"/>
      <c r="O543" s="2"/>
      <c r="P543" s="2"/>
      <c r="Q543" s="2"/>
      <c r="R543" s="2"/>
      <c r="S543" s="2"/>
      <c r="T543" s="2"/>
      <c r="U543" s="2"/>
      <c r="V543" s="2"/>
      <c r="W543" s="2"/>
    </row>
    <row r="544">
      <c r="A544" s="2"/>
      <c r="B544" s="2"/>
      <c r="C544" s="2"/>
      <c r="D544" s="2"/>
      <c r="E544" s="2"/>
      <c r="F544" s="2"/>
      <c r="G544" s="2"/>
      <c r="H544" s="2"/>
      <c r="I544" s="2"/>
      <c r="J544" s="2"/>
      <c r="K544" s="2"/>
      <c r="L544" s="2"/>
      <c r="M544" s="2"/>
      <c r="N544" s="2"/>
      <c r="O544" s="2"/>
      <c r="P544" s="2"/>
      <c r="Q544" s="2"/>
      <c r="R544" s="2"/>
      <c r="S544" s="2"/>
      <c r="T544" s="2"/>
      <c r="U544" s="2"/>
      <c r="V544" s="2"/>
      <c r="W544" s="2"/>
    </row>
    <row r="545">
      <c r="A545" s="2"/>
      <c r="B545" s="2"/>
      <c r="C545" s="2"/>
      <c r="D545" s="2"/>
      <c r="E545" s="2"/>
      <c r="F545" s="2"/>
      <c r="G545" s="2"/>
      <c r="H545" s="2"/>
      <c r="I545" s="2"/>
      <c r="J545" s="2"/>
      <c r="K545" s="2"/>
      <c r="L545" s="2"/>
      <c r="M545" s="2"/>
      <c r="N545" s="2"/>
      <c r="O545" s="2"/>
      <c r="P545" s="2"/>
      <c r="Q545" s="2"/>
      <c r="R545" s="2"/>
      <c r="S545" s="2"/>
      <c r="T545" s="2"/>
      <c r="U545" s="2"/>
      <c r="V545" s="2"/>
      <c r="W545" s="2"/>
    </row>
    <row r="546">
      <c r="A546" s="2"/>
      <c r="B546" s="2"/>
      <c r="C546" s="2"/>
      <c r="D546" s="2"/>
      <c r="E546" s="2"/>
      <c r="F546" s="2"/>
      <c r="G546" s="2"/>
      <c r="H546" s="2"/>
      <c r="I546" s="2"/>
      <c r="J546" s="2"/>
      <c r="K546" s="2"/>
      <c r="L546" s="2"/>
      <c r="M546" s="2"/>
      <c r="N546" s="2"/>
      <c r="O546" s="2"/>
      <c r="P546" s="2"/>
      <c r="Q546" s="2"/>
      <c r="R546" s="2"/>
      <c r="S546" s="2"/>
      <c r="T546" s="2"/>
      <c r="U546" s="2"/>
      <c r="V546" s="2"/>
      <c r="W546" s="2"/>
    </row>
    <row r="547">
      <c r="A547" s="2"/>
      <c r="B547" s="2"/>
      <c r="C547" s="2"/>
      <c r="D547" s="2"/>
      <c r="E547" s="2"/>
      <c r="F547" s="2"/>
      <c r="G547" s="2"/>
      <c r="H547" s="2"/>
      <c r="I547" s="2"/>
      <c r="J547" s="2"/>
      <c r="K547" s="2"/>
      <c r="L547" s="2"/>
      <c r="M547" s="2"/>
      <c r="N547" s="2"/>
      <c r="O547" s="2"/>
      <c r="P547" s="2"/>
      <c r="Q547" s="2"/>
      <c r="R547" s="2"/>
      <c r="S547" s="2"/>
      <c r="T547" s="2"/>
      <c r="U547" s="2"/>
      <c r="V547" s="2"/>
      <c r="W547" s="2"/>
    </row>
    <row r="548">
      <c r="A548" s="2"/>
      <c r="B548" s="2"/>
      <c r="C548" s="2"/>
      <c r="D548" s="2"/>
      <c r="E548" s="2"/>
      <c r="F548" s="2"/>
      <c r="G548" s="2"/>
      <c r="H548" s="2"/>
      <c r="I548" s="2"/>
      <c r="J548" s="2"/>
      <c r="K548" s="2"/>
      <c r="L548" s="2"/>
      <c r="M548" s="2"/>
      <c r="N548" s="2"/>
      <c r="O548" s="2"/>
      <c r="P548" s="2"/>
      <c r="Q548" s="2"/>
      <c r="R548" s="2"/>
      <c r="S548" s="2"/>
      <c r="T548" s="2"/>
      <c r="U548" s="2"/>
      <c r="V548" s="2"/>
      <c r="W548" s="2"/>
    </row>
    <row r="549">
      <c r="A549" s="2"/>
      <c r="B549" s="2"/>
      <c r="C549" s="2"/>
      <c r="D549" s="2"/>
      <c r="E549" s="2"/>
      <c r="F549" s="2"/>
      <c r="G549" s="2"/>
      <c r="H549" s="2"/>
      <c r="I549" s="2"/>
      <c r="J549" s="2"/>
      <c r="K549" s="2"/>
      <c r="L549" s="2"/>
      <c r="M549" s="2"/>
      <c r="N549" s="2"/>
      <c r="O549" s="2"/>
      <c r="P549" s="2"/>
      <c r="Q549" s="2"/>
      <c r="R549" s="2"/>
      <c r="S549" s="2"/>
      <c r="T549" s="2"/>
      <c r="U549" s="2"/>
      <c r="V549" s="2"/>
      <c r="W549" s="2"/>
    </row>
    <row r="550">
      <c r="A550" s="2"/>
      <c r="B550" s="2"/>
      <c r="C550" s="2"/>
      <c r="D550" s="2"/>
      <c r="E550" s="2"/>
      <c r="F550" s="2"/>
      <c r="G550" s="2"/>
      <c r="H550" s="2"/>
      <c r="I550" s="2"/>
      <c r="J550" s="2"/>
      <c r="K550" s="2"/>
      <c r="L550" s="2"/>
      <c r="M550" s="2"/>
      <c r="N550" s="2"/>
      <c r="O550" s="2"/>
      <c r="P550" s="2"/>
      <c r="Q550" s="2"/>
      <c r="R550" s="2"/>
      <c r="S550" s="2"/>
      <c r="T550" s="2"/>
      <c r="U550" s="2"/>
      <c r="V550" s="2"/>
      <c r="W550" s="2"/>
    </row>
    <row r="551">
      <c r="A551" s="2"/>
      <c r="B551" s="2"/>
      <c r="C551" s="2"/>
      <c r="D551" s="2"/>
      <c r="E551" s="2"/>
      <c r="F551" s="2"/>
      <c r="G551" s="2"/>
      <c r="H551" s="2"/>
      <c r="I551" s="2"/>
      <c r="J551" s="2"/>
      <c r="K551" s="2"/>
      <c r="L551" s="2"/>
      <c r="M551" s="2"/>
      <c r="N551" s="2"/>
      <c r="O551" s="2"/>
      <c r="P551" s="2"/>
      <c r="Q551" s="2"/>
      <c r="R551" s="2"/>
      <c r="S551" s="2"/>
      <c r="T551" s="2"/>
      <c r="U551" s="2"/>
      <c r="V551" s="2"/>
      <c r="W551" s="2"/>
    </row>
    <row r="552">
      <c r="A552" s="2"/>
      <c r="B552" s="2"/>
      <c r="C552" s="2"/>
      <c r="D552" s="2"/>
      <c r="E552" s="2"/>
      <c r="F552" s="2"/>
      <c r="G552" s="2"/>
      <c r="H552" s="2"/>
      <c r="I552" s="2"/>
      <c r="J552" s="2"/>
      <c r="K552" s="2"/>
      <c r="L552" s="2"/>
      <c r="M552" s="2"/>
      <c r="N552" s="2"/>
      <c r="O552" s="2"/>
      <c r="P552" s="2"/>
      <c r="Q552" s="2"/>
      <c r="R552" s="2"/>
      <c r="S552" s="2"/>
      <c r="T552" s="2"/>
      <c r="U552" s="2"/>
      <c r="V552" s="2"/>
      <c r="W552" s="2"/>
    </row>
    <row r="553">
      <c r="A553" s="2"/>
      <c r="B553" s="2"/>
      <c r="C553" s="2"/>
      <c r="D553" s="2"/>
      <c r="E553" s="2"/>
      <c r="F553" s="2"/>
      <c r="G553" s="2"/>
      <c r="H553" s="2"/>
      <c r="I553" s="2"/>
      <c r="J553" s="2"/>
      <c r="K553" s="2"/>
      <c r="L553" s="2"/>
      <c r="M553" s="2"/>
      <c r="N553" s="2"/>
      <c r="O553" s="2"/>
      <c r="P553" s="2"/>
      <c r="Q553" s="2"/>
      <c r="R553" s="2"/>
      <c r="S553" s="2"/>
      <c r="T553" s="2"/>
      <c r="U553" s="2"/>
      <c r="V553" s="2"/>
      <c r="W553" s="2"/>
    </row>
    <row r="554">
      <c r="A554" s="2"/>
      <c r="B554" s="2"/>
      <c r="C554" s="2"/>
      <c r="D554" s="2"/>
      <c r="E554" s="2"/>
      <c r="F554" s="2"/>
      <c r="G554" s="2"/>
      <c r="H554" s="2"/>
      <c r="I554" s="2"/>
      <c r="J554" s="2"/>
      <c r="K554" s="2"/>
      <c r="L554" s="2"/>
      <c r="M554" s="2"/>
      <c r="N554" s="2"/>
      <c r="O554" s="2"/>
      <c r="P554" s="2"/>
      <c r="Q554" s="2"/>
      <c r="R554" s="2"/>
      <c r="S554" s="2"/>
      <c r="T554" s="2"/>
      <c r="U554" s="2"/>
      <c r="V554" s="2"/>
      <c r="W554" s="2"/>
    </row>
    <row r="555">
      <c r="A555" s="2"/>
      <c r="B555" s="2"/>
      <c r="C555" s="2"/>
      <c r="D555" s="2"/>
      <c r="E555" s="2"/>
      <c r="F555" s="2"/>
      <c r="G555" s="2"/>
      <c r="H555" s="2"/>
      <c r="I555" s="2"/>
      <c r="J555" s="2"/>
      <c r="K555" s="2"/>
      <c r="L555" s="2"/>
      <c r="M555" s="2"/>
      <c r="N555" s="2"/>
      <c r="O555" s="2"/>
      <c r="P555" s="2"/>
      <c r="Q555" s="2"/>
      <c r="R555" s="2"/>
      <c r="S555" s="2"/>
      <c r="T555" s="2"/>
      <c r="U555" s="2"/>
      <c r="V555" s="2"/>
      <c r="W555" s="2"/>
    </row>
    <row r="556">
      <c r="A556" s="2"/>
      <c r="B556" s="2"/>
      <c r="C556" s="2"/>
      <c r="D556" s="2"/>
      <c r="E556" s="2"/>
      <c r="F556" s="2"/>
      <c r="G556" s="2"/>
      <c r="H556" s="2"/>
      <c r="I556" s="2"/>
      <c r="J556" s="2"/>
      <c r="K556" s="2"/>
      <c r="L556" s="2"/>
      <c r="M556" s="2"/>
      <c r="N556" s="2"/>
      <c r="O556" s="2"/>
      <c r="P556" s="2"/>
      <c r="Q556" s="2"/>
      <c r="R556" s="2"/>
      <c r="S556" s="2"/>
      <c r="T556" s="2"/>
      <c r="U556" s="2"/>
      <c r="V556" s="2"/>
      <c r="W556" s="2"/>
    </row>
    <row r="557">
      <c r="A557" s="2"/>
      <c r="B557" s="2"/>
      <c r="C557" s="2"/>
      <c r="D557" s="2"/>
      <c r="E557" s="2"/>
      <c r="F557" s="2"/>
      <c r="G557" s="2"/>
      <c r="H557" s="2"/>
      <c r="I557" s="2"/>
      <c r="J557" s="2"/>
      <c r="K557" s="2"/>
      <c r="L557" s="2"/>
      <c r="M557" s="2"/>
      <c r="N557" s="2"/>
      <c r="O557" s="2"/>
      <c r="P557" s="2"/>
      <c r="Q557" s="2"/>
      <c r="R557" s="2"/>
      <c r="S557" s="2"/>
      <c r="T557" s="2"/>
      <c r="U557" s="2"/>
      <c r="V557" s="2"/>
      <c r="W557" s="2"/>
    </row>
    <row r="558">
      <c r="A558" s="2"/>
      <c r="B558" s="2"/>
      <c r="C558" s="2"/>
      <c r="D558" s="2"/>
      <c r="E558" s="2"/>
      <c r="F558" s="2"/>
      <c r="G558" s="2"/>
      <c r="H558" s="2"/>
      <c r="I558" s="2"/>
      <c r="J558" s="2"/>
      <c r="K558" s="2"/>
      <c r="L558" s="2"/>
      <c r="M558" s="2"/>
      <c r="N558" s="2"/>
      <c r="O558" s="2"/>
      <c r="P558" s="2"/>
      <c r="Q558" s="2"/>
      <c r="R558" s="2"/>
      <c r="S558" s="2"/>
      <c r="T558" s="2"/>
      <c r="U558" s="2"/>
      <c r="V558" s="2"/>
      <c r="W558" s="2"/>
    </row>
    <row r="559">
      <c r="A559" s="2"/>
      <c r="B559" s="2"/>
      <c r="C559" s="2"/>
      <c r="D559" s="2"/>
      <c r="E559" s="2"/>
      <c r="F559" s="2"/>
      <c r="G559" s="2"/>
      <c r="H559" s="2"/>
      <c r="I559" s="2"/>
      <c r="J559" s="2"/>
      <c r="K559" s="2"/>
      <c r="L559" s="2"/>
      <c r="M559" s="2"/>
      <c r="N559" s="2"/>
      <c r="O559" s="2"/>
      <c r="P559" s="2"/>
      <c r="Q559" s="2"/>
      <c r="R559" s="2"/>
      <c r="S559" s="2"/>
      <c r="T559" s="2"/>
      <c r="U559" s="2"/>
      <c r="V559" s="2"/>
      <c r="W559" s="2"/>
    </row>
    <row r="560">
      <c r="A560" s="2"/>
      <c r="B560" s="2"/>
      <c r="C560" s="2"/>
      <c r="D560" s="2"/>
      <c r="E560" s="2"/>
      <c r="F560" s="2"/>
      <c r="G560" s="2"/>
      <c r="H560" s="2"/>
      <c r="I560" s="2"/>
      <c r="J560" s="2"/>
      <c r="K560" s="2"/>
      <c r="L560" s="2"/>
      <c r="M560" s="2"/>
      <c r="N560" s="2"/>
      <c r="O560" s="2"/>
      <c r="P560" s="2"/>
      <c r="Q560" s="2"/>
      <c r="R560" s="2"/>
      <c r="S560" s="2"/>
      <c r="T560" s="2"/>
      <c r="U560" s="2"/>
      <c r="V560" s="2"/>
      <c r="W560" s="2"/>
    </row>
    <row r="561">
      <c r="A561" s="2"/>
      <c r="B561" s="2"/>
      <c r="C561" s="2"/>
      <c r="D561" s="2"/>
      <c r="E561" s="2"/>
      <c r="F561" s="2"/>
      <c r="G561" s="2"/>
      <c r="H561" s="2"/>
      <c r="I561" s="2"/>
      <c r="J561" s="2"/>
      <c r="K561" s="2"/>
      <c r="L561" s="2"/>
      <c r="M561" s="2"/>
      <c r="N561" s="2"/>
      <c r="O561" s="2"/>
      <c r="P561" s="2"/>
      <c r="Q561" s="2"/>
      <c r="R561" s="2"/>
      <c r="S561" s="2"/>
      <c r="T561" s="2"/>
      <c r="U561" s="2"/>
      <c r="V561" s="2"/>
      <c r="W561" s="2"/>
    </row>
    <row r="562">
      <c r="A562" s="2"/>
      <c r="B562" s="2"/>
      <c r="C562" s="2"/>
      <c r="D562" s="2"/>
      <c r="E562" s="2"/>
      <c r="F562" s="2"/>
      <c r="G562" s="2"/>
      <c r="H562" s="2"/>
      <c r="I562" s="2"/>
      <c r="J562" s="2"/>
      <c r="K562" s="2"/>
      <c r="L562" s="2"/>
      <c r="M562" s="2"/>
      <c r="N562" s="2"/>
      <c r="O562" s="2"/>
      <c r="P562" s="2"/>
      <c r="Q562" s="2"/>
      <c r="R562" s="2"/>
      <c r="S562" s="2"/>
      <c r="T562" s="2"/>
      <c r="U562" s="2"/>
      <c r="V562" s="2"/>
      <c r="W562" s="2"/>
    </row>
    <row r="563">
      <c r="A563" s="2"/>
      <c r="B563" s="2"/>
      <c r="C563" s="2"/>
      <c r="D563" s="2"/>
      <c r="E563" s="2"/>
      <c r="F563" s="2"/>
      <c r="G563" s="2"/>
      <c r="H563" s="2"/>
      <c r="I563" s="2"/>
      <c r="J563" s="2"/>
      <c r="K563" s="2"/>
      <c r="L563" s="2"/>
      <c r="M563" s="2"/>
      <c r="N563" s="2"/>
      <c r="O563" s="2"/>
      <c r="P563" s="2"/>
      <c r="Q563" s="2"/>
      <c r="R563" s="2"/>
      <c r="S563" s="2"/>
      <c r="T563" s="2"/>
      <c r="U563" s="2"/>
      <c r="V563" s="2"/>
      <c r="W563" s="2"/>
    </row>
    <row r="564">
      <c r="A564" s="2"/>
      <c r="B564" s="2"/>
      <c r="C564" s="2"/>
      <c r="D564" s="2"/>
      <c r="E564" s="2"/>
      <c r="F564" s="2"/>
      <c r="G564" s="2"/>
      <c r="H564" s="2"/>
      <c r="I564" s="2"/>
      <c r="J564" s="2"/>
      <c r="K564" s="2"/>
      <c r="L564" s="2"/>
      <c r="M564" s="2"/>
      <c r="N564" s="2"/>
      <c r="O564" s="2"/>
      <c r="P564" s="2"/>
      <c r="Q564" s="2"/>
      <c r="R564" s="2"/>
      <c r="S564" s="2"/>
      <c r="T564" s="2"/>
      <c r="U564" s="2"/>
      <c r="V564" s="2"/>
      <c r="W564" s="2"/>
    </row>
    <row r="565">
      <c r="A565" s="2"/>
      <c r="B565" s="2"/>
      <c r="C565" s="2"/>
      <c r="D565" s="2"/>
      <c r="E565" s="2"/>
      <c r="F565" s="2"/>
      <c r="G565" s="2"/>
      <c r="H565" s="2"/>
      <c r="I565" s="2"/>
      <c r="J565" s="2"/>
      <c r="K565" s="2"/>
      <c r="L565" s="2"/>
      <c r="M565" s="2"/>
      <c r="N565" s="2"/>
      <c r="O565" s="2"/>
      <c r="P565" s="2"/>
      <c r="Q565" s="2"/>
      <c r="R565" s="2"/>
      <c r="S565" s="2"/>
      <c r="T565" s="2"/>
      <c r="U565" s="2"/>
      <c r="V565" s="2"/>
      <c r="W565" s="2"/>
    </row>
    <row r="566">
      <c r="A566" s="2"/>
      <c r="B566" s="2"/>
      <c r="C566" s="2"/>
      <c r="D566" s="2"/>
      <c r="E566" s="2"/>
      <c r="F566" s="2"/>
      <c r="G566" s="2"/>
      <c r="H566" s="2"/>
      <c r="I566" s="2"/>
      <c r="J566" s="2"/>
      <c r="K566" s="2"/>
      <c r="L566" s="2"/>
      <c r="M566" s="2"/>
      <c r="N566" s="2"/>
      <c r="O566" s="2"/>
      <c r="P566" s="2"/>
      <c r="Q566" s="2"/>
      <c r="R566" s="2"/>
      <c r="S566" s="2"/>
      <c r="T566" s="2"/>
      <c r="U566" s="2"/>
      <c r="V566" s="2"/>
      <c r="W566" s="2"/>
    </row>
    <row r="567">
      <c r="A567" s="2"/>
      <c r="B567" s="2"/>
      <c r="C567" s="2"/>
      <c r="D567" s="2"/>
      <c r="E567" s="2"/>
      <c r="F567" s="2"/>
      <c r="G567" s="2"/>
      <c r="H567" s="2"/>
      <c r="I567" s="2"/>
      <c r="J567" s="2"/>
      <c r="K567" s="2"/>
      <c r="L567" s="2"/>
      <c r="M567" s="2"/>
      <c r="N567" s="2"/>
      <c r="O567" s="2"/>
      <c r="P567" s="2"/>
      <c r="Q567" s="2"/>
      <c r="R567" s="2"/>
      <c r="S567" s="2"/>
      <c r="T567" s="2"/>
      <c r="U567" s="2"/>
      <c r="V567" s="2"/>
      <c r="W567" s="2"/>
    </row>
    <row r="568">
      <c r="A568" s="2"/>
      <c r="B568" s="2"/>
      <c r="C568" s="2"/>
      <c r="D568" s="2"/>
      <c r="E568" s="2"/>
      <c r="F568" s="2"/>
      <c r="G568" s="2"/>
      <c r="H568" s="2"/>
      <c r="I568" s="2"/>
      <c r="J568" s="2"/>
      <c r="K568" s="2"/>
      <c r="L568" s="2"/>
      <c r="M568" s="2"/>
      <c r="N568" s="2"/>
      <c r="O568" s="2"/>
      <c r="P568" s="2"/>
      <c r="Q568" s="2"/>
      <c r="R568" s="2"/>
      <c r="S568" s="2"/>
      <c r="T568" s="2"/>
      <c r="U568" s="2"/>
      <c r="V568" s="2"/>
      <c r="W568" s="2"/>
    </row>
    <row r="569">
      <c r="A569" s="2"/>
      <c r="B569" s="2"/>
      <c r="C569" s="2"/>
      <c r="D569" s="2"/>
      <c r="E569" s="2"/>
      <c r="F569" s="2"/>
      <c r="G569" s="2"/>
      <c r="H569" s="2"/>
      <c r="I569" s="2"/>
      <c r="J569" s="2"/>
      <c r="K569" s="2"/>
      <c r="L569" s="2"/>
      <c r="M569" s="2"/>
      <c r="N569" s="2"/>
      <c r="O569" s="2"/>
      <c r="P569" s="2"/>
      <c r="Q569" s="2"/>
      <c r="R569" s="2"/>
      <c r="S569" s="2"/>
      <c r="T569" s="2"/>
      <c r="U569" s="2"/>
      <c r="V569" s="2"/>
      <c r="W569" s="2"/>
    </row>
    <row r="570">
      <c r="A570" s="2"/>
      <c r="B570" s="2"/>
      <c r="C570" s="2"/>
      <c r="D570" s="2"/>
      <c r="E570" s="2"/>
      <c r="F570" s="2"/>
      <c r="G570" s="2"/>
      <c r="H570" s="2"/>
      <c r="I570" s="2"/>
      <c r="J570" s="2"/>
      <c r="K570" s="2"/>
      <c r="L570" s="2"/>
      <c r="M570" s="2"/>
      <c r="N570" s="2"/>
      <c r="O570" s="2"/>
      <c r="P570" s="2"/>
      <c r="Q570" s="2"/>
      <c r="R570" s="2"/>
      <c r="S570" s="2"/>
      <c r="T570" s="2"/>
      <c r="U570" s="2"/>
      <c r="V570" s="2"/>
      <c r="W570" s="2"/>
    </row>
    <row r="571">
      <c r="A571" s="2"/>
      <c r="B571" s="2"/>
      <c r="C571" s="2"/>
      <c r="D571" s="2"/>
      <c r="E571" s="2"/>
      <c r="F571" s="2"/>
      <c r="G571" s="2"/>
      <c r="H571" s="2"/>
      <c r="I571" s="2"/>
      <c r="J571" s="2"/>
      <c r="K571" s="2"/>
      <c r="L571" s="2"/>
      <c r="M571" s="2"/>
      <c r="N571" s="2"/>
      <c r="O571" s="2"/>
      <c r="P571" s="2"/>
      <c r="Q571" s="2"/>
      <c r="R571" s="2"/>
      <c r="S571" s="2"/>
      <c r="T571" s="2"/>
      <c r="U571" s="2"/>
      <c r="V571" s="2"/>
      <c r="W571" s="2"/>
    </row>
    <row r="572">
      <c r="A572" s="2"/>
      <c r="B572" s="2"/>
      <c r="C572" s="2"/>
      <c r="D572" s="2"/>
      <c r="E572" s="2"/>
      <c r="F572" s="2"/>
      <c r="G572" s="2"/>
      <c r="H572" s="2"/>
      <c r="I572" s="2"/>
      <c r="J572" s="2"/>
      <c r="K572" s="2"/>
      <c r="L572" s="2"/>
      <c r="M572" s="2"/>
      <c r="N572" s="2"/>
      <c r="O572" s="2"/>
      <c r="P572" s="2"/>
      <c r="Q572" s="2"/>
      <c r="R572" s="2"/>
      <c r="S572" s="2"/>
      <c r="T572" s="2"/>
      <c r="U572" s="2"/>
      <c r="V572" s="2"/>
      <c r="W572" s="2"/>
    </row>
    <row r="573">
      <c r="A573" s="2"/>
      <c r="B573" s="2"/>
      <c r="C573" s="2"/>
      <c r="D573" s="2"/>
      <c r="E573" s="2"/>
      <c r="F573" s="2"/>
      <c r="G573" s="2"/>
      <c r="H573" s="2"/>
      <c r="I573" s="2"/>
      <c r="J573" s="2"/>
      <c r="K573" s="2"/>
      <c r="L573" s="2"/>
      <c r="M573" s="2"/>
      <c r="N573" s="2"/>
      <c r="O573" s="2"/>
      <c r="P573" s="2"/>
      <c r="Q573" s="2"/>
      <c r="R573" s="2"/>
      <c r="S573" s="2"/>
      <c r="T573" s="2"/>
      <c r="U573" s="2"/>
      <c r="V573" s="2"/>
      <c r="W573" s="2"/>
    </row>
    <row r="574">
      <c r="A574" s="2"/>
      <c r="B574" s="2"/>
      <c r="C574" s="2"/>
      <c r="D574" s="2"/>
      <c r="E574" s="2"/>
      <c r="F574" s="2"/>
      <c r="G574" s="2"/>
      <c r="H574" s="2"/>
      <c r="I574" s="2"/>
      <c r="J574" s="2"/>
      <c r="K574" s="2"/>
      <c r="L574" s="2"/>
      <c r="M574" s="2"/>
      <c r="N574" s="2"/>
      <c r="O574" s="2"/>
      <c r="P574" s="2"/>
      <c r="Q574" s="2"/>
      <c r="R574" s="2"/>
      <c r="S574" s="2"/>
      <c r="T574" s="2"/>
      <c r="U574" s="2"/>
      <c r="V574" s="2"/>
      <c r="W574" s="2"/>
    </row>
    <row r="575">
      <c r="A575" s="2"/>
      <c r="B575" s="2"/>
      <c r="C575" s="2"/>
      <c r="D575" s="2"/>
      <c r="E575" s="2"/>
      <c r="F575" s="2"/>
      <c r="G575" s="2"/>
      <c r="H575" s="2"/>
      <c r="I575" s="2"/>
      <c r="J575" s="2"/>
      <c r="K575" s="2"/>
      <c r="L575" s="2"/>
      <c r="M575" s="2"/>
      <c r="N575" s="2"/>
      <c r="O575" s="2"/>
      <c r="P575" s="2"/>
      <c r="Q575" s="2"/>
      <c r="R575" s="2"/>
      <c r="S575" s="2"/>
      <c r="T575" s="2"/>
      <c r="U575" s="2"/>
      <c r="V575" s="2"/>
      <c r="W575" s="2"/>
    </row>
    <row r="576">
      <c r="A576" s="2"/>
      <c r="B576" s="2"/>
      <c r="C576" s="2"/>
      <c r="D576" s="2"/>
      <c r="E576" s="2"/>
      <c r="F576" s="2"/>
      <c r="G576" s="2"/>
      <c r="H576" s="2"/>
      <c r="I576" s="2"/>
      <c r="J576" s="2"/>
      <c r="K576" s="2"/>
      <c r="L576" s="2"/>
      <c r="M576" s="2"/>
      <c r="N576" s="2"/>
      <c r="O576" s="2"/>
      <c r="P576" s="2"/>
      <c r="Q576" s="2"/>
      <c r="R576" s="2"/>
      <c r="S576" s="2"/>
      <c r="T576" s="2"/>
      <c r="U576" s="2"/>
      <c r="V576" s="2"/>
      <c r="W576" s="2"/>
    </row>
    <row r="577">
      <c r="A577" s="2"/>
      <c r="B577" s="2"/>
      <c r="C577" s="2"/>
      <c r="D577" s="2"/>
      <c r="E577" s="2"/>
      <c r="F577" s="2"/>
      <c r="G577" s="2"/>
      <c r="H577" s="2"/>
      <c r="I577" s="2"/>
      <c r="J577" s="2"/>
      <c r="K577" s="2"/>
      <c r="L577" s="2"/>
      <c r="M577" s="2"/>
      <c r="N577" s="2"/>
      <c r="O577" s="2"/>
      <c r="P577" s="2"/>
      <c r="Q577" s="2"/>
      <c r="R577" s="2"/>
      <c r="S577" s="2"/>
      <c r="T577" s="2"/>
      <c r="U577" s="2"/>
      <c r="V577" s="2"/>
      <c r="W577" s="2"/>
    </row>
    <row r="578">
      <c r="A578" s="2"/>
      <c r="B578" s="2"/>
      <c r="C578" s="2"/>
      <c r="D578" s="2"/>
      <c r="E578" s="2"/>
      <c r="F578" s="2"/>
      <c r="G578" s="2"/>
      <c r="H578" s="2"/>
      <c r="I578" s="2"/>
      <c r="J578" s="2"/>
      <c r="K578" s="2"/>
      <c r="L578" s="2"/>
      <c r="M578" s="2"/>
      <c r="N578" s="2"/>
      <c r="O578" s="2"/>
      <c r="P578" s="2"/>
      <c r="Q578" s="2"/>
      <c r="R578" s="2"/>
      <c r="S578" s="2"/>
      <c r="T578" s="2"/>
      <c r="U578" s="2"/>
      <c r="V578" s="2"/>
      <c r="W578" s="2"/>
    </row>
    <row r="579">
      <c r="A579" s="2"/>
      <c r="B579" s="2"/>
      <c r="C579" s="2"/>
      <c r="D579" s="2"/>
      <c r="E579" s="2"/>
      <c r="F579" s="2"/>
      <c r="G579" s="2"/>
      <c r="H579" s="2"/>
      <c r="I579" s="2"/>
      <c r="J579" s="2"/>
      <c r="K579" s="2"/>
      <c r="L579" s="2"/>
      <c r="M579" s="2"/>
      <c r="N579" s="2"/>
      <c r="O579" s="2"/>
      <c r="P579" s="2"/>
      <c r="Q579" s="2"/>
      <c r="R579" s="2"/>
      <c r="S579" s="2"/>
      <c r="T579" s="2"/>
      <c r="U579" s="2"/>
      <c r="V579" s="2"/>
      <c r="W579" s="2"/>
    </row>
    <row r="580">
      <c r="A580" s="2"/>
      <c r="B580" s="2"/>
      <c r="C580" s="2"/>
      <c r="D580" s="2"/>
      <c r="E580" s="2"/>
      <c r="F580" s="2"/>
      <c r="G580" s="2"/>
      <c r="H580" s="2"/>
      <c r="I580" s="2"/>
      <c r="J580" s="2"/>
      <c r="K580" s="2"/>
      <c r="L580" s="2"/>
      <c r="M580" s="2"/>
      <c r="N580" s="2"/>
      <c r="O580" s="2"/>
      <c r="P580" s="2"/>
      <c r="Q580" s="2"/>
      <c r="R580" s="2"/>
      <c r="S580" s="2"/>
      <c r="T580" s="2"/>
      <c r="U580" s="2"/>
      <c r="V580" s="2"/>
      <c r="W580" s="2"/>
    </row>
    <row r="581">
      <c r="A581" s="2"/>
      <c r="B581" s="2"/>
      <c r="C581" s="2"/>
      <c r="D581" s="2"/>
      <c r="E581" s="2"/>
      <c r="F581" s="2"/>
      <c r="G581" s="2"/>
      <c r="H581" s="2"/>
      <c r="I581" s="2"/>
      <c r="J581" s="2"/>
      <c r="K581" s="2"/>
      <c r="L581" s="2"/>
      <c r="M581" s="2"/>
      <c r="N581" s="2"/>
      <c r="O581" s="2"/>
      <c r="P581" s="2"/>
      <c r="Q581" s="2"/>
      <c r="R581" s="2"/>
      <c r="S581" s="2"/>
      <c r="T581" s="2"/>
      <c r="U581" s="2"/>
      <c r="V581" s="2"/>
      <c r="W581" s="2"/>
    </row>
    <row r="582">
      <c r="A582" s="2"/>
      <c r="B582" s="2"/>
      <c r="C582" s="2"/>
      <c r="D582" s="2"/>
      <c r="E582" s="2"/>
      <c r="F582" s="2"/>
      <c r="G582" s="2"/>
      <c r="H582" s="2"/>
      <c r="I582" s="2"/>
      <c r="J582" s="2"/>
      <c r="K582" s="2"/>
      <c r="L582" s="2"/>
      <c r="M582" s="2"/>
      <c r="N582" s="2"/>
      <c r="O582" s="2"/>
      <c r="P582" s="2"/>
      <c r="Q582" s="2"/>
      <c r="R582" s="2"/>
      <c r="S582" s="2"/>
      <c r="T582" s="2"/>
      <c r="U582" s="2"/>
      <c r="V582" s="2"/>
      <c r="W582" s="2"/>
    </row>
    <row r="583">
      <c r="A583" s="2"/>
      <c r="B583" s="2"/>
      <c r="C583" s="2"/>
      <c r="D583" s="2"/>
      <c r="E583" s="2"/>
      <c r="F583" s="2"/>
      <c r="G583" s="2"/>
      <c r="H583" s="2"/>
      <c r="I583" s="2"/>
      <c r="J583" s="2"/>
      <c r="K583" s="2"/>
      <c r="L583" s="2"/>
      <c r="M583" s="2"/>
      <c r="N583" s="2"/>
      <c r="O583" s="2"/>
      <c r="P583" s="2"/>
      <c r="Q583" s="2"/>
      <c r="R583" s="2"/>
      <c r="S583" s="2"/>
      <c r="T583" s="2"/>
      <c r="U583" s="2"/>
      <c r="V583" s="2"/>
      <c r="W583" s="2"/>
    </row>
    <row r="584">
      <c r="A584" s="2"/>
      <c r="B584" s="2"/>
      <c r="C584" s="2"/>
      <c r="D584" s="2"/>
      <c r="E584" s="2"/>
      <c r="F584" s="2"/>
      <c r="G584" s="2"/>
      <c r="H584" s="2"/>
      <c r="I584" s="2"/>
      <c r="J584" s="2"/>
      <c r="K584" s="2"/>
      <c r="L584" s="2"/>
      <c r="M584" s="2"/>
      <c r="N584" s="2"/>
      <c r="O584" s="2"/>
      <c r="P584" s="2"/>
      <c r="Q584" s="2"/>
      <c r="R584" s="2"/>
      <c r="S584" s="2"/>
      <c r="T584" s="2"/>
      <c r="U584" s="2"/>
      <c r="V584" s="2"/>
      <c r="W584" s="2"/>
    </row>
    <row r="585">
      <c r="A585" s="2"/>
      <c r="B585" s="2"/>
      <c r="C585" s="2"/>
      <c r="D585" s="2"/>
      <c r="E585" s="2"/>
      <c r="F585" s="2"/>
      <c r="G585" s="2"/>
      <c r="H585" s="2"/>
      <c r="I585" s="2"/>
      <c r="J585" s="2"/>
      <c r="K585" s="2"/>
      <c r="L585" s="2"/>
      <c r="M585" s="2"/>
      <c r="N585" s="2"/>
      <c r="O585" s="2"/>
      <c r="P585" s="2"/>
      <c r="Q585" s="2"/>
      <c r="R585" s="2"/>
      <c r="S585" s="2"/>
      <c r="T585" s="2"/>
      <c r="U585" s="2"/>
      <c r="V585" s="2"/>
      <c r="W585" s="2"/>
    </row>
    <row r="586">
      <c r="A586" s="2"/>
      <c r="B586" s="2"/>
      <c r="C586" s="2"/>
      <c r="D586" s="2"/>
      <c r="E586" s="2"/>
      <c r="F586" s="2"/>
      <c r="G586" s="2"/>
      <c r="H586" s="2"/>
      <c r="I586" s="2"/>
      <c r="J586" s="2"/>
      <c r="K586" s="2"/>
      <c r="L586" s="2"/>
      <c r="M586" s="2"/>
      <c r="N586" s="2"/>
      <c r="O586" s="2"/>
      <c r="P586" s="2"/>
      <c r="Q586" s="2"/>
      <c r="R586" s="2"/>
      <c r="S586" s="2"/>
      <c r="T586" s="2"/>
      <c r="U586" s="2"/>
      <c r="V586" s="2"/>
      <c r="W586" s="2"/>
    </row>
    <row r="587">
      <c r="A587" s="2"/>
      <c r="B587" s="2"/>
      <c r="C587" s="2"/>
      <c r="D587" s="2"/>
      <c r="E587" s="2"/>
      <c r="F587" s="2"/>
      <c r="G587" s="2"/>
      <c r="H587" s="2"/>
      <c r="I587" s="2"/>
      <c r="J587" s="2"/>
      <c r="K587" s="2"/>
      <c r="L587" s="2"/>
      <c r="M587" s="2"/>
      <c r="N587" s="2"/>
      <c r="O587" s="2"/>
      <c r="P587" s="2"/>
      <c r="Q587" s="2"/>
      <c r="R587" s="2"/>
      <c r="S587" s="2"/>
      <c r="T587" s="2"/>
      <c r="U587" s="2"/>
      <c r="V587" s="2"/>
      <c r="W587" s="2"/>
    </row>
    <row r="588">
      <c r="A588" s="2"/>
      <c r="B588" s="2"/>
      <c r="C588" s="2"/>
      <c r="D588" s="2"/>
      <c r="E588" s="2"/>
      <c r="F588" s="2"/>
      <c r="G588" s="2"/>
      <c r="H588" s="2"/>
      <c r="I588" s="2"/>
      <c r="J588" s="2"/>
      <c r="K588" s="2"/>
      <c r="L588" s="2"/>
      <c r="M588" s="2"/>
      <c r="N588" s="2"/>
      <c r="O588" s="2"/>
      <c r="P588" s="2"/>
      <c r="Q588" s="2"/>
      <c r="R588" s="2"/>
      <c r="S588" s="2"/>
      <c r="T588" s="2"/>
      <c r="U588" s="2"/>
      <c r="V588" s="2"/>
      <c r="W588" s="2"/>
    </row>
    <row r="589">
      <c r="A589" s="2"/>
      <c r="B589" s="2"/>
      <c r="C589" s="2"/>
      <c r="D589" s="2"/>
      <c r="E589" s="2"/>
      <c r="F589" s="2"/>
      <c r="G589" s="2"/>
      <c r="H589" s="2"/>
      <c r="I589" s="2"/>
      <c r="J589" s="2"/>
      <c r="K589" s="2"/>
      <c r="L589" s="2"/>
      <c r="M589" s="2"/>
      <c r="N589" s="2"/>
      <c r="O589" s="2"/>
      <c r="P589" s="2"/>
      <c r="Q589" s="2"/>
      <c r="R589" s="2"/>
      <c r="S589" s="2"/>
      <c r="T589" s="2"/>
      <c r="U589" s="2"/>
      <c r="V589" s="2"/>
      <c r="W589" s="2"/>
    </row>
    <row r="590">
      <c r="A590" s="2"/>
      <c r="B590" s="2"/>
      <c r="C590" s="2"/>
      <c r="D590" s="2"/>
      <c r="E590" s="2"/>
      <c r="F590" s="2"/>
      <c r="G590" s="2"/>
      <c r="H590" s="2"/>
      <c r="I590" s="2"/>
      <c r="J590" s="2"/>
      <c r="K590" s="2"/>
      <c r="L590" s="2"/>
      <c r="M590" s="2"/>
      <c r="N590" s="2"/>
      <c r="O590" s="2"/>
      <c r="P590" s="2"/>
      <c r="Q590" s="2"/>
      <c r="R590" s="2"/>
      <c r="S590" s="2"/>
      <c r="T590" s="2"/>
      <c r="U590" s="2"/>
      <c r="V590" s="2"/>
      <c r="W590" s="2"/>
    </row>
    <row r="591">
      <c r="A591" s="2"/>
      <c r="B591" s="2"/>
      <c r="C591" s="2"/>
      <c r="D591" s="2"/>
      <c r="E591" s="2"/>
      <c r="F591" s="2"/>
      <c r="G591" s="2"/>
      <c r="H591" s="2"/>
      <c r="I591" s="2"/>
      <c r="J591" s="2"/>
      <c r="K591" s="2"/>
      <c r="L591" s="2"/>
      <c r="M591" s="2"/>
      <c r="N591" s="2"/>
      <c r="O591" s="2"/>
      <c r="P591" s="2"/>
      <c r="Q591" s="2"/>
      <c r="R591" s="2"/>
      <c r="S591" s="2"/>
      <c r="T591" s="2"/>
      <c r="U591" s="2"/>
      <c r="V591" s="2"/>
      <c r="W591" s="2"/>
    </row>
    <row r="592">
      <c r="A592" s="2"/>
      <c r="B592" s="2"/>
      <c r="C592" s="2"/>
      <c r="D592" s="2"/>
      <c r="E592" s="2"/>
      <c r="F592" s="2"/>
      <c r="G592" s="2"/>
      <c r="H592" s="2"/>
      <c r="I592" s="2"/>
      <c r="J592" s="2"/>
      <c r="K592" s="2"/>
      <c r="L592" s="2"/>
      <c r="M592" s="2"/>
      <c r="N592" s="2"/>
      <c r="O592" s="2"/>
      <c r="P592" s="2"/>
      <c r="Q592" s="2"/>
      <c r="R592" s="2"/>
      <c r="S592" s="2"/>
      <c r="T592" s="2"/>
      <c r="U592" s="2"/>
      <c r="V592" s="2"/>
      <c r="W592" s="2"/>
    </row>
    <row r="593">
      <c r="A593" s="2"/>
      <c r="B593" s="2"/>
      <c r="C593" s="2"/>
      <c r="D593" s="2"/>
      <c r="E593" s="2"/>
      <c r="F593" s="2"/>
      <c r="G593" s="2"/>
      <c r="H593" s="2"/>
      <c r="I593" s="2"/>
      <c r="J593" s="2"/>
      <c r="K593" s="2"/>
      <c r="L593" s="2"/>
      <c r="M593" s="2"/>
      <c r="N593" s="2"/>
      <c r="O593" s="2"/>
      <c r="P593" s="2"/>
      <c r="Q593" s="2"/>
      <c r="R593" s="2"/>
      <c r="S593" s="2"/>
      <c r="T593" s="2"/>
      <c r="U593" s="2"/>
      <c r="V593" s="2"/>
      <c r="W593" s="2"/>
    </row>
    <row r="594">
      <c r="A594" s="2"/>
      <c r="B594" s="2"/>
      <c r="C594" s="2"/>
      <c r="D594" s="2"/>
      <c r="E594" s="2"/>
      <c r="F594" s="2"/>
      <c r="G594" s="2"/>
      <c r="H594" s="2"/>
      <c r="I594" s="2"/>
      <c r="J594" s="2"/>
      <c r="K594" s="2"/>
      <c r="L594" s="2"/>
      <c r="M594" s="2"/>
      <c r="N594" s="2"/>
      <c r="O594" s="2"/>
      <c r="P594" s="2"/>
      <c r="Q594" s="2"/>
      <c r="R594" s="2"/>
      <c r="S594" s="2"/>
      <c r="T594" s="2"/>
      <c r="U594" s="2"/>
      <c r="V594" s="2"/>
      <c r="W594" s="2"/>
    </row>
    <row r="595">
      <c r="A595" s="2"/>
      <c r="B595" s="2"/>
      <c r="C595" s="2"/>
      <c r="D595" s="2"/>
      <c r="E595" s="2"/>
      <c r="F595" s="2"/>
      <c r="G595" s="2"/>
      <c r="H595" s="2"/>
      <c r="I595" s="2"/>
      <c r="J595" s="2"/>
      <c r="K595" s="2"/>
      <c r="L595" s="2"/>
      <c r="M595" s="2"/>
      <c r="N595" s="2"/>
      <c r="O595" s="2"/>
      <c r="P595" s="2"/>
      <c r="Q595" s="2"/>
      <c r="R595" s="2"/>
      <c r="S595" s="2"/>
      <c r="T595" s="2"/>
      <c r="U595" s="2"/>
      <c r="V595" s="2"/>
      <c r="W595" s="2"/>
    </row>
    <row r="596">
      <c r="A596" s="2"/>
      <c r="B596" s="2"/>
      <c r="C596" s="2"/>
      <c r="D596" s="2"/>
      <c r="E596" s="2"/>
      <c r="F596" s="2"/>
      <c r="G596" s="2"/>
      <c r="H596" s="2"/>
      <c r="I596" s="2"/>
      <c r="J596" s="2"/>
      <c r="K596" s="2"/>
      <c r="L596" s="2"/>
      <c r="M596" s="2"/>
      <c r="N596" s="2"/>
      <c r="O596" s="2"/>
      <c r="P596" s="2"/>
      <c r="Q596" s="2"/>
      <c r="R596" s="2"/>
      <c r="S596" s="2"/>
      <c r="T596" s="2"/>
      <c r="U596" s="2"/>
      <c r="V596" s="2"/>
      <c r="W596" s="2"/>
    </row>
    <row r="597">
      <c r="A597" s="2"/>
      <c r="B597" s="2"/>
      <c r="C597" s="2"/>
      <c r="D597" s="2"/>
      <c r="E597" s="2"/>
      <c r="F597" s="2"/>
      <c r="G597" s="2"/>
      <c r="H597" s="2"/>
      <c r="I597" s="2"/>
      <c r="J597" s="2"/>
      <c r="K597" s="2"/>
      <c r="L597" s="2"/>
      <c r="M597" s="2"/>
      <c r="N597" s="2"/>
      <c r="O597" s="2"/>
      <c r="P597" s="2"/>
      <c r="Q597" s="2"/>
      <c r="R597" s="2"/>
      <c r="S597" s="2"/>
      <c r="T597" s="2"/>
      <c r="U597" s="2"/>
      <c r="V597" s="2"/>
      <c r="W597" s="2"/>
    </row>
    <row r="598">
      <c r="A598" s="2"/>
      <c r="B598" s="2"/>
      <c r="C598" s="2"/>
      <c r="D598" s="2"/>
      <c r="E598" s="2"/>
      <c r="F598" s="2"/>
      <c r="G598" s="2"/>
      <c r="H598" s="2"/>
      <c r="I598" s="2"/>
      <c r="J598" s="2"/>
      <c r="K598" s="2"/>
      <c r="L598" s="2"/>
      <c r="M598" s="2"/>
      <c r="N598" s="2"/>
      <c r="O598" s="2"/>
      <c r="P598" s="2"/>
      <c r="Q598" s="2"/>
      <c r="R598" s="2"/>
      <c r="S598" s="2"/>
      <c r="T598" s="2"/>
      <c r="U598" s="2"/>
      <c r="V598" s="2"/>
      <c r="W598" s="2"/>
    </row>
    <row r="599">
      <c r="A599" s="2"/>
      <c r="B599" s="2"/>
      <c r="C599" s="2"/>
      <c r="D599" s="2"/>
      <c r="E599" s="2"/>
      <c r="F599" s="2"/>
      <c r="G599" s="2"/>
      <c r="H599" s="2"/>
      <c r="I599" s="2"/>
      <c r="J599" s="2"/>
      <c r="K599" s="2"/>
      <c r="L599" s="2"/>
      <c r="M599" s="2"/>
      <c r="N599" s="2"/>
      <c r="O599" s="2"/>
      <c r="P599" s="2"/>
      <c r="Q599" s="2"/>
      <c r="R599" s="2"/>
      <c r="S599" s="2"/>
      <c r="T599" s="2"/>
      <c r="U599" s="2"/>
      <c r="V599" s="2"/>
      <c r="W599" s="2"/>
    </row>
    <row r="600">
      <c r="A600" s="2"/>
      <c r="B600" s="2"/>
      <c r="C600" s="2"/>
      <c r="D600" s="2"/>
      <c r="E600" s="2"/>
      <c r="F600" s="2"/>
      <c r="G600" s="2"/>
      <c r="H600" s="2"/>
      <c r="I600" s="2"/>
      <c r="J600" s="2"/>
      <c r="K600" s="2"/>
      <c r="L600" s="2"/>
      <c r="M600" s="2"/>
      <c r="N600" s="2"/>
      <c r="O600" s="2"/>
      <c r="P600" s="2"/>
      <c r="Q600" s="2"/>
      <c r="R600" s="2"/>
      <c r="S600" s="2"/>
      <c r="T600" s="2"/>
      <c r="U600" s="2"/>
      <c r="V600" s="2"/>
      <c r="W600" s="2"/>
    </row>
    <row r="601">
      <c r="A601" s="2"/>
      <c r="B601" s="2"/>
      <c r="C601" s="2"/>
      <c r="D601" s="2"/>
      <c r="E601" s="2"/>
      <c r="F601" s="2"/>
      <c r="G601" s="2"/>
      <c r="H601" s="2"/>
      <c r="I601" s="2"/>
      <c r="J601" s="2"/>
      <c r="K601" s="2"/>
      <c r="L601" s="2"/>
      <c r="M601" s="2"/>
      <c r="N601" s="2"/>
      <c r="O601" s="2"/>
      <c r="P601" s="2"/>
      <c r="Q601" s="2"/>
      <c r="R601" s="2"/>
      <c r="S601" s="2"/>
      <c r="T601" s="2"/>
      <c r="U601" s="2"/>
      <c r="V601" s="2"/>
      <c r="W601" s="2"/>
    </row>
    <row r="602">
      <c r="A602" s="2"/>
      <c r="B602" s="2"/>
      <c r="C602" s="2"/>
      <c r="D602" s="2"/>
      <c r="E602" s="2"/>
      <c r="F602" s="2"/>
      <c r="G602" s="2"/>
      <c r="H602" s="2"/>
      <c r="I602" s="2"/>
      <c r="J602" s="2"/>
      <c r="K602" s="2"/>
      <c r="L602" s="2"/>
      <c r="M602" s="2"/>
      <c r="N602" s="2"/>
      <c r="O602" s="2"/>
      <c r="P602" s="2"/>
      <c r="Q602" s="2"/>
      <c r="R602" s="2"/>
      <c r="S602" s="2"/>
      <c r="T602" s="2"/>
      <c r="U602" s="2"/>
      <c r="V602" s="2"/>
      <c r="W602" s="2"/>
    </row>
    <row r="603">
      <c r="A603" s="2"/>
      <c r="B603" s="2"/>
      <c r="C603" s="2"/>
      <c r="D603" s="2"/>
      <c r="E603" s="2"/>
      <c r="F603" s="2"/>
      <c r="G603" s="2"/>
      <c r="H603" s="2"/>
      <c r="I603" s="2"/>
      <c r="J603" s="2"/>
      <c r="K603" s="2"/>
      <c r="L603" s="2"/>
      <c r="M603" s="2"/>
      <c r="N603" s="2"/>
      <c r="O603" s="2"/>
      <c r="P603" s="2"/>
      <c r="Q603" s="2"/>
      <c r="R603" s="2"/>
      <c r="S603" s="2"/>
      <c r="T603" s="2"/>
      <c r="U603" s="2"/>
      <c r="V603" s="2"/>
      <c r="W603" s="2"/>
    </row>
    <row r="604">
      <c r="A604" s="2"/>
      <c r="B604" s="2"/>
      <c r="C604" s="2"/>
      <c r="D604" s="2"/>
      <c r="E604" s="2"/>
      <c r="F604" s="2"/>
      <c r="G604" s="2"/>
      <c r="H604" s="2"/>
      <c r="I604" s="2"/>
      <c r="J604" s="2"/>
      <c r="K604" s="2"/>
      <c r="L604" s="2"/>
      <c r="M604" s="2"/>
      <c r="N604" s="2"/>
      <c r="O604" s="2"/>
      <c r="P604" s="2"/>
      <c r="Q604" s="2"/>
      <c r="R604" s="2"/>
      <c r="S604" s="2"/>
      <c r="T604" s="2"/>
      <c r="U604" s="2"/>
      <c r="V604" s="2"/>
      <c r="W604" s="2"/>
    </row>
    <row r="605">
      <c r="A605" s="2"/>
      <c r="B605" s="2"/>
      <c r="C605" s="2"/>
      <c r="D605" s="2"/>
      <c r="E605" s="2"/>
      <c r="F605" s="2"/>
      <c r="G605" s="2"/>
      <c r="H605" s="2"/>
      <c r="I605" s="2"/>
      <c r="J605" s="2"/>
      <c r="K605" s="2"/>
      <c r="L605" s="2"/>
      <c r="M605" s="2"/>
      <c r="N605" s="2"/>
      <c r="O605" s="2"/>
      <c r="P605" s="2"/>
      <c r="Q605" s="2"/>
      <c r="R605" s="2"/>
      <c r="S605" s="2"/>
      <c r="T605" s="2"/>
      <c r="U605" s="2"/>
      <c r="V605" s="2"/>
      <c r="W605" s="2"/>
    </row>
    <row r="606">
      <c r="A606" s="2"/>
      <c r="B606" s="2"/>
      <c r="C606" s="2"/>
      <c r="D606" s="2"/>
      <c r="E606" s="2"/>
      <c r="F606" s="2"/>
      <c r="G606" s="2"/>
      <c r="H606" s="2"/>
      <c r="I606" s="2"/>
      <c r="J606" s="2"/>
      <c r="K606" s="2"/>
      <c r="L606" s="2"/>
      <c r="M606" s="2"/>
      <c r="N606" s="2"/>
      <c r="O606" s="2"/>
      <c r="P606" s="2"/>
      <c r="Q606" s="2"/>
      <c r="R606" s="2"/>
      <c r="S606" s="2"/>
      <c r="T606" s="2"/>
      <c r="U606" s="2"/>
      <c r="V606" s="2"/>
      <c r="W606" s="2"/>
    </row>
    <row r="607">
      <c r="A607" s="2"/>
      <c r="B607" s="2"/>
      <c r="C607" s="2"/>
      <c r="D607" s="2"/>
      <c r="E607" s="2"/>
      <c r="F607" s="2"/>
      <c r="G607" s="2"/>
      <c r="H607" s="2"/>
      <c r="I607" s="2"/>
      <c r="J607" s="2"/>
      <c r="K607" s="2"/>
      <c r="L607" s="2"/>
      <c r="M607" s="2"/>
      <c r="N607" s="2"/>
      <c r="O607" s="2"/>
      <c r="P607" s="2"/>
      <c r="Q607" s="2"/>
      <c r="R607" s="2"/>
      <c r="S607" s="2"/>
      <c r="T607" s="2"/>
      <c r="U607" s="2"/>
      <c r="V607" s="2"/>
      <c r="W607" s="2"/>
    </row>
    <row r="608">
      <c r="A608" s="2"/>
      <c r="B608" s="2"/>
      <c r="C608" s="2"/>
      <c r="D608" s="2"/>
      <c r="E608" s="2"/>
      <c r="F608" s="2"/>
      <c r="G608" s="2"/>
      <c r="H608" s="2"/>
      <c r="I608" s="2"/>
      <c r="J608" s="2"/>
      <c r="K608" s="2"/>
      <c r="L608" s="2"/>
      <c r="M608" s="2"/>
      <c r="N608" s="2"/>
      <c r="O608" s="2"/>
      <c r="P608" s="2"/>
      <c r="Q608" s="2"/>
      <c r="R608" s="2"/>
      <c r="S608" s="2"/>
      <c r="T608" s="2"/>
      <c r="U608" s="2"/>
      <c r="V608" s="2"/>
      <c r="W608" s="2"/>
    </row>
    <row r="609">
      <c r="A609" s="2"/>
      <c r="B609" s="2"/>
      <c r="C609" s="2"/>
      <c r="D609" s="2"/>
      <c r="E609" s="2"/>
      <c r="F609" s="2"/>
      <c r="G609" s="2"/>
      <c r="H609" s="2"/>
      <c r="I609" s="2"/>
      <c r="J609" s="2"/>
      <c r="K609" s="2"/>
      <c r="L609" s="2"/>
      <c r="M609" s="2"/>
      <c r="N609" s="2"/>
      <c r="O609" s="2"/>
      <c r="P609" s="2"/>
      <c r="Q609" s="2"/>
      <c r="R609" s="2"/>
      <c r="S609" s="2"/>
      <c r="T609" s="2"/>
      <c r="U609" s="2"/>
      <c r="V609" s="2"/>
      <c r="W609" s="2"/>
    </row>
    <row r="610">
      <c r="A610" s="2"/>
      <c r="B610" s="2"/>
      <c r="C610" s="2"/>
      <c r="D610" s="2"/>
      <c r="E610" s="2"/>
      <c r="F610" s="2"/>
      <c r="G610" s="2"/>
      <c r="H610" s="2"/>
      <c r="I610" s="2"/>
      <c r="J610" s="2"/>
      <c r="K610" s="2"/>
      <c r="L610" s="2"/>
      <c r="M610" s="2"/>
      <c r="N610" s="2"/>
      <c r="O610" s="2"/>
      <c r="P610" s="2"/>
      <c r="Q610" s="2"/>
      <c r="R610" s="2"/>
      <c r="S610" s="2"/>
      <c r="T610" s="2"/>
      <c r="U610" s="2"/>
      <c r="V610" s="2"/>
      <c r="W610" s="2"/>
    </row>
    <row r="611">
      <c r="A611" s="2"/>
      <c r="B611" s="2"/>
      <c r="C611" s="2"/>
      <c r="D611" s="2"/>
      <c r="E611" s="2"/>
      <c r="F611" s="2"/>
      <c r="G611" s="2"/>
      <c r="H611" s="2"/>
      <c r="I611" s="2"/>
      <c r="J611" s="2"/>
      <c r="K611" s="2"/>
      <c r="L611" s="2"/>
      <c r="M611" s="2"/>
      <c r="N611" s="2"/>
      <c r="O611" s="2"/>
      <c r="P611" s="2"/>
      <c r="Q611" s="2"/>
      <c r="R611" s="2"/>
      <c r="S611" s="2"/>
      <c r="T611" s="2"/>
      <c r="U611" s="2"/>
      <c r="V611" s="2"/>
      <c r="W611" s="2"/>
    </row>
    <row r="612">
      <c r="A612" s="2"/>
      <c r="B612" s="2"/>
      <c r="C612" s="2"/>
      <c r="D612" s="2"/>
      <c r="E612" s="2"/>
      <c r="F612" s="2"/>
      <c r="G612" s="2"/>
      <c r="H612" s="2"/>
      <c r="I612" s="2"/>
      <c r="J612" s="2"/>
      <c r="K612" s="2"/>
      <c r="L612" s="2"/>
      <c r="M612" s="2"/>
      <c r="N612" s="2"/>
      <c r="O612" s="2"/>
      <c r="P612" s="2"/>
      <c r="Q612" s="2"/>
      <c r="R612" s="2"/>
      <c r="S612" s="2"/>
      <c r="T612" s="2"/>
      <c r="U612" s="2"/>
      <c r="V612" s="2"/>
      <c r="W612" s="2"/>
    </row>
    <row r="613">
      <c r="A613" s="2"/>
      <c r="B613" s="2"/>
      <c r="C613" s="2"/>
      <c r="D613" s="2"/>
      <c r="E613" s="2"/>
      <c r="F613" s="2"/>
      <c r="G613" s="2"/>
      <c r="H613" s="2"/>
      <c r="I613" s="2"/>
      <c r="J613" s="2"/>
      <c r="K613" s="2"/>
      <c r="L613" s="2"/>
      <c r="M613" s="2"/>
      <c r="N613" s="2"/>
      <c r="O613" s="2"/>
      <c r="P613" s="2"/>
      <c r="Q613" s="2"/>
      <c r="R613" s="2"/>
      <c r="S613" s="2"/>
      <c r="T613" s="2"/>
      <c r="U613" s="2"/>
      <c r="V613" s="2"/>
      <c r="W613" s="2"/>
    </row>
    <row r="614">
      <c r="A614" s="2"/>
      <c r="B614" s="2"/>
      <c r="C614" s="2"/>
      <c r="D614" s="2"/>
      <c r="E614" s="2"/>
      <c r="F614" s="2"/>
      <c r="G614" s="2"/>
      <c r="H614" s="2"/>
      <c r="I614" s="2"/>
      <c r="J614" s="2"/>
      <c r="K614" s="2"/>
      <c r="L614" s="2"/>
      <c r="M614" s="2"/>
      <c r="N614" s="2"/>
      <c r="O614" s="2"/>
      <c r="P614" s="2"/>
      <c r="Q614" s="2"/>
      <c r="R614" s="2"/>
      <c r="S614" s="2"/>
      <c r="T614" s="2"/>
      <c r="U614" s="2"/>
      <c r="V614" s="2"/>
      <c r="W614" s="2"/>
    </row>
    <row r="615">
      <c r="A615" s="2"/>
      <c r="B615" s="2"/>
      <c r="C615" s="2"/>
      <c r="D615" s="2"/>
      <c r="E615" s="2"/>
      <c r="F615" s="2"/>
      <c r="G615" s="2"/>
      <c r="H615" s="2"/>
      <c r="I615" s="2"/>
      <c r="J615" s="2"/>
      <c r="K615" s="2"/>
      <c r="L615" s="2"/>
      <c r="M615" s="2"/>
      <c r="N615" s="2"/>
      <c r="O615" s="2"/>
      <c r="P615" s="2"/>
      <c r="Q615" s="2"/>
      <c r="R615" s="2"/>
      <c r="S615" s="2"/>
      <c r="T615" s="2"/>
      <c r="U615" s="2"/>
      <c r="V615" s="2"/>
      <c r="W615" s="2"/>
    </row>
    <row r="616">
      <c r="A616" s="2"/>
      <c r="B616" s="2"/>
      <c r="C616" s="2"/>
      <c r="D616" s="2"/>
      <c r="E616" s="2"/>
      <c r="F616" s="2"/>
      <c r="G616" s="2"/>
      <c r="H616" s="2"/>
      <c r="I616" s="2"/>
      <c r="J616" s="2"/>
      <c r="K616" s="2"/>
      <c r="L616" s="2"/>
      <c r="M616" s="2"/>
      <c r="N616" s="2"/>
      <c r="O616" s="2"/>
      <c r="P616" s="2"/>
      <c r="Q616" s="2"/>
      <c r="R616" s="2"/>
      <c r="S616" s="2"/>
      <c r="T616" s="2"/>
      <c r="U616" s="2"/>
      <c r="V616" s="2"/>
      <c r="W616" s="2"/>
    </row>
    <row r="617">
      <c r="A617" s="2"/>
      <c r="B617" s="2"/>
      <c r="C617" s="2"/>
      <c r="D617" s="2"/>
      <c r="E617" s="2"/>
      <c r="F617" s="2"/>
      <c r="G617" s="2"/>
      <c r="H617" s="2"/>
      <c r="I617" s="2"/>
      <c r="J617" s="2"/>
      <c r="K617" s="2"/>
      <c r="L617" s="2"/>
      <c r="M617" s="2"/>
      <c r="N617" s="2"/>
      <c r="O617" s="2"/>
      <c r="P617" s="2"/>
      <c r="Q617" s="2"/>
      <c r="R617" s="2"/>
      <c r="S617" s="2"/>
      <c r="T617" s="2"/>
      <c r="U617" s="2"/>
      <c r="V617" s="2"/>
      <c r="W617" s="2"/>
    </row>
    <row r="618">
      <c r="A618" s="2"/>
      <c r="B618" s="2"/>
      <c r="C618" s="2"/>
      <c r="D618" s="2"/>
      <c r="E618" s="2"/>
      <c r="F618" s="2"/>
      <c r="G618" s="2"/>
      <c r="H618" s="2"/>
      <c r="I618" s="2"/>
      <c r="J618" s="2"/>
      <c r="K618" s="2"/>
      <c r="L618" s="2"/>
      <c r="M618" s="2"/>
      <c r="N618" s="2"/>
      <c r="O618" s="2"/>
      <c r="P618" s="2"/>
      <c r="Q618" s="2"/>
      <c r="R618" s="2"/>
      <c r="S618" s="2"/>
      <c r="T618" s="2"/>
      <c r="U618" s="2"/>
      <c r="V618" s="2"/>
      <c r="W618" s="2"/>
    </row>
    <row r="619">
      <c r="A619" s="2"/>
      <c r="B619" s="2"/>
      <c r="C619" s="2"/>
      <c r="D619" s="2"/>
      <c r="E619" s="2"/>
      <c r="F619" s="2"/>
      <c r="G619" s="2"/>
      <c r="H619" s="2"/>
      <c r="I619" s="2"/>
      <c r="J619" s="2"/>
      <c r="K619" s="2"/>
      <c r="L619" s="2"/>
      <c r="M619" s="2"/>
      <c r="N619" s="2"/>
      <c r="O619" s="2"/>
      <c r="P619" s="2"/>
      <c r="Q619" s="2"/>
      <c r="R619" s="2"/>
      <c r="S619" s="2"/>
      <c r="T619" s="2"/>
      <c r="U619" s="2"/>
      <c r="V619" s="2"/>
      <c r="W619" s="2"/>
    </row>
    <row r="620">
      <c r="A620" s="2"/>
      <c r="B620" s="2"/>
      <c r="C620" s="2"/>
      <c r="D620" s="2"/>
      <c r="E620" s="2"/>
      <c r="F620" s="2"/>
      <c r="G620" s="2"/>
      <c r="H620" s="2"/>
      <c r="I620" s="2"/>
      <c r="J620" s="2"/>
      <c r="K620" s="2"/>
      <c r="L620" s="2"/>
      <c r="M620" s="2"/>
      <c r="N620" s="2"/>
      <c r="O620" s="2"/>
      <c r="P620" s="2"/>
      <c r="Q620" s="2"/>
      <c r="R620" s="2"/>
      <c r="S620" s="2"/>
      <c r="T620" s="2"/>
      <c r="U620" s="2"/>
      <c r="V620" s="2"/>
      <c r="W620" s="2"/>
    </row>
    <row r="621">
      <c r="A621" s="2"/>
      <c r="B621" s="2"/>
      <c r="C621" s="2"/>
      <c r="D621" s="2"/>
      <c r="E621" s="2"/>
      <c r="F621" s="2"/>
      <c r="G621" s="2"/>
      <c r="H621" s="2"/>
      <c r="I621" s="2"/>
      <c r="J621" s="2"/>
      <c r="K621" s="2"/>
      <c r="L621" s="2"/>
      <c r="M621" s="2"/>
      <c r="N621" s="2"/>
      <c r="O621" s="2"/>
      <c r="P621" s="2"/>
      <c r="Q621" s="2"/>
      <c r="R621" s="2"/>
      <c r="S621" s="2"/>
      <c r="T621" s="2"/>
      <c r="U621" s="2"/>
      <c r="V621" s="2"/>
      <c r="W621" s="2"/>
    </row>
    <row r="622">
      <c r="A622" s="2"/>
      <c r="B622" s="2"/>
      <c r="C622" s="2"/>
      <c r="D622" s="2"/>
      <c r="E622" s="2"/>
      <c r="F622" s="2"/>
      <c r="G622" s="2"/>
      <c r="H622" s="2"/>
      <c r="I622" s="2"/>
      <c r="J622" s="2"/>
      <c r="K622" s="2"/>
      <c r="L622" s="2"/>
      <c r="M622" s="2"/>
      <c r="N622" s="2"/>
      <c r="O622" s="2"/>
      <c r="P622" s="2"/>
      <c r="Q622" s="2"/>
      <c r="R622" s="2"/>
      <c r="S622" s="2"/>
      <c r="T622" s="2"/>
      <c r="U622" s="2"/>
      <c r="V622" s="2"/>
      <c r="W622" s="2"/>
    </row>
    <row r="623">
      <c r="A623" s="2"/>
      <c r="B623" s="2"/>
      <c r="C623" s="2"/>
      <c r="D623" s="2"/>
      <c r="E623" s="2"/>
      <c r="F623" s="2"/>
      <c r="G623" s="2"/>
      <c r="H623" s="2"/>
      <c r="I623" s="2"/>
      <c r="J623" s="2"/>
      <c r="K623" s="2"/>
      <c r="L623" s="2"/>
      <c r="M623" s="2"/>
      <c r="N623" s="2"/>
      <c r="O623" s="2"/>
      <c r="P623" s="2"/>
      <c r="Q623" s="2"/>
      <c r="R623" s="2"/>
      <c r="S623" s="2"/>
      <c r="T623" s="2"/>
      <c r="U623" s="2"/>
      <c r="V623" s="2"/>
      <c r="W623" s="2"/>
    </row>
    <row r="624">
      <c r="A624" s="2"/>
      <c r="B624" s="2"/>
      <c r="C624" s="2"/>
      <c r="D624" s="2"/>
      <c r="E624" s="2"/>
      <c r="F624" s="2"/>
      <c r="G624" s="2"/>
      <c r="H624" s="2"/>
      <c r="I624" s="2"/>
      <c r="J624" s="2"/>
      <c r="K624" s="2"/>
      <c r="L624" s="2"/>
      <c r="M624" s="2"/>
      <c r="N624" s="2"/>
      <c r="O624" s="2"/>
      <c r="P624" s="2"/>
      <c r="Q624" s="2"/>
      <c r="R624" s="2"/>
      <c r="S624" s="2"/>
      <c r="T624" s="2"/>
      <c r="U624" s="2"/>
      <c r="V624" s="2"/>
      <c r="W624" s="2"/>
    </row>
    <row r="625">
      <c r="A625" s="2"/>
      <c r="B625" s="2"/>
      <c r="C625" s="2"/>
      <c r="D625" s="2"/>
      <c r="E625" s="2"/>
      <c r="F625" s="2"/>
      <c r="G625" s="2"/>
      <c r="H625" s="2"/>
      <c r="I625" s="2"/>
      <c r="J625" s="2"/>
      <c r="K625" s="2"/>
      <c r="L625" s="2"/>
      <c r="M625" s="2"/>
      <c r="N625" s="2"/>
      <c r="O625" s="2"/>
      <c r="P625" s="2"/>
      <c r="Q625" s="2"/>
      <c r="R625" s="2"/>
      <c r="S625" s="2"/>
      <c r="T625" s="2"/>
      <c r="U625" s="2"/>
      <c r="V625" s="2"/>
      <c r="W625" s="2"/>
    </row>
    <row r="626">
      <c r="A626" s="2"/>
      <c r="B626" s="2"/>
      <c r="C626" s="2"/>
      <c r="D626" s="2"/>
      <c r="E626" s="2"/>
      <c r="F626" s="2"/>
      <c r="G626" s="2"/>
      <c r="H626" s="2"/>
      <c r="I626" s="2"/>
      <c r="J626" s="2"/>
      <c r="K626" s="2"/>
      <c r="L626" s="2"/>
      <c r="M626" s="2"/>
      <c r="N626" s="2"/>
      <c r="O626" s="2"/>
      <c r="P626" s="2"/>
      <c r="Q626" s="2"/>
      <c r="R626" s="2"/>
      <c r="S626" s="2"/>
      <c r="T626" s="2"/>
      <c r="U626" s="2"/>
      <c r="V626" s="2"/>
      <c r="W626" s="2"/>
    </row>
    <row r="627">
      <c r="A627" s="2"/>
      <c r="B627" s="2"/>
      <c r="C627" s="2"/>
      <c r="D627" s="2"/>
      <c r="E627" s="2"/>
      <c r="F627" s="2"/>
      <c r="G627" s="2"/>
      <c r="H627" s="2"/>
      <c r="I627" s="2"/>
      <c r="J627" s="2"/>
      <c r="K627" s="2"/>
      <c r="L627" s="2"/>
      <c r="M627" s="2"/>
      <c r="N627" s="2"/>
      <c r="O627" s="2"/>
      <c r="P627" s="2"/>
      <c r="Q627" s="2"/>
      <c r="R627" s="2"/>
      <c r="S627" s="2"/>
      <c r="T627" s="2"/>
      <c r="U627" s="2"/>
      <c r="V627" s="2"/>
      <c r="W627" s="2"/>
    </row>
    <row r="628">
      <c r="A628" s="2"/>
      <c r="B628" s="2"/>
      <c r="C628" s="2"/>
      <c r="D628" s="2"/>
      <c r="E628" s="2"/>
      <c r="F628" s="2"/>
      <c r="G628" s="2"/>
      <c r="H628" s="2"/>
      <c r="I628" s="2"/>
      <c r="J628" s="2"/>
      <c r="K628" s="2"/>
      <c r="L628" s="2"/>
      <c r="M628" s="2"/>
      <c r="N628" s="2"/>
      <c r="O628" s="2"/>
      <c r="P628" s="2"/>
      <c r="Q628" s="2"/>
      <c r="R628" s="2"/>
      <c r="S628" s="2"/>
      <c r="T628" s="2"/>
      <c r="U628" s="2"/>
      <c r="V628" s="2"/>
      <c r="W628" s="2"/>
    </row>
    <row r="629">
      <c r="A629" s="2"/>
      <c r="B629" s="2"/>
      <c r="C629" s="2"/>
      <c r="D629" s="2"/>
      <c r="E629" s="2"/>
      <c r="F629" s="2"/>
      <c r="G629" s="2"/>
      <c r="H629" s="2"/>
      <c r="I629" s="2"/>
      <c r="J629" s="2"/>
      <c r="K629" s="2"/>
      <c r="L629" s="2"/>
      <c r="M629" s="2"/>
      <c r="N629" s="2"/>
      <c r="O629" s="2"/>
      <c r="P629" s="2"/>
      <c r="Q629" s="2"/>
      <c r="R629" s="2"/>
      <c r="S629" s="2"/>
      <c r="T629" s="2"/>
      <c r="U629" s="2"/>
      <c r="V629" s="2"/>
      <c r="W629" s="2"/>
    </row>
    <row r="630">
      <c r="A630" s="2"/>
      <c r="B630" s="2"/>
      <c r="C630" s="2"/>
      <c r="D630" s="2"/>
      <c r="E630" s="2"/>
      <c r="F630" s="2"/>
      <c r="G630" s="2"/>
      <c r="H630" s="2"/>
      <c r="I630" s="2"/>
      <c r="J630" s="2"/>
      <c r="K630" s="2"/>
      <c r="L630" s="2"/>
      <c r="M630" s="2"/>
      <c r="N630" s="2"/>
      <c r="O630" s="2"/>
      <c r="P630" s="2"/>
      <c r="Q630" s="2"/>
      <c r="R630" s="2"/>
      <c r="S630" s="2"/>
      <c r="T630" s="2"/>
      <c r="U630" s="2"/>
      <c r="V630" s="2"/>
      <c r="W630" s="2"/>
    </row>
    <row r="631">
      <c r="A631" s="2"/>
      <c r="B631" s="2"/>
      <c r="C631" s="2"/>
      <c r="D631" s="2"/>
      <c r="E631" s="2"/>
      <c r="F631" s="2"/>
      <c r="G631" s="2"/>
      <c r="H631" s="2"/>
      <c r="I631" s="2"/>
      <c r="J631" s="2"/>
      <c r="K631" s="2"/>
      <c r="L631" s="2"/>
      <c r="M631" s="2"/>
      <c r="N631" s="2"/>
      <c r="O631" s="2"/>
      <c r="P631" s="2"/>
      <c r="Q631" s="2"/>
      <c r="R631" s="2"/>
      <c r="S631" s="2"/>
      <c r="T631" s="2"/>
      <c r="U631" s="2"/>
      <c r="V631" s="2"/>
      <c r="W631" s="2"/>
    </row>
    <row r="632">
      <c r="A632" s="2"/>
      <c r="B632" s="2"/>
      <c r="C632" s="2"/>
      <c r="D632" s="2"/>
      <c r="E632" s="2"/>
      <c r="F632" s="2"/>
      <c r="G632" s="2"/>
      <c r="H632" s="2"/>
      <c r="I632" s="2"/>
      <c r="J632" s="2"/>
      <c r="K632" s="2"/>
      <c r="L632" s="2"/>
      <c r="M632" s="2"/>
      <c r="N632" s="2"/>
      <c r="O632" s="2"/>
      <c r="P632" s="2"/>
      <c r="Q632" s="2"/>
      <c r="R632" s="2"/>
      <c r="S632" s="2"/>
      <c r="T632" s="2"/>
      <c r="U632" s="2"/>
      <c r="V632" s="2"/>
      <c r="W632" s="2"/>
    </row>
    <row r="633">
      <c r="A633" s="2"/>
      <c r="B633" s="2"/>
      <c r="C633" s="2"/>
      <c r="D633" s="2"/>
      <c r="E633" s="2"/>
      <c r="F633" s="2"/>
      <c r="G633" s="2"/>
      <c r="H633" s="2"/>
      <c r="I633" s="2"/>
      <c r="J633" s="2"/>
      <c r="K633" s="2"/>
      <c r="L633" s="2"/>
      <c r="M633" s="2"/>
      <c r="N633" s="2"/>
      <c r="O633" s="2"/>
      <c r="P633" s="2"/>
      <c r="Q633" s="2"/>
      <c r="R633" s="2"/>
      <c r="S633" s="2"/>
      <c r="T633" s="2"/>
      <c r="U633" s="2"/>
      <c r="V633" s="2"/>
      <c r="W633" s="2"/>
    </row>
    <row r="634">
      <c r="A634" s="2"/>
      <c r="B634" s="2"/>
      <c r="C634" s="2"/>
      <c r="D634" s="2"/>
      <c r="E634" s="2"/>
      <c r="F634" s="2"/>
      <c r="G634" s="2"/>
      <c r="H634" s="2"/>
      <c r="I634" s="2"/>
      <c r="J634" s="2"/>
      <c r="K634" s="2"/>
      <c r="L634" s="2"/>
      <c r="M634" s="2"/>
      <c r="N634" s="2"/>
      <c r="O634" s="2"/>
      <c r="P634" s="2"/>
      <c r="Q634" s="2"/>
      <c r="R634" s="2"/>
      <c r="S634" s="2"/>
      <c r="T634" s="2"/>
      <c r="U634" s="2"/>
      <c r="V634" s="2"/>
      <c r="W634" s="2"/>
    </row>
    <row r="635">
      <c r="A635" s="2"/>
      <c r="B635" s="2"/>
      <c r="C635" s="2"/>
      <c r="D635" s="2"/>
      <c r="E635" s="2"/>
      <c r="F635" s="2"/>
      <c r="G635" s="2"/>
      <c r="H635" s="2"/>
      <c r="I635" s="2"/>
      <c r="J635" s="2"/>
      <c r="K635" s="2"/>
      <c r="L635" s="2"/>
      <c r="M635" s="2"/>
      <c r="N635" s="2"/>
      <c r="O635" s="2"/>
      <c r="P635" s="2"/>
      <c r="Q635" s="2"/>
      <c r="R635" s="2"/>
      <c r="S635" s="2"/>
      <c r="T635" s="2"/>
      <c r="U635" s="2"/>
      <c r="V635" s="2"/>
      <c r="W635" s="2"/>
    </row>
    <row r="636">
      <c r="A636" s="2"/>
      <c r="B636" s="2"/>
      <c r="C636" s="2"/>
      <c r="D636" s="2"/>
      <c r="E636" s="2"/>
      <c r="F636" s="2"/>
      <c r="G636" s="2"/>
      <c r="H636" s="2"/>
      <c r="I636" s="2"/>
      <c r="J636" s="2"/>
      <c r="K636" s="2"/>
      <c r="L636" s="2"/>
      <c r="M636" s="2"/>
      <c r="N636" s="2"/>
      <c r="O636" s="2"/>
      <c r="P636" s="2"/>
      <c r="Q636" s="2"/>
      <c r="R636" s="2"/>
      <c r="S636" s="2"/>
      <c r="T636" s="2"/>
      <c r="U636" s="2"/>
      <c r="V636" s="2"/>
      <c r="W636" s="2"/>
    </row>
    <row r="637">
      <c r="A637" s="2"/>
      <c r="B637" s="2"/>
      <c r="C637" s="2"/>
      <c r="D637" s="2"/>
      <c r="E637" s="2"/>
      <c r="F637" s="2"/>
      <c r="G637" s="2"/>
      <c r="H637" s="2"/>
      <c r="I637" s="2"/>
      <c r="J637" s="2"/>
      <c r="K637" s="2"/>
      <c r="L637" s="2"/>
      <c r="M637" s="2"/>
      <c r="N637" s="2"/>
      <c r="O637" s="2"/>
      <c r="P637" s="2"/>
      <c r="Q637" s="2"/>
      <c r="R637" s="2"/>
      <c r="S637" s="2"/>
      <c r="T637" s="2"/>
      <c r="U637" s="2"/>
      <c r="V637" s="2"/>
      <c r="W637" s="2"/>
    </row>
    <row r="638">
      <c r="A638" s="2"/>
      <c r="B638" s="2"/>
      <c r="C638" s="2"/>
      <c r="D638" s="2"/>
      <c r="E638" s="2"/>
      <c r="F638" s="2"/>
      <c r="G638" s="2"/>
      <c r="H638" s="2"/>
      <c r="I638" s="2"/>
      <c r="J638" s="2"/>
      <c r="K638" s="2"/>
      <c r="L638" s="2"/>
      <c r="M638" s="2"/>
      <c r="N638" s="2"/>
      <c r="O638" s="2"/>
      <c r="P638" s="2"/>
      <c r="Q638" s="2"/>
      <c r="R638" s="2"/>
      <c r="S638" s="2"/>
      <c r="T638" s="2"/>
      <c r="U638" s="2"/>
      <c r="V638" s="2"/>
      <c r="W638" s="2"/>
    </row>
    <row r="639">
      <c r="A639" s="2"/>
      <c r="B639" s="2"/>
      <c r="C639" s="2"/>
      <c r="D639" s="2"/>
      <c r="E639" s="2"/>
      <c r="F639" s="2"/>
      <c r="G639" s="2"/>
      <c r="H639" s="2"/>
      <c r="I639" s="2"/>
      <c r="J639" s="2"/>
      <c r="K639" s="2"/>
      <c r="L639" s="2"/>
      <c r="M639" s="2"/>
      <c r="N639" s="2"/>
      <c r="O639" s="2"/>
      <c r="P639" s="2"/>
      <c r="Q639" s="2"/>
      <c r="R639" s="2"/>
      <c r="S639" s="2"/>
      <c r="T639" s="2"/>
      <c r="U639" s="2"/>
      <c r="V639" s="2"/>
      <c r="W639" s="2"/>
    </row>
    <row r="640">
      <c r="A640" s="2"/>
      <c r="B640" s="2"/>
      <c r="C640" s="2"/>
      <c r="D640" s="2"/>
      <c r="E640" s="2"/>
      <c r="F640" s="2"/>
      <c r="G640" s="2"/>
      <c r="H640" s="2"/>
      <c r="I640" s="2"/>
      <c r="J640" s="2"/>
      <c r="K640" s="2"/>
      <c r="L640" s="2"/>
      <c r="M640" s="2"/>
      <c r="N640" s="2"/>
      <c r="O640" s="2"/>
      <c r="P640" s="2"/>
      <c r="Q640" s="2"/>
      <c r="R640" s="2"/>
      <c r="S640" s="2"/>
      <c r="T640" s="2"/>
      <c r="U640" s="2"/>
      <c r="V640" s="2"/>
      <c r="W640" s="2"/>
    </row>
    <row r="641">
      <c r="A641" s="2"/>
      <c r="B641" s="2"/>
      <c r="C641" s="2"/>
      <c r="D641" s="2"/>
      <c r="E641" s="2"/>
      <c r="F641" s="2"/>
      <c r="G641" s="2"/>
      <c r="H641" s="2"/>
      <c r="I641" s="2"/>
      <c r="J641" s="2"/>
      <c r="K641" s="2"/>
      <c r="L641" s="2"/>
      <c r="M641" s="2"/>
      <c r="N641" s="2"/>
      <c r="O641" s="2"/>
      <c r="P641" s="2"/>
      <c r="Q641" s="2"/>
      <c r="R641" s="2"/>
      <c r="S641" s="2"/>
      <c r="T641" s="2"/>
      <c r="U641" s="2"/>
      <c r="V641" s="2"/>
      <c r="W641" s="2"/>
    </row>
    <row r="642">
      <c r="A642" s="2"/>
      <c r="B642" s="2"/>
      <c r="C642" s="2"/>
      <c r="D642" s="2"/>
      <c r="E642" s="2"/>
      <c r="F642" s="2"/>
      <c r="G642" s="2"/>
      <c r="H642" s="2"/>
      <c r="I642" s="2"/>
      <c r="J642" s="2"/>
      <c r="K642" s="2"/>
      <c r="L642" s="2"/>
      <c r="M642" s="2"/>
      <c r="N642" s="2"/>
      <c r="O642" s="2"/>
      <c r="P642" s="2"/>
      <c r="Q642" s="2"/>
      <c r="R642" s="2"/>
      <c r="S642" s="2"/>
      <c r="T642" s="2"/>
      <c r="U642" s="2"/>
      <c r="V642" s="2"/>
      <c r="W642" s="2"/>
    </row>
    <row r="643">
      <c r="A643" s="2"/>
      <c r="B643" s="2"/>
      <c r="C643" s="2"/>
      <c r="D643" s="2"/>
      <c r="E643" s="2"/>
      <c r="F643" s="2"/>
      <c r="G643" s="2"/>
      <c r="H643" s="2"/>
      <c r="I643" s="2"/>
      <c r="J643" s="2"/>
      <c r="K643" s="2"/>
      <c r="L643" s="2"/>
      <c r="M643" s="2"/>
      <c r="N643" s="2"/>
      <c r="O643" s="2"/>
      <c r="P643" s="2"/>
      <c r="Q643" s="2"/>
      <c r="R643" s="2"/>
      <c r="S643" s="2"/>
      <c r="T643" s="2"/>
      <c r="U643" s="2"/>
      <c r="V643" s="2"/>
      <c r="W643" s="2"/>
    </row>
    <row r="644">
      <c r="A644" s="2"/>
      <c r="B644" s="2"/>
      <c r="C644" s="2"/>
      <c r="D644" s="2"/>
      <c r="E644" s="2"/>
      <c r="F644" s="2"/>
      <c r="G644" s="2"/>
      <c r="H644" s="2"/>
      <c r="I644" s="2"/>
      <c r="J644" s="2"/>
      <c r="K644" s="2"/>
      <c r="L644" s="2"/>
      <c r="M644" s="2"/>
      <c r="N644" s="2"/>
      <c r="O644" s="2"/>
      <c r="P644" s="2"/>
      <c r="Q644" s="2"/>
      <c r="R644" s="2"/>
      <c r="S644" s="2"/>
      <c r="T644" s="2"/>
      <c r="U644" s="2"/>
      <c r="V644" s="2"/>
      <c r="W644" s="2"/>
    </row>
    <row r="645">
      <c r="A645" s="2"/>
      <c r="B645" s="2"/>
      <c r="C645" s="2"/>
      <c r="D645" s="2"/>
      <c r="E645" s="2"/>
      <c r="F645" s="2"/>
      <c r="G645" s="2"/>
      <c r="H645" s="2"/>
      <c r="I645" s="2"/>
      <c r="J645" s="2"/>
      <c r="K645" s="2"/>
      <c r="L645" s="2"/>
      <c r="M645" s="2"/>
      <c r="N645" s="2"/>
      <c r="O645" s="2"/>
      <c r="P645" s="2"/>
      <c r="Q645" s="2"/>
      <c r="R645" s="2"/>
      <c r="S645" s="2"/>
      <c r="T645" s="2"/>
      <c r="U645" s="2"/>
      <c r="V645" s="2"/>
      <c r="W645" s="2"/>
    </row>
    <row r="646">
      <c r="A646" s="2"/>
      <c r="B646" s="2"/>
      <c r="C646" s="2"/>
      <c r="D646" s="2"/>
      <c r="E646" s="2"/>
      <c r="F646" s="2"/>
      <c r="G646" s="2"/>
      <c r="H646" s="2"/>
      <c r="I646" s="2"/>
      <c r="J646" s="2"/>
      <c r="K646" s="2"/>
      <c r="L646" s="2"/>
      <c r="M646" s="2"/>
      <c r="N646" s="2"/>
      <c r="O646" s="2"/>
      <c r="P646" s="2"/>
      <c r="Q646" s="2"/>
      <c r="R646" s="2"/>
      <c r="S646" s="2"/>
      <c r="T646" s="2"/>
      <c r="U646" s="2"/>
      <c r="V646" s="2"/>
      <c r="W646" s="2"/>
    </row>
    <row r="647">
      <c r="A647" s="2"/>
      <c r="B647" s="2"/>
      <c r="C647" s="2"/>
      <c r="D647" s="2"/>
      <c r="E647" s="2"/>
      <c r="F647" s="2"/>
      <c r="G647" s="2"/>
      <c r="H647" s="2"/>
      <c r="I647" s="2"/>
      <c r="J647" s="2"/>
      <c r="K647" s="2"/>
      <c r="L647" s="2"/>
      <c r="M647" s="2"/>
      <c r="N647" s="2"/>
      <c r="O647" s="2"/>
      <c r="P647" s="2"/>
      <c r="Q647" s="2"/>
      <c r="R647" s="2"/>
      <c r="S647" s="2"/>
      <c r="T647" s="2"/>
      <c r="U647" s="2"/>
      <c r="V647" s="2"/>
      <c r="W647" s="2"/>
    </row>
    <row r="648">
      <c r="A648" s="2"/>
      <c r="B648" s="2"/>
      <c r="C648" s="2"/>
      <c r="D648" s="2"/>
      <c r="E648" s="2"/>
      <c r="F648" s="2"/>
      <c r="G648" s="2"/>
      <c r="H648" s="2"/>
      <c r="I648" s="2"/>
      <c r="J648" s="2"/>
      <c r="K648" s="2"/>
      <c r="L648" s="2"/>
      <c r="M648" s="2"/>
      <c r="N648" s="2"/>
      <c r="O648" s="2"/>
      <c r="P648" s="2"/>
      <c r="Q648" s="2"/>
      <c r="R648" s="2"/>
      <c r="S648" s="2"/>
      <c r="T648" s="2"/>
      <c r="U648" s="2"/>
      <c r="V648" s="2"/>
      <c r="W648" s="2"/>
    </row>
    <row r="649">
      <c r="A649" s="2"/>
      <c r="B649" s="2"/>
      <c r="C649" s="2"/>
      <c r="D649" s="2"/>
      <c r="E649" s="2"/>
      <c r="F649" s="2"/>
      <c r="G649" s="2"/>
      <c r="H649" s="2"/>
      <c r="I649" s="2"/>
      <c r="J649" s="2"/>
      <c r="K649" s="2"/>
      <c r="L649" s="2"/>
      <c r="M649" s="2"/>
      <c r="N649" s="2"/>
      <c r="O649" s="2"/>
      <c r="P649" s="2"/>
      <c r="Q649" s="2"/>
      <c r="R649" s="2"/>
      <c r="S649" s="2"/>
      <c r="T649" s="2"/>
      <c r="U649" s="2"/>
      <c r="V649" s="2"/>
      <c r="W649" s="2"/>
    </row>
    <row r="650">
      <c r="A650" s="2"/>
      <c r="B650" s="2"/>
      <c r="C650" s="2"/>
      <c r="D650" s="2"/>
      <c r="E650" s="2"/>
      <c r="F650" s="2"/>
      <c r="G650" s="2"/>
      <c r="H650" s="2"/>
      <c r="I650" s="2"/>
      <c r="J650" s="2"/>
      <c r="K650" s="2"/>
      <c r="L650" s="2"/>
      <c r="M650" s="2"/>
      <c r="N650" s="2"/>
      <c r="O650" s="2"/>
      <c r="P650" s="2"/>
      <c r="Q650" s="2"/>
      <c r="R650" s="2"/>
      <c r="S650" s="2"/>
      <c r="T650" s="2"/>
      <c r="U650" s="2"/>
      <c r="V650" s="2"/>
      <c r="W650" s="2"/>
    </row>
    <row r="651">
      <c r="A651" s="2"/>
      <c r="B651" s="2"/>
      <c r="C651" s="2"/>
      <c r="D651" s="2"/>
      <c r="E651" s="2"/>
      <c r="F651" s="2"/>
      <c r="G651" s="2"/>
      <c r="H651" s="2"/>
      <c r="I651" s="2"/>
      <c r="J651" s="2"/>
      <c r="K651" s="2"/>
      <c r="L651" s="2"/>
      <c r="M651" s="2"/>
      <c r="N651" s="2"/>
      <c r="O651" s="2"/>
      <c r="P651" s="2"/>
      <c r="Q651" s="2"/>
      <c r="R651" s="2"/>
      <c r="S651" s="2"/>
      <c r="T651" s="2"/>
      <c r="U651" s="2"/>
      <c r="V651" s="2"/>
      <c r="W651" s="2"/>
    </row>
    <row r="652">
      <c r="A652" s="2"/>
      <c r="B652" s="2"/>
      <c r="C652" s="2"/>
      <c r="D652" s="2"/>
      <c r="E652" s="2"/>
      <c r="F652" s="2"/>
      <c r="G652" s="2"/>
      <c r="H652" s="2"/>
      <c r="I652" s="2"/>
      <c r="J652" s="2"/>
      <c r="K652" s="2"/>
      <c r="L652" s="2"/>
      <c r="M652" s="2"/>
      <c r="N652" s="2"/>
      <c r="O652" s="2"/>
      <c r="P652" s="2"/>
      <c r="Q652" s="2"/>
      <c r="R652" s="2"/>
      <c r="S652" s="2"/>
      <c r="T652" s="2"/>
      <c r="U652" s="2"/>
      <c r="V652" s="2"/>
      <c r="W652" s="2"/>
    </row>
    <row r="653">
      <c r="A653" s="2"/>
      <c r="B653" s="2"/>
      <c r="C653" s="2"/>
      <c r="D653" s="2"/>
      <c r="E653" s="2"/>
      <c r="F653" s="2"/>
      <c r="G653" s="2"/>
      <c r="H653" s="2"/>
      <c r="I653" s="2"/>
      <c r="J653" s="2"/>
      <c r="K653" s="2"/>
      <c r="L653" s="2"/>
      <c r="M653" s="2"/>
      <c r="N653" s="2"/>
      <c r="O653" s="2"/>
      <c r="P653" s="2"/>
      <c r="Q653" s="2"/>
      <c r="R653" s="2"/>
      <c r="S653" s="2"/>
      <c r="T653" s="2"/>
      <c r="U653" s="2"/>
      <c r="V653" s="2"/>
      <c r="W653" s="2"/>
    </row>
    <row r="654">
      <c r="A654" s="2"/>
      <c r="B654" s="2"/>
      <c r="C654" s="2"/>
      <c r="D654" s="2"/>
      <c r="E654" s="2"/>
      <c r="F654" s="2"/>
      <c r="G654" s="2"/>
      <c r="H654" s="2"/>
      <c r="I654" s="2"/>
      <c r="J654" s="2"/>
      <c r="K654" s="2"/>
      <c r="L654" s="2"/>
      <c r="M654" s="2"/>
      <c r="N654" s="2"/>
      <c r="O654" s="2"/>
      <c r="P654" s="2"/>
      <c r="Q654" s="2"/>
      <c r="R654" s="2"/>
      <c r="S654" s="2"/>
      <c r="T654" s="2"/>
      <c r="U654" s="2"/>
      <c r="V654" s="2"/>
      <c r="W654" s="2"/>
    </row>
    <row r="655">
      <c r="A655" s="2"/>
      <c r="B655" s="2"/>
      <c r="C655" s="2"/>
      <c r="D655" s="2"/>
      <c r="E655" s="2"/>
      <c r="F655" s="2"/>
      <c r="G655" s="2"/>
      <c r="H655" s="2"/>
      <c r="I655" s="2"/>
      <c r="J655" s="2"/>
      <c r="K655" s="2"/>
      <c r="L655" s="2"/>
      <c r="M655" s="2"/>
      <c r="N655" s="2"/>
      <c r="O655" s="2"/>
      <c r="P655" s="2"/>
      <c r="Q655" s="2"/>
      <c r="R655" s="2"/>
      <c r="S655" s="2"/>
      <c r="T655" s="2"/>
      <c r="U655" s="2"/>
      <c r="V655" s="2"/>
      <c r="W655" s="2"/>
    </row>
    <row r="656">
      <c r="A656" s="2"/>
      <c r="B656" s="2"/>
      <c r="C656" s="2"/>
      <c r="D656" s="2"/>
      <c r="E656" s="2"/>
      <c r="F656" s="2"/>
      <c r="G656" s="2"/>
      <c r="H656" s="2"/>
      <c r="I656" s="2"/>
      <c r="J656" s="2"/>
      <c r="K656" s="2"/>
      <c r="L656" s="2"/>
      <c r="M656" s="2"/>
      <c r="N656" s="2"/>
      <c r="O656" s="2"/>
      <c r="P656" s="2"/>
      <c r="Q656" s="2"/>
      <c r="R656" s="2"/>
      <c r="S656" s="2"/>
      <c r="T656" s="2"/>
      <c r="U656" s="2"/>
      <c r="V656" s="2"/>
      <c r="W656" s="2"/>
    </row>
    <row r="657">
      <c r="A657" s="2"/>
      <c r="B657" s="2"/>
      <c r="C657" s="2"/>
      <c r="D657" s="2"/>
      <c r="E657" s="2"/>
      <c r="F657" s="2"/>
      <c r="G657" s="2"/>
      <c r="H657" s="2"/>
      <c r="I657" s="2"/>
      <c r="J657" s="2"/>
      <c r="K657" s="2"/>
      <c r="L657" s="2"/>
      <c r="M657" s="2"/>
      <c r="N657" s="2"/>
      <c r="O657" s="2"/>
      <c r="P657" s="2"/>
      <c r="Q657" s="2"/>
      <c r="R657" s="2"/>
      <c r="S657" s="2"/>
      <c r="T657" s="2"/>
      <c r="U657" s="2"/>
      <c r="V657" s="2"/>
      <c r="W657" s="2"/>
    </row>
    <row r="658">
      <c r="A658" s="2"/>
      <c r="B658" s="2"/>
      <c r="C658" s="2"/>
      <c r="D658" s="2"/>
      <c r="E658" s="2"/>
      <c r="F658" s="2"/>
      <c r="G658" s="2"/>
      <c r="H658" s="2"/>
      <c r="I658" s="2"/>
      <c r="J658" s="2"/>
      <c r="K658" s="2"/>
      <c r="L658" s="2"/>
      <c r="M658" s="2"/>
      <c r="N658" s="2"/>
      <c r="O658" s="2"/>
      <c r="P658" s="2"/>
      <c r="Q658" s="2"/>
      <c r="R658" s="2"/>
      <c r="S658" s="2"/>
      <c r="T658" s="2"/>
      <c r="U658" s="2"/>
      <c r="V658" s="2"/>
      <c r="W658" s="2"/>
    </row>
    <row r="659">
      <c r="A659" s="2"/>
      <c r="B659" s="2"/>
      <c r="C659" s="2"/>
      <c r="D659" s="2"/>
      <c r="E659" s="2"/>
      <c r="F659" s="2"/>
      <c r="G659" s="2"/>
      <c r="H659" s="2"/>
      <c r="I659" s="2"/>
      <c r="J659" s="2"/>
      <c r="K659" s="2"/>
      <c r="L659" s="2"/>
      <c r="M659" s="2"/>
      <c r="N659" s="2"/>
      <c r="O659" s="2"/>
      <c r="P659" s="2"/>
      <c r="Q659" s="2"/>
      <c r="R659" s="2"/>
      <c r="S659" s="2"/>
      <c r="T659" s="2"/>
      <c r="U659" s="2"/>
      <c r="V659" s="2"/>
      <c r="W659" s="2"/>
    </row>
    <row r="660">
      <c r="A660" s="2"/>
      <c r="B660" s="2"/>
      <c r="C660" s="2"/>
      <c r="D660" s="2"/>
      <c r="E660" s="2"/>
      <c r="F660" s="2"/>
      <c r="G660" s="2"/>
      <c r="H660" s="2"/>
      <c r="I660" s="2"/>
      <c r="J660" s="2"/>
      <c r="K660" s="2"/>
      <c r="L660" s="2"/>
      <c r="M660" s="2"/>
      <c r="N660" s="2"/>
      <c r="O660" s="2"/>
      <c r="P660" s="2"/>
      <c r="Q660" s="2"/>
      <c r="R660" s="2"/>
      <c r="S660" s="2"/>
      <c r="T660" s="2"/>
      <c r="U660" s="2"/>
      <c r="V660" s="2"/>
      <c r="W660" s="2"/>
    </row>
    <row r="661">
      <c r="A661" s="2"/>
      <c r="B661" s="2"/>
      <c r="C661" s="2"/>
      <c r="D661" s="2"/>
      <c r="E661" s="2"/>
      <c r="F661" s="2"/>
      <c r="G661" s="2"/>
      <c r="H661" s="2"/>
      <c r="I661" s="2"/>
      <c r="J661" s="2"/>
      <c r="K661" s="2"/>
      <c r="L661" s="2"/>
      <c r="M661" s="2"/>
      <c r="N661" s="2"/>
      <c r="O661" s="2"/>
      <c r="P661" s="2"/>
      <c r="Q661" s="2"/>
      <c r="R661" s="2"/>
      <c r="S661" s="2"/>
      <c r="T661" s="2"/>
      <c r="U661" s="2"/>
      <c r="V661" s="2"/>
      <c r="W661" s="2"/>
    </row>
    <row r="662">
      <c r="A662" s="2"/>
      <c r="B662" s="2"/>
      <c r="C662" s="2"/>
      <c r="D662" s="2"/>
      <c r="E662" s="2"/>
      <c r="F662" s="2"/>
      <c r="G662" s="2"/>
      <c r="H662" s="2"/>
      <c r="I662" s="2"/>
      <c r="J662" s="2"/>
      <c r="K662" s="2"/>
      <c r="L662" s="2"/>
      <c r="M662" s="2"/>
      <c r="N662" s="2"/>
      <c r="O662" s="2"/>
      <c r="P662" s="2"/>
      <c r="Q662" s="2"/>
      <c r="R662" s="2"/>
      <c r="S662" s="2"/>
      <c r="T662" s="2"/>
      <c r="U662" s="2"/>
      <c r="V662" s="2"/>
      <c r="W662" s="2"/>
    </row>
    <row r="663">
      <c r="A663" s="2"/>
      <c r="B663" s="2"/>
      <c r="C663" s="2"/>
      <c r="D663" s="2"/>
      <c r="E663" s="2"/>
      <c r="F663" s="2"/>
      <c r="G663" s="2"/>
      <c r="H663" s="2"/>
      <c r="I663" s="2"/>
      <c r="J663" s="2"/>
      <c r="K663" s="2"/>
      <c r="L663" s="2"/>
      <c r="M663" s="2"/>
      <c r="N663" s="2"/>
      <c r="O663" s="2"/>
      <c r="P663" s="2"/>
      <c r="Q663" s="2"/>
      <c r="R663" s="2"/>
      <c r="S663" s="2"/>
      <c r="T663" s="2"/>
      <c r="U663" s="2"/>
      <c r="V663" s="2"/>
      <c r="W663" s="2"/>
    </row>
    <row r="664">
      <c r="A664" s="2"/>
      <c r="B664" s="2"/>
      <c r="C664" s="2"/>
      <c r="D664" s="2"/>
      <c r="E664" s="2"/>
      <c r="F664" s="2"/>
      <c r="G664" s="2"/>
      <c r="H664" s="2"/>
      <c r="I664" s="2"/>
      <c r="J664" s="2"/>
      <c r="K664" s="2"/>
      <c r="L664" s="2"/>
      <c r="M664" s="2"/>
      <c r="N664" s="2"/>
      <c r="O664" s="2"/>
      <c r="P664" s="2"/>
      <c r="Q664" s="2"/>
      <c r="R664" s="2"/>
      <c r="S664" s="2"/>
      <c r="T664" s="2"/>
      <c r="U664" s="2"/>
      <c r="V664" s="2"/>
      <c r="W664" s="2"/>
    </row>
    <row r="665">
      <c r="A665" s="2"/>
      <c r="B665" s="2"/>
      <c r="C665" s="2"/>
      <c r="D665" s="2"/>
      <c r="E665" s="2"/>
      <c r="F665" s="2"/>
      <c r="G665" s="2"/>
      <c r="H665" s="2"/>
      <c r="I665" s="2"/>
      <c r="J665" s="2"/>
      <c r="K665" s="2"/>
      <c r="L665" s="2"/>
      <c r="M665" s="2"/>
      <c r="N665" s="2"/>
      <c r="O665" s="2"/>
      <c r="P665" s="2"/>
      <c r="Q665" s="2"/>
      <c r="R665" s="2"/>
      <c r="S665" s="2"/>
      <c r="T665" s="2"/>
      <c r="U665" s="2"/>
      <c r="V665" s="2"/>
      <c r="W665" s="2"/>
    </row>
    <row r="666">
      <c r="A666" s="2"/>
      <c r="B666" s="2"/>
      <c r="C666" s="2"/>
      <c r="D666" s="2"/>
      <c r="E666" s="2"/>
      <c r="F666" s="2"/>
      <c r="G666" s="2"/>
      <c r="H666" s="2"/>
      <c r="I666" s="2"/>
      <c r="J666" s="2"/>
      <c r="K666" s="2"/>
      <c r="L666" s="2"/>
      <c r="M666" s="2"/>
      <c r="N666" s="2"/>
      <c r="O666" s="2"/>
      <c r="P666" s="2"/>
      <c r="Q666" s="2"/>
      <c r="R666" s="2"/>
      <c r="S666" s="2"/>
      <c r="T666" s="2"/>
      <c r="U666" s="2"/>
      <c r="V666" s="2"/>
      <c r="W666" s="2"/>
    </row>
    <row r="667">
      <c r="A667" s="2"/>
      <c r="B667" s="2"/>
      <c r="C667" s="2"/>
      <c r="D667" s="2"/>
      <c r="E667" s="2"/>
      <c r="F667" s="2"/>
      <c r="G667" s="2"/>
      <c r="H667" s="2"/>
      <c r="I667" s="2"/>
      <c r="J667" s="2"/>
      <c r="K667" s="2"/>
      <c r="L667" s="2"/>
      <c r="M667" s="2"/>
      <c r="N667" s="2"/>
      <c r="O667" s="2"/>
      <c r="P667" s="2"/>
      <c r="Q667" s="2"/>
      <c r="R667" s="2"/>
      <c r="S667" s="2"/>
      <c r="T667" s="2"/>
      <c r="U667" s="2"/>
      <c r="V667" s="2"/>
      <c r="W667" s="2"/>
    </row>
    <row r="668">
      <c r="A668" s="2"/>
      <c r="B668" s="2"/>
      <c r="C668" s="2"/>
      <c r="D668" s="2"/>
      <c r="E668" s="2"/>
      <c r="F668" s="2"/>
      <c r="G668" s="2"/>
      <c r="H668" s="2"/>
      <c r="I668" s="2"/>
      <c r="J668" s="2"/>
      <c r="K668" s="2"/>
      <c r="L668" s="2"/>
      <c r="M668" s="2"/>
      <c r="N668" s="2"/>
      <c r="O668" s="2"/>
      <c r="P668" s="2"/>
      <c r="Q668" s="2"/>
      <c r="R668" s="2"/>
      <c r="S668" s="2"/>
      <c r="T668" s="2"/>
      <c r="U668" s="2"/>
      <c r="V668" s="2"/>
      <c r="W668" s="2"/>
    </row>
    <row r="669">
      <c r="A669" s="2"/>
      <c r="B669" s="2"/>
      <c r="C669" s="2"/>
      <c r="D669" s="2"/>
      <c r="E669" s="2"/>
      <c r="F669" s="2"/>
      <c r="G669" s="2"/>
      <c r="H669" s="2"/>
      <c r="I669" s="2"/>
      <c r="J669" s="2"/>
      <c r="K669" s="2"/>
      <c r="L669" s="2"/>
      <c r="M669" s="2"/>
      <c r="N669" s="2"/>
      <c r="O669" s="2"/>
      <c r="P669" s="2"/>
      <c r="Q669" s="2"/>
      <c r="R669" s="2"/>
      <c r="S669" s="2"/>
      <c r="T669" s="2"/>
      <c r="U669" s="2"/>
      <c r="V669" s="2"/>
      <c r="W669" s="2"/>
    </row>
    <row r="670">
      <c r="A670" s="2"/>
      <c r="B670" s="2"/>
      <c r="C670" s="2"/>
      <c r="D670" s="2"/>
      <c r="E670" s="2"/>
      <c r="F670" s="2"/>
      <c r="G670" s="2"/>
      <c r="H670" s="2"/>
      <c r="I670" s="2"/>
      <c r="J670" s="2"/>
      <c r="K670" s="2"/>
      <c r="L670" s="2"/>
      <c r="M670" s="2"/>
      <c r="N670" s="2"/>
      <c r="O670" s="2"/>
      <c r="P670" s="2"/>
      <c r="Q670" s="2"/>
      <c r="R670" s="2"/>
      <c r="S670" s="2"/>
      <c r="T670" s="2"/>
      <c r="U670" s="2"/>
      <c r="V670" s="2"/>
      <c r="W670" s="2"/>
    </row>
    <row r="671">
      <c r="A671" s="2"/>
      <c r="B671" s="2"/>
      <c r="C671" s="2"/>
      <c r="D671" s="2"/>
      <c r="E671" s="2"/>
      <c r="F671" s="2"/>
      <c r="G671" s="2"/>
      <c r="H671" s="2"/>
      <c r="I671" s="2"/>
      <c r="J671" s="2"/>
      <c r="K671" s="2"/>
      <c r="L671" s="2"/>
      <c r="M671" s="2"/>
      <c r="N671" s="2"/>
      <c r="O671" s="2"/>
      <c r="P671" s="2"/>
      <c r="Q671" s="2"/>
      <c r="R671" s="2"/>
      <c r="S671" s="2"/>
      <c r="T671" s="2"/>
      <c r="U671" s="2"/>
      <c r="V671" s="2"/>
      <c r="W671" s="2"/>
    </row>
    <row r="672">
      <c r="A672" s="2"/>
      <c r="B672" s="2"/>
      <c r="C672" s="2"/>
      <c r="D672" s="2"/>
      <c r="E672" s="2"/>
      <c r="F672" s="2"/>
      <c r="G672" s="2"/>
      <c r="H672" s="2"/>
      <c r="I672" s="2"/>
      <c r="J672" s="2"/>
      <c r="K672" s="2"/>
      <c r="L672" s="2"/>
      <c r="M672" s="2"/>
      <c r="N672" s="2"/>
      <c r="O672" s="2"/>
      <c r="P672" s="2"/>
      <c r="Q672" s="2"/>
      <c r="R672" s="2"/>
      <c r="S672" s="2"/>
      <c r="T672" s="2"/>
      <c r="U672" s="2"/>
      <c r="V672" s="2"/>
      <c r="W672" s="2"/>
    </row>
    <row r="673">
      <c r="A673" s="2"/>
      <c r="B673" s="2"/>
      <c r="C673" s="2"/>
      <c r="D673" s="2"/>
      <c r="E673" s="2"/>
      <c r="F673" s="2"/>
      <c r="G673" s="2"/>
      <c r="H673" s="2"/>
      <c r="I673" s="2"/>
      <c r="J673" s="2"/>
      <c r="K673" s="2"/>
      <c r="L673" s="2"/>
      <c r="M673" s="2"/>
      <c r="N673" s="2"/>
      <c r="O673" s="2"/>
      <c r="P673" s="2"/>
      <c r="Q673" s="2"/>
      <c r="R673" s="2"/>
      <c r="S673" s="2"/>
      <c r="T673" s="2"/>
      <c r="U673" s="2"/>
      <c r="V673" s="2"/>
      <c r="W673" s="2"/>
    </row>
    <row r="674">
      <c r="A674" s="2"/>
      <c r="B674" s="2"/>
      <c r="C674" s="2"/>
      <c r="D674" s="2"/>
      <c r="E674" s="2"/>
      <c r="F674" s="2"/>
      <c r="G674" s="2"/>
      <c r="H674" s="2"/>
      <c r="I674" s="2"/>
      <c r="J674" s="2"/>
      <c r="K674" s="2"/>
      <c r="L674" s="2"/>
      <c r="M674" s="2"/>
      <c r="N674" s="2"/>
      <c r="O674" s="2"/>
      <c r="P674" s="2"/>
      <c r="Q674" s="2"/>
      <c r="R674" s="2"/>
      <c r="S674" s="2"/>
      <c r="T674" s="2"/>
      <c r="U674" s="2"/>
      <c r="V674" s="2"/>
      <c r="W674" s="2"/>
    </row>
    <row r="675">
      <c r="A675" s="2"/>
      <c r="B675" s="2"/>
      <c r="C675" s="2"/>
      <c r="D675" s="2"/>
      <c r="E675" s="2"/>
      <c r="F675" s="2"/>
      <c r="G675" s="2"/>
      <c r="H675" s="2"/>
      <c r="I675" s="2"/>
      <c r="J675" s="2"/>
      <c r="K675" s="2"/>
      <c r="L675" s="2"/>
      <c r="M675" s="2"/>
      <c r="N675" s="2"/>
      <c r="O675" s="2"/>
      <c r="P675" s="2"/>
      <c r="Q675" s="2"/>
      <c r="R675" s="2"/>
      <c r="S675" s="2"/>
      <c r="T675" s="2"/>
      <c r="U675" s="2"/>
      <c r="V675" s="2"/>
      <c r="W675" s="2"/>
    </row>
    <row r="676">
      <c r="A676" s="2"/>
      <c r="B676" s="2"/>
      <c r="C676" s="2"/>
      <c r="D676" s="2"/>
      <c r="E676" s="2"/>
      <c r="F676" s="2"/>
      <c r="G676" s="2"/>
      <c r="H676" s="2"/>
      <c r="I676" s="2"/>
      <c r="J676" s="2"/>
      <c r="K676" s="2"/>
      <c r="L676" s="2"/>
      <c r="M676" s="2"/>
      <c r="N676" s="2"/>
      <c r="O676" s="2"/>
      <c r="P676" s="2"/>
      <c r="Q676" s="2"/>
      <c r="R676" s="2"/>
      <c r="S676" s="2"/>
      <c r="T676" s="2"/>
      <c r="U676" s="2"/>
      <c r="V676" s="2"/>
      <c r="W676" s="2"/>
    </row>
    <row r="677">
      <c r="A677" s="2"/>
      <c r="B677" s="2"/>
      <c r="C677" s="2"/>
      <c r="D677" s="2"/>
      <c r="E677" s="2"/>
      <c r="F677" s="2"/>
      <c r="G677" s="2"/>
      <c r="H677" s="2"/>
      <c r="I677" s="2"/>
      <c r="J677" s="2"/>
      <c r="K677" s="2"/>
      <c r="L677" s="2"/>
      <c r="M677" s="2"/>
      <c r="N677" s="2"/>
      <c r="O677" s="2"/>
      <c r="P677" s="2"/>
      <c r="Q677" s="2"/>
      <c r="R677" s="2"/>
      <c r="S677" s="2"/>
      <c r="T677" s="2"/>
      <c r="U677" s="2"/>
      <c r="V677" s="2"/>
      <c r="W677" s="2"/>
    </row>
    <row r="678">
      <c r="A678" s="2"/>
      <c r="B678" s="2"/>
      <c r="C678" s="2"/>
      <c r="D678" s="2"/>
      <c r="E678" s="2"/>
      <c r="F678" s="2"/>
      <c r="G678" s="2"/>
      <c r="H678" s="2"/>
      <c r="I678" s="2"/>
      <c r="J678" s="2"/>
      <c r="K678" s="2"/>
      <c r="L678" s="2"/>
      <c r="M678" s="2"/>
      <c r="N678" s="2"/>
      <c r="O678" s="2"/>
      <c r="P678" s="2"/>
      <c r="Q678" s="2"/>
      <c r="R678" s="2"/>
      <c r="S678" s="2"/>
      <c r="T678" s="2"/>
      <c r="U678" s="2"/>
      <c r="V678" s="2"/>
      <c r="W678" s="2"/>
    </row>
    <row r="679">
      <c r="A679" s="2"/>
      <c r="B679" s="2"/>
      <c r="C679" s="2"/>
      <c r="D679" s="2"/>
      <c r="E679" s="2"/>
      <c r="F679" s="2"/>
      <c r="G679" s="2"/>
      <c r="H679" s="2"/>
      <c r="I679" s="2"/>
      <c r="J679" s="2"/>
      <c r="K679" s="2"/>
      <c r="L679" s="2"/>
      <c r="M679" s="2"/>
      <c r="N679" s="2"/>
      <c r="O679" s="2"/>
      <c r="P679" s="2"/>
      <c r="Q679" s="2"/>
      <c r="R679" s="2"/>
      <c r="S679" s="2"/>
      <c r="T679" s="2"/>
      <c r="U679" s="2"/>
      <c r="V679" s="2"/>
      <c r="W679" s="2"/>
    </row>
    <row r="680">
      <c r="A680" s="2"/>
      <c r="B680" s="2"/>
      <c r="C680" s="2"/>
      <c r="D680" s="2"/>
      <c r="E680" s="2"/>
      <c r="F680" s="2"/>
      <c r="G680" s="2"/>
      <c r="H680" s="2"/>
      <c r="I680" s="2"/>
      <c r="J680" s="2"/>
      <c r="K680" s="2"/>
      <c r="L680" s="2"/>
      <c r="M680" s="2"/>
      <c r="N680" s="2"/>
      <c r="O680" s="2"/>
      <c r="P680" s="2"/>
      <c r="Q680" s="2"/>
      <c r="R680" s="2"/>
      <c r="S680" s="2"/>
      <c r="T680" s="2"/>
      <c r="U680" s="2"/>
      <c r="V680" s="2"/>
      <c r="W680" s="2"/>
    </row>
    <row r="681">
      <c r="A681" s="2"/>
      <c r="B681" s="2"/>
      <c r="C681" s="2"/>
      <c r="D681" s="2"/>
      <c r="E681" s="2"/>
      <c r="F681" s="2"/>
      <c r="G681" s="2"/>
      <c r="H681" s="2"/>
      <c r="I681" s="2"/>
      <c r="J681" s="2"/>
      <c r="K681" s="2"/>
      <c r="L681" s="2"/>
      <c r="M681" s="2"/>
      <c r="N681" s="2"/>
      <c r="O681" s="2"/>
      <c r="P681" s="2"/>
      <c r="Q681" s="2"/>
      <c r="R681" s="2"/>
      <c r="S681" s="2"/>
      <c r="T681" s="2"/>
      <c r="U681" s="2"/>
      <c r="V681" s="2"/>
      <c r="W681" s="2"/>
    </row>
    <row r="682">
      <c r="A682" s="2"/>
      <c r="B682" s="2"/>
      <c r="C682" s="2"/>
      <c r="D682" s="2"/>
      <c r="E682" s="2"/>
      <c r="F682" s="2"/>
      <c r="G682" s="2"/>
      <c r="H682" s="2"/>
      <c r="I682" s="2"/>
      <c r="J682" s="2"/>
      <c r="K682" s="2"/>
      <c r="L682" s="2"/>
      <c r="M682" s="2"/>
      <c r="N682" s="2"/>
      <c r="O682" s="2"/>
      <c r="P682" s="2"/>
      <c r="Q682" s="2"/>
      <c r="R682" s="2"/>
      <c r="S682" s="2"/>
      <c r="T682" s="2"/>
      <c r="U682" s="2"/>
      <c r="V682" s="2"/>
      <c r="W682" s="2"/>
    </row>
    <row r="683">
      <c r="A683" s="2"/>
      <c r="B683" s="2"/>
      <c r="C683" s="2"/>
      <c r="D683" s="2"/>
      <c r="E683" s="2"/>
      <c r="F683" s="2"/>
      <c r="G683" s="2"/>
      <c r="H683" s="2"/>
      <c r="I683" s="2"/>
      <c r="J683" s="2"/>
      <c r="K683" s="2"/>
      <c r="L683" s="2"/>
      <c r="M683" s="2"/>
      <c r="N683" s="2"/>
      <c r="O683" s="2"/>
      <c r="P683" s="2"/>
      <c r="Q683" s="2"/>
      <c r="R683" s="2"/>
      <c r="S683" s="2"/>
      <c r="T683" s="2"/>
      <c r="U683" s="2"/>
      <c r="V683" s="2"/>
      <c r="W683" s="2"/>
    </row>
    <row r="684">
      <c r="A684" s="2"/>
      <c r="B684" s="2"/>
      <c r="C684" s="2"/>
      <c r="D684" s="2"/>
      <c r="E684" s="2"/>
      <c r="F684" s="2"/>
      <c r="G684" s="2"/>
      <c r="H684" s="2"/>
      <c r="I684" s="2"/>
      <c r="J684" s="2"/>
      <c r="K684" s="2"/>
      <c r="L684" s="2"/>
      <c r="M684" s="2"/>
      <c r="N684" s="2"/>
      <c r="O684" s="2"/>
      <c r="P684" s="2"/>
      <c r="Q684" s="2"/>
      <c r="R684" s="2"/>
      <c r="S684" s="2"/>
      <c r="T684" s="2"/>
      <c r="U684" s="2"/>
      <c r="V684" s="2"/>
      <c r="W684" s="2"/>
    </row>
    <row r="685">
      <c r="A685" s="2"/>
      <c r="B685" s="2"/>
      <c r="C685" s="2"/>
      <c r="D685" s="2"/>
      <c r="E685" s="2"/>
      <c r="F685" s="2"/>
      <c r="G685" s="2"/>
      <c r="H685" s="2"/>
      <c r="I685" s="2"/>
      <c r="J685" s="2"/>
      <c r="K685" s="2"/>
      <c r="L685" s="2"/>
      <c r="M685" s="2"/>
      <c r="N685" s="2"/>
      <c r="O685" s="2"/>
      <c r="P685" s="2"/>
      <c r="Q685" s="2"/>
      <c r="R685" s="2"/>
      <c r="S685" s="2"/>
      <c r="T685" s="2"/>
      <c r="U685" s="2"/>
      <c r="V685" s="2"/>
      <c r="W685" s="2"/>
    </row>
    <row r="686">
      <c r="A686" s="2"/>
      <c r="B686" s="2"/>
      <c r="C686" s="2"/>
      <c r="D686" s="2"/>
      <c r="E686" s="2"/>
      <c r="F686" s="2"/>
      <c r="G686" s="2"/>
      <c r="H686" s="2"/>
      <c r="I686" s="2"/>
      <c r="J686" s="2"/>
      <c r="K686" s="2"/>
      <c r="L686" s="2"/>
      <c r="M686" s="2"/>
      <c r="N686" s="2"/>
      <c r="O686" s="2"/>
      <c r="P686" s="2"/>
      <c r="Q686" s="2"/>
      <c r="R686" s="2"/>
      <c r="S686" s="2"/>
      <c r="T686" s="2"/>
      <c r="U686" s="2"/>
      <c r="V686" s="2"/>
      <c r="W686" s="2"/>
    </row>
    <row r="687">
      <c r="A687" s="2"/>
      <c r="B687" s="2"/>
      <c r="C687" s="2"/>
      <c r="D687" s="2"/>
      <c r="E687" s="2"/>
      <c r="F687" s="2"/>
      <c r="G687" s="2"/>
      <c r="H687" s="2"/>
      <c r="I687" s="2"/>
      <c r="J687" s="2"/>
      <c r="K687" s="2"/>
      <c r="L687" s="2"/>
      <c r="M687" s="2"/>
      <c r="N687" s="2"/>
      <c r="O687" s="2"/>
      <c r="P687" s="2"/>
      <c r="Q687" s="2"/>
      <c r="R687" s="2"/>
      <c r="S687" s="2"/>
      <c r="T687" s="2"/>
      <c r="U687" s="2"/>
      <c r="V687" s="2"/>
      <c r="W687" s="2"/>
    </row>
    <row r="688">
      <c r="A688" s="2"/>
      <c r="B688" s="2"/>
      <c r="C688" s="2"/>
      <c r="D688" s="2"/>
      <c r="E688" s="2"/>
      <c r="F688" s="2"/>
      <c r="G688" s="2"/>
      <c r="H688" s="2"/>
      <c r="I688" s="2"/>
      <c r="J688" s="2"/>
      <c r="K688" s="2"/>
      <c r="L688" s="2"/>
      <c r="M688" s="2"/>
      <c r="N688" s="2"/>
      <c r="O688" s="2"/>
      <c r="P688" s="2"/>
      <c r="Q688" s="2"/>
      <c r="R688" s="2"/>
      <c r="S688" s="2"/>
      <c r="T688" s="2"/>
      <c r="U688" s="2"/>
      <c r="V688" s="2"/>
      <c r="W688" s="2"/>
    </row>
    <row r="689">
      <c r="A689" s="2"/>
      <c r="B689" s="2"/>
      <c r="C689" s="2"/>
      <c r="D689" s="2"/>
      <c r="E689" s="2"/>
      <c r="F689" s="2"/>
      <c r="G689" s="2"/>
      <c r="H689" s="2"/>
      <c r="I689" s="2"/>
      <c r="J689" s="2"/>
      <c r="K689" s="2"/>
      <c r="L689" s="2"/>
      <c r="M689" s="2"/>
      <c r="N689" s="2"/>
      <c r="O689" s="2"/>
      <c r="P689" s="2"/>
      <c r="Q689" s="2"/>
      <c r="R689" s="2"/>
      <c r="S689" s="2"/>
      <c r="T689" s="2"/>
      <c r="U689" s="2"/>
      <c r="V689" s="2"/>
      <c r="W689" s="2"/>
    </row>
    <row r="690">
      <c r="A690" s="2"/>
      <c r="B690" s="2"/>
      <c r="C690" s="2"/>
      <c r="D690" s="2"/>
      <c r="E690" s="2"/>
      <c r="F690" s="2"/>
      <c r="G690" s="2"/>
      <c r="H690" s="2"/>
      <c r="I690" s="2"/>
      <c r="J690" s="2"/>
      <c r="K690" s="2"/>
      <c r="L690" s="2"/>
      <c r="M690" s="2"/>
      <c r="N690" s="2"/>
      <c r="O690" s="2"/>
      <c r="P690" s="2"/>
      <c r="Q690" s="2"/>
      <c r="R690" s="2"/>
      <c r="S690" s="2"/>
      <c r="T690" s="2"/>
      <c r="U690" s="2"/>
      <c r="V690" s="2"/>
      <c r="W690" s="2"/>
    </row>
    <row r="691">
      <c r="A691" s="2"/>
      <c r="B691" s="2"/>
      <c r="C691" s="2"/>
      <c r="D691" s="2"/>
      <c r="E691" s="2"/>
      <c r="F691" s="2"/>
      <c r="G691" s="2"/>
      <c r="H691" s="2"/>
      <c r="I691" s="2"/>
      <c r="J691" s="2"/>
      <c r="K691" s="2"/>
      <c r="L691" s="2"/>
      <c r="M691" s="2"/>
      <c r="N691" s="2"/>
      <c r="O691" s="2"/>
      <c r="P691" s="2"/>
      <c r="Q691" s="2"/>
      <c r="R691" s="2"/>
      <c r="S691" s="2"/>
      <c r="T691" s="2"/>
      <c r="U691" s="2"/>
      <c r="V691" s="2"/>
      <c r="W691" s="2"/>
    </row>
    <row r="692">
      <c r="A692" s="2"/>
      <c r="B692" s="2"/>
      <c r="C692" s="2"/>
      <c r="D692" s="2"/>
      <c r="E692" s="2"/>
      <c r="F692" s="2"/>
      <c r="G692" s="2"/>
      <c r="H692" s="2"/>
      <c r="I692" s="2"/>
      <c r="J692" s="2"/>
      <c r="K692" s="2"/>
      <c r="L692" s="2"/>
      <c r="M692" s="2"/>
      <c r="N692" s="2"/>
      <c r="O692" s="2"/>
      <c r="P692" s="2"/>
      <c r="Q692" s="2"/>
      <c r="R692" s="2"/>
      <c r="S692" s="2"/>
      <c r="T692" s="2"/>
      <c r="U692" s="2"/>
      <c r="V692" s="2"/>
      <c r="W692" s="2"/>
    </row>
    <row r="693">
      <c r="A693" s="2"/>
      <c r="B693" s="2"/>
      <c r="C693" s="2"/>
      <c r="D693" s="2"/>
      <c r="E693" s="2"/>
      <c r="F693" s="2"/>
      <c r="G693" s="2"/>
      <c r="H693" s="2"/>
      <c r="I693" s="2"/>
      <c r="J693" s="2"/>
      <c r="K693" s="2"/>
      <c r="L693" s="2"/>
      <c r="M693" s="2"/>
      <c r="N693" s="2"/>
      <c r="O693" s="2"/>
      <c r="P693" s="2"/>
      <c r="Q693" s="2"/>
      <c r="R693" s="2"/>
      <c r="S693" s="2"/>
      <c r="T693" s="2"/>
      <c r="U693" s="2"/>
      <c r="V693" s="2"/>
      <c r="W693" s="2"/>
    </row>
    <row r="694">
      <c r="A694" s="2"/>
      <c r="B694" s="2"/>
      <c r="C694" s="2"/>
      <c r="D694" s="2"/>
      <c r="E694" s="2"/>
      <c r="F694" s="2"/>
      <c r="G694" s="2"/>
      <c r="H694" s="2"/>
      <c r="I694" s="2"/>
      <c r="J694" s="2"/>
      <c r="K694" s="2"/>
      <c r="L694" s="2"/>
      <c r="M694" s="2"/>
      <c r="N694" s="2"/>
      <c r="O694" s="2"/>
      <c r="P694" s="2"/>
      <c r="Q694" s="2"/>
      <c r="R694" s="2"/>
      <c r="S694" s="2"/>
      <c r="T694" s="2"/>
      <c r="U694" s="2"/>
      <c r="V694" s="2"/>
      <c r="W694" s="2"/>
    </row>
    <row r="695">
      <c r="A695" s="2"/>
      <c r="B695" s="2"/>
      <c r="C695" s="2"/>
      <c r="D695" s="2"/>
      <c r="E695" s="2"/>
      <c r="F695" s="2"/>
      <c r="G695" s="2"/>
      <c r="H695" s="2"/>
      <c r="I695" s="2"/>
      <c r="J695" s="2"/>
      <c r="K695" s="2"/>
      <c r="L695" s="2"/>
      <c r="M695" s="2"/>
      <c r="N695" s="2"/>
      <c r="O695" s="2"/>
      <c r="P695" s="2"/>
      <c r="Q695" s="2"/>
      <c r="R695" s="2"/>
      <c r="S695" s="2"/>
      <c r="T695" s="2"/>
      <c r="U695" s="2"/>
      <c r="V695" s="2"/>
      <c r="W695" s="2"/>
    </row>
    <row r="696">
      <c r="A696" s="2"/>
      <c r="B696" s="2"/>
      <c r="C696" s="2"/>
      <c r="D696" s="2"/>
      <c r="E696" s="2"/>
      <c r="F696" s="2"/>
      <c r="G696" s="2"/>
      <c r="H696" s="2"/>
      <c r="I696" s="2"/>
      <c r="J696" s="2"/>
      <c r="K696" s="2"/>
      <c r="L696" s="2"/>
      <c r="M696" s="2"/>
      <c r="N696" s="2"/>
      <c r="O696" s="2"/>
      <c r="P696" s="2"/>
      <c r="Q696" s="2"/>
      <c r="R696" s="2"/>
      <c r="S696" s="2"/>
      <c r="T696" s="2"/>
      <c r="U696" s="2"/>
      <c r="V696" s="2"/>
      <c r="W696" s="2"/>
    </row>
    <row r="697">
      <c r="A697" s="2"/>
      <c r="B697" s="2"/>
      <c r="C697" s="2"/>
      <c r="D697" s="2"/>
      <c r="E697" s="2"/>
      <c r="F697" s="2"/>
      <c r="G697" s="2"/>
      <c r="H697" s="2"/>
      <c r="I697" s="2"/>
      <c r="J697" s="2"/>
      <c r="K697" s="2"/>
      <c r="L697" s="2"/>
      <c r="M697" s="2"/>
      <c r="N697" s="2"/>
      <c r="O697" s="2"/>
      <c r="P697" s="2"/>
      <c r="Q697" s="2"/>
      <c r="R697" s="2"/>
      <c r="S697" s="2"/>
      <c r="T697" s="2"/>
      <c r="U697" s="2"/>
      <c r="V697" s="2"/>
      <c r="W697" s="2"/>
    </row>
    <row r="698">
      <c r="A698" s="2"/>
      <c r="B698" s="2"/>
      <c r="C698" s="2"/>
      <c r="D698" s="2"/>
      <c r="E698" s="2"/>
      <c r="F698" s="2"/>
      <c r="G698" s="2"/>
      <c r="H698" s="2"/>
      <c r="I698" s="2"/>
      <c r="J698" s="2"/>
      <c r="K698" s="2"/>
      <c r="L698" s="2"/>
      <c r="M698" s="2"/>
      <c r="N698" s="2"/>
      <c r="O698" s="2"/>
      <c r="P698" s="2"/>
      <c r="Q698" s="2"/>
      <c r="R698" s="2"/>
      <c r="S698" s="2"/>
      <c r="T698" s="2"/>
      <c r="U698" s="2"/>
      <c r="V698" s="2"/>
      <c r="W698" s="2"/>
    </row>
    <row r="699">
      <c r="A699" s="2"/>
      <c r="B699" s="2"/>
      <c r="C699" s="2"/>
      <c r="D699" s="2"/>
      <c r="E699" s="2"/>
      <c r="F699" s="2"/>
      <c r="G699" s="2"/>
      <c r="H699" s="2"/>
      <c r="I699" s="2"/>
      <c r="J699" s="2"/>
      <c r="K699" s="2"/>
      <c r="L699" s="2"/>
      <c r="M699" s="2"/>
      <c r="N699" s="2"/>
      <c r="O699" s="2"/>
      <c r="P699" s="2"/>
      <c r="Q699" s="2"/>
      <c r="R699" s="2"/>
      <c r="S699" s="2"/>
      <c r="T699" s="2"/>
      <c r="U699" s="2"/>
      <c r="V699" s="2"/>
      <c r="W699" s="2"/>
    </row>
    <row r="700">
      <c r="A700" s="2"/>
      <c r="B700" s="2"/>
      <c r="C700" s="2"/>
      <c r="D700" s="2"/>
      <c r="E700" s="2"/>
      <c r="F700" s="2"/>
      <c r="G700" s="2"/>
      <c r="H700" s="2"/>
      <c r="I700" s="2"/>
      <c r="J700" s="2"/>
      <c r="K700" s="2"/>
      <c r="L700" s="2"/>
      <c r="M700" s="2"/>
      <c r="N700" s="2"/>
      <c r="O700" s="2"/>
      <c r="P700" s="2"/>
      <c r="Q700" s="2"/>
      <c r="R700" s="2"/>
      <c r="S700" s="2"/>
      <c r="T700" s="2"/>
      <c r="U700" s="2"/>
      <c r="V700" s="2"/>
      <c r="W700" s="2"/>
    </row>
    <row r="701">
      <c r="A701" s="2"/>
      <c r="B701" s="2"/>
      <c r="C701" s="2"/>
      <c r="D701" s="2"/>
      <c r="E701" s="2"/>
      <c r="F701" s="2"/>
      <c r="G701" s="2"/>
      <c r="H701" s="2"/>
      <c r="I701" s="2"/>
      <c r="J701" s="2"/>
      <c r="K701" s="2"/>
      <c r="L701" s="2"/>
      <c r="M701" s="2"/>
      <c r="N701" s="2"/>
      <c r="O701" s="2"/>
      <c r="P701" s="2"/>
      <c r="Q701" s="2"/>
      <c r="R701" s="2"/>
      <c r="S701" s="2"/>
      <c r="T701" s="2"/>
      <c r="U701" s="2"/>
      <c r="V701" s="2"/>
      <c r="W701" s="2"/>
    </row>
    <row r="702">
      <c r="A702" s="2"/>
      <c r="B702" s="2"/>
      <c r="C702" s="2"/>
      <c r="D702" s="2"/>
      <c r="E702" s="2"/>
      <c r="F702" s="2"/>
      <c r="G702" s="2"/>
      <c r="H702" s="2"/>
      <c r="I702" s="2"/>
      <c r="J702" s="2"/>
      <c r="K702" s="2"/>
      <c r="L702" s="2"/>
      <c r="M702" s="2"/>
      <c r="N702" s="2"/>
      <c r="O702" s="2"/>
      <c r="P702" s="2"/>
      <c r="Q702" s="2"/>
      <c r="R702" s="2"/>
      <c r="S702" s="2"/>
      <c r="T702" s="2"/>
      <c r="U702" s="2"/>
      <c r="V702" s="2"/>
      <c r="W702" s="2"/>
    </row>
    <row r="703">
      <c r="A703" s="2"/>
      <c r="B703" s="2"/>
      <c r="C703" s="2"/>
      <c r="D703" s="2"/>
      <c r="E703" s="2"/>
      <c r="F703" s="2"/>
      <c r="G703" s="2"/>
      <c r="H703" s="2"/>
      <c r="I703" s="2"/>
      <c r="J703" s="2"/>
      <c r="K703" s="2"/>
      <c r="L703" s="2"/>
      <c r="M703" s="2"/>
      <c r="N703" s="2"/>
      <c r="O703" s="2"/>
      <c r="P703" s="2"/>
      <c r="Q703" s="2"/>
      <c r="R703" s="2"/>
      <c r="S703" s="2"/>
      <c r="T703" s="2"/>
      <c r="U703" s="2"/>
      <c r="V703" s="2"/>
      <c r="W703" s="2"/>
    </row>
    <row r="704">
      <c r="A704" s="2"/>
      <c r="B704" s="2"/>
      <c r="C704" s="2"/>
      <c r="D704" s="2"/>
      <c r="E704" s="2"/>
      <c r="F704" s="2"/>
      <c r="G704" s="2"/>
      <c r="H704" s="2"/>
      <c r="I704" s="2"/>
      <c r="J704" s="2"/>
      <c r="K704" s="2"/>
      <c r="L704" s="2"/>
      <c r="M704" s="2"/>
      <c r="N704" s="2"/>
      <c r="O704" s="2"/>
      <c r="P704" s="2"/>
      <c r="Q704" s="2"/>
      <c r="R704" s="2"/>
      <c r="S704" s="2"/>
      <c r="T704" s="2"/>
      <c r="U704" s="2"/>
      <c r="V704" s="2"/>
      <c r="W704" s="2"/>
    </row>
    <row r="705">
      <c r="A705" s="2"/>
      <c r="B705" s="2"/>
      <c r="C705" s="2"/>
      <c r="D705" s="2"/>
      <c r="E705" s="2"/>
      <c r="F705" s="2"/>
      <c r="G705" s="2"/>
      <c r="H705" s="2"/>
      <c r="I705" s="2"/>
      <c r="J705" s="2"/>
      <c r="K705" s="2"/>
      <c r="L705" s="2"/>
      <c r="M705" s="2"/>
      <c r="N705" s="2"/>
      <c r="O705" s="2"/>
      <c r="P705" s="2"/>
      <c r="Q705" s="2"/>
      <c r="R705" s="2"/>
      <c r="S705" s="2"/>
      <c r="T705" s="2"/>
      <c r="U705" s="2"/>
      <c r="V705" s="2"/>
      <c r="W705" s="2"/>
    </row>
    <row r="706">
      <c r="A706" s="2"/>
      <c r="B706" s="2"/>
      <c r="C706" s="2"/>
      <c r="D706" s="2"/>
      <c r="E706" s="2"/>
      <c r="F706" s="2"/>
      <c r="G706" s="2"/>
      <c r="H706" s="2"/>
      <c r="I706" s="2"/>
      <c r="J706" s="2"/>
      <c r="K706" s="2"/>
      <c r="L706" s="2"/>
      <c r="M706" s="2"/>
      <c r="N706" s="2"/>
      <c r="O706" s="2"/>
      <c r="P706" s="2"/>
      <c r="Q706" s="2"/>
      <c r="R706" s="2"/>
      <c r="S706" s="2"/>
      <c r="T706" s="2"/>
      <c r="U706" s="2"/>
      <c r="V706" s="2"/>
      <c r="W706" s="2"/>
    </row>
    <row r="707">
      <c r="A707" s="2"/>
      <c r="B707" s="2"/>
      <c r="C707" s="2"/>
      <c r="D707" s="2"/>
      <c r="E707" s="2"/>
      <c r="F707" s="2"/>
      <c r="G707" s="2"/>
      <c r="H707" s="2"/>
      <c r="I707" s="2"/>
      <c r="J707" s="2"/>
      <c r="K707" s="2"/>
      <c r="L707" s="2"/>
      <c r="M707" s="2"/>
      <c r="N707" s="2"/>
      <c r="O707" s="2"/>
      <c r="P707" s="2"/>
      <c r="Q707" s="2"/>
      <c r="R707" s="2"/>
      <c r="S707" s="2"/>
      <c r="T707" s="2"/>
      <c r="U707" s="2"/>
      <c r="V707" s="2"/>
      <c r="W707" s="2"/>
    </row>
    <row r="708">
      <c r="A708" s="2"/>
      <c r="B708" s="2"/>
      <c r="C708" s="2"/>
      <c r="D708" s="2"/>
      <c r="E708" s="2"/>
      <c r="F708" s="2"/>
      <c r="G708" s="2"/>
      <c r="H708" s="2"/>
      <c r="I708" s="2"/>
      <c r="J708" s="2"/>
      <c r="K708" s="2"/>
      <c r="L708" s="2"/>
      <c r="M708" s="2"/>
      <c r="N708" s="2"/>
      <c r="O708" s="2"/>
      <c r="P708" s="2"/>
      <c r="Q708" s="2"/>
      <c r="R708" s="2"/>
      <c r="S708" s="2"/>
      <c r="T708" s="2"/>
      <c r="U708" s="2"/>
      <c r="V708" s="2"/>
      <c r="W708" s="2"/>
    </row>
    <row r="709">
      <c r="A709" s="2"/>
      <c r="B709" s="2"/>
      <c r="C709" s="2"/>
      <c r="D709" s="2"/>
      <c r="E709" s="2"/>
      <c r="F709" s="2"/>
      <c r="G709" s="2"/>
      <c r="H709" s="2"/>
      <c r="I709" s="2"/>
      <c r="J709" s="2"/>
      <c r="K709" s="2"/>
      <c r="L709" s="2"/>
      <c r="M709" s="2"/>
      <c r="N709" s="2"/>
      <c r="O709" s="2"/>
      <c r="P709" s="2"/>
      <c r="Q709" s="2"/>
      <c r="R709" s="2"/>
      <c r="S709" s="2"/>
      <c r="T709" s="2"/>
      <c r="U709" s="2"/>
      <c r="V709" s="2"/>
      <c r="W709" s="2"/>
    </row>
    <row r="710">
      <c r="A710" s="2"/>
      <c r="B710" s="2"/>
      <c r="C710" s="2"/>
      <c r="D710" s="2"/>
      <c r="E710" s="2"/>
      <c r="F710" s="2"/>
      <c r="G710" s="2"/>
      <c r="H710" s="2"/>
      <c r="I710" s="2"/>
      <c r="J710" s="2"/>
      <c r="K710" s="2"/>
      <c r="L710" s="2"/>
      <c r="M710" s="2"/>
      <c r="N710" s="2"/>
      <c r="O710" s="2"/>
      <c r="P710" s="2"/>
      <c r="Q710" s="2"/>
      <c r="R710" s="2"/>
      <c r="S710" s="2"/>
      <c r="T710" s="2"/>
      <c r="U710" s="2"/>
      <c r="V710" s="2"/>
      <c r="W710" s="2"/>
    </row>
    <row r="711">
      <c r="A711" s="2"/>
      <c r="B711" s="2"/>
      <c r="C711" s="2"/>
      <c r="D711" s="2"/>
      <c r="E711" s="2"/>
      <c r="F711" s="2"/>
      <c r="G711" s="2"/>
      <c r="H711" s="2"/>
      <c r="I711" s="2"/>
      <c r="J711" s="2"/>
      <c r="K711" s="2"/>
      <c r="L711" s="2"/>
      <c r="M711" s="2"/>
      <c r="N711" s="2"/>
      <c r="O711" s="2"/>
      <c r="P711" s="2"/>
      <c r="Q711" s="2"/>
      <c r="R711" s="2"/>
      <c r="S711" s="2"/>
      <c r="T711" s="2"/>
      <c r="U711" s="2"/>
      <c r="V711" s="2"/>
      <c r="W711" s="2"/>
    </row>
    <row r="712">
      <c r="A712" s="2"/>
      <c r="B712" s="2"/>
      <c r="C712" s="2"/>
      <c r="D712" s="2"/>
      <c r="E712" s="2"/>
      <c r="F712" s="2"/>
      <c r="G712" s="2"/>
      <c r="H712" s="2"/>
      <c r="I712" s="2"/>
      <c r="J712" s="2"/>
      <c r="K712" s="2"/>
      <c r="L712" s="2"/>
      <c r="M712" s="2"/>
      <c r="N712" s="2"/>
      <c r="O712" s="2"/>
      <c r="P712" s="2"/>
      <c r="Q712" s="2"/>
      <c r="R712" s="2"/>
      <c r="S712" s="2"/>
      <c r="T712" s="2"/>
      <c r="U712" s="2"/>
      <c r="V712" s="2"/>
      <c r="W712" s="2"/>
    </row>
    <row r="713">
      <c r="A713" s="2"/>
      <c r="B713" s="2"/>
      <c r="C713" s="2"/>
      <c r="D713" s="2"/>
      <c r="E713" s="2"/>
      <c r="F713" s="2"/>
      <c r="G713" s="2"/>
      <c r="H713" s="2"/>
      <c r="I713" s="2"/>
      <c r="J713" s="2"/>
      <c r="K713" s="2"/>
      <c r="L713" s="2"/>
      <c r="M713" s="2"/>
      <c r="N713" s="2"/>
      <c r="O713" s="2"/>
      <c r="P713" s="2"/>
      <c r="Q713" s="2"/>
      <c r="R713" s="2"/>
      <c r="S713" s="2"/>
      <c r="T713" s="2"/>
      <c r="U713" s="2"/>
      <c r="V713" s="2"/>
      <c r="W713" s="2"/>
    </row>
    <row r="714">
      <c r="A714" s="2"/>
      <c r="B714" s="2"/>
      <c r="C714" s="2"/>
      <c r="D714" s="2"/>
      <c r="E714" s="2"/>
      <c r="F714" s="2"/>
      <c r="G714" s="2"/>
      <c r="H714" s="2"/>
      <c r="I714" s="2"/>
      <c r="J714" s="2"/>
      <c r="K714" s="2"/>
      <c r="L714" s="2"/>
      <c r="M714" s="2"/>
      <c r="N714" s="2"/>
      <c r="O714" s="2"/>
      <c r="P714" s="2"/>
      <c r="Q714" s="2"/>
      <c r="R714" s="2"/>
      <c r="S714" s="2"/>
      <c r="T714" s="2"/>
      <c r="U714" s="2"/>
      <c r="V714" s="2"/>
      <c r="W714" s="2"/>
    </row>
    <row r="715">
      <c r="A715" s="2"/>
      <c r="B715" s="2"/>
      <c r="C715" s="2"/>
      <c r="D715" s="2"/>
      <c r="E715" s="2"/>
      <c r="F715" s="2"/>
      <c r="G715" s="2"/>
      <c r="H715" s="2"/>
      <c r="I715" s="2"/>
      <c r="J715" s="2"/>
      <c r="K715" s="2"/>
      <c r="L715" s="2"/>
      <c r="M715" s="2"/>
      <c r="N715" s="2"/>
      <c r="O715" s="2"/>
      <c r="P715" s="2"/>
      <c r="Q715" s="2"/>
      <c r="R715" s="2"/>
      <c r="S715" s="2"/>
      <c r="T715" s="2"/>
      <c r="U715" s="2"/>
      <c r="V715" s="2"/>
      <c r="W715" s="2"/>
    </row>
    <row r="716">
      <c r="A716" s="2"/>
      <c r="B716" s="2"/>
      <c r="C716" s="2"/>
      <c r="D716" s="2"/>
      <c r="E716" s="2"/>
      <c r="F716" s="2"/>
      <c r="G716" s="2"/>
      <c r="H716" s="2"/>
      <c r="I716" s="2"/>
      <c r="J716" s="2"/>
      <c r="K716" s="2"/>
      <c r="L716" s="2"/>
      <c r="M716" s="2"/>
      <c r="N716" s="2"/>
      <c r="O716" s="2"/>
      <c r="P716" s="2"/>
      <c r="Q716" s="2"/>
      <c r="R716" s="2"/>
      <c r="S716" s="2"/>
      <c r="T716" s="2"/>
      <c r="U716" s="2"/>
      <c r="V716" s="2"/>
      <c r="W716" s="2"/>
    </row>
    <row r="717">
      <c r="A717" s="2"/>
      <c r="B717" s="2"/>
      <c r="C717" s="2"/>
      <c r="D717" s="2"/>
      <c r="E717" s="2"/>
      <c r="F717" s="2"/>
      <c r="G717" s="2"/>
      <c r="H717" s="2"/>
      <c r="I717" s="2"/>
      <c r="J717" s="2"/>
      <c r="K717" s="2"/>
      <c r="L717" s="2"/>
      <c r="M717" s="2"/>
      <c r="N717" s="2"/>
      <c r="O717" s="2"/>
      <c r="P717" s="2"/>
      <c r="Q717" s="2"/>
      <c r="R717" s="2"/>
      <c r="S717" s="2"/>
      <c r="T717" s="2"/>
      <c r="U717" s="2"/>
      <c r="V717" s="2"/>
      <c r="W717" s="2"/>
    </row>
    <row r="718">
      <c r="A718" s="2"/>
      <c r="B718" s="2"/>
      <c r="C718" s="2"/>
      <c r="D718" s="2"/>
      <c r="E718" s="2"/>
      <c r="F718" s="2"/>
      <c r="G718" s="2"/>
      <c r="H718" s="2"/>
      <c r="I718" s="2"/>
      <c r="J718" s="2"/>
      <c r="K718" s="2"/>
      <c r="L718" s="2"/>
      <c r="M718" s="2"/>
      <c r="N718" s="2"/>
      <c r="O718" s="2"/>
      <c r="P718" s="2"/>
      <c r="Q718" s="2"/>
      <c r="R718" s="2"/>
      <c r="S718" s="2"/>
      <c r="T718" s="2"/>
      <c r="U718" s="2"/>
      <c r="V718" s="2"/>
      <c r="W718" s="2"/>
    </row>
    <row r="719">
      <c r="A719" s="2"/>
      <c r="B719" s="2"/>
      <c r="C719" s="2"/>
      <c r="D719" s="2"/>
      <c r="E719" s="2"/>
      <c r="F719" s="2"/>
      <c r="G719" s="2"/>
      <c r="H719" s="2"/>
      <c r="I719" s="2"/>
      <c r="J719" s="2"/>
      <c r="K719" s="2"/>
      <c r="L719" s="2"/>
      <c r="M719" s="2"/>
      <c r="N719" s="2"/>
      <c r="O719" s="2"/>
      <c r="P719" s="2"/>
      <c r="Q719" s="2"/>
      <c r="R719" s="2"/>
      <c r="S719" s="2"/>
      <c r="T719" s="2"/>
      <c r="U719" s="2"/>
      <c r="V719" s="2"/>
      <c r="W719" s="2"/>
    </row>
    <row r="720">
      <c r="A720" s="2"/>
      <c r="B720" s="2"/>
      <c r="C720" s="2"/>
      <c r="D720" s="2"/>
      <c r="E720" s="2"/>
      <c r="F720" s="2"/>
      <c r="G720" s="2"/>
      <c r="H720" s="2"/>
      <c r="I720" s="2"/>
      <c r="J720" s="2"/>
      <c r="K720" s="2"/>
      <c r="L720" s="2"/>
      <c r="M720" s="2"/>
      <c r="N720" s="2"/>
      <c r="O720" s="2"/>
      <c r="P720" s="2"/>
      <c r="Q720" s="2"/>
      <c r="R720" s="2"/>
      <c r="S720" s="2"/>
      <c r="T720" s="2"/>
      <c r="U720" s="2"/>
      <c r="V720" s="2"/>
      <c r="W720" s="2"/>
    </row>
    <row r="721">
      <c r="A721" s="2"/>
      <c r="B721" s="2"/>
      <c r="C721" s="2"/>
      <c r="D721" s="2"/>
      <c r="E721" s="2"/>
      <c r="F721" s="2"/>
      <c r="G721" s="2"/>
      <c r="H721" s="2"/>
      <c r="I721" s="2"/>
      <c r="J721" s="2"/>
      <c r="K721" s="2"/>
      <c r="L721" s="2"/>
      <c r="M721" s="2"/>
      <c r="N721" s="2"/>
      <c r="O721" s="2"/>
      <c r="P721" s="2"/>
      <c r="Q721" s="2"/>
      <c r="R721" s="2"/>
      <c r="S721" s="2"/>
      <c r="T721" s="2"/>
      <c r="U721" s="2"/>
      <c r="V721" s="2"/>
      <c r="W721" s="2"/>
    </row>
    <row r="722">
      <c r="A722" s="2"/>
      <c r="B722" s="2"/>
      <c r="C722" s="2"/>
      <c r="D722" s="2"/>
      <c r="E722" s="2"/>
      <c r="F722" s="2"/>
      <c r="G722" s="2"/>
      <c r="H722" s="2"/>
      <c r="I722" s="2"/>
      <c r="J722" s="2"/>
      <c r="K722" s="2"/>
      <c r="L722" s="2"/>
      <c r="M722" s="2"/>
      <c r="N722" s="2"/>
      <c r="O722" s="2"/>
      <c r="P722" s="2"/>
      <c r="Q722" s="2"/>
      <c r="R722" s="2"/>
      <c r="S722" s="2"/>
      <c r="T722" s="2"/>
      <c r="U722" s="2"/>
      <c r="V722" s="2"/>
      <c r="W722" s="2"/>
    </row>
    <row r="723">
      <c r="A723" s="2"/>
      <c r="B723" s="2"/>
      <c r="C723" s="2"/>
      <c r="D723" s="2"/>
      <c r="E723" s="2"/>
      <c r="F723" s="2"/>
      <c r="G723" s="2"/>
      <c r="H723" s="2"/>
      <c r="I723" s="2"/>
      <c r="J723" s="2"/>
      <c r="K723" s="2"/>
      <c r="L723" s="2"/>
      <c r="M723" s="2"/>
      <c r="N723" s="2"/>
      <c r="O723" s="2"/>
      <c r="P723" s="2"/>
      <c r="Q723" s="2"/>
      <c r="R723" s="2"/>
      <c r="S723" s="2"/>
      <c r="T723" s="2"/>
      <c r="U723" s="2"/>
      <c r="V723" s="2"/>
      <c r="W723" s="2"/>
    </row>
    <row r="724">
      <c r="A724" s="2"/>
      <c r="B724" s="2"/>
      <c r="C724" s="2"/>
      <c r="D724" s="2"/>
      <c r="E724" s="2"/>
      <c r="F724" s="2"/>
      <c r="G724" s="2"/>
      <c r="H724" s="2"/>
      <c r="I724" s="2"/>
      <c r="J724" s="2"/>
      <c r="K724" s="2"/>
      <c r="L724" s="2"/>
      <c r="M724" s="2"/>
      <c r="N724" s="2"/>
      <c r="O724" s="2"/>
      <c r="P724" s="2"/>
      <c r="Q724" s="2"/>
      <c r="R724" s="2"/>
      <c r="S724" s="2"/>
      <c r="T724" s="2"/>
      <c r="U724" s="2"/>
      <c r="V724" s="2"/>
      <c r="W724" s="2"/>
    </row>
    <row r="725">
      <c r="A725" s="2"/>
      <c r="B725" s="2"/>
      <c r="C725" s="2"/>
      <c r="D725" s="2"/>
      <c r="E725" s="2"/>
      <c r="F725" s="2"/>
      <c r="G725" s="2"/>
      <c r="H725" s="2"/>
      <c r="I725" s="2"/>
      <c r="J725" s="2"/>
      <c r="K725" s="2"/>
      <c r="L725" s="2"/>
      <c r="M725" s="2"/>
      <c r="N725" s="2"/>
      <c r="O725" s="2"/>
      <c r="P725" s="2"/>
      <c r="Q725" s="2"/>
      <c r="R725" s="2"/>
      <c r="S725" s="2"/>
      <c r="T725" s="2"/>
      <c r="U725" s="2"/>
      <c r="V725" s="2"/>
      <c r="W725" s="2"/>
    </row>
    <row r="726">
      <c r="A726" s="2"/>
      <c r="B726" s="2"/>
      <c r="C726" s="2"/>
      <c r="D726" s="2"/>
      <c r="E726" s="2"/>
      <c r="F726" s="2"/>
      <c r="G726" s="2"/>
      <c r="H726" s="2"/>
      <c r="I726" s="2"/>
      <c r="J726" s="2"/>
      <c r="K726" s="2"/>
      <c r="L726" s="2"/>
      <c r="M726" s="2"/>
      <c r="N726" s="2"/>
      <c r="O726" s="2"/>
      <c r="P726" s="2"/>
      <c r="Q726" s="2"/>
      <c r="R726" s="2"/>
      <c r="S726" s="2"/>
      <c r="T726" s="2"/>
      <c r="U726" s="2"/>
      <c r="V726" s="2"/>
      <c r="W726" s="2"/>
    </row>
    <row r="727">
      <c r="A727" s="2"/>
      <c r="B727" s="2"/>
      <c r="C727" s="2"/>
      <c r="D727" s="2"/>
      <c r="E727" s="2"/>
      <c r="F727" s="2"/>
      <c r="G727" s="2"/>
      <c r="H727" s="2"/>
      <c r="I727" s="2"/>
      <c r="J727" s="2"/>
      <c r="K727" s="2"/>
      <c r="L727" s="2"/>
      <c r="M727" s="2"/>
      <c r="N727" s="2"/>
      <c r="O727" s="2"/>
      <c r="P727" s="2"/>
      <c r="Q727" s="2"/>
      <c r="R727" s="2"/>
      <c r="S727" s="2"/>
      <c r="T727" s="2"/>
      <c r="U727" s="2"/>
      <c r="V727" s="2"/>
      <c r="W727" s="2"/>
    </row>
    <row r="728">
      <c r="A728" s="2"/>
      <c r="B728" s="2"/>
      <c r="C728" s="2"/>
      <c r="D728" s="2"/>
      <c r="E728" s="2"/>
      <c r="F728" s="2"/>
      <c r="G728" s="2"/>
      <c r="H728" s="2"/>
      <c r="I728" s="2"/>
      <c r="J728" s="2"/>
      <c r="K728" s="2"/>
      <c r="L728" s="2"/>
      <c r="M728" s="2"/>
      <c r="N728" s="2"/>
      <c r="O728" s="2"/>
      <c r="P728" s="2"/>
      <c r="Q728" s="2"/>
      <c r="R728" s="2"/>
      <c r="S728" s="2"/>
      <c r="T728" s="2"/>
      <c r="U728" s="2"/>
      <c r="V728" s="2"/>
      <c r="W728" s="2"/>
    </row>
    <row r="729">
      <c r="A729" s="2"/>
      <c r="B729" s="2"/>
      <c r="C729" s="2"/>
      <c r="D729" s="2"/>
      <c r="E729" s="2"/>
      <c r="F729" s="2"/>
      <c r="G729" s="2"/>
      <c r="H729" s="2"/>
      <c r="I729" s="2"/>
      <c r="J729" s="2"/>
      <c r="K729" s="2"/>
      <c r="L729" s="2"/>
      <c r="M729" s="2"/>
      <c r="N729" s="2"/>
      <c r="O729" s="2"/>
      <c r="P729" s="2"/>
      <c r="Q729" s="2"/>
      <c r="R729" s="2"/>
      <c r="S729" s="2"/>
      <c r="T729" s="2"/>
      <c r="U729" s="2"/>
      <c r="V729" s="2"/>
      <c r="W729" s="2"/>
    </row>
    <row r="730">
      <c r="A730" s="2"/>
      <c r="B730" s="2"/>
      <c r="C730" s="2"/>
      <c r="D730" s="2"/>
      <c r="E730" s="2"/>
      <c r="F730" s="2"/>
      <c r="G730" s="2"/>
      <c r="H730" s="2"/>
      <c r="I730" s="2"/>
      <c r="J730" s="2"/>
      <c r="K730" s="2"/>
      <c r="L730" s="2"/>
      <c r="M730" s="2"/>
      <c r="N730" s="2"/>
      <c r="O730" s="2"/>
      <c r="P730" s="2"/>
      <c r="Q730" s="2"/>
      <c r="R730" s="2"/>
      <c r="S730" s="2"/>
      <c r="T730" s="2"/>
      <c r="U730" s="2"/>
      <c r="V730" s="2"/>
      <c r="W730" s="2"/>
    </row>
    <row r="731">
      <c r="A731" s="2"/>
      <c r="B731" s="2"/>
      <c r="C731" s="2"/>
      <c r="D731" s="2"/>
      <c r="E731" s="2"/>
      <c r="F731" s="2"/>
      <c r="G731" s="2"/>
      <c r="H731" s="2"/>
      <c r="I731" s="2"/>
      <c r="J731" s="2"/>
      <c r="K731" s="2"/>
      <c r="L731" s="2"/>
      <c r="M731" s="2"/>
      <c r="N731" s="2"/>
      <c r="O731" s="2"/>
      <c r="P731" s="2"/>
      <c r="Q731" s="2"/>
      <c r="R731" s="2"/>
      <c r="S731" s="2"/>
      <c r="T731" s="2"/>
      <c r="U731" s="2"/>
      <c r="V731" s="2"/>
      <c r="W731" s="2"/>
    </row>
    <row r="732">
      <c r="A732" s="2"/>
      <c r="B732" s="2"/>
      <c r="C732" s="2"/>
      <c r="D732" s="2"/>
      <c r="E732" s="2"/>
      <c r="F732" s="2"/>
      <c r="G732" s="2"/>
      <c r="H732" s="2"/>
      <c r="I732" s="2"/>
      <c r="J732" s="2"/>
      <c r="K732" s="2"/>
      <c r="L732" s="2"/>
      <c r="M732" s="2"/>
      <c r="N732" s="2"/>
      <c r="O732" s="2"/>
      <c r="P732" s="2"/>
      <c r="Q732" s="2"/>
      <c r="R732" s="2"/>
      <c r="S732" s="2"/>
      <c r="T732" s="2"/>
      <c r="U732" s="2"/>
      <c r="V732" s="2"/>
      <c r="W732" s="2"/>
    </row>
    <row r="733">
      <c r="A733" s="2"/>
      <c r="B733" s="2"/>
      <c r="C733" s="2"/>
      <c r="D733" s="2"/>
      <c r="E733" s="2"/>
      <c r="F733" s="2"/>
      <c r="G733" s="2"/>
      <c r="H733" s="2"/>
      <c r="I733" s="2"/>
      <c r="J733" s="2"/>
      <c r="K733" s="2"/>
      <c r="L733" s="2"/>
      <c r="M733" s="2"/>
      <c r="N733" s="2"/>
      <c r="O733" s="2"/>
      <c r="P733" s="2"/>
      <c r="Q733" s="2"/>
      <c r="R733" s="2"/>
      <c r="S733" s="2"/>
      <c r="T733" s="2"/>
      <c r="U733" s="2"/>
      <c r="V733" s="2"/>
      <c r="W733" s="2"/>
    </row>
    <row r="734">
      <c r="A734" s="2"/>
      <c r="B734" s="2"/>
      <c r="C734" s="2"/>
      <c r="D734" s="2"/>
      <c r="E734" s="2"/>
      <c r="F734" s="2"/>
      <c r="G734" s="2"/>
      <c r="H734" s="2"/>
      <c r="I734" s="2"/>
      <c r="J734" s="2"/>
      <c r="K734" s="2"/>
      <c r="L734" s="2"/>
      <c r="M734" s="2"/>
      <c r="N734" s="2"/>
      <c r="O734" s="2"/>
      <c r="P734" s="2"/>
      <c r="Q734" s="2"/>
      <c r="R734" s="2"/>
      <c r="S734" s="2"/>
      <c r="T734" s="2"/>
      <c r="U734" s="2"/>
      <c r="V734" s="2"/>
      <c r="W734" s="2"/>
    </row>
    <row r="735">
      <c r="A735" s="2"/>
      <c r="B735" s="2"/>
      <c r="C735" s="2"/>
      <c r="D735" s="2"/>
      <c r="E735" s="2"/>
      <c r="F735" s="2"/>
      <c r="G735" s="2"/>
      <c r="H735" s="2"/>
      <c r="I735" s="2"/>
      <c r="J735" s="2"/>
      <c r="K735" s="2"/>
      <c r="L735" s="2"/>
      <c r="M735" s="2"/>
      <c r="N735" s="2"/>
      <c r="O735" s="2"/>
      <c r="P735" s="2"/>
      <c r="Q735" s="2"/>
      <c r="R735" s="2"/>
      <c r="S735" s="2"/>
      <c r="T735" s="2"/>
      <c r="U735" s="2"/>
      <c r="V735" s="2"/>
      <c r="W735" s="2"/>
    </row>
    <row r="736">
      <c r="A736" s="2"/>
      <c r="B736" s="2"/>
      <c r="C736" s="2"/>
      <c r="D736" s="2"/>
      <c r="E736" s="2"/>
      <c r="F736" s="2"/>
      <c r="G736" s="2"/>
      <c r="H736" s="2"/>
      <c r="I736" s="2"/>
      <c r="J736" s="2"/>
      <c r="K736" s="2"/>
      <c r="L736" s="2"/>
      <c r="M736" s="2"/>
      <c r="N736" s="2"/>
      <c r="O736" s="2"/>
      <c r="P736" s="2"/>
      <c r="Q736" s="2"/>
      <c r="R736" s="2"/>
      <c r="S736" s="2"/>
      <c r="T736" s="2"/>
      <c r="U736" s="2"/>
      <c r="V736" s="2"/>
      <c r="W736" s="2"/>
    </row>
    <row r="737">
      <c r="A737" s="2"/>
      <c r="B737" s="2"/>
      <c r="C737" s="2"/>
      <c r="D737" s="2"/>
      <c r="E737" s="2"/>
      <c r="F737" s="2"/>
      <c r="G737" s="2"/>
      <c r="H737" s="2"/>
      <c r="I737" s="2"/>
      <c r="J737" s="2"/>
      <c r="K737" s="2"/>
      <c r="L737" s="2"/>
      <c r="M737" s="2"/>
      <c r="N737" s="2"/>
      <c r="O737" s="2"/>
      <c r="P737" s="2"/>
      <c r="Q737" s="2"/>
      <c r="R737" s="2"/>
      <c r="S737" s="2"/>
      <c r="T737" s="2"/>
      <c r="U737" s="2"/>
      <c r="V737" s="2"/>
      <c r="W737" s="2"/>
    </row>
    <row r="738">
      <c r="A738" s="2"/>
      <c r="B738" s="2"/>
      <c r="C738" s="2"/>
      <c r="D738" s="2"/>
      <c r="E738" s="2"/>
      <c r="F738" s="2"/>
      <c r="G738" s="2"/>
      <c r="H738" s="2"/>
      <c r="I738" s="2"/>
      <c r="J738" s="2"/>
      <c r="K738" s="2"/>
      <c r="L738" s="2"/>
      <c r="M738" s="2"/>
      <c r="N738" s="2"/>
      <c r="O738" s="2"/>
      <c r="P738" s="2"/>
      <c r="Q738" s="2"/>
      <c r="R738" s="2"/>
      <c r="S738" s="2"/>
      <c r="T738" s="2"/>
      <c r="U738" s="2"/>
      <c r="V738" s="2"/>
      <c r="W738" s="2"/>
    </row>
    <row r="739">
      <c r="A739" s="2"/>
      <c r="B739" s="2"/>
      <c r="C739" s="2"/>
      <c r="D739" s="2"/>
      <c r="E739" s="2"/>
      <c r="F739" s="2"/>
      <c r="G739" s="2"/>
      <c r="H739" s="2"/>
      <c r="I739" s="2"/>
      <c r="J739" s="2"/>
      <c r="K739" s="2"/>
      <c r="L739" s="2"/>
      <c r="M739" s="2"/>
      <c r="N739" s="2"/>
      <c r="O739" s="2"/>
      <c r="P739" s="2"/>
      <c r="Q739" s="2"/>
      <c r="R739" s="2"/>
      <c r="S739" s="2"/>
      <c r="T739" s="2"/>
      <c r="U739" s="2"/>
      <c r="V739" s="2"/>
      <c r="W739" s="2"/>
    </row>
    <row r="740">
      <c r="A740" s="2"/>
      <c r="B740" s="2"/>
      <c r="C740" s="2"/>
      <c r="D740" s="2"/>
      <c r="E740" s="2"/>
      <c r="F740" s="2"/>
      <c r="G740" s="2"/>
      <c r="H740" s="2"/>
      <c r="I740" s="2"/>
      <c r="J740" s="2"/>
      <c r="K740" s="2"/>
      <c r="L740" s="2"/>
      <c r="M740" s="2"/>
      <c r="N740" s="2"/>
      <c r="O740" s="2"/>
      <c r="P740" s="2"/>
      <c r="Q740" s="2"/>
      <c r="R740" s="2"/>
      <c r="S740" s="2"/>
      <c r="T740" s="2"/>
      <c r="U740" s="2"/>
      <c r="V740" s="2"/>
      <c r="W740" s="2"/>
    </row>
    <row r="741">
      <c r="A741" s="2"/>
      <c r="B741" s="2"/>
      <c r="C741" s="2"/>
      <c r="D741" s="2"/>
      <c r="E741" s="2"/>
      <c r="F741" s="2"/>
      <c r="G741" s="2"/>
      <c r="H741" s="2"/>
      <c r="I741" s="2"/>
      <c r="J741" s="2"/>
      <c r="K741" s="2"/>
      <c r="L741" s="2"/>
      <c r="M741" s="2"/>
      <c r="N741" s="2"/>
      <c r="O741" s="2"/>
      <c r="P741" s="2"/>
      <c r="Q741" s="2"/>
      <c r="R741" s="2"/>
      <c r="S741" s="2"/>
      <c r="T741" s="2"/>
      <c r="U741" s="2"/>
      <c r="V741" s="2"/>
      <c r="W741" s="2"/>
    </row>
    <row r="742">
      <c r="A742" s="2"/>
      <c r="B742" s="2"/>
      <c r="C742" s="2"/>
      <c r="D742" s="2"/>
      <c r="E742" s="2"/>
      <c r="F742" s="2"/>
      <c r="G742" s="2"/>
      <c r="H742" s="2"/>
      <c r="I742" s="2"/>
      <c r="J742" s="2"/>
      <c r="K742" s="2"/>
      <c r="L742" s="2"/>
      <c r="M742" s="2"/>
      <c r="N742" s="2"/>
      <c r="O742" s="2"/>
      <c r="P742" s="2"/>
      <c r="Q742" s="2"/>
      <c r="R742" s="2"/>
      <c r="S742" s="2"/>
      <c r="T742" s="2"/>
      <c r="U742" s="2"/>
      <c r="V742" s="2"/>
      <c r="W742" s="2"/>
    </row>
    <row r="743">
      <c r="A743" s="2"/>
      <c r="B743" s="2"/>
      <c r="C743" s="2"/>
      <c r="D743" s="2"/>
      <c r="E743" s="2"/>
      <c r="F743" s="2"/>
      <c r="G743" s="2"/>
      <c r="H743" s="2"/>
      <c r="I743" s="2"/>
      <c r="J743" s="2"/>
      <c r="K743" s="2"/>
      <c r="L743" s="2"/>
      <c r="M743" s="2"/>
      <c r="N743" s="2"/>
      <c r="O743" s="2"/>
      <c r="P743" s="2"/>
      <c r="Q743" s="2"/>
      <c r="R743" s="2"/>
      <c r="S743" s="2"/>
      <c r="T743" s="2"/>
      <c r="U743" s="2"/>
      <c r="V743" s="2"/>
      <c r="W743" s="2"/>
    </row>
    <row r="744">
      <c r="A744" s="2"/>
      <c r="B744" s="2"/>
      <c r="C744" s="2"/>
      <c r="D744" s="2"/>
      <c r="E744" s="2"/>
      <c r="F744" s="2"/>
      <c r="G744" s="2"/>
      <c r="H744" s="2"/>
      <c r="I744" s="2"/>
      <c r="J744" s="2"/>
      <c r="K744" s="2"/>
      <c r="L744" s="2"/>
      <c r="M744" s="2"/>
      <c r="N744" s="2"/>
      <c r="O744" s="2"/>
      <c r="P744" s="2"/>
      <c r="Q744" s="2"/>
      <c r="R744" s="2"/>
      <c r="S744" s="2"/>
      <c r="T744" s="2"/>
      <c r="U744" s="2"/>
      <c r="V744" s="2"/>
      <c r="W744" s="2"/>
    </row>
    <row r="745">
      <c r="A745" s="2"/>
      <c r="B745" s="2"/>
      <c r="C745" s="2"/>
      <c r="D745" s="2"/>
      <c r="E745" s="2"/>
      <c r="F745" s="2"/>
      <c r="G745" s="2"/>
      <c r="H745" s="2"/>
      <c r="I745" s="2"/>
      <c r="J745" s="2"/>
      <c r="K745" s="2"/>
      <c r="L745" s="2"/>
      <c r="M745" s="2"/>
      <c r="N745" s="2"/>
      <c r="O745" s="2"/>
      <c r="P745" s="2"/>
      <c r="Q745" s="2"/>
      <c r="R745" s="2"/>
      <c r="S745" s="2"/>
      <c r="T745" s="2"/>
      <c r="U745" s="2"/>
      <c r="V745" s="2"/>
      <c r="W745" s="2"/>
    </row>
    <row r="746">
      <c r="A746" s="2"/>
      <c r="B746" s="2"/>
      <c r="C746" s="2"/>
      <c r="D746" s="2"/>
      <c r="E746" s="2"/>
      <c r="F746" s="2"/>
      <c r="G746" s="2"/>
      <c r="H746" s="2"/>
      <c r="I746" s="2"/>
      <c r="J746" s="2"/>
      <c r="K746" s="2"/>
      <c r="L746" s="2"/>
      <c r="M746" s="2"/>
      <c r="N746" s="2"/>
      <c r="O746" s="2"/>
      <c r="P746" s="2"/>
      <c r="Q746" s="2"/>
      <c r="R746" s="2"/>
      <c r="S746" s="2"/>
      <c r="T746" s="2"/>
      <c r="U746" s="2"/>
      <c r="V746" s="2"/>
      <c r="W746" s="2"/>
    </row>
    <row r="747">
      <c r="A747" s="2"/>
      <c r="B747" s="2"/>
      <c r="C747" s="2"/>
      <c r="D747" s="2"/>
      <c r="E747" s="2"/>
      <c r="F747" s="2"/>
      <c r="G747" s="2"/>
      <c r="H747" s="2"/>
      <c r="I747" s="2"/>
      <c r="J747" s="2"/>
      <c r="K747" s="2"/>
      <c r="L747" s="2"/>
      <c r="M747" s="2"/>
      <c r="N747" s="2"/>
      <c r="O747" s="2"/>
      <c r="P747" s="2"/>
      <c r="Q747" s="2"/>
      <c r="R747" s="2"/>
      <c r="S747" s="2"/>
      <c r="T747" s="2"/>
      <c r="U747" s="2"/>
      <c r="V747" s="2"/>
      <c r="W747" s="2"/>
    </row>
    <row r="748">
      <c r="A748" s="2"/>
      <c r="B748" s="2"/>
      <c r="C748" s="2"/>
      <c r="D748" s="2"/>
      <c r="E748" s="2"/>
      <c r="F748" s="2"/>
      <c r="G748" s="2"/>
      <c r="H748" s="2"/>
      <c r="I748" s="2"/>
      <c r="J748" s="2"/>
      <c r="K748" s="2"/>
      <c r="L748" s="2"/>
      <c r="M748" s="2"/>
      <c r="N748" s="2"/>
      <c r="O748" s="2"/>
      <c r="P748" s="2"/>
      <c r="Q748" s="2"/>
      <c r="R748" s="2"/>
      <c r="S748" s="2"/>
      <c r="T748" s="2"/>
      <c r="U748" s="2"/>
      <c r="V748" s="2"/>
      <c r="W748" s="2"/>
    </row>
    <row r="749">
      <c r="A749" s="2"/>
      <c r="B749" s="2"/>
      <c r="C749" s="2"/>
      <c r="D749" s="2"/>
      <c r="E749" s="2"/>
      <c r="F749" s="2"/>
      <c r="G749" s="2"/>
      <c r="H749" s="2"/>
      <c r="I749" s="2"/>
      <c r="J749" s="2"/>
      <c r="K749" s="2"/>
      <c r="L749" s="2"/>
      <c r="M749" s="2"/>
      <c r="N749" s="2"/>
      <c r="O749" s="2"/>
      <c r="P749" s="2"/>
      <c r="Q749" s="2"/>
      <c r="R749" s="2"/>
      <c r="S749" s="2"/>
      <c r="T749" s="2"/>
      <c r="U749" s="2"/>
      <c r="V749" s="2"/>
      <c r="W749" s="2"/>
    </row>
    <row r="750">
      <c r="A750" s="2"/>
      <c r="B750" s="2"/>
      <c r="C750" s="2"/>
      <c r="D750" s="2"/>
      <c r="E750" s="2"/>
      <c r="F750" s="2"/>
      <c r="G750" s="2"/>
      <c r="H750" s="2"/>
      <c r="I750" s="2"/>
      <c r="J750" s="2"/>
      <c r="K750" s="2"/>
      <c r="L750" s="2"/>
      <c r="M750" s="2"/>
      <c r="N750" s="2"/>
      <c r="O750" s="2"/>
      <c r="P750" s="2"/>
      <c r="Q750" s="2"/>
      <c r="R750" s="2"/>
      <c r="S750" s="2"/>
      <c r="T750" s="2"/>
      <c r="U750" s="2"/>
      <c r="V750" s="2"/>
      <c r="W750" s="2"/>
    </row>
    <row r="751">
      <c r="A751" s="2"/>
      <c r="B751" s="2"/>
      <c r="C751" s="2"/>
      <c r="D751" s="2"/>
      <c r="E751" s="2"/>
      <c r="F751" s="2"/>
      <c r="G751" s="2"/>
      <c r="H751" s="2"/>
      <c r="I751" s="2"/>
      <c r="J751" s="2"/>
      <c r="K751" s="2"/>
      <c r="L751" s="2"/>
      <c r="M751" s="2"/>
      <c r="N751" s="2"/>
      <c r="O751" s="2"/>
      <c r="P751" s="2"/>
      <c r="Q751" s="2"/>
      <c r="R751" s="2"/>
      <c r="S751" s="2"/>
      <c r="T751" s="2"/>
      <c r="U751" s="2"/>
      <c r="V751" s="2"/>
      <c r="W751" s="2"/>
    </row>
    <row r="752">
      <c r="A752" s="2"/>
      <c r="B752" s="2"/>
      <c r="C752" s="2"/>
      <c r="D752" s="2"/>
      <c r="E752" s="2"/>
      <c r="F752" s="2"/>
      <c r="G752" s="2"/>
      <c r="H752" s="2"/>
      <c r="I752" s="2"/>
      <c r="J752" s="2"/>
      <c r="K752" s="2"/>
      <c r="L752" s="2"/>
      <c r="M752" s="2"/>
      <c r="N752" s="2"/>
      <c r="O752" s="2"/>
      <c r="P752" s="2"/>
      <c r="Q752" s="2"/>
      <c r="R752" s="2"/>
      <c r="S752" s="2"/>
      <c r="T752" s="2"/>
      <c r="U752" s="2"/>
      <c r="V752" s="2"/>
      <c r="W752" s="2"/>
    </row>
    <row r="753">
      <c r="A753" s="2"/>
      <c r="B753" s="2"/>
      <c r="C753" s="2"/>
      <c r="D753" s="2"/>
      <c r="E753" s="2"/>
      <c r="F753" s="2"/>
      <c r="G753" s="2"/>
      <c r="H753" s="2"/>
      <c r="I753" s="2"/>
      <c r="J753" s="2"/>
      <c r="K753" s="2"/>
      <c r="L753" s="2"/>
      <c r="M753" s="2"/>
      <c r="N753" s="2"/>
      <c r="O753" s="2"/>
      <c r="P753" s="2"/>
      <c r="Q753" s="2"/>
      <c r="R753" s="2"/>
      <c r="S753" s="2"/>
      <c r="T753" s="2"/>
      <c r="U753" s="2"/>
      <c r="V753" s="2"/>
      <c r="W753" s="2"/>
    </row>
    <row r="754">
      <c r="A754" s="2"/>
      <c r="B754" s="2"/>
      <c r="C754" s="2"/>
      <c r="D754" s="2"/>
      <c r="E754" s="2"/>
      <c r="F754" s="2"/>
      <c r="G754" s="2"/>
      <c r="H754" s="2"/>
      <c r="I754" s="2"/>
      <c r="J754" s="2"/>
      <c r="K754" s="2"/>
      <c r="L754" s="2"/>
      <c r="M754" s="2"/>
      <c r="N754" s="2"/>
      <c r="O754" s="2"/>
      <c r="P754" s="2"/>
      <c r="Q754" s="2"/>
      <c r="R754" s="2"/>
      <c r="S754" s="2"/>
      <c r="T754" s="2"/>
      <c r="U754" s="2"/>
      <c r="V754" s="2"/>
      <c r="W754" s="2"/>
    </row>
    <row r="755">
      <c r="A755" s="2"/>
      <c r="B755" s="2"/>
      <c r="C755" s="2"/>
      <c r="D755" s="2"/>
      <c r="E755" s="2"/>
      <c r="F755" s="2"/>
      <c r="G755" s="2"/>
      <c r="H755" s="2"/>
      <c r="I755" s="2"/>
      <c r="J755" s="2"/>
      <c r="K755" s="2"/>
      <c r="L755" s="2"/>
      <c r="M755" s="2"/>
      <c r="N755" s="2"/>
      <c r="O755" s="2"/>
      <c r="P755" s="2"/>
      <c r="Q755" s="2"/>
      <c r="R755" s="2"/>
      <c r="S755" s="2"/>
      <c r="T755" s="2"/>
      <c r="U755" s="2"/>
      <c r="V755" s="2"/>
      <c r="W755" s="2"/>
    </row>
    <row r="756">
      <c r="A756" s="2"/>
      <c r="B756" s="2"/>
      <c r="C756" s="2"/>
      <c r="D756" s="2"/>
      <c r="E756" s="2"/>
      <c r="F756" s="2"/>
      <c r="G756" s="2"/>
      <c r="H756" s="2"/>
      <c r="I756" s="2"/>
      <c r="J756" s="2"/>
      <c r="K756" s="2"/>
      <c r="L756" s="2"/>
      <c r="M756" s="2"/>
      <c r="N756" s="2"/>
      <c r="O756" s="2"/>
      <c r="P756" s="2"/>
      <c r="Q756" s="2"/>
      <c r="R756" s="2"/>
      <c r="S756" s="2"/>
      <c r="T756" s="2"/>
      <c r="U756" s="2"/>
      <c r="V756" s="2"/>
      <c r="W756" s="2"/>
    </row>
    <row r="757">
      <c r="A757" s="2"/>
      <c r="B757" s="2"/>
      <c r="C757" s="2"/>
      <c r="D757" s="2"/>
      <c r="E757" s="2"/>
      <c r="F757" s="2"/>
      <c r="G757" s="2"/>
      <c r="H757" s="2"/>
      <c r="I757" s="2"/>
      <c r="J757" s="2"/>
      <c r="K757" s="2"/>
      <c r="L757" s="2"/>
      <c r="M757" s="2"/>
      <c r="N757" s="2"/>
      <c r="O757" s="2"/>
      <c r="P757" s="2"/>
      <c r="Q757" s="2"/>
      <c r="R757" s="2"/>
      <c r="S757" s="2"/>
      <c r="T757" s="2"/>
      <c r="U757" s="2"/>
      <c r="V757" s="2"/>
      <c r="W757" s="2"/>
    </row>
    <row r="758">
      <c r="A758" s="2"/>
      <c r="B758" s="2"/>
      <c r="C758" s="2"/>
      <c r="D758" s="2"/>
      <c r="E758" s="2"/>
      <c r="F758" s="2"/>
      <c r="G758" s="2"/>
      <c r="H758" s="2"/>
      <c r="I758" s="2"/>
      <c r="J758" s="2"/>
      <c r="K758" s="2"/>
      <c r="L758" s="2"/>
      <c r="M758" s="2"/>
      <c r="N758" s="2"/>
      <c r="O758" s="2"/>
      <c r="P758" s="2"/>
      <c r="Q758" s="2"/>
      <c r="R758" s="2"/>
      <c r="S758" s="2"/>
      <c r="T758" s="2"/>
      <c r="U758" s="2"/>
      <c r="V758" s="2"/>
      <c r="W758" s="2"/>
    </row>
    <row r="759">
      <c r="A759" s="2"/>
      <c r="B759" s="2"/>
      <c r="C759" s="2"/>
      <c r="D759" s="2"/>
      <c r="E759" s="2"/>
      <c r="F759" s="2"/>
      <c r="G759" s="2"/>
      <c r="H759" s="2"/>
      <c r="I759" s="2"/>
      <c r="J759" s="2"/>
      <c r="K759" s="2"/>
      <c r="L759" s="2"/>
      <c r="M759" s="2"/>
      <c r="N759" s="2"/>
      <c r="O759" s="2"/>
      <c r="P759" s="2"/>
      <c r="Q759" s="2"/>
      <c r="R759" s="2"/>
      <c r="S759" s="2"/>
      <c r="T759" s="2"/>
      <c r="U759" s="2"/>
      <c r="V759" s="2"/>
      <c r="W759" s="2"/>
    </row>
    <row r="760">
      <c r="A760" s="2"/>
      <c r="B760" s="2"/>
      <c r="C760" s="2"/>
      <c r="D760" s="2"/>
      <c r="E760" s="2"/>
      <c r="F760" s="2"/>
      <c r="G760" s="2"/>
      <c r="H760" s="2"/>
      <c r="I760" s="2"/>
      <c r="J760" s="2"/>
      <c r="K760" s="2"/>
      <c r="L760" s="2"/>
      <c r="M760" s="2"/>
      <c r="N760" s="2"/>
      <c r="O760" s="2"/>
      <c r="P760" s="2"/>
      <c r="Q760" s="2"/>
      <c r="R760" s="2"/>
      <c r="S760" s="2"/>
      <c r="T760" s="2"/>
      <c r="U760" s="2"/>
      <c r="V760" s="2"/>
      <c r="W760" s="2"/>
    </row>
    <row r="761">
      <c r="A761" s="2"/>
      <c r="B761" s="2"/>
      <c r="C761" s="2"/>
      <c r="D761" s="2"/>
      <c r="E761" s="2"/>
      <c r="F761" s="2"/>
      <c r="G761" s="2"/>
      <c r="H761" s="2"/>
      <c r="I761" s="2"/>
      <c r="J761" s="2"/>
      <c r="K761" s="2"/>
      <c r="L761" s="2"/>
      <c r="M761" s="2"/>
      <c r="N761" s="2"/>
      <c r="O761" s="2"/>
      <c r="P761" s="2"/>
      <c r="Q761" s="2"/>
      <c r="R761" s="2"/>
      <c r="S761" s="2"/>
      <c r="T761" s="2"/>
      <c r="U761" s="2"/>
      <c r="V761" s="2"/>
      <c r="W761" s="2"/>
    </row>
    <row r="762">
      <c r="A762" s="2"/>
      <c r="B762" s="2"/>
      <c r="C762" s="2"/>
      <c r="D762" s="2"/>
      <c r="E762" s="2"/>
      <c r="F762" s="2"/>
      <c r="G762" s="2"/>
      <c r="H762" s="2"/>
      <c r="I762" s="2"/>
      <c r="J762" s="2"/>
      <c r="K762" s="2"/>
      <c r="L762" s="2"/>
      <c r="M762" s="2"/>
      <c r="N762" s="2"/>
      <c r="O762" s="2"/>
      <c r="P762" s="2"/>
      <c r="Q762" s="2"/>
      <c r="R762" s="2"/>
      <c r="S762" s="2"/>
      <c r="T762" s="2"/>
      <c r="U762" s="2"/>
      <c r="V762" s="2"/>
      <c r="W762" s="2"/>
    </row>
    <row r="763">
      <c r="A763" s="2"/>
      <c r="B763" s="2"/>
      <c r="C763" s="2"/>
      <c r="D763" s="2"/>
      <c r="E763" s="2"/>
      <c r="F763" s="2"/>
      <c r="G763" s="2"/>
      <c r="H763" s="2"/>
      <c r="I763" s="2"/>
      <c r="J763" s="2"/>
      <c r="K763" s="2"/>
      <c r="L763" s="2"/>
      <c r="M763" s="2"/>
      <c r="N763" s="2"/>
      <c r="O763" s="2"/>
      <c r="P763" s="2"/>
      <c r="Q763" s="2"/>
      <c r="R763" s="2"/>
      <c r="S763" s="2"/>
      <c r="T763" s="2"/>
      <c r="U763" s="2"/>
      <c r="V763" s="2"/>
      <c r="W763" s="2"/>
    </row>
    <row r="764">
      <c r="A764" s="2"/>
      <c r="B764" s="2"/>
      <c r="C764" s="2"/>
      <c r="D764" s="2"/>
      <c r="E764" s="2"/>
      <c r="F764" s="2"/>
      <c r="G764" s="2"/>
      <c r="H764" s="2"/>
      <c r="I764" s="2"/>
      <c r="J764" s="2"/>
      <c r="K764" s="2"/>
      <c r="L764" s="2"/>
      <c r="M764" s="2"/>
      <c r="N764" s="2"/>
      <c r="O764" s="2"/>
      <c r="P764" s="2"/>
      <c r="Q764" s="2"/>
      <c r="R764" s="2"/>
      <c r="S764" s="2"/>
      <c r="T764" s="2"/>
      <c r="U764" s="2"/>
      <c r="V764" s="2"/>
      <c r="W764" s="2"/>
    </row>
    <row r="765">
      <c r="A765" s="2"/>
      <c r="B765" s="2"/>
      <c r="C765" s="2"/>
      <c r="D765" s="2"/>
      <c r="E765" s="2"/>
      <c r="F765" s="2"/>
      <c r="G765" s="2"/>
      <c r="H765" s="2"/>
      <c r="I765" s="2"/>
      <c r="J765" s="2"/>
      <c r="K765" s="2"/>
      <c r="L765" s="2"/>
      <c r="M765" s="2"/>
      <c r="N765" s="2"/>
      <c r="O765" s="2"/>
      <c r="P765" s="2"/>
      <c r="Q765" s="2"/>
      <c r="R765" s="2"/>
      <c r="S765" s="2"/>
      <c r="T765" s="2"/>
      <c r="U765" s="2"/>
      <c r="V765" s="2"/>
      <c r="W765" s="2"/>
    </row>
    <row r="766">
      <c r="A766" s="2"/>
      <c r="B766" s="2"/>
      <c r="C766" s="2"/>
      <c r="D766" s="2"/>
      <c r="E766" s="2"/>
      <c r="F766" s="2"/>
      <c r="G766" s="2"/>
      <c r="H766" s="2"/>
      <c r="I766" s="2"/>
      <c r="J766" s="2"/>
      <c r="K766" s="2"/>
      <c r="L766" s="2"/>
      <c r="M766" s="2"/>
      <c r="N766" s="2"/>
      <c r="O766" s="2"/>
      <c r="P766" s="2"/>
      <c r="Q766" s="2"/>
      <c r="R766" s="2"/>
      <c r="S766" s="2"/>
      <c r="T766" s="2"/>
      <c r="U766" s="2"/>
      <c r="V766" s="2"/>
      <c r="W766" s="2"/>
    </row>
    <row r="767">
      <c r="A767" s="2"/>
      <c r="B767" s="2"/>
      <c r="C767" s="2"/>
      <c r="D767" s="2"/>
      <c r="E767" s="2"/>
      <c r="F767" s="2"/>
      <c r="G767" s="2"/>
      <c r="H767" s="2"/>
      <c r="I767" s="2"/>
      <c r="J767" s="2"/>
      <c r="K767" s="2"/>
      <c r="L767" s="2"/>
      <c r="M767" s="2"/>
      <c r="N767" s="2"/>
      <c r="O767" s="2"/>
      <c r="P767" s="2"/>
      <c r="Q767" s="2"/>
      <c r="R767" s="2"/>
      <c r="S767" s="2"/>
      <c r="T767" s="2"/>
      <c r="U767" s="2"/>
      <c r="V767" s="2"/>
      <c r="W767" s="2"/>
    </row>
    <row r="768">
      <c r="A768" s="2"/>
      <c r="B768" s="2"/>
      <c r="C768" s="2"/>
      <c r="D768" s="2"/>
      <c r="E768" s="2"/>
      <c r="F768" s="2"/>
      <c r="G768" s="2"/>
      <c r="H768" s="2"/>
      <c r="I768" s="2"/>
      <c r="J768" s="2"/>
      <c r="K768" s="2"/>
      <c r="L768" s="2"/>
      <c r="M768" s="2"/>
      <c r="N768" s="2"/>
      <c r="O768" s="2"/>
      <c r="P768" s="2"/>
      <c r="Q768" s="2"/>
      <c r="R768" s="2"/>
      <c r="S768" s="2"/>
      <c r="T768" s="2"/>
      <c r="U768" s="2"/>
      <c r="V768" s="2"/>
      <c r="W768" s="2"/>
    </row>
    <row r="769">
      <c r="A769" s="2"/>
      <c r="B769" s="2"/>
      <c r="C769" s="2"/>
      <c r="D769" s="2"/>
      <c r="E769" s="2"/>
      <c r="F769" s="2"/>
      <c r="G769" s="2"/>
      <c r="H769" s="2"/>
      <c r="I769" s="2"/>
      <c r="J769" s="2"/>
      <c r="K769" s="2"/>
      <c r="L769" s="2"/>
      <c r="M769" s="2"/>
      <c r="N769" s="2"/>
      <c r="O769" s="2"/>
      <c r="P769" s="2"/>
      <c r="Q769" s="2"/>
      <c r="R769" s="2"/>
      <c r="S769" s="2"/>
      <c r="T769" s="2"/>
      <c r="U769" s="2"/>
      <c r="V769" s="2"/>
      <c r="W769" s="2"/>
    </row>
    <row r="770">
      <c r="A770" s="2"/>
      <c r="B770" s="2"/>
      <c r="C770" s="2"/>
      <c r="D770" s="2"/>
      <c r="E770" s="2"/>
      <c r="F770" s="2"/>
      <c r="G770" s="2"/>
      <c r="H770" s="2"/>
      <c r="I770" s="2"/>
      <c r="J770" s="2"/>
      <c r="K770" s="2"/>
      <c r="L770" s="2"/>
      <c r="M770" s="2"/>
      <c r="N770" s="2"/>
      <c r="O770" s="2"/>
      <c r="P770" s="2"/>
      <c r="Q770" s="2"/>
      <c r="R770" s="2"/>
      <c r="S770" s="2"/>
      <c r="T770" s="2"/>
      <c r="U770" s="2"/>
      <c r="V770" s="2"/>
      <c r="W770" s="2"/>
    </row>
    <row r="771">
      <c r="A771" s="2"/>
      <c r="B771" s="2"/>
      <c r="C771" s="2"/>
      <c r="D771" s="2"/>
      <c r="E771" s="2"/>
      <c r="F771" s="2"/>
      <c r="G771" s="2"/>
      <c r="H771" s="2"/>
      <c r="I771" s="2"/>
      <c r="J771" s="2"/>
      <c r="K771" s="2"/>
      <c r="L771" s="2"/>
      <c r="M771" s="2"/>
      <c r="N771" s="2"/>
      <c r="O771" s="2"/>
      <c r="P771" s="2"/>
      <c r="Q771" s="2"/>
      <c r="R771" s="2"/>
      <c r="S771" s="2"/>
      <c r="T771" s="2"/>
      <c r="U771" s="2"/>
      <c r="V771" s="2"/>
      <c r="W771" s="2"/>
    </row>
    <row r="772">
      <c r="A772" s="2"/>
      <c r="B772" s="2"/>
      <c r="C772" s="2"/>
      <c r="D772" s="2"/>
      <c r="E772" s="2"/>
      <c r="F772" s="2"/>
      <c r="G772" s="2"/>
      <c r="H772" s="2"/>
      <c r="I772" s="2"/>
      <c r="J772" s="2"/>
      <c r="K772" s="2"/>
      <c r="L772" s="2"/>
      <c r="M772" s="2"/>
      <c r="N772" s="2"/>
      <c r="O772" s="2"/>
      <c r="P772" s="2"/>
      <c r="Q772" s="2"/>
      <c r="R772" s="2"/>
      <c r="S772" s="2"/>
      <c r="T772" s="2"/>
      <c r="U772" s="2"/>
      <c r="V772" s="2"/>
      <c r="W772" s="2"/>
    </row>
    <row r="773">
      <c r="A773" s="2"/>
      <c r="B773" s="2"/>
      <c r="C773" s="2"/>
      <c r="D773" s="2"/>
      <c r="E773" s="2"/>
      <c r="F773" s="2"/>
      <c r="G773" s="2"/>
      <c r="H773" s="2"/>
      <c r="I773" s="2"/>
      <c r="J773" s="2"/>
      <c r="K773" s="2"/>
      <c r="L773" s="2"/>
      <c r="M773" s="2"/>
      <c r="N773" s="2"/>
      <c r="O773" s="2"/>
      <c r="P773" s="2"/>
      <c r="Q773" s="2"/>
      <c r="R773" s="2"/>
      <c r="S773" s="2"/>
      <c r="T773" s="2"/>
      <c r="U773" s="2"/>
      <c r="V773" s="2"/>
      <c r="W773" s="2"/>
    </row>
    <row r="774">
      <c r="A774" s="2"/>
      <c r="B774" s="2"/>
      <c r="C774" s="2"/>
      <c r="D774" s="2"/>
      <c r="E774" s="2"/>
      <c r="F774" s="2"/>
      <c r="G774" s="2"/>
      <c r="H774" s="2"/>
      <c r="I774" s="2"/>
      <c r="J774" s="2"/>
      <c r="K774" s="2"/>
      <c r="L774" s="2"/>
      <c r="M774" s="2"/>
      <c r="N774" s="2"/>
      <c r="O774" s="2"/>
      <c r="P774" s="2"/>
      <c r="Q774" s="2"/>
      <c r="R774" s="2"/>
      <c r="S774" s="2"/>
      <c r="T774" s="2"/>
      <c r="U774" s="2"/>
      <c r="V774" s="2"/>
      <c r="W774" s="2"/>
    </row>
    <row r="775">
      <c r="A775" s="2"/>
      <c r="B775" s="2"/>
      <c r="C775" s="2"/>
      <c r="D775" s="2"/>
      <c r="E775" s="2"/>
      <c r="F775" s="2"/>
      <c r="G775" s="2"/>
      <c r="H775" s="2"/>
      <c r="I775" s="2"/>
      <c r="J775" s="2"/>
      <c r="K775" s="2"/>
      <c r="L775" s="2"/>
      <c r="M775" s="2"/>
      <c r="N775" s="2"/>
      <c r="O775" s="2"/>
      <c r="P775" s="2"/>
      <c r="Q775" s="2"/>
      <c r="R775" s="2"/>
      <c r="S775" s="2"/>
      <c r="T775" s="2"/>
      <c r="U775" s="2"/>
      <c r="V775" s="2"/>
      <c r="W775" s="2"/>
    </row>
    <row r="776">
      <c r="A776" s="2"/>
      <c r="B776" s="2"/>
      <c r="C776" s="2"/>
      <c r="D776" s="2"/>
      <c r="E776" s="2"/>
      <c r="F776" s="2"/>
      <c r="G776" s="2"/>
      <c r="H776" s="2"/>
      <c r="I776" s="2"/>
      <c r="J776" s="2"/>
      <c r="K776" s="2"/>
      <c r="L776" s="2"/>
      <c r="M776" s="2"/>
      <c r="N776" s="2"/>
      <c r="O776" s="2"/>
      <c r="P776" s="2"/>
      <c r="Q776" s="2"/>
      <c r="R776" s="2"/>
      <c r="S776" s="2"/>
      <c r="T776" s="2"/>
      <c r="U776" s="2"/>
      <c r="V776" s="2"/>
      <c r="W776" s="2"/>
    </row>
    <row r="777">
      <c r="A777" s="2"/>
      <c r="B777" s="2"/>
      <c r="C777" s="2"/>
      <c r="D777" s="2"/>
      <c r="E777" s="2"/>
      <c r="F777" s="2"/>
      <c r="G777" s="2"/>
      <c r="H777" s="2"/>
      <c r="I777" s="2"/>
      <c r="J777" s="2"/>
      <c r="K777" s="2"/>
      <c r="L777" s="2"/>
      <c r="M777" s="2"/>
      <c r="N777" s="2"/>
      <c r="O777" s="2"/>
      <c r="P777" s="2"/>
      <c r="Q777" s="2"/>
      <c r="R777" s="2"/>
      <c r="S777" s="2"/>
      <c r="T777" s="2"/>
      <c r="U777" s="2"/>
      <c r="V777" s="2"/>
      <c r="W777" s="2"/>
    </row>
    <row r="778">
      <c r="A778" s="2"/>
      <c r="B778" s="2"/>
      <c r="C778" s="2"/>
      <c r="D778" s="2"/>
      <c r="E778" s="2"/>
      <c r="F778" s="2"/>
      <c r="G778" s="2"/>
      <c r="H778" s="2"/>
      <c r="I778" s="2"/>
      <c r="J778" s="2"/>
      <c r="K778" s="2"/>
      <c r="L778" s="2"/>
      <c r="M778" s="2"/>
      <c r="N778" s="2"/>
      <c r="O778" s="2"/>
      <c r="P778" s="2"/>
      <c r="Q778" s="2"/>
      <c r="R778" s="2"/>
      <c r="S778" s="2"/>
      <c r="T778" s="2"/>
      <c r="U778" s="2"/>
      <c r="V778" s="2"/>
      <c r="W778" s="2"/>
    </row>
    <row r="779">
      <c r="A779" s="2"/>
      <c r="B779" s="2"/>
      <c r="C779" s="2"/>
      <c r="D779" s="2"/>
      <c r="E779" s="2"/>
      <c r="F779" s="2"/>
      <c r="G779" s="2"/>
      <c r="H779" s="2"/>
      <c r="I779" s="2"/>
      <c r="J779" s="2"/>
      <c r="K779" s="2"/>
      <c r="L779" s="2"/>
      <c r="M779" s="2"/>
      <c r="N779" s="2"/>
      <c r="O779" s="2"/>
      <c r="P779" s="2"/>
      <c r="Q779" s="2"/>
      <c r="R779" s="2"/>
      <c r="S779" s="2"/>
      <c r="T779" s="2"/>
      <c r="U779" s="2"/>
      <c r="V779" s="2"/>
      <c r="W779" s="2"/>
    </row>
    <row r="780">
      <c r="A780" s="2"/>
      <c r="B780" s="2"/>
      <c r="C780" s="2"/>
      <c r="D780" s="2"/>
      <c r="E780" s="2"/>
      <c r="F780" s="2"/>
      <c r="G780" s="2"/>
      <c r="H780" s="2"/>
      <c r="I780" s="2"/>
      <c r="J780" s="2"/>
      <c r="K780" s="2"/>
      <c r="L780" s="2"/>
      <c r="M780" s="2"/>
      <c r="N780" s="2"/>
      <c r="O780" s="2"/>
      <c r="P780" s="2"/>
      <c r="Q780" s="2"/>
      <c r="R780" s="2"/>
      <c r="S780" s="2"/>
      <c r="T780" s="2"/>
      <c r="U780" s="2"/>
      <c r="V780" s="2"/>
      <c r="W780" s="2"/>
    </row>
    <row r="781">
      <c r="A781" s="2"/>
      <c r="B781" s="2"/>
      <c r="C781" s="2"/>
      <c r="D781" s="2"/>
      <c r="E781" s="2"/>
      <c r="F781" s="2"/>
      <c r="G781" s="2"/>
      <c r="H781" s="2"/>
      <c r="I781" s="2"/>
      <c r="J781" s="2"/>
      <c r="K781" s="2"/>
      <c r="L781" s="2"/>
      <c r="M781" s="2"/>
      <c r="N781" s="2"/>
      <c r="O781" s="2"/>
      <c r="P781" s="2"/>
      <c r="Q781" s="2"/>
      <c r="R781" s="2"/>
      <c r="S781" s="2"/>
      <c r="T781" s="2"/>
      <c r="U781" s="2"/>
      <c r="V781" s="2"/>
      <c r="W781" s="2"/>
    </row>
    <row r="782">
      <c r="A782" s="2"/>
      <c r="B782" s="2"/>
      <c r="C782" s="2"/>
      <c r="D782" s="2"/>
      <c r="E782" s="2"/>
      <c r="F782" s="2"/>
      <c r="G782" s="2"/>
      <c r="H782" s="2"/>
      <c r="I782" s="2"/>
      <c r="J782" s="2"/>
      <c r="K782" s="2"/>
      <c r="L782" s="2"/>
      <c r="M782" s="2"/>
      <c r="N782" s="2"/>
      <c r="O782" s="2"/>
      <c r="P782" s="2"/>
      <c r="Q782" s="2"/>
      <c r="R782" s="2"/>
      <c r="S782" s="2"/>
      <c r="T782" s="2"/>
      <c r="U782" s="2"/>
      <c r="V782" s="2"/>
      <c r="W782" s="2"/>
    </row>
    <row r="783">
      <c r="A783" s="2"/>
      <c r="B783" s="2"/>
      <c r="C783" s="2"/>
      <c r="D783" s="2"/>
      <c r="E783" s="2"/>
      <c r="F783" s="2"/>
      <c r="G783" s="2"/>
      <c r="H783" s="2"/>
      <c r="I783" s="2"/>
      <c r="J783" s="2"/>
      <c r="K783" s="2"/>
      <c r="L783" s="2"/>
      <c r="M783" s="2"/>
      <c r="N783" s="2"/>
      <c r="O783" s="2"/>
      <c r="P783" s="2"/>
      <c r="Q783" s="2"/>
      <c r="R783" s="2"/>
      <c r="S783" s="2"/>
      <c r="T783" s="2"/>
      <c r="U783" s="2"/>
      <c r="V783" s="2"/>
      <c r="W783" s="2"/>
    </row>
    <row r="784">
      <c r="A784" s="2"/>
      <c r="B784" s="2"/>
      <c r="C784" s="2"/>
      <c r="D784" s="2"/>
      <c r="E784" s="2"/>
      <c r="F784" s="2"/>
      <c r="G784" s="2"/>
      <c r="H784" s="2"/>
      <c r="I784" s="2"/>
      <c r="J784" s="2"/>
      <c r="K784" s="2"/>
      <c r="L784" s="2"/>
      <c r="M784" s="2"/>
      <c r="N784" s="2"/>
      <c r="O784" s="2"/>
      <c r="P784" s="2"/>
      <c r="Q784" s="2"/>
      <c r="R784" s="2"/>
      <c r="S784" s="2"/>
      <c r="T784" s="2"/>
      <c r="U784" s="2"/>
      <c r="V784" s="2"/>
      <c r="W784" s="2"/>
    </row>
    <row r="785">
      <c r="A785" s="2"/>
      <c r="B785" s="2"/>
      <c r="C785" s="2"/>
      <c r="D785" s="2"/>
      <c r="E785" s="2"/>
      <c r="F785" s="2"/>
      <c r="G785" s="2"/>
      <c r="H785" s="2"/>
      <c r="I785" s="2"/>
      <c r="J785" s="2"/>
      <c r="K785" s="2"/>
      <c r="L785" s="2"/>
      <c r="M785" s="2"/>
      <c r="N785" s="2"/>
      <c r="O785" s="2"/>
      <c r="P785" s="2"/>
      <c r="Q785" s="2"/>
      <c r="R785" s="2"/>
      <c r="S785" s="2"/>
      <c r="T785" s="2"/>
      <c r="U785" s="2"/>
      <c r="V785" s="2"/>
      <c r="W785" s="2"/>
    </row>
    <row r="786">
      <c r="A786" s="2"/>
      <c r="B786" s="2"/>
      <c r="C786" s="2"/>
      <c r="D786" s="2"/>
      <c r="E786" s="2"/>
      <c r="F786" s="2"/>
      <c r="G786" s="2"/>
      <c r="H786" s="2"/>
      <c r="I786" s="2"/>
      <c r="J786" s="2"/>
      <c r="K786" s="2"/>
      <c r="L786" s="2"/>
      <c r="M786" s="2"/>
      <c r="N786" s="2"/>
      <c r="O786" s="2"/>
      <c r="P786" s="2"/>
      <c r="Q786" s="2"/>
      <c r="R786" s="2"/>
      <c r="S786" s="2"/>
      <c r="T786" s="2"/>
      <c r="U786" s="2"/>
      <c r="V786" s="2"/>
      <c r="W786" s="2"/>
    </row>
    <row r="787">
      <c r="A787" s="2"/>
      <c r="B787" s="2"/>
      <c r="C787" s="2"/>
      <c r="D787" s="2"/>
      <c r="E787" s="2"/>
      <c r="F787" s="2"/>
      <c r="G787" s="2"/>
      <c r="H787" s="2"/>
      <c r="I787" s="2"/>
      <c r="J787" s="2"/>
      <c r="K787" s="2"/>
      <c r="L787" s="2"/>
      <c r="M787" s="2"/>
      <c r="N787" s="2"/>
      <c r="O787" s="2"/>
      <c r="P787" s="2"/>
      <c r="Q787" s="2"/>
      <c r="R787" s="2"/>
      <c r="S787" s="2"/>
      <c r="T787" s="2"/>
      <c r="U787" s="2"/>
      <c r="V787" s="2"/>
      <c r="W787" s="2"/>
    </row>
    <row r="788">
      <c r="A788" s="2"/>
      <c r="B788" s="2"/>
      <c r="C788" s="2"/>
      <c r="D788" s="2"/>
      <c r="E788" s="2"/>
      <c r="F788" s="2"/>
      <c r="G788" s="2"/>
      <c r="H788" s="2"/>
      <c r="I788" s="2"/>
      <c r="J788" s="2"/>
      <c r="K788" s="2"/>
      <c r="L788" s="2"/>
      <c r="M788" s="2"/>
      <c r="N788" s="2"/>
      <c r="O788" s="2"/>
      <c r="P788" s="2"/>
      <c r="Q788" s="2"/>
      <c r="R788" s="2"/>
      <c r="S788" s="2"/>
      <c r="T788" s="2"/>
      <c r="U788" s="2"/>
      <c r="V788" s="2"/>
      <c r="W788" s="2"/>
    </row>
    <row r="789">
      <c r="A789" s="2"/>
      <c r="B789" s="2"/>
      <c r="C789" s="2"/>
      <c r="D789" s="2"/>
      <c r="E789" s="2"/>
      <c r="F789" s="2"/>
      <c r="G789" s="2"/>
      <c r="H789" s="2"/>
      <c r="I789" s="2"/>
      <c r="J789" s="2"/>
      <c r="K789" s="2"/>
      <c r="L789" s="2"/>
      <c r="M789" s="2"/>
      <c r="N789" s="2"/>
      <c r="O789" s="2"/>
      <c r="P789" s="2"/>
      <c r="Q789" s="2"/>
      <c r="R789" s="2"/>
      <c r="S789" s="2"/>
      <c r="T789" s="2"/>
      <c r="U789" s="2"/>
      <c r="V789" s="2"/>
      <c r="W789" s="2"/>
    </row>
    <row r="790">
      <c r="A790" s="2"/>
      <c r="B790" s="2"/>
      <c r="C790" s="2"/>
      <c r="D790" s="2"/>
      <c r="E790" s="2"/>
      <c r="F790" s="2"/>
      <c r="G790" s="2"/>
      <c r="H790" s="2"/>
      <c r="I790" s="2"/>
      <c r="J790" s="2"/>
      <c r="K790" s="2"/>
      <c r="L790" s="2"/>
      <c r="M790" s="2"/>
      <c r="N790" s="2"/>
      <c r="O790" s="2"/>
      <c r="P790" s="2"/>
      <c r="Q790" s="2"/>
      <c r="R790" s="2"/>
      <c r="S790" s="2"/>
      <c r="T790" s="2"/>
      <c r="U790" s="2"/>
      <c r="V790" s="2"/>
      <c r="W790" s="2"/>
    </row>
    <row r="791">
      <c r="A791" s="2"/>
      <c r="B791" s="2"/>
      <c r="C791" s="2"/>
      <c r="D791" s="2"/>
      <c r="E791" s="2"/>
      <c r="F791" s="2"/>
      <c r="G791" s="2"/>
      <c r="H791" s="2"/>
      <c r="I791" s="2"/>
      <c r="J791" s="2"/>
      <c r="K791" s="2"/>
      <c r="L791" s="2"/>
      <c r="M791" s="2"/>
      <c r="N791" s="2"/>
      <c r="O791" s="2"/>
      <c r="P791" s="2"/>
      <c r="Q791" s="2"/>
      <c r="R791" s="2"/>
      <c r="S791" s="2"/>
      <c r="T791" s="2"/>
      <c r="U791" s="2"/>
      <c r="V791" s="2"/>
      <c r="W791" s="2"/>
    </row>
    <row r="792">
      <c r="A792" s="2"/>
      <c r="B792" s="2"/>
      <c r="C792" s="2"/>
      <c r="D792" s="2"/>
      <c r="E792" s="2"/>
      <c r="F792" s="2"/>
      <c r="G792" s="2"/>
      <c r="H792" s="2"/>
      <c r="I792" s="2"/>
      <c r="J792" s="2"/>
      <c r="K792" s="2"/>
      <c r="L792" s="2"/>
      <c r="M792" s="2"/>
      <c r="N792" s="2"/>
      <c r="O792" s="2"/>
      <c r="P792" s="2"/>
      <c r="Q792" s="2"/>
      <c r="R792" s="2"/>
      <c r="S792" s="2"/>
      <c r="T792" s="2"/>
      <c r="U792" s="2"/>
      <c r="V792" s="2"/>
      <c r="W792" s="2"/>
    </row>
    <row r="793">
      <c r="A793" s="2"/>
      <c r="B793" s="2"/>
      <c r="C793" s="2"/>
      <c r="D793" s="2"/>
      <c r="E793" s="2"/>
      <c r="F793" s="2"/>
      <c r="G793" s="2"/>
      <c r="H793" s="2"/>
      <c r="I793" s="2"/>
      <c r="J793" s="2"/>
      <c r="K793" s="2"/>
      <c r="L793" s="2"/>
      <c r="M793" s="2"/>
      <c r="N793" s="2"/>
      <c r="O793" s="2"/>
      <c r="P793" s="2"/>
      <c r="Q793" s="2"/>
      <c r="R793" s="2"/>
      <c r="S793" s="2"/>
      <c r="T793" s="2"/>
      <c r="U793" s="2"/>
      <c r="V793" s="2"/>
      <c r="W793" s="2"/>
    </row>
    <row r="794">
      <c r="A794" s="2"/>
      <c r="B794" s="2"/>
      <c r="C794" s="2"/>
      <c r="D794" s="2"/>
      <c r="E794" s="2"/>
      <c r="F794" s="2"/>
      <c r="G794" s="2"/>
      <c r="H794" s="2"/>
      <c r="I794" s="2"/>
      <c r="J794" s="2"/>
      <c r="K794" s="2"/>
      <c r="L794" s="2"/>
      <c r="M794" s="2"/>
      <c r="N794" s="2"/>
      <c r="O794" s="2"/>
      <c r="P794" s="2"/>
      <c r="Q794" s="2"/>
      <c r="R794" s="2"/>
      <c r="S794" s="2"/>
      <c r="T794" s="2"/>
      <c r="U794" s="2"/>
      <c r="V794" s="2"/>
      <c r="W794" s="2"/>
    </row>
    <row r="795">
      <c r="A795" s="2"/>
      <c r="B795" s="2"/>
      <c r="C795" s="2"/>
      <c r="D795" s="2"/>
      <c r="E795" s="2"/>
      <c r="F795" s="2"/>
      <c r="G795" s="2"/>
      <c r="H795" s="2"/>
      <c r="I795" s="2"/>
      <c r="J795" s="2"/>
      <c r="K795" s="2"/>
      <c r="L795" s="2"/>
      <c r="M795" s="2"/>
      <c r="N795" s="2"/>
      <c r="O795" s="2"/>
      <c r="P795" s="2"/>
      <c r="Q795" s="2"/>
      <c r="R795" s="2"/>
      <c r="S795" s="2"/>
      <c r="T795" s="2"/>
      <c r="U795" s="2"/>
      <c r="V795" s="2"/>
      <c r="W795" s="2"/>
    </row>
    <row r="796">
      <c r="A796" s="2"/>
      <c r="B796" s="2"/>
      <c r="C796" s="2"/>
      <c r="D796" s="2"/>
      <c r="E796" s="2"/>
      <c r="F796" s="2"/>
      <c r="G796" s="2"/>
      <c r="H796" s="2"/>
      <c r="I796" s="2"/>
      <c r="J796" s="2"/>
      <c r="K796" s="2"/>
      <c r="L796" s="2"/>
      <c r="M796" s="2"/>
      <c r="N796" s="2"/>
      <c r="O796" s="2"/>
      <c r="P796" s="2"/>
      <c r="Q796" s="2"/>
      <c r="R796" s="2"/>
      <c r="S796" s="2"/>
      <c r="T796" s="2"/>
      <c r="U796" s="2"/>
      <c r="V796" s="2"/>
      <c r="W796" s="2"/>
    </row>
    <row r="797">
      <c r="A797" s="2"/>
      <c r="B797" s="2"/>
      <c r="C797" s="2"/>
      <c r="D797" s="2"/>
      <c r="E797" s="2"/>
      <c r="F797" s="2"/>
      <c r="G797" s="2"/>
      <c r="H797" s="2"/>
      <c r="I797" s="2"/>
      <c r="J797" s="2"/>
      <c r="K797" s="2"/>
      <c r="L797" s="2"/>
      <c r="M797" s="2"/>
      <c r="N797" s="2"/>
      <c r="O797" s="2"/>
      <c r="P797" s="2"/>
      <c r="Q797" s="2"/>
      <c r="R797" s="2"/>
      <c r="S797" s="2"/>
      <c r="T797" s="2"/>
      <c r="U797" s="2"/>
      <c r="V797" s="2"/>
      <c r="W797" s="2"/>
    </row>
    <row r="798">
      <c r="A798" s="2"/>
      <c r="B798" s="2"/>
      <c r="C798" s="2"/>
      <c r="D798" s="2"/>
      <c r="E798" s="2"/>
      <c r="F798" s="2"/>
      <c r="G798" s="2"/>
      <c r="H798" s="2"/>
      <c r="I798" s="2"/>
      <c r="J798" s="2"/>
      <c r="K798" s="2"/>
      <c r="L798" s="2"/>
      <c r="M798" s="2"/>
      <c r="N798" s="2"/>
      <c r="O798" s="2"/>
      <c r="P798" s="2"/>
      <c r="Q798" s="2"/>
      <c r="R798" s="2"/>
      <c r="S798" s="2"/>
      <c r="T798" s="2"/>
      <c r="U798" s="2"/>
      <c r="V798" s="2"/>
      <c r="W798" s="2"/>
    </row>
    <row r="799">
      <c r="A799" s="2"/>
      <c r="B799" s="2"/>
      <c r="C799" s="2"/>
      <c r="D799" s="2"/>
      <c r="E799" s="2"/>
      <c r="F799" s="2"/>
      <c r="G799" s="2"/>
      <c r="H799" s="2"/>
      <c r="I799" s="2"/>
      <c r="J799" s="2"/>
      <c r="K799" s="2"/>
      <c r="L799" s="2"/>
      <c r="M799" s="2"/>
      <c r="N799" s="2"/>
      <c r="O799" s="2"/>
      <c r="P799" s="2"/>
      <c r="Q799" s="2"/>
      <c r="R799" s="2"/>
      <c r="S799" s="2"/>
      <c r="T799" s="2"/>
      <c r="U799" s="2"/>
      <c r="V799" s="2"/>
      <c r="W799" s="2"/>
    </row>
    <row r="800">
      <c r="A800" s="2"/>
      <c r="B800" s="2"/>
      <c r="C800" s="2"/>
      <c r="D800" s="2"/>
      <c r="E800" s="2"/>
      <c r="F800" s="2"/>
      <c r="G800" s="2"/>
      <c r="H800" s="2"/>
      <c r="I800" s="2"/>
      <c r="J800" s="2"/>
      <c r="K800" s="2"/>
      <c r="L800" s="2"/>
      <c r="M800" s="2"/>
      <c r="N800" s="2"/>
      <c r="O800" s="2"/>
      <c r="P800" s="2"/>
      <c r="Q800" s="2"/>
      <c r="R800" s="2"/>
      <c r="S800" s="2"/>
      <c r="T800" s="2"/>
      <c r="U800" s="2"/>
      <c r="V800" s="2"/>
      <c r="W800" s="2"/>
    </row>
    <row r="801">
      <c r="A801" s="2"/>
      <c r="B801" s="2"/>
      <c r="C801" s="2"/>
      <c r="D801" s="2"/>
      <c r="E801" s="2"/>
      <c r="F801" s="2"/>
      <c r="G801" s="2"/>
      <c r="H801" s="2"/>
      <c r="I801" s="2"/>
      <c r="J801" s="2"/>
      <c r="K801" s="2"/>
      <c r="L801" s="2"/>
      <c r="M801" s="2"/>
      <c r="N801" s="2"/>
      <c r="O801" s="2"/>
      <c r="P801" s="2"/>
      <c r="Q801" s="2"/>
      <c r="R801" s="2"/>
      <c r="S801" s="2"/>
      <c r="T801" s="2"/>
      <c r="U801" s="2"/>
      <c r="V801" s="2"/>
      <c r="W801" s="2"/>
    </row>
    <row r="802">
      <c r="A802" s="2"/>
      <c r="B802" s="2"/>
      <c r="C802" s="2"/>
      <c r="D802" s="2"/>
      <c r="E802" s="2"/>
      <c r="F802" s="2"/>
      <c r="G802" s="2"/>
      <c r="H802" s="2"/>
      <c r="I802" s="2"/>
      <c r="J802" s="2"/>
      <c r="K802" s="2"/>
      <c r="L802" s="2"/>
      <c r="M802" s="2"/>
      <c r="N802" s="2"/>
      <c r="O802" s="2"/>
      <c r="P802" s="2"/>
      <c r="Q802" s="2"/>
      <c r="R802" s="2"/>
      <c r="S802" s="2"/>
      <c r="T802" s="2"/>
      <c r="U802" s="2"/>
      <c r="V802" s="2"/>
      <c r="W802" s="2"/>
    </row>
    <row r="803">
      <c r="A803" s="2"/>
      <c r="B803" s="2"/>
      <c r="C803" s="2"/>
      <c r="D803" s="2"/>
      <c r="E803" s="2"/>
      <c r="F803" s="2"/>
      <c r="G803" s="2"/>
      <c r="H803" s="2"/>
      <c r="I803" s="2"/>
      <c r="J803" s="2"/>
      <c r="K803" s="2"/>
      <c r="L803" s="2"/>
      <c r="M803" s="2"/>
      <c r="N803" s="2"/>
      <c r="O803" s="2"/>
      <c r="P803" s="2"/>
      <c r="Q803" s="2"/>
      <c r="R803" s="2"/>
      <c r="S803" s="2"/>
      <c r="T803" s="2"/>
      <c r="U803" s="2"/>
      <c r="V803" s="2"/>
      <c r="W803" s="2"/>
    </row>
    <row r="804">
      <c r="A804" s="2"/>
      <c r="B804" s="2"/>
      <c r="C804" s="2"/>
      <c r="D804" s="2"/>
      <c r="E804" s="2"/>
      <c r="F804" s="2"/>
      <c r="G804" s="2"/>
      <c r="H804" s="2"/>
      <c r="I804" s="2"/>
      <c r="J804" s="2"/>
      <c r="K804" s="2"/>
      <c r="L804" s="2"/>
      <c r="M804" s="2"/>
      <c r="N804" s="2"/>
      <c r="O804" s="2"/>
      <c r="P804" s="2"/>
      <c r="Q804" s="2"/>
      <c r="R804" s="2"/>
      <c r="S804" s="2"/>
      <c r="T804" s="2"/>
      <c r="U804" s="2"/>
      <c r="V804" s="2"/>
      <c r="W804" s="2"/>
    </row>
    <row r="805">
      <c r="A805" s="2"/>
      <c r="B805" s="2"/>
      <c r="C805" s="2"/>
      <c r="D805" s="2"/>
      <c r="E805" s="2"/>
      <c r="F805" s="2"/>
      <c r="G805" s="2"/>
      <c r="H805" s="2"/>
      <c r="I805" s="2"/>
      <c r="J805" s="2"/>
      <c r="K805" s="2"/>
      <c r="L805" s="2"/>
      <c r="M805" s="2"/>
      <c r="N805" s="2"/>
      <c r="O805" s="2"/>
      <c r="P805" s="2"/>
      <c r="Q805" s="2"/>
      <c r="R805" s="2"/>
      <c r="S805" s="2"/>
      <c r="T805" s="2"/>
      <c r="U805" s="2"/>
      <c r="V805" s="2"/>
      <c r="W805" s="2"/>
    </row>
    <row r="806">
      <c r="A806" s="2"/>
      <c r="B806" s="2"/>
      <c r="C806" s="2"/>
      <c r="D806" s="2"/>
      <c r="E806" s="2"/>
      <c r="F806" s="2"/>
      <c r="G806" s="2"/>
      <c r="H806" s="2"/>
      <c r="I806" s="2"/>
      <c r="J806" s="2"/>
      <c r="K806" s="2"/>
      <c r="L806" s="2"/>
      <c r="M806" s="2"/>
      <c r="N806" s="2"/>
      <c r="O806" s="2"/>
      <c r="P806" s="2"/>
      <c r="Q806" s="2"/>
      <c r="R806" s="2"/>
      <c r="S806" s="2"/>
      <c r="T806" s="2"/>
      <c r="U806" s="2"/>
      <c r="V806" s="2"/>
      <c r="W806" s="2"/>
    </row>
    <row r="807">
      <c r="A807" s="2"/>
      <c r="B807" s="2"/>
      <c r="C807" s="2"/>
      <c r="D807" s="2"/>
      <c r="E807" s="2"/>
      <c r="F807" s="2"/>
      <c r="G807" s="2"/>
      <c r="H807" s="2"/>
      <c r="I807" s="2"/>
      <c r="J807" s="2"/>
      <c r="K807" s="2"/>
      <c r="L807" s="2"/>
      <c r="M807" s="2"/>
      <c r="N807" s="2"/>
      <c r="O807" s="2"/>
      <c r="P807" s="2"/>
      <c r="Q807" s="2"/>
      <c r="R807" s="2"/>
      <c r="S807" s="2"/>
      <c r="T807" s="2"/>
      <c r="U807" s="2"/>
      <c r="V807" s="2"/>
      <c r="W807" s="2"/>
    </row>
    <row r="808">
      <c r="A808" s="2"/>
      <c r="B808" s="2"/>
      <c r="C808" s="2"/>
      <c r="D808" s="2"/>
      <c r="E808" s="2"/>
      <c r="F808" s="2"/>
      <c r="G808" s="2"/>
      <c r="H808" s="2"/>
      <c r="I808" s="2"/>
      <c r="J808" s="2"/>
      <c r="K808" s="2"/>
      <c r="L808" s="2"/>
      <c r="M808" s="2"/>
      <c r="N808" s="2"/>
      <c r="O808" s="2"/>
      <c r="P808" s="2"/>
      <c r="Q808" s="2"/>
      <c r="R808" s="2"/>
      <c r="S808" s="2"/>
      <c r="T808" s="2"/>
      <c r="U808" s="2"/>
      <c r="V808" s="2"/>
      <c r="W808" s="2"/>
    </row>
    <row r="809">
      <c r="A809" s="2"/>
      <c r="B809" s="2"/>
      <c r="C809" s="2"/>
      <c r="D809" s="2"/>
      <c r="E809" s="2"/>
      <c r="F809" s="2"/>
      <c r="G809" s="2"/>
      <c r="H809" s="2"/>
      <c r="I809" s="2"/>
      <c r="J809" s="2"/>
      <c r="K809" s="2"/>
      <c r="L809" s="2"/>
      <c r="M809" s="2"/>
      <c r="N809" s="2"/>
      <c r="O809" s="2"/>
      <c r="P809" s="2"/>
      <c r="Q809" s="2"/>
      <c r="R809" s="2"/>
      <c r="S809" s="2"/>
      <c r="T809" s="2"/>
      <c r="U809" s="2"/>
      <c r="V809" s="2"/>
      <c r="W809" s="2"/>
    </row>
    <row r="810">
      <c r="A810" s="2"/>
      <c r="B810" s="2"/>
      <c r="C810" s="2"/>
      <c r="D810" s="2"/>
      <c r="E810" s="2"/>
      <c r="F810" s="2"/>
      <c r="G810" s="2"/>
      <c r="H810" s="2"/>
      <c r="I810" s="2"/>
      <c r="J810" s="2"/>
      <c r="K810" s="2"/>
      <c r="L810" s="2"/>
      <c r="M810" s="2"/>
      <c r="N810" s="2"/>
      <c r="O810" s="2"/>
      <c r="P810" s="2"/>
      <c r="Q810" s="2"/>
      <c r="R810" s="2"/>
      <c r="S810" s="2"/>
      <c r="T810" s="2"/>
      <c r="U810" s="2"/>
      <c r="V810" s="2"/>
      <c r="W810" s="2"/>
    </row>
    <row r="811">
      <c r="A811" s="2"/>
      <c r="B811" s="2"/>
      <c r="C811" s="2"/>
      <c r="D811" s="2"/>
      <c r="E811" s="2"/>
      <c r="F811" s="2"/>
      <c r="G811" s="2"/>
      <c r="H811" s="2"/>
      <c r="I811" s="2"/>
      <c r="J811" s="2"/>
      <c r="K811" s="2"/>
      <c r="L811" s="2"/>
      <c r="M811" s="2"/>
      <c r="N811" s="2"/>
      <c r="O811" s="2"/>
      <c r="P811" s="2"/>
      <c r="Q811" s="2"/>
      <c r="R811" s="2"/>
      <c r="S811" s="2"/>
      <c r="T811" s="2"/>
      <c r="U811" s="2"/>
      <c r="V811" s="2"/>
      <c r="W811" s="2"/>
    </row>
    <row r="812">
      <c r="A812" s="2"/>
      <c r="B812" s="2"/>
      <c r="C812" s="2"/>
      <c r="D812" s="2"/>
      <c r="E812" s="2"/>
      <c r="F812" s="2"/>
      <c r="G812" s="2"/>
      <c r="H812" s="2"/>
      <c r="I812" s="2"/>
      <c r="J812" s="2"/>
      <c r="K812" s="2"/>
      <c r="L812" s="2"/>
      <c r="M812" s="2"/>
      <c r="N812" s="2"/>
      <c r="O812" s="2"/>
      <c r="P812" s="2"/>
      <c r="Q812" s="2"/>
      <c r="R812" s="2"/>
      <c r="S812" s="2"/>
      <c r="T812" s="2"/>
      <c r="U812" s="2"/>
      <c r="V812" s="2"/>
      <c r="W812" s="2"/>
    </row>
    <row r="813">
      <c r="A813" s="2"/>
      <c r="B813" s="2"/>
      <c r="C813" s="2"/>
      <c r="D813" s="2"/>
      <c r="E813" s="2"/>
      <c r="F813" s="2"/>
      <c r="G813" s="2"/>
      <c r="H813" s="2"/>
      <c r="I813" s="2"/>
      <c r="J813" s="2"/>
      <c r="K813" s="2"/>
      <c r="L813" s="2"/>
      <c r="M813" s="2"/>
      <c r="N813" s="2"/>
      <c r="O813" s="2"/>
      <c r="P813" s="2"/>
      <c r="Q813" s="2"/>
      <c r="R813" s="2"/>
      <c r="S813" s="2"/>
      <c r="T813" s="2"/>
      <c r="U813" s="2"/>
      <c r="V813" s="2"/>
      <c r="W813" s="2"/>
    </row>
    <row r="814">
      <c r="A814" s="2"/>
      <c r="B814" s="2"/>
      <c r="C814" s="2"/>
      <c r="D814" s="2"/>
      <c r="E814" s="2"/>
      <c r="F814" s="2"/>
      <c r="G814" s="2"/>
      <c r="H814" s="2"/>
      <c r="I814" s="2"/>
      <c r="J814" s="2"/>
      <c r="K814" s="2"/>
      <c r="L814" s="2"/>
      <c r="M814" s="2"/>
      <c r="N814" s="2"/>
      <c r="O814" s="2"/>
      <c r="P814" s="2"/>
      <c r="Q814" s="2"/>
      <c r="R814" s="2"/>
      <c r="S814" s="2"/>
      <c r="T814" s="2"/>
      <c r="U814" s="2"/>
      <c r="V814" s="2"/>
      <c r="W814" s="2"/>
    </row>
    <row r="815">
      <c r="A815" s="2"/>
      <c r="B815" s="2"/>
      <c r="C815" s="2"/>
      <c r="D815" s="2"/>
      <c r="E815" s="2"/>
      <c r="F815" s="2"/>
      <c r="G815" s="2"/>
      <c r="H815" s="2"/>
      <c r="I815" s="2"/>
      <c r="J815" s="2"/>
      <c r="K815" s="2"/>
      <c r="L815" s="2"/>
      <c r="M815" s="2"/>
      <c r="N815" s="2"/>
      <c r="O815" s="2"/>
      <c r="P815" s="2"/>
      <c r="Q815" s="2"/>
      <c r="R815" s="2"/>
      <c r="S815" s="2"/>
      <c r="T815" s="2"/>
      <c r="U815" s="2"/>
      <c r="V815" s="2"/>
      <c r="W815" s="2"/>
    </row>
    <row r="816">
      <c r="A816" s="2"/>
      <c r="B816" s="2"/>
      <c r="C816" s="2"/>
      <c r="D816" s="2"/>
      <c r="E816" s="2"/>
      <c r="F816" s="2"/>
      <c r="G816" s="2"/>
      <c r="H816" s="2"/>
      <c r="I816" s="2"/>
      <c r="J816" s="2"/>
      <c r="K816" s="2"/>
      <c r="L816" s="2"/>
      <c r="M816" s="2"/>
      <c r="N816" s="2"/>
      <c r="O816" s="2"/>
      <c r="P816" s="2"/>
      <c r="Q816" s="2"/>
      <c r="R816" s="2"/>
      <c r="S816" s="2"/>
      <c r="T816" s="2"/>
      <c r="U816" s="2"/>
      <c r="V816" s="2"/>
      <c r="W816" s="2"/>
    </row>
    <row r="817">
      <c r="A817" s="2"/>
      <c r="B817" s="2"/>
      <c r="C817" s="2"/>
      <c r="D817" s="2"/>
      <c r="E817" s="2"/>
      <c r="F817" s="2"/>
      <c r="G817" s="2"/>
      <c r="H817" s="2"/>
      <c r="I817" s="2"/>
      <c r="J817" s="2"/>
      <c r="K817" s="2"/>
      <c r="L817" s="2"/>
      <c r="M817" s="2"/>
      <c r="N817" s="2"/>
      <c r="O817" s="2"/>
      <c r="P817" s="2"/>
      <c r="Q817" s="2"/>
      <c r="R817" s="2"/>
      <c r="S817" s="2"/>
      <c r="T817" s="2"/>
      <c r="U817" s="2"/>
      <c r="V817" s="2"/>
      <c r="W817" s="2"/>
    </row>
    <row r="818">
      <c r="A818" s="2"/>
      <c r="B818" s="2"/>
      <c r="C818" s="2"/>
      <c r="D818" s="2"/>
      <c r="E818" s="2"/>
      <c r="F818" s="2"/>
      <c r="G818" s="2"/>
      <c r="H818" s="2"/>
      <c r="I818" s="2"/>
      <c r="J818" s="2"/>
      <c r="K818" s="2"/>
      <c r="L818" s="2"/>
      <c r="M818" s="2"/>
      <c r="N818" s="2"/>
      <c r="O818" s="2"/>
      <c r="P818" s="2"/>
      <c r="Q818" s="2"/>
      <c r="R818" s="2"/>
      <c r="S818" s="2"/>
      <c r="T818" s="2"/>
      <c r="U818" s="2"/>
      <c r="V818" s="2"/>
      <c r="W818" s="2"/>
    </row>
    <row r="819">
      <c r="A819" s="2"/>
      <c r="B819" s="2"/>
      <c r="C819" s="2"/>
      <c r="D819" s="2"/>
      <c r="E819" s="2"/>
      <c r="F819" s="2"/>
      <c r="G819" s="2"/>
      <c r="H819" s="2"/>
      <c r="I819" s="2"/>
      <c r="J819" s="2"/>
      <c r="K819" s="2"/>
      <c r="L819" s="2"/>
      <c r="M819" s="2"/>
      <c r="N819" s="2"/>
      <c r="O819" s="2"/>
      <c r="P819" s="2"/>
      <c r="Q819" s="2"/>
      <c r="R819" s="2"/>
      <c r="S819" s="2"/>
      <c r="T819" s="2"/>
      <c r="U819" s="2"/>
      <c r="V819" s="2"/>
      <c r="W819" s="2"/>
    </row>
    <row r="820">
      <c r="A820" s="2"/>
      <c r="B820" s="2"/>
      <c r="C820" s="2"/>
      <c r="D820" s="2"/>
      <c r="E820" s="2"/>
      <c r="F820" s="2"/>
      <c r="G820" s="2"/>
      <c r="H820" s="2"/>
      <c r="I820" s="2"/>
      <c r="J820" s="2"/>
      <c r="K820" s="2"/>
      <c r="L820" s="2"/>
      <c r="M820" s="2"/>
      <c r="N820" s="2"/>
      <c r="O820" s="2"/>
      <c r="P820" s="2"/>
      <c r="Q820" s="2"/>
      <c r="R820" s="2"/>
      <c r="S820" s="2"/>
      <c r="T820" s="2"/>
      <c r="U820" s="2"/>
      <c r="V820" s="2"/>
      <c r="W820" s="2"/>
    </row>
    <row r="821">
      <c r="A821" s="2"/>
      <c r="B821" s="2"/>
      <c r="C821" s="2"/>
      <c r="D821" s="2"/>
      <c r="E821" s="2"/>
      <c r="F821" s="2"/>
      <c r="G821" s="2"/>
      <c r="H821" s="2"/>
      <c r="I821" s="2"/>
      <c r="J821" s="2"/>
      <c r="K821" s="2"/>
      <c r="L821" s="2"/>
      <c r="M821" s="2"/>
      <c r="N821" s="2"/>
      <c r="O821" s="2"/>
      <c r="P821" s="2"/>
      <c r="Q821" s="2"/>
      <c r="R821" s="2"/>
      <c r="S821" s="2"/>
      <c r="T821" s="2"/>
      <c r="U821" s="2"/>
      <c r="V821" s="2"/>
      <c r="W821" s="2"/>
    </row>
    <row r="822">
      <c r="A822" s="2"/>
      <c r="B822" s="2"/>
      <c r="C822" s="2"/>
      <c r="D822" s="2"/>
      <c r="E822" s="2"/>
      <c r="F822" s="2"/>
      <c r="G822" s="2"/>
      <c r="H822" s="2"/>
      <c r="I822" s="2"/>
      <c r="J822" s="2"/>
      <c r="K822" s="2"/>
      <c r="L822" s="2"/>
      <c r="M822" s="2"/>
      <c r="N822" s="2"/>
      <c r="O822" s="2"/>
      <c r="P822" s="2"/>
      <c r="Q822" s="2"/>
      <c r="R822" s="2"/>
      <c r="S822" s="2"/>
      <c r="T822" s="2"/>
      <c r="U822" s="2"/>
      <c r="V822" s="2"/>
      <c r="W822" s="2"/>
    </row>
    <row r="823">
      <c r="A823" s="2"/>
      <c r="B823" s="2"/>
      <c r="C823" s="2"/>
      <c r="D823" s="2"/>
      <c r="E823" s="2"/>
      <c r="F823" s="2"/>
      <c r="G823" s="2"/>
      <c r="H823" s="2"/>
      <c r="I823" s="2"/>
      <c r="J823" s="2"/>
      <c r="K823" s="2"/>
      <c r="L823" s="2"/>
      <c r="M823" s="2"/>
      <c r="N823" s="2"/>
      <c r="O823" s="2"/>
      <c r="P823" s="2"/>
      <c r="Q823" s="2"/>
      <c r="R823" s="2"/>
      <c r="S823" s="2"/>
      <c r="T823" s="2"/>
      <c r="U823" s="2"/>
      <c r="V823" s="2"/>
      <c r="W823" s="2"/>
    </row>
    <row r="824">
      <c r="A824" s="2"/>
      <c r="B824" s="2"/>
      <c r="C824" s="2"/>
      <c r="D824" s="2"/>
      <c r="E824" s="2"/>
      <c r="F824" s="2"/>
      <c r="G824" s="2"/>
      <c r="H824" s="2"/>
      <c r="I824" s="2"/>
      <c r="J824" s="2"/>
      <c r="K824" s="2"/>
      <c r="L824" s="2"/>
      <c r="M824" s="2"/>
      <c r="N824" s="2"/>
      <c r="O824" s="2"/>
      <c r="P824" s="2"/>
      <c r="Q824" s="2"/>
      <c r="R824" s="2"/>
      <c r="S824" s="2"/>
      <c r="T824" s="2"/>
      <c r="U824" s="2"/>
      <c r="V824" s="2"/>
      <c r="W824" s="2"/>
    </row>
    <row r="825">
      <c r="A825" s="2"/>
      <c r="B825" s="2"/>
      <c r="C825" s="2"/>
      <c r="D825" s="2"/>
      <c r="E825" s="2"/>
      <c r="F825" s="2"/>
      <c r="G825" s="2"/>
      <c r="H825" s="2"/>
      <c r="I825" s="2"/>
      <c r="J825" s="2"/>
      <c r="K825" s="2"/>
      <c r="L825" s="2"/>
      <c r="M825" s="2"/>
      <c r="N825" s="2"/>
      <c r="O825" s="2"/>
      <c r="P825" s="2"/>
      <c r="Q825" s="2"/>
      <c r="R825" s="2"/>
      <c r="S825" s="2"/>
      <c r="T825" s="2"/>
      <c r="U825" s="2"/>
      <c r="V825" s="2"/>
      <c r="W825" s="2"/>
    </row>
    <row r="826">
      <c r="A826" s="2"/>
      <c r="B826" s="2"/>
      <c r="C826" s="2"/>
      <c r="D826" s="2"/>
      <c r="E826" s="2"/>
      <c r="F826" s="2"/>
      <c r="G826" s="2"/>
      <c r="H826" s="2"/>
      <c r="I826" s="2"/>
      <c r="J826" s="2"/>
      <c r="K826" s="2"/>
      <c r="L826" s="2"/>
      <c r="M826" s="2"/>
      <c r="N826" s="2"/>
      <c r="O826" s="2"/>
      <c r="P826" s="2"/>
      <c r="Q826" s="2"/>
      <c r="R826" s="2"/>
      <c r="S826" s="2"/>
      <c r="T826" s="2"/>
      <c r="U826" s="2"/>
      <c r="V826" s="2"/>
      <c r="W826" s="2"/>
    </row>
    <row r="827">
      <c r="A827" s="2"/>
      <c r="B827" s="2"/>
      <c r="C827" s="2"/>
      <c r="D827" s="2"/>
      <c r="E827" s="2"/>
      <c r="F827" s="2"/>
      <c r="G827" s="2"/>
      <c r="H827" s="2"/>
      <c r="I827" s="2"/>
      <c r="J827" s="2"/>
      <c r="K827" s="2"/>
      <c r="L827" s="2"/>
      <c r="M827" s="2"/>
      <c r="N827" s="2"/>
      <c r="O827" s="2"/>
      <c r="P827" s="2"/>
      <c r="Q827" s="2"/>
      <c r="R827" s="2"/>
      <c r="S827" s="2"/>
      <c r="T827" s="2"/>
      <c r="U827" s="2"/>
      <c r="V827" s="2"/>
      <c r="W827" s="2"/>
    </row>
    <row r="828">
      <c r="A828" s="2"/>
      <c r="B828" s="2"/>
      <c r="C828" s="2"/>
      <c r="D828" s="2"/>
      <c r="E828" s="2"/>
      <c r="F828" s="2"/>
      <c r="G828" s="2"/>
      <c r="H828" s="2"/>
      <c r="I828" s="2"/>
      <c r="J828" s="2"/>
      <c r="K828" s="2"/>
      <c r="L828" s="2"/>
      <c r="M828" s="2"/>
      <c r="N828" s="2"/>
      <c r="O828" s="2"/>
      <c r="P828" s="2"/>
      <c r="Q828" s="2"/>
      <c r="R828" s="2"/>
      <c r="S828" s="2"/>
      <c r="T828" s="2"/>
      <c r="U828" s="2"/>
      <c r="V828" s="2"/>
      <c r="W828" s="2"/>
    </row>
    <row r="829">
      <c r="A829" s="2"/>
      <c r="B829" s="2"/>
      <c r="C829" s="2"/>
      <c r="D829" s="2"/>
      <c r="E829" s="2"/>
      <c r="F829" s="2"/>
      <c r="G829" s="2"/>
      <c r="H829" s="2"/>
      <c r="I829" s="2"/>
      <c r="J829" s="2"/>
      <c r="K829" s="2"/>
      <c r="L829" s="2"/>
      <c r="M829" s="2"/>
      <c r="N829" s="2"/>
      <c r="O829" s="2"/>
      <c r="P829" s="2"/>
      <c r="Q829" s="2"/>
      <c r="R829" s="2"/>
      <c r="S829" s="2"/>
      <c r="T829" s="2"/>
      <c r="U829" s="2"/>
      <c r="V829" s="2"/>
      <c r="W829" s="2"/>
    </row>
    <row r="830">
      <c r="A830" s="2"/>
      <c r="B830" s="2"/>
      <c r="C830" s="2"/>
      <c r="D830" s="2"/>
      <c r="E830" s="2"/>
      <c r="F830" s="2"/>
      <c r="G830" s="2"/>
      <c r="H830" s="2"/>
      <c r="I830" s="2"/>
      <c r="J830" s="2"/>
      <c r="K830" s="2"/>
      <c r="L830" s="2"/>
      <c r="M830" s="2"/>
      <c r="N830" s="2"/>
      <c r="O830" s="2"/>
      <c r="P830" s="2"/>
      <c r="Q830" s="2"/>
      <c r="R830" s="2"/>
      <c r="S830" s="2"/>
      <c r="T830" s="2"/>
      <c r="U830" s="2"/>
      <c r="V830" s="2"/>
      <c r="W830" s="2"/>
    </row>
    <row r="831">
      <c r="A831" s="2"/>
      <c r="B831" s="2"/>
      <c r="C831" s="2"/>
      <c r="D831" s="2"/>
      <c r="E831" s="2"/>
      <c r="F831" s="2"/>
      <c r="G831" s="2"/>
      <c r="H831" s="2"/>
      <c r="I831" s="2"/>
      <c r="J831" s="2"/>
      <c r="K831" s="2"/>
      <c r="L831" s="2"/>
      <c r="M831" s="2"/>
      <c r="N831" s="2"/>
      <c r="O831" s="2"/>
      <c r="P831" s="2"/>
      <c r="Q831" s="2"/>
      <c r="R831" s="2"/>
      <c r="S831" s="2"/>
      <c r="T831" s="2"/>
      <c r="U831" s="2"/>
      <c r="V831" s="2"/>
      <c r="W831" s="2"/>
    </row>
    <row r="832">
      <c r="A832" s="2"/>
      <c r="B832" s="2"/>
      <c r="C832" s="2"/>
      <c r="D832" s="2"/>
      <c r="E832" s="2"/>
      <c r="F832" s="2"/>
      <c r="G832" s="2"/>
      <c r="H832" s="2"/>
      <c r="I832" s="2"/>
      <c r="J832" s="2"/>
      <c r="K832" s="2"/>
      <c r="L832" s="2"/>
      <c r="M832" s="2"/>
      <c r="N832" s="2"/>
      <c r="O832" s="2"/>
      <c r="P832" s="2"/>
      <c r="Q832" s="2"/>
      <c r="R832" s="2"/>
      <c r="S832" s="2"/>
      <c r="T832" s="2"/>
      <c r="U832" s="2"/>
      <c r="V832" s="2"/>
      <c r="W832" s="2"/>
    </row>
    <row r="833">
      <c r="A833" s="2"/>
      <c r="B833" s="2"/>
      <c r="C833" s="2"/>
      <c r="D833" s="2"/>
      <c r="E833" s="2"/>
      <c r="F833" s="2"/>
      <c r="G833" s="2"/>
      <c r="H833" s="2"/>
      <c r="I833" s="2"/>
      <c r="J833" s="2"/>
      <c r="K833" s="2"/>
      <c r="L833" s="2"/>
      <c r="M833" s="2"/>
      <c r="N833" s="2"/>
      <c r="O833" s="2"/>
      <c r="P833" s="2"/>
      <c r="Q833" s="2"/>
      <c r="R833" s="2"/>
      <c r="S833" s="2"/>
      <c r="T833" s="2"/>
      <c r="U833" s="2"/>
      <c r="V833" s="2"/>
      <c r="W833" s="2"/>
    </row>
    <row r="834">
      <c r="A834" s="2"/>
      <c r="B834" s="2"/>
      <c r="C834" s="2"/>
      <c r="D834" s="2"/>
      <c r="E834" s="2"/>
      <c r="F834" s="2"/>
      <c r="G834" s="2"/>
      <c r="H834" s="2"/>
      <c r="I834" s="2"/>
      <c r="J834" s="2"/>
      <c r="K834" s="2"/>
      <c r="L834" s="2"/>
      <c r="M834" s="2"/>
      <c r="N834" s="2"/>
      <c r="O834" s="2"/>
      <c r="P834" s="2"/>
      <c r="Q834" s="2"/>
      <c r="R834" s="2"/>
      <c r="S834" s="2"/>
      <c r="T834" s="2"/>
      <c r="U834" s="2"/>
      <c r="V834" s="2"/>
      <c r="W834" s="2"/>
    </row>
    <row r="835">
      <c r="A835" s="2"/>
      <c r="B835" s="2"/>
      <c r="C835" s="2"/>
      <c r="D835" s="2"/>
      <c r="E835" s="2"/>
      <c r="F835" s="2"/>
      <c r="G835" s="2"/>
      <c r="H835" s="2"/>
      <c r="I835" s="2"/>
      <c r="J835" s="2"/>
      <c r="K835" s="2"/>
      <c r="L835" s="2"/>
      <c r="M835" s="2"/>
      <c r="N835" s="2"/>
      <c r="O835" s="2"/>
      <c r="P835" s="2"/>
      <c r="Q835" s="2"/>
      <c r="R835" s="2"/>
      <c r="S835" s="2"/>
      <c r="T835" s="2"/>
      <c r="U835" s="2"/>
      <c r="V835" s="2"/>
      <c r="W835" s="2"/>
    </row>
    <row r="836">
      <c r="A836" s="2"/>
      <c r="B836" s="2"/>
      <c r="C836" s="2"/>
      <c r="D836" s="2"/>
      <c r="E836" s="2"/>
      <c r="F836" s="2"/>
      <c r="G836" s="2"/>
      <c r="H836" s="2"/>
      <c r="I836" s="2"/>
      <c r="J836" s="2"/>
      <c r="K836" s="2"/>
      <c r="L836" s="2"/>
      <c r="M836" s="2"/>
      <c r="N836" s="2"/>
      <c r="O836" s="2"/>
      <c r="P836" s="2"/>
      <c r="Q836" s="2"/>
      <c r="R836" s="2"/>
      <c r="S836" s="2"/>
      <c r="T836" s="2"/>
      <c r="U836" s="2"/>
      <c r="V836" s="2"/>
      <c r="W836" s="2"/>
    </row>
    <row r="837">
      <c r="A837" s="2"/>
      <c r="B837" s="2"/>
      <c r="C837" s="2"/>
      <c r="D837" s="2"/>
      <c r="E837" s="2"/>
      <c r="F837" s="2"/>
      <c r="G837" s="2"/>
      <c r="H837" s="2"/>
      <c r="I837" s="2"/>
      <c r="J837" s="2"/>
      <c r="K837" s="2"/>
      <c r="L837" s="2"/>
      <c r="M837" s="2"/>
      <c r="N837" s="2"/>
      <c r="O837" s="2"/>
      <c r="P837" s="2"/>
      <c r="Q837" s="2"/>
      <c r="R837" s="2"/>
      <c r="S837" s="2"/>
      <c r="T837" s="2"/>
      <c r="U837" s="2"/>
      <c r="V837" s="2"/>
      <c r="W837" s="2"/>
    </row>
    <row r="838">
      <c r="A838" s="2"/>
      <c r="B838" s="2"/>
      <c r="C838" s="2"/>
      <c r="D838" s="2"/>
      <c r="E838" s="2"/>
      <c r="F838" s="2"/>
      <c r="G838" s="2"/>
      <c r="H838" s="2"/>
      <c r="I838" s="2"/>
      <c r="J838" s="2"/>
      <c r="K838" s="2"/>
      <c r="L838" s="2"/>
      <c r="M838" s="2"/>
      <c r="N838" s="2"/>
      <c r="O838" s="2"/>
      <c r="P838" s="2"/>
      <c r="Q838" s="2"/>
      <c r="R838" s="2"/>
      <c r="S838" s="2"/>
      <c r="T838" s="2"/>
      <c r="U838" s="2"/>
      <c r="V838" s="2"/>
      <c r="W838" s="2"/>
    </row>
    <row r="839">
      <c r="A839" s="2"/>
      <c r="B839" s="2"/>
      <c r="C839" s="2"/>
      <c r="D839" s="2"/>
      <c r="E839" s="2"/>
      <c r="F839" s="2"/>
      <c r="G839" s="2"/>
      <c r="H839" s="2"/>
      <c r="I839" s="2"/>
      <c r="J839" s="2"/>
      <c r="K839" s="2"/>
      <c r="L839" s="2"/>
      <c r="M839" s="2"/>
      <c r="N839" s="2"/>
      <c r="O839" s="2"/>
      <c r="P839" s="2"/>
      <c r="Q839" s="2"/>
      <c r="R839" s="2"/>
      <c r="S839" s="2"/>
      <c r="T839" s="2"/>
      <c r="U839" s="2"/>
      <c r="V839" s="2"/>
      <c r="W839" s="2"/>
    </row>
    <row r="840">
      <c r="A840" s="2"/>
      <c r="B840" s="2"/>
      <c r="C840" s="2"/>
      <c r="D840" s="2"/>
      <c r="E840" s="2"/>
      <c r="F840" s="2"/>
      <c r="G840" s="2"/>
      <c r="H840" s="2"/>
      <c r="I840" s="2"/>
      <c r="J840" s="2"/>
      <c r="K840" s="2"/>
      <c r="L840" s="2"/>
      <c r="M840" s="2"/>
      <c r="N840" s="2"/>
      <c r="O840" s="2"/>
      <c r="P840" s="2"/>
      <c r="Q840" s="2"/>
      <c r="R840" s="2"/>
      <c r="S840" s="2"/>
      <c r="T840" s="2"/>
      <c r="U840" s="2"/>
      <c r="V840" s="2"/>
      <c r="W840" s="2"/>
    </row>
    <row r="841">
      <c r="A841" s="2"/>
      <c r="B841" s="2"/>
      <c r="C841" s="2"/>
      <c r="D841" s="2"/>
      <c r="E841" s="2"/>
      <c r="F841" s="2"/>
      <c r="G841" s="2"/>
      <c r="H841" s="2"/>
      <c r="I841" s="2"/>
      <c r="J841" s="2"/>
      <c r="K841" s="2"/>
      <c r="L841" s="2"/>
      <c r="M841" s="2"/>
      <c r="N841" s="2"/>
      <c r="O841" s="2"/>
      <c r="P841" s="2"/>
      <c r="Q841" s="2"/>
      <c r="R841" s="2"/>
      <c r="S841" s="2"/>
      <c r="T841" s="2"/>
      <c r="U841" s="2"/>
      <c r="V841" s="2"/>
      <c r="W841" s="2"/>
    </row>
    <row r="842">
      <c r="A842" s="2"/>
      <c r="B842" s="2"/>
      <c r="C842" s="2"/>
      <c r="D842" s="2"/>
      <c r="E842" s="2"/>
      <c r="F842" s="2"/>
      <c r="G842" s="2"/>
      <c r="H842" s="2"/>
      <c r="I842" s="2"/>
      <c r="J842" s="2"/>
      <c r="K842" s="2"/>
      <c r="L842" s="2"/>
      <c r="M842" s="2"/>
      <c r="N842" s="2"/>
      <c r="O842" s="2"/>
      <c r="P842" s="2"/>
      <c r="Q842" s="2"/>
      <c r="R842" s="2"/>
      <c r="S842" s="2"/>
      <c r="T842" s="2"/>
      <c r="U842" s="2"/>
      <c r="V842" s="2"/>
      <c r="W842" s="2"/>
    </row>
    <row r="843">
      <c r="A843" s="2"/>
      <c r="B843" s="2"/>
      <c r="C843" s="2"/>
      <c r="D843" s="2"/>
      <c r="E843" s="2"/>
      <c r="F843" s="2"/>
      <c r="G843" s="2"/>
      <c r="H843" s="2"/>
      <c r="I843" s="2"/>
      <c r="J843" s="2"/>
      <c r="K843" s="2"/>
      <c r="L843" s="2"/>
      <c r="M843" s="2"/>
      <c r="N843" s="2"/>
      <c r="O843" s="2"/>
      <c r="P843" s="2"/>
      <c r="Q843" s="2"/>
      <c r="R843" s="2"/>
      <c r="S843" s="2"/>
      <c r="T843" s="2"/>
      <c r="U843" s="2"/>
      <c r="V843" s="2"/>
      <c r="W843" s="2"/>
    </row>
    <row r="844">
      <c r="A844" s="2"/>
      <c r="B844" s="2"/>
      <c r="C844" s="2"/>
      <c r="D844" s="2"/>
      <c r="E844" s="2"/>
      <c r="F844" s="2"/>
      <c r="G844" s="2"/>
      <c r="H844" s="2"/>
      <c r="I844" s="2"/>
      <c r="J844" s="2"/>
      <c r="K844" s="2"/>
      <c r="L844" s="2"/>
      <c r="M844" s="2"/>
      <c r="N844" s="2"/>
      <c r="O844" s="2"/>
      <c r="P844" s="2"/>
      <c r="Q844" s="2"/>
      <c r="R844" s="2"/>
      <c r="S844" s="2"/>
      <c r="T844" s="2"/>
      <c r="U844" s="2"/>
      <c r="V844" s="2"/>
      <c r="W844" s="2"/>
    </row>
    <row r="845">
      <c r="A845" s="2"/>
      <c r="B845" s="2"/>
      <c r="C845" s="2"/>
      <c r="D845" s="2"/>
      <c r="E845" s="2"/>
      <c r="F845" s="2"/>
      <c r="G845" s="2"/>
      <c r="H845" s="2"/>
      <c r="I845" s="2"/>
      <c r="J845" s="2"/>
      <c r="K845" s="2"/>
      <c r="L845" s="2"/>
      <c r="M845" s="2"/>
      <c r="N845" s="2"/>
      <c r="O845" s="2"/>
      <c r="P845" s="2"/>
      <c r="Q845" s="2"/>
      <c r="R845" s="2"/>
      <c r="S845" s="2"/>
      <c r="T845" s="2"/>
      <c r="U845" s="2"/>
      <c r="V845" s="2"/>
      <c r="W845" s="2"/>
    </row>
    <row r="846">
      <c r="A846" s="2"/>
      <c r="B846" s="2"/>
      <c r="C846" s="2"/>
      <c r="D846" s="2"/>
      <c r="E846" s="2"/>
      <c r="F846" s="2"/>
      <c r="G846" s="2"/>
      <c r="H846" s="2"/>
      <c r="I846" s="2"/>
      <c r="J846" s="2"/>
      <c r="K846" s="2"/>
      <c r="L846" s="2"/>
      <c r="M846" s="2"/>
      <c r="N846" s="2"/>
      <c r="O846" s="2"/>
      <c r="P846" s="2"/>
      <c r="Q846" s="2"/>
      <c r="R846" s="2"/>
      <c r="S846" s="2"/>
      <c r="T846" s="2"/>
      <c r="U846" s="2"/>
      <c r="V846" s="2"/>
      <c r="W846" s="2"/>
    </row>
    <row r="847">
      <c r="A847" s="2"/>
      <c r="B847" s="2"/>
      <c r="C847" s="2"/>
      <c r="D847" s="2"/>
      <c r="E847" s="2"/>
      <c r="F847" s="2"/>
      <c r="G847" s="2"/>
      <c r="H847" s="2"/>
      <c r="I847" s="2"/>
      <c r="J847" s="2"/>
      <c r="K847" s="2"/>
      <c r="L847" s="2"/>
      <c r="M847" s="2"/>
      <c r="N847" s="2"/>
      <c r="O847" s="2"/>
      <c r="P847" s="2"/>
      <c r="Q847" s="2"/>
      <c r="R847" s="2"/>
      <c r="S847" s="2"/>
      <c r="T847" s="2"/>
      <c r="U847" s="2"/>
      <c r="V847" s="2"/>
      <c r="W847" s="2"/>
    </row>
    <row r="848">
      <c r="A848" s="2"/>
      <c r="B848" s="2"/>
      <c r="C848" s="2"/>
      <c r="D848" s="2"/>
      <c r="E848" s="2"/>
      <c r="F848" s="2"/>
      <c r="G848" s="2"/>
      <c r="H848" s="2"/>
      <c r="I848" s="2"/>
      <c r="J848" s="2"/>
      <c r="K848" s="2"/>
      <c r="L848" s="2"/>
      <c r="M848" s="2"/>
      <c r="N848" s="2"/>
      <c r="O848" s="2"/>
      <c r="P848" s="2"/>
      <c r="Q848" s="2"/>
      <c r="R848" s="2"/>
      <c r="S848" s="2"/>
      <c r="T848" s="2"/>
      <c r="U848" s="2"/>
      <c r="V848" s="2"/>
      <c r="W848" s="2"/>
    </row>
    <row r="849">
      <c r="A849" s="2"/>
      <c r="B849" s="2"/>
      <c r="C849" s="2"/>
      <c r="D849" s="2"/>
      <c r="E849" s="2"/>
      <c r="F849" s="2"/>
      <c r="G849" s="2"/>
      <c r="H849" s="2"/>
      <c r="I849" s="2"/>
      <c r="J849" s="2"/>
      <c r="K849" s="2"/>
      <c r="L849" s="2"/>
      <c r="M849" s="2"/>
      <c r="N849" s="2"/>
      <c r="O849" s="2"/>
      <c r="P849" s="2"/>
      <c r="Q849" s="2"/>
      <c r="R849" s="2"/>
      <c r="S849" s="2"/>
      <c r="T849" s="2"/>
      <c r="U849" s="2"/>
      <c r="V849" s="2"/>
      <c r="W849" s="2"/>
    </row>
    <row r="850">
      <c r="A850" s="2"/>
      <c r="B850" s="2"/>
      <c r="C850" s="2"/>
      <c r="D850" s="2"/>
      <c r="E850" s="2"/>
      <c r="F850" s="2"/>
      <c r="G850" s="2"/>
      <c r="H850" s="2"/>
      <c r="I850" s="2"/>
      <c r="J850" s="2"/>
      <c r="K850" s="2"/>
      <c r="L850" s="2"/>
      <c r="M850" s="2"/>
      <c r="N850" s="2"/>
      <c r="O850" s="2"/>
      <c r="P850" s="2"/>
      <c r="Q850" s="2"/>
      <c r="R850" s="2"/>
      <c r="S850" s="2"/>
      <c r="T850" s="2"/>
      <c r="U850" s="2"/>
      <c r="V850" s="2"/>
      <c r="W850" s="2"/>
    </row>
    <row r="851">
      <c r="A851" s="2"/>
      <c r="B851" s="2"/>
      <c r="C851" s="2"/>
      <c r="D851" s="2"/>
      <c r="E851" s="2"/>
      <c r="F851" s="2"/>
      <c r="G851" s="2"/>
      <c r="H851" s="2"/>
      <c r="I851" s="2"/>
      <c r="J851" s="2"/>
      <c r="K851" s="2"/>
      <c r="L851" s="2"/>
      <c r="M851" s="2"/>
      <c r="N851" s="2"/>
      <c r="O851" s="2"/>
      <c r="P851" s="2"/>
      <c r="Q851" s="2"/>
      <c r="R851" s="2"/>
      <c r="S851" s="2"/>
      <c r="T851" s="2"/>
      <c r="U851" s="2"/>
      <c r="V851" s="2"/>
      <c r="W851" s="2"/>
    </row>
    <row r="852">
      <c r="A852" s="2"/>
      <c r="B852" s="2"/>
      <c r="C852" s="2"/>
      <c r="D852" s="2"/>
      <c r="E852" s="2"/>
      <c r="F852" s="2"/>
      <c r="G852" s="2"/>
      <c r="H852" s="2"/>
      <c r="I852" s="2"/>
      <c r="J852" s="2"/>
      <c r="K852" s="2"/>
      <c r="L852" s="2"/>
      <c r="M852" s="2"/>
      <c r="N852" s="2"/>
      <c r="O852" s="2"/>
      <c r="P852" s="2"/>
      <c r="Q852" s="2"/>
      <c r="R852" s="2"/>
      <c r="S852" s="2"/>
      <c r="T852" s="2"/>
      <c r="U852" s="2"/>
      <c r="V852" s="2"/>
      <c r="W852" s="2"/>
    </row>
    <row r="853">
      <c r="A853" s="2"/>
      <c r="B853" s="2"/>
      <c r="C853" s="2"/>
      <c r="D853" s="2"/>
      <c r="E853" s="2"/>
      <c r="F853" s="2"/>
      <c r="G853" s="2"/>
      <c r="H853" s="2"/>
      <c r="I853" s="2"/>
      <c r="J853" s="2"/>
      <c r="K853" s="2"/>
      <c r="L853" s="2"/>
      <c r="M853" s="2"/>
      <c r="N853" s="2"/>
      <c r="O853" s="2"/>
      <c r="P853" s="2"/>
      <c r="Q853" s="2"/>
      <c r="R853" s="2"/>
      <c r="S853" s="2"/>
      <c r="T853" s="2"/>
      <c r="U853" s="2"/>
      <c r="V853" s="2"/>
      <c r="W853" s="2"/>
    </row>
    <row r="854">
      <c r="A854" s="2"/>
      <c r="B854" s="2"/>
      <c r="C854" s="2"/>
      <c r="D854" s="2"/>
      <c r="E854" s="2"/>
      <c r="F854" s="2"/>
      <c r="G854" s="2"/>
      <c r="H854" s="2"/>
      <c r="I854" s="2"/>
      <c r="J854" s="2"/>
      <c r="K854" s="2"/>
      <c r="L854" s="2"/>
      <c r="M854" s="2"/>
      <c r="N854" s="2"/>
      <c r="O854" s="2"/>
      <c r="P854" s="2"/>
      <c r="Q854" s="2"/>
      <c r="R854" s="2"/>
      <c r="S854" s="2"/>
      <c r="T854" s="2"/>
      <c r="U854" s="2"/>
      <c r="V854" s="2"/>
      <c r="W854" s="2"/>
    </row>
    <row r="855">
      <c r="A855" s="2"/>
      <c r="B855" s="2"/>
      <c r="C855" s="2"/>
      <c r="D855" s="2"/>
      <c r="E855" s="2"/>
      <c r="F855" s="2"/>
      <c r="G855" s="2"/>
      <c r="H855" s="2"/>
      <c r="I855" s="2"/>
      <c r="J855" s="2"/>
      <c r="K855" s="2"/>
      <c r="L855" s="2"/>
      <c r="M855" s="2"/>
      <c r="N855" s="2"/>
      <c r="O855" s="2"/>
      <c r="P855" s="2"/>
      <c r="Q855" s="2"/>
      <c r="R855" s="2"/>
      <c r="S855" s="2"/>
      <c r="T855" s="2"/>
      <c r="U855" s="2"/>
      <c r="V855" s="2"/>
      <c r="W855" s="2"/>
    </row>
    <row r="856">
      <c r="A856" s="2"/>
      <c r="B856" s="2"/>
      <c r="C856" s="2"/>
      <c r="D856" s="2"/>
      <c r="E856" s="2"/>
      <c r="F856" s="2"/>
      <c r="G856" s="2"/>
      <c r="H856" s="2"/>
      <c r="I856" s="2"/>
      <c r="J856" s="2"/>
      <c r="K856" s="2"/>
      <c r="L856" s="2"/>
      <c r="M856" s="2"/>
      <c r="N856" s="2"/>
      <c r="O856" s="2"/>
      <c r="P856" s="2"/>
      <c r="Q856" s="2"/>
      <c r="R856" s="2"/>
      <c r="S856" s="2"/>
      <c r="T856" s="2"/>
      <c r="U856" s="2"/>
      <c r="V856" s="2"/>
      <c r="W856" s="2"/>
    </row>
    <row r="857">
      <c r="A857" s="2"/>
      <c r="B857" s="2"/>
      <c r="C857" s="2"/>
      <c r="D857" s="2"/>
      <c r="E857" s="2"/>
      <c r="F857" s="2"/>
      <c r="G857" s="2"/>
      <c r="H857" s="2"/>
      <c r="I857" s="2"/>
      <c r="J857" s="2"/>
      <c r="K857" s="2"/>
      <c r="L857" s="2"/>
      <c r="M857" s="2"/>
      <c r="N857" s="2"/>
      <c r="O857" s="2"/>
      <c r="P857" s="2"/>
      <c r="Q857" s="2"/>
      <c r="R857" s="2"/>
      <c r="S857" s="2"/>
      <c r="T857" s="2"/>
      <c r="U857" s="2"/>
      <c r="V857" s="2"/>
      <c r="W857" s="2"/>
    </row>
    <row r="858">
      <c r="A858" s="2"/>
      <c r="B858" s="2"/>
      <c r="C858" s="2"/>
      <c r="D858" s="2"/>
      <c r="E858" s="2"/>
      <c r="F858" s="2"/>
      <c r="G858" s="2"/>
      <c r="H858" s="2"/>
      <c r="I858" s="2"/>
      <c r="J858" s="2"/>
      <c r="K858" s="2"/>
      <c r="L858" s="2"/>
      <c r="M858" s="2"/>
      <c r="N858" s="2"/>
      <c r="O858" s="2"/>
      <c r="P858" s="2"/>
      <c r="Q858" s="2"/>
      <c r="R858" s="2"/>
      <c r="S858" s="2"/>
      <c r="T858" s="2"/>
      <c r="U858" s="2"/>
      <c r="V858" s="2"/>
      <c r="W858" s="2"/>
    </row>
    <row r="859">
      <c r="A859" s="2"/>
      <c r="B859" s="2"/>
      <c r="C859" s="2"/>
      <c r="D859" s="2"/>
      <c r="E859" s="2"/>
      <c r="F859" s="2"/>
      <c r="G859" s="2"/>
      <c r="H859" s="2"/>
      <c r="I859" s="2"/>
      <c r="J859" s="2"/>
      <c r="K859" s="2"/>
      <c r="L859" s="2"/>
      <c r="M859" s="2"/>
      <c r="N859" s="2"/>
      <c r="O859" s="2"/>
      <c r="P859" s="2"/>
      <c r="Q859" s="2"/>
      <c r="R859" s="2"/>
      <c r="S859" s="2"/>
      <c r="T859" s="2"/>
      <c r="U859" s="2"/>
      <c r="V859" s="2"/>
      <c r="W859" s="2"/>
    </row>
    <row r="860">
      <c r="A860" s="2"/>
      <c r="B860" s="2"/>
      <c r="C860" s="2"/>
      <c r="D860" s="2"/>
      <c r="E860" s="2"/>
      <c r="F860" s="2"/>
      <c r="G860" s="2"/>
      <c r="H860" s="2"/>
      <c r="I860" s="2"/>
      <c r="J860" s="2"/>
      <c r="K860" s="2"/>
      <c r="L860" s="2"/>
      <c r="M860" s="2"/>
      <c r="N860" s="2"/>
      <c r="O860" s="2"/>
      <c r="P860" s="2"/>
      <c r="Q860" s="2"/>
      <c r="R860" s="2"/>
      <c r="S860" s="2"/>
      <c r="T860" s="2"/>
      <c r="U860" s="2"/>
      <c r="V860" s="2"/>
      <c r="W860" s="2"/>
    </row>
    <row r="861">
      <c r="A861" s="2"/>
      <c r="B861" s="2"/>
      <c r="C861" s="2"/>
      <c r="D861" s="2"/>
      <c r="E861" s="2"/>
      <c r="F861" s="2"/>
      <c r="G861" s="2"/>
      <c r="H861" s="2"/>
      <c r="I861" s="2"/>
      <c r="J861" s="2"/>
      <c r="K861" s="2"/>
      <c r="L861" s="2"/>
      <c r="M861" s="2"/>
      <c r="N861" s="2"/>
      <c r="O861" s="2"/>
      <c r="P861" s="2"/>
      <c r="Q861" s="2"/>
      <c r="R861" s="2"/>
      <c r="S861" s="2"/>
      <c r="T861" s="2"/>
      <c r="U861" s="2"/>
      <c r="V861" s="2"/>
      <c r="W861" s="2"/>
    </row>
    <row r="862">
      <c r="A862" s="2"/>
      <c r="B862" s="2"/>
      <c r="C862" s="2"/>
      <c r="D862" s="2"/>
      <c r="E862" s="2"/>
      <c r="F862" s="2"/>
      <c r="G862" s="2"/>
      <c r="H862" s="2"/>
      <c r="I862" s="2"/>
      <c r="J862" s="2"/>
      <c r="K862" s="2"/>
      <c r="L862" s="2"/>
      <c r="M862" s="2"/>
      <c r="N862" s="2"/>
      <c r="O862" s="2"/>
      <c r="P862" s="2"/>
      <c r="Q862" s="2"/>
      <c r="R862" s="2"/>
      <c r="S862" s="2"/>
      <c r="T862" s="2"/>
      <c r="U862" s="2"/>
      <c r="V862" s="2"/>
      <c r="W862" s="2"/>
    </row>
    <row r="863">
      <c r="A863" s="2"/>
      <c r="B863" s="2"/>
      <c r="C863" s="2"/>
      <c r="D863" s="2"/>
      <c r="E863" s="2"/>
      <c r="F863" s="2"/>
      <c r="G863" s="2"/>
      <c r="H863" s="2"/>
      <c r="I863" s="2"/>
      <c r="J863" s="2"/>
      <c r="K863" s="2"/>
      <c r="L863" s="2"/>
      <c r="M863" s="2"/>
      <c r="N863" s="2"/>
      <c r="O863" s="2"/>
      <c r="P863" s="2"/>
      <c r="Q863" s="2"/>
      <c r="R863" s="2"/>
      <c r="S863" s="2"/>
      <c r="T863" s="2"/>
      <c r="U863" s="2"/>
      <c r="V863" s="2"/>
      <c r="W863" s="2"/>
    </row>
    <row r="864">
      <c r="A864" s="2"/>
      <c r="B864" s="2"/>
      <c r="C864" s="2"/>
      <c r="D864" s="2"/>
      <c r="E864" s="2"/>
      <c r="F864" s="2"/>
      <c r="G864" s="2"/>
      <c r="H864" s="2"/>
      <c r="I864" s="2"/>
      <c r="J864" s="2"/>
      <c r="K864" s="2"/>
      <c r="L864" s="2"/>
      <c r="M864" s="2"/>
      <c r="N864" s="2"/>
      <c r="O864" s="2"/>
      <c r="P864" s="2"/>
      <c r="Q864" s="2"/>
      <c r="R864" s="2"/>
      <c r="S864" s="2"/>
      <c r="T864" s="2"/>
      <c r="U864" s="2"/>
      <c r="V864" s="2"/>
      <c r="W864" s="2"/>
    </row>
    <row r="865">
      <c r="A865" s="2"/>
      <c r="B865" s="2"/>
      <c r="C865" s="2"/>
      <c r="D865" s="2"/>
      <c r="E865" s="2"/>
      <c r="F865" s="2"/>
      <c r="G865" s="2"/>
      <c r="H865" s="2"/>
      <c r="I865" s="2"/>
      <c r="J865" s="2"/>
      <c r="K865" s="2"/>
      <c r="L865" s="2"/>
      <c r="M865" s="2"/>
      <c r="N865" s="2"/>
      <c r="O865" s="2"/>
      <c r="P865" s="2"/>
      <c r="Q865" s="2"/>
      <c r="R865" s="2"/>
      <c r="S865" s="2"/>
      <c r="T865" s="2"/>
      <c r="U865" s="2"/>
      <c r="V865" s="2"/>
      <c r="W865" s="2"/>
    </row>
    <row r="866">
      <c r="A866" s="2"/>
      <c r="B866" s="2"/>
      <c r="C866" s="2"/>
      <c r="D866" s="2"/>
      <c r="E866" s="2"/>
      <c r="F866" s="2"/>
      <c r="G866" s="2"/>
      <c r="H866" s="2"/>
      <c r="I866" s="2"/>
      <c r="J866" s="2"/>
      <c r="K866" s="2"/>
      <c r="L866" s="2"/>
      <c r="M866" s="2"/>
      <c r="N866" s="2"/>
      <c r="O866" s="2"/>
      <c r="P866" s="2"/>
      <c r="Q866" s="2"/>
      <c r="R866" s="2"/>
      <c r="S866" s="2"/>
      <c r="T866" s="2"/>
      <c r="U866" s="2"/>
      <c r="V866" s="2"/>
      <c r="W866" s="2"/>
    </row>
    <row r="867">
      <c r="A867" s="2"/>
      <c r="B867" s="2"/>
      <c r="C867" s="2"/>
      <c r="D867" s="2"/>
      <c r="E867" s="2"/>
      <c r="F867" s="2"/>
      <c r="G867" s="2"/>
      <c r="H867" s="2"/>
      <c r="I867" s="2"/>
      <c r="J867" s="2"/>
      <c r="K867" s="2"/>
      <c r="L867" s="2"/>
      <c r="M867" s="2"/>
      <c r="N867" s="2"/>
      <c r="O867" s="2"/>
      <c r="P867" s="2"/>
      <c r="Q867" s="2"/>
      <c r="R867" s="2"/>
      <c r="S867" s="2"/>
      <c r="T867" s="2"/>
      <c r="U867" s="2"/>
      <c r="V867" s="2"/>
      <c r="W867" s="2"/>
    </row>
    <row r="868">
      <c r="A868" s="2"/>
      <c r="B868" s="2"/>
      <c r="C868" s="2"/>
      <c r="D868" s="2"/>
      <c r="E868" s="2"/>
      <c r="F868" s="2"/>
      <c r="G868" s="2"/>
      <c r="H868" s="2"/>
      <c r="I868" s="2"/>
      <c r="J868" s="2"/>
      <c r="K868" s="2"/>
      <c r="L868" s="2"/>
      <c r="M868" s="2"/>
      <c r="N868" s="2"/>
      <c r="O868" s="2"/>
      <c r="P868" s="2"/>
      <c r="Q868" s="2"/>
      <c r="R868" s="2"/>
      <c r="S868" s="2"/>
      <c r="T868" s="2"/>
      <c r="U868" s="2"/>
      <c r="V868" s="2"/>
      <c r="W868" s="2"/>
    </row>
    <row r="869">
      <c r="A869" s="2"/>
      <c r="B869" s="2"/>
      <c r="C869" s="2"/>
      <c r="D869" s="2"/>
      <c r="E869" s="2"/>
      <c r="F869" s="2"/>
      <c r="G869" s="2"/>
      <c r="H869" s="2"/>
      <c r="I869" s="2"/>
      <c r="J869" s="2"/>
      <c r="K869" s="2"/>
      <c r="L869" s="2"/>
      <c r="M869" s="2"/>
      <c r="N869" s="2"/>
      <c r="O869" s="2"/>
      <c r="P869" s="2"/>
      <c r="Q869" s="2"/>
      <c r="R869" s="2"/>
      <c r="S869" s="2"/>
      <c r="T869" s="2"/>
      <c r="U869" s="2"/>
      <c r="V869" s="2"/>
      <c r="W869" s="2"/>
    </row>
    <row r="870">
      <c r="A870" s="2"/>
      <c r="B870" s="2"/>
      <c r="C870" s="2"/>
      <c r="D870" s="2"/>
      <c r="E870" s="2"/>
      <c r="F870" s="2"/>
      <c r="G870" s="2"/>
      <c r="H870" s="2"/>
      <c r="I870" s="2"/>
      <c r="J870" s="2"/>
      <c r="K870" s="2"/>
      <c r="L870" s="2"/>
      <c r="M870" s="2"/>
      <c r="N870" s="2"/>
      <c r="O870" s="2"/>
      <c r="P870" s="2"/>
      <c r="Q870" s="2"/>
      <c r="R870" s="2"/>
      <c r="S870" s="2"/>
      <c r="T870" s="2"/>
      <c r="U870" s="2"/>
      <c r="V870" s="2"/>
      <c r="W870" s="2"/>
    </row>
    <row r="871">
      <c r="A871" s="2"/>
      <c r="B871" s="2"/>
      <c r="C871" s="2"/>
      <c r="D871" s="2"/>
      <c r="E871" s="2"/>
      <c r="F871" s="2"/>
      <c r="G871" s="2"/>
      <c r="H871" s="2"/>
      <c r="I871" s="2"/>
      <c r="J871" s="2"/>
      <c r="K871" s="2"/>
      <c r="L871" s="2"/>
      <c r="M871" s="2"/>
      <c r="N871" s="2"/>
      <c r="O871" s="2"/>
      <c r="P871" s="2"/>
      <c r="Q871" s="2"/>
      <c r="R871" s="2"/>
      <c r="S871" s="2"/>
      <c r="T871" s="2"/>
      <c r="U871" s="2"/>
      <c r="V871" s="2"/>
      <c r="W871" s="2"/>
    </row>
    <row r="872">
      <c r="A872" s="2"/>
      <c r="B872" s="2"/>
      <c r="C872" s="2"/>
      <c r="D872" s="2"/>
      <c r="E872" s="2"/>
      <c r="F872" s="2"/>
      <c r="G872" s="2"/>
      <c r="H872" s="2"/>
      <c r="I872" s="2"/>
      <c r="J872" s="2"/>
      <c r="K872" s="2"/>
      <c r="L872" s="2"/>
      <c r="M872" s="2"/>
      <c r="N872" s="2"/>
      <c r="O872" s="2"/>
      <c r="P872" s="2"/>
      <c r="Q872" s="2"/>
      <c r="R872" s="2"/>
      <c r="S872" s="2"/>
      <c r="T872" s="2"/>
      <c r="U872" s="2"/>
      <c r="V872" s="2"/>
      <c r="W872" s="2"/>
    </row>
    <row r="873">
      <c r="A873" s="2"/>
      <c r="B873" s="2"/>
      <c r="C873" s="2"/>
      <c r="D873" s="2"/>
      <c r="E873" s="2"/>
      <c r="F873" s="2"/>
      <c r="G873" s="2"/>
      <c r="H873" s="2"/>
      <c r="I873" s="2"/>
      <c r="J873" s="2"/>
      <c r="K873" s="2"/>
      <c r="L873" s="2"/>
      <c r="M873" s="2"/>
      <c r="N873" s="2"/>
      <c r="O873" s="2"/>
      <c r="P873" s="2"/>
      <c r="Q873" s="2"/>
      <c r="R873" s="2"/>
      <c r="S873" s="2"/>
      <c r="T873" s="2"/>
      <c r="U873" s="2"/>
      <c r="V873" s="2"/>
      <c r="W873" s="2"/>
    </row>
    <row r="874">
      <c r="A874" s="2"/>
      <c r="B874" s="2"/>
      <c r="C874" s="2"/>
      <c r="D874" s="2"/>
      <c r="E874" s="2"/>
      <c r="F874" s="2"/>
      <c r="G874" s="2"/>
      <c r="H874" s="2"/>
      <c r="I874" s="2"/>
      <c r="J874" s="2"/>
      <c r="K874" s="2"/>
      <c r="L874" s="2"/>
      <c r="M874" s="2"/>
      <c r="N874" s="2"/>
      <c r="O874" s="2"/>
      <c r="P874" s="2"/>
      <c r="Q874" s="2"/>
      <c r="R874" s="2"/>
      <c r="S874" s="2"/>
      <c r="T874" s="2"/>
      <c r="U874" s="2"/>
      <c r="V874" s="2"/>
      <c r="W874" s="2"/>
    </row>
    <row r="875">
      <c r="A875" s="2"/>
      <c r="B875" s="2"/>
      <c r="C875" s="2"/>
      <c r="D875" s="2"/>
      <c r="E875" s="2"/>
      <c r="F875" s="2"/>
      <c r="G875" s="2"/>
      <c r="H875" s="2"/>
      <c r="I875" s="2"/>
      <c r="J875" s="2"/>
      <c r="K875" s="2"/>
      <c r="L875" s="2"/>
      <c r="M875" s="2"/>
      <c r="N875" s="2"/>
      <c r="O875" s="2"/>
      <c r="P875" s="2"/>
      <c r="Q875" s="2"/>
      <c r="R875" s="2"/>
      <c r="S875" s="2"/>
      <c r="T875" s="2"/>
      <c r="U875" s="2"/>
      <c r="V875" s="2"/>
      <c r="W875" s="2"/>
    </row>
    <row r="876">
      <c r="A876" s="2"/>
      <c r="B876" s="2"/>
      <c r="C876" s="2"/>
      <c r="D876" s="2"/>
      <c r="E876" s="2"/>
      <c r="F876" s="2"/>
      <c r="G876" s="2"/>
      <c r="H876" s="2"/>
      <c r="I876" s="2"/>
      <c r="J876" s="2"/>
      <c r="K876" s="2"/>
      <c r="L876" s="2"/>
      <c r="M876" s="2"/>
      <c r="N876" s="2"/>
      <c r="O876" s="2"/>
      <c r="P876" s="2"/>
      <c r="Q876" s="2"/>
      <c r="R876" s="2"/>
      <c r="S876" s="2"/>
      <c r="T876" s="2"/>
      <c r="U876" s="2"/>
      <c r="V876" s="2"/>
      <c r="W876" s="2"/>
    </row>
    <row r="877">
      <c r="A877" s="2"/>
      <c r="B877" s="2"/>
      <c r="C877" s="2"/>
      <c r="D877" s="2"/>
      <c r="E877" s="2"/>
      <c r="F877" s="2"/>
      <c r="G877" s="2"/>
      <c r="H877" s="2"/>
      <c r="I877" s="2"/>
      <c r="J877" s="2"/>
      <c r="K877" s="2"/>
      <c r="L877" s="2"/>
      <c r="M877" s="2"/>
      <c r="N877" s="2"/>
      <c r="O877" s="2"/>
      <c r="P877" s="2"/>
      <c r="Q877" s="2"/>
      <c r="R877" s="2"/>
      <c r="S877" s="2"/>
      <c r="T877" s="2"/>
      <c r="U877" s="2"/>
      <c r="V877" s="2"/>
      <c r="W877" s="2"/>
    </row>
    <row r="878">
      <c r="A878" s="2"/>
      <c r="B878" s="2"/>
      <c r="C878" s="2"/>
      <c r="D878" s="2"/>
      <c r="E878" s="2"/>
      <c r="F878" s="2"/>
      <c r="G878" s="2"/>
      <c r="H878" s="2"/>
      <c r="I878" s="2"/>
      <c r="J878" s="2"/>
      <c r="K878" s="2"/>
      <c r="L878" s="2"/>
      <c r="M878" s="2"/>
      <c r="N878" s="2"/>
      <c r="O878" s="2"/>
      <c r="P878" s="2"/>
      <c r="Q878" s="2"/>
      <c r="R878" s="2"/>
      <c r="S878" s="2"/>
      <c r="T878" s="2"/>
      <c r="U878" s="2"/>
      <c r="V878" s="2"/>
      <c r="W878" s="2"/>
    </row>
    <row r="879">
      <c r="A879" s="2"/>
      <c r="B879" s="2"/>
      <c r="C879" s="2"/>
      <c r="D879" s="2"/>
      <c r="E879" s="2"/>
      <c r="F879" s="2"/>
      <c r="G879" s="2"/>
      <c r="H879" s="2"/>
      <c r="I879" s="2"/>
      <c r="J879" s="2"/>
      <c r="K879" s="2"/>
      <c r="L879" s="2"/>
      <c r="M879" s="2"/>
      <c r="N879" s="2"/>
      <c r="O879" s="2"/>
      <c r="P879" s="2"/>
      <c r="Q879" s="2"/>
      <c r="R879" s="2"/>
      <c r="S879" s="2"/>
      <c r="T879" s="2"/>
      <c r="U879" s="2"/>
      <c r="V879" s="2"/>
      <c r="W879" s="2"/>
    </row>
    <row r="880">
      <c r="A880" s="2"/>
      <c r="B880" s="2"/>
      <c r="C880" s="2"/>
      <c r="D880" s="2"/>
      <c r="E880" s="2"/>
      <c r="F880" s="2"/>
      <c r="G880" s="2"/>
      <c r="H880" s="2"/>
      <c r="I880" s="2"/>
      <c r="J880" s="2"/>
      <c r="K880" s="2"/>
      <c r="L880" s="2"/>
      <c r="M880" s="2"/>
      <c r="N880" s="2"/>
      <c r="O880" s="2"/>
      <c r="P880" s="2"/>
      <c r="Q880" s="2"/>
      <c r="R880" s="2"/>
      <c r="S880" s="2"/>
      <c r="T880" s="2"/>
      <c r="U880" s="2"/>
      <c r="V880" s="2"/>
      <c r="W880" s="2"/>
    </row>
    <row r="881">
      <c r="A881" s="2"/>
      <c r="B881" s="2"/>
      <c r="C881" s="2"/>
      <c r="D881" s="2"/>
      <c r="E881" s="2"/>
      <c r="F881" s="2"/>
      <c r="G881" s="2"/>
      <c r="H881" s="2"/>
      <c r="I881" s="2"/>
      <c r="J881" s="2"/>
      <c r="K881" s="2"/>
      <c r="L881" s="2"/>
      <c r="M881" s="2"/>
      <c r="N881" s="2"/>
      <c r="O881" s="2"/>
      <c r="P881" s="2"/>
      <c r="Q881" s="2"/>
      <c r="R881" s="2"/>
      <c r="S881" s="2"/>
      <c r="T881" s="2"/>
      <c r="U881" s="2"/>
      <c r="V881" s="2"/>
      <c r="W881" s="2"/>
    </row>
    <row r="882">
      <c r="A882" s="2"/>
      <c r="B882" s="2"/>
      <c r="C882" s="2"/>
      <c r="D882" s="2"/>
      <c r="E882" s="2"/>
      <c r="F882" s="2"/>
      <c r="G882" s="2"/>
      <c r="H882" s="2"/>
      <c r="I882" s="2"/>
      <c r="J882" s="2"/>
      <c r="K882" s="2"/>
      <c r="L882" s="2"/>
      <c r="M882" s="2"/>
      <c r="N882" s="2"/>
      <c r="O882" s="2"/>
      <c r="P882" s="2"/>
      <c r="Q882" s="2"/>
      <c r="R882" s="2"/>
      <c r="S882" s="2"/>
      <c r="T882" s="2"/>
      <c r="U882" s="2"/>
      <c r="V882" s="2"/>
      <c r="W882" s="2"/>
    </row>
    <row r="883">
      <c r="A883" s="2"/>
      <c r="B883" s="2"/>
      <c r="C883" s="2"/>
      <c r="D883" s="2"/>
      <c r="E883" s="2"/>
      <c r="F883" s="2"/>
      <c r="G883" s="2"/>
      <c r="H883" s="2"/>
      <c r="I883" s="2"/>
      <c r="J883" s="2"/>
      <c r="K883" s="2"/>
      <c r="L883" s="2"/>
      <c r="M883" s="2"/>
      <c r="N883" s="2"/>
      <c r="O883" s="2"/>
      <c r="P883" s="2"/>
      <c r="Q883" s="2"/>
      <c r="R883" s="2"/>
      <c r="S883" s="2"/>
      <c r="T883" s="2"/>
      <c r="U883" s="2"/>
      <c r="V883" s="2"/>
      <c r="W883" s="2"/>
    </row>
    <row r="884">
      <c r="A884" s="2"/>
      <c r="B884" s="2"/>
      <c r="C884" s="2"/>
      <c r="D884" s="2"/>
      <c r="E884" s="2"/>
      <c r="F884" s="2"/>
      <c r="G884" s="2"/>
      <c r="H884" s="2"/>
      <c r="I884" s="2"/>
      <c r="J884" s="2"/>
      <c r="K884" s="2"/>
      <c r="L884" s="2"/>
      <c r="M884" s="2"/>
      <c r="N884" s="2"/>
      <c r="O884" s="2"/>
      <c r="P884" s="2"/>
      <c r="Q884" s="2"/>
      <c r="R884" s="2"/>
      <c r="S884" s="2"/>
      <c r="T884" s="2"/>
      <c r="U884" s="2"/>
      <c r="V884" s="2"/>
      <c r="W884" s="2"/>
    </row>
    <row r="885">
      <c r="A885" s="2"/>
      <c r="B885" s="2"/>
      <c r="C885" s="2"/>
      <c r="D885" s="2"/>
      <c r="E885" s="2"/>
      <c r="F885" s="2"/>
      <c r="G885" s="2"/>
      <c r="H885" s="2"/>
      <c r="I885" s="2"/>
      <c r="J885" s="2"/>
      <c r="K885" s="2"/>
      <c r="L885" s="2"/>
      <c r="M885" s="2"/>
      <c r="N885" s="2"/>
      <c r="O885" s="2"/>
      <c r="P885" s="2"/>
      <c r="Q885" s="2"/>
      <c r="R885" s="2"/>
      <c r="S885" s="2"/>
      <c r="T885" s="2"/>
      <c r="U885" s="2"/>
      <c r="V885" s="2"/>
      <c r="W885" s="2"/>
    </row>
    <row r="886">
      <c r="A886" s="2"/>
      <c r="B886" s="2"/>
      <c r="C886" s="2"/>
      <c r="D886" s="2"/>
      <c r="E886" s="2"/>
      <c r="F886" s="2"/>
      <c r="G886" s="2"/>
      <c r="H886" s="2"/>
      <c r="I886" s="2"/>
      <c r="J886" s="2"/>
      <c r="K886" s="2"/>
      <c r="L886" s="2"/>
      <c r="M886" s="2"/>
      <c r="N886" s="2"/>
      <c r="O886" s="2"/>
      <c r="P886" s="2"/>
      <c r="Q886" s="2"/>
      <c r="R886" s="2"/>
      <c r="S886" s="2"/>
      <c r="T886" s="2"/>
      <c r="U886" s="2"/>
      <c r="V886" s="2"/>
      <c r="W886" s="2"/>
    </row>
    <row r="887">
      <c r="A887" s="2"/>
      <c r="B887" s="2"/>
      <c r="C887" s="2"/>
      <c r="D887" s="2"/>
      <c r="E887" s="2"/>
      <c r="F887" s="2"/>
      <c r="G887" s="2"/>
      <c r="H887" s="2"/>
      <c r="I887" s="2"/>
      <c r="J887" s="2"/>
      <c r="K887" s="2"/>
      <c r="L887" s="2"/>
      <c r="M887" s="2"/>
      <c r="N887" s="2"/>
      <c r="O887" s="2"/>
      <c r="P887" s="2"/>
      <c r="Q887" s="2"/>
      <c r="R887" s="2"/>
      <c r="S887" s="2"/>
      <c r="T887" s="2"/>
      <c r="U887" s="2"/>
      <c r="V887" s="2"/>
      <c r="W887" s="2"/>
    </row>
    <row r="888">
      <c r="A888" s="2"/>
      <c r="B888" s="2"/>
      <c r="C888" s="2"/>
      <c r="D888" s="2"/>
      <c r="E888" s="2"/>
      <c r="F888" s="2"/>
      <c r="G888" s="2"/>
      <c r="H888" s="2"/>
      <c r="I888" s="2"/>
      <c r="J888" s="2"/>
      <c r="K888" s="2"/>
      <c r="L888" s="2"/>
      <c r="M888" s="2"/>
      <c r="N888" s="2"/>
      <c r="O888" s="2"/>
      <c r="P888" s="2"/>
      <c r="Q888" s="2"/>
      <c r="R888" s="2"/>
      <c r="S888" s="2"/>
      <c r="T888" s="2"/>
      <c r="U888" s="2"/>
      <c r="V888" s="2"/>
      <c r="W888" s="2"/>
    </row>
    <row r="889">
      <c r="A889" s="2"/>
      <c r="B889" s="2"/>
      <c r="C889" s="2"/>
      <c r="D889" s="2"/>
      <c r="E889" s="2"/>
      <c r="F889" s="2"/>
      <c r="G889" s="2"/>
      <c r="H889" s="2"/>
      <c r="I889" s="2"/>
      <c r="J889" s="2"/>
      <c r="K889" s="2"/>
      <c r="L889" s="2"/>
      <c r="M889" s="2"/>
      <c r="N889" s="2"/>
      <c r="O889" s="2"/>
      <c r="P889" s="2"/>
      <c r="Q889" s="2"/>
      <c r="R889" s="2"/>
      <c r="S889" s="2"/>
      <c r="T889" s="2"/>
      <c r="U889" s="2"/>
      <c r="V889" s="2"/>
      <c r="W889" s="2"/>
    </row>
    <row r="890">
      <c r="A890" s="2"/>
      <c r="B890" s="2"/>
      <c r="C890" s="2"/>
      <c r="D890" s="2"/>
      <c r="E890" s="2"/>
      <c r="F890" s="2"/>
      <c r="G890" s="2"/>
      <c r="H890" s="2"/>
      <c r="I890" s="2"/>
      <c r="J890" s="2"/>
      <c r="K890" s="2"/>
      <c r="L890" s="2"/>
      <c r="M890" s="2"/>
      <c r="N890" s="2"/>
      <c r="O890" s="2"/>
      <c r="P890" s="2"/>
      <c r="Q890" s="2"/>
      <c r="R890" s="2"/>
      <c r="S890" s="2"/>
      <c r="T890" s="2"/>
      <c r="U890" s="2"/>
      <c r="V890" s="2"/>
      <c r="W890" s="2"/>
    </row>
    <row r="891">
      <c r="A891" s="2"/>
      <c r="B891" s="2"/>
      <c r="C891" s="2"/>
      <c r="D891" s="2"/>
      <c r="E891" s="2"/>
      <c r="F891" s="2"/>
      <c r="G891" s="2"/>
      <c r="H891" s="2"/>
      <c r="I891" s="2"/>
      <c r="J891" s="2"/>
      <c r="K891" s="2"/>
      <c r="L891" s="2"/>
      <c r="M891" s="2"/>
      <c r="N891" s="2"/>
      <c r="O891" s="2"/>
      <c r="P891" s="2"/>
      <c r="Q891" s="2"/>
      <c r="R891" s="2"/>
      <c r="S891" s="2"/>
      <c r="T891" s="2"/>
      <c r="U891" s="2"/>
      <c r="V891" s="2"/>
      <c r="W891" s="2"/>
    </row>
    <row r="892">
      <c r="A892" s="2"/>
      <c r="B892" s="2"/>
      <c r="C892" s="2"/>
      <c r="D892" s="2"/>
      <c r="E892" s="2"/>
      <c r="F892" s="2"/>
      <c r="G892" s="2"/>
      <c r="H892" s="2"/>
      <c r="I892" s="2"/>
      <c r="J892" s="2"/>
      <c r="K892" s="2"/>
      <c r="L892" s="2"/>
      <c r="M892" s="2"/>
      <c r="N892" s="2"/>
      <c r="O892" s="2"/>
      <c r="P892" s="2"/>
      <c r="Q892" s="2"/>
      <c r="R892" s="2"/>
      <c r="S892" s="2"/>
      <c r="T892" s="2"/>
      <c r="U892" s="2"/>
      <c r="V892" s="2"/>
      <c r="W892" s="2"/>
    </row>
    <row r="893">
      <c r="A893" s="2"/>
      <c r="B893" s="2"/>
      <c r="C893" s="2"/>
      <c r="D893" s="2"/>
      <c r="E893" s="2"/>
      <c r="F893" s="2"/>
      <c r="G893" s="2"/>
      <c r="H893" s="2"/>
      <c r="I893" s="2"/>
      <c r="J893" s="2"/>
      <c r="K893" s="2"/>
      <c r="L893" s="2"/>
      <c r="M893" s="2"/>
      <c r="N893" s="2"/>
      <c r="O893" s="2"/>
      <c r="P893" s="2"/>
      <c r="Q893" s="2"/>
      <c r="R893" s="2"/>
      <c r="S893" s="2"/>
      <c r="T893" s="2"/>
      <c r="U893" s="2"/>
      <c r="V893" s="2"/>
      <c r="W893" s="2"/>
    </row>
    <row r="894">
      <c r="A894" s="2"/>
      <c r="B894" s="2"/>
      <c r="C894" s="2"/>
      <c r="D894" s="2"/>
      <c r="E894" s="2"/>
      <c r="F894" s="2"/>
      <c r="G894" s="2"/>
      <c r="H894" s="2"/>
      <c r="I894" s="2"/>
      <c r="J894" s="2"/>
      <c r="K894" s="2"/>
      <c r="L894" s="2"/>
      <c r="M894" s="2"/>
      <c r="N894" s="2"/>
      <c r="O894" s="2"/>
      <c r="P894" s="2"/>
      <c r="Q894" s="2"/>
      <c r="R894" s="2"/>
      <c r="S894" s="2"/>
      <c r="T894" s="2"/>
      <c r="U894" s="2"/>
      <c r="V894" s="2"/>
      <c r="W894" s="2"/>
    </row>
    <row r="895">
      <c r="A895" s="2"/>
      <c r="B895" s="2"/>
      <c r="C895" s="2"/>
      <c r="D895" s="2"/>
      <c r="E895" s="2"/>
      <c r="F895" s="2"/>
      <c r="G895" s="2"/>
      <c r="H895" s="2"/>
      <c r="I895" s="2"/>
      <c r="J895" s="2"/>
      <c r="K895" s="2"/>
      <c r="L895" s="2"/>
      <c r="M895" s="2"/>
      <c r="N895" s="2"/>
      <c r="O895" s="2"/>
      <c r="P895" s="2"/>
      <c r="Q895" s="2"/>
      <c r="R895" s="2"/>
      <c r="S895" s="2"/>
      <c r="T895" s="2"/>
      <c r="U895" s="2"/>
      <c r="V895" s="2"/>
      <c r="W895" s="2"/>
    </row>
    <row r="896">
      <c r="A896" s="2"/>
      <c r="B896" s="2"/>
      <c r="C896" s="2"/>
      <c r="D896" s="2"/>
      <c r="E896" s="2"/>
      <c r="F896" s="2"/>
      <c r="G896" s="2"/>
      <c r="H896" s="2"/>
      <c r="I896" s="2"/>
      <c r="J896" s="2"/>
      <c r="K896" s="2"/>
      <c r="L896" s="2"/>
      <c r="M896" s="2"/>
      <c r="N896" s="2"/>
      <c r="O896" s="2"/>
      <c r="P896" s="2"/>
      <c r="Q896" s="2"/>
      <c r="R896" s="2"/>
      <c r="S896" s="2"/>
      <c r="T896" s="2"/>
      <c r="U896" s="2"/>
      <c r="V896" s="2"/>
      <c r="W896" s="2"/>
    </row>
    <row r="897">
      <c r="A897" s="2"/>
      <c r="B897" s="2"/>
      <c r="C897" s="2"/>
      <c r="D897" s="2"/>
      <c r="E897" s="2"/>
      <c r="F897" s="2"/>
      <c r="G897" s="2"/>
      <c r="H897" s="2"/>
      <c r="I897" s="2"/>
      <c r="J897" s="2"/>
      <c r="K897" s="2"/>
      <c r="L897" s="2"/>
      <c r="M897" s="2"/>
      <c r="N897" s="2"/>
      <c r="O897" s="2"/>
      <c r="P897" s="2"/>
      <c r="Q897" s="2"/>
      <c r="R897" s="2"/>
      <c r="S897" s="2"/>
      <c r="T897" s="2"/>
      <c r="U897" s="2"/>
      <c r="V897" s="2"/>
      <c r="W897" s="2"/>
    </row>
    <row r="898">
      <c r="A898" s="2"/>
      <c r="B898" s="2"/>
      <c r="C898" s="2"/>
      <c r="D898" s="2"/>
      <c r="E898" s="2"/>
      <c r="F898" s="2"/>
      <c r="G898" s="2"/>
      <c r="H898" s="2"/>
      <c r="I898" s="2"/>
      <c r="J898" s="2"/>
      <c r="K898" s="2"/>
      <c r="L898" s="2"/>
      <c r="M898" s="2"/>
      <c r="N898" s="2"/>
      <c r="O898" s="2"/>
      <c r="P898" s="2"/>
      <c r="Q898" s="2"/>
      <c r="R898" s="2"/>
      <c r="S898" s="2"/>
      <c r="T898" s="2"/>
      <c r="U898" s="2"/>
      <c r="V898" s="2"/>
      <c r="W898" s="2"/>
    </row>
    <row r="899">
      <c r="A899" s="2"/>
      <c r="B899" s="2"/>
      <c r="C899" s="2"/>
      <c r="D899" s="2"/>
      <c r="E899" s="2"/>
      <c r="F899" s="2"/>
      <c r="G899" s="2"/>
      <c r="H899" s="2"/>
      <c r="I899" s="2"/>
      <c r="J899" s="2"/>
      <c r="K899" s="2"/>
      <c r="L899" s="2"/>
      <c r="M899" s="2"/>
      <c r="N899" s="2"/>
      <c r="O899" s="2"/>
      <c r="P899" s="2"/>
      <c r="Q899" s="2"/>
      <c r="R899" s="2"/>
      <c r="S899" s="2"/>
      <c r="T899" s="2"/>
      <c r="U899" s="2"/>
      <c r="V899" s="2"/>
      <c r="W899" s="2"/>
    </row>
    <row r="900">
      <c r="A900" s="2"/>
      <c r="B900" s="2"/>
      <c r="C900" s="2"/>
      <c r="D900" s="2"/>
      <c r="E900" s="2"/>
      <c r="F900" s="2"/>
      <c r="G900" s="2"/>
      <c r="H900" s="2"/>
      <c r="I900" s="2"/>
      <c r="J900" s="2"/>
      <c r="K900" s="2"/>
      <c r="L900" s="2"/>
      <c r="M900" s="2"/>
      <c r="N900" s="2"/>
      <c r="O900" s="2"/>
      <c r="P900" s="2"/>
      <c r="Q900" s="2"/>
      <c r="R900" s="2"/>
      <c r="S900" s="2"/>
      <c r="T900" s="2"/>
      <c r="U900" s="2"/>
      <c r="V900" s="2"/>
      <c r="W900" s="2"/>
    </row>
    <row r="901">
      <c r="A901" s="2"/>
      <c r="B901" s="2"/>
      <c r="C901" s="2"/>
      <c r="D901" s="2"/>
      <c r="E901" s="2"/>
      <c r="F901" s="2"/>
      <c r="G901" s="2"/>
      <c r="H901" s="2"/>
      <c r="I901" s="2"/>
      <c r="J901" s="2"/>
      <c r="K901" s="2"/>
      <c r="L901" s="2"/>
      <c r="M901" s="2"/>
      <c r="N901" s="2"/>
      <c r="O901" s="2"/>
      <c r="P901" s="2"/>
      <c r="Q901" s="2"/>
      <c r="R901" s="2"/>
      <c r="S901" s="2"/>
      <c r="T901" s="2"/>
      <c r="U901" s="2"/>
      <c r="V901" s="2"/>
      <c r="W901" s="2"/>
    </row>
    <row r="902">
      <c r="A902" s="2"/>
      <c r="B902" s="2"/>
      <c r="C902" s="2"/>
      <c r="D902" s="2"/>
      <c r="E902" s="2"/>
      <c r="F902" s="2"/>
      <c r="G902" s="2"/>
      <c r="H902" s="2"/>
      <c r="I902" s="2"/>
      <c r="J902" s="2"/>
      <c r="K902" s="2"/>
      <c r="L902" s="2"/>
      <c r="M902" s="2"/>
      <c r="N902" s="2"/>
      <c r="O902" s="2"/>
      <c r="P902" s="2"/>
      <c r="Q902" s="2"/>
      <c r="R902" s="2"/>
      <c r="S902" s="2"/>
      <c r="T902" s="2"/>
      <c r="U902" s="2"/>
      <c r="V902" s="2"/>
      <c r="W902" s="2"/>
    </row>
    <row r="903">
      <c r="A903" s="2"/>
      <c r="B903" s="2"/>
      <c r="C903" s="2"/>
      <c r="D903" s="2"/>
      <c r="E903" s="2"/>
      <c r="F903" s="2"/>
      <c r="G903" s="2"/>
      <c r="H903" s="2"/>
      <c r="I903" s="2"/>
      <c r="J903" s="2"/>
      <c r="K903" s="2"/>
      <c r="L903" s="2"/>
      <c r="M903" s="2"/>
      <c r="N903" s="2"/>
      <c r="O903" s="2"/>
      <c r="P903" s="2"/>
      <c r="Q903" s="2"/>
      <c r="R903" s="2"/>
      <c r="S903" s="2"/>
      <c r="T903" s="2"/>
      <c r="U903" s="2"/>
      <c r="V903" s="2"/>
      <c r="W903" s="2"/>
    </row>
    <row r="904">
      <c r="A904" s="2"/>
      <c r="B904" s="2"/>
      <c r="C904" s="2"/>
      <c r="D904" s="2"/>
      <c r="E904" s="2"/>
      <c r="F904" s="2"/>
      <c r="G904" s="2"/>
      <c r="H904" s="2"/>
      <c r="I904" s="2"/>
      <c r="J904" s="2"/>
      <c r="K904" s="2"/>
      <c r="L904" s="2"/>
      <c r="M904" s="2"/>
      <c r="N904" s="2"/>
      <c r="O904" s="2"/>
      <c r="P904" s="2"/>
      <c r="Q904" s="2"/>
      <c r="R904" s="2"/>
      <c r="S904" s="2"/>
      <c r="T904" s="2"/>
      <c r="U904" s="2"/>
      <c r="V904" s="2"/>
      <c r="W904" s="2"/>
    </row>
    <row r="905">
      <c r="A905" s="2"/>
      <c r="B905" s="2"/>
      <c r="C905" s="2"/>
      <c r="D905" s="2"/>
      <c r="E905" s="2"/>
      <c r="F905" s="2"/>
      <c r="G905" s="2"/>
      <c r="H905" s="2"/>
      <c r="I905" s="2"/>
      <c r="J905" s="2"/>
      <c r="K905" s="2"/>
      <c r="L905" s="2"/>
      <c r="M905" s="2"/>
      <c r="N905" s="2"/>
      <c r="O905" s="2"/>
      <c r="P905" s="2"/>
      <c r="Q905" s="2"/>
      <c r="R905" s="2"/>
      <c r="S905" s="2"/>
      <c r="T905" s="2"/>
      <c r="U905" s="2"/>
      <c r="V905" s="2"/>
      <c r="W905" s="2"/>
    </row>
    <row r="906">
      <c r="A906" s="2"/>
      <c r="B906" s="2"/>
      <c r="C906" s="2"/>
      <c r="D906" s="2"/>
      <c r="E906" s="2"/>
      <c r="F906" s="2"/>
      <c r="G906" s="2"/>
      <c r="H906" s="2"/>
      <c r="I906" s="2"/>
      <c r="J906" s="2"/>
      <c r="K906" s="2"/>
      <c r="L906" s="2"/>
      <c r="M906" s="2"/>
      <c r="N906" s="2"/>
      <c r="O906" s="2"/>
      <c r="P906" s="2"/>
      <c r="Q906" s="2"/>
      <c r="R906" s="2"/>
      <c r="S906" s="2"/>
      <c r="T906" s="2"/>
      <c r="U906" s="2"/>
      <c r="V906" s="2"/>
      <c r="W906" s="2"/>
    </row>
    <row r="907">
      <c r="A907" s="2"/>
      <c r="B907" s="2"/>
      <c r="C907" s="2"/>
      <c r="D907" s="2"/>
      <c r="E907" s="2"/>
      <c r="F907" s="2"/>
      <c r="G907" s="2"/>
      <c r="H907" s="2"/>
      <c r="I907" s="2"/>
      <c r="J907" s="2"/>
      <c r="K907" s="2"/>
      <c r="L907" s="2"/>
      <c r="M907" s="2"/>
      <c r="N907" s="2"/>
      <c r="O907" s="2"/>
      <c r="P907" s="2"/>
      <c r="Q907" s="2"/>
      <c r="R907" s="2"/>
      <c r="S907" s="2"/>
      <c r="T907" s="2"/>
      <c r="U907" s="2"/>
      <c r="V907" s="2"/>
      <c r="W907" s="2"/>
    </row>
    <row r="908">
      <c r="A908" s="2"/>
      <c r="B908" s="2"/>
      <c r="C908" s="2"/>
      <c r="D908" s="2"/>
      <c r="E908" s="2"/>
      <c r="F908" s="2"/>
      <c r="G908" s="2"/>
      <c r="H908" s="2"/>
      <c r="I908" s="2"/>
      <c r="J908" s="2"/>
      <c r="K908" s="2"/>
      <c r="L908" s="2"/>
      <c r="M908" s="2"/>
      <c r="N908" s="2"/>
      <c r="O908" s="2"/>
      <c r="P908" s="2"/>
      <c r="Q908" s="2"/>
      <c r="R908" s="2"/>
      <c r="S908" s="2"/>
      <c r="T908" s="2"/>
      <c r="U908" s="2"/>
      <c r="V908" s="2"/>
      <c r="W908" s="2"/>
    </row>
    <row r="909">
      <c r="A909" s="2"/>
      <c r="B909" s="2"/>
      <c r="C909" s="2"/>
      <c r="D909" s="2"/>
      <c r="E909" s="2"/>
      <c r="F909" s="2"/>
      <c r="G909" s="2"/>
      <c r="H909" s="2"/>
      <c r="I909" s="2"/>
      <c r="J909" s="2"/>
      <c r="K909" s="2"/>
      <c r="L909" s="2"/>
      <c r="M909" s="2"/>
      <c r="N909" s="2"/>
      <c r="O909" s="2"/>
      <c r="P909" s="2"/>
      <c r="Q909" s="2"/>
      <c r="R909" s="2"/>
      <c r="S909" s="2"/>
      <c r="T909" s="2"/>
      <c r="U909" s="2"/>
      <c r="V909" s="2"/>
      <c r="W909" s="2"/>
    </row>
    <row r="910">
      <c r="A910" s="2"/>
      <c r="B910" s="2"/>
      <c r="C910" s="2"/>
      <c r="D910" s="2"/>
      <c r="E910" s="2"/>
      <c r="F910" s="2"/>
      <c r="G910" s="2"/>
      <c r="H910" s="2"/>
      <c r="I910" s="2"/>
      <c r="J910" s="2"/>
      <c r="K910" s="2"/>
      <c r="L910" s="2"/>
      <c r="M910" s="2"/>
      <c r="N910" s="2"/>
      <c r="O910" s="2"/>
      <c r="P910" s="2"/>
      <c r="Q910" s="2"/>
      <c r="R910" s="2"/>
      <c r="S910" s="2"/>
      <c r="T910" s="2"/>
      <c r="U910" s="2"/>
      <c r="V910" s="2"/>
      <c r="W910" s="2"/>
    </row>
    <row r="911">
      <c r="A911" s="2"/>
      <c r="B911" s="2"/>
      <c r="C911" s="2"/>
      <c r="D911" s="2"/>
      <c r="E911" s="2"/>
      <c r="F911" s="2"/>
      <c r="G911" s="2"/>
      <c r="H911" s="2"/>
      <c r="I911" s="2"/>
      <c r="J911" s="2"/>
      <c r="K911" s="2"/>
      <c r="L911" s="2"/>
      <c r="M911" s="2"/>
      <c r="N911" s="2"/>
      <c r="O911" s="2"/>
      <c r="P911" s="2"/>
      <c r="Q911" s="2"/>
      <c r="R911" s="2"/>
      <c r="S911" s="2"/>
      <c r="T911" s="2"/>
      <c r="U911" s="2"/>
      <c r="V911" s="2"/>
      <c r="W911" s="2"/>
    </row>
    <row r="912">
      <c r="A912" s="2"/>
      <c r="B912" s="2"/>
      <c r="C912" s="2"/>
      <c r="D912" s="2"/>
      <c r="E912" s="2"/>
      <c r="F912" s="2"/>
      <c r="G912" s="2"/>
      <c r="H912" s="2"/>
      <c r="I912" s="2"/>
      <c r="J912" s="2"/>
      <c r="K912" s="2"/>
      <c r="L912" s="2"/>
      <c r="M912" s="2"/>
      <c r="N912" s="2"/>
      <c r="O912" s="2"/>
      <c r="P912" s="2"/>
      <c r="Q912" s="2"/>
      <c r="R912" s="2"/>
      <c r="S912" s="2"/>
      <c r="T912" s="2"/>
      <c r="U912" s="2"/>
      <c r="V912" s="2"/>
      <c r="W912" s="2"/>
    </row>
    <row r="913">
      <c r="A913" s="2"/>
      <c r="B913" s="2"/>
      <c r="C913" s="2"/>
      <c r="D913" s="2"/>
      <c r="E913" s="2"/>
      <c r="F913" s="2"/>
      <c r="G913" s="2"/>
      <c r="H913" s="2"/>
      <c r="I913" s="2"/>
      <c r="J913" s="2"/>
      <c r="K913" s="2"/>
      <c r="L913" s="2"/>
      <c r="M913" s="2"/>
      <c r="N913" s="2"/>
      <c r="O913" s="2"/>
      <c r="P913" s="2"/>
      <c r="Q913" s="2"/>
      <c r="R913" s="2"/>
      <c r="S913" s="2"/>
      <c r="T913" s="2"/>
      <c r="U913" s="2"/>
      <c r="V913" s="2"/>
      <c r="W913" s="2"/>
    </row>
    <row r="914">
      <c r="A914" s="2"/>
      <c r="B914" s="2"/>
      <c r="C914" s="2"/>
      <c r="D914" s="2"/>
      <c r="E914" s="2"/>
      <c r="F914" s="2"/>
      <c r="G914" s="2"/>
      <c r="H914" s="2"/>
      <c r="I914" s="2"/>
      <c r="J914" s="2"/>
      <c r="K914" s="2"/>
      <c r="L914" s="2"/>
      <c r="M914" s="2"/>
      <c r="N914" s="2"/>
      <c r="O914" s="2"/>
      <c r="P914" s="2"/>
      <c r="Q914" s="2"/>
      <c r="R914" s="2"/>
      <c r="S914" s="2"/>
      <c r="T914" s="2"/>
      <c r="U914" s="2"/>
      <c r="V914" s="2"/>
      <c r="W914" s="2"/>
    </row>
    <row r="915">
      <c r="A915" s="2"/>
      <c r="B915" s="2"/>
      <c r="C915" s="2"/>
      <c r="D915" s="2"/>
      <c r="E915" s="2"/>
      <c r="F915" s="2"/>
      <c r="G915" s="2"/>
      <c r="H915" s="2"/>
      <c r="I915" s="2"/>
      <c r="J915" s="2"/>
      <c r="K915" s="2"/>
      <c r="L915" s="2"/>
      <c r="M915" s="2"/>
      <c r="N915" s="2"/>
      <c r="O915" s="2"/>
      <c r="P915" s="2"/>
      <c r="Q915" s="2"/>
      <c r="R915" s="2"/>
      <c r="S915" s="2"/>
      <c r="T915" s="2"/>
      <c r="U915" s="2"/>
      <c r="V915" s="2"/>
      <c r="W915" s="2"/>
    </row>
    <row r="916">
      <c r="A916" s="2"/>
      <c r="B916" s="2"/>
      <c r="C916" s="2"/>
      <c r="D916" s="2"/>
      <c r="E916" s="2"/>
      <c r="F916" s="2"/>
      <c r="G916" s="2"/>
      <c r="H916" s="2"/>
      <c r="I916" s="2"/>
      <c r="J916" s="2"/>
      <c r="K916" s="2"/>
      <c r="L916" s="2"/>
      <c r="M916" s="2"/>
      <c r="N916" s="2"/>
      <c r="O916" s="2"/>
      <c r="P916" s="2"/>
      <c r="Q916" s="2"/>
      <c r="R916" s="2"/>
      <c r="S916" s="2"/>
      <c r="T916" s="2"/>
      <c r="U916" s="2"/>
      <c r="V916" s="2"/>
      <c r="W916" s="2"/>
    </row>
    <row r="917">
      <c r="A917" s="2"/>
      <c r="B917" s="2"/>
      <c r="C917" s="2"/>
      <c r="D917" s="2"/>
      <c r="E917" s="2"/>
      <c r="F917" s="2"/>
      <c r="G917" s="2"/>
      <c r="H917" s="2"/>
      <c r="I917" s="2"/>
      <c r="J917" s="2"/>
      <c r="K917" s="2"/>
      <c r="L917" s="2"/>
      <c r="M917" s="2"/>
      <c r="N917" s="2"/>
      <c r="O917" s="2"/>
      <c r="P917" s="2"/>
      <c r="Q917" s="2"/>
      <c r="R917" s="2"/>
      <c r="S917" s="2"/>
      <c r="T917" s="2"/>
      <c r="U917" s="2"/>
      <c r="V917" s="2"/>
      <c r="W917" s="2"/>
    </row>
    <row r="918">
      <c r="A918" s="2"/>
      <c r="B918" s="2"/>
      <c r="C918" s="2"/>
      <c r="D918" s="2"/>
      <c r="E918" s="2"/>
      <c r="F918" s="2"/>
      <c r="G918" s="2"/>
      <c r="H918" s="2"/>
      <c r="I918" s="2"/>
      <c r="J918" s="2"/>
      <c r="K918" s="2"/>
      <c r="L918" s="2"/>
      <c r="M918" s="2"/>
      <c r="N918" s="2"/>
      <c r="O918" s="2"/>
      <c r="P918" s="2"/>
      <c r="Q918" s="2"/>
      <c r="R918" s="2"/>
      <c r="S918" s="2"/>
      <c r="T918" s="2"/>
      <c r="U918" s="2"/>
      <c r="V918" s="2"/>
      <c r="W918" s="2"/>
    </row>
    <row r="919">
      <c r="A919" s="2"/>
      <c r="B919" s="2"/>
      <c r="C919" s="2"/>
      <c r="D919" s="2"/>
      <c r="E919" s="2"/>
      <c r="F919" s="2"/>
      <c r="G919" s="2"/>
      <c r="H919" s="2"/>
      <c r="I919" s="2"/>
      <c r="J919" s="2"/>
      <c r="K919" s="2"/>
      <c r="L919" s="2"/>
      <c r="M919" s="2"/>
      <c r="N919" s="2"/>
      <c r="O919" s="2"/>
      <c r="P919" s="2"/>
      <c r="Q919" s="2"/>
      <c r="R919" s="2"/>
      <c r="S919" s="2"/>
      <c r="T919" s="2"/>
      <c r="U919" s="2"/>
      <c r="V919" s="2"/>
      <c r="W919" s="2"/>
    </row>
    <row r="920">
      <c r="A920" s="2"/>
      <c r="B920" s="2"/>
      <c r="C920" s="2"/>
      <c r="D920" s="2"/>
      <c r="E920" s="2"/>
      <c r="F920" s="2"/>
      <c r="G920" s="2"/>
      <c r="H920" s="2"/>
      <c r="I920" s="2"/>
      <c r="J920" s="2"/>
      <c r="K920" s="2"/>
      <c r="L920" s="2"/>
      <c r="M920" s="2"/>
      <c r="N920" s="2"/>
      <c r="O920" s="2"/>
      <c r="P920" s="2"/>
      <c r="Q920" s="2"/>
      <c r="R920" s="2"/>
      <c r="S920" s="2"/>
      <c r="T920" s="2"/>
      <c r="U920" s="2"/>
      <c r="V920" s="2"/>
      <c r="W920" s="2"/>
    </row>
    <row r="921">
      <c r="A921" s="2"/>
      <c r="B921" s="2"/>
      <c r="C921" s="2"/>
      <c r="D921" s="2"/>
      <c r="E921" s="2"/>
      <c r="F921" s="2"/>
      <c r="G921" s="2"/>
      <c r="H921" s="2"/>
      <c r="I921" s="2"/>
      <c r="J921" s="2"/>
      <c r="K921" s="2"/>
      <c r="L921" s="2"/>
      <c r="M921" s="2"/>
      <c r="N921" s="2"/>
      <c r="O921" s="2"/>
      <c r="P921" s="2"/>
      <c r="Q921" s="2"/>
      <c r="R921" s="2"/>
      <c r="S921" s="2"/>
      <c r="T921" s="2"/>
      <c r="U921" s="2"/>
      <c r="V921" s="2"/>
      <c r="W921" s="2"/>
    </row>
    <row r="922">
      <c r="A922" s="2"/>
      <c r="B922" s="2"/>
      <c r="C922" s="2"/>
      <c r="D922" s="2"/>
      <c r="E922" s="2"/>
      <c r="F922" s="2"/>
      <c r="G922" s="2"/>
      <c r="H922" s="2"/>
      <c r="I922" s="2"/>
      <c r="J922" s="2"/>
      <c r="K922" s="2"/>
      <c r="L922" s="2"/>
      <c r="M922" s="2"/>
      <c r="N922" s="2"/>
      <c r="O922" s="2"/>
      <c r="P922" s="2"/>
      <c r="Q922" s="2"/>
      <c r="R922" s="2"/>
      <c r="S922" s="2"/>
      <c r="T922" s="2"/>
      <c r="U922" s="2"/>
      <c r="V922" s="2"/>
      <c r="W922" s="2"/>
    </row>
    <row r="923">
      <c r="A923" s="2"/>
      <c r="B923" s="2"/>
      <c r="C923" s="2"/>
      <c r="D923" s="2"/>
      <c r="E923" s="2"/>
      <c r="F923" s="2"/>
      <c r="G923" s="2"/>
      <c r="H923" s="2"/>
      <c r="I923" s="2"/>
      <c r="J923" s="2"/>
      <c r="K923" s="2"/>
      <c r="L923" s="2"/>
      <c r="M923" s="2"/>
      <c r="N923" s="2"/>
      <c r="O923" s="2"/>
      <c r="P923" s="2"/>
      <c r="Q923" s="2"/>
      <c r="R923" s="2"/>
      <c r="S923" s="2"/>
      <c r="T923" s="2"/>
      <c r="U923" s="2"/>
      <c r="V923" s="2"/>
      <c r="W923" s="2"/>
    </row>
    <row r="924">
      <c r="A924" s="2"/>
      <c r="B924" s="2"/>
      <c r="C924" s="2"/>
      <c r="D924" s="2"/>
      <c r="E924" s="2"/>
      <c r="F924" s="2"/>
      <c r="G924" s="2"/>
      <c r="H924" s="2"/>
      <c r="I924" s="2"/>
      <c r="J924" s="2"/>
      <c r="K924" s="2"/>
      <c r="L924" s="2"/>
      <c r="M924" s="2"/>
      <c r="N924" s="2"/>
      <c r="O924" s="2"/>
      <c r="P924" s="2"/>
      <c r="Q924" s="2"/>
      <c r="R924" s="2"/>
      <c r="S924" s="2"/>
      <c r="T924" s="2"/>
      <c r="U924" s="2"/>
      <c r="V924" s="2"/>
      <c r="W924" s="2"/>
    </row>
    <row r="925">
      <c r="A925" s="2"/>
      <c r="B925" s="2"/>
      <c r="C925" s="2"/>
      <c r="D925" s="2"/>
      <c r="E925" s="2"/>
      <c r="F925" s="2"/>
      <c r="G925" s="2"/>
      <c r="H925" s="2"/>
      <c r="I925" s="2"/>
      <c r="J925" s="2"/>
      <c r="K925" s="2"/>
      <c r="L925" s="2"/>
      <c r="M925" s="2"/>
      <c r="N925" s="2"/>
      <c r="O925" s="2"/>
      <c r="P925" s="2"/>
      <c r="Q925" s="2"/>
      <c r="R925" s="2"/>
      <c r="S925" s="2"/>
      <c r="T925" s="2"/>
      <c r="U925" s="2"/>
      <c r="V925" s="2"/>
      <c r="W925" s="2"/>
    </row>
    <row r="926">
      <c r="A926" s="2"/>
      <c r="B926" s="2"/>
      <c r="C926" s="2"/>
      <c r="D926" s="2"/>
      <c r="E926" s="2"/>
      <c r="F926" s="2"/>
      <c r="G926" s="2"/>
      <c r="H926" s="2"/>
      <c r="I926" s="2"/>
      <c r="J926" s="2"/>
      <c r="K926" s="2"/>
      <c r="L926" s="2"/>
      <c r="M926" s="2"/>
      <c r="N926" s="2"/>
      <c r="O926" s="2"/>
      <c r="P926" s="2"/>
      <c r="Q926" s="2"/>
      <c r="R926" s="2"/>
      <c r="S926" s="2"/>
      <c r="T926" s="2"/>
      <c r="U926" s="2"/>
      <c r="V926" s="2"/>
      <c r="W926" s="2"/>
    </row>
    <row r="927">
      <c r="A927" s="2"/>
      <c r="B927" s="2"/>
      <c r="C927" s="2"/>
      <c r="D927" s="2"/>
      <c r="E927" s="2"/>
      <c r="F927" s="2"/>
      <c r="G927" s="2"/>
      <c r="H927" s="2"/>
      <c r="I927" s="2"/>
      <c r="J927" s="2"/>
      <c r="K927" s="2"/>
      <c r="L927" s="2"/>
      <c r="M927" s="2"/>
      <c r="N927" s="2"/>
      <c r="O927" s="2"/>
      <c r="P927" s="2"/>
      <c r="Q927" s="2"/>
      <c r="R927" s="2"/>
      <c r="S927" s="2"/>
      <c r="T927" s="2"/>
      <c r="U927" s="2"/>
      <c r="V927" s="2"/>
      <c r="W927" s="2"/>
    </row>
    <row r="928">
      <c r="A928" s="2"/>
      <c r="B928" s="2"/>
      <c r="C928" s="2"/>
      <c r="D928" s="2"/>
      <c r="E928" s="2"/>
      <c r="F928" s="2"/>
      <c r="G928" s="2"/>
      <c r="H928" s="2"/>
      <c r="I928" s="2"/>
      <c r="J928" s="2"/>
      <c r="K928" s="2"/>
      <c r="L928" s="2"/>
      <c r="M928" s="2"/>
      <c r="N928" s="2"/>
      <c r="O928" s="2"/>
      <c r="P928" s="2"/>
      <c r="Q928" s="2"/>
      <c r="R928" s="2"/>
      <c r="S928" s="2"/>
      <c r="T928" s="2"/>
      <c r="U928" s="2"/>
      <c r="V928" s="2"/>
      <c r="W928" s="2"/>
    </row>
    <row r="929">
      <c r="A929" s="2"/>
      <c r="B929" s="2"/>
      <c r="C929" s="2"/>
      <c r="D929" s="2"/>
      <c r="E929" s="2"/>
      <c r="F929" s="2"/>
      <c r="G929" s="2"/>
      <c r="H929" s="2"/>
      <c r="I929" s="2"/>
      <c r="J929" s="2"/>
      <c r="K929" s="2"/>
      <c r="L929" s="2"/>
      <c r="M929" s="2"/>
      <c r="N929" s="2"/>
      <c r="O929" s="2"/>
      <c r="P929" s="2"/>
      <c r="Q929" s="2"/>
      <c r="R929" s="2"/>
      <c r="S929" s="2"/>
      <c r="T929" s="2"/>
      <c r="U929" s="2"/>
      <c r="V929" s="2"/>
      <c r="W929" s="2"/>
    </row>
    <row r="930">
      <c r="A930" s="2"/>
      <c r="B930" s="2"/>
      <c r="C930" s="2"/>
      <c r="D930" s="2"/>
      <c r="E930" s="2"/>
      <c r="F930" s="2"/>
      <c r="G930" s="2"/>
      <c r="H930" s="2"/>
      <c r="I930" s="2"/>
      <c r="J930" s="2"/>
      <c r="K930" s="2"/>
      <c r="L930" s="2"/>
      <c r="M930" s="2"/>
      <c r="N930" s="2"/>
      <c r="O930" s="2"/>
      <c r="P930" s="2"/>
      <c r="Q930" s="2"/>
      <c r="R930" s="2"/>
      <c r="S930" s="2"/>
      <c r="T930" s="2"/>
      <c r="U930" s="2"/>
      <c r="V930" s="2"/>
      <c r="W930" s="2"/>
    </row>
    <row r="931">
      <c r="A931" s="2"/>
      <c r="B931" s="2"/>
      <c r="C931" s="2"/>
      <c r="D931" s="2"/>
      <c r="E931" s="2"/>
      <c r="F931" s="2"/>
      <c r="G931" s="2"/>
      <c r="H931" s="2"/>
      <c r="I931" s="2"/>
      <c r="J931" s="2"/>
      <c r="K931" s="2"/>
      <c r="L931" s="2"/>
      <c r="M931" s="2"/>
      <c r="N931" s="2"/>
      <c r="O931" s="2"/>
      <c r="P931" s="2"/>
      <c r="Q931" s="2"/>
      <c r="R931" s="2"/>
      <c r="S931" s="2"/>
      <c r="T931" s="2"/>
      <c r="U931" s="2"/>
      <c r="V931" s="2"/>
      <c r="W931" s="2"/>
    </row>
    <row r="932">
      <c r="A932" s="2"/>
      <c r="B932" s="2"/>
      <c r="C932" s="2"/>
      <c r="D932" s="2"/>
      <c r="E932" s="2"/>
      <c r="F932" s="2"/>
      <c r="G932" s="2"/>
      <c r="H932" s="2"/>
      <c r="I932" s="2"/>
      <c r="J932" s="2"/>
      <c r="K932" s="2"/>
      <c r="L932" s="2"/>
      <c r="M932" s="2"/>
      <c r="N932" s="2"/>
      <c r="O932" s="2"/>
      <c r="P932" s="2"/>
      <c r="Q932" s="2"/>
      <c r="R932" s="2"/>
      <c r="S932" s="2"/>
      <c r="T932" s="2"/>
      <c r="U932" s="2"/>
      <c r="V932" s="2"/>
      <c r="W932" s="2"/>
    </row>
    <row r="933">
      <c r="A933" s="2"/>
      <c r="B933" s="2"/>
      <c r="C933" s="2"/>
      <c r="D933" s="2"/>
      <c r="E933" s="2"/>
      <c r="F933" s="2"/>
      <c r="G933" s="2"/>
      <c r="H933" s="2"/>
      <c r="I933" s="2"/>
      <c r="J933" s="2"/>
      <c r="K933" s="2"/>
      <c r="L933" s="2"/>
      <c r="M933" s="2"/>
      <c r="N933" s="2"/>
      <c r="O933" s="2"/>
      <c r="P933" s="2"/>
      <c r="Q933" s="2"/>
      <c r="R933" s="2"/>
      <c r="S933" s="2"/>
      <c r="T933" s="2"/>
      <c r="U933" s="2"/>
      <c r="V933" s="2"/>
      <c r="W933" s="2"/>
    </row>
    <row r="934">
      <c r="A934" s="2"/>
      <c r="B934" s="2"/>
      <c r="C934" s="2"/>
      <c r="D934" s="2"/>
      <c r="E934" s="2"/>
      <c r="F934" s="2"/>
      <c r="G934" s="2"/>
      <c r="H934" s="2"/>
      <c r="I934" s="2"/>
      <c r="J934" s="2"/>
      <c r="K934" s="2"/>
      <c r="L934" s="2"/>
      <c r="M934" s="2"/>
      <c r="N934" s="2"/>
      <c r="O934" s="2"/>
      <c r="P934" s="2"/>
      <c r="Q934" s="2"/>
      <c r="R934" s="2"/>
      <c r="S934" s="2"/>
      <c r="T934" s="2"/>
      <c r="U934" s="2"/>
      <c r="V934" s="2"/>
      <c r="W934" s="2"/>
    </row>
    <row r="935">
      <c r="A935" s="2"/>
      <c r="B935" s="2"/>
      <c r="C935" s="2"/>
      <c r="D935" s="2"/>
      <c r="E935" s="2"/>
      <c r="F935" s="2"/>
      <c r="G935" s="2"/>
      <c r="H935" s="2"/>
      <c r="I935" s="2"/>
      <c r="J935" s="2"/>
      <c r="K935" s="2"/>
      <c r="L935" s="2"/>
      <c r="M935" s="2"/>
      <c r="N935" s="2"/>
      <c r="O935" s="2"/>
      <c r="P935" s="2"/>
      <c r="Q935" s="2"/>
      <c r="R935" s="2"/>
      <c r="S935" s="2"/>
      <c r="T935" s="2"/>
      <c r="U935" s="2"/>
      <c r="V935" s="2"/>
      <c r="W935" s="2"/>
    </row>
    <row r="936">
      <c r="A936" s="2"/>
      <c r="B936" s="2"/>
      <c r="C936" s="2"/>
      <c r="D936" s="2"/>
      <c r="E936" s="2"/>
      <c r="F936" s="2"/>
      <c r="G936" s="2"/>
      <c r="H936" s="2"/>
      <c r="I936" s="2"/>
      <c r="J936" s="2"/>
      <c r="K936" s="2"/>
      <c r="L936" s="2"/>
      <c r="M936" s="2"/>
      <c r="N936" s="2"/>
      <c r="O936" s="2"/>
      <c r="P936" s="2"/>
      <c r="Q936" s="2"/>
      <c r="R936" s="2"/>
      <c r="S936" s="2"/>
      <c r="T936" s="2"/>
      <c r="U936" s="2"/>
      <c r="V936" s="2"/>
      <c r="W936" s="2"/>
    </row>
    <row r="937">
      <c r="A937" s="2"/>
      <c r="B937" s="2"/>
      <c r="C937" s="2"/>
      <c r="D937" s="2"/>
      <c r="E937" s="2"/>
      <c r="F937" s="2"/>
      <c r="G937" s="2"/>
      <c r="H937" s="2"/>
      <c r="I937" s="2"/>
      <c r="J937" s="2"/>
      <c r="K937" s="2"/>
      <c r="L937" s="2"/>
      <c r="M937" s="2"/>
      <c r="N937" s="2"/>
      <c r="O937" s="2"/>
      <c r="P937" s="2"/>
      <c r="Q937" s="2"/>
      <c r="R937" s="2"/>
      <c r="S937" s="2"/>
      <c r="T937" s="2"/>
      <c r="U937" s="2"/>
      <c r="V937" s="2"/>
      <c r="W937" s="2"/>
    </row>
    <row r="938">
      <c r="A938" s="2"/>
      <c r="B938" s="2"/>
      <c r="C938" s="2"/>
      <c r="D938" s="2"/>
      <c r="E938" s="2"/>
      <c r="F938" s="2"/>
      <c r="G938" s="2"/>
      <c r="H938" s="2"/>
      <c r="I938" s="2"/>
      <c r="J938" s="2"/>
      <c r="K938" s="2"/>
      <c r="L938" s="2"/>
      <c r="M938" s="2"/>
      <c r="N938" s="2"/>
      <c r="O938" s="2"/>
      <c r="P938" s="2"/>
      <c r="Q938" s="2"/>
      <c r="R938" s="2"/>
      <c r="S938" s="2"/>
      <c r="T938" s="2"/>
      <c r="U938" s="2"/>
      <c r="V938" s="2"/>
      <c r="W938" s="2"/>
    </row>
    <row r="939">
      <c r="A939" s="2"/>
      <c r="B939" s="2"/>
      <c r="C939" s="2"/>
      <c r="D939" s="2"/>
      <c r="E939" s="2"/>
      <c r="F939" s="2"/>
      <c r="G939" s="2"/>
      <c r="H939" s="2"/>
      <c r="I939" s="2"/>
      <c r="J939" s="2"/>
      <c r="K939" s="2"/>
      <c r="L939" s="2"/>
      <c r="M939" s="2"/>
      <c r="N939" s="2"/>
      <c r="O939" s="2"/>
      <c r="P939" s="2"/>
      <c r="Q939" s="2"/>
      <c r="R939" s="2"/>
      <c r="S939" s="2"/>
      <c r="T939" s="2"/>
      <c r="U939" s="2"/>
      <c r="V939" s="2"/>
      <c r="W939" s="2"/>
    </row>
    <row r="940">
      <c r="A940" s="2"/>
      <c r="B940" s="2"/>
      <c r="C940" s="2"/>
      <c r="D940" s="2"/>
      <c r="E940" s="2"/>
      <c r="F940" s="2"/>
      <c r="G940" s="2"/>
      <c r="H940" s="2"/>
      <c r="I940" s="2"/>
      <c r="J940" s="2"/>
      <c r="K940" s="2"/>
      <c r="L940" s="2"/>
      <c r="M940" s="2"/>
      <c r="N940" s="2"/>
      <c r="O940" s="2"/>
      <c r="P940" s="2"/>
      <c r="Q940" s="2"/>
      <c r="R940" s="2"/>
      <c r="S940" s="2"/>
      <c r="T940" s="2"/>
      <c r="U940" s="2"/>
      <c r="V940" s="2"/>
      <c r="W940" s="2"/>
    </row>
    <row r="941">
      <c r="A941" s="2"/>
      <c r="B941" s="2"/>
      <c r="C941" s="2"/>
      <c r="D941" s="2"/>
      <c r="E941" s="2"/>
      <c r="F941" s="2"/>
      <c r="G941" s="2"/>
      <c r="H941" s="2"/>
      <c r="I941" s="2"/>
      <c r="J941" s="2"/>
      <c r="K941" s="2"/>
      <c r="L941" s="2"/>
      <c r="M941" s="2"/>
      <c r="N941" s="2"/>
      <c r="O941" s="2"/>
      <c r="P941" s="2"/>
      <c r="Q941" s="2"/>
      <c r="R941" s="2"/>
      <c r="S941" s="2"/>
      <c r="T941" s="2"/>
      <c r="U941" s="2"/>
      <c r="V941" s="2"/>
      <c r="W941" s="2"/>
    </row>
    <row r="942">
      <c r="A942" s="2"/>
      <c r="B942" s="2"/>
      <c r="C942" s="2"/>
      <c r="D942" s="2"/>
      <c r="E942" s="2"/>
      <c r="F942" s="2"/>
      <c r="G942" s="2"/>
      <c r="H942" s="2"/>
      <c r="I942" s="2"/>
      <c r="J942" s="2"/>
      <c r="K942" s="2"/>
      <c r="L942" s="2"/>
      <c r="M942" s="2"/>
      <c r="N942" s="2"/>
      <c r="O942" s="2"/>
      <c r="P942" s="2"/>
      <c r="Q942" s="2"/>
      <c r="R942" s="2"/>
      <c r="S942" s="2"/>
      <c r="T942" s="2"/>
      <c r="U942" s="2"/>
      <c r="V942" s="2"/>
      <c r="W942" s="2"/>
    </row>
    <row r="943">
      <c r="A943" s="2"/>
      <c r="B943" s="2"/>
      <c r="C943" s="2"/>
      <c r="D943" s="2"/>
      <c r="E943" s="2"/>
      <c r="F943" s="2"/>
      <c r="G943" s="2"/>
      <c r="H943" s="2"/>
      <c r="I943" s="2"/>
      <c r="J943" s="2"/>
      <c r="K943" s="2"/>
      <c r="L943" s="2"/>
      <c r="M943" s="2"/>
      <c r="N943" s="2"/>
      <c r="O943" s="2"/>
      <c r="P943" s="2"/>
      <c r="Q943" s="2"/>
      <c r="R943" s="2"/>
      <c r="S943" s="2"/>
      <c r="T943" s="2"/>
      <c r="U943" s="2"/>
      <c r="V943" s="2"/>
      <c r="W943" s="2"/>
    </row>
    <row r="944">
      <c r="A944" s="2"/>
      <c r="B944" s="2"/>
      <c r="C944" s="2"/>
      <c r="D944" s="2"/>
      <c r="E944" s="2"/>
      <c r="F944" s="2"/>
      <c r="G944" s="2"/>
      <c r="H944" s="2"/>
      <c r="I944" s="2"/>
      <c r="J944" s="2"/>
      <c r="K944" s="2"/>
      <c r="L944" s="2"/>
      <c r="M944" s="2"/>
      <c r="N944" s="2"/>
      <c r="O944" s="2"/>
      <c r="P944" s="2"/>
      <c r="Q944" s="2"/>
      <c r="R944" s="2"/>
      <c r="S944" s="2"/>
      <c r="T944" s="2"/>
      <c r="U944" s="2"/>
      <c r="V944" s="2"/>
      <c r="W944" s="2"/>
    </row>
    <row r="945">
      <c r="A945" s="2"/>
      <c r="B945" s="2"/>
      <c r="C945" s="2"/>
      <c r="D945" s="2"/>
      <c r="E945" s="2"/>
      <c r="F945" s="2"/>
      <c r="G945" s="2"/>
      <c r="H945" s="2"/>
      <c r="I945" s="2"/>
      <c r="J945" s="2"/>
      <c r="K945" s="2"/>
      <c r="L945" s="2"/>
      <c r="M945" s="2"/>
      <c r="N945" s="2"/>
      <c r="O945" s="2"/>
      <c r="P945" s="2"/>
      <c r="Q945" s="2"/>
      <c r="R945" s="2"/>
      <c r="S945" s="2"/>
      <c r="T945" s="2"/>
      <c r="U945" s="2"/>
      <c r="V945" s="2"/>
      <c r="W945" s="2"/>
    </row>
    <row r="946">
      <c r="A946" s="2"/>
      <c r="B946" s="2"/>
      <c r="C946" s="2"/>
      <c r="D946" s="2"/>
      <c r="E946" s="2"/>
      <c r="F946" s="2"/>
      <c r="G946" s="2"/>
      <c r="H946" s="2"/>
      <c r="I946" s="2"/>
      <c r="J946" s="2"/>
      <c r="K946" s="2"/>
      <c r="L946" s="2"/>
      <c r="M946" s="2"/>
      <c r="N946" s="2"/>
      <c r="O946" s="2"/>
      <c r="P946" s="2"/>
      <c r="Q946" s="2"/>
      <c r="R946" s="2"/>
      <c r="S946" s="2"/>
      <c r="T946" s="2"/>
      <c r="U946" s="2"/>
      <c r="V946" s="2"/>
      <c r="W946" s="2"/>
    </row>
    <row r="947">
      <c r="A947" s="2"/>
      <c r="B947" s="2"/>
      <c r="C947" s="2"/>
      <c r="D947" s="2"/>
      <c r="E947" s="2"/>
      <c r="F947" s="2"/>
      <c r="G947" s="2"/>
      <c r="H947" s="2"/>
      <c r="I947" s="2"/>
      <c r="J947" s="2"/>
      <c r="K947" s="2"/>
      <c r="L947" s="2"/>
      <c r="M947" s="2"/>
      <c r="N947" s="2"/>
      <c r="O947" s="2"/>
      <c r="P947" s="2"/>
      <c r="Q947" s="2"/>
      <c r="R947" s="2"/>
      <c r="S947" s="2"/>
      <c r="T947" s="2"/>
      <c r="U947" s="2"/>
      <c r="V947" s="2"/>
      <c r="W947" s="2"/>
    </row>
    <row r="948">
      <c r="A948" s="2"/>
      <c r="B948" s="2"/>
      <c r="C948" s="2"/>
      <c r="D948" s="2"/>
      <c r="E948" s="2"/>
      <c r="F948" s="2"/>
      <c r="G948" s="2"/>
      <c r="H948" s="2"/>
      <c r="I948" s="2"/>
      <c r="J948" s="2"/>
      <c r="K948" s="2"/>
      <c r="L948" s="2"/>
      <c r="M948" s="2"/>
      <c r="N948" s="2"/>
      <c r="O948" s="2"/>
      <c r="P948" s="2"/>
      <c r="Q948" s="2"/>
      <c r="R948" s="2"/>
      <c r="S948" s="2"/>
      <c r="T948" s="2"/>
      <c r="U948" s="2"/>
      <c r="V948" s="2"/>
      <c r="W948" s="2"/>
    </row>
    <row r="949">
      <c r="A949" s="2"/>
      <c r="B949" s="2"/>
      <c r="C949" s="2"/>
      <c r="D949" s="2"/>
      <c r="E949" s="2"/>
      <c r="F949" s="2"/>
      <c r="G949" s="2"/>
      <c r="H949" s="2"/>
      <c r="I949" s="2"/>
      <c r="J949" s="2"/>
      <c r="K949" s="2"/>
      <c r="L949" s="2"/>
      <c r="M949" s="2"/>
      <c r="N949" s="2"/>
      <c r="O949" s="2"/>
      <c r="P949" s="2"/>
      <c r="Q949" s="2"/>
      <c r="R949" s="2"/>
      <c r="S949" s="2"/>
      <c r="T949" s="2"/>
      <c r="U949" s="2"/>
      <c r="V949" s="2"/>
      <c r="W949" s="2"/>
    </row>
    <row r="950">
      <c r="A950" s="2"/>
      <c r="B950" s="2"/>
      <c r="C950" s="2"/>
      <c r="D950" s="2"/>
      <c r="E950" s="2"/>
      <c r="F950" s="2"/>
      <c r="G950" s="2"/>
      <c r="H950" s="2"/>
      <c r="I950" s="2"/>
      <c r="J950" s="2"/>
      <c r="K950" s="2"/>
      <c r="L950" s="2"/>
      <c r="M950" s="2"/>
      <c r="N950" s="2"/>
      <c r="O950" s="2"/>
      <c r="P950" s="2"/>
      <c r="Q950" s="2"/>
      <c r="R950" s="2"/>
      <c r="S950" s="2"/>
      <c r="T950" s="2"/>
      <c r="U950" s="2"/>
      <c r="V950" s="2"/>
      <c r="W950" s="2"/>
    </row>
    <row r="951">
      <c r="A951" s="2"/>
      <c r="B951" s="2"/>
      <c r="C951" s="2"/>
      <c r="D951" s="2"/>
      <c r="E951" s="2"/>
      <c r="F951" s="2"/>
      <c r="G951" s="2"/>
      <c r="H951" s="2"/>
      <c r="I951" s="2"/>
      <c r="J951" s="2"/>
      <c r="K951" s="2"/>
      <c r="L951" s="2"/>
      <c r="M951" s="2"/>
      <c r="N951" s="2"/>
      <c r="O951" s="2"/>
      <c r="P951" s="2"/>
      <c r="Q951" s="2"/>
      <c r="R951" s="2"/>
      <c r="S951" s="2"/>
      <c r="T951" s="2"/>
      <c r="U951" s="2"/>
      <c r="V951" s="2"/>
      <c r="W951" s="2"/>
    </row>
    <row r="952">
      <c r="A952" s="2"/>
      <c r="B952" s="2"/>
      <c r="C952" s="2"/>
      <c r="D952" s="2"/>
      <c r="E952" s="2"/>
      <c r="F952" s="2"/>
      <c r="G952" s="2"/>
      <c r="H952" s="2"/>
      <c r="I952" s="2"/>
      <c r="J952" s="2"/>
      <c r="K952" s="2"/>
      <c r="L952" s="2"/>
      <c r="M952" s="2"/>
      <c r="N952" s="2"/>
      <c r="O952" s="2"/>
      <c r="P952" s="2"/>
      <c r="Q952" s="2"/>
      <c r="R952" s="2"/>
      <c r="S952" s="2"/>
      <c r="T952" s="2"/>
      <c r="U952" s="2"/>
      <c r="V952" s="2"/>
      <c r="W952" s="2"/>
    </row>
    <row r="953">
      <c r="A953" s="2"/>
      <c r="B953" s="2"/>
      <c r="C953" s="2"/>
      <c r="D953" s="2"/>
      <c r="E953" s="2"/>
      <c r="F953" s="2"/>
      <c r="G953" s="2"/>
      <c r="H953" s="2"/>
      <c r="I953" s="2"/>
      <c r="J953" s="2"/>
      <c r="K953" s="2"/>
      <c r="L953" s="2"/>
      <c r="M953" s="2"/>
      <c r="N953" s="2"/>
      <c r="O953" s="2"/>
      <c r="P953" s="2"/>
      <c r="Q953" s="2"/>
      <c r="R953" s="2"/>
      <c r="S953" s="2"/>
      <c r="T953" s="2"/>
      <c r="U953" s="2"/>
      <c r="V953" s="2"/>
      <c r="W953" s="2"/>
    </row>
    <row r="954">
      <c r="A954" s="2"/>
      <c r="B954" s="2"/>
      <c r="C954" s="2"/>
      <c r="D954" s="2"/>
      <c r="E954" s="2"/>
      <c r="F954" s="2"/>
      <c r="G954" s="2"/>
      <c r="H954" s="2"/>
      <c r="I954" s="2"/>
      <c r="J954" s="2"/>
      <c r="K954" s="2"/>
      <c r="L954" s="2"/>
      <c r="M954" s="2"/>
      <c r="N954" s="2"/>
      <c r="O954" s="2"/>
      <c r="P954" s="2"/>
      <c r="Q954" s="2"/>
      <c r="R954" s="2"/>
      <c r="S954" s="2"/>
      <c r="T954" s="2"/>
      <c r="U954" s="2"/>
      <c r="V954" s="2"/>
      <c r="W954" s="2"/>
    </row>
    <row r="955">
      <c r="A955" s="2"/>
      <c r="B955" s="2"/>
      <c r="C955" s="2"/>
      <c r="D955" s="2"/>
      <c r="E955" s="2"/>
      <c r="F955" s="2"/>
      <c r="G955" s="2"/>
      <c r="H955" s="2"/>
      <c r="I955" s="2"/>
      <c r="J955" s="2"/>
      <c r="K955" s="2"/>
      <c r="L955" s="2"/>
      <c r="M955" s="2"/>
      <c r="N955" s="2"/>
      <c r="O955" s="2"/>
      <c r="P955" s="2"/>
      <c r="Q955" s="2"/>
      <c r="R955" s="2"/>
      <c r="S955" s="2"/>
      <c r="T955" s="2"/>
      <c r="U955" s="2"/>
      <c r="V955" s="2"/>
      <c r="W955" s="2"/>
    </row>
    <row r="956">
      <c r="A956" s="2"/>
      <c r="B956" s="2"/>
      <c r="C956" s="2"/>
      <c r="D956" s="2"/>
      <c r="E956" s="2"/>
      <c r="F956" s="2"/>
      <c r="G956" s="2"/>
      <c r="H956" s="2"/>
      <c r="I956" s="2"/>
      <c r="J956" s="2"/>
      <c r="K956" s="2"/>
      <c r="L956" s="2"/>
      <c r="M956" s="2"/>
      <c r="N956" s="2"/>
      <c r="O956" s="2"/>
      <c r="P956" s="2"/>
      <c r="Q956" s="2"/>
      <c r="R956" s="2"/>
      <c r="S956" s="2"/>
      <c r="T956" s="2"/>
      <c r="U956" s="2"/>
      <c r="V956" s="2"/>
      <c r="W956" s="2"/>
    </row>
    <row r="957">
      <c r="A957" s="2"/>
      <c r="B957" s="2"/>
      <c r="C957" s="2"/>
      <c r="D957" s="2"/>
      <c r="E957" s="2"/>
      <c r="F957" s="2"/>
      <c r="G957" s="2"/>
      <c r="H957" s="2"/>
      <c r="I957" s="2"/>
      <c r="J957" s="2"/>
      <c r="K957" s="2"/>
      <c r="L957" s="2"/>
      <c r="M957" s="2"/>
      <c r="N957" s="2"/>
      <c r="O957" s="2"/>
      <c r="P957" s="2"/>
      <c r="Q957" s="2"/>
      <c r="R957" s="2"/>
      <c r="S957" s="2"/>
      <c r="T957" s="2"/>
      <c r="U957" s="2"/>
      <c r="V957" s="2"/>
      <c r="W957" s="2"/>
    </row>
    <row r="958">
      <c r="A958" s="2"/>
      <c r="B958" s="2"/>
      <c r="C958" s="2"/>
      <c r="D958" s="2"/>
      <c r="E958" s="2"/>
      <c r="F958" s="2"/>
      <c r="G958" s="2"/>
      <c r="H958" s="2"/>
      <c r="I958" s="2"/>
      <c r="J958" s="2"/>
      <c r="K958" s="2"/>
      <c r="L958" s="2"/>
      <c r="M958" s="2"/>
      <c r="N958" s="2"/>
      <c r="O958" s="2"/>
      <c r="P958" s="2"/>
      <c r="Q958" s="2"/>
      <c r="R958" s="2"/>
      <c r="S958" s="2"/>
      <c r="T958" s="2"/>
      <c r="U958" s="2"/>
      <c r="V958" s="2"/>
      <c r="W958" s="2"/>
    </row>
    <row r="959">
      <c r="A959" s="2"/>
      <c r="B959" s="2"/>
      <c r="C959" s="2"/>
      <c r="D959" s="2"/>
      <c r="E959" s="2"/>
      <c r="F959" s="2"/>
      <c r="G959" s="2"/>
      <c r="H959" s="2"/>
      <c r="I959" s="2"/>
      <c r="J959" s="2"/>
      <c r="K959" s="2"/>
      <c r="L959" s="2"/>
      <c r="M959" s="2"/>
      <c r="N959" s="2"/>
      <c r="O959" s="2"/>
      <c r="P959" s="2"/>
      <c r="Q959" s="2"/>
      <c r="R959" s="2"/>
      <c r="S959" s="2"/>
      <c r="T959" s="2"/>
      <c r="U959" s="2"/>
      <c r="V959" s="2"/>
      <c r="W959" s="2"/>
    </row>
    <row r="960">
      <c r="A960" s="2"/>
      <c r="B960" s="2"/>
      <c r="C960" s="2"/>
      <c r="D960" s="2"/>
      <c r="E960" s="2"/>
      <c r="F960" s="2"/>
      <c r="G960" s="2"/>
      <c r="H960" s="2"/>
      <c r="I960" s="2"/>
      <c r="J960" s="2"/>
      <c r="K960" s="2"/>
      <c r="L960" s="2"/>
      <c r="M960" s="2"/>
      <c r="N960" s="2"/>
      <c r="O960" s="2"/>
      <c r="P960" s="2"/>
      <c r="Q960" s="2"/>
      <c r="R960" s="2"/>
      <c r="S960" s="2"/>
      <c r="T960" s="2"/>
      <c r="U960" s="2"/>
      <c r="V960" s="2"/>
      <c r="W960" s="2"/>
    </row>
    <row r="961">
      <c r="A961" s="2"/>
      <c r="B961" s="2"/>
      <c r="C961" s="2"/>
      <c r="D961" s="2"/>
      <c r="E961" s="2"/>
      <c r="F961" s="2"/>
      <c r="G961" s="2"/>
      <c r="H961" s="2"/>
      <c r="I961" s="2"/>
      <c r="J961" s="2"/>
      <c r="K961" s="2"/>
      <c r="L961" s="2"/>
      <c r="M961" s="2"/>
      <c r="N961" s="2"/>
      <c r="O961" s="2"/>
      <c r="P961" s="2"/>
      <c r="Q961" s="2"/>
      <c r="R961" s="2"/>
      <c r="S961" s="2"/>
      <c r="T961" s="2"/>
      <c r="U961" s="2"/>
      <c r="V961" s="2"/>
      <c r="W961" s="2"/>
    </row>
    <row r="962">
      <c r="A962" s="2"/>
      <c r="B962" s="2"/>
      <c r="C962" s="2"/>
      <c r="D962" s="2"/>
      <c r="E962" s="2"/>
      <c r="F962" s="2"/>
      <c r="G962" s="2"/>
      <c r="H962" s="2"/>
      <c r="I962" s="2"/>
      <c r="J962" s="2"/>
      <c r="K962" s="2"/>
      <c r="L962" s="2"/>
      <c r="M962" s="2"/>
      <c r="N962" s="2"/>
      <c r="O962" s="2"/>
      <c r="P962" s="2"/>
      <c r="Q962" s="2"/>
      <c r="R962" s="2"/>
      <c r="S962" s="2"/>
      <c r="T962" s="2"/>
      <c r="U962" s="2"/>
      <c r="V962" s="2"/>
      <c r="W962" s="2"/>
    </row>
    <row r="963">
      <c r="A963" s="2"/>
      <c r="B963" s="2"/>
      <c r="C963" s="2"/>
      <c r="D963" s="2"/>
      <c r="E963" s="2"/>
      <c r="F963" s="2"/>
      <c r="G963" s="2"/>
      <c r="H963" s="2"/>
      <c r="I963" s="2"/>
      <c r="J963" s="2"/>
      <c r="K963" s="2"/>
      <c r="L963" s="2"/>
      <c r="M963" s="2"/>
      <c r="N963" s="2"/>
      <c r="O963" s="2"/>
      <c r="P963" s="2"/>
      <c r="Q963" s="2"/>
      <c r="R963" s="2"/>
      <c r="S963" s="2"/>
      <c r="T963" s="2"/>
      <c r="U963" s="2"/>
      <c r="V963" s="2"/>
      <c r="W963" s="2"/>
    </row>
    <row r="964">
      <c r="A964" s="2"/>
      <c r="B964" s="2"/>
      <c r="C964" s="2"/>
      <c r="D964" s="2"/>
      <c r="E964" s="2"/>
      <c r="F964" s="2"/>
      <c r="G964" s="2"/>
      <c r="H964" s="2"/>
      <c r="I964" s="2"/>
      <c r="J964" s="2"/>
      <c r="K964" s="2"/>
      <c r="L964" s="2"/>
      <c r="M964" s="2"/>
      <c r="N964" s="2"/>
      <c r="O964" s="2"/>
      <c r="P964" s="2"/>
      <c r="Q964" s="2"/>
      <c r="R964" s="2"/>
      <c r="S964" s="2"/>
      <c r="T964" s="2"/>
      <c r="U964" s="2"/>
      <c r="V964" s="2"/>
      <c r="W964" s="2"/>
    </row>
    <row r="965">
      <c r="A965" s="2"/>
      <c r="B965" s="2"/>
      <c r="C965" s="2"/>
      <c r="D965" s="2"/>
      <c r="E965" s="2"/>
      <c r="F965" s="2"/>
      <c r="G965" s="2"/>
      <c r="H965" s="2"/>
      <c r="I965" s="2"/>
      <c r="J965" s="2"/>
      <c r="K965" s="2"/>
      <c r="L965" s="2"/>
      <c r="M965" s="2"/>
      <c r="N965" s="2"/>
      <c r="O965" s="2"/>
      <c r="P965" s="2"/>
      <c r="Q965" s="2"/>
      <c r="R965" s="2"/>
      <c r="S965" s="2"/>
      <c r="T965" s="2"/>
      <c r="U965" s="2"/>
      <c r="V965" s="2"/>
      <c r="W965" s="2"/>
    </row>
    <row r="966">
      <c r="A966" s="2"/>
      <c r="B966" s="2"/>
      <c r="C966" s="2"/>
      <c r="D966" s="2"/>
      <c r="E966" s="2"/>
      <c r="F966" s="2"/>
      <c r="G966" s="2"/>
      <c r="H966" s="2"/>
      <c r="I966" s="2"/>
      <c r="J966" s="2"/>
      <c r="K966" s="2"/>
      <c r="L966" s="2"/>
      <c r="M966" s="2"/>
      <c r="N966" s="2"/>
      <c r="O966" s="2"/>
      <c r="P966" s="2"/>
      <c r="Q966" s="2"/>
      <c r="R966" s="2"/>
      <c r="S966" s="2"/>
      <c r="T966" s="2"/>
      <c r="U966" s="2"/>
      <c r="V966" s="2"/>
      <c r="W966" s="2"/>
    </row>
    <row r="967">
      <c r="A967" s="2"/>
      <c r="B967" s="2"/>
      <c r="C967" s="2"/>
      <c r="D967" s="2"/>
      <c r="E967" s="2"/>
      <c r="F967" s="2"/>
      <c r="G967" s="2"/>
      <c r="H967" s="2"/>
      <c r="I967" s="2"/>
      <c r="J967" s="2"/>
      <c r="K967" s="2"/>
      <c r="L967" s="2"/>
      <c r="M967" s="2"/>
      <c r="N967" s="2"/>
      <c r="O967" s="2"/>
      <c r="P967" s="2"/>
      <c r="Q967" s="2"/>
      <c r="R967" s="2"/>
      <c r="S967" s="2"/>
      <c r="T967" s="2"/>
      <c r="U967" s="2"/>
      <c r="V967" s="2"/>
      <c r="W967" s="2"/>
    </row>
    <row r="968">
      <c r="A968" s="2"/>
      <c r="B968" s="2"/>
      <c r="C968" s="2"/>
      <c r="D968" s="2"/>
      <c r="E968" s="2"/>
      <c r="F968" s="2"/>
      <c r="G968" s="2"/>
      <c r="H968" s="2"/>
      <c r="I968" s="2"/>
      <c r="J968" s="2"/>
      <c r="K968" s="2"/>
      <c r="L968" s="2"/>
      <c r="M968" s="2"/>
      <c r="N968" s="2"/>
      <c r="O968" s="2"/>
      <c r="P968" s="2"/>
      <c r="Q968" s="2"/>
      <c r="R968" s="2"/>
      <c r="S968" s="2"/>
      <c r="T968" s="2"/>
      <c r="U968" s="2"/>
      <c r="V968" s="2"/>
      <c r="W968" s="2"/>
    </row>
    <row r="969">
      <c r="A969" s="2"/>
      <c r="B969" s="2"/>
      <c r="C969" s="2"/>
      <c r="D969" s="2"/>
      <c r="E969" s="2"/>
      <c r="F969" s="2"/>
      <c r="G969" s="2"/>
      <c r="H969" s="2"/>
      <c r="I969" s="2"/>
      <c r="J969" s="2"/>
      <c r="K969" s="2"/>
      <c r="L969" s="2"/>
      <c r="M969" s="2"/>
      <c r="N969" s="2"/>
      <c r="O969" s="2"/>
      <c r="P969" s="2"/>
      <c r="Q969" s="2"/>
      <c r="R969" s="2"/>
      <c r="S969" s="2"/>
      <c r="T969" s="2"/>
      <c r="U969" s="2"/>
      <c r="V969" s="2"/>
      <c r="W969" s="2"/>
    </row>
    <row r="970">
      <c r="A970" s="2"/>
      <c r="B970" s="2"/>
      <c r="C970" s="2"/>
      <c r="D970" s="2"/>
      <c r="E970" s="2"/>
      <c r="F970" s="2"/>
      <c r="G970" s="2"/>
      <c r="H970" s="2"/>
      <c r="I970" s="2"/>
      <c r="J970" s="2"/>
      <c r="K970" s="2"/>
      <c r="L970" s="2"/>
      <c r="M970" s="2"/>
      <c r="N970" s="2"/>
      <c r="O970" s="2"/>
      <c r="P970" s="2"/>
      <c r="Q970" s="2"/>
      <c r="R970" s="2"/>
      <c r="S970" s="2"/>
      <c r="T970" s="2"/>
      <c r="U970" s="2"/>
      <c r="V970" s="2"/>
      <c r="W970" s="2"/>
    </row>
    <row r="971">
      <c r="A971" s="2"/>
      <c r="B971" s="2"/>
      <c r="C971" s="2"/>
      <c r="D971" s="2"/>
      <c r="E971" s="2"/>
      <c r="F971" s="2"/>
      <c r="G971" s="2"/>
      <c r="H971" s="2"/>
      <c r="I971" s="2"/>
      <c r="J971" s="2"/>
      <c r="K971" s="2"/>
      <c r="L971" s="2"/>
      <c r="M971" s="2"/>
      <c r="N971" s="2"/>
      <c r="O971" s="2"/>
      <c r="P971" s="2"/>
      <c r="Q971" s="2"/>
      <c r="R971" s="2"/>
      <c r="S971" s="2"/>
      <c r="T971" s="2"/>
      <c r="U971" s="2"/>
      <c r="V971" s="2"/>
      <c r="W971" s="2"/>
    </row>
    <row r="972">
      <c r="A972" s="2"/>
      <c r="B972" s="2"/>
      <c r="C972" s="2"/>
      <c r="D972" s="2"/>
      <c r="E972" s="2"/>
      <c r="F972" s="2"/>
      <c r="G972" s="2"/>
      <c r="H972" s="2"/>
      <c r="I972" s="2"/>
      <c r="J972" s="2"/>
      <c r="K972" s="2"/>
      <c r="L972" s="2"/>
      <c r="M972" s="2"/>
      <c r="N972" s="2"/>
      <c r="O972" s="2"/>
      <c r="P972" s="2"/>
      <c r="Q972" s="2"/>
      <c r="R972" s="2"/>
      <c r="S972" s="2"/>
      <c r="T972" s="2"/>
      <c r="U972" s="2"/>
      <c r="V972" s="2"/>
      <c r="W972" s="2"/>
    </row>
    <row r="973">
      <c r="A973" s="2"/>
      <c r="B973" s="2"/>
      <c r="C973" s="2"/>
      <c r="D973" s="2"/>
      <c r="E973" s="2"/>
      <c r="F973" s="2"/>
      <c r="G973" s="2"/>
      <c r="H973" s="2"/>
      <c r="I973" s="2"/>
      <c r="J973" s="2"/>
      <c r="K973" s="2"/>
      <c r="L973" s="2"/>
      <c r="M973" s="2"/>
      <c r="N973" s="2"/>
      <c r="O973" s="2"/>
      <c r="P973" s="2"/>
      <c r="Q973" s="2"/>
      <c r="R973" s="2"/>
      <c r="S973" s="2"/>
      <c r="T973" s="2"/>
      <c r="U973" s="2"/>
      <c r="V973" s="2"/>
      <c r="W973" s="2"/>
    </row>
    <row r="974">
      <c r="A974" s="2"/>
      <c r="B974" s="2"/>
      <c r="C974" s="2"/>
      <c r="D974" s="2"/>
      <c r="E974" s="2"/>
      <c r="F974" s="2"/>
      <c r="G974" s="2"/>
      <c r="H974" s="2"/>
      <c r="I974" s="2"/>
      <c r="J974" s="2"/>
      <c r="K974" s="2"/>
      <c r="L974" s="2"/>
      <c r="M974" s="2"/>
      <c r="N974" s="2"/>
      <c r="O974" s="2"/>
      <c r="P974" s="2"/>
      <c r="Q974" s="2"/>
      <c r="R974" s="2"/>
      <c r="S974" s="2"/>
      <c r="T974" s="2"/>
      <c r="U974" s="2"/>
      <c r="V974" s="2"/>
      <c r="W974" s="2"/>
    </row>
    <row r="975">
      <c r="A975" s="2"/>
      <c r="B975" s="2"/>
      <c r="C975" s="2"/>
      <c r="D975" s="2"/>
      <c r="E975" s="2"/>
      <c r="F975" s="2"/>
      <c r="G975" s="2"/>
      <c r="H975" s="2"/>
      <c r="I975" s="2"/>
      <c r="J975" s="2"/>
      <c r="K975" s="2"/>
      <c r="L975" s="2"/>
      <c r="M975" s="2"/>
      <c r="N975" s="2"/>
      <c r="O975" s="2"/>
      <c r="P975" s="2"/>
      <c r="Q975" s="2"/>
      <c r="R975" s="2"/>
      <c r="S975" s="2"/>
      <c r="T975" s="2"/>
      <c r="U975" s="2"/>
      <c r="V975" s="2"/>
      <c r="W975" s="2"/>
    </row>
    <row r="976">
      <c r="A976" s="2"/>
      <c r="B976" s="2"/>
      <c r="C976" s="2"/>
      <c r="D976" s="2"/>
      <c r="E976" s="2"/>
      <c r="F976" s="2"/>
      <c r="G976" s="2"/>
      <c r="H976" s="2"/>
      <c r="I976" s="2"/>
      <c r="J976" s="2"/>
      <c r="K976" s="2"/>
      <c r="L976" s="2"/>
      <c r="M976" s="2"/>
      <c r="N976" s="2"/>
      <c r="O976" s="2"/>
      <c r="P976" s="2"/>
      <c r="Q976" s="2"/>
      <c r="R976" s="2"/>
      <c r="S976" s="2"/>
      <c r="T976" s="2"/>
      <c r="U976" s="2"/>
      <c r="V976" s="2"/>
      <c r="W976" s="2"/>
    </row>
    <row r="977">
      <c r="A977" s="2"/>
      <c r="B977" s="2"/>
      <c r="C977" s="2"/>
      <c r="D977" s="2"/>
      <c r="E977" s="2"/>
      <c r="F977" s="2"/>
      <c r="G977" s="2"/>
      <c r="H977" s="2"/>
      <c r="I977" s="2"/>
      <c r="J977" s="2"/>
      <c r="K977" s="2"/>
      <c r="L977" s="2"/>
      <c r="M977" s="2"/>
      <c r="N977" s="2"/>
      <c r="O977" s="2"/>
      <c r="P977" s="2"/>
      <c r="Q977" s="2"/>
      <c r="R977" s="2"/>
      <c r="S977" s="2"/>
      <c r="T977" s="2"/>
      <c r="U977" s="2"/>
      <c r="V977" s="2"/>
      <c r="W977" s="2"/>
    </row>
    <row r="978">
      <c r="A978" s="2"/>
      <c r="B978" s="2"/>
      <c r="C978" s="2"/>
      <c r="D978" s="2"/>
      <c r="E978" s="2"/>
      <c r="F978" s="2"/>
      <c r="G978" s="2"/>
      <c r="H978" s="2"/>
      <c r="I978" s="2"/>
      <c r="J978" s="2"/>
      <c r="K978" s="2"/>
      <c r="L978" s="2"/>
      <c r="M978" s="2"/>
      <c r="N978" s="2"/>
      <c r="O978" s="2"/>
      <c r="P978" s="2"/>
      <c r="Q978" s="2"/>
      <c r="R978" s="2"/>
      <c r="S978" s="2"/>
      <c r="T978" s="2"/>
      <c r="U978" s="2"/>
      <c r="V978" s="2"/>
      <c r="W978" s="2"/>
    </row>
    <row r="979">
      <c r="A979" s="2"/>
      <c r="B979" s="2"/>
      <c r="C979" s="2"/>
      <c r="D979" s="2"/>
      <c r="E979" s="2"/>
      <c r="F979" s="2"/>
      <c r="G979" s="2"/>
      <c r="H979" s="2"/>
      <c r="I979" s="2"/>
      <c r="J979" s="2"/>
      <c r="K979" s="2"/>
      <c r="L979" s="2"/>
      <c r="M979" s="2"/>
      <c r="N979" s="2"/>
      <c r="O979" s="2"/>
      <c r="P979" s="2"/>
      <c r="Q979" s="2"/>
      <c r="R979" s="2"/>
      <c r="S979" s="2"/>
      <c r="T979" s="2"/>
      <c r="U979" s="2"/>
      <c r="V979" s="2"/>
      <c r="W979" s="2"/>
    </row>
    <row r="980">
      <c r="A980" s="2"/>
      <c r="B980" s="2"/>
      <c r="C980" s="2"/>
      <c r="D980" s="2"/>
      <c r="E980" s="2"/>
      <c r="F980" s="2"/>
      <c r="G980" s="2"/>
      <c r="H980" s="2"/>
      <c r="I980" s="2"/>
      <c r="J980" s="2"/>
      <c r="K980" s="2"/>
      <c r="L980" s="2"/>
      <c r="M980" s="2"/>
      <c r="N980" s="2"/>
      <c r="O980" s="2"/>
      <c r="P980" s="2"/>
      <c r="Q980" s="2"/>
      <c r="R980" s="2"/>
      <c r="S980" s="2"/>
      <c r="T980" s="2"/>
      <c r="U980" s="2"/>
      <c r="V980" s="2"/>
      <c r="W980" s="2"/>
    </row>
    <row r="981">
      <c r="A981" s="2"/>
      <c r="B981" s="2"/>
      <c r="C981" s="2"/>
      <c r="D981" s="2"/>
      <c r="E981" s="2"/>
      <c r="F981" s="2"/>
      <c r="G981" s="2"/>
      <c r="H981" s="2"/>
      <c r="I981" s="2"/>
      <c r="J981" s="2"/>
      <c r="K981" s="2"/>
      <c r="L981" s="2"/>
      <c r="M981" s="2"/>
      <c r="N981" s="2"/>
      <c r="O981" s="2"/>
      <c r="P981" s="2"/>
      <c r="Q981" s="2"/>
      <c r="R981" s="2"/>
      <c r="S981" s="2"/>
      <c r="T981" s="2"/>
      <c r="U981" s="2"/>
      <c r="V981" s="2"/>
      <c r="W981" s="2"/>
    </row>
    <row r="982">
      <c r="A982" s="2"/>
      <c r="B982" s="2"/>
      <c r="C982" s="2"/>
      <c r="D982" s="2"/>
      <c r="E982" s="2"/>
      <c r="F982" s="2"/>
      <c r="G982" s="2"/>
      <c r="H982" s="2"/>
      <c r="I982" s="2"/>
      <c r="J982" s="2"/>
      <c r="K982" s="2"/>
      <c r="L982" s="2"/>
      <c r="M982" s="2"/>
      <c r="N982" s="2"/>
      <c r="O982" s="2"/>
      <c r="P982" s="2"/>
      <c r="Q982" s="2"/>
      <c r="R982" s="2"/>
      <c r="S982" s="2"/>
      <c r="T982" s="2"/>
      <c r="U982" s="2"/>
      <c r="V982" s="2"/>
      <c r="W982" s="2"/>
    </row>
    <row r="983">
      <c r="A983" s="2"/>
      <c r="B983" s="2"/>
      <c r="C983" s="2"/>
      <c r="D983" s="2"/>
      <c r="E983" s="2"/>
      <c r="F983" s="2"/>
      <c r="G983" s="2"/>
      <c r="H983" s="2"/>
      <c r="I983" s="2"/>
      <c r="J983" s="2"/>
      <c r="K983" s="2"/>
      <c r="L983" s="2"/>
      <c r="M983" s="2"/>
      <c r="N983" s="2"/>
      <c r="O983" s="2"/>
      <c r="P983" s="2"/>
      <c r="Q983" s="2"/>
      <c r="R983" s="2"/>
      <c r="S983" s="2"/>
      <c r="T983" s="2"/>
      <c r="U983" s="2"/>
      <c r="V983" s="2"/>
      <c r="W983" s="2"/>
    </row>
    <row r="984">
      <c r="A984" s="2"/>
      <c r="B984" s="2"/>
      <c r="C984" s="2"/>
      <c r="D984" s="2"/>
      <c r="E984" s="2"/>
      <c r="F984" s="2"/>
      <c r="G984" s="2"/>
      <c r="H984" s="2"/>
      <c r="I984" s="2"/>
      <c r="J984" s="2"/>
      <c r="K984" s="2"/>
      <c r="L984" s="2"/>
      <c r="M984" s="2"/>
      <c r="N984" s="2"/>
      <c r="O984" s="2"/>
      <c r="P984" s="2"/>
      <c r="Q984" s="2"/>
      <c r="R984" s="2"/>
      <c r="S984" s="2"/>
      <c r="T984" s="2"/>
      <c r="U984" s="2"/>
      <c r="V984" s="2"/>
      <c r="W984" s="2"/>
    </row>
    <row r="985">
      <c r="A985" s="2"/>
      <c r="B985" s="2"/>
      <c r="C985" s="2"/>
      <c r="D985" s="2"/>
      <c r="E985" s="2"/>
      <c r="F985" s="2"/>
      <c r="G985" s="2"/>
      <c r="H985" s="2"/>
      <c r="I985" s="2"/>
      <c r="J985" s="2"/>
      <c r="K985" s="2"/>
      <c r="L985" s="2"/>
      <c r="M985" s="2"/>
      <c r="N985" s="2"/>
      <c r="O985" s="2"/>
      <c r="P985" s="2"/>
      <c r="Q985" s="2"/>
      <c r="R985" s="2"/>
      <c r="S985" s="2"/>
      <c r="T985" s="2"/>
      <c r="U985" s="2"/>
      <c r="V985" s="2"/>
      <c r="W985" s="2"/>
    </row>
    <row r="986">
      <c r="A986" s="2"/>
      <c r="B986" s="2"/>
      <c r="C986" s="2"/>
      <c r="D986" s="2"/>
      <c r="E986" s="2"/>
      <c r="F986" s="2"/>
      <c r="G986" s="2"/>
      <c r="H986" s="2"/>
      <c r="I986" s="2"/>
      <c r="J986" s="2"/>
      <c r="K986" s="2"/>
      <c r="L986" s="2"/>
      <c r="M986" s="2"/>
      <c r="N986" s="2"/>
      <c r="O986" s="2"/>
      <c r="P986" s="2"/>
      <c r="Q986" s="2"/>
      <c r="R986" s="2"/>
      <c r="S986" s="2"/>
      <c r="T986" s="2"/>
      <c r="U986" s="2"/>
      <c r="V986" s="2"/>
      <c r="W986" s="2"/>
    </row>
    <row r="987">
      <c r="A987" s="2"/>
      <c r="B987" s="2"/>
      <c r="C987" s="2"/>
      <c r="D987" s="2"/>
      <c r="E987" s="2"/>
      <c r="F987" s="2"/>
      <c r="G987" s="2"/>
      <c r="H987" s="2"/>
      <c r="I987" s="2"/>
      <c r="J987" s="2"/>
      <c r="K987" s="2"/>
      <c r="L987" s="2"/>
      <c r="M987" s="2"/>
      <c r="N987" s="2"/>
      <c r="O987" s="2"/>
      <c r="P987" s="2"/>
      <c r="Q987" s="2"/>
      <c r="R987" s="2"/>
      <c r="S987" s="2"/>
      <c r="T987" s="2"/>
      <c r="U987" s="2"/>
      <c r="V987" s="2"/>
      <c r="W987" s="2"/>
    </row>
    <row r="988">
      <c r="A988" s="2"/>
      <c r="B988" s="2"/>
      <c r="C988" s="2"/>
      <c r="D988" s="2"/>
      <c r="E988" s="2"/>
      <c r="F988" s="2"/>
      <c r="G988" s="2"/>
      <c r="H988" s="2"/>
      <c r="I988" s="2"/>
      <c r="J988" s="2"/>
      <c r="K988" s="2"/>
      <c r="L988" s="2"/>
      <c r="M988" s="2"/>
      <c r="N988" s="2"/>
      <c r="O988" s="2"/>
      <c r="P988" s="2"/>
      <c r="Q988" s="2"/>
      <c r="R988" s="2"/>
      <c r="S988" s="2"/>
      <c r="T988" s="2"/>
      <c r="U988" s="2"/>
      <c r="V988" s="2"/>
      <c r="W988" s="2"/>
    </row>
    <row r="989">
      <c r="A989" s="2"/>
      <c r="B989" s="2"/>
      <c r="C989" s="2"/>
      <c r="D989" s="2"/>
      <c r="E989" s="2"/>
      <c r="F989" s="2"/>
      <c r="G989" s="2"/>
      <c r="H989" s="2"/>
      <c r="I989" s="2"/>
      <c r="J989" s="2"/>
      <c r="K989" s="2"/>
      <c r="L989" s="2"/>
      <c r="M989" s="2"/>
      <c r="N989" s="2"/>
      <c r="O989" s="2"/>
      <c r="P989" s="2"/>
      <c r="Q989" s="2"/>
      <c r="R989" s="2"/>
      <c r="S989" s="2"/>
      <c r="T989" s="2"/>
      <c r="U989" s="2"/>
      <c r="V989" s="2"/>
      <c r="W989" s="2"/>
    </row>
    <row r="990">
      <c r="A990" s="2"/>
      <c r="B990" s="2"/>
      <c r="C990" s="2"/>
      <c r="D990" s="2"/>
      <c r="E990" s="2"/>
      <c r="F990" s="2"/>
      <c r="G990" s="2"/>
      <c r="H990" s="2"/>
      <c r="I990" s="2"/>
      <c r="J990" s="2"/>
      <c r="K990" s="2"/>
      <c r="L990" s="2"/>
      <c r="M990" s="2"/>
      <c r="N990" s="2"/>
      <c r="O990" s="2"/>
      <c r="P990" s="2"/>
      <c r="Q990" s="2"/>
      <c r="R990" s="2"/>
      <c r="S990" s="2"/>
      <c r="T990" s="2"/>
      <c r="U990" s="2"/>
      <c r="V990" s="2"/>
      <c r="W990" s="2"/>
    </row>
    <row r="991">
      <c r="A991" s="2"/>
      <c r="B991" s="2"/>
      <c r="C991" s="2"/>
      <c r="D991" s="2"/>
      <c r="E991" s="2"/>
      <c r="F991" s="2"/>
      <c r="G991" s="2"/>
      <c r="H991" s="2"/>
      <c r="I991" s="2"/>
      <c r="J991" s="2"/>
      <c r="K991" s="2"/>
      <c r="L991" s="2"/>
      <c r="M991" s="2"/>
      <c r="N991" s="2"/>
      <c r="O991" s="2"/>
      <c r="P991" s="2"/>
      <c r="Q991" s="2"/>
      <c r="R991" s="2"/>
      <c r="S991" s="2"/>
      <c r="T991" s="2"/>
      <c r="U991" s="2"/>
      <c r="V991" s="2"/>
      <c r="W991" s="2"/>
    </row>
    <row r="992">
      <c r="A992" s="2"/>
      <c r="B992" s="2"/>
      <c r="C992" s="2"/>
      <c r="D992" s="2"/>
      <c r="E992" s="2"/>
      <c r="F992" s="2"/>
      <c r="G992" s="2"/>
      <c r="H992" s="2"/>
      <c r="I992" s="2"/>
      <c r="J992" s="2"/>
      <c r="K992" s="2"/>
      <c r="L992" s="2"/>
      <c r="M992" s="2"/>
      <c r="N992" s="2"/>
      <c r="O992" s="2"/>
      <c r="P992" s="2"/>
      <c r="Q992" s="2"/>
      <c r="R992" s="2"/>
      <c r="S992" s="2"/>
      <c r="T992" s="2"/>
      <c r="U992" s="2"/>
      <c r="V992" s="2"/>
      <c r="W992" s="2"/>
    </row>
    <row r="993">
      <c r="A993" s="2"/>
      <c r="B993" s="2"/>
      <c r="C993" s="2"/>
      <c r="D993" s="2"/>
      <c r="E993" s="2"/>
      <c r="F993" s="2"/>
      <c r="G993" s="2"/>
      <c r="H993" s="2"/>
      <c r="I993" s="2"/>
      <c r="J993" s="2"/>
      <c r="K993" s="2"/>
      <c r="L993" s="2"/>
      <c r="M993" s="2"/>
      <c r="N993" s="2"/>
      <c r="O993" s="2"/>
      <c r="P993" s="2"/>
      <c r="Q993" s="2"/>
      <c r="R993" s="2"/>
      <c r="S993" s="2"/>
      <c r="T993" s="2"/>
      <c r="U993" s="2"/>
      <c r="V993" s="2"/>
      <c r="W993" s="2"/>
    </row>
    <row r="994">
      <c r="A994" s="2"/>
      <c r="B994" s="2"/>
      <c r="C994" s="2"/>
      <c r="D994" s="2"/>
      <c r="E994" s="2"/>
      <c r="F994" s="2"/>
      <c r="G994" s="2"/>
      <c r="H994" s="2"/>
      <c r="I994" s="2"/>
      <c r="J994" s="2"/>
      <c r="K994" s="2"/>
      <c r="L994" s="2"/>
      <c r="M994" s="2"/>
      <c r="N994" s="2"/>
      <c r="O994" s="2"/>
      <c r="P994" s="2"/>
      <c r="Q994" s="2"/>
      <c r="R994" s="2"/>
      <c r="S994" s="2"/>
      <c r="T994" s="2"/>
      <c r="U994" s="2"/>
      <c r="V994" s="2"/>
      <c r="W994" s="2"/>
    </row>
    <row r="995">
      <c r="A995" s="2"/>
      <c r="B995" s="2"/>
      <c r="C995" s="2"/>
      <c r="D995" s="2"/>
      <c r="E995" s="2"/>
      <c r="F995" s="2"/>
      <c r="G995" s="2"/>
      <c r="H995" s="2"/>
      <c r="I995" s="2"/>
      <c r="J995" s="2"/>
      <c r="K995" s="2"/>
      <c r="L995" s="2"/>
      <c r="M995" s="2"/>
      <c r="N995" s="2"/>
      <c r="O995" s="2"/>
      <c r="P995" s="2"/>
      <c r="Q995" s="2"/>
      <c r="R995" s="2"/>
      <c r="S995" s="2"/>
      <c r="T995" s="2"/>
      <c r="U995" s="2"/>
      <c r="V995" s="2"/>
      <c r="W995" s="2"/>
    </row>
    <row r="996">
      <c r="A996" s="2"/>
      <c r="B996" s="2"/>
      <c r="C996" s="2"/>
      <c r="D996" s="2"/>
      <c r="E996" s="2"/>
      <c r="F996" s="2"/>
      <c r="G996" s="2"/>
      <c r="H996" s="2"/>
      <c r="I996" s="2"/>
      <c r="J996" s="2"/>
      <c r="K996" s="2"/>
      <c r="L996" s="2"/>
      <c r="M996" s="2"/>
      <c r="N996" s="2"/>
      <c r="O996" s="2"/>
      <c r="P996" s="2"/>
      <c r="Q996" s="2"/>
      <c r="R996" s="2"/>
      <c r="S996" s="2"/>
      <c r="T996" s="2"/>
      <c r="U996" s="2"/>
      <c r="V996" s="2"/>
      <c r="W996" s="2"/>
    </row>
    <row r="997">
      <c r="A997" s="2"/>
      <c r="B997" s="2"/>
      <c r="C997" s="2"/>
      <c r="D997" s="2"/>
      <c r="E997" s="2"/>
      <c r="F997" s="2"/>
      <c r="G997" s="2"/>
      <c r="H997" s="2"/>
      <c r="I997" s="2"/>
      <c r="J997" s="2"/>
      <c r="K997" s="2"/>
      <c r="L997" s="2"/>
      <c r="M997" s="2"/>
      <c r="N997" s="2"/>
      <c r="O997" s="2"/>
      <c r="P997" s="2"/>
      <c r="Q997" s="2"/>
      <c r="R997" s="2"/>
      <c r="S997" s="2"/>
      <c r="T997" s="2"/>
      <c r="U997" s="2"/>
      <c r="V997" s="2"/>
      <c r="W997" s="2"/>
    </row>
    <row r="998">
      <c r="A998" s="2"/>
      <c r="B998" s="2"/>
      <c r="C998" s="2"/>
      <c r="D998" s="2"/>
      <c r="E998" s="2"/>
      <c r="F998" s="2"/>
      <c r="G998" s="2"/>
      <c r="H998" s="2"/>
      <c r="I998" s="2"/>
      <c r="J998" s="2"/>
      <c r="K998" s="2"/>
      <c r="L998" s="2"/>
      <c r="M998" s="2"/>
      <c r="N998" s="2"/>
      <c r="O998" s="2"/>
      <c r="P998" s="2"/>
      <c r="Q998" s="2"/>
      <c r="R998" s="2"/>
      <c r="S998" s="2"/>
      <c r="T998" s="2"/>
      <c r="U998" s="2"/>
      <c r="V998" s="2"/>
      <c r="W998" s="2"/>
    </row>
  </sheetData>
  <drawing r:id="rId1"/>
  <tableParts count="2">
    <tablePart r:id="rId4"/>
    <tablePart r:id="rId5"/>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ht="22.5" customHeight="1">
      <c r="A1" s="1" t="s">
        <v>0</v>
      </c>
      <c r="B1" s="1" t="s">
        <v>1</v>
      </c>
      <c r="C1" s="1" t="s">
        <v>2</v>
      </c>
      <c r="D1" s="1" t="s">
        <v>3</v>
      </c>
      <c r="E1" s="1" t="s">
        <v>577</v>
      </c>
      <c r="F1" s="2"/>
      <c r="G1" s="1" t="s">
        <v>0</v>
      </c>
      <c r="H1" s="1" t="s">
        <v>5</v>
      </c>
      <c r="I1" s="1" t="s">
        <v>6</v>
      </c>
      <c r="J1" s="1" t="s">
        <v>7</v>
      </c>
      <c r="K1" s="1" t="s">
        <v>4</v>
      </c>
      <c r="L1" s="2"/>
      <c r="M1" s="2"/>
      <c r="N1" s="2"/>
      <c r="O1" s="2"/>
      <c r="P1" s="2"/>
      <c r="Q1" s="2"/>
      <c r="R1" s="2"/>
      <c r="S1" s="2"/>
      <c r="T1" s="2"/>
      <c r="U1" s="2"/>
      <c r="V1" s="2"/>
      <c r="W1" s="2"/>
    </row>
    <row r="2" ht="22.5" customHeight="1">
      <c r="A2" s="3">
        <v>1.0</v>
      </c>
      <c r="B2" s="3" t="s">
        <v>578</v>
      </c>
      <c r="C2" s="3" t="s">
        <v>579</v>
      </c>
      <c r="D2" s="3" t="s">
        <v>580</v>
      </c>
      <c r="E2" s="3" t="s">
        <v>581</v>
      </c>
      <c r="F2" s="2"/>
      <c r="G2" s="3" t="str">
        <f>IFERROR(__xludf.DUMMYFUNCTION("GOOGLETRANSLATE(A2, ""it"", ""en"")"),"1")</f>
        <v>1</v>
      </c>
      <c r="H2" s="3" t="str">
        <f>IFERROR(__xludf.DUMMYFUNCTION("GOOGLETRANSLATE(B2, ""it"", ""en"")"),"What is the main objective in the game of Bocce?")</f>
        <v>What is the main objective in the game of Bocce?</v>
      </c>
      <c r="I2" s="3" t="str">
        <f>IFERROR(__xludf.DUMMYFUNCTION("GOOGLETRANSLATE(C2, ""it"", ""en"")"),"A. Throw the ball as far as possible B. Bring the ball as close as possible to the jack C. Hit the jack with the ball D. Throw the ball into the air")</f>
        <v>A. Throw the ball as far as possible B. Bring the ball as close as possible to the jack C. Hit the jack with the ball D. Throw the ball into the air</v>
      </c>
      <c r="J2" s="3" t="str">
        <f>IFERROR(__xludf.DUMMYFUNCTION("GOOGLETRANSLATE(D2, ""it"", ""en"")"),"Bring the ball as close to the jack as possible")</f>
        <v>Bring the ball as close to the jack as possible</v>
      </c>
      <c r="K2" s="3" t="str">
        <f>IFERROR(__xludf.DUMMYFUNCTION("GOOGLETRANSLATE(E2, ""it"", ""en"")"),"The goal is to position the ball closer to the jack than your opponents.")</f>
        <v>The goal is to position the ball closer to the jack than your opponents.</v>
      </c>
      <c r="L2" s="2"/>
      <c r="M2" s="2"/>
      <c r="N2" s="2"/>
      <c r="O2" s="2"/>
      <c r="P2" s="2"/>
      <c r="Q2" s="2"/>
      <c r="R2" s="2"/>
      <c r="S2" s="2"/>
      <c r="T2" s="2"/>
      <c r="U2" s="2"/>
      <c r="V2" s="2"/>
      <c r="W2" s="2"/>
    </row>
    <row r="3" ht="22.5" customHeight="1">
      <c r="A3" s="3">
        <v>2.0</v>
      </c>
      <c r="B3" s="3" t="s">
        <v>582</v>
      </c>
      <c r="C3" s="3" t="s">
        <v>583</v>
      </c>
      <c r="D3" s="3" t="s">
        <v>584</v>
      </c>
      <c r="E3" s="3" t="s">
        <v>585</v>
      </c>
      <c r="F3" s="2"/>
      <c r="G3" s="3" t="str">
        <f>IFERROR(__xludf.DUMMYFUNCTION("GOOGLETRANSLATE(A3, ""it"", ""en"")"),"2")</f>
        <v>2</v>
      </c>
      <c r="H3" s="3" t="str">
        <f>IFERROR(__xludf.DUMMYFUNCTION("GOOGLETRANSLATE(B3, ""it"", ""en"")"),"How many bowls does each player have in a singles match?")</f>
        <v>How many bowls does each player have in a singles match?</v>
      </c>
      <c r="I3" s="3" t="str">
        <f>IFERROR(__xludf.DUMMYFUNCTION("GOOGLETRANSLATE(C3, ""it"", ""en"")"),"A. 1 bowl B. 2 bowls C. 3 bowls D. 4 bowls")</f>
        <v>A. 1 bowl B. 2 bowls C. 3 bowls D. 4 bowls</v>
      </c>
      <c r="J3" s="3" t="str">
        <f>IFERROR(__xludf.DUMMYFUNCTION("GOOGLETRANSLATE(D3, ""it"", ""en"")"),"4 bowls")</f>
        <v>4 bowls</v>
      </c>
      <c r="K3" s="3" t="str">
        <f>IFERROR(__xludf.DUMMYFUNCTION("GOOGLETRANSLATE(E3, ""it"", ""en"")"),"In singles matches")</f>
        <v>In singles matches</v>
      </c>
      <c r="L3" s="2"/>
      <c r="M3" s="2"/>
      <c r="N3" s="2"/>
      <c r="O3" s="2"/>
      <c r="P3" s="2"/>
      <c r="Q3" s="2"/>
      <c r="R3" s="2"/>
      <c r="S3" s="2"/>
      <c r="T3" s="2"/>
      <c r="U3" s="2"/>
      <c r="V3" s="2"/>
      <c r="W3" s="2"/>
    </row>
    <row r="4" ht="22.5" customHeight="1">
      <c r="A4" s="3">
        <v>3.0</v>
      </c>
      <c r="B4" s="3" t="s">
        <v>586</v>
      </c>
      <c r="C4" s="3" t="s">
        <v>587</v>
      </c>
      <c r="D4" s="3" t="s">
        <v>588</v>
      </c>
      <c r="E4" s="3" t="s">
        <v>589</v>
      </c>
      <c r="F4" s="2"/>
      <c r="G4" s="3" t="str">
        <f>IFERROR(__xludf.DUMMYFUNCTION("GOOGLETRANSLATE(A4, ""it"", ""en"")"),"3")</f>
        <v>3</v>
      </c>
      <c r="H4" s="3" t="str">
        <f>IFERROR(__xludf.DUMMYFUNCTION("GOOGLETRANSLATE(B4, ""it"", ""en"")"),"What is the name of the small ball used as a target?")</f>
        <v>What is the name of the small ball used as a target?</v>
      </c>
      <c r="I4" s="3" t="str">
        <f>IFERROR(__xludf.DUMMYFUNCTION("GOOGLETRANSLATE(C4, ""it"", ""en"")"),"A. Bowl B. Ball C. Jack D. Sphere")</f>
        <v>A. Bowl B. Ball C. Jack D. Sphere</v>
      </c>
      <c r="J4" s="3" t="str">
        <f>IFERROR(__xludf.DUMMYFUNCTION("GOOGLETRANSLATE(D4, ""it"", ""en"")"),"Ball")</f>
        <v>Ball</v>
      </c>
      <c r="K4" s="3" t="str">
        <f>IFERROR(__xludf.DUMMYFUNCTION("GOOGLETRANSLATE(E4, ""it"", ""en"")"),"The pallino is the target that players must approach with their balls.")</f>
        <v>The pallino is the target that players must approach with their balls.</v>
      </c>
      <c r="L4" s="2"/>
      <c r="M4" s="2"/>
      <c r="N4" s="2"/>
      <c r="O4" s="2"/>
      <c r="P4" s="2"/>
      <c r="Q4" s="2"/>
      <c r="R4" s="2"/>
      <c r="S4" s="2"/>
      <c r="T4" s="2"/>
      <c r="U4" s="2"/>
      <c r="V4" s="2"/>
      <c r="W4" s="2"/>
    </row>
    <row r="5" ht="22.5" customHeight="1">
      <c r="A5" s="3">
        <v>4.0</v>
      </c>
      <c r="B5" s="3" t="s">
        <v>590</v>
      </c>
      <c r="C5" s="3" t="s">
        <v>591</v>
      </c>
      <c r="D5" s="3" t="s">
        <v>592</v>
      </c>
      <c r="E5" s="3" t="s">
        <v>593</v>
      </c>
      <c r="F5" s="2"/>
      <c r="G5" s="3" t="str">
        <f>IFERROR(__xludf.DUMMYFUNCTION("GOOGLETRANSLATE(A5, ""it"", ""en"")"),"4")</f>
        <v>4</v>
      </c>
      <c r="H5" s="3" t="str">
        <f>IFERROR(__xludf.DUMMYFUNCTION("GOOGLETRANSLATE(B5, ""it"", ""en"")"),"What happens if the cue ball is moved out of bounds?")</f>
        <v>What happens if the cue ball is moved out of bounds?</v>
      </c>
      <c r="I5" s="3" t="str">
        <f>IFERROR(__xludf.DUMMYFUNCTION("GOOGLETRANSLATE(C5, ""it"", ""en"")"),"A. Play continues normally B. It is returned to the centre of the pitch C. It is placed at the nearest point within the pitch D. The team that moved it loses its turn")</f>
        <v>A. Play continues normally B. It is returned to the centre of the pitch C. It is placed at the nearest point within the pitch D. The team that moved it loses its turn</v>
      </c>
      <c r="J5" s="3" t="str">
        <f>IFERROR(__xludf.DUMMYFUNCTION("GOOGLETRANSLATE(D5, ""it"", ""en"")"),"It is placed at the closest point within the field")</f>
        <v>It is placed at the closest point within the field</v>
      </c>
      <c r="K5" s="3" t="str">
        <f>IFERROR(__xludf.DUMMYFUNCTION("GOOGLETRANSLATE(E5, ""it"", ""en"")"),"If the ball comes out")</f>
        <v>If the ball comes out</v>
      </c>
      <c r="L5" s="2"/>
      <c r="M5" s="2"/>
      <c r="N5" s="2"/>
      <c r="O5" s="2"/>
      <c r="P5" s="2"/>
      <c r="Q5" s="2"/>
      <c r="R5" s="2"/>
      <c r="S5" s="2"/>
      <c r="T5" s="2"/>
      <c r="U5" s="2"/>
      <c r="V5" s="2"/>
      <c r="W5" s="2"/>
    </row>
    <row r="6" ht="22.5" customHeight="1">
      <c r="A6" s="3">
        <v>5.0</v>
      </c>
      <c r="B6" s="3" t="s">
        <v>594</v>
      </c>
      <c r="C6" s="3" t="s">
        <v>595</v>
      </c>
      <c r="D6" s="3" t="s">
        <v>596</v>
      </c>
      <c r="E6" s="3" t="s">
        <v>597</v>
      </c>
      <c r="F6" s="2"/>
      <c r="G6" s="3" t="str">
        <f>IFERROR(__xludf.DUMMYFUNCTION("GOOGLETRANSLATE(A6, ""it"", ""en"")"),"5")</f>
        <v>5</v>
      </c>
      <c r="H6" s="3" t="str">
        <f>IFERROR(__xludf.DUMMYFUNCTION("GOOGLETRANSLATE(B6, ""it"", ""en"")"),"How many points are scored if all of a player's balls are closer to the jack than the opponent's?")</f>
        <v>How many points are scored if all of a player's balls are closer to the jack than the opponent's?</v>
      </c>
      <c r="I6" s="3" t="str">
        <f>IFERROR(__xludf.DUMMYFUNCTION("GOOGLETRANSLATE(C6, ""it"", ""en"")"),"A. 1 point B. 2 points C. 4 points D. As many points as the closest bowls")</f>
        <v>A. 1 point B. 2 points C. 4 points D. As many points as the closest bowls</v>
      </c>
      <c r="J6" s="3" t="str">
        <f>IFERROR(__xludf.DUMMYFUNCTION("GOOGLETRANSLATE(D6, ""it"", ""en"")"),"As many points as the closest bowls")</f>
        <v>As many points as the closest bowls</v>
      </c>
      <c r="K6" s="3" t="str">
        <f>IFERROR(__xludf.DUMMYFUNCTION("GOOGLETRANSLATE(E6, ""it"", ""en"")"),"The score is determined by the number of balls closer to the jack than the opponent's.")</f>
        <v>The score is determined by the number of balls closer to the jack than the opponent's.</v>
      </c>
      <c r="L6" s="2"/>
      <c r="M6" s="2"/>
      <c r="N6" s="2"/>
      <c r="O6" s="2"/>
      <c r="P6" s="2"/>
      <c r="Q6" s="2"/>
      <c r="R6" s="2"/>
      <c r="S6" s="2"/>
      <c r="T6" s="2"/>
      <c r="U6" s="2"/>
      <c r="V6" s="2"/>
      <c r="W6" s="2"/>
    </row>
    <row r="7" ht="22.5" customHeight="1">
      <c r="A7" s="3">
        <v>6.0</v>
      </c>
      <c r="B7" s="3" t="s">
        <v>598</v>
      </c>
      <c r="C7" s="3" t="s">
        <v>599</v>
      </c>
      <c r="D7" s="3" t="s">
        <v>600</v>
      </c>
      <c r="E7" s="3" t="s">
        <v>601</v>
      </c>
      <c r="F7" s="2"/>
      <c r="G7" s="3" t="str">
        <f>IFERROR(__xludf.DUMMYFUNCTION("GOOGLETRANSLATE(A7, ""it"", ""en"")"),"6")</f>
        <v>6</v>
      </c>
      <c r="H7" s="3" t="str">
        <f>IFERROR(__xludf.DUMMYFUNCTION("GOOGLETRANSLATE(B7, ""it"", ""en"")"),"What does ""winning bowl"" mean?")</f>
        <v>What does "winning bowl" mean?</v>
      </c>
      <c r="I7" s="3" t="str">
        <f>IFERROR(__xludf.DUMMYFUNCTION("GOOGLETRANSLATE(C7, ""it"", ""en"")"),"A. The ball closest to the jack B. The ball thrown last C. The ball furthest from the jack D. The ball that hits the jack")</f>
        <v>A. The ball closest to the jack B. The ball thrown last C. The ball furthest from the jack D. The ball that hits the jack</v>
      </c>
      <c r="J7" s="3" t="str">
        <f>IFERROR(__xludf.DUMMYFUNCTION("GOOGLETRANSLATE(D7, ""it"", ""en"")"),"The ball closest to the jack")</f>
        <v>The ball closest to the jack</v>
      </c>
      <c r="K7" s="3" t="str">
        <f>IFERROR(__xludf.DUMMYFUNCTION("GOOGLETRANSLATE(E7, ""it"", ""en"")"),"The winning ball is the one closest to the jack.")</f>
        <v>The winning ball is the one closest to the jack.</v>
      </c>
      <c r="L7" s="2"/>
      <c r="M7" s="2"/>
      <c r="N7" s="2"/>
      <c r="O7" s="2"/>
      <c r="P7" s="2"/>
      <c r="Q7" s="2"/>
      <c r="R7" s="2"/>
      <c r="S7" s="2"/>
      <c r="T7" s="2"/>
      <c r="U7" s="2"/>
      <c r="V7" s="2"/>
      <c r="W7" s="2"/>
    </row>
    <row r="8" ht="22.5" customHeight="1">
      <c r="A8" s="3">
        <v>7.0</v>
      </c>
      <c r="B8" s="3" t="s">
        <v>602</v>
      </c>
      <c r="C8" s="3" t="s">
        <v>603</v>
      </c>
      <c r="D8" s="3" t="s">
        <v>604</v>
      </c>
      <c r="E8" s="3" t="s">
        <v>605</v>
      </c>
      <c r="F8" s="2"/>
      <c r="G8" s="3" t="str">
        <f>IFERROR(__xludf.DUMMYFUNCTION("GOOGLETRANSLATE(A8, ""it"", ""en"")"),"7")</f>
        <v>7</v>
      </c>
      <c r="H8" s="3" t="str">
        <f>IFERROR(__xludf.DUMMYFUNCTION("GOOGLETRANSLATE(B8, ""it"", ""en"")"),"What is the regulation size of the bocce court?")</f>
        <v>What is the regulation size of the bocce court?</v>
      </c>
      <c r="I8" s="3" t="str">
        <f>IFERROR(__xludf.DUMMYFUNCTION("GOOGLETRANSLATE(C8, ""it"", ""en"")"),"A. 20 meters x 4 meters B. 26 meters x 4 meters C. 30 meters x 5 meters D. 20 meters x 6 meters")</f>
        <v>A. 20 meters x 4 meters B. 26 meters x 4 meters C. 30 meters x 5 meters D. 20 meters x 6 meters</v>
      </c>
      <c r="J8" s="3" t="str">
        <f>IFERROR(__xludf.DUMMYFUNCTION("GOOGLETRANSLATE(D8, ""it"", ""en"")"),"26 meters x 4 meters")</f>
        <v>26 meters x 4 meters</v>
      </c>
      <c r="K8" s="3" t="str">
        <f>IFERROR(__xludf.DUMMYFUNCTION("GOOGLETRANSLATE(E8, ""it"", ""en"")"),"The regulation field measures 26 metres long by 4 metres wide.")</f>
        <v>The regulation field measures 26 metres long by 4 metres wide.</v>
      </c>
      <c r="L8" s="2"/>
      <c r="M8" s="2"/>
      <c r="N8" s="2"/>
      <c r="O8" s="2"/>
      <c r="P8" s="2"/>
      <c r="Q8" s="2"/>
      <c r="R8" s="2"/>
      <c r="S8" s="2"/>
      <c r="T8" s="2"/>
      <c r="U8" s="2"/>
      <c r="V8" s="2"/>
      <c r="W8" s="2"/>
    </row>
    <row r="9" ht="22.5" customHeight="1">
      <c r="A9" s="3">
        <v>8.0</v>
      </c>
      <c r="B9" s="3" t="s">
        <v>606</v>
      </c>
      <c r="C9" s="3" t="s">
        <v>607</v>
      </c>
      <c r="D9" s="3" t="s">
        <v>608</v>
      </c>
      <c r="E9" s="3" t="s">
        <v>609</v>
      </c>
      <c r="F9" s="2"/>
      <c r="G9" s="3" t="str">
        <f>IFERROR(__xludf.DUMMYFUNCTION("GOOGLETRANSLATE(A9, ""it"", ""en"")"),"8")</f>
        <v>8</v>
      </c>
      <c r="H9" s="3" t="str">
        <f>IFERROR(__xludf.DUMMYFUNCTION("GOOGLETRANSLATE(B9, ""it"", ""en"")"),"How many teams can play in a Bocce match?")</f>
        <v>How many teams can play in a Bocce match?</v>
      </c>
      <c r="I9" s="3" t="str">
        <f>IFERROR(__xludf.DUMMYFUNCTION("GOOGLETRANSLATE(C9, ""it"", ""en"")"),"A. Only two teams B. Two or four teams C. Three teams D. Any number of teams")</f>
        <v>A. Only two teams B. Two or four teams C. Three teams D. Any number of teams</v>
      </c>
      <c r="J9" s="3" t="str">
        <f>IFERROR(__xludf.DUMMYFUNCTION("GOOGLETRANSLATE(D9, ""it"", ""en"")"),"Only two teams")</f>
        <v>Only two teams</v>
      </c>
      <c r="K9" s="3" t="str">
        <f>IFERROR(__xludf.DUMMYFUNCTION("GOOGLETRANSLATE(E9, ""it"", ""en"")"),"A match is played between two teams.")</f>
        <v>A match is played between two teams.</v>
      </c>
      <c r="L9" s="2"/>
      <c r="M9" s="2"/>
      <c r="N9" s="2"/>
      <c r="O9" s="2"/>
      <c r="P9" s="2"/>
      <c r="Q9" s="2"/>
      <c r="R9" s="2"/>
      <c r="S9" s="2"/>
      <c r="T9" s="2"/>
      <c r="U9" s="2"/>
      <c r="V9" s="2"/>
      <c r="W9" s="2"/>
    </row>
    <row r="10" ht="22.5" customHeight="1">
      <c r="A10" s="3">
        <v>9.0</v>
      </c>
      <c r="B10" s="3" t="s">
        <v>610</v>
      </c>
      <c r="C10" s="3" t="s">
        <v>611</v>
      </c>
      <c r="D10" s="3" t="s">
        <v>612</v>
      </c>
      <c r="E10" s="3" t="s">
        <v>613</v>
      </c>
      <c r="F10" s="2"/>
      <c r="G10" s="3" t="str">
        <f>IFERROR(__xludf.DUMMYFUNCTION("GOOGLETRANSLATE(A10, ""it"", ""en"")"),"9")</f>
        <v>9</v>
      </c>
      <c r="H10" s="3" t="str">
        <f>IFERROR(__xludf.DUMMYFUNCTION("GOOGLETRANSLATE(B10, ""it"", ""en"")"),"How is the throwing shift determined?")</f>
        <v>How is the throwing shift determined?</v>
      </c>
      <c r="I10" s="3" t="str">
        <f>IFERROR(__xludf.DUMMYFUNCTION("GOOGLETRANSLATE(C10, ""it"", ""en"")"),"A. Drawing lots B. Who gets closest to the jack with the first throw C. Throwing the ball furthest from the jack D. Deciding between the players")</f>
        <v>A. Drawing lots B. Who gets closest to the jack with the first throw C. Throwing the ball furthest from the jack D. Deciding between the players</v>
      </c>
      <c r="J10" s="3" t="str">
        <f>IFERROR(__xludf.DUMMYFUNCTION("GOOGLETRANSLATE(D10, ""it"", ""en"")"),"Whoever gets closest to the jack with the first throw")</f>
        <v>Whoever gets closest to the jack with the first throw</v>
      </c>
      <c r="K10" s="3" t="str">
        <f>IFERROR(__xludf.DUMMYFUNCTION("GOOGLETRANSLATE(E10, ""it"", ""en"")"),"The first round is determined by who gets closest to the jack with the boccia.")</f>
        <v>The first round is determined by who gets closest to the jack with the boccia.</v>
      </c>
      <c r="L10" s="2"/>
      <c r="M10" s="2"/>
      <c r="N10" s="2"/>
      <c r="O10" s="2"/>
      <c r="P10" s="2"/>
      <c r="Q10" s="2"/>
      <c r="R10" s="2"/>
      <c r="S10" s="2"/>
      <c r="T10" s="2"/>
      <c r="U10" s="2"/>
      <c r="V10" s="2"/>
      <c r="W10" s="2"/>
    </row>
    <row r="11" ht="22.5" customHeight="1">
      <c r="A11" s="3">
        <v>10.0</v>
      </c>
      <c r="B11" s="3" t="s">
        <v>614</v>
      </c>
      <c r="C11" s="3" t="s">
        <v>615</v>
      </c>
      <c r="D11" s="3" t="s">
        <v>616</v>
      </c>
      <c r="E11" s="3" t="s">
        <v>617</v>
      </c>
      <c r="F11" s="2"/>
      <c r="G11" s="3" t="str">
        <f>IFERROR(__xludf.DUMMYFUNCTION("GOOGLETRANSLATE(A11, ""it"", ""en"")"),"10")</f>
        <v>10</v>
      </c>
      <c r="H11" s="3" t="str">
        <f>IFERROR(__xludf.DUMMYFUNCTION("GOOGLETRANSLATE(B11, ""it"", ""en"")"),"What happens if two balls are equidistant from the jack?")</f>
        <v>What happens if two balls are equidistant from the jack?</v>
      </c>
      <c r="I11" s="3" t="str">
        <f>IFERROR(__xludf.DUMMYFUNCTION("GOOGLETRANSLATE(C11, ""it"", ""en"")"),"A. No one gets a point B. Both get a point C. The game is played again D. The round is cancelled")</f>
        <v>A. No one gets a point B. Both get a point C. The game is played again D. The round is cancelled</v>
      </c>
      <c r="J11" s="3" t="str">
        <f>IFERROR(__xludf.DUMMYFUNCTION("GOOGLETRANSLATE(D11, ""it"", ""en"")"),"No one gets any points")</f>
        <v>No one gets any points</v>
      </c>
      <c r="K11" s="3" t="str">
        <f>IFERROR(__xludf.DUMMYFUNCTION("GOOGLETRANSLATE(E11, ""it"", ""en"")"),"If two balls are the same distance apart")</f>
        <v>If two balls are the same distance apart</v>
      </c>
      <c r="L11" s="2"/>
      <c r="M11" s="2"/>
      <c r="N11" s="2"/>
      <c r="O11" s="2"/>
      <c r="P11" s="2"/>
      <c r="Q11" s="2"/>
      <c r="R11" s="2"/>
      <c r="S11" s="2"/>
      <c r="T11" s="2"/>
      <c r="U11" s="2"/>
      <c r="V11" s="2"/>
      <c r="W11" s="2"/>
    </row>
    <row r="12" ht="22.5" customHeight="1">
      <c r="A12" s="3">
        <v>11.0</v>
      </c>
      <c r="B12" s="3" t="s">
        <v>618</v>
      </c>
      <c r="C12" s="3" t="s">
        <v>619</v>
      </c>
      <c r="D12" s="3" t="s">
        <v>620</v>
      </c>
      <c r="E12" s="3" t="s">
        <v>621</v>
      </c>
      <c r="F12" s="2"/>
      <c r="G12" s="3" t="str">
        <f>IFERROR(__xludf.DUMMYFUNCTION("GOOGLETRANSLATE(A12, ""it"", ""en"")"),"11")</f>
        <v>11</v>
      </c>
      <c r="H12" s="3" t="str">
        <f>IFERROR(__xludf.DUMMYFUNCTION("GOOGLETRANSLATE(B12, ""it"", ""en"")"),"What is used to measure the distance between the bowling ball and the jack?")</f>
        <v>What is used to measure the distance between the bowling ball and the jack?</v>
      </c>
      <c r="I12" s="3" t="str">
        <f>IFERROR(__xludf.DUMMYFUNCTION("GOOGLETRANSLATE(C12, ""it"", ""en"")"),"A. A ruler B. A tape measure C. A rope D. A stick")</f>
        <v>A. A ruler B. A tape measure C. A rope D. A stick</v>
      </c>
      <c r="J12" s="3" t="str">
        <f>IFERROR(__xludf.DUMMYFUNCTION("GOOGLETRANSLATE(D12, ""it"", ""en"")"),"A tape measure")</f>
        <v>A tape measure</v>
      </c>
      <c r="K12" s="3" t="str">
        <f>IFERROR(__xludf.DUMMYFUNCTION("GOOGLETRANSLATE(E12, ""it"", ""en"")"),"A tape measure is commonly used to measure distances.")</f>
        <v>A tape measure is commonly used to measure distances.</v>
      </c>
      <c r="L12" s="2"/>
      <c r="M12" s="2"/>
      <c r="N12" s="2"/>
      <c r="O12" s="2"/>
      <c r="P12" s="2"/>
      <c r="Q12" s="2"/>
      <c r="R12" s="2"/>
      <c r="S12" s="2"/>
      <c r="T12" s="2"/>
      <c r="U12" s="2"/>
      <c r="V12" s="2"/>
      <c r="W12" s="2"/>
    </row>
    <row r="13" ht="22.5" customHeight="1">
      <c r="A13" s="3">
        <v>12.0</v>
      </c>
      <c r="B13" s="3" t="s">
        <v>622</v>
      </c>
      <c r="C13" s="3" t="s">
        <v>623</v>
      </c>
      <c r="D13" s="3" t="s">
        <v>624</v>
      </c>
      <c r="E13" s="3" t="s">
        <v>625</v>
      </c>
      <c r="F13" s="2"/>
      <c r="G13" s="3" t="str">
        <f>IFERROR(__xludf.DUMMYFUNCTION("GOOGLETRANSLATE(A13, ""it"", ""en"")"),"12")</f>
        <v>12</v>
      </c>
      <c r="H13" s="3" t="str">
        <f>IFERROR(__xludf.DUMMYFUNCTION("GOOGLETRANSLATE(B13, ""it"", ""en"")"),"How many points are needed to win a regulation match?")</f>
        <v>How many points are needed to win a regulation match?</v>
      </c>
      <c r="I13" s="3" t="str">
        <f>IFERROR(__xludf.DUMMYFUNCTION("GOOGLETRANSLATE(C13, ""it"", ""en"")"),"A. 10 points B. 13 points C. 15 points D. 21 points")</f>
        <v>A. 10 points B. 13 points C. 15 points D. 21 points</v>
      </c>
      <c r="J13" s="3" t="str">
        <f>IFERROR(__xludf.DUMMYFUNCTION("GOOGLETRANSLATE(D13, ""it"", ""en"")"),"13 points")</f>
        <v>13 points</v>
      </c>
      <c r="K13" s="3" t="str">
        <f>IFERROR(__xludf.DUMMYFUNCTION("GOOGLETRANSLATE(E13, ""it"", ""en"")"),"Usually")</f>
        <v>Usually</v>
      </c>
      <c r="L13" s="2"/>
      <c r="M13" s="2"/>
      <c r="N13" s="2"/>
      <c r="O13" s="2"/>
      <c r="P13" s="2"/>
      <c r="Q13" s="2"/>
      <c r="R13" s="2"/>
      <c r="S13" s="2"/>
      <c r="T13" s="2"/>
      <c r="U13" s="2"/>
      <c r="V13" s="2"/>
      <c r="W13" s="2"/>
    </row>
    <row r="14" ht="22.5" customHeight="1">
      <c r="A14" s="3">
        <v>13.0</v>
      </c>
      <c r="B14" s="3" t="s">
        <v>626</v>
      </c>
      <c r="C14" s="3" t="s">
        <v>627</v>
      </c>
      <c r="D14" s="3" t="s">
        <v>628</v>
      </c>
      <c r="E14" s="3" t="s">
        <v>629</v>
      </c>
      <c r="F14" s="2"/>
      <c r="G14" s="3" t="str">
        <f>IFERROR(__xludf.DUMMYFUNCTION("GOOGLETRANSLATE(A14, ""it"", ""en"")"),"13")</f>
        <v>13</v>
      </c>
      <c r="H14" s="3" t="str">
        <f>IFERROR(__xludf.DUMMYFUNCTION("GOOGLETRANSLATE(B14, ""it"", ""en"")"),"Who is entitled to pitch after the first round?")</f>
        <v>Who is entitled to pitch after the first round?</v>
      </c>
      <c r="I14" s="3" t="str">
        <f>IFERROR(__xludf.DUMMYFUNCTION("GOOGLETRANSLATE(C14, ""it"", ""en"")"),"A. The team closest to the jack B. The team furthest from the jack C. The team that scored points D. The team that lost the turn")</f>
        <v>A. The team closest to the jack B. The team furthest from the jack C. The team that scored points D. The team that lost the turn</v>
      </c>
      <c r="J14" s="3" t="str">
        <f>IFERROR(__xludf.DUMMYFUNCTION("GOOGLETRANSLATE(D14, ""it"", ""en"")"),"The team furthest from the ball")</f>
        <v>The team furthest from the ball</v>
      </c>
      <c r="K14" s="3" t="str">
        <f>IFERROR(__xludf.DUMMYFUNCTION("GOOGLETRANSLATE(E14, ""it"", ""en"")"),"The team with the ball furthest from the jack throws next.")</f>
        <v>The team with the ball furthest from the jack throws next.</v>
      </c>
      <c r="L14" s="2"/>
      <c r="M14" s="2"/>
      <c r="N14" s="2"/>
      <c r="O14" s="2"/>
      <c r="P14" s="2"/>
      <c r="Q14" s="2"/>
      <c r="R14" s="2"/>
      <c r="S14" s="2"/>
      <c r="T14" s="2"/>
      <c r="U14" s="2"/>
      <c r="V14" s="2"/>
      <c r="W14" s="2"/>
    </row>
    <row r="15" ht="22.5" customHeight="1">
      <c r="A15" s="3">
        <v>14.0</v>
      </c>
      <c r="B15" s="3" t="s">
        <v>630</v>
      </c>
      <c r="C15" s="3" t="s">
        <v>631</v>
      </c>
      <c r="D15" s="3" t="s">
        <v>632</v>
      </c>
      <c r="E15" s="3" t="s">
        <v>633</v>
      </c>
      <c r="F15" s="2"/>
      <c r="G15" s="3" t="str">
        <f>IFERROR(__xludf.DUMMYFUNCTION("GOOGLETRANSLATE(A15, ""it"", ""en"")"),"14")</f>
        <v>14</v>
      </c>
      <c r="H15" s="3" t="str">
        <f>IFERROR(__xludf.DUMMYFUNCTION("GOOGLETRANSLATE(B15, ""it"", ""en"")"),"What happens if a ball hits the jack and moves it?")</f>
        <v>What happens if a ball hits the jack and moves it?</v>
      </c>
      <c r="I15" s="3" t="str">
        <f>IFERROR(__xludf.DUMMYFUNCTION("GOOGLETRANSLATE(C15, ""it"", ""en"")"),"A. The game continues B. The turn ends C. The jack is put back D. The turn repeats")</f>
        <v>A. The game continues B. The turn ends C. The jack is put back D. The turn repeats</v>
      </c>
      <c r="J15" s="3" t="str">
        <f>IFERROR(__xludf.DUMMYFUNCTION("GOOGLETRANSLATE(D15, ""it"", ""en"")"),"The game continues")</f>
        <v>The game continues</v>
      </c>
      <c r="K15" s="3" t="str">
        <f>IFERROR(__xludf.DUMMYFUNCTION("GOOGLETRANSLATE(E15, ""it"", ""en"")"),"The cue ball may be moved during play without penalty.")</f>
        <v>The cue ball may be moved during play without penalty.</v>
      </c>
      <c r="L15" s="2"/>
      <c r="M15" s="2"/>
      <c r="N15" s="2"/>
      <c r="O15" s="2"/>
      <c r="P15" s="2"/>
      <c r="Q15" s="2"/>
      <c r="R15" s="2"/>
      <c r="S15" s="2"/>
      <c r="T15" s="2"/>
      <c r="U15" s="2"/>
      <c r="V15" s="2"/>
      <c r="W15" s="2"/>
    </row>
    <row r="16" ht="22.5" customHeight="1">
      <c r="A16" s="3">
        <v>15.0</v>
      </c>
      <c r="B16" s="3" t="s">
        <v>634</v>
      </c>
      <c r="C16" s="3" t="s">
        <v>635</v>
      </c>
      <c r="D16" s="3" t="s">
        <v>636</v>
      </c>
      <c r="E16" s="3" t="s">
        <v>637</v>
      </c>
      <c r="F16" s="2"/>
      <c r="G16" s="3" t="str">
        <f>IFERROR(__xludf.DUMMYFUNCTION("GOOGLETRANSLATE(A16, ""it"", ""en"")"),"15")</f>
        <v>15</v>
      </c>
      <c r="H16" s="3" t="str">
        <f>IFERROR(__xludf.DUMMYFUNCTION("GOOGLETRANSLATE(B16, ""it"", ""en"")"),"How many bowls can a team have in total?")</f>
        <v>How many bowls can a team have in total?</v>
      </c>
      <c r="I16" s="3" t="str">
        <f>IFERROR(__xludf.DUMMYFUNCTION("GOOGLETRANSLATE(C16, ""it"", ""en"")"),"A. 4 bowls B. 6 bowls C. 8 bowls D. 10 bowls")</f>
        <v>A. 4 bowls B. 6 bowls C. 8 bowls D. 10 bowls</v>
      </c>
      <c r="J16" s="3" t="str">
        <f>IFERROR(__xludf.DUMMYFUNCTION("GOOGLETRANSLATE(D16, ""it"", ""en"")"),"8 bowls")</f>
        <v>8 bowls</v>
      </c>
      <c r="K16" s="3" t="str">
        <f>IFERROR(__xludf.DUMMYFUNCTION("GOOGLETRANSLATE(E16, ""it"", ""en"")"),"Each team has 8 bowls")</f>
        <v>Each team has 8 bowls</v>
      </c>
      <c r="L16" s="2"/>
      <c r="M16" s="2"/>
      <c r="N16" s="2"/>
      <c r="O16" s="2"/>
      <c r="P16" s="2"/>
      <c r="Q16" s="2"/>
      <c r="R16" s="2"/>
      <c r="S16" s="2"/>
      <c r="T16" s="2"/>
      <c r="U16" s="2"/>
      <c r="V16" s="2"/>
      <c r="W16" s="2"/>
    </row>
    <row r="17" ht="22.5" customHeight="1">
      <c r="A17" s="3">
        <v>16.0</v>
      </c>
      <c r="B17" s="3" t="s">
        <v>638</v>
      </c>
      <c r="C17" s="3" t="s">
        <v>639</v>
      </c>
      <c r="D17" s="3" t="s">
        <v>640</v>
      </c>
      <c r="E17" s="3" t="s">
        <v>641</v>
      </c>
      <c r="F17" s="2"/>
      <c r="G17" s="3" t="str">
        <f>IFERROR(__xludf.DUMMYFUNCTION("GOOGLETRANSLATE(A17, ""it"", ""en"")"),"16")</f>
        <v>16</v>
      </c>
      <c r="H17" s="3" t="str">
        <f>IFERROR(__xludf.DUMMYFUNCTION("GOOGLETRANSLATE(B17, ""it"", ""en"")"),"What is the traditional material of bocce?")</f>
        <v>What is the traditional material of bocce?</v>
      </c>
      <c r="I17" s="3" t="str">
        <f>IFERROR(__xludf.DUMMYFUNCTION("GOOGLETRANSLATE(C17, ""it"", ""en"")"),"A. Wood B. Plastic C. Steel D. Bronze")</f>
        <v>A. Wood B. Plastic C. Steel D. Bronze</v>
      </c>
      <c r="J17" s="3" t="str">
        <f>IFERROR(__xludf.DUMMYFUNCTION("GOOGLETRANSLATE(D17, ""it"", ""en"")"),"Wood")</f>
        <v>Wood</v>
      </c>
      <c r="K17" s="3" t="str">
        <f>IFERROR(__xludf.DUMMYFUNCTION("GOOGLETRANSLATE(E17, ""it"", ""en"")"),"Traditional bowls were made of wood.")</f>
        <v>Traditional bowls were made of wood.</v>
      </c>
      <c r="L17" s="2"/>
      <c r="M17" s="2"/>
      <c r="N17" s="2"/>
      <c r="O17" s="2"/>
      <c r="P17" s="2"/>
      <c r="Q17" s="2"/>
      <c r="R17" s="2"/>
      <c r="S17" s="2"/>
      <c r="T17" s="2"/>
      <c r="U17" s="2"/>
      <c r="V17" s="2"/>
      <c r="W17" s="2"/>
    </row>
    <row r="18" ht="22.5" customHeight="1">
      <c r="A18" s="3">
        <v>17.0</v>
      </c>
      <c r="B18" s="3" t="s">
        <v>642</v>
      </c>
      <c r="C18" s="3" t="s">
        <v>643</v>
      </c>
      <c r="D18" s="3" t="s">
        <v>644</v>
      </c>
      <c r="E18" s="3" t="s">
        <v>645</v>
      </c>
      <c r="F18" s="2"/>
      <c r="G18" s="3" t="str">
        <f>IFERROR(__xludf.DUMMYFUNCTION("GOOGLETRANSLATE(A18, ""it"", ""en"")"),"17")</f>
        <v>17</v>
      </c>
      <c r="H18" s="3" t="str">
        <f>IFERROR(__xludf.DUMMYFUNCTION("GOOGLETRANSLATE(B18, ""it"", ""en"")"),"What is the area where the player must throw called?")</f>
        <v>What is the area where the player must throw called?</v>
      </c>
      <c r="I18" s="3" t="str">
        <f>IFERROR(__xludf.DUMMYFUNCTION("GOOGLETRANSLATE(C18, ""it"", ""en"")"),"A. Neutral zone B. Throwing line C. Shooting area D. Scoring zone")</f>
        <v>A. Neutral zone B. Throwing line C. Shooting area D. Scoring zone</v>
      </c>
      <c r="J18" s="3" t="str">
        <f>IFERROR(__xludf.DUMMYFUNCTION("GOOGLETRANSLATE(D18, ""it"", ""en"")"),"Launch line")</f>
        <v>Launch line</v>
      </c>
      <c r="K18" s="3" t="str">
        <f>IFERROR(__xludf.DUMMYFUNCTION("GOOGLETRANSLATE(E18, ""it"", ""en"")"),"The throwing line is the area from which the ball must be thrown.")</f>
        <v>The throwing line is the area from which the ball must be thrown.</v>
      </c>
      <c r="L18" s="2"/>
      <c r="M18" s="2"/>
      <c r="N18" s="2"/>
      <c r="O18" s="2"/>
      <c r="P18" s="2"/>
      <c r="Q18" s="2"/>
      <c r="R18" s="2"/>
      <c r="S18" s="2"/>
      <c r="T18" s="2"/>
      <c r="U18" s="2"/>
      <c r="V18" s="2"/>
      <c r="W18" s="2"/>
    </row>
    <row r="19" ht="22.5" customHeight="1">
      <c r="A19" s="3">
        <v>18.0</v>
      </c>
      <c r="B19" s="3" t="s">
        <v>646</v>
      </c>
      <c r="C19" s="3" t="s">
        <v>647</v>
      </c>
      <c r="D19" s="3" t="s">
        <v>648</v>
      </c>
      <c r="E19" s="3" t="s">
        <v>649</v>
      </c>
      <c r="F19" s="2"/>
      <c r="G19" s="3" t="str">
        <f>IFERROR(__xludf.DUMMYFUNCTION("GOOGLETRANSLATE(A19, ""it"", ""en"")"),"18")</f>
        <v>18</v>
      </c>
      <c r="H19" s="3" t="str">
        <f>IFERROR(__xludf.DUMMYFUNCTION("GOOGLETRANSLATE(B19, ""it"", ""en"")"),"What is the order of rolls in a turn?")</f>
        <v>What is the order of rolls in a turn?</v>
      </c>
      <c r="I19" s="3" t="str">
        <f>IFERROR(__xludf.DUMMYFUNCTION("GOOGLETRANSLATE(C19, ""it"", ""en"")"),"A. First all the balls of one team B. Alternating between teams C. One team at a time D. One ball per player")</f>
        <v>A. First all the balls of one team B. Alternating between teams C. One team at a time D. One ball per player</v>
      </c>
      <c r="J19" s="3" t="str">
        <f>IFERROR(__xludf.DUMMYFUNCTION("GOOGLETRANSLATE(D19, ""it"", ""en"")"),"Alternating between teams")</f>
        <v>Alternating between teams</v>
      </c>
      <c r="K19" s="3" t="str">
        <f>IFERROR(__xludf.DUMMYFUNCTION("GOOGLETRANSLATE(E19, ""it"", ""en"")"),"The teams take turns throwing.")</f>
        <v>The teams take turns throwing.</v>
      </c>
      <c r="L19" s="2"/>
      <c r="M19" s="2"/>
      <c r="N19" s="2"/>
      <c r="O19" s="2"/>
      <c r="P19" s="2"/>
      <c r="Q19" s="2"/>
      <c r="R19" s="2"/>
      <c r="S19" s="2"/>
      <c r="T19" s="2"/>
      <c r="U19" s="2"/>
      <c r="V19" s="2"/>
      <c r="W19" s="2"/>
    </row>
    <row r="20" ht="22.5" customHeight="1">
      <c r="A20" s="3">
        <v>19.0</v>
      </c>
      <c r="B20" s="3" t="s">
        <v>650</v>
      </c>
      <c r="C20" s="3" t="s">
        <v>651</v>
      </c>
      <c r="D20" s="3" t="s">
        <v>652</v>
      </c>
      <c r="E20" s="3" t="s">
        <v>653</v>
      </c>
      <c r="F20" s="2"/>
      <c r="G20" s="3" t="str">
        <f>IFERROR(__xludf.DUMMYFUNCTION("GOOGLETRANSLATE(A20, ""it"", ""en"")"),"19")</f>
        <v>19</v>
      </c>
      <c r="H20" s="3" t="str">
        <f>IFERROR(__xludf.DUMMYFUNCTION("GOOGLETRANSLATE(B20, ""it"", ""en"")"),"What happens if a ball hits another ball?")</f>
        <v>What happens if a ball hits another ball?</v>
      </c>
      <c r="I20" s="3" t="str">
        <f>IFERROR(__xludf.DUMMYFUNCTION("GOOGLETRANSLATE(C20, ""it"", ""en"")"),"A. The other ball is removed B. Both balls are eliminated C. It remains in play where it lands D. It remains in play but is penalized")</f>
        <v>A. The other ball is removed B. Both balls are eliminated C. It remains in play where it lands D. It remains in play but is penalized</v>
      </c>
      <c r="J20" s="3" t="str">
        <f>IFERROR(__xludf.DUMMYFUNCTION("GOOGLETRANSLATE(D20, ""it"", ""en"")"),"It stays in play where it stops")</f>
        <v>It stays in play where it stops</v>
      </c>
      <c r="K20" s="3" t="str">
        <f>IFERROR(__xludf.DUMMYFUNCTION("GOOGLETRANSLATE(E20, ""it"", ""en"")"),"The balls can move and remain in play.")</f>
        <v>The balls can move and remain in play.</v>
      </c>
      <c r="L20" s="2"/>
      <c r="M20" s="2"/>
      <c r="N20" s="2"/>
      <c r="O20" s="2"/>
      <c r="P20" s="2"/>
      <c r="Q20" s="2"/>
      <c r="R20" s="2"/>
      <c r="S20" s="2"/>
      <c r="T20" s="2"/>
      <c r="U20" s="2"/>
      <c r="V20" s="2"/>
      <c r="W20" s="2"/>
    </row>
    <row r="21" ht="22.5" customHeight="1">
      <c r="A21" s="3">
        <v>20.0</v>
      </c>
      <c r="B21" s="3" t="s">
        <v>654</v>
      </c>
      <c r="C21" s="3" t="s">
        <v>655</v>
      </c>
      <c r="D21" s="3" t="s">
        <v>656</v>
      </c>
      <c r="E21" s="3" t="s">
        <v>657</v>
      </c>
      <c r="F21" s="2"/>
      <c r="G21" s="3" t="str">
        <f>IFERROR(__xludf.DUMMYFUNCTION("GOOGLETRANSLATE(A21, ""it"", ""en"")"),"20")</f>
        <v>20</v>
      </c>
      <c r="H21" s="3" t="str">
        <f>IFERROR(__xludf.DUMMYFUNCTION("GOOGLETRANSLATE(B21, ""it"", ""en"")"),"What minimum distance must be respected in the initial positioning of the cue ball?")</f>
        <v>What minimum distance must be respected in the initial positioning of the cue ball?</v>
      </c>
      <c r="I21" s="3" t="str">
        <f>IFERROR(__xludf.DUMMYFUNCTION("GOOGLETRANSLATE(C21, ""it"", ""en"")"),"A. 0 B. 5 meters C. 1 meter D. 1")</f>
        <v>A. 0 B. 5 meters C. 1 meter D. 1</v>
      </c>
      <c r="J21" s="3" t="str">
        <f>IFERROR(__xludf.DUMMYFUNCTION("GOOGLETRANSLATE(D21, ""it"", ""en"")"),"5 meters")</f>
        <v>5 meters</v>
      </c>
      <c r="K21" s="3" t="str">
        <f>IFERROR(__xludf.DUMMYFUNCTION("GOOGLETRANSLATE(E21, ""it"", ""en"")"),"2 meters")</f>
        <v>2 meters</v>
      </c>
      <c r="L21" s="2"/>
      <c r="M21" s="2"/>
      <c r="N21" s="2"/>
      <c r="O21" s="2"/>
      <c r="P21" s="2"/>
      <c r="Q21" s="2"/>
      <c r="R21" s="2"/>
      <c r="S21" s="2"/>
      <c r="T21" s="2"/>
      <c r="U21" s="2"/>
      <c r="V21" s="2"/>
      <c r="W21" s="2"/>
    </row>
    <row r="22" ht="22.5" customHeight="1">
      <c r="A22" s="3">
        <v>21.0</v>
      </c>
      <c r="B22" s="3" t="s">
        <v>658</v>
      </c>
      <c r="C22" s="3" t="s">
        <v>659</v>
      </c>
      <c r="D22" s="3" t="s">
        <v>660</v>
      </c>
      <c r="E22" s="3" t="s">
        <v>661</v>
      </c>
      <c r="F22" s="2"/>
      <c r="G22" s="3" t="str">
        <f>IFERROR(__xludf.DUMMYFUNCTION("GOOGLETRANSLATE(A22, ""it"", ""en"")"),"21")</f>
        <v>21</v>
      </c>
      <c r="H22" s="3" t="str">
        <f>IFERROR(__xludf.DUMMYFUNCTION("GOOGLETRANSLATE(B22, ""it"", ""en"")"),"What is a team game with two players on each team defined?")</f>
        <v>What is a team game with two players on each team defined?</v>
      </c>
      <c r="I22" s="3" t="str">
        <f>IFERROR(__xludf.DUMMYFUNCTION("GOOGLETRANSLATE(C22, ""it"", ""en"")"),"A. Doubles B. Tris C. Individuals D. Fours")</f>
        <v>A. Doubles B. Tris C. Individuals D. Fours</v>
      </c>
      <c r="J22" s="3" t="str">
        <f>IFERROR(__xludf.DUMMYFUNCTION("GOOGLETRANSLATE(D22, ""it"", ""en"")"),"Double")</f>
        <v>Double</v>
      </c>
      <c r="K22" s="3" t="str">
        <f>IFERROR(__xludf.DUMMYFUNCTION("GOOGLETRANSLATE(E22, ""it"", ""en"")"),"A game with two players on each team is called doubles.")</f>
        <v>A game with two players on each team is called doubles.</v>
      </c>
      <c r="L22" s="2"/>
      <c r="M22" s="2"/>
      <c r="N22" s="2"/>
      <c r="O22" s="2"/>
      <c r="P22" s="2"/>
      <c r="Q22" s="2"/>
      <c r="R22" s="2"/>
      <c r="S22" s="2"/>
      <c r="T22" s="2"/>
      <c r="U22" s="2"/>
      <c r="V22" s="2"/>
      <c r="W22" s="2"/>
    </row>
    <row r="23" ht="22.5" customHeight="1">
      <c r="A23" s="3">
        <v>22.0</v>
      </c>
      <c r="B23" s="3" t="s">
        <v>662</v>
      </c>
      <c r="C23" s="3" t="s">
        <v>663</v>
      </c>
      <c r="D23" s="3" t="s">
        <v>664</v>
      </c>
      <c r="E23" s="3" t="s">
        <v>665</v>
      </c>
      <c r="F23" s="2"/>
      <c r="G23" s="3" t="str">
        <f>IFERROR(__xludf.DUMMYFUNCTION("GOOGLETRANSLATE(A23, ""it"", ""en"")"),"22")</f>
        <v>22</v>
      </c>
      <c r="H23" s="3" t="str">
        <f>IFERROR(__xludf.DUMMYFUNCTION("GOOGLETRANSLATE(B23, ""it"", ""en"")"),"What happens if a ball goes out of bounds?")</f>
        <v>What happens if a ball goes out of bounds?</v>
      </c>
      <c r="I23" s="3" t="str">
        <f>IFERROR(__xludf.DUMMYFUNCTION("GOOGLETRANSLATE(C23, ""it"", ""en"")"),"A. It is eliminated from the game B. It is put back into play C. It is given to the opposing team D. The turn is repeated")</f>
        <v>A. It is eliminated from the game B. It is put back into play C. It is given to the opposing team D. The turn is repeated</v>
      </c>
      <c r="J23" s="3" t="str">
        <f>IFERROR(__xludf.DUMMYFUNCTION("GOOGLETRANSLATE(D23, ""it"", ""en"")"),"She is eliminated from the game")</f>
        <v>She is eliminated from the game</v>
      </c>
      <c r="K23" s="3" t="str">
        <f>IFERROR(__xludf.DUMMYFUNCTION("GOOGLETRANSLATE(E23, ""it"", ""en"")"),"Balls outside the field are eliminated.")</f>
        <v>Balls outside the field are eliminated.</v>
      </c>
      <c r="L23" s="2"/>
      <c r="M23" s="2"/>
      <c r="N23" s="2"/>
      <c r="O23" s="2"/>
      <c r="P23" s="2"/>
      <c r="Q23" s="2"/>
      <c r="R23" s="2"/>
      <c r="S23" s="2"/>
      <c r="T23" s="2"/>
      <c r="U23" s="2"/>
      <c r="V23" s="2"/>
      <c r="W23" s="2"/>
    </row>
    <row r="24" ht="22.5" customHeight="1">
      <c r="A24" s="3">
        <v>23.0</v>
      </c>
      <c r="B24" s="3" t="s">
        <v>666</v>
      </c>
      <c r="C24" s="3" t="s">
        <v>667</v>
      </c>
      <c r="D24" s="3" t="s">
        <v>668</v>
      </c>
      <c r="E24" s="3" t="s">
        <v>669</v>
      </c>
      <c r="F24" s="2"/>
      <c r="G24" s="3" t="str">
        <f>IFERROR(__xludf.DUMMYFUNCTION("GOOGLETRANSLATE(A24, ""it"", ""en"")"),"23")</f>
        <v>23</v>
      </c>
      <c r="H24" s="3" t="str">
        <f>IFERROR(__xludf.DUMMYFUNCTION("GOOGLETRANSLATE(B24, ""it"", ""en"")"),"What does “cancel shift” mean?")</f>
        <v>What does “cancel shift” mean?</v>
      </c>
      <c r="I24" s="3" t="str">
        <f>IFERROR(__xludf.DUMMYFUNCTION("GOOGLETRANSLATE(C24, ""it"", ""en"")"),"A. Do not award points to anyone B. Reset the score C. Rethrow all the balls D. End the game")</f>
        <v>A. Do not award points to anyone B. Reset the score C. Rethrow all the balls D. End the game</v>
      </c>
      <c r="J24" s="3" t="str">
        <f>IFERROR(__xludf.DUMMYFUNCTION("GOOGLETRANSLATE(D24, ""it"", ""en"")"),"Don't give points to anyone")</f>
        <v>Don't give points to anyone</v>
      </c>
      <c r="K24" s="3" t="str">
        <f>IFERROR(__xludf.DUMMYFUNCTION("GOOGLETRANSLATE(E24, ""it"", ""en"")"),"Canceling the turn means awarding no points to anyone.")</f>
        <v>Canceling the turn means awarding no points to anyone.</v>
      </c>
      <c r="L24" s="2"/>
      <c r="M24" s="2"/>
      <c r="N24" s="2"/>
      <c r="O24" s="2"/>
      <c r="P24" s="2"/>
      <c r="Q24" s="2"/>
      <c r="R24" s="2"/>
      <c r="S24" s="2"/>
      <c r="T24" s="2"/>
      <c r="U24" s="2"/>
      <c r="V24" s="2"/>
      <c r="W24" s="2"/>
    </row>
    <row r="25" ht="22.5" customHeight="1">
      <c r="A25" s="3">
        <v>24.0</v>
      </c>
      <c r="B25" s="3" t="s">
        <v>670</v>
      </c>
      <c r="C25" s="3" t="s">
        <v>671</v>
      </c>
      <c r="D25" s="3" t="s">
        <v>672</v>
      </c>
      <c r="E25" s="3" t="s">
        <v>673</v>
      </c>
      <c r="F25" s="2"/>
      <c r="G25" s="3" t="str">
        <f>IFERROR(__xludf.DUMMYFUNCTION("GOOGLETRANSLATE(A25, ""it"", ""en"")"),"24")</f>
        <v>24</v>
      </c>
      <c r="H25" s="3" t="str">
        <f>IFERROR(__xludf.DUMMYFUNCTION("GOOGLETRANSLATE(B25, ""it"", ""en"")"),"What determines the start of a new game?")</f>
        <v>What determines the start of a new game?</v>
      </c>
      <c r="I25" s="3" t="str">
        <f>IFERROR(__xludf.DUMMYFUNCTION("GOOGLETRANSLATE(C25, ""it"", ""en"")"),"A. Who wins the toss B. Who loses the previous game C. Who scores the first point D. Who has the cue ball")</f>
        <v>A. Who wins the toss B. Who loses the previous game C. Who scores the first point D. Who has the cue ball</v>
      </c>
      <c r="J25" s="3" t="str">
        <f>IFERROR(__xludf.DUMMYFUNCTION("GOOGLETRANSLATE(D25, ""it"", ""en"")"),"Who wins the draw?")</f>
        <v>Who wins the draw?</v>
      </c>
      <c r="K25" s="3" t="str">
        <f>IFERROR(__xludf.DUMMYFUNCTION("GOOGLETRANSLATE(E25, ""it"", ""en"")"),"The start is determined by whoever wins the toss.")</f>
        <v>The start is determined by whoever wins the toss.</v>
      </c>
      <c r="L25" s="2"/>
      <c r="M25" s="2"/>
      <c r="N25" s="2"/>
      <c r="O25" s="2"/>
      <c r="P25" s="2"/>
      <c r="Q25" s="2"/>
      <c r="R25" s="2"/>
      <c r="S25" s="2"/>
      <c r="T25" s="2"/>
      <c r="U25" s="2"/>
      <c r="V25" s="2"/>
      <c r="W25" s="2"/>
    </row>
    <row r="26" ht="22.5" customHeight="1">
      <c r="A26" s="3">
        <v>25.0</v>
      </c>
      <c r="B26" s="3" t="s">
        <v>674</v>
      </c>
      <c r="C26" s="3" t="s">
        <v>675</v>
      </c>
      <c r="D26" s="3" t="s">
        <v>676</v>
      </c>
      <c r="E26" s="3" t="s">
        <v>677</v>
      </c>
      <c r="F26" s="2"/>
      <c r="G26" s="3" t="str">
        <f>IFERROR(__xludf.DUMMYFUNCTION("GOOGLETRANSLATE(A26, ""it"", ""en"")"),"25")</f>
        <v>25</v>
      </c>
      <c r="H26" s="3" t="str">
        <f>IFERROR(__xludf.DUMMYFUNCTION("GOOGLETRANSLATE(B26, ""it"", ""en"")"),"What happens if a player throws a ball out of turn?")</f>
        <v>What happens if a player throws a ball out of turn?</v>
      </c>
      <c r="I26" s="3" t="str">
        <f>IFERROR(__xludf.DUMMYFUNCTION("GOOGLETRANSLATE(C26, ""it"", ""en"")"),"A. The ball is removed B. The team loses a point C. The ball remains in play D. The round is repeated")</f>
        <v>A. The ball is removed B. The team loses a point C. The ball remains in play D. The round is repeated</v>
      </c>
      <c r="J26" s="3" t="str">
        <f>IFERROR(__xludf.DUMMYFUNCTION("GOOGLETRANSLATE(D26, ""it"", ""en"")"),"The ball is removed")</f>
        <v>The ball is removed</v>
      </c>
      <c r="K26" s="3" t="str">
        <f>IFERROR(__xludf.DUMMYFUNCTION("GOOGLETRANSLATE(E26, ""it"", ""en"")"),"If a ball is thrown out of turn")</f>
        <v>If a ball is thrown out of turn</v>
      </c>
      <c r="L26" s="2"/>
      <c r="M26" s="2"/>
      <c r="N26" s="2"/>
      <c r="O26" s="2"/>
      <c r="P26" s="2"/>
      <c r="Q26" s="2"/>
      <c r="R26" s="2"/>
      <c r="S26" s="2"/>
      <c r="T26" s="2"/>
      <c r="U26" s="2"/>
      <c r="V26" s="2"/>
      <c r="W26" s="2"/>
    </row>
    <row r="27" ht="22.5" customHeight="1">
      <c r="A27" s="3">
        <v>26.0</v>
      </c>
      <c r="B27" s="3" t="s">
        <v>678</v>
      </c>
      <c r="C27" s="3" t="s">
        <v>679</v>
      </c>
      <c r="D27" s="3" t="s">
        <v>680</v>
      </c>
      <c r="E27" s="3" t="s">
        <v>681</v>
      </c>
      <c r="F27" s="2"/>
      <c r="G27" s="3" t="str">
        <f>IFERROR(__xludf.DUMMYFUNCTION("GOOGLETRANSLATE(A27, ""it"", ""en"")"),"26")</f>
        <v>26</v>
      </c>
      <c r="H27" s="3" t="str">
        <f>IFERROR(__xludf.DUMMYFUNCTION("GOOGLETRANSLATE(B27, ""it"", ""en"")"),"What is the maximum number of players for a team?")</f>
        <v>What is the maximum number of players for a team?</v>
      </c>
      <c r="I27" s="3" t="str">
        <f>IFERROR(__xludf.DUMMYFUNCTION("GOOGLETRANSLATE(C27, ""it"", ""en"")"),"A. 2 players B. 4 players C. 6 players D. 8 players")</f>
        <v>A. 2 players B. 4 players C. 6 players D. 8 players</v>
      </c>
      <c r="J27" s="3" t="str">
        <f>IFERROR(__xludf.DUMMYFUNCTION("GOOGLETRANSLATE(D27, ""it"", ""en"")"),"4 players")</f>
        <v>4 players</v>
      </c>
      <c r="K27" s="3" t="str">
        <f>IFERROR(__xludf.DUMMYFUNCTION("GOOGLETRANSLATE(E27, ""it"", ""en"")"),"Each team can have a maximum of 4 players.")</f>
        <v>Each team can have a maximum of 4 players.</v>
      </c>
      <c r="L27" s="2"/>
      <c r="M27" s="2"/>
      <c r="N27" s="2"/>
      <c r="O27" s="2"/>
      <c r="P27" s="2"/>
      <c r="Q27" s="2"/>
      <c r="R27" s="2"/>
      <c r="S27" s="2"/>
      <c r="T27" s="2"/>
      <c r="U27" s="2"/>
      <c r="V27" s="2"/>
      <c r="W27" s="2"/>
    </row>
    <row r="28" ht="22.5" customHeight="1">
      <c r="A28" s="3">
        <v>27.0</v>
      </c>
      <c r="B28" s="3" t="s">
        <v>682</v>
      </c>
      <c r="C28" s="3" t="s">
        <v>683</v>
      </c>
      <c r="D28" s="3" t="s">
        <v>290</v>
      </c>
      <c r="E28" s="3" t="s">
        <v>684</v>
      </c>
      <c r="F28" s="2"/>
      <c r="G28" s="3" t="str">
        <f>IFERROR(__xludf.DUMMYFUNCTION("GOOGLETRANSLATE(A28, ""it"", ""en"")"),"27")</f>
        <v>27</v>
      </c>
      <c r="H28" s="3" t="str">
        <f>IFERROR(__xludf.DUMMYFUNCTION("GOOGLETRANSLATE(B28, ""it"", ""en"")"),"What is the rule for choosing the color of the balls?")</f>
        <v>What is the rule for choosing the color of the balls?</v>
      </c>
      <c r="I28" s="3" t="str">
        <f>IFERROR(__xludf.DUMMYFUNCTION("GOOGLETRANSLATE(C28, ""it"", ""en"")"),"A. Draw B. Random selection C. Determined by the referee D. Selection of the winning team")</f>
        <v>A. Draw B. Random selection C. Determined by the referee D. Selection of the winning team</v>
      </c>
      <c r="J28" s="3" t="str">
        <f>IFERROR(__xludf.DUMMYFUNCTION("GOOGLETRANSLATE(D28, ""it"", ""en"")"),"Draw")</f>
        <v>Draw</v>
      </c>
      <c r="K28" s="3" t="str">
        <f>IFERROR(__xludf.DUMMYFUNCTION("GOOGLETRANSLATE(E28, ""it"", ""en"")"),"The color of the balls is decided by drawing lots.")</f>
        <v>The color of the balls is decided by drawing lots.</v>
      </c>
      <c r="L28" s="2"/>
      <c r="M28" s="2"/>
      <c r="N28" s="2"/>
      <c r="O28" s="2"/>
      <c r="P28" s="2"/>
      <c r="Q28" s="2"/>
      <c r="R28" s="2"/>
      <c r="S28" s="2"/>
      <c r="T28" s="2"/>
      <c r="U28" s="2"/>
      <c r="V28" s="2"/>
      <c r="W28" s="2"/>
    </row>
    <row r="29" ht="22.5" customHeight="1">
      <c r="A29" s="3">
        <v>28.0</v>
      </c>
      <c r="B29" s="3" t="s">
        <v>685</v>
      </c>
      <c r="C29" s="3" t="s">
        <v>686</v>
      </c>
      <c r="D29" s="3" t="s">
        <v>687</v>
      </c>
      <c r="E29" s="3" t="s">
        <v>688</v>
      </c>
      <c r="F29" s="2"/>
      <c r="G29" s="3" t="str">
        <f>IFERROR(__xludf.DUMMYFUNCTION("GOOGLETRANSLATE(A29, ""it"", ""en"")"),"28")</f>
        <v>28</v>
      </c>
      <c r="H29" s="3" t="str">
        <f>IFERROR(__xludf.DUMMYFUNCTION("GOOGLETRANSLATE(B29, ""it"", ""en"")"),"What is the act of deliberately hitting an opponent's ball called?")</f>
        <v>What is the act of deliberately hitting an opponent's ball called?</v>
      </c>
      <c r="I29" s="3" t="str">
        <f>IFERROR(__xludf.DUMMYFUNCTION("GOOGLETRANSLATE(C29, ""it"", ""en"")"),"A. Strategic throw B. Aimed shot C. Push shot D. Slam")</f>
        <v>A. Strategic throw B. Aimed shot C. Push shot D. Slam</v>
      </c>
      <c r="J29" s="3" t="str">
        <f>IFERROR(__xludf.DUMMYFUNCTION("GOOGLETRANSLATE(D29, ""it"", ""en"")"),"Push shot")</f>
        <v>Push shot</v>
      </c>
      <c r="K29" s="3" t="str">
        <f>IFERROR(__xludf.DUMMYFUNCTION("GOOGLETRANSLATE(E29, ""it"", ""en"")"),"The push shot is used to hit the opponent's balls.")</f>
        <v>The push shot is used to hit the opponent's balls.</v>
      </c>
      <c r="L29" s="2"/>
      <c r="M29" s="2"/>
      <c r="N29" s="2"/>
      <c r="O29" s="2"/>
      <c r="P29" s="2"/>
      <c r="Q29" s="2"/>
      <c r="R29" s="2"/>
      <c r="S29" s="2"/>
      <c r="T29" s="2"/>
      <c r="U29" s="2"/>
      <c r="V29" s="2"/>
      <c r="W29" s="2"/>
    </row>
    <row r="30" ht="22.5" customHeight="1">
      <c r="A30" s="3">
        <v>29.0</v>
      </c>
      <c r="B30" s="3" t="s">
        <v>689</v>
      </c>
      <c r="C30" s="3" t="s">
        <v>690</v>
      </c>
      <c r="D30" s="3" t="s">
        <v>691</v>
      </c>
      <c r="E30" s="3" t="s">
        <v>692</v>
      </c>
      <c r="F30" s="2"/>
      <c r="G30" s="3" t="str">
        <f>IFERROR(__xludf.DUMMYFUNCTION("GOOGLETRANSLATE(A30, ""it"", ""en"")"),"29")</f>
        <v>29</v>
      </c>
      <c r="H30" s="3" t="str">
        <f>IFERROR(__xludf.DUMMYFUNCTION("GOOGLETRANSLATE(B30, ""it"", ""en"")"),"What happens if the cue ball is hit and lands in an irregular position?")</f>
        <v>What happens if the cue ball is hit and lands in an irregular position?</v>
      </c>
      <c r="I30" s="3" t="str">
        <f>IFERROR(__xludf.DUMMYFUNCTION("GOOGLETRANSLATE(C30, ""it"", ""en"")"),"A. The game ends B. The cue ball is put back C. The turn is cancelled D. The cue ball remains where it is")</f>
        <v>A. The game ends B. The cue ball is put back C. The turn is cancelled D. The cue ball remains where it is</v>
      </c>
      <c r="J30" s="3" t="str">
        <f>IFERROR(__xludf.DUMMYFUNCTION("GOOGLETRANSLATE(D30, ""it"", ""en"")"),"The ball stays where it is")</f>
        <v>The ball stays where it is</v>
      </c>
      <c r="K30" s="3" t="str">
        <f>IFERROR(__xludf.DUMMYFUNCTION("GOOGLETRANSLATE(E30, ""it"", ""en"")"),"The ball remains in the position where it stops")</f>
        <v>The ball remains in the position where it stops</v>
      </c>
      <c r="L30" s="2"/>
      <c r="M30" s="2"/>
      <c r="N30" s="2"/>
      <c r="O30" s="2"/>
      <c r="P30" s="2"/>
      <c r="Q30" s="2"/>
      <c r="R30" s="2"/>
      <c r="S30" s="2"/>
      <c r="T30" s="2"/>
      <c r="U30" s="2"/>
      <c r="V30" s="2"/>
      <c r="W30" s="2"/>
    </row>
    <row r="31" ht="22.5" customHeight="1">
      <c r="A31" s="3">
        <v>30.0</v>
      </c>
      <c r="B31" s="3" t="s">
        <v>693</v>
      </c>
      <c r="C31" s="3" t="s">
        <v>694</v>
      </c>
      <c r="D31" s="3" t="s">
        <v>214</v>
      </c>
      <c r="E31" s="3" t="s">
        <v>695</v>
      </c>
      <c r="F31" s="2"/>
      <c r="G31" s="3" t="str">
        <f>IFERROR(__xludf.DUMMYFUNCTION("GOOGLETRANSLATE(A31, ""it"", ""en"")"),"30")</f>
        <v>30</v>
      </c>
      <c r="H31" s="3" t="str">
        <f>IFERROR(__xludf.DUMMYFUNCTION("GOOGLETRANSLATE(B31, ""it"", ""en"")"),"What is the most important element for winning in the game of Bocce?")</f>
        <v>What is the most important element for winning in the game of Bocce?</v>
      </c>
      <c r="I31" s="3" t="str">
        <f>IFERROR(__xludf.DUMMYFUNCTION("GOOGLETRANSLATE(C31, ""it"", ""en"")"),"A. Accuracy B. Speed ​​C. Strength D. Strategy")</f>
        <v>A. Accuracy B. Speed ​​C. Strength D. Strategy</v>
      </c>
      <c r="J31" s="3" t="str">
        <f>IFERROR(__xludf.DUMMYFUNCTION("GOOGLETRANSLATE(D31, ""it"", ""en"")"),"Precision")</f>
        <v>Precision</v>
      </c>
      <c r="K31" s="3" t="str">
        <f>IFERROR(__xludf.DUMMYFUNCTION("GOOGLETRANSLATE(E31, ""it"", ""en"")"),"Precision is essential to get the balls closer to the jack.")</f>
        <v>Precision is essential to get the balls closer to the jack.</v>
      </c>
      <c r="L31" s="2"/>
      <c r="M31" s="2"/>
      <c r="N31" s="2"/>
      <c r="O31" s="2"/>
      <c r="P31" s="2"/>
      <c r="Q31" s="2"/>
      <c r="R31" s="2"/>
      <c r="S31" s="2"/>
      <c r="T31" s="2"/>
      <c r="U31" s="2"/>
      <c r="V31" s="2"/>
      <c r="W31" s="2"/>
    </row>
    <row r="32" ht="22.5" customHeight="1">
      <c r="A32" s="3">
        <v>31.0</v>
      </c>
      <c r="B32" s="3" t="s">
        <v>696</v>
      </c>
      <c r="C32" s="3" t="s">
        <v>697</v>
      </c>
      <c r="D32" s="3" t="s">
        <v>698</v>
      </c>
      <c r="E32" s="3" t="s">
        <v>699</v>
      </c>
      <c r="F32" s="2"/>
      <c r="G32" s="3" t="str">
        <f>IFERROR(__xludf.DUMMYFUNCTION("GOOGLETRANSLATE(A32, ""it"", ""en"")"),"31")</f>
        <v>31</v>
      </c>
      <c r="H32" s="3" t="str">
        <f>IFERROR(__xludf.DUMMYFUNCTION("GOOGLETRANSLATE(B32, ""it"", ""en"")"),"What is the regulation diameter of bocce balls?")</f>
        <v>What is the regulation diameter of bocce balls?</v>
      </c>
      <c r="I32" s="3" t="str">
        <f>IFERROR(__xludf.DUMMYFUNCTION("GOOGLETRANSLATE(C32, ""it"", ""en"")"),"A. 85 mm B. 100 mm C. 110 mm D. 120 mm")</f>
        <v>A. 85 mm B. 100 mm C. 110 mm D. 120 mm</v>
      </c>
      <c r="J32" s="3" t="str">
        <f>IFERROR(__xludf.DUMMYFUNCTION("GOOGLETRANSLATE(D32, ""it"", ""en"")"),"110 mm")</f>
        <v>110 mm</v>
      </c>
      <c r="K32" s="3" t="str">
        <f>IFERROR(__xludf.DUMMYFUNCTION("GOOGLETRANSLATE(E32, ""it"", ""en"")"),"Regulation bowls have a maximum diameter of 110 mm.")</f>
        <v>Regulation bowls have a maximum diameter of 110 mm.</v>
      </c>
      <c r="L32" s="2"/>
      <c r="M32" s="2"/>
      <c r="N32" s="2"/>
      <c r="O32" s="2"/>
      <c r="P32" s="2"/>
      <c r="Q32" s="2"/>
      <c r="R32" s="2"/>
      <c r="S32" s="2"/>
      <c r="T32" s="2"/>
      <c r="U32" s="2"/>
      <c r="V32" s="2"/>
      <c r="W32" s="2"/>
    </row>
    <row r="33" ht="22.5" customHeight="1">
      <c r="A33" s="3">
        <v>32.0</v>
      </c>
      <c r="B33" s="3" t="s">
        <v>700</v>
      </c>
      <c r="C33" s="3" t="s">
        <v>701</v>
      </c>
      <c r="D33" s="3" t="s">
        <v>702</v>
      </c>
      <c r="E33" s="3" t="s">
        <v>703</v>
      </c>
      <c r="F33" s="2"/>
      <c r="G33" s="3" t="str">
        <f>IFERROR(__xludf.DUMMYFUNCTION("GOOGLETRANSLATE(A33, ""it"", ""en"")"),"32")</f>
        <v>32</v>
      </c>
      <c r="H33" s="3" t="str">
        <f>IFERROR(__xludf.DUMMYFUNCTION("GOOGLETRANSLATE(B33, ""it"", ""en"")"),"In which direction should the jack be thrown?")</f>
        <v>In which direction should the jack be thrown?</v>
      </c>
      <c r="I33" s="3" t="str">
        <f>IFERROR(__xludf.DUMMYFUNCTION("GOOGLETRANSLATE(C33, ""it"", ""en"")"),"A. Towards the umpire B. Towards the centre of the pitch C. In any direction D. Towards the opposite end of the pitch")</f>
        <v>A. Towards the umpire B. Towards the centre of the pitch C. In any direction D. Towards the opposite end of the pitch</v>
      </c>
      <c r="J33" s="3" t="str">
        <f>IFERROR(__xludf.DUMMYFUNCTION("GOOGLETRANSLATE(D33, ""it"", ""en"")"),"Towards the opposite end of the field")</f>
        <v>Towards the opposite end of the field</v>
      </c>
      <c r="K33" s="3" t="str">
        <f>IFERROR(__xludf.DUMMYFUNCTION("GOOGLETRANSLATE(E33, ""it"", ""en"")"),"The jack must be thrown towards the opposite side of the court.")</f>
        <v>The jack must be thrown towards the opposite side of the court.</v>
      </c>
      <c r="L33" s="2"/>
      <c r="M33" s="2"/>
      <c r="N33" s="2"/>
      <c r="O33" s="2"/>
      <c r="P33" s="2"/>
      <c r="Q33" s="2"/>
      <c r="R33" s="2"/>
      <c r="S33" s="2"/>
      <c r="T33" s="2"/>
      <c r="U33" s="2"/>
      <c r="V33" s="2"/>
      <c r="W33" s="2"/>
    </row>
    <row r="34" ht="22.5" customHeight="1">
      <c r="A34" s="3">
        <v>33.0</v>
      </c>
      <c r="B34" s="3" t="s">
        <v>704</v>
      </c>
      <c r="C34" s="3" t="s">
        <v>705</v>
      </c>
      <c r="D34" s="3" t="s">
        <v>706</v>
      </c>
      <c r="E34" s="3" t="s">
        <v>707</v>
      </c>
      <c r="F34" s="2"/>
      <c r="G34" s="3" t="str">
        <f>IFERROR(__xludf.DUMMYFUNCTION("GOOGLETRANSLATE(A34, ""it"", ""en"")"),"33")</f>
        <v>33</v>
      </c>
      <c r="H34" s="3" t="str">
        <f>IFERROR(__xludf.DUMMYFUNCTION("GOOGLETRANSLATE(B34, ""it"", ""en"")"),"What happens if the cue ball doesn't go past the middle of the field?")</f>
        <v>What happens if the cue ball doesn't go past the middle of the field?</v>
      </c>
      <c r="I34" s="3" t="str">
        <f>IFERROR(__xludf.DUMMYFUNCTION("GOOGLETRANSLATE(C34, ""it"", ""en"")"),"A. The turn continues B. It is thrown again C. The turn is cancelled D. It is awarded to the other team")</f>
        <v>A. The turn continues B. It is thrown again C. The turn is cancelled D. It is awarded to the other team</v>
      </c>
      <c r="J34" s="3" t="str">
        <f>IFERROR(__xludf.DUMMYFUNCTION("GOOGLETRANSLATE(D34, ""it"", ""en"")"),"It is launched again")</f>
        <v>It is launched again</v>
      </c>
      <c r="K34" s="3" t="str">
        <f>IFERROR(__xludf.DUMMYFUNCTION("GOOGLETRANSLATE(E34, ""it"", ""en"")"),"The jack must go beyond the middle of the field to be valid.")</f>
        <v>The jack must go beyond the middle of the field to be valid.</v>
      </c>
      <c r="L34" s="2"/>
      <c r="M34" s="2"/>
      <c r="N34" s="2"/>
      <c r="O34" s="2"/>
      <c r="P34" s="2"/>
      <c r="Q34" s="2"/>
      <c r="R34" s="2"/>
      <c r="S34" s="2"/>
      <c r="T34" s="2"/>
      <c r="U34" s="2"/>
      <c r="V34" s="2"/>
      <c r="W34" s="2"/>
    </row>
    <row r="35" ht="22.5" customHeight="1">
      <c r="A35" s="3">
        <v>34.0</v>
      </c>
      <c r="B35" s="3" t="s">
        <v>708</v>
      </c>
      <c r="C35" s="3" t="s">
        <v>709</v>
      </c>
      <c r="D35" s="3" t="s">
        <v>710</v>
      </c>
      <c r="E35" s="3" t="s">
        <v>711</v>
      </c>
      <c r="F35" s="2"/>
      <c r="G35" s="3" t="str">
        <f>IFERROR(__xludf.DUMMYFUNCTION("GOOGLETRANSLATE(A35, ""it"", ""en"")"),"34")</f>
        <v>34</v>
      </c>
      <c r="H35" s="3" t="str">
        <f>IFERROR(__xludf.DUMMYFUNCTION("GOOGLETRANSLATE(B35, ""it"", ""en"")"),"Who is responsible for measuring during official matches?")</f>
        <v>Who is responsible for measuring during official matches?</v>
      </c>
      <c r="I35" s="3" t="str">
        <f>IFERROR(__xludf.DUMMYFUNCTION("GOOGLETRANSLATE(C35, ""it"", ""en"")"),"A. The team captain B. A randomly chosen player C. The referee D. Both teams")</f>
        <v>A. The team captain B. A randomly chosen player C. The referee D. Both teams</v>
      </c>
      <c r="J35" s="3" t="str">
        <f>IFERROR(__xludf.DUMMYFUNCTION("GOOGLETRANSLATE(D35, ""it"", ""en"")"),"The referee")</f>
        <v>The referee</v>
      </c>
      <c r="K35" s="3" t="str">
        <f>IFERROR(__xludf.DUMMYFUNCTION("GOOGLETRANSLATE(E35, ""it"", ""en"")"),"During official matches")</f>
        <v>During official matches</v>
      </c>
      <c r="L35" s="2"/>
      <c r="M35" s="2"/>
      <c r="N35" s="2"/>
      <c r="O35" s="2"/>
      <c r="P35" s="2"/>
      <c r="Q35" s="2"/>
      <c r="R35" s="2"/>
      <c r="S35" s="2"/>
      <c r="T35" s="2"/>
      <c r="U35" s="2"/>
      <c r="V35" s="2"/>
      <c r="W35" s="2"/>
    </row>
    <row r="36" ht="22.5" customHeight="1">
      <c r="A36" s="3">
        <v>35.0</v>
      </c>
      <c r="B36" s="3" t="s">
        <v>712</v>
      </c>
      <c r="C36" s="3" t="s">
        <v>713</v>
      </c>
      <c r="D36" s="3" t="s">
        <v>714</v>
      </c>
      <c r="E36" s="3" t="s">
        <v>715</v>
      </c>
      <c r="F36" s="2"/>
      <c r="G36" s="3" t="str">
        <f>IFERROR(__xludf.DUMMYFUNCTION("GOOGLETRANSLATE(A36, ""it"", ""en"")"),"35")</f>
        <v>35</v>
      </c>
      <c r="H36" s="3" t="str">
        <f>IFERROR(__xludf.DUMMYFUNCTION("GOOGLETRANSLATE(B36, ""it"", ""en"")"),"What is the minimum length of a regulation Bocce court?")</f>
        <v>What is the minimum length of a regulation Bocce court?</v>
      </c>
      <c r="I36" s="3" t="str">
        <f>IFERROR(__xludf.DUMMYFUNCTION("GOOGLETRANSLATE(C36, ""it"", ""en"")"),"A. 15 meters B. 20 meters C. 24 meters D. 26 meters")</f>
        <v>A. 15 meters B. 20 meters C. 24 meters D. 26 meters</v>
      </c>
      <c r="J36" s="3" t="str">
        <f>IFERROR(__xludf.DUMMYFUNCTION("GOOGLETRANSLATE(D36, ""it"", ""en"")"),"24 meters")</f>
        <v>24 meters</v>
      </c>
      <c r="K36" s="3" t="str">
        <f>IFERROR(__xludf.DUMMYFUNCTION("GOOGLETRANSLATE(E36, ""it"", ""en"")"),"The minimum length of the field is 24 meters.")</f>
        <v>The minimum length of the field is 24 meters.</v>
      </c>
      <c r="L36" s="2"/>
      <c r="M36" s="2"/>
      <c r="N36" s="2"/>
      <c r="O36" s="2"/>
      <c r="P36" s="2"/>
      <c r="Q36" s="2"/>
      <c r="R36" s="2"/>
      <c r="S36" s="2"/>
      <c r="T36" s="2"/>
      <c r="U36" s="2"/>
      <c r="V36" s="2"/>
      <c r="W36" s="2"/>
    </row>
    <row r="37" ht="22.5" customHeight="1">
      <c r="A37" s="3">
        <v>36.0</v>
      </c>
      <c r="B37" s="3" t="s">
        <v>716</v>
      </c>
      <c r="C37" s="3" t="s">
        <v>717</v>
      </c>
      <c r="D37" s="3" t="s">
        <v>718</v>
      </c>
      <c r="E37" s="3" t="s">
        <v>719</v>
      </c>
      <c r="F37" s="2"/>
      <c r="G37" s="3" t="str">
        <f>IFERROR(__xludf.DUMMYFUNCTION("GOOGLETRANSLATE(A37, ""it"", ""en"")"),"36")</f>
        <v>36</v>
      </c>
      <c r="H37" s="3" t="str">
        <f>IFERROR(__xludf.DUMMYFUNCTION("GOOGLETRANSLATE(B37, ""it"", ""en"")"),"What is the maximum number of points needed to win an amateur match?")</f>
        <v>What is the maximum number of points needed to win an amateur match?</v>
      </c>
      <c r="I37" s="3" t="str">
        <f>IFERROR(__xludf.DUMMYFUNCTION("GOOGLETRANSLATE(C37, ""it"", ""en"")"),"A. 10 points B. 13 points C. 16 points D. 21 points")</f>
        <v>A. 10 points B. 13 points C. 16 points D. 21 points</v>
      </c>
      <c r="J37" s="3" t="str">
        <f>IFERROR(__xludf.DUMMYFUNCTION("GOOGLETRANSLATE(D37, ""it"", ""en"")"),"21 points")</f>
        <v>21 points</v>
      </c>
      <c r="K37" s="3" t="str">
        <f>IFERROR(__xludf.DUMMYFUNCTION("GOOGLETRANSLATE(E37, ""it"", ""en"")"),"In some amateur matches")</f>
        <v>In some amateur matches</v>
      </c>
      <c r="L37" s="2"/>
      <c r="M37" s="2"/>
      <c r="N37" s="2"/>
      <c r="O37" s="2"/>
      <c r="P37" s="2"/>
      <c r="Q37" s="2"/>
      <c r="R37" s="2"/>
      <c r="S37" s="2"/>
      <c r="T37" s="2"/>
      <c r="U37" s="2"/>
      <c r="V37" s="2"/>
      <c r="W37" s="2"/>
    </row>
    <row r="38" ht="22.5" customHeight="1">
      <c r="A38" s="3">
        <v>37.0</v>
      </c>
      <c r="B38" s="3" t="s">
        <v>720</v>
      </c>
      <c r="C38" s="3" t="s">
        <v>721</v>
      </c>
      <c r="D38" s="3" t="s">
        <v>722</v>
      </c>
      <c r="E38" s="3" t="s">
        <v>723</v>
      </c>
      <c r="F38" s="2"/>
      <c r="G38" s="3" t="str">
        <f>IFERROR(__xludf.DUMMYFUNCTION("GOOGLETRANSLATE(A38, ""it"", ""en"")"),"37")</f>
        <v>37</v>
      </c>
      <c r="H38" s="3" t="str">
        <f>IFERROR(__xludf.DUMMYFUNCTION("GOOGLETRANSLATE(B38, ""it"", ""en"")"),"What does ""point ball"" mean?")</f>
        <v>What does "point ball" mean?</v>
      </c>
      <c r="I38" s="3" t="str">
        <f>IFERROR(__xludf.DUMMYFUNCTION("GOOGLETRANSLATE(C38, ""it"", ""en"")"),"A. The ball furthest from the jack B. The ball used to score a point C. The ball thrown last D. The ball removed from play")</f>
        <v>A. The ball furthest from the jack B. The ball used to score a point C. The ball thrown last D. The ball removed from play</v>
      </c>
      <c r="J38" s="3" t="str">
        <f>IFERROR(__xludf.DUMMYFUNCTION("GOOGLETRANSLATE(D38, ""it"", ""en"")"),"The ball that is used to score points")</f>
        <v>The ball that is used to score points</v>
      </c>
      <c r="K38" s="3" t="str">
        <f>IFERROR(__xludf.DUMMYFUNCTION("GOOGLETRANSLATE(E38, ""it"", ""en"")"),"Boccia da punto refers to a boccia used to approach the jack.")</f>
        <v>Boccia da punto refers to a boccia used to approach the jack.</v>
      </c>
      <c r="L38" s="2"/>
      <c r="M38" s="2"/>
      <c r="N38" s="2"/>
      <c r="O38" s="2"/>
      <c r="P38" s="2"/>
      <c r="Q38" s="2"/>
      <c r="R38" s="2"/>
      <c r="S38" s="2"/>
      <c r="T38" s="2"/>
      <c r="U38" s="2"/>
      <c r="V38" s="2"/>
      <c r="W38" s="2"/>
    </row>
    <row r="39" ht="22.5" customHeight="1">
      <c r="A39" s="3">
        <v>38.0</v>
      </c>
      <c r="B39" s="3" t="s">
        <v>724</v>
      </c>
      <c r="C39" s="3" t="s">
        <v>725</v>
      </c>
      <c r="D39" s="3" t="s">
        <v>726</v>
      </c>
      <c r="E39" s="3" t="s">
        <v>727</v>
      </c>
      <c r="F39" s="2"/>
      <c r="G39" s="3" t="str">
        <f>IFERROR(__xludf.DUMMYFUNCTION("GOOGLETRANSLATE(A39, ""it"", ""en"")"),"38")</f>
        <v>38</v>
      </c>
      <c r="H39" s="3" t="str">
        <f>IFERROR(__xludf.DUMMYFUNCTION("GOOGLETRANSLATE(B39, ""it"", ""en"")"),"What do the colors of the bowls represent?")</f>
        <v>What do the colors of the bowls represent?</v>
      </c>
      <c r="I39" s="3" t="str">
        <f>IFERROR(__xludf.DUMMYFUNCTION("GOOGLETRANSLATE(C39, ""it"", ""en"")"),"A. The team you belong to B. The type of ball C. The direction of the throw D. The player's score")</f>
        <v>A. The team you belong to B. The type of ball C. The direction of the throw D. The player's score</v>
      </c>
      <c r="J39" s="3" t="str">
        <f>IFERROR(__xludf.DUMMYFUNCTION("GOOGLETRANSLATE(D39, ""it"", ""en"")"),"The team you belong to")</f>
        <v>The team you belong to</v>
      </c>
      <c r="K39" s="3" t="str">
        <f>IFERROR(__xludf.DUMMYFUNCTION("GOOGLETRANSLATE(E39, ""it"", ""en"")"),"The colors identify the team you belong to.")</f>
        <v>The colors identify the team you belong to.</v>
      </c>
      <c r="L39" s="2"/>
      <c r="M39" s="2"/>
      <c r="N39" s="2"/>
      <c r="O39" s="2"/>
      <c r="P39" s="2"/>
      <c r="Q39" s="2"/>
      <c r="R39" s="2"/>
      <c r="S39" s="2"/>
      <c r="T39" s="2"/>
      <c r="U39" s="2"/>
      <c r="V39" s="2"/>
      <c r="W39" s="2"/>
    </row>
    <row r="40" ht="22.5" customHeight="1">
      <c r="A40" s="3">
        <v>39.0</v>
      </c>
      <c r="B40" s="3" t="s">
        <v>728</v>
      </c>
      <c r="C40" s="3" t="s">
        <v>729</v>
      </c>
      <c r="D40" s="3" t="s">
        <v>730</v>
      </c>
      <c r="E40" s="3" t="s">
        <v>731</v>
      </c>
      <c r="F40" s="2"/>
      <c r="G40" s="3" t="str">
        <f>IFERROR(__xludf.DUMMYFUNCTION("GOOGLETRANSLATE(A40, ""it"", ""en"")"),"39")</f>
        <v>39</v>
      </c>
      <c r="H40" s="3" t="str">
        <f>IFERROR(__xludf.DUMMYFUNCTION("GOOGLETRANSLATE(B40, ""it"", ""en"")"),"What is the penalty for intentionally moving the cue ball?")</f>
        <v>What is the penalty for intentionally moving the cue ball?</v>
      </c>
      <c r="I40" s="3" t="str">
        <f>IFERROR(__xludf.DUMMYFUNCTION("GOOGLETRANSLATE(C40, ""it"", ""en"")"),"A. Loss of a point B. Loss of the turn C. Exclusion from the game D. No penalty")</f>
        <v>A. Loss of a point B. Loss of the turn C. Exclusion from the game D. No penalty</v>
      </c>
      <c r="J40" s="3" t="str">
        <f>IFERROR(__xludf.DUMMYFUNCTION("GOOGLETRANSLATE(D40, ""it"", ""en"")"),"Loss of turn")</f>
        <v>Loss of turn</v>
      </c>
      <c r="K40" s="3" t="str">
        <f>IFERROR(__xludf.DUMMYFUNCTION("GOOGLETRANSLATE(E40, ""it"", ""en"")"),"Intentionally moving the cue ball results in a loss of turn.")</f>
        <v>Intentionally moving the cue ball results in a loss of turn.</v>
      </c>
      <c r="L40" s="2"/>
      <c r="M40" s="2"/>
      <c r="N40" s="2"/>
      <c r="O40" s="2"/>
      <c r="P40" s="2"/>
      <c r="Q40" s="2"/>
      <c r="R40" s="2"/>
      <c r="S40" s="2"/>
      <c r="T40" s="2"/>
      <c r="U40" s="2"/>
      <c r="V40" s="2"/>
      <c r="W40" s="2"/>
    </row>
    <row r="41" ht="22.5" customHeight="1">
      <c r="A41" s="3">
        <v>40.0</v>
      </c>
      <c r="B41" s="3" t="s">
        <v>732</v>
      </c>
      <c r="C41" s="3" t="s">
        <v>733</v>
      </c>
      <c r="D41" s="3" t="s">
        <v>734</v>
      </c>
      <c r="E41" s="3" t="s">
        <v>735</v>
      </c>
      <c r="F41" s="2"/>
      <c r="G41" s="3" t="str">
        <f>IFERROR(__xludf.DUMMYFUNCTION("GOOGLETRANSLATE(A41, ""it"", ""en"")"),"40")</f>
        <v>40</v>
      </c>
      <c r="H41" s="3" t="str">
        <f>IFERROR(__xludf.DUMMYFUNCTION("GOOGLETRANSLATE(B41, ""it"", ""en"")"),"What is meant by ""tactical play""?")</f>
        <v>What is meant by "tactical play"?</v>
      </c>
      <c r="I41" s="3" t="str">
        <f>IFERROR(__xludf.DUMMYFUNCTION("GOOGLETRANSLATE(C41, ""it"", ""en"")"),"A. A random throw B. A calculated throw to disturb the opponent C. A deliberate error D. A stroke of luck")</f>
        <v>A. A random throw B. A calculated throw to disturb the opponent C. A deliberate error D. A stroke of luck</v>
      </c>
      <c r="J41" s="3" t="str">
        <f>IFERROR(__xludf.DUMMYFUNCTION("GOOGLETRANSLATE(D41, ""it"", ""en"")"),"A shot calculated to disturb the opponent")</f>
        <v>A shot calculated to disturb the opponent</v>
      </c>
      <c r="K41" s="3" t="str">
        <f>IFERROR(__xludf.DUMMYFUNCTION("GOOGLETRANSLATE(E41, ""it"", ""en"")"),"Tactical play aims to disrupt the opponent's strategy.")</f>
        <v>Tactical play aims to disrupt the opponent's strategy.</v>
      </c>
      <c r="L41" s="2"/>
      <c r="M41" s="2"/>
      <c r="N41" s="2"/>
      <c r="O41" s="2"/>
      <c r="P41" s="2"/>
      <c r="Q41" s="2"/>
      <c r="R41" s="2"/>
      <c r="S41" s="2"/>
      <c r="T41" s="2"/>
      <c r="U41" s="2"/>
      <c r="V41" s="2"/>
      <c r="W41" s="2"/>
    </row>
    <row r="42" ht="22.5" customHeight="1">
      <c r="A42" s="3">
        <v>41.0</v>
      </c>
      <c r="B42" s="3" t="s">
        <v>736</v>
      </c>
      <c r="C42" s="3" t="s">
        <v>186</v>
      </c>
      <c r="D42" s="3">
        <v>3.0</v>
      </c>
      <c r="E42" s="3" t="s">
        <v>737</v>
      </c>
      <c r="F42" s="2"/>
      <c r="G42" s="3" t="str">
        <f>IFERROR(__xludf.DUMMYFUNCTION("GOOGLETRANSLATE(A42, ""it"", ""en"")"),"41")</f>
        <v>41</v>
      </c>
      <c r="H42" s="3" t="str">
        <f>IFERROR(__xludf.DUMMYFUNCTION("GOOGLETRANSLATE(B42, ""it"", ""en"")"),"How many types of shots are there in the game of Bocce?")</f>
        <v>How many types of shots are there in the game of Bocce?</v>
      </c>
      <c r="I42" s="3" t="str">
        <f>IFERROR(__xludf.DUMMYFUNCTION("GOOGLETRANSLATE(C42, ""it"", ""en"")"),"A. 2 B. 3 C. 4 D. 5")</f>
        <v>A. 2 B. 3 C. 4 D. 5</v>
      </c>
      <c r="J42" s="3" t="str">
        <f>IFERROR(__xludf.DUMMYFUNCTION("GOOGLETRANSLATE(D42, ""it"", ""en"")"),"3")</f>
        <v>3</v>
      </c>
      <c r="K42" s="3" t="str">
        <f>IFERROR(__xludf.DUMMYFUNCTION("GOOGLETRANSLATE(E42, ""it"", ""en"")"),"The main types of shot are point")</f>
        <v>The main types of shot are point</v>
      </c>
      <c r="L42" s="2"/>
      <c r="M42" s="2"/>
      <c r="N42" s="2"/>
      <c r="O42" s="2"/>
      <c r="P42" s="2"/>
      <c r="Q42" s="2"/>
      <c r="R42" s="2"/>
      <c r="S42" s="2"/>
      <c r="T42" s="2"/>
      <c r="U42" s="2"/>
      <c r="V42" s="2"/>
      <c r="W42" s="2"/>
    </row>
    <row r="43" ht="22.5" customHeight="1">
      <c r="A43" s="3">
        <v>42.0</v>
      </c>
      <c r="B43" s="3" t="s">
        <v>738</v>
      </c>
      <c r="C43" s="3" t="s">
        <v>739</v>
      </c>
      <c r="D43" s="3" t="s">
        <v>740</v>
      </c>
      <c r="E43" s="3" t="s">
        <v>741</v>
      </c>
      <c r="F43" s="2"/>
      <c r="G43" s="3" t="str">
        <f>IFERROR(__xludf.DUMMYFUNCTION("GOOGLETRANSLATE(A43, ""it"", ""en"")"),"42")</f>
        <v>42</v>
      </c>
      <c r="H43" s="3" t="str">
        <f>IFERROR(__xludf.DUMMYFUNCTION("GOOGLETRANSLATE(B43, ""it"", ""en"")"),"What is the shot that hits a ball in the air called?")</f>
        <v>What is the shot that hits a ball in the air called?</v>
      </c>
      <c r="I43" s="3" t="str">
        <f>IFERROR(__xludf.DUMMYFUNCTION("GOOGLETRANSLATE(C43, ""it"", ""en"")"),"A. Precision shooting B. Racket shooting C. Volley shooting D. Long shot")</f>
        <v>A. Precision shooting B. Racket shooting C. Volley shooting D. Long shot</v>
      </c>
      <c r="J43" s="3" t="str">
        <f>IFERROR(__xludf.DUMMYFUNCTION("GOOGLETRANSLATE(D43, ""it"", ""en"")"),"Flying shot")</f>
        <v>Flying shot</v>
      </c>
      <c r="K43" s="3" t="str">
        <f>IFERROR(__xludf.DUMMYFUNCTION("GOOGLETRANSLATE(E43, ""it"", ""en"")"),"The volley shot aims to hit a ball or the jack in the air.")</f>
        <v>The volley shot aims to hit a ball or the jack in the air.</v>
      </c>
      <c r="L43" s="2"/>
      <c r="M43" s="2"/>
      <c r="N43" s="2"/>
      <c r="O43" s="2"/>
      <c r="P43" s="2"/>
      <c r="Q43" s="2"/>
      <c r="R43" s="2"/>
      <c r="S43" s="2"/>
      <c r="T43" s="2"/>
      <c r="U43" s="2"/>
      <c r="V43" s="2"/>
      <c r="W43" s="2"/>
    </row>
    <row r="44" ht="22.5" customHeight="1">
      <c r="A44" s="3">
        <v>43.0</v>
      </c>
      <c r="B44" s="3" t="s">
        <v>742</v>
      </c>
      <c r="C44" s="3" t="s">
        <v>743</v>
      </c>
      <c r="D44" s="3" t="s">
        <v>744</v>
      </c>
      <c r="E44" s="3" t="s">
        <v>745</v>
      </c>
      <c r="F44" s="2"/>
      <c r="G44" s="3" t="str">
        <f>IFERROR(__xludf.DUMMYFUNCTION("GOOGLETRANSLATE(A44, ""it"", ""en"")"),"43")</f>
        <v>43</v>
      </c>
      <c r="H44" s="3" t="str">
        <f>IFERROR(__xludf.DUMMYFUNCTION("GOOGLETRANSLATE(B44, ""it"", ""en"")"),"What is the maximum weight of a regulation ball?")</f>
        <v>What is the maximum weight of a regulation ball?</v>
      </c>
      <c r="I44" s="3" t="str">
        <f>IFERROR(__xludf.DUMMYFUNCTION("GOOGLETRANSLATE(C44, ""it"", ""en"")"),"A. 1 B. 5 kg C. 2 kg D. 2")</f>
        <v>A. 1 B. 5 kg C. 2 kg D. 2</v>
      </c>
      <c r="J44" s="3" t="str">
        <f>IFERROR(__xludf.DUMMYFUNCTION("GOOGLETRANSLATE(D44, ""it"", ""en"")"),"5 kg")</f>
        <v>5 kg</v>
      </c>
      <c r="K44" s="3" t="str">
        <f>IFERROR(__xludf.DUMMYFUNCTION("GOOGLETRANSLATE(E44, ""it"", ""en"")"),"3 kg")</f>
        <v>3 kg</v>
      </c>
      <c r="L44" s="2"/>
      <c r="M44" s="2"/>
      <c r="N44" s="2"/>
      <c r="O44" s="2"/>
      <c r="P44" s="2"/>
      <c r="Q44" s="2"/>
      <c r="R44" s="2"/>
      <c r="S44" s="2"/>
      <c r="T44" s="2"/>
      <c r="U44" s="2"/>
      <c r="V44" s="2"/>
      <c r="W44" s="2"/>
    </row>
    <row r="45" ht="22.5" customHeight="1">
      <c r="A45" s="3">
        <v>44.0</v>
      </c>
      <c r="B45" s="3" t="s">
        <v>746</v>
      </c>
      <c r="C45" s="3" t="s">
        <v>747</v>
      </c>
      <c r="D45" s="3" t="s">
        <v>748</v>
      </c>
      <c r="E45" s="3" t="s">
        <v>749</v>
      </c>
      <c r="F45" s="2"/>
      <c r="G45" s="3" t="str">
        <f>IFERROR(__xludf.DUMMYFUNCTION("GOOGLETRANSLATE(A45, ""it"", ""en"")"),"44")</f>
        <v>44</v>
      </c>
      <c r="H45" s="3" t="str">
        <f>IFERROR(__xludf.DUMMYFUNCTION("GOOGLETRANSLATE(B45, ""it"", ""en"")"),"What happens if all of one team's balls are further from the jack than the opponent's?")</f>
        <v>What happens if all of one team's balls are further from the jack than the opponent's?</v>
      </c>
      <c r="I45" s="3" t="str">
        <f>IFERROR(__xludf.DUMMYFUNCTION("GOOGLETRANSLATE(C45, ""it"", ""en"")"),"A. They get a point B. The opponent gets points for all of his closest balls C. The turn is cancelled D. The game starts again")</f>
        <v>A. They get a point B. The opponent gets points for all of his closest balls C. The turn is cancelled D. The game starts again</v>
      </c>
      <c r="J45" s="3" t="str">
        <f>IFERROR(__xludf.DUMMYFUNCTION("GOOGLETRANSLATE(D45, ""it"", ""en"")"),"The opponent gets points for all his closest balls")</f>
        <v>The opponent gets points for all his closest balls</v>
      </c>
      <c r="K45" s="3" t="str">
        <f>IFERROR(__xludf.DUMMYFUNCTION("GOOGLETRANSLATE(E45, ""it"", ""en"")"),"The score is calculated considering all the balls closest to the jack.")</f>
        <v>The score is calculated considering all the balls closest to the jack.</v>
      </c>
      <c r="L45" s="2"/>
      <c r="M45" s="2"/>
      <c r="N45" s="2"/>
      <c r="O45" s="2"/>
      <c r="P45" s="2"/>
      <c r="Q45" s="2"/>
      <c r="R45" s="2"/>
      <c r="S45" s="2"/>
      <c r="T45" s="2"/>
      <c r="U45" s="2"/>
      <c r="V45" s="2"/>
      <c r="W45" s="2"/>
    </row>
    <row r="46" ht="22.5" customHeight="1">
      <c r="A46" s="3">
        <v>45.0</v>
      </c>
      <c r="B46" s="3" t="s">
        <v>750</v>
      </c>
      <c r="C46" s="3" t="s">
        <v>751</v>
      </c>
      <c r="D46" s="3" t="s">
        <v>752</v>
      </c>
      <c r="E46" s="3" t="s">
        <v>753</v>
      </c>
      <c r="F46" s="2"/>
      <c r="G46" s="3" t="str">
        <f>IFERROR(__xludf.DUMMYFUNCTION("GOOGLETRANSLATE(A46, ""it"", ""en"")"),"45")</f>
        <v>45</v>
      </c>
      <c r="H46" s="3" t="str">
        <f>IFERROR(__xludf.DUMMYFUNCTION("GOOGLETRANSLATE(B46, ""it"", ""en"")"),"What is the name of the line that marks the beginning of the field?")</f>
        <v>What is the name of the line that marks the beginning of the field?</v>
      </c>
      <c r="I46" s="3" t="str">
        <f>IFERROR(__xludf.DUMMYFUNCTION("GOOGLETRANSLATE(C46, ""it"", ""en"")"),"A. Sideline B. Endline C. Playing line D. Jack line")</f>
        <v>A. Sideline B. Endline C. Playing line D. Jack line</v>
      </c>
      <c r="J46" s="3" t="str">
        <f>IFERROR(__xludf.DUMMYFUNCTION("GOOGLETRANSLATE(D46, ""it"", ""en"")"),"Bottom line")</f>
        <v>Bottom line</v>
      </c>
      <c r="K46" s="3" t="str">
        <f>IFERROR(__xludf.DUMMYFUNCTION("GOOGLETRANSLATE(E46, ""it"", ""en"")"),"The end line marks the beginning of the field.")</f>
        <v>The end line marks the beginning of the field.</v>
      </c>
      <c r="L46" s="2"/>
      <c r="M46" s="2"/>
      <c r="N46" s="2"/>
      <c r="O46" s="2"/>
      <c r="P46" s="2"/>
      <c r="Q46" s="2"/>
      <c r="R46" s="2"/>
      <c r="S46" s="2"/>
      <c r="T46" s="2"/>
      <c r="U46" s="2"/>
      <c r="V46" s="2"/>
      <c r="W46" s="2"/>
    </row>
    <row r="47" ht="22.5" customHeight="1">
      <c r="A47" s="3">
        <v>46.0</v>
      </c>
      <c r="B47" s="3" t="s">
        <v>754</v>
      </c>
      <c r="C47" s="3" t="s">
        <v>755</v>
      </c>
      <c r="D47" s="3" t="s">
        <v>756</v>
      </c>
      <c r="E47" s="3" t="s">
        <v>757</v>
      </c>
      <c r="F47" s="2"/>
      <c r="G47" s="3" t="str">
        <f>IFERROR(__xludf.DUMMYFUNCTION("GOOGLETRANSLATE(A47, ""it"", ""en"")"),"46")</f>
        <v>46</v>
      </c>
      <c r="H47" s="3" t="str">
        <f>IFERROR(__xludf.DUMMYFUNCTION("GOOGLETRANSLATE(B47, ""it"", ""en"")"),"What is the maximum length of the regulation field?")</f>
        <v>What is the maximum length of the regulation field?</v>
      </c>
      <c r="I47" s="3" t="str">
        <f>IFERROR(__xludf.DUMMYFUNCTION("GOOGLETRANSLATE(C47, ""it"", ""en"")"),"A. 24 meters B. 26 meters C. 28 meters D. 30 meters")</f>
        <v>A. 24 meters B. 26 meters C. 28 meters D. 30 meters</v>
      </c>
      <c r="J47" s="3" t="str">
        <f>IFERROR(__xludf.DUMMYFUNCTION("GOOGLETRANSLATE(D47, ""it"", ""en"")"),"28 meters")</f>
        <v>28 meters</v>
      </c>
      <c r="K47" s="3" t="str">
        <f>IFERROR(__xludf.DUMMYFUNCTION("GOOGLETRANSLATE(E47, ""it"", ""en"")"),"The maximum length of the field is 28 meters.")</f>
        <v>The maximum length of the field is 28 meters.</v>
      </c>
      <c r="L47" s="2"/>
      <c r="M47" s="2"/>
      <c r="N47" s="2"/>
      <c r="O47" s="2"/>
      <c r="P47" s="2"/>
      <c r="Q47" s="2"/>
      <c r="R47" s="2"/>
      <c r="S47" s="2"/>
      <c r="T47" s="2"/>
      <c r="U47" s="2"/>
      <c r="V47" s="2"/>
      <c r="W47" s="2"/>
    </row>
    <row r="48" ht="22.5" customHeight="1">
      <c r="A48" s="3">
        <v>47.0</v>
      </c>
      <c r="B48" s="3" t="s">
        <v>758</v>
      </c>
      <c r="C48" s="3" t="s">
        <v>759</v>
      </c>
      <c r="D48" s="3" t="s">
        <v>760</v>
      </c>
      <c r="E48" s="3" t="s">
        <v>761</v>
      </c>
      <c r="F48" s="2"/>
      <c r="G48" s="3" t="str">
        <f>IFERROR(__xludf.DUMMYFUNCTION("GOOGLETRANSLATE(A48, ""it"", ""en"")"),"47")</f>
        <v>47</v>
      </c>
      <c r="H48" s="3" t="str">
        <f>IFERROR(__xludf.DUMMYFUNCTION("GOOGLETRANSLATE(B48, ""it"", ""en"")"),"What should be done before each launch?")</f>
        <v>What should be done before each launch?</v>
      </c>
      <c r="I48" s="3" t="str">
        <f>IFERROR(__xludf.DUMMYFUNCTION("GOOGLETRANSLATE(C48, ""it"", ""en"")"),"A. Ask the referee for permission B. Choose the direction of the throw C. Mark the position of the balls D. Confirm the score")</f>
        <v>A. Ask the referee for permission B. Choose the direction of the throw C. Mark the position of the balls D. Confirm the score</v>
      </c>
      <c r="J48" s="3" t="str">
        <f>IFERROR(__xludf.DUMMYFUNCTION("GOOGLETRANSLATE(D48, ""it"", ""en"")"),"Mark the position of the bowls")</f>
        <v>Mark the position of the bowls</v>
      </c>
      <c r="K48" s="3" t="str">
        <f>IFERROR(__xludf.DUMMYFUNCTION("GOOGLETRANSLATE(E48, ""it"", ""en"")"),"Before each launch")</f>
        <v>Before each launch</v>
      </c>
      <c r="L48" s="2"/>
      <c r="M48" s="2"/>
      <c r="N48" s="2"/>
      <c r="O48" s="2"/>
      <c r="P48" s="2"/>
      <c r="Q48" s="2"/>
      <c r="R48" s="2"/>
      <c r="S48" s="2"/>
      <c r="T48" s="2"/>
      <c r="U48" s="2"/>
      <c r="V48" s="2"/>
      <c r="W48" s="2"/>
    </row>
    <row r="49" ht="22.5" customHeight="1">
      <c r="A49" s="3">
        <v>48.0</v>
      </c>
      <c r="B49" s="3" t="s">
        <v>762</v>
      </c>
      <c r="C49" s="3" t="s">
        <v>763</v>
      </c>
      <c r="D49" s="3" t="s">
        <v>764</v>
      </c>
      <c r="E49" s="3" t="s">
        <v>765</v>
      </c>
      <c r="F49" s="2"/>
      <c r="G49" s="3" t="str">
        <f>IFERROR(__xludf.DUMMYFUNCTION("GOOGLETRANSLATE(A49, ""it"", ""en"")"),"48")</f>
        <v>48</v>
      </c>
      <c r="H49" s="3" t="str">
        <f>IFERROR(__xludf.DUMMYFUNCTION("GOOGLETRANSLATE(B49, ""it"", ""en"")"),"What surface is ideal for playing Bocce?")</f>
        <v>What surface is ideal for playing Bocce?</v>
      </c>
      <c r="I49" s="3" t="str">
        <f>IFERROR(__xludf.DUMMYFUNCTION("GOOGLETRANSLATE(C49, ""it"", ""en"")"),"A. Synthetic grass B. Rubber mat C. Natural soil D. Smooth, sandy soil")</f>
        <v>A. Synthetic grass B. Rubber mat C. Natural soil D. Smooth, sandy soil</v>
      </c>
      <c r="J49" s="3" t="str">
        <f>IFERROR(__xludf.DUMMYFUNCTION("GOOGLETRANSLATE(D49, ""it"", ""en"")"),"Smooth and sandy terrain")</f>
        <v>Smooth and sandy terrain</v>
      </c>
      <c r="K49" s="3" t="str">
        <f>IFERROR(__xludf.DUMMYFUNCTION("GOOGLETRANSLATE(E49, ""it"", ""en"")"),"A smooth, sandy surface is ideal for play.")</f>
        <v>A smooth, sandy surface is ideal for play.</v>
      </c>
      <c r="L49" s="2"/>
      <c r="M49" s="2"/>
      <c r="N49" s="2"/>
      <c r="O49" s="2"/>
      <c r="P49" s="2"/>
      <c r="Q49" s="2"/>
      <c r="R49" s="2"/>
      <c r="S49" s="2"/>
      <c r="T49" s="2"/>
      <c r="U49" s="2"/>
      <c r="V49" s="2"/>
      <c r="W49" s="2"/>
    </row>
    <row r="50" ht="22.5" customHeight="1">
      <c r="A50" s="3">
        <v>49.0</v>
      </c>
      <c r="B50" s="3" t="s">
        <v>766</v>
      </c>
      <c r="C50" s="3" t="s">
        <v>767</v>
      </c>
      <c r="D50" s="3" t="s">
        <v>768</v>
      </c>
      <c r="E50" s="3" t="s">
        <v>769</v>
      </c>
      <c r="F50" s="2"/>
      <c r="G50" s="3" t="str">
        <f>IFERROR(__xludf.DUMMYFUNCTION("GOOGLETRANSLATE(A50, ""it"", ""en"")"),"49")</f>
        <v>49</v>
      </c>
      <c r="H50" s="3" t="str">
        <f>IFERROR(__xludf.DUMMYFUNCTION("GOOGLETRANSLATE(B50, ""it"", ""en"")"),"How much time does a player have to throw?")</f>
        <v>How much time does a player have to throw?</v>
      </c>
      <c r="I50" s="3" t="str">
        <f>IFERROR(__xludf.DUMMYFUNCTION("GOOGLETRANSLATE(C50, ""it"", ""en"")"),"A. 15 seconds B. 30 seconds C. 1 minute D. 2 minutes")</f>
        <v>A. 15 seconds B. 30 seconds C. 1 minute D. 2 minutes</v>
      </c>
      <c r="J50" s="3" t="str">
        <f>IFERROR(__xludf.DUMMYFUNCTION("GOOGLETRANSLATE(D50, ""it"", ""en"")"),"30 seconds")</f>
        <v>30 seconds</v>
      </c>
      <c r="K50" s="3" t="str">
        <f>IFERROR(__xludf.DUMMYFUNCTION("GOOGLETRANSLATE(E50, ""it"", ""en"")"),"A player has 30 seconds to throw the ball.")</f>
        <v>A player has 30 seconds to throw the ball.</v>
      </c>
      <c r="L50" s="2"/>
      <c r="M50" s="2"/>
      <c r="N50" s="2"/>
      <c r="O50" s="2"/>
      <c r="P50" s="2"/>
      <c r="Q50" s="2"/>
      <c r="R50" s="2"/>
      <c r="S50" s="2"/>
      <c r="T50" s="2"/>
      <c r="U50" s="2"/>
      <c r="V50" s="2"/>
      <c r="W50" s="2"/>
    </row>
    <row r="51" ht="22.5" customHeight="1">
      <c r="A51" s="3">
        <v>50.0</v>
      </c>
      <c r="B51" s="3" t="s">
        <v>770</v>
      </c>
      <c r="C51" s="3" t="s">
        <v>771</v>
      </c>
      <c r="D51" s="3" t="s">
        <v>772</v>
      </c>
      <c r="E51" s="3" t="s">
        <v>773</v>
      </c>
      <c r="F51" s="2"/>
      <c r="G51" s="3" t="str">
        <f>IFERROR(__xludf.DUMMYFUNCTION("GOOGLETRANSLATE(A51, ""it"", ""en"")"),"50")</f>
        <v>50</v>
      </c>
      <c r="H51" s="3" t="str">
        <f>IFERROR(__xludf.DUMMYFUNCTION("GOOGLETRANSLATE(B51, ""it"", ""en"")"),"What action is prohibited during the game?")</f>
        <v>What action is prohibited during the game?</v>
      </c>
      <c r="I51" s="3" t="str">
        <f>IFERROR(__xludf.DUMMYFUNCTION("GOOGLETRANSLATE(C51, ""it"", ""en"")"),"A. Talking with teammates B. Watching the opponent's balls C. Walking on the court during a turn D. Throwing the ball over the baseline")</f>
        <v>A. Talking with teammates B. Watching the opponent's balls C. Walking on the court during a turn D. Throwing the ball over the baseline</v>
      </c>
      <c r="J51" s="3" t="str">
        <f>IFERROR(__xludf.DUMMYFUNCTION("GOOGLETRANSLATE(D51, ""it"", ""en"")"),"Walking on the field during a shift")</f>
        <v>Walking on the field during a shift</v>
      </c>
      <c r="K51" s="3" t="str">
        <f>IFERROR(__xludf.DUMMYFUNCTION("GOOGLETRANSLATE(E51, ""it"", ""en"")"),"Walking on the field while a shift is in progress is prohibited.")</f>
        <v>Walking on the field while a shift is in progress is prohibited.</v>
      </c>
      <c r="L51" s="2"/>
      <c r="M51" s="2"/>
      <c r="N51" s="2"/>
      <c r="O51" s="2"/>
      <c r="P51" s="2"/>
      <c r="Q51" s="2"/>
      <c r="R51" s="2"/>
      <c r="S51" s="2"/>
      <c r="T51" s="2"/>
      <c r="U51" s="2"/>
      <c r="V51" s="2"/>
      <c r="W51" s="2"/>
    </row>
    <row r="52" ht="22.5" customHeight="1">
      <c r="A52" s="3">
        <v>51.0</v>
      </c>
      <c r="B52" s="3" t="s">
        <v>774</v>
      </c>
      <c r="C52" s="3" t="s">
        <v>775</v>
      </c>
      <c r="D52" s="3" t="s">
        <v>776</v>
      </c>
      <c r="E52" s="3" t="s">
        <v>777</v>
      </c>
      <c r="F52" s="2"/>
      <c r="G52" s="3" t="str">
        <f>IFERROR(__xludf.DUMMYFUNCTION("GOOGLETRANSLATE(A52, ""it"", ""en"")"),"51")</f>
        <v>51</v>
      </c>
      <c r="H52" s="3" t="str">
        <f>IFERROR(__xludf.DUMMYFUNCTION("GOOGLETRANSLATE(B52, ""it"", ""en"")"),"What is the strategy of blocking the ball called?")</f>
        <v>What is the strategy of blocking the ball called?</v>
      </c>
      <c r="I52" s="3" t="str">
        <f>IFERROR(__xludf.DUMMYFUNCTION("GOOGLETRANSLATE(C52, ""it"", ""en"")"),"A. Racket shot B. Volley shot C. Defensive shot D. Block shot")</f>
        <v>A. Racket shot B. Volley shot C. Defensive shot D. Block shot</v>
      </c>
      <c r="J52" s="3" t="str">
        <f>IFERROR(__xludf.DUMMYFUNCTION("GOOGLETRANSLATE(D52, ""it"", ""en"")"),"Defensive shot")</f>
        <v>Defensive shot</v>
      </c>
      <c r="K52" s="3" t="str">
        <f>IFERROR(__xludf.DUMMYFUNCTION("GOOGLETRANSLATE(E52, ""it"", ""en"")"),"A defensive shot is used to block access to the cue ball.")</f>
        <v>A defensive shot is used to block access to the cue ball.</v>
      </c>
      <c r="L52" s="2"/>
      <c r="M52" s="2"/>
      <c r="N52" s="2"/>
      <c r="O52" s="2"/>
      <c r="P52" s="2"/>
      <c r="Q52" s="2"/>
      <c r="R52" s="2"/>
      <c r="S52" s="2"/>
      <c r="T52" s="2"/>
      <c r="U52" s="2"/>
      <c r="V52" s="2"/>
      <c r="W52" s="2"/>
    </row>
    <row r="53" ht="22.5" customHeight="1">
      <c r="A53" s="3">
        <v>52.0</v>
      </c>
      <c r="B53" s="3" t="s">
        <v>778</v>
      </c>
      <c r="C53" s="3" t="s">
        <v>779</v>
      </c>
      <c r="D53" s="3" t="s">
        <v>730</v>
      </c>
      <c r="E53" s="3" t="s">
        <v>780</v>
      </c>
      <c r="F53" s="2"/>
      <c r="G53" s="3" t="str">
        <f>IFERROR(__xludf.DUMMYFUNCTION("GOOGLETRANSLATE(A53, ""it"", ""en"")"),"52")</f>
        <v>52</v>
      </c>
      <c r="H53" s="3" t="str">
        <f>IFERROR(__xludf.DUMMYFUNCTION("GOOGLETRANSLATE(B53, ""it"", ""en"")"),"What is the penalty for throwing over the baseline?")</f>
        <v>What is the penalty for throwing over the baseline?</v>
      </c>
      <c r="I53" s="3" t="str">
        <f>IFERROR(__xludf.DUMMYFUNCTION("GOOGLETRANSLATE(C53, ""it"", ""en"")"),"A. Loss of turn B. One point penalty C. Exclusion from the game D. No penalty")</f>
        <v>A. Loss of turn B. One point penalty C. Exclusion from the game D. No penalty</v>
      </c>
      <c r="J53" s="3" t="str">
        <f>IFERROR(__xludf.DUMMYFUNCTION("GOOGLETRANSLATE(D53, ""it"", ""en"")"),"Loss of turn")</f>
        <v>Loss of turn</v>
      </c>
      <c r="K53" s="3" t="str">
        <f>IFERROR(__xludf.DUMMYFUNCTION("GOOGLETRANSLATE(E53, ""it"", ""en"")"),"Throwing beyond the baseline results in a loss of turn.")</f>
        <v>Throwing beyond the baseline results in a loss of turn.</v>
      </c>
      <c r="L53" s="2"/>
      <c r="M53" s="2"/>
      <c r="N53" s="2"/>
      <c r="O53" s="2"/>
      <c r="P53" s="2"/>
      <c r="Q53" s="2"/>
      <c r="R53" s="2"/>
      <c r="S53" s="2"/>
      <c r="T53" s="2"/>
      <c r="U53" s="2"/>
      <c r="V53" s="2"/>
      <c r="W53" s="2"/>
    </row>
    <row r="54" ht="22.5" customHeight="1">
      <c r="A54" s="3">
        <v>53.0</v>
      </c>
      <c r="B54" s="3" t="s">
        <v>781</v>
      </c>
      <c r="C54" s="3" t="s">
        <v>782</v>
      </c>
      <c r="D54" s="3" t="s">
        <v>783</v>
      </c>
      <c r="E54" s="3" t="s">
        <v>784</v>
      </c>
      <c r="F54" s="2"/>
      <c r="G54" s="3" t="str">
        <f>IFERROR(__xludf.DUMMYFUNCTION("GOOGLETRANSLATE(A54, ""it"", ""en"")"),"53")</f>
        <v>53</v>
      </c>
      <c r="H54" s="3" t="str">
        <f>IFERROR(__xludf.DUMMYFUNCTION("GOOGLETRANSLATE(B54, ""it"", ""en"")"),"What does the term ""flight"" mean?")</f>
        <v>What does the term "flight" mean?</v>
      </c>
      <c r="I54" s="3" t="str">
        <f>IFERROR(__xludf.DUMMYFUNCTION("GOOGLETRANSLATE(C54, ""it"", ""en"")"),"A. A type of bowl B. A type of shot C. A phase of the game D. A throwing error")</f>
        <v>A. A type of bowl B. A type of shot C. A phase of the game D. A throwing error</v>
      </c>
      <c r="J54" s="3" t="str">
        <f>IFERROR(__xludf.DUMMYFUNCTION("GOOGLETRANSLATE(D54, ""it"", ""en"")"),"A type of shot")</f>
        <v>A type of shot</v>
      </c>
      <c r="K54" s="3" t="str">
        <f>IFERROR(__xludf.DUMMYFUNCTION("GOOGLETRANSLATE(E54, ""it"", ""en"")"),"Volo is a type of shot to hit bowls or pallino.")</f>
        <v>Volo is a type of shot to hit bowls or pallino.</v>
      </c>
      <c r="L54" s="2"/>
      <c r="M54" s="2"/>
      <c r="N54" s="2"/>
      <c r="O54" s="2"/>
      <c r="P54" s="2"/>
      <c r="Q54" s="2"/>
      <c r="R54" s="2"/>
      <c r="S54" s="2"/>
      <c r="T54" s="2"/>
      <c r="U54" s="2"/>
      <c r="V54" s="2"/>
      <c r="W54" s="2"/>
    </row>
    <row r="55" ht="22.5" customHeight="1">
      <c r="A55" s="3">
        <v>54.0</v>
      </c>
      <c r="B55" s="3" t="s">
        <v>785</v>
      </c>
      <c r="C55" s="3" t="s">
        <v>786</v>
      </c>
      <c r="D55" s="3" t="s">
        <v>787</v>
      </c>
      <c r="E55" s="3" t="s">
        <v>788</v>
      </c>
      <c r="F55" s="2"/>
      <c r="G55" s="3" t="str">
        <f>IFERROR(__xludf.DUMMYFUNCTION("GOOGLETRANSLATE(A55, ""it"", ""en"")"),"54")</f>
        <v>54</v>
      </c>
      <c r="H55" s="3" t="str">
        <f>IFERROR(__xludf.DUMMYFUNCTION("GOOGLETRANSLATE(B55, ""it"", ""en"")"),"How many players are in an individual match?")</f>
        <v>How many players are in an individual match?</v>
      </c>
      <c r="I55" s="3" t="str">
        <f>IFERROR(__xludf.DUMMYFUNCTION("GOOGLETRANSLATE(C55, ""it"", ""en"")"),"A. 1 per team B. 2 per team C. 4 per team D. 6 per team")</f>
        <v>A. 1 per team B. 2 per team C. 4 per team D. 6 per team</v>
      </c>
      <c r="J55" s="3" t="str">
        <f>IFERROR(__xludf.DUMMYFUNCTION("GOOGLETRANSLATE(D55, ""it"", ""en"")"),"1 per team")</f>
        <v>1 per team</v>
      </c>
      <c r="K55" s="3" t="str">
        <f>IFERROR(__xludf.DUMMYFUNCTION("GOOGLETRANSLATE(E55, ""it"", ""en"")"),"In individual matches")</f>
        <v>In individual matches</v>
      </c>
      <c r="L55" s="2"/>
      <c r="M55" s="2"/>
      <c r="N55" s="2"/>
      <c r="O55" s="2"/>
      <c r="P55" s="2"/>
      <c r="Q55" s="2"/>
      <c r="R55" s="2"/>
      <c r="S55" s="2"/>
      <c r="T55" s="2"/>
      <c r="U55" s="2"/>
      <c r="V55" s="2"/>
      <c r="W55" s="2"/>
    </row>
    <row r="56" ht="22.5" customHeight="1">
      <c r="A56" s="3">
        <v>55.0</v>
      </c>
      <c r="B56" s="3" t="s">
        <v>789</v>
      </c>
      <c r="C56" s="3" t="s">
        <v>790</v>
      </c>
      <c r="D56" s="3" t="s">
        <v>791</v>
      </c>
      <c r="E56" s="3" t="s">
        <v>792</v>
      </c>
      <c r="F56" s="2"/>
      <c r="G56" s="3" t="str">
        <f>IFERROR(__xludf.DUMMYFUNCTION("GOOGLETRANSLATE(A56, ""it"", ""en"")"),"55")</f>
        <v>55</v>
      </c>
      <c r="H56" s="3" t="str">
        <f>IFERROR(__xludf.DUMMYFUNCTION("GOOGLETRANSLATE(B56, ""it"", ""en"")"),"What is meant by ""tactical advantage""?")</f>
        <v>What is meant by "tactical advantage"?</v>
      </c>
      <c r="I56" s="3" t="str">
        <f>IFERROR(__xludf.DUMMYFUNCTION("GOOGLETRANSLATE(C56, ""it"", ""en"")"),"A. Place the ball near the jack B. Move the jack away from the opponent C. Disturb the opponent with words D. Earn extra points")</f>
        <v>A. Place the ball near the jack B. Move the jack away from the opponent C. Disturb the opponent with words D. Earn extra points</v>
      </c>
      <c r="J56" s="3" t="str">
        <f>IFERROR(__xludf.DUMMYFUNCTION("GOOGLETRANSLATE(D56, ""it"", ""en"")"),"Move the ball away from the opponent")</f>
        <v>Move the ball away from the opponent</v>
      </c>
      <c r="K56" s="3" t="str">
        <f>IFERROR(__xludf.DUMMYFUNCTION("GOOGLETRANSLATE(E56, ""it"", ""en"")"),"A tactical advantage can mean moving the ball away from your opponent.")</f>
        <v>A tactical advantage can mean moving the ball away from your opponent.</v>
      </c>
      <c r="L56" s="2"/>
      <c r="M56" s="2"/>
      <c r="N56" s="2"/>
      <c r="O56" s="2"/>
      <c r="P56" s="2"/>
      <c r="Q56" s="2"/>
      <c r="R56" s="2"/>
      <c r="S56" s="2"/>
      <c r="T56" s="2"/>
      <c r="U56" s="2"/>
      <c r="V56" s="2"/>
      <c r="W56" s="2"/>
    </row>
    <row r="57" ht="22.5" customHeight="1">
      <c r="A57" s="3">
        <v>56.0</v>
      </c>
      <c r="B57" s="3" t="s">
        <v>793</v>
      </c>
      <c r="C57" s="3" t="s">
        <v>794</v>
      </c>
      <c r="D57" s="3" t="s">
        <v>795</v>
      </c>
      <c r="E57" s="3" t="s">
        <v>796</v>
      </c>
      <c r="F57" s="2"/>
      <c r="G57" s="3" t="str">
        <f>IFERROR(__xludf.DUMMYFUNCTION("GOOGLETRANSLATE(A57, ""it"", ""en"")"),"56")</f>
        <v>56</v>
      </c>
      <c r="H57" s="3" t="str">
        <f>IFERROR(__xludf.DUMMYFUNCTION("GOOGLETRANSLATE(B57, ""it"", ""en"")"),"What should the referee do in case of disputes?")</f>
        <v>What should the referee do in case of disputes?</v>
      </c>
      <c r="I57" s="3" t="str">
        <f>IFERROR(__xludf.DUMMYFUNCTION("GOOGLETRANSLATE(C57, ""it"", ""en"")"),"A. Award points randomly B. Award points to the opposing team C. Take a measurement D. Cancel the turn")</f>
        <v>A. Award points randomly B. Award points to the opposing team C. Take a measurement D. Cancel the turn</v>
      </c>
      <c r="J57" s="3" t="str">
        <f>IFERROR(__xludf.DUMMYFUNCTION("GOOGLETRANSLATE(D57, ""it"", ""en"")"),"Take a measurement")</f>
        <v>Take a measurement</v>
      </c>
      <c r="K57" s="3" t="str">
        <f>IFERROR(__xludf.DUMMYFUNCTION("GOOGLETRANSLATE(E57, ""it"", ""en"")"),"The referee must measure distances in case of disputes.")</f>
        <v>The referee must measure distances in case of disputes.</v>
      </c>
      <c r="L57" s="2"/>
      <c r="M57" s="2"/>
      <c r="N57" s="2"/>
      <c r="O57" s="2"/>
      <c r="P57" s="2"/>
      <c r="Q57" s="2"/>
      <c r="R57" s="2"/>
      <c r="S57" s="2"/>
      <c r="T57" s="2"/>
      <c r="U57" s="2"/>
      <c r="V57" s="2"/>
      <c r="W57" s="2"/>
    </row>
    <row r="58" ht="22.5" customHeight="1">
      <c r="A58" s="3">
        <v>57.0</v>
      </c>
      <c r="B58" s="3" t="s">
        <v>797</v>
      </c>
      <c r="C58" s="3" t="s">
        <v>798</v>
      </c>
      <c r="D58" s="3" t="s">
        <v>799</v>
      </c>
      <c r="E58" s="3" t="s">
        <v>800</v>
      </c>
      <c r="F58" s="2"/>
      <c r="G58" s="3" t="str">
        <f>IFERROR(__xludf.DUMMYFUNCTION("GOOGLETRANSLATE(A58, ""it"", ""en"")"),"57")</f>
        <v>57</v>
      </c>
      <c r="H58" s="3" t="str">
        <f>IFERROR(__xludf.DUMMYFUNCTION("GOOGLETRANSLATE(B58, ""it"", ""en"")"),"What is the role of the team captain?")</f>
        <v>What is the role of the team captain?</v>
      </c>
      <c r="I58" s="3" t="str">
        <f>IFERROR(__xludf.DUMMYFUNCTION("GOOGLETRANSLATE(C58, ""it"", ""en"")"),"A. Throw the jack B. Check the score C. Organize the turns and discuss with the referee D. Play for the whole team")</f>
        <v>A. Throw the jack B. Check the score C. Organize the turns and discuss with the referee D. Play for the whole team</v>
      </c>
      <c r="J58" s="3" t="str">
        <f>IFERROR(__xludf.DUMMYFUNCTION("GOOGLETRANSLATE(D58, ""it"", ""en"")"),"Organize shifts and discuss with the referee")</f>
        <v>Organize shifts and discuss with the referee</v>
      </c>
      <c r="K58" s="3" t="str">
        <f>IFERROR(__xludf.DUMMYFUNCTION("GOOGLETRANSLATE(E58, ""it"", ""en"")"),"The captain organizes the shifts and represents the team in decision-making.")</f>
        <v>The captain organizes the shifts and represents the team in decision-making.</v>
      </c>
      <c r="L58" s="2"/>
      <c r="M58" s="2"/>
      <c r="N58" s="2"/>
      <c r="O58" s="2"/>
      <c r="P58" s="2"/>
      <c r="Q58" s="2"/>
      <c r="R58" s="2"/>
      <c r="S58" s="2"/>
      <c r="T58" s="2"/>
      <c r="U58" s="2"/>
      <c r="V58" s="2"/>
      <c r="W58" s="2"/>
    </row>
    <row r="59" ht="22.5" customHeight="1">
      <c r="A59" s="3">
        <v>58.0</v>
      </c>
      <c r="B59" s="3" t="s">
        <v>801</v>
      </c>
      <c r="C59" s="3" t="s">
        <v>802</v>
      </c>
      <c r="D59" s="3" t="s">
        <v>803</v>
      </c>
      <c r="E59" s="3" t="s">
        <v>804</v>
      </c>
      <c r="F59" s="2"/>
      <c r="G59" s="3" t="str">
        <f>IFERROR(__xludf.DUMMYFUNCTION("GOOGLETRANSLATE(A59, ""it"", ""en"")"),"58")</f>
        <v>58</v>
      </c>
      <c r="H59" s="3" t="str">
        <f>IFERROR(__xludf.DUMMYFUNCTION("GOOGLETRANSLATE(B59, ""it"", ""en"")"),"What is the main rule for declaring a ball valid?")</f>
        <v>What is the main rule for declaring a ball valid?</v>
      </c>
      <c r="I59" s="3" t="str">
        <f>IFERROR(__xludf.DUMMYFUNCTION("GOOGLETRANSLATE(C59, ""it"", ""en"")"),"A. It must touch the jack B. It must remain within the field C. It must go past all the other balls D. It must be of a different colour")</f>
        <v>A. It must touch the jack B. It must remain within the field C. It must go past all the other balls D. It must be of a different colour</v>
      </c>
      <c r="J59" s="3" t="str">
        <f>IFERROR(__xludf.DUMMYFUNCTION("GOOGLETRANSLATE(D59, ""it"", ""en"")"),"Must stay inside the field")</f>
        <v>Must stay inside the field</v>
      </c>
      <c r="K59" s="3" t="str">
        <f>IFERROR(__xludf.DUMMYFUNCTION("GOOGLETRANSLATE(E59, ""it"", ""en"")"),"A ball is valid if it remains within the field.")</f>
        <v>A ball is valid if it remains within the field.</v>
      </c>
      <c r="L59" s="2"/>
      <c r="M59" s="2"/>
      <c r="N59" s="2"/>
      <c r="O59" s="2"/>
      <c r="P59" s="2"/>
      <c r="Q59" s="2"/>
      <c r="R59" s="2"/>
      <c r="S59" s="2"/>
      <c r="T59" s="2"/>
      <c r="U59" s="2"/>
      <c r="V59" s="2"/>
      <c r="W59" s="2"/>
    </row>
    <row r="60" ht="22.5" customHeight="1">
      <c r="A60" s="3">
        <v>59.0</v>
      </c>
      <c r="B60" s="3" t="s">
        <v>805</v>
      </c>
      <c r="C60" s="3" t="s">
        <v>806</v>
      </c>
      <c r="D60" s="3" t="s">
        <v>807</v>
      </c>
      <c r="E60" s="3" t="s">
        <v>808</v>
      </c>
      <c r="F60" s="2"/>
      <c r="G60" s="3" t="str">
        <f>IFERROR(__xludf.DUMMYFUNCTION("GOOGLETRANSLATE(A60, ""it"", ""en"")"),"59")</f>
        <v>59</v>
      </c>
      <c r="H60" s="3" t="str">
        <f>IFERROR(__xludf.DUMMYFUNCTION("GOOGLETRANSLATE(B60, ""it"", ""en"")"),"What does ""end of shift"" mean?")</f>
        <v>What does "end of shift" mean?</v>
      </c>
      <c r="I60" s="3" t="str">
        <f>IFERROR(__xludf.DUMMYFUNCTION("GOOGLETRANSLATE(C60, ""it"", ""en"")"),"A. When all the balls are thrown B. When the jack is hit C. When a player decides D. When the referee announces the end")</f>
        <v>A. When all the balls are thrown B. When the jack is hit C. When a player decides D. When the referee announces the end</v>
      </c>
      <c r="J60" s="3" t="str">
        <f>IFERROR(__xludf.DUMMYFUNCTION("GOOGLETRANSLATE(D60, ""it"", ""en"")"),"When all the balls are thrown")</f>
        <v>When all the balls are thrown</v>
      </c>
      <c r="K60" s="3" t="str">
        <f>IFERROR(__xludf.DUMMYFUNCTION("GOOGLETRANSLATE(E60, ""it"", ""en"")"),"A round ends when all the balls have been thrown.")</f>
        <v>A round ends when all the balls have been thrown.</v>
      </c>
      <c r="L60" s="2"/>
      <c r="M60" s="2"/>
      <c r="N60" s="2"/>
      <c r="O60" s="2"/>
      <c r="P60" s="2"/>
      <c r="Q60" s="2"/>
      <c r="R60" s="2"/>
      <c r="S60" s="2"/>
      <c r="T60" s="2"/>
      <c r="U60" s="2"/>
      <c r="V60" s="2"/>
      <c r="W60" s="2"/>
    </row>
    <row r="61" ht="22.5" customHeight="1">
      <c r="A61" s="3">
        <v>60.0</v>
      </c>
      <c r="B61" s="3" t="s">
        <v>809</v>
      </c>
      <c r="C61" s="3" t="s">
        <v>810</v>
      </c>
      <c r="D61" s="3" t="s">
        <v>811</v>
      </c>
      <c r="E61" s="3" t="s">
        <v>812</v>
      </c>
      <c r="F61" s="2"/>
      <c r="G61" s="3" t="str">
        <f>IFERROR(__xludf.DUMMYFUNCTION("GOOGLETRANSLATE(A61, ""it"", ""en"")"),"60")</f>
        <v>60</v>
      </c>
      <c r="H61" s="3" t="str">
        <f>IFERROR(__xludf.DUMMYFUNCTION("GOOGLETRANSLATE(B61, ""it"", ""en"")"),"What happens if a team runs out of bowls to throw?")</f>
        <v>What happens if a team runs out of bowls to throw?</v>
      </c>
      <c r="I61" s="3" t="str">
        <f>IFERROR(__xludf.DUMMYFUNCTION("GOOGLETRANSLATE(C61, ""it"", ""en"")"),"A. The round ends B. The other team throws all the remaining balls C. The game ends D. The score is assigned randomly")</f>
        <v>A. The round ends B. The other team throws all the remaining balls C. The game ends D. The score is assigned randomly</v>
      </c>
      <c r="J61" s="3" t="str">
        <f>IFERROR(__xludf.DUMMYFUNCTION("GOOGLETRANSLATE(D61, ""it"", ""en"")"),"The other team throws all the remaining balls")</f>
        <v>The other team throws all the remaining balls</v>
      </c>
      <c r="K61" s="3" t="str">
        <f>IFERROR(__xludf.DUMMYFUNCTION("GOOGLETRANSLATE(E61, ""it"", ""en"")"),"The other team completes their throws before ending their turn.")</f>
        <v>The other team completes their throws before ending their turn.</v>
      </c>
      <c r="L61" s="2"/>
      <c r="M61" s="2"/>
      <c r="N61" s="2"/>
      <c r="O61" s="2"/>
      <c r="P61" s="2"/>
      <c r="Q61" s="2"/>
      <c r="R61" s="2"/>
      <c r="S61" s="2"/>
      <c r="T61" s="2"/>
      <c r="U61" s="2"/>
      <c r="V61" s="2"/>
      <c r="W61" s="2"/>
    </row>
    <row r="62" ht="22.5" customHeight="1">
      <c r="A62" s="3">
        <v>61.0</v>
      </c>
      <c r="B62" s="3" t="s">
        <v>813</v>
      </c>
      <c r="C62" s="3" t="s">
        <v>814</v>
      </c>
      <c r="D62" s="3" t="s">
        <v>815</v>
      </c>
      <c r="E62" s="3" t="s">
        <v>816</v>
      </c>
      <c r="F62" s="2"/>
      <c r="G62" s="3" t="str">
        <f>IFERROR(__xludf.DUMMYFUNCTION("GOOGLETRANSLATE(A62, ""it"", ""en"")"),"61")</f>
        <v>61</v>
      </c>
      <c r="H62" s="3" t="str">
        <f>IFERROR(__xludf.DUMMYFUNCTION("GOOGLETRANSLATE(B62, ""it"", ""en"")"),"What is the maximum number of points a team can score in a round?")</f>
        <v>What is the maximum number of points a team can score in a round?</v>
      </c>
      <c r="I62" s="3" t="str">
        <f>IFERROR(__xludf.DUMMYFUNCTION("GOOGLETRANSLATE(C62, ""it"", ""en"")"),"A. 4 points B. 6 points C. 8 points D. 10 points")</f>
        <v>A. 4 points B. 6 points C. 8 points D. 10 points</v>
      </c>
      <c r="J62" s="3" t="str">
        <f>IFERROR(__xludf.DUMMYFUNCTION("GOOGLETRANSLATE(D62, ""it"", ""en"")"),"8 points")</f>
        <v>8 points</v>
      </c>
      <c r="K62" s="3" t="str">
        <f>IFERROR(__xludf.DUMMYFUNCTION("GOOGLETRANSLATE(E62, ""it"", ""en"")"),"A team can score up to 8 points in a round if all of its balls are closer to the jack than its opponents' balls.")</f>
        <v>A team can score up to 8 points in a round if all of its balls are closer to the jack than its opponents' balls.</v>
      </c>
      <c r="L62" s="2"/>
      <c r="M62" s="2"/>
      <c r="N62" s="2"/>
      <c r="O62" s="2"/>
      <c r="P62" s="2"/>
      <c r="Q62" s="2"/>
      <c r="R62" s="2"/>
      <c r="S62" s="2"/>
      <c r="T62" s="2"/>
      <c r="U62" s="2"/>
      <c r="V62" s="2"/>
      <c r="W62" s="2"/>
    </row>
    <row r="63" ht="22.5" customHeight="1">
      <c r="A63" s="3">
        <v>62.0</v>
      </c>
      <c r="B63" s="3" t="s">
        <v>817</v>
      </c>
      <c r="C63" s="3" t="s">
        <v>818</v>
      </c>
      <c r="D63" s="3" t="s">
        <v>819</v>
      </c>
      <c r="E63" s="3" t="s">
        <v>820</v>
      </c>
      <c r="F63" s="2"/>
      <c r="G63" s="3" t="str">
        <f>IFERROR(__xludf.DUMMYFUNCTION("GOOGLETRANSLATE(A63, ""it"", ""en"")"),"62")</f>
        <v>62</v>
      </c>
      <c r="H63" s="3" t="str">
        <f>IFERROR(__xludf.DUMMYFUNCTION("GOOGLETRANSLATE(B63, ""it"", ""en"")"),"What is the objective of the raffle?")</f>
        <v>What is the objective of the raffle?</v>
      </c>
      <c r="I63" s="3" t="str">
        <f>IFERROR(__xludf.DUMMYFUNCTION("GOOGLETRANSLATE(C63, ""it"", ""en"")"),"A. Hitting the jack directly B. Hitting an opponent's ball to change position C. Hitting your own ball to bring it closer D. Making a ball go out of play")</f>
        <v>A. Hitting the jack directly B. Hitting an opponent's ball to change position C. Hitting your own ball to bring it closer D. Making a ball go out of play</v>
      </c>
      <c r="J63" s="3" t="str">
        <f>IFERROR(__xludf.DUMMYFUNCTION("GOOGLETRANSLATE(D63, ""it"", ""en"")"),"Hitting an opponent's ball to change position")</f>
        <v>Hitting an opponent's ball to change position</v>
      </c>
      <c r="K63" s="3" t="str">
        <f>IFERROR(__xludf.DUMMYFUNCTION("GOOGLETRANSLATE(E63, ""it"", ""en"")"),"The aim of the raffa shot is to change the arrangement of the balls on the field.")</f>
        <v>The aim of the raffa shot is to change the arrangement of the balls on the field.</v>
      </c>
      <c r="L63" s="2"/>
      <c r="M63" s="2"/>
      <c r="N63" s="2"/>
      <c r="O63" s="2"/>
      <c r="P63" s="2"/>
      <c r="Q63" s="2"/>
      <c r="R63" s="2"/>
      <c r="S63" s="2"/>
      <c r="T63" s="2"/>
      <c r="U63" s="2"/>
      <c r="V63" s="2"/>
      <c r="W63" s="2"/>
    </row>
    <row r="64" ht="22.5" customHeight="1">
      <c r="A64" s="3">
        <v>63.0</v>
      </c>
      <c r="B64" s="3" t="s">
        <v>821</v>
      </c>
      <c r="C64" s="3" t="s">
        <v>822</v>
      </c>
      <c r="D64" s="3" t="s">
        <v>632</v>
      </c>
      <c r="E64" s="3" t="s">
        <v>823</v>
      </c>
      <c r="F64" s="2"/>
      <c r="G64" s="3" t="str">
        <f>IFERROR(__xludf.DUMMYFUNCTION("GOOGLETRANSLATE(A64, ""it"", ""en"")"),"63")</f>
        <v>63</v>
      </c>
      <c r="H64" s="3" t="str">
        <f>IFERROR(__xludf.DUMMYFUNCTION("GOOGLETRANSLATE(B64, ""it"", ""en"")"),"What happens if a ball lands on the jack?")</f>
        <v>What happens if a ball lands on the jack?</v>
      </c>
      <c r="I64" s="3" t="str">
        <f>IFERROR(__xludf.DUMMYFUNCTION("GOOGLETRANSLATE(C64, ""it"", ""en"")"),"A. The turn is repeated B. The jack is moved C. The ball is removed D. The game continues")</f>
        <v>A. The turn is repeated B. The jack is moved C. The ball is removed D. The game continues</v>
      </c>
      <c r="J64" s="3" t="str">
        <f>IFERROR(__xludf.DUMMYFUNCTION("GOOGLETRANSLATE(D64, ""it"", ""en"")"),"The game continues")</f>
        <v>The game continues</v>
      </c>
      <c r="K64" s="3" t="str">
        <f>IFERROR(__xludf.DUMMYFUNCTION("GOOGLETRANSLATE(E64, ""it"", ""en"")"),"The game continues normally")</f>
        <v>The game continues normally</v>
      </c>
      <c r="L64" s="2"/>
      <c r="M64" s="2"/>
      <c r="N64" s="2"/>
      <c r="O64" s="2"/>
      <c r="P64" s="2"/>
      <c r="Q64" s="2"/>
      <c r="R64" s="2"/>
      <c r="S64" s="2"/>
      <c r="T64" s="2"/>
      <c r="U64" s="2"/>
      <c r="V64" s="2"/>
      <c r="W64" s="2"/>
    </row>
    <row r="65" ht="22.5" customHeight="1">
      <c r="A65" s="3">
        <v>64.0</v>
      </c>
      <c r="B65" s="3" t="s">
        <v>824</v>
      </c>
      <c r="C65" s="3" t="s">
        <v>825</v>
      </c>
      <c r="D65" s="3" t="s">
        <v>826</v>
      </c>
      <c r="E65" s="3"/>
      <c r="F65" s="2"/>
      <c r="G65" s="3" t="str">
        <f>IFERROR(__xludf.DUMMYFUNCTION("GOOGLETRANSLATE(A65, ""it"", ""en"")"),"64")</f>
        <v>64</v>
      </c>
      <c r="H65" s="3" t="str">
        <f>IFERROR(__xludf.DUMMYFUNCTION("GOOGLETRANSLATE(B65, ""it"", ""en"")"),"What action is considered unfair in the game of Bocce?")</f>
        <v>What action is considered unfair in the game of Bocce?</v>
      </c>
      <c r="I65" s="3" t="str">
        <f>IFERROR(__xludf.DUMMYFUNCTION("GOOGLETRANSLATE(C65, ""it"", ""en"")"),"A. Talking during the opponent's turn B. Moving around the court C. Disputing the score without reason D. Talking during the opponent's turn")</f>
        <v>A. Talking during the opponent's turn B. Moving around the court C. Disputing the score without reason D. Talking during the opponent's turn</v>
      </c>
      <c r="J65" s="3" t="str">
        <f>IFERROR(__xludf.DUMMYFUNCTION("GOOGLETRANSLATE(D65, ""it"", ""en"")"),"Talking during your opponent's turn is considered bad form.")</f>
        <v>Talking during your opponent's turn is considered bad form.</v>
      </c>
      <c r="K65" s="3" t="str">
        <f>IFERROR(__xludf.DUMMYFUNCTION("GOOGLETRANSLATE(E65, ""it"", ""en"")"),"#VALUE!")</f>
        <v>#VALUE!</v>
      </c>
      <c r="L65" s="2"/>
      <c r="M65" s="2"/>
      <c r="N65" s="2"/>
      <c r="O65" s="2"/>
      <c r="P65" s="2"/>
      <c r="Q65" s="2"/>
      <c r="R65" s="2"/>
      <c r="S65" s="2"/>
      <c r="T65" s="2"/>
      <c r="U65" s="2"/>
      <c r="V65" s="2"/>
      <c r="W65" s="2"/>
    </row>
    <row r="66" ht="22.5" customHeight="1">
      <c r="A66" s="3">
        <v>65.0</v>
      </c>
      <c r="B66" s="3" t="s">
        <v>827</v>
      </c>
      <c r="C66" s="3" t="s">
        <v>828</v>
      </c>
      <c r="D66" s="3" t="s">
        <v>829</v>
      </c>
      <c r="E66" s="3" t="s">
        <v>830</v>
      </c>
      <c r="F66" s="2"/>
      <c r="G66" s="3" t="str">
        <f>IFERROR(__xludf.DUMMYFUNCTION("GOOGLETRANSLATE(A66, ""it"", ""en"")"),"65")</f>
        <v>65</v>
      </c>
      <c r="H66" s="3" t="str">
        <f>IFERROR(__xludf.DUMMYFUNCTION("GOOGLETRANSLATE(B66, ""it"", ""en"")"),"How is the pitching order decided after the initial draw?")</f>
        <v>How is the pitching order decided after the initial draw?</v>
      </c>
      <c r="I66" s="3" t="str">
        <f>IFERROR(__xludf.DUMMYFUNCTION("GOOGLETRANSLATE(C66, ""it"", ""en"")"),"A. The loser of the toss throws first B. The winner of the toss throws first C. Decided by the umpire D. Random rotation")</f>
        <v>A. The loser of the toss throws first B. The winner of the toss throws first C. Decided by the umpire D. Random rotation</v>
      </c>
      <c r="J66" s="3" t="str">
        <f>IFERROR(__xludf.DUMMYFUNCTION("GOOGLETRANSLATE(D66, ""it"", ""en"")"),"Whoever wins the toss throws first")</f>
        <v>Whoever wins the toss throws first</v>
      </c>
      <c r="K66" s="3" t="str">
        <f>IFERROR(__xludf.DUMMYFUNCTION("GOOGLETRANSLATE(E66, ""it"", ""en"")"),"The winner of the toss decides who throws first.")</f>
        <v>The winner of the toss decides who throws first.</v>
      </c>
      <c r="L66" s="2"/>
      <c r="M66" s="2"/>
      <c r="N66" s="2"/>
      <c r="O66" s="2"/>
      <c r="P66" s="2"/>
      <c r="Q66" s="2"/>
      <c r="R66" s="2"/>
      <c r="S66" s="2"/>
      <c r="T66" s="2"/>
      <c r="U66" s="2"/>
      <c r="V66" s="2"/>
      <c r="W66" s="2"/>
    </row>
    <row r="67" ht="22.5" customHeight="1">
      <c r="A67" s="3">
        <v>66.0</v>
      </c>
      <c r="B67" s="3" t="s">
        <v>831</v>
      </c>
      <c r="C67" s="3" t="s">
        <v>832</v>
      </c>
      <c r="D67" s="3" t="s">
        <v>833</v>
      </c>
      <c r="E67" s="3" t="s">
        <v>834</v>
      </c>
      <c r="F67" s="2"/>
      <c r="G67" s="3" t="str">
        <f>IFERROR(__xludf.DUMMYFUNCTION("GOOGLETRANSLATE(A67, ""it"", ""en"")"),"66")</f>
        <v>66</v>
      </c>
      <c r="H67" s="3" t="str">
        <f>IFERROR(__xludf.DUMMYFUNCTION("GOOGLETRANSLATE(B67, ""it"", ""en"")"),"What is the term used to indicate the ball that deflects the jack?")</f>
        <v>What is the term used to indicate the ball that deflects the jack?</v>
      </c>
      <c r="I67" s="3" t="str">
        <f>IFERROR(__xludf.DUMMYFUNCTION("GOOGLETRANSLATE(C67, ""it"", ""en"")"),"A. Strategic ball B. Raffa ball C. Flying ball D. Displacement ball")</f>
        <v>A. Strategic ball B. Raffa ball C. Flying ball D. Displacement ball</v>
      </c>
      <c r="J67" s="3" t="str">
        <f>IFERROR(__xludf.DUMMYFUNCTION("GOOGLETRANSLATE(D67, ""it"", ""en"")"),"Raffa bowl")</f>
        <v>Raffa bowl</v>
      </c>
      <c r="K67" s="3" t="str">
        <f>IFERROR(__xludf.DUMMYFUNCTION("GOOGLETRANSLATE(E67, ""it"", ""en"")"),"The boccia that deflects the jack with a strategic shot is called boccia di raffa.")</f>
        <v>The boccia that deflects the jack with a strategic shot is called boccia di raffa.</v>
      </c>
      <c r="L67" s="2"/>
      <c r="M67" s="2"/>
      <c r="N67" s="2"/>
      <c r="O67" s="2"/>
      <c r="P67" s="2"/>
      <c r="Q67" s="2"/>
      <c r="R67" s="2"/>
      <c r="S67" s="2"/>
      <c r="T67" s="2"/>
      <c r="U67" s="2"/>
      <c r="V67" s="2"/>
      <c r="W67" s="2"/>
    </row>
    <row r="68" ht="22.5" customHeight="1">
      <c r="A68" s="3">
        <v>67.0</v>
      </c>
      <c r="B68" s="3" t="s">
        <v>835</v>
      </c>
      <c r="C68" s="3" t="s">
        <v>836</v>
      </c>
      <c r="D68" s="3" t="s">
        <v>837</v>
      </c>
      <c r="E68" s="3" t="s">
        <v>838</v>
      </c>
      <c r="F68" s="2"/>
      <c r="G68" s="3" t="str">
        <f>IFERROR(__xludf.DUMMYFUNCTION("GOOGLETRANSLATE(A68, ""it"", ""en"")"),"67")</f>
        <v>67</v>
      </c>
      <c r="H68" s="3" t="str">
        <f>IFERROR(__xludf.DUMMYFUNCTION("GOOGLETRANSLATE(B68, ""it"", ""en"")"),"What happens if the jack is placed near an opponent's ball?")</f>
        <v>What happens if the jack is placed near an opponent's ball?</v>
      </c>
      <c r="I68" s="3" t="str">
        <f>IFERROR(__xludf.DUMMYFUNCTION("GOOGLETRANSLATE(C68, ""it"", ""en"")"),"A. The game continues normally B. The jack is moved C. The turn is cancelled D. The opponent's ball is removed")</f>
        <v>A. The game continues normally B. The jack is moved C. The turn is cancelled D. The opponent's ball is removed</v>
      </c>
      <c r="J68" s="3" t="str">
        <f>IFERROR(__xludf.DUMMYFUNCTION("GOOGLETRANSLATE(D68, ""it"", ""en"")"),"The game continues normally")</f>
        <v>The game continues normally</v>
      </c>
      <c r="K68" s="3" t="str">
        <f>IFERROR(__xludf.DUMMYFUNCTION("GOOGLETRANSLATE(E68, ""it"", ""en"")"),"The jack may be near any ball without penalty.")</f>
        <v>The jack may be near any ball without penalty.</v>
      </c>
      <c r="L68" s="2"/>
      <c r="M68" s="2"/>
      <c r="N68" s="2"/>
      <c r="O68" s="2"/>
      <c r="P68" s="2"/>
      <c r="Q68" s="2"/>
      <c r="R68" s="2"/>
      <c r="S68" s="2"/>
      <c r="T68" s="2"/>
      <c r="U68" s="2"/>
      <c r="V68" s="2"/>
      <c r="W68" s="2"/>
    </row>
    <row r="69" ht="22.5" customHeight="1">
      <c r="A69" s="3">
        <v>68.0</v>
      </c>
      <c r="B69" s="3" t="s">
        <v>839</v>
      </c>
      <c r="C69" s="3" t="s">
        <v>840</v>
      </c>
      <c r="D69" s="3" t="s">
        <v>841</v>
      </c>
      <c r="E69" s="3" t="s">
        <v>842</v>
      </c>
      <c r="F69" s="2"/>
      <c r="G69" s="3" t="str">
        <f>IFERROR(__xludf.DUMMYFUNCTION("GOOGLETRANSLATE(A69, ""it"", ""en"")"),"68")</f>
        <v>68</v>
      </c>
      <c r="H69" s="3" t="str">
        <f>IFERROR(__xludf.DUMMYFUNCTION("GOOGLETRANSLATE(B69, ""it"", ""en"")"),"How is the score calculated in a round?")</f>
        <v>How is the score calculated in a round?</v>
      </c>
      <c r="I69" s="3" t="str">
        <f>IFERROR(__xludf.DUMMYFUNCTION("GOOGLETRANSLATE(C69, ""it"", ""en"")"),"A. Sum of the number of bowls thrown B. Sum of the bowls closest to the jack compared to the opponent's bowls C. Total distance of the bowls from the jack D. Points decided by the referee")</f>
        <v>A. Sum of the number of bowls thrown B. Sum of the bowls closest to the jack compared to the opponent's bowls C. Total distance of the bowls from the jack D. Points decided by the referee</v>
      </c>
      <c r="J69" s="3" t="str">
        <f>IFERROR(__xludf.DUMMYFUNCTION("GOOGLETRANSLATE(D69, ""it"", ""en"")"),"Sum of the balls closest to the jack compared to the opposing balls")</f>
        <v>Sum of the balls closest to the jack compared to the opposing balls</v>
      </c>
      <c r="K69" s="3" t="str">
        <f>IFERROR(__xludf.DUMMYFUNCTION("GOOGLETRANSLATE(E69, ""it"", ""en"")"),"Scoring is based on the balls closest to the jack compared to the opponents.")</f>
        <v>Scoring is based on the balls closest to the jack compared to the opponents.</v>
      </c>
      <c r="L69" s="2"/>
      <c r="M69" s="2"/>
      <c r="N69" s="2"/>
      <c r="O69" s="2"/>
      <c r="P69" s="2"/>
      <c r="Q69" s="2"/>
      <c r="R69" s="2"/>
      <c r="S69" s="2"/>
      <c r="T69" s="2"/>
      <c r="U69" s="2"/>
      <c r="V69" s="2"/>
      <c r="W69" s="2"/>
    </row>
    <row r="70" ht="22.5" customHeight="1">
      <c r="A70" s="3">
        <v>69.0</v>
      </c>
      <c r="B70" s="3" t="s">
        <v>843</v>
      </c>
      <c r="C70" s="3" t="s">
        <v>844</v>
      </c>
      <c r="D70" s="3" t="s">
        <v>845</v>
      </c>
      <c r="E70" s="3" t="s">
        <v>846</v>
      </c>
      <c r="F70" s="2"/>
      <c r="G70" s="3" t="str">
        <f>IFERROR(__xludf.DUMMYFUNCTION("GOOGLETRANSLATE(A70, ""it"", ""en"")"),"69")</f>
        <v>69</v>
      </c>
      <c r="H70" s="3" t="str">
        <f>IFERROR(__xludf.DUMMYFUNCTION("GOOGLETRANSLATE(B70, ""it"", ""en"")"),"What does “playing defense” mean in Bocce?")</f>
        <v>What does “playing defense” mean in Bocce?</v>
      </c>
      <c r="I70" s="3" t="str">
        <f>IFERROR(__xludf.DUMMYFUNCTION("GOOGLETRANSLATE(C70, ""it"", ""en"")"),"A. Throwing balls far from the jack B. Throwing balls to block the opponent's balls C. Throwing balls near the edges of the court D. Not throwing the ball")</f>
        <v>A. Throwing balls far from the jack B. Throwing balls to block the opponent's balls C. Throwing balls near the edges of the court D. Not throwing the ball</v>
      </c>
      <c r="J70" s="3" t="str">
        <f>IFERROR(__xludf.DUMMYFUNCTION("GOOGLETRANSLATE(D70, ""it"", ""en"")"),"Throwing balls to block the opponent's balls")</f>
        <v>Throwing balls to block the opponent's balls</v>
      </c>
      <c r="K70" s="3" t="str">
        <f>IFERROR(__xludf.DUMMYFUNCTION("GOOGLETRANSLATE(E70, ""it"", ""en"")"),"Playing defense involves blocking your opponent's strategies.")</f>
        <v>Playing defense involves blocking your opponent's strategies.</v>
      </c>
      <c r="L70" s="2"/>
      <c r="M70" s="2"/>
      <c r="N70" s="2"/>
      <c r="O70" s="2"/>
      <c r="P70" s="2"/>
      <c r="Q70" s="2"/>
      <c r="R70" s="2"/>
      <c r="S70" s="2"/>
      <c r="T70" s="2"/>
      <c r="U70" s="2"/>
      <c r="V70" s="2"/>
      <c r="W70" s="2"/>
    </row>
    <row r="71" ht="22.5" customHeight="1">
      <c r="A71" s="3">
        <v>70.0</v>
      </c>
      <c r="B71" s="3" t="s">
        <v>847</v>
      </c>
      <c r="C71" s="3" t="s">
        <v>848</v>
      </c>
      <c r="D71" s="3" t="s">
        <v>849</v>
      </c>
      <c r="E71" s="3" t="s">
        <v>850</v>
      </c>
      <c r="F71" s="2"/>
      <c r="G71" s="3" t="str">
        <f>IFERROR(__xludf.DUMMYFUNCTION("GOOGLETRANSLATE(A71, ""it"", ""en"")"),"70")</f>
        <v>70</v>
      </c>
      <c r="H71" s="3" t="str">
        <f>IFERROR(__xludf.DUMMYFUNCTION("GOOGLETRANSLATE(B71, ""it"", ""en"")"),"What should a team do if all its balls are out of bounds?")</f>
        <v>What should a team do if all its balls are out of bounds?</v>
      </c>
      <c r="I71" s="3" t="str">
        <f>IFERROR(__xludf.DUMMYFUNCTION("GOOGLETRANSLATE(C71, ""it"", ""en"")"),"A. Wait for the next turn B. Throw the balls again C. Lose the turn D. Receive a penalty")</f>
        <v>A. Wait for the next turn B. Throw the balls again C. Lose the turn D. Receive a penalty</v>
      </c>
      <c r="J71" s="3" t="str">
        <f>IFERROR(__xludf.DUMMYFUNCTION("GOOGLETRANSLATE(D71, ""it"", ""en"")"),"Wait for the next turn")</f>
        <v>Wait for the next turn</v>
      </c>
      <c r="K71" s="3" t="str">
        <f>IFERROR(__xludf.DUMMYFUNCTION("GOOGLETRANSLATE(E71, ""it"", ""en"")"),"Balls outside the field are eliminated until the next round.")</f>
        <v>Balls outside the field are eliminated until the next round.</v>
      </c>
      <c r="L71" s="2"/>
      <c r="M71" s="2"/>
      <c r="N71" s="2"/>
      <c r="O71" s="2"/>
      <c r="P71" s="2"/>
      <c r="Q71" s="2"/>
      <c r="R71" s="2"/>
      <c r="S71" s="2"/>
      <c r="T71" s="2"/>
      <c r="U71" s="2"/>
      <c r="V71" s="2"/>
      <c r="W71" s="2"/>
    </row>
    <row r="72" ht="22.5" customHeight="1">
      <c r="A72" s="3">
        <v>71.0</v>
      </c>
      <c r="B72" s="3" t="s">
        <v>851</v>
      </c>
      <c r="C72" s="3" t="s">
        <v>852</v>
      </c>
      <c r="D72" s="3" t="s">
        <v>853</v>
      </c>
      <c r="E72" s="3" t="s">
        <v>854</v>
      </c>
      <c r="F72" s="2"/>
      <c r="G72" s="3" t="str">
        <f>IFERROR(__xludf.DUMMYFUNCTION("GOOGLETRANSLATE(A72, ""it"", ""en"")"),"71")</f>
        <v>71</v>
      </c>
      <c r="H72" s="3" t="str">
        <f>IFERROR(__xludf.DUMMYFUNCTION("GOOGLETRANSLATE(B72, ""it"", ""en"")"),"What is meant by “home field advantage”?")</f>
        <v>What is meant by “home field advantage”?</v>
      </c>
      <c r="I72" s="3" t="str">
        <f>IFERROR(__xludf.DUMMYFUNCTION("GOOGLETRANSLATE(C72, ""it"", ""en"")"),"A. Playing on your own court B. Knowing the terrain better C. Having more bowls than your opponent D. Choosing the jack")</f>
        <v>A. Playing on your own court B. Knowing the terrain better C. Having more bowls than your opponent D. Choosing the jack</v>
      </c>
      <c r="J72" s="3" t="str">
        <f>IFERROR(__xludf.DUMMYFUNCTION("GOOGLETRANSLATE(D72, ""it"", ""en"")"),"Knowing the terrain better")</f>
        <v>Knowing the terrain better</v>
      </c>
      <c r="K72" s="3" t="str">
        <f>IFERROR(__xludf.DUMMYFUNCTION("GOOGLETRANSLATE(E72, ""it"", ""en"")"),"Home field advantage refers to familiarity with the playing field.")</f>
        <v>Home field advantage refers to familiarity with the playing field.</v>
      </c>
      <c r="L72" s="2"/>
      <c r="M72" s="2"/>
      <c r="N72" s="2"/>
      <c r="O72" s="2"/>
      <c r="P72" s="2"/>
      <c r="Q72" s="2"/>
      <c r="R72" s="2"/>
      <c r="S72" s="2"/>
      <c r="T72" s="2"/>
      <c r="U72" s="2"/>
      <c r="V72" s="2"/>
      <c r="W72" s="2"/>
    </row>
    <row r="73" ht="22.5" customHeight="1">
      <c r="A73" s="3">
        <v>72.0</v>
      </c>
      <c r="B73" s="3" t="s">
        <v>855</v>
      </c>
      <c r="C73" s="3" t="s">
        <v>856</v>
      </c>
      <c r="D73" s="3" t="s">
        <v>857</v>
      </c>
      <c r="E73" s="3" t="s">
        <v>858</v>
      </c>
      <c r="F73" s="2"/>
      <c r="G73" s="3" t="str">
        <f>IFERROR(__xludf.DUMMYFUNCTION("GOOGLETRANSLATE(A73, ""it"", ""en"")"),"72")</f>
        <v>72</v>
      </c>
      <c r="H73" s="3" t="str">
        <f>IFERROR(__xludf.DUMMYFUNCTION("GOOGLETRANSLATE(B73, ""it"", ""en"")"),"What happens if a player hits a teammate's ball?")</f>
        <v>What happens if a player hits a teammate's ball?</v>
      </c>
      <c r="I73" s="3" t="str">
        <f>IFERROR(__xludf.DUMMYFUNCTION("GOOGLETRANSLATE(C73, ""it"", ""en"")"),"A. The ball stays where it is B. The ball is removed C. The team loses points D. The round is cancelled")</f>
        <v>A. The ball stays where it is B. The ball is removed C. The team loses points D. The round is cancelled</v>
      </c>
      <c r="J73" s="3" t="str">
        <f>IFERROR(__xludf.DUMMYFUNCTION("GOOGLETRANSLATE(D73, ""it"", ""en"")"),"The ball stays where it is")</f>
        <v>The ball stays where it is</v>
      </c>
      <c r="K73" s="3" t="str">
        <f>IFERROR(__xludf.DUMMYFUNCTION("GOOGLETRANSLATE(E73, ""it"", ""en"")"),"Bowls hit by teammates remain in play.")</f>
        <v>Bowls hit by teammates remain in play.</v>
      </c>
      <c r="L73" s="2"/>
      <c r="M73" s="2"/>
      <c r="N73" s="2"/>
      <c r="O73" s="2"/>
      <c r="P73" s="2"/>
      <c r="Q73" s="2"/>
      <c r="R73" s="2"/>
      <c r="S73" s="2"/>
      <c r="T73" s="2"/>
      <c r="U73" s="2"/>
      <c r="V73" s="2"/>
      <c r="W73" s="2"/>
    </row>
    <row r="74" ht="22.5" customHeight="1">
      <c r="A74" s="3">
        <v>73.0</v>
      </c>
      <c r="B74" s="3" t="s">
        <v>859</v>
      </c>
      <c r="C74" s="3" t="s">
        <v>860</v>
      </c>
      <c r="D74" s="3" t="s">
        <v>744</v>
      </c>
      <c r="E74" s="3" t="s">
        <v>861</v>
      </c>
      <c r="F74" s="2"/>
      <c r="G74" s="3" t="str">
        <f>IFERROR(__xludf.DUMMYFUNCTION("GOOGLETRANSLATE(A74, ""it"", ""en"")"),"73")</f>
        <v>73</v>
      </c>
      <c r="H74" s="3" t="str">
        <f>IFERROR(__xludf.DUMMYFUNCTION("GOOGLETRANSLATE(B74, ""it"", ""en"")"),"What is the minimum weight of a regulation ball?")</f>
        <v>What is the minimum weight of a regulation ball?</v>
      </c>
      <c r="I74" s="3" t="str">
        <f>IFERROR(__xludf.DUMMYFUNCTION("GOOGLETRANSLATE(C74, ""it"", ""en"")"),"A. 1 kg B. 1 C. 2 kg D. 1")</f>
        <v>A. 1 kg B. 1 C. 2 kg D. 1</v>
      </c>
      <c r="J74" s="3" t="str">
        <f>IFERROR(__xludf.DUMMYFUNCTION("GOOGLETRANSLATE(D74, ""it"", ""en"")"),"5 kg")</f>
        <v>5 kg</v>
      </c>
      <c r="K74" s="3" t="str">
        <f>IFERROR(__xludf.DUMMYFUNCTION("GOOGLETRANSLATE(E74, ""it"", ""en"")"),"2 kg")</f>
        <v>2 kg</v>
      </c>
      <c r="L74" s="2"/>
      <c r="M74" s="2"/>
      <c r="N74" s="2"/>
      <c r="O74" s="2"/>
      <c r="P74" s="2"/>
      <c r="Q74" s="2"/>
      <c r="R74" s="2"/>
      <c r="S74" s="2"/>
      <c r="T74" s="2"/>
      <c r="U74" s="2"/>
      <c r="V74" s="2"/>
      <c r="W74" s="2"/>
    </row>
    <row r="75" ht="22.5" customHeight="1">
      <c r="A75" s="3">
        <v>74.0</v>
      </c>
      <c r="B75" s="3" t="s">
        <v>862</v>
      </c>
      <c r="C75" s="3" t="s">
        <v>863</v>
      </c>
      <c r="D75" s="3" t="s">
        <v>864</v>
      </c>
      <c r="E75" s="3" t="s">
        <v>865</v>
      </c>
      <c r="F75" s="2"/>
      <c r="G75" s="3" t="str">
        <f>IFERROR(__xludf.DUMMYFUNCTION("GOOGLETRANSLATE(A75, ""it"", ""en"")"),"74")</f>
        <v>74</v>
      </c>
      <c r="H75" s="3" t="str">
        <f>IFERROR(__xludf.DUMMYFUNCTION("GOOGLETRANSLATE(B75, ""it"", ""en"")"),"What should you do if the ball is out of reach?")</f>
        <v>What should you do if the ball is out of reach?</v>
      </c>
      <c r="I75" s="3" t="str">
        <f>IFERROR(__xludf.DUMMYFUNCTION("GOOGLETRANSLATE(C75, ""it"", ""en"")"),"A. The turn is cancelled B. It is placed again C. A point is awarded at random D. The distance between the balls is measured")</f>
        <v>A. The turn is cancelled B. It is placed again C. A point is awarded at random D. The distance between the balls is measured</v>
      </c>
      <c r="J75" s="3" t="str">
        <f>IFERROR(__xludf.DUMMYFUNCTION("GOOGLETRANSLATE(D75, ""it"", ""en"")"),"It is placed again")</f>
        <v>It is placed again</v>
      </c>
      <c r="K75" s="3" t="str">
        <f>IFERROR(__xludf.DUMMYFUNCTION("GOOGLETRANSLATE(E75, ""it"", ""en"")"),"The cue ball is returned to a valid spot.")</f>
        <v>The cue ball is returned to a valid spot.</v>
      </c>
      <c r="L75" s="2"/>
      <c r="M75" s="2"/>
      <c r="N75" s="2"/>
      <c r="O75" s="2"/>
      <c r="P75" s="2"/>
      <c r="Q75" s="2"/>
      <c r="R75" s="2"/>
      <c r="S75" s="2"/>
      <c r="T75" s="2"/>
      <c r="U75" s="2"/>
      <c r="V75" s="2"/>
      <c r="W75" s="2"/>
    </row>
    <row r="76" ht="22.5" customHeight="1">
      <c r="A76" s="3">
        <v>75.0</v>
      </c>
      <c r="B76" s="3" t="s">
        <v>866</v>
      </c>
      <c r="C76" s="3" t="s">
        <v>867</v>
      </c>
      <c r="D76" s="3" t="s">
        <v>868</v>
      </c>
      <c r="E76" s="3" t="s">
        <v>869</v>
      </c>
      <c r="F76" s="2"/>
      <c r="G76" s="3" t="str">
        <f>IFERROR(__xludf.DUMMYFUNCTION("GOOGLETRANSLATE(A76, ""it"", ""en"")"),"75")</f>
        <v>75</v>
      </c>
      <c r="H76" s="3" t="str">
        <f>IFERROR(__xludf.DUMMYFUNCTION("GOOGLETRANSLATE(B76, ""it"", ""en"")"),"What is the rule for out-of-turn throws?")</f>
        <v>What is the rule for out-of-turn throws?</v>
      </c>
      <c r="I76" s="3" t="str">
        <f>IFERROR(__xludf.DUMMYFUNCTION("GOOGLETRANSLATE(C76, ""it"", ""en"")"),"A. They are considered valid B. They are repeated C. They are removed D. The player is penalized")</f>
        <v>A. They are considered valid B. They are repeated C. They are removed D. The player is penalized</v>
      </c>
      <c r="J76" s="3" t="str">
        <f>IFERROR(__xludf.DUMMYFUNCTION("GOOGLETRANSLATE(D76, ""it"", ""en"")"),"They are removed")</f>
        <v>They are removed</v>
      </c>
      <c r="K76" s="3" t="str">
        <f>IFERROR(__xludf.DUMMYFUNCTION("GOOGLETRANSLATE(E76, ""it"", ""en"")"),"Out-of-turn throws are invalid and are removed.")</f>
        <v>Out-of-turn throws are invalid and are removed.</v>
      </c>
      <c r="L76" s="2"/>
      <c r="M76" s="2"/>
      <c r="N76" s="2"/>
      <c r="O76" s="2"/>
      <c r="P76" s="2"/>
      <c r="Q76" s="2"/>
      <c r="R76" s="2"/>
      <c r="S76" s="2"/>
      <c r="T76" s="2"/>
      <c r="U76" s="2"/>
      <c r="V76" s="2"/>
      <c r="W76" s="2"/>
    </row>
    <row r="77" ht="22.5" customHeight="1">
      <c r="A77" s="3">
        <v>76.0</v>
      </c>
      <c r="B77" s="3" t="s">
        <v>870</v>
      </c>
      <c r="C77" s="3" t="s">
        <v>871</v>
      </c>
      <c r="D77" s="3" t="s">
        <v>872</v>
      </c>
      <c r="E77" s="3" t="s">
        <v>873</v>
      </c>
      <c r="F77" s="2"/>
      <c r="G77" s="3" t="str">
        <f>IFERROR(__xludf.DUMMYFUNCTION("GOOGLETRANSLATE(A77, ""it"", ""en"")"),"76")</f>
        <v>76</v>
      </c>
      <c r="H77" s="3" t="str">
        <f>IFERROR(__xludf.DUMMYFUNCTION("GOOGLETRANSLATE(B77, ""it"", ""en"")"),"What is the name of the shot that aims directly at the cue ball?")</f>
        <v>What is the name of the shot that aims directly at the cue ball?</v>
      </c>
      <c r="I77" s="3" t="str">
        <f>IFERROR(__xludf.DUMMYFUNCTION("GOOGLETRANSLATE(C77, ""it"", ""en"")"),"A. Precision shot B. Raffa shot C. Cue shot D. Strategic shot")</f>
        <v>A. Precision shot B. Raffa shot C. Cue shot D. Strategic shot</v>
      </c>
      <c r="J77" s="3" t="str">
        <f>IFERROR(__xludf.DUMMYFUNCTION("GOOGLETRANSLATE(D77, ""it"", ""en"")"),"Cue ball shot")</f>
        <v>Cue ball shot</v>
      </c>
      <c r="K77" s="3" t="str">
        <f>IFERROR(__xludf.DUMMYFUNCTION("GOOGLETRANSLATE(E77, ""it"", ""en"")"),"The aim of the cue ball shot is to hit the target directly.")</f>
        <v>The aim of the cue ball shot is to hit the target directly.</v>
      </c>
      <c r="L77" s="2"/>
      <c r="M77" s="2"/>
      <c r="N77" s="2"/>
      <c r="O77" s="2"/>
      <c r="P77" s="2"/>
      <c r="Q77" s="2"/>
      <c r="R77" s="2"/>
      <c r="S77" s="2"/>
      <c r="T77" s="2"/>
      <c r="U77" s="2"/>
      <c r="V77" s="2"/>
      <c r="W77" s="2"/>
    </row>
    <row r="78" ht="22.5" customHeight="1">
      <c r="A78" s="3">
        <v>77.0</v>
      </c>
      <c r="B78" s="3" t="s">
        <v>874</v>
      </c>
      <c r="C78" s="3" t="s">
        <v>875</v>
      </c>
      <c r="D78" s="3" t="s">
        <v>876</v>
      </c>
      <c r="E78" s="3" t="s">
        <v>877</v>
      </c>
      <c r="F78" s="2"/>
      <c r="G78" s="3" t="str">
        <f>IFERROR(__xludf.DUMMYFUNCTION("GOOGLETRANSLATE(A78, ""it"", ""en"")"),"77")</f>
        <v>77</v>
      </c>
      <c r="H78" s="3" t="str">
        <f>IFERROR(__xludf.DUMMYFUNCTION("GOOGLETRANSLATE(B78, ""it"", ""en"")"),"What is used to mark the position of the bowls?")</f>
        <v>What is used to mark the position of the bowls?</v>
      </c>
      <c r="I78" s="3" t="str">
        <f>IFERROR(__xludf.DUMMYFUNCTION("GOOGLETRANSLATE(C78, ""it"", ""en"")"),"A. A piece of chalk B. A tape C. A marker D. A ruler")</f>
        <v>A. A piece of chalk B. A tape C. A marker D. A ruler</v>
      </c>
      <c r="J78" s="3" t="str">
        <f>IFERROR(__xludf.DUMMYFUNCTION("GOOGLETRANSLATE(D78, ""it"", ""en"")"),"A cast")</f>
        <v>A cast</v>
      </c>
      <c r="K78" s="3" t="str">
        <f>IFERROR(__xludf.DUMMYFUNCTION("GOOGLETRANSLATE(E78, ""it"", ""en"")"),"Chalk is used to mark the position of the bowls.")</f>
        <v>Chalk is used to mark the position of the bowls.</v>
      </c>
      <c r="L78" s="2"/>
      <c r="M78" s="2"/>
      <c r="N78" s="2"/>
      <c r="O78" s="2"/>
      <c r="P78" s="2"/>
      <c r="Q78" s="2"/>
      <c r="R78" s="2"/>
      <c r="S78" s="2"/>
      <c r="T78" s="2"/>
      <c r="U78" s="2"/>
      <c r="V78" s="2"/>
      <c r="W78" s="2"/>
    </row>
    <row r="79" ht="22.5" customHeight="1">
      <c r="A79" s="3">
        <v>78.0</v>
      </c>
      <c r="B79" s="3" t="s">
        <v>878</v>
      </c>
      <c r="C79" s="3" t="s">
        <v>879</v>
      </c>
      <c r="D79" s="3" t="s">
        <v>880</v>
      </c>
      <c r="E79" s="3" t="s">
        <v>881</v>
      </c>
      <c r="F79" s="2"/>
      <c r="G79" s="3" t="str">
        <f>IFERROR(__xludf.DUMMYFUNCTION("GOOGLETRANSLATE(A79, ""it"", ""en"")"),"78")</f>
        <v>78</v>
      </c>
      <c r="H79" s="3" t="str">
        <f>IFERROR(__xludf.DUMMYFUNCTION("GOOGLETRANSLATE(B79, ""it"", ""en"")"),"What part of the field is called the ""launch box""?")</f>
        <v>What part of the field is called the "launch box"?</v>
      </c>
      <c r="I79" s="3" t="str">
        <f>IFERROR(__xludf.DUMMYFUNCTION("GOOGLETRANSLATE(C79, ""it"", ""en"")"),"A. The central area B. The rear part C. The area within the baseline D. The area around the jack")</f>
        <v>A. The central area B. The rear part C. The area within the baseline D. The area around the jack</v>
      </c>
      <c r="J79" s="3" t="str">
        <f>IFERROR(__xludf.DUMMYFUNCTION("GOOGLETRANSLATE(D79, ""it"", ""en"")"),"The area within the baseline")</f>
        <v>The area within the baseline</v>
      </c>
      <c r="K79" s="3" t="str">
        <f>IFERROR(__xludf.DUMMYFUNCTION("GOOGLETRANSLATE(E79, ""it"", ""en"")"),"The throwing area is within the baseline.")</f>
        <v>The throwing area is within the baseline.</v>
      </c>
      <c r="L79" s="2"/>
      <c r="M79" s="2"/>
      <c r="N79" s="2"/>
      <c r="O79" s="2"/>
      <c r="P79" s="2"/>
      <c r="Q79" s="2"/>
      <c r="R79" s="2"/>
      <c r="S79" s="2"/>
      <c r="T79" s="2"/>
      <c r="U79" s="2"/>
      <c r="V79" s="2"/>
      <c r="W79" s="2"/>
    </row>
    <row r="80" ht="22.5" customHeight="1">
      <c r="A80" s="3">
        <v>79.0</v>
      </c>
      <c r="B80" s="3" t="s">
        <v>882</v>
      </c>
      <c r="C80" s="3" t="s">
        <v>883</v>
      </c>
      <c r="D80" s="3" t="s">
        <v>884</v>
      </c>
      <c r="E80" s="3" t="s">
        <v>885</v>
      </c>
      <c r="F80" s="2"/>
      <c r="G80" s="3" t="str">
        <f>IFERROR(__xludf.DUMMYFUNCTION("GOOGLETRANSLATE(A80, ""it"", ""en"")"),"79")</f>
        <v>79</v>
      </c>
      <c r="H80" s="3" t="str">
        <f>IFERROR(__xludf.DUMMYFUNCTION("GOOGLETRANSLATE(B80, ""it"", ""en"")"),"What does “repositioning the ball” mean?")</f>
        <v>What does “repositioning the ball” mean?</v>
      </c>
      <c r="I80" s="3" t="str">
        <f>IFERROR(__xludf.DUMMYFUNCTION("GOOGLETRANSLATE(C80, ""it"", ""en"")"),"A. Move it near a ball B. Place it in its original spot C. Push it towards a line D. Place it in the middle of the court")</f>
        <v>A. Move it near a ball B. Place it in its original spot C. Push it towards a line D. Place it in the middle of the court</v>
      </c>
      <c r="J80" s="3" t="str">
        <f>IFERROR(__xludf.DUMMYFUNCTION("GOOGLETRANSLATE(D80, ""it"", ""en"")"),"Put it in the original spot")</f>
        <v>Put it in the original spot</v>
      </c>
      <c r="K80" s="3" t="str">
        <f>IFERROR(__xludf.DUMMYFUNCTION("GOOGLETRANSLATE(E80, ""it"", ""en"")"),"Repositioning the dot means putting it back in its original spot.")</f>
        <v>Repositioning the dot means putting it back in its original spot.</v>
      </c>
      <c r="L80" s="2"/>
      <c r="M80" s="2"/>
      <c r="N80" s="2"/>
      <c r="O80" s="2"/>
      <c r="P80" s="2"/>
      <c r="Q80" s="2"/>
      <c r="R80" s="2"/>
      <c r="S80" s="2"/>
      <c r="T80" s="2"/>
      <c r="U80" s="2"/>
      <c r="V80" s="2"/>
      <c r="W80" s="2"/>
    </row>
    <row r="81" ht="22.5" customHeight="1">
      <c r="A81" s="3">
        <v>80.0</v>
      </c>
      <c r="B81" s="3" t="s">
        <v>886</v>
      </c>
      <c r="C81" s="3" t="s">
        <v>887</v>
      </c>
      <c r="D81" s="3" t="s">
        <v>888</v>
      </c>
      <c r="E81" s="3" t="s">
        <v>889</v>
      </c>
      <c r="F81" s="2"/>
      <c r="G81" s="3" t="str">
        <f>IFERROR(__xludf.DUMMYFUNCTION("GOOGLETRANSLATE(A81, ""it"", ""en"")"),"80")</f>
        <v>80</v>
      </c>
      <c r="H81" s="3" t="str">
        <f>IFERROR(__xludf.DUMMYFUNCTION("GOOGLETRANSLATE(B81, ""it"", ""en"")"),"What is the main objective of defensive shooting?")</f>
        <v>What is the main objective of defensive shooting?</v>
      </c>
      <c r="I81" s="3" t="str">
        <f>IFERROR(__xludf.DUMMYFUNCTION("GOOGLETRANSLATE(C81, ""it"", ""en"")"),"A. Bring the ball closer to the jack B. Block access to the jack C. Hit an opponent's ball D. Make a ball go out of play")</f>
        <v>A. Bring the ball closer to the jack B. Block access to the jack C. Hit an opponent's ball D. Make a ball go out of play</v>
      </c>
      <c r="J81" s="3" t="str">
        <f>IFERROR(__xludf.DUMMYFUNCTION("GOOGLETRANSLATE(D81, ""it"", ""en"")"),"Block access to the dot")</f>
        <v>Block access to the dot</v>
      </c>
      <c r="K81" s="3" t="str">
        <f>IFERROR(__xludf.DUMMYFUNCTION("GOOGLETRANSLATE(E81, ""it"", ""en"")"),"The defensive shot blocks access to the cue ball.")</f>
        <v>The defensive shot blocks access to the cue ball.</v>
      </c>
      <c r="L81" s="2"/>
      <c r="M81" s="2"/>
      <c r="N81" s="2"/>
      <c r="O81" s="2"/>
      <c r="P81" s="2"/>
      <c r="Q81" s="2"/>
      <c r="R81" s="2"/>
      <c r="S81" s="2"/>
      <c r="T81" s="2"/>
      <c r="U81" s="2"/>
      <c r="V81" s="2"/>
      <c r="W81" s="2"/>
    </row>
    <row r="82" ht="22.5" customHeight="1">
      <c r="A82" s="3">
        <v>81.0</v>
      </c>
      <c r="B82" s="3" t="s">
        <v>890</v>
      </c>
      <c r="C82" s="3" t="s">
        <v>891</v>
      </c>
      <c r="D82" s="3" t="s">
        <v>676</v>
      </c>
      <c r="E82" s="3" t="s">
        <v>892</v>
      </c>
      <c r="F82" s="2"/>
      <c r="G82" s="3" t="str">
        <f>IFERROR(__xludf.DUMMYFUNCTION("GOOGLETRANSLATE(A82, ""it"", ""en"")"),"81")</f>
        <v>81</v>
      </c>
      <c r="H82" s="3" t="str">
        <f>IFERROR(__xludf.DUMMYFUNCTION("GOOGLETRANSLATE(B82, ""it"", ""en"")"),"What happens if a team throws a non-regulation ball?")</f>
        <v>What happens if a team throws a non-regulation ball?</v>
      </c>
      <c r="I82" s="3" t="str">
        <f>IFERROR(__xludf.DUMMYFUNCTION("GOOGLETRANSLATE(C82, ""it"", ""en"")"),"A. The ball is accepted B. The ball is removed C. The turn is cancelled D. A point is awarded to the opponent")</f>
        <v>A. The ball is accepted B. The ball is removed C. The turn is cancelled D. A point is awarded to the opponent</v>
      </c>
      <c r="J82" s="3" t="str">
        <f>IFERROR(__xludf.DUMMYFUNCTION("GOOGLETRANSLATE(D82, ""it"", ""en"")"),"The ball is removed")</f>
        <v>The ball is removed</v>
      </c>
      <c r="K82" s="3" t="str">
        <f>IFERROR(__xludf.DUMMYFUNCTION("GOOGLETRANSLATE(E82, ""it"", ""en"")"),"Non-regulation balls are not valid.")</f>
        <v>Non-regulation balls are not valid.</v>
      </c>
      <c r="L82" s="2"/>
      <c r="M82" s="2"/>
      <c r="N82" s="2"/>
      <c r="O82" s="2"/>
      <c r="P82" s="2"/>
      <c r="Q82" s="2"/>
      <c r="R82" s="2"/>
      <c r="S82" s="2"/>
      <c r="T82" s="2"/>
      <c r="U82" s="2"/>
      <c r="V82" s="2"/>
      <c r="W82" s="2"/>
    </row>
    <row r="83" ht="22.5" customHeight="1">
      <c r="A83" s="3">
        <v>82.0</v>
      </c>
      <c r="B83" s="3" t="s">
        <v>893</v>
      </c>
      <c r="C83" s="3" t="s">
        <v>894</v>
      </c>
      <c r="D83" s="3" t="s">
        <v>710</v>
      </c>
      <c r="E83" s="3" t="s">
        <v>895</v>
      </c>
      <c r="F83" s="2"/>
      <c r="G83" s="3" t="str">
        <f>IFERROR(__xludf.DUMMYFUNCTION("GOOGLETRANSLATE(A83, ""it"", ""en"")"),"82")</f>
        <v>82</v>
      </c>
      <c r="H83" s="3" t="str">
        <f>IFERROR(__xludf.DUMMYFUNCTION("GOOGLETRANSLATE(B83, ""it"", ""en"")"),"Who has the final authority on scoring?")</f>
        <v>Who has the final authority on scoring?</v>
      </c>
      <c r="I83" s="3" t="str">
        <f>IFERROR(__xludf.DUMMYFUNCTION("GOOGLETRANSLATE(C83, ""it"", ""en"")"),"A. The captain B. The referee C. The players D. The winning team")</f>
        <v>A. The captain B. The referee C. The players D. The winning team</v>
      </c>
      <c r="J83" s="3" t="str">
        <f>IFERROR(__xludf.DUMMYFUNCTION("GOOGLETRANSLATE(D83, ""it"", ""en"")"),"The referee")</f>
        <v>The referee</v>
      </c>
      <c r="K83" s="3" t="str">
        <f>IFERROR(__xludf.DUMMYFUNCTION("GOOGLETRANSLATE(E83, ""it"", ""en"")"),"The referee decides the final score.")</f>
        <v>The referee decides the final score.</v>
      </c>
      <c r="L83" s="2"/>
      <c r="M83" s="2"/>
      <c r="N83" s="2"/>
      <c r="O83" s="2"/>
      <c r="P83" s="2"/>
      <c r="Q83" s="2"/>
      <c r="R83" s="2"/>
      <c r="S83" s="2"/>
      <c r="T83" s="2"/>
      <c r="U83" s="2"/>
      <c r="V83" s="2"/>
      <c r="W83" s="2"/>
    </row>
    <row r="84" ht="22.5" customHeight="1">
      <c r="A84" s="3">
        <v>83.0</v>
      </c>
      <c r="B84" s="3" t="s">
        <v>896</v>
      </c>
      <c r="C84" s="3" t="s">
        <v>897</v>
      </c>
      <c r="D84" s="3" t="s">
        <v>898</v>
      </c>
      <c r="E84" s="3" t="s">
        <v>899</v>
      </c>
      <c r="F84" s="2"/>
      <c r="G84" s="3" t="str">
        <f>IFERROR(__xludf.DUMMYFUNCTION("GOOGLETRANSLATE(A84, ""it"", ""en"")"),"83")</f>
        <v>83</v>
      </c>
      <c r="H84" s="3" t="str">
        <f>IFERROR(__xludf.DUMMYFUNCTION("GOOGLETRANSLATE(B84, ""it"", ""en"")"),"What is the maximum distance allowed between the cue ball and the baseline?")</f>
        <v>What is the maximum distance allowed between the cue ball and the baseline?</v>
      </c>
      <c r="I84" s="3" t="str">
        <f>IFERROR(__xludf.DUMMYFUNCTION("GOOGLETRANSLATE(C84, ""it"", ""en"")"),"A. 6 meters B. 8 meters C. 10 meters D. 12 meters")</f>
        <v>A. 6 meters B. 8 meters C. 10 meters D. 12 meters</v>
      </c>
      <c r="J84" s="3" t="str">
        <f>IFERROR(__xludf.DUMMYFUNCTION("GOOGLETRANSLATE(D84, ""it"", ""en"")"),"10 meters")</f>
        <v>10 meters</v>
      </c>
      <c r="K84" s="3" t="str">
        <f>IFERROR(__xludf.DUMMYFUNCTION("GOOGLETRANSLATE(E84, ""it"", ""en"")"),"The jack must not be placed more than 10 meters from the end line.")</f>
        <v>The jack must not be placed more than 10 meters from the end line.</v>
      </c>
      <c r="L84" s="2"/>
      <c r="M84" s="2"/>
      <c r="N84" s="2"/>
      <c r="O84" s="2"/>
      <c r="P84" s="2"/>
      <c r="Q84" s="2"/>
      <c r="R84" s="2"/>
      <c r="S84" s="2"/>
      <c r="T84" s="2"/>
      <c r="U84" s="2"/>
      <c r="V84" s="2"/>
      <c r="W84" s="2"/>
    </row>
    <row r="85" ht="22.5" customHeight="1">
      <c r="A85" s="3">
        <v>84.0</v>
      </c>
      <c r="B85" s="3" t="s">
        <v>900</v>
      </c>
      <c r="C85" s="3" t="s">
        <v>901</v>
      </c>
      <c r="D85" s="3" t="s">
        <v>902</v>
      </c>
      <c r="E85" s="3" t="s">
        <v>903</v>
      </c>
      <c r="F85" s="2"/>
      <c r="G85" s="3" t="str">
        <f>IFERROR(__xludf.DUMMYFUNCTION("GOOGLETRANSLATE(A85, ""it"", ""en"")"),"84")</f>
        <v>84</v>
      </c>
      <c r="H85" s="3" t="str">
        <f>IFERROR(__xludf.DUMMYFUNCTION("GOOGLETRANSLATE(B85, ""it"", ""en"")"),"What does “open fire” mean?")</f>
        <v>What does “open fire” mean?</v>
      </c>
      <c r="I85" s="3" t="str">
        <f>IFERROR(__xludf.DUMMYFUNCTION("GOOGLETRANSLATE(C85, ""it"", ""en"")"),"A. A direct shot without obstacles B. A shot that hits other balls C. A shot to score a point D. A defensive shot")</f>
        <v>A. A direct shot without obstacles B. A shot that hits other balls C. A shot to score a point D. A defensive shot</v>
      </c>
      <c r="J85" s="3" t="str">
        <f>IFERROR(__xludf.DUMMYFUNCTION("GOOGLETRANSLATE(D85, ""it"", ""en"")"),"A direct shot without obstacles")</f>
        <v>A direct shot without obstacles</v>
      </c>
      <c r="K85" s="3" t="str">
        <f>IFERROR(__xludf.DUMMYFUNCTION("GOOGLETRANSLATE(E85, ""it"", ""en"")"),"An open shot is made with no obstacles between the ball and the target.")</f>
        <v>An open shot is made with no obstacles between the ball and the target.</v>
      </c>
      <c r="L85" s="2"/>
      <c r="M85" s="2"/>
      <c r="N85" s="2"/>
      <c r="O85" s="2"/>
      <c r="P85" s="2"/>
      <c r="Q85" s="2"/>
      <c r="R85" s="2"/>
      <c r="S85" s="2"/>
      <c r="T85" s="2"/>
      <c r="U85" s="2"/>
      <c r="V85" s="2"/>
      <c r="W85" s="2"/>
    </row>
    <row r="86" ht="22.5" customHeight="1">
      <c r="A86" s="3">
        <v>85.0</v>
      </c>
      <c r="B86" s="3" t="s">
        <v>904</v>
      </c>
      <c r="C86" s="3" t="s">
        <v>905</v>
      </c>
      <c r="D86" s="3" t="s">
        <v>906</v>
      </c>
      <c r="E86" s="3" t="s">
        <v>907</v>
      </c>
      <c r="F86" s="2"/>
      <c r="G86" s="3" t="str">
        <f>IFERROR(__xludf.DUMMYFUNCTION("GOOGLETRANSLATE(A86, ""it"", ""en"")"),"85")</f>
        <v>85</v>
      </c>
      <c r="H86" s="3" t="str">
        <f>IFERROR(__xludf.DUMMYFUNCTION("GOOGLETRANSLATE(B86, ""it"", ""en"")"),"What should be avoided during the opponent's turn?")</f>
        <v>What should be avoided during the opponent's turn?</v>
      </c>
      <c r="I86" s="3" t="str">
        <f>IFERROR(__xludf.DUMMYFUNCTION("GOOGLETRANSLATE(C86, ""it"", ""en"")"),"A. Looking at the field B. Talking or disturbing C. Remaining on the edge of the field D. Positioning oneself behind the player")</f>
        <v>A. Looking at the field B. Talking or disturbing C. Remaining on the edge of the field D. Positioning oneself behind the player</v>
      </c>
      <c r="J86" s="3" t="str">
        <f>IFERROR(__xludf.DUMMYFUNCTION("GOOGLETRANSLATE(D86, ""it"", ""en"")"),"Talking or disturbing")</f>
        <v>Talking or disturbing</v>
      </c>
      <c r="K86" s="3" t="str">
        <f>IFERROR(__xludf.DUMMYFUNCTION("GOOGLETRANSLATE(E86, ""it"", ""en"")"),"It is important not to disturb during your opponent's turn.")</f>
        <v>It is important not to disturb during your opponent's turn.</v>
      </c>
      <c r="L86" s="2"/>
      <c r="M86" s="2"/>
      <c r="N86" s="2"/>
      <c r="O86" s="2"/>
      <c r="P86" s="2"/>
      <c r="Q86" s="2"/>
      <c r="R86" s="2"/>
      <c r="S86" s="2"/>
      <c r="T86" s="2"/>
      <c r="U86" s="2"/>
      <c r="V86" s="2"/>
      <c r="W86" s="2"/>
    </row>
    <row r="87" ht="22.5" customHeight="1">
      <c r="A87" s="3">
        <v>86.0</v>
      </c>
      <c r="B87" s="3" t="s">
        <v>908</v>
      </c>
      <c r="C87" s="3" t="s">
        <v>909</v>
      </c>
      <c r="D87" s="3" t="s">
        <v>592</v>
      </c>
      <c r="E87" s="3" t="s">
        <v>910</v>
      </c>
      <c r="F87" s="2"/>
      <c r="G87" s="3" t="str">
        <f>IFERROR(__xludf.DUMMYFUNCTION("GOOGLETRANSLATE(A87, ""it"", ""en"")"),"86")</f>
        <v>86</v>
      </c>
      <c r="H87" s="3" t="str">
        <f>IFERROR(__xludf.DUMMYFUNCTION("GOOGLETRANSLATE(B87, ""it"", ""en"")"),"What happens if the cue ball is hit out of bounds?")</f>
        <v>What happens if the cue ball is hit out of bounds?</v>
      </c>
      <c r="I87" s="3" t="str">
        <f>IFERROR(__xludf.DUMMYFUNCTION("GOOGLETRANSLATE(C87, ""it"", ""en"")"),"A. It is placed at the closest point within the field B. The turn is cancelled C. It is returned to the center D. The jack remains outside the field")</f>
        <v>A. It is placed at the closest point within the field B. The turn is cancelled C. It is returned to the center D. The jack remains outside the field</v>
      </c>
      <c r="J87" s="3" t="str">
        <f>IFERROR(__xludf.DUMMYFUNCTION("GOOGLETRANSLATE(D87, ""it"", ""en"")"),"It is placed at the closest point within the field")</f>
        <v>It is placed at the closest point within the field</v>
      </c>
      <c r="K87" s="3" t="str">
        <f>IFERROR(__xludf.DUMMYFUNCTION("GOOGLETRANSLATE(E87, ""it"", ""en"")"),"The cue ball must be returned within the limits of the field.")</f>
        <v>The cue ball must be returned within the limits of the field.</v>
      </c>
      <c r="L87" s="2"/>
      <c r="M87" s="2"/>
      <c r="N87" s="2"/>
      <c r="O87" s="2"/>
      <c r="P87" s="2"/>
      <c r="Q87" s="2"/>
      <c r="R87" s="2"/>
      <c r="S87" s="2"/>
      <c r="T87" s="2"/>
      <c r="U87" s="2"/>
      <c r="V87" s="2"/>
      <c r="W87" s="2"/>
    </row>
    <row r="88" ht="22.5" customHeight="1">
      <c r="A88" s="3">
        <v>87.0</v>
      </c>
      <c r="B88" s="3" t="s">
        <v>911</v>
      </c>
      <c r="C88" s="3" t="s">
        <v>912</v>
      </c>
      <c r="D88" s="3" t="s">
        <v>913</v>
      </c>
      <c r="E88" s="3" t="s">
        <v>914</v>
      </c>
      <c r="F88" s="2"/>
      <c r="G88" s="3" t="str">
        <f>IFERROR(__xludf.DUMMYFUNCTION("GOOGLETRANSLATE(A88, ""it"", ""en"")"),"87")</f>
        <v>87</v>
      </c>
      <c r="H88" s="3" t="str">
        <f>IFERROR(__xludf.DUMMYFUNCTION("GOOGLETRANSLATE(B88, ""it"", ""en"")"),"What is used to determine the ball closest to the jack?")</f>
        <v>What is used to determine the ball closest to the jack?</v>
      </c>
      <c r="I88" s="3" t="str">
        <f>IFERROR(__xludf.DUMMYFUNCTION("GOOGLETRANSLATE(C88, ""it"", ""en"")"),"A. A stick B. A tape measure C. A caliper D. A ruler")</f>
        <v>A. A stick B. A tape measure C. A caliper D. A ruler</v>
      </c>
      <c r="J88" s="3" t="str">
        <f>IFERROR(__xludf.DUMMYFUNCTION("GOOGLETRANSLATE(D88, ""it"", ""en"")"),"One meter")</f>
        <v>One meter</v>
      </c>
      <c r="K88" s="3" t="str">
        <f>IFERROR(__xludf.DUMMYFUNCTION("GOOGLETRANSLATE(E88, ""it"", ""en"")"),"A meter is used to measure distance.")</f>
        <v>A meter is used to measure distance.</v>
      </c>
      <c r="L88" s="2"/>
      <c r="M88" s="2"/>
      <c r="N88" s="2"/>
      <c r="O88" s="2"/>
      <c r="P88" s="2"/>
      <c r="Q88" s="2"/>
      <c r="R88" s="2"/>
      <c r="S88" s="2"/>
      <c r="T88" s="2"/>
      <c r="U88" s="2"/>
      <c r="V88" s="2"/>
      <c r="W88" s="2"/>
    </row>
    <row r="89" ht="22.5" customHeight="1">
      <c r="A89" s="3">
        <v>88.0</v>
      </c>
      <c r="B89" s="3" t="s">
        <v>915</v>
      </c>
      <c r="C89" s="3" t="s">
        <v>916</v>
      </c>
      <c r="D89" s="3" t="s">
        <v>917</v>
      </c>
      <c r="E89" s="3" t="s">
        <v>918</v>
      </c>
      <c r="F89" s="2"/>
      <c r="G89" s="3" t="str">
        <f>IFERROR(__xludf.DUMMYFUNCTION("GOOGLETRANSLATE(A89, ""it"", ""en"")"),"88")</f>
        <v>88</v>
      </c>
      <c r="H89" s="3" t="str">
        <f>IFERROR(__xludf.DUMMYFUNCTION("GOOGLETRANSLATE(B89, ""it"", ""en"")"),"What is the shot used to hit multiple bowls at once called?")</f>
        <v>What is the shot used to hit multiple bowls at once called?</v>
      </c>
      <c r="I89" s="3" t="str">
        <f>IFERROR(__xludf.DUMMYFUNCTION("GOOGLETRANSLATE(C89, ""it"", ""en"")"),"A. Multiple shot B. Mass shot C. Combined shot D. Raffa shot")</f>
        <v>A. Multiple shot B. Mass shot C. Combined shot D. Raffa shot</v>
      </c>
      <c r="J89" s="3" t="str">
        <f>IFERROR(__xludf.DUMMYFUNCTION("GOOGLETRANSLATE(D89, ""it"", ""en"")"),"Combined shooting")</f>
        <v>Combined shooting</v>
      </c>
      <c r="K89" s="3" t="str">
        <f>IFERROR(__xludf.DUMMYFUNCTION("GOOGLETRANSLATE(E89, ""it"", ""en"")"),"The combination shot is used to hit multiple balls in a single throw.")</f>
        <v>The combination shot is used to hit multiple balls in a single throw.</v>
      </c>
      <c r="L89" s="2"/>
      <c r="M89" s="2"/>
      <c r="N89" s="2"/>
      <c r="O89" s="2"/>
      <c r="P89" s="2"/>
      <c r="Q89" s="2"/>
      <c r="R89" s="2"/>
      <c r="S89" s="2"/>
      <c r="T89" s="2"/>
      <c r="U89" s="2"/>
      <c r="V89" s="2"/>
      <c r="W89" s="2"/>
    </row>
    <row r="90" ht="22.5" customHeight="1">
      <c r="A90" s="3">
        <v>89.0</v>
      </c>
      <c r="B90" s="3" t="s">
        <v>919</v>
      </c>
      <c r="C90" s="3" t="s">
        <v>920</v>
      </c>
      <c r="D90" s="3" t="s">
        <v>921</v>
      </c>
      <c r="E90" s="3" t="s">
        <v>922</v>
      </c>
      <c r="F90" s="2"/>
      <c r="G90" s="3" t="str">
        <f>IFERROR(__xludf.DUMMYFUNCTION("GOOGLETRANSLATE(A90, ""it"", ""en"")"),"89")</f>
        <v>89</v>
      </c>
      <c r="H90" s="3" t="str">
        <f>IFERROR(__xludf.DUMMYFUNCTION("GOOGLETRANSLATE(B90, ""it"", ""en"")"),"What happens if a player exceeds the time limit for throwing?")</f>
        <v>What happens if a player exceeds the time limit for throwing?</v>
      </c>
      <c r="I90" s="3" t="str">
        <f>IFERROR(__xludf.DUMMYFUNCTION("GOOGLETRANSLATE(C90, ""it"", ""en"")"),"A. He loses the turn B. He is penalized one point C. He can raise D. The turn is cancelled")</f>
        <v>A. He loses the turn B. He is penalized one point C. He can raise D. The turn is cancelled</v>
      </c>
      <c r="J90" s="3" t="str">
        <f>IFERROR(__xludf.DUMMYFUNCTION("GOOGLETRANSLATE(D90, ""it"", ""en"")"),"He loses the turn")</f>
        <v>He loses the turn</v>
      </c>
      <c r="K90" s="3" t="str">
        <f>IFERROR(__xludf.DUMMYFUNCTION("GOOGLETRANSLATE(E90, ""it"", ""en"")"),"Exceeding the time limit results in the loss of your turn.")</f>
        <v>Exceeding the time limit results in the loss of your turn.</v>
      </c>
      <c r="L90" s="2"/>
      <c r="M90" s="2"/>
      <c r="N90" s="2"/>
      <c r="O90" s="2"/>
      <c r="P90" s="2"/>
      <c r="Q90" s="2"/>
      <c r="R90" s="2"/>
      <c r="S90" s="2"/>
      <c r="T90" s="2"/>
      <c r="U90" s="2"/>
      <c r="V90" s="2"/>
      <c r="W90" s="2"/>
    </row>
    <row r="91" ht="22.5" customHeight="1">
      <c r="A91" s="3">
        <v>90.0</v>
      </c>
      <c r="B91" s="3" t="s">
        <v>923</v>
      </c>
      <c r="C91" s="3" t="s">
        <v>924</v>
      </c>
      <c r="D91" s="3" t="s">
        <v>925</v>
      </c>
      <c r="E91" s="3" t="s">
        <v>926</v>
      </c>
      <c r="F91" s="2"/>
      <c r="G91" s="3" t="str">
        <f>IFERROR(__xludf.DUMMYFUNCTION("GOOGLETRANSLATE(A91, ""it"", ""en"")"),"90")</f>
        <v>90</v>
      </c>
      <c r="H91" s="3" t="str">
        <f>IFERROR(__xludf.DUMMYFUNCTION("GOOGLETRANSLATE(B91, ""it"", ""en"")"),"What does the term “neutral ground” mean?")</f>
        <v>What does the term “neutral ground” mean?</v>
      </c>
      <c r="I91" s="3" t="str">
        <f>IFERROR(__xludf.DUMMYFUNCTION("GOOGLETRANSLATE(C91, ""it"", ""en"")"),"A. A field shared by multiple teams B. An area of ​​the field without bowls C. A field without resident teams D. An area designated by the referee")</f>
        <v>A. A field shared by multiple teams B. An area of ​​the field without bowls C. A field without resident teams D. An area designated by the referee</v>
      </c>
      <c r="J91" s="3" t="str">
        <f>IFERROR(__xludf.DUMMYFUNCTION("GOOGLETRANSLATE(D91, ""it"", ""en"")"),"An area of ​​the field without bowls")</f>
        <v>An area of ​​the field without bowls</v>
      </c>
      <c r="K91" s="3" t="str">
        <f>IFERROR(__xludf.DUMMYFUNCTION("GOOGLETRANSLATE(E91, ""it"", ""en"")"),"The neutral field is a bowl-free area.")</f>
        <v>The neutral field is a bowl-free area.</v>
      </c>
      <c r="L91" s="2"/>
      <c r="M91" s="2"/>
      <c r="N91" s="2"/>
      <c r="O91" s="2"/>
      <c r="P91" s="2"/>
      <c r="Q91" s="2"/>
      <c r="R91" s="2"/>
      <c r="S91" s="2"/>
      <c r="T91" s="2"/>
      <c r="U91" s="2"/>
      <c r="V91" s="2"/>
      <c r="W91" s="2"/>
    </row>
    <row r="92" ht="22.5" customHeight="1">
      <c r="A92" s="3">
        <v>91.0</v>
      </c>
      <c r="B92" s="3" t="s">
        <v>927</v>
      </c>
      <c r="C92" s="3" t="s">
        <v>928</v>
      </c>
      <c r="D92" s="3" t="s">
        <v>929</v>
      </c>
      <c r="E92" s="3" t="s">
        <v>930</v>
      </c>
      <c r="F92" s="2"/>
      <c r="G92" s="3" t="str">
        <f>IFERROR(__xludf.DUMMYFUNCTION("GOOGLETRANSLATE(A92, ""it"", ""en"")"),"91")</f>
        <v>91</v>
      </c>
      <c r="H92" s="3" t="str">
        <f>IFERROR(__xludf.DUMMYFUNCTION("GOOGLETRANSLATE(B92, ""it"", ""en"")"),"What is the objective of clay pigeon shooting?")</f>
        <v>What is the objective of clay pigeon shooting?</v>
      </c>
      <c r="I92" s="3" t="str">
        <f>IFERROR(__xludf.DUMMYFUNCTION("GOOGLETRANSLATE(C92, ""it"", ""en"")"),"A. Hitting a ball in the air B. Hitting the jack without touching the ground C. Hitting the ground before hitting the jack D. Making a long throw")</f>
        <v>A. Hitting a ball in the air B. Hitting the jack without touching the ground C. Hitting the ground before hitting the jack D. Making a long throw</v>
      </c>
      <c r="J92" s="3" t="str">
        <f>IFERROR(__xludf.DUMMYFUNCTION("GOOGLETRANSLATE(D92, ""it"", ""en"")"),"Hitting a ball in the air")</f>
        <v>Hitting a ball in the air</v>
      </c>
      <c r="K92" s="3" t="str">
        <f>IFERROR(__xludf.DUMMYFUNCTION("GOOGLETRANSLATE(E92, ""it"", ""en"")"),"Clay pigeon shooting aims to hit a ball or jack without touching the ground.")</f>
        <v>Clay pigeon shooting aims to hit a ball or jack without touching the ground.</v>
      </c>
      <c r="L92" s="2"/>
      <c r="M92" s="2"/>
      <c r="N92" s="2"/>
      <c r="O92" s="2"/>
      <c r="P92" s="2"/>
      <c r="Q92" s="2"/>
      <c r="R92" s="2"/>
      <c r="S92" s="2"/>
      <c r="T92" s="2"/>
      <c r="U92" s="2"/>
      <c r="V92" s="2"/>
      <c r="W92" s="2"/>
    </row>
    <row r="93" ht="22.5" customHeight="1">
      <c r="A93" s="3">
        <v>92.0</v>
      </c>
      <c r="B93" s="3" t="s">
        <v>931</v>
      </c>
      <c r="C93" s="3" t="s">
        <v>932</v>
      </c>
      <c r="D93" s="3" t="s">
        <v>933</v>
      </c>
      <c r="E93" s="3" t="s">
        <v>934</v>
      </c>
      <c r="F93" s="2"/>
      <c r="G93" s="3" t="str">
        <f>IFERROR(__xludf.DUMMYFUNCTION("GOOGLETRANSLATE(A93, ""it"", ""en"")"),"92")</f>
        <v>92</v>
      </c>
      <c r="H93" s="3" t="str">
        <f>IFERROR(__xludf.DUMMYFUNCTION("GOOGLETRANSLATE(B93, ""it"", ""en"")"),"What happens if the cue ball is knocked out of play during a turn?")</f>
        <v>What happens if the cue ball is knocked out of play during a turn?</v>
      </c>
      <c r="I93" s="3" t="str">
        <f>IFERROR(__xludf.DUMMYFUNCTION("GOOGLETRANSLATE(C93, ""it"", ""en"")"),"A. It is placed back in its original spot B. It is eliminated from the game C. The turn is cancelled D. The game continues without the cue ball")</f>
        <v>A. It is placed back in its original spot B. It is eliminated from the game C. The turn is cancelled D. The game continues without the cue ball</v>
      </c>
      <c r="J93" s="3" t="str">
        <f>IFERROR(__xludf.DUMMYFUNCTION("GOOGLETRANSLATE(D93, ""it"", ""en"")"),"It is repositioned to its original location")</f>
        <v>It is repositioned to its original location</v>
      </c>
      <c r="K93" s="3" t="str">
        <f>IFERROR(__xludf.DUMMYFUNCTION("GOOGLETRANSLATE(E93, ""it"", ""en"")"),"The jack is returned to its original spot if it goes out of bounds.")</f>
        <v>The jack is returned to its original spot if it goes out of bounds.</v>
      </c>
      <c r="L93" s="2"/>
      <c r="M93" s="2"/>
      <c r="N93" s="2"/>
      <c r="O93" s="2"/>
      <c r="P93" s="2"/>
      <c r="Q93" s="2"/>
      <c r="R93" s="2"/>
      <c r="S93" s="2"/>
      <c r="T93" s="2"/>
      <c r="U93" s="2"/>
      <c r="V93" s="2"/>
      <c r="W93" s="2"/>
    </row>
    <row r="94" ht="22.5" customHeight="1">
      <c r="A94" s="3">
        <v>93.0</v>
      </c>
      <c r="B94" s="3" t="s">
        <v>935</v>
      </c>
      <c r="C94" s="3" t="s">
        <v>101</v>
      </c>
      <c r="D94" s="3">
        <v>4.0</v>
      </c>
      <c r="E94" s="3" t="s">
        <v>936</v>
      </c>
      <c r="F94" s="2"/>
      <c r="G94" s="3" t="str">
        <f>IFERROR(__xludf.DUMMYFUNCTION("GOOGLETRANSLATE(A94, ""it"", ""en"")"),"93")</f>
        <v>93</v>
      </c>
      <c r="H94" s="3" t="str">
        <f>IFERROR(__xludf.DUMMYFUNCTION("GOOGLETRANSLATE(B94, ""it"", ""en"")"),"How many bowls can each player throw in an individual match?")</f>
        <v>How many bowls can each player throw in an individual match?</v>
      </c>
      <c r="I94" s="3" t="str">
        <f>IFERROR(__xludf.DUMMYFUNCTION("GOOGLETRANSLATE(C94, ""it"", ""en"")"),"A. 1 B. 2 C. 3 D. 4")</f>
        <v>A. 1 B. 2 C. 3 D. 4</v>
      </c>
      <c r="J94" s="3" t="str">
        <f>IFERROR(__xludf.DUMMYFUNCTION("GOOGLETRANSLATE(D94, ""it"", ""en"")"),"4")</f>
        <v>4</v>
      </c>
      <c r="K94" s="3" t="str">
        <f>IFERROR(__xludf.DUMMYFUNCTION("GOOGLETRANSLATE(E94, ""it"", ""en"")"),"In individual games each player can throw up to 4 bowls.")</f>
        <v>In individual games each player can throw up to 4 bowls.</v>
      </c>
      <c r="L94" s="2"/>
      <c r="M94" s="2"/>
      <c r="N94" s="2"/>
      <c r="O94" s="2"/>
      <c r="P94" s="2"/>
      <c r="Q94" s="2"/>
      <c r="R94" s="2"/>
      <c r="S94" s="2"/>
      <c r="T94" s="2"/>
      <c r="U94" s="2"/>
      <c r="V94" s="2"/>
      <c r="W94" s="2"/>
    </row>
    <row r="95" ht="22.5" customHeight="1">
      <c r="A95" s="3">
        <v>94.0</v>
      </c>
      <c r="B95" s="3" t="s">
        <v>937</v>
      </c>
      <c r="C95" s="3" t="s">
        <v>938</v>
      </c>
      <c r="D95" s="3" t="s">
        <v>939</v>
      </c>
      <c r="E95" s="3" t="s">
        <v>940</v>
      </c>
      <c r="F95" s="2"/>
      <c r="G95" s="3" t="str">
        <f>IFERROR(__xludf.DUMMYFUNCTION("GOOGLETRANSLATE(A95, ""it"", ""en"")"),"94")</f>
        <v>94</v>
      </c>
      <c r="H95" s="3" t="str">
        <f>IFERROR(__xludf.DUMMYFUNCTION("GOOGLETRANSLATE(B95, ""it"", ""en"")"),"What is meant by “scoring zone”?")</f>
        <v>What is meant by “scoring zone”?</v>
      </c>
      <c r="I95" s="3" t="str">
        <f>IFERROR(__xludf.DUMMYFUNCTION("GOOGLETRANSLATE(C95, ""it"", ""en"")"),"A. The part of the court where the jack is located B. The area within which the balls closest to the jack are located C. The central part of the court D. The part opposite the throw")</f>
        <v>A. The part of the court where the jack is located B. The area within which the balls closest to the jack are located C. The central part of the court D. The part opposite the throw</v>
      </c>
      <c r="J95" s="3" t="str">
        <f>IFERROR(__xludf.DUMMYFUNCTION("GOOGLETRANSLATE(D95, ""it"", ""en"")"),"The area within which the balls closest to the jack are located")</f>
        <v>The area within which the balls closest to the jack are located</v>
      </c>
      <c r="K95" s="3" t="str">
        <f>IFERROR(__xludf.DUMMYFUNCTION("GOOGLETRANSLATE(E95, ""it"", ""en"")"),"The balls in the scoring area determine the score of the round.")</f>
        <v>The balls in the scoring area determine the score of the round.</v>
      </c>
      <c r="L95" s="2"/>
      <c r="M95" s="2"/>
      <c r="N95" s="2"/>
      <c r="O95" s="2"/>
      <c r="P95" s="2"/>
      <c r="Q95" s="2"/>
      <c r="R95" s="2"/>
      <c r="S95" s="2"/>
      <c r="T95" s="2"/>
      <c r="U95" s="2"/>
      <c r="V95" s="2"/>
      <c r="W95" s="2"/>
    </row>
    <row r="96" ht="22.5" customHeight="1">
      <c r="A96" s="3">
        <v>95.0</v>
      </c>
      <c r="B96" s="3" t="s">
        <v>941</v>
      </c>
      <c r="C96" s="3" t="s">
        <v>942</v>
      </c>
      <c r="D96" s="3" t="s">
        <v>943</v>
      </c>
      <c r="E96" s="3" t="s">
        <v>944</v>
      </c>
      <c r="F96" s="2"/>
      <c r="G96" s="3" t="str">
        <f>IFERROR(__xludf.DUMMYFUNCTION("GOOGLETRANSLATE(A96, ""it"", ""en"")"),"95")</f>
        <v>95</v>
      </c>
      <c r="H96" s="3" t="str">
        <f>IFERROR(__xludf.DUMMYFUNCTION("GOOGLETRANSLATE(B96, ""it"", ""en"")"),"What is the term used to describe a ball perfectly positioned near the jack?")</f>
        <v>What is the term used to describe a ball perfectly positioned near the jack?</v>
      </c>
      <c r="I96" s="3" t="str">
        <f>IFERROR(__xludf.DUMMYFUNCTION("GOOGLETRANSLATE(C96, ""it"", ""en"")"),"A. Golden ball B. Strategic ball C. Perfect ball D. Point ball")</f>
        <v>A. Golden ball B. Strategic ball C. Perfect ball D. Point ball</v>
      </c>
      <c r="J96" s="3" t="str">
        <f>IFERROR(__xludf.DUMMYFUNCTION("GOOGLETRANSLATE(D96, ""it"", ""en"")"),"Point ball")</f>
        <v>Point ball</v>
      </c>
      <c r="K96" s="3" t="str">
        <f>IFERROR(__xludf.DUMMYFUNCTION("GOOGLETRANSLATE(E96, ""it"", ""en"")"),"A ball very close to the jack is called a point ball.")</f>
        <v>A ball very close to the jack is called a point ball.</v>
      </c>
      <c r="L96" s="2"/>
      <c r="M96" s="2"/>
      <c r="N96" s="2"/>
      <c r="O96" s="2"/>
      <c r="P96" s="2"/>
      <c r="Q96" s="2"/>
      <c r="R96" s="2"/>
      <c r="S96" s="2"/>
      <c r="T96" s="2"/>
      <c r="U96" s="2"/>
      <c r="V96" s="2"/>
      <c r="W96" s="2"/>
    </row>
    <row r="97" ht="22.5" customHeight="1">
      <c r="A97" s="3">
        <v>96.0</v>
      </c>
      <c r="B97" s="3" t="s">
        <v>945</v>
      </c>
      <c r="C97" s="3" t="s">
        <v>946</v>
      </c>
      <c r="D97" s="3" t="s">
        <v>947</v>
      </c>
      <c r="E97" s="3" t="s">
        <v>948</v>
      </c>
      <c r="F97" s="2"/>
      <c r="G97" s="3" t="str">
        <f>IFERROR(__xludf.DUMMYFUNCTION("GOOGLETRANSLATE(A97, ""it"", ""en"")"),"96")</f>
        <v>96</v>
      </c>
      <c r="H97" s="3" t="str">
        <f>IFERROR(__xludf.DUMMYFUNCTION("GOOGLETRANSLATE(B97, ""it"", ""en"")"),"What is the minimum distance between the launch line and the jack?")</f>
        <v>What is the minimum distance between the launch line and the jack?</v>
      </c>
      <c r="I97" s="3" t="str">
        <f>IFERROR(__xludf.DUMMYFUNCTION("GOOGLETRANSLATE(C97, ""it"", ""en"")"),"A. 3 meters B. 4 meters C. 5 meters D. 6 meters")</f>
        <v>A. 3 meters B. 4 meters C. 5 meters D. 6 meters</v>
      </c>
      <c r="J97" s="3" t="str">
        <f>IFERROR(__xludf.DUMMYFUNCTION("GOOGLETRANSLATE(D97, ""it"", ""en"")"),"4 meters")</f>
        <v>4 meters</v>
      </c>
      <c r="K97" s="3" t="str">
        <f>IFERROR(__xludf.DUMMYFUNCTION("GOOGLETRANSLATE(E97, ""it"", ""en"")"),"The jack must be thrown a minimum distance of 4 meters from the throwing line.")</f>
        <v>The jack must be thrown a minimum distance of 4 meters from the throwing line.</v>
      </c>
      <c r="L97" s="2"/>
      <c r="M97" s="2"/>
      <c r="N97" s="2"/>
      <c r="O97" s="2"/>
      <c r="P97" s="2"/>
      <c r="Q97" s="2"/>
      <c r="R97" s="2"/>
      <c r="S97" s="2"/>
      <c r="T97" s="2"/>
      <c r="U97" s="2"/>
      <c r="V97" s="2"/>
      <c r="W97" s="2"/>
    </row>
    <row r="98" ht="22.5" customHeight="1">
      <c r="A98" s="3">
        <v>97.0</v>
      </c>
      <c r="B98" s="3" t="s">
        <v>949</v>
      </c>
      <c r="C98" s="3" t="s">
        <v>950</v>
      </c>
      <c r="D98" s="3" t="s">
        <v>951</v>
      </c>
      <c r="E98" s="3" t="s">
        <v>952</v>
      </c>
      <c r="F98" s="2"/>
      <c r="G98" s="3" t="str">
        <f>IFERROR(__xludf.DUMMYFUNCTION("GOOGLETRANSLATE(A98, ""it"", ""en"")"),"97")</f>
        <v>97</v>
      </c>
      <c r="H98" s="3" t="str">
        <f>IFERROR(__xludf.DUMMYFUNCTION("GOOGLETRANSLATE(B98, ""it"", ""en"")"),"What happens if a thrown ball breaks the jack?")</f>
        <v>What happens if a thrown ball breaks the jack?</v>
      </c>
      <c r="I98" s="3" t="str">
        <f>IFERROR(__xludf.DUMMYFUNCTION("GOOGLETRANSLATE(C98, ""it"", ""en"")"),"A. The cue ball is replaced B. A point is awarded to the other team C. The turn is cancelled D. The game continues with the broken cue ball")</f>
        <v>A. The cue ball is replaced B. A point is awarded to the other team C. The turn is cancelled D. The game continues with the broken cue ball</v>
      </c>
      <c r="J98" s="3" t="str">
        <f>IFERROR(__xludf.DUMMYFUNCTION("GOOGLETRANSLATE(D98, ""it"", ""en"")"),"The ball is replaced")</f>
        <v>The ball is replaced</v>
      </c>
      <c r="K98" s="3" t="str">
        <f>IFERROR(__xludf.DUMMYFUNCTION("GOOGLETRANSLATE(E98, ""it"", ""en"")"),"If the cue ball breaks it is replaced without penalty.")</f>
        <v>If the cue ball breaks it is replaced without penalty.</v>
      </c>
      <c r="L98" s="2"/>
      <c r="M98" s="2"/>
      <c r="N98" s="2"/>
      <c r="O98" s="2"/>
      <c r="P98" s="2"/>
      <c r="Q98" s="2"/>
      <c r="R98" s="2"/>
      <c r="S98" s="2"/>
      <c r="T98" s="2"/>
      <c r="U98" s="2"/>
      <c r="V98" s="2"/>
      <c r="W98" s="2"/>
    </row>
    <row r="99" ht="22.5" customHeight="1">
      <c r="A99" s="3">
        <v>98.0</v>
      </c>
      <c r="B99" s="3" t="s">
        <v>953</v>
      </c>
      <c r="C99" s="3" t="s">
        <v>101</v>
      </c>
      <c r="D99" s="3">
        <v>1.0</v>
      </c>
      <c r="E99" s="3" t="s">
        <v>954</v>
      </c>
      <c r="F99" s="2"/>
      <c r="G99" s="3" t="str">
        <f>IFERROR(__xludf.DUMMYFUNCTION("GOOGLETRANSLATE(A99, ""it"", ""en"")"),"98")</f>
        <v>98</v>
      </c>
      <c r="H99" s="3" t="str">
        <f>IFERROR(__xludf.DUMMYFUNCTION("GOOGLETRANSLATE(B99, ""it"", ""en"")"),"How many referees are there in an official Bocce match?")</f>
        <v>How many referees are there in an official Bocce match?</v>
      </c>
      <c r="I99" s="3" t="str">
        <f>IFERROR(__xludf.DUMMYFUNCTION("GOOGLETRANSLATE(C99, ""it"", ""en"")"),"A. 1 B. 2 C. 3 D. 4")</f>
        <v>A. 1 B. 2 C. 3 D. 4</v>
      </c>
      <c r="J99" s="3" t="str">
        <f>IFERROR(__xludf.DUMMYFUNCTION("GOOGLETRANSLATE(D99, ""it"", ""en"")"),"1")</f>
        <v>1</v>
      </c>
      <c r="K99" s="3" t="str">
        <f>IFERROR(__xludf.DUMMYFUNCTION("GOOGLETRANSLATE(E99, ""it"", ""en"")"),"In an official Bocce match there is a main referee.")</f>
        <v>In an official Bocce match there is a main referee.</v>
      </c>
      <c r="L99" s="2"/>
      <c r="M99" s="2"/>
      <c r="N99" s="2"/>
      <c r="O99" s="2"/>
      <c r="P99" s="2"/>
      <c r="Q99" s="2"/>
      <c r="R99" s="2"/>
      <c r="S99" s="2"/>
      <c r="T99" s="2"/>
      <c r="U99" s="2"/>
      <c r="V99" s="2"/>
      <c r="W99" s="2"/>
    </row>
    <row r="100" ht="22.5" customHeight="1">
      <c r="A100" s="3">
        <v>99.0</v>
      </c>
      <c r="B100" s="3" t="s">
        <v>955</v>
      </c>
      <c r="C100" s="3" t="s">
        <v>956</v>
      </c>
      <c r="D100" s="3" t="s">
        <v>957</v>
      </c>
      <c r="E100" s="3" t="s">
        <v>958</v>
      </c>
      <c r="F100" s="2"/>
      <c r="G100" s="3" t="str">
        <f>IFERROR(__xludf.DUMMYFUNCTION("GOOGLETRANSLATE(A100, ""it"", ""en"")"),"99")</f>
        <v>99</v>
      </c>
      <c r="H100" s="3" t="str">
        <f>IFERROR(__xludf.DUMMYFUNCTION("GOOGLETRANSLATE(B100, ""it"", ""en"")"),"What does the term “spinta” represent in the game of Bocce?")</f>
        <v>What does the term “spinta” represent in the game of Bocce?</v>
      </c>
      <c r="I100" s="3" t="str">
        <f>IFERROR(__xludf.DUMMYFUNCTION("GOOGLETRANSLATE(C100, ""it"", ""en"")"),"A. A shot to bring a ball closer B. A shot to push the jack C. A shot to move an opponent's ball away D. A shot to move several balls")</f>
        <v>A. A shot to bring a ball closer B. A shot to push the jack C. A shot to move an opponent's ball away D. A shot to move several balls</v>
      </c>
      <c r="J100" s="3" t="str">
        <f>IFERROR(__xludf.DUMMYFUNCTION("GOOGLETRANSLATE(D100, ""it"", ""en"")"),"A shot to bring a ball closer")</f>
        <v>A shot to bring a ball closer</v>
      </c>
      <c r="K100" s="3" t="str">
        <f>IFERROR(__xludf.DUMMYFUNCTION("GOOGLETRANSLATE(E100, ""it"", ""en"")"),"The push is used to bring a ball closer to the jack.")</f>
        <v>The push is used to bring a ball closer to the jack.</v>
      </c>
      <c r="L100" s="2"/>
      <c r="M100" s="2"/>
      <c r="N100" s="2"/>
      <c r="O100" s="2"/>
      <c r="P100" s="2"/>
      <c r="Q100" s="2"/>
      <c r="R100" s="2"/>
      <c r="S100" s="2"/>
      <c r="T100" s="2"/>
      <c r="U100" s="2"/>
      <c r="V100" s="2"/>
      <c r="W100" s="2"/>
    </row>
    <row r="101" ht="22.5" customHeight="1">
      <c r="A101" s="3">
        <v>100.0</v>
      </c>
      <c r="B101" s="3" t="s">
        <v>959</v>
      </c>
      <c r="C101" s="3" t="s">
        <v>960</v>
      </c>
      <c r="D101" s="3" t="s">
        <v>961</v>
      </c>
      <c r="E101" s="3" t="s">
        <v>962</v>
      </c>
      <c r="F101" s="2"/>
      <c r="G101" s="3" t="str">
        <f>IFERROR(__xludf.DUMMYFUNCTION("GOOGLETRANSLATE(A101, ""it"", ""en"")"),"100")</f>
        <v>100</v>
      </c>
      <c r="H101" s="3" t="str">
        <f>IFERROR(__xludf.DUMMYFUNCTION("GOOGLETRANSLATE(B101, ""it"", ""en"")"),"What is meant by “regulation field”?")</f>
        <v>What is meant by “regulation field”?</v>
      </c>
      <c r="I101" s="3" t="str">
        <f>IFERROR(__xludf.DUMMYFUNCTION("GOOGLETRANSLATE(C101, ""it"", ""en"")"),"A. An official-sized field B. A field with custom rules C. A field open to all players D. A field with high edges")</f>
        <v>A. An official-sized field B. A field with custom rules C. A field open to all players D. A field with high edges</v>
      </c>
      <c r="J101" s="3" t="str">
        <f>IFERROR(__xludf.DUMMYFUNCTION("GOOGLETRANSLATE(D101, ""it"", ""en"")"),"An official-sized field")</f>
        <v>An official-sized field</v>
      </c>
      <c r="K101" s="3" t="str">
        <f>IFERROR(__xludf.DUMMYFUNCTION("GOOGLETRANSLATE(E101, ""it"", ""en"")"),"The regulatory field follows the official measurements.")</f>
        <v>The regulatory field follows the official measurements.</v>
      </c>
      <c r="L101" s="2"/>
      <c r="M101" s="2"/>
      <c r="N101" s="2"/>
      <c r="O101" s="2"/>
      <c r="P101" s="2"/>
      <c r="Q101" s="2"/>
      <c r="R101" s="2"/>
      <c r="S101" s="2"/>
      <c r="T101" s="2"/>
      <c r="U101" s="2"/>
      <c r="V101" s="2"/>
      <c r="W101" s="2"/>
    </row>
    <row r="102" ht="22.5" customHeight="1">
      <c r="A102" s="3">
        <v>101.0</v>
      </c>
      <c r="B102" s="3" t="s">
        <v>963</v>
      </c>
      <c r="C102" s="3" t="s">
        <v>964</v>
      </c>
      <c r="D102" s="3" t="s">
        <v>965</v>
      </c>
      <c r="E102" s="3" t="s">
        <v>966</v>
      </c>
      <c r="F102" s="2"/>
      <c r="G102" s="3" t="str">
        <f>IFERROR(__xludf.DUMMYFUNCTION("GOOGLETRANSLATE(A102, ""it"", ""en"")"),"101")</f>
        <v>101</v>
      </c>
      <c r="H102" s="3" t="str">
        <f>IFERROR(__xludf.DUMMYFUNCTION("GOOGLETRANSLATE(B102, ""it"", ""en"")"),"How is a team captain chosen?")</f>
        <v>How is a team captain chosen?</v>
      </c>
      <c r="I102" s="3" t="str">
        <f>IFERROR(__xludf.DUMMYFUNCTION("GOOGLETRANSLATE(C102, ""it"", ""en"")"),"A. At random B. By playing skill C. By experience D. By referee's decision")</f>
        <v>A. At random B. By playing skill C. By experience D. By referee's decision</v>
      </c>
      <c r="J102" s="3" t="str">
        <f>IFERROR(__xludf.DUMMYFUNCTION("GOOGLETRANSLATE(D102, ""it"", ""en"")"),"For gaming skills")</f>
        <v>For gaming skills</v>
      </c>
      <c r="K102" s="3" t="str">
        <f>IFERROR(__xludf.DUMMYFUNCTION("GOOGLETRANSLATE(E102, ""it"", ""en"")"),"The captain is often chosen for his strategic ability.")</f>
        <v>The captain is often chosen for his strategic ability.</v>
      </c>
      <c r="L102" s="2"/>
      <c r="M102" s="2"/>
      <c r="N102" s="2"/>
      <c r="O102" s="2"/>
      <c r="P102" s="2"/>
      <c r="Q102" s="2"/>
      <c r="R102" s="2"/>
      <c r="S102" s="2"/>
      <c r="T102" s="2"/>
      <c r="U102" s="2"/>
      <c r="V102" s="2"/>
      <c r="W102" s="2"/>
    </row>
    <row r="103" ht="22.5" customHeight="1">
      <c r="A103" s="3">
        <v>102.0</v>
      </c>
      <c r="B103" s="3" t="s">
        <v>967</v>
      </c>
      <c r="C103" s="3" t="s">
        <v>968</v>
      </c>
      <c r="D103" s="3" t="s">
        <v>969</v>
      </c>
      <c r="E103" s="3" t="s">
        <v>970</v>
      </c>
      <c r="F103" s="2"/>
      <c r="G103" s="3" t="str">
        <f>IFERROR(__xludf.DUMMYFUNCTION("GOOGLETRANSLATE(A103, ""it"", ""en"")"),"102")</f>
        <v>102</v>
      </c>
      <c r="H103" s="3" t="str">
        <f>IFERROR(__xludf.DUMMYFUNCTION("GOOGLETRANSLATE(B103, ""it"", ""en"")"),"What happens if a ball hits a side barrier and re-enters the field?")</f>
        <v>What happens if a ball hits a side barrier and re-enters the field?</v>
      </c>
      <c r="I103" s="3" t="str">
        <f>IFERROR(__xludf.DUMMYFUNCTION("GOOGLETRANSLATE(C103, ""it"", ""en"")"),"A. It is considered valid B. It is removed from the game C. It is re-rolled D. It is counted as an error")</f>
        <v>A. It is considered valid B. It is removed from the game C. It is re-rolled D. It is counted as an error</v>
      </c>
      <c r="J103" s="3" t="str">
        <f>IFERROR(__xludf.DUMMYFUNCTION("GOOGLETRANSLATE(D103, ""it"", ""en"")"),"It is removed from the game")</f>
        <v>It is removed from the game</v>
      </c>
      <c r="K103" s="3" t="str">
        <f>IFERROR(__xludf.DUMMYFUNCTION("GOOGLETRANSLATE(E103, ""it"", ""en"")"),"Balls that hit the barriers are removed.")</f>
        <v>Balls that hit the barriers are removed.</v>
      </c>
      <c r="L103" s="2"/>
      <c r="M103" s="2"/>
      <c r="N103" s="2"/>
      <c r="O103" s="2"/>
      <c r="P103" s="2"/>
      <c r="Q103" s="2"/>
      <c r="R103" s="2"/>
      <c r="S103" s="2"/>
      <c r="T103" s="2"/>
      <c r="U103" s="2"/>
      <c r="V103" s="2"/>
      <c r="W103" s="2"/>
    </row>
    <row r="104" ht="22.5" customHeight="1">
      <c r="A104" s="3">
        <v>103.0</v>
      </c>
      <c r="B104" s="3" t="s">
        <v>971</v>
      </c>
      <c r="C104" s="3" t="s">
        <v>972</v>
      </c>
      <c r="D104" s="3" t="s">
        <v>973</v>
      </c>
      <c r="E104" s="3" t="s">
        <v>974</v>
      </c>
      <c r="F104" s="2"/>
      <c r="G104" s="3" t="str">
        <f>IFERROR(__xludf.DUMMYFUNCTION("GOOGLETRANSLATE(A104, ""it"", ""en"")"),"103")</f>
        <v>103</v>
      </c>
      <c r="H104" s="3" t="str">
        <f>IFERROR(__xludf.DUMMYFUNCTION("GOOGLETRANSLATE(B104, ""it"", ""en"")"),"What does “strategic advantage” mean in Bocce?")</f>
        <v>What does “strategic advantage” mean in Bocce?</v>
      </c>
      <c r="I104" s="3" t="str">
        <f>IFERROR(__xludf.DUMMYFUNCTION("GOOGLETRANSLATE(C104, ""it"", ""en"")"),"A. Having more bowls near the jack B. Having the first turn C. Having a heavier bowl D. Controlling the playing field")</f>
        <v>A. Having more bowls near the jack B. Having the first turn C. Having a heavier bowl D. Controlling the playing field</v>
      </c>
      <c r="J104" s="3" t="str">
        <f>IFERROR(__xludf.DUMMYFUNCTION("GOOGLETRANSLATE(D104, ""it"", ""en"")"),"Have more bowls near the jack")</f>
        <v>Have more bowls near the jack</v>
      </c>
      <c r="K104" s="3" t="str">
        <f>IFERROR(__xludf.DUMMYFUNCTION("GOOGLETRANSLATE(E104, ""it"", ""en"")"),"The strategic advantage is given by the position of the bowls.")</f>
        <v>The strategic advantage is given by the position of the bowls.</v>
      </c>
      <c r="L104" s="2"/>
      <c r="M104" s="2"/>
      <c r="N104" s="2"/>
      <c r="O104" s="2"/>
      <c r="P104" s="2"/>
      <c r="Q104" s="2"/>
      <c r="R104" s="2"/>
      <c r="S104" s="2"/>
      <c r="T104" s="2"/>
      <c r="U104" s="2"/>
      <c r="V104" s="2"/>
      <c r="W104" s="2"/>
    </row>
    <row r="105" ht="22.5" customHeight="1">
      <c r="A105" s="3">
        <v>104.0</v>
      </c>
      <c r="B105" s="3" t="s">
        <v>975</v>
      </c>
      <c r="C105" s="3" t="s">
        <v>976</v>
      </c>
      <c r="D105" s="3" t="s">
        <v>977</v>
      </c>
      <c r="E105" s="3" t="s">
        <v>978</v>
      </c>
      <c r="F105" s="2"/>
      <c r="G105" s="3" t="str">
        <f>IFERROR(__xludf.DUMMYFUNCTION("GOOGLETRANSLATE(A105, ""it"", ""en"")"),"104")</f>
        <v>104</v>
      </c>
      <c r="H105" s="3" t="str">
        <f>IFERROR(__xludf.DUMMYFUNCTION("GOOGLETRANSLATE(B105, ""it"", ""en"")"),"What is the maximum time for a regulation game of Bocce?")</f>
        <v>What is the maximum time for a regulation game of Bocce?</v>
      </c>
      <c r="I105" s="3" t="str">
        <f>IFERROR(__xludf.DUMMYFUNCTION("GOOGLETRANSLATE(C105, ""it"", ""en"")"),"A. 1 hour B. 1 hour and 30 minutes C. 2 hours D. Unlimited time")</f>
        <v>A. 1 hour B. 1 hour and 30 minutes C. 2 hours D. Unlimited time</v>
      </c>
      <c r="J105" s="3" t="str">
        <f>IFERROR(__xludf.DUMMYFUNCTION("GOOGLETRANSLATE(D105, ""it"", ""en"")"),"1 hour and 30 minutes")</f>
        <v>1 hour and 30 minutes</v>
      </c>
      <c r="K105" s="3" t="str">
        <f>IFERROR(__xludf.DUMMYFUNCTION("GOOGLETRANSLATE(E105, ""it"", ""en"")"),"A regular match lasts a maximum of 1 hour and 30 minutes.")</f>
        <v>A regular match lasts a maximum of 1 hour and 30 minutes.</v>
      </c>
      <c r="L105" s="2"/>
      <c r="M105" s="2"/>
      <c r="N105" s="2"/>
      <c r="O105" s="2"/>
      <c r="P105" s="2"/>
      <c r="Q105" s="2"/>
      <c r="R105" s="2"/>
      <c r="S105" s="2"/>
      <c r="T105" s="2"/>
      <c r="U105" s="2"/>
      <c r="V105" s="2"/>
      <c r="W105" s="2"/>
    </row>
    <row r="106" ht="22.5" customHeight="1">
      <c r="A106" s="3">
        <v>105.0</v>
      </c>
      <c r="B106" s="3" t="s">
        <v>979</v>
      </c>
      <c r="C106" s="3" t="s">
        <v>980</v>
      </c>
      <c r="D106" s="3" t="s">
        <v>981</v>
      </c>
      <c r="E106" s="3" t="s">
        <v>982</v>
      </c>
      <c r="F106" s="2"/>
      <c r="G106" s="3" t="str">
        <f>IFERROR(__xludf.DUMMYFUNCTION("GOOGLETRANSLATE(A106, ""it"", ""en"")"),"105")</f>
        <v>105</v>
      </c>
      <c r="H106" s="3" t="str">
        <f>IFERROR(__xludf.DUMMYFUNCTION("GOOGLETRANSLATE(B106, ""it"", ""en"")"),"What happens if the cue ball doesn't reach the minimum distance when thrown?")</f>
        <v>What happens if the cue ball doesn't reach the minimum distance when thrown?</v>
      </c>
      <c r="I106" s="3" t="str">
        <f>IFERROR(__xludf.DUMMYFUNCTION("GOOGLETRANSLATE(C106, ""it"", ""en"")"),"A. The turn is cancelled B. The jack is thrown again C. The turn passes to the opponent D. The game continues without the jack")</f>
        <v>A. The turn is cancelled B. The jack is thrown again C. The turn passes to the opponent D. The game continues without the jack</v>
      </c>
      <c r="J106" s="3" t="str">
        <f>IFERROR(__xludf.DUMMYFUNCTION("GOOGLETRANSLATE(D106, ""it"", ""en"")"),"The ball is thrown again")</f>
        <v>The ball is thrown again</v>
      </c>
      <c r="K106" s="3" t="str">
        <f>IFERROR(__xludf.DUMMYFUNCTION("GOOGLETRANSLATE(E106, ""it"", ""en"")"),"The jack must be re-thrown until it reaches the minimum distance.")</f>
        <v>The jack must be re-thrown until it reaches the minimum distance.</v>
      </c>
      <c r="L106" s="2"/>
      <c r="M106" s="2"/>
      <c r="N106" s="2"/>
      <c r="O106" s="2"/>
      <c r="P106" s="2"/>
      <c r="Q106" s="2"/>
      <c r="R106" s="2"/>
      <c r="S106" s="2"/>
      <c r="T106" s="2"/>
      <c r="U106" s="2"/>
      <c r="V106" s="2"/>
      <c r="W106" s="2"/>
    </row>
    <row r="107" ht="22.5" customHeight="1">
      <c r="A107" s="3">
        <v>106.0</v>
      </c>
      <c r="B107" s="3" t="s">
        <v>983</v>
      </c>
      <c r="C107" s="3" t="s">
        <v>984</v>
      </c>
      <c r="D107" s="3">
        <v>4.0</v>
      </c>
      <c r="E107" s="3" t="s">
        <v>985</v>
      </c>
      <c r="F107" s="2"/>
      <c r="G107" s="3" t="str">
        <f>IFERROR(__xludf.DUMMYFUNCTION("GOOGLETRANSLATE(A107, ""it"", ""en"")"),"106")</f>
        <v>106</v>
      </c>
      <c r="H107" s="3" t="str">
        <f>IFERROR(__xludf.DUMMYFUNCTION("GOOGLETRANSLATE(B107, ""it"", ""en"")"),"What is the maximum number of players per team in a traditional Bocce game?")</f>
        <v>What is the maximum number of players per team in a traditional Bocce game?</v>
      </c>
      <c r="I107" s="3" t="str">
        <f>IFERROR(__xludf.DUMMYFUNCTION("GOOGLETRANSLATE(C107, ""it"", ""en"")"),"A. 2 B. 4 C. 6 D. 8")</f>
        <v>A. 2 B. 4 C. 6 D. 8</v>
      </c>
      <c r="J107" s="3" t="str">
        <f>IFERROR(__xludf.DUMMYFUNCTION("GOOGLETRANSLATE(D107, ""it"", ""en"")"),"4")</f>
        <v>4</v>
      </c>
      <c r="K107" s="3" t="str">
        <f>IFERROR(__xludf.DUMMYFUNCTION("GOOGLETRANSLATE(E107, ""it"", ""en"")"),"Each team can have a maximum of 4 players in a traditional game.")</f>
        <v>Each team can have a maximum of 4 players in a traditional game.</v>
      </c>
      <c r="L107" s="2"/>
      <c r="M107" s="2"/>
      <c r="N107" s="2"/>
      <c r="O107" s="2"/>
      <c r="P107" s="2"/>
      <c r="Q107" s="2"/>
      <c r="R107" s="2"/>
      <c r="S107" s="2"/>
      <c r="T107" s="2"/>
      <c r="U107" s="2"/>
      <c r="V107" s="2"/>
      <c r="W107" s="2"/>
    </row>
    <row r="108" ht="22.5" customHeight="1">
      <c r="A108" s="3">
        <v>107.0</v>
      </c>
      <c r="B108" s="3" t="s">
        <v>986</v>
      </c>
      <c r="C108" s="3" t="s">
        <v>987</v>
      </c>
      <c r="D108" s="3" t="s">
        <v>988</v>
      </c>
      <c r="E108" s="3" t="s">
        <v>989</v>
      </c>
      <c r="F108" s="2"/>
      <c r="G108" s="3" t="str">
        <f>IFERROR(__xludf.DUMMYFUNCTION("GOOGLETRANSLATE(A108, ""it"", ""en"")"),"107")</f>
        <v>107</v>
      </c>
      <c r="H108" s="3" t="str">
        <f>IFERROR(__xludf.DUMMYFUNCTION("GOOGLETRANSLATE(B108, ""it"", ""en"")"),"What should you do if two balls are the same distance from the jack?")</f>
        <v>What should you do if two balls are the same distance from the jack?</v>
      </c>
      <c r="I108" s="3" t="str">
        <f>IFERROR(__xludf.DUMMYFUNCTION("GOOGLETRANSLATE(C108, ""it"", ""en"")"),"A. Award a point to both teams B. Throw the balls again C. Take a new measurement D. The round is cancelled")</f>
        <v>A. Award a point to both teams B. Throw the balls again C. Take a new measurement D. The round is cancelled</v>
      </c>
      <c r="J108" s="3" t="str">
        <f>IFERROR(__xludf.DUMMYFUNCTION("GOOGLETRANSLATE(D108, ""it"", ""en"")"),"Take a new measurement")</f>
        <v>Take a new measurement</v>
      </c>
      <c r="K108" s="3" t="str">
        <f>IFERROR(__xludf.DUMMYFUNCTION("GOOGLETRANSLATE(E108, ""it"", ""en"")"),"A new measurement is needed to decide.")</f>
        <v>A new measurement is needed to decide.</v>
      </c>
      <c r="L108" s="2"/>
      <c r="M108" s="2"/>
      <c r="N108" s="2"/>
      <c r="O108" s="2"/>
      <c r="P108" s="2"/>
      <c r="Q108" s="2"/>
      <c r="R108" s="2"/>
      <c r="S108" s="2"/>
      <c r="T108" s="2"/>
      <c r="U108" s="2"/>
      <c r="V108" s="2"/>
      <c r="W108" s="2"/>
    </row>
    <row r="109" ht="22.5" customHeight="1">
      <c r="A109" s="3">
        <v>108.0</v>
      </c>
      <c r="B109" s="3" t="s">
        <v>990</v>
      </c>
      <c r="C109" s="3" t="s">
        <v>991</v>
      </c>
      <c r="D109" s="3" t="s">
        <v>992</v>
      </c>
      <c r="E109" s="3" t="s">
        <v>993</v>
      </c>
      <c r="F109" s="2"/>
      <c r="G109" s="3" t="str">
        <f>IFERROR(__xludf.DUMMYFUNCTION("GOOGLETRANSLATE(A109, ""it"", ""en"")"),"108")</f>
        <v>108</v>
      </c>
      <c r="H109" s="3" t="str">
        <f>IFERROR(__xludf.DUMMYFUNCTION("GOOGLETRANSLATE(B109, ""it"", ""en"")"),"What is the ideal angle for a precision shot?")</f>
        <v>What is the ideal angle for a precision shot?</v>
      </c>
      <c r="I109" s="3" t="str">
        <f>IFERROR(__xludf.DUMMYFUNCTION("GOOGLETRANSLATE(C109, ""it"", ""en"")"),"A. 20° B. 30° C. 45° D. 60°")</f>
        <v>A. 20° B. 30° C. 45° D. 60°</v>
      </c>
      <c r="J109" s="3" t="str">
        <f>IFERROR(__xludf.DUMMYFUNCTION("GOOGLETRANSLATE(D109, ""it"", ""en"")"),"45°")</f>
        <v>45°</v>
      </c>
      <c r="K109" s="3" t="str">
        <f>IFERROR(__xludf.DUMMYFUNCTION("GOOGLETRANSLATE(E109, ""it"", ""en"")"),"A 45° angle is ideal for precision shooting.")</f>
        <v>A 45° angle is ideal for precision shooting.</v>
      </c>
      <c r="L109" s="2"/>
      <c r="M109" s="2"/>
      <c r="N109" s="2"/>
      <c r="O109" s="2"/>
      <c r="P109" s="2"/>
      <c r="Q109" s="2"/>
      <c r="R109" s="2"/>
      <c r="S109" s="2"/>
      <c r="T109" s="2"/>
      <c r="U109" s="2"/>
      <c r="V109" s="2"/>
      <c r="W109" s="2"/>
    </row>
    <row r="110" ht="22.5" customHeight="1">
      <c r="A110" s="3">
        <v>109.0</v>
      </c>
      <c r="B110" s="3" t="s">
        <v>994</v>
      </c>
      <c r="C110" s="3" t="s">
        <v>995</v>
      </c>
      <c r="D110" s="3" t="s">
        <v>996</v>
      </c>
      <c r="E110" s="3" t="s">
        <v>997</v>
      </c>
      <c r="F110" s="2"/>
      <c r="G110" s="3" t="str">
        <f>IFERROR(__xludf.DUMMYFUNCTION("GOOGLETRANSLATE(A110, ""it"", ""en"")"),"109")</f>
        <v>109</v>
      </c>
      <c r="H110" s="3" t="str">
        <f>IFERROR(__xludf.DUMMYFUNCTION("GOOGLETRANSLATE(B110, ""it"", ""en"")"),"How do you handle a ball that lands exactly on the sideline?")</f>
        <v>How do you handle a ball that lands exactly on the sideline?</v>
      </c>
      <c r="I110" s="3" t="str">
        <f>IFERROR(__xludf.DUMMYFUNCTION("GOOGLETRANSLATE(C110, ""it"", ""en"")"),"A. It is considered out B. It is considered valid C. It must be re-thrown D. It is removed from the field")</f>
        <v>A. It is considered out B. It is considered valid C. It must be re-thrown D. It is removed from the field</v>
      </c>
      <c r="J110" s="3" t="str">
        <f>IFERROR(__xludf.DUMMYFUNCTION("GOOGLETRANSLATE(D110, ""it"", ""en"")"),"It is considered valid")</f>
        <v>It is considered valid</v>
      </c>
      <c r="K110" s="3" t="str">
        <f>IFERROR(__xludf.DUMMYFUNCTION("GOOGLETRANSLATE(E110, ""it"", ""en"")"),"Balls on the sideline are valid.")</f>
        <v>Balls on the sideline are valid.</v>
      </c>
      <c r="L110" s="2"/>
      <c r="M110" s="2"/>
      <c r="N110" s="2"/>
      <c r="O110" s="2"/>
      <c r="P110" s="2"/>
      <c r="Q110" s="2"/>
      <c r="R110" s="2"/>
      <c r="S110" s="2"/>
      <c r="T110" s="2"/>
      <c r="U110" s="2"/>
      <c r="V110" s="2"/>
      <c r="W110" s="2"/>
    </row>
    <row r="111" ht="22.5" customHeight="1">
      <c r="A111" s="3">
        <v>110.0</v>
      </c>
      <c r="B111" s="3" t="s">
        <v>998</v>
      </c>
      <c r="C111" s="3" t="s">
        <v>999</v>
      </c>
      <c r="D111" s="3" t="s">
        <v>1000</v>
      </c>
      <c r="E111" s="3" t="s">
        <v>1001</v>
      </c>
      <c r="F111" s="2"/>
      <c r="G111" s="3" t="str">
        <f>IFERROR(__xludf.DUMMYFUNCTION("GOOGLETRANSLATE(A111, ""it"", ""en"")"),"110")</f>
        <v>110</v>
      </c>
      <c r="H111" s="3" t="str">
        <f>IFERROR(__xludf.DUMMYFUNCTION("GOOGLETRANSLATE(B111, ""it"", ""en"")"),"What is meant by “neutral zone” in a Bocce court?")</f>
        <v>What is meant by “neutral zone” in a Bocce court?</v>
      </c>
      <c r="I111" s="3" t="str">
        <f>IFERROR(__xludf.DUMMYFUNCTION("GOOGLETRANSLATE(C111, ""it"", ""en"")"),"A. An area without bowls B. The central area of ​​the court C. The area between the throwing line and the jack D. The area behind the jack")</f>
        <v>A. An area without bowls B. The central area of ​​the court C. The area between the throwing line and the jack D. The area behind the jack</v>
      </c>
      <c r="J111" s="3" t="str">
        <f>IFERROR(__xludf.DUMMYFUNCTION("GOOGLETRANSLATE(D111, ""it"", ""en"")"),"The central area of ​​the field")</f>
        <v>The central area of ​​the field</v>
      </c>
      <c r="K111" s="3" t="str">
        <f>IFERROR(__xludf.DUMMYFUNCTION("GOOGLETRANSLATE(E111, ""it"", ""en"")"),"The neutral zone is the central part of the court.")</f>
        <v>The neutral zone is the central part of the court.</v>
      </c>
      <c r="L111" s="2"/>
      <c r="M111" s="2"/>
      <c r="N111" s="2"/>
      <c r="O111" s="2"/>
      <c r="P111" s="2"/>
      <c r="Q111" s="2"/>
      <c r="R111" s="2"/>
      <c r="S111" s="2"/>
      <c r="T111" s="2"/>
      <c r="U111" s="2"/>
      <c r="V111" s="2"/>
      <c r="W111" s="2"/>
    </row>
    <row r="112" ht="22.5" customHeight="1">
      <c r="A112" s="3">
        <v>111.0</v>
      </c>
      <c r="B112" s="3" t="s">
        <v>1002</v>
      </c>
      <c r="C112" s="3" t="s">
        <v>1003</v>
      </c>
      <c r="D112" s="3" t="s">
        <v>1004</v>
      </c>
      <c r="E112" s="3" t="s">
        <v>1005</v>
      </c>
      <c r="F112" s="2"/>
      <c r="G112" s="3" t="str">
        <f>IFERROR(__xludf.DUMMYFUNCTION("GOOGLETRANSLATE(A112, ""it"", ""en"")"),"111")</f>
        <v>111</v>
      </c>
      <c r="H112" s="3" t="str">
        <f>IFERROR(__xludf.DUMMYFUNCTION("GOOGLETRANSLATE(B112, ""it"", ""en"")"),"What happens if the cue ball stops on the baseline?")</f>
        <v>What happens if the cue ball stops on the baseline?</v>
      </c>
      <c r="I112" s="3" t="str">
        <f>IFERROR(__xludf.DUMMYFUNCTION("GOOGLETRANSLATE(C112, ""it"", ""en"")"),"A. It is considered valid B. It is repositioned C. The turn is cancelled D. The game continues without the ball")</f>
        <v>A. It is considered valid B. It is repositioned C. The turn is cancelled D. The game continues without the ball</v>
      </c>
      <c r="J112" s="3" t="str">
        <f>IFERROR(__xludf.DUMMYFUNCTION("GOOGLETRANSLATE(D112, ""it"", ""en"")"),"It is considered valid")</f>
        <v>It is considered valid</v>
      </c>
      <c r="K112" s="3" t="str">
        <f>IFERROR(__xludf.DUMMYFUNCTION("GOOGLETRANSLATE(E112, ""it"", ""en"")"),"The ball is valid even if it stops on the baseline.")</f>
        <v>The ball is valid even if it stops on the baseline.</v>
      </c>
      <c r="L112" s="2"/>
      <c r="M112" s="2"/>
      <c r="N112" s="2"/>
      <c r="O112" s="2"/>
      <c r="P112" s="2"/>
      <c r="Q112" s="2"/>
      <c r="R112" s="2"/>
      <c r="S112" s="2"/>
      <c r="T112" s="2"/>
      <c r="U112" s="2"/>
      <c r="V112" s="2"/>
      <c r="W112" s="2"/>
    </row>
    <row r="113" ht="22.5" customHeight="1">
      <c r="A113" s="3">
        <v>112.0</v>
      </c>
      <c r="B113" s="3" t="s">
        <v>1006</v>
      </c>
      <c r="C113" s="3" t="s">
        <v>1007</v>
      </c>
      <c r="D113" s="3" t="s">
        <v>1008</v>
      </c>
      <c r="E113" s="3" t="s">
        <v>1009</v>
      </c>
      <c r="F113" s="2"/>
      <c r="G113" s="3" t="str">
        <f>IFERROR(__xludf.DUMMYFUNCTION("GOOGLETRANSLATE(A113, ""it"", ""en"")"),"112")</f>
        <v>112</v>
      </c>
      <c r="H113" s="3" t="str">
        <f>IFERROR(__xludf.DUMMYFUNCTION("GOOGLETRANSLATE(B113, ""it"", ""en"")"),"What is used to accurately measure the distance of bowls?")</f>
        <v>What is used to accurately measure the distance of bowls?</v>
      </c>
      <c r="I113" s="3" t="str">
        <f>IFERROR(__xludf.DUMMYFUNCTION("GOOGLETRANSLATE(C113, ""it"", ""en"")"),"A. A laser B. A caliper C. A special tape measure D. A precision ruler")</f>
        <v>A. A laser B. A caliper C. A special tape measure D. A precision ruler</v>
      </c>
      <c r="J113" s="3" t="str">
        <f>IFERROR(__xludf.DUMMYFUNCTION("GOOGLETRANSLATE(D113, ""it"", ""en"")"),"A caliber")</f>
        <v>A caliber</v>
      </c>
      <c r="K113" s="3" t="str">
        <f>IFERROR(__xludf.DUMMYFUNCTION("GOOGLETRANSLATE(E113, ""it"", ""en"")"),"The caliper is used for precise measurements.")</f>
        <v>The caliper is used for precise measurements.</v>
      </c>
      <c r="L113" s="2"/>
      <c r="M113" s="2"/>
      <c r="N113" s="2"/>
      <c r="O113" s="2"/>
      <c r="P113" s="2"/>
      <c r="Q113" s="2"/>
      <c r="R113" s="2"/>
      <c r="S113" s="2"/>
      <c r="T113" s="2"/>
      <c r="U113" s="2"/>
      <c r="V113" s="2"/>
      <c r="W113" s="2"/>
    </row>
    <row r="114" ht="22.5" customHeight="1">
      <c r="A114" s="3">
        <v>113.0</v>
      </c>
      <c r="B114" s="3" t="s">
        <v>1010</v>
      </c>
      <c r="C114" s="3" t="s">
        <v>1011</v>
      </c>
      <c r="D114" s="3" t="s">
        <v>1012</v>
      </c>
      <c r="E114" s="3" t="s">
        <v>1013</v>
      </c>
      <c r="F114" s="2"/>
      <c r="G114" s="3" t="str">
        <f>IFERROR(__xludf.DUMMYFUNCTION("GOOGLETRANSLATE(A114, ""it"", ""en"")"),"113")</f>
        <v>113</v>
      </c>
      <c r="H114" s="3" t="str">
        <f>IFERROR(__xludf.DUMMYFUNCTION("GOOGLETRANSLATE(B114, ""it"", ""en"")"),"What is the name of the initial phase of the game in which the jack is thrown?")</f>
        <v>What is the name of the initial phase of the game in which the jack is thrown?</v>
      </c>
      <c r="I114" s="3" t="str">
        <f>IFERROR(__xludf.DUMMYFUNCTION("GOOGLETRANSLATE(C114, ""it"", ""en"")"),"A. Start of the game B. Break shot C. Initial throw D. Start of the turn")</f>
        <v>A. Start of the game B. Break shot C. Initial throw D. Start of the turn</v>
      </c>
      <c r="J114" s="3" t="str">
        <f>IFERROR(__xludf.DUMMYFUNCTION("GOOGLETRANSLATE(D114, ""it"", ""en"")"),"Opening shot")</f>
        <v>Opening shot</v>
      </c>
      <c r="K114" s="3" t="str">
        <f>IFERROR(__xludf.DUMMYFUNCTION("GOOGLETRANSLATE(E114, ""it"", ""en"")"),"The initial phase is called the opening shot.")</f>
        <v>The initial phase is called the opening shot.</v>
      </c>
      <c r="L114" s="2"/>
      <c r="M114" s="2"/>
      <c r="N114" s="2"/>
      <c r="O114" s="2"/>
      <c r="P114" s="2"/>
      <c r="Q114" s="2"/>
      <c r="R114" s="2"/>
      <c r="S114" s="2"/>
      <c r="T114" s="2"/>
      <c r="U114" s="2"/>
      <c r="V114" s="2"/>
      <c r="W114" s="2"/>
    </row>
    <row r="115" ht="22.5" customHeight="1">
      <c r="A115" s="3">
        <v>114.0</v>
      </c>
      <c r="B115" s="3" t="s">
        <v>1014</v>
      </c>
      <c r="C115" s="3" t="s">
        <v>1015</v>
      </c>
      <c r="D115" s="3" t="s">
        <v>1016</v>
      </c>
      <c r="E115" s="3" t="s">
        <v>1017</v>
      </c>
      <c r="F115" s="2"/>
      <c r="G115" s="3" t="str">
        <f>IFERROR(__xludf.DUMMYFUNCTION("GOOGLETRANSLATE(A115, ""it"", ""en"")"),"114")</f>
        <v>114</v>
      </c>
      <c r="H115" s="3" t="str">
        <f>IFERROR(__xludf.DUMMYFUNCTION("GOOGLETRANSLATE(B115, ""it"", ""en"")"),"What happens if a team fails to reach the maximum score after the time limit?")</f>
        <v>What happens if a team fails to reach the maximum score after the time limit?</v>
      </c>
      <c r="I115" s="3" t="str">
        <f>IFERROR(__xludf.DUMMYFUNCTION("GOOGLETRANSLATE(C115, ""it"", ""en"")"),"A. The game continues B. The game ends and the player with the most points wins C. The game is cancelled D. The game ends in a draw")</f>
        <v>A. The game continues B. The game ends and the player with the most points wins C. The game is cancelled D. The game ends in a draw</v>
      </c>
      <c r="J115" s="3" t="str">
        <f>IFERROR(__xludf.DUMMYFUNCTION("GOOGLETRANSLATE(D115, ""it"", ""en"")"),"The game ends and whoever has the most points wins.")</f>
        <v>The game ends and whoever has the most points wins.</v>
      </c>
      <c r="K115" s="3" t="str">
        <f>IFERROR(__xludf.DUMMYFUNCTION("GOOGLETRANSLATE(E115, ""it"", ""en"")"),"At the end of the time limit, the player with the most points wins.")</f>
        <v>At the end of the time limit, the player with the most points wins.</v>
      </c>
      <c r="L115" s="2"/>
      <c r="M115" s="2"/>
      <c r="N115" s="2"/>
      <c r="O115" s="2"/>
      <c r="P115" s="2"/>
      <c r="Q115" s="2"/>
      <c r="R115" s="2"/>
      <c r="S115" s="2"/>
      <c r="T115" s="2"/>
      <c r="U115" s="2"/>
      <c r="V115" s="2"/>
      <c r="W115" s="2"/>
    </row>
    <row r="116" ht="22.5" customHeight="1">
      <c r="A116" s="3">
        <v>115.0</v>
      </c>
      <c r="B116" s="3" t="s">
        <v>1018</v>
      </c>
      <c r="C116" s="3" t="s">
        <v>1019</v>
      </c>
      <c r="D116" s="3" t="s">
        <v>1020</v>
      </c>
      <c r="E116" s="3" t="s">
        <v>1021</v>
      </c>
      <c r="F116" s="2"/>
      <c r="G116" s="3" t="str">
        <f>IFERROR(__xludf.DUMMYFUNCTION("GOOGLETRANSLATE(A116, ""it"", ""en"")"),"115")</f>
        <v>115</v>
      </c>
      <c r="H116" s="3" t="str">
        <f>IFERROR(__xludf.DUMMYFUNCTION("GOOGLETRANSLATE(B116, ""it"", ""en"")"),"What does “opponent’s bowl” mean?")</f>
        <v>What does “opponent’s bowl” mean?</v>
      </c>
      <c r="I116" s="3" t="str">
        <f>IFERROR(__xludf.DUMMYFUNCTION("GOOGLETRANSLATE(C116, ""it"", ""en"")"),"A. A ball of a different color B. A ball belonging to the opposing team C. A ball that hits the jack D. A ball outside the court")</f>
        <v>A. A ball of a different color B. A ball belonging to the opposing team C. A ball that hits the jack D. A ball outside the court</v>
      </c>
      <c r="J116" s="3" t="str">
        <f>IFERROR(__xludf.DUMMYFUNCTION("GOOGLETRANSLATE(D116, ""it"", ""en"")"),"A bowl belonging to the opposing team")</f>
        <v>A bowl belonging to the opposing team</v>
      </c>
      <c r="K116" s="3" t="str">
        <f>IFERROR(__xludf.DUMMYFUNCTION("GOOGLETRANSLATE(E116, ""it"", ""en"")"),"The opposing bowls are those of the other team.")</f>
        <v>The opposing bowls are those of the other team.</v>
      </c>
      <c r="L116" s="2"/>
      <c r="M116" s="2"/>
      <c r="N116" s="2"/>
      <c r="O116" s="2"/>
      <c r="P116" s="2"/>
      <c r="Q116" s="2"/>
      <c r="R116" s="2"/>
      <c r="S116" s="2"/>
      <c r="T116" s="2"/>
      <c r="U116" s="2"/>
      <c r="V116" s="2"/>
      <c r="W116" s="2"/>
    </row>
    <row r="117" ht="22.5" customHeight="1">
      <c r="A117" s="3">
        <v>116.0</v>
      </c>
      <c r="B117" s="3" t="s">
        <v>1022</v>
      </c>
      <c r="C117" s="3" t="s">
        <v>1023</v>
      </c>
      <c r="D117" s="3" t="s">
        <v>1024</v>
      </c>
      <c r="E117" s="3" t="s">
        <v>1025</v>
      </c>
      <c r="F117" s="2"/>
      <c r="G117" s="3" t="str">
        <f>IFERROR(__xludf.DUMMYFUNCTION("GOOGLETRANSLATE(A117, ""it"", ""en"")"),"116")</f>
        <v>116</v>
      </c>
      <c r="H117" s="3" t="str">
        <f>IFERROR(__xludf.DUMMYFUNCTION("GOOGLETRANSLATE(B117, ""it"", ""en"")"),"What does the term “precision” represent in the game of Bocce?")</f>
        <v>What does the term “precision” represent in the game of Bocce?</v>
      </c>
      <c r="I117" s="3" t="str">
        <f>IFERROR(__xludf.DUMMYFUNCTION("GOOGLETRANSLATE(C117, ""it"", ""en"")"),"A. The ability to hit other balls B. The ability to bring the ball closer to the jack C. The force of the throw D. The speed of the throw")</f>
        <v>A. The ability to hit other balls B. The ability to bring the ball closer to the jack C. The force of the throw D. The speed of the throw</v>
      </c>
      <c r="J117" s="3" t="str">
        <f>IFERROR(__xludf.DUMMYFUNCTION("GOOGLETRANSLATE(D117, ""it"", ""en"")"),"The ability to bring the ball closer to the jack")</f>
        <v>The ability to bring the ball closer to the jack</v>
      </c>
      <c r="K117" s="3" t="str">
        <f>IFERROR(__xludf.DUMMYFUNCTION("GOOGLETRANSLATE(E117, ""it"", ""en"")"),"Accuracy is key to getting close to the cue ball.")</f>
        <v>Accuracy is key to getting close to the cue ball.</v>
      </c>
      <c r="L117" s="2"/>
      <c r="M117" s="2"/>
      <c r="N117" s="2"/>
      <c r="O117" s="2"/>
      <c r="P117" s="2"/>
      <c r="Q117" s="2"/>
      <c r="R117" s="2"/>
      <c r="S117" s="2"/>
      <c r="T117" s="2"/>
      <c r="U117" s="2"/>
      <c r="V117" s="2"/>
      <c r="W117" s="2"/>
    </row>
    <row r="118" ht="22.5" customHeight="1">
      <c r="A118" s="3">
        <v>117.0</v>
      </c>
      <c r="B118" s="3" t="s">
        <v>1026</v>
      </c>
      <c r="C118" s="3" t="s">
        <v>1027</v>
      </c>
      <c r="D118" s="3" t="s">
        <v>290</v>
      </c>
      <c r="E118" s="3" t="s">
        <v>1028</v>
      </c>
      <c r="F118" s="2"/>
      <c r="G118" s="3" t="str">
        <f>IFERROR(__xludf.DUMMYFUNCTION("GOOGLETRANSLATE(A118, ""it"", ""en"")"),"117")</f>
        <v>117</v>
      </c>
      <c r="H118" s="3" t="str">
        <f>IFERROR(__xludf.DUMMYFUNCTION("GOOGLETRANSLATE(B118, ""it"", ""en"")"),"How is the color of the bowls chosen for each team?")</f>
        <v>How is the color of the bowls chosen for each team?</v>
      </c>
      <c r="I118" s="3" t="str">
        <f>IFERROR(__xludf.DUMMYFUNCTION("GOOGLETRANSLATE(C118, ""it"", ""en"")"),"A. Draw B. Referee's decision C. Random delivery D. Player selection")</f>
        <v>A. Draw B. Referee's decision C. Random delivery D. Player selection</v>
      </c>
      <c r="J118" s="3" t="str">
        <f>IFERROR(__xludf.DUMMYFUNCTION("GOOGLETRANSLATE(D118, ""it"", ""en"")"),"Draw")</f>
        <v>Draw</v>
      </c>
      <c r="K118" s="3" t="str">
        <f>IFERROR(__xludf.DUMMYFUNCTION("GOOGLETRANSLATE(E118, ""it"", ""en"")"),"The color of the balls is assigned by drawing lots.")</f>
        <v>The color of the balls is assigned by drawing lots.</v>
      </c>
      <c r="L118" s="2"/>
      <c r="M118" s="2"/>
      <c r="N118" s="2"/>
      <c r="O118" s="2"/>
      <c r="P118" s="2"/>
      <c r="Q118" s="2"/>
      <c r="R118" s="2"/>
      <c r="S118" s="2"/>
      <c r="T118" s="2"/>
      <c r="U118" s="2"/>
      <c r="V118" s="2"/>
      <c r="W118" s="2"/>
    </row>
    <row r="119" ht="22.5" customHeight="1">
      <c r="A119" s="3">
        <v>118.0</v>
      </c>
      <c r="B119" s="3" t="s">
        <v>1029</v>
      </c>
      <c r="C119" s="3" t="s">
        <v>1030</v>
      </c>
      <c r="D119" s="3" t="s">
        <v>1031</v>
      </c>
      <c r="E119" s="3" t="s">
        <v>1032</v>
      </c>
      <c r="F119" s="2"/>
      <c r="G119" s="3" t="str">
        <f>IFERROR(__xludf.DUMMYFUNCTION("GOOGLETRANSLATE(A119, ""it"", ""en"")"),"118")</f>
        <v>118</v>
      </c>
      <c r="H119" s="3" t="str">
        <f>IFERROR(__xludf.DUMMYFUNCTION("GOOGLETRANSLATE(B119, ""it"", ""en"")"),"What is the referee's role in scoring disputes?")</f>
        <v>What is the referee's role in scoring disputes?</v>
      </c>
      <c r="I119" s="3" t="str">
        <f>IFERROR(__xludf.DUMMYFUNCTION("GOOGLETRANSLATE(C119, ""it"", ""en"")"),"A. Award a point to each team B. Consult the players C. Take an official measurement D. Decide randomly")</f>
        <v>A. Award a point to each team B. Consult the players C. Take an official measurement D. Decide randomly</v>
      </c>
      <c r="J119" s="3" t="str">
        <f>IFERROR(__xludf.DUMMYFUNCTION("GOOGLETRANSLATE(D119, ""it"", ""en"")"),"Carry out an official measurement")</f>
        <v>Carry out an official measurement</v>
      </c>
      <c r="K119" s="3" t="str">
        <f>IFERROR(__xludf.DUMMYFUNCTION("GOOGLETRANSLATE(E119, ""it"", ""en"")"),"The arbitrator measures to resolve disputes.")</f>
        <v>The arbitrator measures to resolve disputes.</v>
      </c>
      <c r="L119" s="2"/>
      <c r="M119" s="2"/>
      <c r="N119" s="2"/>
      <c r="O119" s="2"/>
      <c r="P119" s="2"/>
      <c r="Q119" s="2"/>
      <c r="R119" s="2"/>
      <c r="S119" s="2"/>
      <c r="T119" s="2"/>
      <c r="U119" s="2"/>
      <c r="V119" s="2"/>
      <c r="W119" s="2"/>
    </row>
    <row r="120" ht="22.5" customHeight="1">
      <c r="A120" s="3">
        <v>119.0</v>
      </c>
      <c r="B120" s="3" t="s">
        <v>1033</v>
      </c>
      <c r="C120" s="3" t="s">
        <v>1034</v>
      </c>
      <c r="D120" s="3" t="s">
        <v>837</v>
      </c>
      <c r="E120" s="3" t="s">
        <v>1035</v>
      </c>
      <c r="F120" s="2"/>
      <c r="G120" s="3" t="str">
        <f>IFERROR(__xludf.DUMMYFUNCTION("GOOGLETRANSLATE(A120, ""it"", ""en"")"),"119")</f>
        <v>119</v>
      </c>
      <c r="H120" s="3" t="str">
        <f>IFERROR(__xludf.DUMMYFUNCTION("GOOGLETRANSLATE(B120, ""it"", ""en"")"),"What happens if the jack is touched by a moving ball?")</f>
        <v>What happens if the jack is touched by a moving ball?</v>
      </c>
      <c r="I120" s="3" t="str">
        <f>IFERROR(__xludf.DUMMYFUNCTION("GOOGLETRANSLATE(C120, ""it"", ""en"")"),"A. The game continues normally B. The cue ball is replaced C. The turn is cancelled D. The cue ball is removed from the playing field")</f>
        <v>A. The game continues normally B. The cue ball is replaced C. The turn is cancelled D. The cue ball is removed from the playing field</v>
      </c>
      <c r="J120" s="3" t="str">
        <f>IFERROR(__xludf.DUMMYFUNCTION("GOOGLETRANSLATE(D120, ""it"", ""en"")"),"The game continues normally")</f>
        <v>The game continues normally</v>
      </c>
      <c r="K120" s="3" t="str">
        <f>IFERROR(__xludf.DUMMYFUNCTION("GOOGLETRANSLATE(E120, ""it"", ""en"")"),"The cue ball can be moved during the game.")</f>
        <v>The cue ball can be moved during the game.</v>
      </c>
      <c r="L120" s="2"/>
      <c r="M120" s="2"/>
      <c r="N120" s="2"/>
      <c r="O120" s="2"/>
      <c r="P120" s="2"/>
      <c r="Q120" s="2"/>
      <c r="R120" s="2"/>
      <c r="S120" s="2"/>
      <c r="T120" s="2"/>
      <c r="U120" s="2"/>
      <c r="V120" s="2"/>
      <c r="W120" s="2"/>
    </row>
    <row r="121" ht="22.5" customHeight="1">
      <c r="A121" s="3">
        <v>120.0</v>
      </c>
      <c r="B121" s="3" t="s">
        <v>1036</v>
      </c>
      <c r="C121" s="3" t="s">
        <v>1037</v>
      </c>
      <c r="D121" s="3" t="s">
        <v>1038</v>
      </c>
      <c r="E121" s="3" t="s">
        <v>1039</v>
      </c>
      <c r="F121" s="2"/>
      <c r="G121" s="3" t="str">
        <f>IFERROR(__xludf.DUMMYFUNCTION("GOOGLETRANSLATE(A121, ""it"", ""en"")"),"120")</f>
        <v>120</v>
      </c>
      <c r="H121" s="3" t="str">
        <f>IFERROR(__xludf.DUMMYFUNCTION("GOOGLETRANSLATE(B121, ""it"", ""en"")"),"What is meant by “long shot”?")</f>
        <v>What is meant by “long shot”?</v>
      </c>
      <c r="I121" s="3" t="str">
        <f>IFERROR(__xludf.DUMMYFUNCTION("GOOGLETRANSLATE(C121, ""it"", ""en"")"),"A. A throw beyond the midfield B. A throw that hits the jack C. A very powerful throw D. A throw that goes over the jack")</f>
        <v>A. A throw beyond the midfield B. A throw that hits the jack C. A very powerful throw D. A throw that goes over the jack</v>
      </c>
      <c r="J121" s="3" t="str">
        <f>IFERROR(__xludf.DUMMYFUNCTION("GOOGLETRANSLATE(D121, ""it"", ""en"")"),"A throw beyond the halfway line")</f>
        <v>A throw beyond the halfway line</v>
      </c>
      <c r="K121" s="3" t="str">
        <f>IFERROR(__xludf.DUMMYFUNCTION("GOOGLETRANSLATE(E121, ""it"", ""en"")"),"The long shot is used to reach greater distances.")</f>
        <v>The long shot is used to reach greater distances.</v>
      </c>
      <c r="L121" s="2"/>
      <c r="M121" s="2"/>
      <c r="N121" s="2"/>
      <c r="O121" s="2"/>
      <c r="P121" s="2"/>
      <c r="Q121" s="2"/>
      <c r="R121" s="2"/>
      <c r="S121" s="2"/>
      <c r="T121" s="2"/>
      <c r="U121" s="2"/>
      <c r="V121" s="2"/>
      <c r="W121" s="2"/>
    </row>
    <row r="122" ht="22.5" customHeight="1">
      <c r="A122" s="3">
        <v>121.0</v>
      </c>
      <c r="B122" s="3" t="s">
        <v>1040</v>
      </c>
      <c r="C122" s="3" t="s">
        <v>1041</v>
      </c>
      <c r="D122" s="3" t="s">
        <v>1042</v>
      </c>
      <c r="E122" s="3" t="s">
        <v>1043</v>
      </c>
      <c r="F122" s="2"/>
      <c r="G122" s="3" t="str">
        <f>IFERROR(__xludf.DUMMYFUNCTION("GOOGLETRANSLATE(A122, ""it"", ""en"")"),"121")</f>
        <v>121</v>
      </c>
      <c r="H122" s="3" t="str">
        <f>IFERROR(__xludf.DUMMYFUNCTION("GOOGLETRANSLATE(B122, ""it"", ""en"")"),"What does “change of hand” mean in the game of Bocce?")</f>
        <v>What does “change of hand” mean in the game of Bocce?</v>
      </c>
      <c r="I122" s="3" t="str">
        <f>IFERROR(__xludf.DUMMYFUNCTION("GOOGLETRANSLATE(C122, ""it"", ""en"")"),"A. Pass the ball to a teammate B. Use the opposite hand to throw C. Give the turn to the opponent D. Hit an opponent's ball")</f>
        <v>A. Pass the ball to a teammate B. Use the opposite hand to throw C. Give the turn to the opponent D. Hit an opponent's ball</v>
      </c>
      <c r="J122" s="3" t="str">
        <f>IFERROR(__xludf.DUMMYFUNCTION("GOOGLETRANSLATE(D122, ""it"", ""en"")"),"Use the opposite hand for throwing")</f>
        <v>Use the opposite hand for throwing</v>
      </c>
      <c r="K122" s="3" t="str">
        <f>IFERROR(__xludf.DUMMYFUNCTION("GOOGLETRANSLATE(E122, ""it"", ""en"")"),"Switching hands refers to throwing with the hand opposite to your dominant hand.")</f>
        <v>Switching hands refers to throwing with the hand opposite to your dominant hand.</v>
      </c>
      <c r="L122" s="2"/>
      <c r="M122" s="2"/>
      <c r="N122" s="2"/>
      <c r="O122" s="2"/>
      <c r="P122" s="2"/>
      <c r="Q122" s="2"/>
      <c r="R122" s="2"/>
      <c r="S122" s="2"/>
      <c r="T122" s="2"/>
      <c r="U122" s="2"/>
      <c r="V122" s="2"/>
      <c r="W122" s="2"/>
    </row>
    <row r="123" ht="22.5" customHeight="1">
      <c r="A123" s="3">
        <v>122.0</v>
      </c>
      <c r="B123" s="3" t="s">
        <v>1044</v>
      </c>
      <c r="C123" s="3" t="s">
        <v>1045</v>
      </c>
      <c r="D123" s="3" t="s">
        <v>1046</v>
      </c>
      <c r="E123" s="3" t="s">
        <v>1047</v>
      </c>
      <c r="F123" s="2"/>
      <c r="G123" s="3" t="str">
        <f>IFERROR(__xludf.DUMMYFUNCTION("GOOGLETRANSLATE(A123, ""it"", ""en"")"),"122")</f>
        <v>122</v>
      </c>
      <c r="H123" s="3" t="str">
        <f>IFERROR(__xludf.DUMMYFUNCTION("GOOGLETRANSLATE(B123, ""it"", ""en"")"),"What is meant by “tactical bowl”?")</f>
        <v>What is meant by “tactical bowl”?</v>
      </c>
      <c r="I123" s="3" t="str">
        <f>IFERROR(__xludf.DUMMYFUNCTION("GOOGLETRANSLATE(C123, ""it"", ""en"")"),"A. A ball thrown without a target B. A ball used to hinder the opponent C. A ball thrown by mistake D. A ball outside the court")</f>
        <v>A. A ball thrown without a target B. A ball used to hinder the opponent C. A ball thrown by mistake D. A ball outside the court</v>
      </c>
      <c r="J123" s="3" t="str">
        <f>IFERROR(__xludf.DUMMYFUNCTION("GOOGLETRANSLATE(D123, ""it"", ""en"")"),"A bowl used to hinder an opponent")</f>
        <v>A bowl used to hinder an opponent</v>
      </c>
      <c r="K123" s="3" t="str">
        <f>IFERROR(__xludf.DUMMYFUNCTION("GOOGLETRANSLATE(E123, ""it"", ""en"")"),"Tactical bowls are used to control the field.")</f>
        <v>Tactical bowls are used to control the field.</v>
      </c>
      <c r="L123" s="2"/>
      <c r="M123" s="2"/>
      <c r="N123" s="2"/>
      <c r="O123" s="2"/>
      <c r="P123" s="2"/>
      <c r="Q123" s="2"/>
      <c r="R123" s="2"/>
      <c r="S123" s="2"/>
      <c r="T123" s="2"/>
      <c r="U123" s="2"/>
      <c r="V123" s="2"/>
      <c r="W123" s="2"/>
    </row>
    <row r="124" ht="22.5" customHeight="1">
      <c r="A124" s="3">
        <v>123.0</v>
      </c>
      <c r="B124" s="3" t="s">
        <v>1048</v>
      </c>
      <c r="C124" s="3" t="s">
        <v>1049</v>
      </c>
      <c r="D124" s="3" t="s">
        <v>691</v>
      </c>
      <c r="E124" s="3" t="s">
        <v>1050</v>
      </c>
      <c r="F124" s="2"/>
      <c r="G124" s="3" t="str">
        <f>IFERROR(__xludf.DUMMYFUNCTION("GOOGLETRANSLATE(A124, ""it"", ""en"")"),"123")</f>
        <v>123</v>
      </c>
      <c r="H124" s="3" t="str">
        <f>IFERROR(__xludf.DUMMYFUNCTION("GOOGLETRANSLATE(B124, ""it"", ""en"")"),"What happens if the jack touches an opponent's ball?")</f>
        <v>What happens if the jack touches an opponent's ball?</v>
      </c>
      <c r="I124" s="3" t="str">
        <f>IFERROR(__xludf.DUMMYFUNCTION("GOOGLETRANSLATE(C124, ""it"", ""en"")"),"A. The game stops B. The jack remains where it is C. The turn is cancelled D. The opponent's ball is removed")</f>
        <v>A. The game stops B. The jack remains where it is C. The turn is cancelled D. The opponent's ball is removed</v>
      </c>
      <c r="J124" s="3" t="str">
        <f>IFERROR(__xludf.DUMMYFUNCTION("GOOGLETRANSLATE(D124, ""it"", ""en"")"),"The ball stays where it is")</f>
        <v>The ball stays where it is</v>
      </c>
      <c r="K124" s="3" t="str">
        <f>IFERROR(__xludf.DUMMYFUNCTION("GOOGLETRANSLATE(E124, ""it"", ""en"")"),"The cue ball remains in play in the new position.")</f>
        <v>The cue ball remains in play in the new position.</v>
      </c>
      <c r="L124" s="2"/>
      <c r="M124" s="2"/>
      <c r="N124" s="2"/>
      <c r="O124" s="2"/>
      <c r="P124" s="2"/>
      <c r="Q124" s="2"/>
      <c r="R124" s="2"/>
      <c r="S124" s="2"/>
      <c r="T124" s="2"/>
      <c r="U124" s="2"/>
      <c r="V124" s="2"/>
      <c r="W124" s="2"/>
    </row>
    <row r="125" ht="22.5" customHeight="1">
      <c r="A125" s="3">
        <v>124.0</v>
      </c>
      <c r="B125" s="3" t="s">
        <v>1051</v>
      </c>
      <c r="C125" s="3" t="s">
        <v>1052</v>
      </c>
      <c r="D125" s="3" t="s">
        <v>740</v>
      </c>
      <c r="E125" s="3" t="s">
        <v>1053</v>
      </c>
      <c r="F125" s="2"/>
      <c r="G125" s="3" t="str">
        <f>IFERROR(__xludf.DUMMYFUNCTION("GOOGLETRANSLATE(A125, ""it"", ""en"")"),"124")</f>
        <v>124</v>
      </c>
      <c r="H125" s="3" t="str">
        <f>IFERROR(__xludf.DUMMYFUNCTION("GOOGLETRANSLATE(B125, ""it"", ""en"")"),"What is the term for a shot that eliminates an opponent's ball from play?")</f>
        <v>What is the term for a shot that eliminates an opponent's ball from play?</v>
      </c>
      <c r="I125" s="3" t="str">
        <f>IFERROR(__xludf.DUMMYFUNCTION("GOOGLETRANSLATE(C125, ""it"", ""en"")"),"A. Power shot B. Flying shot C. Elimination shot D. Strategic shot")</f>
        <v>A. Power shot B. Flying shot C. Elimination shot D. Strategic shot</v>
      </c>
      <c r="J125" s="3" t="str">
        <f>IFERROR(__xludf.DUMMYFUNCTION("GOOGLETRANSLATE(D125, ""it"", ""en"")"),"Flying shot")</f>
        <v>Flying shot</v>
      </c>
      <c r="K125" s="3" t="str">
        <f>IFERROR(__xludf.DUMMYFUNCTION("GOOGLETRANSLATE(E125, ""it"", ""en"")"),"A volley can remove an opponent's ball from play.")</f>
        <v>A volley can remove an opponent's ball from play.</v>
      </c>
      <c r="L125" s="2"/>
      <c r="M125" s="2"/>
      <c r="N125" s="2"/>
      <c r="O125" s="2"/>
      <c r="P125" s="2"/>
      <c r="Q125" s="2"/>
      <c r="R125" s="2"/>
      <c r="S125" s="2"/>
      <c r="T125" s="2"/>
      <c r="U125" s="2"/>
      <c r="V125" s="2"/>
      <c r="W125" s="2"/>
    </row>
    <row r="126" ht="22.5" customHeight="1">
      <c r="A126" s="3">
        <v>125.0</v>
      </c>
      <c r="B126" s="3" t="s">
        <v>1054</v>
      </c>
      <c r="C126" s="3" t="s">
        <v>1055</v>
      </c>
      <c r="D126" s="3" t="s">
        <v>1056</v>
      </c>
      <c r="E126" s="3" t="s">
        <v>1057</v>
      </c>
      <c r="F126" s="2"/>
      <c r="G126" s="3" t="str">
        <f>IFERROR(__xludf.DUMMYFUNCTION("GOOGLETRANSLATE(A126, ""it"", ""en"")"),"125")</f>
        <v>125</v>
      </c>
      <c r="H126" s="3" t="str">
        <f>IFERROR(__xludf.DUMMYFUNCTION("GOOGLETRANSLATE(B126, ""it"", ""en"")"),"How is the winner determined if the score is tied at the end of the game?")</f>
        <v>How is the winner determined if the score is tied at the end of the game?</v>
      </c>
      <c r="I126" s="3" t="str">
        <f>IFERROR(__xludf.DUMMYFUNCTION("GOOGLETRANSLATE(C126, ""it"", ""en"")"),"A. An extra round B. Draw C. Calculation of the distance from the jack D. The game is declared a draw")</f>
        <v>A. An extra round B. Draw C. Calculation of the distance from the jack D. The game is declared a draw</v>
      </c>
      <c r="J126" s="3" t="str">
        <f>IFERROR(__xludf.DUMMYFUNCTION("GOOGLETRANSLATE(D126, ""it"", ""en"")"),"An extra shift")</f>
        <v>An extra shift</v>
      </c>
      <c r="K126" s="3" t="str">
        <f>IFERROR(__xludf.DUMMYFUNCTION("GOOGLETRANSLATE(E126, ""it"", ""en"")"),"An extra turn is often used to break a tie.")</f>
        <v>An extra turn is often used to break a tie.</v>
      </c>
      <c r="L126" s="2"/>
      <c r="M126" s="2"/>
      <c r="N126" s="2"/>
      <c r="O126" s="2"/>
      <c r="P126" s="2"/>
      <c r="Q126" s="2"/>
      <c r="R126" s="2"/>
      <c r="S126" s="2"/>
      <c r="T126" s="2"/>
      <c r="U126" s="2"/>
      <c r="V126" s="2"/>
      <c r="W126" s="2"/>
    </row>
    <row r="127" ht="22.5" customHeight="1">
      <c r="A127" s="3">
        <v>126.0</v>
      </c>
      <c r="B127" s="3" t="s">
        <v>1058</v>
      </c>
      <c r="C127" s="3" t="s">
        <v>1059</v>
      </c>
      <c r="D127" s="3" t="s">
        <v>1060</v>
      </c>
      <c r="E127" s="3" t="s">
        <v>1061</v>
      </c>
      <c r="F127" s="2"/>
      <c r="G127" s="3" t="str">
        <f>IFERROR(__xludf.DUMMYFUNCTION("GOOGLETRANSLATE(A127, ""it"", ""en"")"),"126")</f>
        <v>126</v>
      </c>
      <c r="H127" s="3" t="str">
        <f>IFERROR(__xludf.DUMMYFUNCTION("GOOGLETRANSLATE(B127, ""it"", ""en"")"),"What does “ball protection” mean?")</f>
        <v>What does “ball protection” mean?</v>
      </c>
      <c r="I127" s="3" t="str">
        <f>IFERROR(__xludf.DUMMYFUNCTION("GOOGLETRANSLATE(C127, ""it"", ""en"")"),"A. Block access to the jack with the balls B. Push the jack further C. Hold the jack in your hand D. Protect the jack from opponents' shots")</f>
        <v>A. Block access to the jack with the balls B. Push the jack further C. Hold the jack in your hand D. Protect the jack from opponents' shots</v>
      </c>
      <c r="J127" s="3" t="str">
        <f>IFERROR(__xludf.DUMMYFUNCTION("GOOGLETRANSLATE(D127, ""it"", ""en"")"),"Block access to the jack with the bowls")</f>
        <v>Block access to the jack with the bowls</v>
      </c>
      <c r="K127" s="3" t="str">
        <f>IFERROR(__xludf.DUMMYFUNCTION("GOOGLETRANSLATE(E127, ""it"", ""en"")"),"Protection involves surrounding the jack with allied balls.")</f>
        <v>Protection involves surrounding the jack with allied balls.</v>
      </c>
      <c r="L127" s="2"/>
      <c r="M127" s="2"/>
      <c r="N127" s="2"/>
      <c r="O127" s="2"/>
      <c r="P127" s="2"/>
      <c r="Q127" s="2"/>
      <c r="R127" s="2"/>
      <c r="S127" s="2"/>
      <c r="T127" s="2"/>
      <c r="U127" s="2"/>
      <c r="V127" s="2"/>
      <c r="W127" s="2"/>
    </row>
    <row r="128" ht="22.5" customHeight="1">
      <c r="A128" s="3">
        <v>127.0</v>
      </c>
      <c r="B128" s="3" t="s">
        <v>1062</v>
      </c>
      <c r="C128" s="3" t="s">
        <v>1063</v>
      </c>
      <c r="D128" s="3" t="s">
        <v>1064</v>
      </c>
      <c r="E128" s="3" t="s">
        <v>1065</v>
      </c>
      <c r="F128" s="2"/>
      <c r="G128" s="3" t="str">
        <f>IFERROR(__xludf.DUMMYFUNCTION("GOOGLETRANSLATE(A128, ""it"", ""en"")"),"127")</f>
        <v>127</v>
      </c>
      <c r="H128" s="3" t="str">
        <f>IFERROR(__xludf.DUMMYFUNCTION("GOOGLETRANSLATE(B128, ""it"", ""en"")"),"What happens if the cue ball stops on the baseline?")</f>
        <v>What happens if the cue ball stops on the baseline?</v>
      </c>
      <c r="I128" s="3" t="str">
        <f>IFERROR(__xludf.DUMMYFUNCTION("GOOGLETRANSLATE(C128, ""it"", ""en"")"),"A. He is considered out B. He is repositioned C. He is left in that position D. The turn is cancelled")</f>
        <v>A. He is considered out B. He is repositioned C. He is left in that position D. The turn is cancelled</v>
      </c>
      <c r="J128" s="3" t="str">
        <f>IFERROR(__xludf.DUMMYFUNCTION("GOOGLETRANSLATE(D128, ""it"", ""en"")"),"It is left in that position")</f>
        <v>It is left in that position</v>
      </c>
      <c r="K128" s="3" t="str">
        <f>IFERROR(__xludf.DUMMYFUNCTION("GOOGLETRANSLATE(E128, ""it"", ""en"")"),"The ball remains in play even on the baseline.")</f>
        <v>The ball remains in play even on the baseline.</v>
      </c>
      <c r="L128" s="2"/>
      <c r="M128" s="2"/>
      <c r="N128" s="2"/>
      <c r="O128" s="2"/>
      <c r="P128" s="2"/>
      <c r="Q128" s="2"/>
      <c r="R128" s="2"/>
      <c r="S128" s="2"/>
      <c r="T128" s="2"/>
      <c r="U128" s="2"/>
      <c r="V128" s="2"/>
      <c r="W128" s="2"/>
    </row>
    <row r="129" ht="22.5" customHeight="1">
      <c r="A129" s="3">
        <v>128.0</v>
      </c>
      <c r="B129" s="3" t="s">
        <v>1066</v>
      </c>
      <c r="C129" s="3" t="s">
        <v>1067</v>
      </c>
      <c r="D129" s="3" t="s">
        <v>1068</v>
      </c>
      <c r="E129" s="3" t="s">
        <v>1069</v>
      </c>
      <c r="F129" s="2"/>
      <c r="G129" s="3" t="str">
        <f>IFERROR(__xludf.DUMMYFUNCTION("GOOGLETRANSLATE(A129, ""it"", ""en"")"),"128")</f>
        <v>128</v>
      </c>
      <c r="H129" s="3" t="str">
        <f>IFERROR(__xludf.DUMMYFUNCTION("GOOGLETRANSLATE(B129, ""it"", ""en"")"),"What is the importance of pitcher position?")</f>
        <v>What is the importance of pitcher position?</v>
      </c>
      <c r="I129" s="3" t="str">
        <f>IFERROR(__xludf.DUMMYFUNCTION("GOOGLETRANSLATE(C129, ""it"", ""en"")"),"A. Increase shot power B. Increase shot accuracy C. Influence the score D. Make the game faster")</f>
        <v>A. Increase shot power B. Increase shot accuracy C. Influence the score D. Make the game faster</v>
      </c>
      <c r="J129" s="3" t="str">
        <f>IFERROR(__xludf.DUMMYFUNCTION("GOOGLETRANSLATE(D129, ""it"", ""en"")"),"Increase shooting accuracy")</f>
        <v>Increase shooting accuracy</v>
      </c>
      <c r="K129" s="3" t="str">
        <f>IFERROR(__xludf.DUMMYFUNCTION("GOOGLETRANSLATE(E129, ""it"", ""en"")"),"The pitcher's stance is critical to accuracy.")</f>
        <v>The pitcher's stance is critical to accuracy.</v>
      </c>
      <c r="L129" s="2"/>
      <c r="M129" s="2"/>
      <c r="N129" s="2"/>
      <c r="O129" s="2"/>
      <c r="P129" s="2"/>
      <c r="Q129" s="2"/>
      <c r="R129" s="2"/>
      <c r="S129" s="2"/>
      <c r="T129" s="2"/>
      <c r="U129" s="2"/>
      <c r="V129" s="2"/>
      <c r="W129" s="2"/>
    </row>
    <row r="130" ht="22.5" customHeight="1">
      <c r="A130" s="3">
        <v>129.0</v>
      </c>
      <c r="B130" s="3" t="s">
        <v>1070</v>
      </c>
      <c r="C130" s="3" t="s">
        <v>1071</v>
      </c>
      <c r="D130" s="3" t="s">
        <v>1072</v>
      </c>
      <c r="E130" s="3" t="s">
        <v>1073</v>
      </c>
      <c r="F130" s="2"/>
      <c r="G130" s="3" t="str">
        <f>IFERROR(__xludf.DUMMYFUNCTION("GOOGLETRANSLATE(A130, ""it"", ""en"")"),"129")</f>
        <v>129</v>
      </c>
      <c r="H130" s="3" t="str">
        <f>IFERROR(__xludf.DUMMYFUNCTION("GOOGLETRANSLATE(B130, ""it"", ""en"")"),"What happens if a ball breaks during a throw?")</f>
        <v>What happens if a ball breaks during a throw?</v>
      </c>
      <c r="I130" s="3" t="str">
        <f>IFERROR(__xludf.DUMMYFUNCTION("GOOGLETRANSLATE(C130, ""it"", ""en"")"),"A. The throw is repeated B. The ball is replaced C. The turn is cancelled D. The score is assigned automatically")</f>
        <v>A. The throw is repeated B. The ball is replaced C. The turn is cancelled D. The score is assigned automatically</v>
      </c>
      <c r="J130" s="3" t="str">
        <f>IFERROR(__xludf.DUMMYFUNCTION("GOOGLETRANSLATE(D130, ""it"", ""en"")"),"The ball is replaced")</f>
        <v>The ball is replaced</v>
      </c>
      <c r="K130" s="3" t="str">
        <f>IFERROR(__xludf.DUMMYFUNCTION("GOOGLETRANSLATE(E130, ""it"", ""en"")"),"A broken ball is replaced and the throw can be repeated.")</f>
        <v>A broken ball is replaced and the throw can be repeated.</v>
      </c>
      <c r="L130" s="2"/>
      <c r="M130" s="2"/>
      <c r="N130" s="2"/>
      <c r="O130" s="2"/>
      <c r="P130" s="2"/>
      <c r="Q130" s="2"/>
      <c r="R130" s="2"/>
      <c r="S130" s="2"/>
      <c r="T130" s="2"/>
      <c r="U130" s="2"/>
      <c r="V130" s="2"/>
      <c r="W130" s="2"/>
    </row>
    <row r="131" ht="22.5" customHeight="1">
      <c r="A131" s="3">
        <v>130.0</v>
      </c>
      <c r="B131" s="3" t="s">
        <v>1074</v>
      </c>
      <c r="C131" s="3" t="s">
        <v>1075</v>
      </c>
      <c r="D131" s="3" t="s">
        <v>1076</v>
      </c>
      <c r="E131" s="3" t="s">
        <v>1077</v>
      </c>
      <c r="F131" s="2"/>
      <c r="G131" s="3" t="str">
        <f>IFERROR(__xludf.DUMMYFUNCTION("GOOGLETRANSLATE(A131, ""it"", ""en"")"),"130")</f>
        <v>130</v>
      </c>
      <c r="H131" s="3" t="str">
        <f>IFERROR(__xludf.DUMMYFUNCTION("GOOGLETRANSLATE(B131, ""it"", ""en"")"),"What is meant by “safe zone”?")</f>
        <v>What is meant by “safe zone”?</v>
      </c>
      <c r="I131" s="3" t="str">
        <f>IFERROR(__xludf.DUMMYFUNCTION("GOOGLETRANSLATE(C131, ""it"", ""en"")"),"A. An area where throwing is not permitted B. An area dedicated to spectators C. An area away from the bowls and the jack D. An area for players to rest")</f>
        <v>A. An area where throwing is not permitted B. An area dedicated to spectators C. An area away from the bowls and the jack D. An area for players to rest</v>
      </c>
      <c r="J131" s="3" t="str">
        <f>IFERROR(__xludf.DUMMYFUNCTION("GOOGLETRANSLATE(D131, ""it"", ""en"")"),"An area away from the bowls and the jack")</f>
        <v>An area away from the bowls and the jack</v>
      </c>
      <c r="K131" s="3" t="str">
        <f>IFERROR(__xludf.DUMMYFUNCTION("GOOGLETRANSLATE(E131, ""it"", ""en"")"),"The safety zone is intended to prevent interference.")</f>
        <v>The safety zone is intended to prevent interference.</v>
      </c>
      <c r="L131" s="2"/>
      <c r="M131" s="2"/>
      <c r="N131" s="2"/>
      <c r="O131" s="2"/>
      <c r="P131" s="2"/>
      <c r="Q131" s="2"/>
      <c r="R131" s="2"/>
      <c r="S131" s="2"/>
      <c r="T131" s="2"/>
      <c r="U131" s="2"/>
      <c r="V131" s="2"/>
      <c r="W131" s="2"/>
    </row>
    <row r="132" ht="22.5" customHeight="1">
      <c r="A132" s="3">
        <v>131.0</v>
      </c>
      <c r="B132" s="3" t="s">
        <v>1078</v>
      </c>
      <c r="C132" s="3" t="s">
        <v>1079</v>
      </c>
      <c r="D132" s="3" t="s">
        <v>1080</v>
      </c>
      <c r="E132" s="3" t="s">
        <v>1081</v>
      </c>
      <c r="F132" s="2"/>
      <c r="G132" s="3" t="str">
        <f>IFERROR(__xludf.DUMMYFUNCTION("GOOGLETRANSLATE(A132, ""it"", ""en"")"),"131")</f>
        <v>131</v>
      </c>
      <c r="H132" s="3" t="str">
        <f>IFERROR(__xludf.DUMMYFUNCTION("GOOGLETRANSLATE(B132, ""it"", ""en"")"),"What does the term “active field” represent?")</f>
        <v>What does the term “active field” represent?</v>
      </c>
      <c r="I132" s="3" t="str">
        <f>IFERROR(__xludf.DUMMYFUNCTION("GOOGLETRANSLATE(C132, ""it"", ""en"")"),"A. A field ready for play B. An area where bowls are concentrated C. A training area D. A field used for official matches")</f>
        <v>A. A field ready for play B. An area where bowls are concentrated C. A training area D. A field used for official matches</v>
      </c>
      <c r="J132" s="3" t="str">
        <f>IFERROR(__xludf.DUMMYFUNCTION("GOOGLETRANSLATE(D132, ""it"", ""en"")"),"A field ready for play")</f>
        <v>A field ready for play</v>
      </c>
      <c r="K132" s="3" t="str">
        <f>IFERROR(__xludf.DUMMYFUNCTION("GOOGLETRANSLATE(E132, ""it"", ""en"")"),"The active field is the one where the game takes place.")</f>
        <v>The active field is the one where the game takes place.</v>
      </c>
      <c r="L132" s="2"/>
      <c r="M132" s="2"/>
      <c r="N132" s="2"/>
      <c r="O132" s="2"/>
      <c r="P132" s="2"/>
      <c r="Q132" s="2"/>
      <c r="R132" s="2"/>
      <c r="S132" s="2"/>
      <c r="T132" s="2"/>
      <c r="U132" s="2"/>
      <c r="V132" s="2"/>
      <c r="W132" s="2"/>
    </row>
    <row r="133" ht="22.5" customHeight="1">
      <c r="A133" s="3">
        <v>132.0</v>
      </c>
      <c r="B133" s="3" t="s">
        <v>1082</v>
      </c>
      <c r="C133" s="3" t="s">
        <v>1083</v>
      </c>
      <c r="D133" s="3" t="s">
        <v>1084</v>
      </c>
      <c r="E133" s="3" t="s">
        <v>1085</v>
      </c>
      <c r="F133" s="2"/>
      <c r="G133" s="3" t="str">
        <f>IFERROR(__xludf.DUMMYFUNCTION("GOOGLETRANSLATE(A133, ""it"", ""en"")"),"132")</f>
        <v>132</v>
      </c>
      <c r="H133" s="3" t="str">
        <f>IFERROR(__xludf.DUMMYFUNCTION("GOOGLETRANSLATE(B133, ""it"", ""en"")"),"What does “balanced play” mean in Bocce?")</f>
        <v>What does “balanced play” mean in Bocce?</v>
      </c>
      <c r="I133" s="3" t="str">
        <f>IFERROR(__xludf.DUMMYFUNCTION("GOOGLETRANSLATE(C133, ""it"", ""en"")"),"A. Equal score between teams B. Equal distribution of balls on the court C. A shot that hits nothing D. Players with similar skills")</f>
        <v>A. Equal score between teams B. Equal distribution of balls on the court C. A shot that hits nothing D. Players with similar skills</v>
      </c>
      <c r="J133" s="3" t="str">
        <f>IFERROR(__xludf.DUMMYFUNCTION("GOOGLETRANSLATE(D133, ""it"", ""en"")"),"The score between the teams is tied")</f>
        <v>The score between the teams is tied</v>
      </c>
      <c r="K133" s="3" t="str">
        <f>IFERROR(__xludf.DUMMYFUNCTION("GOOGLETRANSLATE(E133, ""it"", ""en"")"),"A balanced game means a balanced score.")</f>
        <v>A balanced game means a balanced score.</v>
      </c>
      <c r="L133" s="2"/>
      <c r="M133" s="2"/>
      <c r="N133" s="2"/>
      <c r="O133" s="2"/>
      <c r="P133" s="2"/>
      <c r="Q133" s="2"/>
      <c r="R133" s="2"/>
      <c r="S133" s="2"/>
      <c r="T133" s="2"/>
      <c r="U133" s="2"/>
      <c r="V133" s="2"/>
      <c r="W133" s="2"/>
    </row>
    <row r="134" ht="22.5" customHeight="1">
      <c r="A134" s="3">
        <v>133.0</v>
      </c>
      <c r="B134" s="3" t="s">
        <v>1086</v>
      </c>
      <c r="C134" s="3" t="s">
        <v>1087</v>
      </c>
      <c r="D134" s="3" t="s">
        <v>676</v>
      </c>
      <c r="E134" s="3" t="s">
        <v>1088</v>
      </c>
      <c r="F134" s="2"/>
      <c r="G134" s="3" t="str">
        <f>IFERROR(__xludf.DUMMYFUNCTION("GOOGLETRANSLATE(A134, ""it"", ""en"")"),"133")</f>
        <v>133</v>
      </c>
      <c r="H134" s="3" t="str">
        <f>IFERROR(__xludf.DUMMYFUNCTION("GOOGLETRANSLATE(B134, ""it"", ""en"")"),"What happens if a player throws a ball out of turn?")</f>
        <v>What happens if a player throws a ball out of turn?</v>
      </c>
      <c r="I134" s="3" t="str">
        <f>IFERROR(__xludf.DUMMYFUNCTION("GOOGLETRANSLATE(C134, ""it"", ""en"")"),"A. The ball is removed B. The team loses points C. The turn is cancelled D. The opponent gets a point")</f>
        <v>A. The ball is removed B. The team loses points C. The turn is cancelled D. The opponent gets a point</v>
      </c>
      <c r="J134" s="3" t="str">
        <f>IFERROR(__xludf.DUMMYFUNCTION("GOOGLETRANSLATE(D134, ""it"", ""en"")"),"The ball is removed")</f>
        <v>The ball is removed</v>
      </c>
      <c r="K134" s="3" t="str">
        <f>IFERROR(__xludf.DUMMYFUNCTION("GOOGLETRANSLATE(E134, ""it"", ""en"")"),"Throwing out of turn invalidates the roll.")</f>
        <v>Throwing out of turn invalidates the roll.</v>
      </c>
      <c r="L134" s="2"/>
      <c r="M134" s="2"/>
      <c r="N134" s="2"/>
      <c r="O134" s="2"/>
      <c r="P134" s="2"/>
      <c r="Q134" s="2"/>
      <c r="R134" s="2"/>
      <c r="S134" s="2"/>
      <c r="T134" s="2"/>
      <c r="U134" s="2"/>
      <c r="V134" s="2"/>
      <c r="W134" s="2"/>
    </row>
    <row r="135" ht="22.5" customHeight="1">
      <c r="A135" s="3">
        <v>134.0</v>
      </c>
      <c r="B135" s="3" t="s">
        <v>1089</v>
      </c>
      <c r="C135" s="3" t="s">
        <v>1090</v>
      </c>
      <c r="D135" s="3" t="s">
        <v>1091</v>
      </c>
      <c r="E135" s="3" t="s">
        <v>1092</v>
      </c>
      <c r="F135" s="2"/>
      <c r="G135" s="3" t="str">
        <f>IFERROR(__xludf.DUMMYFUNCTION("GOOGLETRANSLATE(A135, ""it"", ""en"")"),"134")</f>
        <v>134</v>
      </c>
      <c r="H135" s="3" t="str">
        <f>IFERROR(__xludf.DUMMYFUNCTION("GOOGLETRANSLATE(B135, ""it"", ""en"")"),"What is the name of a shot that brings the jack closer to the ball?")</f>
        <v>What is the name of a shot that brings the jack closer to the ball?</v>
      </c>
      <c r="I135" s="3" t="str">
        <f>IFERROR(__xludf.DUMMYFUNCTION("GOOGLETRANSLATE(C135, ""it"", ""en"")"),"A. Invitation shot B. Precision shot C. Approach shot D. Strategic shot")</f>
        <v>A. Invitation shot B. Precision shot C. Approach shot D. Strategic shot</v>
      </c>
      <c r="J135" s="3" t="str">
        <f>IFERROR(__xludf.DUMMYFUNCTION("GOOGLETRANSLATE(D135, ""it"", ""en"")"),"Pull-up shot")</f>
        <v>Pull-up shot</v>
      </c>
      <c r="K135" s="3" t="str">
        <f>IFERROR(__xludf.DUMMYFUNCTION("GOOGLETRANSLATE(E135, ""it"", ""en"")"),"The approach shot places the jack close to a ball.")</f>
        <v>The approach shot places the jack close to a ball.</v>
      </c>
      <c r="L135" s="2"/>
      <c r="M135" s="2"/>
      <c r="N135" s="2"/>
      <c r="O135" s="2"/>
      <c r="P135" s="2"/>
      <c r="Q135" s="2"/>
      <c r="R135" s="2"/>
      <c r="S135" s="2"/>
      <c r="T135" s="2"/>
      <c r="U135" s="2"/>
      <c r="V135" s="2"/>
      <c r="W135" s="2"/>
    </row>
    <row r="136" ht="22.5" customHeight="1">
      <c r="A136" s="3">
        <v>135.0</v>
      </c>
      <c r="B136" s="3" t="s">
        <v>1093</v>
      </c>
      <c r="C136" s="3" t="s">
        <v>1094</v>
      </c>
      <c r="D136" s="3" t="s">
        <v>657</v>
      </c>
      <c r="E136" s="3" t="s">
        <v>1095</v>
      </c>
      <c r="F136" s="2"/>
      <c r="G136" s="3" t="str">
        <f>IFERROR(__xludf.DUMMYFUNCTION("GOOGLETRANSLATE(A136, ""it"", ""en"")"),"135")</f>
        <v>135</v>
      </c>
      <c r="H136" s="3" t="str">
        <f>IFERROR(__xludf.DUMMYFUNCTION("GOOGLETRANSLATE(B136, ""it"", ""en"")"),"What is the minimum distance allowed for throwing the jack?")</f>
        <v>What is the minimum distance allowed for throwing the jack?</v>
      </c>
      <c r="I136" s="3" t="str">
        <f>IFERROR(__xludf.DUMMYFUNCTION("GOOGLETRANSLATE(C136, ""it"", ""en"")"),"A. 1 meter B. 2 meters C. 3 meters D. 4 meters")</f>
        <v>A. 1 meter B. 2 meters C. 3 meters D. 4 meters</v>
      </c>
      <c r="J136" s="3" t="str">
        <f>IFERROR(__xludf.DUMMYFUNCTION("GOOGLETRANSLATE(D136, ""it"", ""en"")"),"2 meters")</f>
        <v>2 meters</v>
      </c>
      <c r="K136" s="3" t="str">
        <f>IFERROR(__xludf.DUMMYFUNCTION("GOOGLETRANSLATE(E136, ""it"", ""en"")"),"The jack must be thrown at least 2 meters away.")</f>
        <v>The jack must be thrown at least 2 meters away.</v>
      </c>
      <c r="L136" s="2"/>
      <c r="M136" s="2"/>
      <c r="N136" s="2"/>
      <c r="O136" s="2"/>
      <c r="P136" s="2"/>
      <c r="Q136" s="2"/>
      <c r="R136" s="2"/>
      <c r="S136" s="2"/>
      <c r="T136" s="2"/>
      <c r="U136" s="2"/>
      <c r="V136" s="2"/>
      <c r="W136" s="2"/>
    </row>
    <row r="137" ht="22.5" customHeight="1">
      <c r="A137" s="3">
        <v>136.0</v>
      </c>
      <c r="B137" s="3" t="s">
        <v>1096</v>
      </c>
      <c r="C137" s="3" t="s">
        <v>1097</v>
      </c>
      <c r="D137" s="3" t="s">
        <v>1098</v>
      </c>
      <c r="E137" s="3" t="s">
        <v>1099</v>
      </c>
      <c r="F137" s="2"/>
      <c r="G137" s="3" t="str">
        <f>IFERROR(__xludf.DUMMYFUNCTION("GOOGLETRANSLATE(A137, ""it"", ""en"")"),"136")</f>
        <v>136</v>
      </c>
      <c r="H137" s="3" t="str">
        <f>IFERROR(__xludf.DUMMYFUNCTION("GOOGLETRANSLATE(B137, ""it"", ""en"")"),"What happens if the cue ball touches a physical obstacle?")</f>
        <v>What happens if the cue ball touches a physical obstacle?</v>
      </c>
      <c r="I137" s="3" t="str">
        <f>IFERROR(__xludf.DUMMYFUNCTION("GOOGLETRANSLATE(C137, ""it"", ""en"")"),"A. The game continues B. It is repositioned C. It is considered out D. The turn is cancelled")</f>
        <v>A. The game continues B. It is repositioned C. It is considered out D. The turn is cancelled</v>
      </c>
      <c r="J137" s="3" t="str">
        <f>IFERROR(__xludf.DUMMYFUNCTION("GOOGLETRANSLATE(D137, ""it"", ""en"")"),"It is repositioned")</f>
        <v>It is repositioned</v>
      </c>
      <c r="K137" s="3" t="str">
        <f>IFERROR(__xludf.DUMMYFUNCTION("GOOGLETRANSLATE(E137, ""it"", ""en"")"),"The cue ball must be replaced in a valid area.")</f>
        <v>The cue ball must be replaced in a valid area.</v>
      </c>
      <c r="L137" s="2"/>
      <c r="M137" s="2"/>
      <c r="N137" s="2"/>
      <c r="O137" s="2"/>
      <c r="P137" s="2"/>
      <c r="Q137" s="2"/>
      <c r="R137" s="2"/>
      <c r="S137" s="2"/>
      <c r="T137" s="2"/>
      <c r="U137" s="2"/>
      <c r="V137" s="2"/>
      <c r="W137" s="2"/>
    </row>
    <row r="138" ht="22.5" customHeight="1">
      <c r="A138" s="3">
        <v>137.0</v>
      </c>
      <c r="B138" s="3" t="s">
        <v>1100</v>
      </c>
      <c r="C138" s="3" t="s">
        <v>1101</v>
      </c>
      <c r="D138" s="3" t="s">
        <v>600</v>
      </c>
      <c r="E138" s="3" t="s">
        <v>1102</v>
      </c>
      <c r="F138" s="2"/>
      <c r="G138" s="3" t="str">
        <f>IFERROR(__xludf.DUMMYFUNCTION("GOOGLETRANSLATE(A138, ""it"", ""en"")"),"137")</f>
        <v>137</v>
      </c>
      <c r="H138" s="3" t="str">
        <f>IFERROR(__xludf.DUMMYFUNCTION("GOOGLETRANSLATE(B138, ""it"", ""en"")"),"What does the term “key bowl” represent?")</f>
        <v>What does the term “key bowl” represent?</v>
      </c>
      <c r="I138" s="3" t="str">
        <f>IFERROR(__xludf.DUMMYFUNCTION("GOOGLETRANSLATE(C138, ""it"", ""en"")"),"A. A ball used to open the game B. The ball closest to the jack C. A ball that blocks the opponents D. The ball thrown first")</f>
        <v>A. A ball used to open the game B. The ball closest to the jack C. A ball that blocks the opponents D. The ball thrown first</v>
      </c>
      <c r="J138" s="3" t="str">
        <f>IFERROR(__xludf.DUMMYFUNCTION("GOOGLETRANSLATE(D138, ""it"", ""en"")"),"The ball closest to the jack")</f>
        <v>The ball closest to the jack</v>
      </c>
      <c r="K138" s="3" t="str">
        <f>IFERROR(__xludf.DUMMYFUNCTION("GOOGLETRANSLATE(E138, ""it"", ""en"")"),"The key ball is the one that controls the game.")</f>
        <v>The key ball is the one that controls the game.</v>
      </c>
      <c r="L138" s="2"/>
      <c r="M138" s="2"/>
      <c r="N138" s="2"/>
      <c r="O138" s="2"/>
      <c r="P138" s="2"/>
      <c r="Q138" s="2"/>
      <c r="R138" s="2"/>
      <c r="S138" s="2"/>
      <c r="T138" s="2"/>
      <c r="U138" s="2"/>
      <c r="V138" s="2"/>
      <c r="W138" s="2"/>
    </row>
    <row r="139" ht="22.5" customHeight="1">
      <c r="A139" s="3">
        <v>138.0</v>
      </c>
      <c r="B139" s="3" t="s">
        <v>1103</v>
      </c>
      <c r="C139" s="3" t="s">
        <v>1104</v>
      </c>
      <c r="D139" s="3" t="s">
        <v>1105</v>
      </c>
      <c r="E139" s="3" t="s">
        <v>1106</v>
      </c>
      <c r="F139" s="2"/>
      <c r="G139" s="3" t="str">
        <f>IFERROR(__xludf.DUMMYFUNCTION("GOOGLETRANSLATE(A139, ""it"", ""en"")"),"138")</f>
        <v>138</v>
      </c>
      <c r="H139" s="3" t="str">
        <f>IFERROR(__xludf.DUMMYFUNCTION("GOOGLETRANSLATE(B139, ""it"", ""en"")"),"How do you treat a ball that lands exactly on the jack?")</f>
        <v>How do you treat a ball that lands exactly on the jack?</v>
      </c>
      <c r="I139" s="3" t="str">
        <f>IFERROR(__xludf.DUMMYFUNCTION("GOOGLETRANSLATE(C139, ""it"", ""en"")"),"A. It is left in that position B. It is removed C. It is considered illegal D. The turn is cancelled")</f>
        <v>A. It is left in that position B. It is removed C. It is considered illegal D. The turn is cancelled</v>
      </c>
      <c r="J139" s="3" t="str">
        <f>IFERROR(__xludf.DUMMYFUNCTION("GOOGLETRANSLATE(D139, ""it"", ""en"")"),"It is left in that position")</f>
        <v>It is left in that position</v>
      </c>
      <c r="K139" s="3" t="str">
        <f>IFERROR(__xludf.DUMMYFUNCTION("GOOGLETRANSLATE(E139, ""it"", ""en"")"),"The ball remains valid in the position above the jack.")</f>
        <v>The ball remains valid in the position above the jack.</v>
      </c>
      <c r="L139" s="2"/>
      <c r="M139" s="2"/>
      <c r="N139" s="2"/>
      <c r="O139" s="2"/>
      <c r="P139" s="2"/>
      <c r="Q139" s="2"/>
      <c r="R139" s="2"/>
      <c r="S139" s="2"/>
      <c r="T139" s="2"/>
      <c r="U139" s="2"/>
      <c r="V139" s="2"/>
      <c r="W139" s="2"/>
    </row>
    <row r="140" ht="22.5" customHeight="1">
      <c r="A140" s="3">
        <v>139.0</v>
      </c>
      <c r="B140" s="3" t="s">
        <v>1107</v>
      </c>
      <c r="C140" s="3" t="s">
        <v>1108</v>
      </c>
      <c r="D140" s="3" t="s">
        <v>1109</v>
      </c>
      <c r="E140" s="3" t="s">
        <v>1110</v>
      </c>
      <c r="F140" s="2"/>
      <c r="G140" s="3" t="str">
        <f>IFERROR(__xludf.DUMMYFUNCTION("GOOGLETRANSLATE(A140, ""it"", ""en"")"),"139")</f>
        <v>139</v>
      </c>
      <c r="H140" s="3" t="str">
        <f>IFERROR(__xludf.DUMMYFUNCTION("GOOGLETRANSLATE(B140, ""it"", ""en"")"),"What does “marking the field” mean?")</f>
        <v>What does “marking the field” mean?</v>
      </c>
      <c r="I140" s="3" t="str">
        <f>IFERROR(__xludf.DUMMYFUNCTION("GOOGLETRANSLATE(C140, ""it"", ""en"")"),"A. Mark the boundaries of the field B. Indicate the position of the balls precisely C. Draw additional lines D. Mark the throwing area")</f>
        <v>A. Mark the boundaries of the field B. Indicate the position of the balls precisely C. Draw additional lines D. Mark the throwing area</v>
      </c>
      <c r="J140" s="3" t="str">
        <f>IFERROR(__xludf.DUMMYFUNCTION("GOOGLETRANSLATE(D140, ""it"", ""en"")"),"Indicate the position of the balls precisely")</f>
        <v>Indicate the position of the balls precisely</v>
      </c>
      <c r="K140" s="3" t="str">
        <f>IFERROR(__xludf.DUMMYFUNCTION("GOOGLETRANSLATE(E140, ""it"", ""en"")"),"Precise markings ensure the correctness of the game.")</f>
        <v>Precise markings ensure the correctness of the game.</v>
      </c>
      <c r="L140" s="2"/>
      <c r="M140" s="2"/>
      <c r="N140" s="2"/>
      <c r="O140" s="2"/>
      <c r="P140" s="2"/>
      <c r="Q140" s="2"/>
      <c r="R140" s="2"/>
      <c r="S140" s="2"/>
      <c r="T140" s="2"/>
      <c r="U140" s="2"/>
      <c r="V140" s="2"/>
      <c r="W140" s="2"/>
    </row>
    <row r="141" ht="22.5" customHeight="1">
      <c r="A141" s="3">
        <v>140.0</v>
      </c>
      <c r="B141" s="3" t="s">
        <v>1111</v>
      </c>
      <c r="C141" s="3" t="s">
        <v>1112</v>
      </c>
      <c r="D141" s="3" t="s">
        <v>1113</v>
      </c>
      <c r="E141" s="3" t="s">
        <v>1114</v>
      </c>
      <c r="F141" s="2"/>
      <c r="G141" s="3" t="str">
        <f>IFERROR(__xludf.DUMMYFUNCTION("GOOGLETRANSLATE(A141, ""it"", ""en"")"),"140")</f>
        <v>140</v>
      </c>
      <c r="H141" s="3" t="str">
        <f>IFERROR(__xludf.DUMMYFUNCTION("GOOGLETRANSLATE(B141, ""it"", ""en"")"),"What happens if a player crosses the throwing line?")</f>
        <v>What happens if a player crosses the throwing line?</v>
      </c>
      <c r="I141" s="3" t="str">
        <f>IFERROR(__xludf.DUMMYFUNCTION("GOOGLETRANSLATE(C141, ""it"", ""en"")"),"A. The throw is considered valid B. The throw is cancelled C. The turn is repeated D. The team loses points")</f>
        <v>A. The throw is considered valid B. The throw is cancelled C. The turn is repeated D. The team loses points</v>
      </c>
      <c r="J141" s="3" t="str">
        <f>IFERROR(__xludf.DUMMYFUNCTION("GOOGLETRANSLATE(D141, ""it"", ""en"")"),"The launch is cancelled")</f>
        <v>The launch is cancelled</v>
      </c>
      <c r="K141" s="3" t="str">
        <f>IFERROR(__xludf.DUMMYFUNCTION("GOOGLETRANSLATE(E141, ""it"", ""en"")"),"Crossing the throwing line invalidates the shot.")</f>
        <v>Crossing the throwing line invalidates the shot.</v>
      </c>
      <c r="L141" s="2"/>
      <c r="M141" s="2"/>
      <c r="N141" s="2"/>
      <c r="O141" s="2"/>
      <c r="P141" s="2"/>
      <c r="Q141" s="2"/>
      <c r="R141" s="2"/>
      <c r="S141" s="2"/>
      <c r="T141" s="2"/>
      <c r="U141" s="2"/>
      <c r="V141" s="2"/>
      <c r="W141" s="2"/>
    </row>
    <row r="142" ht="22.5" customHeight="1">
      <c r="A142" s="3">
        <v>141.0</v>
      </c>
      <c r="B142" s="3" t="s">
        <v>1115</v>
      </c>
      <c r="C142" s="3" t="s">
        <v>1116</v>
      </c>
      <c r="D142" s="3" t="s">
        <v>1117</v>
      </c>
      <c r="E142" s="3" t="s">
        <v>1118</v>
      </c>
      <c r="F142" s="2"/>
      <c r="G142" s="3" t="str">
        <f>IFERROR(__xludf.DUMMYFUNCTION("GOOGLETRANSLATE(A142, ""it"", ""en"")"),"141")</f>
        <v>141</v>
      </c>
      <c r="H142" s="3" t="str">
        <f>IFERROR(__xludf.DUMMYFUNCTION("GOOGLETRANSLATE(B142, ""it"", ""en"")"),"What is meant by “quick play”?")</f>
        <v>What is meant by “quick play”?</v>
      </c>
      <c r="I142" s="3" t="str">
        <f>IFERROR(__xludf.DUMMYFUNCTION("GOOGLETRANSLATE(C142, ""it"", ""en"")"),"A. Throwing the balls without waiting B. Throwing all the balls in sequence C. Playing with limited time D. Playing without rules")</f>
        <v>A. Throwing the balls without waiting B. Throwing all the balls in sequence C. Playing with limited time D. Playing without rules</v>
      </c>
      <c r="J142" s="3" t="str">
        <f>IFERROR(__xludf.DUMMYFUNCTION("GOOGLETRANSLATE(D142, ""it"", ""en"")"),"Playing with limited time")</f>
        <v>Playing with limited time</v>
      </c>
      <c r="K142" s="3" t="str">
        <f>IFERROR(__xludf.DUMMYFUNCTION("GOOGLETRANSLATE(E142, ""it"", ""en"")"),"Quick play features a time limit for each turn.")</f>
        <v>Quick play features a time limit for each turn.</v>
      </c>
      <c r="L142" s="2"/>
      <c r="M142" s="2"/>
      <c r="N142" s="2"/>
      <c r="O142" s="2"/>
      <c r="P142" s="2"/>
      <c r="Q142" s="2"/>
      <c r="R142" s="2"/>
      <c r="S142" s="2"/>
      <c r="T142" s="2"/>
      <c r="U142" s="2"/>
      <c r="V142" s="2"/>
      <c r="W142" s="2"/>
    </row>
    <row r="143" ht="22.5" customHeight="1">
      <c r="A143" s="3">
        <v>142.0</v>
      </c>
      <c r="B143" s="3" t="s">
        <v>1119</v>
      </c>
      <c r="C143" s="3" t="s">
        <v>1120</v>
      </c>
      <c r="D143" s="3" t="s">
        <v>1121</v>
      </c>
      <c r="E143" s="3" t="s">
        <v>1122</v>
      </c>
      <c r="F143" s="2"/>
      <c r="G143" s="3" t="str">
        <f>IFERROR(__xludf.DUMMYFUNCTION("GOOGLETRANSLATE(A143, ""it"", ""en"")"),"142")</f>
        <v>142</v>
      </c>
      <c r="H143" s="3" t="str">
        <f>IFERROR(__xludf.DUMMYFUNCTION("GOOGLETRANSLATE(B143, ""it"", ""en"")"),"What is the purpose of a power shot?")</f>
        <v>What is the purpose of a power shot?</v>
      </c>
      <c r="I143" s="3" t="str">
        <f>IFERROR(__xludf.DUMMYFUNCTION("GOOGLETRANSLATE(C143, ""it"", ""en"")"),"A. Hitting multiple balls at once B. Pushing the jack out of the court C. Eliminating an opponent's ball D. Pushing the opponent's balls away")</f>
        <v>A. Hitting multiple balls at once B. Pushing the jack out of the court C. Eliminating an opponent's ball D. Pushing the opponent's balls away</v>
      </c>
      <c r="J143" s="3" t="str">
        <f>IFERROR(__xludf.DUMMYFUNCTION("GOOGLETRANSLATE(D143, ""it"", ""en"")"),"Eliminate an opponent's ball")</f>
        <v>Eliminate an opponent's ball</v>
      </c>
      <c r="K143" s="3" t="str">
        <f>IFERROR(__xludf.DUMMYFUNCTION("GOOGLETRANSLATE(E143, ""it"", ""en"")"),"A power shot aims to dislodge a specific ball.")</f>
        <v>A power shot aims to dislodge a specific ball.</v>
      </c>
      <c r="L143" s="2"/>
      <c r="M143" s="2"/>
      <c r="N143" s="2"/>
      <c r="O143" s="2"/>
      <c r="P143" s="2"/>
      <c r="Q143" s="2"/>
      <c r="R143" s="2"/>
      <c r="S143" s="2"/>
      <c r="T143" s="2"/>
      <c r="U143" s="2"/>
      <c r="V143" s="2"/>
      <c r="W143" s="2"/>
    </row>
    <row r="144" ht="22.5" customHeight="1">
      <c r="A144" s="3">
        <v>143.0</v>
      </c>
      <c r="B144" s="3" t="s">
        <v>1123</v>
      </c>
      <c r="C144" s="3" t="s">
        <v>1124</v>
      </c>
      <c r="D144" s="3" t="s">
        <v>837</v>
      </c>
      <c r="E144" s="3" t="s">
        <v>1125</v>
      </c>
      <c r="F144" s="2"/>
      <c r="G144" s="3" t="str">
        <f>IFERROR(__xludf.DUMMYFUNCTION("GOOGLETRANSLATE(A144, ""it"", ""en"")"),"143")</f>
        <v>143</v>
      </c>
      <c r="H144" s="3" t="str">
        <f>IFERROR(__xludf.DUMMYFUNCTION("GOOGLETRANSLATE(B144, ""it"", ""en"")"),"What happens if the cue ball is hit by both teams in the same turn?")</f>
        <v>What happens if the cue ball is hit by both teams in the same turn?</v>
      </c>
      <c r="I144" s="3" t="str">
        <f>IFERROR(__xludf.DUMMYFUNCTION("GOOGLETRANSLATE(C144, ""it"", ""en"")"),"A. It is repositioned B. The turn is repeated C. The team with the last shot loses points D. The game continues normally")</f>
        <v>A. It is repositioned B. The turn is repeated C. The team with the last shot loses points D. The game continues normally</v>
      </c>
      <c r="J144" s="3" t="str">
        <f>IFERROR(__xludf.DUMMYFUNCTION("GOOGLETRANSLATE(D144, ""it"", ""en"")"),"The game continues normally")</f>
        <v>The game continues normally</v>
      </c>
      <c r="K144" s="3" t="str">
        <f>IFERROR(__xludf.DUMMYFUNCTION("GOOGLETRANSLATE(E144, ""it"", ""en"")"),"The ball remains in its final position.")</f>
        <v>The ball remains in its final position.</v>
      </c>
      <c r="L144" s="2"/>
      <c r="M144" s="2"/>
      <c r="N144" s="2"/>
      <c r="O144" s="2"/>
      <c r="P144" s="2"/>
      <c r="Q144" s="2"/>
      <c r="R144" s="2"/>
      <c r="S144" s="2"/>
      <c r="T144" s="2"/>
      <c r="U144" s="2"/>
      <c r="V144" s="2"/>
      <c r="W144" s="2"/>
    </row>
    <row r="145" ht="22.5" customHeight="1">
      <c r="A145" s="3">
        <v>144.0</v>
      </c>
      <c r="B145" s="3" t="s">
        <v>1126</v>
      </c>
      <c r="C145" s="3" t="s">
        <v>1127</v>
      </c>
      <c r="D145" s="3" t="s">
        <v>1128</v>
      </c>
      <c r="E145" s="3" t="s">
        <v>1129</v>
      </c>
      <c r="F145" s="2"/>
      <c r="G145" s="3" t="str">
        <f>IFERROR(__xludf.DUMMYFUNCTION("GOOGLETRANSLATE(A145, ""it"", ""en"")"),"144")</f>
        <v>144</v>
      </c>
      <c r="H145" s="3" t="str">
        <f>IFERROR(__xludf.DUMMYFUNCTION("GOOGLETRANSLATE(B145, ""it"", ""en"")"),"What does the term “tactical overtaking” mean?")</f>
        <v>What does the term “tactical overtaking” mean?</v>
      </c>
      <c r="I145" s="3" t="str">
        <f>IFERROR(__xludf.DUMMYFUNCTION("GOOGLETRANSLATE(C145, ""it"", ""en"")"),"A. A team that outscores the other B. A shot that moves the jack closer to the farthest ball C. An action that blocks the opponent D. A shot that changes control of the jack")</f>
        <v>A. A team that outscores the other B. A shot that moves the jack closer to the farthest ball C. An action that blocks the opponent D. A shot that changes control of the jack</v>
      </c>
      <c r="J145" s="3" t="str">
        <f>IFERROR(__xludf.DUMMYFUNCTION("GOOGLETRANSLATE(D145, ""it"", ""en"")"),"A shot that changes the control of the ball")</f>
        <v>A shot that changes the control of the ball</v>
      </c>
      <c r="K145" s="3" t="str">
        <f>IFERROR(__xludf.DUMMYFUNCTION("GOOGLETRANSLATE(E145, ""it"", ""en"")"),"A tactical overtake changes the dynamics of the game.")</f>
        <v>A tactical overtake changes the dynamics of the game.</v>
      </c>
      <c r="L145" s="2"/>
      <c r="M145" s="2"/>
      <c r="N145" s="2"/>
      <c r="O145" s="2"/>
      <c r="P145" s="2"/>
      <c r="Q145" s="2"/>
      <c r="R145" s="2"/>
      <c r="S145" s="2"/>
      <c r="T145" s="2"/>
      <c r="U145" s="2"/>
      <c r="V145" s="2"/>
      <c r="W145" s="2"/>
    </row>
    <row r="146" ht="22.5" customHeight="1">
      <c r="A146" s="3">
        <v>145.0</v>
      </c>
      <c r="B146" s="3" t="s">
        <v>1130</v>
      </c>
      <c r="C146" s="3" t="s">
        <v>1131</v>
      </c>
      <c r="D146" s="3" t="s">
        <v>290</v>
      </c>
      <c r="E146" s="3" t="s">
        <v>1132</v>
      </c>
      <c r="F146" s="2"/>
      <c r="G146" s="3" t="str">
        <f>IFERROR(__xludf.DUMMYFUNCTION("GOOGLETRANSLATE(A146, ""it"", ""en"")"),"145")</f>
        <v>145</v>
      </c>
      <c r="H146" s="3" t="str">
        <f>IFERROR(__xludf.DUMMYFUNCTION("GOOGLETRANSLATE(B146, ""it"", ""en"")"),"How do you decide who starts a game of Bocce?")</f>
        <v>How do you decide who starts a game of Bocce?</v>
      </c>
      <c r="I146" s="3" t="str">
        <f>IFERROR(__xludf.DUMMYFUNCTION("GOOGLETRANSLATE(C146, ""it"", ""en"")"),"A. Draw B. Decided by the referee C. Choice of away team D. Random order")</f>
        <v>A. Draw B. Decided by the referee C. Choice of away team D. Random order</v>
      </c>
      <c r="J146" s="3" t="str">
        <f>IFERROR(__xludf.DUMMYFUNCTION("GOOGLETRANSLATE(D146, ""it"", ""en"")"),"Draw")</f>
        <v>Draw</v>
      </c>
      <c r="K146" s="3" t="str">
        <f>IFERROR(__xludf.DUMMYFUNCTION("GOOGLETRANSLATE(E146, ""it"", ""en"")"),"The toss determines who throws first.")</f>
        <v>The toss determines who throws first.</v>
      </c>
      <c r="L146" s="2"/>
      <c r="M146" s="2"/>
      <c r="N146" s="2"/>
      <c r="O146" s="2"/>
      <c r="P146" s="2"/>
      <c r="Q146" s="2"/>
      <c r="R146" s="2"/>
      <c r="S146" s="2"/>
      <c r="T146" s="2"/>
      <c r="U146" s="2"/>
      <c r="V146" s="2"/>
      <c r="W146" s="2"/>
    </row>
    <row r="147" ht="22.5" customHeight="1">
      <c r="A147" s="3">
        <v>146.0</v>
      </c>
      <c r="B147" s="3" t="s">
        <v>1133</v>
      </c>
      <c r="C147" s="3" t="s">
        <v>1134</v>
      </c>
      <c r="D147" s="3" t="s">
        <v>1135</v>
      </c>
      <c r="E147" s="3" t="s">
        <v>1136</v>
      </c>
      <c r="F147" s="2"/>
      <c r="G147" s="3" t="str">
        <f>IFERROR(__xludf.DUMMYFUNCTION("GOOGLETRANSLATE(A147, ""it"", ""en"")"),"146")</f>
        <v>146</v>
      </c>
      <c r="H147" s="3" t="str">
        <f>IFERROR(__xludf.DUMMYFUNCTION("GOOGLETRANSLATE(B147, ""it"", ""en"")"),"What does “fair play” mean in Bocce?")</f>
        <v>What does “fair play” mean in Bocce?</v>
      </c>
      <c r="I147" s="3" t="str">
        <f>IFERROR(__xludf.DUMMYFUNCTION("GOOGLETRANSLATE(C147, ""it"", ""en"")"),"A. Play without making mistakes B. Play respecting the rules and the opponent C. Play with few bowls on the court D. Play quickly")</f>
        <v>A. Play without making mistakes B. Play respecting the rules and the opponent C. Play with few bowls on the court D. Play quickly</v>
      </c>
      <c r="J147" s="3" t="str">
        <f>IFERROR(__xludf.DUMMYFUNCTION("GOOGLETRANSLATE(D147, ""it"", ""en"")"),"Play by respecting the rules and your opponent")</f>
        <v>Play by respecting the rules and your opponent</v>
      </c>
      <c r="K147" s="3" t="str">
        <f>IFERROR(__xludf.DUMMYFUNCTION("GOOGLETRANSLATE(E147, ""it"", ""en"")"),"Fair play involves respect for the rules and others.")</f>
        <v>Fair play involves respect for the rules and others.</v>
      </c>
      <c r="L147" s="2"/>
      <c r="M147" s="2"/>
      <c r="N147" s="2"/>
      <c r="O147" s="2"/>
      <c r="P147" s="2"/>
      <c r="Q147" s="2"/>
      <c r="R147" s="2"/>
      <c r="S147" s="2"/>
      <c r="T147" s="2"/>
      <c r="U147" s="2"/>
      <c r="V147" s="2"/>
      <c r="W147" s="2"/>
    </row>
    <row r="148" ht="22.5" customHeight="1">
      <c r="A148" s="3">
        <v>147.0</v>
      </c>
      <c r="B148" s="3" t="s">
        <v>1137</v>
      </c>
      <c r="C148" s="3" t="s">
        <v>1138</v>
      </c>
      <c r="D148" s="3" t="s">
        <v>1139</v>
      </c>
      <c r="E148" s="3" t="s">
        <v>1140</v>
      </c>
      <c r="F148" s="2"/>
      <c r="G148" s="3" t="str">
        <f>IFERROR(__xludf.DUMMYFUNCTION("GOOGLETRANSLATE(A148, ""it"", ""en"")"),"147")</f>
        <v>147</v>
      </c>
      <c r="H148" s="3" t="str">
        <f>IFERROR(__xludf.DUMMYFUNCTION("GOOGLETRANSLATE(B148, ""it"", ""en"")"),"What happens if a team accidentally touches the cue ball during a measurement?")</f>
        <v>What happens if a team accidentally touches the cue ball during a measurement?</v>
      </c>
      <c r="I148" s="3" t="str">
        <f>IFERROR(__xludf.DUMMYFUNCTION("GOOGLETRANSLATE(C148, ""it"", ""en"")"),"A. The cue ball is replaced B. The team loses points C. The referee awards a point to the opponent D. The round is cancelled")</f>
        <v>A. The cue ball is replaced B. The team loses points C. The referee awards a point to the opponent D. The round is cancelled</v>
      </c>
      <c r="J148" s="3" t="str">
        <f>IFERROR(__xludf.DUMMYFUNCTION("GOOGLETRANSLATE(D148, ""it"", ""en"")"),"The ball is repositioned")</f>
        <v>The ball is repositioned</v>
      </c>
      <c r="K148" s="3" t="str">
        <f>IFERROR(__xludf.DUMMYFUNCTION("GOOGLETRANSLATE(E148, ""it"", ""en"")"),"The referee intervenes to reposition the ball.")</f>
        <v>The referee intervenes to reposition the ball.</v>
      </c>
      <c r="L148" s="2"/>
      <c r="M148" s="2"/>
      <c r="N148" s="2"/>
      <c r="O148" s="2"/>
      <c r="P148" s="2"/>
      <c r="Q148" s="2"/>
      <c r="R148" s="2"/>
      <c r="S148" s="2"/>
      <c r="T148" s="2"/>
      <c r="U148" s="2"/>
      <c r="V148" s="2"/>
      <c r="W148" s="2"/>
    </row>
    <row r="149" ht="22.5" customHeight="1">
      <c r="A149" s="3">
        <v>148.0</v>
      </c>
      <c r="B149" s="3" t="s">
        <v>1141</v>
      </c>
      <c r="C149" s="3" t="s">
        <v>1142</v>
      </c>
      <c r="D149" s="3" t="s">
        <v>1143</v>
      </c>
      <c r="E149" s="3" t="s">
        <v>1144</v>
      </c>
      <c r="F149" s="2"/>
      <c r="G149" s="3" t="str">
        <f>IFERROR(__xludf.DUMMYFUNCTION("GOOGLETRANSLATE(A149, ""it"", ""en"")"),"148")</f>
        <v>148</v>
      </c>
      <c r="H149" s="3" t="str">
        <f>IFERROR(__xludf.DUMMYFUNCTION("GOOGLETRANSLATE(B149, ""it"", ""en"")"),"What does the term “game blocked” mean?")</f>
        <v>What does the term “game blocked” mean?</v>
      </c>
      <c r="I149" s="3" t="str">
        <f>IFERROR(__xludf.DUMMYFUNCTION("GOOGLETRANSLATE(C149, ""it"", ""en"")"),"A. An unscored round B. A situation in which no ball can get close to the jack C. A technical error D. An interruption of play")</f>
        <v>A. An unscored round B. A situation in which no ball can get close to the jack C. A technical error D. An interruption of play</v>
      </c>
      <c r="J149" s="3" t="str">
        <f>IFERROR(__xludf.DUMMYFUNCTION("GOOGLETRANSLATE(D149, ""it"", ""en"")"),"A situation where no ball can get close to the jack")</f>
        <v>A situation where no ball can get close to the jack</v>
      </c>
      <c r="K149" s="3" t="str">
        <f>IFERROR(__xludf.DUMMYFUNCTION("GOOGLETRANSLATE(E149, ""it"", ""en"")"),"A blocked game occurs when the balls prevent further strategic movement.")</f>
        <v>A blocked game occurs when the balls prevent further strategic movement.</v>
      </c>
      <c r="L149" s="2"/>
      <c r="M149" s="2"/>
      <c r="N149" s="2"/>
      <c r="O149" s="2"/>
      <c r="P149" s="2"/>
      <c r="Q149" s="2"/>
      <c r="R149" s="2"/>
      <c r="S149" s="2"/>
      <c r="T149" s="2"/>
      <c r="U149" s="2"/>
      <c r="V149" s="2"/>
      <c r="W149" s="2"/>
    </row>
    <row r="150" ht="22.5" customHeight="1">
      <c r="A150" s="3">
        <v>150.0</v>
      </c>
      <c r="B150" s="3" t="s">
        <v>1145</v>
      </c>
      <c r="C150" s="3" t="s">
        <v>1146</v>
      </c>
      <c r="D150" s="3" t="s">
        <v>1147</v>
      </c>
      <c r="E150" s="3" t="s">
        <v>1148</v>
      </c>
      <c r="F150" s="2"/>
      <c r="G150" s="3" t="str">
        <f>IFERROR(__xludf.DUMMYFUNCTION("GOOGLETRANSLATE(A150, ""it"", ""en"")"),"150")</f>
        <v>150</v>
      </c>
      <c r="H150" s="3" t="str">
        <f>IFERROR(__xludf.DUMMYFUNCTION("GOOGLETRANSLATE(B150, ""it"", ""en"")"),"What does “dead line” mean in Bocce?")</f>
        <v>What does “dead line” mean in Bocce?</v>
      </c>
      <c r="I150" s="3" t="str">
        <f>IFERROR(__xludf.DUMMYFUNCTION("GOOGLETRANSLATE(C150, ""it"", ""en"")"),"A. The line where the balls are eliminated B. The line beyond which the jack is out C. The line marking the centre of the court D. The line delimiting the throwing area")</f>
        <v>A. The line where the balls are eliminated B. The line beyond which the jack is out C. The line marking the centre of the court D. The line delimiting the throwing area</v>
      </c>
      <c r="J150" s="3" t="str">
        <f>IFERROR(__xludf.DUMMYFUNCTION("GOOGLETRANSLATE(D150, ""it"", ""en"")"),"The line beyond which the ball is out")</f>
        <v>The line beyond which the ball is out</v>
      </c>
      <c r="K150" s="3" t="str">
        <f>IFERROR(__xludf.DUMMYFUNCTION("GOOGLETRANSLATE(E150, ""it"", ""en"")"),"The dead line marks the limit of valid play.")</f>
        <v>The dead line marks the limit of valid play.</v>
      </c>
      <c r="L150" s="2"/>
      <c r="M150" s="2"/>
      <c r="N150" s="2"/>
      <c r="O150" s="2"/>
      <c r="P150" s="2"/>
      <c r="Q150" s="2"/>
      <c r="R150" s="2"/>
      <c r="S150" s="2"/>
      <c r="T150" s="2"/>
      <c r="U150" s="2"/>
      <c r="V150" s="2"/>
      <c r="W150" s="2"/>
    </row>
    <row r="151">
      <c r="A151" s="2"/>
      <c r="B151" s="2"/>
      <c r="C151" s="2"/>
      <c r="D151" s="2"/>
      <c r="E151" s="2"/>
      <c r="F151" s="2"/>
      <c r="G151" s="2"/>
      <c r="H151" s="2"/>
      <c r="I151" s="2"/>
      <c r="J151" s="2"/>
      <c r="K151" s="2"/>
      <c r="L151" s="2"/>
      <c r="M151" s="2"/>
      <c r="N151" s="2"/>
      <c r="O151" s="2"/>
      <c r="P151" s="2"/>
      <c r="Q151" s="2"/>
      <c r="R151" s="2"/>
      <c r="S151" s="2"/>
      <c r="T151" s="2"/>
      <c r="U151" s="2"/>
      <c r="V151" s="2"/>
      <c r="W151" s="2"/>
    </row>
    <row r="152">
      <c r="A152" s="2"/>
      <c r="B152" s="2"/>
      <c r="C152" s="2"/>
      <c r="D152" s="2"/>
      <c r="E152" s="2"/>
      <c r="F152" s="2"/>
      <c r="G152" s="2"/>
      <c r="H152" s="2"/>
      <c r="I152" s="2"/>
      <c r="J152" s="2"/>
      <c r="K152" s="2"/>
      <c r="L152" s="2"/>
      <c r="M152" s="2"/>
      <c r="N152" s="2"/>
      <c r="O152" s="2"/>
      <c r="P152" s="2"/>
      <c r="Q152" s="2"/>
      <c r="R152" s="2"/>
      <c r="S152" s="2"/>
      <c r="T152" s="2"/>
      <c r="U152" s="2"/>
      <c r="V152" s="2"/>
      <c r="W152" s="2"/>
    </row>
    <row r="153">
      <c r="A153" s="2"/>
      <c r="B153" s="2"/>
      <c r="C153" s="2"/>
      <c r="D153" s="2"/>
      <c r="E153" s="2"/>
      <c r="F153" s="2"/>
      <c r="G153" s="2"/>
      <c r="H153" s="2"/>
      <c r="I153" s="2"/>
      <c r="J153" s="2"/>
      <c r="K153" s="2"/>
      <c r="L153" s="2"/>
      <c r="M153" s="2"/>
      <c r="N153" s="2"/>
      <c r="O153" s="2"/>
      <c r="P153" s="2"/>
      <c r="Q153" s="2"/>
      <c r="R153" s="2"/>
      <c r="S153" s="2"/>
      <c r="T153" s="2"/>
      <c r="U153" s="2"/>
      <c r="V153" s="2"/>
      <c r="W153" s="2"/>
    </row>
    <row r="154">
      <c r="A154" s="2"/>
      <c r="B154" s="2"/>
      <c r="C154" s="2"/>
      <c r="D154" s="2"/>
      <c r="E154" s="2"/>
      <c r="F154" s="2"/>
      <c r="G154" s="2"/>
      <c r="H154" s="2"/>
      <c r="I154" s="2"/>
      <c r="J154" s="2"/>
      <c r="K154" s="2"/>
      <c r="L154" s="2"/>
      <c r="M154" s="2"/>
      <c r="N154" s="2"/>
      <c r="O154" s="2"/>
      <c r="P154" s="2"/>
      <c r="Q154" s="2"/>
      <c r="R154" s="2"/>
      <c r="S154" s="2"/>
      <c r="T154" s="2"/>
      <c r="U154" s="2"/>
      <c r="V154" s="2"/>
      <c r="W154" s="2"/>
    </row>
    <row r="155">
      <c r="A155" s="2"/>
      <c r="B155" s="2"/>
      <c r="C155" s="2"/>
      <c r="D155" s="2"/>
      <c r="E155" s="2"/>
      <c r="F155" s="2"/>
      <c r="G155" s="2"/>
      <c r="H155" s="2"/>
      <c r="I155" s="2"/>
      <c r="J155" s="2"/>
      <c r="K155" s="2"/>
      <c r="L155" s="2"/>
      <c r="M155" s="2"/>
      <c r="N155" s="2"/>
      <c r="O155" s="2"/>
      <c r="P155" s="2"/>
      <c r="Q155" s="2"/>
      <c r="R155" s="2"/>
      <c r="S155" s="2"/>
      <c r="T155" s="2"/>
      <c r="U155" s="2"/>
      <c r="V155" s="2"/>
      <c r="W155" s="2"/>
    </row>
    <row r="156">
      <c r="A156" s="2"/>
      <c r="B156" s="2"/>
      <c r="C156" s="2"/>
      <c r="D156" s="2"/>
      <c r="E156" s="2"/>
      <c r="F156" s="2"/>
      <c r="G156" s="2"/>
      <c r="H156" s="2"/>
      <c r="I156" s="2"/>
      <c r="J156" s="2"/>
      <c r="K156" s="2"/>
      <c r="L156" s="2"/>
      <c r="M156" s="2"/>
      <c r="N156" s="2"/>
      <c r="O156" s="2"/>
      <c r="P156" s="2"/>
      <c r="Q156" s="2"/>
      <c r="R156" s="2"/>
      <c r="S156" s="2"/>
      <c r="T156" s="2"/>
      <c r="U156" s="2"/>
      <c r="V156" s="2"/>
      <c r="W156" s="2"/>
    </row>
    <row r="157">
      <c r="A157" s="2"/>
      <c r="B157" s="2"/>
      <c r="C157" s="2"/>
      <c r="D157" s="2"/>
      <c r="E157" s="2"/>
      <c r="F157" s="2"/>
      <c r="G157" s="2"/>
      <c r="H157" s="2"/>
      <c r="I157" s="2"/>
      <c r="J157" s="2"/>
      <c r="K157" s="2"/>
      <c r="L157" s="2"/>
      <c r="M157" s="2"/>
      <c r="N157" s="2"/>
      <c r="O157" s="2"/>
      <c r="P157" s="2"/>
      <c r="Q157" s="2"/>
      <c r="R157" s="2"/>
      <c r="S157" s="2"/>
      <c r="T157" s="2"/>
      <c r="U157" s="2"/>
      <c r="V157" s="2"/>
      <c r="W157" s="2"/>
    </row>
    <row r="158">
      <c r="A158" s="2"/>
      <c r="B158" s="2"/>
      <c r="C158" s="2"/>
      <c r="D158" s="2"/>
      <c r="E158" s="2"/>
      <c r="F158" s="2"/>
      <c r="G158" s="2"/>
      <c r="H158" s="2"/>
      <c r="I158" s="2"/>
      <c r="J158" s="2"/>
      <c r="K158" s="2"/>
      <c r="L158" s="2"/>
      <c r="M158" s="2"/>
      <c r="N158" s="2"/>
      <c r="O158" s="2"/>
      <c r="P158" s="2"/>
      <c r="Q158" s="2"/>
      <c r="R158" s="2"/>
      <c r="S158" s="2"/>
      <c r="T158" s="2"/>
      <c r="U158" s="2"/>
      <c r="V158" s="2"/>
      <c r="W158" s="2"/>
    </row>
    <row r="159">
      <c r="A159" s="2"/>
      <c r="B159" s="2"/>
      <c r="C159" s="2"/>
      <c r="D159" s="2"/>
      <c r="E159" s="2"/>
      <c r="F159" s="2"/>
      <c r="G159" s="2"/>
      <c r="H159" s="2"/>
      <c r="I159" s="2"/>
      <c r="J159" s="2"/>
      <c r="K159" s="2"/>
      <c r="L159" s="2"/>
      <c r="M159" s="2"/>
      <c r="N159" s="2"/>
      <c r="O159" s="2"/>
      <c r="P159" s="2"/>
      <c r="Q159" s="2"/>
      <c r="R159" s="2"/>
      <c r="S159" s="2"/>
      <c r="T159" s="2"/>
      <c r="U159" s="2"/>
      <c r="V159" s="2"/>
      <c r="W159" s="2"/>
    </row>
    <row r="160">
      <c r="A160" s="2"/>
      <c r="B160" s="2"/>
      <c r="C160" s="2"/>
      <c r="D160" s="2"/>
      <c r="E160" s="2"/>
      <c r="F160" s="2"/>
      <c r="G160" s="2"/>
      <c r="H160" s="2"/>
      <c r="I160" s="2"/>
      <c r="J160" s="2"/>
      <c r="K160" s="2"/>
      <c r="L160" s="2"/>
      <c r="M160" s="2"/>
      <c r="N160" s="2"/>
      <c r="O160" s="2"/>
      <c r="P160" s="2"/>
      <c r="Q160" s="2"/>
      <c r="R160" s="2"/>
      <c r="S160" s="2"/>
      <c r="T160" s="2"/>
      <c r="U160" s="2"/>
      <c r="V160" s="2"/>
      <c r="W160" s="2"/>
    </row>
    <row r="161">
      <c r="A161" s="2"/>
      <c r="B161" s="2"/>
      <c r="C161" s="2"/>
      <c r="D161" s="2"/>
      <c r="E161" s="2"/>
      <c r="F161" s="2"/>
      <c r="G161" s="2"/>
      <c r="H161" s="2"/>
      <c r="I161" s="2"/>
      <c r="J161" s="2"/>
      <c r="K161" s="2"/>
      <c r="L161" s="2"/>
      <c r="M161" s="2"/>
      <c r="N161" s="2"/>
      <c r="O161" s="2"/>
      <c r="P161" s="2"/>
      <c r="Q161" s="2"/>
      <c r="R161" s="2"/>
      <c r="S161" s="2"/>
      <c r="T161" s="2"/>
      <c r="U161" s="2"/>
      <c r="V161" s="2"/>
      <c r="W161" s="2"/>
    </row>
    <row r="162">
      <c r="A162" s="2"/>
      <c r="B162" s="2"/>
      <c r="C162" s="2"/>
      <c r="D162" s="2"/>
      <c r="E162" s="2"/>
      <c r="F162" s="2"/>
      <c r="G162" s="2"/>
      <c r="H162" s="2"/>
      <c r="I162" s="2"/>
      <c r="J162" s="2"/>
      <c r="K162" s="2"/>
      <c r="L162" s="2"/>
      <c r="M162" s="2"/>
      <c r="N162" s="2"/>
      <c r="O162" s="2"/>
      <c r="P162" s="2"/>
      <c r="Q162" s="2"/>
      <c r="R162" s="2"/>
      <c r="S162" s="2"/>
      <c r="T162" s="2"/>
      <c r="U162" s="2"/>
      <c r="V162" s="2"/>
      <c r="W162" s="2"/>
    </row>
    <row r="163">
      <c r="A163" s="2"/>
      <c r="B163" s="2"/>
      <c r="C163" s="2"/>
      <c r="D163" s="2"/>
      <c r="E163" s="2"/>
      <c r="F163" s="2"/>
      <c r="G163" s="2"/>
      <c r="H163" s="2"/>
      <c r="I163" s="2"/>
      <c r="J163" s="2"/>
      <c r="K163" s="2"/>
      <c r="L163" s="2"/>
      <c r="M163" s="2"/>
      <c r="N163" s="2"/>
      <c r="O163" s="2"/>
      <c r="P163" s="2"/>
      <c r="Q163" s="2"/>
      <c r="R163" s="2"/>
      <c r="S163" s="2"/>
      <c r="T163" s="2"/>
      <c r="U163" s="2"/>
      <c r="V163" s="2"/>
      <c r="W163" s="2"/>
    </row>
    <row r="164">
      <c r="A164" s="2"/>
      <c r="B164" s="2"/>
      <c r="C164" s="2"/>
      <c r="D164" s="2"/>
      <c r="E164" s="2"/>
      <c r="F164" s="2"/>
      <c r="G164" s="2"/>
      <c r="H164" s="2"/>
      <c r="I164" s="2"/>
      <c r="J164" s="2"/>
      <c r="K164" s="2"/>
      <c r="L164" s="2"/>
      <c r="M164" s="2"/>
      <c r="N164" s="2"/>
      <c r="O164" s="2"/>
      <c r="P164" s="2"/>
      <c r="Q164" s="2"/>
      <c r="R164" s="2"/>
      <c r="S164" s="2"/>
      <c r="T164" s="2"/>
      <c r="U164" s="2"/>
      <c r="V164" s="2"/>
      <c r="W164" s="2"/>
    </row>
    <row r="165">
      <c r="A165" s="2"/>
      <c r="B165" s="2"/>
      <c r="C165" s="2"/>
      <c r="D165" s="2"/>
      <c r="E165" s="2"/>
      <c r="F165" s="2"/>
      <c r="G165" s="2"/>
      <c r="H165" s="2"/>
      <c r="I165" s="2"/>
      <c r="J165" s="2"/>
      <c r="K165" s="2"/>
      <c r="L165" s="2"/>
      <c r="M165" s="2"/>
      <c r="N165" s="2"/>
      <c r="O165" s="2"/>
      <c r="P165" s="2"/>
      <c r="Q165" s="2"/>
      <c r="R165" s="2"/>
      <c r="S165" s="2"/>
      <c r="T165" s="2"/>
      <c r="U165" s="2"/>
      <c r="V165" s="2"/>
      <c r="W165" s="2"/>
    </row>
    <row r="166">
      <c r="A166" s="2"/>
      <c r="B166" s="2"/>
      <c r="C166" s="2"/>
      <c r="D166" s="2"/>
      <c r="E166" s="2"/>
      <c r="F166" s="2"/>
      <c r="G166" s="2"/>
      <c r="H166" s="2"/>
      <c r="I166" s="2"/>
      <c r="J166" s="2"/>
      <c r="K166" s="2"/>
      <c r="L166" s="2"/>
      <c r="M166" s="2"/>
      <c r="N166" s="2"/>
      <c r="O166" s="2"/>
      <c r="P166" s="2"/>
      <c r="Q166" s="2"/>
      <c r="R166" s="2"/>
      <c r="S166" s="2"/>
      <c r="T166" s="2"/>
      <c r="U166" s="2"/>
      <c r="V166" s="2"/>
      <c r="W166" s="2"/>
    </row>
    <row r="167">
      <c r="A167" s="2"/>
      <c r="B167" s="2"/>
      <c r="C167" s="2"/>
      <c r="D167" s="2"/>
      <c r="E167" s="2"/>
      <c r="F167" s="2"/>
      <c r="G167" s="2"/>
      <c r="H167" s="2"/>
      <c r="I167" s="2"/>
      <c r="J167" s="2"/>
      <c r="K167" s="2"/>
      <c r="L167" s="2"/>
      <c r="M167" s="2"/>
      <c r="N167" s="2"/>
      <c r="O167" s="2"/>
      <c r="P167" s="2"/>
      <c r="Q167" s="2"/>
      <c r="R167" s="2"/>
      <c r="S167" s="2"/>
      <c r="T167" s="2"/>
      <c r="U167" s="2"/>
      <c r="V167" s="2"/>
      <c r="W167" s="2"/>
    </row>
    <row r="168">
      <c r="A168" s="2"/>
      <c r="B168" s="2"/>
      <c r="C168" s="2"/>
      <c r="D168" s="2"/>
      <c r="E168" s="2"/>
      <c r="F168" s="2"/>
      <c r="G168" s="2"/>
      <c r="H168" s="2"/>
      <c r="I168" s="2"/>
      <c r="J168" s="2"/>
      <c r="K168" s="2"/>
      <c r="L168" s="2"/>
      <c r="M168" s="2"/>
      <c r="N168" s="2"/>
      <c r="O168" s="2"/>
      <c r="P168" s="2"/>
      <c r="Q168" s="2"/>
      <c r="R168" s="2"/>
      <c r="S168" s="2"/>
      <c r="T168" s="2"/>
      <c r="U168" s="2"/>
      <c r="V168" s="2"/>
      <c r="W168" s="2"/>
    </row>
    <row r="169">
      <c r="A169" s="2"/>
      <c r="B169" s="2"/>
      <c r="C169" s="2"/>
      <c r="D169" s="2"/>
      <c r="E169" s="2"/>
      <c r="F169" s="2"/>
      <c r="G169" s="2"/>
      <c r="H169" s="2"/>
      <c r="I169" s="2"/>
      <c r="J169" s="2"/>
      <c r="K169" s="2"/>
      <c r="L169" s="2"/>
      <c r="M169" s="2"/>
      <c r="N169" s="2"/>
      <c r="O169" s="2"/>
      <c r="P169" s="2"/>
      <c r="Q169" s="2"/>
      <c r="R169" s="2"/>
      <c r="S169" s="2"/>
      <c r="T169" s="2"/>
      <c r="U169" s="2"/>
      <c r="V169" s="2"/>
      <c r="W169" s="2"/>
    </row>
    <row r="170">
      <c r="A170" s="2"/>
      <c r="B170" s="2"/>
      <c r="C170" s="2"/>
      <c r="D170" s="2"/>
      <c r="E170" s="2"/>
      <c r="F170" s="2"/>
      <c r="G170" s="2"/>
      <c r="H170" s="2"/>
      <c r="I170" s="2"/>
      <c r="J170" s="2"/>
      <c r="K170" s="2"/>
      <c r="L170" s="2"/>
      <c r="M170" s="2"/>
      <c r="N170" s="2"/>
      <c r="O170" s="2"/>
      <c r="P170" s="2"/>
      <c r="Q170" s="2"/>
      <c r="R170" s="2"/>
      <c r="S170" s="2"/>
      <c r="T170" s="2"/>
      <c r="U170" s="2"/>
      <c r="V170" s="2"/>
      <c r="W170" s="2"/>
    </row>
    <row r="171">
      <c r="A171" s="2"/>
      <c r="B171" s="2"/>
      <c r="C171" s="2"/>
      <c r="D171" s="2"/>
      <c r="E171" s="2"/>
      <c r="F171" s="2"/>
      <c r="G171" s="2"/>
      <c r="H171" s="2"/>
      <c r="I171" s="2"/>
      <c r="J171" s="2"/>
      <c r="K171" s="2"/>
      <c r="L171" s="2"/>
      <c r="M171" s="2"/>
      <c r="N171" s="2"/>
      <c r="O171" s="2"/>
      <c r="P171" s="2"/>
      <c r="Q171" s="2"/>
      <c r="R171" s="2"/>
      <c r="S171" s="2"/>
      <c r="T171" s="2"/>
      <c r="U171" s="2"/>
      <c r="V171" s="2"/>
      <c r="W171" s="2"/>
    </row>
    <row r="172">
      <c r="A172" s="2"/>
      <c r="B172" s="2"/>
      <c r="C172" s="2"/>
      <c r="D172" s="2"/>
      <c r="E172" s="2"/>
      <c r="F172" s="2"/>
      <c r="G172" s="2"/>
      <c r="H172" s="2"/>
      <c r="I172" s="2"/>
      <c r="J172" s="2"/>
      <c r="K172" s="2"/>
      <c r="L172" s="2"/>
      <c r="M172" s="2"/>
      <c r="N172" s="2"/>
      <c r="O172" s="2"/>
      <c r="P172" s="2"/>
      <c r="Q172" s="2"/>
      <c r="R172" s="2"/>
      <c r="S172" s="2"/>
      <c r="T172" s="2"/>
      <c r="U172" s="2"/>
      <c r="V172" s="2"/>
      <c r="W172" s="2"/>
    </row>
    <row r="173">
      <c r="A173" s="2"/>
      <c r="B173" s="2"/>
      <c r="C173" s="2"/>
      <c r="D173" s="2"/>
      <c r="E173" s="2"/>
      <c r="F173" s="2"/>
      <c r="G173" s="2"/>
      <c r="H173" s="2"/>
      <c r="I173" s="2"/>
      <c r="J173" s="2"/>
      <c r="K173" s="2"/>
      <c r="L173" s="2"/>
      <c r="M173" s="2"/>
      <c r="N173" s="2"/>
      <c r="O173" s="2"/>
      <c r="P173" s="2"/>
      <c r="Q173" s="2"/>
      <c r="R173" s="2"/>
      <c r="S173" s="2"/>
      <c r="T173" s="2"/>
      <c r="U173" s="2"/>
      <c r="V173" s="2"/>
      <c r="W173" s="2"/>
    </row>
    <row r="174">
      <c r="A174" s="2"/>
      <c r="B174" s="2"/>
      <c r="C174" s="2"/>
      <c r="D174" s="2"/>
      <c r="E174" s="2"/>
      <c r="F174" s="2"/>
      <c r="G174" s="2"/>
      <c r="H174" s="2"/>
      <c r="I174" s="2"/>
      <c r="J174" s="2"/>
      <c r="K174" s="2"/>
      <c r="L174" s="2"/>
      <c r="M174" s="2"/>
      <c r="N174" s="2"/>
      <c r="O174" s="2"/>
      <c r="P174" s="2"/>
      <c r="Q174" s="2"/>
      <c r="R174" s="2"/>
      <c r="S174" s="2"/>
      <c r="T174" s="2"/>
      <c r="U174" s="2"/>
      <c r="V174" s="2"/>
      <c r="W174" s="2"/>
    </row>
    <row r="175">
      <c r="A175" s="2"/>
      <c r="B175" s="2"/>
      <c r="C175" s="2"/>
      <c r="D175" s="2"/>
      <c r="E175" s="2"/>
      <c r="F175" s="2"/>
      <c r="G175" s="2"/>
      <c r="H175" s="2"/>
      <c r="I175" s="2"/>
      <c r="J175" s="2"/>
      <c r="K175" s="2"/>
      <c r="L175" s="2"/>
      <c r="M175" s="2"/>
      <c r="N175" s="2"/>
      <c r="O175" s="2"/>
      <c r="P175" s="2"/>
      <c r="Q175" s="2"/>
      <c r="R175" s="2"/>
      <c r="S175" s="2"/>
      <c r="T175" s="2"/>
      <c r="U175" s="2"/>
      <c r="V175" s="2"/>
      <c r="W175" s="2"/>
    </row>
    <row r="176">
      <c r="A176" s="2"/>
      <c r="B176" s="2"/>
      <c r="C176" s="2"/>
      <c r="D176" s="2"/>
      <c r="E176" s="2"/>
      <c r="F176" s="2"/>
      <c r="G176" s="2"/>
      <c r="H176" s="2"/>
      <c r="I176" s="2"/>
      <c r="J176" s="2"/>
      <c r="K176" s="2"/>
      <c r="L176" s="2"/>
      <c r="M176" s="2"/>
      <c r="N176" s="2"/>
      <c r="O176" s="2"/>
      <c r="P176" s="2"/>
      <c r="Q176" s="2"/>
      <c r="R176" s="2"/>
      <c r="S176" s="2"/>
      <c r="T176" s="2"/>
      <c r="U176" s="2"/>
      <c r="V176" s="2"/>
      <c r="W176" s="2"/>
    </row>
    <row r="177">
      <c r="A177" s="2"/>
      <c r="B177" s="2"/>
      <c r="C177" s="2"/>
      <c r="D177" s="2"/>
      <c r="E177" s="2"/>
      <c r="F177" s="2"/>
      <c r="G177" s="2"/>
      <c r="H177" s="2"/>
      <c r="I177" s="2"/>
      <c r="J177" s="2"/>
      <c r="K177" s="2"/>
      <c r="L177" s="2"/>
      <c r="M177" s="2"/>
      <c r="N177" s="2"/>
      <c r="O177" s="2"/>
      <c r="P177" s="2"/>
      <c r="Q177" s="2"/>
      <c r="R177" s="2"/>
      <c r="S177" s="2"/>
      <c r="T177" s="2"/>
      <c r="U177" s="2"/>
      <c r="V177" s="2"/>
      <c r="W177" s="2"/>
    </row>
    <row r="178">
      <c r="A178" s="2"/>
      <c r="B178" s="2"/>
      <c r="C178" s="2"/>
      <c r="D178" s="2"/>
      <c r="E178" s="2"/>
      <c r="F178" s="2"/>
      <c r="G178" s="2"/>
      <c r="H178" s="2"/>
      <c r="I178" s="2"/>
      <c r="J178" s="2"/>
      <c r="K178" s="2"/>
      <c r="L178" s="2"/>
      <c r="M178" s="2"/>
      <c r="N178" s="2"/>
      <c r="O178" s="2"/>
      <c r="P178" s="2"/>
      <c r="Q178" s="2"/>
      <c r="R178" s="2"/>
      <c r="S178" s="2"/>
      <c r="T178" s="2"/>
      <c r="U178" s="2"/>
      <c r="V178" s="2"/>
      <c r="W178" s="2"/>
    </row>
    <row r="179">
      <c r="A179" s="2"/>
      <c r="B179" s="2"/>
      <c r="C179" s="2"/>
      <c r="D179" s="2"/>
      <c r="E179" s="2"/>
      <c r="F179" s="2"/>
      <c r="G179" s="2"/>
      <c r="H179" s="2"/>
      <c r="I179" s="2"/>
      <c r="J179" s="2"/>
      <c r="K179" s="2"/>
      <c r="L179" s="2"/>
      <c r="M179" s="2"/>
      <c r="N179" s="2"/>
      <c r="O179" s="2"/>
      <c r="P179" s="2"/>
      <c r="Q179" s="2"/>
      <c r="R179" s="2"/>
      <c r="S179" s="2"/>
      <c r="T179" s="2"/>
      <c r="U179" s="2"/>
      <c r="V179" s="2"/>
      <c r="W179" s="2"/>
    </row>
    <row r="180">
      <c r="A180" s="2"/>
      <c r="B180" s="2"/>
      <c r="C180" s="2"/>
      <c r="D180" s="2"/>
      <c r="E180" s="2"/>
      <c r="F180" s="2"/>
      <c r="G180" s="2"/>
      <c r="H180" s="2"/>
      <c r="I180" s="2"/>
      <c r="J180" s="2"/>
      <c r="K180" s="2"/>
      <c r="L180" s="2"/>
      <c r="M180" s="2"/>
      <c r="N180" s="2"/>
      <c r="O180" s="2"/>
      <c r="P180" s="2"/>
      <c r="Q180" s="2"/>
      <c r="R180" s="2"/>
      <c r="S180" s="2"/>
      <c r="T180" s="2"/>
      <c r="U180" s="2"/>
      <c r="V180" s="2"/>
      <c r="W180" s="2"/>
    </row>
    <row r="181">
      <c r="A181" s="2"/>
      <c r="B181" s="2"/>
      <c r="C181" s="2"/>
      <c r="D181" s="2"/>
      <c r="E181" s="2"/>
      <c r="F181" s="2"/>
      <c r="G181" s="2"/>
      <c r="H181" s="2"/>
      <c r="I181" s="2"/>
      <c r="J181" s="2"/>
      <c r="K181" s="2"/>
      <c r="L181" s="2"/>
      <c r="M181" s="2"/>
      <c r="N181" s="2"/>
      <c r="O181" s="2"/>
      <c r="P181" s="2"/>
      <c r="Q181" s="2"/>
      <c r="R181" s="2"/>
      <c r="S181" s="2"/>
      <c r="T181" s="2"/>
      <c r="U181" s="2"/>
      <c r="V181" s="2"/>
      <c r="W181" s="2"/>
    </row>
    <row r="182">
      <c r="A182" s="2"/>
      <c r="B182" s="2"/>
      <c r="C182" s="2"/>
      <c r="D182" s="2"/>
      <c r="E182" s="2"/>
      <c r="F182" s="2"/>
      <c r="G182" s="2"/>
      <c r="H182" s="2"/>
      <c r="I182" s="2"/>
      <c r="J182" s="2"/>
      <c r="K182" s="2"/>
      <c r="L182" s="2"/>
      <c r="M182" s="2"/>
      <c r="N182" s="2"/>
      <c r="O182" s="2"/>
      <c r="P182" s="2"/>
      <c r="Q182" s="2"/>
      <c r="R182" s="2"/>
      <c r="S182" s="2"/>
      <c r="T182" s="2"/>
      <c r="U182" s="2"/>
      <c r="V182" s="2"/>
      <c r="W182" s="2"/>
    </row>
    <row r="183">
      <c r="A183" s="2"/>
      <c r="B183" s="2"/>
      <c r="C183" s="2"/>
      <c r="D183" s="2"/>
      <c r="E183" s="2"/>
      <c r="F183" s="2"/>
      <c r="G183" s="2"/>
      <c r="H183" s="2"/>
      <c r="I183" s="2"/>
      <c r="J183" s="2"/>
      <c r="K183" s="2"/>
      <c r="L183" s="2"/>
      <c r="M183" s="2"/>
      <c r="N183" s="2"/>
      <c r="O183" s="2"/>
      <c r="P183" s="2"/>
      <c r="Q183" s="2"/>
      <c r="R183" s="2"/>
      <c r="S183" s="2"/>
      <c r="T183" s="2"/>
      <c r="U183" s="2"/>
      <c r="V183" s="2"/>
      <c r="W183" s="2"/>
    </row>
    <row r="184">
      <c r="A184" s="2"/>
      <c r="B184" s="2"/>
      <c r="C184" s="2"/>
      <c r="D184" s="2"/>
      <c r="E184" s="2"/>
      <c r="F184" s="2"/>
      <c r="G184" s="2"/>
      <c r="H184" s="2"/>
      <c r="I184" s="2"/>
      <c r="J184" s="2"/>
      <c r="K184" s="2"/>
      <c r="L184" s="2"/>
      <c r="M184" s="2"/>
      <c r="N184" s="2"/>
      <c r="O184" s="2"/>
      <c r="P184" s="2"/>
      <c r="Q184" s="2"/>
      <c r="R184" s="2"/>
      <c r="S184" s="2"/>
      <c r="T184" s="2"/>
      <c r="U184" s="2"/>
      <c r="V184" s="2"/>
      <c r="W184" s="2"/>
    </row>
    <row r="185">
      <c r="A185" s="2"/>
      <c r="B185" s="2"/>
      <c r="C185" s="2"/>
      <c r="D185" s="2"/>
      <c r="E185" s="2"/>
      <c r="F185" s="2"/>
      <c r="G185" s="2"/>
      <c r="H185" s="2"/>
      <c r="I185" s="2"/>
      <c r="J185" s="2"/>
      <c r="K185" s="2"/>
      <c r="L185" s="2"/>
      <c r="M185" s="2"/>
      <c r="N185" s="2"/>
      <c r="O185" s="2"/>
      <c r="P185" s="2"/>
      <c r="Q185" s="2"/>
      <c r="R185" s="2"/>
      <c r="S185" s="2"/>
      <c r="T185" s="2"/>
      <c r="U185" s="2"/>
      <c r="V185" s="2"/>
      <c r="W185" s="2"/>
    </row>
    <row r="186">
      <c r="A186" s="2"/>
      <c r="B186" s="2"/>
      <c r="C186" s="2"/>
      <c r="D186" s="2"/>
      <c r="E186" s="2"/>
      <c r="F186" s="2"/>
      <c r="G186" s="2"/>
      <c r="H186" s="2"/>
      <c r="I186" s="2"/>
      <c r="J186" s="2"/>
      <c r="K186" s="2"/>
      <c r="L186" s="2"/>
      <c r="M186" s="2"/>
      <c r="N186" s="2"/>
      <c r="O186" s="2"/>
      <c r="P186" s="2"/>
      <c r="Q186" s="2"/>
      <c r="R186" s="2"/>
      <c r="S186" s="2"/>
      <c r="T186" s="2"/>
      <c r="U186" s="2"/>
      <c r="V186" s="2"/>
      <c r="W186" s="2"/>
    </row>
    <row r="187">
      <c r="A187" s="2"/>
      <c r="B187" s="2"/>
      <c r="C187" s="2"/>
      <c r="D187" s="2"/>
      <c r="E187" s="2"/>
      <c r="F187" s="2"/>
      <c r="G187" s="2"/>
      <c r="H187" s="2"/>
      <c r="I187" s="2"/>
      <c r="J187" s="2"/>
      <c r="K187" s="2"/>
      <c r="L187" s="2"/>
      <c r="M187" s="2"/>
      <c r="N187" s="2"/>
      <c r="O187" s="2"/>
      <c r="P187" s="2"/>
      <c r="Q187" s="2"/>
      <c r="R187" s="2"/>
      <c r="S187" s="2"/>
      <c r="T187" s="2"/>
      <c r="U187" s="2"/>
      <c r="V187" s="2"/>
      <c r="W187" s="2"/>
    </row>
    <row r="188">
      <c r="A188" s="2"/>
      <c r="B188" s="2"/>
      <c r="C188" s="2"/>
      <c r="D188" s="2"/>
      <c r="E188" s="2"/>
      <c r="F188" s="2"/>
      <c r="G188" s="2"/>
      <c r="H188" s="2"/>
      <c r="I188" s="2"/>
      <c r="J188" s="2"/>
      <c r="K188" s="2"/>
      <c r="L188" s="2"/>
      <c r="M188" s="2"/>
      <c r="N188" s="2"/>
      <c r="O188" s="2"/>
      <c r="P188" s="2"/>
      <c r="Q188" s="2"/>
      <c r="R188" s="2"/>
      <c r="S188" s="2"/>
      <c r="T188" s="2"/>
      <c r="U188" s="2"/>
      <c r="V188" s="2"/>
      <c r="W188" s="2"/>
    </row>
    <row r="189">
      <c r="A189" s="2"/>
      <c r="B189" s="2"/>
      <c r="C189" s="2"/>
      <c r="D189" s="2"/>
      <c r="E189" s="2"/>
      <c r="F189" s="2"/>
      <c r="G189" s="2"/>
      <c r="H189" s="2"/>
      <c r="I189" s="2"/>
      <c r="J189" s="2"/>
      <c r="K189" s="2"/>
      <c r="L189" s="2"/>
      <c r="M189" s="2"/>
      <c r="N189" s="2"/>
      <c r="O189" s="2"/>
      <c r="P189" s="2"/>
      <c r="Q189" s="2"/>
      <c r="R189" s="2"/>
      <c r="S189" s="2"/>
      <c r="T189" s="2"/>
      <c r="U189" s="2"/>
      <c r="V189" s="2"/>
      <c r="W189" s="2"/>
    </row>
    <row r="190">
      <c r="A190" s="2"/>
      <c r="B190" s="2"/>
      <c r="C190" s="2"/>
      <c r="D190" s="2"/>
      <c r="E190" s="2"/>
      <c r="F190" s="2"/>
      <c r="G190" s="2"/>
      <c r="H190" s="2"/>
      <c r="I190" s="2"/>
      <c r="J190" s="2"/>
      <c r="K190" s="2"/>
      <c r="L190" s="2"/>
      <c r="M190" s="2"/>
      <c r="N190" s="2"/>
      <c r="O190" s="2"/>
      <c r="P190" s="2"/>
      <c r="Q190" s="2"/>
      <c r="R190" s="2"/>
      <c r="S190" s="2"/>
      <c r="T190" s="2"/>
      <c r="U190" s="2"/>
      <c r="V190" s="2"/>
      <c r="W190" s="2"/>
    </row>
    <row r="191">
      <c r="A191" s="2"/>
      <c r="B191" s="2"/>
      <c r="C191" s="2"/>
      <c r="D191" s="2"/>
      <c r="E191" s="2"/>
      <c r="F191" s="2"/>
      <c r="G191" s="2"/>
      <c r="H191" s="2"/>
      <c r="I191" s="2"/>
      <c r="J191" s="2"/>
      <c r="K191" s="2"/>
      <c r="L191" s="2"/>
      <c r="M191" s="2"/>
      <c r="N191" s="2"/>
      <c r="O191" s="2"/>
      <c r="P191" s="2"/>
      <c r="Q191" s="2"/>
      <c r="R191" s="2"/>
      <c r="S191" s="2"/>
      <c r="T191" s="2"/>
      <c r="U191" s="2"/>
      <c r="V191" s="2"/>
      <c r="W191" s="2"/>
    </row>
    <row r="192">
      <c r="A192" s="2"/>
      <c r="B192" s="2"/>
      <c r="C192" s="2"/>
      <c r="D192" s="2"/>
      <c r="E192" s="2"/>
      <c r="F192" s="2"/>
      <c r="G192" s="2"/>
      <c r="H192" s="2"/>
      <c r="I192" s="2"/>
      <c r="J192" s="2"/>
      <c r="K192" s="2"/>
      <c r="L192" s="2"/>
      <c r="M192" s="2"/>
      <c r="N192" s="2"/>
      <c r="O192" s="2"/>
      <c r="P192" s="2"/>
      <c r="Q192" s="2"/>
      <c r="R192" s="2"/>
      <c r="S192" s="2"/>
      <c r="T192" s="2"/>
      <c r="U192" s="2"/>
      <c r="V192" s="2"/>
      <c r="W192" s="2"/>
    </row>
    <row r="193">
      <c r="A193" s="2"/>
      <c r="B193" s="2"/>
      <c r="C193" s="2"/>
      <c r="D193" s="2"/>
      <c r="E193" s="2"/>
      <c r="F193" s="2"/>
      <c r="G193" s="2"/>
      <c r="H193" s="2"/>
      <c r="I193" s="2"/>
      <c r="J193" s="2"/>
      <c r="K193" s="2"/>
      <c r="L193" s="2"/>
      <c r="M193" s="2"/>
      <c r="N193" s="2"/>
      <c r="O193" s="2"/>
      <c r="P193" s="2"/>
      <c r="Q193" s="2"/>
      <c r="R193" s="2"/>
      <c r="S193" s="2"/>
      <c r="T193" s="2"/>
      <c r="U193" s="2"/>
      <c r="V193" s="2"/>
      <c r="W193" s="2"/>
    </row>
    <row r="194">
      <c r="A194" s="2"/>
      <c r="B194" s="2"/>
      <c r="C194" s="2"/>
      <c r="D194" s="2"/>
      <c r="E194" s="2"/>
      <c r="F194" s="2"/>
      <c r="G194" s="2"/>
      <c r="H194" s="2"/>
      <c r="I194" s="2"/>
      <c r="J194" s="2"/>
      <c r="K194" s="2"/>
      <c r="L194" s="2"/>
      <c r="M194" s="2"/>
      <c r="N194" s="2"/>
      <c r="O194" s="2"/>
      <c r="P194" s="2"/>
      <c r="Q194" s="2"/>
      <c r="R194" s="2"/>
      <c r="S194" s="2"/>
      <c r="T194" s="2"/>
      <c r="U194" s="2"/>
      <c r="V194" s="2"/>
      <c r="W194" s="2"/>
    </row>
    <row r="195">
      <c r="A195" s="2"/>
      <c r="B195" s="2"/>
      <c r="C195" s="2"/>
      <c r="D195" s="2"/>
      <c r="E195" s="2"/>
      <c r="F195" s="2"/>
      <c r="G195" s="2"/>
      <c r="H195" s="2"/>
      <c r="I195" s="2"/>
      <c r="J195" s="2"/>
      <c r="K195" s="2"/>
      <c r="L195" s="2"/>
      <c r="M195" s="2"/>
      <c r="N195" s="2"/>
      <c r="O195" s="2"/>
      <c r="P195" s="2"/>
      <c r="Q195" s="2"/>
      <c r="R195" s="2"/>
      <c r="S195" s="2"/>
      <c r="T195" s="2"/>
      <c r="U195" s="2"/>
      <c r="V195" s="2"/>
      <c r="W195" s="2"/>
    </row>
    <row r="196">
      <c r="A196" s="2"/>
      <c r="B196" s="2"/>
      <c r="C196" s="2"/>
      <c r="D196" s="2"/>
      <c r="E196" s="2"/>
      <c r="F196" s="2"/>
      <c r="G196" s="2"/>
      <c r="H196" s="2"/>
      <c r="I196" s="2"/>
      <c r="J196" s="2"/>
      <c r="K196" s="2"/>
      <c r="L196" s="2"/>
      <c r="M196" s="2"/>
      <c r="N196" s="2"/>
      <c r="O196" s="2"/>
      <c r="P196" s="2"/>
      <c r="Q196" s="2"/>
      <c r="R196" s="2"/>
      <c r="S196" s="2"/>
      <c r="T196" s="2"/>
      <c r="U196" s="2"/>
      <c r="V196" s="2"/>
      <c r="W196" s="2"/>
    </row>
    <row r="197">
      <c r="A197" s="2"/>
      <c r="B197" s="2"/>
      <c r="C197" s="2"/>
      <c r="D197" s="2"/>
      <c r="E197" s="2"/>
      <c r="F197" s="2"/>
      <c r="G197" s="2"/>
      <c r="H197" s="2"/>
      <c r="I197" s="2"/>
      <c r="J197" s="2"/>
      <c r="K197" s="2"/>
      <c r="L197" s="2"/>
      <c r="M197" s="2"/>
      <c r="N197" s="2"/>
      <c r="O197" s="2"/>
      <c r="P197" s="2"/>
      <c r="Q197" s="2"/>
      <c r="R197" s="2"/>
      <c r="S197" s="2"/>
      <c r="T197" s="2"/>
      <c r="U197" s="2"/>
      <c r="V197" s="2"/>
      <c r="W197" s="2"/>
    </row>
    <row r="198">
      <c r="A198" s="2"/>
      <c r="B198" s="2"/>
      <c r="C198" s="2"/>
      <c r="D198" s="2"/>
      <c r="E198" s="2"/>
      <c r="F198" s="2"/>
      <c r="G198" s="2"/>
      <c r="H198" s="2"/>
      <c r="I198" s="2"/>
      <c r="J198" s="2"/>
      <c r="K198" s="2"/>
      <c r="L198" s="2"/>
      <c r="M198" s="2"/>
      <c r="N198" s="2"/>
      <c r="O198" s="2"/>
      <c r="P198" s="2"/>
      <c r="Q198" s="2"/>
      <c r="R198" s="2"/>
      <c r="S198" s="2"/>
      <c r="T198" s="2"/>
      <c r="U198" s="2"/>
      <c r="V198" s="2"/>
      <c r="W198" s="2"/>
    </row>
    <row r="199">
      <c r="A199" s="2"/>
      <c r="B199" s="2"/>
      <c r="C199" s="2"/>
      <c r="D199" s="2"/>
      <c r="E199" s="2"/>
      <c r="F199" s="2"/>
      <c r="G199" s="2"/>
      <c r="H199" s="2"/>
      <c r="I199" s="2"/>
      <c r="J199" s="2"/>
      <c r="K199" s="2"/>
      <c r="L199" s="2"/>
      <c r="M199" s="2"/>
      <c r="N199" s="2"/>
      <c r="O199" s="2"/>
      <c r="P199" s="2"/>
      <c r="Q199" s="2"/>
      <c r="R199" s="2"/>
      <c r="S199" s="2"/>
      <c r="T199" s="2"/>
      <c r="U199" s="2"/>
      <c r="V199" s="2"/>
      <c r="W199" s="2"/>
    </row>
    <row r="200">
      <c r="A200" s="2"/>
      <c r="B200" s="2"/>
      <c r="C200" s="2"/>
      <c r="D200" s="2"/>
      <c r="E200" s="2"/>
      <c r="F200" s="2"/>
      <c r="G200" s="2"/>
      <c r="H200" s="2"/>
      <c r="I200" s="2"/>
      <c r="J200" s="2"/>
      <c r="K200" s="2"/>
      <c r="L200" s="2"/>
      <c r="M200" s="2"/>
      <c r="N200" s="2"/>
      <c r="O200" s="2"/>
      <c r="P200" s="2"/>
      <c r="Q200" s="2"/>
      <c r="R200" s="2"/>
      <c r="S200" s="2"/>
      <c r="T200" s="2"/>
      <c r="U200" s="2"/>
      <c r="V200" s="2"/>
      <c r="W200" s="2"/>
    </row>
    <row r="201">
      <c r="A201" s="2"/>
      <c r="B201" s="2"/>
      <c r="C201" s="2"/>
      <c r="D201" s="2"/>
      <c r="E201" s="2"/>
      <c r="F201" s="2"/>
      <c r="G201" s="2"/>
      <c r="H201" s="2"/>
      <c r="I201" s="2"/>
      <c r="J201" s="2"/>
      <c r="K201" s="2"/>
      <c r="L201" s="2"/>
      <c r="M201" s="2"/>
      <c r="N201" s="2"/>
      <c r="O201" s="2"/>
      <c r="P201" s="2"/>
      <c r="Q201" s="2"/>
      <c r="R201" s="2"/>
      <c r="S201" s="2"/>
      <c r="T201" s="2"/>
      <c r="U201" s="2"/>
      <c r="V201" s="2"/>
      <c r="W201" s="2"/>
    </row>
    <row r="202">
      <c r="A202" s="2"/>
      <c r="B202" s="2"/>
      <c r="C202" s="2"/>
      <c r="D202" s="2"/>
      <c r="E202" s="2"/>
      <c r="F202" s="2"/>
      <c r="G202" s="2"/>
      <c r="H202" s="2"/>
      <c r="I202" s="2"/>
      <c r="J202" s="2"/>
      <c r="K202" s="2"/>
      <c r="L202" s="2"/>
      <c r="M202" s="2"/>
      <c r="N202" s="2"/>
      <c r="O202" s="2"/>
      <c r="P202" s="2"/>
      <c r="Q202" s="2"/>
      <c r="R202" s="2"/>
      <c r="S202" s="2"/>
      <c r="T202" s="2"/>
      <c r="U202" s="2"/>
      <c r="V202" s="2"/>
      <c r="W202" s="2"/>
    </row>
    <row r="203">
      <c r="A203" s="2"/>
      <c r="B203" s="2"/>
      <c r="C203" s="2"/>
      <c r="D203" s="2"/>
      <c r="E203" s="2"/>
      <c r="F203" s="2"/>
      <c r="G203" s="2"/>
      <c r="H203" s="2"/>
      <c r="I203" s="2"/>
      <c r="J203" s="2"/>
      <c r="K203" s="2"/>
      <c r="L203" s="2"/>
      <c r="M203" s="2"/>
      <c r="N203" s="2"/>
      <c r="O203" s="2"/>
      <c r="P203" s="2"/>
      <c r="Q203" s="2"/>
      <c r="R203" s="2"/>
      <c r="S203" s="2"/>
      <c r="T203" s="2"/>
      <c r="U203" s="2"/>
      <c r="V203" s="2"/>
      <c r="W203" s="2"/>
    </row>
    <row r="204">
      <c r="A204" s="2"/>
      <c r="B204" s="2"/>
      <c r="C204" s="2"/>
      <c r="D204" s="2"/>
      <c r="E204" s="2"/>
      <c r="F204" s="2"/>
      <c r="G204" s="2"/>
      <c r="H204" s="2"/>
      <c r="I204" s="2"/>
      <c r="J204" s="2"/>
      <c r="K204" s="2"/>
      <c r="L204" s="2"/>
      <c r="M204" s="2"/>
      <c r="N204" s="2"/>
      <c r="O204" s="2"/>
      <c r="P204" s="2"/>
      <c r="Q204" s="2"/>
      <c r="R204" s="2"/>
      <c r="S204" s="2"/>
      <c r="T204" s="2"/>
      <c r="U204" s="2"/>
      <c r="V204" s="2"/>
      <c r="W204" s="2"/>
    </row>
    <row r="205">
      <c r="A205" s="2"/>
      <c r="B205" s="2"/>
      <c r="C205" s="2"/>
      <c r="D205" s="2"/>
      <c r="E205" s="2"/>
      <c r="F205" s="2"/>
      <c r="G205" s="2"/>
      <c r="H205" s="2"/>
      <c r="I205" s="2"/>
      <c r="J205" s="2"/>
      <c r="K205" s="2"/>
      <c r="L205" s="2"/>
      <c r="M205" s="2"/>
      <c r="N205" s="2"/>
      <c r="O205" s="2"/>
      <c r="P205" s="2"/>
      <c r="Q205" s="2"/>
      <c r="R205" s="2"/>
      <c r="S205" s="2"/>
      <c r="T205" s="2"/>
      <c r="U205" s="2"/>
      <c r="V205" s="2"/>
      <c r="W205" s="2"/>
    </row>
    <row r="206">
      <c r="A206" s="2"/>
      <c r="B206" s="2"/>
      <c r="C206" s="2"/>
      <c r="D206" s="2"/>
      <c r="E206" s="2"/>
      <c r="F206" s="2"/>
      <c r="G206" s="2"/>
      <c r="H206" s="2"/>
      <c r="I206" s="2"/>
      <c r="J206" s="2"/>
      <c r="K206" s="2"/>
      <c r="L206" s="2"/>
      <c r="M206" s="2"/>
      <c r="N206" s="2"/>
      <c r="O206" s="2"/>
      <c r="P206" s="2"/>
      <c r="Q206" s="2"/>
      <c r="R206" s="2"/>
      <c r="S206" s="2"/>
      <c r="T206" s="2"/>
      <c r="U206" s="2"/>
      <c r="V206" s="2"/>
      <c r="W206" s="2"/>
    </row>
    <row r="207">
      <c r="A207" s="2"/>
      <c r="B207" s="2"/>
      <c r="C207" s="2"/>
      <c r="D207" s="2"/>
      <c r="E207" s="2"/>
      <c r="F207" s="2"/>
      <c r="G207" s="2"/>
      <c r="H207" s="2"/>
      <c r="I207" s="2"/>
      <c r="J207" s="2"/>
      <c r="K207" s="2"/>
      <c r="L207" s="2"/>
      <c r="M207" s="2"/>
      <c r="N207" s="2"/>
      <c r="O207" s="2"/>
      <c r="P207" s="2"/>
      <c r="Q207" s="2"/>
      <c r="R207" s="2"/>
      <c r="S207" s="2"/>
      <c r="T207" s="2"/>
      <c r="U207" s="2"/>
      <c r="V207" s="2"/>
      <c r="W207" s="2"/>
    </row>
    <row r="208">
      <c r="A208" s="2"/>
      <c r="B208" s="2"/>
      <c r="C208" s="2"/>
      <c r="D208" s="2"/>
      <c r="E208" s="2"/>
      <c r="F208" s="2"/>
      <c r="G208" s="2"/>
      <c r="H208" s="2"/>
      <c r="I208" s="2"/>
      <c r="J208" s="2"/>
      <c r="K208" s="2"/>
      <c r="L208" s="2"/>
      <c r="M208" s="2"/>
      <c r="N208" s="2"/>
      <c r="O208" s="2"/>
      <c r="P208" s="2"/>
      <c r="Q208" s="2"/>
      <c r="R208" s="2"/>
      <c r="S208" s="2"/>
      <c r="T208" s="2"/>
      <c r="U208" s="2"/>
      <c r="V208" s="2"/>
      <c r="W208" s="2"/>
    </row>
    <row r="209">
      <c r="A209" s="2"/>
      <c r="B209" s="2"/>
      <c r="C209" s="2"/>
      <c r="D209" s="2"/>
      <c r="E209" s="2"/>
      <c r="F209" s="2"/>
      <c r="G209" s="2"/>
      <c r="H209" s="2"/>
      <c r="I209" s="2"/>
      <c r="J209" s="2"/>
      <c r="K209" s="2"/>
      <c r="L209" s="2"/>
      <c r="M209" s="2"/>
      <c r="N209" s="2"/>
      <c r="O209" s="2"/>
      <c r="P209" s="2"/>
      <c r="Q209" s="2"/>
      <c r="R209" s="2"/>
      <c r="S209" s="2"/>
      <c r="T209" s="2"/>
      <c r="U209" s="2"/>
      <c r="V209" s="2"/>
      <c r="W209" s="2"/>
    </row>
    <row r="210">
      <c r="A210" s="2"/>
      <c r="B210" s="2"/>
      <c r="C210" s="2"/>
      <c r="D210" s="2"/>
      <c r="E210" s="2"/>
      <c r="F210" s="2"/>
      <c r="G210" s="2"/>
      <c r="H210" s="2"/>
      <c r="I210" s="2"/>
      <c r="J210" s="2"/>
      <c r="K210" s="2"/>
      <c r="L210" s="2"/>
      <c r="M210" s="2"/>
      <c r="N210" s="2"/>
      <c r="O210" s="2"/>
      <c r="P210" s="2"/>
      <c r="Q210" s="2"/>
      <c r="R210" s="2"/>
      <c r="S210" s="2"/>
      <c r="T210" s="2"/>
      <c r="U210" s="2"/>
      <c r="V210" s="2"/>
      <c r="W210" s="2"/>
    </row>
    <row r="211">
      <c r="A211" s="2"/>
      <c r="B211" s="2"/>
      <c r="C211" s="2"/>
      <c r="D211" s="2"/>
      <c r="E211" s="2"/>
      <c r="F211" s="2"/>
      <c r="G211" s="2"/>
      <c r="H211" s="2"/>
      <c r="I211" s="2"/>
      <c r="J211" s="2"/>
      <c r="K211" s="2"/>
      <c r="L211" s="2"/>
      <c r="M211" s="2"/>
      <c r="N211" s="2"/>
      <c r="O211" s="2"/>
      <c r="P211" s="2"/>
      <c r="Q211" s="2"/>
      <c r="R211" s="2"/>
      <c r="S211" s="2"/>
      <c r="T211" s="2"/>
      <c r="U211" s="2"/>
      <c r="V211" s="2"/>
      <c r="W211" s="2"/>
    </row>
    <row r="212">
      <c r="A212" s="2"/>
      <c r="B212" s="2"/>
      <c r="C212" s="2"/>
      <c r="D212" s="2"/>
      <c r="E212" s="2"/>
      <c r="F212" s="2"/>
      <c r="G212" s="2"/>
      <c r="H212" s="2"/>
      <c r="I212" s="2"/>
      <c r="J212" s="2"/>
      <c r="K212" s="2"/>
      <c r="L212" s="2"/>
      <c r="M212" s="2"/>
      <c r="N212" s="2"/>
      <c r="O212" s="2"/>
      <c r="P212" s="2"/>
      <c r="Q212" s="2"/>
      <c r="R212" s="2"/>
      <c r="S212" s="2"/>
      <c r="T212" s="2"/>
      <c r="U212" s="2"/>
      <c r="V212" s="2"/>
      <c r="W212" s="2"/>
    </row>
    <row r="213">
      <c r="A213" s="2"/>
      <c r="B213" s="2"/>
      <c r="C213" s="2"/>
      <c r="D213" s="2"/>
      <c r="E213" s="2"/>
      <c r="F213" s="2"/>
      <c r="G213" s="2"/>
      <c r="H213" s="2"/>
      <c r="I213" s="2"/>
      <c r="J213" s="2"/>
      <c r="K213" s="2"/>
      <c r="L213" s="2"/>
      <c r="M213" s="2"/>
      <c r="N213" s="2"/>
      <c r="O213" s="2"/>
      <c r="P213" s="2"/>
      <c r="Q213" s="2"/>
      <c r="R213" s="2"/>
      <c r="S213" s="2"/>
      <c r="T213" s="2"/>
      <c r="U213" s="2"/>
      <c r="V213" s="2"/>
      <c r="W213" s="2"/>
    </row>
    <row r="214">
      <c r="A214" s="2"/>
      <c r="B214" s="2"/>
      <c r="C214" s="2"/>
      <c r="D214" s="2"/>
      <c r="E214" s="2"/>
      <c r="F214" s="2"/>
      <c r="G214" s="2"/>
      <c r="H214" s="2"/>
      <c r="I214" s="2"/>
      <c r="J214" s="2"/>
      <c r="K214" s="2"/>
      <c r="L214" s="2"/>
      <c r="M214" s="2"/>
      <c r="N214" s="2"/>
      <c r="O214" s="2"/>
      <c r="P214" s="2"/>
      <c r="Q214" s="2"/>
      <c r="R214" s="2"/>
      <c r="S214" s="2"/>
      <c r="T214" s="2"/>
      <c r="U214" s="2"/>
      <c r="V214" s="2"/>
      <c r="W214" s="2"/>
    </row>
    <row r="215">
      <c r="A215" s="2"/>
      <c r="B215" s="2"/>
      <c r="C215" s="2"/>
      <c r="D215" s="2"/>
      <c r="E215" s="2"/>
      <c r="F215" s="2"/>
      <c r="G215" s="2"/>
      <c r="H215" s="2"/>
      <c r="I215" s="2"/>
      <c r="J215" s="2"/>
      <c r="K215" s="2"/>
      <c r="L215" s="2"/>
      <c r="M215" s="2"/>
      <c r="N215" s="2"/>
      <c r="O215" s="2"/>
      <c r="P215" s="2"/>
      <c r="Q215" s="2"/>
      <c r="R215" s="2"/>
      <c r="S215" s="2"/>
      <c r="T215" s="2"/>
      <c r="U215" s="2"/>
      <c r="V215" s="2"/>
      <c r="W215" s="2"/>
    </row>
    <row r="216">
      <c r="A216" s="2"/>
      <c r="B216" s="2"/>
      <c r="C216" s="2"/>
      <c r="D216" s="2"/>
      <c r="E216" s="2"/>
      <c r="F216" s="2"/>
      <c r="G216" s="2"/>
      <c r="H216" s="2"/>
      <c r="I216" s="2"/>
      <c r="J216" s="2"/>
      <c r="K216" s="2"/>
      <c r="L216" s="2"/>
      <c r="M216" s="2"/>
      <c r="N216" s="2"/>
      <c r="O216" s="2"/>
      <c r="P216" s="2"/>
      <c r="Q216" s="2"/>
      <c r="R216" s="2"/>
      <c r="S216" s="2"/>
      <c r="T216" s="2"/>
      <c r="U216" s="2"/>
      <c r="V216" s="2"/>
      <c r="W216" s="2"/>
    </row>
    <row r="217">
      <c r="A217" s="2"/>
      <c r="B217" s="2"/>
      <c r="C217" s="2"/>
      <c r="D217" s="2"/>
      <c r="E217" s="2"/>
      <c r="F217" s="2"/>
      <c r="G217" s="2"/>
      <c r="H217" s="2"/>
      <c r="I217" s="2"/>
      <c r="J217" s="2"/>
      <c r="K217" s="2"/>
      <c r="L217" s="2"/>
      <c r="M217" s="2"/>
      <c r="N217" s="2"/>
      <c r="O217" s="2"/>
      <c r="P217" s="2"/>
      <c r="Q217" s="2"/>
      <c r="R217" s="2"/>
      <c r="S217" s="2"/>
      <c r="T217" s="2"/>
      <c r="U217" s="2"/>
      <c r="V217" s="2"/>
      <c r="W217" s="2"/>
    </row>
    <row r="218">
      <c r="A218" s="2"/>
      <c r="B218" s="2"/>
      <c r="C218" s="2"/>
      <c r="D218" s="2"/>
      <c r="E218" s="2"/>
      <c r="F218" s="2"/>
      <c r="G218" s="2"/>
      <c r="H218" s="2"/>
      <c r="I218" s="2"/>
      <c r="J218" s="2"/>
      <c r="K218" s="2"/>
      <c r="L218" s="2"/>
      <c r="M218" s="2"/>
      <c r="N218" s="2"/>
      <c r="O218" s="2"/>
      <c r="P218" s="2"/>
      <c r="Q218" s="2"/>
      <c r="R218" s="2"/>
      <c r="S218" s="2"/>
      <c r="T218" s="2"/>
      <c r="U218" s="2"/>
      <c r="V218" s="2"/>
      <c r="W218" s="2"/>
    </row>
    <row r="219">
      <c r="A219" s="2"/>
      <c r="B219" s="2"/>
      <c r="C219" s="2"/>
      <c r="D219" s="2"/>
      <c r="E219" s="2"/>
      <c r="F219" s="2"/>
      <c r="G219" s="2"/>
      <c r="H219" s="2"/>
      <c r="I219" s="2"/>
      <c r="J219" s="2"/>
      <c r="K219" s="2"/>
      <c r="L219" s="2"/>
      <c r="M219" s="2"/>
      <c r="N219" s="2"/>
      <c r="O219" s="2"/>
      <c r="P219" s="2"/>
      <c r="Q219" s="2"/>
      <c r="R219" s="2"/>
      <c r="S219" s="2"/>
      <c r="T219" s="2"/>
      <c r="U219" s="2"/>
      <c r="V219" s="2"/>
      <c r="W219" s="2"/>
    </row>
    <row r="220">
      <c r="A220" s="2"/>
      <c r="B220" s="2"/>
      <c r="C220" s="2"/>
      <c r="D220" s="2"/>
      <c r="E220" s="2"/>
      <c r="F220" s="2"/>
      <c r="G220" s="2"/>
      <c r="H220" s="2"/>
      <c r="I220" s="2"/>
      <c r="J220" s="2"/>
      <c r="K220" s="2"/>
      <c r="L220" s="2"/>
      <c r="M220" s="2"/>
      <c r="N220" s="2"/>
      <c r="O220" s="2"/>
      <c r="P220" s="2"/>
      <c r="Q220" s="2"/>
      <c r="R220" s="2"/>
      <c r="S220" s="2"/>
      <c r="T220" s="2"/>
      <c r="U220" s="2"/>
      <c r="V220" s="2"/>
      <c r="W220" s="2"/>
    </row>
    <row r="221">
      <c r="A221" s="2"/>
      <c r="B221" s="2"/>
      <c r="C221" s="2"/>
      <c r="D221" s="2"/>
      <c r="E221" s="2"/>
      <c r="F221" s="2"/>
      <c r="G221" s="2"/>
      <c r="H221" s="2"/>
      <c r="I221" s="2"/>
      <c r="J221" s="2"/>
      <c r="K221" s="2"/>
      <c r="L221" s="2"/>
      <c r="M221" s="2"/>
      <c r="N221" s="2"/>
      <c r="O221" s="2"/>
      <c r="P221" s="2"/>
      <c r="Q221" s="2"/>
      <c r="R221" s="2"/>
      <c r="S221" s="2"/>
      <c r="T221" s="2"/>
      <c r="U221" s="2"/>
      <c r="V221" s="2"/>
      <c r="W221" s="2"/>
    </row>
    <row r="222">
      <c r="A222" s="2"/>
      <c r="B222" s="2"/>
      <c r="C222" s="2"/>
      <c r="D222" s="2"/>
      <c r="E222" s="2"/>
      <c r="F222" s="2"/>
      <c r="G222" s="2"/>
      <c r="H222" s="2"/>
      <c r="I222" s="2"/>
      <c r="J222" s="2"/>
      <c r="K222" s="2"/>
      <c r="L222" s="2"/>
      <c r="M222" s="2"/>
      <c r="N222" s="2"/>
      <c r="O222" s="2"/>
      <c r="P222" s="2"/>
      <c r="Q222" s="2"/>
      <c r="R222" s="2"/>
      <c r="S222" s="2"/>
      <c r="T222" s="2"/>
      <c r="U222" s="2"/>
      <c r="V222" s="2"/>
      <c r="W222" s="2"/>
    </row>
    <row r="223">
      <c r="A223" s="2"/>
      <c r="B223" s="2"/>
      <c r="C223" s="2"/>
      <c r="D223" s="2"/>
      <c r="E223" s="2"/>
      <c r="F223" s="2"/>
      <c r="G223" s="2"/>
      <c r="H223" s="2"/>
      <c r="I223" s="2"/>
      <c r="J223" s="2"/>
      <c r="K223" s="2"/>
      <c r="L223" s="2"/>
      <c r="M223" s="2"/>
      <c r="N223" s="2"/>
      <c r="O223" s="2"/>
      <c r="P223" s="2"/>
      <c r="Q223" s="2"/>
      <c r="R223" s="2"/>
      <c r="S223" s="2"/>
      <c r="T223" s="2"/>
      <c r="U223" s="2"/>
      <c r="V223" s="2"/>
      <c r="W223" s="2"/>
    </row>
    <row r="224">
      <c r="A224" s="2"/>
      <c r="B224" s="2"/>
      <c r="C224" s="2"/>
      <c r="D224" s="2"/>
      <c r="E224" s="2"/>
      <c r="F224" s="2"/>
      <c r="G224" s="2"/>
      <c r="H224" s="2"/>
      <c r="I224" s="2"/>
      <c r="J224" s="2"/>
      <c r="K224" s="2"/>
      <c r="L224" s="2"/>
      <c r="M224" s="2"/>
      <c r="N224" s="2"/>
      <c r="O224" s="2"/>
      <c r="P224" s="2"/>
      <c r="Q224" s="2"/>
      <c r="R224" s="2"/>
      <c r="S224" s="2"/>
      <c r="T224" s="2"/>
      <c r="U224" s="2"/>
      <c r="V224" s="2"/>
      <c r="W224" s="2"/>
    </row>
    <row r="225">
      <c r="A225" s="2"/>
      <c r="B225" s="2"/>
      <c r="C225" s="2"/>
      <c r="D225" s="2"/>
      <c r="E225" s="2"/>
      <c r="F225" s="2"/>
      <c r="G225" s="2"/>
      <c r="H225" s="2"/>
      <c r="I225" s="2"/>
      <c r="J225" s="2"/>
      <c r="K225" s="2"/>
      <c r="L225" s="2"/>
      <c r="M225" s="2"/>
      <c r="N225" s="2"/>
      <c r="O225" s="2"/>
      <c r="P225" s="2"/>
      <c r="Q225" s="2"/>
      <c r="R225" s="2"/>
      <c r="S225" s="2"/>
      <c r="T225" s="2"/>
      <c r="U225" s="2"/>
      <c r="V225" s="2"/>
      <c r="W225" s="2"/>
    </row>
    <row r="226">
      <c r="A226" s="2"/>
      <c r="B226" s="2"/>
      <c r="C226" s="2"/>
      <c r="D226" s="2"/>
      <c r="E226" s="2"/>
      <c r="F226" s="2"/>
      <c r="G226" s="2"/>
      <c r="H226" s="2"/>
      <c r="I226" s="2"/>
      <c r="J226" s="2"/>
      <c r="K226" s="2"/>
      <c r="L226" s="2"/>
      <c r="M226" s="2"/>
      <c r="N226" s="2"/>
      <c r="O226" s="2"/>
      <c r="P226" s="2"/>
      <c r="Q226" s="2"/>
      <c r="R226" s="2"/>
      <c r="S226" s="2"/>
      <c r="T226" s="2"/>
      <c r="U226" s="2"/>
      <c r="V226" s="2"/>
      <c r="W226" s="2"/>
    </row>
    <row r="227">
      <c r="A227" s="2"/>
      <c r="B227" s="2"/>
      <c r="C227" s="2"/>
      <c r="D227" s="2"/>
      <c r="E227" s="2"/>
      <c r="F227" s="2"/>
      <c r="G227" s="2"/>
      <c r="H227" s="2"/>
      <c r="I227" s="2"/>
      <c r="J227" s="2"/>
      <c r="K227" s="2"/>
      <c r="L227" s="2"/>
      <c r="M227" s="2"/>
      <c r="N227" s="2"/>
      <c r="O227" s="2"/>
      <c r="P227" s="2"/>
      <c r="Q227" s="2"/>
      <c r="R227" s="2"/>
      <c r="S227" s="2"/>
      <c r="T227" s="2"/>
      <c r="U227" s="2"/>
      <c r="V227" s="2"/>
      <c r="W227" s="2"/>
    </row>
    <row r="228">
      <c r="A228" s="2"/>
      <c r="B228" s="2"/>
      <c r="C228" s="2"/>
      <c r="D228" s="2"/>
      <c r="E228" s="2"/>
      <c r="F228" s="2"/>
      <c r="G228" s="2"/>
      <c r="H228" s="2"/>
      <c r="I228" s="2"/>
      <c r="J228" s="2"/>
      <c r="K228" s="2"/>
      <c r="L228" s="2"/>
      <c r="M228" s="2"/>
      <c r="N228" s="2"/>
      <c r="O228" s="2"/>
      <c r="P228" s="2"/>
      <c r="Q228" s="2"/>
      <c r="R228" s="2"/>
      <c r="S228" s="2"/>
      <c r="T228" s="2"/>
      <c r="U228" s="2"/>
      <c r="V228" s="2"/>
      <c r="W228" s="2"/>
    </row>
    <row r="229">
      <c r="A229" s="2"/>
      <c r="B229" s="2"/>
      <c r="C229" s="2"/>
      <c r="D229" s="2"/>
      <c r="E229" s="2"/>
      <c r="F229" s="2"/>
      <c r="G229" s="2"/>
      <c r="H229" s="2"/>
      <c r="I229" s="2"/>
      <c r="J229" s="2"/>
      <c r="K229" s="2"/>
      <c r="L229" s="2"/>
      <c r="M229" s="2"/>
      <c r="N229" s="2"/>
      <c r="O229" s="2"/>
      <c r="P229" s="2"/>
      <c r="Q229" s="2"/>
      <c r="R229" s="2"/>
      <c r="S229" s="2"/>
      <c r="T229" s="2"/>
      <c r="U229" s="2"/>
      <c r="V229" s="2"/>
      <c r="W229" s="2"/>
    </row>
    <row r="230">
      <c r="A230" s="2"/>
      <c r="B230" s="2"/>
      <c r="C230" s="2"/>
      <c r="D230" s="2"/>
      <c r="E230" s="2"/>
      <c r="F230" s="2"/>
      <c r="G230" s="2"/>
      <c r="H230" s="2"/>
      <c r="I230" s="2"/>
      <c r="J230" s="2"/>
      <c r="K230" s="2"/>
      <c r="L230" s="2"/>
      <c r="M230" s="2"/>
      <c r="N230" s="2"/>
      <c r="O230" s="2"/>
      <c r="P230" s="2"/>
      <c r="Q230" s="2"/>
      <c r="R230" s="2"/>
      <c r="S230" s="2"/>
      <c r="T230" s="2"/>
      <c r="U230" s="2"/>
      <c r="V230" s="2"/>
      <c r="W230" s="2"/>
    </row>
    <row r="231">
      <c r="A231" s="2"/>
      <c r="B231" s="2"/>
      <c r="C231" s="2"/>
      <c r="D231" s="2"/>
      <c r="E231" s="2"/>
      <c r="F231" s="2"/>
      <c r="G231" s="2"/>
      <c r="H231" s="2"/>
      <c r="I231" s="2"/>
      <c r="J231" s="2"/>
      <c r="K231" s="2"/>
      <c r="L231" s="2"/>
      <c r="M231" s="2"/>
      <c r="N231" s="2"/>
      <c r="O231" s="2"/>
      <c r="P231" s="2"/>
      <c r="Q231" s="2"/>
      <c r="R231" s="2"/>
      <c r="S231" s="2"/>
      <c r="T231" s="2"/>
      <c r="U231" s="2"/>
      <c r="V231" s="2"/>
      <c r="W231" s="2"/>
    </row>
    <row r="232">
      <c r="A232" s="2"/>
      <c r="B232" s="2"/>
      <c r="C232" s="2"/>
      <c r="D232" s="2"/>
      <c r="E232" s="2"/>
      <c r="F232" s="2"/>
      <c r="G232" s="2"/>
      <c r="H232" s="2"/>
      <c r="I232" s="2"/>
      <c r="J232" s="2"/>
      <c r="K232" s="2"/>
      <c r="L232" s="2"/>
      <c r="M232" s="2"/>
      <c r="N232" s="2"/>
      <c r="O232" s="2"/>
      <c r="P232" s="2"/>
      <c r="Q232" s="2"/>
      <c r="R232" s="2"/>
      <c r="S232" s="2"/>
      <c r="T232" s="2"/>
      <c r="U232" s="2"/>
      <c r="V232" s="2"/>
      <c r="W232" s="2"/>
    </row>
    <row r="233">
      <c r="A233" s="2"/>
      <c r="B233" s="2"/>
      <c r="C233" s="2"/>
      <c r="D233" s="2"/>
      <c r="E233" s="2"/>
      <c r="F233" s="2"/>
      <c r="G233" s="2"/>
      <c r="H233" s="2"/>
      <c r="I233" s="2"/>
      <c r="J233" s="2"/>
      <c r="K233" s="2"/>
      <c r="L233" s="2"/>
      <c r="M233" s="2"/>
      <c r="N233" s="2"/>
      <c r="O233" s="2"/>
      <c r="P233" s="2"/>
      <c r="Q233" s="2"/>
      <c r="R233" s="2"/>
      <c r="S233" s="2"/>
      <c r="T233" s="2"/>
      <c r="U233" s="2"/>
      <c r="V233" s="2"/>
      <c r="W233" s="2"/>
    </row>
    <row r="234">
      <c r="A234" s="2"/>
      <c r="B234" s="2"/>
      <c r="C234" s="2"/>
      <c r="D234" s="2"/>
      <c r="E234" s="2"/>
      <c r="F234" s="2"/>
      <c r="G234" s="2"/>
      <c r="H234" s="2"/>
      <c r="I234" s="2"/>
      <c r="J234" s="2"/>
      <c r="K234" s="2"/>
      <c r="L234" s="2"/>
      <c r="M234" s="2"/>
      <c r="N234" s="2"/>
      <c r="O234" s="2"/>
      <c r="P234" s="2"/>
      <c r="Q234" s="2"/>
      <c r="R234" s="2"/>
      <c r="S234" s="2"/>
      <c r="T234" s="2"/>
      <c r="U234" s="2"/>
      <c r="V234" s="2"/>
      <c r="W234" s="2"/>
    </row>
    <row r="235">
      <c r="A235" s="2"/>
      <c r="B235" s="2"/>
      <c r="C235" s="2"/>
      <c r="D235" s="2"/>
      <c r="E235" s="2"/>
      <c r="F235" s="2"/>
      <c r="G235" s="2"/>
      <c r="H235" s="2"/>
      <c r="I235" s="2"/>
      <c r="J235" s="2"/>
      <c r="K235" s="2"/>
      <c r="L235" s="2"/>
      <c r="M235" s="2"/>
      <c r="N235" s="2"/>
      <c r="O235" s="2"/>
      <c r="P235" s="2"/>
      <c r="Q235" s="2"/>
      <c r="R235" s="2"/>
      <c r="S235" s="2"/>
      <c r="T235" s="2"/>
      <c r="U235" s="2"/>
      <c r="V235" s="2"/>
      <c r="W235" s="2"/>
    </row>
    <row r="236">
      <c r="A236" s="2"/>
      <c r="B236" s="2"/>
      <c r="C236" s="2"/>
      <c r="D236" s="2"/>
      <c r="E236" s="2"/>
      <c r="F236" s="2"/>
      <c r="G236" s="2"/>
      <c r="H236" s="2"/>
      <c r="I236" s="2"/>
      <c r="J236" s="2"/>
      <c r="K236" s="2"/>
      <c r="L236" s="2"/>
      <c r="M236" s="2"/>
      <c r="N236" s="2"/>
      <c r="O236" s="2"/>
      <c r="P236" s="2"/>
      <c r="Q236" s="2"/>
      <c r="R236" s="2"/>
      <c r="S236" s="2"/>
      <c r="T236" s="2"/>
      <c r="U236" s="2"/>
      <c r="V236" s="2"/>
      <c r="W236" s="2"/>
    </row>
    <row r="237">
      <c r="A237" s="2"/>
      <c r="B237" s="2"/>
      <c r="C237" s="2"/>
      <c r="D237" s="2"/>
      <c r="E237" s="2"/>
      <c r="F237" s="2"/>
      <c r="G237" s="2"/>
      <c r="H237" s="2"/>
      <c r="I237" s="2"/>
      <c r="J237" s="2"/>
      <c r="K237" s="2"/>
      <c r="L237" s="2"/>
      <c r="M237" s="2"/>
      <c r="N237" s="2"/>
      <c r="O237" s="2"/>
      <c r="P237" s="2"/>
      <c r="Q237" s="2"/>
      <c r="R237" s="2"/>
      <c r="S237" s="2"/>
      <c r="T237" s="2"/>
      <c r="U237" s="2"/>
      <c r="V237" s="2"/>
      <c r="W237" s="2"/>
    </row>
    <row r="238">
      <c r="A238" s="2"/>
      <c r="B238" s="2"/>
      <c r="C238" s="2"/>
      <c r="D238" s="2"/>
      <c r="E238" s="2"/>
      <c r="F238" s="2"/>
      <c r="G238" s="2"/>
      <c r="H238" s="2"/>
      <c r="I238" s="2"/>
      <c r="J238" s="2"/>
      <c r="K238" s="2"/>
      <c r="L238" s="2"/>
      <c r="M238" s="2"/>
      <c r="N238" s="2"/>
      <c r="O238" s="2"/>
      <c r="P238" s="2"/>
      <c r="Q238" s="2"/>
      <c r="R238" s="2"/>
      <c r="S238" s="2"/>
      <c r="T238" s="2"/>
      <c r="U238" s="2"/>
      <c r="V238" s="2"/>
      <c r="W238" s="2"/>
    </row>
    <row r="239">
      <c r="A239" s="2"/>
      <c r="B239" s="2"/>
      <c r="C239" s="2"/>
      <c r="D239" s="2"/>
      <c r="E239" s="2"/>
      <c r="F239" s="2"/>
      <c r="G239" s="2"/>
      <c r="H239" s="2"/>
      <c r="I239" s="2"/>
      <c r="J239" s="2"/>
      <c r="K239" s="2"/>
      <c r="L239" s="2"/>
      <c r="M239" s="2"/>
      <c r="N239" s="2"/>
      <c r="O239" s="2"/>
      <c r="P239" s="2"/>
      <c r="Q239" s="2"/>
      <c r="R239" s="2"/>
      <c r="S239" s="2"/>
      <c r="T239" s="2"/>
      <c r="U239" s="2"/>
      <c r="V239" s="2"/>
      <c r="W239" s="2"/>
    </row>
    <row r="240">
      <c r="A240" s="2"/>
      <c r="B240" s="2"/>
      <c r="C240" s="2"/>
      <c r="D240" s="2"/>
      <c r="E240" s="2"/>
      <c r="F240" s="2"/>
      <c r="G240" s="2"/>
      <c r="H240" s="2"/>
      <c r="I240" s="2"/>
      <c r="J240" s="2"/>
      <c r="K240" s="2"/>
      <c r="L240" s="2"/>
      <c r="M240" s="2"/>
      <c r="N240" s="2"/>
      <c r="O240" s="2"/>
      <c r="P240" s="2"/>
      <c r="Q240" s="2"/>
      <c r="R240" s="2"/>
      <c r="S240" s="2"/>
      <c r="T240" s="2"/>
      <c r="U240" s="2"/>
      <c r="V240" s="2"/>
      <c r="W240" s="2"/>
    </row>
    <row r="241">
      <c r="A241" s="2"/>
      <c r="B241" s="2"/>
      <c r="C241" s="2"/>
      <c r="D241" s="2"/>
      <c r="E241" s="2"/>
      <c r="F241" s="2"/>
      <c r="G241" s="2"/>
      <c r="H241" s="2"/>
      <c r="I241" s="2"/>
      <c r="J241" s="2"/>
      <c r="K241" s="2"/>
      <c r="L241" s="2"/>
      <c r="M241" s="2"/>
      <c r="N241" s="2"/>
      <c r="O241" s="2"/>
      <c r="P241" s="2"/>
      <c r="Q241" s="2"/>
      <c r="R241" s="2"/>
      <c r="S241" s="2"/>
      <c r="T241" s="2"/>
      <c r="U241" s="2"/>
      <c r="V241" s="2"/>
      <c r="W241" s="2"/>
    </row>
    <row r="242">
      <c r="A242" s="2"/>
      <c r="B242" s="2"/>
      <c r="C242" s="2"/>
      <c r="D242" s="2"/>
      <c r="E242" s="2"/>
      <c r="F242" s="2"/>
      <c r="G242" s="2"/>
      <c r="H242" s="2"/>
      <c r="I242" s="2"/>
      <c r="J242" s="2"/>
      <c r="K242" s="2"/>
      <c r="L242" s="2"/>
      <c r="M242" s="2"/>
      <c r="N242" s="2"/>
      <c r="O242" s="2"/>
      <c r="P242" s="2"/>
      <c r="Q242" s="2"/>
      <c r="R242" s="2"/>
      <c r="S242" s="2"/>
      <c r="T242" s="2"/>
      <c r="U242" s="2"/>
      <c r="V242" s="2"/>
      <c r="W242" s="2"/>
    </row>
    <row r="243">
      <c r="A243" s="2"/>
      <c r="B243" s="2"/>
      <c r="C243" s="2"/>
      <c r="D243" s="2"/>
      <c r="E243" s="2"/>
      <c r="F243" s="2"/>
      <c r="G243" s="2"/>
      <c r="H243" s="2"/>
      <c r="I243" s="2"/>
      <c r="J243" s="2"/>
      <c r="K243" s="2"/>
      <c r="L243" s="2"/>
      <c r="M243" s="2"/>
      <c r="N243" s="2"/>
      <c r="O243" s="2"/>
      <c r="P243" s="2"/>
      <c r="Q243" s="2"/>
      <c r="R243" s="2"/>
      <c r="S243" s="2"/>
      <c r="T243" s="2"/>
      <c r="U243" s="2"/>
      <c r="V243" s="2"/>
      <c r="W243" s="2"/>
    </row>
    <row r="244">
      <c r="A244" s="2"/>
      <c r="B244" s="2"/>
      <c r="C244" s="2"/>
      <c r="D244" s="2"/>
      <c r="E244" s="2"/>
      <c r="F244" s="2"/>
      <c r="G244" s="2"/>
      <c r="H244" s="2"/>
      <c r="I244" s="2"/>
      <c r="J244" s="2"/>
      <c r="K244" s="2"/>
      <c r="L244" s="2"/>
      <c r="M244" s="2"/>
      <c r="N244" s="2"/>
      <c r="O244" s="2"/>
      <c r="P244" s="2"/>
      <c r="Q244" s="2"/>
      <c r="R244" s="2"/>
      <c r="S244" s="2"/>
      <c r="T244" s="2"/>
      <c r="U244" s="2"/>
      <c r="V244" s="2"/>
      <c r="W244" s="2"/>
    </row>
    <row r="245">
      <c r="A245" s="2"/>
      <c r="B245" s="2"/>
      <c r="C245" s="2"/>
      <c r="D245" s="2"/>
      <c r="E245" s="2"/>
      <c r="F245" s="2"/>
      <c r="G245" s="2"/>
      <c r="H245" s="2"/>
      <c r="I245" s="2"/>
      <c r="J245" s="2"/>
      <c r="K245" s="2"/>
      <c r="L245" s="2"/>
      <c r="M245" s="2"/>
      <c r="N245" s="2"/>
      <c r="O245" s="2"/>
      <c r="P245" s="2"/>
      <c r="Q245" s="2"/>
      <c r="R245" s="2"/>
      <c r="S245" s="2"/>
      <c r="T245" s="2"/>
      <c r="U245" s="2"/>
      <c r="V245" s="2"/>
      <c r="W245" s="2"/>
    </row>
    <row r="246">
      <c r="A246" s="2"/>
      <c r="B246" s="2"/>
      <c r="C246" s="2"/>
      <c r="D246" s="2"/>
      <c r="E246" s="2"/>
      <c r="F246" s="2"/>
      <c r="G246" s="2"/>
      <c r="H246" s="2"/>
      <c r="I246" s="2"/>
      <c r="J246" s="2"/>
      <c r="K246" s="2"/>
      <c r="L246" s="2"/>
      <c r="M246" s="2"/>
      <c r="N246" s="2"/>
      <c r="O246" s="2"/>
      <c r="P246" s="2"/>
      <c r="Q246" s="2"/>
      <c r="R246" s="2"/>
      <c r="S246" s="2"/>
      <c r="T246" s="2"/>
      <c r="U246" s="2"/>
      <c r="V246" s="2"/>
      <c r="W246" s="2"/>
    </row>
    <row r="247">
      <c r="A247" s="2"/>
      <c r="B247" s="2"/>
      <c r="C247" s="2"/>
      <c r="D247" s="2"/>
      <c r="E247" s="2"/>
      <c r="F247" s="2"/>
      <c r="G247" s="2"/>
      <c r="H247" s="2"/>
      <c r="I247" s="2"/>
      <c r="J247" s="2"/>
      <c r="K247" s="2"/>
      <c r="L247" s="2"/>
      <c r="M247" s="2"/>
      <c r="N247" s="2"/>
      <c r="O247" s="2"/>
      <c r="P247" s="2"/>
      <c r="Q247" s="2"/>
      <c r="R247" s="2"/>
      <c r="S247" s="2"/>
      <c r="T247" s="2"/>
      <c r="U247" s="2"/>
      <c r="V247" s="2"/>
      <c r="W247" s="2"/>
    </row>
    <row r="248">
      <c r="A248" s="2"/>
      <c r="B248" s="2"/>
      <c r="C248" s="2"/>
      <c r="D248" s="2"/>
      <c r="E248" s="2"/>
      <c r="F248" s="2"/>
      <c r="G248" s="2"/>
      <c r="H248" s="2"/>
      <c r="I248" s="2"/>
      <c r="J248" s="2"/>
      <c r="K248" s="2"/>
      <c r="L248" s="2"/>
      <c r="M248" s="2"/>
      <c r="N248" s="2"/>
      <c r="O248" s="2"/>
      <c r="P248" s="2"/>
      <c r="Q248" s="2"/>
      <c r="R248" s="2"/>
      <c r="S248" s="2"/>
      <c r="T248" s="2"/>
      <c r="U248" s="2"/>
      <c r="V248" s="2"/>
      <c r="W248" s="2"/>
    </row>
    <row r="249">
      <c r="A249" s="2"/>
      <c r="B249" s="2"/>
      <c r="C249" s="2"/>
      <c r="D249" s="2"/>
      <c r="E249" s="2"/>
      <c r="F249" s="2"/>
      <c r="G249" s="2"/>
      <c r="H249" s="2"/>
      <c r="I249" s="2"/>
      <c r="J249" s="2"/>
      <c r="K249" s="2"/>
      <c r="L249" s="2"/>
      <c r="M249" s="2"/>
      <c r="N249" s="2"/>
      <c r="O249" s="2"/>
      <c r="P249" s="2"/>
      <c r="Q249" s="2"/>
      <c r="R249" s="2"/>
      <c r="S249" s="2"/>
      <c r="T249" s="2"/>
      <c r="U249" s="2"/>
      <c r="V249" s="2"/>
      <c r="W249" s="2"/>
    </row>
    <row r="250">
      <c r="A250" s="2"/>
      <c r="B250" s="2"/>
      <c r="C250" s="2"/>
      <c r="D250" s="2"/>
      <c r="E250" s="2"/>
      <c r="F250" s="2"/>
      <c r="G250" s="2"/>
      <c r="H250" s="2"/>
      <c r="I250" s="2"/>
      <c r="J250" s="2"/>
      <c r="K250" s="2"/>
      <c r="L250" s="2"/>
      <c r="M250" s="2"/>
      <c r="N250" s="2"/>
      <c r="O250" s="2"/>
      <c r="P250" s="2"/>
      <c r="Q250" s="2"/>
      <c r="R250" s="2"/>
      <c r="S250" s="2"/>
      <c r="T250" s="2"/>
      <c r="U250" s="2"/>
      <c r="V250" s="2"/>
      <c r="W250" s="2"/>
    </row>
    <row r="251">
      <c r="A251" s="2"/>
      <c r="B251" s="2"/>
      <c r="C251" s="2"/>
      <c r="D251" s="2"/>
      <c r="E251" s="2"/>
      <c r="F251" s="2"/>
      <c r="G251" s="2"/>
      <c r="H251" s="2"/>
      <c r="I251" s="2"/>
      <c r="J251" s="2"/>
      <c r="K251" s="2"/>
      <c r="L251" s="2"/>
      <c r="M251" s="2"/>
      <c r="N251" s="2"/>
      <c r="O251" s="2"/>
      <c r="P251" s="2"/>
      <c r="Q251" s="2"/>
      <c r="R251" s="2"/>
      <c r="S251" s="2"/>
      <c r="T251" s="2"/>
      <c r="U251" s="2"/>
      <c r="V251" s="2"/>
      <c r="W251" s="2"/>
    </row>
    <row r="252">
      <c r="A252" s="2"/>
      <c r="B252" s="2"/>
      <c r="C252" s="2"/>
      <c r="D252" s="2"/>
      <c r="E252" s="2"/>
      <c r="F252" s="2"/>
      <c r="G252" s="2"/>
      <c r="H252" s="2"/>
      <c r="I252" s="2"/>
      <c r="J252" s="2"/>
      <c r="K252" s="2"/>
      <c r="L252" s="2"/>
      <c r="M252" s="2"/>
      <c r="N252" s="2"/>
      <c r="O252" s="2"/>
      <c r="P252" s="2"/>
      <c r="Q252" s="2"/>
      <c r="R252" s="2"/>
      <c r="S252" s="2"/>
      <c r="T252" s="2"/>
      <c r="U252" s="2"/>
      <c r="V252" s="2"/>
      <c r="W252" s="2"/>
    </row>
    <row r="253">
      <c r="A253" s="2"/>
      <c r="B253" s="2"/>
      <c r="C253" s="2"/>
      <c r="D253" s="2"/>
      <c r="E253" s="2"/>
      <c r="F253" s="2"/>
      <c r="G253" s="2"/>
      <c r="H253" s="2"/>
      <c r="I253" s="2"/>
      <c r="J253" s="2"/>
      <c r="K253" s="2"/>
      <c r="L253" s="2"/>
      <c r="M253" s="2"/>
      <c r="N253" s="2"/>
      <c r="O253" s="2"/>
      <c r="P253" s="2"/>
      <c r="Q253" s="2"/>
      <c r="R253" s="2"/>
      <c r="S253" s="2"/>
      <c r="T253" s="2"/>
      <c r="U253" s="2"/>
      <c r="V253" s="2"/>
      <c r="W253" s="2"/>
    </row>
    <row r="254">
      <c r="A254" s="2"/>
      <c r="B254" s="2"/>
      <c r="C254" s="2"/>
      <c r="D254" s="2"/>
      <c r="E254" s="2"/>
      <c r="F254" s="2"/>
      <c r="G254" s="2"/>
      <c r="H254" s="2"/>
      <c r="I254" s="2"/>
      <c r="J254" s="2"/>
      <c r="K254" s="2"/>
      <c r="L254" s="2"/>
      <c r="M254" s="2"/>
      <c r="N254" s="2"/>
      <c r="O254" s="2"/>
      <c r="P254" s="2"/>
      <c r="Q254" s="2"/>
      <c r="R254" s="2"/>
      <c r="S254" s="2"/>
      <c r="T254" s="2"/>
      <c r="U254" s="2"/>
      <c r="V254" s="2"/>
      <c r="W254" s="2"/>
    </row>
    <row r="255">
      <c r="A255" s="2"/>
      <c r="B255" s="2"/>
      <c r="C255" s="2"/>
      <c r="D255" s="2"/>
      <c r="E255" s="2"/>
      <c r="F255" s="2"/>
      <c r="G255" s="2"/>
      <c r="H255" s="2"/>
      <c r="I255" s="2"/>
      <c r="J255" s="2"/>
      <c r="K255" s="2"/>
      <c r="L255" s="2"/>
      <c r="M255" s="2"/>
      <c r="N255" s="2"/>
      <c r="O255" s="2"/>
      <c r="P255" s="2"/>
      <c r="Q255" s="2"/>
      <c r="R255" s="2"/>
      <c r="S255" s="2"/>
      <c r="T255" s="2"/>
      <c r="U255" s="2"/>
      <c r="V255" s="2"/>
      <c r="W255" s="2"/>
    </row>
    <row r="256">
      <c r="A256" s="2"/>
      <c r="B256" s="2"/>
      <c r="C256" s="2"/>
      <c r="D256" s="2"/>
      <c r="E256" s="2"/>
      <c r="F256" s="2"/>
      <c r="G256" s="2"/>
      <c r="H256" s="2"/>
      <c r="I256" s="2"/>
      <c r="J256" s="2"/>
      <c r="K256" s="2"/>
      <c r="L256" s="2"/>
      <c r="M256" s="2"/>
      <c r="N256" s="2"/>
      <c r="O256" s="2"/>
      <c r="P256" s="2"/>
      <c r="Q256" s="2"/>
      <c r="R256" s="2"/>
      <c r="S256" s="2"/>
      <c r="T256" s="2"/>
      <c r="U256" s="2"/>
      <c r="V256" s="2"/>
      <c r="W256" s="2"/>
    </row>
    <row r="257">
      <c r="A257" s="2"/>
      <c r="B257" s="2"/>
      <c r="C257" s="2"/>
      <c r="D257" s="2"/>
      <c r="E257" s="2"/>
      <c r="F257" s="2"/>
      <c r="G257" s="2"/>
      <c r="H257" s="2"/>
      <c r="I257" s="2"/>
      <c r="J257" s="2"/>
      <c r="K257" s="2"/>
      <c r="L257" s="2"/>
      <c r="M257" s="2"/>
      <c r="N257" s="2"/>
      <c r="O257" s="2"/>
      <c r="P257" s="2"/>
      <c r="Q257" s="2"/>
      <c r="R257" s="2"/>
      <c r="S257" s="2"/>
      <c r="T257" s="2"/>
      <c r="U257" s="2"/>
      <c r="V257" s="2"/>
      <c r="W257" s="2"/>
    </row>
    <row r="258">
      <c r="A258" s="2"/>
      <c r="B258" s="2"/>
      <c r="C258" s="2"/>
      <c r="D258" s="2"/>
      <c r="E258" s="2"/>
      <c r="F258" s="2"/>
      <c r="G258" s="2"/>
      <c r="H258" s="2"/>
      <c r="I258" s="2"/>
      <c r="J258" s="2"/>
      <c r="K258" s="2"/>
      <c r="L258" s="2"/>
      <c r="M258" s="2"/>
      <c r="N258" s="2"/>
      <c r="O258" s="2"/>
      <c r="P258" s="2"/>
      <c r="Q258" s="2"/>
      <c r="R258" s="2"/>
      <c r="S258" s="2"/>
      <c r="T258" s="2"/>
      <c r="U258" s="2"/>
      <c r="V258" s="2"/>
      <c r="W258" s="2"/>
    </row>
    <row r="259">
      <c r="A259" s="2"/>
      <c r="B259" s="2"/>
      <c r="C259" s="2"/>
      <c r="D259" s="2"/>
      <c r="E259" s="2"/>
      <c r="F259" s="2"/>
      <c r="G259" s="2"/>
      <c r="H259" s="2"/>
      <c r="I259" s="2"/>
      <c r="J259" s="2"/>
      <c r="K259" s="2"/>
      <c r="L259" s="2"/>
      <c r="M259" s="2"/>
      <c r="N259" s="2"/>
      <c r="O259" s="2"/>
      <c r="P259" s="2"/>
      <c r="Q259" s="2"/>
      <c r="R259" s="2"/>
      <c r="S259" s="2"/>
      <c r="T259" s="2"/>
      <c r="U259" s="2"/>
      <c r="V259" s="2"/>
      <c r="W259" s="2"/>
    </row>
    <row r="260">
      <c r="A260" s="2"/>
      <c r="B260" s="2"/>
      <c r="C260" s="2"/>
      <c r="D260" s="2"/>
      <c r="E260" s="2"/>
      <c r="F260" s="2"/>
      <c r="G260" s="2"/>
      <c r="H260" s="2"/>
      <c r="I260" s="2"/>
      <c r="J260" s="2"/>
      <c r="K260" s="2"/>
      <c r="L260" s="2"/>
      <c r="M260" s="2"/>
      <c r="N260" s="2"/>
      <c r="O260" s="2"/>
      <c r="P260" s="2"/>
      <c r="Q260" s="2"/>
      <c r="R260" s="2"/>
      <c r="S260" s="2"/>
      <c r="T260" s="2"/>
      <c r="U260" s="2"/>
      <c r="V260" s="2"/>
      <c r="W260" s="2"/>
    </row>
    <row r="261">
      <c r="A261" s="2"/>
      <c r="B261" s="2"/>
      <c r="C261" s="2"/>
      <c r="D261" s="2"/>
      <c r="E261" s="2"/>
      <c r="F261" s="2"/>
      <c r="G261" s="2"/>
      <c r="H261" s="2"/>
      <c r="I261" s="2"/>
      <c r="J261" s="2"/>
      <c r="K261" s="2"/>
      <c r="L261" s="2"/>
      <c r="M261" s="2"/>
      <c r="N261" s="2"/>
      <c r="O261" s="2"/>
      <c r="P261" s="2"/>
      <c r="Q261" s="2"/>
      <c r="R261" s="2"/>
      <c r="S261" s="2"/>
      <c r="T261" s="2"/>
      <c r="U261" s="2"/>
      <c r="V261" s="2"/>
      <c r="W261" s="2"/>
    </row>
    <row r="262">
      <c r="A262" s="2"/>
      <c r="B262" s="2"/>
      <c r="C262" s="2"/>
      <c r="D262" s="2"/>
      <c r="E262" s="2"/>
      <c r="F262" s="2"/>
      <c r="G262" s="2"/>
      <c r="H262" s="2"/>
      <c r="I262" s="2"/>
      <c r="J262" s="2"/>
      <c r="K262" s="2"/>
      <c r="L262" s="2"/>
      <c r="M262" s="2"/>
      <c r="N262" s="2"/>
      <c r="O262" s="2"/>
      <c r="P262" s="2"/>
      <c r="Q262" s="2"/>
      <c r="R262" s="2"/>
      <c r="S262" s="2"/>
      <c r="T262" s="2"/>
      <c r="U262" s="2"/>
      <c r="V262" s="2"/>
      <c r="W262" s="2"/>
    </row>
    <row r="263">
      <c r="A263" s="2"/>
      <c r="B263" s="2"/>
      <c r="C263" s="2"/>
      <c r="D263" s="2"/>
      <c r="E263" s="2"/>
      <c r="F263" s="2"/>
      <c r="G263" s="2"/>
      <c r="H263" s="2"/>
      <c r="I263" s="2"/>
      <c r="J263" s="2"/>
      <c r="K263" s="2"/>
      <c r="L263" s="2"/>
      <c r="M263" s="2"/>
      <c r="N263" s="2"/>
      <c r="O263" s="2"/>
      <c r="P263" s="2"/>
      <c r="Q263" s="2"/>
      <c r="R263" s="2"/>
      <c r="S263" s="2"/>
      <c r="T263" s="2"/>
      <c r="U263" s="2"/>
      <c r="V263" s="2"/>
      <c r="W263" s="2"/>
    </row>
    <row r="264">
      <c r="A264" s="2"/>
      <c r="B264" s="2"/>
      <c r="C264" s="2"/>
      <c r="D264" s="2"/>
      <c r="E264" s="2"/>
      <c r="F264" s="2"/>
      <c r="G264" s="2"/>
      <c r="H264" s="2"/>
      <c r="I264" s="2"/>
      <c r="J264" s="2"/>
      <c r="K264" s="2"/>
      <c r="L264" s="2"/>
      <c r="M264" s="2"/>
      <c r="N264" s="2"/>
      <c r="O264" s="2"/>
      <c r="P264" s="2"/>
      <c r="Q264" s="2"/>
      <c r="R264" s="2"/>
      <c r="S264" s="2"/>
      <c r="T264" s="2"/>
      <c r="U264" s="2"/>
      <c r="V264" s="2"/>
      <c r="W264" s="2"/>
    </row>
    <row r="265">
      <c r="A265" s="2"/>
      <c r="B265" s="2"/>
      <c r="C265" s="2"/>
      <c r="D265" s="2"/>
      <c r="E265" s="2"/>
      <c r="F265" s="2"/>
      <c r="G265" s="2"/>
      <c r="H265" s="2"/>
      <c r="I265" s="2"/>
      <c r="J265" s="2"/>
      <c r="K265" s="2"/>
      <c r="L265" s="2"/>
      <c r="M265" s="2"/>
      <c r="N265" s="2"/>
      <c r="O265" s="2"/>
      <c r="P265" s="2"/>
      <c r="Q265" s="2"/>
      <c r="R265" s="2"/>
      <c r="S265" s="2"/>
      <c r="T265" s="2"/>
      <c r="U265" s="2"/>
      <c r="V265" s="2"/>
      <c r="W265" s="2"/>
    </row>
    <row r="266">
      <c r="A266" s="2"/>
      <c r="B266" s="2"/>
      <c r="C266" s="2"/>
      <c r="D266" s="2"/>
      <c r="E266" s="2"/>
      <c r="F266" s="2"/>
      <c r="G266" s="2"/>
      <c r="H266" s="2"/>
      <c r="I266" s="2"/>
      <c r="J266" s="2"/>
      <c r="K266" s="2"/>
      <c r="L266" s="2"/>
      <c r="M266" s="2"/>
      <c r="N266" s="2"/>
      <c r="O266" s="2"/>
      <c r="P266" s="2"/>
      <c r="Q266" s="2"/>
      <c r="R266" s="2"/>
      <c r="S266" s="2"/>
      <c r="T266" s="2"/>
      <c r="U266" s="2"/>
      <c r="V266" s="2"/>
      <c r="W266" s="2"/>
    </row>
    <row r="267">
      <c r="A267" s="2"/>
      <c r="B267" s="2"/>
      <c r="C267" s="2"/>
      <c r="D267" s="2"/>
      <c r="E267" s="2"/>
      <c r="F267" s="2"/>
      <c r="G267" s="2"/>
      <c r="H267" s="2"/>
      <c r="I267" s="2"/>
      <c r="J267" s="2"/>
      <c r="K267" s="2"/>
      <c r="L267" s="2"/>
      <c r="M267" s="2"/>
      <c r="N267" s="2"/>
      <c r="O267" s="2"/>
      <c r="P267" s="2"/>
      <c r="Q267" s="2"/>
      <c r="R267" s="2"/>
      <c r="S267" s="2"/>
      <c r="T267" s="2"/>
      <c r="U267" s="2"/>
      <c r="V267" s="2"/>
      <c r="W267" s="2"/>
    </row>
    <row r="268">
      <c r="A268" s="2"/>
      <c r="B268" s="2"/>
      <c r="C268" s="2"/>
      <c r="D268" s="2"/>
      <c r="E268" s="2"/>
      <c r="F268" s="2"/>
      <c r="G268" s="2"/>
      <c r="H268" s="2"/>
      <c r="I268" s="2"/>
      <c r="J268" s="2"/>
      <c r="K268" s="2"/>
      <c r="L268" s="2"/>
      <c r="M268" s="2"/>
      <c r="N268" s="2"/>
      <c r="O268" s="2"/>
      <c r="P268" s="2"/>
      <c r="Q268" s="2"/>
      <c r="R268" s="2"/>
      <c r="S268" s="2"/>
      <c r="T268" s="2"/>
      <c r="U268" s="2"/>
      <c r="V268" s="2"/>
      <c r="W268" s="2"/>
    </row>
    <row r="269">
      <c r="A269" s="2"/>
      <c r="B269" s="2"/>
      <c r="C269" s="2"/>
      <c r="D269" s="2"/>
      <c r="E269" s="2"/>
      <c r="F269" s="2"/>
      <c r="G269" s="2"/>
      <c r="H269" s="2"/>
      <c r="I269" s="2"/>
      <c r="J269" s="2"/>
      <c r="K269" s="2"/>
      <c r="L269" s="2"/>
      <c r="M269" s="2"/>
      <c r="N269" s="2"/>
      <c r="O269" s="2"/>
      <c r="P269" s="2"/>
      <c r="Q269" s="2"/>
      <c r="R269" s="2"/>
      <c r="S269" s="2"/>
      <c r="T269" s="2"/>
      <c r="U269" s="2"/>
      <c r="V269" s="2"/>
      <c r="W269" s="2"/>
    </row>
    <row r="270">
      <c r="A270" s="2"/>
      <c r="B270" s="2"/>
      <c r="C270" s="2"/>
      <c r="D270" s="2"/>
      <c r="E270" s="2"/>
      <c r="F270" s="2"/>
      <c r="G270" s="2"/>
      <c r="H270" s="2"/>
      <c r="I270" s="2"/>
      <c r="J270" s="2"/>
      <c r="K270" s="2"/>
      <c r="L270" s="2"/>
      <c r="M270" s="2"/>
      <c r="N270" s="2"/>
      <c r="O270" s="2"/>
      <c r="P270" s="2"/>
      <c r="Q270" s="2"/>
      <c r="R270" s="2"/>
      <c r="S270" s="2"/>
      <c r="T270" s="2"/>
      <c r="U270" s="2"/>
      <c r="V270" s="2"/>
      <c r="W270" s="2"/>
    </row>
    <row r="271">
      <c r="A271" s="2"/>
      <c r="B271" s="2"/>
      <c r="C271" s="2"/>
      <c r="D271" s="2"/>
      <c r="E271" s="2"/>
      <c r="F271" s="2"/>
      <c r="G271" s="2"/>
      <c r="H271" s="2"/>
      <c r="I271" s="2"/>
      <c r="J271" s="2"/>
      <c r="K271" s="2"/>
      <c r="L271" s="2"/>
      <c r="M271" s="2"/>
      <c r="N271" s="2"/>
      <c r="O271" s="2"/>
      <c r="P271" s="2"/>
      <c r="Q271" s="2"/>
      <c r="R271" s="2"/>
      <c r="S271" s="2"/>
      <c r="T271" s="2"/>
      <c r="U271" s="2"/>
      <c r="V271" s="2"/>
      <c r="W271" s="2"/>
    </row>
    <row r="272">
      <c r="A272" s="2"/>
      <c r="B272" s="2"/>
      <c r="C272" s="2"/>
      <c r="D272" s="2"/>
      <c r="E272" s="2"/>
      <c r="F272" s="2"/>
      <c r="G272" s="2"/>
      <c r="H272" s="2"/>
      <c r="I272" s="2"/>
      <c r="J272" s="2"/>
      <c r="K272" s="2"/>
      <c r="L272" s="2"/>
      <c r="M272" s="2"/>
      <c r="N272" s="2"/>
      <c r="O272" s="2"/>
      <c r="P272" s="2"/>
      <c r="Q272" s="2"/>
      <c r="R272" s="2"/>
      <c r="S272" s="2"/>
      <c r="T272" s="2"/>
      <c r="U272" s="2"/>
      <c r="V272" s="2"/>
      <c r="W272" s="2"/>
    </row>
    <row r="273">
      <c r="A273" s="2"/>
      <c r="B273" s="2"/>
      <c r="C273" s="2"/>
      <c r="D273" s="2"/>
      <c r="E273" s="2"/>
      <c r="F273" s="2"/>
      <c r="G273" s="2"/>
      <c r="H273" s="2"/>
      <c r="I273" s="2"/>
      <c r="J273" s="2"/>
      <c r="K273" s="2"/>
      <c r="L273" s="2"/>
      <c r="M273" s="2"/>
      <c r="N273" s="2"/>
      <c r="O273" s="2"/>
      <c r="P273" s="2"/>
      <c r="Q273" s="2"/>
      <c r="R273" s="2"/>
      <c r="S273" s="2"/>
      <c r="T273" s="2"/>
      <c r="U273" s="2"/>
      <c r="V273" s="2"/>
      <c r="W273" s="2"/>
    </row>
    <row r="274">
      <c r="A274" s="2"/>
      <c r="B274" s="2"/>
      <c r="C274" s="2"/>
      <c r="D274" s="2"/>
      <c r="E274" s="2"/>
      <c r="F274" s="2"/>
      <c r="G274" s="2"/>
      <c r="H274" s="2"/>
      <c r="I274" s="2"/>
      <c r="J274" s="2"/>
      <c r="K274" s="2"/>
      <c r="L274" s="2"/>
      <c r="M274" s="2"/>
      <c r="N274" s="2"/>
      <c r="O274" s="2"/>
      <c r="P274" s="2"/>
      <c r="Q274" s="2"/>
      <c r="R274" s="2"/>
      <c r="S274" s="2"/>
      <c r="T274" s="2"/>
      <c r="U274" s="2"/>
      <c r="V274" s="2"/>
      <c r="W274" s="2"/>
    </row>
    <row r="275">
      <c r="A275" s="2"/>
      <c r="B275" s="2"/>
      <c r="C275" s="2"/>
      <c r="D275" s="2"/>
      <c r="E275" s="2"/>
      <c r="F275" s="2"/>
      <c r="G275" s="2"/>
      <c r="H275" s="2"/>
      <c r="I275" s="2"/>
      <c r="J275" s="2"/>
      <c r="K275" s="2"/>
      <c r="L275" s="2"/>
      <c r="M275" s="2"/>
      <c r="N275" s="2"/>
      <c r="O275" s="2"/>
      <c r="P275" s="2"/>
      <c r="Q275" s="2"/>
      <c r="R275" s="2"/>
      <c r="S275" s="2"/>
      <c r="T275" s="2"/>
      <c r="U275" s="2"/>
      <c r="V275" s="2"/>
      <c r="W275" s="2"/>
    </row>
    <row r="276">
      <c r="A276" s="2"/>
      <c r="B276" s="2"/>
      <c r="C276" s="2"/>
      <c r="D276" s="2"/>
      <c r="E276" s="2"/>
      <c r="F276" s="2"/>
      <c r="G276" s="2"/>
      <c r="H276" s="2"/>
      <c r="I276" s="2"/>
      <c r="J276" s="2"/>
      <c r="K276" s="2"/>
      <c r="L276" s="2"/>
      <c r="M276" s="2"/>
      <c r="N276" s="2"/>
      <c r="O276" s="2"/>
      <c r="P276" s="2"/>
      <c r="Q276" s="2"/>
      <c r="R276" s="2"/>
      <c r="S276" s="2"/>
      <c r="T276" s="2"/>
      <c r="U276" s="2"/>
      <c r="V276" s="2"/>
      <c r="W276" s="2"/>
    </row>
    <row r="277">
      <c r="A277" s="2"/>
      <c r="B277" s="2"/>
      <c r="C277" s="2"/>
      <c r="D277" s="2"/>
      <c r="E277" s="2"/>
      <c r="F277" s="2"/>
      <c r="G277" s="2"/>
      <c r="H277" s="2"/>
      <c r="I277" s="2"/>
      <c r="J277" s="2"/>
      <c r="K277" s="2"/>
      <c r="L277" s="2"/>
      <c r="M277" s="2"/>
      <c r="N277" s="2"/>
      <c r="O277" s="2"/>
      <c r="P277" s="2"/>
      <c r="Q277" s="2"/>
      <c r="R277" s="2"/>
      <c r="S277" s="2"/>
      <c r="T277" s="2"/>
      <c r="U277" s="2"/>
      <c r="V277" s="2"/>
      <c r="W277" s="2"/>
    </row>
    <row r="278">
      <c r="A278" s="2"/>
      <c r="B278" s="2"/>
      <c r="C278" s="2"/>
      <c r="D278" s="2"/>
      <c r="E278" s="2"/>
      <c r="F278" s="2"/>
      <c r="G278" s="2"/>
      <c r="H278" s="2"/>
      <c r="I278" s="2"/>
      <c r="J278" s="2"/>
      <c r="K278" s="2"/>
      <c r="L278" s="2"/>
      <c r="M278" s="2"/>
      <c r="N278" s="2"/>
      <c r="O278" s="2"/>
      <c r="P278" s="2"/>
      <c r="Q278" s="2"/>
      <c r="R278" s="2"/>
      <c r="S278" s="2"/>
      <c r="T278" s="2"/>
      <c r="U278" s="2"/>
      <c r="V278" s="2"/>
      <c r="W278" s="2"/>
    </row>
    <row r="279">
      <c r="A279" s="2"/>
      <c r="B279" s="2"/>
      <c r="C279" s="2"/>
      <c r="D279" s="2"/>
      <c r="E279" s="2"/>
      <c r="F279" s="2"/>
      <c r="G279" s="2"/>
      <c r="H279" s="2"/>
      <c r="I279" s="2"/>
      <c r="J279" s="2"/>
      <c r="K279" s="2"/>
      <c r="L279" s="2"/>
      <c r="M279" s="2"/>
      <c r="N279" s="2"/>
      <c r="O279" s="2"/>
      <c r="P279" s="2"/>
      <c r="Q279" s="2"/>
      <c r="R279" s="2"/>
      <c r="S279" s="2"/>
      <c r="T279" s="2"/>
      <c r="U279" s="2"/>
      <c r="V279" s="2"/>
      <c r="W279" s="2"/>
    </row>
    <row r="280">
      <c r="A280" s="2"/>
      <c r="B280" s="2"/>
      <c r="C280" s="2"/>
      <c r="D280" s="2"/>
      <c r="E280" s="2"/>
      <c r="F280" s="2"/>
      <c r="G280" s="2"/>
      <c r="H280" s="2"/>
      <c r="I280" s="2"/>
      <c r="J280" s="2"/>
      <c r="K280" s="2"/>
      <c r="L280" s="2"/>
      <c r="M280" s="2"/>
      <c r="N280" s="2"/>
      <c r="O280" s="2"/>
      <c r="P280" s="2"/>
      <c r="Q280" s="2"/>
      <c r="R280" s="2"/>
      <c r="S280" s="2"/>
      <c r="T280" s="2"/>
      <c r="U280" s="2"/>
      <c r="V280" s="2"/>
      <c r="W280" s="2"/>
    </row>
    <row r="281">
      <c r="A281" s="2"/>
      <c r="B281" s="2"/>
      <c r="C281" s="2"/>
      <c r="D281" s="2"/>
      <c r="E281" s="2"/>
      <c r="F281" s="2"/>
      <c r="G281" s="2"/>
      <c r="H281" s="2"/>
      <c r="I281" s="2"/>
      <c r="J281" s="2"/>
      <c r="K281" s="2"/>
      <c r="L281" s="2"/>
      <c r="M281" s="2"/>
      <c r="N281" s="2"/>
      <c r="O281" s="2"/>
      <c r="P281" s="2"/>
      <c r="Q281" s="2"/>
      <c r="R281" s="2"/>
      <c r="S281" s="2"/>
      <c r="T281" s="2"/>
      <c r="U281" s="2"/>
      <c r="V281" s="2"/>
      <c r="W281" s="2"/>
    </row>
    <row r="282">
      <c r="A282" s="2"/>
      <c r="B282" s="2"/>
      <c r="C282" s="2"/>
      <c r="D282" s="2"/>
      <c r="E282" s="2"/>
      <c r="F282" s="2"/>
      <c r="G282" s="2"/>
      <c r="H282" s="2"/>
      <c r="I282" s="2"/>
      <c r="J282" s="2"/>
      <c r="K282" s="2"/>
      <c r="L282" s="2"/>
      <c r="M282" s="2"/>
      <c r="N282" s="2"/>
      <c r="O282" s="2"/>
      <c r="P282" s="2"/>
      <c r="Q282" s="2"/>
      <c r="R282" s="2"/>
      <c r="S282" s="2"/>
      <c r="T282" s="2"/>
      <c r="U282" s="2"/>
      <c r="V282" s="2"/>
      <c r="W282" s="2"/>
    </row>
    <row r="283">
      <c r="A283" s="2"/>
      <c r="B283" s="2"/>
      <c r="C283" s="2"/>
      <c r="D283" s="2"/>
      <c r="E283" s="2"/>
      <c r="F283" s="2"/>
      <c r="G283" s="2"/>
      <c r="H283" s="2"/>
      <c r="I283" s="2"/>
      <c r="J283" s="2"/>
      <c r="K283" s="2"/>
      <c r="L283" s="2"/>
      <c r="M283" s="2"/>
      <c r="N283" s="2"/>
      <c r="O283" s="2"/>
      <c r="P283" s="2"/>
      <c r="Q283" s="2"/>
      <c r="R283" s="2"/>
      <c r="S283" s="2"/>
      <c r="T283" s="2"/>
      <c r="U283" s="2"/>
      <c r="V283" s="2"/>
      <c r="W283" s="2"/>
    </row>
    <row r="284">
      <c r="A284" s="2"/>
      <c r="B284" s="2"/>
      <c r="C284" s="2"/>
      <c r="D284" s="2"/>
      <c r="E284" s="2"/>
      <c r="F284" s="2"/>
      <c r="G284" s="2"/>
      <c r="H284" s="2"/>
      <c r="I284" s="2"/>
      <c r="J284" s="2"/>
      <c r="K284" s="2"/>
      <c r="L284" s="2"/>
      <c r="M284" s="2"/>
      <c r="N284" s="2"/>
      <c r="O284" s="2"/>
      <c r="P284" s="2"/>
      <c r="Q284" s="2"/>
      <c r="R284" s="2"/>
      <c r="S284" s="2"/>
      <c r="T284" s="2"/>
      <c r="U284" s="2"/>
      <c r="V284" s="2"/>
      <c r="W284" s="2"/>
    </row>
    <row r="285">
      <c r="A285" s="2"/>
      <c r="B285" s="2"/>
      <c r="C285" s="2"/>
      <c r="D285" s="2"/>
      <c r="E285" s="2"/>
      <c r="F285" s="2"/>
      <c r="G285" s="2"/>
      <c r="H285" s="2"/>
      <c r="I285" s="2"/>
      <c r="J285" s="2"/>
      <c r="K285" s="2"/>
      <c r="L285" s="2"/>
      <c r="M285" s="2"/>
      <c r="N285" s="2"/>
      <c r="O285" s="2"/>
      <c r="P285" s="2"/>
      <c r="Q285" s="2"/>
      <c r="R285" s="2"/>
      <c r="S285" s="2"/>
      <c r="T285" s="2"/>
      <c r="U285" s="2"/>
      <c r="V285" s="2"/>
      <c r="W285" s="2"/>
    </row>
    <row r="286">
      <c r="A286" s="2"/>
      <c r="B286" s="2"/>
      <c r="C286" s="2"/>
      <c r="D286" s="2"/>
      <c r="E286" s="2"/>
      <c r="F286" s="2"/>
      <c r="G286" s="2"/>
      <c r="H286" s="2"/>
      <c r="I286" s="2"/>
      <c r="J286" s="2"/>
      <c r="K286" s="2"/>
      <c r="L286" s="2"/>
      <c r="M286" s="2"/>
      <c r="N286" s="2"/>
      <c r="O286" s="2"/>
      <c r="P286" s="2"/>
      <c r="Q286" s="2"/>
      <c r="R286" s="2"/>
      <c r="S286" s="2"/>
      <c r="T286" s="2"/>
      <c r="U286" s="2"/>
      <c r="V286" s="2"/>
      <c r="W286" s="2"/>
    </row>
    <row r="287">
      <c r="A287" s="2"/>
      <c r="B287" s="2"/>
      <c r="C287" s="2"/>
      <c r="D287" s="2"/>
      <c r="E287" s="2"/>
      <c r="F287" s="2"/>
      <c r="G287" s="2"/>
      <c r="H287" s="2"/>
      <c r="I287" s="2"/>
      <c r="J287" s="2"/>
      <c r="K287" s="2"/>
      <c r="L287" s="2"/>
      <c r="M287" s="2"/>
      <c r="N287" s="2"/>
      <c r="O287" s="2"/>
      <c r="P287" s="2"/>
      <c r="Q287" s="2"/>
      <c r="R287" s="2"/>
      <c r="S287" s="2"/>
      <c r="T287" s="2"/>
      <c r="U287" s="2"/>
      <c r="V287" s="2"/>
      <c r="W287" s="2"/>
    </row>
    <row r="288">
      <c r="A288" s="2"/>
      <c r="B288" s="2"/>
      <c r="C288" s="2"/>
      <c r="D288" s="2"/>
      <c r="E288" s="2"/>
      <c r="F288" s="2"/>
      <c r="G288" s="2"/>
      <c r="H288" s="2"/>
      <c r="I288" s="2"/>
      <c r="J288" s="2"/>
      <c r="K288" s="2"/>
      <c r="L288" s="2"/>
      <c r="M288" s="2"/>
      <c r="N288" s="2"/>
      <c r="O288" s="2"/>
      <c r="P288" s="2"/>
      <c r="Q288" s="2"/>
      <c r="R288" s="2"/>
      <c r="S288" s="2"/>
      <c r="T288" s="2"/>
      <c r="U288" s="2"/>
      <c r="V288" s="2"/>
      <c r="W288" s="2"/>
    </row>
    <row r="289">
      <c r="A289" s="2"/>
      <c r="B289" s="2"/>
      <c r="C289" s="2"/>
      <c r="D289" s="2"/>
      <c r="E289" s="2"/>
      <c r="F289" s="2"/>
      <c r="G289" s="2"/>
      <c r="H289" s="2"/>
      <c r="I289" s="2"/>
      <c r="J289" s="2"/>
      <c r="K289" s="2"/>
      <c r="L289" s="2"/>
      <c r="M289" s="2"/>
      <c r="N289" s="2"/>
      <c r="O289" s="2"/>
      <c r="P289" s="2"/>
      <c r="Q289" s="2"/>
      <c r="R289" s="2"/>
      <c r="S289" s="2"/>
      <c r="T289" s="2"/>
      <c r="U289" s="2"/>
      <c r="V289" s="2"/>
      <c r="W289" s="2"/>
    </row>
    <row r="290">
      <c r="A290" s="2"/>
      <c r="B290" s="2"/>
      <c r="C290" s="2"/>
      <c r="D290" s="2"/>
      <c r="E290" s="2"/>
      <c r="F290" s="2"/>
      <c r="G290" s="2"/>
      <c r="H290" s="2"/>
      <c r="I290" s="2"/>
      <c r="J290" s="2"/>
      <c r="K290" s="2"/>
      <c r="L290" s="2"/>
      <c r="M290" s="2"/>
      <c r="N290" s="2"/>
      <c r="O290" s="2"/>
      <c r="P290" s="2"/>
      <c r="Q290" s="2"/>
      <c r="R290" s="2"/>
      <c r="S290" s="2"/>
      <c r="T290" s="2"/>
      <c r="U290" s="2"/>
      <c r="V290" s="2"/>
      <c r="W290" s="2"/>
    </row>
    <row r="291">
      <c r="A291" s="2"/>
      <c r="B291" s="2"/>
      <c r="C291" s="2"/>
      <c r="D291" s="2"/>
      <c r="E291" s="2"/>
      <c r="F291" s="2"/>
      <c r="G291" s="2"/>
      <c r="H291" s="2"/>
      <c r="I291" s="2"/>
      <c r="J291" s="2"/>
      <c r="K291" s="2"/>
      <c r="L291" s="2"/>
      <c r="M291" s="2"/>
      <c r="N291" s="2"/>
      <c r="O291" s="2"/>
      <c r="P291" s="2"/>
      <c r="Q291" s="2"/>
      <c r="R291" s="2"/>
      <c r="S291" s="2"/>
      <c r="T291" s="2"/>
      <c r="U291" s="2"/>
      <c r="V291" s="2"/>
      <c r="W291" s="2"/>
    </row>
    <row r="292">
      <c r="A292" s="2"/>
      <c r="B292" s="2"/>
      <c r="C292" s="2"/>
      <c r="D292" s="2"/>
      <c r="E292" s="2"/>
      <c r="F292" s="2"/>
      <c r="G292" s="2"/>
      <c r="H292" s="2"/>
      <c r="I292" s="2"/>
      <c r="J292" s="2"/>
      <c r="K292" s="2"/>
      <c r="L292" s="2"/>
      <c r="M292" s="2"/>
      <c r="N292" s="2"/>
      <c r="O292" s="2"/>
      <c r="P292" s="2"/>
      <c r="Q292" s="2"/>
      <c r="R292" s="2"/>
      <c r="S292" s="2"/>
      <c r="T292" s="2"/>
      <c r="U292" s="2"/>
      <c r="V292" s="2"/>
      <c r="W292" s="2"/>
    </row>
    <row r="293">
      <c r="A293" s="2"/>
      <c r="B293" s="2"/>
      <c r="C293" s="2"/>
      <c r="D293" s="2"/>
      <c r="E293" s="2"/>
      <c r="F293" s="2"/>
      <c r="G293" s="2"/>
      <c r="H293" s="2"/>
      <c r="I293" s="2"/>
      <c r="J293" s="2"/>
      <c r="K293" s="2"/>
      <c r="L293" s="2"/>
      <c r="M293" s="2"/>
      <c r="N293" s="2"/>
      <c r="O293" s="2"/>
      <c r="P293" s="2"/>
      <c r="Q293" s="2"/>
      <c r="R293" s="2"/>
      <c r="S293" s="2"/>
      <c r="T293" s="2"/>
      <c r="U293" s="2"/>
      <c r="V293" s="2"/>
      <c r="W293" s="2"/>
    </row>
    <row r="294">
      <c r="A294" s="2"/>
      <c r="B294" s="2"/>
      <c r="C294" s="2"/>
      <c r="D294" s="2"/>
      <c r="E294" s="2"/>
      <c r="F294" s="2"/>
      <c r="G294" s="2"/>
      <c r="H294" s="2"/>
      <c r="I294" s="2"/>
      <c r="J294" s="2"/>
      <c r="K294" s="2"/>
      <c r="L294" s="2"/>
      <c r="M294" s="2"/>
      <c r="N294" s="2"/>
      <c r="O294" s="2"/>
      <c r="P294" s="2"/>
      <c r="Q294" s="2"/>
      <c r="R294" s="2"/>
      <c r="S294" s="2"/>
      <c r="T294" s="2"/>
      <c r="U294" s="2"/>
      <c r="V294" s="2"/>
      <c r="W294" s="2"/>
    </row>
    <row r="295">
      <c r="A295" s="2"/>
      <c r="B295" s="2"/>
      <c r="C295" s="2"/>
      <c r="D295" s="2"/>
      <c r="E295" s="2"/>
      <c r="F295" s="2"/>
      <c r="G295" s="2"/>
      <c r="H295" s="2"/>
      <c r="I295" s="2"/>
      <c r="J295" s="2"/>
      <c r="K295" s="2"/>
      <c r="L295" s="2"/>
      <c r="M295" s="2"/>
      <c r="N295" s="2"/>
      <c r="O295" s="2"/>
      <c r="P295" s="2"/>
      <c r="Q295" s="2"/>
      <c r="R295" s="2"/>
      <c r="S295" s="2"/>
      <c r="T295" s="2"/>
      <c r="U295" s="2"/>
      <c r="V295" s="2"/>
      <c r="W295" s="2"/>
    </row>
    <row r="296">
      <c r="A296" s="2"/>
      <c r="B296" s="2"/>
      <c r="C296" s="2"/>
      <c r="D296" s="2"/>
      <c r="E296" s="2"/>
      <c r="F296" s="2"/>
      <c r="G296" s="2"/>
      <c r="H296" s="2"/>
      <c r="I296" s="2"/>
      <c r="J296" s="2"/>
      <c r="K296" s="2"/>
      <c r="L296" s="2"/>
      <c r="M296" s="2"/>
      <c r="N296" s="2"/>
      <c r="O296" s="2"/>
      <c r="P296" s="2"/>
      <c r="Q296" s="2"/>
      <c r="R296" s="2"/>
      <c r="S296" s="2"/>
      <c r="T296" s="2"/>
      <c r="U296" s="2"/>
      <c r="V296" s="2"/>
      <c r="W296" s="2"/>
    </row>
    <row r="297">
      <c r="A297" s="2"/>
      <c r="B297" s="2"/>
      <c r="C297" s="2"/>
      <c r="D297" s="2"/>
      <c r="E297" s="2"/>
      <c r="F297" s="2"/>
      <c r="G297" s="2"/>
      <c r="H297" s="2"/>
      <c r="I297" s="2"/>
      <c r="J297" s="2"/>
      <c r="K297" s="2"/>
      <c r="L297" s="2"/>
      <c r="M297" s="2"/>
      <c r="N297" s="2"/>
      <c r="O297" s="2"/>
      <c r="P297" s="2"/>
      <c r="Q297" s="2"/>
      <c r="R297" s="2"/>
      <c r="S297" s="2"/>
      <c r="T297" s="2"/>
      <c r="U297" s="2"/>
      <c r="V297" s="2"/>
      <c r="W297" s="2"/>
    </row>
    <row r="298">
      <c r="A298" s="2"/>
      <c r="B298" s="2"/>
      <c r="C298" s="2"/>
      <c r="D298" s="2"/>
      <c r="E298" s="2"/>
      <c r="F298" s="2"/>
      <c r="G298" s="2"/>
      <c r="H298" s="2"/>
      <c r="I298" s="2"/>
      <c r="J298" s="2"/>
      <c r="K298" s="2"/>
      <c r="L298" s="2"/>
      <c r="M298" s="2"/>
      <c r="N298" s="2"/>
      <c r="O298" s="2"/>
      <c r="P298" s="2"/>
      <c r="Q298" s="2"/>
      <c r="R298" s="2"/>
      <c r="S298" s="2"/>
      <c r="T298" s="2"/>
      <c r="U298" s="2"/>
      <c r="V298" s="2"/>
      <c r="W298" s="2"/>
    </row>
    <row r="299">
      <c r="A299" s="2"/>
      <c r="B299" s="2"/>
      <c r="C299" s="2"/>
      <c r="D299" s="2"/>
      <c r="E299" s="2"/>
      <c r="F299" s="2"/>
      <c r="G299" s="2"/>
      <c r="H299" s="2"/>
      <c r="I299" s="2"/>
      <c r="J299" s="2"/>
      <c r="K299" s="2"/>
      <c r="L299" s="2"/>
      <c r="M299" s="2"/>
      <c r="N299" s="2"/>
      <c r="O299" s="2"/>
      <c r="P299" s="2"/>
      <c r="Q299" s="2"/>
      <c r="R299" s="2"/>
      <c r="S299" s="2"/>
      <c r="T299" s="2"/>
      <c r="U299" s="2"/>
      <c r="V299" s="2"/>
      <c r="W299" s="2"/>
    </row>
    <row r="300">
      <c r="A300" s="2"/>
      <c r="B300" s="2"/>
      <c r="C300" s="2"/>
      <c r="D300" s="2"/>
      <c r="E300" s="2"/>
      <c r="F300" s="2"/>
      <c r="G300" s="2"/>
      <c r="H300" s="2"/>
      <c r="I300" s="2"/>
      <c r="J300" s="2"/>
      <c r="K300" s="2"/>
      <c r="L300" s="2"/>
      <c r="M300" s="2"/>
      <c r="N300" s="2"/>
      <c r="O300" s="2"/>
      <c r="P300" s="2"/>
      <c r="Q300" s="2"/>
      <c r="R300" s="2"/>
      <c r="S300" s="2"/>
      <c r="T300" s="2"/>
      <c r="U300" s="2"/>
      <c r="V300" s="2"/>
      <c r="W300" s="2"/>
    </row>
    <row r="301">
      <c r="A301" s="2"/>
      <c r="B301" s="2"/>
      <c r="C301" s="2"/>
      <c r="D301" s="2"/>
      <c r="E301" s="2"/>
      <c r="F301" s="2"/>
      <c r="G301" s="2"/>
      <c r="H301" s="2"/>
      <c r="I301" s="2"/>
      <c r="J301" s="2"/>
      <c r="K301" s="2"/>
      <c r="L301" s="2"/>
      <c r="M301" s="2"/>
      <c r="N301" s="2"/>
      <c r="O301" s="2"/>
      <c r="P301" s="2"/>
      <c r="Q301" s="2"/>
      <c r="R301" s="2"/>
      <c r="S301" s="2"/>
      <c r="T301" s="2"/>
      <c r="U301" s="2"/>
      <c r="V301" s="2"/>
      <c r="W301" s="2"/>
    </row>
    <row r="302">
      <c r="A302" s="2"/>
      <c r="B302" s="2"/>
      <c r="C302" s="2"/>
      <c r="D302" s="2"/>
      <c r="E302" s="2"/>
      <c r="F302" s="2"/>
      <c r="G302" s="2"/>
      <c r="H302" s="2"/>
      <c r="I302" s="2"/>
      <c r="J302" s="2"/>
      <c r="K302" s="2"/>
      <c r="L302" s="2"/>
      <c r="M302" s="2"/>
      <c r="N302" s="2"/>
      <c r="O302" s="2"/>
      <c r="P302" s="2"/>
      <c r="Q302" s="2"/>
      <c r="R302" s="2"/>
      <c r="S302" s="2"/>
      <c r="T302" s="2"/>
      <c r="U302" s="2"/>
      <c r="V302" s="2"/>
      <c r="W302" s="2"/>
    </row>
    <row r="303">
      <c r="A303" s="2"/>
      <c r="B303" s="2"/>
      <c r="C303" s="2"/>
      <c r="D303" s="2"/>
      <c r="E303" s="2"/>
      <c r="F303" s="2"/>
      <c r="G303" s="2"/>
      <c r="H303" s="2"/>
      <c r="I303" s="2"/>
      <c r="J303" s="2"/>
      <c r="K303" s="2"/>
      <c r="L303" s="2"/>
      <c r="M303" s="2"/>
      <c r="N303" s="2"/>
      <c r="O303" s="2"/>
      <c r="P303" s="2"/>
      <c r="Q303" s="2"/>
      <c r="R303" s="2"/>
      <c r="S303" s="2"/>
      <c r="T303" s="2"/>
      <c r="U303" s="2"/>
      <c r="V303" s="2"/>
      <c r="W303" s="2"/>
    </row>
    <row r="304">
      <c r="A304" s="2"/>
      <c r="B304" s="2"/>
      <c r="C304" s="2"/>
      <c r="D304" s="2"/>
      <c r="E304" s="2"/>
      <c r="F304" s="2"/>
      <c r="G304" s="2"/>
      <c r="H304" s="2"/>
      <c r="I304" s="2"/>
      <c r="J304" s="2"/>
      <c r="K304" s="2"/>
      <c r="L304" s="2"/>
      <c r="M304" s="2"/>
      <c r="N304" s="2"/>
      <c r="O304" s="2"/>
      <c r="P304" s="2"/>
      <c r="Q304" s="2"/>
      <c r="R304" s="2"/>
      <c r="S304" s="2"/>
      <c r="T304" s="2"/>
      <c r="U304" s="2"/>
      <c r="V304" s="2"/>
      <c r="W304" s="2"/>
    </row>
    <row r="305">
      <c r="A305" s="2"/>
      <c r="B305" s="2"/>
      <c r="C305" s="2"/>
      <c r="D305" s="2"/>
      <c r="E305" s="2"/>
      <c r="F305" s="2"/>
      <c r="G305" s="2"/>
      <c r="H305" s="2"/>
      <c r="I305" s="2"/>
      <c r="J305" s="2"/>
      <c r="K305" s="2"/>
      <c r="L305" s="2"/>
      <c r="M305" s="2"/>
      <c r="N305" s="2"/>
      <c r="O305" s="2"/>
      <c r="P305" s="2"/>
      <c r="Q305" s="2"/>
      <c r="R305" s="2"/>
      <c r="S305" s="2"/>
      <c r="T305" s="2"/>
      <c r="U305" s="2"/>
      <c r="V305" s="2"/>
      <c r="W305" s="2"/>
    </row>
    <row r="306">
      <c r="A306" s="2"/>
      <c r="B306" s="2"/>
      <c r="C306" s="2"/>
      <c r="D306" s="2"/>
      <c r="E306" s="2"/>
      <c r="F306" s="2"/>
      <c r="G306" s="2"/>
      <c r="H306" s="2"/>
      <c r="I306" s="2"/>
      <c r="J306" s="2"/>
      <c r="K306" s="2"/>
      <c r="L306" s="2"/>
      <c r="M306" s="2"/>
      <c r="N306" s="2"/>
      <c r="O306" s="2"/>
      <c r="P306" s="2"/>
      <c r="Q306" s="2"/>
      <c r="R306" s="2"/>
      <c r="S306" s="2"/>
      <c r="T306" s="2"/>
      <c r="U306" s="2"/>
      <c r="V306" s="2"/>
      <c r="W306" s="2"/>
    </row>
    <row r="307">
      <c r="A307" s="2"/>
      <c r="B307" s="2"/>
      <c r="C307" s="2"/>
      <c r="D307" s="2"/>
      <c r="E307" s="2"/>
      <c r="F307" s="2"/>
      <c r="G307" s="2"/>
      <c r="H307" s="2"/>
      <c r="I307" s="2"/>
      <c r="J307" s="2"/>
      <c r="K307" s="2"/>
      <c r="L307" s="2"/>
      <c r="M307" s="2"/>
      <c r="N307" s="2"/>
      <c r="O307" s="2"/>
      <c r="P307" s="2"/>
      <c r="Q307" s="2"/>
      <c r="R307" s="2"/>
      <c r="S307" s="2"/>
      <c r="T307" s="2"/>
      <c r="U307" s="2"/>
      <c r="V307" s="2"/>
      <c r="W307" s="2"/>
    </row>
    <row r="308">
      <c r="A308" s="2"/>
      <c r="B308" s="2"/>
      <c r="C308" s="2"/>
      <c r="D308" s="2"/>
      <c r="E308" s="2"/>
      <c r="F308" s="2"/>
      <c r="G308" s="2"/>
      <c r="H308" s="2"/>
      <c r="I308" s="2"/>
      <c r="J308" s="2"/>
      <c r="K308" s="2"/>
      <c r="L308" s="2"/>
      <c r="M308" s="2"/>
      <c r="N308" s="2"/>
      <c r="O308" s="2"/>
      <c r="P308" s="2"/>
      <c r="Q308" s="2"/>
      <c r="R308" s="2"/>
      <c r="S308" s="2"/>
      <c r="T308" s="2"/>
      <c r="U308" s="2"/>
      <c r="V308" s="2"/>
      <c r="W308" s="2"/>
    </row>
    <row r="309">
      <c r="A309" s="2"/>
      <c r="B309" s="2"/>
      <c r="C309" s="2"/>
      <c r="D309" s="2"/>
      <c r="E309" s="2"/>
      <c r="F309" s="2"/>
      <c r="G309" s="2"/>
      <c r="H309" s="2"/>
      <c r="I309" s="2"/>
      <c r="J309" s="2"/>
      <c r="K309" s="2"/>
      <c r="L309" s="2"/>
      <c r="M309" s="2"/>
      <c r="N309" s="2"/>
      <c r="O309" s="2"/>
      <c r="P309" s="2"/>
      <c r="Q309" s="2"/>
      <c r="R309" s="2"/>
      <c r="S309" s="2"/>
      <c r="T309" s="2"/>
      <c r="U309" s="2"/>
      <c r="V309" s="2"/>
      <c r="W309" s="2"/>
    </row>
    <row r="310">
      <c r="A310" s="2"/>
      <c r="B310" s="2"/>
      <c r="C310" s="2"/>
      <c r="D310" s="2"/>
      <c r="E310" s="2"/>
      <c r="F310" s="2"/>
      <c r="G310" s="2"/>
      <c r="H310" s="2"/>
      <c r="I310" s="2"/>
      <c r="J310" s="2"/>
      <c r="K310" s="2"/>
      <c r="L310" s="2"/>
      <c r="M310" s="2"/>
      <c r="N310" s="2"/>
      <c r="O310" s="2"/>
      <c r="P310" s="2"/>
      <c r="Q310" s="2"/>
      <c r="R310" s="2"/>
      <c r="S310" s="2"/>
      <c r="T310" s="2"/>
      <c r="U310" s="2"/>
      <c r="V310" s="2"/>
      <c r="W310" s="2"/>
    </row>
    <row r="311">
      <c r="A311" s="2"/>
      <c r="B311" s="2"/>
      <c r="C311" s="2"/>
      <c r="D311" s="2"/>
      <c r="E311" s="2"/>
      <c r="F311" s="2"/>
      <c r="G311" s="2"/>
      <c r="H311" s="2"/>
      <c r="I311" s="2"/>
      <c r="J311" s="2"/>
      <c r="K311" s="2"/>
      <c r="L311" s="2"/>
      <c r="M311" s="2"/>
      <c r="N311" s="2"/>
      <c r="O311" s="2"/>
      <c r="P311" s="2"/>
      <c r="Q311" s="2"/>
      <c r="R311" s="2"/>
      <c r="S311" s="2"/>
      <c r="T311" s="2"/>
      <c r="U311" s="2"/>
      <c r="V311" s="2"/>
      <c r="W311" s="2"/>
    </row>
    <row r="312">
      <c r="A312" s="2"/>
      <c r="B312" s="2"/>
      <c r="C312" s="2"/>
      <c r="D312" s="2"/>
      <c r="E312" s="2"/>
      <c r="F312" s="2"/>
      <c r="G312" s="2"/>
      <c r="H312" s="2"/>
      <c r="I312" s="2"/>
      <c r="J312" s="2"/>
      <c r="K312" s="2"/>
      <c r="L312" s="2"/>
      <c r="M312" s="2"/>
      <c r="N312" s="2"/>
      <c r="O312" s="2"/>
      <c r="P312" s="2"/>
      <c r="Q312" s="2"/>
      <c r="R312" s="2"/>
      <c r="S312" s="2"/>
      <c r="T312" s="2"/>
      <c r="U312" s="2"/>
      <c r="V312" s="2"/>
      <c r="W312" s="2"/>
    </row>
    <row r="313">
      <c r="A313" s="2"/>
      <c r="B313" s="2"/>
      <c r="C313" s="2"/>
      <c r="D313" s="2"/>
      <c r="E313" s="2"/>
      <c r="F313" s="2"/>
      <c r="G313" s="2"/>
      <c r="H313" s="2"/>
      <c r="I313" s="2"/>
      <c r="J313" s="2"/>
      <c r="K313" s="2"/>
      <c r="L313" s="2"/>
      <c r="M313" s="2"/>
      <c r="N313" s="2"/>
      <c r="O313" s="2"/>
      <c r="P313" s="2"/>
      <c r="Q313" s="2"/>
      <c r="R313" s="2"/>
      <c r="S313" s="2"/>
      <c r="T313" s="2"/>
      <c r="U313" s="2"/>
      <c r="V313" s="2"/>
      <c r="W313" s="2"/>
    </row>
    <row r="314">
      <c r="A314" s="2"/>
      <c r="B314" s="2"/>
      <c r="C314" s="2"/>
      <c r="D314" s="2"/>
      <c r="E314" s="2"/>
      <c r="F314" s="2"/>
      <c r="G314" s="2"/>
      <c r="H314" s="2"/>
      <c r="I314" s="2"/>
      <c r="J314" s="2"/>
      <c r="K314" s="2"/>
      <c r="L314" s="2"/>
      <c r="M314" s="2"/>
      <c r="N314" s="2"/>
      <c r="O314" s="2"/>
      <c r="P314" s="2"/>
      <c r="Q314" s="2"/>
      <c r="R314" s="2"/>
      <c r="S314" s="2"/>
      <c r="T314" s="2"/>
      <c r="U314" s="2"/>
      <c r="V314" s="2"/>
      <c r="W314" s="2"/>
    </row>
    <row r="315">
      <c r="A315" s="2"/>
      <c r="B315" s="2"/>
      <c r="C315" s="2"/>
      <c r="D315" s="2"/>
      <c r="E315" s="2"/>
      <c r="F315" s="2"/>
      <c r="G315" s="2"/>
      <c r="H315" s="2"/>
      <c r="I315" s="2"/>
      <c r="J315" s="2"/>
      <c r="K315" s="2"/>
      <c r="L315" s="2"/>
      <c r="M315" s="2"/>
      <c r="N315" s="2"/>
      <c r="O315" s="2"/>
      <c r="P315" s="2"/>
      <c r="Q315" s="2"/>
      <c r="R315" s="2"/>
      <c r="S315" s="2"/>
      <c r="T315" s="2"/>
      <c r="U315" s="2"/>
      <c r="V315" s="2"/>
      <c r="W315" s="2"/>
    </row>
    <row r="316">
      <c r="A316" s="2"/>
      <c r="B316" s="2"/>
      <c r="C316" s="2"/>
      <c r="D316" s="2"/>
      <c r="E316" s="2"/>
      <c r="F316" s="2"/>
      <c r="G316" s="2"/>
      <c r="H316" s="2"/>
      <c r="I316" s="2"/>
      <c r="J316" s="2"/>
      <c r="K316" s="2"/>
      <c r="L316" s="2"/>
      <c r="M316" s="2"/>
      <c r="N316" s="2"/>
      <c r="O316" s="2"/>
      <c r="P316" s="2"/>
      <c r="Q316" s="2"/>
      <c r="R316" s="2"/>
      <c r="S316" s="2"/>
      <c r="T316" s="2"/>
      <c r="U316" s="2"/>
      <c r="V316" s="2"/>
      <c r="W316" s="2"/>
    </row>
    <row r="317">
      <c r="A317" s="2"/>
      <c r="B317" s="2"/>
      <c r="C317" s="2"/>
      <c r="D317" s="2"/>
      <c r="E317" s="2"/>
      <c r="F317" s="2"/>
      <c r="G317" s="2"/>
      <c r="H317" s="2"/>
      <c r="I317" s="2"/>
      <c r="J317" s="2"/>
      <c r="K317" s="2"/>
      <c r="L317" s="2"/>
      <c r="M317" s="2"/>
      <c r="N317" s="2"/>
      <c r="O317" s="2"/>
      <c r="P317" s="2"/>
      <c r="Q317" s="2"/>
      <c r="R317" s="2"/>
      <c r="S317" s="2"/>
      <c r="T317" s="2"/>
      <c r="U317" s="2"/>
      <c r="V317" s="2"/>
      <c r="W317" s="2"/>
    </row>
    <row r="318">
      <c r="A318" s="2"/>
      <c r="B318" s="2"/>
      <c r="C318" s="2"/>
      <c r="D318" s="2"/>
      <c r="E318" s="2"/>
      <c r="F318" s="2"/>
      <c r="G318" s="2"/>
      <c r="H318" s="2"/>
      <c r="I318" s="2"/>
      <c r="J318" s="2"/>
      <c r="K318" s="2"/>
      <c r="L318" s="2"/>
      <c r="M318" s="2"/>
      <c r="N318" s="2"/>
      <c r="O318" s="2"/>
      <c r="P318" s="2"/>
      <c r="Q318" s="2"/>
      <c r="R318" s="2"/>
      <c r="S318" s="2"/>
      <c r="T318" s="2"/>
      <c r="U318" s="2"/>
      <c r="V318" s="2"/>
      <c r="W318" s="2"/>
    </row>
    <row r="319">
      <c r="A319" s="2"/>
      <c r="B319" s="2"/>
      <c r="C319" s="2"/>
      <c r="D319" s="2"/>
      <c r="E319" s="2"/>
      <c r="F319" s="2"/>
      <c r="G319" s="2"/>
      <c r="H319" s="2"/>
      <c r="I319" s="2"/>
      <c r="J319" s="2"/>
      <c r="K319" s="2"/>
      <c r="L319" s="2"/>
      <c r="M319" s="2"/>
      <c r="N319" s="2"/>
      <c r="O319" s="2"/>
      <c r="P319" s="2"/>
      <c r="Q319" s="2"/>
      <c r="R319" s="2"/>
      <c r="S319" s="2"/>
      <c r="T319" s="2"/>
      <c r="U319" s="2"/>
      <c r="V319" s="2"/>
      <c r="W319" s="2"/>
    </row>
    <row r="320">
      <c r="A320" s="2"/>
      <c r="B320" s="2"/>
      <c r="C320" s="2"/>
      <c r="D320" s="2"/>
      <c r="E320" s="2"/>
      <c r="F320" s="2"/>
      <c r="G320" s="2"/>
      <c r="H320" s="2"/>
      <c r="I320" s="2"/>
      <c r="J320" s="2"/>
      <c r="K320" s="2"/>
      <c r="L320" s="2"/>
      <c r="M320" s="2"/>
      <c r="N320" s="2"/>
      <c r="O320" s="2"/>
      <c r="P320" s="2"/>
      <c r="Q320" s="2"/>
      <c r="R320" s="2"/>
      <c r="S320" s="2"/>
      <c r="T320" s="2"/>
      <c r="U320" s="2"/>
      <c r="V320" s="2"/>
      <c r="W320" s="2"/>
    </row>
    <row r="321">
      <c r="A321" s="2"/>
      <c r="B321" s="2"/>
      <c r="C321" s="2"/>
      <c r="D321" s="2"/>
      <c r="E321" s="2"/>
      <c r="F321" s="2"/>
      <c r="G321" s="2"/>
      <c r="H321" s="2"/>
      <c r="I321" s="2"/>
      <c r="J321" s="2"/>
      <c r="K321" s="2"/>
      <c r="L321" s="2"/>
      <c r="M321" s="2"/>
      <c r="N321" s="2"/>
      <c r="O321" s="2"/>
      <c r="P321" s="2"/>
      <c r="Q321" s="2"/>
      <c r="R321" s="2"/>
      <c r="S321" s="2"/>
      <c r="T321" s="2"/>
      <c r="U321" s="2"/>
      <c r="V321" s="2"/>
      <c r="W321" s="2"/>
    </row>
    <row r="322">
      <c r="A322" s="2"/>
      <c r="B322" s="2"/>
      <c r="C322" s="2"/>
      <c r="D322" s="2"/>
      <c r="E322" s="2"/>
      <c r="F322" s="2"/>
      <c r="G322" s="2"/>
      <c r="H322" s="2"/>
      <c r="I322" s="2"/>
      <c r="J322" s="2"/>
      <c r="K322" s="2"/>
      <c r="L322" s="2"/>
      <c r="M322" s="2"/>
      <c r="N322" s="2"/>
      <c r="O322" s="2"/>
      <c r="P322" s="2"/>
      <c r="Q322" s="2"/>
      <c r="R322" s="2"/>
      <c r="S322" s="2"/>
      <c r="T322" s="2"/>
      <c r="U322" s="2"/>
      <c r="V322" s="2"/>
      <c r="W322" s="2"/>
    </row>
    <row r="323">
      <c r="A323" s="2"/>
      <c r="B323" s="2"/>
      <c r="C323" s="2"/>
      <c r="D323" s="2"/>
      <c r="E323" s="2"/>
      <c r="F323" s="2"/>
      <c r="G323" s="2"/>
      <c r="H323" s="2"/>
      <c r="I323" s="2"/>
      <c r="J323" s="2"/>
      <c r="K323" s="2"/>
      <c r="L323" s="2"/>
      <c r="M323" s="2"/>
      <c r="N323" s="2"/>
      <c r="O323" s="2"/>
      <c r="P323" s="2"/>
      <c r="Q323" s="2"/>
      <c r="R323" s="2"/>
      <c r="S323" s="2"/>
      <c r="T323" s="2"/>
      <c r="U323" s="2"/>
      <c r="V323" s="2"/>
      <c r="W323" s="2"/>
    </row>
    <row r="324">
      <c r="A324" s="2"/>
      <c r="B324" s="2"/>
      <c r="C324" s="2"/>
      <c r="D324" s="2"/>
      <c r="E324" s="2"/>
      <c r="F324" s="2"/>
      <c r="G324" s="2"/>
      <c r="H324" s="2"/>
      <c r="I324" s="2"/>
      <c r="J324" s="2"/>
      <c r="K324" s="2"/>
      <c r="L324" s="2"/>
      <c r="M324" s="2"/>
      <c r="N324" s="2"/>
      <c r="O324" s="2"/>
      <c r="P324" s="2"/>
      <c r="Q324" s="2"/>
      <c r="R324" s="2"/>
      <c r="S324" s="2"/>
      <c r="T324" s="2"/>
      <c r="U324" s="2"/>
      <c r="V324" s="2"/>
      <c r="W324" s="2"/>
    </row>
    <row r="325">
      <c r="A325" s="2"/>
      <c r="B325" s="2"/>
      <c r="C325" s="2"/>
      <c r="D325" s="2"/>
      <c r="E325" s="2"/>
      <c r="F325" s="2"/>
      <c r="G325" s="2"/>
      <c r="H325" s="2"/>
      <c r="I325" s="2"/>
      <c r="J325" s="2"/>
      <c r="K325" s="2"/>
      <c r="L325" s="2"/>
      <c r="M325" s="2"/>
      <c r="N325" s="2"/>
      <c r="O325" s="2"/>
      <c r="P325" s="2"/>
      <c r="Q325" s="2"/>
      <c r="R325" s="2"/>
      <c r="S325" s="2"/>
      <c r="T325" s="2"/>
      <c r="U325" s="2"/>
      <c r="V325" s="2"/>
      <c r="W325" s="2"/>
    </row>
    <row r="326">
      <c r="A326" s="2"/>
      <c r="B326" s="2"/>
      <c r="C326" s="2"/>
      <c r="D326" s="2"/>
      <c r="E326" s="2"/>
      <c r="F326" s="2"/>
      <c r="G326" s="2"/>
      <c r="H326" s="2"/>
      <c r="I326" s="2"/>
      <c r="J326" s="2"/>
      <c r="K326" s="2"/>
      <c r="L326" s="2"/>
      <c r="M326" s="2"/>
      <c r="N326" s="2"/>
      <c r="O326" s="2"/>
      <c r="P326" s="2"/>
      <c r="Q326" s="2"/>
      <c r="R326" s="2"/>
      <c r="S326" s="2"/>
      <c r="T326" s="2"/>
      <c r="U326" s="2"/>
      <c r="V326" s="2"/>
      <c r="W326" s="2"/>
    </row>
    <row r="327">
      <c r="A327" s="2"/>
      <c r="B327" s="2"/>
      <c r="C327" s="2"/>
      <c r="D327" s="2"/>
      <c r="E327" s="2"/>
      <c r="F327" s="2"/>
      <c r="G327" s="2"/>
      <c r="H327" s="2"/>
      <c r="I327" s="2"/>
      <c r="J327" s="2"/>
      <c r="K327" s="2"/>
      <c r="L327" s="2"/>
      <c r="M327" s="2"/>
      <c r="N327" s="2"/>
      <c r="O327" s="2"/>
      <c r="P327" s="2"/>
      <c r="Q327" s="2"/>
      <c r="R327" s="2"/>
      <c r="S327" s="2"/>
      <c r="T327" s="2"/>
      <c r="U327" s="2"/>
      <c r="V327" s="2"/>
      <c r="W327" s="2"/>
    </row>
    <row r="328">
      <c r="A328" s="2"/>
      <c r="B328" s="2"/>
      <c r="C328" s="2"/>
      <c r="D328" s="2"/>
      <c r="E328" s="2"/>
      <c r="F328" s="2"/>
      <c r="G328" s="2"/>
      <c r="H328" s="2"/>
      <c r="I328" s="2"/>
      <c r="J328" s="2"/>
      <c r="K328" s="2"/>
      <c r="L328" s="2"/>
      <c r="M328" s="2"/>
      <c r="N328" s="2"/>
      <c r="O328" s="2"/>
      <c r="P328" s="2"/>
      <c r="Q328" s="2"/>
      <c r="R328" s="2"/>
      <c r="S328" s="2"/>
      <c r="T328" s="2"/>
      <c r="U328" s="2"/>
      <c r="V328" s="2"/>
      <c r="W328" s="2"/>
    </row>
    <row r="329">
      <c r="A329" s="2"/>
      <c r="B329" s="2"/>
      <c r="C329" s="2"/>
      <c r="D329" s="2"/>
      <c r="E329" s="2"/>
      <c r="F329" s="2"/>
      <c r="G329" s="2"/>
      <c r="H329" s="2"/>
      <c r="I329" s="2"/>
      <c r="J329" s="2"/>
      <c r="K329" s="2"/>
      <c r="L329" s="2"/>
      <c r="M329" s="2"/>
      <c r="N329" s="2"/>
      <c r="O329" s="2"/>
      <c r="P329" s="2"/>
      <c r="Q329" s="2"/>
      <c r="R329" s="2"/>
      <c r="S329" s="2"/>
      <c r="T329" s="2"/>
      <c r="U329" s="2"/>
      <c r="V329" s="2"/>
      <c r="W329" s="2"/>
    </row>
    <row r="330">
      <c r="A330" s="2"/>
      <c r="B330" s="2"/>
      <c r="C330" s="2"/>
      <c r="D330" s="2"/>
      <c r="E330" s="2"/>
      <c r="F330" s="2"/>
      <c r="G330" s="2"/>
      <c r="H330" s="2"/>
      <c r="I330" s="2"/>
      <c r="J330" s="2"/>
      <c r="K330" s="2"/>
      <c r="L330" s="2"/>
      <c r="M330" s="2"/>
      <c r="N330" s="2"/>
      <c r="O330" s="2"/>
      <c r="P330" s="2"/>
      <c r="Q330" s="2"/>
      <c r="R330" s="2"/>
      <c r="S330" s="2"/>
      <c r="T330" s="2"/>
      <c r="U330" s="2"/>
      <c r="V330" s="2"/>
      <c r="W330" s="2"/>
    </row>
    <row r="331">
      <c r="A331" s="2"/>
      <c r="B331" s="2"/>
      <c r="C331" s="2"/>
      <c r="D331" s="2"/>
      <c r="E331" s="2"/>
      <c r="F331" s="2"/>
      <c r="G331" s="2"/>
      <c r="H331" s="2"/>
      <c r="I331" s="2"/>
      <c r="J331" s="2"/>
      <c r="K331" s="2"/>
      <c r="L331" s="2"/>
      <c r="M331" s="2"/>
      <c r="N331" s="2"/>
      <c r="O331" s="2"/>
      <c r="P331" s="2"/>
      <c r="Q331" s="2"/>
      <c r="R331" s="2"/>
      <c r="S331" s="2"/>
      <c r="T331" s="2"/>
      <c r="U331" s="2"/>
      <c r="V331" s="2"/>
      <c r="W331" s="2"/>
    </row>
    <row r="332">
      <c r="A332" s="2"/>
      <c r="B332" s="2"/>
      <c r="C332" s="2"/>
      <c r="D332" s="2"/>
      <c r="E332" s="2"/>
      <c r="F332" s="2"/>
      <c r="G332" s="2"/>
      <c r="H332" s="2"/>
      <c r="I332" s="2"/>
      <c r="J332" s="2"/>
      <c r="K332" s="2"/>
      <c r="L332" s="2"/>
      <c r="M332" s="2"/>
      <c r="N332" s="2"/>
      <c r="O332" s="2"/>
      <c r="P332" s="2"/>
      <c r="Q332" s="2"/>
      <c r="R332" s="2"/>
      <c r="S332" s="2"/>
      <c r="T332" s="2"/>
      <c r="U332" s="2"/>
      <c r="V332" s="2"/>
      <c r="W332" s="2"/>
    </row>
    <row r="333">
      <c r="A333" s="2"/>
      <c r="B333" s="2"/>
      <c r="C333" s="2"/>
      <c r="D333" s="2"/>
      <c r="E333" s="2"/>
      <c r="F333" s="2"/>
      <c r="G333" s="2"/>
      <c r="H333" s="2"/>
      <c r="I333" s="2"/>
      <c r="J333" s="2"/>
      <c r="K333" s="2"/>
      <c r="L333" s="2"/>
      <c r="M333" s="2"/>
      <c r="N333" s="2"/>
      <c r="O333" s="2"/>
      <c r="P333" s="2"/>
      <c r="Q333" s="2"/>
      <c r="R333" s="2"/>
      <c r="S333" s="2"/>
      <c r="T333" s="2"/>
      <c r="U333" s="2"/>
      <c r="V333" s="2"/>
      <c r="W333" s="2"/>
    </row>
    <row r="334">
      <c r="A334" s="2"/>
      <c r="B334" s="2"/>
      <c r="C334" s="2"/>
      <c r="D334" s="2"/>
      <c r="E334" s="2"/>
      <c r="F334" s="2"/>
      <c r="G334" s="2"/>
      <c r="H334" s="2"/>
      <c r="I334" s="2"/>
      <c r="J334" s="2"/>
      <c r="K334" s="2"/>
      <c r="L334" s="2"/>
      <c r="M334" s="2"/>
      <c r="N334" s="2"/>
      <c r="O334" s="2"/>
      <c r="P334" s="2"/>
      <c r="Q334" s="2"/>
      <c r="R334" s="2"/>
      <c r="S334" s="2"/>
      <c r="T334" s="2"/>
      <c r="U334" s="2"/>
      <c r="V334" s="2"/>
      <c r="W334" s="2"/>
    </row>
    <row r="335">
      <c r="A335" s="2"/>
      <c r="B335" s="2"/>
      <c r="C335" s="2"/>
      <c r="D335" s="2"/>
      <c r="E335" s="2"/>
      <c r="F335" s="2"/>
      <c r="G335" s="2"/>
      <c r="H335" s="2"/>
      <c r="I335" s="2"/>
      <c r="J335" s="2"/>
      <c r="K335" s="2"/>
      <c r="L335" s="2"/>
      <c r="M335" s="2"/>
      <c r="N335" s="2"/>
      <c r="O335" s="2"/>
      <c r="P335" s="2"/>
      <c r="Q335" s="2"/>
      <c r="R335" s="2"/>
      <c r="S335" s="2"/>
      <c r="T335" s="2"/>
      <c r="U335" s="2"/>
      <c r="V335" s="2"/>
      <c r="W335" s="2"/>
    </row>
    <row r="336">
      <c r="A336" s="2"/>
      <c r="B336" s="2"/>
      <c r="C336" s="2"/>
      <c r="D336" s="2"/>
      <c r="E336" s="2"/>
      <c r="F336" s="2"/>
      <c r="G336" s="2"/>
      <c r="H336" s="2"/>
      <c r="I336" s="2"/>
      <c r="J336" s="2"/>
      <c r="K336" s="2"/>
      <c r="L336" s="2"/>
      <c r="M336" s="2"/>
      <c r="N336" s="2"/>
      <c r="O336" s="2"/>
      <c r="P336" s="2"/>
      <c r="Q336" s="2"/>
      <c r="R336" s="2"/>
      <c r="S336" s="2"/>
      <c r="T336" s="2"/>
      <c r="U336" s="2"/>
      <c r="V336" s="2"/>
      <c r="W336" s="2"/>
    </row>
    <row r="337">
      <c r="A337" s="2"/>
      <c r="B337" s="2"/>
      <c r="C337" s="2"/>
      <c r="D337" s="2"/>
      <c r="E337" s="2"/>
      <c r="F337" s="2"/>
      <c r="G337" s="2"/>
      <c r="H337" s="2"/>
      <c r="I337" s="2"/>
      <c r="J337" s="2"/>
      <c r="K337" s="2"/>
      <c r="L337" s="2"/>
      <c r="M337" s="2"/>
      <c r="N337" s="2"/>
      <c r="O337" s="2"/>
      <c r="P337" s="2"/>
      <c r="Q337" s="2"/>
      <c r="R337" s="2"/>
      <c r="S337" s="2"/>
      <c r="T337" s="2"/>
      <c r="U337" s="2"/>
      <c r="V337" s="2"/>
      <c r="W337" s="2"/>
    </row>
    <row r="338">
      <c r="A338" s="2"/>
      <c r="B338" s="2"/>
      <c r="C338" s="2"/>
      <c r="D338" s="2"/>
      <c r="E338" s="2"/>
      <c r="F338" s="2"/>
      <c r="G338" s="2"/>
      <c r="H338" s="2"/>
      <c r="I338" s="2"/>
      <c r="J338" s="2"/>
      <c r="K338" s="2"/>
      <c r="L338" s="2"/>
      <c r="M338" s="2"/>
      <c r="N338" s="2"/>
      <c r="O338" s="2"/>
      <c r="P338" s="2"/>
      <c r="Q338" s="2"/>
      <c r="R338" s="2"/>
      <c r="S338" s="2"/>
      <c r="T338" s="2"/>
      <c r="U338" s="2"/>
      <c r="V338" s="2"/>
      <c r="W338" s="2"/>
    </row>
    <row r="339">
      <c r="A339" s="2"/>
      <c r="B339" s="2"/>
      <c r="C339" s="2"/>
      <c r="D339" s="2"/>
      <c r="E339" s="2"/>
      <c r="F339" s="2"/>
      <c r="G339" s="2"/>
      <c r="H339" s="2"/>
      <c r="I339" s="2"/>
      <c r="J339" s="2"/>
      <c r="K339" s="2"/>
      <c r="L339" s="2"/>
      <c r="M339" s="2"/>
      <c r="N339" s="2"/>
      <c r="O339" s="2"/>
      <c r="P339" s="2"/>
      <c r="Q339" s="2"/>
      <c r="R339" s="2"/>
      <c r="S339" s="2"/>
      <c r="T339" s="2"/>
      <c r="U339" s="2"/>
      <c r="V339" s="2"/>
      <c r="W339" s="2"/>
    </row>
    <row r="340">
      <c r="A340" s="2"/>
      <c r="B340" s="2"/>
      <c r="C340" s="2"/>
      <c r="D340" s="2"/>
      <c r="E340" s="2"/>
      <c r="F340" s="2"/>
      <c r="G340" s="2"/>
      <c r="H340" s="2"/>
      <c r="I340" s="2"/>
      <c r="J340" s="2"/>
      <c r="K340" s="2"/>
      <c r="L340" s="2"/>
      <c r="M340" s="2"/>
      <c r="N340" s="2"/>
      <c r="O340" s="2"/>
      <c r="P340" s="2"/>
      <c r="Q340" s="2"/>
      <c r="R340" s="2"/>
      <c r="S340" s="2"/>
      <c r="T340" s="2"/>
      <c r="U340" s="2"/>
      <c r="V340" s="2"/>
      <c r="W340" s="2"/>
    </row>
    <row r="341">
      <c r="A341" s="2"/>
      <c r="B341" s="2"/>
      <c r="C341" s="2"/>
      <c r="D341" s="2"/>
      <c r="E341" s="2"/>
      <c r="F341" s="2"/>
      <c r="G341" s="2"/>
      <c r="H341" s="2"/>
      <c r="I341" s="2"/>
      <c r="J341" s="2"/>
      <c r="K341" s="2"/>
      <c r="L341" s="2"/>
      <c r="M341" s="2"/>
      <c r="N341" s="2"/>
      <c r="O341" s="2"/>
      <c r="P341" s="2"/>
      <c r="Q341" s="2"/>
      <c r="R341" s="2"/>
      <c r="S341" s="2"/>
      <c r="T341" s="2"/>
      <c r="U341" s="2"/>
      <c r="V341" s="2"/>
      <c r="W341" s="2"/>
    </row>
    <row r="342">
      <c r="A342" s="2"/>
      <c r="B342" s="2"/>
      <c r="C342" s="2"/>
      <c r="D342" s="2"/>
      <c r="E342" s="2"/>
      <c r="F342" s="2"/>
      <c r="G342" s="2"/>
      <c r="H342" s="2"/>
      <c r="I342" s="2"/>
      <c r="J342" s="2"/>
      <c r="K342" s="2"/>
      <c r="L342" s="2"/>
      <c r="M342" s="2"/>
      <c r="N342" s="2"/>
      <c r="O342" s="2"/>
      <c r="P342" s="2"/>
      <c r="Q342" s="2"/>
      <c r="R342" s="2"/>
      <c r="S342" s="2"/>
      <c r="T342" s="2"/>
      <c r="U342" s="2"/>
      <c r="V342" s="2"/>
      <c r="W342" s="2"/>
    </row>
    <row r="343">
      <c r="A343" s="2"/>
      <c r="B343" s="2"/>
      <c r="C343" s="2"/>
      <c r="D343" s="2"/>
      <c r="E343" s="2"/>
      <c r="F343" s="2"/>
      <c r="G343" s="2"/>
      <c r="H343" s="2"/>
      <c r="I343" s="2"/>
      <c r="J343" s="2"/>
      <c r="K343" s="2"/>
      <c r="L343" s="2"/>
      <c r="M343" s="2"/>
      <c r="N343" s="2"/>
      <c r="O343" s="2"/>
      <c r="P343" s="2"/>
      <c r="Q343" s="2"/>
      <c r="R343" s="2"/>
      <c r="S343" s="2"/>
      <c r="T343" s="2"/>
      <c r="U343" s="2"/>
      <c r="V343" s="2"/>
      <c r="W343" s="2"/>
    </row>
    <row r="344">
      <c r="A344" s="2"/>
      <c r="B344" s="2"/>
      <c r="C344" s="2"/>
      <c r="D344" s="2"/>
      <c r="E344" s="2"/>
      <c r="F344" s="2"/>
      <c r="G344" s="2"/>
      <c r="H344" s="2"/>
      <c r="I344" s="2"/>
      <c r="J344" s="2"/>
      <c r="K344" s="2"/>
      <c r="L344" s="2"/>
      <c r="M344" s="2"/>
      <c r="N344" s="2"/>
      <c r="O344" s="2"/>
      <c r="P344" s="2"/>
      <c r="Q344" s="2"/>
      <c r="R344" s="2"/>
      <c r="S344" s="2"/>
      <c r="T344" s="2"/>
      <c r="U344" s="2"/>
      <c r="V344" s="2"/>
      <c r="W344" s="2"/>
    </row>
    <row r="345">
      <c r="A345" s="2"/>
      <c r="B345" s="2"/>
      <c r="C345" s="2"/>
      <c r="D345" s="2"/>
      <c r="E345" s="2"/>
      <c r="F345" s="2"/>
      <c r="G345" s="2"/>
      <c r="H345" s="2"/>
      <c r="I345" s="2"/>
      <c r="J345" s="2"/>
      <c r="K345" s="2"/>
      <c r="L345" s="2"/>
      <c r="M345" s="2"/>
      <c r="N345" s="2"/>
      <c r="O345" s="2"/>
      <c r="P345" s="2"/>
      <c r="Q345" s="2"/>
      <c r="R345" s="2"/>
      <c r="S345" s="2"/>
      <c r="T345" s="2"/>
      <c r="U345" s="2"/>
      <c r="V345" s="2"/>
      <c r="W345" s="2"/>
    </row>
    <row r="346">
      <c r="A346" s="2"/>
      <c r="B346" s="2"/>
      <c r="C346" s="2"/>
      <c r="D346" s="2"/>
      <c r="E346" s="2"/>
      <c r="F346" s="2"/>
      <c r="G346" s="2"/>
      <c r="H346" s="2"/>
      <c r="I346" s="2"/>
      <c r="J346" s="2"/>
      <c r="K346" s="2"/>
      <c r="L346" s="2"/>
      <c r="M346" s="2"/>
      <c r="N346" s="2"/>
      <c r="O346" s="2"/>
      <c r="P346" s="2"/>
      <c r="Q346" s="2"/>
      <c r="R346" s="2"/>
      <c r="S346" s="2"/>
      <c r="T346" s="2"/>
      <c r="U346" s="2"/>
      <c r="V346" s="2"/>
      <c r="W346" s="2"/>
    </row>
    <row r="347">
      <c r="A347" s="2"/>
      <c r="B347" s="2"/>
      <c r="C347" s="2"/>
      <c r="D347" s="2"/>
      <c r="E347" s="2"/>
      <c r="F347" s="2"/>
      <c r="G347" s="2"/>
      <c r="H347" s="2"/>
      <c r="I347" s="2"/>
      <c r="J347" s="2"/>
      <c r="K347" s="2"/>
      <c r="L347" s="2"/>
      <c r="M347" s="2"/>
      <c r="N347" s="2"/>
      <c r="O347" s="2"/>
      <c r="P347" s="2"/>
      <c r="Q347" s="2"/>
      <c r="R347" s="2"/>
      <c r="S347" s="2"/>
      <c r="T347" s="2"/>
      <c r="U347" s="2"/>
      <c r="V347" s="2"/>
      <c r="W347" s="2"/>
    </row>
    <row r="348">
      <c r="A348" s="2"/>
      <c r="B348" s="2"/>
      <c r="C348" s="2"/>
      <c r="D348" s="2"/>
      <c r="E348" s="2"/>
      <c r="F348" s="2"/>
      <c r="G348" s="2"/>
      <c r="H348" s="2"/>
      <c r="I348" s="2"/>
      <c r="J348" s="2"/>
      <c r="K348" s="2"/>
      <c r="L348" s="2"/>
      <c r="M348" s="2"/>
      <c r="N348" s="2"/>
      <c r="O348" s="2"/>
      <c r="P348" s="2"/>
      <c r="Q348" s="2"/>
      <c r="R348" s="2"/>
      <c r="S348" s="2"/>
      <c r="T348" s="2"/>
      <c r="U348" s="2"/>
      <c r="V348" s="2"/>
      <c r="W348" s="2"/>
    </row>
    <row r="349">
      <c r="A349" s="2"/>
      <c r="B349" s="2"/>
      <c r="C349" s="2"/>
      <c r="D349" s="2"/>
      <c r="E349" s="2"/>
      <c r="F349" s="2"/>
      <c r="G349" s="2"/>
      <c r="H349" s="2"/>
      <c r="I349" s="2"/>
      <c r="J349" s="2"/>
      <c r="K349" s="2"/>
      <c r="L349" s="2"/>
      <c r="M349" s="2"/>
      <c r="N349" s="2"/>
      <c r="O349" s="2"/>
      <c r="P349" s="2"/>
      <c r="Q349" s="2"/>
      <c r="R349" s="2"/>
      <c r="S349" s="2"/>
      <c r="T349" s="2"/>
      <c r="U349" s="2"/>
      <c r="V349" s="2"/>
      <c r="W349" s="2"/>
    </row>
    <row r="350">
      <c r="A350" s="2"/>
      <c r="B350" s="2"/>
      <c r="C350" s="2"/>
      <c r="D350" s="2"/>
      <c r="E350" s="2"/>
      <c r="F350" s="2"/>
      <c r="G350" s="2"/>
      <c r="H350" s="2"/>
      <c r="I350" s="2"/>
      <c r="J350" s="2"/>
      <c r="K350" s="2"/>
      <c r="L350" s="2"/>
      <c r="M350" s="2"/>
      <c r="N350" s="2"/>
      <c r="O350" s="2"/>
      <c r="P350" s="2"/>
      <c r="Q350" s="2"/>
      <c r="R350" s="2"/>
      <c r="S350" s="2"/>
      <c r="T350" s="2"/>
      <c r="U350" s="2"/>
      <c r="V350" s="2"/>
      <c r="W350" s="2"/>
    </row>
    <row r="351">
      <c r="A351" s="2"/>
      <c r="B351" s="2"/>
      <c r="C351" s="2"/>
      <c r="D351" s="2"/>
      <c r="E351" s="2"/>
      <c r="F351" s="2"/>
      <c r="G351" s="2"/>
      <c r="H351" s="2"/>
      <c r="I351" s="2"/>
      <c r="J351" s="2"/>
      <c r="K351" s="2"/>
      <c r="L351" s="2"/>
      <c r="M351" s="2"/>
      <c r="N351" s="2"/>
      <c r="O351" s="2"/>
      <c r="P351" s="2"/>
      <c r="Q351" s="2"/>
      <c r="R351" s="2"/>
      <c r="S351" s="2"/>
      <c r="T351" s="2"/>
      <c r="U351" s="2"/>
      <c r="V351" s="2"/>
      <c r="W351" s="2"/>
    </row>
    <row r="352">
      <c r="A352" s="2"/>
      <c r="B352" s="2"/>
      <c r="C352" s="2"/>
      <c r="D352" s="2"/>
      <c r="E352" s="2"/>
      <c r="F352" s="2"/>
      <c r="G352" s="2"/>
      <c r="H352" s="2"/>
      <c r="I352" s="2"/>
      <c r="J352" s="2"/>
      <c r="K352" s="2"/>
      <c r="L352" s="2"/>
      <c r="M352" s="2"/>
      <c r="N352" s="2"/>
      <c r="O352" s="2"/>
      <c r="P352" s="2"/>
      <c r="Q352" s="2"/>
      <c r="R352" s="2"/>
      <c r="S352" s="2"/>
      <c r="T352" s="2"/>
      <c r="U352" s="2"/>
      <c r="V352" s="2"/>
      <c r="W352" s="2"/>
    </row>
    <row r="353">
      <c r="A353" s="2"/>
      <c r="B353" s="2"/>
      <c r="C353" s="2"/>
      <c r="D353" s="2"/>
      <c r="E353" s="2"/>
      <c r="F353" s="2"/>
      <c r="G353" s="2"/>
      <c r="H353" s="2"/>
      <c r="I353" s="2"/>
      <c r="J353" s="2"/>
      <c r="K353" s="2"/>
      <c r="L353" s="2"/>
      <c r="M353" s="2"/>
      <c r="N353" s="2"/>
      <c r="O353" s="2"/>
      <c r="P353" s="2"/>
      <c r="Q353" s="2"/>
      <c r="R353" s="2"/>
      <c r="S353" s="2"/>
      <c r="T353" s="2"/>
      <c r="U353" s="2"/>
      <c r="V353" s="2"/>
      <c r="W353" s="2"/>
    </row>
    <row r="354">
      <c r="A354" s="2"/>
      <c r="B354" s="2"/>
      <c r="C354" s="2"/>
      <c r="D354" s="2"/>
      <c r="E354" s="2"/>
      <c r="F354" s="2"/>
      <c r="G354" s="2"/>
      <c r="H354" s="2"/>
      <c r="I354" s="2"/>
      <c r="J354" s="2"/>
      <c r="K354" s="2"/>
      <c r="L354" s="2"/>
      <c r="M354" s="2"/>
      <c r="N354" s="2"/>
      <c r="O354" s="2"/>
      <c r="P354" s="2"/>
      <c r="Q354" s="2"/>
      <c r="R354" s="2"/>
      <c r="S354" s="2"/>
      <c r="T354" s="2"/>
      <c r="U354" s="2"/>
      <c r="V354" s="2"/>
      <c r="W354" s="2"/>
    </row>
    <row r="355">
      <c r="A355" s="2"/>
      <c r="B355" s="2"/>
      <c r="C355" s="2"/>
      <c r="D355" s="2"/>
      <c r="E355" s="2"/>
      <c r="F355" s="2"/>
      <c r="G355" s="2"/>
      <c r="H355" s="2"/>
      <c r="I355" s="2"/>
      <c r="J355" s="2"/>
      <c r="K355" s="2"/>
      <c r="L355" s="2"/>
      <c r="M355" s="2"/>
      <c r="N355" s="2"/>
      <c r="O355" s="2"/>
      <c r="P355" s="2"/>
      <c r="Q355" s="2"/>
      <c r="R355" s="2"/>
      <c r="S355" s="2"/>
      <c r="T355" s="2"/>
      <c r="U355" s="2"/>
      <c r="V355" s="2"/>
      <c r="W355" s="2"/>
    </row>
    <row r="356">
      <c r="A356" s="2"/>
      <c r="B356" s="2"/>
      <c r="C356" s="2"/>
      <c r="D356" s="2"/>
      <c r="E356" s="2"/>
      <c r="F356" s="2"/>
      <c r="G356" s="2"/>
      <c r="H356" s="2"/>
      <c r="I356" s="2"/>
      <c r="J356" s="2"/>
      <c r="K356" s="2"/>
      <c r="L356" s="2"/>
      <c r="M356" s="2"/>
      <c r="N356" s="2"/>
      <c r="O356" s="2"/>
      <c r="P356" s="2"/>
      <c r="Q356" s="2"/>
      <c r="R356" s="2"/>
      <c r="S356" s="2"/>
      <c r="T356" s="2"/>
      <c r="U356" s="2"/>
      <c r="V356" s="2"/>
      <c r="W356" s="2"/>
    </row>
    <row r="357">
      <c r="A357" s="2"/>
      <c r="B357" s="2"/>
      <c r="C357" s="2"/>
      <c r="D357" s="2"/>
      <c r="E357" s="2"/>
      <c r="F357" s="2"/>
      <c r="G357" s="2"/>
      <c r="H357" s="2"/>
      <c r="I357" s="2"/>
      <c r="J357" s="2"/>
      <c r="K357" s="2"/>
      <c r="L357" s="2"/>
      <c r="M357" s="2"/>
      <c r="N357" s="2"/>
      <c r="O357" s="2"/>
      <c r="P357" s="2"/>
      <c r="Q357" s="2"/>
      <c r="R357" s="2"/>
      <c r="S357" s="2"/>
      <c r="T357" s="2"/>
      <c r="U357" s="2"/>
      <c r="V357" s="2"/>
      <c r="W357" s="2"/>
    </row>
    <row r="358">
      <c r="A358" s="2"/>
      <c r="B358" s="2"/>
      <c r="C358" s="2"/>
      <c r="D358" s="2"/>
      <c r="E358" s="2"/>
      <c r="F358" s="2"/>
      <c r="G358" s="2"/>
      <c r="H358" s="2"/>
      <c r="I358" s="2"/>
      <c r="J358" s="2"/>
      <c r="K358" s="2"/>
      <c r="L358" s="2"/>
      <c r="M358" s="2"/>
      <c r="N358" s="2"/>
      <c r="O358" s="2"/>
      <c r="P358" s="2"/>
      <c r="Q358" s="2"/>
      <c r="R358" s="2"/>
      <c r="S358" s="2"/>
      <c r="T358" s="2"/>
      <c r="U358" s="2"/>
      <c r="V358" s="2"/>
      <c r="W358" s="2"/>
    </row>
    <row r="359">
      <c r="A359" s="2"/>
      <c r="B359" s="2"/>
      <c r="C359" s="2"/>
      <c r="D359" s="2"/>
      <c r="E359" s="2"/>
      <c r="F359" s="2"/>
      <c r="G359" s="2"/>
      <c r="H359" s="2"/>
      <c r="I359" s="2"/>
      <c r="J359" s="2"/>
      <c r="K359" s="2"/>
      <c r="L359" s="2"/>
      <c r="M359" s="2"/>
      <c r="N359" s="2"/>
      <c r="O359" s="2"/>
      <c r="P359" s="2"/>
      <c r="Q359" s="2"/>
      <c r="R359" s="2"/>
      <c r="S359" s="2"/>
      <c r="T359" s="2"/>
      <c r="U359" s="2"/>
      <c r="V359" s="2"/>
      <c r="W359" s="2"/>
    </row>
    <row r="360">
      <c r="A360" s="2"/>
      <c r="B360" s="2"/>
      <c r="C360" s="2"/>
      <c r="D360" s="2"/>
      <c r="E360" s="2"/>
      <c r="F360" s="2"/>
      <c r="G360" s="2"/>
      <c r="H360" s="2"/>
      <c r="I360" s="2"/>
      <c r="J360" s="2"/>
      <c r="K360" s="2"/>
      <c r="L360" s="2"/>
      <c r="M360" s="2"/>
      <c r="N360" s="2"/>
      <c r="O360" s="2"/>
      <c r="P360" s="2"/>
      <c r="Q360" s="2"/>
      <c r="R360" s="2"/>
      <c r="S360" s="2"/>
      <c r="T360" s="2"/>
      <c r="U360" s="2"/>
      <c r="V360" s="2"/>
      <c r="W360" s="2"/>
    </row>
    <row r="361">
      <c r="A361" s="2"/>
      <c r="B361" s="2"/>
      <c r="C361" s="2"/>
      <c r="D361" s="2"/>
      <c r="E361" s="2"/>
      <c r="F361" s="2"/>
      <c r="G361" s="2"/>
      <c r="H361" s="2"/>
      <c r="I361" s="2"/>
      <c r="J361" s="2"/>
      <c r="K361" s="2"/>
      <c r="L361" s="2"/>
      <c r="M361" s="2"/>
      <c r="N361" s="2"/>
      <c r="O361" s="2"/>
      <c r="P361" s="2"/>
      <c r="Q361" s="2"/>
      <c r="R361" s="2"/>
      <c r="S361" s="2"/>
      <c r="T361" s="2"/>
      <c r="U361" s="2"/>
      <c r="V361" s="2"/>
      <c r="W361" s="2"/>
    </row>
    <row r="362">
      <c r="A362" s="2"/>
      <c r="B362" s="2"/>
      <c r="C362" s="2"/>
      <c r="D362" s="2"/>
      <c r="E362" s="2"/>
      <c r="F362" s="2"/>
      <c r="G362" s="2"/>
      <c r="H362" s="2"/>
      <c r="I362" s="2"/>
      <c r="J362" s="2"/>
      <c r="K362" s="2"/>
      <c r="L362" s="2"/>
      <c r="M362" s="2"/>
      <c r="N362" s="2"/>
      <c r="O362" s="2"/>
      <c r="P362" s="2"/>
      <c r="Q362" s="2"/>
      <c r="R362" s="2"/>
      <c r="S362" s="2"/>
      <c r="T362" s="2"/>
      <c r="U362" s="2"/>
      <c r="V362" s="2"/>
      <c r="W362" s="2"/>
    </row>
    <row r="363">
      <c r="A363" s="2"/>
      <c r="B363" s="2"/>
      <c r="C363" s="2"/>
      <c r="D363" s="2"/>
      <c r="E363" s="2"/>
      <c r="F363" s="2"/>
      <c r="G363" s="2"/>
      <c r="H363" s="2"/>
      <c r="I363" s="2"/>
      <c r="J363" s="2"/>
      <c r="K363" s="2"/>
      <c r="L363" s="2"/>
      <c r="M363" s="2"/>
      <c r="N363" s="2"/>
      <c r="O363" s="2"/>
      <c r="P363" s="2"/>
      <c r="Q363" s="2"/>
      <c r="R363" s="2"/>
      <c r="S363" s="2"/>
      <c r="T363" s="2"/>
      <c r="U363" s="2"/>
      <c r="V363" s="2"/>
      <c r="W363" s="2"/>
    </row>
    <row r="364">
      <c r="A364" s="2"/>
      <c r="B364" s="2"/>
      <c r="C364" s="2"/>
      <c r="D364" s="2"/>
      <c r="E364" s="2"/>
      <c r="F364" s="2"/>
      <c r="G364" s="2"/>
      <c r="H364" s="2"/>
      <c r="I364" s="2"/>
      <c r="J364" s="2"/>
      <c r="K364" s="2"/>
      <c r="L364" s="2"/>
      <c r="M364" s="2"/>
      <c r="N364" s="2"/>
      <c r="O364" s="2"/>
      <c r="P364" s="2"/>
      <c r="Q364" s="2"/>
      <c r="R364" s="2"/>
      <c r="S364" s="2"/>
      <c r="T364" s="2"/>
      <c r="U364" s="2"/>
      <c r="V364" s="2"/>
      <c r="W364" s="2"/>
    </row>
    <row r="365">
      <c r="A365" s="2"/>
      <c r="B365" s="2"/>
      <c r="C365" s="2"/>
      <c r="D365" s="2"/>
      <c r="E365" s="2"/>
      <c r="F365" s="2"/>
      <c r="G365" s="2"/>
      <c r="H365" s="2"/>
      <c r="I365" s="2"/>
      <c r="J365" s="2"/>
      <c r="K365" s="2"/>
      <c r="L365" s="2"/>
      <c r="M365" s="2"/>
      <c r="N365" s="2"/>
      <c r="O365" s="2"/>
      <c r="P365" s="2"/>
      <c r="Q365" s="2"/>
      <c r="R365" s="2"/>
      <c r="S365" s="2"/>
      <c r="T365" s="2"/>
      <c r="U365" s="2"/>
      <c r="V365" s="2"/>
      <c r="W365" s="2"/>
    </row>
    <row r="366">
      <c r="A366" s="2"/>
      <c r="B366" s="2"/>
      <c r="C366" s="2"/>
      <c r="D366" s="2"/>
      <c r="E366" s="2"/>
      <c r="F366" s="2"/>
      <c r="G366" s="2"/>
      <c r="H366" s="2"/>
      <c r="I366" s="2"/>
      <c r="J366" s="2"/>
      <c r="K366" s="2"/>
      <c r="L366" s="2"/>
      <c r="M366" s="2"/>
      <c r="N366" s="2"/>
      <c r="O366" s="2"/>
      <c r="P366" s="2"/>
      <c r="Q366" s="2"/>
      <c r="R366" s="2"/>
      <c r="S366" s="2"/>
      <c r="T366" s="2"/>
      <c r="U366" s="2"/>
      <c r="V366" s="2"/>
      <c r="W366" s="2"/>
    </row>
    <row r="367">
      <c r="A367" s="2"/>
      <c r="B367" s="2"/>
      <c r="C367" s="2"/>
      <c r="D367" s="2"/>
      <c r="E367" s="2"/>
      <c r="F367" s="2"/>
      <c r="G367" s="2"/>
      <c r="H367" s="2"/>
      <c r="I367" s="2"/>
      <c r="J367" s="2"/>
      <c r="K367" s="2"/>
      <c r="L367" s="2"/>
      <c r="M367" s="2"/>
      <c r="N367" s="2"/>
      <c r="O367" s="2"/>
      <c r="P367" s="2"/>
      <c r="Q367" s="2"/>
      <c r="R367" s="2"/>
      <c r="S367" s="2"/>
      <c r="T367" s="2"/>
      <c r="U367" s="2"/>
      <c r="V367" s="2"/>
      <c r="W367" s="2"/>
    </row>
    <row r="368">
      <c r="A368" s="2"/>
      <c r="B368" s="2"/>
      <c r="C368" s="2"/>
      <c r="D368" s="2"/>
      <c r="E368" s="2"/>
      <c r="F368" s="2"/>
      <c r="G368" s="2"/>
      <c r="H368" s="2"/>
      <c r="I368" s="2"/>
      <c r="J368" s="2"/>
      <c r="K368" s="2"/>
      <c r="L368" s="2"/>
      <c r="M368" s="2"/>
      <c r="N368" s="2"/>
      <c r="O368" s="2"/>
      <c r="P368" s="2"/>
      <c r="Q368" s="2"/>
      <c r="R368" s="2"/>
      <c r="S368" s="2"/>
      <c r="T368" s="2"/>
      <c r="U368" s="2"/>
      <c r="V368" s="2"/>
      <c r="W368" s="2"/>
    </row>
    <row r="369">
      <c r="A369" s="2"/>
      <c r="B369" s="2"/>
      <c r="C369" s="2"/>
      <c r="D369" s="2"/>
      <c r="E369" s="2"/>
      <c r="F369" s="2"/>
      <c r="G369" s="2"/>
      <c r="H369" s="2"/>
      <c r="I369" s="2"/>
      <c r="J369" s="2"/>
      <c r="K369" s="2"/>
      <c r="L369" s="2"/>
      <c r="M369" s="2"/>
      <c r="N369" s="2"/>
      <c r="O369" s="2"/>
      <c r="P369" s="2"/>
      <c r="Q369" s="2"/>
      <c r="R369" s="2"/>
      <c r="S369" s="2"/>
      <c r="T369" s="2"/>
      <c r="U369" s="2"/>
      <c r="V369" s="2"/>
      <c r="W369" s="2"/>
    </row>
    <row r="370">
      <c r="A370" s="2"/>
      <c r="B370" s="2"/>
      <c r="C370" s="2"/>
      <c r="D370" s="2"/>
      <c r="E370" s="2"/>
      <c r="F370" s="2"/>
      <c r="G370" s="2"/>
      <c r="H370" s="2"/>
      <c r="I370" s="2"/>
      <c r="J370" s="2"/>
      <c r="K370" s="2"/>
      <c r="L370" s="2"/>
      <c r="M370" s="2"/>
      <c r="N370" s="2"/>
      <c r="O370" s="2"/>
      <c r="P370" s="2"/>
      <c r="Q370" s="2"/>
      <c r="R370" s="2"/>
      <c r="S370" s="2"/>
      <c r="T370" s="2"/>
      <c r="U370" s="2"/>
      <c r="V370" s="2"/>
      <c r="W370" s="2"/>
    </row>
    <row r="371">
      <c r="A371" s="2"/>
      <c r="B371" s="2"/>
      <c r="C371" s="2"/>
      <c r="D371" s="2"/>
      <c r="E371" s="2"/>
      <c r="F371" s="2"/>
      <c r="G371" s="2"/>
      <c r="H371" s="2"/>
      <c r="I371" s="2"/>
      <c r="J371" s="2"/>
      <c r="K371" s="2"/>
      <c r="L371" s="2"/>
      <c r="M371" s="2"/>
      <c r="N371" s="2"/>
      <c r="O371" s="2"/>
      <c r="P371" s="2"/>
      <c r="Q371" s="2"/>
      <c r="R371" s="2"/>
      <c r="S371" s="2"/>
      <c r="T371" s="2"/>
      <c r="U371" s="2"/>
      <c r="V371" s="2"/>
      <c r="W371" s="2"/>
    </row>
    <row r="372">
      <c r="A372" s="2"/>
      <c r="B372" s="2"/>
      <c r="C372" s="2"/>
      <c r="D372" s="2"/>
      <c r="E372" s="2"/>
      <c r="F372" s="2"/>
      <c r="G372" s="2"/>
      <c r="H372" s="2"/>
      <c r="I372" s="2"/>
      <c r="J372" s="2"/>
      <c r="K372" s="2"/>
      <c r="L372" s="2"/>
      <c r="M372" s="2"/>
      <c r="N372" s="2"/>
      <c r="O372" s="2"/>
      <c r="P372" s="2"/>
      <c r="Q372" s="2"/>
      <c r="R372" s="2"/>
      <c r="S372" s="2"/>
      <c r="T372" s="2"/>
      <c r="U372" s="2"/>
      <c r="V372" s="2"/>
      <c r="W372" s="2"/>
    </row>
    <row r="373">
      <c r="A373" s="2"/>
      <c r="B373" s="2"/>
      <c r="C373" s="2"/>
      <c r="D373" s="2"/>
      <c r="E373" s="2"/>
      <c r="F373" s="2"/>
      <c r="G373" s="2"/>
      <c r="H373" s="2"/>
      <c r="I373" s="2"/>
      <c r="J373" s="2"/>
      <c r="K373" s="2"/>
      <c r="L373" s="2"/>
      <c r="M373" s="2"/>
      <c r="N373" s="2"/>
      <c r="O373" s="2"/>
      <c r="P373" s="2"/>
      <c r="Q373" s="2"/>
      <c r="R373" s="2"/>
      <c r="S373" s="2"/>
      <c r="T373" s="2"/>
      <c r="U373" s="2"/>
      <c r="V373" s="2"/>
      <c r="W373" s="2"/>
    </row>
    <row r="374">
      <c r="A374" s="2"/>
      <c r="B374" s="2"/>
      <c r="C374" s="2"/>
      <c r="D374" s="2"/>
      <c r="E374" s="2"/>
      <c r="F374" s="2"/>
      <c r="G374" s="2"/>
      <c r="H374" s="2"/>
      <c r="I374" s="2"/>
      <c r="J374" s="2"/>
      <c r="K374" s="2"/>
      <c r="L374" s="2"/>
      <c r="M374" s="2"/>
      <c r="N374" s="2"/>
      <c r="O374" s="2"/>
      <c r="P374" s="2"/>
      <c r="Q374" s="2"/>
      <c r="R374" s="2"/>
      <c r="S374" s="2"/>
      <c r="T374" s="2"/>
      <c r="U374" s="2"/>
      <c r="V374" s="2"/>
      <c r="W374" s="2"/>
    </row>
    <row r="375">
      <c r="A375" s="2"/>
      <c r="B375" s="2"/>
      <c r="C375" s="2"/>
      <c r="D375" s="2"/>
      <c r="E375" s="2"/>
      <c r="F375" s="2"/>
      <c r="G375" s="2"/>
      <c r="H375" s="2"/>
      <c r="I375" s="2"/>
      <c r="J375" s="2"/>
      <c r="K375" s="2"/>
      <c r="L375" s="2"/>
      <c r="M375" s="2"/>
      <c r="N375" s="2"/>
      <c r="O375" s="2"/>
      <c r="P375" s="2"/>
      <c r="Q375" s="2"/>
      <c r="R375" s="2"/>
      <c r="S375" s="2"/>
      <c r="T375" s="2"/>
      <c r="U375" s="2"/>
      <c r="V375" s="2"/>
      <c r="W375" s="2"/>
    </row>
    <row r="376">
      <c r="A376" s="2"/>
      <c r="B376" s="2"/>
      <c r="C376" s="2"/>
      <c r="D376" s="2"/>
      <c r="E376" s="2"/>
      <c r="F376" s="2"/>
      <c r="G376" s="2"/>
      <c r="H376" s="2"/>
      <c r="I376" s="2"/>
      <c r="J376" s="2"/>
      <c r="K376" s="2"/>
      <c r="L376" s="2"/>
      <c r="M376" s="2"/>
      <c r="N376" s="2"/>
      <c r="O376" s="2"/>
      <c r="P376" s="2"/>
      <c r="Q376" s="2"/>
      <c r="R376" s="2"/>
      <c r="S376" s="2"/>
      <c r="T376" s="2"/>
      <c r="U376" s="2"/>
      <c r="V376" s="2"/>
      <c r="W376" s="2"/>
    </row>
    <row r="377">
      <c r="A377" s="2"/>
      <c r="B377" s="2"/>
      <c r="C377" s="2"/>
      <c r="D377" s="2"/>
      <c r="E377" s="2"/>
      <c r="F377" s="2"/>
      <c r="G377" s="2"/>
      <c r="H377" s="2"/>
      <c r="I377" s="2"/>
      <c r="J377" s="2"/>
      <c r="K377" s="2"/>
      <c r="L377" s="2"/>
      <c r="M377" s="2"/>
      <c r="N377" s="2"/>
      <c r="O377" s="2"/>
      <c r="P377" s="2"/>
      <c r="Q377" s="2"/>
      <c r="R377" s="2"/>
      <c r="S377" s="2"/>
      <c r="T377" s="2"/>
      <c r="U377" s="2"/>
      <c r="V377" s="2"/>
      <c r="W377" s="2"/>
    </row>
    <row r="378">
      <c r="A378" s="2"/>
      <c r="B378" s="2"/>
      <c r="C378" s="2"/>
      <c r="D378" s="2"/>
      <c r="E378" s="2"/>
      <c r="F378" s="2"/>
      <c r="G378" s="2"/>
      <c r="H378" s="2"/>
      <c r="I378" s="2"/>
      <c r="J378" s="2"/>
      <c r="K378" s="2"/>
      <c r="L378" s="2"/>
      <c r="M378" s="2"/>
      <c r="N378" s="2"/>
      <c r="O378" s="2"/>
      <c r="P378" s="2"/>
      <c r="Q378" s="2"/>
      <c r="R378" s="2"/>
      <c r="S378" s="2"/>
      <c r="T378" s="2"/>
      <c r="U378" s="2"/>
      <c r="V378" s="2"/>
      <c r="W378" s="2"/>
    </row>
    <row r="379">
      <c r="A379" s="2"/>
      <c r="B379" s="2"/>
      <c r="C379" s="2"/>
      <c r="D379" s="2"/>
      <c r="E379" s="2"/>
      <c r="F379" s="2"/>
      <c r="G379" s="2"/>
      <c r="H379" s="2"/>
      <c r="I379" s="2"/>
      <c r="J379" s="2"/>
      <c r="K379" s="2"/>
      <c r="L379" s="2"/>
      <c r="M379" s="2"/>
      <c r="N379" s="2"/>
      <c r="O379" s="2"/>
      <c r="P379" s="2"/>
      <c r="Q379" s="2"/>
      <c r="R379" s="2"/>
      <c r="S379" s="2"/>
      <c r="T379" s="2"/>
      <c r="U379" s="2"/>
      <c r="V379" s="2"/>
      <c r="W379" s="2"/>
    </row>
    <row r="380">
      <c r="A380" s="2"/>
      <c r="B380" s="2"/>
      <c r="C380" s="2"/>
      <c r="D380" s="2"/>
      <c r="E380" s="2"/>
      <c r="F380" s="2"/>
      <c r="G380" s="2"/>
      <c r="H380" s="2"/>
      <c r="I380" s="2"/>
      <c r="J380" s="2"/>
      <c r="K380" s="2"/>
      <c r="L380" s="2"/>
      <c r="M380" s="2"/>
      <c r="N380" s="2"/>
      <c r="O380" s="2"/>
      <c r="P380" s="2"/>
      <c r="Q380" s="2"/>
      <c r="R380" s="2"/>
      <c r="S380" s="2"/>
      <c r="T380" s="2"/>
      <c r="U380" s="2"/>
      <c r="V380" s="2"/>
      <c r="W380" s="2"/>
    </row>
    <row r="381">
      <c r="A381" s="2"/>
      <c r="B381" s="2"/>
      <c r="C381" s="2"/>
      <c r="D381" s="2"/>
      <c r="E381" s="2"/>
      <c r="F381" s="2"/>
      <c r="G381" s="2"/>
      <c r="H381" s="2"/>
      <c r="I381" s="2"/>
      <c r="J381" s="2"/>
      <c r="K381" s="2"/>
      <c r="L381" s="2"/>
      <c r="M381" s="2"/>
      <c r="N381" s="2"/>
      <c r="O381" s="2"/>
      <c r="P381" s="2"/>
      <c r="Q381" s="2"/>
      <c r="R381" s="2"/>
      <c r="S381" s="2"/>
      <c r="T381" s="2"/>
      <c r="U381" s="2"/>
      <c r="V381" s="2"/>
      <c r="W381" s="2"/>
    </row>
    <row r="382">
      <c r="A382" s="2"/>
      <c r="B382" s="2"/>
      <c r="C382" s="2"/>
      <c r="D382" s="2"/>
      <c r="E382" s="2"/>
      <c r="F382" s="2"/>
      <c r="G382" s="2"/>
      <c r="H382" s="2"/>
      <c r="I382" s="2"/>
      <c r="J382" s="2"/>
      <c r="K382" s="2"/>
      <c r="L382" s="2"/>
      <c r="M382" s="2"/>
      <c r="N382" s="2"/>
      <c r="O382" s="2"/>
      <c r="P382" s="2"/>
      <c r="Q382" s="2"/>
      <c r="R382" s="2"/>
      <c r="S382" s="2"/>
      <c r="T382" s="2"/>
      <c r="U382" s="2"/>
      <c r="V382" s="2"/>
      <c r="W382" s="2"/>
    </row>
    <row r="383">
      <c r="A383" s="2"/>
      <c r="B383" s="2"/>
      <c r="C383" s="2"/>
      <c r="D383" s="2"/>
      <c r="E383" s="2"/>
      <c r="F383" s="2"/>
      <c r="G383" s="2"/>
      <c r="H383" s="2"/>
      <c r="I383" s="2"/>
      <c r="J383" s="2"/>
      <c r="K383" s="2"/>
      <c r="L383" s="2"/>
      <c r="M383" s="2"/>
      <c r="N383" s="2"/>
      <c r="O383" s="2"/>
      <c r="P383" s="2"/>
      <c r="Q383" s="2"/>
      <c r="R383" s="2"/>
      <c r="S383" s="2"/>
      <c r="T383" s="2"/>
      <c r="U383" s="2"/>
      <c r="V383" s="2"/>
      <c r="W383" s="2"/>
    </row>
    <row r="384">
      <c r="A384" s="2"/>
      <c r="B384" s="2"/>
      <c r="C384" s="2"/>
      <c r="D384" s="2"/>
      <c r="E384" s="2"/>
      <c r="F384" s="2"/>
      <c r="G384" s="2"/>
      <c r="H384" s="2"/>
      <c r="I384" s="2"/>
      <c r="J384" s="2"/>
      <c r="K384" s="2"/>
      <c r="L384" s="2"/>
      <c r="M384" s="2"/>
      <c r="N384" s="2"/>
      <c r="O384" s="2"/>
      <c r="P384" s="2"/>
      <c r="Q384" s="2"/>
      <c r="R384" s="2"/>
      <c r="S384" s="2"/>
      <c r="T384" s="2"/>
      <c r="U384" s="2"/>
      <c r="V384" s="2"/>
      <c r="W384" s="2"/>
    </row>
    <row r="385">
      <c r="A385" s="2"/>
      <c r="B385" s="2"/>
      <c r="C385" s="2"/>
      <c r="D385" s="2"/>
      <c r="E385" s="2"/>
      <c r="F385" s="2"/>
      <c r="G385" s="2"/>
      <c r="H385" s="2"/>
      <c r="I385" s="2"/>
      <c r="J385" s="2"/>
      <c r="K385" s="2"/>
      <c r="L385" s="2"/>
      <c r="M385" s="2"/>
      <c r="N385" s="2"/>
      <c r="O385" s="2"/>
      <c r="P385" s="2"/>
      <c r="Q385" s="2"/>
      <c r="R385" s="2"/>
      <c r="S385" s="2"/>
      <c r="T385" s="2"/>
      <c r="U385" s="2"/>
      <c r="V385" s="2"/>
      <c r="W385" s="2"/>
    </row>
    <row r="386">
      <c r="A386" s="2"/>
      <c r="B386" s="2"/>
      <c r="C386" s="2"/>
      <c r="D386" s="2"/>
      <c r="E386" s="2"/>
      <c r="F386" s="2"/>
      <c r="G386" s="2"/>
      <c r="H386" s="2"/>
      <c r="I386" s="2"/>
      <c r="J386" s="2"/>
      <c r="K386" s="2"/>
      <c r="L386" s="2"/>
      <c r="M386" s="2"/>
      <c r="N386" s="2"/>
      <c r="O386" s="2"/>
      <c r="P386" s="2"/>
      <c r="Q386" s="2"/>
      <c r="R386" s="2"/>
      <c r="S386" s="2"/>
      <c r="T386" s="2"/>
      <c r="U386" s="2"/>
      <c r="V386" s="2"/>
      <c r="W386" s="2"/>
    </row>
    <row r="387">
      <c r="A387" s="2"/>
      <c r="B387" s="2"/>
      <c r="C387" s="2"/>
      <c r="D387" s="2"/>
      <c r="E387" s="2"/>
      <c r="F387" s="2"/>
      <c r="G387" s="2"/>
      <c r="H387" s="2"/>
      <c r="I387" s="2"/>
      <c r="J387" s="2"/>
      <c r="K387" s="2"/>
      <c r="L387" s="2"/>
      <c r="M387" s="2"/>
      <c r="N387" s="2"/>
      <c r="O387" s="2"/>
      <c r="P387" s="2"/>
      <c r="Q387" s="2"/>
      <c r="R387" s="2"/>
      <c r="S387" s="2"/>
      <c r="T387" s="2"/>
      <c r="U387" s="2"/>
      <c r="V387" s="2"/>
      <c r="W387" s="2"/>
    </row>
    <row r="388">
      <c r="A388" s="2"/>
      <c r="B388" s="2"/>
      <c r="C388" s="2"/>
      <c r="D388" s="2"/>
      <c r="E388" s="2"/>
      <c r="F388" s="2"/>
      <c r="G388" s="2"/>
      <c r="H388" s="2"/>
      <c r="I388" s="2"/>
      <c r="J388" s="2"/>
      <c r="K388" s="2"/>
      <c r="L388" s="2"/>
      <c r="M388" s="2"/>
      <c r="N388" s="2"/>
      <c r="O388" s="2"/>
      <c r="P388" s="2"/>
      <c r="Q388" s="2"/>
      <c r="R388" s="2"/>
      <c r="S388" s="2"/>
      <c r="T388" s="2"/>
      <c r="U388" s="2"/>
      <c r="V388" s="2"/>
      <c r="W388" s="2"/>
    </row>
    <row r="389">
      <c r="A389" s="2"/>
      <c r="B389" s="2"/>
      <c r="C389" s="2"/>
      <c r="D389" s="2"/>
      <c r="E389" s="2"/>
      <c r="F389" s="2"/>
      <c r="G389" s="2"/>
      <c r="H389" s="2"/>
      <c r="I389" s="2"/>
      <c r="J389" s="2"/>
      <c r="K389" s="2"/>
      <c r="L389" s="2"/>
      <c r="M389" s="2"/>
      <c r="N389" s="2"/>
      <c r="O389" s="2"/>
      <c r="P389" s="2"/>
      <c r="Q389" s="2"/>
      <c r="R389" s="2"/>
      <c r="S389" s="2"/>
      <c r="T389" s="2"/>
      <c r="U389" s="2"/>
      <c r="V389" s="2"/>
      <c r="W389" s="2"/>
    </row>
    <row r="390">
      <c r="A390" s="2"/>
      <c r="B390" s="2"/>
      <c r="C390" s="2"/>
      <c r="D390" s="2"/>
      <c r="E390" s="2"/>
      <c r="F390" s="2"/>
      <c r="G390" s="2"/>
      <c r="H390" s="2"/>
      <c r="I390" s="2"/>
      <c r="J390" s="2"/>
      <c r="K390" s="2"/>
      <c r="L390" s="2"/>
      <c r="M390" s="2"/>
      <c r="N390" s="2"/>
      <c r="O390" s="2"/>
      <c r="P390" s="2"/>
      <c r="Q390" s="2"/>
      <c r="R390" s="2"/>
      <c r="S390" s="2"/>
      <c r="T390" s="2"/>
      <c r="U390" s="2"/>
      <c r="V390" s="2"/>
      <c r="W390" s="2"/>
    </row>
    <row r="391">
      <c r="A391" s="2"/>
      <c r="B391" s="2"/>
      <c r="C391" s="2"/>
      <c r="D391" s="2"/>
      <c r="E391" s="2"/>
      <c r="F391" s="2"/>
      <c r="G391" s="2"/>
      <c r="H391" s="2"/>
      <c r="I391" s="2"/>
      <c r="J391" s="2"/>
      <c r="K391" s="2"/>
      <c r="L391" s="2"/>
      <c r="M391" s="2"/>
      <c r="N391" s="2"/>
      <c r="O391" s="2"/>
      <c r="P391" s="2"/>
      <c r="Q391" s="2"/>
      <c r="R391" s="2"/>
      <c r="S391" s="2"/>
      <c r="T391" s="2"/>
      <c r="U391" s="2"/>
      <c r="V391" s="2"/>
      <c r="W391" s="2"/>
    </row>
    <row r="392">
      <c r="A392" s="2"/>
      <c r="B392" s="2"/>
      <c r="C392" s="2"/>
      <c r="D392" s="2"/>
      <c r="E392" s="2"/>
      <c r="F392" s="2"/>
      <c r="G392" s="2"/>
      <c r="H392" s="2"/>
      <c r="I392" s="2"/>
      <c r="J392" s="2"/>
      <c r="K392" s="2"/>
      <c r="L392" s="2"/>
      <c r="M392" s="2"/>
      <c r="N392" s="2"/>
      <c r="O392" s="2"/>
      <c r="P392" s="2"/>
      <c r="Q392" s="2"/>
      <c r="R392" s="2"/>
      <c r="S392" s="2"/>
      <c r="T392" s="2"/>
      <c r="U392" s="2"/>
      <c r="V392" s="2"/>
      <c r="W392" s="2"/>
    </row>
    <row r="393">
      <c r="A393" s="2"/>
      <c r="B393" s="2"/>
      <c r="C393" s="2"/>
      <c r="D393" s="2"/>
      <c r="E393" s="2"/>
      <c r="F393" s="2"/>
      <c r="G393" s="2"/>
      <c r="H393" s="2"/>
      <c r="I393" s="2"/>
      <c r="J393" s="2"/>
      <c r="K393" s="2"/>
      <c r="L393" s="2"/>
      <c r="M393" s="2"/>
      <c r="N393" s="2"/>
      <c r="O393" s="2"/>
      <c r="P393" s="2"/>
      <c r="Q393" s="2"/>
      <c r="R393" s="2"/>
      <c r="S393" s="2"/>
      <c r="T393" s="2"/>
      <c r="U393" s="2"/>
      <c r="V393" s="2"/>
      <c r="W393" s="2"/>
    </row>
    <row r="394">
      <c r="A394" s="2"/>
      <c r="B394" s="2"/>
      <c r="C394" s="2"/>
      <c r="D394" s="2"/>
      <c r="E394" s="2"/>
      <c r="F394" s="2"/>
      <c r="G394" s="2"/>
      <c r="H394" s="2"/>
      <c r="I394" s="2"/>
      <c r="J394" s="2"/>
      <c r="K394" s="2"/>
      <c r="L394" s="2"/>
      <c r="M394" s="2"/>
      <c r="N394" s="2"/>
      <c r="O394" s="2"/>
      <c r="P394" s="2"/>
      <c r="Q394" s="2"/>
      <c r="R394" s="2"/>
      <c r="S394" s="2"/>
      <c r="T394" s="2"/>
      <c r="U394" s="2"/>
      <c r="V394" s="2"/>
      <c r="W394" s="2"/>
    </row>
    <row r="395">
      <c r="A395" s="2"/>
      <c r="B395" s="2"/>
      <c r="C395" s="2"/>
      <c r="D395" s="2"/>
      <c r="E395" s="2"/>
      <c r="F395" s="2"/>
      <c r="G395" s="2"/>
      <c r="H395" s="2"/>
      <c r="I395" s="2"/>
      <c r="J395" s="2"/>
      <c r="K395" s="2"/>
      <c r="L395" s="2"/>
      <c r="M395" s="2"/>
      <c r="N395" s="2"/>
      <c r="O395" s="2"/>
      <c r="P395" s="2"/>
      <c r="Q395" s="2"/>
      <c r="R395" s="2"/>
      <c r="S395" s="2"/>
      <c r="T395" s="2"/>
      <c r="U395" s="2"/>
      <c r="V395" s="2"/>
      <c r="W395" s="2"/>
    </row>
    <row r="396">
      <c r="A396" s="2"/>
      <c r="B396" s="2"/>
      <c r="C396" s="2"/>
      <c r="D396" s="2"/>
      <c r="E396" s="2"/>
      <c r="F396" s="2"/>
      <c r="G396" s="2"/>
      <c r="H396" s="2"/>
      <c r="I396" s="2"/>
      <c r="J396" s="2"/>
      <c r="K396" s="2"/>
      <c r="L396" s="2"/>
      <c r="M396" s="2"/>
      <c r="N396" s="2"/>
      <c r="O396" s="2"/>
      <c r="P396" s="2"/>
      <c r="Q396" s="2"/>
      <c r="R396" s="2"/>
      <c r="S396" s="2"/>
      <c r="T396" s="2"/>
      <c r="U396" s="2"/>
      <c r="V396" s="2"/>
      <c r="W396" s="2"/>
    </row>
    <row r="397">
      <c r="A397" s="2"/>
      <c r="B397" s="2"/>
      <c r="C397" s="2"/>
      <c r="D397" s="2"/>
      <c r="E397" s="2"/>
      <c r="F397" s="2"/>
      <c r="G397" s="2"/>
      <c r="H397" s="2"/>
      <c r="I397" s="2"/>
      <c r="J397" s="2"/>
      <c r="K397" s="2"/>
      <c r="L397" s="2"/>
      <c r="M397" s="2"/>
      <c r="N397" s="2"/>
      <c r="O397" s="2"/>
      <c r="P397" s="2"/>
      <c r="Q397" s="2"/>
      <c r="R397" s="2"/>
      <c r="S397" s="2"/>
      <c r="T397" s="2"/>
      <c r="U397" s="2"/>
      <c r="V397" s="2"/>
      <c r="W397" s="2"/>
    </row>
    <row r="398">
      <c r="A398" s="2"/>
      <c r="B398" s="2"/>
      <c r="C398" s="2"/>
      <c r="D398" s="2"/>
      <c r="E398" s="2"/>
      <c r="F398" s="2"/>
      <c r="G398" s="2"/>
      <c r="H398" s="2"/>
      <c r="I398" s="2"/>
      <c r="J398" s="2"/>
      <c r="K398" s="2"/>
      <c r="L398" s="2"/>
      <c r="M398" s="2"/>
      <c r="N398" s="2"/>
      <c r="O398" s="2"/>
      <c r="P398" s="2"/>
      <c r="Q398" s="2"/>
      <c r="R398" s="2"/>
      <c r="S398" s="2"/>
      <c r="T398" s="2"/>
      <c r="U398" s="2"/>
      <c r="V398" s="2"/>
      <c r="W398" s="2"/>
    </row>
    <row r="399">
      <c r="A399" s="2"/>
      <c r="B399" s="2"/>
      <c r="C399" s="2"/>
      <c r="D399" s="2"/>
      <c r="E399" s="2"/>
      <c r="F399" s="2"/>
      <c r="G399" s="2"/>
      <c r="H399" s="2"/>
      <c r="I399" s="2"/>
      <c r="J399" s="2"/>
      <c r="K399" s="2"/>
      <c r="L399" s="2"/>
      <c r="M399" s="2"/>
      <c r="N399" s="2"/>
      <c r="O399" s="2"/>
      <c r="P399" s="2"/>
      <c r="Q399" s="2"/>
      <c r="R399" s="2"/>
      <c r="S399" s="2"/>
      <c r="T399" s="2"/>
      <c r="U399" s="2"/>
      <c r="V399" s="2"/>
      <c r="W399" s="2"/>
    </row>
    <row r="400">
      <c r="A400" s="2"/>
      <c r="B400" s="2"/>
      <c r="C400" s="2"/>
      <c r="D400" s="2"/>
      <c r="E400" s="2"/>
      <c r="F400" s="2"/>
      <c r="G400" s="2"/>
      <c r="H400" s="2"/>
      <c r="I400" s="2"/>
      <c r="J400" s="2"/>
      <c r="K400" s="2"/>
      <c r="L400" s="2"/>
      <c r="M400" s="2"/>
      <c r="N400" s="2"/>
      <c r="O400" s="2"/>
      <c r="P400" s="2"/>
      <c r="Q400" s="2"/>
      <c r="R400" s="2"/>
      <c r="S400" s="2"/>
      <c r="T400" s="2"/>
      <c r="U400" s="2"/>
      <c r="V400" s="2"/>
      <c r="W400" s="2"/>
    </row>
    <row r="401">
      <c r="A401" s="2"/>
      <c r="B401" s="2"/>
      <c r="C401" s="2"/>
      <c r="D401" s="2"/>
      <c r="E401" s="2"/>
      <c r="F401" s="2"/>
      <c r="G401" s="2"/>
      <c r="H401" s="2"/>
      <c r="I401" s="2"/>
      <c r="J401" s="2"/>
      <c r="K401" s="2"/>
      <c r="L401" s="2"/>
      <c r="M401" s="2"/>
      <c r="N401" s="2"/>
      <c r="O401" s="2"/>
      <c r="P401" s="2"/>
      <c r="Q401" s="2"/>
      <c r="R401" s="2"/>
      <c r="S401" s="2"/>
      <c r="T401" s="2"/>
      <c r="U401" s="2"/>
      <c r="V401" s="2"/>
      <c r="W401" s="2"/>
    </row>
    <row r="402">
      <c r="A402" s="2"/>
      <c r="B402" s="2"/>
      <c r="C402" s="2"/>
      <c r="D402" s="2"/>
      <c r="E402" s="2"/>
      <c r="F402" s="2"/>
      <c r="G402" s="2"/>
      <c r="H402" s="2"/>
      <c r="I402" s="2"/>
      <c r="J402" s="2"/>
      <c r="K402" s="2"/>
      <c r="L402" s="2"/>
      <c r="M402" s="2"/>
      <c r="N402" s="2"/>
      <c r="O402" s="2"/>
      <c r="P402" s="2"/>
      <c r="Q402" s="2"/>
      <c r="R402" s="2"/>
      <c r="S402" s="2"/>
      <c r="T402" s="2"/>
      <c r="U402" s="2"/>
      <c r="V402" s="2"/>
      <c r="W402" s="2"/>
    </row>
    <row r="403">
      <c r="A403" s="2"/>
      <c r="B403" s="2"/>
      <c r="C403" s="2"/>
      <c r="D403" s="2"/>
      <c r="E403" s="2"/>
      <c r="F403" s="2"/>
      <c r="G403" s="2"/>
      <c r="H403" s="2"/>
      <c r="I403" s="2"/>
      <c r="J403" s="2"/>
      <c r="K403" s="2"/>
      <c r="L403" s="2"/>
      <c r="M403" s="2"/>
      <c r="N403" s="2"/>
      <c r="O403" s="2"/>
      <c r="P403" s="2"/>
      <c r="Q403" s="2"/>
      <c r="R403" s="2"/>
      <c r="S403" s="2"/>
      <c r="T403" s="2"/>
      <c r="U403" s="2"/>
      <c r="V403" s="2"/>
      <c r="W403" s="2"/>
    </row>
    <row r="404">
      <c r="A404" s="2"/>
      <c r="B404" s="2"/>
      <c r="C404" s="2"/>
      <c r="D404" s="2"/>
      <c r="E404" s="2"/>
      <c r="F404" s="2"/>
      <c r="G404" s="2"/>
      <c r="H404" s="2"/>
      <c r="I404" s="2"/>
      <c r="J404" s="2"/>
      <c r="K404" s="2"/>
      <c r="L404" s="2"/>
      <c r="M404" s="2"/>
      <c r="N404" s="2"/>
      <c r="O404" s="2"/>
      <c r="P404" s="2"/>
      <c r="Q404" s="2"/>
      <c r="R404" s="2"/>
      <c r="S404" s="2"/>
      <c r="T404" s="2"/>
      <c r="U404" s="2"/>
      <c r="V404" s="2"/>
      <c r="W404" s="2"/>
    </row>
    <row r="405">
      <c r="A405" s="2"/>
      <c r="B405" s="2"/>
      <c r="C405" s="2"/>
      <c r="D405" s="2"/>
      <c r="E405" s="2"/>
      <c r="F405" s="2"/>
      <c r="G405" s="2"/>
      <c r="H405" s="2"/>
      <c r="I405" s="2"/>
      <c r="J405" s="2"/>
      <c r="K405" s="2"/>
      <c r="L405" s="2"/>
      <c r="M405" s="2"/>
      <c r="N405" s="2"/>
      <c r="O405" s="2"/>
      <c r="P405" s="2"/>
      <c r="Q405" s="2"/>
      <c r="R405" s="2"/>
      <c r="S405" s="2"/>
      <c r="T405" s="2"/>
      <c r="U405" s="2"/>
      <c r="V405" s="2"/>
      <c r="W405" s="2"/>
    </row>
    <row r="406">
      <c r="A406" s="2"/>
      <c r="B406" s="2"/>
      <c r="C406" s="2"/>
      <c r="D406" s="2"/>
      <c r="E406" s="2"/>
      <c r="F406" s="2"/>
      <c r="G406" s="2"/>
      <c r="H406" s="2"/>
      <c r="I406" s="2"/>
      <c r="J406" s="2"/>
      <c r="K406" s="2"/>
      <c r="L406" s="2"/>
      <c r="M406" s="2"/>
      <c r="N406" s="2"/>
      <c r="O406" s="2"/>
      <c r="P406" s="2"/>
      <c r="Q406" s="2"/>
      <c r="R406" s="2"/>
      <c r="S406" s="2"/>
      <c r="T406" s="2"/>
      <c r="U406" s="2"/>
      <c r="V406" s="2"/>
      <c r="W406" s="2"/>
    </row>
    <row r="407">
      <c r="A407" s="2"/>
      <c r="B407" s="2"/>
      <c r="C407" s="2"/>
      <c r="D407" s="2"/>
      <c r="E407" s="2"/>
      <c r="F407" s="2"/>
      <c r="G407" s="2"/>
      <c r="H407" s="2"/>
      <c r="I407" s="2"/>
      <c r="J407" s="2"/>
      <c r="K407" s="2"/>
      <c r="L407" s="2"/>
      <c r="M407" s="2"/>
      <c r="N407" s="2"/>
      <c r="O407" s="2"/>
      <c r="P407" s="2"/>
      <c r="Q407" s="2"/>
      <c r="R407" s="2"/>
      <c r="S407" s="2"/>
      <c r="T407" s="2"/>
      <c r="U407" s="2"/>
      <c r="V407" s="2"/>
      <c r="W407" s="2"/>
    </row>
    <row r="408">
      <c r="A408" s="2"/>
      <c r="B408" s="2"/>
      <c r="C408" s="2"/>
      <c r="D408" s="2"/>
      <c r="E408" s="2"/>
      <c r="F408" s="2"/>
      <c r="G408" s="2"/>
      <c r="H408" s="2"/>
      <c r="I408" s="2"/>
      <c r="J408" s="2"/>
      <c r="K408" s="2"/>
      <c r="L408" s="2"/>
      <c r="M408" s="2"/>
      <c r="N408" s="2"/>
      <c r="O408" s="2"/>
      <c r="P408" s="2"/>
      <c r="Q408" s="2"/>
      <c r="R408" s="2"/>
      <c r="S408" s="2"/>
      <c r="T408" s="2"/>
      <c r="U408" s="2"/>
      <c r="V408" s="2"/>
      <c r="W408" s="2"/>
    </row>
    <row r="409">
      <c r="A409" s="2"/>
      <c r="B409" s="2"/>
      <c r="C409" s="2"/>
      <c r="D409" s="2"/>
      <c r="E409" s="2"/>
      <c r="F409" s="2"/>
      <c r="G409" s="2"/>
      <c r="H409" s="2"/>
      <c r="I409" s="2"/>
      <c r="J409" s="2"/>
      <c r="K409" s="2"/>
      <c r="L409" s="2"/>
      <c r="M409" s="2"/>
      <c r="N409" s="2"/>
      <c r="O409" s="2"/>
      <c r="P409" s="2"/>
      <c r="Q409" s="2"/>
      <c r="R409" s="2"/>
      <c r="S409" s="2"/>
      <c r="T409" s="2"/>
      <c r="U409" s="2"/>
      <c r="V409" s="2"/>
      <c r="W409" s="2"/>
    </row>
    <row r="410">
      <c r="A410" s="2"/>
      <c r="B410" s="2"/>
      <c r="C410" s="2"/>
      <c r="D410" s="2"/>
      <c r="E410" s="2"/>
      <c r="F410" s="2"/>
      <c r="G410" s="2"/>
      <c r="H410" s="2"/>
      <c r="I410" s="2"/>
      <c r="J410" s="2"/>
      <c r="K410" s="2"/>
      <c r="L410" s="2"/>
      <c r="M410" s="2"/>
      <c r="N410" s="2"/>
      <c r="O410" s="2"/>
      <c r="P410" s="2"/>
      <c r="Q410" s="2"/>
      <c r="R410" s="2"/>
      <c r="S410" s="2"/>
      <c r="T410" s="2"/>
      <c r="U410" s="2"/>
      <c r="V410" s="2"/>
      <c r="W410" s="2"/>
    </row>
    <row r="411">
      <c r="A411" s="2"/>
      <c r="B411" s="2"/>
      <c r="C411" s="2"/>
      <c r="D411" s="2"/>
      <c r="E411" s="2"/>
      <c r="F411" s="2"/>
      <c r="G411" s="2"/>
      <c r="H411" s="2"/>
      <c r="I411" s="2"/>
      <c r="J411" s="2"/>
      <c r="K411" s="2"/>
      <c r="L411" s="2"/>
      <c r="M411" s="2"/>
      <c r="N411" s="2"/>
      <c r="O411" s="2"/>
      <c r="P411" s="2"/>
      <c r="Q411" s="2"/>
      <c r="R411" s="2"/>
      <c r="S411" s="2"/>
      <c r="T411" s="2"/>
      <c r="U411" s="2"/>
      <c r="V411" s="2"/>
      <c r="W411" s="2"/>
    </row>
    <row r="412">
      <c r="A412" s="2"/>
      <c r="B412" s="2"/>
      <c r="C412" s="2"/>
      <c r="D412" s="2"/>
      <c r="E412" s="2"/>
      <c r="F412" s="2"/>
      <c r="G412" s="2"/>
      <c r="H412" s="2"/>
      <c r="I412" s="2"/>
      <c r="J412" s="2"/>
      <c r="K412" s="2"/>
      <c r="L412" s="2"/>
      <c r="M412" s="2"/>
      <c r="N412" s="2"/>
      <c r="O412" s="2"/>
      <c r="P412" s="2"/>
      <c r="Q412" s="2"/>
      <c r="R412" s="2"/>
      <c r="S412" s="2"/>
      <c r="T412" s="2"/>
      <c r="U412" s="2"/>
      <c r="V412" s="2"/>
      <c r="W412" s="2"/>
    </row>
    <row r="413">
      <c r="A413" s="2"/>
      <c r="B413" s="2"/>
      <c r="C413" s="2"/>
      <c r="D413" s="2"/>
      <c r="E413" s="2"/>
      <c r="F413" s="2"/>
      <c r="G413" s="2"/>
      <c r="H413" s="2"/>
      <c r="I413" s="2"/>
      <c r="J413" s="2"/>
      <c r="K413" s="2"/>
      <c r="L413" s="2"/>
      <c r="M413" s="2"/>
      <c r="N413" s="2"/>
      <c r="O413" s="2"/>
      <c r="P413" s="2"/>
      <c r="Q413" s="2"/>
      <c r="R413" s="2"/>
      <c r="S413" s="2"/>
      <c r="T413" s="2"/>
      <c r="U413" s="2"/>
      <c r="V413" s="2"/>
      <c r="W413" s="2"/>
    </row>
    <row r="414">
      <c r="A414" s="2"/>
      <c r="B414" s="2"/>
      <c r="C414" s="2"/>
      <c r="D414" s="2"/>
      <c r="E414" s="2"/>
      <c r="F414" s="2"/>
      <c r="G414" s="2"/>
      <c r="H414" s="2"/>
      <c r="I414" s="2"/>
      <c r="J414" s="2"/>
      <c r="K414" s="2"/>
      <c r="L414" s="2"/>
      <c r="M414" s="2"/>
      <c r="N414" s="2"/>
      <c r="O414" s="2"/>
      <c r="P414" s="2"/>
      <c r="Q414" s="2"/>
      <c r="R414" s="2"/>
      <c r="S414" s="2"/>
      <c r="T414" s="2"/>
      <c r="U414" s="2"/>
      <c r="V414" s="2"/>
      <c r="W414" s="2"/>
    </row>
    <row r="415">
      <c r="A415" s="2"/>
      <c r="B415" s="2"/>
      <c r="C415" s="2"/>
      <c r="D415" s="2"/>
      <c r="E415" s="2"/>
      <c r="F415" s="2"/>
      <c r="G415" s="2"/>
      <c r="H415" s="2"/>
      <c r="I415" s="2"/>
      <c r="J415" s="2"/>
      <c r="K415" s="2"/>
      <c r="L415" s="2"/>
      <c r="M415" s="2"/>
      <c r="N415" s="2"/>
      <c r="O415" s="2"/>
      <c r="P415" s="2"/>
      <c r="Q415" s="2"/>
      <c r="R415" s="2"/>
      <c r="S415" s="2"/>
      <c r="T415" s="2"/>
      <c r="U415" s="2"/>
      <c r="V415" s="2"/>
      <c r="W415" s="2"/>
    </row>
    <row r="416">
      <c r="A416" s="2"/>
      <c r="B416" s="2"/>
      <c r="C416" s="2"/>
      <c r="D416" s="2"/>
      <c r="E416" s="2"/>
      <c r="F416" s="2"/>
      <c r="G416" s="2"/>
      <c r="H416" s="2"/>
      <c r="I416" s="2"/>
      <c r="J416" s="2"/>
      <c r="K416" s="2"/>
      <c r="L416" s="2"/>
      <c r="M416" s="2"/>
      <c r="N416" s="2"/>
      <c r="O416" s="2"/>
      <c r="P416" s="2"/>
      <c r="Q416" s="2"/>
      <c r="R416" s="2"/>
      <c r="S416" s="2"/>
      <c r="T416" s="2"/>
      <c r="U416" s="2"/>
      <c r="V416" s="2"/>
      <c r="W416" s="2"/>
    </row>
    <row r="417">
      <c r="A417" s="2"/>
      <c r="B417" s="2"/>
      <c r="C417" s="2"/>
      <c r="D417" s="2"/>
      <c r="E417" s="2"/>
      <c r="F417" s="2"/>
      <c r="G417" s="2"/>
      <c r="H417" s="2"/>
      <c r="I417" s="2"/>
      <c r="J417" s="2"/>
      <c r="K417" s="2"/>
      <c r="L417" s="2"/>
      <c r="M417" s="2"/>
      <c r="N417" s="2"/>
      <c r="O417" s="2"/>
      <c r="P417" s="2"/>
      <c r="Q417" s="2"/>
      <c r="R417" s="2"/>
      <c r="S417" s="2"/>
      <c r="T417" s="2"/>
      <c r="U417" s="2"/>
      <c r="V417" s="2"/>
      <c r="W417" s="2"/>
    </row>
    <row r="418">
      <c r="A418" s="2"/>
      <c r="B418" s="2"/>
      <c r="C418" s="2"/>
      <c r="D418" s="2"/>
      <c r="E418" s="2"/>
      <c r="F418" s="2"/>
      <c r="G418" s="2"/>
      <c r="H418" s="2"/>
      <c r="I418" s="2"/>
      <c r="J418" s="2"/>
      <c r="K418" s="2"/>
      <c r="L418" s="2"/>
      <c r="M418" s="2"/>
      <c r="N418" s="2"/>
      <c r="O418" s="2"/>
      <c r="P418" s="2"/>
      <c r="Q418" s="2"/>
      <c r="R418" s="2"/>
      <c r="S418" s="2"/>
      <c r="T418" s="2"/>
      <c r="U418" s="2"/>
      <c r="V418" s="2"/>
      <c r="W418" s="2"/>
    </row>
    <row r="419">
      <c r="A419" s="2"/>
      <c r="B419" s="2"/>
      <c r="C419" s="2"/>
      <c r="D419" s="2"/>
      <c r="E419" s="2"/>
      <c r="F419" s="2"/>
      <c r="G419" s="2"/>
      <c r="H419" s="2"/>
      <c r="I419" s="2"/>
      <c r="J419" s="2"/>
      <c r="K419" s="2"/>
      <c r="L419" s="2"/>
      <c r="M419" s="2"/>
      <c r="N419" s="2"/>
      <c r="O419" s="2"/>
      <c r="P419" s="2"/>
      <c r="Q419" s="2"/>
      <c r="R419" s="2"/>
      <c r="S419" s="2"/>
      <c r="T419" s="2"/>
      <c r="U419" s="2"/>
      <c r="V419" s="2"/>
      <c r="W419" s="2"/>
    </row>
    <row r="420">
      <c r="A420" s="2"/>
      <c r="B420" s="2"/>
      <c r="C420" s="2"/>
      <c r="D420" s="2"/>
      <c r="E420" s="2"/>
      <c r="F420" s="2"/>
      <c r="G420" s="2"/>
      <c r="H420" s="2"/>
      <c r="I420" s="2"/>
      <c r="J420" s="2"/>
      <c r="K420" s="2"/>
      <c r="L420" s="2"/>
      <c r="M420" s="2"/>
      <c r="N420" s="2"/>
      <c r="O420" s="2"/>
      <c r="P420" s="2"/>
      <c r="Q420" s="2"/>
      <c r="R420" s="2"/>
      <c r="S420" s="2"/>
      <c r="T420" s="2"/>
      <c r="U420" s="2"/>
      <c r="V420" s="2"/>
      <c r="W420" s="2"/>
    </row>
    <row r="421">
      <c r="A421" s="2"/>
      <c r="B421" s="2"/>
      <c r="C421" s="2"/>
      <c r="D421" s="2"/>
      <c r="E421" s="2"/>
      <c r="F421" s="2"/>
      <c r="G421" s="2"/>
      <c r="H421" s="2"/>
      <c r="I421" s="2"/>
      <c r="J421" s="2"/>
      <c r="K421" s="2"/>
      <c r="L421" s="2"/>
      <c r="M421" s="2"/>
      <c r="N421" s="2"/>
      <c r="O421" s="2"/>
      <c r="P421" s="2"/>
      <c r="Q421" s="2"/>
      <c r="R421" s="2"/>
      <c r="S421" s="2"/>
      <c r="T421" s="2"/>
      <c r="U421" s="2"/>
      <c r="V421" s="2"/>
      <c r="W421" s="2"/>
    </row>
    <row r="422">
      <c r="A422" s="2"/>
      <c r="B422" s="2"/>
      <c r="C422" s="2"/>
      <c r="D422" s="2"/>
      <c r="E422" s="2"/>
      <c r="F422" s="2"/>
      <c r="G422" s="2"/>
      <c r="H422" s="2"/>
      <c r="I422" s="2"/>
      <c r="J422" s="2"/>
      <c r="K422" s="2"/>
      <c r="L422" s="2"/>
      <c r="M422" s="2"/>
      <c r="N422" s="2"/>
      <c r="O422" s="2"/>
      <c r="P422" s="2"/>
      <c r="Q422" s="2"/>
      <c r="R422" s="2"/>
      <c r="S422" s="2"/>
      <c r="T422" s="2"/>
      <c r="U422" s="2"/>
      <c r="V422" s="2"/>
      <c r="W422" s="2"/>
    </row>
    <row r="423">
      <c r="A423" s="2"/>
      <c r="B423" s="2"/>
      <c r="C423" s="2"/>
      <c r="D423" s="2"/>
      <c r="E423" s="2"/>
      <c r="F423" s="2"/>
      <c r="G423" s="2"/>
      <c r="H423" s="2"/>
      <c r="I423" s="2"/>
      <c r="J423" s="2"/>
      <c r="K423" s="2"/>
      <c r="L423" s="2"/>
      <c r="M423" s="2"/>
      <c r="N423" s="2"/>
      <c r="O423" s="2"/>
      <c r="P423" s="2"/>
      <c r="Q423" s="2"/>
      <c r="R423" s="2"/>
      <c r="S423" s="2"/>
      <c r="T423" s="2"/>
      <c r="U423" s="2"/>
      <c r="V423" s="2"/>
      <c r="W423" s="2"/>
    </row>
    <row r="424">
      <c r="A424" s="2"/>
      <c r="B424" s="2"/>
      <c r="C424" s="2"/>
      <c r="D424" s="2"/>
      <c r="E424" s="2"/>
      <c r="F424" s="2"/>
      <c r="G424" s="2"/>
      <c r="H424" s="2"/>
      <c r="I424" s="2"/>
      <c r="J424" s="2"/>
      <c r="K424" s="2"/>
      <c r="L424" s="2"/>
      <c r="M424" s="2"/>
      <c r="N424" s="2"/>
      <c r="O424" s="2"/>
      <c r="P424" s="2"/>
      <c r="Q424" s="2"/>
      <c r="R424" s="2"/>
      <c r="S424" s="2"/>
      <c r="T424" s="2"/>
      <c r="U424" s="2"/>
      <c r="V424" s="2"/>
      <c r="W424" s="2"/>
    </row>
    <row r="425">
      <c r="A425" s="2"/>
      <c r="B425" s="2"/>
      <c r="C425" s="2"/>
      <c r="D425" s="2"/>
      <c r="E425" s="2"/>
      <c r="F425" s="2"/>
      <c r="G425" s="2"/>
      <c r="H425" s="2"/>
      <c r="I425" s="2"/>
      <c r="J425" s="2"/>
      <c r="K425" s="2"/>
      <c r="L425" s="2"/>
      <c r="M425" s="2"/>
      <c r="N425" s="2"/>
      <c r="O425" s="2"/>
      <c r="P425" s="2"/>
      <c r="Q425" s="2"/>
      <c r="R425" s="2"/>
      <c r="S425" s="2"/>
      <c r="T425" s="2"/>
      <c r="U425" s="2"/>
      <c r="V425" s="2"/>
      <c r="W425" s="2"/>
    </row>
    <row r="426">
      <c r="A426" s="2"/>
      <c r="B426" s="2"/>
      <c r="C426" s="2"/>
      <c r="D426" s="2"/>
      <c r="E426" s="2"/>
      <c r="F426" s="2"/>
      <c r="G426" s="2"/>
      <c r="H426" s="2"/>
      <c r="I426" s="2"/>
      <c r="J426" s="2"/>
      <c r="K426" s="2"/>
      <c r="L426" s="2"/>
      <c r="M426" s="2"/>
      <c r="N426" s="2"/>
      <c r="O426" s="2"/>
      <c r="P426" s="2"/>
      <c r="Q426" s="2"/>
      <c r="R426" s="2"/>
      <c r="S426" s="2"/>
      <c r="T426" s="2"/>
      <c r="U426" s="2"/>
      <c r="V426" s="2"/>
      <c r="W426" s="2"/>
    </row>
    <row r="427">
      <c r="A427" s="2"/>
      <c r="B427" s="2"/>
      <c r="C427" s="2"/>
      <c r="D427" s="2"/>
      <c r="E427" s="2"/>
      <c r="F427" s="2"/>
      <c r="G427" s="2"/>
      <c r="H427" s="2"/>
      <c r="I427" s="2"/>
      <c r="J427" s="2"/>
      <c r="K427" s="2"/>
      <c r="L427" s="2"/>
      <c r="M427" s="2"/>
      <c r="N427" s="2"/>
      <c r="O427" s="2"/>
      <c r="P427" s="2"/>
      <c r="Q427" s="2"/>
      <c r="R427" s="2"/>
      <c r="S427" s="2"/>
      <c r="T427" s="2"/>
      <c r="U427" s="2"/>
      <c r="V427" s="2"/>
      <c r="W427" s="2"/>
    </row>
    <row r="428">
      <c r="A428" s="2"/>
      <c r="B428" s="2"/>
      <c r="C428" s="2"/>
      <c r="D428" s="2"/>
      <c r="E428" s="2"/>
      <c r="F428" s="2"/>
      <c r="G428" s="2"/>
      <c r="H428" s="2"/>
      <c r="I428" s="2"/>
      <c r="J428" s="2"/>
      <c r="K428" s="2"/>
      <c r="L428" s="2"/>
      <c r="M428" s="2"/>
      <c r="N428" s="2"/>
      <c r="O428" s="2"/>
      <c r="P428" s="2"/>
      <c r="Q428" s="2"/>
      <c r="R428" s="2"/>
      <c r="S428" s="2"/>
      <c r="T428" s="2"/>
      <c r="U428" s="2"/>
      <c r="V428" s="2"/>
      <c r="W428" s="2"/>
    </row>
    <row r="429">
      <c r="A429" s="2"/>
      <c r="B429" s="2"/>
      <c r="C429" s="2"/>
      <c r="D429" s="2"/>
      <c r="E429" s="2"/>
      <c r="F429" s="2"/>
      <c r="G429" s="2"/>
      <c r="H429" s="2"/>
      <c r="I429" s="2"/>
      <c r="J429" s="2"/>
      <c r="K429" s="2"/>
      <c r="L429" s="2"/>
      <c r="M429" s="2"/>
      <c r="N429" s="2"/>
      <c r="O429" s="2"/>
      <c r="P429" s="2"/>
      <c r="Q429" s="2"/>
      <c r="R429" s="2"/>
      <c r="S429" s="2"/>
      <c r="T429" s="2"/>
      <c r="U429" s="2"/>
      <c r="V429" s="2"/>
      <c r="W429" s="2"/>
    </row>
    <row r="430">
      <c r="A430" s="2"/>
      <c r="B430" s="2"/>
      <c r="C430" s="2"/>
      <c r="D430" s="2"/>
      <c r="E430" s="2"/>
      <c r="F430" s="2"/>
      <c r="G430" s="2"/>
      <c r="H430" s="2"/>
      <c r="I430" s="2"/>
      <c r="J430" s="2"/>
      <c r="K430" s="2"/>
      <c r="L430" s="2"/>
      <c r="M430" s="2"/>
      <c r="N430" s="2"/>
      <c r="O430" s="2"/>
      <c r="P430" s="2"/>
      <c r="Q430" s="2"/>
      <c r="R430" s="2"/>
      <c r="S430" s="2"/>
      <c r="T430" s="2"/>
      <c r="U430" s="2"/>
      <c r="V430" s="2"/>
      <c r="W430" s="2"/>
    </row>
    <row r="431">
      <c r="A431" s="2"/>
      <c r="B431" s="2"/>
      <c r="C431" s="2"/>
      <c r="D431" s="2"/>
      <c r="E431" s="2"/>
      <c r="F431" s="2"/>
      <c r="G431" s="2"/>
      <c r="H431" s="2"/>
      <c r="I431" s="2"/>
      <c r="J431" s="2"/>
      <c r="K431" s="2"/>
      <c r="L431" s="2"/>
      <c r="M431" s="2"/>
      <c r="N431" s="2"/>
      <c r="O431" s="2"/>
      <c r="P431" s="2"/>
      <c r="Q431" s="2"/>
      <c r="R431" s="2"/>
      <c r="S431" s="2"/>
      <c r="T431" s="2"/>
      <c r="U431" s="2"/>
      <c r="V431" s="2"/>
      <c r="W431" s="2"/>
    </row>
    <row r="432">
      <c r="A432" s="2"/>
      <c r="B432" s="2"/>
      <c r="C432" s="2"/>
      <c r="D432" s="2"/>
      <c r="E432" s="2"/>
      <c r="F432" s="2"/>
      <c r="G432" s="2"/>
      <c r="H432" s="2"/>
      <c r="I432" s="2"/>
      <c r="J432" s="2"/>
      <c r="K432" s="2"/>
      <c r="L432" s="2"/>
      <c r="M432" s="2"/>
      <c r="N432" s="2"/>
      <c r="O432" s="2"/>
      <c r="P432" s="2"/>
      <c r="Q432" s="2"/>
      <c r="R432" s="2"/>
      <c r="S432" s="2"/>
      <c r="T432" s="2"/>
      <c r="U432" s="2"/>
      <c r="V432" s="2"/>
      <c r="W432" s="2"/>
    </row>
    <row r="433">
      <c r="A433" s="2"/>
      <c r="B433" s="2"/>
      <c r="C433" s="2"/>
      <c r="D433" s="2"/>
      <c r="E433" s="2"/>
      <c r="F433" s="2"/>
      <c r="G433" s="2"/>
      <c r="H433" s="2"/>
      <c r="I433" s="2"/>
      <c r="J433" s="2"/>
      <c r="K433" s="2"/>
      <c r="L433" s="2"/>
      <c r="M433" s="2"/>
      <c r="N433" s="2"/>
      <c r="O433" s="2"/>
      <c r="P433" s="2"/>
      <c r="Q433" s="2"/>
      <c r="R433" s="2"/>
      <c r="S433" s="2"/>
      <c r="T433" s="2"/>
      <c r="U433" s="2"/>
      <c r="V433" s="2"/>
      <c r="W433" s="2"/>
    </row>
    <row r="434">
      <c r="A434" s="2"/>
      <c r="B434" s="2"/>
      <c r="C434" s="2"/>
      <c r="D434" s="2"/>
      <c r="E434" s="2"/>
      <c r="F434" s="2"/>
      <c r="G434" s="2"/>
      <c r="H434" s="2"/>
      <c r="I434" s="2"/>
      <c r="J434" s="2"/>
      <c r="K434" s="2"/>
      <c r="L434" s="2"/>
      <c r="M434" s="2"/>
      <c r="N434" s="2"/>
      <c r="O434" s="2"/>
      <c r="P434" s="2"/>
      <c r="Q434" s="2"/>
      <c r="R434" s="2"/>
      <c r="S434" s="2"/>
      <c r="T434" s="2"/>
      <c r="U434" s="2"/>
      <c r="V434" s="2"/>
      <c r="W434" s="2"/>
    </row>
    <row r="435">
      <c r="A435" s="2"/>
      <c r="B435" s="2"/>
      <c r="C435" s="2"/>
      <c r="D435" s="2"/>
      <c r="E435" s="2"/>
      <c r="F435" s="2"/>
      <c r="G435" s="2"/>
      <c r="H435" s="2"/>
      <c r="I435" s="2"/>
      <c r="J435" s="2"/>
      <c r="K435" s="2"/>
      <c r="L435" s="2"/>
      <c r="M435" s="2"/>
      <c r="N435" s="2"/>
      <c r="O435" s="2"/>
      <c r="P435" s="2"/>
      <c r="Q435" s="2"/>
      <c r="R435" s="2"/>
      <c r="S435" s="2"/>
      <c r="T435" s="2"/>
      <c r="U435" s="2"/>
      <c r="V435" s="2"/>
      <c r="W435" s="2"/>
    </row>
    <row r="436">
      <c r="A436" s="2"/>
      <c r="B436" s="2"/>
      <c r="C436" s="2"/>
      <c r="D436" s="2"/>
      <c r="E436" s="2"/>
      <c r="F436" s="2"/>
      <c r="G436" s="2"/>
      <c r="H436" s="2"/>
      <c r="I436" s="2"/>
      <c r="J436" s="2"/>
      <c r="K436" s="2"/>
      <c r="L436" s="2"/>
      <c r="M436" s="2"/>
      <c r="N436" s="2"/>
      <c r="O436" s="2"/>
      <c r="P436" s="2"/>
      <c r="Q436" s="2"/>
      <c r="R436" s="2"/>
      <c r="S436" s="2"/>
      <c r="T436" s="2"/>
      <c r="U436" s="2"/>
      <c r="V436" s="2"/>
      <c r="W436" s="2"/>
    </row>
    <row r="437">
      <c r="A437" s="2"/>
      <c r="B437" s="2"/>
      <c r="C437" s="2"/>
      <c r="D437" s="2"/>
      <c r="E437" s="2"/>
      <c r="F437" s="2"/>
      <c r="G437" s="2"/>
      <c r="H437" s="2"/>
      <c r="I437" s="2"/>
      <c r="J437" s="2"/>
      <c r="K437" s="2"/>
      <c r="L437" s="2"/>
      <c r="M437" s="2"/>
      <c r="N437" s="2"/>
      <c r="O437" s="2"/>
      <c r="P437" s="2"/>
      <c r="Q437" s="2"/>
      <c r="R437" s="2"/>
      <c r="S437" s="2"/>
      <c r="T437" s="2"/>
      <c r="U437" s="2"/>
      <c r="V437" s="2"/>
      <c r="W437" s="2"/>
    </row>
    <row r="438">
      <c r="A438" s="2"/>
      <c r="B438" s="2"/>
      <c r="C438" s="2"/>
      <c r="D438" s="2"/>
      <c r="E438" s="2"/>
      <c r="F438" s="2"/>
      <c r="G438" s="2"/>
      <c r="H438" s="2"/>
      <c r="I438" s="2"/>
      <c r="J438" s="2"/>
      <c r="K438" s="2"/>
      <c r="L438" s="2"/>
      <c r="M438" s="2"/>
      <c r="N438" s="2"/>
      <c r="O438" s="2"/>
      <c r="P438" s="2"/>
      <c r="Q438" s="2"/>
      <c r="R438" s="2"/>
      <c r="S438" s="2"/>
      <c r="T438" s="2"/>
      <c r="U438" s="2"/>
      <c r="V438" s="2"/>
      <c r="W438" s="2"/>
    </row>
    <row r="439">
      <c r="A439" s="2"/>
      <c r="B439" s="2"/>
      <c r="C439" s="2"/>
      <c r="D439" s="2"/>
      <c r="E439" s="2"/>
      <c r="F439" s="2"/>
      <c r="G439" s="2"/>
      <c r="H439" s="2"/>
      <c r="I439" s="2"/>
      <c r="J439" s="2"/>
      <c r="K439" s="2"/>
      <c r="L439" s="2"/>
      <c r="M439" s="2"/>
      <c r="N439" s="2"/>
      <c r="O439" s="2"/>
      <c r="P439" s="2"/>
      <c r="Q439" s="2"/>
      <c r="R439" s="2"/>
      <c r="S439" s="2"/>
      <c r="T439" s="2"/>
      <c r="U439" s="2"/>
      <c r="V439" s="2"/>
      <c r="W439" s="2"/>
    </row>
    <row r="440">
      <c r="A440" s="2"/>
      <c r="B440" s="2"/>
      <c r="C440" s="2"/>
      <c r="D440" s="2"/>
      <c r="E440" s="2"/>
      <c r="F440" s="2"/>
      <c r="G440" s="2"/>
      <c r="H440" s="2"/>
      <c r="I440" s="2"/>
      <c r="J440" s="2"/>
      <c r="K440" s="2"/>
      <c r="L440" s="2"/>
      <c r="M440" s="2"/>
      <c r="N440" s="2"/>
      <c r="O440" s="2"/>
      <c r="P440" s="2"/>
      <c r="Q440" s="2"/>
      <c r="R440" s="2"/>
      <c r="S440" s="2"/>
      <c r="T440" s="2"/>
      <c r="U440" s="2"/>
      <c r="V440" s="2"/>
      <c r="W440" s="2"/>
    </row>
    <row r="441">
      <c r="A441" s="2"/>
      <c r="B441" s="2"/>
      <c r="C441" s="2"/>
      <c r="D441" s="2"/>
      <c r="E441" s="2"/>
      <c r="F441" s="2"/>
      <c r="G441" s="2"/>
      <c r="H441" s="2"/>
      <c r="I441" s="2"/>
      <c r="J441" s="2"/>
      <c r="K441" s="2"/>
      <c r="L441" s="2"/>
      <c r="M441" s="2"/>
      <c r="N441" s="2"/>
      <c r="O441" s="2"/>
      <c r="P441" s="2"/>
      <c r="Q441" s="2"/>
      <c r="R441" s="2"/>
      <c r="S441" s="2"/>
      <c r="T441" s="2"/>
      <c r="U441" s="2"/>
      <c r="V441" s="2"/>
      <c r="W441" s="2"/>
    </row>
    <row r="442">
      <c r="A442" s="2"/>
      <c r="B442" s="2"/>
      <c r="C442" s="2"/>
      <c r="D442" s="2"/>
      <c r="E442" s="2"/>
      <c r="F442" s="2"/>
      <c r="G442" s="2"/>
      <c r="H442" s="2"/>
      <c r="I442" s="2"/>
      <c r="J442" s="2"/>
      <c r="K442" s="2"/>
      <c r="L442" s="2"/>
      <c r="M442" s="2"/>
      <c r="N442" s="2"/>
      <c r="O442" s="2"/>
      <c r="P442" s="2"/>
      <c r="Q442" s="2"/>
      <c r="R442" s="2"/>
      <c r="S442" s="2"/>
      <c r="T442" s="2"/>
      <c r="U442" s="2"/>
      <c r="V442" s="2"/>
      <c r="W442" s="2"/>
    </row>
    <row r="443">
      <c r="A443" s="2"/>
      <c r="B443" s="2"/>
      <c r="C443" s="2"/>
      <c r="D443" s="2"/>
      <c r="E443" s="2"/>
      <c r="F443" s="2"/>
      <c r="G443" s="2"/>
      <c r="H443" s="2"/>
      <c r="I443" s="2"/>
      <c r="J443" s="2"/>
      <c r="K443" s="2"/>
      <c r="L443" s="2"/>
      <c r="M443" s="2"/>
      <c r="N443" s="2"/>
      <c r="O443" s="2"/>
      <c r="P443" s="2"/>
      <c r="Q443" s="2"/>
      <c r="R443" s="2"/>
      <c r="S443" s="2"/>
      <c r="T443" s="2"/>
      <c r="U443" s="2"/>
      <c r="V443" s="2"/>
      <c r="W443" s="2"/>
    </row>
    <row r="444">
      <c r="A444" s="2"/>
      <c r="B444" s="2"/>
      <c r="C444" s="2"/>
      <c r="D444" s="2"/>
      <c r="E444" s="2"/>
      <c r="F444" s="2"/>
      <c r="G444" s="2"/>
      <c r="H444" s="2"/>
      <c r="I444" s="2"/>
      <c r="J444" s="2"/>
      <c r="K444" s="2"/>
      <c r="L444" s="2"/>
      <c r="M444" s="2"/>
      <c r="N444" s="2"/>
      <c r="O444" s="2"/>
      <c r="P444" s="2"/>
      <c r="Q444" s="2"/>
      <c r="R444" s="2"/>
      <c r="S444" s="2"/>
      <c r="T444" s="2"/>
      <c r="U444" s="2"/>
      <c r="V444" s="2"/>
      <c r="W444" s="2"/>
    </row>
    <row r="445">
      <c r="A445" s="2"/>
      <c r="B445" s="2"/>
      <c r="C445" s="2"/>
      <c r="D445" s="2"/>
      <c r="E445" s="2"/>
      <c r="F445" s="2"/>
      <c r="G445" s="2"/>
      <c r="H445" s="2"/>
      <c r="I445" s="2"/>
      <c r="J445" s="2"/>
      <c r="K445" s="2"/>
      <c r="L445" s="2"/>
      <c r="M445" s="2"/>
      <c r="N445" s="2"/>
      <c r="O445" s="2"/>
      <c r="P445" s="2"/>
      <c r="Q445" s="2"/>
      <c r="R445" s="2"/>
      <c r="S445" s="2"/>
      <c r="T445" s="2"/>
      <c r="U445" s="2"/>
      <c r="V445" s="2"/>
      <c r="W445" s="2"/>
    </row>
    <row r="446">
      <c r="A446" s="2"/>
      <c r="B446" s="2"/>
      <c r="C446" s="2"/>
      <c r="D446" s="2"/>
      <c r="E446" s="2"/>
      <c r="F446" s="2"/>
      <c r="G446" s="2"/>
      <c r="H446" s="2"/>
      <c r="I446" s="2"/>
      <c r="J446" s="2"/>
      <c r="K446" s="2"/>
      <c r="L446" s="2"/>
      <c r="M446" s="2"/>
      <c r="N446" s="2"/>
      <c r="O446" s="2"/>
      <c r="P446" s="2"/>
      <c r="Q446" s="2"/>
      <c r="R446" s="2"/>
      <c r="S446" s="2"/>
      <c r="T446" s="2"/>
      <c r="U446" s="2"/>
      <c r="V446" s="2"/>
      <c r="W446" s="2"/>
    </row>
    <row r="447">
      <c r="A447" s="2"/>
      <c r="B447" s="2"/>
      <c r="C447" s="2"/>
      <c r="D447" s="2"/>
      <c r="E447" s="2"/>
      <c r="F447" s="2"/>
      <c r="G447" s="2"/>
      <c r="H447" s="2"/>
      <c r="I447" s="2"/>
      <c r="J447" s="2"/>
      <c r="K447" s="2"/>
      <c r="L447" s="2"/>
      <c r="M447" s="2"/>
      <c r="N447" s="2"/>
      <c r="O447" s="2"/>
      <c r="P447" s="2"/>
      <c r="Q447" s="2"/>
      <c r="R447" s="2"/>
      <c r="S447" s="2"/>
      <c r="T447" s="2"/>
      <c r="U447" s="2"/>
      <c r="V447" s="2"/>
      <c r="W447" s="2"/>
    </row>
    <row r="448">
      <c r="A448" s="2"/>
      <c r="B448" s="2"/>
      <c r="C448" s="2"/>
      <c r="D448" s="2"/>
      <c r="E448" s="2"/>
      <c r="F448" s="2"/>
      <c r="G448" s="2"/>
      <c r="H448" s="2"/>
      <c r="I448" s="2"/>
      <c r="J448" s="2"/>
      <c r="K448" s="2"/>
      <c r="L448" s="2"/>
      <c r="M448" s="2"/>
      <c r="N448" s="2"/>
      <c r="O448" s="2"/>
      <c r="P448" s="2"/>
      <c r="Q448" s="2"/>
      <c r="R448" s="2"/>
      <c r="S448" s="2"/>
      <c r="T448" s="2"/>
      <c r="U448" s="2"/>
      <c r="V448" s="2"/>
      <c r="W448" s="2"/>
    </row>
    <row r="449">
      <c r="A449" s="2"/>
      <c r="B449" s="2"/>
      <c r="C449" s="2"/>
      <c r="D449" s="2"/>
      <c r="E449" s="2"/>
      <c r="F449" s="2"/>
      <c r="G449" s="2"/>
      <c r="H449" s="2"/>
      <c r="I449" s="2"/>
      <c r="J449" s="2"/>
      <c r="K449" s="2"/>
      <c r="L449" s="2"/>
      <c r="M449" s="2"/>
      <c r="N449" s="2"/>
      <c r="O449" s="2"/>
      <c r="P449" s="2"/>
      <c r="Q449" s="2"/>
      <c r="R449" s="2"/>
      <c r="S449" s="2"/>
      <c r="T449" s="2"/>
      <c r="U449" s="2"/>
      <c r="V449" s="2"/>
      <c r="W449" s="2"/>
    </row>
    <row r="450">
      <c r="A450" s="2"/>
      <c r="B450" s="2"/>
      <c r="C450" s="2"/>
      <c r="D450" s="2"/>
      <c r="E450" s="2"/>
      <c r="F450" s="2"/>
      <c r="G450" s="2"/>
      <c r="H450" s="2"/>
      <c r="I450" s="2"/>
      <c r="J450" s="2"/>
      <c r="K450" s="2"/>
      <c r="L450" s="2"/>
      <c r="M450" s="2"/>
      <c r="N450" s="2"/>
      <c r="O450" s="2"/>
      <c r="P450" s="2"/>
      <c r="Q450" s="2"/>
      <c r="R450" s="2"/>
      <c r="S450" s="2"/>
      <c r="T450" s="2"/>
      <c r="U450" s="2"/>
      <c r="V450" s="2"/>
      <c r="W450" s="2"/>
    </row>
    <row r="451">
      <c r="A451" s="2"/>
      <c r="B451" s="2"/>
      <c r="C451" s="2"/>
      <c r="D451" s="2"/>
      <c r="E451" s="2"/>
      <c r="F451" s="2"/>
      <c r="G451" s="2"/>
      <c r="H451" s="2"/>
      <c r="I451" s="2"/>
      <c r="J451" s="2"/>
      <c r="K451" s="2"/>
      <c r="L451" s="2"/>
      <c r="M451" s="2"/>
      <c r="N451" s="2"/>
      <c r="O451" s="2"/>
      <c r="P451" s="2"/>
      <c r="Q451" s="2"/>
      <c r="R451" s="2"/>
      <c r="S451" s="2"/>
      <c r="T451" s="2"/>
      <c r="U451" s="2"/>
      <c r="V451" s="2"/>
      <c r="W451" s="2"/>
    </row>
    <row r="452">
      <c r="A452" s="2"/>
      <c r="B452" s="2"/>
      <c r="C452" s="2"/>
      <c r="D452" s="2"/>
      <c r="E452" s="2"/>
      <c r="F452" s="2"/>
      <c r="G452" s="2"/>
      <c r="H452" s="2"/>
      <c r="I452" s="2"/>
      <c r="J452" s="2"/>
      <c r="K452" s="2"/>
      <c r="L452" s="2"/>
      <c r="M452" s="2"/>
      <c r="N452" s="2"/>
      <c r="O452" s="2"/>
      <c r="P452" s="2"/>
      <c r="Q452" s="2"/>
      <c r="R452" s="2"/>
      <c r="S452" s="2"/>
      <c r="T452" s="2"/>
      <c r="U452" s="2"/>
      <c r="V452" s="2"/>
      <c r="W452" s="2"/>
    </row>
    <row r="453">
      <c r="A453" s="2"/>
      <c r="B453" s="2"/>
      <c r="C453" s="2"/>
      <c r="D453" s="2"/>
      <c r="E453" s="2"/>
      <c r="F453" s="2"/>
      <c r="G453" s="2"/>
      <c r="H453" s="2"/>
      <c r="I453" s="2"/>
      <c r="J453" s="2"/>
      <c r="K453" s="2"/>
      <c r="L453" s="2"/>
      <c r="M453" s="2"/>
      <c r="N453" s="2"/>
      <c r="O453" s="2"/>
      <c r="P453" s="2"/>
      <c r="Q453" s="2"/>
      <c r="R453" s="2"/>
      <c r="S453" s="2"/>
      <c r="T453" s="2"/>
      <c r="U453" s="2"/>
      <c r="V453" s="2"/>
      <c r="W453" s="2"/>
    </row>
    <row r="454">
      <c r="A454" s="2"/>
      <c r="B454" s="2"/>
      <c r="C454" s="2"/>
      <c r="D454" s="2"/>
      <c r="E454" s="2"/>
      <c r="F454" s="2"/>
      <c r="G454" s="2"/>
      <c r="H454" s="2"/>
      <c r="I454" s="2"/>
      <c r="J454" s="2"/>
      <c r="K454" s="2"/>
      <c r="L454" s="2"/>
      <c r="M454" s="2"/>
      <c r="N454" s="2"/>
      <c r="O454" s="2"/>
      <c r="P454" s="2"/>
      <c r="Q454" s="2"/>
      <c r="R454" s="2"/>
      <c r="S454" s="2"/>
      <c r="T454" s="2"/>
      <c r="U454" s="2"/>
      <c r="V454" s="2"/>
      <c r="W454" s="2"/>
    </row>
    <row r="455">
      <c r="A455" s="2"/>
      <c r="B455" s="2"/>
      <c r="C455" s="2"/>
      <c r="D455" s="2"/>
      <c r="E455" s="2"/>
      <c r="F455" s="2"/>
      <c r="G455" s="2"/>
      <c r="H455" s="2"/>
      <c r="I455" s="2"/>
      <c r="J455" s="2"/>
      <c r="K455" s="2"/>
      <c r="L455" s="2"/>
      <c r="M455" s="2"/>
      <c r="N455" s="2"/>
      <c r="O455" s="2"/>
      <c r="P455" s="2"/>
      <c r="Q455" s="2"/>
      <c r="R455" s="2"/>
      <c r="S455" s="2"/>
      <c r="T455" s="2"/>
      <c r="U455" s="2"/>
      <c r="V455" s="2"/>
      <c r="W455" s="2"/>
    </row>
    <row r="456">
      <c r="A456" s="2"/>
      <c r="B456" s="2"/>
      <c r="C456" s="2"/>
      <c r="D456" s="2"/>
      <c r="E456" s="2"/>
      <c r="F456" s="2"/>
      <c r="G456" s="2"/>
      <c r="H456" s="2"/>
      <c r="I456" s="2"/>
      <c r="J456" s="2"/>
      <c r="K456" s="2"/>
      <c r="L456" s="2"/>
      <c r="M456" s="2"/>
      <c r="N456" s="2"/>
      <c r="O456" s="2"/>
      <c r="P456" s="2"/>
      <c r="Q456" s="2"/>
      <c r="R456" s="2"/>
      <c r="S456" s="2"/>
      <c r="T456" s="2"/>
      <c r="U456" s="2"/>
      <c r="V456" s="2"/>
      <c r="W456" s="2"/>
    </row>
    <row r="457">
      <c r="A457" s="2"/>
      <c r="B457" s="2"/>
      <c r="C457" s="2"/>
      <c r="D457" s="2"/>
      <c r="E457" s="2"/>
      <c r="F457" s="2"/>
      <c r="G457" s="2"/>
      <c r="H457" s="2"/>
      <c r="I457" s="2"/>
      <c r="J457" s="2"/>
      <c r="K457" s="2"/>
      <c r="L457" s="2"/>
      <c r="M457" s="2"/>
      <c r="N457" s="2"/>
      <c r="O457" s="2"/>
      <c r="P457" s="2"/>
      <c r="Q457" s="2"/>
      <c r="R457" s="2"/>
      <c r="S457" s="2"/>
      <c r="T457" s="2"/>
      <c r="U457" s="2"/>
      <c r="V457" s="2"/>
      <c r="W457" s="2"/>
    </row>
    <row r="458">
      <c r="A458" s="2"/>
      <c r="B458" s="2"/>
      <c r="C458" s="2"/>
      <c r="D458" s="2"/>
      <c r="E458" s="2"/>
      <c r="F458" s="2"/>
      <c r="G458" s="2"/>
      <c r="H458" s="2"/>
      <c r="I458" s="2"/>
      <c r="J458" s="2"/>
      <c r="K458" s="2"/>
      <c r="L458" s="2"/>
      <c r="M458" s="2"/>
      <c r="N458" s="2"/>
      <c r="O458" s="2"/>
      <c r="P458" s="2"/>
      <c r="Q458" s="2"/>
      <c r="R458" s="2"/>
      <c r="S458" s="2"/>
      <c r="T458" s="2"/>
      <c r="U458" s="2"/>
      <c r="V458" s="2"/>
      <c r="W458" s="2"/>
    </row>
    <row r="459">
      <c r="A459" s="2"/>
      <c r="B459" s="2"/>
      <c r="C459" s="2"/>
      <c r="D459" s="2"/>
      <c r="E459" s="2"/>
      <c r="F459" s="2"/>
      <c r="G459" s="2"/>
      <c r="H459" s="2"/>
      <c r="I459" s="2"/>
      <c r="J459" s="2"/>
      <c r="K459" s="2"/>
      <c r="L459" s="2"/>
      <c r="M459" s="2"/>
      <c r="N459" s="2"/>
      <c r="O459" s="2"/>
      <c r="P459" s="2"/>
      <c r="Q459" s="2"/>
      <c r="R459" s="2"/>
      <c r="S459" s="2"/>
      <c r="T459" s="2"/>
      <c r="U459" s="2"/>
      <c r="V459" s="2"/>
      <c r="W459" s="2"/>
    </row>
    <row r="460">
      <c r="A460" s="2"/>
      <c r="B460" s="2"/>
      <c r="C460" s="2"/>
      <c r="D460" s="2"/>
      <c r="E460" s="2"/>
      <c r="F460" s="2"/>
      <c r="G460" s="2"/>
      <c r="H460" s="2"/>
      <c r="I460" s="2"/>
      <c r="J460" s="2"/>
      <c r="K460" s="2"/>
      <c r="L460" s="2"/>
      <c r="M460" s="2"/>
      <c r="N460" s="2"/>
      <c r="O460" s="2"/>
      <c r="P460" s="2"/>
      <c r="Q460" s="2"/>
      <c r="R460" s="2"/>
      <c r="S460" s="2"/>
      <c r="T460" s="2"/>
      <c r="U460" s="2"/>
      <c r="V460" s="2"/>
      <c r="W460" s="2"/>
    </row>
    <row r="461">
      <c r="A461" s="2"/>
      <c r="B461" s="2"/>
      <c r="C461" s="2"/>
      <c r="D461" s="2"/>
      <c r="E461" s="2"/>
      <c r="F461" s="2"/>
      <c r="G461" s="2"/>
      <c r="H461" s="2"/>
      <c r="I461" s="2"/>
      <c r="J461" s="2"/>
      <c r="K461" s="2"/>
      <c r="L461" s="2"/>
      <c r="M461" s="2"/>
      <c r="N461" s="2"/>
      <c r="O461" s="2"/>
      <c r="P461" s="2"/>
      <c r="Q461" s="2"/>
      <c r="R461" s="2"/>
      <c r="S461" s="2"/>
      <c r="T461" s="2"/>
      <c r="U461" s="2"/>
      <c r="V461" s="2"/>
      <c r="W461" s="2"/>
    </row>
    <row r="462">
      <c r="A462" s="2"/>
      <c r="B462" s="2"/>
      <c r="C462" s="2"/>
      <c r="D462" s="2"/>
      <c r="E462" s="2"/>
      <c r="F462" s="2"/>
      <c r="G462" s="2"/>
      <c r="H462" s="2"/>
      <c r="I462" s="2"/>
      <c r="J462" s="2"/>
      <c r="K462" s="2"/>
      <c r="L462" s="2"/>
      <c r="M462" s="2"/>
      <c r="N462" s="2"/>
      <c r="O462" s="2"/>
      <c r="P462" s="2"/>
      <c r="Q462" s="2"/>
      <c r="R462" s="2"/>
      <c r="S462" s="2"/>
      <c r="T462" s="2"/>
      <c r="U462" s="2"/>
      <c r="V462" s="2"/>
      <c r="W462" s="2"/>
    </row>
    <row r="463">
      <c r="A463" s="2"/>
      <c r="B463" s="2"/>
      <c r="C463" s="2"/>
      <c r="D463" s="2"/>
      <c r="E463" s="2"/>
      <c r="F463" s="2"/>
      <c r="G463" s="2"/>
      <c r="H463" s="2"/>
      <c r="I463" s="2"/>
      <c r="J463" s="2"/>
      <c r="K463" s="2"/>
      <c r="L463" s="2"/>
      <c r="M463" s="2"/>
      <c r="N463" s="2"/>
      <c r="O463" s="2"/>
      <c r="P463" s="2"/>
      <c r="Q463" s="2"/>
      <c r="R463" s="2"/>
      <c r="S463" s="2"/>
      <c r="T463" s="2"/>
      <c r="U463" s="2"/>
      <c r="V463" s="2"/>
      <c r="W463" s="2"/>
    </row>
    <row r="464">
      <c r="A464" s="2"/>
      <c r="B464" s="2"/>
      <c r="C464" s="2"/>
      <c r="D464" s="2"/>
      <c r="E464" s="2"/>
      <c r="F464" s="2"/>
      <c r="G464" s="2"/>
      <c r="H464" s="2"/>
      <c r="I464" s="2"/>
      <c r="J464" s="2"/>
      <c r="K464" s="2"/>
      <c r="L464" s="2"/>
      <c r="M464" s="2"/>
      <c r="N464" s="2"/>
      <c r="O464" s="2"/>
      <c r="P464" s="2"/>
      <c r="Q464" s="2"/>
      <c r="R464" s="2"/>
      <c r="S464" s="2"/>
      <c r="T464" s="2"/>
      <c r="U464" s="2"/>
      <c r="V464" s="2"/>
      <c r="W464" s="2"/>
    </row>
    <row r="465">
      <c r="A465" s="2"/>
      <c r="B465" s="2"/>
      <c r="C465" s="2"/>
      <c r="D465" s="2"/>
      <c r="E465" s="2"/>
      <c r="F465" s="2"/>
      <c r="G465" s="2"/>
      <c r="H465" s="2"/>
      <c r="I465" s="2"/>
      <c r="J465" s="2"/>
      <c r="K465" s="2"/>
      <c r="L465" s="2"/>
      <c r="M465" s="2"/>
      <c r="N465" s="2"/>
      <c r="O465" s="2"/>
      <c r="P465" s="2"/>
      <c r="Q465" s="2"/>
      <c r="R465" s="2"/>
      <c r="S465" s="2"/>
      <c r="T465" s="2"/>
      <c r="U465" s="2"/>
      <c r="V465" s="2"/>
      <c r="W465" s="2"/>
    </row>
    <row r="466">
      <c r="A466" s="2"/>
      <c r="B466" s="2"/>
      <c r="C466" s="2"/>
      <c r="D466" s="2"/>
      <c r="E466" s="2"/>
      <c r="F466" s="2"/>
      <c r="G466" s="2"/>
      <c r="H466" s="2"/>
      <c r="I466" s="2"/>
      <c r="J466" s="2"/>
      <c r="K466" s="2"/>
      <c r="L466" s="2"/>
      <c r="M466" s="2"/>
      <c r="N466" s="2"/>
      <c r="O466" s="2"/>
      <c r="P466" s="2"/>
      <c r="Q466" s="2"/>
      <c r="R466" s="2"/>
      <c r="S466" s="2"/>
      <c r="T466" s="2"/>
      <c r="U466" s="2"/>
      <c r="V466" s="2"/>
      <c r="W466" s="2"/>
    </row>
    <row r="467">
      <c r="A467" s="2"/>
      <c r="B467" s="2"/>
      <c r="C467" s="2"/>
      <c r="D467" s="2"/>
      <c r="E467" s="2"/>
      <c r="F467" s="2"/>
      <c r="G467" s="2"/>
      <c r="H467" s="2"/>
      <c r="I467" s="2"/>
      <c r="J467" s="2"/>
      <c r="K467" s="2"/>
      <c r="L467" s="2"/>
      <c r="M467" s="2"/>
      <c r="N467" s="2"/>
      <c r="O467" s="2"/>
      <c r="P467" s="2"/>
      <c r="Q467" s="2"/>
      <c r="R467" s="2"/>
      <c r="S467" s="2"/>
      <c r="T467" s="2"/>
      <c r="U467" s="2"/>
      <c r="V467" s="2"/>
      <c r="W467" s="2"/>
    </row>
    <row r="468">
      <c r="A468" s="2"/>
      <c r="B468" s="2"/>
      <c r="C468" s="2"/>
      <c r="D468" s="2"/>
      <c r="E468" s="2"/>
      <c r="F468" s="2"/>
      <c r="G468" s="2"/>
      <c r="H468" s="2"/>
      <c r="I468" s="2"/>
      <c r="J468" s="2"/>
      <c r="K468" s="2"/>
      <c r="L468" s="2"/>
      <c r="M468" s="2"/>
      <c r="N468" s="2"/>
      <c r="O468" s="2"/>
      <c r="P468" s="2"/>
      <c r="Q468" s="2"/>
      <c r="R468" s="2"/>
      <c r="S468" s="2"/>
      <c r="T468" s="2"/>
      <c r="U468" s="2"/>
      <c r="V468" s="2"/>
      <c r="W468" s="2"/>
    </row>
    <row r="469">
      <c r="A469" s="2"/>
      <c r="B469" s="2"/>
      <c r="C469" s="2"/>
      <c r="D469" s="2"/>
      <c r="E469" s="2"/>
      <c r="F469" s="2"/>
      <c r="G469" s="2"/>
      <c r="H469" s="2"/>
      <c r="I469" s="2"/>
      <c r="J469" s="2"/>
      <c r="K469" s="2"/>
      <c r="L469" s="2"/>
      <c r="M469" s="2"/>
      <c r="N469" s="2"/>
      <c r="O469" s="2"/>
      <c r="P469" s="2"/>
      <c r="Q469" s="2"/>
      <c r="R469" s="2"/>
      <c r="S469" s="2"/>
      <c r="T469" s="2"/>
      <c r="U469" s="2"/>
      <c r="V469" s="2"/>
      <c r="W469" s="2"/>
    </row>
    <row r="470">
      <c r="A470" s="2"/>
      <c r="B470" s="2"/>
      <c r="C470" s="2"/>
      <c r="D470" s="2"/>
      <c r="E470" s="2"/>
      <c r="F470" s="2"/>
      <c r="G470" s="2"/>
      <c r="H470" s="2"/>
      <c r="I470" s="2"/>
      <c r="J470" s="2"/>
      <c r="K470" s="2"/>
      <c r="L470" s="2"/>
      <c r="M470" s="2"/>
      <c r="N470" s="2"/>
      <c r="O470" s="2"/>
      <c r="P470" s="2"/>
      <c r="Q470" s="2"/>
      <c r="R470" s="2"/>
      <c r="S470" s="2"/>
      <c r="T470" s="2"/>
      <c r="U470" s="2"/>
      <c r="V470" s="2"/>
      <c r="W470" s="2"/>
    </row>
    <row r="471">
      <c r="A471" s="2"/>
      <c r="B471" s="2"/>
      <c r="C471" s="2"/>
      <c r="D471" s="2"/>
      <c r="E471" s="2"/>
      <c r="F471" s="2"/>
      <c r="G471" s="2"/>
      <c r="H471" s="2"/>
      <c r="I471" s="2"/>
      <c r="J471" s="2"/>
      <c r="K471" s="2"/>
      <c r="L471" s="2"/>
      <c r="M471" s="2"/>
      <c r="N471" s="2"/>
      <c r="O471" s="2"/>
      <c r="P471" s="2"/>
      <c r="Q471" s="2"/>
      <c r="R471" s="2"/>
      <c r="S471" s="2"/>
      <c r="T471" s="2"/>
      <c r="U471" s="2"/>
      <c r="V471" s="2"/>
      <c r="W471" s="2"/>
    </row>
    <row r="472">
      <c r="A472" s="2"/>
      <c r="B472" s="2"/>
      <c r="C472" s="2"/>
      <c r="D472" s="2"/>
      <c r="E472" s="2"/>
      <c r="F472" s="2"/>
      <c r="G472" s="2"/>
      <c r="H472" s="2"/>
      <c r="I472" s="2"/>
      <c r="J472" s="2"/>
      <c r="K472" s="2"/>
      <c r="L472" s="2"/>
      <c r="M472" s="2"/>
      <c r="N472" s="2"/>
      <c r="O472" s="2"/>
      <c r="P472" s="2"/>
      <c r="Q472" s="2"/>
      <c r="R472" s="2"/>
      <c r="S472" s="2"/>
      <c r="T472" s="2"/>
      <c r="U472" s="2"/>
      <c r="V472" s="2"/>
      <c r="W472" s="2"/>
    </row>
    <row r="473">
      <c r="A473" s="2"/>
      <c r="B473" s="2"/>
      <c r="C473" s="2"/>
      <c r="D473" s="2"/>
      <c r="E473" s="2"/>
      <c r="F473" s="2"/>
      <c r="G473" s="2"/>
      <c r="H473" s="2"/>
      <c r="I473" s="2"/>
      <c r="J473" s="2"/>
      <c r="K473" s="2"/>
      <c r="L473" s="2"/>
      <c r="M473" s="2"/>
      <c r="N473" s="2"/>
      <c r="O473" s="2"/>
      <c r="P473" s="2"/>
      <c r="Q473" s="2"/>
      <c r="R473" s="2"/>
      <c r="S473" s="2"/>
      <c r="T473" s="2"/>
      <c r="U473" s="2"/>
      <c r="V473" s="2"/>
      <c r="W473" s="2"/>
    </row>
    <row r="474">
      <c r="A474" s="2"/>
      <c r="B474" s="2"/>
      <c r="C474" s="2"/>
      <c r="D474" s="2"/>
      <c r="E474" s="2"/>
      <c r="F474" s="2"/>
      <c r="G474" s="2"/>
      <c r="H474" s="2"/>
      <c r="I474" s="2"/>
      <c r="J474" s="2"/>
      <c r="K474" s="2"/>
      <c r="L474" s="2"/>
      <c r="M474" s="2"/>
      <c r="N474" s="2"/>
      <c r="O474" s="2"/>
      <c r="P474" s="2"/>
      <c r="Q474" s="2"/>
      <c r="R474" s="2"/>
      <c r="S474" s="2"/>
      <c r="T474" s="2"/>
      <c r="U474" s="2"/>
      <c r="V474" s="2"/>
      <c r="W474" s="2"/>
    </row>
    <row r="475">
      <c r="A475" s="2"/>
      <c r="B475" s="2"/>
      <c r="C475" s="2"/>
      <c r="D475" s="2"/>
      <c r="E475" s="2"/>
      <c r="F475" s="2"/>
      <c r="G475" s="2"/>
      <c r="H475" s="2"/>
      <c r="I475" s="2"/>
      <c r="J475" s="2"/>
      <c r="K475" s="2"/>
      <c r="L475" s="2"/>
      <c r="M475" s="2"/>
      <c r="N475" s="2"/>
      <c r="O475" s="2"/>
      <c r="P475" s="2"/>
      <c r="Q475" s="2"/>
      <c r="R475" s="2"/>
      <c r="S475" s="2"/>
      <c r="T475" s="2"/>
      <c r="U475" s="2"/>
      <c r="V475" s="2"/>
      <c r="W475" s="2"/>
    </row>
    <row r="476">
      <c r="A476" s="2"/>
      <c r="B476" s="2"/>
      <c r="C476" s="2"/>
      <c r="D476" s="2"/>
      <c r="E476" s="2"/>
      <c r="F476" s="2"/>
      <c r="G476" s="2"/>
      <c r="H476" s="2"/>
      <c r="I476" s="2"/>
      <c r="J476" s="2"/>
      <c r="K476" s="2"/>
      <c r="L476" s="2"/>
      <c r="M476" s="2"/>
      <c r="N476" s="2"/>
      <c r="O476" s="2"/>
      <c r="P476" s="2"/>
      <c r="Q476" s="2"/>
      <c r="R476" s="2"/>
      <c r="S476" s="2"/>
      <c r="T476" s="2"/>
      <c r="U476" s="2"/>
      <c r="V476" s="2"/>
      <c r="W476" s="2"/>
    </row>
    <row r="477">
      <c r="A477" s="2"/>
      <c r="B477" s="2"/>
      <c r="C477" s="2"/>
      <c r="D477" s="2"/>
      <c r="E477" s="2"/>
      <c r="F477" s="2"/>
      <c r="G477" s="2"/>
      <c r="H477" s="2"/>
      <c r="I477" s="2"/>
      <c r="J477" s="2"/>
      <c r="K477" s="2"/>
      <c r="L477" s="2"/>
      <c r="M477" s="2"/>
      <c r="N477" s="2"/>
      <c r="O477" s="2"/>
      <c r="P477" s="2"/>
      <c r="Q477" s="2"/>
      <c r="R477" s="2"/>
      <c r="S477" s="2"/>
      <c r="T477" s="2"/>
      <c r="U477" s="2"/>
      <c r="V477" s="2"/>
      <c r="W477" s="2"/>
    </row>
    <row r="478">
      <c r="A478" s="2"/>
      <c r="B478" s="2"/>
      <c r="C478" s="2"/>
      <c r="D478" s="2"/>
      <c r="E478" s="2"/>
      <c r="F478" s="2"/>
      <c r="G478" s="2"/>
      <c r="H478" s="2"/>
      <c r="I478" s="2"/>
      <c r="J478" s="2"/>
      <c r="K478" s="2"/>
      <c r="L478" s="2"/>
      <c r="M478" s="2"/>
      <c r="N478" s="2"/>
      <c r="O478" s="2"/>
      <c r="P478" s="2"/>
      <c r="Q478" s="2"/>
      <c r="R478" s="2"/>
      <c r="S478" s="2"/>
      <c r="T478" s="2"/>
      <c r="U478" s="2"/>
      <c r="V478" s="2"/>
      <c r="W478" s="2"/>
    </row>
    <row r="479">
      <c r="A479" s="2"/>
      <c r="B479" s="2"/>
      <c r="C479" s="2"/>
      <c r="D479" s="2"/>
      <c r="E479" s="2"/>
      <c r="F479" s="2"/>
      <c r="G479" s="2"/>
      <c r="H479" s="2"/>
      <c r="I479" s="2"/>
      <c r="J479" s="2"/>
      <c r="K479" s="2"/>
      <c r="L479" s="2"/>
      <c r="M479" s="2"/>
      <c r="N479" s="2"/>
      <c r="O479" s="2"/>
      <c r="P479" s="2"/>
      <c r="Q479" s="2"/>
      <c r="R479" s="2"/>
      <c r="S479" s="2"/>
      <c r="T479" s="2"/>
      <c r="U479" s="2"/>
      <c r="V479" s="2"/>
      <c r="W479" s="2"/>
    </row>
    <row r="480">
      <c r="A480" s="2"/>
      <c r="B480" s="2"/>
      <c r="C480" s="2"/>
      <c r="D480" s="2"/>
      <c r="E480" s="2"/>
      <c r="F480" s="2"/>
      <c r="G480" s="2"/>
      <c r="H480" s="2"/>
      <c r="I480" s="2"/>
      <c r="J480" s="2"/>
      <c r="K480" s="2"/>
      <c r="L480" s="2"/>
      <c r="M480" s="2"/>
      <c r="N480" s="2"/>
      <c r="O480" s="2"/>
      <c r="P480" s="2"/>
      <c r="Q480" s="2"/>
      <c r="R480" s="2"/>
      <c r="S480" s="2"/>
      <c r="T480" s="2"/>
      <c r="U480" s="2"/>
      <c r="V480" s="2"/>
      <c r="W480" s="2"/>
    </row>
    <row r="481">
      <c r="A481" s="2"/>
      <c r="B481" s="2"/>
      <c r="C481" s="2"/>
      <c r="D481" s="2"/>
      <c r="E481" s="2"/>
      <c r="F481" s="2"/>
      <c r="G481" s="2"/>
      <c r="H481" s="2"/>
      <c r="I481" s="2"/>
      <c r="J481" s="2"/>
      <c r="K481" s="2"/>
      <c r="L481" s="2"/>
      <c r="M481" s="2"/>
      <c r="N481" s="2"/>
      <c r="O481" s="2"/>
      <c r="P481" s="2"/>
      <c r="Q481" s="2"/>
      <c r="R481" s="2"/>
      <c r="S481" s="2"/>
      <c r="T481" s="2"/>
      <c r="U481" s="2"/>
      <c r="V481" s="2"/>
      <c r="W481" s="2"/>
    </row>
    <row r="482">
      <c r="A482" s="2"/>
      <c r="B482" s="2"/>
      <c r="C482" s="2"/>
      <c r="D482" s="2"/>
      <c r="E482" s="2"/>
      <c r="F482" s="2"/>
      <c r="G482" s="2"/>
      <c r="H482" s="2"/>
      <c r="I482" s="2"/>
      <c r="J482" s="2"/>
      <c r="K482" s="2"/>
      <c r="L482" s="2"/>
      <c r="M482" s="2"/>
      <c r="N482" s="2"/>
      <c r="O482" s="2"/>
      <c r="P482" s="2"/>
      <c r="Q482" s="2"/>
      <c r="R482" s="2"/>
      <c r="S482" s="2"/>
      <c r="T482" s="2"/>
      <c r="U482" s="2"/>
      <c r="V482" s="2"/>
      <c r="W482" s="2"/>
    </row>
    <row r="483">
      <c r="A483" s="2"/>
      <c r="B483" s="2"/>
      <c r="C483" s="2"/>
      <c r="D483" s="2"/>
      <c r="E483" s="2"/>
      <c r="F483" s="2"/>
      <c r="G483" s="2"/>
      <c r="H483" s="2"/>
      <c r="I483" s="2"/>
      <c r="J483" s="2"/>
      <c r="K483" s="2"/>
      <c r="L483" s="2"/>
      <c r="M483" s="2"/>
      <c r="N483" s="2"/>
      <c r="O483" s="2"/>
      <c r="P483" s="2"/>
      <c r="Q483" s="2"/>
      <c r="R483" s="2"/>
      <c r="S483" s="2"/>
      <c r="T483" s="2"/>
      <c r="U483" s="2"/>
      <c r="V483" s="2"/>
      <c r="W483" s="2"/>
    </row>
    <row r="484">
      <c r="A484" s="2"/>
      <c r="B484" s="2"/>
      <c r="C484" s="2"/>
      <c r="D484" s="2"/>
      <c r="E484" s="2"/>
      <c r="F484" s="2"/>
      <c r="G484" s="2"/>
      <c r="H484" s="2"/>
      <c r="I484" s="2"/>
      <c r="J484" s="2"/>
      <c r="K484" s="2"/>
      <c r="L484" s="2"/>
      <c r="M484" s="2"/>
      <c r="N484" s="2"/>
      <c r="O484" s="2"/>
      <c r="P484" s="2"/>
      <c r="Q484" s="2"/>
      <c r="R484" s="2"/>
      <c r="S484" s="2"/>
      <c r="T484" s="2"/>
      <c r="U484" s="2"/>
      <c r="V484" s="2"/>
      <c r="W484" s="2"/>
    </row>
    <row r="485">
      <c r="A485" s="2"/>
      <c r="B485" s="2"/>
      <c r="C485" s="2"/>
      <c r="D485" s="2"/>
      <c r="E485" s="2"/>
      <c r="F485" s="2"/>
      <c r="G485" s="2"/>
      <c r="H485" s="2"/>
      <c r="I485" s="2"/>
      <c r="J485" s="2"/>
      <c r="K485" s="2"/>
      <c r="L485" s="2"/>
      <c r="M485" s="2"/>
      <c r="N485" s="2"/>
      <c r="O485" s="2"/>
      <c r="P485" s="2"/>
      <c r="Q485" s="2"/>
      <c r="R485" s="2"/>
      <c r="S485" s="2"/>
      <c r="T485" s="2"/>
      <c r="U485" s="2"/>
      <c r="V485" s="2"/>
      <c r="W485" s="2"/>
    </row>
    <row r="486">
      <c r="A486" s="2"/>
      <c r="B486" s="2"/>
      <c r="C486" s="2"/>
      <c r="D486" s="2"/>
      <c r="E486" s="2"/>
      <c r="F486" s="2"/>
      <c r="G486" s="2"/>
      <c r="H486" s="2"/>
      <c r="I486" s="2"/>
      <c r="J486" s="2"/>
      <c r="K486" s="2"/>
      <c r="L486" s="2"/>
      <c r="M486" s="2"/>
      <c r="N486" s="2"/>
      <c r="O486" s="2"/>
      <c r="P486" s="2"/>
      <c r="Q486" s="2"/>
      <c r="R486" s="2"/>
      <c r="S486" s="2"/>
      <c r="T486" s="2"/>
      <c r="U486" s="2"/>
      <c r="V486" s="2"/>
      <c r="W486" s="2"/>
    </row>
    <row r="487">
      <c r="A487" s="2"/>
      <c r="B487" s="2"/>
      <c r="C487" s="2"/>
      <c r="D487" s="2"/>
      <c r="E487" s="2"/>
      <c r="F487" s="2"/>
      <c r="G487" s="2"/>
      <c r="H487" s="2"/>
      <c r="I487" s="2"/>
      <c r="J487" s="2"/>
      <c r="K487" s="2"/>
      <c r="L487" s="2"/>
      <c r="M487" s="2"/>
      <c r="N487" s="2"/>
      <c r="O487" s="2"/>
      <c r="P487" s="2"/>
      <c r="Q487" s="2"/>
      <c r="R487" s="2"/>
      <c r="S487" s="2"/>
      <c r="T487" s="2"/>
      <c r="U487" s="2"/>
      <c r="V487" s="2"/>
      <c r="W487" s="2"/>
    </row>
    <row r="488">
      <c r="A488" s="2"/>
      <c r="B488" s="2"/>
      <c r="C488" s="2"/>
      <c r="D488" s="2"/>
      <c r="E488" s="2"/>
      <c r="F488" s="2"/>
      <c r="G488" s="2"/>
      <c r="H488" s="2"/>
      <c r="I488" s="2"/>
      <c r="J488" s="2"/>
      <c r="K488" s="2"/>
      <c r="L488" s="2"/>
      <c r="M488" s="2"/>
      <c r="N488" s="2"/>
      <c r="O488" s="2"/>
      <c r="P488" s="2"/>
      <c r="Q488" s="2"/>
      <c r="R488" s="2"/>
      <c r="S488" s="2"/>
      <c r="T488" s="2"/>
      <c r="U488" s="2"/>
      <c r="V488" s="2"/>
      <c r="W488" s="2"/>
    </row>
    <row r="489">
      <c r="A489" s="2"/>
      <c r="B489" s="2"/>
      <c r="C489" s="2"/>
      <c r="D489" s="2"/>
      <c r="E489" s="2"/>
      <c r="F489" s="2"/>
      <c r="G489" s="2"/>
      <c r="H489" s="2"/>
      <c r="I489" s="2"/>
      <c r="J489" s="2"/>
      <c r="K489" s="2"/>
      <c r="L489" s="2"/>
      <c r="M489" s="2"/>
      <c r="N489" s="2"/>
      <c r="O489" s="2"/>
      <c r="P489" s="2"/>
      <c r="Q489" s="2"/>
      <c r="R489" s="2"/>
      <c r="S489" s="2"/>
      <c r="T489" s="2"/>
      <c r="U489" s="2"/>
      <c r="V489" s="2"/>
      <c r="W489" s="2"/>
    </row>
    <row r="490">
      <c r="A490" s="2"/>
      <c r="B490" s="2"/>
      <c r="C490" s="2"/>
      <c r="D490" s="2"/>
      <c r="E490" s="2"/>
      <c r="F490" s="2"/>
      <c r="G490" s="2"/>
      <c r="H490" s="2"/>
      <c r="I490" s="2"/>
      <c r="J490" s="2"/>
      <c r="K490" s="2"/>
      <c r="L490" s="2"/>
      <c r="M490" s="2"/>
      <c r="N490" s="2"/>
      <c r="O490" s="2"/>
      <c r="P490" s="2"/>
      <c r="Q490" s="2"/>
      <c r="R490" s="2"/>
      <c r="S490" s="2"/>
      <c r="T490" s="2"/>
      <c r="U490" s="2"/>
      <c r="V490" s="2"/>
      <c r="W490" s="2"/>
    </row>
    <row r="491">
      <c r="A491" s="2"/>
      <c r="B491" s="2"/>
      <c r="C491" s="2"/>
      <c r="D491" s="2"/>
      <c r="E491" s="2"/>
      <c r="F491" s="2"/>
      <c r="G491" s="2"/>
      <c r="H491" s="2"/>
      <c r="I491" s="2"/>
      <c r="J491" s="2"/>
      <c r="K491" s="2"/>
      <c r="L491" s="2"/>
      <c r="M491" s="2"/>
      <c r="N491" s="2"/>
      <c r="O491" s="2"/>
      <c r="P491" s="2"/>
      <c r="Q491" s="2"/>
      <c r="R491" s="2"/>
      <c r="S491" s="2"/>
      <c r="T491" s="2"/>
      <c r="U491" s="2"/>
      <c r="V491" s="2"/>
      <c r="W491" s="2"/>
    </row>
    <row r="492">
      <c r="A492" s="2"/>
      <c r="B492" s="2"/>
      <c r="C492" s="2"/>
      <c r="D492" s="2"/>
      <c r="E492" s="2"/>
      <c r="F492" s="2"/>
      <c r="G492" s="2"/>
      <c r="H492" s="2"/>
      <c r="I492" s="2"/>
      <c r="J492" s="2"/>
      <c r="K492" s="2"/>
      <c r="L492" s="2"/>
      <c r="M492" s="2"/>
      <c r="N492" s="2"/>
      <c r="O492" s="2"/>
      <c r="P492" s="2"/>
      <c r="Q492" s="2"/>
      <c r="R492" s="2"/>
      <c r="S492" s="2"/>
      <c r="T492" s="2"/>
      <c r="U492" s="2"/>
      <c r="V492" s="2"/>
      <c r="W492" s="2"/>
    </row>
    <row r="493">
      <c r="A493" s="2"/>
      <c r="B493" s="2"/>
      <c r="C493" s="2"/>
      <c r="D493" s="2"/>
      <c r="E493" s="2"/>
      <c r="F493" s="2"/>
      <c r="G493" s="2"/>
      <c r="H493" s="2"/>
      <c r="I493" s="2"/>
      <c r="J493" s="2"/>
      <c r="K493" s="2"/>
      <c r="L493" s="2"/>
      <c r="M493" s="2"/>
      <c r="N493" s="2"/>
      <c r="O493" s="2"/>
      <c r="P493" s="2"/>
      <c r="Q493" s="2"/>
      <c r="R493" s="2"/>
      <c r="S493" s="2"/>
      <c r="T493" s="2"/>
      <c r="U493" s="2"/>
      <c r="V493" s="2"/>
      <c r="W493" s="2"/>
    </row>
    <row r="494">
      <c r="A494" s="2"/>
      <c r="B494" s="2"/>
      <c r="C494" s="2"/>
      <c r="D494" s="2"/>
      <c r="E494" s="2"/>
      <c r="F494" s="2"/>
      <c r="G494" s="2"/>
      <c r="H494" s="2"/>
      <c r="I494" s="2"/>
      <c r="J494" s="2"/>
      <c r="K494" s="2"/>
      <c r="L494" s="2"/>
      <c r="M494" s="2"/>
      <c r="N494" s="2"/>
      <c r="O494" s="2"/>
      <c r="P494" s="2"/>
      <c r="Q494" s="2"/>
      <c r="R494" s="2"/>
      <c r="S494" s="2"/>
      <c r="T494" s="2"/>
      <c r="U494" s="2"/>
      <c r="V494" s="2"/>
      <c r="W494" s="2"/>
    </row>
    <row r="495">
      <c r="A495" s="2"/>
      <c r="B495" s="2"/>
      <c r="C495" s="2"/>
      <c r="D495" s="2"/>
      <c r="E495" s="2"/>
      <c r="F495" s="2"/>
      <c r="G495" s="2"/>
      <c r="H495" s="2"/>
      <c r="I495" s="2"/>
      <c r="J495" s="2"/>
      <c r="K495" s="2"/>
      <c r="L495" s="2"/>
      <c r="M495" s="2"/>
      <c r="N495" s="2"/>
      <c r="O495" s="2"/>
      <c r="P495" s="2"/>
      <c r="Q495" s="2"/>
      <c r="R495" s="2"/>
      <c r="S495" s="2"/>
      <c r="T495" s="2"/>
      <c r="U495" s="2"/>
      <c r="V495" s="2"/>
      <c r="W495" s="2"/>
    </row>
    <row r="496">
      <c r="A496" s="2"/>
      <c r="B496" s="2"/>
      <c r="C496" s="2"/>
      <c r="D496" s="2"/>
      <c r="E496" s="2"/>
      <c r="F496" s="2"/>
      <c r="G496" s="2"/>
      <c r="H496" s="2"/>
      <c r="I496" s="2"/>
      <c r="J496" s="2"/>
      <c r="K496" s="2"/>
      <c r="L496" s="2"/>
      <c r="M496" s="2"/>
      <c r="N496" s="2"/>
      <c r="O496" s="2"/>
      <c r="P496" s="2"/>
      <c r="Q496" s="2"/>
      <c r="R496" s="2"/>
      <c r="S496" s="2"/>
      <c r="T496" s="2"/>
      <c r="U496" s="2"/>
      <c r="V496" s="2"/>
      <c r="W496" s="2"/>
    </row>
    <row r="497">
      <c r="A497" s="2"/>
      <c r="B497" s="2"/>
      <c r="C497" s="2"/>
      <c r="D497" s="2"/>
      <c r="E497" s="2"/>
      <c r="F497" s="2"/>
      <c r="G497" s="2"/>
      <c r="H497" s="2"/>
      <c r="I497" s="2"/>
      <c r="J497" s="2"/>
      <c r="K497" s="2"/>
      <c r="L497" s="2"/>
      <c r="M497" s="2"/>
      <c r="N497" s="2"/>
      <c r="O497" s="2"/>
      <c r="P497" s="2"/>
      <c r="Q497" s="2"/>
      <c r="R497" s="2"/>
      <c r="S497" s="2"/>
      <c r="T497" s="2"/>
      <c r="U497" s="2"/>
      <c r="V497" s="2"/>
      <c r="W497" s="2"/>
    </row>
    <row r="498">
      <c r="A498" s="2"/>
      <c r="B498" s="2"/>
      <c r="C498" s="2"/>
      <c r="D498" s="2"/>
      <c r="E498" s="2"/>
      <c r="F498" s="2"/>
      <c r="G498" s="2"/>
      <c r="H498" s="2"/>
      <c r="I498" s="2"/>
      <c r="J498" s="2"/>
      <c r="K498" s="2"/>
      <c r="L498" s="2"/>
      <c r="M498" s="2"/>
      <c r="N498" s="2"/>
      <c r="O498" s="2"/>
      <c r="P498" s="2"/>
      <c r="Q498" s="2"/>
      <c r="R498" s="2"/>
      <c r="S498" s="2"/>
      <c r="T498" s="2"/>
      <c r="U498" s="2"/>
      <c r="V498" s="2"/>
      <c r="W498" s="2"/>
    </row>
    <row r="499">
      <c r="A499" s="2"/>
      <c r="B499" s="2"/>
      <c r="C499" s="2"/>
      <c r="D499" s="2"/>
      <c r="E499" s="2"/>
      <c r="F499" s="2"/>
      <c r="G499" s="2"/>
      <c r="H499" s="2"/>
      <c r="I499" s="2"/>
      <c r="J499" s="2"/>
      <c r="K499" s="2"/>
      <c r="L499" s="2"/>
      <c r="M499" s="2"/>
      <c r="N499" s="2"/>
      <c r="O499" s="2"/>
      <c r="P499" s="2"/>
      <c r="Q499" s="2"/>
      <c r="R499" s="2"/>
      <c r="S499" s="2"/>
      <c r="T499" s="2"/>
      <c r="U499" s="2"/>
      <c r="V499" s="2"/>
      <c r="W499" s="2"/>
    </row>
    <row r="500">
      <c r="A500" s="2"/>
      <c r="B500" s="2"/>
      <c r="C500" s="2"/>
      <c r="D500" s="2"/>
      <c r="E500" s="2"/>
      <c r="F500" s="2"/>
      <c r="G500" s="2"/>
      <c r="H500" s="2"/>
      <c r="I500" s="2"/>
      <c r="J500" s="2"/>
      <c r="K500" s="2"/>
      <c r="L500" s="2"/>
      <c r="M500" s="2"/>
      <c r="N500" s="2"/>
      <c r="O500" s="2"/>
      <c r="P500" s="2"/>
      <c r="Q500" s="2"/>
      <c r="R500" s="2"/>
      <c r="S500" s="2"/>
      <c r="T500" s="2"/>
      <c r="U500" s="2"/>
      <c r="V500" s="2"/>
      <c r="W500" s="2"/>
    </row>
    <row r="501">
      <c r="A501" s="2"/>
      <c r="B501" s="2"/>
      <c r="C501" s="2"/>
      <c r="D501" s="2"/>
      <c r="E501" s="2"/>
      <c r="F501" s="2"/>
      <c r="G501" s="2"/>
      <c r="H501" s="2"/>
      <c r="I501" s="2"/>
      <c r="J501" s="2"/>
      <c r="K501" s="2"/>
      <c r="L501" s="2"/>
      <c r="M501" s="2"/>
      <c r="N501" s="2"/>
      <c r="O501" s="2"/>
      <c r="P501" s="2"/>
      <c r="Q501" s="2"/>
      <c r="R501" s="2"/>
      <c r="S501" s="2"/>
      <c r="T501" s="2"/>
      <c r="U501" s="2"/>
      <c r="V501" s="2"/>
      <c r="W501" s="2"/>
    </row>
    <row r="502">
      <c r="A502" s="2"/>
      <c r="B502" s="2"/>
      <c r="C502" s="2"/>
      <c r="D502" s="2"/>
      <c r="E502" s="2"/>
      <c r="F502" s="2"/>
      <c r="G502" s="2"/>
      <c r="H502" s="2"/>
      <c r="I502" s="2"/>
      <c r="J502" s="2"/>
      <c r="K502" s="2"/>
      <c r="L502" s="2"/>
      <c r="M502" s="2"/>
      <c r="N502" s="2"/>
      <c r="O502" s="2"/>
      <c r="P502" s="2"/>
      <c r="Q502" s="2"/>
      <c r="R502" s="2"/>
      <c r="S502" s="2"/>
      <c r="T502" s="2"/>
      <c r="U502" s="2"/>
      <c r="V502" s="2"/>
      <c r="W502" s="2"/>
    </row>
    <row r="503">
      <c r="A503" s="2"/>
      <c r="B503" s="2"/>
      <c r="C503" s="2"/>
      <c r="D503" s="2"/>
      <c r="E503" s="2"/>
      <c r="F503" s="2"/>
      <c r="G503" s="2"/>
      <c r="H503" s="2"/>
      <c r="I503" s="2"/>
      <c r="J503" s="2"/>
      <c r="K503" s="2"/>
      <c r="L503" s="2"/>
      <c r="M503" s="2"/>
      <c r="N503" s="2"/>
      <c r="O503" s="2"/>
      <c r="P503" s="2"/>
      <c r="Q503" s="2"/>
      <c r="R503" s="2"/>
      <c r="S503" s="2"/>
      <c r="T503" s="2"/>
      <c r="U503" s="2"/>
      <c r="V503" s="2"/>
      <c r="W503" s="2"/>
    </row>
    <row r="504">
      <c r="A504" s="2"/>
      <c r="B504" s="2"/>
      <c r="C504" s="2"/>
      <c r="D504" s="2"/>
      <c r="E504" s="2"/>
      <c r="F504" s="2"/>
      <c r="G504" s="2"/>
      <c r="H504" s="2"/>
      <c r="I504" s="2"/>
      <c r="J504" s="2"/>
      <c r="K504" s="2"/>
      <c r="L504" s="2"/>
      <c r="M504" s="2"/>
      <c r="N504" s="2"/>
      <c r="O504" s="2"/>
      <c r="P504" s="2"/>
      <c r="Q504" s="2"/>
      <c r="R504" s="2"/>
      <c r="S504" s="2"/>
      <c r="T504" s="2"/>
      <c r="U504" s="2"/>
      <c r="V504" s="2"/>
      <c r="W504" s="2"/>
    </row>
    <row r="505">
      <c r="A505" s="2"/>
      <c r="B505" s="2"/>
      <c r="C505" s="2"/>
      <c r="D505" s="2"/>
      <c r="E505" s="2"/>
      <c r="F505" s="2"/>
      <c r="G505" s="2"/>
      <c r="H505" s="2"/>
      <c r="I505" s="2"/>
      <c r="J505" s="2"/>
      <c r="K505" s="2"/>
      <c r="L505" s="2"/>
      <c r="M505" s="2"/>
      <c r="N505" s="2"/>
      <c r="O505" s="2"/>
      <c r="P505" s="2"/>
      <c r="Q505" s="2"/>
      <c r="R505" s="2"/>
      <c r="S505" s="2"/>
      <c r="T505" s="2"/>
      <c r="U505" s="2"/>
      <c r="V505" s="2"/>
      <c r="W505" s="2"/>
    </row>
    <row r="506">
      <c r="A506" s="2"/>
      <c r="B506" s="2"/>
      <c r="C506" s="2"/>
      <c r="D506" s="2"/>
      <c r="E506" s="2"/>
      <c r="F506" s="2"/>
      <c r="G506" s="2"/>
      <c r="H506" s="2"/>
      <c r="I506" s="2"/>
      <c r="J506" s="2"/>
      <c r="K506" s="2"/>
      <c r="L506" s="2"/>
      <c r="M506" s="2"/>
      <c r="N506" s="2"/>
      <c r="O506" s="2"/>
      <c r="P506" s="2"/>
      <c r="Q506" s="2"/>
      <c r="R506" s="2"/>
      <c r="S506" s="2"/>
      <c r="T506" s="2"/>
      <c r="U506" s="2"/>
      <c r="V506" s="2"/>
      <c r="W506" s="2"/>
    </row>
    <row r="507">
      <c r="A507" s="2"/>
      <c r="B507" s="2"/>
      <c r="C507" s="2"/>
      <c r="D507" s="2"/>
      <c r="E507" s="2"/>
      <c r="F507" s="2"/>
      <c r="G507" s="2"/>
      <c r="H507" s="2"/>
      <c r="I507" s="2"/>
      <c r="J507" s="2"/>
      <c r="K507" s="2"/>
      <c r="L507" s="2"/>
      <c r="M507" s="2"/>
      <c r="N507" s="2"/>
      <c r="O507" s="2"/>
      <c r="P507" s="2"/>
      <c r="Q507" s="2"/>
      <c r="R507" s="2"/>
      <c r="S507" s="2"/>
      <c r="T507" s="2"/>
      <c r="U507" s="2"/>
      <c r="V507" s="2"/>
      <c r="W507" s="2"/>
    </row>
    <row r="508">
      <c r="A508" s="2"/>
      <c r="B508" s="2"/>
      <c r="C508" s="2"/>
      <c r="D508" s="2"/>
      <c r="E508" s="2"/>
      <c r="F508" s="2"/>
      <c r="G508" s="2"/>
      <c r="H508" s="2"/>
      <c r="I508" s="2"/>
      <c r="J508" s="2"/>
      <c r="K508" s="2"/>
      <c r="L508" s="2"/>
      <c r="M508" s="2"/>
      <c r="N508" s="2"/>
      <c r="O508" s="2"/>
      <c r="P508" s="2"/>
      <c r="Q508" s="2"/>
      <c r="R508" s="2"/>
      <c r="S508" s="2"/>
      <c r="T508" s="2"/>
      <c r="U508" s="2"/>
      <c r="V508" s="2"/>
      <c r="W508" s="2"/>
    </row>
    <row r="509">
      <c r="A509" s="2"/>
      <c r="B509" s="2"/>
      <c r="C509" s="2"/>
      <c r="D509" s="2"/>
      <c r="E509" s="2"/>
      <c r="F509" s="2"/>
      <c r="G509" s="2"/>
      <c r="H509" s="2"/>
      <c r="I509" s="2"/>
      <c r="J509" s="2"/>
      <c r="K509" s="2"/>
      <c r="L509" s="2"/>
      <c r="M509" s="2"/>
      <c r="N509" s="2"/>
      <c r="O509" s="2"/>
      <c r="P509" s="2"/>
      <c r="Q509" s="2"/>
      <c r="R509" s="2"/>
      <c r="S509" s="2"/>
      <c r="T509" s="2"/>
      <c r="U509" s="2"/>
      <c r="V509" s="2"/>
      <c r="W509" s="2"/>
    </row>
    <row r="510">
      <c r="A510" s="2"/>
      <c r="B510" s="2"/>
      <c r="C510" s="2"/>
      <c r="D510" s="2"/>
      <c r="E510" s="2"/>
      <c r="F510" s="2"/>
      <c r="G510" s="2"/>
      <c r="H510" s="2"/>
      <c r="I510" s="2"/>
      <c r="J510" s="2"/>
      <c r="K510" s="2"/>
      <c r="L510" s="2"/>
      <c r="M510" s="2"/>
      <c r="N510" s="2"/>
      <c r="O510" s="2"/>
      <c r="P510" s="2"/>
      <c r="Q510" s="2"/>
      <c r="R510" s="2"/>
      <c r="S510" s="2"/>
      <c r="T510" s="2"/>
      <c r="U510" s="2"/>
      <c r="V510" s="2"/>
      <c r="W510" s="2"/>
    </row>
    <row r="511">
      <c r="A511" s="2"/>
      <c r="B511" s="2"/>
      <c r="C511" s="2"/>
      <c r="D511" s="2"/>
      <c r="E511" s="2"/>
      <c r="F511" s="2"/>
      <c r="G511" s="2"/>
      <c r="H511" s="2"/>
      <c r="I511" s="2"/>
      <c r="J511" s="2"/>
      <c r="K511" s="2"/>
      <c r="L511" s="2"/>
      <c r="M511" s="2"/>
      <c r="N511" s="2"/>
      <c r="O511" s="2"/>
      <c r="P511" s="2"/>
      <c r="Q511" s="2"/>
      <c r="R511" s="2"/>
      <c r="S511" s="2"/>
      <c r="T511" s="2"/>
      <c r="U511" s="2"/>
      <c r="V511" s="2"/>
      <c r="W511" s="2"/>
    </row>
    <row r="512">
      <c r="A512" s="2"/>
      <c r="B512" s="2"/>
      <c r="C512" s="2"/>
      <c r="D512" s="2"/>
      <c r="E512" s="2"/>
      <c r="F512" s="2"/>
      <c r="G512" s="2"/>
      <c r="H512" s="2"/>
      <c r="I512" s="2"/>
      <c r="J512" s="2"/>
      <c r="K512" s="2"/>
      <c r="L512" s="2"/>
      <c r="M512" s="2"/>
      <c r="N512" s="2"/>
      <c r="O512" s="2"/>
      <c r="P512" s="2"/>
      <c r="Q512" s="2"/>
      <c r="R512" s="2"/>
      <c r="S512" s="2"/>
      <c r="T512" s="2"/>
      <c r="U512" s="2"/>
      <c r="V512" s="2"/>
      <c r="W512" s="2"/>
    </row>
    <row r="513">
      <c r="A513" s="2"/>
      <c r="B513" s="2"/>
      <c r="C513" s="2"/>
      <c r="D513" s="2"/>
      <c r="E513" s="2"/>
      <c r="F513" s="2"/>
      <c r="G513" s="2"/>
      <c r="H513" s="2"/>
      <c r="I513" s="2"/>
      <c r="J513" s="2"/>
      <c r="K513" s="2"/>
      <c r="L513" s="2"/>
      <c r="M513" s="2"/>
      <c r="N513" s="2"/>
      <c r="O513" s="2"/>
      <c r="P513" s="2"/>
      <c r="Q513" s="2"/>
      <c r="R513" s="2"/>
      <c r="S513" s="2"/>
      <c r="T513" s="2"/>
      <c r="U513" s="2"/>
      <c r="V513" s="2"/>
      <c r="W513" s="2"/>
    </row>
    <row r="514">
      <c r="A514" s="2"/>
      <c r="B514" s="2"/>
      <c r="C514" s="2"/>
      <c r="D514" s="2"/>
      <c r="E514" s="2"/>
      <c r="F514" s="2"/>
      <c r="G514" s="2"/>
      <c r="H514" s="2"/>
      <c r="I514" s="2"/>
      <c r="J514" s="2"/>
      <c r="K514" s="2"/>
      <c r="L514" s="2"/>
      <c r="M514" s="2"/>
      <c r="N514" s="2"/>
      <c r="O514" s="2"/>
      <c r="P514" s="2"/>
      <c r="Q514" s="2"/>
      <c r="R514" s="2"/>
      <c r="S514" s="2"/>
      <c r="T514" s="2"/>
      <c r="U514" s="2"/>
      <c r="V514" s="2"/>
      <c r="W514" s="2"/>
    </row>
    <row r="515">
      <c r="A515" s="2"/>
      <c r="B515" s="2"/>
      <c r="C515" s="2"/>
      <c r="D515" s="2"/>
      <c r="E515" s="2"/>
      <c r="F515" s="2"/>
      <c r="G515" s="2"/>
      <c r="H515" s="2"/>
      <c r="I515" s="2"/>
      <c r="J515" s="2"/>
      <c r="K515" s="2"/>
      <c r="L515" s="2"/>
      <c r="M515" s="2"/>
      <c r="N515" s="2"/>
      <c r="O515" s="2"/>
      <c r="P515" s="2"/>
      <c r="Q515" s="2"/>
      <c r="R515" s="2"/>
      <c r="S515" s="2"/>
      <c r="T515" s="2"/>
      <c r="U515" s="2"/>
      <c r="V515" s="2"/>
      <c r="W515" s="2"/>
    </row>
    <row r="516">
      <c r="A516" s="2"/>
      <c r="B516" s="2"/>
      <c r="C516" s="2"/>
      <c r="D516" s="2"/>
      <c r="E516" s="2"/>
      <c r="F516" s="2"/>
      <c r="G516" s="2"/>
      <c r="H516" s="2"/>
      <c r="I516" s="2"/>
      <c r="J516" s="2"/>
      <c r="K516" s="2"/>
      <c r="L516" s="2"/>
      <c r="M516" s="2"/>
      <c r="N516" s="2"/>
      <c r="O516" s="2"/>
      <c r="P516" s="2"/>
      <c r="Q516" s="2"/>
      <c r="R516" s="2"/>
      <c r="S516" s="2"/>
      <c r="T516" s="2"/>
      <c r="U516" s="2"/>
      <c r="V516" s="2"/>
      <c r="W516" s="2"/>
    </row>
    <row r="517">
      <c r="A517" s="2"/>
      <c r="B517" s="2"/>
      <c r="C517" s="2"/>
      <c r="D517" s="2"/>
      <c r="E517" s="2"/>
      <c r="F517" s="2"/>
      <c r="G517" s="2"/>
      <c r="H517" s="2"/>
      <c r="I517" s="2"/>
      <c r="J517" s="2"/>
      <c r="K517" s="2"/>
      <c r="L517" s="2"/>
      <c r="M517" s="2"/>
      <c r="N517" s="2"/>
      <c r="O517" s="2"/>
      <c r="P517" s="2"/>
      <c r="Q517" s="2"/>
      <c r="R517" s="2"/>
      <c r="S517" s="2"/>
      <c r="T517" s="2"/>
      <c r="U517" s="2"/>
      <c r="V517" s="2"/>
      <c r="W517" s="2"/>
    </row>
    <row r="518">
      <c r="A518" s="2"/>
      <c r="B518" s="2"/>
      <c r="C518" s="2"/>
      <c r="D518" s="2"/>
      <c r="E518" s="2"/>
      <c r="F518" s="2"/>
      <c r="G518" s="2"/>
      <c r="H518" s="2"/>
      <c r="I518" s="2"/>
      <c r="J518" s="2"/>
      <c r="K518" s="2"/>
      <c r="L518" s="2"/>
      <c r="M518" s="2"/>
      <c r="N518" s="2"/>
      <c r="O518" s="2"/>
      <c r="P518" s="2"/>
      <c r="Q518" s="2"/>
      <c r="R518" s="2"/>
      <c r="S518" s="2"/>
      <c r="T518" s="2"/>
      <c r="U518" s="2"/>
      <c r="V518" s="2"/>
      <c r="W518" s="2"/>
    </row>
    <row r="519">
      <c r="A519" s="2"/>
      <c r="B519" s="2"/>
      <c r="C519" s="2"/>
      <c r="D519" s="2"/>
      <c r="E519" s="2"/>
      <c r="F519" s="2"/>
      <c r="G519" s="2"/>
      <c r="H519" s="2"/>
      <c r="I519" s="2"/>
      <c r="J519" s="2"/>
      <c r="K519" s="2"/>
      <c r="L519" s="2"/>
      <c r="M519" s="2"/>
      <c r="N519" s="2"/>
      <c r="O519" s="2"/>
      <c r="P519" s="2"/>
      <c r="Q519" s="2"/>
      <c r="R519" s="2"/>
      <c r="S519" s="2"/>
      <c r="T519" s="2"/>
      <c r="U519" s="2"/>
      <c r="V519" s="2"/>
      <c r="W519" s="2"/>
    </row>
    <row r="520">
      <c r="A520" s="2"/>
      <c r="B520" s="2"/>
      <c r="C520" s="2"/>
      <c r="D520" s="2"/>
      <c r="E520" s="2"/>
      <c r="F520" s="2"/>
      <c r="G520" s="2"/>
      <c r="H520" s="2"/>
      <c r="I520" s="2"/>
      <c r="J520" s="2"/>
      <c r="K520" s="2"/>
      <c r="L520" s="2"/>
      <c r="M520" s="2"/>
      <c r="N520" s="2"/>
      <c r="O520" s="2"/>
      <c r="P520" s="2"/>
      <c r="Q520" s="2"/>
      <c r="R520" s="2"/>
      <c r="S520" s="2"/>
      <c r="T520" s="2"/>
      <c r="U520" s="2"/>
      <c r="V520" s="2"/>
      <c r="W520" s="2"/>
    </row>
    <row r="521">
      <c r="A521" s="2"/>
      <c r="B521" s="2"/>
      <c r="C521" s="2"/>
      <c r="D521" s="2"/>
      <c r="E521" s="2"/>
      <c r="F521" s="2"/>
      <c r="G521" s="2"/>
      <c r="H521" s="2"/>
      <c r="I521" s="2"/>
      <c r="J521" s="2"/>
      <c r="K521" s="2"/>
      <c r="L521" s="2"/>
      <c r="M521" s="2"/>
      <c r="N521" s="2"/>
      <c r="O521" s="2"/>
      <c r="P521" s="2"/>
      <c r="Q521" s="2"/>
      <c r="R521" s="2"/>
      <c r="S521" s="2"/>
      <c r="T521" s="2"/>
      <c r="U521" s="2"/>
      <c r="V521" s="2"/>
      <c r="W521" s="2"/>
    </row>
    <row r="522">
      <c r="A522" s="2"/>
      <c r="B522" s="2"/>
      <c r="C522" s="2"/>
      <c r="D522" s="2"/>
      <c r="E522" s="2"/>
      <c r="F522" s="2"/>
      <c r="G522" s="2"/>
      <c r="H522" s="2"/>
      <c r="I522" s="2"/>
      <c r="J522" s="2"/>
      <c r="K522" s="2"/>
      <c r="L522" s="2"/>
      <c r="M522" s="2"/>
      <c r="N522" s="2"/>
      <c r="O522" s="2"/>
      <c r="P522" s="2"/>
      <c r="Q522" s="2"/>
      <c r="R522" s="2"/>
      <c r="S522" s="2"/>
      <c r="T522" s="2"/>
      <c r="U522" s="2"/>
      <c r="V522" s="2"/>
      <c r="W522" s="2"/>
    </row>
    <row r="523">
      <c r="A523" s="2"/>
      <c r="B523" s="2"/>
      <c r="C523" s="2"/>
      <c r="D523" s="2"/>
      <c r="E523" s="2"/>
      <c r="F523" s="2"/>
      <c r="G523" s="2"/>
      <c r="H523" s="2"/>
      <c r="I523" s="2"/>
      <c r="J523" s="2"/>
      <c r="K523" s="2"/>
      <c r="L523" s="2"/>
      <c r="M523" s="2"/>
      <c r="N523" s="2"/>
      <c r="O523" s="2"/>
      <c r="P523" s="2"/>
      <c r="Q523" s="2"/>
      <c r="R523" s="2"/>
      <c r="S523" s="2"/>
      <c r="T523" s="2"/>
      <c r="U523" s="2"/>
      <c r="V523" s="2"/>
      <c r="W523" s="2"/>
    </row>
    <row r="524">
      <c r="A524" s="2"/>
      <c r="B524" s="2"/>
      <c r="C524" s="2"/>
      <c r="D524" s="2"/>
      <c r="E524" s="2"/>
      <c r="F524" s="2"/>
      <c r="G524" s="2"/>
      <c r="H524" s="2"/>
      <c r="I524" s="2"/>
      <c r="J524" s="2"/>
      <c r="K524" s="2"/>
      <c r="L524" s="2"/>
      <c r="M524" s="2"/>
      <c r="N524" s="2"/>
      <c r="O524" s="2"/>
      <c r="P524" s="2"/>
      <c r="Q524" s="2"/>
      <c r="R524" s="2"/>
      <c r="S524" s="2"/>
      <c r="T524" s="2"/>
      <c r="U524" s="2"/>
      <c r="V524" s="2"/>
      <c r="W524" s="2"/>
    </row>
    <row r="525">
      <c r="A525" s="2"/>
      <c r="B525" s="2"/>
      <c r="C525" s="2"/>
      <c r="D525" s="2"/>
      <c r="E525" s="2"/>
      <c r="F525" s="2"/>
      <c r="G525" s="2"/>
      <c r="H525" s="2"/>
      <c r="I525" s="2"/>
      <c r="J525" s="2"/>
      <c r="K525" s="2"/>
      <c r="L525" s="2"/>
      <c r="M525" s="2"/>
      <c r="N525" s="2"/>
      <c r="O525" s="2"/>
      <c r="P525" s="2"/>
      <c r="Q525" s="2"/>
      <c r="R525" s="2"/>
      <c r="S525" s="2"/>
      <c r="T525" s="2"/>
      <c r="U525" s="2"/>
      <c r="V525" s="2"/>
      <c r="W525" s="2"/>
    </row>
    <row r="526">
      <c r="A526" s="2"/>
      <c r="B526" s="2"/>
      <c r="C526" s="2"/>
      <c r="D526" s="2"/>
      <c r="E526" s="2"/>
      <c r="F526" s="2"/>
      <c r="G526" s="2"/>
      <c r="H526" s="2"/>
      <c r="I526" s="2"/>
      <c r="J526" s="2"/>
      <c r="K526" s="2"/>
      <c r="L526" s="2"/>
      <c r="M526" s="2"/>
      <c r="N526" s="2"/>
      <c r="O526" s="2"/>
      <c r="P526" s="2"/>
      <c r="Q526" s="2"/>
      <c r="R526" s="2"/>
      <c r="S526" s="2"/>
      <c r="T526" s="2"/>
      <c r="U526" s="2"/>
      <c r="V526" s="2"/>
      <c r="W526" s="2"/>
    </row>
    <row r="527">
      <c r="A527" s="2"/>
      <c r="B527" s="2"/>
      <c r="C527" s="2"/>
      <c r="D527" s="2"/>
      <c r="E527" s="2"/>
      <c r="F527" s="2"/>
      <c r="G527" s="2"/>
      <c r="H527" s="2"/>
      <c r="I527" s="2"/>
      <c r="J527" s="2"/>
      <c r="K527" s="2"/>
      <c r="L527" s="2"/>
      <c r="M527" s="2"/>
      <c r="N527" s="2"/>
      <c r="O527" s="2"/>
      <c r="P527" s="2"/>
      <c r="Q527" s="2"/>
      <c r="R527" s="2"/>
      <c r="S527" s="2"/>
      <c r="T527" s="2"/>
      <c r="U527" s="2"/>
      <c r="V527" s="2"/>
      <c r="W527" s="2"/>
    </row>
    <row r="528">
      <c r="A528" s="2"/>
      <c r="B528" s="2"/>
      <c r="C528" s="2"/>
      <c r="D528" s="2"/>
      <c r="E528" s="2"/>
      <c r="F528" s="2"/>
      <c r="G528" s="2"/>
      <c r="H528" s="2"/>
      <c r="I528" s="2"/>
      <c r="J528" s="2"/>
      <c r="K528" s="2"/>
      <c r="L528" s="2"/>
      <c r="M528" s="2"/>
      <c r="N528" s="2"/>
      <c r="O528" s="2"/>
      <c r="P528" s="2"/>
      <c r="Q528" s="2"/>
      <c r="R528" s="2"/>
      <c r="S528" s="2"/>
      <c r="T528" s="2"/>
      <c r="U528" s="2"/>
      <c r="V528" s="2"/>
      <c r="W528" s="2"/>
    </row>
    <row r="529">
      <c r="A529" s="2"/>
      <c r="B529" s="2"/>
      <c r="C529" s="2"/>
      <c r="D529" s="2"/>
      <c r="E529" s="2"/>
      <c r="F529" s="2"/>
      <c r="G529" s="2"/>
      <c r="H529" s="2"/>
      <c r="I529" s="2"/>
      <c r="J529" s="2"/>
      <c r="K529" s="2"/>
      <c r="L529" s="2"/>
      <c r="M529" s="2"/>
      <c r="N529" s="2"/>
      <c r="O529" s="2"/>
      <c r="P529" s="2"/>
      <c r="Q529" s="2"/>
      <c r="R529" s="2"/>
      <c r="S529" s="2"/>
      <c r="T529" s="2"/>
      <c r="U529" s="2"/>
      <c r="V529" s="2"/>
      <c r="W529" s="2"/>
    </row>
    <row r="530">
      <c r="A530" s="2"/>
      <c r="B530" s="2"/>
      <c r="C530" s="2"/>
      <c r="D530" s="2"/>
      <c r="E530" s="2"/>
      <c r="F530" s="2"/>
      <c r="G530" s="2"/>
      <c r="H530" s="2"/>
      <c r="I530" s="2"/>
      <c r="J530" s="2"/>
      <c r="K530" s="2"/>
      <c r="L530" s="2"/>
      <c r="M530" s="2"/>
      <c r="N530" s="2"/>
      <c r="O530" s="2"/>
      <c r="P530" s="2"/>
      <c r="Q530" s="2"/>
      <c r="R530" s="2"/>
      <c r="S530" s="2"/>
      <c r="T530" s="2"/>
      <c r="U530" s="2"/>
      <c r="V530" s="2"/>
      <c r="W530" s="2"/>
    </row>
    <row r="531">
      <c r="A531" s="2"/>
      <c r="B531" s="2"/>
      <c r="C531" s="2"/>
      <c r="D531" s="2"/>
      <c r="E531" s="2"/>
      <c r="F531" s="2"/>
      <c r="G531" s="2"/>
      <c r="H531" s="2"/>
      <c r="I531" s="2"/>
      <c r="J531" s="2"/>
      <c r="K531" s="2"/>
      <c r="L531" s="2"/>
      <c r="M531" s="2"/>
      <c r="N531" s="2"/>
      <c r="O531" s="2"/>
      <c r="P531" s="2"/>
      <c r="Q531" s="2"/>
      <c r="R531" s="2"/>
      <c r="S531" s="2"/>
      <c r="T531" s="2"/>
      <c r="U531" s="2"/>
      <c r="V531" s="2"/>
      <c r="W531" s="2"/>
    </row>
    <row r="532">
      <c r="A532" s="2"/>
      <c r="B532" s="2"/>
      <c r="C532" s="2"/>
      <c r="D532" s="2"/>
      <c r="E532" s="2"/>
      <c r="F532" s="2"/>
      <c r="G532" s="2"/>
      <c r="H532" s="2"/>
      <c r="I532" s="2"/>
      <c r="J532" s="2"/>
      <c r="K532" s="2"/>
      <c r="L532" s="2"/>
      <c r="M532" s="2"/>
      <c r="N532" s="2"/>
      <c r="O532" s="2"/>
      <c r="P532" s="2"/>
      <c r="Q532" s="2"/>
      <c r="R532" s="2"/>
      <c r="S532" s="2"/>
      <c r="T532" s="2"/>
      <c r="U532" s="2"/>
      <c r="V532" s="2"/>
      <c r="W532" s="2"/>
    </row>
    <row r="533">
      <c r="A533" s="2"/>
      <c r="B533" s="2"/>
      <c r="C533" s="2"/>
      <c r="D533" s="2"/>
      <c r="E533" s="2"/>
      <c r="F533" s="2"/>
      <c r="G533" s="2"/>
      <c r="H533" s="2"/>
      <c r="I533" s="2"/>
      <c r="J533" s="2"/>
      <c r="K533" s="2"/>
      <c r="L533" s="2"/>
      <c r="M533" s="2"/>
      <c r="N533" s="2"/>
      <c r="O533" s="2"/>
      <c r="P533" s="2"/>
      <c r="Q533" s="2"/>
      <c r="R533" s="2"/>
      <c r="S533" s="2"/>
      <c r="T533" s="2"/>
      <c r="U533" s="2"/>
      <c r="V533" s="2"/>
      <c r="W533" s="2"/>
    </row>
    <row r="534">
      <c r="A534" s="2"/>
      <c r="B534" s="2"/>
      <c r="C534" s="2"/>
      <c r="D534" s="2"/>
      <c r="E534" s="2"/>
      <c r="F534" s="2"/>
      <c r="G534" s="2"/>
      <c r="H534" s="2"/>
      <c r="I534" s="2"/>
      <c r="J534" s="2"/>
      <c r="K534" s="2"/>
      <c r="L534" s="2"/>
      <c r="M534" s="2"/>
      <c r="N534" s="2"/>
      <c r="O534" s="2"/>
      <c r="P534" s="2"/>
      <c r="Q534" s="2"/>
      <c r="R534" s="2"/>
      <c r="S534" s="2"/>
      <c r="T534" s="2"/>
      <c r="U534" s="2"/>
      <c r="V534" s="2"/>
      <c r="W534" s="2"/>
    </row>
    <row r="535">
      <c r="A535" s="2"/>
      <c r="B535" s="2"/>
      <c r="C535" s="2"/>
      <c r="D535" s="2"/>
      <c r="E535" s="2"/>
      <c r="F535" s="2"/>
      <c r="G535" s="2"/>
      <c r="H535" s="2"/>
      <c r="I535" s="2"/>
      <c r="J535" s="2"/>
      <c r="K535" s="2"/>
      <c r="L535" s="2"/>
      <c r="M535" s="2"/>
      <c r="N535" s="2"/>
      <c r="O535" s="2"/>
      <c r="P535" s="2"/>
      <c r="Q535" s="2"/>
      <c r="R535" s="2"/>
      <c r="S535" s="2"/>
      <c r="T535" s="2"/>
      <c r="U535" s="2"/>
      <c r="V535" s="2"/>
      <c r="W535" s="2"/>
    </row>
    <row r="536">
      <c r="A536" s="2"/>
      <c r="B536" s="2"/>
      <c r="C536" s="2"/>
      <c r="D536" s="2"/>
      <c r="E536" s="2"/>
      <c r="F536" s="2"/>
      <c r="G536" s="2"/>
      <c r="H536" s="2"/>
      <c r="I536" s="2"/>
      <c r="J536" s="2"/>
      <c r="K536" s="2"/>
      <c r="L536" s="2"/>
      <c r="M536" s="2"/>
      <c r="N536" s="2"/>
      <c r="O536" s="2"/>
      <c r="P536" s="2"/>
      <c r="Q536" s="2"/>
      <c r="R536" s="2"/>
      <c r="S536" s="2"/>
      <c r="T536" s="2"/>
      <c r="U536" s="2"/>
      <c r="V536" s="2"/>
      <c r="W536" s="2"/>
    </row>
    <row r="537">
      <c r="A537" s="2"/>
      <c r="B537" s="2"/>
      <c r="C537" s="2"/>
      <c r="D537" s="2"/>
      <c r="E537" s="2"/>
      <c r="F537" s="2"/>
      <c r="G537" s="2"/>
      <c r="H537" s="2"/>
      <c r="I537" s="2"/>
      <c r="J537" s="2"/>
      <c r="K537" s="2"/>
      <c r="L537" s="2"/>
      <c r="M537" s="2"/>
      <c r="N537" s="2"/>
      <c r="O537" s="2"/>
      <c r="P537" s="2"/>
      <c r="Q537" s="2"/>
      <c r="R537" s="2"/>
      <c r="S537" s="2"/>
      <c r="T537" s="2"/>
      <c r="U537" s="2"/>
      <c r="V537" s="2"/>
      <c r="W537" s="2"/>
    </row>
    <row r="538">
      <c r="A538" s="2"/>
      <c r="B538" s="2"/>
      <c r="C538" s="2"/>
      <c r="D538" s="2"/>
      <c r="E538" s="2"/>
      <c r="F538" s="2"/>
      <c r="G538" s="2"/>
      <c r="H538" s="2"/>
      <c r="I538" s="2"/>
      <c r="J538" s="2"/>
      <c r="K538" s="2"/>
      <c r="L538" s="2"/>
      <c r="M538" s="2"/>
      <c r="N538" s="2"/>
      <c r="O538" s="2"/>
      <c r="P538" s="2"/>
      <c r="Q538" s="2"/>
      <c r="R538" s="2"/>
      <c r="S538" s="2"/>
      <c r="T538" s="2"/>
      <c r="U538" s="2"/>
      <c r="V538" s="2"/>
      <c r="W538" s="2"/>
    </row>
    <row r="539">
      <c r="A539" s="2"/>
      <c r="B539" s="2"/>
      <c r="C539" s="2"/>
      <c r="D539" s="2"/>
      <c r="E539" s="2"/>
      <c r="F539" s="2"/>
      <c r="G539" s="2"/>
      <c r="H539" s="2"/>
      <c r="I539" s="2"/>
      <c r="J539" s="2"/>
      <c r="K539" s="2"/>
      <c r="L539" s="2"/>
      <c r="M539" s="2"/>
      <c r="N539" s="2"/>
      <c r="O539" s="2"/>
      <c r="P539" s="2"/>
      <c r="Q539" s="2"/>
      <c r="R539" s="2"/>
      <c r="S539" s="2"/>
      <c r="T539" s="2"/>
      <c r="U539" s="2"/>
      <c r="V539" s="2"/>
      <c r="W539" s="2"/>
    </row>
    <row r="540">
      <c r="A540" s="2"/>
      <c r="B540" s="2"/>
      <c r="C540" s="2"/>
      <c r="D540" s="2"/>
      <c r="E540" s="2"/>
      <c r="F540" s="2"/>
      <c r="G540" s="2"/>
      <c r="H540" s="2"/>
      <c r="I540" s="2"/>
      <c r="J540" s="2"/>
      <c r="K540" s="2"/>
      <c r="L540" s="2"/>
      <c r="M540" s="2"/>
      <c r="N540" s="2"/>
      <c r="O540" s="2"/>
      <c r="P540" s="2"/>
      <c r="Q540" s="2"/>
      <c r="R540" s="2"/>
      <c r="S540" s="2"/>
      <c r="T540" s="2"/>
      <c r="U540" s="2"/>
      <c r="V540" s="2"/>
      <c r="W540" s="2"/>
    </row>
    <row r="541">
      <c r="A541" s="2"/>
      <c r="B541" s="2"/>
      <c r="C541" s="2"/>
      <c r="D541" s="2"/>
      <c r="E541" s="2"/>
      <c r="F541" s="2"/>
      <c r="G541" s="2"/>
      <c r="H541" s="2"/>
      <c r="I541" s="2"/>
      <c r="J541" s="2"/>
      <c r="K541" s="2"/>
      <c r="L541" s="2"/>
      <c r="M541" s="2"/>
      <c r="N541" s="2"/>
      <c r="O541" s="2"/>
      <c r="P541" s="2"/>
      <c r="Q541" s="2"/>
      <c r="R541" s="2"/>
      <c r="S541" s="2"/>
      <c r="T541" s="2"/>
      <c r="U541" s="2"/>
      <c r="V541" s="2"/>
      <c r="W541" s="2"/>
    </row>
    <row r="542">
      <c r="A542" s="2"/>
      <c r="B542" s="2"/>
      <c r="C542" s="2"/>
      <c r="D542" s="2"/>
      <c r="E542" s="2"/>
      <c r="F542" s="2"/>
      <c r="G542" s="2"/>
      <c r="H542" s="2"/>
      <c r="I542" s="2"/>
      <c r="J542" s="2"/>
      <c r="K542" s="2"/>
      <c r="L542" s="2"/>
      <c r="M542" s="2"/>
      <c r="N542" s="2"/>
      <c r="O542" s="2"/>
      <c r="P542" s="2"/>
      <c r="Q542" s="2"/>
      <c r="R542" s="2"/>
      <c r="S542" s="2"/>
      <c r="T542" s="2"/>
      <c r="U542" s="2"/>
      <c r="V542" s="2"/>
      <c r="W542" s="2"/>
    </row>
    <row r="543">
      <c r="A543" s="2"/>
      <c r="B543" s="2"/>
      <c r="C543" s="2"/>
      <c r="D543" s="2"/>
      <c r="E543" s="2"/>
      <c r="F543" s="2"/>
      <c r="G543" s="2"/>
      <c r="H543" s="2"/>
      <c r="I543" s="2"/>
      <c r="J543" s="2"/>
      <c r="K543" s="2"/>
      <c r="L543" s="2"/>
      <c r="M543" s="2"/>
      <c r="N543" s="2"/>
      <c r="O543" s="2"/>
      <c r="P543" s="2"/>
      <c r="Q543" s="2"/>
      <c r="R543" s="2"/>
      <c r="S543" s="2"/>
      <c r="T543" s="2"/>
      <c r="U543" s="2"/>
      <c r="V543" s="2"/>
      <c r="W543" s="2"/>
    </row>
    <row r="544">
      <c r="A544" s="2"/>
      <c r="B544" s="2"/>
      <c r="C544" s="2"/>
      <c r="D544" s="2"/>
      <c r="E544" s="2"/>
      <c r="F544" s="2"/>
      <c r="G544" s="2"/>
      <c r="H544" s="2"/>
      <c r="I544" s="2"/>
      <c r="J544" s="2"/>
      <c r="K544" s="2"/>
      <c r="L544" s="2"/>
      <c r="M544" s="2"/>
      <c r="N544" s="2"/>
      <c r="O544" s="2"/>
      <c r="P544" s="2"/>
      <c r="Q544" s="2"/>
      <c r="R544" s="2"/>
      <c r="S544" s="2"/>
      <c r="T544" s="2"/>
      <c r="U544" s="2"/>
      <c r="V544" s="2"/>
      <c r="W544" s="2"/>
    </row>
    <row r="545">
      <c r="A545" s="2"/>
      <c r="B545" s="2"/>
      <c r="C545" s="2"/>
      <c r="D545" s="2"/>
      <c r="E545" s="2"/>
      <c r="F545" s="2"/>
      <c r="G545" s="2"/>
      <c r="H545" s="2"/>
      <c r="I545" s="2"/>
      <c r="J545" s="2"/>
      <c r="K545" s="2"/>
      <c r="L545" s="2"/>
      <c r="M545" s="2"/>
      <c r="N545" s="2"/>
      <c r="O545" s="2"/>
      <c r="P545" s="2"/>
      <c r="Q545" s="2"/>
      <c r="R545" s="2"/>
      <c r="S545" s="2"/>
      <c r="T545" s="2"/>
      <c r="U545" s="2"/>
      <c r="V545" s="2"/>
      <c r="W545" s="2"/>
    </row>
    <row r="546">
      <c r="A546" s="2"/>
      <c r="B546" s="2"/>
      <c r="C546" s="2"/>
      <c r="D546" s="2"/>
      <c r="E546" s="2"/>
      <c r="F546" s="2"/>
      <c r="G546" s="2"/>
      <c r="H546" s="2"/>
      <c r="I546" s="2"/>
      <c r="J546" s="2"/>
      <c r="K546" s="2"/>
      <c r="L546" s="2"/>
      <c r="M546" s="2"/>
      <c r="N546" s="2"/>
      <c r="O546" s="2"/>
      <c r="P546" s="2"/>
      <c r="Q546" s="2"/>
      <c r="R546" s="2"/>
      <c r="S546" s="2"/>
      <c r="T546" s="2"/>
      <c r="U546" s="2"/>
      <c r="V546" s="2"/>
      <c r="W546" s="2"/>
    </row>
    <row r="547">
      <c r="A547" s="2"/>
      <c r="B547" s="2"/>
      <c r="C547" s="2"/>
      <c r="D547" s="2"/>
      <c r="E547" s="2"/>
      <c r="F547" s="2"/>
      <c r="G547" s="2"/>
      <c r="H547" s="2"/>
      <c r="I547" s="2"/>
      <c r="J547" s="2"/>
      <c r="K547" s="2"/>
      <c r="L547" s="2"/>
      <c r="M547" s="2"/>
      <c r="N547" s="2"/>
      <c r="O547" s="2"/>
      <c r="P547" s="2"/>
      <c r="Q547" s="2"/>
      <c r="R547" s="2"/>
      <c r="S547" s="2"/>
      <c r="T547" s="2"/>
      <c r="U547" s="2"/>
      <c r="V547" s="2"/>
      <c r="W547" s="2"/>
    </row>
    <row r="548">
      <c r="A548" s="2"/>
      <c r="B548" s="2"/>
      <c r="C548" s="2"/>
      <c r="D548" s="2"/>
      <c r="E548" s="2"/>
      <c r="F548" s="2"/>
      <c r="G548" s="2"/>
      <c r="H548" s="2"/>
      <c r="I548" s="2"/>
      <c r="J548" s="2"/>
      <c r="K548" s="2"/>
      <c r="L548" s="2"/>
      <c r="M548" s="2"/>
      <c r="N548" s="2"/>
      <c r="O548" s="2"/>
      <c r="P548" s="2"/>
      <c r="Q548" s="2"/>
      <c r="R548" s="2"/>
      <c r="S548" s="2"/>
      <c r="T548" s="2"/>
      <c r="U548" s="2"/>
      <c r="V548" s="2"/>
      <c r="W548" s="2"/>
    </row>
    <row r="549">
      <c r="A549" s="2"/>
      <c r="B549" s="2"/>
      <c r="C549" s="2"/>
      <c r="D549" s="2"/>
      <c r="E549" s="2"/>
      <c r="F549" s="2"/>
      <c r="G549" s="2"/>
      <c r="H549" s="2"/>
      <c r="I549" s="2"/>
      <c r="J549" s="2"/>
      <c r="K549" s="2"/>
      <c r="L549" s="2"/>
      <c r="M549" s="2"/>
      <c r="N549" s="2"/>
      <c r="O549" s="2"/>
      <c r="P549" s="2"/>
      <c r="Q549" s="2"/>
      <c r="R549" s="2"/>
      <c r="S549" s="2"/>
      <c r="T549" s="2"/>
      <c r="U549" s="2"/>
      <c r="V549" s="2"/>
      <c r="W549" s="2"/>
    </row>
    <row r="550">
      <c r="A550" s="2"/>
      <c r="B550" s="2"/>
      <c r="C550" s="2"/>
      <c r="D550" s="2"/>
      <c r="E550" s="2"/>
      <c r="F550" s="2"/>
      <c r="G550" s="2"/>
      <c r="H550" s="2"/>
      <c r="I550" s="2"/>
      <c r="J550" s="2"/>
      <c r="K550" s="2"/>
      <c r="L550" s="2"/>
      <c r="M550" s="2"/>
      <c r="N550" s="2"/>
      <c r="O550" s="2"/>
      <c r="P550" s="2"/>
      <c r="Q550" s="2"/>
      <c r="R550" s="2"/>
      <c r="S550" s="2"/>
      <c r="T550" s="2"/>
      <c r="U550" s="2"/>
      <c r="V550" s="2"/>
      <c r="W550" s="2"/>
    </row>
    <row r="551">
      <c r="A551" s="2"/>
      <c r="B551" s="2"/>
      <c r="C551" s="2"/>
      <c r="D551" s="2"/>
      <c r="E551" s="2"/>
      <c r="F551" s="2"/>
      <c r="G551" s="2"/>
      <c r="H551" s="2"/>
      <c r="I551" s="2"/>
      <c r="J551" s="2"/>
      <c r="K551" s="2"/>
      <c r="L551" s="2"/>
      <c r="M551" s="2"/>
      <c r="N551" s="2"/>
      <c r="O551" s="2"/>
      <c r="P551" s="2"/>
      <c r="Q551" s="2"/>
      <c r="R551" s="2"/>
      <c r="S551" s="2"/>
      <c r="T551" s="2"/>
      <c r="U551" s="2"/>
      <c r="V551" s="2"/>
      <c r="W551" s="2"/>
    </row>
    <row r="552">
      <c r="A552" s="2"/>
      <c r="B552" s="2"/>
      <c r="C552" s="2"/>
      <c r="D552" s="2"/>
      <c r="E552" s="2"/>
      <c r="F552" s="2"/>
      <c r="G552" s="2"/>
      <c r="H552" s="2"/>
      <c r="I552" s="2"/>
      <c r="J552" s="2"/>
      <c r="K552" s="2"/>
      <c r="L552" s="2"/>
      <c r="M552" s="2"/>
      <c r="N552" s="2"/>
      <c r="O552" s="2"/>
      <c r="P552" s="2"/>
      <c r="Q552" s="2"/>
      <c r="R552" s="2"/>
      <c r="S552" s="2"/>
      <c r="T552" s="2"/>
      <c r="U552" s="2"/>
      <c r="V552" s="2"/>
      <c r="W552" s="2"/>
    </row>
    <row r="553">
      <c r="A553" s="2"/>
      <c r="B553" s="2"/>
      <c r="C553" s="2"/>
      <c r="D553" s="2"/>
      <c r="E553" s="2"/>
      <c r="F553" s="2"/>
      <c r="G553" s="2"/>
      <c r="H553" s="2"/>
      <c r="I553" s="2"/>
      <c r="J553" s="2"/>
      <c r="K553" s="2"/>
      <c r="L553" s="2"/>
      <c r="M553" s="2"/>
      <c r="N553" s="2"/>
      <c r="O553" s="2"/>
      <c r="P553" s="2"/>
      <c r="Q553" s="2"/>
      <c r="R553" s="2"/>
      <c r="S553" s="2"/>
      <c r="T553" s="2"/>
      <c r="U553" s="2"/>
      <c r="V553" s="2"/>
      <c r="W553" s="2"/>
    </row>
    <row r="554">
      <c r="A554" s="2"/>
      <c r="B554" s="2"/>
      <c r="C554" s="2"/>
      <c r="D554" s="2"/>
      <c r="E554" s="2"/>
      <c r="F554" s="2"/>
      <c r="G554" s="2"/>
      <c r="H554" s="2"/>
      <c r="I554" s="2"/>
      <c r="J554" s="2"/>
      <c r="K554" s="2"/>
      <c r="L554" s="2"/>
      <c r="M554" s="2"/>
      <c r="N554" s="2"/>
      <c r="O554" s="2"/>
      <c r="P554" s="2"/>
      <c r="Q554" s="2"/>
      <c r="R554" s="2"/>
      <c r="S554" s="2"/>
      <c r="T554" s="2"/>
      <c r="U554" s="2"/>
      <c r="V554" s="2"/>
      <c r="W554" s="2"/>
    </row>
    <row r="555">
      <c r="A555" s="2"/>
      <c r="B555" s="2"/>
      <c r="C555" s="2"/>
      <c r="D555" s="2"/>
      <c r="E555" s="2"/>
      <c r="F555" s="2"/>
      <c r="G555" s="2"/>
      <c r="H555" s="2"/>
      <c r="I555" s="2"/>
      <c r="J555" s="2"/>
      <c r="K555" s="2"/>
      <c r="L555" s="2"/>
      <c r="M555" s="2"/>
      <c r="N555" s="2"/>
      <c r="O555" s="2"/>
      <c r="P555" s="2"/>
      <c r="Q555" s="2"/>
      <c r="R555" s="2"/>
      <c r="S555" s="2"/>
      <c r="T555" s="2"/>
      <c r="U555" s="2"/>
      <c r="V555" s="2"/>
      <c r="W555" s="2"/>
    </row>
    <row r="556">
      <c r="A556" s="2"/>
      <c r="B556" s="2"/>
      <c r="C556" s="2"/>
      <c r="D556" s="2"/>
      <c r="E556" s="2"/>
      <c r="F556" s="2"/>
      <c r="G556" s="2"/>
      <c r="H556" s="2"/>
      <c r="I556" s="2"/>
      <c r="J556" s="2"/>
      <c r="K556" s="2"/>
      <c r="L556" s="2"/>
      <c r="M556" s="2"/>
      <c r="N556" s="2"/>
      <c r="O556" s="2"/>
      <c r="P556" s="2"/>
      <c r="Q556" s="2"/>
      <c r="R556" s="2"/>
      <c r="S556" s="2"/>
      <c r="T556" s="2"/>
      <c r="U556" s="2"/>
      <c r="V556" s="2"/>
      <c r="W556" s="2"/>
    </row>
    <row r="557">
      <c r="A557" s="2"/>
      <c r="B557" s="2"/>
      <c r="C557" s="2"/>
      <c r="D557" s="2"/>
      <c r="E557" s="2"/>
      <c r="F557" s="2"/>
      <c r="G557" s="2"/>
      <c r="H557" s="2"/>
      <c r="I557" s="2"/>
      <c r="J557" s="2"/>
      <c r="K557" s="2"/>
      <c r="L557" s="2"/>
      <c r="M557" s="2"/>
      <c r="N557" s="2"/>
      <c r="O557" s="2"/>
      <c r="P557" s="2"/>
      <c r="Q557" s="2"/>
      <c r="R557" s="2"/>
      <c r="S557" s="2"/>
      <c r="T557" s="2"/>
      <c r="U557" s="2"/>
      <c r="V557" s="2"/>
      <c r="W557" s="2"/>
    </row>
    <row r="558">
      <c r="A558" s="2"/>
      <c r="B558" s="2"/>
      <c r="C558" s="2"/>
      <c r="D558" s="2"/>
      <c r="E558" s="2"/>
      <c r="F558" s="2"/>
      <c r="G558" s="2"/>
      <c r="H558" s="2"/>
      <c r="I558" s="2"/>
      <c r="J558" s="2"/>
      <c r="K558" s="2"/>
      <c r="L558" s="2"/>
      <c r="M558" s="2"/>
      <c r="N558" s="2"/>
      <c r="O558" s="2"/>
      <c r="P558" s="2"/>
      <c r="Q558" s="2"/>
      <c r="R558" s="2"/>
      <c r="S558" s="2"/>
      <c r="T558" s="2"/>
      <c r="U558" s="2"/>
      <c r="V558" s="2"/>
      <c r="W558" s="2"/>
    </row>
    <row r="559">
      <c r="A559" s="2"/>
      <c r="B559" s="2"/>
      <c r="C559" s="2"/>
      <c r="D559" s="2"/>
      <c r="E559" s="2"/>
      <c r="F559" s="2"/>
      <c r="G559" s="2"/>
      <c r="H559" s="2"/>
      <c r="I559" s="2"/>
      <c r="J559" s="2"/>
      <c r="K559" s="2"/>
      <c r="L559" s="2"/>
      <c r="M559" s="2"/>
      <c r="N559" s="2"/>
      <c r="O559" s="2"/>
      <c r="P559" s="2"/>
      <c r="Q559" s="2"/>
      <c r="R559" s="2"/>
      <c r="S559" s="2"/>
      <c r="T559" s="2"/>
      <c r="U559" s="2"/>
      <c r="V559" s="2"/>
      <c r="W559" s="2"/>
    </row>
    <row r="560">
      <c r="A560" s="2"/>
      <c r="B560" s="2"/>
      <c r="C560" s="2"/>
      <c r="D560" s="2"/>
      <c r="E560" s="2"/>
      <c r="F560" s="2"/>
      <c r="G560" s="2"/>
      <c r="H560" s="2"/>
      <c r="I560" s="2"/>
      <c r="J560" s="2"/>
      <c r="K560" s="2"/>
      <c r="L560" s="2"/>
      <c r="M560" s="2"/>
      <c r="N560" s="2"/>
      <c r="O560" s="2"/>
      <c r="P560" s="2"/>
      <c r="Q560" s="2"/>
      <c r="R560" s="2"/>
      <c r="S560" s="2"/>
      <c r="T560" s="2"/>
      <c r="U560" s="2"/>
      <c r="V560" s="2"/>
      <c r="W560" s="2"/>
    </row>
    <row r="561">
      <c r="A561" s="2"/>
      <c r="B561" s="2"/>
      <c r="C561" s="2"/>
      <c r="D561" s="2"/>
      <c r="E561" s="2"/>
      <c r="F561" s="2"/>
      <c r="G561" s="2"/>
      <c r="H561" s="2"/>
      <c r="I561" s="2"/>
      <c r="J561" s="2"/>
      <c r="K561" s="2"/>
      <c r="L561" s="2"/>
      <c r="M561" s="2"/>
      <c r="N561" s="2"/>
      <c r="O561" s="2"/>
      <c r="P561" s="2"/>
      <c r="Q561" s="2"/>
      <c r="R561" s="2"/>
      <c r="S561" s="2"/>
      <c r="T561" s="2"/>
      <c r="U561" s="2"/>
      <c r="V561" s="2"/>
      <c r="W561" s="2"/>
    </row>
    <row r="562">
      <c r="A562" s="2"/>
      <c r="B562" s="2"/>
      <c r="C562" s="2"/>
      <c r="D562" s="2"/>
      <c r="E562" s="2"/>
      <c r="F562" s="2"/>
      <c r="G562" s="2"/>
      <c r="H562" s="2"/>
      <c r="I562" s="2"/>
      <c r="J562" s="2"/>
      <c r="K562" s="2"/>
      <c r="L562" s="2"/>
      <c r="M562" s="2"/>
      <c r="N562" s="2"/>
      <c r="O562" s="2"/>
      <c r="P562" s="2"/>
      <c r="Q562" s="2"/>
      <c r="R562" s="2"/>
      <c r="S562" s="2"/>
      <c r="T562" s="2"/>
      <c r="U562" s="2"/>
      <c r="V562" s="2"/>
      <c r="W562" s="2"/>
    </row>
    <row r="563">
      <c r="A563" s="2"/>
      <c r="B563" s="2"/>
      <c r="C563" s="2"/>
      <c r="D563" s="2"/>
      <c r="E563" s="2"/>
      <c r="F563" s="2"/>
      <c r="G563" s="2"/>
      <c r="H563" s="2"/>
      <c r="I563" s="2"/>
      <c r="J563" s="2"/>
      <c r="K563" s="2"/>
      <c r="L563" s="2"/>
      <c r="M563" s="2"/>
      <c r="N563" s="2"/>
      <c r="O563" s="2"/>
      <c r="P563" s="2"/>
      <c r="Q563" s="2"/>
      <c r="R563" s="2"/>
      <c r="S563" s="2"/>
      <c r="T563" s="2"/>
      <c r="U563" s="2"/>
      <c r="V563" s="2"/>
      <c r="W563" s="2"/>
    </row>
    <row r="564">
      <c r="A564" s="2"/>
      <c r="B564" s="2"/>
      <c r="C564" s="2"/>
      <c r="D564" s="2"/>
      <c r="E564" s="2"/>
      <c r="F564" s="2"/>
      <c r="G564" s="2"/>
      <c r="H564" s="2"/>
      <c r="I564" s="2"/>
      <c r="J564" s="2"/>
      <c r="K564" s="2"/>
      <c r="L564" s="2"/>
      <c r="M564" s="2"/>
      <c r="N564" s="2"/>
      <c r="O564" s="2"/>
      <c r="P564" s="2"/>
      <c r="Q564" s="2"/>
      <c r="R564" s="2"/>
      <c r="S564" s="2"/>
      <c r="T564" s="2"/>
      <c r="U564" s="2"/>
      <c r="V564" s="2"/>
      <c r="W564" s="2"/>
    </row>
    <row r="565">
      <c r="A565" s="2"/>
      <c r="B565" s="2"/>
      <c r="C565" s="2"/>
      <c r="D565" s="2"/>
      <c r="E565" s="2"/>
      <c r="F565" s="2"/>
      <c r="G565" s="2"/>
      <c r="H565" s="2"/>
      <c r="I565" s="2"/>
      <c r="J565" s="2"/>
      <c r="K565" s="2"/>
      <c r="L565" s="2"/>
      <c r="M565" s="2"/>
      <c r="N565" s="2"/>
      <c r="O565" s="2"/>
      <c r="P565" s="2"/>
      <c r="Q565" s="2"/>
      <c r="R565" s="2"/>
      <c r="S565" s="2"/>
      <c r="T565" s="2"/>
      <c r="U565" s="2"/>
      <c r="V565" s="2"/>
      <c r="W565" s="2"/>
    </row>
    <row r="566">
      <c r="A566" s="2"/>
      <c r="B566" s="2"/>
      <c r="C566" s="2"/>
      <c r="D566" s="2"/>
      <c r="E566" s="2"/>
      <c r="F566" s="2"/>
      <c r="G566" s="2"/>
      <c r="H566" s="2"/>
      <c r="I566" s="2"/>
      <c r="J566" s="2"/>
      <c r="K566" s="2"/>
      <c r="L566" s="2"/>
      <c r="M566" s="2"/>
      <c r="N566" s="2"/>
      <c r="O566" s="2"/>
      <c r="P566" s="2"/>
      <c r="Q566" s="2"/>
      <c r="R566" s="2"/>
      <c r="S566" s="2"/>
      <c r="T566" s="2"/>
      <c r="U566" s="2"/>
      <c r="V566" s="2"/>
      <c r="W566" s="2"/>
    </row>
    <row r="567">
      <c r="A567" s="2"/>
      <c r="B567" s="2"/>
      <c r="C567" s="2"/>
      <c r="D567" s="2"/>
      <c r="E567" s="2"/>
      <c r="F567" s="2"/>
      <c r="G567" s="2"/>
      <c r="H567" s="2"/>
      <c r="I567" s="2"/>
      <c r="J567" s="2"/>
      <c r="K567" s="2"/>
      <c r="L567" s="2"/>
      <c r="M567" s="2"/>
      <c r="N567" s="2"/>
      <c r="O567" s="2"/>
      <c r="P567" s="2"/>
      <c r="Q567" s="2"/>
      <c r="R567" s="2"/>
      <c r="S567" s="2"/>
      <c r="T567" s="2"/>
      <c r="U567" s="2"/>
      <c r="V567" s="2"/>
      <c r="W567" s="2"/>
    </row>
    <row r="568">
      <c r="A568" s="2"/>
      <c r="B568" s="2"/>
      <c r="C568" s="2"/>
      <c r="D568" s="2"/>
      <c r="E568" s="2"/>
      <c r="F568" s="2"/>
      <c r="G568" s="2"/>
      <c r="H568" s="2"/>
      <c r="I568" s="2"/>
      <c r="J568" s="2"/>
      <c r="K568" s="2"/>
      <c r="L568" s="2"/>
      <c r="M568" s="2"/>
      <c r="N568" s="2"/>
      <c r="O568" s="2"/>
      <c r="P568" s="2"/>
      <c r="Q568" s="2"/>
      <c r="R568" s="2"/>
      <c r="S568" s="2"/>
      <c r="T568" s="2"/>
      <c r="U568" s="2"/>
      <c r="V568" s="2"/>
      <c r="W568" s="2"/>
    </row>
    <row r="569">
      <c r="A569" s="2"/>
      <c r="B569" s="2"/>
      <c r="C569" s="2"/>
      <c r="D569" s="2"/>
      <c r="E569" s="2"/>
      <c r="F569" s="2"/>
      <c r="G569" s="2"/>
      <c r="H569" s="2"/>
      <c r="I569" s="2"/>
      <c r="J569" s="2"/>
      <c r="K569" s="2"/>
      <c r="L569" s="2"/>
      <c r="M569" s="2"/>
      <c r="N569" s="2"/>
      <c r="O569" s="2"/>
      <c r="P569" s="2"/>
      <c r="Q569" s="2"/>
      <c r="R569" s="2"/>
      <c r="S569" s="2"/>
      <c r="T569" s="2"/>
      <c r="U569" s="2"/>
      <c r="V569" s="2"/>
      <c r="W569" s="2"/>
    </row>
    <row r="570">
      <c r="A570" s="2"/>
      <c r="B570" s="2"/>
      <c r="C570" s="2"/>
      <c r="D570" s="2"/>
      <c r="E570" s="2"/>
      <c r="F570" s="2"/>
      <c r="G570" s="2"/>
      <c r="H570" s="2"/>
      <c r="I570" s="2"/>
      <c r="J570" s="2"/>
      <c r="K570" s="2"/>
      <c r="L570" s="2"/>
      <c r="M570" s="2"/>
      <c r="N570" s="2"/>
      <c r="O570" s="2"/>
      <c r="P570" s="2"/>
      <c r="Q570" s="2"/>
      <c r="R570" s="2"/>
      <c r="S570" s="2"/>
      <c r="T570" s="2"/>
      <c r="U570" s="2"/>
      <c r="V570" s="2"/>
      <c r="W570" s="2"/>
    </row>
    <row r="571">
      <c r="A571" s="2"/>
      <c r="B571" s="2"/>
      <c r="C571" s="2"/>
      <c r="D571" s="2"/>
      <c r="E571" s="2"/>
      <c r="F571" s="2"/>
      <c r="G571" s="2"/>
      <c r="H571" s="2"/>
      <c r="I571" s="2"/>
      <c r="J571" s="2"/>
      <c r="K571" s="2"/>
      <c r="L571" s="2"/>
      <c r="M571" s="2"/>
      <c r="N571" s="2"/>
      <c r="O571" s="2"/>
      <c r="P571" s="2"/>
      <c r="Q571" s="2"/>
      <c r="R571" s="2"/>
      <c r="S571" s="2"/>
      <c r="T571" s="2"/>
      <c r="U571" s="2"/>
      <c r="V571" s="2"/>
      <c r="W571" s="2"/>
    </row>
    <row r="572">
      <c r="A572" s="2"/>
      <c r="B572" s="2"/>
      <c r="C572" s="2"/>
      <c r="D572" s="2"/>
      <c r="E572" s="2"/>
      <c r="F572" s="2"/>
      <c r="G572" s="2"/>
      <c r="H572" s="2"/>
      <c r="I572" s="2"/>
      <c r="J572" s="2"/>
      <c r="K572" s="2"/>
      <c r="L572" s="2"/>
      <c r="M572" s="2"/>
      <c r="N572" s="2"/>
      <c r="O572" s="2"/>
      <c r="P572" s="2"/>
      <c r="Q572" s="2"/>
      <c r="R572" s="2"/>
      <c r="S572" s="2"/>
      <c r="T572" s="2"/>
      <c r="U572" s="2"/>
      <c r="V572" s="2"/>
      <c r="W572" s="2"/>
    </row>
    <row r="573">
      <c r="A573" s="2"/>
      <c r="B573" s="2"/>
      <c r="C573" s="2"/>
      <c r="D573" s="2"/>
      <c r="E573" s="2"/>
      <c r="F573" s="2"/>
      <c r="G573" s="2"/>
      <c r="H573" s="2"/>
      <c r="I573" s="2"/>
      <c r="J573" s="2"/>
      <c r="K573" s="2"/>
      <c r="L573" s="2"/>
      <c r="M573" s="2"/>
      <c r="N573" s="2"/>
      <c r="O573" s="2"/>
      <c r="P573" s="2"/>
      <c r="Q573" s="2"/>
      <c r="R573" s="2"/>
      <c r="S573" s="2"/>
      <c r="T573" s="2"/>
      <c r="U573" s="2"/>
      <c r="V573" s="2"/>
      <c r="W573" s="2"/>
    </row>
    <row r="574">
      <c r="A574" s="2"/>
      <c r="B574" s="2"/>
      <c r="C574" s="2"/>
      <c r="D574" s="2"/>
      <c r="E574" s="2"/>
      <c r="F574" s="2"/>
      <c r="G574" s="2"/>
      <c r="H574" s="2"/>
      <c r="I574" s="2"/>
      <c r="J574" s="2"/>
      <c r="K574" s="2"/>
      <c r="L574" s="2"/>
      <c r="M574" s="2"/>
      <c r="N574" s="2"/>
      <c r="O574" s="2"/>
      <c r="P574" s="2"/>
      <c r="Q574" s="2"/>
      <c r="R574" s="2"/>
      <c r="S574" s="2"/>
      <c r="T574" s="2"/>
      <c r="U574" s="2"/>
      <c r="V574" s="2"/>
      <c r="W574" s="2"/>
    </row>
    <row r="575">
      <c r="A575" s="2"/>
      <c r="B575" s="2"/>
      <c r="C575" s="2"/>
      <c r="D575" s="2"/>
      <c r="E575" s="2"/>
      <c r="F575" s="2"/>
      <c r="G575" s="2"/>
      <c r="H575" s="2"/>
      <c r="I575" s="2"/>
      <c r="J575" s="2"/>
      <c r="K575" s="2"/>
      <c r="L575" s="2"/>
      <c r="M575" s="2"/>
      <c r="N575" s="2"/>
      <c r="O575" s="2"/>
      <c r="P575" s="2"/>
      <c r="Q575" s="2"/>
      <c r="R575" s="2"/>
      <c r="S575" s="2"/>
      <c r="T575" s="2"/>
      <c r="U575" s="2"/>
      <c r="V575" s="2"/>
      <c r="W575" s="2"/>
    </row>
    <row r="576">
      <c r="A576" s="2"/>
      <c r="B576" s="2"/>
      <c r="C576" s="2"/>
      <c r="D576" s="2"/>
      <c r="E576" s="2"/>
      <c r="F576" s="2"/>
      <c r="G576" s="2"/>
      <c r="H576" s="2"/>
      <c r="I576" s="2"/>
      <c r="J576" s="2"/>
      <c r="K576" s="2"/>
      <c r="L576" s="2"/>
      <c r="M576" s="2"/>
      <c r="N576" s="2"/>
      <c r="O576" s="2"/>
      <c r="P576" s="2"/>
      <c r="Q576" s="2"/>
      <c r="R576" s="2"/>
      <c r="S576" s="2"/>
      <c r="T576" s="2"/>
      <c r="U576" s="2"/>
      <c r="V576" s="2"/>
      <c r="W576" s="2"/>
    </row>
    <row r="577">
      <c r="A577" s="2"/>
      <c r="B577" s="2"/>
      <c r="C577" s="2"/>
      <c r="D577" s="2"/>
      <c r="E577" s="2"/>
      <c r="F577" s="2"/>
      <c r="G577" s="2"/>
      <c r="H577" s="2"/>
      <c r="I577" s="2"/>
      <c r="J577" s="2"/>
      <c r="K577" s="2"/>
      <c r="L577" s="2"/>
      <c r="M577" s="2"/>
      <c r="N577" s="2"/>
      <c r="O577" s="2"/>
      <c r="P577" s="2"/>
      <c r="Q577" s="2"/>
      <c r="R577" s="2"/>
      <c r="S577" s="2"/>
      <c r="T577" s="2"/>
      <c r="U577" s="2"/>
      <c r="V577" s="2"/>
      <c r="W577" s="2"/>
    </row>
    <row r="578">
      <c r="A578" s="2"/>
      <c r="B578" s="2"/>
      <c r="C578" s="2"/>
      <c r="D578" s="2"/>
      <c r="E578" s="2"/>
      <c r="F578" s="2"/>
      <c r="G578" s="2"/>
      <c r="H578" s="2"/>
      <c r="I578" s="2"/>
      <c r="J578" s="2"/>
      <c r="K578" s="2"/>
      <c r="L578" s="2"/>
      <c r="M578" s="2"/>
      <c r="N578" s="2"/>
      <c r="O578" s="2"/>
      <c r="P578" s="2"/>
      <c r="Q578" s="2"/>
      <c r="R578" s="2"/>
      <c r="S578" s="2"/>
      <c r="T578" s="2"/>
      <c r="U578" s="2"/>
      <c r="V578" s="2"/>
      <c r="W578" s="2"/>
    </row>
    <row r="579">
      <c r="A579" s="2"/>
      <c r="B579" s="2"/>
      <c r="C579" s="2"/>
      <c r="D579" s="2"/>
      <c r="E579" s="2"/>
      <c r="F579" s="2"/>
      <c r="G579" s="2"/>
      <c r="H579" s="2"/>
      <c r="I579" s="2"/>
      <c r="J579" s="2"/>
      <c r="K579" s="2"/>
      <c r="L579" s="2"/>
      <c r="M579" s="2"/>
      <c r="N579" s="2"/>
      <c r="O579" s="2"/>
      <c r="P579" s="2"/>
      <c r="Q579" s="2"/>
      <c r="R579" s="2"/>
      <c r="S579" s="2"/>
      <c r="T579" s="2"/>
      <c r="U579" s="2"/>
      <c r="V579" s="2"/>
      <c r="W579" s="2"/>
    </row>
    <row r="580">
      <c r="A580" s="2"/>
      <c r="B580" s="2"/>
      <c r="C580" s="2"/>
      <c r="D580" s="2"/>
      <c r="E580" s="2"/>
      <c r="F580" s="2"/>
      <c r="G580" s="2"/>
      <c r="H580" s="2"/>
      <c r="I580" s="2"/>
      <c r="J580" s="2"/>
      <c r="K580" s="2"/>
      <c r="L580" s="2"/>
      <c r="M580" s="2"/>
      <c r="N580" s="2"/>
      <c r="O580" s="2"/>
      <c r="P580" s="2"/>
      <c r="Q580" s="2"/>
      <c r="R580" s="2"/>
      <c r="S580" s="2"/>
      <c r="T580" s="2"/>
      <c r="U580" s="2"/>
      <c r="V580" s="2"/>
      <c r="W580" s="2"/>
    </row>
    <row r="581">
      <c r="A581" s="2"/>
      <c r="B581" s="2"/>
      <c r="C581" s="2"/>
      <c r="D581" s="2"/>
      <c r="E581" s="2"/>
      <c r="F581" s="2"/>
      <c r="G581" s="2"/>
      <c r="H581" s="2"/>
      <c r="I581" s="2"/>
      <c r="J581" s="2"/>
      <c r="K581" s="2"/>
      <c r="L581" s="2"/>
      <c r="M581" s="2"/>
      <c r="N581" s="2"/>
      <c r="O581" s="2"/>
      <c r="P581" s="2"/>
      <c r="Q581" s="2"/>
      <c r="R581" s="2"/>
      <c r="S581" s="2"/>
      <c r="T581" s="2"/>
      <c r="U581" s="2"/>
      <c r="V581" s="2"/>
      <c r="W581" s="2"/>
    </row>
    <row r="582">
      <c r="A582" s="2"/>
      <c r="B582" s="2"/>
      <c r="C582" s="2"/>
      <c r="D582" s="2"/>
      <c r="E582" s="2"/>
      <c r="F582" s="2"/>
      <c r="G582" s="2"/>
      <c r="H582" s="2"/>
      <c r="I582" s="2"/>
      <c r="J582" s="2"/>
      <c r="K582" s="2"/>
      <c r="L582" s="2"/>
      <c r="M582" s="2"/>
      <c r="N582" s="2"/>
      <c r="O582" s="2"/>
      <c r="P582" s="2"/>
      <c r="Q582" s="2"/>
      <c r="R582" s="2"/>
      <c r="S582" s="2"/>
      <c r="T582" s="2"/>
      <c r="U582" s="2"/>
      <c r="V582" s="2"/>
      <c r="W582" s="2"/>
    </row>
    <row r="583">
      <c r="A583" s="2"/>
      <c r="B583" s="2"/>
      <c r="C583" s="2"/>
      <c r="D583" s="2"/>
      <c r="E583" s="2"/>
      <c r="F583" s="2"/>
      <c r="G583" s="2"/>
      <c r="H583" s="2"/>
      <c r="I583" s="2"/>
      <c r="J583" s="2"/>
      <c r="K583" s="2"/>
      <c r="L583" s="2"/>
      <c r="M583" s="2"/>
      <c r="N583" s="2"/>
      <c r="O583" s="2"/>
      <c r="P583" s="2"/>
      <c r="Q583" s="2"/>
      <c r="R583" s="2"/>
      <c r="S583" s="2"/>
      <c r="T583" s="2"/>
      <c r="U583" s="2"/>
      <c r="V583" s="2"/>
      <c r="W583" s="2"/>
    </row>
    <row r="584">
      <c r="A584" s="2"/>
      <c r="B584" s="2"/>
      <c r="C584" s="2"/>
      <c r="D584" s="2"/>
      <c r="E584" s="2"/>
      <c r="F584" s="2"/>
      <c r="G584" s="2"/>
      <c r="H584" s="2"/>
      <c r="I584" s="2"/>
      <c r="J584" s="2"/>
      <c r="K584" s="2"/>
      <c r="L584" s="2"/>
      <c r="M584" s="2"/>
      <c r="N584" s="2"/>
      <c r="O584" s="2"/>
      <c r="P584" s="2"/>
      <c r="Q584" s="2"/>
      <c r="R584" s="2"/>
      <c r="S584" s="2"/>
      <c r="T584" s="2"/>
      <c r="U584" s="2"/>
      <c r="V584" s="2"/>
      <c r="W584" s="2"/>
    </row>
    <row r="585">
      <c r="A585" s="2"/>
      <c r="B585" s="2"/>
      <c r="C585" s="2"/>
      <c r="D585" s="2"/>
      <c r="E585" s="2"/>
      <c r="F585" s="2"/>
      <c r="G585" s="2"/>
      <c r="H585" s="2"/>
      <c r="I585" s="2"/>
      <c r="J585" s="2"/>
      <c r="K585" s="2"/>
      <c r="L585" s="2"/>
      <c r="M585" s="2"/>
      <c r="N585" s="2"/>
      <c r="O585" s="2"/>
      <c r="P585" s="2"/>
      <c r="Q585" s="2"/>
      <c r="R585" s="2"/>
      <c r="S585" s="2"/>
      <c r="T585" s="2"/>
      <c r="U585" s="2"/>
      <c r="V585" s="2"/>
      <c r="W585" s="2"/>
    </row>
    <row r="586">
      <c r="A586" s="2"/>
      <c r="B586" s="2"/>
      <c r="C586" s="2"/>
      <c r="D586" s="2"/>
      <c r="E586" s="2"/>
      <c r="F586" s="2"/>
      <c r="G586" s="2"/>
      <c r="H586" s="2"/>
      <c r="I586" s="2"/>
      <c r="J586" s="2"/>
      <c r="K586" s="2"/>
      <c r="L586" s="2"/>
      <c r="M586" s="2"/>
      <c r="N586" s="2"/>
      <c r="O586" s="2"/>
      <c r="P586" s="2"/>
      <c r="Q586" s="2"/>
      <c r="R586" s="2"/>
      <c r="S586" s="2"/>
      <c r="T586" s="2"/>
      <c r="U586" s="2"/>
      <c r="V586" s="2"/>
      <c r="W586" s="2"/>
    </row>
    <row r="587">
      <c r="A587" s="2"/>
      <c r="B587" s="2"/>
      <c r="C587" s="2"/>
      <c r="D587" s="2"/>
      <c r="E587" s="2"/>
      <c r="F587" s="2"/>
      <c r="G587" s="2"/>
      <c r="H587" s="2"/>
      <c r="I587" s="2"/>
      <c r="J587" s="2"/>
      <c r="K587" s="2"/>
      <c r="L587" s="2"/>
      <c r="M587" s="2"/>
      <c r="N587" s="2"/>
      <c r="O587" s="2"/>
      <c r="P587" s="2"/>
      <c r="Q587" s="2"/>
      <c r="R587" s="2"/>
      <c r="S587" s="2"/>
      <c r="T587" s="2"/>
      <c r="U587" s="2"/>
      <c r="V587" s="2"/>
      <c r="W587" s="2"/>
    </row>
    <row r="588">
      <c r="A588" s="2"/>
      <c r="B588" s="2"/>
      <c r="C588" s="2"/>
      <c r="D588" s="2"/>
      <c r="E588" s="2"/>
      <c r="F588" s="2"/>
      <c r="G588" s="2"/>
      <c r="H588" s="2"/>
      <c r="I588" s="2"/>
      <c r="J588" s="2"/>
      <c r="K588" s="2"/>
      <c r="L588" s="2"/>
      <c r="M588" s="2"/>
      <c r="N588" s="2"/>
      <c r="O588" s="2"/>
      <c r="P588" s="2"/>
      <c r="Q588" s="2"/>
      <c r="R588" s="2"/>
      <c r="S588" s="2"/>
      <c r="T588" s="2"/>
      <c r="U588" s="2"/>
      <c r="V588" s="2"/>
      <c r="W588" s="2"/>
    </row>
    <row r="589">
      <c r="A589" s="2"/>
      <c r="B589" s="2"/>
      <c r="C589" s="2"/>
      <c r="D589" s="2"/>
      <c r="E589" s="2"/>
      <c r="F589" s="2"/>
      <c r="G589" s="2"/>
      <c r="H589" s="2"/>
      <c r="I589" s="2"/>
      <c r="J589" s="2"/>
      <c r="K589" s="2"/>
      <c r="L589" s="2"/>
      <c r="M589" s="2"/>
      <c r="N589" s="2"/>
      <c r="O589" s="2"/>
      <c r="P589" s="2"/>
      <c r="Q589" s="2"/>
      <c r="R589" s="2"/>
      <c r="S589" s="2"/>
      <c r="T589" s="2"/>
      <c r="U589" s="2"/>
      <c r="V589" s="2"/>
      <c r="W589" s="2"/>
    </row>
    <row r="590">
      <c r="A590" s="2"/>
      <c r="B590" s="2"/>
      <c r="C590" s="2"/>
      <c r="D590" s="2"/>
      <c r="E590" s="2"/>
      <c r="F590" s="2"/>
      <c r="G590" s="2"/>
      <c r="H590" s="2"/>
      <c r="I590" s="2"/>
      <c r="J590" s="2"/>
      <c r="K590" s="2"/>
      <c r="L590" s="2"/>
      <c r="M590" s="2"/>
      <c r="N590" s="2"/>
      <c r="O590" s="2"/>
      <c r="P590" s="2"/>
      <c r="Q590" s="2"/>
      <c r="R590" s="2"/>
      <c r="S590" s="2"/>
      <c r="T590" s="2"/>
      <c r="U590" s="2"/>
      <c r="V590" s="2"/>
      <c r="W590" s="2"/>
    </row>
    <row r="591">
      <c r="A591" s="2"/>
      <c r="B591" s="2"/>
      <c r="C591" s="2"/>
      <c r="D591" s="2"/>
      <c r="E591" s="2"/>
      <c r="F591" s="2"/>
      <c r="G591" s="2"/>
      <c r="H591" s="2"/>
      <c r="I591" s="2"/>
      <c r="J591" s="2"/>
      <c r="K591" s="2"/>
      <c r="L591" s="2"/>
      <c r="M591" s="2"/>
      <c r="N591" s="2"/>
      <c r="O591" s="2"/>
      <c r="P591" s="2"/>
      <c r="Q591" s="2"/>
      <c r="R591" s="2"/>
      <c r="S591" s="2"/>
      <c r="T591" s="2"/>
      <c r="U591" s="2"/>
      <c r="V591" s="2"/>
      <c r="W591" s="2"/>
    </row>
    <row r="592">
      <c r="A592" s="2"/>
      <c r="B592" s="2"/>
      <c r="C592" s="2"/>
      <c r="D592" s="2"/>
      <c r="E592" s="2"/>
      <c r="F592" s="2"/>
      <c r="G592" s="2"/>
      <c r="H592" s="2"/>
      <c r="I592" s="2"/>
      <c r="J592" s="2"/>
      <c r="K592" s="2"/>
      <c r="L592" s="2"/>
      <c r="M592" s="2"/>
      <c r="N592" s="2"/>
      <c r="O592" s="2"/>
      <c r="P592" s="2"/>
      <c r="Q592" s="2"/>
      <c r="R592" s="2"/>
      <c r="S592" s="2"/>
      <c r="T592" s="2"/>
      <c r="U592" s="2"/>
      <c r="V592" s="2"/>
      <c r="W592" s="2"/>
    </row>
    <row r="593">
      <c r="A593" s="2"/>
      <c r="B593" s="2"/>
      <c r="C593" s="2"/>
      <c r="D593" s="2"/>
      <c r="E593" s="2"/>
      <c r="F593" s="2"/>
      <c r="G593" s="2"/>
      <c r="H593" s="2"/>
      <c r="I593" s="2"/>
      <c r="J593" s="2"/>
      <c r="K593" s="2"/>
      <c r="L593" s="2"/>
      <c r="M593" s="2"/>
      <c r="N593" s="2"/>
      <c r="O593" s="2"/>
      <c r="P593" s="2"/>
      <c r="Q593" s="2"/>
      <c r="R593" s="2"/>
      <c r="S593" s="2"/>
      <c r="T593" s="2"/>
      <c r="U593" s="2"/>
      <c r="V593" s="2"/>
      <c r="W593" s="2"/>
    </row>
    <row r="594">
      <c r="A594" s="2"/>
      <c r="B594" s="2"/>
      <c r="C594" s="2"/>
      <c r="D594" s="2"/>
      <c r="E594" s="2"/>
      <c r="F594" s="2"/>
      <c r="G594" s="2"/>
      <c r="H594" s="2"/>
      <c r="I594" s="2"/>
      <c r="J594" s="2"/>
      <c r="K594" s="2"/>
      <c r="L594" s="2"/>
      <c r="M594" s="2"/>
      <c r="N594" s="2"/>
      <c r="O594" s="2"/>
      <c r="P594" s="2"/>
      <c r="Q594" s="2"/>
      <c r="R594" s="2"/>
      <c r="S594" s="2"/>
      <c r="T594" s="2"/>
      <c r="U594" s="2"/>
      <c r="V594" s="2"/>
      <c r="W594" s="2"/>
    </row>
    <row r="595">
      <c r="A595" s="2"/>
      <c r="B595" s="2"/>
      <c r="C595" s="2"/>
      <c r="D595" s="2"/>
      <c r="E595" s="2"/>
      <c r="F595" s="2"/>
      <c r="G595" s="2"/>
      <c r="H595" s="2"/>
      <c r="I595" s="2"/>
      <c r="J595" s="2"/>
      <c r="K595" s="2"/>
      <c r="L595" s="2"/>
      <c r="M595" s="2"/>
      <c r="N595" s="2"/>
      <c r="O595" s="2"/>
      <c r="P595" s="2"/>
      <c r="Q595" s="2"/>
      <c r="R595" s="2"/>
      <c r="S595" s="2"/>
      <c r="T595" s="2"/>
      <c r="U595" s="2"/>
      <c r="V595" s="2"/>
      <c r="W595" s="2"/>
    </row>
    <row r="596">
      <c r="A596" s="2"/>
      <c r="B596" s="2"/>
      <c r="C596" s="2"/>
      <c r="D596" s="2"/>
      <c r="E596" s="2"/>
      <c r="F596" s="2"/>
      <c r="G596" s="2"/>
      <c r="H596" s="2"/>
      <c r="I596" s="2"/>
      <c r="J596" s="2"/>
      <c r="K596" s="2"/>
      <c r="L596" s="2"/>
      <c r="M596" s="2"/>
      <c r="N596" s="2"/>
      <c r="O596" s="2"/>
      <c r="P596" s="2"/>
      <c r="Q596" s="2"/>
      <c r="R596" s="2"/>
      <c r="S596" s="2"/>
      <c r="T596" s="2"/>
      <c r="U596" s="2"/>
      <c r="V596" s="2"/>
      <c r="W596" s="2"/>
    </row>
    <row r="597">
      <c r="A597" s="2"/>
      <c r="B597" s="2"/>
      <c r="C597" s="2"/>
      <c r="D597" s="2"/>
      <c r="E597" s="2"/>
      <c r="F597" s="2"/>
      <c r="G597" s="2"/>
      <c r="H597" s="2"/>
      <c r="I597" s="2"/>
      <c r="J597" s="2"/>
      <c r="K597" s="2"/>
      <c r="L597" s="2"/>
      <c r="M597" s="2"/>
      <c r="N597" s="2"/>
      <c r="O597" s="2"/>
      <c r="P597" s="2"/>
      <c r="Q597" s="2"/>
      <c r="R597" s="2"/>
      <c r="S597" s="2"/>
      <c r="T597" s="2"/>
      <c r="U597" s="2"/>
      <c r="V597" s="2"/>
      <c r="W597" s="2"/>
    </row>
    <row r="598">
      <c r="A598" s="2"/>
      <c r="B598" s="2"/>
      <c r="C598" s="2"/>
      <c r="D598" s="2"/>
      <c r="E598" s="2"/>
      <c r="F598" s="2"/>
      <c r="G598" s="2"/>
      <c r="H598" s="2"/>
      <c r="I598" s="2"/>
      <c r="J598" s="2"/>
      <c r="K598" s="2"/>
      <c r="L598" s="2"/>
      <c r="M598" s="2"/>
      <c r="N598" s="2"/>
      <c r="O598" s="2"/>
      <c r="P598" s="2"/>
      <c r="Q598" s="2"/>
      <c r="R598" s="2"/>
      <c r="S598" s="2"/>
      <c r="T598" s="2"/>
      <c r="U598" s="2"/>
      <c r="V598" s="2"/>
      <c r="W598" s="2"/>
    </row>
    <row r="599">
      <c r="A599" s="2"/>
      <c r="B599" s="2"/>
      <c r="C599" s="2"/>
      <c r="D599" s="2"/>
      <c r="E599" s="2"/>
      <c r="F599" s="2"/>
      <c r="G599" s="2"/>
      <c r="H599" s="2"/>
      <c r="I599" s="2"/>
      <c r="J599" s="2"/>
      <c r="K599" s="2"/>
      <c r="L599" s="2"/>
      <c r="M599" s="2"/>
      <c r="N599" s="2"/>
      <c r="O599" s="2"/>
      <c r="P599" s="2"/>
      <c r="Q599" s="2"/>
      <c r="R599" s="2"/>
      <c r="S599" s="2"/>
      <c r="T599" s="2"/>
      <c r="U599" s="2"/>
      <c r="V599" s="2"/>
      <c r="W599" s="2"/>
    </row>
    <row r="600">
      <c r="A600" s="2"/>
      <c r="B600" s="2"/>
      <c r="C600" s="2"/>
      <c r="D600" s="2"/>
      <c r="E600" s="2"/>
      <c r="F600" s="2"/>
      <c r="G600" s="2"/>
      <c r="H600" s="2"/>
      <c r="I600" s="2"/>
      <c r="J600" s="2"/>
      <c r="K600" s="2"/>
      <c r="L600" s="2"/>
      <c r="M600" s="2"/>
      <c r="N600" s="2"/>
      <c r="O600" s="2"/>
      <c r="P600" s="2"/>
      <c r="Q600" s="2"/>
      <c r="R600" s="2"/>
      <c r="S600" s="2"/>
      <c r="T600" s="2"/>
      <c r="U600" s="2"/>
      <c r="V600" s="2"/>
      <c r="W600" s="2"/>
    </row>
    <row r="601">
      <c r="A601" s="2"/>
      <c r="B601" s="2"/>
      <c r="C601" s="2"/>
      <c r="D601" s="2"/>
      <c r="E601" s="2"/>
      <c r="F601" s="2"/>
      <c r="G601" s="2"/>
      <c r="H601" s="2"/>
      <c r="I601" s="2"/>
      <c r="J601" s="2"/>
      <c r="K601" s="2"/>
      <c r="L601" s="2"/>
      <c r="M601" s="2"/>
      <c r="N601" s="2"/>
      <c r="O601" s="2"/>
      <c r="P601" s="2"/>
      <c r="Q601" s="2"/>
      <c r="R601" s="2"/>
      <c r="S601" s="2"/>
      <c r="T601" s="2"/>
      <c r="U601" s="2"/>
      <c r="V601" s="2"/>
      <c r="W601" s="2"/>
    </row>
    <row r="602">
      <c r="A602" s="2"/>
      <c r="B602" s="2"/>
      <c r="C602" s="2"/>
      <c r="D602" s="2"/>
      <c r="E602" s="2"/>
      <c r="F602" s="2"/>
      <c r="G602" s="2"/>
      <c r="H602" s="2"/>
      <c r="I602" s="2"/>
      <c r="J602" s="2"/>
      <c r="K602" s="2"/>
      <c r="L602" s="2"/>
      <c r="M602" s="2"/>
      <c r="N602" s="2"/>
      <c r="O602" s="2"/>
      <c r="P602" s="2"/>
      <c r="Q602" s="2"/>
      <c r="R602" s="2"/>
      <c r="S602" s="2"/>
      <c r="T602" s="2"/>
      <c r="U602" s="2"/>
      <c r="V602" s="2"/>
      <c r="W602" s="2"/>
    </row>
    <row r="603">
      <c r="A603" s="2"/>
      <c r="B603" s="2"/>
      <c r="C603" s="2"/>
      <c r="D603" s="2"/>
      <c r="E603" s="2"/>
      <c r="F603" s="2"/>
      <c r="G603" s="2"/>
      <c r="H603" s="2"/>
      <c r="I603" s="2"/>
      <c r="J603" s="2"/>
      <c r="K603" s="2"/>
      <c r="L603" s="2"/>
      <c r="M603" s="2"/>
      <c r="N603" s="2"/>
      <c r="O603" s="2"/>
      <c r="P603" s="2"/>
      <c r="Q603" s="2"/>
      <c r="R603" s="2"/>
      <c r="S603" s="2"/>
      <c r="T603" s="2"/>
      <c r="U603" s="2"/>
      <c r="V603" s="2"/>
      <c r="W603" s="2"/>
    </row>
    <row r="604">
      <c r="A604" s="2"/>
      <c r="B604" s="2"/>
      <c r="C604" s="2"/>
      <c r="D604" s="2"/>
      <c r="E604" s="2"/>
      <c r="F604" s="2"/>
      <c r="G604" s="2"/>
      <c r="H604" s="2"/>
      <c r="I604" s="2"/>
      <c r="J604" s="2"/>
      <c r="K604" s="2"/>
      <c r="L604" s="2"/>
      <c r="M604" s="2"/>
      <c r="N604" s="2"/>
      <c r="O604" s="2"/>
      <c r="P604" s="2"/>
      <c r="Q604" s="2"/>
      <c r="R604" s="2"/>
      <c r="S604" s="2"/>
      <c r="T604" s="2"/>
      <c r="U604" s="2"/>
      <c r="V604" s="2"/>
      <c r="W604" s="2"/>
    </row>
    <row r="605">
      <c r="A605" s="2"/>
      <c r="B605" s="2"/>
      <c r="C605" s="2"/>
      <c r="D605" s="2"/>
      <c r="E605" s="2"/>
      <c r="F605" s="2"/>
      <c r="G605" s="2"/>
      <c r="H605" s="2"/>
      <c r="I605" s="2"/>
      <c r="J605" s="2"/>
      <c r="K605" s="2"/>
      <c r="L605" s="2"/>
      <c r="M605" s="2"/>
      <c r="N605" s="2"/>
      <c r="O605" s="2"/>
      <c r="P605" s="2"/>
      <c r="Q605" s="2"/>
      <c r="R605" s="2"/>
      <c r="S605" s="2"/>
      <c r="T605" s="2"/>
      <c r="U605" s="2"/>
      <c r="V605" s="2"/>
      <c r="W605" s="2"/>
    </row>
    <row r="606">
      <c r="A606" s="2"/>
      <c r="B606" s="2"/>
      <c r="C606" s="2"/>
      <c r="D606" s="2"/>
      <c r="E606" s="2"/>
      <c r="F606" s="2"/>
      <c r="G606" s="2"/>
      <c r="H606" s="2"/>
      <c r="I606" s="2"/>
      <c r="J606" s="2"/>
      <c r="K606" s="2"/>
      <c r="L606" s="2"/>
      <c r="M606" s="2"/>
      <c r="N606" s="2"/>
      <c r="O606" s="2"/>
      <c r="P606" s="2"/>
      <c r="Q606" s="2"/>
      <c r="R606" s="2"/>
      <c r="S606" s="2"/>
      <c r="T606" s="2"/>
      <c r="U606" s="2"/>
      <c r="V606" s="2"/>
      <c r="W606" s="2"/>
    </row>
    <row r="607">
      <c r="A607" s="2"/>
      <c r="B607" s="2"/>
      <c r="C607" s="2"/>
      <c r="D607" s="2"/>
      <c r="E607" s="2"/>
      <c r="F607" s="2"/>
      <c r="G607" s="2"/>
      <c r="H607" s="2"/>
      <c r="I607" s="2"/>
      <c r="J607" s="2"/>
      <c r="K607" s="2"/>
      <c r="L607" s="2"/>
      <c r="M607" s="2"/>
      <c r="N607" s="2"/>
      <c r="O607" s="2"/>
      <c r="P607" s="2"/>
      <c r="Q607" s="2"/>
      <c r="R607" s="2"/>
      <c r="S607" s="2"/>
      <c r="T607" s="2"/>
      <c r="U607" s="2"/>
      <c r="V607" s="2"/>
      <c r="W607" s="2"/>
    </row>
    <row r="608">
      <c r="A608" s="2"/>
      <c r="B608" s="2"/>
      <c r="C608" s="2"/>
      <c r="D608" s="2"/>
      <c r="E608" s="2"/>
      <c r="F608" s="2"/>
      <c r="G608" s="2"/>
      <c r="H608" s="2"/>
      <c r="I608" s="2"/>
      <c r="J608" s="2"/>
      <c r="K608" s="2"/>
      <c r="L608" s="2"/>
      <c r="M608" s="2"/>
      <c r="N608" s="2"/>
      <c r="O608" s="2"/>
      <c r="P608" s="2"/>
      <c r="Q608" s="2"/>
      <c r="R608" s="2"/>
      <c r="S608" s="2"/>
      <c r="T608" s="2"/>
      <c r="U608" s="2"/>
      <c r="V608" s="2"/>
      <c r="W608" s="2"/>
    </row>
    <row r="609">
      <c r="A609" s="2"/>
      <c r="B609" s="2"/>
      <c r="C609" s="2"/>
      <c r="D609" s="2"/>
      <c r="E609" s="2"/>
      <c r="F609" s="2"/>
      <c r="G609" s="2"/>
      <c r="H609" s="2"/>
      <c r="I609" s="2"/>
      <c r="J609" s="2"/>
      <c r="K609" s="2"/>
      <c r="L609" s="2"/>
      <c r="M609" s="2"/>
      <c r="N609" s="2"/>
      <c r="O609" s="2"/>
      <c r="P609" s="2"/>
      <c r="Q609" s="2"/>
      <c r="R609" s="2"/>
      <c r="S609" s="2"/>
      <c r="T609" s="2"/>
      <c r="U609" s="2"/>
      <c r="V609" s="2"/>
      <c r="W609" s="2"/>
    </row>
    <row r="610">
      <c r="A610" s="2"/>
      <c r="B610" s="2"/>
      <c r="C610" s="2"/>
      <c r="D610" s="2"/>
      <c r="E610" s="2"/>
      <c r="F610" s="2"/>
      <c r="G610" s="2"/>
      <c r="H610" s="2"/>
      <c r="I610" s="2"/>
      <c r="J610" s="2"/>
      <c r="K610" s="2"/>
      <c r="L610" s="2"/>
      <c r="M610" s="2"/>
      <c r="N610" s="2"/>
      <c r="O610" s="2"/>
      <c r="P610" s="2"/>
      <c r="Q610" s="2"/>
      <c r="R610" s="2"/>
      <c r="S610" s="2"/>
      <c r="T610" s="2"/>
      <c r="U610" s="2"/>
      <c r="V610" s="2"/>
      <c r="W610" s="2"/>
    </row>
    <row r="611">
      <c r="A611" s="2"/>
      <c r="B611" s="2"/>
      <c r="C611" s="2"/>
      <c r="D611" s="2"/>
      <c r="E611" s="2"/>
      <c r="F611" s="2"/>
      <c r="G611" s="2"/>
      <c r="H611" s="2"/>
      <c r="I611" s="2"/>
      <c r="J611" s="2"/>
      <c r="K611" s="2"/>
      <c r="L611" s="2"/>
      <c r="M611" s="2"/>
      <c r="N611" s="2"/>
      <c r="O611" s="2"/>
      <c r="P611" s="2"/>
      <c r="Q611" s="2"/>
      <c r="R611" s="2"/>
      <c r="S611" s="2"/>
      <c r="T611" s="2"/>
      <c r="U611" s="2"/>
      <c r="V611" s="2"/>
      <c r="W611" s="2"/>
    </row>
    <row r="612">
      <c r="A612" s="2"/>
      <c r="B612" s="2"/>
      <c r="C612" s="2"/>
      <c r="D612" s="2"/>
      <c r="E612" s="2"/>
      <c r="F612" s="2"/>
      <c r="G612" s="2"/>
      <c r="H612" s="2"/>
      <c r="I612" s="2"/>
      <c r="J612" s="2"/>
      <c r="K612" s="2"/>
      <c r="L612" s="2"/>
      <c r="M612" s="2"/>
      <c r="N612" s="2"/>
      <c r="O612" s="2"/>
      <c r="P612" s="2"/>
      <c r="Q612" s="2"/>
      <c r="R612" s="2"/>
      <c r="S612" s="2"/>
      <c r="T612" s="2"/>
      <c r="U612" s="2"/>
      <c r="V612" s="2"/>
      <c r="W612" s="2"/>
    </row>
    <row r="613">
      <c r="A613" s="2"/>
      <c r="B613" s="2"/>
      <c r="C613" s="2"/>
      <c r="D613" s="2"/>
      <c r="E613" s="2"/>
      <c r="F613" s="2"/>
      <c r="G613" s="2"/>
      <c r="H613" s="2"/>
      <c r="I613" s="2"/>
      <c r="J613" s="2"/>
      <c r="K613" s="2"/>
      <c r="L613" s="2"/>
      <c r="M613" s="2"/>
      <c r="N613" s="2"/>
      <c r="O613" s="2"/>
      <c r="P613" s="2"/>
      <c r="Q613" s="2"/>
      <c r="R613" s="2"/>
      <c r="S613" s="2"/>
      <c r="T613" s="2"/>
      <c r="U613" s="2"/>
      <c r="V613" s="2"/>
      <c r="W613" s="2"/>
    </row>
    <row r="614">
      <c r="A614" s="2"/>
      <c r="B614" s="2"/>
      <c r="C614" s="2"/>
      <c r="D614" s="2"/>
      <c r="E614" s="2"/>
      <c r="F614" s="2"/>
      <c r="G614" s="2"/>
      <c r="H614" s="2"/>
      <c r="I614" s="2"/>
      <c r="J614" s="2"/>
      <c r="K614" s="2"/>
      <c r="L614" s="2"/>
      <c r="M614" s="2"/>
      <c r="N614" s="2"/>
      <c r="O614" s="2"/>
      <c r="P614" s="2"/>
      <c r="Q614" s="2"/>
      <c r="R614" s="2"/>
      <c r="S614" s="2"/>
      <c r="T614" s="2"/>
      <c r="U614" s="2"/>
      <c r="V614" s="2"/>
      <c r="W614" s="2"/>
    </row>
    <row r="615">
      <c r="A615" s="2"/>
      <c r="B615" s="2"/>
      <c r="C615" s="2"/>
      <c r="D615" s="2"/>
      <c r="E615" s="2"/>
      <c r="F615" s="2"/>
      <c r="G615" s="2"/>
      <c r="H615" s="2"/>
      <c r="I615" s="2"/>
      <c r="J615" s="2"/>
      <c r="K615" s="2"/>
      <c r="L615" s="2"/>
      <c r="M615" s="2"/>
      <c r="N615" s="2"/>
      <c r="O615" s="2"/>
      <c r="P615" s="2"/>
      <c r="Q615" s="2"/>
      <c r="R615" s="2"/>
      <c r="S615" s="2"/>
      <c r="T615" s="2"/>
      <c r="U615" s="2"/>
      <c r="V615" s="2"/>
      <c r="W615" s="2"/>
    </row>
    <row r="616">
      <c r="A616" s="2"/>
      <c r="B616" s="2"/>
      <c r="C616" s="2"/>
      <c r="D616" s="2"/>
      <c r="E616" s="2"/>
      <c r="F616" s="2"/>
      <c r="G616" s="2"/>
      <c r="H616" s="2"/>
      <c r="I616" s="2"/>
      <c r="J616" s="2"/>
      <c r="K616" s="2"/>
      <c r="L616" s="2"/>
      <c r="M616" s="2"/>
      <c r="N616" s="2"/>
      <c r="O616" s="2"/>
      <c r="P616" s="2"/>
      <c r="Q616" s="2"/>
      <c r="R616" s="2"/>
      <c r="S616" s="2"/>
      <c r="T616" s="2"/>
      <c r="U616" s="2"/>
      <c r="V616" s="2"/>
      <c r="W616" s="2"/>
    </row>
    <row r="617">
      <c r="A617" s="2"/>
      <c r="B617" s="2"/>
      <c r="C617" s="2"/>
      <c r="D617" s="2"/>
      <c r="E617" s="2"/>
      <c r="F617" s="2"/>
      <c r="G617" s="2"/>
      <c r="H617" s="2"/>
      <c r="I617" s="2"/>
      <c r="J617" s="2"/>
      <c r="K617" s="2"/>
      <c r="L617" s="2"/>
      <c r="M617" s="2"/>
      <c r="N617" s="2"/>
      <c r="O617" s="2"/>
      <c r="P617" s="2"/>
      <c r="Q617" s="2"/>
      <c r="R617" s="2"/>
      <c r="S617" s="2"/>
      <c r="T617" s="2"/>
      <c r="U617" s="2"/>
      <c r="V617" s="2"/>
      <c r="W617" s="2"/>
    </row>
    <row r="618">
      <c r="A618" s="2"/>
      <c r="B618" s="2"/>
      <c r="C618" s="2"/>
      <c r="D618" s="2"/>
      <c r="E618" s="2"/>
      <c r="F618" s="2"/>
      <c r="G618" s="2"/>
      <c r="H618" s="2"/>
      <c r="I618" s="2"/>
      <c r="J618" s="2"/>
      <c r="K618" s="2"/>
      <c r="L618" s="2"/>
      <c r="M618" s="2"/>
      <c r="N618" s="2"/>
      <c r="O618" s="2"/>
      <c r="P618" s="2"/>
      <c r="Q618" s="2"/>
      <c r="R618" s="2"/>
      <c r="S618" s="2"/>
      <c r="T618" s="2"/>
      <c r="U618" s="2"/>
      <c r="V618" s="2"/>
      <c r="W618" s="2"/>
    </row>
    <row r="619">
      <c r="A619" s="2"/>
      <c r="B619" s="2"/>
      <c r="C619" s="2"/>
      <c r="D619" s="2"/>
      <c r="E619" s="2"/>
      <c r="F619" s="2"/>
      <c r="G619" s="2"/>
      <c r="H619" s="2"/>
      <c r="I619" s="2"/>
      <c r="J619" s="2"/>
      <c r="K619" s="2"/>
      <c r="L619" s="2"/>
      <c r="M619" s="2"/>
      <c r="N619" s="2"/>
      <c r="O619" s="2"/>
      <c r="P619" s="2"/>
      <c r="Q619" s="2"/>
      <c r="R619" s="2"/>
      <c r="S619" s="2"/>
      <c r="T619" s="2"/>
      <c r="U619" s="2"/>
      <c r="V619" s="2"/>
      <c r="W619" s="2"/>
    </row>
    <row r="620">
      <c r="A620" s="2"/>
      <c r="B620" s="2"/>
      <c r="C620" s="2"/>
      <c r="D620" s="2"/>
      <c r="E620" s="2"/>
      <c r="F620" s="2"/>
      <c r="G620" s="2"/>
      <c r="H620" s="2"/>
      <c r="I620" s="2"/>
      <c r="J620" s="2"/>
      <c r="K620" s="2"/>
      <c r="L620" s="2"/>
      <c r="M620" s="2"/>
      <c r="N620" s="2"/>
      <c r="O620" s="2"/>
      <c r="P620" s="2"/>
      <c r="Q620" s="2"/>
      <c r="R620" s="2"/>
      <c r="S620" s="2"/>
      <c r="T620" s="2"/>
      <c r="U620" s="2"/>
      <c r="V620" s="2"/>
      <c r="W620" s="2"/>
    </row>
    <row r="621">
      <c r="A621" s="2"/>
      <c r="B621" s="2"/>
      <c r="C621" s="2"/>
      <c r="D621" s="2"/>
      <c r="E621" s="2"/>
      <c r="F621" s="2"/>
      <c r="G621" s="2"/>
      <c r="H621" s="2"/>
      <c r="I621" s="2"/>
      <c r="J621" s="2"/>
      <c r="K621" s="2"/>
      <c r="L621" s="2"/>
      <c r="M621" s="2"/>
      <c r="N621" s="2"/>
      <c r="O621" s="2"/>
      <c r="P621" s="2"/>
      <c r="Q621" s="2"/>
      <c r="R621" s="2"/>
      <c r="S621" s="2"/>
      <c r="T621" s="2"/>
      <c r="U621" s="2"/>
      <c r="V621" s="2"/>
      <c r="W621" s="2"/>
    </row>
    <row r="622">
      <c r="A622" s="2"/>
      <c r="B622" s="2"/>
      <c r="C622" s="2"/>
      <c r="D622" s="2"/>
      <c r="E622" s="2"/>
      <c r="F622" s="2"/>
      <c r="G622" s="2"/>
      <c r="H622" s="2"/>
      <c r="I622" s="2"/>
      <c r="J622" s="2"/>
      <c r="K622" s="2"/>
      <c r="L622" s="2"/>
      <c r="M622" s="2"/>
      <c r="N622" s="2"/>
      <c r="O622" s="2"/>
      <c r="P622" s="2"/>
      <c r="Q622" s="2"/>
      <c r="R622" s="2"/>
      <c r="S622" s="2"/>
      <c r="T622" s="2"/>
      <c r="U622" s="2"/>
      <c r="V622" s="2"/>
      <c r="W622" s="2"/>
    </row>
    <row r="623">
      <c r="A623" s="2"/>
      <c r="B623" s="2"/>
      <c r="C623" s="2"/>
      <c r="D623" s="2"/>
      <c r="E623" s="2"/>
      <c r="F623" s="2"/>
      <c r="G623" s="2"/>
      <c r="H623" s="2"/>
      <c r="I623" s="2"/>
      <c r="J623" s="2"/>
      <c r="K623" s="2"/>
      <c r="L623" s="2"/>
      <c r="M623" s="2"/>
      <c r="N623" s="2"/>
      <c r="O623" s="2"/>
      <c r="P623" s="2"/>
      <c r="Q623" s="2"/>
      <c r="R623" s="2"/>
      <c r="S623" s="2"/>
      <c r="T623" s="2"/>
      <c r="U623" s="2"/>
      <c r="V623" s="2"/>
      <c r="W623" s="2"/>
    </row>
    <row r="624">
      <c r="A624" s="2"/>
      <c r="B624" s="2"/>
      <c r="C624" s="2"/>
      <c r="D624" s="2"/>
      <c r="E624" s="2"/>
      <c r="F624" s="2"/>
      <c r="G624" s="2"/>
      <c r="H624" s="2"/>
      <c r="I624" s="2"/>
      <c r="J624" s="2"/>
      <c r="K624" s="2"/>
      <c r="L624" s="2"/>
      <c r="M624" s="2"/>
      <c r="N624" s="2"/>
      <c r="O624" s="2"/>
      <c r="P624" s="2"/>
      <c r="Q624" s="2"/>
      <c r="R624" s="2"/>
      <c r="S624" s="2"/>
      <c r="T624" s="2"/>
      <c r="U624" s="2"/>
      <c r="V624" s="2"/>
      <c r="W624" s="2"/>
    </row>
    <row r="625">
      <c r="A625" s="2"/>
      <c r="B625" s="2"/>
      <c r="C625" s="2"/>
      <c r="D625" s="2"/>
      <c r="E625" s="2"/>
      <c r="F625" s="2"/>
      <c r="G625" s="2"/>
      <c r="H625" s="2"/>
      <c r="I625" s="2"/>
      <c r="J625" s="2"/>
      <c r="K625" s="2"/>
      <c r="L625" s="2"/>
      <c r="M625" s="2"/>
      <c r="N625" s="2"/>
      <c r="O625" s="2"/>
      <c r="P625" s="2"/>
      <c r="Q625" s="2"/>
      <c r="R625" s="2"/>
      <c r="S625" s="2"/>
      <c r="T625" s="2"/>
      <c r="U625" s="2"/>
      <c r="V625" s="2"/>
      <c r="W625" s="2"/>
    </row>
    <row r="626">
      <c r="A626" s="2"/>
      <c r="B626" s="2"/>
      <c r="C626" s="2"/>
      <c r="D626" s="2"/>
      <c r="E626" s="2"/>
      <c r="F626" s="2"/>
      <c r="G626" s="2"/>
      <c r="H626" s="2"/>
      <c r="I626" s="2"/>
      <c r="J626" s="2"/>
      <c r="K626" s="2"/>
      <c r="L626" s="2"/>
      <c r="M626" s="2"/>
      <c r="N626" s="2"/>
      <c r="O626" s="2"/>
      <c r="P626" s="2"/>
      <c r="Q626" s="2"/>
      <c r="R626" s="2"/>
      <c r="S626" s="2"/>
      <c r="T626" s="2"/>
      <c r="U626" s="2"/>
      <c r="V626" s="2"/>
      <c r="W626" s="2"/>
    </row>
    <row r="627">
      <c r="A627" s="2"/>
      <c r="B627" s="2"/>
      <c r="C627" s="2"/>
      <c r="D627" s="2"/>
      <c r="E627" s="2"/>
      <c r="F627" s="2"/>
      <c r="G627" s="2"/>
      <c r="H627" s="2"/>
      <c r="I627" s="2"/>
      <c r="J627" s="2"/>
      <c r="K627" s="2"/>
      <c r="L627" s="2"/>
      <c r="M627" s="2"/>
      <c r="N627" s="2"/>
      <c r="O627" s="2"/>
      <c r="P627" s="2"/>
      <c r="Q627" s="2"/>
      <c r="R627" s="2"/>
      <c r="S627" s="2"/>
      <c r="T627" s="2"/>
      <c r="U627" s="2"/>
      <c r="V627" s="2"/>
      <c r="W627" s="2"/>
    </row>
    <row r="628">
      <c r="A628" s="2"/>
      <c r="B628" s="2"/>
      <c r="C628" s="2"/>
      <c r="D628" s="2"/>
      <c r="E628" s="2"/>
      <c r="F628" s="2"/>
      <c r="G628" s="2"/>
      <c r="H628" s="2"/>
      <c r="I628" s="2"/>
      <c r="J628" s="2"/>
      <c r="K628" s="2"/>
      <c r="L628" s="2"/>
      <c r="M628" s="2"/>
      <c r="N628" s="2"/>
      <c r="O628" s="2"/>
      <c r="P628" s="2"/>
      <c r="Q628" s="2"/>
      <c r="R628" s="2"/>
      <c r="S628" s="2"/>
      <c r="T628" s="2"/>
      <c r="U628" s="2"/>
      <c r="V628" s="2"/>
      <c r="W628" s="2"/>
    </row>
    <row r="629">
      <c r="A629" s="2"/>
      <c r="B629" s="2"/>
      <c r="C629" s="2"/>
      <c r="D629" s="2"/>
      <c r="E629" s="2"/>
      <c r="F629" s="2"/>
      <c r="G629" s="2"/>
      <c r="H629" s="2"/>
      <c r="I629" s="2"/>
      <c r="J629" s="2"/>
      <c r="K629" s="2"/>
      <c r="L629" s="2"/>
      <c r="M629" s="2"/>
      <c r="N629" s="2"/>
      <c r="O629" s="2"/>
      <c r="P629" s="2"/>
      <c r="Q629" s="2"/>
      <c r="R629" s="2"/>
      <c r="S629" s="2"/>
      <c r="T629" s="2"/>
      <c r="U629" s="2"/>
      <c r="V629" s="2"/>
      <c r="W629" s="2"/>
    </row>
    <row r="630">
      <c r="A630" s="2"/>
      <c r="B630" s="2"/>
      <c r="C630" s="2"/>
      <c r="D630" s="2"/>
      <c r="E630" s="2"/>
      <c r="F630" s="2"/>
      <c r="G630" s="2"/>
      <c r="H630" s="2"/>
      <c r="I630" s="2"/>
      <c r="J630" s="2"/>
      <c r="K630" s="2"/>
      <c r="L630" s="2"/>
      <c r="M630" s="2"/>
      <c r="N630" s="2"/>
      <c r="O630" s="2"/>
      <c r="P630" s="2"/>
      <c r="Q630" s="2"/>
      <c r="R630" s="2"/>
      <c r="S630" s="2"/>
      <c r="T630" s="2"/>
      <c r="U630" s="2"/>
      <c r="V630" s="2"/>
      <c r="W630" s="2"/>
    </row>
    <row r="631">
      <c r="A631" s="2"/>
      <c r="B631" s="2"/>
      <c r="C631" s="2"/>
      <c r="D631" s="2"/>
      <c r="E631" s="2"/>
      <c r="F631" s="2"/>
      <c r="G631" s="2"/>
      <c r="H631" s="2"/>
      <c r="I631" s="2"/>
      <c r="J631" s="2"/>
      <c r="K631" s="2"/>
      <c r="L631" s="2"/>
      <c r="M631" s="2"/>
      <c r="N631" s="2"/>
      <c r="O631" s="2"/>
      <c r="P631" s="2"/>
      <c r="Q631" s="2"/>
      <c r="R631" s="2"/>
      <c r="S631" s="2"/>
      <c r="T631" s="2"/>
      <c r="U631" s="2"/>
      <c r="V631" s="2"/>
      <c r="W631" s="2"/>
    </row>
    <row r="632">
      <c r="A632" s="2"/>
      <c r="B632" s="2"/>
      <c r="C632" s="2"/>
      <c r="D632" s="2"/>
      <c r="E632" s="2"/>
      <c r="F632" s="2"/>
      <c r="G632" s="2"/>
      <c r="H632" s="2"/>
      <c r="I632" s="2"/>
      <c r="J632" s="2"/>
      <c r="K632" s="2"/>
      <c r="L632" s="2"/>
      <c r="M632" s="2"/>
      <c r="N632" s="2"/>
      <c r="O632" s="2"/>
      <c r="P632" s="2"/>
      <c r="Q632" s="2"/>
      <c r="R632" s="2"/>
      <c r="S632" s="2"/>
      <c r="T632" s="2"/>
      <c r="U632" s="2"/>
      <c r="V632" s="2"/>
      <c r="W632" s="2"/>
    </row>
    <row r="633">
      <c r="A633" s="2"/>
      <c r="B633" s="2"/>
      <c r="C633" s="2"/>
      <c r="D633" s="2"/>
      <c r="E633" s="2"/>
      <c r="F633" s="2"/>
      <c r="G633" s="2"/>
      <c r="H633" s="2"/>
      <c r="I633" s="2"/>
      <c r="J633" s="2"/>
      <c r="K633" s="2"/>
      <c r="L633" s="2"/>
      <c r="M633" s="2"/>
      <c r="N633" s="2"/>
      <c r="O633" s="2"/>
      <c r="P633" s="2"/>
      <c r="Q633" s="2"/>
      <c r="R633" s="2"/>
      <c r="S633" s="2"/>
      <c r="T633" s="2"/>
      <c r="U633" s="2"/>
      <c r="V633" s="2"/>
      <c r="W633" s="2"/>
    </row>
    <row r="634">
      <c r="A634" s="2"/>
      <c r="B634" s="2"/>
      <c r="C634" s="2"/>
      <c r="D634" s="2"/>
      <c r="E634" s="2"/>
      <c r="F634" s="2"/>
      <c r="G634" s="2"/>
      <c r="H634" s="2"/>
      <c r="I634" s="2"/>
      <c r="J634" s="2"/>
      <c r="K634" s="2"/>
      <c r="L634" s="2"/>
      <c r="M634" s="2"/>
      <c r="N634" s="2"/>
      <c r="O634" s="2"/>
      <c r="P634" s="2"/>
      <c r="Q634" s="2"/>
      <c r="R634" s="2"/>
      <c r="S634" s="2"/>
      <c r="T634" s="2"/>
      <c r="U634" s="2"/>
      <c r="V634" s="2"/>
      <c r="W634" s="2"/>
    </row>
    <row r="635">
      <c r="A635" s="2"/>
      <c r="B635" s="2"/>
      <c r="C635" s="2"/>
      <c r="D635" s="2"/>
      <c r="E635" s="2"/>
      <c r="F635" s="2"/>
      <c r="G635" s="2"/>
      <c r="H635" s="2"/>
      <c r="I635" s="2"/>
      <c r="J635" s="2"/>
      <c r="K635" s="2"/>
      <c r="L635" s="2"/>
      <c r="M635" s="2"/>
      <c r="N635" s="2"/>
      <c r="O635" s="2"/>
      <c r="P635" s="2"/>
      <c r="Q635" s="2"/>
      <c r="R635" s="2"/>
      <c r="S635" s="2"/>
      <c r="T635" s="2"/>
      <c r="U635" s="2"/>
      <c r="V635" s="2"/>
      <c r="W635" s="2"/>
    </row>
    <row r="636">
      <c r="A636" s="2"/>
      <c r="B636" s="2"/>
      <c r="C636" s="2"/>
      <c r="D636" s="2"/>
      <c r="E636" s="2"/>
      <c r="F636" s="2"/>
      <c r="G636" s="2"/>
      <c r="H636" s="2"/>
      <c r="I636" s="2"/>
      <c r="J636" s="2"/>
      <c r="K636" s="2"/>
      <c r="L636" s="2"/>
      <c r="M636" s="2"/>
      <c r="N636" s="2"/>
      <c r="O636" s="2"/>
      <c r="P636" s="2"/>
      <c r="Q636" s="2"/>
      <c r="R636" s="2"/>
      <c r="S636" s="2"/>
      <c r="T636" s="2"/>
      <c r="U636" s="2"/>
      <c r="V636" s="2"/>
      <c r="W636" s="2"/>
    </row>
    <row r="637">
      <c r="A637" s="2"/>
      <c r="B637" s="2"/>
      <c r="C637" s="2"/>
      <c r="D637" s="2"/>
      <c r="E637" s="2"/>
      <c r="F637" s="2"/>
      <c r="G637" s="2"/>
      <c r="H637" s="2"/>
      <c r="I637" s="2"/>
      <c r="J637" s="2"/>
      <c r="K637" s="2"/>
      <c r="L637" s="2"/>
      <c r="M637" s="2"/>
      <c r="N637" s="2"/>
      <c r="O637" s="2"/>
      <c r="P637" s="2"/>
      <c r="Q637" s="2"/>
      <c r="R637" s="2"/>
      <c r="S637" s="2"/>
      <c r="T637" s="2"/>
      <c r="U637" s="2"/>
      <c r="V637" s="2"/>
      <c r="W637" s="2"/>
    </row>
    <row r="638">
      <c r="A638" s="2"/>
      <c r="B638" s="2"/>
      <c r="C638" s="2"/>
      <c r="D638" s="2"/>
      <c r="E638" s="2"/>
      <c r="F638" s="2"/>
      <c r="G638" s="2"/>
      <c r="H638" s="2"/>
      <c r="I638" s="2"/>
      <c r="J638" s="2"/>
      <c r="K638" s="2"/>
      <c r="L638" s="2"/>
      <c r="M638" s="2"/>
      <c r="N638" s="2"/>
      <c r="O638" s="2"/>
      <c r="P638" s="2"/>
      <c r="Q638" s="2"/>
      <c r="R638" s="2"/>
      <c r="S638" s="2"/>
      <c r="T638" s="2"/>
      <c r="U638" s="2"/>
      <c r="V638" s="2"/>
      <c r="W638" s="2"/>
    </row>
    <row r="639">
      <c r="A639" s="2"/>
      <c r="B639" s="2"/>
      <c r="C639" s="2"/>
      <c r="D639" s="2"/>
      <c r="E639" s="2"/>
      <c r="F639" s="2"/>
      <c r="G639" s="2"/>
      <c r="H639" s="2"/>
      <c r="I639" s="2"/>
      <c r="J639" s="2"/>
      <c r="K639" s="2"/>
      <c r="L639" s="2"/>
      <c r="M639" s="2"/>
      <c r="N639" s="2"/>
      <c r="O639" s="2"/>
      <c r="P639" s="2"/>
      <c r="Q639" s="2"/>
      <c r="R639" s="2"/>
      <c r="S639" s="2"/>
      <c r="T639" s="2"/>
      <c r="U639" s="2"/>
      <c r="V639" s="2"/>
      <c r="W639" s="2"/>
    </row>
    <row r="640">
      <c r="A640" s="2"/>
      <c r="B640" s="2"/>
      <c r="C640" s="2"/>
      <c r="D640" s="2"/>
      <c r="E640" s="2"/>
      <c r="F640" s="2"/>
      <c r="G640" s="2"/>
      <c r="H640" s="2"/>
      <c r="I640" s="2"/>
      <c r="J640" s="2"/>
      <c r="K640" s="2"/>
      <c r="L640" s="2"/>
      <c r="M640" s="2"/>
      <c r="N640" s="2"/>
      <c r="O640" s="2"/>
      <c r="P640" s="2"/>
      <c r="Q640" s="2"/>
      <c r="R640" s="2"/>
      <c r="S640" s="2"/>
      <c r="T640" s="2"/>
      <c r="U640" s="2"/>
      <c r="V640" s="2"/>
      <c r="W640" s="2"/>
    </row>
    <row r="641">
      <c r="A641" s="2"/>
      <c r="B641" s="2"/>
      <c r="C641" s="2"/>
      <c r="D641" s="2"/>
      <c r="E641" s="2"/>
      <c r="F641" s="2"/>
      <c r="G641" s="2"/>
      <c r="H641" s="2"/>
      <c r="I641" s="2"/>
      <c r="J641" s="2"/>
      <c r="K641" s="2"/>
      <c r="L641" s="2"/>
      <c r="M641" s="2"/>
      <c r="N641" s="2"/>
      <c r="O641" s="2"/>
      <c r="P641" s="2"/>
      <c r="Q641" s="2"/>
      <c r="R641" s="2"/>
      <c r="S641" s="2"/>
      <c r="T641" s="2"/>
      <c r="U641" s="2"/>
      <c r="V641" s="2"/>
      <c r="W641" s="2"/>
    </row>
    <row r="642">
      <c r="A642" s="2"/>
      <c r="B642" s="2"/>
      <c r="C642" s="2"/>
      <c r="D642" s="2"/>
      <c r="E642" s="2"/>
      <c r="F642" s="2"/>
      <c r="G642" s="2"/>
      <c r="H642" s="2"/>
      <c r="I642" s="2"/>
      <c r="J642" s="2"/>
      <c r="K642" s="2"/>
      <c r="L642" s="2"/>
      <c r="M642" s="2"/>
      <c r="N642" s="2"/>
      <c r="O642" s="2"/>
      <c r="P642" s="2"/>
      <c r="Q642" s="2"/>
      <c r="R642" s="2"/>
      <c r="S642" s="2"/>
      <c r="T642" s="2"/>
      <c r="U642" s="2"/>
      <c r="V642" s="2"/>
      <c r="W642" s="2"/>
    </row>
    <row r="643">
      <c r="A643" s="2"/>
      <c r="B643" s="2"/>
      <c r="C643" s="2"/>
      <c r="D643" s="2"/>
      <c r="E643" s="2"/>
      <c r="F643" s="2"/>
      <c r="G643" s="2"/>
      <c r="H643" s="2"/>
      <c r="I643" s="2"/>
      <c r="J643" s="2"/>
      <c r="K643" s="2"/>
      <c r="L643" s="2"/>
      <c r="M643" s="2"/>
      <c r="N643" s="2"/>
      <c r="O643" s="2"/>
      <c r="P643" s="2"/>
      <c r="Q643" s="2"/>
      <c r="R643" s="2"/>
      <c r="S643" s="2"/>
      <c r="T643" s="2"/>
      <c r="U643" s="2"/>
      <c r="V643" s="2"/>
      <c r="W643" s="2"/>
    </row>
    <row r="644">
      <c r="A644" s="2"/>
      <c r="B644" s="2"/>
      <c r="C644" s="2"/>
      <c r="D644" s="2"/>
      <c r="E644" s="2"/>
      <c r="F644" s="2"/>
      <c r="G644" s="2"/>
      <c r="H644" s="2"/>
      <c r="I644" s="2"/>
      <c r="J644" s="2"/>
      <c r="K644" s="2"/>
      <c r="L644" s="2"/>
      <c r="M644" s="2"/>
      <c r="N644" s="2"/>
      <c r="O644" s="2"/>
      <c r="P644" s="2"/>
      <c r="Q644" s="2"/>
      <c r="R644" s="2"/>
      <c r="S644" s="2"/>
      <c r="T644" s="2"/>
      <c r="U644" s="2"/>
      <c r="V644" s="2"/>
      <c r="W644" s="2"/>
    </row>
    <row r="645">
      <c r="A645" s="2"/>
      <c r="B645" s="2"/>
      <c r="C645" s="2"/>
      <c r="D645" s="2"/>
      <c r="E645" s="2"/>
      <c r="F645" s="2"/>
      <c r="G645" s="2"/>
      <c r="H645" s="2"/>
      <c r="I645" s="2"/>
      <c r="J645" s="2"/>
      <c r="K645" s="2"/>
      <c r="L645" s="2"/>
      <c r="M645" s="2"/>
      <c r="N645" s="2"/>
      <c r="O645" s="2"/>
      <c r="P645" s="2"/>
      <c r="Q645" s="2"/>
      <c r="R645" s="2"/>
      <c r="S645" s="2"/>
      <c r="T645" s="2"/>
      <c r="U645" s="2"/>
      <c r="V645" s="2"/>
      <c r="W645" s="2"/>
    </row>
    <row r="646">
      <c r="A646" s="2"/>
      <c r="B646" s="2"/>
      <c r="C646" s="2"/>
      <c r="D646" s="2"/>
      <c r="E646" s="2"/>
      <c r="F646" s="2"/>
      <c r="G646" s="2"/>
      <c r="H646" s="2"/>
      <c r="I646" s="2"/>
      <c r="J646" s="2"/>
      <c r="K646" s="2"/>
      <c r="L646" s="2"/>
      <c r="M646" s="2"/>
      <c r="N646" s="2"/>
      <c r="O646" s="2"/>
      <c r="P646" s="2"/>
      <c r="Q646" s="2"/>
      <c r="R646" s="2"/>
      <c r="S646" s="2"/>
      <c r="T646" s="2"/>
      <c r="U646" s="2"/>
      <c r="V646" s="2"/>
      <c r="W646" s="2"/>
    </row>
    <row r="647">
      <c r="A647" s="2"/>
      <c r="B647" s="2"/>
      <c r="C647" s="2"/>
      <c r="D647" s="2"/>
      <c r="E647" s="2"/>
      <c r="F647" s="2"/>
      <c r="G647" s="2"/>
      <c r="H647" s="2"/>
      <c r="I647" s="2"/>
      <c r="J647" s="2"/>
      <c r="K647" s="2"/>
      <c r="L647" s="2"/>
      <c r="M647" s="2"/>
      <c r="N647" s="2"/>
      <c r="O647" s="2"/>
      <c r="P647" s="2"/>
      <c r="Q647" s="2"/>
      <c r="R647" s="2"/>
      <c r="S647" s="2"/>
      <c r="T647" s="2"/>
      <c r="U647" s="2"/>
      <c r="V647" s="2"/>
      <c r="W647" s="2"/>
    </row>
    <row r="648">
      <c r="A648" s="2"/>
      <c r="B648" s="2"/>
      <c r="C648" s="2"/>
      <c r="D648" s="2"/>
      <c r="E648" s="2"/>
      <c r="F648" s="2"/>
      <c r="G648" s="2"/>
      <c r="H648" s="2"/>
      <c r="I648" s="2"/>
      <c r="J648" s="2"/>
      <c r="K648" s="2"/>
      <c r="L648" s="2"/>
      <c r="M648" s="2"/>
      <c r="N648" s="2"/>
      <c r="O648" s="2"/>
      <c r="P648" s="2"/>
      <c r="Q648" s="2"/>
      <c r="R648" s="2"/>
      <c r="S648" s="2"/>
      <c r="T648" s="2"/>
      <c r="U648" s="2"/>
      <c r="V648" s="2"/>
      <c r="W648" s="2"/>
    </row>
    <row r="649">
      <c r="A649" s="2"/>
      <c r="B649" s="2"/>
      <c r="C649" s="2"/>
      <c r="D649" s="2"/>
      <c r="E649" s="2"/>
      <c r="F649" s="2"/>
      <c r="G649" s="2"/>
      <c r="H649" s="2"/>
      <c r="I649" s="2"/>
      <c r="J649" s="2"/>
      <c r="K649" s="2"/>
      <c r="L649" s="2"/>
      <c r="M649" s="2"/>
      <c r="N649" s="2"/>
      <c r="O649" s="2"/>
      <c r="P649" s="2"/>
      <c r="Q649" s="2"/>
      <c r="R649" s="2"/>
      <c r="S649" s="2"/>
      <c r="T649" s="2"/>
      <c r="U649" s="2"/>
      <c r="V649" s="2"/>
      <c r="W649" s="2"/>
    </row>
    <row r="650">
      <c r="A650" s="2"/>
      <c r="B650" s="2"/>
      <c r="C650" s="2"/>
      <c r="D650" s="2"/>
      <c r="E650" s="2"/>
      <c r="F650" s="2"/>
      <c r="G650" s="2"/>
      <c r="H650" s="2"/>
      <c r="I650" s="2"/>
      <c r="J650" s="2"/>
      <c r="K650" s="2"/>
      <c r="L650" s="2"/>
      <c r="M650" s="2"/>
      <c r="N650" s="2"/>
      <c r="O650" s="2"/>
      <c r="P650" s="2"/>
      <c r="Q650" s="2"/>
      <c r="R650" s="2"/>
      <c r="S650" s="2"/>
      <c r="T650" s="2"/>
      <c r="U650" s="2"/>
      <c r="V650" s="2"/>
      <c r="W650" s="2"/>
    </row>
    <row r="651">
      <c r="A651" s="2"/>
      <c r="B651" s="2"/>
      <c r="C651" s="2"/>
      <c r="D651" s="2"/>
      <c r="E651" s="2"/>
      <c r="F651" s="2"/>
      <c r="G651" s="2"/>
      <c r="H651" s="2"/>
      <c r="I651" s="2"/>
      <c r="J651" s="2"/>
      <c r="K651" s="2"/>
      <c r="L651" s="2"/>
      <c r="M651" s="2"/>
      <c r="N651" s="2"/>
      <c r="O651" s="2"/>
      <c r="P651" s="2"/>
      <c r="Q651" s="2"/>
      <c r="R651" s="2"/>
      <c r="S651" s="2"/>
      <c r="T651" s="2"/>
      <c r="U651" s="2"/>
      <c r="V651" s="2"/>
      <c r="W651" s="2"/>
    </row>
    <row r="652">
      <c r="A652" s="2"/>
      <c r="B652" s="2"/>
      <c r="C652" s="2"/>
      <c r="D652" s="2"/>
      <c r="E652" s="2"/>
      <c r="F652" s="2"/>
      <c r="G652" s="2"/>
      <c r="H652" s="2"/>
      <c r="I652" s="2"/>
      <c r="J652" s="2"/>
      <c r="K652" s="2"/>
      <c r="L652" s="2"/>
      <c r="M652" s="2"/>
      <c r="N652" s="2"/>
      <c r="O652" s="2"/>
      <c r="P652" s="2"/>
      <c r="Q652" s="2"/>
      <c r="R652" s="2"/>
      <c r="S652" s="2"/>
      <c r="T652" s="2"/>
      <c r="U652" s="2"/>
      <c r="V652" s="2"/>
      <c r="W652" s="2"/>
    </row>
    <row r="653">
      <c r="A653" s="2"/>
      <c r="B653" s="2"/>
      <c r="C653" s="2"/>
      <c r="D653" s="2"/>
      <c r="E653" s="2"/>
      <c r="F653" s="2"/>
      <c r="G653" s="2"/>
      <c r="H653" s="2"/>
      <c r="I653" s="2"/>
      <c r="J653" s="2"/>
      <c r="K653" s="2"/>
      <c r="L653" s="2"/>
      <c r="M653" s="2"/>
      <c r="N653" s="2"/>
      <c r="O653" s="2"/>
      <c r="P653" s="2"/>
      <c r="Q653" s="2"/>
      <c r="R653" s="2"/>
      <c r="S653" s="2"/>
      <c r="T653" s="2"/>
      <c r="U653" s="2"/>
      <c r="V653" s="2"/>
      <c r="W653" s="2"/>
    </row>
    <row r="654">
      <c r="A654" s="2"/>
      <c r="B654" s="2"/>
      <c r="C654" s="2"/>
      <c r="D654" s="2"/>
      <c r="E654" s="2"/>
      <c r="F654" s="2"/>
      <c r="G654" s="2"/>
      <c r="H654" s="2"/>
      <c r="I654" s="2"/>
      <c r="J654" s="2"/>
      <c r="K654" s="2"/>
      <c r="L654" s="2"/>
      <c r="M654" s="2"/>
      <c r="N654" s="2"/>
      <c r="O654" s="2"/>
      <c r="P654" s="2"/>
      <c r="Q654" s="2"/>
      <c r="R654" s="2"/>
      <c r="S654" s="2"/>
      <c r="T654" s="2"/>
      <c r="U654" s="2"/>
      <c r="V654" s="2"/>
      <c r="W654" s="2"/>
    </row>
    <row r="655">
      <c r="A655" s="2"/>
      <c r="B655" s="2"/>
      <c r="C655" s="2"/>
      <c r="D655" s="2"/>
      <c r="E655" s="2"/>
      <c r="F655" s="2"/>
      <c r="G655" s="2"/>
      <c r="H655" s="2"/>
      <c r="I655" s="2"/>
      <c r="J655" s="2"/>
      <c r="K655" s="2"/>
      <c r="L655" s="2"/>
      <c r="M655" s="2"/>
      <c r="N655" s="2"/>
      <c r="O655" s="2"/>
      <c r="P655" s="2"/>
      <c r="Q655" s="2"/>
      <c r="R655" s="2"/>
      <c r="S655" s="2"/>
      <c r="T655" s="2"/>
      <c r="U655" s="2"/>
      <c r="V655" s="2"/>
      <c r="W655" s="2"/>
    </row>
    <row r="656">
      <c r="A656" s="2"/>
      <c r="B656" s="2"/>
      <c r="C656" s="2"/>
      <c r="D656" s="2"/>
      <c r="E656" s="2"/>
      <c r="F656" s="2"/>
      <c r="G656" s="2"/>
      <c r="H656" s="2"/>
      <c r="I656" s="2"/>
      <c r="J656" s="2"/>
      <c r="K656" s="2"/>
      <c r="L656" s="2"/>
      <c r="M656" s="2"/>
      <c r="N656" s="2"/>
      <c r="O656" s="2"/>
      <c r="P656" s="2"/>
      <c r="Q656" s="2"/>
      <c r="R656" s="2"/>
      <c r="S656" s="2"/>
      <c r="T656" s="2"/>
      <c r="U656" s="2"/>
      <c r="V656" s="2"/>
      <c r="W656" s="2"/>
    </row>
    <row r="657">
      <c r="A657" s="2"/>
      <c r="B657" s="2"/>
      <c r="C657" s="2"/>
      <c r="D657" s="2"/>
      <c r="E657" s="2"/>
      <c r="F657" s="2"/>
      <c r="G657" s="2"/>
      <c r="H657" s="2"/>
      <c r="I657" s="2"/>
      <c r="J657" s="2"/>
      <c r="K657" s="2"/>
      <c r="L657" s="2"/>
      <c r="M657" s="2"/>
      <c r="N657" s="2"/>
      <c r="O657" s="2"/>
      <c r="P657" s="2"/>
      <c r="Q657" s="2"/>
      <c r="R657" s="2"/>
      <c r="S657" s="2"/>
      <c r="T657" s="2"/>
      <c r="U657" s="2"/>
      <c r="V657" s="2"/>
      <c r="W657" s="2"/>
    </row>
    <row r="658">
      <c r="A658" s="2"/>
      <c r="B658" s="2"/>
      <c r="C658" s="2"/>
      <c r="D658" s="2"/>
      <c r="E658" s="2"/>
      <c r="F658" s="2"/>
      <c r="G658" s="2"/>
      <c r="H658" s="2"/>
      <c r="I658" s="2"/>
      <c r="J658" s="2"/>
      <c r="K658" s="2"/>
      <c r="L658" s="2"/>
      <c r="M658" s="2"/>
      <c r="N658" s="2"/>
      <c r="O658" s="2"/>
      <c r="P658" s="2"/>
      <c r="Q658" s="2"/>
      <c r="R658" s="2"/>
      <c r="S658" s="2"/>
      <c r="T658" s="2"/>
      <c r="U658" s="2"/>
      <c r="V658" s="2"/>
      <c r="W658" s="2"/>
    </row>
    <row r="659">
      <c r="A659" s="2"/>
      <c r="B659" s="2"/>
      <c r="C659" s="2"/>
      <c r="D659" s="2"/>
      <c r="E659" s="2"/>
      <c r="F659" s="2"/>
      <c r="G659" s="2"/>
      <c r="H659" s="2"/>
      <c r="I659" s="2"/>
      <c r="J659" s="2"/>
      <c r="K659" s="2"/>
      <c r="L659" s="2"/>
      <c r="M659" s="2"/>
      <c r="N659" s="2"/>
      <c r="O659" s="2"/>
      <c r="P659" s="2"/>
      <c r="Q659" s="2"/>
      <c r="R659" s="2"/>
      <c r="S659" s="2"/>
      <c r="T659" s="2"/>
      <c r="U659" s="2"/>
      <c r="V659" s="2"/>
      <c r="W659" s="2"/>
    </row>
    <row r="660">
      <c r="A660" s="2"/>
      <c r="B660" s="2"/>
      <c r="C660" s="2"/>
      <c r="D660" s="2"/>
      <c r="E660" s="2"/>
      <c r="F660" s="2"/>
      <c r="G660" s="2"/>
      <c r="H660" s="2"/>
      <c r="I660" s="2"/>
      <c r="J660" s="2"/>
      <c r="K660" s="2"/>
      <c r="L660" s="2"/>
      <c r="M660" s="2"/>
      <c r="N660" s="2"/>
      <c r="O660" s="2"/>
      <c r="P660" s="2"/>
      <c r="Q660" s="2"/>
      <c r="R660" s="2"/>
      <c r="S660" s="2"/>
      <c r="T660" s="2"/>
      <c r="U660" s="2"/>
      <c r="V660" s="2"/>
      <c r="W660" s="2"/>
    </row>
    <row r="661">
      <c r="A661" s="2"/>
      <c r="B661" s="2"/>
      <c r="C661" s="2"/>
      <c r="D661" s="2"/>
      <c r="E661" s="2"/>
      <c r="F661" s="2"/>
      <c r="G661" s="2"/>
      <c r="H661" s="2"/>
      <c r="I661" s="2"/>
      <c r="J661" s="2"/>
      <c r="K661" s="2"/>
      <c r="L661" s="2"/>
      <c r="M661" s="2"/>
      <c r="N661" s="2"/>
      <c r="O661" s="2"/>
      <c r="P661" s="2"/>
      <c r="Q661" s="2"/>
      <c r="R661" s="2"/>
      <c r="S661" s="2"/>
      <c r="T661" s="2"/>
      <c r="U661" s="2"/>
      <c r="V661" s="2"/>
      <c r="W661" s="2"/>
    </row>
    <row r="662">
      <c r="A662" s="2"/>
      <c r="B662" s="2"/>
      <c r="C662" s="2"/>
      <c r="D662" s="2"/>
      <c r="E662" s="2"/>
      <c r="F662" s="2"/>
      <c r="G662" s="2"/>
      <c r="H662" s="2"/>
      <c r="I662" s="2"/>
      <c r="J662" s="2"/>
      <c r="K662" s="2"/>
      <c r="L662" s="2"/>
      <c r="M662" s="2"/>
      <c r="N662" s="2"/>
      <c r="O662" s="2"/>
      <c r="P662" s="2"/>
      <c r="Q662" s="2"/>
      <c r="R662" s="2"/>
      <c r="S662" s="2"/>
      <c r="T662" s="2"/>
      <c r="U662" s="2"/>
      <c r="V662" s="2"/>
      <c r="W662" s="2"/>
    </row>
    <row r="663">
      <c r="A663" s="2"/>
      <c r="B663" s="2"/>
      <c r="C663" s="2"/>
      <c r="D663" s="2"/>
      <c r="E663" s="2"/>
      <c r="F663" s="2"/>
      <c r="G663" s="2"/>
      <c r="H663" s="2"/>
      <c r="I663" s="2"/>
      <c r="J663" s="2"/>
      <c r="K663" s="2"/>
      <c r="L663" s="2"/>
      <c r="M663" s="2"/>
      <c r="N663" s="2"/>
      <c r="O663" s="2"/>
      <c r="P663" s="2"/>
      <c r="Q663" s="2"/>
      <c r="R663" s="2"/>
      <c r="S663" s="2"/>
      <c r="T663" s="2"/>
      <c r="U663" s="2"/>
      <c r="V663" s="2"/>
      <c r="W663" s="2"/>
    </row>
    <row r="664">
      <c r="A664" s="2"/>
      <c r="B664" s="2"/>
      <c r="C664" s="2"/>
      <c r="D664" s="2"/>
      <c r="E664" s="2"/>
      <c r="F664" s="2"/>
      <c r="G664" s="2"/>
      <c r="H664" s="2"/>
      <c r="I664" s="2"/>
      <c r="J664" s="2"/>
      <c r="K664" s="2"/>
      <c r="L664" s="2"/>
      <c r="M664" s="2"/>
      <c r="N664" s="2"/>
      <c r="O664" s="2"/>
      <c r="P664" s="2"/>
      <c r="Q664" s="2"/>
      <c r="R664" s="2"/>
      <c r="S664" s="2"/>
      <c r="T664" s="2"/>
      <c r="U664" s="2"/>
      <c r="V664" s="2"/>
      <c r="W664" s="2"/>
    </row>
    <row r="665">
      <c r="A665" s="2"/>
      <c r="B665" s="2"/>
      <c r="C665" s="2"/>
      <c r="D665" s="2"/>
      <c r="E665" s="2"/>
      <c r="F665" s="2"/>
      <c r="G665" s="2"/>
      <c r="H665" s="2"/>
      <c r="I665" s="2"/>
      <c r="J665" s="2"/>
      <c r="K665" s="2"/>
      <c r="L665" s="2"/>
      <c r="M665" s="2"/>
      <c r="N665" s="2"/>
      <c r="O665" s="2"/>
      <c r="P665" s="2"/>
      <c r="Q665" s="2"/>
      <c r="R665" s="2"/>
      <c r="S665" s="2"/>
      <c r="T665" s="2"/>
      <c r="U665" s="2"/>
      <c r="V665" s="2"/>
      <c r="W665" s="2"/>
    </row>
    <row r="666">
      <c r="A666" s="2"/>
      <c r="B666" s="2"/>
      <c r="C666" s="2"/>
      <c r="D666" s="2"/>
      <c r="E666" s="2"/>
      <c r="F666" s="2"/>
      <c r="G666" s="2"/>
      <c r="H666" s="2"/>
      <c r="I666" s="2"/>
      <c r="J666" s="2"/>
      <c r="K666" s="2"/>
      <c r="L666" s="2"/>
      <c r="M666" s="2"/>
      <c r="N666" s="2"/>
      <c r="O666" s="2"/>
      <c r="P666" s="2"/>
      <c r="Q666" s="2"/>
      <c r="R666" s="2"/>
      <c r="S666" s="2"/>
      <c r="T666" s="2"/>
      <c r="U666" s="2"/>
      <c r="V666" s="2"/>
      <c r="W666" s="2"/>
    </row>
    <row r="667">
      <c r="A667" s="2"/>
      <c r="B667" s="2"/>
      <c r="C667" s="2"/>
      <c r="D667" s="2"/>
      <c r="E667" s="2"/>
      <c r="F667" s="2"/>
      <c r="G667" s="2"/>
      <c r="H667" s="2"/>
      <c r="I667" s="2"/>
      <c r="J667" s="2"/>
      <c r="K667" s="2"/>
      <c r="L667" s="2"/>
      <c r="M667" s="2"/>
      <c r="N667" s="2"/>
      <c r="O667" s="2"/>
      <c r="P667" s="2"/>
      <c r="Q667" s="2"/>
      <c r="R667" s="2"/>
      <c r="S667" s="2"/>
      <c r="T667" s="2"/>
      <c r="U667" s="2"/>
      <c r="V667" s="2"/>
      <c r="W667" s="2"/>
    </row>
    <row r="668">
      <c r="A668" s="2"/>
      <c r="B668" s="2"/>
      <c r="C668" s="2"/>
      <c r="D668" s="2"/>
      <c r="E668" s="2"/>
      <c r="F668" s="2"/>
      <c r="G668" s="2"/>
      <c r="H668" s="2"/>
      <c r="I668" s="2"/>
      <c r="J668" s="2"/>
      <c r="K668" s="2"/>
      <c r="L668" s="2"/>
      <c r="M668" s="2"/>
      <c r="N668" s="2"/>
      <c r="O668" s="2"/>
      <c r="P668" s="2"/>
      <c r="Q668" s="2"/>
      <c r="R668" s="2"/>
      <c r="S668" s="2"/>
      <c r="T668" s="2"/>
      <c r="U668" s="2"/>
      <c r="V668" s="2"/>
      <c r="W668" s="2"/>
    </row>
    <row r="669">
      <c r="A669" s="2"/>
      <c r="B669" s="2"/>
      <c r="C669" s="2"/>
      <c r="D669" s="2"/>
      <c r="E669" s="2"/>
      <c r="F669" s="2"/>
      <c r="G669" s="2"/>
      <c r="H669" s="2"/>
      <c r="I669" s="2"/>
      <c r="J669" s="2"/>
      <c r="K669" s="2"/>
      <c r="L669" s="2"/>
      <c r="M669" s="2"/>
      <c r="N669" s="2"/>
      <c r="O669" s="2"/>
      <c r="P669" s="2"/>
      <c r="Q669" s="2"/>
      <c r="R669" s="2"/>
      <c r="S669" s="2"/>
      <c r="T669" s="2"/>
      <c r="U669" s="2"/>
      <c r="V669" s="2"/>
      <c r="W669" s="2"/>
    </row>
    <row r="670">
      <c r="A670" s="2"/>
      <c r="B670" s="2"/>
      <c r="C670" s="2"/>
      <c r="D670" s="2"/>
      <c r="E670" s="2"/>
      <c r="F670" s="2"/>
      <c r="G670" s="2"/>
      <c r="H670" s="2"/>
      <c r="I670" s="2"/>
      <c r="J670" s="2"/>
      <c r="K670" s="2"/>
      <c r="L670" s="2"/>
      <c r="M670" s="2"/>
      <c r="N670" s="2"/>
      <c r="O670" s="2"/>
      <c r="P670" s="2"/>
      <c r="Q670" s="2"/>
      <c r="R670" s="2"/>
      <c r="S670" s="2"/>
      <c r="T670" s="2"/>
      <c r="U670" s="2"/>
      <c r="V670" s="2"/>
      <c r="W670" s="2"/>
    </row>
    <row r="671">
      <c r="A671" s="2"/>
      <c r="B671" s="2"/>
      <c r="C671" s="2"/>
      <c r="D671" s="2"/>
      <c r="E671" s="2"/>
      <c r="F671" s="2"/>
      <c r="G671" s="2"/>
      <c r="H671" s="2"/>
      <c r="I671" s="2"/>
      <c r="J671" s="2"/>
      <c r="K671" s="2"/>
      <c r="L671" s="2"/>
      <c r="M671" s="2"/>
      <c r="N671" s="2"/>
      <c r="O671" s="2"/>
      <c r="P671" s="2"/>
      <c r="Q671" s="2"/>
      <c r="R671" s="2"/>
      <c r="S671" s="2"/>
      <c r="T671" s="2"/>
      <c r="U671" s="2"/>
      <c r="V671" s="2"/>
      <c r="W671" s="2"/>
    </row>
    <row r="672">
      <c r="A672" s="2"/>
      <c r="B672" s="2"/>
      <c r="C672" s="2"/>
      <c r="D672" s="2"/>
      <c r="E672" s="2"/>
      <c r="F672" s="2"/>
      <c r="G672" s="2"/>
      <c r="H672" s="2"/>
      <c r="I672" s="2"/>
      <c r="J672" s="2"/>
      <c r="K672" s="2"/>
      <c r="L672" s="2"/>
      <c r="M672" s="2"/>
      <c r="N672" s="2"/>
      <c r="O672" s="2"/>
      <c r="P672" s="2"/>
      <c r="Q672" s="2"/>
      <c r="R672" s="2"/>
      <c r="S672" s="2"/>
      <c r="T672" s="2"/>
      <c r="U672" s="2"/>
      <c r="V672" s="2"/>
      <c r="W672" s="2"/>
    </row>
    <row r="673">
      <c r="A673" s="2"/>
      <c r="B673" s="2"/>
      <c r="C673" s="2"/>
      <c r="D673" s="2"/>
      <c r="E673" s="2"/>
      <c r="F673" s="2"/>
      <c r="G673" s="2"/>
      <c r="H673" s="2"/>
      <c r="I673" s="2"/>
      <c r="J673" s="2"/>
      <c r="K673" s="2"/>
      <c r="L673" s="2"/>
      <c r="M673" s="2"/>
      <c r="N673" s="2"/>
      <c r="O673" s="2"/>
      <c r="P673" s="2"/>
      <c r="Q673" s="2"/>
      <c r="R673" s="2"/>
      <c r="S673" s="2"/>
      <c r="T673" s="2"/>
      <c r="U673" s="2"/>
      <c r="V673" s="2"/>
      <c r="W673" s="2"/>
    </row>
    <row r="674">
      <c r="A674" s="2"/>
      <c r="B674" s="2"/>
      <c r="C674" s="2"/>
      <c r="D674" s="2"/>
      <c r="E674" s="2"/>
      <c r="F674" s="2"/>
      <c r="G674" s="2"/>
      <c r="H674" s="2"/>
      <c r="I674" s="2"/>
      <c r="J674" s="2"/>
      <c r="K674" s="2"/>
      <c r="L674" s="2"/>
      <c r="M674" s="2"/>
      <c r="N674" s="2"/>
      <c r="O674" s="2"/>
      <c r="P674" s="2"/>
      <c r="Q674" s="2"/>
      <c r="R674" s="2"/>
      <c r="S674" s="2"/>
      <c r="T674" s="2"/>
      <c r="U674" s="2"/>
      <c r="V674" s="2"/>
      <c r="W674" s="2"/>
    </row>
    <row r="675">
      <c r="A675" s="2"/>
      <c r="B675" s="2"/>
      <c r="C675" s="2"/>
      <c r="D675" s="2"/>
      <c r="E675" s="2"/>
      <c r="F675" s="2"/>
      <c r="G675" s="2"/>
      <c r="H675" s="2"/>
      <c r="I675" s="2"/>
      <c r="J675" s="2"/>
      <c r="K675" s="2"/>
      <c r="L675" s="2"/>
      <c r="M675" s="2"/>
      <c r="N675" s="2"/>
      <c r="O675" s="2"/>
      <c r="P675" s="2"/>
      <c r="Q675" s="2"/>
      <c r="R675" s="2"/>
      <c r="S675" s="2"/>
      <c r="T675" s="2"/>
      <c r="U675" s="2"/>
      <c r="V675" s="2"/>
      <c r="W675" s="2"/>
    </row>
    <row r="676">
      <c r="A676" s="2"/>
      <c r="B676" s="2"/>
      <c r="C676" s="2"/>
      <c r="D676" s="2"/>
      <c r="E676" s="2"/>
      <c r="F676" s="2"/>
      <c r="G676" s="2"/>
      <c r="H676" s="2"/>
      <c r="I676" s="2"/>
      <c r="J676" s="2"/>
      <c r="K676" s="2"/>
      <c r="L676" s="2"/>
      <c r="M676" s="2"/>
      <c r="N676" s="2"/>
      <c r="O676" s="2"/>
      <c r="P676" s="2"/>
      <c r="Q676" s="2"/>
      <c r="R676" s="2"/>
      <c r="S676" s="2"/>
      <c r="T676" s="2"/>
      <c r="U676" s="2"/>
      <c r="V676" s="2"/>
      <c r="W676" s="2"/>
    </row>
    <row r="677">
      <c r="A677" s="2"/>
      <c r="B677" s="2"/>
      <c r="C677" s="2"/>
      <c r="D677" s="2"/>
      <c r="E677" s="2"/>
      <c r="F677" s="2"/>
      <c r="G677" s="2"/>
      <c r="H677" s="2"/>
      <c r="I677" s="2"/>
      <c r="J677" s="2"/>
      <c r="K677" s="2"/>
      <c r="L677" s="2"/>
      <c r="M677" s="2"/>
      <c r="N677" s="2"/>
      <c r="O677" s="2"/>
      <c r="P677" s="2"/>
      <c r="Q677" s="2"/>
      <c r="R677" s="2"/>
      <c r="S677" s="2"/>
      <c r="T677" s="2"/>
      <c r="U677" s="2"/>
      <c r="V677" s="2"/>
      <c r="W677" s="2"/>
    </row>
    <row r="678">
      <c r="A678" s="2"/>
      <c r="B678" s="2"/>
      <c r="C678" s="2"/>
      <c r="D678" s="2"/>
      <c r="E678" s="2"/>
      <c r="F678" s="2"/>
      <c r="G678" s="2"/>
      <c r="H678" s="2"/>
      <c r="I678" s="2"/>
      <c r="J678" s="2"/>
      <c r="K678" s="2"/>
      <c r="L678" s="2"/>
      <c r="M678" s="2"/>
      <c r="N678" s="2"/>
      <c r="O678" s="2"/>
      <c r="P678" s="2"/>
      <c r="Q678" s="2"/>
      <c r="R678" s="2"/>
      <c r="S678" s="2"/>
      <c r="T678" s="2"/>
      <c r="U678" s="2"/>
      <c r="V678" s="2"/>
      <c r="W678" s="2"/>
    </row>
    <row r="679">
      <c r="A679" s="2"/>
      <c r="B679" s="2"/>
      <c r="C679" s="2"/>
      <c r="D679" s="2"/>
      <c r="E679" s="2"/>
      <c r="F679" s="2"/>
      <c r="G679" s="2"/>
      <c r="H679" s="2"/>
      <c r="I679" s="2"/>
      <c r="J679" s="2"/>
      <c r="K679" s="2"/>
      <c r="L679" s="2"/>
      <c r="M679" s="2"/>
      <c r="N679" s="2"/>
      <c r="O679" s="2"/>
      <c r="P679" s="2"/>
      <c r="Q679" s="2"/>
      <c r="R679" s="2"/>
      <c r="S679" s="2"/>
      <c r="T679" s="2"/>
      <c r="U679" s="2"/>
      <c r="V679" s="2"/>
      <c r="W679" s="2"/>
    </row>
    <row r="680">
      <c r="A680" s="2"/>
      <c r="B680" s="2"/>
      <c r="C680" s="2"/>
      <c r="D680" s="2"/>
      <c r="E680" s="2"/>
      <c r="F680" s="2"/>
      <c r="G680" s="2"/>
      <c r="H680" s="2"/>
      <c r="I680" s="2"/>
      <c r="J680" s="2"/>
      <c r="K680" s="2"/>
      <c r="L680" s="2"/>
      <c r="M680" s="2"/>
      <c r="N680" s="2"/>
      <c r="O680" s="2"/>
      <c r="P680" s="2"/>
      <c r="Q680" s="2"/>
      <c r="R680" s="2"/>
      <c r="S680" s="2"/>
      <c r="T680" s="2"/>
      <c r="U680" s="2"/>
      <c r="V680" s="2"/>
      <c r="W680" s="2"/>
    </row>
    <row r="681">
      <c r="A681" s="2"/>
      <c r="B681" s="2"/>
      <c r="C681" s="2"/>
      <c r="D681" s="2"/>
      <c r="E681" s="2"/>
      <c r="F681" s="2"/>
      <c r="G681" s="2"/>
      <c r="H681" s="2"/>
      <c r="I681" s="2"/>
      <c r="J681" s="2"/>
      <c r="K681" s="2"/>
      <c r="L681" s="2"/>
      <c r="M681" s="2"/>
      <c r="N681" s="2"/>
      <c r="O681" s="2"/>
      <c r="P681" s="2"/>
      <c r="Q681" s="2"/>
      <c r="R681" s="2"/>
      <c r="S681" s="2"/>
      <c r="T681" s="2"/>
      <c r="U681" s="2"/>
      <c r="V681" s="2"/>
      <c r="W681" s="2"/>
    </row>
    <row r="682">
      <c r="A682" s="2"/>
      <c r="B682" s="2"/>
      <c r="C682" s="2"/>
      <c r="D682" s="2"/>
      <c r="E682" s="2"/>
      <c r="F682" s="2"/>
      <c r="G682" s="2"/>
      <c r="H682" s="2"/>
      <c r="I682" s="2"/>
      <c r="J682" s="2"/>
      <c r="K682" s="2"/>
      <c r="L682" s="2"/>
      <c r="M682" s="2"/>
      <c r="N682" s="2"/>
      <c r="O682" s="2"/>
      <c r="P682" s="2"/>
      <c r="Q682" s="2"/>
      <c r="R682" s="2"/>
      <c r="S682" s="2"/>
      <c r="T682" s="2"/>
      <c r="U682" s="2"/>
      <c r="V682" s="2"/>
      <c r="W682" s="2"/>
    </row>
    <row r="683">
      <c r="A683" s="2"/>
      <c r="B683" s="2"/>
      <c r="C683" s="2"/>
      <c r="D683" s="2"/>
      <c r="E683" s="2"/>
      <c r="F683" s="2"/>
      <c r="G683" s="2"/>
      <c r="H683" s="2"/>
      <c r="I683" s="2"/>
      <c r="J683" s="2"/>
      <c r="K683" s="2"/>
      <c r="L683" s="2"/>
      <c r="M683" s="2"/>
      <c r="N683" s="2"/>
      <c r="O683" s="2"/>
      <c r="P683" s="2"/>
      <c r="Q683" s="2"/>
      <c r="R683" s="2"/>
      <c r="S683" s="2"/>
      <c r="T683" s="2"/>
      <c r="U683" s="2"/>
      <c r="V683" s="2"/>
      <c r="W683" s="2"/>
    </row>
    <row r="684">
      <c r="A684" s="2"/>
      <c r="B684" s="2"/>
      <c r="C684" s="2"/>
      <c r="D684" s="2"/>
      <c r="E684" s="2"/>
      <c r="F684" s="2"/>
      <c r="G684" s="2"/>
      <c r="H684" s="2"/>
      <c r="I684" s="2"/>
      <c r="J684" s="2"/>
      <c r="K684" s="2"/>
      <c r="L684" s="2"/>
      <c r="M684" s="2"/>
      <c r="N684" s="2"/>
      <c r="O684" s="2"/>
      <c r="P684" s="2"/>
      <c r="Q684" s="2"/>
      <c r="R684" s="2"/>
      <c r="S684" s="2"/>
      <c r="T684" s="2"/>
      <c r="U684" s="2"/>
      <c r="V684" s="2"/>
      <c r="W684" s="2"/>
    </row>
    <row r="685">
      <c r="A685" s="2"/>
      <c r="B685" s="2"/>
      <c r="C685" s="2"/>
      <c r="D685" s="2"/>
      <c r="E685" s="2"/>
      <c r="F685" s="2"/>
      <c r="G685" s="2"/>
      <c r="H685" s="2"/>
      <c r="I685" s="2"/>
      <c r="J685" s="2"/>
      <c r="K685" s="2"/>
      <c r="L685" s="2"/>
      <c r="M685" s="2"/>
      <c r="N685" s="2"/>
      <c r="O685" s="2"/>
      <c r="P685" s="2"/>
      <c r="Q685" s="2"/>
      <c r="R685" s="2"/>
      <c r="S685" s="2"/>
      <c r="T685" s="2"/>
      <c r="U685" s="2"/>
      <c r="V685" s="2"/>
      <c r="W685" s="2"/>
    </row>
    <row r="686">
      <c r="A686" s="2"/>
      <c r="B686" s="2"/>
      <c r="C686" s="2"/>
      <c r="D686" s="2"/>
      <c r="E686" s="2"/>
      <c r="F686" s="2"/>
      <c r="G686" s="2"/>
      <c r="H686" s="2"/>
      <c r="I686" s="2"/>
      <c r="J686" s="2"/>
      <c r="K686" s="2"/>
      <c r="L686" s="2"/>
      <c r="M686" s="2"/>
      <c r="N686" s="2"/>
      <c r="O686" s="2"/>
      <c r="P686" s="2"/>
      <c r="Q686" s="2"/>
      <c r="R686" s="2"/>
      <c r="S686" s="2"/>
      <c r="T686" s="2"/>
      <c r="U686" s="2"/>
      <c r="V686" s="2"/>
      <c r="W686" s="2"/>
    </row>
    <row r="687">
      <c r="A687" s="2"/>
      <c r="B687" s="2"/>
      <c r="C687" s="2"/>
      <c r="D687" s="2"/>
      <c r="E687" s="2"/>
      <c r="F687" s="2"/>
      <c r="G687" s="2"/>
      <c r="H687" s="2"/>
      <c r="I687" s="2"/>
      <c r="J687" s="2"/>
      <c r="K687" s="2"/>
      <c r="L687" s="2"/>
      <c r="M687" s="2"/>
      <c r="N687" s="2"/>
      <c r="O687" s="2"/>
      <c r="P687" s="2"/>
      <c r="Q687" s="2"/>
      <c r="R687" s="2"/>
      <c r="S687" s="2"/>
      <c r="T687" s="2"/>
      <c r="U687" s="2"/>
      <c r="V687" s="2"/>
      <c r="W687" s="2"/>
    </row>
    <row r="688">
      <c r="A688" s="2"/>
      <c r="B688" s="2"/>
      <c r="C688" s="2"/>
      <c r="D688" s="2"/>
      <c r="E688" s="2"/>
      <c r="F688" s="2"/>
      <c r="G688" s="2"/>
      <c r="H688" s="2"/>
      <c r="I688" s="2"/>
      <c r="J688" s="2"/>
      <c r="K688" s="2"/>
      <c r="L688" s="2"/>
      <c r="M688" s="2"/>
      <c r="N688" s="2"/>
      <c r="O688" s="2"/>
      <c r="P688" s="2"/>
      <c r="Q688" s="2"/>
      <c r="R688" s="2"/>
      <c r="S688" s="2"/>
      <c r="T688" s="2"/>
      <c r="U688" s="2"/>
      <c r="V688" s="2"/>
      <c r="W688" s="2"/>
    </row>
    <row r="689">
      <c r="A689" s="2"/>
      <c r="B689" s="2"/>
      <c r="C689" s="2"/>
      <c r="D689" s="2"/>
      <c r="E689" s="2"/>
      <c r="F689" s="2"/>
      <c r="G689" s="2"/>
      <c r="H689" s="2"/>
      <c r="I689" s="2"/>
      <c r="J689" s="2"/>
      <c r="K689" s="2"/>
      <c r="L689" s="2"/>
      <c r="M689" s="2"/>
      <c r="N689" s="2"/>
      <c r="O689" s="2"/>
      <c r="P689" s="2"/>
      <c r="Q689" s="2"/>
      <c r="R689" s="2"/>
      <c r="S689" s="2"/>
      <c r="T689" s="2"/>
      <c r="U689" s="2"/>
      <c r="V689" s="2"/>
      <c r="W689" s="2"/>
    </row>
    <row r="690">
      <c r="A690" s="2"/>
      <c r="B690" s="2"/>
      <c r="C690" s="2"/>
      <c r="D690" s="2"/>
      <c r="E690" s="2"/>
      <c r="F690" s="2"/>
      <c r="G690" s="2"/>
      <c r="H690" s="2"/>
      <c r="I690" s="2"/>
      <c r="J690" s="2"/>
      <c r="K690" s="2"/>
      <c r="L690" s="2"/>
      <c r="M690" s="2"/>
      <c r="N690" s="2"/>
      <c r="O690" s="2"/>
      <c r="P690" s="2"/>
      <c r="Q690" s="2"/>
      <c r="R690" s="2"/>
      <c r="S690" s="2"/>
      <c r="T690" s="2"/>
      <c r="U690" s="2"/>
      <c r="V690" s="2"/>
      <c r="W690" s="2"/>
    </row>
    <row r="691">
      <c r="A691" s="2"/>
      <c r="B691" s="2"/>
      <c r="C691" s="2"/>
      <c r="D691" s="2"/>
      <c r="E691" s="2"/>
      <c r="F691" s="2"/>
      <c r="G691" s="2"/>
      <c r="H691" s="2"/>
      <c r="I691" s="2"/>
      <c r="J691" s="2"/>
      <c r="K691" s="2"/>
      <c r="L691" s="2"/>
      <c r="M691" s="2"/>
      <c r="N691" s="2"/>
      <c r="O691" s="2"/>
      <c r="P691" s="2"/>
      <c r="Q691" s="2"/>
      <c r="R691" s="2"/>
      <c r="S691" s="2"/>
      <c r="T691" s="2"/>
      <c r="U691" s="2"/>
      <c r="V691" s="2"/>
      <c r="W691" s="2"/>
    </row>
    <row r="692">
      <c r="A692" s="2"/>
      <c r="B692" s="2"/>
      <c r="C692" s="2"/>
      <c r="D692" s="2"/>
      <c r="E692" s="2"/>
      <c r="F692" s="2"/>
      <c r="G692" s="2"/>
      <c r="H692" s="2"/>
      <c r="I692" s="2"/>
      <c r="J692" s="2"/>
      <c r="K692" s="2"/>
      <c r="L692" s="2"/>
      <c r="M692" s="2"/>
      <c r="N692" s="2"/>
      <c r="O692" s="2"/>
      <c r="P692" s="2"/>
      <c r="Q692" s="2"/>
      <c r="R692" s="2"/>
      <c r="S692" s="2"/>
      <c r="T692" s="2"/>
      <c r="U692" s="2"/>
      <c r="V692" s="2"/>
      <c r="W692" s="2"/>
    </row>
    <row r="693">
      <c r="A693" s="2"/>
      <c r="B693" s="2"/>
      <c r="C693" s="2"/>
      <c r="D693" s="2"/>
      <c r="E693" s="2"/>
      <c r="F693" s="2"/>
      <c r="G693" s="2"/>
      <c r="H693" s="2"/>
      <c r="I693" s="2"/>
      <c r="J693" s="2"/>
      <c r="K693" s="2"/>
      <c r="L693" s="2"/>
      <c r="M693" s="2"/>
      <c r="N693" s="2"/>
      <c r="O693" s="2"/>
      <c r="P693" s="2"/>
      <c r="Q693" s="2"/>
      <c r="R693" s="2"/>
      <c r="S693" s="2"/>
      <c r="T693" s="2"/>
      <c r="U693" s="2"/>
      <c r="V693" s="2"/>
      <c r="W693" s="2"/>
    </row>
    <row r="694">
      <c r="A694" s="2"/>
      <c r="B694" s="2"/>
      <c r="C694" s="2"/>
      <c r="D694" s="2"/>
      <c r="E694" s="2"/>
      <c r="F694" s="2"/>
      <c r="G694" s="2"/>
      <c r="H694" s="2"/>
      <c r="I694" s="2"/>
      <c r="J694" s="2"/>
      <c r="K694" s="2"/>
      <c r="L694" s="2"/>
      <c r="M694" s="2"/>
      <c r="N694" s="2"/>
      <c r="O694" s="2"/>
      <c r="P694" s="2"/>
      <c r="Q694" s="2"/>
      <c r="R694" s="2"/>
      <c r="S694" s="2"/>
      <c r="T694" s="2"/>
      <c r="U694" s="2"/>
      <c r="V694" s="2"/>
      <c r="W694" s="2"/>
    </row>
    <row r="695">
      <c r="A695" s="2"/>
      <c r="B695" s="2"/>
      <c r="C695" s="2"/>
      <c r="D695" s="2"/>
      <c r="E695" s="2"/>
      <c r="F695" s="2"/>
      <c r="G695" s="2"/>
      <c r="H695" s="2"/>
      <c r="I695" s="2"/>
      <c r="J695" s="2"/>
      <c r="K695" s="2"/>
      <c r="L695" s="2"/>
      <c r="M695" s="2"/>
      <c r="N695" s="2"/>
      <c r="O695" s="2"/>
      <c r="P695" s="2"/>
      <c r="Q695" s="2"/>
      <c r="R695" s="2"/>
      <c r="S695" s="2"/>
      <c r="T695" s="2"/>
      <c r="U695" s="2"/>
      <c r="V695" s="2"/>
      <c r="W695" s="2"/>
    </row>
    <row r="696">
      <c r="A696" s="2"/>
      <c r="B696" s="2"/>
      <c r="C696" s="2"/>
      <c r="D696" s="2"/>
      <c r="E696" s="2"/>
      <c r="F696" s="2"/>
      <c r="G696" s="2"/>
      <c r="H696" s="2"/>
      <c r="I696" s="2"/>
      <c r="J696" s="2"/>
      <c r="K696" s="2"/>
      <c r="L696" s="2"/>
      <c r="M696" s="2"/>
      <c r="N696" s="2"/>
      <c r="O696" s="2"/>
      <c r="P696" s="2"/>
      <c r="Q696" s="2"/>
      <c r="R696" s="2"/>
      <c r="S696" s="2"/>
      <c r="T696" s="2"/>
      <c r="U696" s="2"/>
      <c r="V696" s="2"/>
      <c r="W696" s="2"/>
    </row>
    <row r="697">
      <c r="A697" s="2"/>
      <c r="B697" s="2"/>
      <c r="C697" s="2"/>
      <c r="D697" s="2"/>
      <c r="E697" s="2"/>
      <c r="F697" s="2"/>
      <c r="G697" s="2"/>
      <c r="H697" s="2"/>
      <c r="I697" s="2"/>
      <c r="J697" s="2"/>
      <c r="K697" s="2"/>
      <c r="L697" s="2"/>
      <c r="M697" s="2"/>
      <c r="N697" s="2"/>
      <c r="O697" s="2"/>
      <c r="P697" s="2"/>
      <c r="Q697" s="2"/>
      <c r="R697" s="2"/>
      <c r="S697" s="2"/>
      <c r="T697" s="2"/>
      <c r="U697" s="2"/>
      <c r="V697" s="2"/>
      <c r="W697" s="2"/>
    </row>
    <row r="698">
      <c r="A698" s="2"/>
      <c r="B698" s="2"/>
      <c r="C698" s="2"/>
      <c r="D698" s="2"/>
      <c r="E698" s="2"/>
      <c r="F698" s="2"/>
      <c r="G698" s="2"/>
      <c r="H698" s="2"/>
      <c r="I698" s="2"/>
      <c r="J698" s="2"/>
      <c r="K698" s="2"/>
      <c r="L698" s="2"/>
      <c r="M698" s="2"/>
      <c r="N698" s="2"/>
      <c r="O698" s="2"/>
      <c r="P698" s="2"/>
      <c r="Q698" s="2"/>
      <c r="R698" s="2"/>
      <c r="S698" s="2"/>
      <c r="T698" s="2"/>
      <c r="U698" s="2"/>
      <c r="V698" s="2"/>
      <c r="W698" s="2"/>
    </row>
    <row r="699">
      <c r="A699" s="2"/>
      <c r="B699" s="2"/>
      <c r="C699" s="2"/>
      <c r="D699" s="2"/>
      <c r="E699" s="2"/>
      <c r="F699" s="2"/>
      <c r="G699" s="2"/>
      <c r="H699" s="2"/>
      <c r="I699" s="2"/>
      <c r="J699" s="2"/>
      <c r="K699" s="2"/>
      <c r="L699" s="2"/>
      <c r="M699" s="2"/>
      <c r="N699" s="2"/>
      <c r="O699" s="2"/>
      <c r="P699" s="2"/>
      <c r="Q699" s="2"/>
      <c r="R699" s="2"/>
      <c r="S699" s="2"/>
      <c r="T699" s="2"/>
      <c r="U699" s="2"/>
      <c r="V699" s="2"/>
      <c r="W699" s="2"/>
    </row>
    <row r="700">
      <c r="A700" s="2"/>
      <c r="B700" s="2"/>
      <c r="C700" s="2"/>
      <c r="D700" s="2"/>
      <c r="E700" s="2"/>
      <c r="F700" s="2"/>
      <c r="G700" s="2"/>
      <c r="H700" s="2"/>
      <c r="I700" s="2"/>
      <c r="J700" s="2"/>
      <c r="K700" s="2"/>
      <c r="L700" s="2"/>
      <c r="M700" s="2"/>
      <c r="N700" s="2"/>
      <c r="O700" s="2"/>
      <c r="P700" s="2"/>
      <c r="Q700" s="2"/>
      <c r="R700" s="2"/>
      <c r="S700" s="2"/>
      <c r="T700" s="2"/>
      <c r="U700" s="2"/>
      <c r="V700" s="2"/>
      <c r="W700" s="2"/>
    </row>
    <row r="701">
      <c r="A701" s="2"/>
      <c r="B701" s="2"/>
      <c r="C701" s="2"/>
      <c r="D701" s="2"/>
      <c r="E701" s="2"/>
      <c r="F701" s="2"/>
      <c r="G701" s="2"/>
      <c r="H701" s="2"/>
      <c r="I701" s="2"/>
      <c r="J701" s="2"/>
      <c r="K701" s="2"/>
      <c r="L701" s="2"/>
      <c r="M701" s="2"/>
      <c r="N701" s="2"/>
      <c r="O701" s="2"/>
      <c r="P701" s="2"/>
      <c r="Q701" s="2"/>
      <c r="R701" s="2"/>
      <c r="S701" s="2"/>
      <c r="T701" s="2"/>
      <c r="U701" s="2"/>
      <c r="V701" s="2"/>
      <c r="W701" s="2"/>
    </row>
    <row r="702">
      <c r="A702" s="2"/>
      <c r="B702" s="2"/>
      <c r="C702" s="2"/>
      <c r="D702" s="2"/>
      <c r="E702" s="2"/>
      <c r="F702" s="2"/>
      <c r="G702" s="2"/>
      <c r="H702" s="2"/>
      <c r="I702" s="2"/>
      <c r="J702" s="2"/>
      <c r="K702" s="2"/>
      <c r="L702" s="2"/>
      <c r="M702" s="2"/>
      <c r="N702" s="2"/>
      <c r="O702" s="2"/>
      <c r="P702" s="2"/>
      <c r="Q702" s="2"/>
      <c r="R702" s="2"/>
      <c r="S702" s="2"/>
      <c r="T702" s="2"/>
      <c r="U702" s="2"/>
      <c r="V702" s="2"/>
      <c r="W702" s="2"/>
    </row>
    <row r="703">
      <c r="A703" s="2"/>
      <c r="B703" s="2"/>
      <c r="C703" s="2"/>
      <c r="D703" s="2"/>
      <c r="E703" s="2"/>
      <c r="F703" s="2"/>
      <c r="G703" s="2"/>
      <c r="H703" s="2"/>
      <c r="I703" s="2"/>
      <c r="J703" s="2"/>
      <c r="K703" s="2"/>
      <c r="L703" s="2"/>
      <c r="M703" s="2"/>
      <c r="N703" s="2"/>
      <c r="O703" s="2"/>
      <c r="P703" s="2"/>
      <c r="Q703" s="2"/>
      <c r="R703" s="2"/>
      <c r="S703" s="2"/>
      <c r="T703" s="2"/>
      <c r="U703" s="2"/>
      <c r="V703" s="2"/>
      <c r="W703" s="2"/>
    </row>
    <row r="704">
      <c r="A704" s="2"/>
      <c r="B704" s="2"/>
      <c r="C704" s="2"/>
      <c r="D704" s="2"/>
      <c r="E704" s="2"/>
      <c r="F704" s="2"/>
      <c r="G704" s="2"/>
      <c r="H704" s="2"/>
      <c r="I704" s="2"/>
      <c r="J704" s="2"/>
      <c r="K704" s="2"/>
      <c r="L704" s="2"/>
      <c r="M704" s="2"/>
      <c r="N704" s="2"/>
      <c r="O704" s="2"/>
      <c r="P704" s="2"/>
      <c r="Q704" s="2"/>
      <c r="R704" s="2"/>
      <c r="S704" s="2"/>
      <c r="T704" s="2"/>
      <c r="U704" s="2"/>
      <c r="V704" s="2"/>
      <c r="W704" s="2"/>
    </row>
    <row r="705">
      <c r="A705" s="2"/>
      <c r="B705" s="2"/>
      <c r="C705" s="2"/>
      <c r="D705" s="2"/>
      <c r="E705" s="2"/>
      <c r="F705" s="2"/>
      <c r="G705" s="2"/>
      <c r="H705" s="2"/>
      <c r="I705" s="2"/>
      <c r="J705" s="2"/>
      <c r="K705" s="2"/>
      <c r="L705" s="2"/>
      <c r="M705" s="2"/>
      <c r="N705" s="2"/>
      <c r="O705" s="2"/>
      <c r="P705" s="2"/>
      <c r="Q705" s="2"/>
      <c r="R705" s="2"/>
      <c r="S705" s="2"/>
      <c r="T705" s="2"/>
      <c r="U705" s="2"/>
      <c r="V705" s="2"/>
      <c r="W705" s="2"/>
    </row>
    <row r="706">
      <c r="A706" s="2"/>
      <c r="B706" s="2"/>
      <c r="C706" s="2"/>
      <c r="D706" s="2"/>
      <c r="E706" s="2"/>
      <c r="F706" s="2"/>
      <c r="G706" s="2"/>
      <c r="H706" s="2"/>
      <c r="I706" s="2"/>
      <c r="J706" s="2"/>
      <c r="K706" s="2"/>
      <c r="L706" s="2"/>
      <c r="M706" s="2"/>
      <c r="N706" s="2"/>
      <c r="O706" s="2"/>
      <c r="P706" s="2"/>
      <c r="Q706" s="2"/>
      <c r="R706" s="2"/>
      <c r="S706" s="2"/>
      <c r="T706" s="2"/>
      <c r="U706" s="2"/>
      <c r="V706" s="2"/>
      <c r="W706" s="2"/>
    </row>
    <row r="707">
      <c r="A707" s="2"/>
      <c r="B707" s="2"/>
      <c r="C707" s="2"/>
      <c r="D707" s="2"/>
      <c r="E707" s="2"/>
      <c r="F707" s="2"/>
      <c r="G707" s="2"/>
      <c r="H707" s="2"/>
      <c r="I707" s="2"/>
      <c r="J707" s="2"/>
      <c r="K707" s="2"/>
      <c r="L707" s="2"/>
      <c r="M707" s="2"/>
      <c r="N707" s="2"/>
      <c r="O707" s="2"/>
      <c r="P707" s="2"/>
      <c r="Q707" s="2"/>
      <c r="R707" s="2"/>
      <c r="S707" s="2"/>
      <c r="T707" s="2"/>
      <c r="U707" s="2"/>
      <c r="V707" s="2"/>
      <c r="W707" s="2"/>
    </row>
    <row r="708">
      <c r="A708" s="2"/>
      <c r="B708" s="2"/>
      <c r="C708" s="2"/>
      <c r="D708" s="2"/>
      <c r="E708" s="2"/>
      <c r="F708" s="2"/>
      <c r="G708" s="2"/>
      <c r="H708" s="2"/>
      <c r="I708" s="2"/>
      <c r="J708" s="2"/>
      <c r="K708" s="2"/>
      <c r="L708" s="2"/>
      <c r="M708" s="2"/>
      <c r="N708" s="2"/>
      <c r="O708" s="2"/>
      <c r="P708" s="2"/>
      <c r="Q708" s="2"/>
      <c r="R708" s="2"/>
      <c r="S708" s="2"/>
      <c r="T708" s="2"/>
      <c r="U708" s="2"/>
      <c r="V708" s="2"/>
      <c r="W708" s="2"/>
    </row>
    <row r="709">
      <c r="A709" s="2"/>
      <c r="B709" s="2"/>
      <c r="C709" s="2"/>
      <c r="D709" s="2"/>
      <c r="E709" s="2"/>
      <c r="F709" s="2"/>
      <c r="G709" s="2"/>
      <c r="H709" s="2"/>
      <c r="I709" s="2"/>
      <c r="J709" s="2"/>
      <c r="K709" s="2"/>
      <c r="L709" s="2"/>
      <c r="M709" s="2"/>
      <c r="N709" s="2"/>
      <c r="O709" s="2"/>
      <c r="P709" s="2"/>
      <c r="Q709" s="2"/>
      <c r="R709" s="2"/>
      <c r="S709" s="2"/>
      <c r="T709" s="2"/>
      <c r="U709" s="2"/>
      <c r="V709" s="2"/>
      <c r="W709" s="2"/>
    </row>
    <row r="710">
      <c r="A710" s="2"/>
      <c r="B710" s="2"/>
      <c r="C710" s="2"/>
      <c r="D710" s="2"/>
      <c r="E710" s="2"/>
      <c r="F710" s="2"/>
      <c r="G710" s="2"/>
      <c r="H710" s="2"/>
      <c r="I710" s="2"/>
      <c r="J710" s="2"/>
      <c r="K710" s="2"/>
      <c r="L710" s="2"/>
      <c r="M710" s="2"/>
      <c r="N710" s="2"/>
      <c r="O710" s="2"/>
      <c r="P710" s="2"/>
      <c r="Q710" s="2"/>
      <c r="R710" s="2"/>
      <c r="S710" s="2"/>
      <c r="T710" s="2"/>
      <c r="U710" s="2"/>
      <c r="V710" s="2"/>
      <c r="W710" s="2"/>
    </row>
    <row r="711">
      <c r="A711" s="2"/>
      <c r="B711" s="2"/>
      <c r="C711" s="2"/>
      <c r="D711" s="2"/>
      <c r="E711" s="2"/>
      <c r="F711" s="2"/>
      <c r="G711" s="2"/>
      <c r="H711" s="2"/>
      <c r="I711" s="2"/>
      <c r="J711" s="2"/>
      <c r="K711" s="2"/>
      <c r="L711" s="2"/>
      <c r="M711" s="2"/>
      <c r="N711" s="2"/>
      <c r="O711" s="2"/>
      <c r="P711" s="2"/>
      <c r="Q711" s="2"/>
      <c r="R711" s="2"/>
      <c r="S711" s="2"/>
      <c r="T711" s="2"/>
      <c r="U711" s="2"/>
      <c r="V711" s="2"/>
      <c r="W711" s="2"/>
    </row>
    <row r="712">
      <c r="A712" s="2"/>
      <c r="B712" s="2"/>
      <c r="C712" s="2"/>
      <c r="D712" s="2"/>
      <c r="E712" s="2"/>
      <c r="F712" s="2"/>
      <c r="G712" s="2"/>
      <c r="H712" s="2"/>
      <c r="I712" s="2"/>
      <c r="J712" s="2"/>
      <c r="K712" s="2"/>
      <c r="L712" s="2"/>
      <c r="M712" s="2"/>
      <c r="N712" s="2"/>
      <c r="O712" s="2"/>
      <c r="P712" s="2"/>
      <c r="Q712" s="2"/>
      <c r="R712" s="2"/>
      <c r="S712" s="2"/>
      <c r="T712" s="2"/>
      <c r="U712" s="2"/>
      <c r="V712" s="2"/>
      <c r="W712" s="2"/>
    </row>
    <row r="713">
      <c r="A713" s="2"/>
      <c r="B713" s="2"/>
      <c r="C713" s="2"/>
      <c r="D713" s="2"/>
      <c r="E713" s="2"/>
      <c r="F713" s="2"/>
      <c r="G713" s="2"/>
      <c r="H713" s="2"/>
      <c r="I713" s="2"/>
      <c r="J713" s="2"/>
      <c r="K713" s="2"/>
      <c r="L713" s="2"/>
      <c r="M713" s="2"/>
      <c r="N713" s="2"/>
      <c r="O713" s="2"/>
      <c r="P713" s="2"/>
      <c r="Q713" s="2"/>
      <c r="R713" s="2"/>
      <c r="S713" s="2"/>
      <c r="T713" s="2"/>
      <c r="U713" s="2"/>
      <c r="V713" s="2"/>
      <c r="W713" s="2"/>
    </row>
    <row r="714">
      <c r="A714" s="2"/>
      <c r="B714" s="2"/>
      <c r="C714" s="2"/>
      <c r="D714" s="2"/>
      <c r="E714" s="2"/>
      <c r="F714" s="2"/>
      <c r="G714" s="2"/>
      <c r="H714" s="2"/>
      <c r="I714" s="2"/>
      <c r="J714" s="2"/>
      <c r="K714" s="2"/>
      <c r="L714" s="2"/>
      <c r="M714" s="2"/>
      <c r="N714" s="2"/>
      <c r="O714" s="2"/>
      <c r="P714" s="2"/>
      <c r="Q714" s="2"/>
      <c r="R714" s="2"/>
      <c r="S714" s="2"/>
      <c r="T714" s="2"/>
      <c r="U714" s="2"/>
      <c r="V714" s="2"/>
      <c r="W714" s="2"/>
    </row>
    <row r="715">
      <c r="A715" s="2"/>
      <c r="B715" s="2"/>
      <c r="C715" s="2"/>
      <c r="D715" s="2"/>
      <c r="E715" s="2"/>
      <c r="F715" s="2"/>
      <c r="G715" s="2"/>
      <c r="H715" s="2"/>
      <c r="I715" s="2"/>
      <c r="J715" s="2"/>
      <c r="K715" s="2"/>
      <c r="L715" s="2"/>
      <c r="M715" s="2"/>
      <c r="N715" s="2"/>
      <c r="O715" s="2"/>
      <c r="P715" s="2"/>
      <c r="Q715" s="2"/>
      <c r="R715" s="2"/>
      <c r="S715" s="2"/>
      <c r="T715" s="2"/>
      <c r="U715" s="2"/>
      <c r="V715" s="2"/>
      <c r="W715" s="2"/>
    </row>
    <row r="716">
      <c r="A716" s="2"/>
      <c r="B716" s="2"/>
      <c r="C716" s="2"/>
      <c r="D716" s="2"/>
      <c r="E716" s="2"/>
      <c r="F716" s="2"/>
      <c r="G716" s="2"/>
      <c r="H716" s="2"/>
      <c r="I716" s="2"/>
      <c r="J716" s="2"/>
      <c r="K716" s="2"/>
      <c r="L716" s="2"/>
      <c r="M716" s="2"/>
      <c r="N716" s="2"/>
      <c r="O716" s="2"/>
      <c r="P716" s="2"/>
      <c r="Q716" s="2"/>
      <c r="R716" s="2"/>
      <c r="S716" s="2"/>
      <c r="T716" s="2"/>
      <c r="U716" s="2"/>
      <c r="V716" s="2"/>
      <c r="W716" s="2"/>
    </row>
    <row r="717">
      <c r="A717" s="2"/>
      <c r="B717" s="2"/>
      <c r="C717" s="2"/>
      <c r="D717" s="2"/>
      <c r="E717" s="2"/>
      <c r="F717" s="2"/>
      <c r="G717" s="2"/>
      <c r="H717" s="2"/>
      <c r="I717" s="2"/>
      <c r="J717" s="2"/>
      <c r="K717" s="2"/>
      <c r="L717" s="2"/>
      <c r="M717" s="2"/>
      <c r="N717" s="2"/>
      <c r="O717" s="2"/>
      <c r="P717" s="2"/>
      <c r="Q717" s="2"/>
      <c r="R717" s="2"/>
      <c r="S717" s="2"/>
      <c r="T717" s="2"/>
      <c r="U717" s="2"/>
      <c r="V717" s="2"/>
      <c r="W717" s="2"/>
    </row>
    <row r="718">
      <c r="A718" s="2"/>
      <c r="B718" s="2"/>
      <c r="C718" s="2"/>
      <c r="D718" s="2"/>
      <c r="E718" s="2"/>
      <c r="F718" s="2"/>
      <c r="G718" s="2"/>
      <c r="H718" s="2"/>
      <c r="I718" s="2"/>
      <c r="J718" s="2"/>
      <c r="K718" s="2"/>
      <c r="L718" s="2"/>
      <c r="M718" s="2"/>
      <c r="N718" s="2"/>
      <c r="O718" s="2"/>
      <c r="P718" s="2"/>
      <c r="Q718" s="2"/>
      <c r="R718" s="2"/>
      <c r="S718" s="2"/>
      <c r="T718" s="2"/>
      <c r="U718" s="2"/>
      <c r="V718" s="2"/>
      <c r="W718" s="2"/>
    </row>
    <row r="719">
      <c r="A719" s="2"/>
      <c r="B719" s="2"/>
      <c r="C719" s="2"/>
      <c r="D719" s="2"/>
      <c r="E719" s="2"/>
      <c r="F719" s="2"/>
      <c r="G719" s="2"/>
      <c r="H719" s="2"/>
      <c r="I719" s="2"/>
      <c r="J719" s="2"/>
      <c r="K719" s="2"/>
      <c r="L719" s="2"/>
      <c r="M719" s="2"/>
      <c r="N719" s="2"/>
      <c r="O719" s="2"/>
      <c r="P719" s="2"/>
      <c r="Q719" s="2"/>
      <c r="R719" s="2"/>
      <c r="S719" s="2"/>
      <c r="T719" s="2"/>
      <c r="U719" s="2"/>
      <c r="V719" s="2"/>
      <c r="W719" s="2"/>
    </row>
    <row r="720">
      <c r="A720" s="2"/>
      <c r="B720" s="2"/>
      <c r="C720" s="2"/>
      <c r="D720" s="2"/>
      <c r="E720" s="2"/>
      <c r="F720" s="2"/>
      <c r="G720" s="2"/>
      <c r="H720" s="2"/>
      <c r="I720" s="2"/>
      <c r="J720" s="2"/>
      <c r="K720" s="2"/>
      <c r="L720" s="2"/>
      <c r="M720" s="2"/>
      <c r="N720" s="2"/>
      <c r="O720" s="2"/>
      <c r="P720" s="2"/>
      <c r="Q720" s="2"/>
      <c r="R720" s="2"/>
      <c r="S720" s="2"/>
      <c r="T720" s="2"/>
      <c r="U720" s="2"/>
      <c r="V720" s="2"/>
      <c r="W720" s="2"/>
    </row>
    <row r="721">
      <c r="A721" s="2"/>
      <c r="B721" s="2"/>
      <c r="C721" s="2"/>
      <c r="D721" s="2"/>
      <c r="E721" s="2"/>
      <c r="F721" s="2"/>
      <c r="G721" s="2"/>
      <c r="H721" s="2"/>
      <c r="I721" s="2"/>
      <c r="J721" s="2"/>
      <c r="K721" s="2"/>
      <c r="L721" s="2"/>
      <c r="M721" s="2"/>
      <c r="N721" s="2"/>
      <c r="O721" s="2"/>
      <c r="P721" s="2"/>
      <c r="Q721" s="2"/>
      <c r="R721" s="2"/>
      <c r="S721" s="2"/>
      <c r="T721" s="2"/>
      <c r="U721" s="2"/>
      <c r="V721" s="2"/>
      <c r="W721" s="2"/>
    </row>
    <row r="722">
      <c r="A722" s="2"/>
      <c r="B722" s="2"/>
      <c r="C722" s="2"/>
      <c r="D722" s="2"/>
      <c r="E722" s="2"/>
      <c r="F722" s="2"/>
      <c r="G722" s="2"/>
      <c r="H722" s="2"/>
      <c r="I722" s="2"/>
      <c r="J722" s="2"/>
      <c r="K722" s="2"/>
      <c r="L722" s="2"/>
      <c r="M722" s="2"/>
      <c r="N722" s="2"/>
      <c r="O722" s="2"/>
      <c r="P722" s="2"/>
      <c r="Q722" s="2"/>
      <c r="R722" s="2"/>
      <c r="S722" s="2"/>
      <c r="T722" s="2"/>
      <c r="U722" s="2"/>
      <c r="V722" s="2"/>
      <c r="W722" s="2"/>
    </row>
    <row r="723">
      <c r="A723" s="2"/>
      <c r="B723" s="2"/>
      <c r="C723" s="2"/>
      <c r="D723" s="2"/>
      <c r="E723" s="2"/>
      <c r="F723" s="2"/>
      <c r="G723" s="2"/>
      <c r="H723" s="2"/>
      <c r="I723" s="2"/>
      <c r="J723" s="2"/>
      <c r="K723" s="2"/>
      <c r="L723" s="2"/>
      <c r="M723" s="2"/>
      <c r="N723" s="2"/>
      <c r="O723" s="2"/>
      <c r="P723" s="2"/>
      <c r="Q723" s="2"/>
      <c r="R723" s="2"/>
      <c r="S723" s="2"/>
      <c r="T723" s="2"/>
      <c r="U723" s="2"/>
      <c r="V723" s="2"/>
      <c r="W723" s="2"/>
    </row>
    <row r="724">
      <c r="A724" s="2"/>
      <c r="B724" s="2"/>
      <c r="C724" s="2"/>
      <c r="D724" s="2"/>
      <c r="E724" s="2"/>
      <c r="F724" s="2"/>
      <c r="G724" s="2"/>
      <c r="H724" s="2"/>
      <c r="I724" s="2"/>
      <c r="J724" s="2"/>
      <c r="K724" s="2"/>
      <c r="L724" s="2"/>
      <c r="M724" s="2"/>
      <c r="N724" s="2"/>
      <c r="O724" s="2"/>
      <c r="P724" s="2"/>
      <c r="Q724" s="2"/>
      <c r="R724" s="2"/>
      <c r="S724" s="2"/>
      <c r="T724" s="2"/>
      <c r="U724" s="2"/>
      <c r="V724" s="2"/>
      <c r="W724" s="2"/>
    </row>
    <row r="725">
      <c r="A725" s="2"/>
      <c r="B725" s="2"/>
      <c r="C725" s="2"/>
      <c r="D725" s="2"/>
      <c r="E725" s="2"/>
      <c r="F725" s="2"/>
      <c r="G725" s="2"/>
      <c r="H725" s="2"/>
      <c r="I725" s="2"/>
      <c r="J725" s="2"/>
      <c r="K725" s="2"/>
      <c r="L725" s="2"/>
      <c r="M725" s="2"/>
      <c r="N725" s="2"/>
      <c r="O725" s="2"/>
      <c r="P725" s="2"/>
      <c r="Q725" s="2"/>
      <c r="R725" s="2"/>
      <c r="S725" s="2"/>
      <c r="T725" s="2"/>
      <c r="U725" s="2"/>
      <c r="V725" s="2"/>
      <c r="W725" s="2"/>
    </row>
    <row r="726">
      <c r="A726" s="2"/>
      <c r="B726" s="2"/>
      <c r="C726" s="2"/>
      <c r="D726" s="2"/>
      <c r="E726" s="2"/>
      <c r="F726" s="2"/>
      <c r="G726" s="2"/>
      <c r="H726" s="2"/>
      <c r="I726" s="2"/>
      <c r="J726" s="2"/>
      <c r="K726" s="2"/>
      <c r="L726" s="2"/>
      <c r="M726" s="2"/>
      <c r="N726" s="2"/>
      <c r="O726" s="2"/>
      <c r="P726" s="2"/>
      <c r="Q726" s="2"/>
      <c r="R726" s="2"/>
      <c r="S726" s="2"/>
      <c r="T726" s="2"/>
      <c r="U726" s="2"/>
      <c r="V726" s="2"/>
      <c r="W726" s="2"/>
    </row>
    <row r="727">
      <c r="A727" s="2"/>
      <c r="B727" s="2"/>
      <c r="C727" s="2"/>
      <c r="D727" s="2"/>
      <c r="E727" s="2"/>
      <c r="F727" s="2"/>
      <c r="G727" s="2"/>
      <c r="H727" s="2"/>
      <c r="I727" s="2"/>
      <c r="J727" s="2"/>
      <c r="K727" s="2"/>
      <c r="L727" s="2"/>
      <c r="M727" s="2"/>
      <c r="N727" s="2"/>
      <c r="O727" s="2"/>
      <c r="P727" s="2"/>
      <c r="Q727" s="2"/>
      <c r="R727" s="2"/>
      <c r="S727" s="2"/>
      <c r="T727" s="2"/>
      <c r="U727" s="2"/>
      <c r="V727" s="2"/>
      <c r="W727" s="2"/>
    </row>
    <row r="728">
      <c r="A728" s="2"/>
      <c r="B728" s="2"/>
      <c r="C728" s="2"/>
      <c r="D728" s="2"/>
      <c r="E728" s="2"/>
      <c r="F728" s="2"/>
      <c r="G728" s="2"/>
      <c r="H728" s="2"/>
      <c r="I728" s="2"/>
      <c r="J728" s="2"/>
      <c r="K728" s="2"/>
      <c r="L728" s="2"/>
      <c r="M728" s="2"/>
      <c r="N728" s="2"/>
      <c r="O728" s="2"/>
      <c r="P728" s="2"/>
      <c r="Q728" s="2"/>
      <c r="R728" s="2"/>
      <c r="S728" s="2"/>
      <c r="T728" s="2"/>
      <c r="U728" s="2"/>
      <c r="V728" s="2"/>
      <c r="W728" s="2"/>
    </row>
    <row r="729">
      <c r="A729" s="2"/>
      <c r="B729" s="2"/>
      <c r="C729" s="2"/>
      <c r="D729" s="2"/>
      <c r="E729" s="2"/>
      <c r="F729" s="2"/>
      <c r="G729" s="2"/>
      <c r="H729" s="2"/>
      <c r="I729" s="2"/>
      <c r="J729" s="2"/>
      <c r="K729" s="2"/>
      <c r="L729" s="2"/>
      <c r="M729" s="2"/>
      <c r="N729" s="2"/>
      <c r="O729" s="2"/>
      <c r="P729" s="2"/>
      <c r="Q729" s="2"/>
      <c r="R729" s="2"/>
      <c r="S729" s="2"/>
      <c r="T729" s="2"/>
      <c r="U729" s="2"/>
      <c r="V729" s="2"/>
      <c r="W729" s="2"/>
    </row>
    <row r="730">
      <c r="A730" s="2"/>
      <c r="B730" s="2"/>
      <c r="C730" s="2"/>
      <c r="D730" s="2"/>
      <c r="E730" s="2"/>
      <c r="F730" s="2"/>
      <c r="G730" s="2"/>
      <c r="H730" s="2"/>
      <c r="I730" s="2"/>
      <c r="J730" s="2"/>
      <c r="K730" s="2"/>
      <c r="L730" s="2"/>
      <c r="M730" s="2"/>
      <c r="N730" s="2"/>
      <c r="O730" s="2"/>
      <c r="P730" s="2"/>
      <c r="Q730" s="2"/>
      <c r="R730" s="2"/>
      <c r="S730" s="2"/>
      <c r="T730" s="2"/>
      <c r="U730" s="2"/>
      <c r="V730" s="2"/>
      <c r="W730" s="2"/>
    </row>
    <row r="731">
      <c r="A731" s="2"/>
      <c r="B731" s="2"/>
      <c r="C731" s="2"/>
      <c r="D731" s="2"/>
      <c r="E731" s="2"/>
      <c r="F731" s="2"/>
      <c r="G731" s="2"/>
      <c r="H731" s="2"/>
      <c r="I731" s="2"/>
      <c r="J731" s="2"/>
      <c r="K731" s="2"/>
      <c r="L731" s="2"/>
      <c r="M731" s="2"/>
      <c r="N731" s="2"/>
      <c r="O731" s="2"/>
      <c r="P731" s="2"/>
      <c r="Q731" s="2"/>
      <c r="R731" s="2"/>
      <c r="S731" s="2"/>
      <c r="T731" s="2"/>
      <c r="U731" s="2"/>
      <c r="V731" s="2"/>
      <c r="W731" s="2"/>
    </row>
    <row r="732">
      <c r="A732" s="2"/>
      <c r="B732" s="2"/>
      <c r="C732" s="2"/>
      <c r="D732" s="2"/>
      <c r="E732" s="2"/>
      <c r="F732" s="2"/>
      <c r="G732" s="2"/>
      <c r="H732" s="2"/>
      <c r="I732" s="2"/>
      <c r="J732" s="2"/>
      <c r="K732" s="2"/>
      <c r="L732" s="2"/>
      <c r="M732" s="2"/>
      <c r="N732" s="2"/>
      <c r="O732" s="2"/>
      <c r="P732" s="2"/>
      <c r="Q732" s="2"/>
      <c r="R732" s="2"/>
      <c r="S732" s="2"/>
      <c r="T732" s="2"/>
      <c r="U732" s="2"/>
      <c r="V732" s="2"/>
      <c r="W732" s="2"/>
    </row>
    <row r="733">
      <c r="A733" s="2"/>
      <c r="B733" s="2"/>
      <c r="C733" s="2"/>
      <c r="D733" s="2"/>
      <c r="E733" s="2"/>
      <c r="F733" s="2"/>
      <c r="G733" s="2"/>
      <c r="H733" s="2"/>
      <c r="I733" s="2"/>
      <c r="J733" s="2"/>
      <c r="K733" s="2"/>
      <c r="L733" s="2"/>
      <c r="M733" s="2"/>
      <c r="N733" s="2"/>
      <c r="O733" s="2"/>
      <c r="P733" s="2"/>
      <c r="Q733" s="2"/>
      <c r="R733" s="2"/>
      <c r="S733" s="2"/>
      <c r="T733" s="2"/>
      <c r="U733" s="2"/>
      <c r="V733" s="2"/>
      <c r="W733" s="2"/>
    </row>
    <row r="734">
      <c r="A734" s="2"/>
      <c r="B734" s="2"/>
      <c r="C734" s="2"/>
      <c r="D734" s="2"/>
      <c r="E734" s="2"/>
      <c r="F734" s="2"/>
      <c r="G734" s="2"/>
      <c r="H734" s="2"/>
      <c r="I734" s="2"/>
      <c r="J734" s="2"/>
      <c r="K734" s="2"/>
      <c r="L734" s="2"/>
      <c r="M734" s="2"/>
      <c r="N734" s="2"/>
      <c r="O734" s="2"/>
      <c r="P734" s="2"/>
      <c r="Q734" s="2"/>
      <c r="R734" s="2"/>
      <c r="S734" s="2"/>
      <c r="T734" s="2"/>
      <c r="U734" s="2"/>
      <c r="V734" s="2"/>
      <c r="W734" s="2"/>
    </row>
    <row r="735">
      <c r="A735" s="2"/>
      <c r="B735" s="2"/>
      <c r="C735" s="2"/>
      <c r="D735" s="2"/>
      <c r="E735" s="2"/>
      <c r="F735" s="2"/>
      <c r="G735" s="2"/>
      <c r="H735" s="2"/>
      <c r="I735" s="2"/>
      <c r="J735" s="2"/>
      <c r="K735" s="2"/>
      <c r="L735" s="2"/>
      <c r="M735" s="2"/>
      <c r="N735" s="2"/>
      <c r="O735" s="2"/>
      <c r="P735" s="2"/>
      <c r="Q735" s="2"/>
      <c r="R735" s="2"/>
      <c r="S735" s="2"/>
      <c r="T735" s="2"/>
      <c r="U735" s="2"/>
      <c r="V735" s="2"/>
      <c r="W735" s="2"/>
    </row>
    <row r="736">
      <c r="A736" s="2"/>
      <c r="B736" s="2"/>
      <c r="C736" s="2"/>
      <c r="D736" s="2"/>
      <c r="E736" s="2"/>
      <c r="F736" s="2"/>
      <c r="G736" s="2"/>
      <c r="H736" s="2"/>
      <c r="I736" s="2"/>
      <c r="J736" s="2"/>
      <c r="K736" s="2"/>
      <c r="L736" s="2"/>
      <c r="M736" s="2"/>
      <c r="N736" s="2"/>
      <c r="O736" s="2"/>
      <c r="P736" s="2"/>
      <c r="Q736" s="2"/>
      <c r="R736" s="2"/>
      <c r="S736" s="2"/>
      <c r="T736" s="2"/>
      <c r="U736" s="2"/>
      <c r="V736" s="2"/>
      <c r="W736" s="2"/>
    </row>
    <row r="737">
      <c r="A737" s="2"/>
      <c r="B737" s="2"/>
      <c r="C737" s="2"/>
      <c r="D737" s="2"/>
      <c r="E737" s="2"/>
      <c r="F737" s="2"/>
      <c r="G737" s="2"/>
      <c r="H737" s="2"/>
      <c r="I737" s="2"/>
      <c r="J737" s="2"/>
      <c r="K737" s="2"/>
      <c r="L737" s="2"/>
      <c r="M737" s="2"/>
      <c r="N737" s="2"/>
      <c r="O737" s="2"/>
      <c r="P737" s="2"/>
      <c r="Q737" s="2"/>
      <c r="R737" s="2"/>
      <c r="S737" s="2"/>
      <c r="T737" s="2"/>
      <c r="U737" s="2"/>
      <c r="V737" s="2"/>
      <c r="W737" s="2"/>
    </row>
    <row r="738">
      <c r="A738" s="2"/>
      <c r="B738" s="2"/>
      <c r="C738" s="2"/>
      <c r="D738" s="2"/>
      <c r="E738" s="2"/>
      <c r="F738" s="2"/>
      <c r="G738" s="2"/>
      <c r="H738" s="2"/>
      <c r="I738" s="2"/>
      <c r="J738" s="2"/>
      <c r="K738" s="2"/>
      <c r="L738" s="2"/>
      <c r="M738" s="2"/>
      <c r="N738" s="2"/>
      <c r="O738" s="2"/>
      <c r="P738" s="2"/>
      <c r="Q738" s="2"/>
      <c r="R738" s="2"/>
      <c r="S738" s="2"/>
      <c r="T738" s="2"/>
      <c r="U738" s="2"/>
      <c r="V738" s="2"/>
      <c r="W738" s="2"/>
    </row>
    <row r="739">
      <c r="A739" s="2"/>
      <c r="B739" s="2"/>
      <c r="C739" s="2"/>
      <c r="D739" s="2"/>
      <c r="E739" s="2"/>
      <c r="F739" s="2"/>
      <c r="G739" s="2"/>
      <c r="H739" s="2"/>
      <c r="I739" s="2"/>
      <c r="J739" s="2"/>
      <c r="K739" s="2"/>
      <c r="L739" s="2"/>
      <c r="M739" s="2"/>
      <c r="N739" s="2"/>
      <c r="O739" s="2"/>
      <c r="P739" s="2"/>
      <c r="Q739" s="2"/>
      <c r="R739" s="2"/>
      <c r="S739" s="2"/>
      <c r="T739" s="2"/>
      <c r="U739" s="2"/>
      <c r="V739" s="2"/>
      <c r="W739" s="2"/>
    </row>
    <row r="740">
      <c r="A740" s="2"/>
      <c r="B740" s="2"/>
      <c r="C740" s="2"/>
      <c r="D740" s="2"/>
      <c r="E740" s="2"/>
      <c r="F740" s="2"/>
      <c r="G740" s="2"/>
      <c r="H740" s="2"/>
      <c r="I740" s="2"/>
      <c r="J740" s="2"/>
      <c r="K740" s="2"/>
      <c r="L740" s="2"/>
      <c r="M740" s="2"/>
      <c r="N740" s="2"/>
      <c r="O740" s="2"/>
      <c r="P740" s="2"/>
      <c r="Q740" s="2"/>
      <c r="R740" s="2"/>
      <c r="S740" s="2"/>
      <c r="T740" s="2"/>
      <c r="U740" s="2"/>
      <c r="V740" s="2"/>
      <c r="W740" s="2"/>
    </row>
    <row r="741">
      <c r="A741" s="2"/>
      <c r="B741" s="2"/>
      <c r="C741" s="2"/>
      <c r="D741" s="2"/>
      <c r="E741" s="2"/>
      <c r="F741" s="2"/>
      <c r="G741" s="2"/>
      <c r="H741" s="2"/>
      <c r="I741" s="2"/>
      <c r="J741" s="2"/>
      <c r="K741" s="2"/>
      <c r="L741" s="2"/>
      <c r="M741" s="2"/>
      <c r="N741" s="2"/>
      <c r="O741" s="2"/>
      <c r="P741" s="2"/>
      <c r="Q741" s="2"/>
      <c r="R741" s="2"/>
      <c r="S741" s="2"/>
      <c r="T741" s="2"/>
      <c r="U741" s="2"/>
      <c r="V741" s="2"/>
      <c r="W741" s="2"/>
    </row>
    <row r="742">
      <c r="A742" s="2"/>
      <c r="B742" s="2"/>
      <c r="C742" s="2"/>
      <c r="D742" s="2"/>
      <c r="E742" s="2"/>
      <c r="F742" s="2"/>
      <c r="G742" s="2"/>
      <c r="H742" s="2"/>
      <c r="I742" s="2"/>
      <c r="J742" s="2"/>
      <c r="K742" s="2"/>
      <c r="L742" s="2"/>
      <c r="M742" s="2"/>
      <c r="N742" s="2"/>
      <c r="O742" s="2"/>
      <c r="P742" s="2"/>
      <c r="Q742" s="2"/>
      <c r="R742" s="2"/>
      <c r="S742" s="2"/>
      <c r="T742" s="2"/>
      <c r="U742" s="2"/>
      <c r="V742" s="2"/>
      <c r="W742" s="2"/>
    </row>
    <row r="743">
      <c r="A743" s="2"/>
      <c r="B743" s="2"/>
      <c r="C743" s="2"/>
      <c r="D743" s="2"/>
      <c r="E743" s="2"/>
      <c r="F743" s="2"/>
      <c r="G743" s="2"/>
      <c r="H743" s="2"/>
      <c r="I743" s="2"/>
      <c r="J743" s="2"/>
      <c r="K743" s="2"/>
      <c r="L743" s="2"/>
      <c r="M743" s="2"/>
      <c r="N743" s="2"/>
      <c r="O743" s="2"/>
      <c r="P743" s="2"/>
      <c r="Q743" s="2"/>
      <c r="R743" s="2"/>
      <c r="S743" s="2"/>
      <c r="T743" s="2"/>
      <c r="U743" s="2"/>
      <c r="V743" s="2"/>
      <c r="W743" s="2"/>
    </row>
    <row r="744">
      <c r="A744" s="2"/>
      <c r="B744" s="2"/>
      <c r="C744" s="2"/>
      <c r="D744" s="2"/>
      <c r="E744" s="2"/>
      <c r="F744" s="2"/>
      <c r="G744" s="2"/>
      <c r="H744" s="2"/>
      <c r="I744" s="2"/>
      <c r="J744" s="2"/>
      <c r="K744" s="2"/>
      <c r="L744" s="2"/>
      <c r="M744" s="2"/>
      <c r="N744" s="2"/>
      <c r="O744" s="2"/>
      <c r="P744" s="2"/>
      <c r="Q744" s="2"/>
      <c r="R744" s="2"/>
      <c r="S744" s="2"/>
      <c r="T744" s="2"/>
      <c r="U744" s="2"/>
      <c r="V744" s="2"/>
      <c r="W744" s="2"/>
    </row>
    <row r="745">
      <c r="A745" s="2"/>
      <c r="B745" s="2"/>
      <c r="C745" s="2"/>
      <c r="D745" s="2"/>
      <c r="E745" s="2"/>
      <c r="F745" s="2"/>
      <c r="G745" s="2"/>
      <c r="H745" s="2"/>
      <c r="I745" s="2"/>
      <c r="J745" s="2"/>
      <c r="K745" s="2"/>
      <c r="L745" s="2"/>
      <c r="M745" s="2"/>
      <c r="N745" s="2"/>
      <c r="O745" s="2"/>
      <c r="P745" s="2"/>
      <c r="Q745" s="2"/>
      <c r="R745" s="2"/>
      <c r="S745" s="2"/>
      <c r="T745" s="2"/>
      <c r="U745" s="2"/>
      <c r="V745" s="2"/>
      <c r="W745" s="2"/>
    </row>
    <row r="746">
      <c r="A746" s="2"/>
      <c r="B746" s="2"/>
      <c r="C746" s="2"/>
      <c r="D746" s="2"/>
      <c r="E746" s="2"/>
      <c r="F746" s="2"/>
      <c r="G746" s="2"/>
      <c r="H746" s="2"/>
      <c r="I746" s="2"/>
      <c r="J746" s="2"/>
      <c r="K746" s="2"/>
      <c r="L746" s="2"/>
      <c r="M746" s="2"/>
      <c r="N746" s="2"/>
      <c r="O746" s="2"/>
      <c r="P746" s="2"/>
      <c r="Q746" s="2"/>
      <c r="R746" s="2"/>
      <c r="S746" s="2"/>
      <c r="T746" s="2"/>
      <c r="U746" s="2"/>
      <c r="V746" s="2"/>
      <c r="W746" s="2"/>
    </row>
    <row r="747">
      <c r="A747" s="2"/>
      <c r="B747" s="2"/>
      <c r="C747" s="2"/>
      <c r="D747" s="2"/>
      <c r="E747" s="2"/>
      <c r="F747" s="2"/>
      <c r="G747" s="2"/>
      <c r="H747" s="2"/>
      <c r="I747" s="2"/>
      <c r="J747" s="2"/>
      <c r="K747" s="2"/>
      <c r="L747" s="2"/>
      <c r="M747" s="2"/>
      <c r="N747" s="2"/>
      <c r="O747" s="2"/>
      <c r="P747" s="2"/>
      <c r="Q747" s="2"/>
      <c r="R747" s="2"/>
      <c r="S747" s="2"/>
      <c r="T747" s="2"/>
      <c r="U747" s="2"/>
      <c r="V747" s="2"/>
      <c r="W747" s="2"/>
    </row>
    <row r="748">
      <c r="A748" s="2"/>
      <c r="B748" s="2"/>
      <c r="C748" s="2"/>
      <c r="D748" s="2"/>
      <c r="E748" s="2"/>
      <c r="F748" s="2"/>
      <c r="G748" s="2"/>
      <c r="H748" s="2"/>
      <c r="I748" s="2"/>
      <c r="J748" s="2"/>
      <c r="K748" s="2"/>
      <c r="L748" s="2"/>
      <c r="M748" s="2"/>
      <c r="N748" s="2"/>
      <c r="O748" s="2"/>
      <c r="P748" s="2"/>
      <c r="Q748" s="2"/>
      <c r="R748" s="2"/>
      <c r="S748" s="2"/>
      <c r="T748" s="2"/>
      <c r="U748" s="2"/>
      <c r="V748" s="2"/>
      <c r="W748" s="2"/>
    </row>
    <row r="749">
      <c r="A749" s="2"/>
      <c r="B749" s="2"/>
      <c r="C749" s="2"/>
      <c r="D749" s="2"/>
      <c r="E749" s="2"/>
      <c r="F749" s="2"/>
      <c r="G749" s="2"/>
      <c r="H749" s="2"/>
      <c r="I749" s="2"/>
      <c r="J749" s="2"/>
      <c r="K749" s="2"/>
      <c r="L749" s="2"/>
      <c r="M749" s="2"/>
      <c r="N749" s="2"/>
      <c r="O749" s="2"/>
      <c r="P749" s="2"/>
      <c r="Q749" s="2"/>
      <c r="R749" s="2"/>
      <c r="S749" s="2"/>
      <c r="T749" s="2"/>
      <c r="U749" s="2"/>
      <c r="V749" s="2"/>
      <c r="W749" s="2"/>
    </row>
    <row r="750">
      <c r="A750" s="2"/>
      <c r="B750" s="2"/>
      <c r="C750" s="2"/>
      <c r="D750" s="2"/>
      <c r="E750" s="2"/>
      <c r="F750" s="2"/>
      <c r="G750" s="2"/>
      <c r="H750" s="2"/>
      <c r="I750" s="2"/>
      <c r="J750" s="2"/>
      <c r="K750" s="2"/>
      <c r="L750" s="2"/>
      <c r="M750" s="2"/>
      <c r="N750" s="2"/>
      <c r="O750" s="2"/>
      <c r="P750" s="2"/>
      <c r="Q750" s="2"/>
      <c r="R750" s="2"/>
      <c r="S750" s="2"/>
      <c r="T750" s="2"/>
      <c r="U750" s="2"/>
      <c r="V750" s="2"/>
      <c r="W750" s="2"/>
    </row>
    <row r="751">
      <c r="A751" s="2"/>
      <c r="B751" s="2"/>
      <c r="C751" s="2"/>
      <c r="D751" s="2"/>
      <c r="E751" s="2"/>
      <c r="F751" s="2"/>
      <c r="G751" s="2"/>
      <c r="H751" s="2"/>
      <c r="I751" s="2"/>
      <c r="J751" s="2"/>
      <c r="K751" s="2"/>
      <c r="L751" s="2"/>
      <c r="M751" s="2"/>
      <c r="N751" s="2"/>
      <c r="O751" s="2"/>
      <c r="P751" s="2"/>
      <c r="Q751" s="2"/>
      <c r="R751" s="2"/>
      <c r="S751" s="2"/>
      <c r="T751" s="2"/>
      <c r="U751" s="2"/>
      <c r="V751" s="2"/>
      <c r="W751" s="2"/>
    </row>
    <row r="752">
      <c r="A752" s="2"/>
      <c r="B752" s="2"/>
      <c r="C752" s="2"/>
      <c r="D752" s="2"/>
      <c r="E752" s="2"/>
      <c r="F752" s="2"/>
      <c r="G752" s="2"/>
      <c r="H752" s="2"/>
      <c r="I752" s="2"/>
      <c r="J752" s="2"/>
      <c r="K752" s="2"/>
      <c r="L752" s="2"/>
      <c r="M752" s="2"/>
      <c r="N752" s="2"/>
      <c r="O752" s="2"/>
      <c r="P752" s="2"/>
      <c r="Q752" s="2"/>
      <c r="R752" s="2"/>
      <c r="S752" s="2"/>
      <c r="T752" s="2"/>
      <c r="U752" s="2"/>
      <c r="V752" s="2"/>
      <c r="W752" s="2"/>
    </row>
    <row r="753">
      <c r="A753" s="2"/>
      <c r="B753" s="2"/>
      <c r="C753" s="2"/>
      <c r="D753" s="2"/>
      <c r="E753" s="2"/>
      <c r="F753" s="2"/>
      <c r="G753" s="2"/>
      <c r="H753" s="2"/>
      <c r="I753" s="2"/>
      <c r="J753" s="2"/>
      <c r="K753" s="2"/>
      <c r="L753" s="2"/>
      <c r="M753" s="2"/>
      <c r="N753" s="2"/>
      <c r="O753" s="2"/>
      <c r="P753" s="2"/>
      <c r="Q753" s="2"/>
      <c r="R753" s="2"/>
      <c r="S753" s="2"/>
      <c r="T753" s="2"/>
      <c r="U753" s="2"/>
      <c r="V753" s="2"/>
      <c r="W753" s="2"/>
    </row>
    <row r="754">
      <c r="A754" s="2"/>
      <c r="B754" s="2"/>
      <c r="C754" s="2"/>
      <c r="D754" s="2"/>
      <c r="E754" s="2"/>
      <c r="F754" s="2"/>
      <c r="G754" s="2"/>
      <c r="H754" s="2"/>
      <c r="I754" s="2"/>
      <c r="J754" s="2"/>
      <c r="K754" s="2"/>
      <c r="L754" s="2"/>
      <c r="M754" s="2"/>
      <c r="N754" s="2"/>
      <c r="O754" s="2"/>
      <c r="P754" s="2"/>
      <c r="Q754" s="2"/>
      <c r="R754" s="2"/>
      <c r="S754" s="2"/>
      <c r="T754" s="2"/>
      <c r="U754" s="2"/>
      <c r="V754" s="2"/>
      <c r="W754" s="2"/>
    </row>
    <row r="755">
      <c r="A755" s="2"/>
      <c r="B755" s="2"/>
      <c r="C755" s="2"/>
      <c r="D755" s="2"/>
      <c r="E755" s="2"/>
      <c r="F755" s="2"/>
      <c r="G755" s="2"/>
      <c r="H755" s="2"/>
      <c r="I755" s="2"/>
      <c r="J755" s="2"/>
      <c r="K755" s="2"/>
      <c r="L755" s="2"/>
      <c r="M755" s="2"/>
      <c r="N755" s="2"/>
      <c r="O755" s="2"/>
      <c r="P755" s="2"/>
      <c r="Q755" s="2"/>
      <c r="R755" s="2"/>
      <c r="S755" s="2"/>
      <c r="T755" s="2"/>
      <c r="U755" s="2"/>
      <c r="V755" s="2"/>
      <c r="W755" s="2"/>
    </row>
    <row r="756">
      <c r="A756" s="2"/>
      <c r="B756" s="2"/>
      <c r="C756" s="2"/>
      <c r="D756" s="2"/>
      <c r="E756" s="2"/>
      <c r="F756" s="2"/>
      <c r="G756" s="2"/>
      <c r="H756" s="2"/>
      <c r="I756" s="2"/>
      <c r="J756" s="2"/>
      <c r="K756" s="2"/>
      <c r="L756" s="2"/>
      <c r="M756" s="2"/>
      <c r="N756" s="2"/>
      <c r="O756" s="2"/>
      <c r="P756" s="2"/>
      <c r="Q756" s="2"/>
      <c r="R756" s="2"/>
      <c r="S756" s="2"/>
      <c r="T756" s="2"/>
      <c r="U756" s="2"/>
      <c r="V756" s="2"/>
      <c r="W756" s="2"/>
    </row>
    <row r="757">
      <c r="A757" s="2"/>
      <c r="B757" s="2"/>
      <c r="C757" s="2"/>
      <c r="D757" s="2"/>
      <c r="E757" s="2"/>
      <c r="F757" s="2"/>
      <c r="G757" s="2"/>
      <c r="H757" s="2"/>
      <c r="I757" s="2"/>
      <c r="J757" s="2"/>
      <c r="K757" s="2"/>
      <c r="L757" s="2"/>
      <c r="M757" s="2"/>
      <c r="N757" s="2"/>
      <c r="O757" s="2"/>
      <c r="P757" s="2"/>
      <c r="Q757" s="2"/>
      <c r="R757" s="2"/>
      <c r="S757" s="2"/>
      <c r="T757" s="2"/>
      <c r="U757" s="2"/>
      <c r="V757" s="2"/>
      <c r="W757" s="2"/>
    </row>
    <row r="758">
      <c r="A758" s="2"/>
      <c r="B758" s="2"/>
      <c r="C758" s="2"/>
      <c r="D758" s="2"/>
      <c r="E758" s="2"/>
      <c r="F758" s="2"/>
      <c r="G758" s="2"/>
      <c r="H758" s="2"/>
      <c r="I758" s="2"/>
      <c r="J758" s="2"/>
      <c r="K758" s="2"/>
      <c r="L758" s="2"/>
      <c r="M758" s="2"/>
      <c r="N758" s="2"/>
      <c r="O758" s="2"/>
      <c r="P758" s="2"/>
      <c r="Q758" s="2"/>
      <c r="R758" s="2"/>
      <c r="S758" s="2"/>
      <c r="T758" s="2"/>
      <c r="U758" s="2"/>
      <c r="V758" s="2"/>
      <c r="W758" s="2"/>
    </row>
    <row r="759">
      <c r="A759" s="2"/>
      <c r="B759" s="2"/>
      <c r="C759" s="2"/>
      <c r="D759" s="2"/>
      <c r="E759" s="2"/>
      <c r="F759" s="2"/>
      <c r="G759" s="2"/>
      <c r="H759" s="2"/>
      <c r="I759" s="2"/>
      <c r="J759" s="2"/>
      <c r="K759" s="2"/>
      <c r="L759" s="2"/>
      <c r="M759" s="2"/>
      <c r="N759" s="2"/>
      <c r="O759" s="2"/>
      <c r="P759" s="2"/>
      <c r="Q759" s="2"/>
      <c r="R759" s="2"/>
      <c r="S759" s="2"/>
      <c r="T759" s="2"/>
      <c r="U759" s="2"/>
      <c r="V759" s="2"/>
      <c r="W759" s="2"/>
    </row>
    <row r="760">
      <c r="A760" s="2"/>
      <c r="B760" s="2"/>
      <c r="C760" s="2"/>
      <c r="D760" s="2"/>
      <c r="E760" s="2"/>
      <c r="F760" s="2"/>
      <c r="G760" s="2"/>
      <c r="H760" s="2"/>
      <c r="I760" s="2"/>
      <c r="J760" s="2"/>
      <c r="K760" s="2"/>
      <c r="L760" s="2"/>
      <c r="M760" s="2"/>
      <c r="N760" s="2"/>
      <c r="O760" s="2"/>
      <c r="P760" s="2"/>
      <c r="Q760" s="2"/>
      <c r="R760" s="2"/>
      <c r="S760" s="2"/>
      <c r="T760" s="2"/>
      <c r="U760" s="2"/>
      <c r="V760" s="2"/>
      <c r="W760" s="2"/>
    </row>
    <row r="761">
      <c r="A761" s="2"/>
      <c r="B761" s="2"/>
      <c r="C761" s="2"/>
      <c r="D761" s="2"/>
      <c r="E761" s="2"/>
      <c r="F761" s="2"/>
      <c r="G761" s="2"/>
      <c r="H761" s="2"/>
      <c r="I761" s="2"/>
      <c r="J761" s="2"/>
      <c r="K761" s="2"/>
      <c r="L761" s="2"/>
      <c r="M761" s="2"/>
      <c r="N761" s="2"/>
      <c r="O761" s="2"/>
      <c r="P761" s="2"/>
      <c r="Q761" s="2"/>
      <c r="R761" s="2"/>
      <c r="S761" s="2"/>
      <c r="T761" s="2"/>
      <c r="U761" s="2"/>
      <c r="V761" s="2"/>
      <c r="W761" s="2"/>
    </row>
    <row r="762">
      <c r="A762" s="2"/>
      <c r="B762" s="2"/>
      <c r="C762" s="2"/>
      <c r="D762" s="2"/>
      <c r="E762" s="2"/>
      <c r="F762" s="2"/>
      <c r="G762" s="2"/>
      <c r="H762" s="2"/>
      <c r="I762" s="2"/>
      <c r="J762" s="2"/>
      <c r="K762" s="2"/>
      <c r="L762" s="2"/>
      <c r="M762" s="2"/>
      <c r="N762" s="2"/>
      <c r="O762" s="2"/>
      <c r="P762" s="2"/>
      <c r="Q762" s="2"/>
      <c r="R762" s="2"/>
      <c r="S762" s="2"/>
      <c r="T762" s="2"/>
      <c r="U762" s="2"/>
      <c r="V762" s="2"/>
      <c r="W762" s="2"/>
    </row>
    <row r="763">
      <c r="A763" s="2"/>
      <c r="B763" s="2"/>
      <c r="C763" s="2"/>
      <c r="D763" s="2"/>
      <c r="E763" s="2"/>
      <c r="F763" s="2"/>
      <c r="G763" s="2"/>
      <c r="H763" s="2"/>
      <c r="I763" s="2"/>
      <c r="J763" s="2"/>
      <c r="K763" s="2"/>
      <c r="L763" s="2"/>
      <c r="M763" s="2"/>
      <c r="N763" s="2"/>
      <c r="O763" s="2"/>
      <c r="P763" s="2"/>
      <c r="Q763" s="2"/>
      <c r="R763" s="2"/>
      <c r="S763" s="2"/>
      <c r="T763" s="2"/>
      <c r="U763" s="2"/>
      <c r="V763" s="2"/>
      <c r="W763" s="2"/>
    </row>
    <row r="764">
      <c r="A764" s="2"/>
      <c r="B764" s="2"/>
      <c r="C764" s="2"/>
      <c r="D764" s="2"/>
      <c r="E764" s="2"/>
      <c r="F764" s="2"/>
      <c r="G764" s="2"/>
      <c r="H764" s="2"/>
      <c r="I764" s="2"/>
      <c r="J764" s="2"/>
      <c r="K764" s="2"/>
      <c r="L764" s="2"/>
      <c r="M764" s="2"/>
      <c r="N764" s="2"/>
      <c r="O764" s="2"/>
      <c r="P764" s="2"/>
      <c r="Q764" s="2"/>
      <c r="R764" s="2"/>
      <c r="S764" s="2"/>
      <c r="T764" s="2"/>
      <c r="U764" s="2"/>
      <c r="V764" s="2"/>
      <c r="W764" s="2"/>
    </row>
    <row r="765">
      <c r="A765" s="2"/>
      <c r="B765" s="2"/>
      <c r="C765" s="2"/>
      <c r="D765" s="2"/>
      <c r="E765" s="2"/>
      <c r="F765" s="2"/>
      <c r="G765" s="2"/>
      <c r="H765" s="2"/>
      <c r="I765" s="2"/>
      <c r="J765" s="2"/>
      <c r="K765" s="2"/>
      <c r="L765" s="2"/>
      <c r="M765" s="2"/>
      <c r="N765" s="2"/>
      <c r="O765" s="2"/>
      <c r="P765" s="2"/>
      <c r="Q765" s="2"/>
      <c r="R765" s="2"/>
      <c r="S765" s="2"/>
      <c r="T765" s="2"/>
      <c r="U765" s="2"/>
      <c r="V765" s="2"/>
      <c r="W765" s="2"/>
    </row>
    <row r="766">
      <c r="A766" s="2"/>
      <c r="B766" s="2"/>
      <c r="C766" s="2"/>
      <c r="D766" s="2"/>
      <c r="E766" s="2"/>
      <c r="F766" s="2"/>
      <c r="G766" s="2"/>
      <c r="H766" s="2"/>
      <c r="I766" s="2"/>
      <c r="J766" s="2"/>
      <c r="K766" s="2"/>
      <c r="L766" s="2"/>
      <c r="M766" s="2"/>
      <c r="N766" s="2"/>
      <c r="O766" s="2"/>
      <c r="P766" s="2"/>
      <c r="Q766" s="2"/>
      <c r="R766" s="2"/>
      <c r="S766" s="2"/>
      <c r="T766" s="2"/>
      <c r="U766" s="2"/>
      <c r="V766" s="2"/>
      <c r="W766" s="2"/>
    </row>
    <row r="767">
      <c r="A767" s="2"/>
      <c r="B767" s="2"/>
      <c r="C767" s="2"/>
      <c r="D767" s="2"/>
      <c r="E767" s="2"/>
      <c r="F767" s="2"/>
      <c r="G767" s="2"/>
      <c r="H767" s="2"/>
      <c r="I767" s="2"/>
      <c r="J767" s="2"/>
      <c r="K767" s="2"/>
      <c r="L767" s="2"/>
      <c r="M767" s="2"/>
      <c r="N767" s="2"/>
      <c r="O767" s="2"/>
      <c r="P767" s="2"/>
      <c r="Q767" s="2"/>
      <c r="R767" s="2"/>
      <c r="S767" s="2"/>
      <c r="T767" s="2"/>
      <c r="U767" s="2"/>
      <c r="V767" s="2"/>
      <c r="W767" s="2"/>
    </row>
    <row r="768">
      <c r="A768" s="2"/>
      <c r="B768" s="2"/>
      <c r="C768" s="2"/>
      <c r="D768" s="2"/>
      <c r="E768" s="2"/>
      <c r="F768" s="2"/>
      <c r="G768" s="2"/>
      <c r="H768" s="2"/>
      <c r="I768" s="2"/>
      <c r="J768" s="2"/>
      <c r="K768" s="2"/>
      <c r="L768" s="2"/>
      <c r="M768" s="2"/>
      <c r="N768" s="2"/>
      <c r="O768" s="2"/>
      <c r="P768" s="2"/>
      <c r="Q768" s="2"/>
      <c r="R768" s="2"/>
      <c r="S768" s="2"/>
      <c r="T768" s="2"/>
      <c r="U768" s="2"/>
      <c r="V768" s="2"/>
      <c r="W768" s="2"/>
    </row>
    <row r="769">
      <c r="A769" s="2"/>
      <c r="B769" s="2"/>
      <c r="C769" s="2"/>
      <c r="D769" s="2"/>
      <c r="E769" s="2"/>
      <c r="F769" s="2"/>
      <c r="G769" s="2"/>
      <c r="H769" s="2"/>
      <c r="I769" s="2"/>
      <c r="J769" s="2"/>
      <c r="K769" s="2"/>
      <c r="L769" s="2"/>
      <c r="M769" s="2"/>
      <c r="N769" s="2"/>
      <c r="O769" s="2"/>
      <c r="P769" s="2"/>
      <c r="Q769" s="2"/>
      <c r="R769" s="2"/>
      <c r="S769" s="2"/>
      <c r="T769" s="2"/>
      <c r="U769" s="2"/>
      <c r="V769" s="2"/>
      <c r="W769" s="2"/>
    </row>
    <row r="770">
      <c r="A770" s="2"/>
      <c r="B770" s="2"/>
      <c r="C770" s="2"/>
      <c r="D770" s="2"/>
      <c r="E770" s="2"/>
      <c r="F770" s="2"/>
      <c r="G770" s="2"/>
      <c r="H770" s="2"/>
      <c r="I770" s="2"/>
      <c r="J770" s="2"/>
      <c r="K770" s="2"/>
      <c r="L770" s="2"/>
      <c r="M770" s="2"/>
      <c r="N770" s="2"/>
      <c r="O770" s="2"/>
      <c r="P770" s="2"/>
      <c r="Q770" s="2"/>
      <c r="R770" s="2"/>
      <c r="S770" s="2"/>
      <c r="T770" s="2"/>
      <c r="U770" s="2"/>
      <c r="V770" s="2"/>
      <c r="W770" s="2"/>
    </row>
    <row r="771">
      <c r="A771" s="2"/>
      <c r="B771" s="2"/>
      <c r="C771" s="2"/>
      <c r="D771" s="2"/>
      <c r="E771" s="2"/>
      <c r="F771" s="2"/>
      <c r="G771" s="2"/>
      <c r="H771" s="2"/>
      <c r="I771" s="2"/>
      <c r="J771" s="2"/>
      <c r="K771" s="2"/>
      <c r="L771" s="2"/>
      <c r="M771" s="2"/>
      <c r="N771" s="2"/>
      <c r="O771" s="2"/>
      <c r="P771" s="2"/>
      <c r="Q771" s="2"/>
      <c r="R771" s="2"/>
      <c r="S771" s="2"/>
      <c r="T771" s="2"/>
      <c r="U771" s="2"/>
      <c r="V771" s="2"/>
      <c r="W771" s="2"/>
    </row>
    <row r="772">
      <c r="A772" s="2"/>
      <c r="B772" s="2"/>
      <c r="C772" s="2"/>
      <c r="D772" s="2"/>
      <c r="E772" s="2"/>
      <c r="F772" s="2"/>
      <c r="G772" s="2"/>
      <c r="H772" s="2"/>
      <c r="I772" s="2"/>
      <c r="J772" s="2"/>
      <c r="K772" s="2"/>
      <c r="L772" s="2"/>
      <c r="M772" s="2"/>
      <c r="N772" s="2"/>
      <c r="O772" s="2"/>
      <c r="P772" s="2"/>
      <c r="Q772" s="2"/>
      <c r="R772" s="2"/>
      <c r="S772" s="2"/>
      <c r="T772" s="2"/>
      <c r="U772" s="2"/>
      <c r="V772" s="2"/>
      <c r="W772" s="2"/>
    </row>
    <row r="773">
      <c r="A773" s="2"/>
      <c r="B773" s="2"/>
      <c r="C773" s="2"/>
      <c r="D773" s="2"/>
      <c r="E773" s="2"/>
      <c r="F773" s="2"/>
      <c r="G773" s="2"/>
      <c r="H773" s="2"/>
      <c r="I773" s="2"/>
      <c r="J773" s="2"/>
      <c r="K773" s="2"/>
      <c r="L773" s="2"/>
      <c r="M773" s="2"/>
      <c r="N773" s="2"/>
      <c r="O773" s="2"/>
      <c r="P773" s="2"/>
      <c r="Q773" s="2"/>
      <c r="R773" s="2"/>
      <c r="S773" s="2"/>
      <c r="T773" s="2"/>
      <c r="U773" s="2"/>
      <c r="V773" s="2"/>
      <c r="W773" s="2"/>
    </row>
    <row r="774">
      <c r="A774" s="2"/>
      <c r="B774" s="2"/>
      <c r="C774" s="2"/>
      <c r="D774" s="2"/>
      <c r="E774" s="2"/>
      <c r="F774" s="2"/>
      <c r="G774" s="2"/>
      <c r="H774" s="2"/>
      <c r="I774" s="2"/>
      <c r="J774" s="2"/>
      <c r="K774" s="2"/>
      <c r="L774" s="2"/>
      <c r="M774" s="2"/>
      <c r="N774" s="2"/>
      <c r="O774" s="2"/>
      <c r="P774" s="2"/>
      <c r="Q774" s="2"/>
      <c r="R774" s="2"/>
      <c r="S774" s="2"/>
      <c r="T774" s="2"/>
      <c r="U774" s="2"/>
      <c r="V774" s="2"/>
      <c r="W774" s="2"/>
    </row>
    <row r="775">
      <c r="A775" s="2"/>
      <c r="B775" s="2"/>
      <c r="C775" s="2"/>
      <c r="D775" s="2"/>
      <c r="E775" s="2"/>
      <c r="F775" s="2"/>
      <c r="G775" s="2"/>
      <c r="H775" s="2"/>
      <c r="I775" s="2"/>
      <c r="J775" s="2"/>
      <c r="K775" s="2"/>
      <c r="L775" s="2"/>
      <c r="M775" s="2"/>
      <c r="N775" s="2"/>
      <c r="O775" s="2"/>
      <c r="P775" s="2"/>
      <c r="Q775" s="2"/>
      <c r="R775" s="2"/>
      <c r="S775" s="2"/>
      <c r="T775" s="2"/>
      <c r="U775" s="2"/>
      <c r="V775" s="2"/>
      <c r="W775" s="2"/>
    </row>
    <row r="776">
      <c r="A776" s="2"/>
      <c r="B776" s="2"/>
      <c r="C776" s="2"/>
      <c r="D776" s="2"/>
      <c r="E776" s="2"/>
      <c r="F776" s="2"/>
      <c r="G776" s="2"/>
      <c r="H776" s="2"/>
      <c r="I776" s="2"/>
      <c r="J776" s="2"/>
      <c r="K776" s="2"/>
      <c r="L776" s="2"/>
      <c r="M776" s="2"/>
      <c r="N776" s="2"/>
      <c r="O776" s="2"/>
      <c r="P776" s="2"/>
      <c r="Q776" s="2"/>
      <c r="R776" s="2"/>
      <c r="S776" s="2"/>
      <c r="T776" s="2"/>
      <c r="U776" s="2"/>
      <c r="V776" s="2"/>
      <c r="W776" s="2"/>
    </row>
    <row r="777">
      <c r="A777" s="2"/>
      <c r="B777" s="2"/>
      <c r="C777" s="2"/>
      <c r="D777" s="2"/>
      <c r="E777" s="2"/>
      <c r="F777" s="2"/>
      <c r="G777" s="2"/>
      <c r="H777" s="2"/>
      <c r="I777" s="2"/>
      <c r="J777" s="2"/>
      <c r="K777" s="2"/>
      <c r="L777" s="2"/>
      <c r="M777" s="2"/>
      <c r="N777" s="2"/>
      <c r="O777" s="2"/>
      <c r="P777" s="2"/>
      <c r="Q777" s="2"/>
      <c r="R777" s="2"/>
      <c r="S777" s="2"/>
      <c r="T777" s="2"/>
      <c r="U777" s="2"/>
      <c r="V777" s="2"/>
      <c r="W777" s="2"/>
    </row>
    <row r="778">
      <c r="A778" s="2"/>
      <c r="B778" s="2"/>
      <c r="C778" s="2"/>
      <c r="D778" s="2"/>
      <c r="E778" s="2"/>
      <c r="F778" s="2"/>
      <c r="G778" s="2"/>
      <c r="H778" s="2"/>
      <c r="I778" s="2"/>
      <c r="J778" s="2"/>
      <c r="K778" s="2"/>
      <c r="L778" s="2"/>
      <c r="M778" s="2"/>
      <c r="N778" s="2"/>
      <c r="O778" s="2"/>
      <c r="P778" s="2"/>
      <c r="Q778" s="2"/>
      <c r="R778" s="2"/>
      <c r="S778" s="2"/>
      <c r="T778" s="2"/>
      <c r="U778" s="2"/>
      <c r="V778" s="2"/>
      <c r="W778" s="2"/>
    </row>
    <row r="779">
      <c r="A779" s="2"/>
      <c r="B779" s="2"/>
      <c r="C779" s="2"/>
      <c r="D779" s="2"/>
      <c r="E779" s="2"/>
      <c r="F779" s="2"/>
      <c r="G779" s="2"/>
      <c r="H779" s="2"/>
      <c r="I779" s="2"/>
      <c r="J779" s="2"/>
      <c r="K779" s="2"/>
      <c r="L779" s="2"/>
      <c r="M779" s="2"/>
      <c r="N779" s="2"/>
      <c r="O779" s="2"/>
      <c r="P779" s="2"/>
      <c r="Q779" s="2"/>
      <c r="R779" s="2"/>
      <c r="S779" s="2"/>
      <c r="T779" s="2"/>
      <c r="U779" s="2"/>
      <c r="V779" s="2"/>
      <c r="W779" s="2"/>
    </row>
    <row r="780">
      <c r="A780" s="2"/>
      <c r="B780" s="2"/>
      <c r="C780" s="2"/>
      <c r="D780" s="2"/>
      <c r="E780" s="2"/>
      <c r="F780" s="2"/>
      <c r="G780" s="2"/>
      <c r="H780" s="2"/>
      <c r="I780" s="2"/>
      <c r="J780" s="2"/>
      <c r="K780" s="2"/>
      <c r="L780" s="2"/>
      <c r="M780" s="2"/>
      <c r="N780" s="2"/>
      <c r="O780" s="2"/>
      <c r="P780" s="2"/>
      <c r="Q780" s="2"/>
      <c r="R780" s="2"/>
      <c r="S780" s="2"/>
      <c r="T780" s="2"/>
      <c r="U780" s="2"/>
      <c r="V780" s="2"/>
      <c r="W780" s="2"/>
    </row>
    <row r="781">
      <c r="A781" s="2"/>
      <c r="B781" s="2"/>
      <c r="C781" s="2"/>
      <c r="D781" s="2"/>
      <c r="E781" s="2"/>
      <c r="F781" s="2"/>
      <c r="G781" s="2"/>
      <c r="H781" s="2"/>
      <c r="I781" s="2"/>
      <c r="J781" s="2"/>
      <c r="K781" s="2"/>
      <c r="L781" s="2"/>
      <c r="M781" s="2"/>
      <c r="N781" s="2"/>
      <c r="O781" s="2"/>
      <c r="P781" s="2"/>
      <c r="Q781" s="2"/>
      <c r="R781" s="2"/>
      <c r="S781" s="2"/>
      <c r="T781" s="2"/>
      <c r="U781" s="2"/>
      <c r="V781" s="2"/>
      <c r="W781" s="2"/>
    </row>
    <row r="782">
      <c r="A782" s="2"/>
      <c r="B782" s="2"/>
      <c r="C782" s="2"/>
      <c r="D782" s="2"/>
      <c r="E782" s="2"/>
      <c r="F782" s="2"/>
      <c r="G782" s="2"/>
      <c r="H782" s="2"/>
      <c r="I782" s="2"/>
      <c r="J782" s="2"/>
      <c r="K782" s="2"/>
      <c r="L782" s="2"/>
      <c r="M782" s="2"/>
      <c r="N782" s="2"/>
      <c r="O782" s="2"/>
      <c r="P782" s="2"/>
      <c r="Q782" s="2"/>
      <c r="R782" s="2"/>
      <c r="S782" s="2"/>
      <c r="T782" s="2"/>
      <c r="U782" s="2"/>
      <c r="V782" s="2"/>
      <c r="W782" s="2"/>
    </row>
    <row r="783">
      <c r="A783" s="2"/>
      <c r="B783" s="2"/>
      <c r="C783" s="2"/>
      <c r="D783" s="2"/>
      <c r="E783" s="2"/>
      <c r="F783" s="2"/>
      <c r="G783" s="2"/>
      <c r="H783" s="2"/>
      <c r="I783" s="2"/>
      <c r="J783" s="2"/>
      <c r="K783" s="2"/>
      <c r="L783" s="2"/>
      <c r="M783" s="2"/>
      <c r="N783" s="2"/>
      <c r="O783" s="2"/>
      <c r="P783" s="2"/>
      <c r="Q783" s="2"/>
      <c r="R783" s="2"/>
      <c r="S783" s="2"/>
      <c r="T783" s="2"/>
      <c r="U783" s="2"/>
      <c r="V783" s="2"/>
      <c r="W783" s="2"/>
    </row>
    <row r="784">
      <c r="A784" s="2"/>
      <c r="B784" s="2"/>
      <c r="C784" s="2"/>
      <c r="D784" s="2"/>
      <c r="E784" s="2"/>
      <c r="F784" s="2"/>
      <c r="G784" s="2"/>
      <c r="H784" s="2"/>
      <c r="I784" s="2"/>
      <c r="J784" s="2"/>
      <c r="K784" s="2"/>
      <c r="L784" s="2"/>
      <c r="M784" s="2"/>
      <c r="N784" s="2"/>
      <c r="O784" s="2"/>
      <c r="P784" s="2"/>
      <c r="Q784" s="2"/>
      <c r="R784" s="2"/>
      <c r="S784" s="2"/>
      <c r="T784" s="2"/>
      <c r="U784" s="2"/>
      <c r="V784" s="2"/>
      <c r="W784" s="2"/>
    </row>
    <row r="785">
      <c r="A785" s="2"/>
      <c r="B785" s="2"/>
      <c r="C785" s="2"/>
      <c r="D785" s="2"/>
      <c r="E785" s="2"/>
      <c r="F785" s="2"/>
      <c r="G785" s="2"/>
      <c r="H785" s="2"/>
      <c r="I785" s="2"/>
      <c r="J785" s="2"/>
      <c r="K785" s="2"/>
      <c r="L785" s="2"/>
      <c r="M785" s="2"/>
      <c r="N785" s="2"/>
      <c r="O785" s="2"/>
      <c r="P785" s="2"/>
      <c r="Q785" s="2"/>
      <c r="R785" s="2"/>
      <c r="S785" s="2"/>
      <c r="T785" s="2"/>
      <c r="U785" s="2"/>
      <c r="V785" s="2"/>
      <c r="W785" s="2"/>
    </row>
    <row r="786">
      <c r="A786" s="2"/>
      <c r="B786" s="2"/>
      <c r="C786" s="2"/>
      <c r="D786" s="2"/>
      <c r="E786" s="2"/>
      <c r="F786" s="2"/>
      <c r="G786" s="2"/>
      <c r="H786" s="2"/>
      <c r="I786" s="2"/>
      <c r="J786" s="2"/>
      <c r="K786" s="2"/>
      <c r="L786" s="2"/>
      <c r="M786" s="2"/>
      <c r="N786" s="2"/>
      <c r="O786" s="2"/>
      <c r="P786" s="2"/>
      <c r="Q786" s="2"/>
      <c r="R786" s="2"/>
      <c r="S786" s="2"/>
      <c r="T786" s="2"/>
      <c r="U786" s="2"/>
      <c r="V786" s="2"/>
      <c r="W786" s="2"/>
    </row>
    <row r="787">
      <c r="A787" s="2"/>
      <c r="B787" s="2"/>
      <c r="C787" s="2"/>
      <c r="D787" s="2"/>
      <c r="E787" s="2"/>
      <c r="F787" s="2"/>
      <c r="G787" s="2"/>
      <c r="H787" s="2"/>
      <c r="I787" s="2"/>
      <c r="J787" s="2"/>
      <c r="K787" s="2"/>
      <c r="L787" s="2"/>
      <c r="M787" s="2"/>
      <c r="N787" s="2"/>
      <c r="O787" s="2"/>
      <c r="P787" s="2"/>
      <c r="Q787" s="2"/>
      <c r="R787" s="2"/>
      <c r="S787" s="2"/>
      <c r="T787" s="2"/>
      <c r="U787" s="2"/>
      <c r="V787" s="2"/>
      <c r="W787" s="2"/>
    </row>
    <row r="788">
      <c r="A788" s="2"/>
      <c r="B788" s="2"/>
      <c r="C788" s="2"/>
      <c r="D788" s="2"/>
      <c r="E788" s="2"/>
      <c r="F788" s="2"/>
      <c r="G788" s="2"/>
      <c r="H788" s="2"/>
      <c r="I788" s="2"/>
      <c r="J788" s="2"/>
      <c r="K788" s="2"/>
      <c r="L788" s="2"/>
      <c r="M788" s="2"/>
      <c r="N788" s="2"/>
      <c r="O788" s="2"/>
      <c r="P788" s="2"/>
      <c r="Q788" s="2"/>
      <c r="R788" s="2"/>
      <c r="S788" s="2"/>
      <c r="T788" s="2"/>
      <c r="U788" s="2"/>
      <c r="V788" s="2"/>
      <c r="W788" s="2"/>
    </row>
    <row r="789">
      <c r="A789" s="2"/>
      <c r="B789" s="2"/>
      <c r="C789" s="2"/>
      <c r="D789" s="2"/>
      <c r="E789" s="2"/>
      <c r="F789" s="2"/>
      <c r="G789" s="2"/>
      <c r="H789" s="2"/>
      <c r="I789" s="2"/>
      <c r="J789" s="2"/>
      <c r="K789" s="2"/>
      <c r="L789" s="2"/>
      <c r="M789" s="2"/>
      <c r="N789" s="2"/>
      <c r="O789" s="2"/>
      <c r="P789" s="2"/>
      <c r="Q789" s="2"/>
      <c r="R789" s="2"/>
      <c r="S789" s="2"/>
      <c r="T789" s="2"/>
      <c r="U789" s="2"/>
      <c r="V789" s="2"/>
      <c r="W789" s="2"/>
    </row>
    <row r="790">
      <c r="A790" s="2"/>
      <c r="B790" s="2"/>
      <c r="C790" s="2"/>
      <c r="D790" s="2"/>
      <c r="E790" s="2"/>
      <c r="F790" s="2"/>
      <c r="G790" s="2"/>
      <c r="H790" s="2"/>
      <c r="I790" s="2"/>
      <c r="J790" s="2"/>
      <c r="K790" s="2"/>
      <c r="L790" s="2"/>
      <c r="M790" s="2"/>
      <c r="N790" s="2"/>
      <c r="O790" s="2"/>
      <c r="P790" s="2"/>
      <c r="Q790" s="2"/>
      <c r="R790" s="2"/>
      <c r="S790" s="2"/>
      <c r="T790" s="2"/>
      <c r="U790" s="2"/>
      <c r="V790" s="2"/>
      <c r="W790" s="2"/>
    </row>
    <row r="791">
      <c r="A791" s="2"/>
      <c r="B791" s="2"/>
      <c r="C791" s="2"/>
      <c r="D791" s="2"/>
      <c r="E791" s="2"/>
      <c r="F791" s="2"/>
      <c r="G791" s="2"/>
      <c r="H791" s="2"/>
      <c r="I791" s="2"/>
      <c r="J791" s="2"/>
      <c r="K791" s="2"/>
      <c r="L791" s="2"/>
      <c r="M791" s="2"/>
      <c r="N791" s="2"/>
      <c r="O791" s="2"/>
      <c r="P791" s="2"/>
      <c r="Q791" s="2"/>
      <c r="R791" s="2"/>
      <c r="S791" s="2"/>
      <c r="T791" s="2"/>
      <c r="U791" s="2"/>
      <c r="V791" s="2"/>
      <c r="W791" s="2"/>
    </row>
    <row r="792">
      <c r="A792" s="2"/>
      <c r="B792" s="2"/>
      <c r="C792" s="2"/>
      <c r="D792" s="2"/>
      <c r="E792" s="2"/>
      <c r="F792" s="2"/>
      <c r="G792" s="2"/>
      <c r="H792" s="2"/>
      <c r="I792" s="2"/>
      <c r="J792" s="2"/>
      <c r="K792" s="2"/>
      <c r="L792" s="2"/>
      <c r="M792" s="2"/>
      <c r="N792" s="2"/>
      <c r="O792" s="2"/>
      <c r="P792" s="2"/>
      <c r="Q792" s="2"/>
      <c r="R792" s="2"/>
      <c r="S792" s="2"/>
      <c r="T792" s="2"/>
      <c r="U792" s="2"/>
      <c r="V792" s="2"/>
      <c r="W792" s="2"/>
    </row>
    <row r="793">
      <c r="A793" s="2"/>
      <c r="B793" s="2"/>
      <c r="C793" s="2"/>
      <c r="D793" s="2"/>
      <c r="E793" s="2"/>
      <c r="F793" s="2"/>
      <c r="G793" s="2"/>
      <c r="H793" s="2"/>
      <c r="I793" s="2"/>
      <c r="J793" s="2"/>
      <c r="K793" s="2"/>
      <c r="L793" s="2"/>
      <c r="M793" s="2"/>
      <c r="N793" s="2"/>
      <c r="O793" s="2"/>
      <c r="P793" s="2"/>
      <c r="Q793" s="2"/>
      <c r="R793" s="2"/>
      <c r="S793" s="2"/>
      <c r="T793" s="2"/>
      <c r="U793" s="2"/>
      <c r="V793" s="2"/>
      <c r="W793" s="2"/>
    </row>
    <row r="794">
      <c r="A794" s="2"/>
      <c r="B794" s="2"/>
      <c r="C794" s="2"/>
      <c r="D794" s="2"/>
      <c r="E794" s="2"/>
      <c r="F794" s="2"/>
      <c r="G794" s="2"/>
      <c r="H794" s="2"/>
      <c r="I794" s="2"/>
      <c r="J794" s="2"/>
      <c r="K794" s="2"/>
      <c r="L794" s="2"/>
      <c r="M794" s="2"/>
      <c r="N794" s="2"/>
      <c r="O794" s="2"/>
      <c r="P794" s="2"/>
      <c r="Q794" s="2"/>
      <c r="R794" s="2"/>
      <c r="S794" s="2"/>
      <c r="T794" s="2"/>
      <c r="U794" s="2"/>
      <c r="V794" s="2"/>
      <c r="W794" s="2"/>
    </row>
    <row r="795">
      <c r="A795" s="2"/>
      <c r="B795" s="2"/>
      <c r="C795" s="2"/>
      <c r="D795" s="2"/>
      <c r="E795" s="2"/>
      <c r="F795" s="2"/>
      <c r="G795" s="2"/>
      <c r="H795" s="2"/>
      <c r="I795" s="2"/>
      <c r="J795" s="2"/>
      <c r="K795" s="2"/>
      <c r="L795" s="2"/>
      <c r="M795" s="2"/>
      <c r="N795" s="2"/>
      <c r="O795" s="2"/>
      <c r="P795" s="2"/>
      <c r="Q795" s="2"/>
      <c r="R795" s="2"/>
      <c r="S795" s="2"/>
      <c r="T795" s="2"/>
      <c r="U795" s="2"/>
      <c r="V795" s="2"/>
      <c r="W795" s="2"/>
    </row>
    <row r="796">
      <c r="A796" s="2"/>
      <c r="B796" s="2"/>
      <c r="C796" s="2"/>
      <c r="D796" s="2"/>
      <c r="E796" s="2"/>
      <c r="F796" s="2"/>
      <c r="G796" s="2"/>
      <c r="H796" s="2"/>
      <c r="I796" s="2"/>
      <c r="J796" s="2"/>
      <c r="K796" s="2"/>
      <c r="L796" s="2"/>
      <c r="M796" s="2"/>
      <c r="N796" s="2"/>
      <c r="O796" s="2"/>
      <c r="P796" s="2"/>
      <c r="Q796" s="2"/>
      <c r="R796" s="2"/>
      <c r="S796" s="2"/>
      <c r="T796" s="2"/>
      <c r="U796" s="2"/>
      <c r="V796" s="2"/>
      <c r="W796" s="2"/>
    </row>
    <row r="797">
      <c r="A797" s="2"/>
      <c r="B797" s="2"/>
      <c r="C797" s="2"/>
      <c r="D797" s="2"/>
      <c r="E797" s="2"/>
      <c r="F797" s="2"/>
      <c r="G797" s="2"/>
      <c r="H797" s="2"/>
      <c r="I797" s="2"/>
      <c r="J797" s="2"/>
      <c r="K797" s="2"/>
      <c r="L797" s="2"/>
      <c r="M797" s="2"/>
      <c r="N797" s="2"/>
      <c r="O797" s="2"/>
      <c r="P797" s="2"/>
      <c r="Q797" s="2"/>
      <c r="R797" s="2"/>
      <c r="S797" s="2"/>
      <c r="T797" s="2"/>
      <c r="U797" s="2"/>
      <c r="V797" s="2"/>
      <c r="W797" s="2"/>
    </row>
    <row r="798">
      <c r="A798" s="2"/>
      <c r="B798" s="2"/>
      <c r="C798" s="2"/>
      <c r="D798" s="2"/>
      <c r="E798" s="2"/>
      <c r="F798" s="2"/>
      <c r="G798" s="2"/>
      <c r="H798" s="2"/>
      <c r="I798" s="2"/>
      <c r="J798" s="2"/>
      <c r="K798" s="2"/>
      <c r="L798" s="2"/>
      <c r="M798" s="2"/>
      <c r="N798" s="2"/>
      <c r="O798" s="2"/>
      <c r="P798" s="2"/>
      <c r="Q798" s="2"/>
      <c r="R798" s="2"/>
      <c r="S798" s="2"/>
      <c r="T798" s="2"/>
      <c r="U798" s="2"/>
      <c r="V798" s="2"/>
      <c r="W798" s="2"/>
    </row>
    <row r="799">
      <c r="A799" s="2"/>
      <c r="B799" s="2"/>
      <c r="C799" s="2"/>
      <c r="D799" s="2"/>
      <c r="E799" s="2"/>
      <c r="F799" s="2"/>
      <c r="G799" s="2"/>
      <c r="H799" s="2"/>
      <c r="I799" s="2"/>
      <c r="J799" s="2"/>
      <c r="K799" s="2"/>
      <c r="L799" s="2"/>
      <c r="M799" s="2"/>
      <c r="N799" s="2"/>
      <c r="O799" s="2"/>
      <c r="P799" s="2"/>
      <c r="Q799" s="2"/>
      <c r="R799" s="2"/>
      <c r="S799" s="2"/>
      <c r="T799" s="2"/>
      <c r="U799" s="2"/>
      <c r="V799" s="2"/>
      <c r="W799" s="2"/>
    </row>
    <row r="800">
      <c r="A800" s="2"/>
      <c r="B800" s="2"/>
      <c r="C800" s="2"/>
      <c r="D800" s="2"/>
      <c r="E800" s="2"/>
      <c r="F800" s="2"/>
      <c r="G800" s="2"/>
      <c r="H800" s="2"/>
      <c r="I800" s="2"/>
      <c r="J800" s="2"/>
      <c r="K800" s="2"/>
      <c r="L800" s="2"/>
      <c r="M800" s="2"/>
      <c r="N800" s="2"/>
      <c r="O800" s="2"/>
      <c r="P800" s="2"/>
      <c r="Q800" s="2"/>
      <c r="R800" s="2"/>
      <c r="S800" s="2"/>
      <c r="T800" s="2"/>
      <c r="U800" s="2"/>
      <c r="V800" s="2"/>
      <c r="W800" s="2"/>
    </row>
    <row r="801">
      <c r="A801" s="2"/>
      <c r="B801" s="2"/>
      <c r="C801" s="2"/>
      <c r="D801" s="2"/>
      <c r="E801" s="2"/>
      <c r="F801" s="2"/>
      <c r="G801" s="2"/>
      <c r="H801" s="2"/>
      <c r="I801" s="2"/>
      <c r="J801" s="2"/>
      <c r="K801" s="2"/>
      <c r="L801" s="2"/>
      <c r="M801" s="2"/>
      <c r="N801" s="2"/>
      <c r="O801" s="2"/>
      <c r="P801" s="2"/>
      <c r="Q801" s="2"/>
      <c r="R801" s="2"/>
      <c r="S801" s="2"/>
      <c r="T801" s="2"/>
      <c r="U801" s="2"/>
      <c r="V801" s="2"/>
      <c r="W801" s="2"/>
    </row>
    <row r="802">
      <c r="A802" s="2"/>
      <c r="B802" s="2"/>
      <c r="C802" s="2"/>
      <c r="D802" s="2"/>
      <c r="E802" s="2"/>
      <c r="F802" s="2"/>
      <c r="G802" s="2"/>
      <c r="H802" s="2"/>
      <c r="I802" s="2"/>
      <c r="J802" s="2"/>
      <c r="K802" s="2"/>
      <c r="L802" s="2"/>
      <c r="M802" s="2"/>
      <c r="N802" s="2"/>
      <c r="O802" s="2"/>
      <c r="P802" s="2"/>
      <c r="Q802" s="2"/>
      <c r="R802" s="2"/>
      <c r="S802" s="2"/>
      <c r="T802" s="2"/>
      <c r="U802" s="2"/>
      <c r="V802" s="2"/>
      <c r="W802" s="2"/>
    </row>
    <row r="803">
      <c r="A803" s="2"/>
      <c r="B803" s="2"/>
      <c r="C803" s="2"/>
      <c r="D803" s="2"/>
      <c r="E803" s="2"/>
      <c r="F803" s="2"/>
      <c r="G803" s="2"/>
      <c r="H803" s="2"/>
      <c r="I803" s="2"/>
      <c r="J803" s="2"/>
      <c r="K803" s="2"/>
      <c r="L803" s="2"/>
      <c r="M803" s="2"/>
      <c r="N803" s="2"/>
      <c r="O803" s="2"/>
      <c r="P803" s="2"/>
      <c r="Q803" s="2"/>
      <c r="R803" s="2"/>
      <c r="S803" s="2"/>
      <c r="T803" s="2"/>
      <c r="U803" s="2"/>
      <c r="V803" s="2"/>
      <c r="W803" s="2"/>
    </row>
    <row r="804">
      <c r="A804" s="2"/>
      <c r="B804" s="2"/>
      <c r="C804" s="2"/>
      <c r="D804" s="2"/>
      <c r="E804" s="2"/>
      <c r="F804" s="2"/>
      <c r="G804" s="2"/>
      <c r="H804" s="2"/>
      <c r="I804" s="2"/>
      <c r="J804" s="2"/>
      <c r="K804" s="2"/>
      <c r="L804" s="2"/>
      <c r="M804" s="2"/>
      <c r="N804" s="2"/>
      <c r="O804" s="2"/>
      <c r="P804" s="2"/>
      <c r="Q804" s="2"/>
      <c r="R804" s="2"/>
      <c r="S804" s="2"/>
      <c r="T804" s="2"/>
      <c r="U804" s="2"/>
      <c r="V804" s="2"/>
      <c r="W804" s="2"/>
    </row>
    <row r="805">
      <c r="A805" s="2"/>
      <c r="B805" s="2"/>
      <c r="C805" s="2"/>
      <c r="D805" s="2"/>
      <c r="E805" s="2"/>
      <c r="F805" s="2"/>
      <c r="G805" s="2"/>
      <c r="H805" s="2"/>
      <c r="I805" s="2"/>
      <c r="J805" s="2"/>
      <c r="K805" s="2"/>
      <c r="L805" s="2"/>
      <c r="M805" s="2"/>
      <c r="N805" s="2"/>
      <c r="O805" s="2"/>
      <c r="P805" s="2"/>
      <c r="Q805" s="2"/>
      <c r="R805" s="2"/>
      <c r="S805" s="2"/>
      <c r="T805" s="2"/>
      <c r="U805" s="2"/>
      <c r="V805" s="2"/>
      <c r="W805" s="2"/>
    </row>
    <row r="806">
      <c r="A806" s="2"/>
      <c r="B806" s="2"/>
      <c r="C806" s="2"/>
      <c r="D806" s="2"/>
      <c r="E806" s="2"/>
      <c r="F806" s="2"/>
      <c r="G806" s="2"/>
      <c r="H806" s="2"/>
      <c r="I806" s="2"/>
      <c r="J806" s="2"/>
      <c r="K806" s="2"/>
      <c r="L806" s="2"/>
      <c r="M806" s="2"/>
      <c r="N806" s="2"/>
      <c r="O806" s="2"/>
      <c r="P806" s="2"/>
      <c r="Q806" s="2"/>
      <c r="R806" s="2"/>
      <c r="S806" s="2"/>
      <c r="T806" s="2"/>
      <c r="U806" s="2"/>
      <c r="V806" s="2"/>
      <c r="W806" s="2"/>
    </row>
    <row r="807">
      <c r="A807" s="2"/>
      <c r="B807" s="2"/>
      <c r="C807" s="2"/>
      <c r="D807" s="2"/>
      <c r="E807" s="2"/>
      <c r="F807" s="2"/>
      <c r="G807" s="2"/>
      <c r="H807" s="2"/>
      <c r="I807" s="2"/>
      <c r="J807" s="2"/>
      <c r="K807" s="2"/>
      <c r="L807" s="2"/>
      <c r="M807" s="2"/>
      <c r="N807" s="2"/>
      <c r="O807" s="2"/>
      <c r="P807" s="2"/>
      <c r="Q807" s="2"/>
      <c r="R807" s="2"/>
      <c r="S807" s="2"/>
      <c r="T807" s="2"/>
      <c r="U807" s="2"/>
      <c r="V807" s="2"/>
      <c r="W807" s="2"/>
    </row>
    <row r="808">
      <c r="A808" s="2"/>
      <c r="B808" s="2"/>
      <c r="C808" s="2"/>
      <c r="D808" s="2"/>
      <c r="E808" s="2"/>
      <c r="F808" s="2"/>
      <c r="G808" s="2"/>
      <c r="H808" s="2"/>
      <c r="I808" s="2"/>
      <c r="J808" s="2"/>
      <c r="K808" s="2"/>
      <c r="L808" s="2"/>
      <c r="M808" s="2"/>
      <c r="N808" s="2"/>
      <c r="O808" s="2"/>
      <c r="P808" s="2"/>
      <c r="Q808" s="2"/>
      <c r="R808" s="2"/>
      <c r="S808" s="2"/>
      <c r="T808" s="2"/>
      <c r="U808" s="2"/>
      <c r="V808" s="2"/>
      <c r="W808" s="2"/>
    </row>
    <row r="809">
      <c r="A809" s="2"/>
      <c r="B809" s="2"/>
      <c r="C809" s="2"/>
      <c r="D809" s="2"/>
      <c r="E809" s="2"/>
      <c r="F809" s="2"/>
      <c r="G809" s="2"/>
      <c r="H809" s="2"/>
      <c r="I809" s="2"/>
      <c r="J809" s="2"/>
      <c r="K809" s="2"/>
      <c r="L809" s="2"/>
      <c r="M809" s="2"/>
      <c r="N809" s="2"/>
      <c r="O809" s="2"/>
      <c r="P809" s="2"/>
      <c r="Q809" s="2"/>
      <c r="R809" s="2"/>
      <c r="S809" s="2"/>
      <c r="T809" s="2"/>
      <c r="U809" s="2"/>
      <c r="V809" s="2"/>
      <c r="W809" s="2"/>
    </row>
    <row r="810">
      <c r="A810" s="2"/>
      <c r="B810" s="2"/>
      <c r="C810" s="2"/>
      <c r="D810" s="2"/>
      <c r="E810" s="2"/>
      <c r="F810" s="2"/>
      <c r="G810" s="2"/>
      <c r="H810" s="2"/>
      <c r="I810" s="2"/>
      <c r="J810" s="2"/>
      <c r="K810" s="2"/>
      <c r="L810" s="2"/>
      <c r="M810" s="2"/>
      <c r="N810" s="2"/>
      <c r="O810" s="2"/>
      <c r="P810" s="2"/>
      <c r="Q810" s="2"/>
      <c r="R810" s="2"/>
      <c r="S810" s="2"/>
      <c r="T810" s="2"/>
      <c r="U810" s="2"/>
      <c r="V810" s="2"/>
      <c r="W810" s="2"/>
    </row>
    <row r="811">
      <c r="A811" s="2"/>
      <c r="B811" s="2"/>
      <c r="C811" s="2"/>
      <c r="D811" s="2"/>
      <c r="E811" s="2"/>
      <c r="F811" s="2"/>
      <c r="G811" s="2"/>
      <c r="H811" s="2"/>
      <c r="I811" s="2"/>
      <c r="J811" s="2"/>
      <c r="K811" s="2"/>
      <c r="L811" s="2"/>
      <c r="M811" s="2"/>
      <c r="N811" s="2"/>
      <c r="O811" s="2"/>
      <c r="P811" s="2"/>
      <c r="Q811" s="2"/>
      <c r="R811" s="2"/>
      <c r="S811" s="2"/>
      <c r="T811" s="2"/>
      <c r="U811" s="2"/>
      <c r="V811" s="2"/>
      <c r="W811" s="2"/>
    </row>
    <row r="812">
      <c r="A812" s="2"/>
      <c r="B812" s="2"/>
      <c r="C812" s="2"/>
      <c r="D812" s="2"/>
      <c r="E812" s="2"/>
      <c r="F812" s="2"/>
      <c r="G812" s="2"/>
      <c r="H812" s="2"/>
      <c r="I812" s="2"/>
      <c r="J812" s="2"/>
      <c r="K812" s="2"/>
      <c r="L812" s="2"/>
      <c r="M812" s="2"/>
      <c r="N812" s="2"/>
      <c r="O812" s="2"/>
      <c r="P812" s="2"/>
      <c r="Q812" s="2"/>
      <c r="R812" s="2"/>
      <c r="S812" s="2"/>
      <c r="T812" s="2"/>
      <c r="U812" s="2"/>
      <c r="V812" s="2"/>
      <c r="W812" s="2"/>
    </row>
    <row r="813">
      <c r="A813" s="2"/>
      <c r="B813" s="2"/>
      <c r="C813" s="2"/>
      <c r="D813" s="2"/>
      <c r="E813" s="2"/>
      <c r="F813" s="2"/>
      <c r="G813" s="2"/>
      <c r="H813" s="2"/>
      <c r="I813" s="2"/>
      <c r="J813" s="2"/>
      <c r="K813" s="2"/>
      <c r="L813" s="2"/>
      <c r="M813" s="2"/>
      <c r="N813" s="2"/>
      <c r="O813" s="2"/>
      <c r="P813" s="2"/>
      <c r="Q813" s="2"/>
      <c r="R813" s="2"/>
      <c r="S813" s="2"/>
      <c r="T813" s="2"/>
      <c r="U813" s="2"/>
      <c r="V813" s="2"/>
      <c r="W813" s="2"/>
    </row>
    <row r="814">
      <c r="A814" s="2"/>
      <c r="B814" s="2"/>
      <c r="C814" s="2"/>
      <c r="D814" s="2"/>
      <c r="E814" s="2"/>
      <c r="F814" s="2"/>
      <c r="G814" s="2"/>
      <c r="H814" s="2"/>
      <c r="I814" s="2"/>
      <c r="J814" s="2"/>
      <c r="K814" s="2"/>
      <c r="L814" s="2"/>
      <c r="M814" s="2"/>
      <c r="N814" s="2"/>
      <c r="O814" s="2"/>
      <c r="P814" s="2"/>
      <c r="Q814" s="2"/>
      <c r="R814" s="2"/>
      <c r="S814" s="2"/>
      <c r="T814" s="2"/>
      <c r="U814" s="2"/>
      <c r="V814" s="2"/>
      <c r="W814" s="2"/>
    </row>
    <row r="815">
      <c r="A815" s="2"/>
      <c r="B815" s="2"/>
      <c r="C815" s="2"/>
      <c r="D815" s="2"/>
      <c r="E815" s="2"/>
      <c r="F815" s="2"/>
      <c r="G815" s="2"/>
      <c r="H815" s="2"/>
      <c r="I815" s="2"/>
      <c r="J815" s="2"/>
      <c r="K815" s="2"/>
      <c r="L815" s="2"/>
      <c r="M815" s="2"/>
      <c r="N815" s="2"/>
      <c r="O815" s="2"/>
      <c r="P815" s="2"/>
      <c r="Q815" s="2"/>
      <c r="R815" s="2"/>
      <c r="S815" s="2"/>
      <c r="T815" s="2"/>
      <c r="U815" s="2"/>
      <c r="V815" s="2"/>
      <c r="W815" s="2"/>
    </row>
    <row r="816">
      <c r="A816" s="2"/>
      <c r="B816" s="2"/>
      <c r="C816" s="2"/>
      <c r="D816" s="2"/>
      <c r="E816" s="2"/>
      <c r="F816" s="2"/>
      <c r="G816" s="2"/>
      <c r="H816" s="2"/>
      <c r="I816" s="2"/>
      <c r="J816" s="2"/>
      <c r="K816" s="2"/>
      <c r="L816" s="2"/>
      <c r="M816" s="2"/>
      <c r="N816" s="2"/>
      <c r="O816" s="2"/>
      <c r="P816" s="2"/>
      <c r="Q816" s="2"/>
      <c r="R816" s="2"/>
      <c r="S816" s="2"/>
      <c r="T816" s="2"/>
      <c r="U816" s="2"/>
      <c r="V816" s="2"/>
      <c r="W816" s="2"/>
    </row>
    <row r="817">
      <c r="A817" s="2"/>
      <c r="B817" s="2"/>
      <c r="C817" s="2"/>
      <c r="D817" s="2"/>
      <c r="E817" s="2"/>
      <c r="F817" s="2"/>
      <c r="G817" s="2"/>
      <c r="H817" s="2"/>
      <c r="I817" s="2"/>
      <c r="J817" s="2"/>
      <c r="K817" s="2"/>
      <c r="L817" s="2"/>
      <c r="M817" s="2"/>
      <c r="N817" s="2"/>
      <c r="O817" s="2"/>
      <c r="P817" s="2"/>
      <c r="Q817" s="2"/>
      <c r="R817" s="2"/>
      <c r="S817" s="2"/>
      <c r="T817" s="2"/>
      <c r="U817" s="2"/>
      <c r="V817" s="2"/>
      <c r="W817" s="2"/>
    </row>
    <row r="818">
      <c r="A818" s="2"/>
      <c r="B818" s="2"/>
      <c r="C818" s="2"/>
      <c r="D818" s="2"/>
      <c r="E818" s="2"/>
      <c r="F818" s="2"/>
      <c r="G818" s="2"/>
      <c r="H818" s="2"/>
      <c r="I818" s="2"/>
      <c r="J818" s="2"/>
      <c r="K818" s="2"/>
      <c r="L818" s="2"/>
      <c r="M818" s="2"/>
      <c r="N818" s="2"/>
      <c r="O818" s="2"/>
      <c r="P818" s="2"/>
      <c r="Q818" s="2"/>
      <c r="R818" s="2"/>
      <c r="S818" s="2"/>
      <c r="T818" s="2"/>
      <c r="U818" s="2"/>
      <c r="V818" s="2"/>
      <c r="W818" s="2"/>
    </row>
    <row r="819">
      <c r="A819" s="2"/>
      <c r="B819" s="2"/>
      <c r="C819" s="2"/>
      <c r="D819" s="2"/>
      <c r="E819" s="2"/>
      <c r="F819" s="2"/>
      <c r="G819" s="2"/>
      <c r="H819" s="2"/>
      <c r="I819" s="2"/>
      <c r="J819" s="2"/>
      <c r="K819" s="2"/>
      <c r="L819" s="2"/>
      <c r="M819" s="2"/>
      <c r="N819" s="2"/>
      <c r="O819" s="2"/>
      <c r="P819" s="2"/>
      <c r="Q819" s="2"/>
      <c r="R819" s="2"/>
      <c r="S819" s="2"/>
      <c r="T819" s="2"/>
      <c r="U819" s="2"/>
      <c r="V819" s="2"/>
      <c r="W819" s="2"/>
    </row>
    <row r="820">
      <c r="A820" s="2"/>
      <c r="B820" s="2"/>
      <c r="C820" s="2"/>
      <c r="D820" s="2"/>
      <c r="E820" s="2"/>
      <c r="F820" s="2"/>
      <c r="G820" s="2"/>
      <c r="H820" s="2"/>
      <c r="I820" s="2"/>
      <c r="J820" s="2"/>
      <c r="K820" s="2"/>
      <c r="L820" s="2"/>
      <c r="M820" s="2"/>
      <c r="N820" s="2"/>
      <c r="O820" s="2"/>
      <c r="P820" s="2"/>
      <c r="Q820" s="2"/>
      <c r="R820" s="2"/>
      <c r="S820" s="2"/>
      <c r="T820" s="2"/>
      <c r="U820" s="2"/>
      <c r="V820" s="2"/>
      <c r="W820" s="2"/>
    </row>
    <row r="821">
      <c r="A821" s="2"/>
      <c r="B821" s="2"/>
      <c r="C821" s="2"/>
      <c r="D821" s="2"/>
      <c r="E821" s="2"/>
      <c r="F821" s="2"/>
      <c r="G821" s="2"/>
      <c r="H821" s="2"/>
      <c r="I821" s="2"/>
      <c r="J821" s="2"/>
      <c r="K821" s="2"/>
      <c r="L821" s="2"/>
      <c r="M821" s="2"/>
      <c r="N821" s="2"/>
      <c r="O821" s="2"/>
      <c r="P821" s="2"/>
      <c r="Q821" s="2"/>
      <c r="R821" s="2"/>
      <c r="S821" s="2"/>
      <c r="T821" s="2"/>
      <c r="U821" s="2"/>
      <c r="V821" s="2"/>
      <c r="W821" s="2"/>
    </row>
    <row r="822">
      <c r="A822" s="2"/>
      <c r="B822" s="2"/>
      <c r="C822" s="2"/>
      <c r="D822" s="2"/>
      <c r="E822" s="2"/>
      <c r="F822" s="2"/>
      <c r="G822" s="2"/>
      <c r="H822" s="2"/>
      <c r="I822" s="2"/>
      <c r="J822" s="2"/>
      <c r="K822" s="2"/>
      <c r="L822" s="2"/>
      <c r="M822" s="2"/>
      <c r="N822" s="2"/>
      <c r="O822" s="2"/>
      <c r="P822" s="2"/>
      <c r="Q822" s="2"/>
      <c r="R822" s="2"/>
      <c r="S822" s="2"/>
      <c r="T822" s="2"/>
      <c r="U822" s="2"/>
      <c r="V822" s="2"/>
      <c r="W822" s="2"/>
    </row>
    <row r="823">
      <c r="A823" s="2"/>
      <c r="B823" s="2"/>
      <c r="C823" s="2"/>
      <c r="D823" s="2"/>
      <c r="E823" s="2"/>
      <c r="F823" s="2"/>
      <c r="G823" s="2"/>
      <c r="H823" s="2"/>
      <c r="I823" s="2"/>
      <c r="J823" s="2"/>
      <c r="K823" s="2"/>
      <c r="L823" s="2"/>
      <c r="M823" s="2"/>
      <c r="N823" s="2"/>
      <c r="O823" s="2"/>
      <c r="P823" s="2"/>
      <c r="Q823" s="2"/>
      <c r="R823" s="2"/>
      <c r="S823" s="2"/>
      <c r="T823" s="2"/>
      <c r="U823" s="2"/>
      <c r="V823" s="2"/>
      <c r="W823" s="2"/>
    </row>
    <row r="824">
      <c r="A824" s="2"/>
      <c r="B824" s="2"/>
      <c r="C824" s="2"/>
      <c r="D824" s="2"/>
      <c r="E824" s="2"/>
      <c r="F824" s="2"/>
      <c r="G824" s="2"/>
      <c r="H824" s="2"/>
      <c r="I824" s="2"/>
      <c r="J824" s="2"/>
      <c r="K824" s="2"/>
      <c r="L824" s="2"/>
      <c r="M824" s="2"/>
      <c r="N824" s="2"/>
      <c r="O824" s="2"/>
      <c r="P824" s="2"/>
      <c r="Q824" s="2"/>
      <c r="R824" s="2"/>
      <c r="S824" s="2"/>
      <c r="T824" s="2"/>
      <c r="U824" s="2"/>
      <c r="V824" s="2"/>
      <c r="W824" s="2"/>
    </row>
    <row r="825">
      <c r="A825" s="2"/>
      <c r="B825" s="2"/>
      <c r="C825" s="2"/>
      <c r="D825" s="2"/>
      <c r="E825" s="2"/>
      <c r="F825" s="2"/>
      <c r="G825" s="2"/>
      <c r="H825" s="2"/>
      <c r="I825" s="2"/>
      <c r="J825" s="2"/>
      <c r="K825" s="2"/>
      <c r="L825" s="2"/>
      <c r="M825" s="2"/>
      <c r="N825" s="2"/>
      <c r="O825" s="2"/>
      <c r="P825" s="2"/>
      <c r="Q825" s="2"/>
      <c r="R825" s="2"/>
      <c r="S825" s="2"/>
      <c r="T825" s="2"/>
      <c r="U825" s="2"/>
      <c r="V825" s="2"/>
      <c r="W825" s="2"/>
    </row>
    <row r="826">
      <c r="A826" s="2"/>
      <c r="B826" s="2"/>
      <c r="C826" s="2"/>
      <c r="D826" s="2"/>
      <c r="E826" s="2"/>
      <c r="F826" s="2"/>
      <c r="G826" s="2"/>
      <c r="H826" s="2"/>
      <c r="I826" s="2"/>
      <c r="J826" s="2"/>
      <c r="K826" s="2"/>
      <c r="L826" s="2"/>
      <c r="M826" s="2"/>
      <c r="N826" s="2"/>
      <c r="O826" s="2"/>
      <c r="P826" s="2"/>
      <c r="Q826" s="2"/>
      <c r="R826" s="2"/>
      <c r="S826" s="2"/>
      <c r="T826" s="2"/>
      <c r="U826" s="2"/>
      <c r="V826" s="2"/>
      <c r="W826" s="2"/>
    </row>
    <row r="827">
      <c r="A827" s="2"/>
      <c r="B827" s="2"/>
      <c r="C827" s="2"/>
      <c r="D827" s="2"/>
      <c r="E827" s="2"/>
      <c r="F827" s="2"/>
      <c r="G827" s="2"/>
      <c r="H827" s="2"/>
      <c r="I827" s="2"/>
      <c r="J827" s="2"/>
      <c r="K827" s="2"/>
      <c r="L827" s="2"/>
      <c r="M827" s="2"/>
      <c r="N827" s="2"/>
      <c r="O827" s="2"/>
      <c r="P827" s="2"/>
      <c r="Q827" s="2"/>
      <c r="R827" s="2"/>
      <c r="S827" s="2"/>
      <c r="T827" s="2"/>
      <c r="U827" s="2"/>
      <c r="V827" s="2"/>
      <c r="W827" s="2"/>
    </row>
    <row r="828">
      <c r="A828" s="2"/>
      <c r="B828" s="2"/>
      <c r="C828" s="2"/>
      <c r="D828" s="2"/>
      <c r="E828" s="2"/>
      <c r="F828" s="2"/>
      <c r="G828" s="2"/>
      <c r="H828" s="2"/>
      <c r="I828" s="2"/>
      <c r="J828" s="2"/>
      <c r="K828" s="2"/>
      <c r="L828" s="2"/>
      <c r="M828" s="2"/>
      <c r="N828" s="2"/>
      <c r="O828" s="2"/>
      <c r="P828" s="2"/>
      <c r="Q828" s="2"/>
      <c r="R828" s="2"/>
      <c r="S828" s="2"/>
      <c r="T828" s="2"/>
      <c r="U828" s="2"/>
      <c r="V828" s="2"/>
      <c r="W828" s="2"/>
    </row>
    <row r="829">
      <c r="A829" s="2"/>
      <c r="B829" s="2"/>
      <c r="C829" s="2"/>
      <c r="D829" s="2"/>
      <c r="E829" s="2"/>
      <c r="F829" s="2"/>
      <c r="G829" s="2"/>
      <c r="H829" s="2"/>
      <c r="I829" s="2"/>
      <c r="J829" s="2"/>
      <c r="K829" s="2"/>
      <c r="L829" s="2"/>
      <c r="M829" s="2"/>
      <c r="N829" s="2"/>
      <c r="O829" s="2"/>
      <c r="P829" s="2"/>
      <c r="Q829" s="2"/>
      <c r="R829" s="2"/>
      <c r="S829" s="2"/>
      <c r="T829" s="2"/>
      <c r="U829" s="2"/>
      <c r="V829" s="2"/>
      <c r="W829" s="2"/>
    </row>
    <row r="830">
      <c r="A830" s="2"/>
      <c r="B830" s="2"/>
      <c r="C830" s="2"/>
      <c r="D830" s="2"/>
      <c r="E830" s="2"/>
      <c r="F830" s="2"/>
      <c r="G830" s="2"/>
      <c r="H830" s="2"/>
      <c r="I830" s="2"/>
      <c r="J830" s="2"/>
      <c r="K830" s="2"/>
      <c r="L830" s="2"/>
      <c r="M830" s="2"/>
      <c r="N830" s="2"/>
      <c r="O830" s="2"/>
      <c r="P830" s="2"/>
      <c r="Q830" s="2"/>
      <c r="R830" s="2"/>
      <c r="S830" s="2"/>
      <c r="T830" s="2"/>
      <c r="U830" s="2"/>
      <c r="V830" s="2"/>
      <c r="W830" s="2"/>
    </row>
    <row r="831">
      <c r="A831" s="2"/>
      <c r="B831" s="2"/>
      <c r="C831" s="2"/>
      <c r="D831" s="2"/>
      <c r="E831" s="2"/>
      <c r="F831" s="2"/>
      <c r="G831" s="2"/>
      <c r="H831" s="2"/>
      <c r="I831" s="2"/>
      <c r="J831" s="2"/>
      <c r="K831" s="2"/>
      <c r="L831" s="2"/>
      <c r="M831" s="2"/>
      <c r="N831" s="2"/>
      <c r="O831" s="2"/>
      <c r="P831" s="2"/>
      <c r="Q831" s="2"/>
      <c r="R831" s="2"/>
      <c r="S831" s="2"/>
      <c r="T831" s="2"/>
      <c r="U831" s="2"/>
      <c r="V831" s="2"/>
      <c r="W831" s="2"/>
    </row>
    <row r="832">
      <c r="A832" s="2"/>
      <c r="B832" s="2"/>
      <c r="C832" s="2"/>
      <c r="D832" s="2"/>
      <c r="E832" s="2"/>
      <c r="F832" s="2"/>
      <c r="G832" s="2"/>
      <c r="H832" s="2"/>
      <c r="I832" s="2"/>
      <c r="J832" s="2"/>
      <c r="K832" s="2"/>
      <c r="L832" s="2"/>
      <c r="M832" s="2"/>
      <c r="N832" s="2"/>
      <c r="O832" s="2"/>
      <c r="P832" s="2"/>
      <c r="Q832" s="2"/>
      <c r="R832" s="2"/>
      <c r="S832" s="2"/>
      <c r="T832" s="2"/>
      <c r="U832" s="2"/>
      <c r="V832" s="2"/>
      <c r="W832" s="2"/>
    </row>
    <row r="833">
      <c r="A833" s="2"/>
      <c r="B833" s="2"/>
      <c r="C833" s="2"/>
      <c r="D833" s="2"/>
      <c r="E833" s="2"/>
      <c r="F833" s="2"/>
      <c r="G833" s="2"/>
      <c r="H833" s="2"/>
      <c r="I833" s="2"/>
      <c r="J833" s="2"/>
      <c r="K833" s="2"/>
      <c r="L833" s="2"/>
      <c r="M833" s="2"/>
      <c r="N833" s="2"/>
      <c r="O833" s="2"/>
      <c r="P833" s="2"/>
      <c r="Q833" s="2"/>
      <c r="R833" s="2"/>
      <c r="S833" s="2"/>
      <c r="T833" s="2"/>
      <c r="U833" s="2"/>
      <c r="V833" s="2"/>
      <c r="W833" s="2"/>
    </row>
    <row r="834">
      <c r="A834" s="2"/>
      <c r="B834" s="2"/>
      <c r="C834" s="2"/>
      <c r="D834" s="2"/>
      <c r="E834" s="2"/>
      <c r="F834" s="2"/>
      <c r="G834" s="2"/>
      <c r="H834" s="2"/>
      <c r="I834" s="2"/>
      <c r="J834" s="2"/>
      <c r="K834" s="2"/>
      <c r="L834" s="2"/>
      <c r="M834" s="2"/>
      <c r="N834" s="2"/>
      <c r="O834" s="2"/>
      <c r="P834" s="2"/>
      <c r="Q834" s="2"/>
      <c r="R834" s="2"/>
      <c r="S834" s="2"/>
      <c r="T834" s="2"/>
      <c r="U834" s="2"/>
      <c r="V834" s="2"/>
      <c r="W834" s="2"/>
    </row>
    <row r="835">
      <c r="A835" s="2"/>
      <c r="B835" s="2"/>
      <c r="C835" s="2"/>
      <c r="D835" s="2"/>
      <c r="E835" s="2"/>
      <c r="F835" s="2"/>
      <c r="G835" s="2"/>
      <c r="H835" s="2"/>
      <c r="I835" s="2"/>
      <c r="J835" s="2"/>
      <c r="K835" s="2"/>
      <c r="L835" s="2"/>
      <c r="M835" s="2"/>
      <c r="N835" s="2"/>
      <c r="O835" s="2"/>
      <c r="P835" s="2"/>
      <c r="Q835" s="2"/>
      <c r="R835" s="2"/>
      <c r="S835" s="2"/>
      <c r="T835" s="2"/>
      <c r="U835" s="2"/>
      <c r="V835" s="2"/>
      <c r="W835" s="2"/>
    </row>
    <row r="836">
      <c r="A836" s="2"/>
      <c r="B836" s="2"/>
      <c r="C836" s="2"/>
      <c r="D836" s="2"/>
      <c r="E836" s="2"/>
      <c r="F836" s="2"/>
      <c r="G836" s="2"/>
      <c r="H836" s="2"/>
      <c r="I836" s="2"/>
      <c r="J836" s="2"/>
      <c r="K836" s="2"/>
      <c r="L836" s="2"/>
      <c r="M836" s="2"/>
      <c r="N836" s="2"/>
      <c r="O836" s="2"/>
      <c r="P836" s="2"/>
      <c r="Q836" s="2"/>
      <c r="R836" s="2"/>
      <c r="S836" s="2"/>
      <c r="T836" s="2"/>
      <c r="U836" s="2"/>
      <c r="V836" s="2"/>
      <c r="W836" s="2"/>
    </row>
    <row r="837">
      <c r="A837" s="2"/>
      <c r="B837" s="2"/>
      <c r="C837" s="2"/>
      <c r="D837" s="2"/>
      <c r="E837" s="2"/>
      <c r="F837" s="2"/>
      <c r="G837" s="2"/>
      <c r="H837" s="2"/>
      <c r="I837" s="2"/>
      <c r="J837" s="2"/>
      <c r="K837" s="2"/>
      <c r="L837" s="2"/>
      <c r="M837" s="2"/>
      <c r="N837" s="2"/>
      <c r="O837" s="2"/>
      <c r="P837" s="2"/>
      <c r="Q837" s="2"/>
      <c r="R837" s="2"/>
      <c r="S837" s="2"/>
      <c r="T837" s="2"/>
      <c r="U837" s="2"/>
      <c r="V837" s="2"/>
      <c r="W837" s="2"/>
    </row>
    <row r="838">
      <c r="A838" s="2"/>
      <c r="B838" s="2"/>
      <c r="C838" s="2"/>
      <c r="D838" s="2"/>
      <c r="E838" s="2"/>
      <c r="F838" s="2"/>
      <c r="G838" s="2"/>
      <c r="H838" s="2"/>
      <c r="I838" s="2"/>
      <c r="J838" s="2"/>
      <c r="K838" s="2"/>
      <c r="L838" s="2"/>
      <c r="M838" s="2"/>
      <c r="N838" s="2"/>
      <c r="O838" s="2"/>
      <c r="P838" s="2"/>
      <c r="Q838" s="2"/>
      <c r="R838" s="2"/>
      <c r="S838" s="2"/>
      <c r="T838" s="2"/>
      <c r="U838" s="2"/>
      <c r="V838" s="2"/>
      <c r="W838" s="2"/>
    </row>
    <row r="839">
      <c r="A839" s="2"/>
      <c r="B839" s="2"/>
      <c r="C839" s="2"/>
      <c r="D839" s="2"/>
      <c r="E839" s="2"/>
      <c r="F839" s="2"/>
      <c r="G839" s="2"/>
      <c r="H839" s="2"/>
      <c r="I839" s="2"/>
      <c r="J839" s="2"/>
      <c r="K839" s="2"/>
      <c r="L839" s="2"/>
      <c r="M839" s="2"/>
      <c r="N839" s="2"/>
      <c r="O839" s="2"/>
      <c r="P839" s="2"/>
      <c r="Q839" s="2"/>
      <c r="R839" s="2"/>
      <c r="S839" s="2"/>
      <c r="T839" s="2"/>
      <c r="U839" s="2"/>
      <c r="V839" s="2"/>
      <c r="W839" s="2"/>
    </row>
    <row r="840">
      <c r="A840" s="2"/>
      <c r="B840" s="2"/>
      <c r="C840" s="2"/>
      <c r="D840" s="2"/>
      <c r="E840" s="2"/>
      <c r="F840" s="2"/>
      <c r="G840" s="2"/>
      <c r="H840" s="2"/>
      <c r="I840" s="2"/>
      <c r="J840" s="2"/>
      <c r="K840" s="2"/>
      <c r="L840" s="2"/>
      <c r="M840" s="2"/>
      <c r="N840" s="2"/>
      <c r="O840" s="2"/>
      <c r="P840" s="2"/>
      <c r="Q840" s="2"/>
      <c r="R840" s="2"/>
      <c r="S840" s="2"/>
      <c r="T840" s="2"/>
      <c r="U840" s="2"/>
      <c r="V840" s="2"/>
      <c r="W840" s="2"/>
    </row>
    <row r="841">
      <c r="A841" s="2"/>
      <c r="B841" s="2"/>
      <c r="C841" s="2"/>
      <c r="D841" s="2"/>
      <c r="E841" s="2"/>
      <c r="F841" s="2"/>
      <c r="G841" s="2"/>
      <c r="H841" s="2"/>
      <c r="I841" s="2"/>
      <c r="J841" s="2"/>
      <c r="K841" s="2"/>
      <c r="L841" s="2"/>
      <c r="M841" s="2"/>
      <c r="N841" s="2"/>
      <c r="O841" s="2"/>
      <c r="P841" s="2"/>
      <c r="Q841" s="2"/>
      <c r="R841" s="2"/>
      <c r="S841" s="2"/>
      <c r="T841" s="2"/>
      <c r="U841" s="2"/>
      <c r="V841" s="2"/>
      <c r="W841" s="2"/>
    </row>
    <row r="842">
      <c r="A842" s="2"/>
      <c r="B842" s="2"/>
      <c r="C842" s="2"/>
      <c r="D842" s="2"/>
      <c r="E842" s="2"/>
      <c r="F842" s="2"/>
      <c r="G842" s="2"/>
      <c r="H842" s="2"/>
      <c r="I842" s="2"/>
      <c r="J842" s="2"/>
      <c r="K842" s="2"/>
      <c r="L842" s="2"/>
      <c r="M842" s="2"/>
      <c r="N842" s="2"/>
      <c r="O842" s="2"/>
      <c r="P842" s="2"/>
      <c r="Q842" s="2"/>
      <c r="R842" s="2"/>
      <c r="S842" s="2"/>
      <c r="T842" s="2"/>
      <c r="U842" s="2"/>
      <c r="V842" s="2"/>
      <c r="W842" s="2"/>
    </row>
    <row r="843">
      <c r="A843" s="2"/>
      <c r="B843" s="2"/>
      <c r="C843" s="2"/>
      <c r="D843" s="2"/>
      <c r="E843" s="2"/>
      <c r="F843" s="2"/>
      <c r="G843" s="2"/>
      <c r="H843" s="2"/>
      <c r="I843" s="2"/>
      <c r="J843" s="2"/>
      <c r="K843" s="2"/>
      <c r="L843" s="2"/>
      <c r="M843" s="2"/>
      <c r="N843" s="2"/>
      <c r="O843" s="2"/>
      <c r="P843" s="2"/>
      <c r="Q843" s="2"/>
      <c r="R843" s="2"/>
      <c r="S843" s="2"/>
      <c r="T843" s="2"/>
      <c r="U843" s="2"/>
      <c r="V843" s="2"/>
      <c r="W843" s="2"/>
    </row>
    <row r="844">
      <c r="A844" s="2"/>
      <c r="B844" s="2"/>
      <c r="C844" s="2"/>
      <c r="D844" s="2"/>
      <c r="E844" s="2"/>
      <c r="F844" s="2"/>
      <c r="G844" s="2"/>
      <c r="H844" s="2"/>
      <c r="I844" s="2"/>
      <c r="J844" s="2"/>
      <c r="K844" s="2"/>
      <c r="L844" s="2"/>
      <c r="M844" s="2"/>
      <c r="N844" s="2"/>
      <c r="O844" s="2"/>
      <c r="P844" s="2"/>
      <c r="Q844" s="2"/>
      <c r="R844" s="2"/>
      <c r="S844" s="2"/>
      <c r="T844" s="2"/>
      <c r="U844" s="2"/>
      <c r="V844" s="2"/>
      <c r="W844" s="2"/>
    </row>
    <row r="845">
      <c r="A845" s="2"/>
      <c r="B845" s="2"/>
      <c r="C845" s="2"/>
      <c r="D845" s="2"/>
      <c r="E845" s="2"/>
      <c r="F845" s="2"/>
      <c r="G845" s="2"/>
      <c r="H845" s="2"/>
      <c r="I845" s="2"/>
      <c r="J845" s="2"/>
      <c r="K845" s="2"/>
      <c r="L845" s="2"/>
      <c r="M845" s="2"/>
      <c r="N845" s="2"/>
      <c r="O845" s="2"/>
      <c r="P845" s="2"/>
      <c r="Q845" s="2"/>
      <c r="R845" s="2"/>
      <c r="S845" s="2"/>
      <c r="T845" s="2"/>
      <c r="U845" s="2"/>
      <c r="V845" s="2"/>
      <c r="W845" s="2"/>
    </row>
    <row r="846">
      <c r="A846" s="2"/>
      <c r="B846" s="2"/>
      <c r="C846" s="2"/>
      <c r="D846" s="2"/>
      <c r="E846" s="2"/>
      <c r="F846" s="2"/>
      <c r="G846" s="2"/>
      <c r="H846" s="2"/>
      <c r="I846" s="2"/>
      <c r="J846" s="2"/>
      <c r="K846" s="2"/>
      <c r="L846" s="2"/>
      <c r="M846" s="2"/>
      <c r="N846" s="2"/>
      <c r="O846" s="2"/>
      <c r="P846" s="2"/>
      <c r="Q846" s="2"/>
      <c r="R846" s="2"/>
      <c r="S846" s="2"/>
      <c r="T846" s="2"/>
      <c r="U846" s="2"/>
      <c r="V846" s="2"/>
      <c r="W846" s="2"/>
    </row>
    <row r="847">
      <c r="A847" s="2"/>
      <c r="B847" s="2"/>
      <c r="C847" s="2"/>
      <c r="D847" s="2"/>
      <c r="E847" s="2"/>
      <c r="F847" s="2"/>
      <c r="G847" s="2"/>
      <c r="H847" s="2"/>
      <c r="I847" s="2"/>
      <c r="J847" s="2"/>
      <c r="K847" s="2"/>
      <c r="L847" s="2"/>
      <c r="M847" s="2"/>
      <c r="N847" s="2"/>
      <c r="O847" s="2"/>
      <c r="P847" s="2"/>
      <c r="Q847" s="2"/>
      <c r="R847" s="2"/>
      <c r="S847" s="2"/>
      <c r="T847" s="2"/>
      <c r="U847" s="2"/>
      <c r="V847" s="2"/>
      <c r="W847" s="2"/>
    </row>
    <row r="848">
      <c r="A848" s="2"/>
      <c r="B848" s="2"/>
      <c r="C848" s="2"/>
      <c r="D848" s="2"/>
      <c r="E848" s="2"/>
      <c r="F848" s="2"/>
      <c r="G848" s="2"/>
      <c r="H848" s="2"/>
      <c r="I848" s="2"/>
      <c r="J848" s="2"/>
      <c r="K848" s="2"/>
      <c r="L848" s="2"/>
      <c r="M848" s="2"/>
      <c r="N848" s="2"/>
      <c r="O848" s="2"/>
      <c r="P848" s="2"/>
      <c r="Q848" s="2"/>
      <c r="R848" s="2"/>
      <c r="S848" s="2"/>
      <c r="T848" s="2"/>
      <c r="U848" s="2"/>
      <c r="V848" s="2"/>
      <c r="W848" s="2"/>
    </row>
    <row r="849">
      <c r="A849" s="2"/>
      <c r="B849" s="2"/>
      <c r="C849" s="2"/>
      <c r="D849" s="2"/>
      <c r="E849" s="2"/>
      <c r="F849" s="2"/>
      <c r="G849" s="2"/>
      <c r="H849" s="2"/>
      <c r="I849" s="2"/>
      <c r="J849" s="2"/>
      <c r="K849" s="2"/>
      <c r="L849" s="2"/>
      <c r="M849" s="2"/>
      <c r="N849" s="2"/>
      <c r="O849" s="2"/>
      <c r="P849" s="2"/>
      <c r="Q849" s="2"/>
      <c r="R849" s="2"/>
      <c r="S849" s="2"/>
      <c r="T849" s="2"/>
      <c r="U849" s="2"/>
      <c r="V849" s="2"/>
      <c r="W849" s="2"/>
    </row>
    <row r="850">
      <c r="A850" s="2"/>
      <c r="B850" s="2"/>
      <c r="C850" s="2"/>
      <c r="D850" s="2"/>
      <c r="E850" s="2"/>
      <c r="F850" s="2"/>
      <c r="G850" s="2"/>
      <c r="H850" s="2"/>
      <c r="I850" s="2"/>
      <c r="J850" s="2"/>
      <c r="K850" s="2"/>
      <c r="L850" s="2"/>
      <c r="M850" s="2"/>
      <c r="N850" s="2"/>
      <c r="O850" s="2"/>
      <c r="P850" s="2"/>
      <c r="Q850" s="2"/>
      <c r="R850" s="2"/>
      <c r="S850" s="2"/>
      <c r="T850" s="2"/>
      <c r="U850" s="2"/>
      <c r="V850" s="2"/>
      <c r="W850" s="2"/>
    </row>
    <row r="851">
      <c r="A851" s="2"/>
      <c r="B851" s="2"/>
      <c r="C851" s="2"/>
      <c r="D851" s="2"/>
      <c r="E851" s="2"/>
      <c r="F851" s="2"/>
      <c r="G851" s="2"/>
      <c r="H851" s="2"/>
      <c r="I851" s="2"/>
      <c r="J851" s="2"/>
      <c r="K851" s="2"/>
      <c r="L851" s="2"/>
      <c r="M851" s="2"/>
      <c r="N851" s="2"/>
      <c r="O851" s="2"/>
      <c r="P851" s="2"/>
      <c r="Q851" s="2"/>
      <c r="R851" s="2"/>
      <c r="S851" s="2"/>
      <c r="T851" s="2"/>
      <c r="U851" s="2"/>
      <c r="V851" s="2"/>
      <c r="W851" s="2"/>
    </row>
    <row r="852">
      <c r="A852" s="2"/>
      <c r="B852" s="2"/>
      <c r="C852" s="2"/>
      <c r="D852" s="2"/>
      <c r="E852" s="2"/>
      <c r="F852" s="2"/>
      <c r="G852" s="2"/>
      <c r="H852" s="2"/>
      <c r="I852" s="2"/>
      <c r="J852" s="2"/>
      <c r="K852" s="2"/>
      <c r="L852" s="2"/>
      <c r="M852" s="2"/>
      <c r="N852" s="2"/>
      <c r="O852" s="2"/>
      <c r="P852" s="2"/>
      <c r="Q852" s="2"/>
      <c r="R852" s="2"/>
      <c r="S852" s="2"/>
      <c r="T852" s="2"/>
      <c r="U852" s="2"/>
      <c r="V852" s="2"/>
      <c r="W852" s="2"/>
    </row>
    <row r="853">
      <c r="A853" s="2"/>
      <c r="B853" s="2"/>
      <c r="C853" s="2"/>
      <c r="D853" s="2"/>
      <c r="E853" s="2"/>
      <c r="F853" s="2"/>
      <c r="G853" s="2"/>
      <c r="H853" s="2"/>
      <c r="I853" s="2"/>
      <c r="J853" s="2"/>
      <c r="K853" s="2"/>
      <c r="L853" s="2"/>
      <c r="M853" s="2"/>
      <c r="N853" s="2"/>
      <c r="O853" s="2"/>
      <c r="P853" s="2"/>
      <c r="Q853" s="2"/>
      <c r="R853" s="2"/>
      <c r="S853" s="2"/>
      <c r="T853" s="2"/>
      <c r="U853" s="2"/>
      <c r="V853" s="2"/>
      <c r="W853" s="2"/>
    </row>
    <row r="854">
      <c r="A854" s="2"/>
      <c r="B854" s="2"/>
      <c r="C854" s="2"/>
      <c r="D854" s="2"/>
      <c r="E854" s="2"/>
      <c r="F854" s="2"/>
      <c r="G854" s="2"/>
      <c r="H854" s="2"/>
      <c r="I854" s="2"/>
      <c r="J854" s="2"/>
      <c r="K854" s="2"/>
      <c r="L854" s="2"/>
      <c r="M854" s="2"/>
      <c r="N854" s="2"/>
      <c r="O854" s="2"/>
      <c r="P854" s="2"/>
      <c r="Q854" s="2"/>
      <c r="R854" s="2"/>
      <c r="S854" s="2"/>
      <c r="T854" s="2"/>
      <c r="U854" s="2"/>
      <c r="V854" s="2"/>
      <c r="W854" s="2"/>
    </row>
    <row r="855">
      <c r="A855" s="2"/>
      <c r="B855" s="2"/>
      <c r="C855" s="2"/>
      <c r="D855" s="2"/>
      <c r="E855" s="2"/>
      <c r="F855" s="2"/>
      <c r="G855" s="2"/>
      <c r="H855" s="2"/>
      <c r="I855" s="2"/>
      <c r="J855" s="2"/>
      <c r="K855" s="2"/>
      <c r="L855" s="2"/>
      <c r="M855" s="2"/>
      <c r="N855" s="2"/>
      <c r="O855" s="2"/>
      <c r="P855" s="2"/>
      <c r="Q855" s="2"/>
      <c r="R855" s="2"/>
      <c r="S855" s="2"/>
      <c r="T855" s="2"/>
      <c r="U855" s="2"/>
      <c r="V855" s="2"/>
      <c r="W855" s="2"/>
    </row>
    <row r="856">
      <c r="A856" s="2"/>
      <c r="B856" s="2"/>
      <c r="C856" s="2"/>
      <c r="D856" s="2"/>
      <c r="E856" s="2"/>
      <c r="F856" s="2"/>
      <c r="G856" s="2"/>
      <c r="H856" s="2"/>
      <c r="I856" s="2"/>
      <c r="J856" s="2"/>
      <c r="K856" s="2"/>
      <c r="L856" s="2"/>
      <c r="M856" s="2"/>
      <c r="N856" s="2"/>
      <c r="O856" s="2"/>
      <c r="P856" s="2"/>
      <c r="Q856" s="2"/>
      <c r="R856" s="2"/>
      <c r="S856" s="2"/>
      <c r="T856" s="2"/>
      <c r="U856" s="2"/>
      <c r="V856" s="2"/>
      <c r="W856" s="2"/>
    </row>
    <row r="857">
      <c r="A857" s="2"/>
      <c r="B857" s="2"/>
      <c r="C857" s="2"/>
      <c r="D857" s="2"/>
      <c r="E857" s="2"/>
      <c r="F857" s="2"/>
      <c r="G857" s="2"/>
      <c r="H857" s="2"/>
      <c r="I857" s="2"/>
      <c r="J857" s="2"/>
      <c r="K857" s="2"/>
      <c r="L857" s="2"/>
      <c r="M857" s="2"/>
      <c r="N857" s="2"/>
      <c r="O857" s="2"/>
      <c r="P857" s="2"/>
      <c r="Q857" s="2"/>
      <c r="R857" s="2"/>
      <c r="S857" s="2"/>
      <c r="T857" s="2"/>
      <c r="U857" s="2"/>
      <c r="V857" s="2"/>
      <c r="W857" s="2"/>
    </row>
    <row r="858">
      <c r="A858" s="2"/>
      <c r="B858" s="2"/>
      <c r="C858" s="2"/>
      <c r="D858" s="2"/>
      <c r="E858" s="2"/>
      <c r="F858" s="2"/>
      <c r="G858" s="2"/>
      <c r="H858" s="2"/>
      <c r="I858" s="2"/>
      <c r="J858" s="2"/>
      <c r="K858" s="2"/>
      <c r="L858" s="2"/>
      <c r="M858" s="2"/>
      <c r="N858" s="2"/>
      <c r="O858" s="2"/>
      <c r="P858" s="2"/>
      <c r="Q858" s="2"/>
      <c r="R858" s="2"/>
      <c r="S858" s="2"/>
      <c r="T858" s="2"/>
      <c r="U858" s="2"/>
      <c r="V858" s="2"/>
      <c r="W858" s="2"/>
    </row>
    <row r="859">
      <c r="A859" s="2"/>
      <c r="B859" s="2"/>
      <c r="C859" s="2"/>
      <c r="D859" s="2"/>
      <c r="E859" s="2"/>
      <c r="F859" s="2"/>
      <c r="G859" s="2"/>
      <c r="H859" s="2"/>
      <c r="I859" s="2"/>
      <c r="J859" s="2"/>
      <c r="K859" s="2"/>
      <c r="L859" s="2"/>
      <c r="M859" s="2"/>
      <c r="N859" s="2"/>
      <c r="O859" s="2"/>
      <c r="P859" s="2"/>
      <c r="Q859" s="2"/>
      <c r="R859" s="2"/>
      <c r="S859" s="2"/>
      <c r="T859" s="2"/>
      <c r="U859" s="2"/>
      <c r="V859" s="2"/>
      <c r="W859" s="2"/>
    </row>
    <row r="860">
      <c r="A860" s="2"/>
      <c r="B860" s="2"/>
      <c r="C860" s="2"/>
      <c r="D860" s="2"/>
      <c r="E860" s="2"/>
      <c r="F860" s="2"/>
      <c r="G860" s="2"/>
      <c r="H860" s="2"/>
      <c r="I860" s="2"/>
      <c r="J860" s="2"/>
      <c r="K860" s="2"/>
      <c r="L860" s="2"/>
      <c r="M860" s="2"/>
      <c r="N860" s="2"/>
      <c r="O860" s="2"/>
      <c r="P860" s="2"/>
      <c r="Q860" s="2"/>
      <c r="R860" s="2"/>
      <c r="S860" s="2"/>
      <c r="T860" s="2"/>
      <c r="U860" s="2"/>
      <c r="V860" s="2"/>
      <c r="W860" s="2"/>
    </row>
    <row r="861">
      <c r="A861" s="2"/>
      <c r="B861" s="2"/>
      <c r="C861" s="2"/>
      <c r="D861" s="2"/>
      <c r="E861" s="2"/>
      <c r="F861" s="2"/>
      <c r="G861" s="2"/>
      <c r="H861" s="2"/>
      <c r="I861" s="2"/>
      <c r="J861" s="2"/>
      <c r="K861" s="2"/>
      <c r="L861" s="2"/>
      <c r="M861" s="2"/>
      <c r="N861" s="2"/>
      <c r="O861" s="2"/>
      <c r="P861" s="2"/>
      <c r="Q861" s="2"/>
      <c r="R861" s="2"/>
      <c r="S861" s="2"/>
      <c r="T861" s="2"/>
      <c r="U861" s="2"/>
      <c r="V861" s="2"/>
      <c r="W861" s="2"/>
    </row>
    <row r="862">
      <c r="A862" s="2"/>
      <c r="B862" s="2"/>
      <c r="C862" s="2"/>
      <c r="D862" s="2"/>
      <c r="E862" s="2"/>
      <c r="F862" s="2"/>
      <c r="G862" s="2"/>
      <c r="H862" s="2"/>
      <c r="I862" s="2"/>
      <c r="J862" s="2"/>
      <c r="K862" s="2"/>
      <c r="L862" s="2"/>
      <c r="M862" s="2"/>
      <c r="N862" s="2"/>
      <c r="O862" s="2"/>
      <c r="P862" s="2"/>
      <c r="Q862" s="2"/>
      <c r="R862" s="2"/>
      <c r="S862" s="2"/>
      <c r="T862" s="2"/>
      <c r="U862" s="2"/>
      <c r="V862" s="2"/>
      <c r="W862" s="2"/>
    </row>
    <row r="863">
      <c r="A863" s="2"/>
      <c r="B863" s="2"/>
      <c r="C863" s="2"/>
      <c r="D863" s="2"/>
      <c r="E863" s="2"/>
      <c r="F863" s="2"/>
      <c r="G863" s="2"/>
      <c r="H863" s="2"/>
      <c r="I863" s="2"/>
      <c r="J863" s="2"/>
      <c r="K863" s="2"/>
      <c r="L863" s="2"/>
      <c r="M863" s="2"/>
      <c r="N863" s="2"/>
      <c r="O863" s="2"/>
      <c r="P863" s="2"/>
      <c r="Q863" s="2"/>
      <c r="R863" s="2"/>
      <c r="S863" s="2"/>
      <c r="T863" s="2"/>
      <c r="U863" s="2"/>
      <c r="V863" s="2"/>
      <c r="W863" s="2"/>
    </row>
    <row r="864">
      <c r="A864" s="2"/>
      <c r="B864" s="2"/>
      <c r="C864" s="2"/>
      <c r="D864" s="2"/>
      <c r="E864" s="2"/>
      <c r="F864" s="2"/>
      <c r="G864" s="2"/>
      <c r="H864" s="2"/>
      <c r="I864" s="2"/>
      <c r="J864" s="2"/>
      <c r="K864" s="2"/>
      <c r="L864" s="2"/>
      <c r="M864" s="2"/>
      <c r="N864" s="2"/>
      <c r="O864" s="2"/>
      <c r="P864" s="2"/>
      <c r="Q864" s="2"/>
      <c r="R864" s="2"/>
      <c r="S864" s="2"/>
      <c r="T864" s="2"/>
      <c r="U864" s="2"/>
      <c r="V864" s="2"/>
      <c r="W864" s="2"/>
    </row>
    <row r="865">
      <c r="A865" s="2"/>
      <c r="B865" s="2"/>
      <c r="C865" s="2"/>
      <c r="D865" s="2"/>
      <c r="E865" s="2"/>
      <c r="F865" s="2"/>
      <c r="G865" s="2"/>
      <c r="H865" s="2"/>
      <c r="I865" s="2"/>
      <c r="J865" s="2"/>
      <c r="K865" s="2"/>
      <c r="L865" s="2"/>
      <c r="M865" s="2"/>
      <c r="N865" s="2"/>
      <c r="O865" s="2"/>
      <c r="P865" s="2"/>
      <c r="Q865" s="2"/>
      <c r="R865" s="2"/>
      <c r="S865" s="2"/>
      <c r="T865" s="2"/>
      <c r="U865" s="2"/>
      <c r="V865" s="2"/>
      <c r="W865" s="2"/>
    </row>
    <row r="866">
      <c r="A866" s="2"/>
      <c r="B866" s="2"/>
      <c r="C866" s="2"/>
      <c r="D866" s="2"/>
      <c r="E866" s="2"/>
      <c r="F866" s="2"/>
      <c r="G866" s="2"/>
      <c r="H866" s="2"/>
      <c r="I866" s="2"/>
      <c r="J866" s="2"/>
      <c r="K866" s="2"/>
      <c r="L866" s="2"/>
      <c r="M866" s="2"/>
      <c r="N866" s="2"/>
      <c r="O866" s="2"/>
      <c r="P866" s="2"/>
      <c r="Q866" s="2"/>
      <c r="R866" s="2"/>
      <c r="S866" s="2"/>
      <c r="T866" s="2"/>
      <c r="U866" s="2"/>
      <c r="V866" s="2"/>
      <c r="W866" s="2"/>
    </row>
    <row r="867">
      <c r="A867" s="2"/>
      <c r="B867" s="2"/>
      <c r="C867" s="2"/>
      <c r="D867" s="2"/>
      <c r="E867" s="2"/>
      <c r="F867" s="2"/>
      <c r="G867" s="2"/>
      <c r="H867" s="2"/>
      <c r="I867" s="2"/>
      <c r="J867" s="2"/>
      <c r="K867" s="2"/>
      <c r="L867" s="2"/>
      <c r="M867" s="2"/>
      <c r="N867" s="2"/>
      <c r="O867" s="2"/>
      <c r="P867" s="2"/>
      <c r="Q867" s="2"/>
      <c r="R867" s="2"/>
      <c r="S867" s="2"/>
      <c r="T867" s="2"/>
      <c r="U867" s="2"/>
      <c r="V867" s="2"/>
      <c r="W867" s="2"/>
    </row>
    <row r="868">
      <c r="A868" s="2"/>
      <c r="B868" s="2"/>
      <c r="C868" s="2"/>
      <c r="D868" s="2"/>
      <c r="E868" s="2"/>
      <c r="F868" s="2"/>
      <c r="G868" s="2"/>
      <c r="H868" s="2"/>
      <c r="I868" s="2"/>
      <c r="J868" s="2"/>
      <c r="K868" s="2"/>
      <c r="L868" s="2"/>
      <c r="M868" s="2"/>
      <c r="N868" s="2"/>
      <c r="O868" s="2"/>
      <c r="P868" s="2"/>
      <c r="Q868" s="2"/>
      <c r="R868" s="2"/>
      <c r="S868" s="2"/>
      <c r="T868" s="2"/>
      <c r="U868" s="2"/>
      <c r="V868" s="2"/>
      <c r="W868" s="2"/>
    </row>
    <row r="869">
      <c r="A869" s="2"/>
      <c r="B869" s="2"/>
      <c r="C869" s="2"/>
      <c r="D869" s="2"/>
      <c r="E869" s="2"/>
      <c r="F869" s="2"/>
      <c r="G869" s="2"/>
      <c r="H869" s="2"/>
      <c r="I869" s="2"/>
      <c r="J869" s="2"/>
      <c r="K869" s="2"/>
      <c r="L869" s="2"/>
      <c r="M869" s="2"/>
      <c r="N869" s="2"/>
      <c r="O869" s="2"/>
      <c r="P869" s="2"/>
      <c r="Q869" s="2"/>
      <c r="R869" s="2"/>
      <c r="S869" s="2"/>
      <c r="T869" s="2"/>
      <c r="U869" s="2"/>
      <c r="V869" s="2"/>
      <c r="W869" s="2"/>
    </row>
    <row r="870">
      <c r="A870" s="2"/>
      <c r="B870" s="2"/>
      <c r="C870" s="2"/>
      <c r="D870" s="2"/>
      <c r="E870" s="2"/>
      <c r="F870" s="2"/>
      <c r="G870" s="2"/>
      <c r="H870" s="2"/>
      <c r="I870" s="2"/>
      <c r="J870" s="2"/>
      <c r="K870" s="2"/>
      <c r="L870" s="2"/>
      <c r="M870" s="2"/>
      <c r="N870" s="2"/>
      <c r="O870" s="2"/>
      <c r="P870" s="2"/>
      <c r="Q870" s="2"/>
      <c r="R870" s="2"/>
      <c r="S870" s="2"/>
      <c r="T870" s="2"/>
      <c r="U870" s="2"/>
      <c r="V870" s="2"/>
      <c r="W870" s="2"/>
    </row>
    <row r="871">
      <c r="A871" s="2"/>
      <c r="B871" s="2"/>
      <c r="C871" s="2"/>
      <c r="D871" s="2"/>
      <c r="E871" s="2"/>
      <c r="F871" s="2"/>
      <c r="G871" s="2"/>
      <c r="H871" s="2"/>
      <c r="I871" s="2"/>
      <c r="J871" s="2"/>
      <c r="K871" s="2"/>
      <c r="L871" s="2"/>
      <c r="M871" s="2"/>
      <c r="N871" s="2"/>
      <c r="O871" s="2"/>
      <c r="P871" s="2"/>
      <c r="Q871" s="2"/>
      <c r="R871" s="2"/>
      <c r="S871" s="2"/>
      <c r="T871" s="2"/>
      <c r="U871" s="2"/>
      <c r="V871" s="2"/>
      <c r="W871" s="2"/>
    </row>
    <row r="872">
      <c r="A872" s="2"/>
      <c r="B872" s="2"/>
      <c r="C872" s="2"/>
      <c r="D872" s="2"/>
      <c r="E872" s="2"/>
      <c r="F872" s="2"/>
      <c r="G872" s="2"/>
      <c r="H872" s="2"/>
      <c r="I872" s="2"/>
      <c r="J872" s="2"/>
      <c r="K872" s="2"/>
      <c r="L872" s="2"/>
      <c r="M872" s="2"/>
      <c r="N872" s="2"/>
      <c r="O872" s="2"/>
      <c r="P872" s="2"/>
      <c r="Q872" s="2"/>
      <c r="R872" s="2"/>
      <c r="S872" s="2"/>
      <c r="T872" s="2"/>
      <c r="U872" s="2"/>
      <c r="V872" s="2"/>
      <c r="W872" s="2"/>
    </row>
    <row r="873">
      <c r="A873" s="2"/>
      <c r="B873" s="2"/>
      <c r="C873" s="2"/>
      <c r="D873" s="2"/>
      <c r="E873" s="2"/>
      <c r="F873" s="2"/>
      <c r="G873" s="2"/>
      <c r="H873" s="2"/>
      <c r="I873" s="2"/>
      <c r="J873" s="2"/>
      <c r="K873" s="2"/>
      <c r="L873" s="2"/>
      <c r="M873" s="2"/>
      <c r="N873" s="2"/>
      <c r="O873" s="2"/>
      <c r="P873" s="2"/>
      <c r="Q873" s="2"/>
      <c r="R873" s="2"/>
      <c r="S873" s="2"/>
      <c r="T873" s="2"/>
      <c r="U873" s="2"/>
      <c r="V873" s="2"/>
      <c r="W873" s="2"/>
    </row>
    <row r="874">
      <c r="A874" s="2"/>
      <c r="B874" s="2"/>
      <c r="C874" s="2"/>
      <c r="D874" s="2"/>
      <c r="E874" s="2"/>
      <c r="F874" s="2"/>
      <c r="G874" s="2"/>
      <c r="H874" s="2"/>
      <c r="I874" s="2"/>
      <c r="J874" s="2"/>
      <c r="K874" s="2"/>
      <c r="L874" s="2"/>
      <c r="M874" s="2"/>
      <c r="N874" s="2"/>
      <c r="O874" s="2"/>
      <c r="P874" s="2"/>
      <c r="Q874" s="2"/>
      <c r="R874" s="2"/>
      <c r="S874" s="2"/>
      <c r="T874" s="2"/>
      <c r="U874" s="2"/>
      <c r="V874" s="2"/>
      <c r="W874" s="2"/>
    </row>
    <row r="875">
      <c r="A875" s="2"/>
      <c r="B875" s="2"/>
      <c r="C875" s="2"/>
      <c r="D875" s="2"/>
      <c r="E875" s="2"/>
      <c r="F875" s="2"/>
      <c r="G875" s="2"/>
      <c r="H875" s="2"/>
      <c r="I875" s="2"/>
      <c r="J875" s="2"/>
      <c r="K875" s="2"/>
      <c r="L875" s="2"/>
      <c r="M875" s="2"/>
      <c r="N875" s="2"/>
      <c r="O875" s="2"/>
      <c r="P875" s="2"/>
      <c r="Q875" s="2"/>
      <c r="R875" s="2"/>
      <c r="S875" s="2"/>
      <c r="T875" s="2"/>
      <c r="U875" s="2"/>
      <c r="V875" s="2"/>
      <c r="W875" s="2"/>
    </row>
    <row r="876">
      <c r="A876" s="2"/>
      <c r="B876" s="2"/>
      <c r="C876" s="2"/>
      <c r="D876" s="2"/>
      <c r="E876" s="2"/>
      <c r="F876" s="2"/>
      <c r="G876" s="2"/>
      <c r="H876" s="2"/>
      <c r="I876" s="2"/>
      <c r="J876" s="2"/>
      <c r="K876" s="2"/>
      <c r="L876" s="2"/>
      <c r="M876" s="2"/>
      <c r="N876" s="2"/>
      <c r="O876" s="2"/>
      <c r="P876" s="2"/>
      <c r="Q876" s="2"/>
      <c r="R876" s="2"/>
      <c r="S876" s="2"/>
      <c r="T876" s="2"/>
      <c r="U876" s="2"/>
      <c r="V876" s="2"/>
      <c r="W876" s="2"/>
    </row>
    <row r="877">
      <c r="A877" s="2"/>
      <c r="B877" s="2"/>
      <c r="C877" s="2"/>
      <c r="D877" s="2"/>
      <c r="E877" s="2"/>
      <c r="F877" s="2"/>
      <c r="G877" s="2"/>
      <c r="H877" s="2"/>
      <c r="I877" s="2"/>
      <c r="J877" s="2"/>
      <c r="K877" s="2"/>
      <c r="L877" s="2"/>
      <c r="M877" s="2"/>
      <c r="N877" s="2"/>
      <c r="O877" s="2"/>
      <c r="P877" s="2"/>
      <c r="Q877" s="2"/>
      <c r="R877" s="2"/>
      <c r="S877" s="2"/>
      <c r="T877" s="2"/>
      <c r="U877" s="2"/>
      <c r="V877" s="2"/>
      <c r="W877" s="2"/>
    </row>
    <row r="878">
      <c r="A878" s="2"/>
      <c r="B878" s="2"/>
      <c r="C878" s="2"/>
      <c r="D878" s="2"/>
      <c r="E878" s="2"/>
      <c r="F878" s="2"/>
      <c r="G878" s="2"/>
      <c r="H878" s="2"/>
      <c r="I878" s="2"/>
      <c r="J878" s="2"/>
      <c r="K878" s="2"/>
      <c r="L878" s="2"/>
      <c r="M878" s="2"/>
      <c r="N878" s="2"/>
      <c r="O878" s="2"/>
      <c r="P878" s="2"/>
      <c r="Q878" s="2"/>
      <c r="R878" s="2"/>
      <c r="S878" s="2"/>
      <c r="T878" s="2"/>
      <c r="U878" s="2"/>
      <c r="V878" s="2"/>
      <c r="W878" s="2"/>
    </row>
    <row r="879">
      <c r="A879" s="2"/>
      <c r="B879" s="2"/>
      <c r="C879" s="2"/>
      <c r="D879" s="2"/>
      <c r="E879" s="2"/>
      <c r="F879" s="2"/>
      <c r="G879" s="2"/>
      <c r="H879" s="2"/>
      <c r="I879" s="2"/>
      <c r="J879" s="2"/>
      <c r="K879" s="2"/>
      <c r="L879" s="2"/>
      <c r="M879" s="2"/>
      <c r="N879" s="2"/>
      <c r="O879" s="2"/>
      <c r="P879" s="2"/>
      <c r="Q879" s="2"/>
      <c r="R879" s="2"/>
      <c r="S879" s="2"/>
      <c r="T879" s="2"/>
      <c r="U879" s="2"/>
      <c r="V879" s="2"/>
      <c r="W879" s="2"/>
    </row>
    <row r="880">
      <c r="A880" s="2"/>
      <c r="B880" s="2"/>
      <c r="C880" s="2"/>
      <c r="D880" s="2"/>
      <c r="E880" s="2"/>
      <c r="F880" s="2"/>
      <c r="G880" s="2"/>
      <c r="H880" s="2"/>
      <c r="I880" s="2"/>
      <c r="J880" s="2"/>
      <c r="K880" s="2"/>
      <c r="L880" s="2"/>
      <c r="M880" s="2"/>
      <c r="N880" s="2"/>
      <c r="O880" s="2"/>
      <c r="P880" s="2"/>
      <c r="Q880" s="2"/>
      <c r="R880" s="2"/>
      <c r="S880" s="2"/>
      <c r="T880" s="2"/>
      <c r="U880" s="2"/>
      <c r="V880" s="2"/>
      <c r="W880" s="2"/>
    </row>
    <row r="881">
      <c r="A881" s="2"/>
      <c r="B881" s="2"/>
      <c r="C881" s="2"/>
      <c r="D881" s="2"/>
      <c r="E881" s="2"/>
      <c r="F881" s="2"/>
      <c r="G881" s="2"/>
      <c r="H881" s="2"/>
      <c r="I881" s="2"/>
      <c r="J881" s="2"/>
      <c r="K881" s="2"/>
      <c r="L881" s="2"/>
      <c r="M881" s="2"/>
      <c r="N881" s="2"/>
      <c r="O881" s="2"/>
      <c r="P881" s="2"/>
      <c r="Q881" s="2"/>
      <c r="R881" s="2"/>
      <c r="S881" s="2"/>
      <c r="T881" s="2"/>
      <c r="U881" s="2"/>
      <c r="V881" s="2"/>
      <c r="W881" s="2"/>
    </row>
    <row r="882">
      <c r="A882" s="2"/>
      <c r="B882" s="2"/>
      <c r="C882" s="2"/>
      <c r="D882" s="2"/>
      <c r="E882" s="2"/>
      <c r="F882" s="2"/>
      <c r="G882" s="2"/>
      <c r="H882" s="2"/>
      <c r="I882" s="2"/>
      <c r="J882" s="2"/>
      <c r="K882" s="2"/>
      <c r="L882" s="2"/>
      <c r="M882" s="2"/>
      <c r="N882" s="2"/>
      <c r="O882" s="2"/>
      <c r="P882" s="2"/>
      <c r="Q882" s="2"/>
      <c r="R882" s="2"/>
      <c r="S882" s="2"/>
      <c r="T882" s="2"/>
      <c r="U882" s="2"/>
      <c r="V882" s="2"/>
      <c r="W882" s="2"/>
    </row>
    <row r="883">
      <c r="A883" s="2"/>
      <c r="B883" s="2"/>
      <c r="C883" s="2"/>
      <c r="D883" s="2"/>
      <c r="E883" s="2"/>
      <c r="F883" s="2"/>
      <c r="G883" s="2"/>
      <c r="H883" s="2"/>
      <c r="I883" s="2"/>
      <c r="J883" s="2"/>
      <c r="K883" s="2"/>
      <c r="L883" s="2"/>
      <c r="M883" s="2"/>
      <c r="N883" s="2"/>
      <c r="O883" s="2"/>
      <c r="P883" s="2"/>
      <c r="Q883" s="2"/>
      <c r="R883" s="2"/>
      <c r="S883" s="2"/>
      <c r="T883" s="2"/>
      <c r="U883" s="2"/>
      <c r="V883" s="2"/>
      <c r="W883" s="2"/>
    </row>
    <row r="884">
      <c r="A884" s="2"/>
      <c r="B884" s="2"/>
      <c r="C884" s="2"/>
      <c r="D884" s="2"/>
      <c r="E884" s="2"/>
      <c r="F884" s="2"/>
      <c r="G884" s="2"/>
      <c r="H884" s="2"/>
      <c r="I884" s="2"/>
      <c r="J884" s="2"/>
      <c r="K884" s="2"/>
      <c r="L884" s="2"/>
      <c r="M884" s="2"/>
      <c r="N884" s="2"/>
      <c r="O884" s="2"/>
      <c r="P884" s="2"/>
      <c r="Q884" s="2"/>
      <c r="R884" s="2"/>
      <c r="S884" s="2"/>
      <c r="T884" s="2"/>
      <c r="U884" s="2"/>
      <c r="V884" s="2"/>
      <c r="W884" s="2"/>
    </row>
    <row r="885">
      <c r="A885" s="2"/>
      <c r="B885" s="2"/>
      <c r="C885" s="2"/>
      <c r="D885" s="2"/>
      <c r="E885" s="2"/>
      <c r="F885" s="2"/>
      <c r="G885" s="2"/>
      <c r="H885" s="2"/>
      <c r="I885" s="2"/>
      <c r="J885" s="2"/>
      <c r="K885" s="2"/>
      <c r="L885" s="2"/>
      <c r="M885" s="2"/>
      <c r="N885" s="2"/>
      <c r="O885" s="2"/>
      <c r="P885" s="2"/>
      <c r="Q885" s="2"/>
      <c r="R885" s="2"/>
      <c r="S885" s="2"/>
      <c r="T885" s="2"/>
      <c r="U885" s="2"/>
      <c r="V885" s="2"/>
      <c r="W885" s="2"/>
    </row>
    <row r="886">
      <c r="A886" s="2"/>
      <c r="B886" s="2"/>
      <c r="C886" s="2"/>
      <c r="D886" s="2"/>
      <c r="E886" s="2"/>
      <c r="F886" s="2"/>
      <c r="G886" s="2"/>
      <c r="H886" s="2"/>
      <c r="I886" s="2"/>
      <c r="J886" s="2"/>
      <c r="K886" s="2"/>
      <c r="L886" s="2"/>
      <c r="M886" s="2"/>
      <c r="N886" s="2"/>
      <c r="O886" s="2"/>
      <c r="P886" s="2"/>
      <c r="Q886" s="2"/>
      <c r="R886" s="2"/>
      <c r="S886" s="2"/>
      <c r="T886" s="2"/>
      <c r="U886" s="2"/>
      <c r="V886" s="2"/>
      <c r="W886" s="2"/>
    </row>
    <row r="887">
      <c r="A887" s="2"/>
      <c r="B887" s="2"/>
      <c r="C887" s="2"/>
      <c r="D887" s="2"/>
      <c r="E887" s="2"/>
      <c r="F887" s="2"/>
      <c r="G887" s="2"/>
      <c r="H887" s="2"/>
      <c r="I887" s="2"/>
      <c r="J887" s="2"/>
      <c r="K887" s="2"/>
      <c r="L887" s="2"/>
      <c r="M887" s="2"/>
      <c r="N887" s="2"/>
      <c r="O887" s="2"/>
      <c r="P887" s="2"/>
      <c r="Q887" s="2"/>
      <c r="R887" s="2"/>
      <c r="S887" s="2"/>
      <c r="T887" s="2"/>
      <c r="U887" s="2"/>
      <c r="V887" s="2"/>
      <c r="W887" s="2"/>
    </row>
    <row r="888">
      <c r="A888" s="2"/>
      <c r="B888" s="2"/>
      <c r="C888" s="2"/>
      <c r="D888" s="2"/>
      <c r="E888" s="2"/>
      <c r="F888" s="2"/>
      <c r="G888" s="2"/>
      <c r="H888" s="2"/>
      <c r="I888" s="2"/>
      <c r="J888" s="2"/>
      <c r="K888" s="2"/>
      <c r="L888" s="2"/>
      <c r="M888" s="2"/>
      <c r="N888" s="2"/>
      <c r="O888" s="2"/>
      <c r="P888" s="2"/>
      <c r="Q888" s="2"/>
      <c r="R888" s="2"/>
      <c r="S888" s="2"/>
      <c r="T888" s="2"/>
      <c r="U888" s="2"/>
      <c r="V888" s="2"/>
      <c r="W888" s="2"/>
    </row>
    <row r="889">
      <c r="A889" s="2"/>
      <c r="B889" s="2"/>
      <c r="C889" s="2"/>
      <c r="D889" s="2"/>
      <c r="E889" s="2"/>
      <c r="F889" s="2"/>
      <c r="G889" s="2"/>
      <c r="H889" s="2"/>
      <c r="I889" s="2"/>
      <c r="J889" s="2"/>
      <c r="K889" s="2"/>
      <c r="L889" s="2"/>
      <c r="M889" s="2"/>
      <c r="N889" s="2"/>
      <c r="O889" s="2"/>
      <c r="P889" s="2"/>
      <c r="Q889" s="2"/>
      <c r="R889" s="2"/>
      <c r="S889" s="2"/>
      <c r="T889" s="2"/>
      <c r="U889" s="2"/>
      <c r="V889" s="2"/>
      <c r="W889" s="2"/>
    </row>
    <row r="890">
      <c r="A890" s="2"/>
      <c r="B890" s="2"/>
      <c r="C890" s="2"/>
      <c r="D890" s="2"/>
      <c r="E890" s="2"/>
      <c r="F890" s="2"/>
      <c r="G890" s="2"/>
      <c r="H890" s="2"/>
      <c r="I890" s="2"/>
      <c r="J890" s="2"/>
      <c r="K890" s="2"/>
      <c r="L890" s="2"/>
      <c r="M890" s="2"/>
      <c r="N890" s="2"/>
      <c r="O890" s="2"/>
      <c r="P890" s="2"/>
      <c r="Q890" s="2"/>
      <c r="R890" s="2"/>
      <c r="S890" s="2"/>
      <c r="T890" s="2"/>
      <c r="U890" s="2"/>
      <c r="V890" s="2"/>
      <c r="W890" s="2"/>
    </row>
    <row r="891">
      <c r="A891" s="2"/>
      <c r="B891" s="2"/>
      <c r="C891" s="2"/>
      <c r="D891" s="2"/>
      <c r="E891" s="2"/>
      <c r="F891" s="2"/>
      <c r="G891" s="2"/>
      <c r="H891" s="2"/>
      <c r="I891" s="2"/>
      <c r="J891" s="2"/>
      <c r="K891" s="2"/>
      <c r="L891" s="2"/>
      <c r="M891" s="2"/>
      <c r="N891" s="2"/>
      <c r="O891" s="2"/>
      <c r="P891" s="2"/>
      <c r="Q891" s="2"/>
      <c r="R891" s="2"/>
      <c r="S891" s="2"/>
      <c r="T891" s="2"/>
      <c r="U891" s="2"/>
      <c r="V891" s="2"/>
      <c r="W891" s="2"/>
    </row>
    <row r="892">
      <c r="A892" s="2"/>
      <c r="B892" s="2"/>
      <c r="C892" s="2"/>
      <c r="D892" s="2"/>
      <c r="E892" s="2"/>
      <c r="F892" s="2"/>
      <c r="G892" s="2"/>
      <c r="H892" s="2"/>
      <c r="I892" s="2"/>
      <c r="J892" s="2"/>
      <c r="K892" s="2"/>
      <c r="L892" s="2"/>
      <c r="M892" s="2"/>
      <c r="N892" s="2"/>
      <c r="O892" s="2"/>
      <c r="P892" s="2"/>
      <c r="Q892" s="2"/>
      <c r="R892" s="2"/>
      <c r="S892" s="2"/>
      <c r="T892" s="2"/>
      <c r="U892" s="2"/>
      <c r="V892" s="2"/>
      <c r="W892" s="2"/>
    </row>
    <row r="893">
      <c r="A893" s="2"/>
      <c r="B893" s="2"/>
      <c r="C893" s="2"/>
      <c r="D893" s="2"/>
      <c r="E893" s="2"/>
      <c r="F893" s="2"/>
      <c r="G893" s="2"/>
      <c r="H893" s="2"/>
      <c r="I893" s="2"/>
      <c r="J893" s="2"/>
      <c r="K893" s="2"/>
      <c r="L893" s="2"/>
      <c r="M893" s="2"/>
      <c r="N893" s="2"/>
      <c r="O893" s="2"/>
      <c r="P893" s="2"/>
      <c r="Q893" s="2"/>
      <c r="R893" s="2"/>
      <c r="S893" s="2"/>
      <c r="T893" s="2"/>
      <c r="U893" s="2"/>
      <c r="V893" s="2"/>
      <c r="W893" s="2"/>
    </row>
    <row r="894">
      <c r="A894" s="2"/>
      <c r="B894" s="2"/>
      <c r="C894" s="2"/>
      <c r="D894" s="2"/>
      <c r="E894" s="2"/>
      <c r="F894" s="2"/>
      <c r="G894" s="2"/>
      <c r="H894" s="2"/>
      <c r="I894" s="2"/>
      <c r="J894" s="2"/>
      <c r="K894" s="2"/>
      <c r="L894" s="2"/>
      <c r="M894" s="2"/>
      <c r="N894" s="2"/>
      <c r="O894" s="2"/>
      <c r="P894" s="2"/>
      <c r="Q894" s="2"/>
      <c r="R894" s="2"/>
      <c r="S894" s="2"/>
      <c r="T894" s="2"/>
      <c r="U894" s="2"/>
      <c r="V894" s="2"/>
      <c r="W894" s="2"/>
    </row>
    <row r="895">
      <c r="A895" s="2"/>
      <c r="B895" s="2"/>
      <c r="C895" s="2"/>
      <c r="D895" s="2"/>
      <c r="E895" s="2"/>
      <c r="F895" s="2"/>
      <c r="G895" s="2"/>
      <c r="H895" s="2"/>
      <c r="I895" s="2"/>
      <c r="J895" s="2"/>
      <c r="K895" s="2"/>
      <c r="L895" s="2"/>
      <c r="M895" s="2"/>
      <c r="N895" s="2"/>
      <c r="O895" s="2"/>
      <c r="P895" s="2"/>
      <c r="Q895" s="2"/>
      <c r="R895" s="2"/>
      <c r="S895" s="2"/>
      <c r="T895" s="2"/>
      <c r="U895" s="2"/>
      <c r="V895" s="2"/>
      <c r="W895" s="2"/>
    </row>
    <row r="896">
      <c r="A896" s="2"/>
      <c r="B896" s="2"/>
      <c r="C896" s="2"/>
      <c r="D896" s="2"/>
      <c r="E896" s="2"/>
      <c r="F896" s="2"/>
      <c r="G896" s="2"/>
      <c r="H896" s="2"/>
      <c r="I896" s="2"/>
      <c r="J896" s="2"/>
      <c r="K896" s="2"/>
      <c r="L896" s="2"/>
      <c r="M896" s="2"/>
      <c r="N896" s="2"/>
      <c r="O896" s="2"/>
      <c r="P896" s="2"/>
      <c r="Q896" s="2"/>
      <c r="R896" s="2"/>
      <c r="S896" s="2"/>
      <c r="T896" s="2"/>
      <c r="U896" s="2"/>
      <c r="V896" s="2"/>
      <c r="W896" s="2"/>
    </row>
    <row r="897">
      <c r="A897" s="2"/>
      <c r="B897" s="2"/>
      <c r="C897" s="2"/>
      <c r="D897" s="2"/>
      <c r="E897" s="2"/>
      <c r="F897" s="2"/>
      <c r="G897" s="2"/>
      <c r="H897" s="2"/>
      <c r="I897" s="2"/>
      <c r="J897" s="2"/>
      <c r="K897" s="2"/>
      <c r="L897" s="2"/>
      <c r="M897" s="2"/>
      <c r="N897" s="2"/>
      <c r="O897" s="2"/>
      <c r="P897" s="2"/>
      <c r="Q897" s="2"/>
      <c r="R897" s="2"/>
      <c r="S897" s="2"/>
      <c r="T897" s="2"/>
      <c r="U897" s="2"/>
      <c r="V897" s="2"/>
      <c r="W897" s="2"/>
    </row>
    <row r="898">
      <c r="A898" s="2"/>
      <c r="B898" s="2"/>
      <c r="C898" s="2"/>
      <c r="D898" s="2"/>
      <c r="E898" s="2"/>
      <c r="F898" s="2"/>
      <c r="G898" s="2"/>
      <c r="H898" s="2"/>
      <c r="I898" s="2"/>
      <c r="J898" s="2"/>
      <c r="K898" s="2"/>
      <c r="L898" s="2"/>
      <c r="M898" s="2"/>
      <c r="N898" s="2"/>
      <c r="O898" s="2"/>
      <c r="P898" s="2"/>
      <c r="Q898" s="2"/>
      <c r="R898" s="2"/>
      <c r="S898" s="2"/>
      <c r="T898" s="2"/>
      <c r="U898" s="2"/>
      <c r="V898" s="2"/>
      <c r="W898" s="2"/>
    </row>
    <row r="899">
      <c r="A899" s="2"/>
      <c r="B899" s="2"/>
      <c r="C899" s="2"/>
      <c r="D899" s="2"/>
      <c r="E899" s="2"/>
      <c r="F899" s="2"/>
      <c r="G899" s="2"/>
      <c r="H899" s="2"/>
      <c r="I899" s="2"/>
      <c r="J899" s="2"/>
      <c r="K899" s="2"/>
      <c r="L899" s="2"/>
      <c r="M899" s="2"/>
      <c r="N899" s="2"/>
      <c r="O899" s="2"/>
      <c r="P899" s="2"/>
      <c r="Q899" s="2"/>
      <c r="R899" s="2"/>
      <c r="S899" s="2"/>
      <c r="T899" s="2"/>
      <c r="U899" s="2"/>
      <c r="V899" s="2"/>
      <c r="W899" s="2"/>
    </row>
    <row r="900">
      <c r="A900" s="2"/>
      <c r="B900" s="2"/>
      <c r="C900" s="2"/>
      <c r="D900" s="2"/>
      <c r="E900" s="2"/>
      <c r="F900" s="2"/>
      <c r="G900" s="2"/>
      <c r="H900" s="2"/>
      <c r="I900" s="2"/>
      <c r="J900" s="2"/>
      <c r="K900" s="2"/>
      <c r="L900" s="2"/>
      <c r="M900" s="2"/>
      <c r="N900" s="2"/>
      <c r="O900" s="2"/>
      <c r="P900" s="2"/>
      <c r="Q900" s="2"/>
      <c r="R900" s="2"/>
      <c r="S900" s="2"/>
      <c r="T900" s="2"/>
      <c r="U900" s="2"/>
      <c r="V900" s="2"/>
      <c r="W900" s="2"/>
    </row>
    <row r="901">
      <c r="A901" s="2"/>
      <c r="B901" s="2"/>
      <c r="C901" s="2"/>
      <c r="D901" s="2"/>
      <c r="E901" s="2"/>
      <c r="F901" s="2"/>
      <c r="G901" s="2"/>
      <c r="H901" s="2"/>
      <c r="I901" s="2"/>
      <c r="J901" s="2"/>
      <c r="K901" s="2"/>
      <c r="L901" s="2"/>
      <c r="M901" s="2"/>
      <c r="N901" s="2"/>
      <c r="O901" s="2"/>
      <c r="P901" s="2"/>
      <c r="Q901" s="2"/>
      <c r="R901" s="2"/>
      <c r="S901" s="2"/>
      <c r="T901" s="2"/>
      <c r="U901" s="2"/>
      <c r="V901" s="2"/>
      <c r="W901" s="2"/>
    </row>
    <row r="902">
      <c r="A902" s="2"/>
      <c r="B902" s="2"/>
      <c r="C902" s="2"/>
      <c r="D902" s="2"/>
      <c r="E902" s="2"/>
      <c r="F902" s="2"/>
      <c r="G902" s="2"/>
      <c r="H902" s="2"/>
      <c r="I902" s="2"/>
      <c r="J902" s="2"/>
      <c r="K902" s="2"/>
      <c r="L902" s="2"/>
      <c r="M902" s="2"/>
      <c r="N902" s="2"/>
      <c r="O902" s="2"/>
      <c r="P902" s="2"/>
      <c r="Q902" s="2"/>
      <c r="R902" s="2"/>
      <c r="S902" s="2"/>
      <c r="T902" s="2"/>
      <c r="U902" s="2"/>
      <c r="V902" s="2"/>
      <c r="W902" s="2"/>
    </row>
    <row r="903">
      <c r="A903" s="2"/>
      <c r="B903" s="2"/>
      <c r="C903" s="2"/>
      <c r="D903" s="2"/>
      <c r="E903" s="2"/>
      <c r="F903" s="2"/>
      <c r="G903" s="2"/>
      <c r="H903" s="2"/>
      <c r="I903" s="2"/>
      <c r="J903" s="2"/>
      <c r="K903" s="2"/>
      <c r="L903" s="2"/>
      <c r="M903" s="2"/>
      <c r="N903" s="2"/>
      <c r="O903" s="2"/>
      <c r="P903" s="2"/>
      <c r="Q903" s="2"/>
      <c r="R903" s="2"/>
      <c r="S903" s="2"/>
      <c r="T903" s="2"/>
      <c r="U903" s="2"/>
      <c r="V903" s="2"/>
      <c r="W903" s="2"/>
    </row>
    <row r="904">
      <c r="A904" s="2"/>
      <c r="B904" s="2"/>
      <c r="C904" s="2"/>
      <c r="D904" s="2"/>
      <c r="E904" s="2"/>
      <c r="F904" s="2"/>
      <c r="G904" s="2"/>
      <c r="H904" s="2"/>
      <c r="I904" s="2"/>
      <c r="J904" s="2"/>
      <c r="K904" s="2"/>
      <c r="L904" s="2"/>
      <c r="M904" s="2"/>
      <c r="N904" s="2"/>
      <c r="O904" s="2"/>
      <c r="P904" s="2"/>
      <c r="Q904" s="2"/>
      <c r="R904" s="2"/>
      <c r="S904" s="2"/>
      <c r="T904" s="2"/>
      <c r="U904" s="2"/>
      <c r="V904" s="2"/>
      <c r="W904" s="2"/>
    </row>
    <row r="905">
      <c r="A905" s="2"/>
      <c r="B905" s="2"/>
      <c r="C905" s="2"/>
      <c r="D905" s="2"/>
      <c r="E905" s="2"/>
      <c r="F905" s="2"/>
      <c r="G905" s="2"/>
      <c r="H905" s="2"/>
      <c r="I905" s="2"/>
      <c r="J905" s="2"/>
      <c r="K905" s="2"/>
      <c r="L905" s="2"/>
      <c r="M905" s="2"/>
      <c r="N905" s="2"/>
      <c r="O905" s="2"/>
      <c r="P905" s="2"/>
      <c r="Q905" s="2"/>
      <c r="R905" s="2"/>
      <c r="S905" s="2"/>
      <c r="T905" s="2"/>
      <c r="U905" s="2"/>
      <c r="V905" s="2"/>
      <c r="W905" s="2"/>
    </row>
    <row r="906">
      <c r="A906" s="2"/>
      <c r="B906" s="2"/>
      <c r="C906" s="2"/>
      <c r="D906" s="2"/>
      <c r="E906" s="2"/>
      <c r="F906" s="2"/>
      <c r="G906" s="2"/>
      <c r="H906" s="2"/>
      <c r="I906" s="2"/>
      <c r="J906" s="2"/>
      <c r="K906" s="2"/>
      <c r="L906" s="2"/>
      <c r="M906" s="2"/>
      <c r="N906" s="2"/>
      <c r="O906" s="2"/>
      <c r="P906" s="2"/>
      <c r="Q906" s="2"/>
      <c r="R906" s="2"/>
      <c r="S906" s="2"/>
      <c r="T906" s="2"/>
      <c r="U906" s="2"/>
      <c r="V906" s="2"/>
      <c r="W906" s="2"/>
    </row>
    <row r="907">
      <c r="A907" s="2"/>
      <c r="B907" s="2"/>
      <c r="C907" s="2"/>
      <c r="D907" s="2"/>
      <c r="E907" s="2"/>
      <c r="F907" s="2"/>
      <c r="G907" s="2"/>
      <c r="H907" s="2"/>
      <c r="I907" s="2"/>
      <c r="J907" s="2"/>
      <c r="K907" s="2"/>
      <c r="L907" s="2"/>
      <c r="M907" s="2"/>
      <c r="N907" s="2"/>
      <c r="O907" s="2"/>
      <c r="P907" s="2"/>
      <c r="Q907" s="2"/>
      <c r="R907" s="2"/>
      <c r="S907" s="2"/>
      <c r="T907" s="2"/>
      <c r="U907" s="2"/>
      <c r="V907" s="2"/>
      <c r="W907" s="2"/>
    </row>
    <row r="908">
      <c r="A908" s="2"/>
      <c r="B908" s="2"/>
      <c r="C908" s="2"/>
      <c r="D908" s="2"/>
      <c r="E908" s="2"/>
      <c r="F908" s="2"/>
      <c r="G908" s="2"/>
      <c r="H908" s="2"/>
      <c r="I908" s="2"/>
      <c r="J908" s="2"/>
      <c r="K908" s="2"/>
      <c r="L908" s="2"/>
      <c r="M908" s="2"/>
      <c r="N908" s="2"/>
      <c r="O908" s="2"/>
      <c r="P908" s="2"/>
      <c r="Q908" s="2"/>
      <c r="R908" s="2"/>
      <c r="S908" s="2"/>
      <c r="T908" s="2"/>
      <c r="U908" s="2"/>
      <c r="V908" s="2"/>
      <c r="W908" s="2"/>
    </row>
    <row r="909">
      <c r="A909" s="2"/>
      <c r="B909" s="2"/>
      <c r="C909" s="2"/>
      <c r="D909" s="2"/>
      <c r="E909" s="2"/>
      <c r="F909" s="2"/>
      <c r="G909" s="2"/>
      <c r="H909" s="2"/>
      <c r="I909" s="2"/>
      <c r="J909" s="2"/>
      <c r="K909" s="2"/>
      <c r="L909" s="2"/>
      <c r="M909" s="2"/>
      <c r="N909" s="2"/>
      <c r="O909" s="2"/>
      <c r="P909" s="2"/>
      <c r="Q909" s="2"/>
      <c r="R909" s="2"/>
      <c r="S909" s="2"/>
      <c r="T909" s="2"/>
      <c r="U909" s="2"/>
      <c r="V909" s="2"/>
      <c r="W909" s="2"/>
    </row>
    <row r="910">
      <c r="A910" s="2"/>
      <c r="B910" s="2"/>
      <c r="C910" s="2"/>
      <c r="D910" s="2"/>
      <c r="E910" s="2"/>
      <c r="F910" s="2"/>
      <c r="G910" s="2"/>
      <c r="H910" s="2"/>
      <c r="I910" s="2"/>
      <c r="J910" s="2"/>
      <c r="K910" s="2"/>
      <c r="L910" s="2"/>
      <c r="M910" s="2"/>
      <c r="N910" s="2"/>
      <c r="O910" s="2"/>
      <c r="P910" s="2"/>
      <c r="Q910" s="2"/>
      <c r="R910" s="2"/>
      <c r="S910" s="2"/>
      <c r="T910" s="2"/>
      <c r="U910" s="2"/>
      <c r="V910" s="2"/>
      <c r="W910" s="2"/>
    </row>
    <row r="911">
      <c r="A911" s="2"/>
      <c r="B911" s="2"/>
      <c r="C911" s="2"/>
      <c r="D911" s="2"/>
      <c r="E911" s="2"/>
      <c r="F911" s="2"/>
      <c r="G911" s="2"/>
      <c r="H911" s="2"/>
      <c r="I911" s="2"/>
      <c r="J911" s="2"/>
      <c r="K911" s="2"/>
      <c r="L911" s="2"/>
      <c r="M911" s="2"/>
      <c r="N911" s="2"/>
      <c r="O911" s="2"/>
      <c r="P911" s="2"/>
      <c r="Q911" s="2"/>
      <c r="R911" s="2"/>
      <c r="S911" s="2"/>
      <c r="T911" s="2"/>
      <c r="U911" s="2"/>
      <c r="V911" s="2"/>
      <c r="W911" s="2"/>
    </row>
    <row r="912">
      <c r="A912" s="2"/>
      <c r="B912" s="2"/>
      <c r="C912" s="2"/>
      <c r="D912" s="2"/>
      <c r="E912" s="2"/>
      <c r="F912" s="2"/>
      <c r="G912" s="2"/>
      <c r="H912" s="2"/>
      <c r="I912" s="2"/>
      <c r="J912" s="2"/>
      <c r="K912" s="2"/>
      <c r="L912" s="2"/>
      <c r="M912" s="2"/>
      <c r="N912" s="2"/>
      <c r="O912" s="2"/>
      <c r="P912" s="2"/>
      <c r="Q912" s="2"/>
      <c r="R912" s="2"/>
      <c r="S912" s="2"/>
      <c r="T912" s="2"/>
      <c r="U912" s="2"/>
      <c r="V912" s="2"/>
      <c r="W912" s="2"/>
    </row>
    <row r="913">
      <c r="A913" s="2"/>
      <c r="B913" s="2"/>
      <c r="C913" s="2"/>
      <c r="D913" s="2"/>
      <c r="E913" s="2"/>
      <c r="F913" s="2"/>
      <c r="G913" s="2"/>
      <c r="H913" s="2"/>
      <c r="I913" s="2"/>
      <c r="J913" s="2"/>
      <c r="K913" s="2"/>
      <c r="L913" s="2"/>
      <c r="M913" s="2"/>
      <c r="N913" s="2"/>
      <c r="O913" s="2"/>
      <c r="P913" s="2"/>
      <c r="Q913" s="2"/>
      <c r="R913" s="2"/>
      <c r="S913" s="2"/>
      <c r="T913" s="2"/>
      <c r="U913" s="2"/>
      <c r="V913" s="2"/>
      <c r="W913" s="2"/>
    </row>
    <row r="914">
      <c r="A914" s="2"/>
      <c r="B914" s="2"/>
      <c r="C914" s="2"/>
      <c r="D914" s="2"/>
      <c r="E914" s="2"/>
      <c r="F914" s="2"/>
      <c r="G914" s="2"/>
      <c r="H914" s="2"/>
      <c r="I914" s="2"/>
      <c r="J914" s="2"/>
      <c r="K914" s="2"/>
      <c r="L914" s="2"/>
      <c r="M914" s="2"/>
      <c r="N914" s="2"/>
      <c r="O914" s="2"/>
      <c r="P914" s="2"/>
      <c r="Q914" s="2"/>
      <c r="R914" s="2"/>
      <c r="S914" s="2"/>
      <c r="T914" s="2"/>
      <c r="U914" s="2"/>
      <c r="V914" s="2"/>
      <c r="W914" s="2"/>
    </row>
    <row r="915">
      <c r="A915" s="2"/>
      <c r="B915" s="2"/>
      <c r="C915" s="2"/>
      <c r="D915" s="2"/>
      <c r="E915" s="2"/>
      <c r="F915" s="2"/>
      <c r="G915" s="2"/>
      <c r="H915" s="2"/>
      <c r="I915" s="2"/>
      <c r="J915" s="2"/>
      <c r="K915" s="2"/>
      <c r="L915" s="2"/>
      <c r="M915" s="2"/>
      <c r="N915" s="2"/>
      <c r="O915" s="2"/>
      <c r="P915" s="2"/>
      <c r="Q915" s="2"/>
      <c r="R915" s="2"/>
      <c r="S915" s="2"/>
      <c r="T915" s="2"/>
      <c r="U915" s="2"/>
      <c r="V915" s="2"/>
      <c r="W915" s="2"/>
    </row>
    <row r="916">
      <c r="A916" s="2"/>
      <c r="B916" s="2"/>
      <c r="C916" s="2"/>
      <c r="D916" s="2"/>
      <c r="E916" s="2"/>
      <c r="F916" s="2"/>
      <c r="G916" s="2"/>
      <c r="H916" s="2"/>
      <c r="I916" s="2"/>
      <c r="J916" s="2"/>
      <c r="K916" s="2"/>
      <c r="L916" s="2"/>
      <c r="M916" s="2"/>
      <c r="N916" s="2"/>
      <c r="O916" s="2"/>
      <c r="P916" s="2"/>
      <c r="Q916" s="2"/>
      <c r="R916" s="2"/>
      <c r="S916" s="2"/>
      <c r="T916" s="2"/>
      <c r="U916" s="2"/>
      <c r="V916" s="2"/>
      <c r="W916" s="2"/>
    </row>
    <row r="917">
      <c r="A917" s="2"/>
      <c r="B917" s="2"/>
      <c r="C917" s="2"/>
      <c r="D917" s="2"/>
      <c r="E917" s="2"/>
      <c r="F917" s="2"/>
      <c r="G917" s="2"/>
      <c r="H917" s="2"/>
      <c r="I917" s="2"/>
      <c r="J917" s="2"/>
      <c r="K917" s="2"/>
      <c r="L917" s="2"/>
      <c r="M917" s="2"/>
      <c r="N917" s="2"/>
      <c r="O917" s="2"/>
      <c r="P917" s="2"/>
      <c r="Q917" s="2"/>
      <c r="R917" s="2"/>
      <c r="S917" s="2"/>
      <c r="T917" s="2"/>
      <c r="U917" s="2"/>
      <c r="V917" s="2"/>
      <c r="W917" s="2"/>
    </row>
    <row r="918">
      <c r="A918" s="2"/>
      <c r="B918" s="2"/>
      <c r="C918" s="2"/>
      <c r="D918" s="2"/>
      <c r="E918" s="2"/>
      <c r="F918" s="2"/>
      <c r="G918" s="2"/>
      <c r="H918" s="2"/>
      <c r="I918" s="2"/>
      <c r="J918" s="2"/>
      <c r="K918" s="2"/>
      <c r="L918" s="2"/>
      <c r="M918" s="2"/>
      <c r="N918" s="2"/>
      <c r="O918" s="2"/>
      <c r="P918" s="2"/>
      <c r="Q918" s="2"/>
      <c r="R918" s="2"/>
      <c r="S918" s="2"/>
      <c r="T918" s="2"/>
      <c r="U918" s="2"/>
      <c r="V918" s="2"/>
      <c r="W918" s="2"/>
    </row>
    <row r="919">
      <c r="A919" s="2"/>
      <c r="B919" s="2"/>
      <c r="C919" s="2"/>
      <c r="D919" s="2"/>
      <c r="E919" s="2"/>
      <c r="F919" s="2"/>
      <c r="G919" s="2"/>
      <c r="H919" s="2"/>
      <c r="I919" s="2"/>
      <c r="J919" s="2"/>
      <c r="K919" s="2"/>
      <c r="L919" s="2"/>
      <c r="M919" s="2"/>
      <c r="N919" s="2"/>
      <c r="O919" s="2"/>
      <c r="P919" s="2"/>
      <c r="Q919" s="2"/>
      <c r="R919" s="2"/>
      <c r="S919" s="2"/>
      <c r="T919" s="2"/>
      <c r="U919" s="2"/>
      <c r="V919" s="2"/>
      <c r="W919" s="2"/>
    </row>
    <row r="920">
      <c r="A920" s="2"/>
      <c r="B920" s="2"/>
      <c r="C920" s="2"/>
      <c r="D920" s="2"/>
      <c r="E920" s="2"/>
      <c r="F920" s="2"/>
      <c r="G920" s="2"/>
      <c r="H920" s="2"/>
      <c r="I920" s="2"/>
      <c r="J920" s="2"/>
      <c r="K920" s="2"/>
      <c r="L920" s="2"/>
      <c r="M920" s="2"/>
      <c r="N920" s="2"/>
      <c r="O920" s="2"/>
      <c r="P920" s="2"/>
      <c r="Q920" s="2"/>
      <c r="R920" s="2"/>
      <c r="S920" s="2"/>
      <c r="T920" s="2"/>
      <c r="U920" s="2"/>
      <c r="V920" s="2"/>
      <c r="W920" s="2"/>
    </row>
    <row r="921">
      <c r="A921" s="2"/>
      <c r="B921" s="2"/>
      <c r="C921" s="2"/>
      <c r="D921" s="2"/>
      <c r="E921" s="2"/>
      <c r="F921" s="2"/>
      <c r="G921" s="2"/>
      <c r="H921" s="2"/>
      <c r="I921" s="2"/>
      <c r="J921" s="2"/>
      <c r="K921" s="2"/>
      <c r="L921" s="2"/>
      <c r="M921" s="2"/>
      <c r="N921" s="2"/>
      <c r="O921" s="2"/>
      <c r="P921" s="2"/>
      <c r="Q921" s="2"/>
      <c r="R921" s="2"/>
      <c r="S921" s="2"/>
      <c r="T921" s="2"/>
      <c r="U921" s="2"/>
      <c r="V921" s="2"/>
      <c r="W921" s="2"/>
    </row>
    <row r="922">
      <c r="A922" s="2"/>
      <c r="B922" s="2"/>
      <c r="C922" s="2"/>
      <c r="D922" s="2"/>
      <c r="E922" s="2"/>
      <c r="F922" s="2"/>
      <c r="G922" s="2"/>
      <c r="H922" s="2"/>
      <c r="I922" s="2"/>
      <c r="J922" s="2"/>
      <c r="K922" s="2"/>
      <c r="L922" s="2"/>
      <c r="M922" s="2"/>
      <c r="N922" s="2"/>
      <c r="O922" s="2"/>
      <c r="P922" s="2"/>
      <c r="Q922" s="2"/>
      <c r="R922" s="2"/>
      <c r="S922" s="2"/>
      <c r="T922" s="2"/>
      <c r="U922" s="2"/>
      <c r="V922" s="2"/>
      <c r="W922" s="2"/>
    </row>
    <row r="923">
      <c r="A923" s="2"/>
      <c r="B923" s="2"/>
      <c r="C923" s="2"/>
      <c r="D923" s="2"/>
      <c r="E923" s="2"/>
      <c r="F923" s="2"/>
      <c r="G923" s="2"/>
      <c r="H923" s="2"/>
      <c r="I923" s="2"/>
      <c r="J923" s="2"/>
      <c r="K923" s="2"/>
      <c r="L923" s="2"/>
      <c r="M923" s="2"/>
      <c r="N923" s="2"/>
      <c r="O923" s="2"/>
      <c r="P923" s="2"/>
      <c r="Q923" s="2"/>
      <c r="R923" s="2"/>
      <c r="S923" s="2"/>
      <c r="T923" s="2"/>
      <c r="U923" s="2"/>
      <c r="V923" s="2"/>
      <c r="W923" s="2"/>
    </row>
    <row r="924">
      <c r="A924" s="2"/>
      <c r="B924" s="2"/>
      <c r="C924" s="2"/>
      <c r="D924" s="2"/>
      <c r="E924" s="2"/>
      <c r="F924" s="2"/>
      <c r="G924" s="2"/>
      <c r="H924" s="2"/>
      <c r="I924" s="2"/>
      <c r="J924" s="2"/>
      <c r="K924" s="2"/>
      <c r="L924" s="2"/>
      <c r="M924" s="2"/>
      <c r="N924" s="2"/>
      <c r="O924" s="2"/>
      <c r="P924" s="2"/>
      <c r="Q924" s="2"/>
      <c r="R924" s="2"/>
      <c r="S924" s="2"/>
      <c r="T924" s="2"/>
      <c r="U924" s="2"/>
      <c r="V924" s="2"/>
      <c r="W924" s="2"/>
    </row>
    <row r="925">
      <c r="A925" s="2"/>
      <c r="B925" s="2"/>
      <c r="C925" s="2"/>
      <c r="D925" s="2"/>
      <c r="E925" s="2"/>
      <c r="F925" s="2"/>
      <c r="G925" s="2"/>
      <c r="H925" s="2"/>
      <c r="I925" s="2"/>
      <c r="J925" s="2"/>
      <c r="K925" s="2"/>
      <c r="L925" s="2"/>
      <c r="M925" s="2"/>
      <c r="N925" s="2"/>
      <c r="O925" s="2"/>
      <c r="P925" s="2"/>
      <c r="Q925" s="2"/>
      <c r="R925" s="2"/>
      <c r="S925" s="2"/>
      <c r="T925" s="2"/>
      <c r="U925" s="2"/>
      <c r="V925" s="2"/>
      <c r="W925" s="2"/>
    </row>
    <row r="926">
      <c r="A926" s="2"/>
      <c r="B926" s="2"/>
      <c r="C926" s="2"/>
      <c r="D926" s="2"/>
      <c r="E926" s="2"/>
      <c r="F926" s="2"/>
      <c r="G926" s="2"/>
      <c r="H926" s="2"/>
      <c r="I926" s="2"/>
      <c r="J926" s="2"/>
      <c r="K926" s="2"/>
      <c r="L926" s="2"/>
      <c r="M926" s="2"/>
      <c r="N926" s="2"/>
      <c r="O926" s="2"/>
      <c r="P926" s="2"/>
      <c r="Q926" s="2"/>
      <c r="R926" s="2"/>
      <c r="S926" s="2"/>
      <c r="T926" s="2"/>
      <c r="U926" s="2"/>
      <c r="V926" s="2"/>
      <c r="W926" s="2"/>
    </row>
    <row r="927">
      <c r="A927" s="2"/>
      <c r="B927" s="2"/>
      <c r="C927" s="2"/>
      <c r="D927" s="2"/>
      <c r="E927" s="2"/>
      <c r="F927" s="2"/>
      <c r="G927" s="2"/>
      <c r="H927" s="2"/>
      <c r="I927" s="2"/>
      <c r="J927" s="2"/>
      <c r="K927" s="2"/>
      <c r="L927" s="2"/>
      <c r="M927" s="2"/>
      <c r="N927" s="2"/>
      <c r="O927" s="2"/>
      <c r="P927" s="2"/>
      <c r="Q927" s="2"/>
      <c r="R927" s="2"/>
      <c r="S927" s="2"/>
      <c r="T927" s="2"/>
      <c r="U927" s="2"/>
      <c r="V927" s="2"/>
      <c r="W927" s="2"/>
    </row>
    <row r="928">
      <c r="A928" s="2"/>
      <c r="B928" s="2"/>
      <c r="C928" s="2"/>
      <c r="D928" s="2"/>
      <c r="E928" s="2"/>
      <c r="F928" s="2"/>
      <c r="G928" s="2"/>
      <c r="H928" s="2"/>
      <c r="I928" s="2"/>
      <c r="J928" s="2"/>
      <c r="K928" s="2"/>
      <c r="L928" s="2"/>
      <c r="M928" s="2"/>
      <c r="N928" s="2"/>
      <c r="O928" s="2"/>
      <c r="P928" s="2"/>
      <c r="Q928" s="2"/>
      <c r="R928" s="2"/>
      <c r="S928" s="2"/>
      <c r="T928" s="2"/>
      <c r="U928" s="2"/>
      <c r="V928" s="2"/>
      <c r="W928" s="2"/>
    </row>
    <row r="929">
      <c r="A929" s="2"/>
      <c r="B929" s="2"/>
      <c r="C929" s="2"/>
      <c r="D929" s="2"/>
      <c r="E929" s="2"/>
      <c r="F929" s="2"/>
      <c r="G929" s="2"/>
      <c r="H929" s="2"/>
      <c r="I929" s="2"/>
      <c r="J929" s="2"/>
      <c r="K929" s="2"/>
      <c r="L929" s="2"/>
      <c r="M929" s="2"/>
      <c r="N929" s="2"/>
      <c r="O929" s="2"/>
      <c r="P929" s="2"/>
      <c r="Q929" s="2"/>
      <c r="R929" s="2"/>
      <c r="S929" s="2"/>
      <c r="T929" s="2"/>
      <c r="U929" s="2"/>
      <c r="V929" s="2"/>
      <c r="W929" s="2"/>
    </row>
    <row r="930">
      <c r="A930" s="2"/>
      <c r="B930" s="2"/>
      <c r="C930" s="2"/>
      <c r="D930" s="2"/>
      <c r="E930" s="2"/>
      <c r="F930" s="2"/>
      <c r="G930" s="2"/>
      <c r="H930" s="2"/>
      <c r="I930" s="2"/>
      <c r="J930" s="2"/>
      <c r="K930" s="2"/>
      <c r="L930" s="2"/>
      <c r="M930" s="2"/>
      <c r="N930" s="2"/>
      <c r="O930" s="2"/>
      <c r="P930" s="2"/>
      <c r="Q930" s="2"/>
      <c r="R930" s="2"/>
      <c r="S930" s="2"/>
      <c r="T930" s="2"/>
      <c r="U930" s="2"/>
      <c r="V930" s="2"/>
      <c r="W930" s="2"/>
    </row>
    <row r="931">
      <c r="A931" s="2"/>
      <c r="B931" s="2"/>
      <c r="C931" s="2"/>
      <c r="D931" s="2"/>
      <c r="E931" s="2"/>
      <c r="F931" s="2"/>
      <c r="G931" s="2"/>
      <c r="H931" s="2"/>
      <c r="I931" s="2"/>
      <c r="J931" s="2"/>
      <c r="K931" s="2"/>
      <c r="L931" s="2"/>
      <c r="M931" s="2"/>
      <c r="N931" s="2"/>
      <c r="O931" s="2"/>
      <c r="P931" s="2"/>
      <c r="Q931" s="2"/>
      <c r="R931" s="2"/>
      <c r="S931" s="2"/>
      <c r="T931" s="2"/>
      <c r="U931" s="2"/>
      <c r="V931" s="2"/>
      <c r="W931" s="2"/>
    </row>
    <row r="932">
      <c r="A932" s="2"/>
      <c r="B932" s="2"/>
      <c r="C932" s="2"/>
      <c r="D932" s="2"/>
      <c r="E932" s="2"/>
      <c r="F932" s="2"/>
      <c r="G932" s="2"/>
      <c r="H932" s="2"/>
      <c r="I932" s="2"/>
      <c r="J932" s="2"/>
      <c r="K932" s="2"/>
      <c r="L932" s="2"/>
      <c r="M932" s="2"/>
      <c r="N932" s="2"/>
      <c r="O932" s="2"/>
      <c r="P932" s="2"/>
      <c r="Q932" s="2"/>
      <c r="R932" s="2"/>
      <c r="S932" s="2"/>
      <c r="T932" s="2"/>
      <c r="U932" s="2"/>
      <c r="V932" s="2"/>
      <c r="W932" s="2"/>
    </row>
    <row r="933">
      <c r="A933" s="2"/>
      <c r="B933" s="2"/>
      <c r="C933" s="2"/>
      <c r="D933" s="2"/>
      <c r="E933" s="2"/>
      <c r="F933" s="2"/>
      <c r="G933" s="2"/>
      <c r="H933" s="2"/>
      <c r="I933" s="2"/>
      <c r="J933" s="2"/>
      <c r="K933" s="2"/>
      <c r="L933" s="2"/>
      <c r="M933" s="2"/>
      <c r="N933" s="2"/>
      <c r="O933" s="2"/>
      <c r="P933" s="2"/>
      <c r="Q933" s="2"/>
      <c r="R933" s="2"/>
      <c r="S933" s="2"/>
      <c r="T933" s="2"/>
      <c r="U933" s="2"/>
      <c r="V933" s="2"/>
      <c r="W933" s="2"/>
    </row>
    <row r="934">
      <c r="A934" s="2"/>
      <c r="B934" s="2"/>
      <c r="C934" s="2"/>
      <c r="D934" s="2"/>
      <c r="E934" s="2"/>
      <c r="F934" s="2"/>
      <c r="G934" s="2"/>
      <c r="H934" s="2"/>
      <c r="I934" s="2"/>
      <c r="J934" s="2"/>
      <c r="K934" s="2"/>
      <c r="L934" s="2"/>
      <c r="M934" s="2"/>
      <c r="N934" s="2"/>
      <c r="O934" s="2"/>
      <c r="P934" s="2"/>
      <c r="Q934" s="2"/>
      <c r="R934" s="2"/>
      <c r="S934" s="2"/>
      <c r="T934" s="2"/>
      <c r="U934" s="2"/>
      <c r="V934" s="2"/>
      <c r="W934" s="2"/>
    </row>
    <row r="935">
      <c r="A935" s="2"/>
      <c r="B935" s="2"/>
      <c r="C935" s="2"/>
      <c r="D935" s="2"/>
      <c r="E935" s="2"/>
      <c r="F935" s="2"/>
      <c r="G935" s="2"/>
      <c r="H935" s="2"/>
      <c r="I935" s="2"/>
      <c r="J935" s="2"/>
      <c r="K935" s="2"/>
      <c r="L935" s="2"/>
      <c r="M935" s="2"/>
      <c r="N935" s="2"/>
      <c r="O935" s="2"/>
      <c r="P935" s="2"/>
      <c r="Q935" s="2"/>
      <c r="R935" s="2"/>
      <c r="S935" s="2"/>
      <c r="T935" s="2"/>
      <c r="U935" s="2"/>
      <c r="V935" s="2"/>
      <c r="W935" s="2"/>
    </row>
    <row r="936">
      <c r="A936" s="2"/>
      <c r="B936" s="2"/>
      <c r="C936" s="2"/>
      <c r="D936" s="2"/>
      <c r="E936" s="2"/>
      <c r="F936" s="2"/>
      <c r="G936" s="2"/>
      <c r="H936" s="2"/>
      <c r="I936" s="2"/>
      <c r="J936" s="2"/>
      <c r="K936" s="2"/>
      <c r="L936" s="2"/>
      <c r="M936" s="2"/>
      <c r="N936" s="2"/>
      <c r="O936" s="2"/>
      <c r="P936" s="2"/>
      <c r="Q936" s="2"/>
      <c r="R936" s="2"/>
      <c r="S936" s="2"/>
      <c r="T936" s="2"/>
      <c r="U936" s="2"/>
      <c r="V936" s="2"/>
      <c r="W936" s="2"/>
    </row>
    <row r="937">
      <c r="A937" s="2"/>
      <c r="B937" s="2"/>
      <c r="C937" s="2"/>
      <c r="D937" s="2"/>
      <c r="E937" s="2"/>
      <c r="F937" s="2"/>
      <c r="G937" s="2"/>
      <c r="H937" s="2"/>
      <c r="I937" s="2"/>
      <c r="J937" s="2"/>
      <c r="K937" s="2"/>
      <c r="L937" s="2"/>
      <c r="M937" s="2"/>
      <c r="N937" s="2"/>
      <c r="O937" s="2"/>
      <c r="P937" s="2"/>
      <c r="Q937" s="2"/>
      <c r="R937" s="2"/>
      <c r="S937" s="2"/>
      <c r="T937" s="2"/>
      <c r="U937" s="2"/>
      <c r="V937" s="2"/>
      <c r="W937" s="2"/>
    </row>
    <row r="938">
      <c r="A938" s="2"/>
      <c r="B938" s="2"/>
      <c r="C938" s="2"/>
      <c r="D938" s="2"/>
      <c r="E938" s="2"/>
      <c r="F938" s="2"/>
      <c r="G938" s="2"/>
      <c r="H938" s="2"/>
      <c r="I938" s="2"/>
      <c r="J938" s="2"/>
      <c r="K938" s="2"/>
      <c r="L938" s="2"/>
      <c r="M938" s="2"/>
      <c r="N938" s="2"/>
      <c r="O938" s="2"/>
      <c r="P938" s="2"/>
      <c r="Q938" s="2"/>
      <c r="R938" s="2"/>
      <c r="S938" s="2"/>
      <c r="T938" s="2"/>
      <c r="U938" s="2"/>
      <c r="V938" s="2"/>
      <c r="W938" s="2"/>
    </row>
    <row r="939">
      <c r="A939" s="2"/>
      <c r="B939" s="2"/>
      <c r="C939" s="2"/>
      <c r="D939" s="2"/>
      <c r="E939" s="2"/>
      <c r="F939" s="2"/>
      <c r="G939" s="2"/>
      <c r="H939" s="2"/>
      <c r="I939" s="2"/>
      <c r="J939" s="2"/>
      <c r="K939" s="2"/>
      <c r="L939" s="2"/>
      <c r="M939" s="2"/>
      <c r="N939" s="2"/>
      <c r="O939" s="2"/>
      <c r="P939" s="2"/>
      <c r="Q939" s="2"/>
      <c r="R939" s="2"/>
      <c r="S939" s="2"/>
      <c r="T939" s="2"/>
      <c r="U939" s="2"/>
      <c r="V939" s="2"/>
      <c r="W939" s="2"/>
    </row>
    <row r="940">
      <c r="A940" s="2"/>
      <c r="B940" s="2"/>
      <c r="C940" s="2"/>
      <c r="D940" s="2"/>
      <c r="E940" s="2"/>
      <c r="F940" s="2"/>
      <c r="G940" s="2"/>
      <c r="H940" s="2"/>
      <c r="I940" s="2"/>
      <c r="J940" s="2"/>
      <c r="K940" s="2"/>
      <c r="L940" s="2"/>
      <c r="M940" s="2"/>
      <c r="N940" s="2"/>
      <c r="O940" s="2"/>
      <c r="P940" s="2"/>
      <c r="Q940" s="2"/>
      <c r="R940" s="2"/>
      <c r="S940" s="2"/>
      <c r="T940" s="2"/>
      <c r="U940" s="2"/>
      <c r="V940" s="2"/>
      <c r="W940" s="2"/>
    </row>
    <row r="941">
      <c r="A941" s="2"/>
      <c r="B941" s="2"/>
      <c r="C941" s="2"/>
      <c r="D941" s="2"/>
      <c r="E941" s="2"/>
      <c r="F941" s="2"/>
      <c r="G941" s="2"/>
      <c r="H941" s="2"/>
      <c r="I941" s="2"/>
      <c r="J941" s="2"/>
      <c r="K941" s="2"/>
      <c r="L941" s="2"/>
      <c r="M941" s="2"/>
      <c r="N941" s="2"/>
      <c r="O941" s="2"/>
      <c r="P941" s="2"/>
      <c r="Q941" s="2"/>
      <c r="R941" s="2"/>
      <c r="S941" s="2"/>
      <c r="T941" s="2"/>
      <c r="U941" s="2"/>
      <c r="V941" s="2"/>
      <c r="W941" s="2"/>
    </row>
    <row r="942">
      <c r="A942" s="2"/>
      <c r="B942" s="2"/>
      <c r="C942" s="2"/>
      <c r="D942" s="2"/>
      <c r="E942" s="2"/>
      <c r="F942" s="2"/>
      <c r="G942" s="2"/>
      <c r="H942" s="2"/>
      <c r="I942" s="2"/>
      <c r="J942" s="2"/>
      <c r="K942" s="2"/>
      <c r="L942" s="2"/>
      <c r="M942" s="2"/>
      <c r="N942" s="2"/>
      <c r="O942" s="2"/>
      <c r="P942" s="2"/>
      <c r="Q942" s="2"/>
      <c r="R942" s="2"/>
      <c r="S942" s="2"/>
      <c r="T942" s="2"/>
      <c r="U942" s="2"/>
      <c r="V942" s="2"/>
      <c r="W942" s="2"/>
    </row>
    <row r="943">
      <c r="A943" s="2"/>
      <c r="B943" s="2"/>
      <c r="C943" s="2"/>
      <c r="D943" s="2"/>
      <c r="E943" s="2"/>
      <c r="F943" s="2"/>
      <c r="G943" s="2"/>
      <c r="H943" s="2"/>
      <c r="I943" s="2"/>
      <c r="J943" s="2"/>
      <c r="K943" s="2"/>
      <c r="L943" s="2"/>
      <c r="M943" s="2"/>
      <c r="N943" s="2"/>
      <c r="O943" s="2"/>
      <c r="P943" s="2"/>
      <c r="Q943" s="2"/>
      <c r="R943" s="2"/>
      <c r="S943" s="2"/>
      <c r="T943" s="2"/>
      <c r="U943" s="2"/>
      <c r="V943" s="2"/>
      <c r="W943" s="2"/>
    </row>
    <row r="944">
      <c r="A944" s="2"/>
      <c r="B944" s="2"/>
      <c r="C944" s="2"/>
      <c r="D944" s="2"/>
      <c r="E944" s="2"/>
      <c r="F944" s="2"/>
      <c r="G944" s="2"/>
      <c r="H944" s="2"/>
      <c r="I944" s="2"/>
      <c r="J944" s="2"/>
      <c r="K944" s="2"/>
      <c r="L944" s="2"/>
      <c r="M944" s="2"/>
      <c r="N944" s="2"/>
      <c r="O944" s="2"/>
      <c r="P944" s="2"/>
      <c r="Q944" s="2"/>
      <c r="R944" s="2"/>
      <c r="S944" s="2"/>
      <c r="T944" s="2"/>
      <c r="U944" s="2"/>
      <c r="V944" s="2"/>
      <c r="W944" s="2"/>
    </row>
    <row r="945">
      <c r="A945" s="2"/>
      <c r="B945" s="2"/>
      <c r="C945" s="2"/>
      <c r="D945" s="2"/>
      <c r="E945" s="2"/>
      <c r="F945" s="2"/>
      <c r="G945" s="2"/>
      <c r="H945" s="2"/>
      <c r="I945" s="2"/>
      <c r="J945" s="2"/>
      <c r="K945" s="2"/>
      <c r="L945" s="2"/>
      <c r="M945" s="2"/>
      <c r="N945" s="2"/>
      <c r="O945" s="2"/>
      <c r="P945" s="2"/>
      <c r="Q945" s="2"/>
      <c r="R945" s="2"/>
      <c r="S945" s="2"/>
      <c r="T945" s="2"/>
      <c r="U945" s="2"/>
      <c r="V945" s="2"/>
      <c r="W945" s="2"/>
    </row>
    <row r="946">
      <c r="A946" s="2"/>
      <c r="B946" s="2"/>
      <c r="C946" s="2"/>
      <c r="D946" s="2"/>
      <c r="E946" s="2"/>
      <c r="F946" s="2"/>
      <c r="G946" s="2"/>
      <c r="H946" s="2"/>
      <c r="I946" s="2"/>
      <c r="J946" s="2"/>
      <c r="K946" s="2"/>
      <c r="L946" s="2"/>
      <c r="M946" s="2"/>
      <c r="N946" s="2"/>
      <c r="O946" s="2"/>
      <c r="P946" s="2"/>
      <c r="Q946" s="2"/>
      <c r="R946" s="2"/>
      <c r="S946" s="2"/>
      <c r="T946" s="2"/>
      <c r="U946" s="2"/>
      <c r="V946" s="2"/>
      <c r="W946" s="2"/>
    </row>
    <row r="947">
      <c r="A947" s="2"/>
      <c r="B947" s="2"/>
      <c r="C947" s="2"/>
      <c r="D947" s="2"/>
      <c r="E947" s="2"/>
      <c r="F947" s="2"/>
      <c r="G947" s="2"/>
      <c r="H947" s="2"/>
      <c r="I947" s="2"/>
      <c r="J947" s="2"/>
      <c r="K947" s="2"/>
      <c r="L947" s="2"/>
      <c r="M947" s="2"/>
      <c r="N947" s="2"/>
      <c r="O947" s="2"/>
      <c r="P947" s="2"/>
      <c r="Q947" s="2"/>
      <c r="R947" s="2"/>
      <c r="S947" s="2"/>
      <c r="T947" s="2"/>
      <c r="U947" s="2"/>
      <c r="V947" s="2"/>
      <c r="W947" s="2"/>
    </row>
    <row r="948">
      <c r="A948" s="2"/>
      <c r="B948" s="2"/>
      <c r="C948" s="2"/>
      <c r="D948" s="2"/>
      <c r="E948" s="2"/>
      <c r="F948" s="2"/>
      <c r="G948" s="2"/>
      <c r="H948" s="2"/>
      <c r="I948" s="2"/>
      <c r="J948" s="2"/>
      <c r="K948" s="2"/>
      <c r="L948" s="2"/>
      <c r="M948" s="2"/>
      <c r="N948" s="2"/>
      <c r="O948" s="2"/>
      <c r="P948" s="2"/>
      <c r="Q948" s="2"/>
      <c r="R948" s="2"/>
      <c r="S948" s="2"/>
      <c r="T948" s="2"/>
      <c r="U948" s="2"/>
      <c r="V948" s="2"/>
      <c r="W948" s="2"/>
    </row>
    <row r="949">
      <c r="A949" s="2"/>
      <c r="B949" s="2"/>
      <c r="C949" s="2"/>
      <c r="D949" s="2"/>
      <c r="E949" s="2"/>
      <c r="F949" s="2"/>
      <c r="G949" s="2"/>
      <c r="H949" s="2"/>
      <c r="I949" s="2"/>
      <c r="J949" s="2"/>
      <c r="K949" s="2"/>
      <c r="L949" s="2"/>
      <c r="M949" s="2"/>
      <c r="N949" s="2"/>
      <c r="O949" s="2"/>
      <c r="P949" s="2"/>
      <c r="Q949" s="2"/>
      <c r="R949" s="2"/>
      <c r="S949" s="2"/>
      <c r="T949" s="2"/>
      <c r="U949" s="2"/>
      <c r="V949" s="2"/>
      <c r="W949" s="2"/>
    </row>
    <row r="950">
      <c r="A950" s="2"/>
      <c r="B950" s="2"/>
      <c r="C950" s="2"/>
      <c r="D950" s="2"/>
      <c r="E950" s="2"/>
      <c r="F950" s="2"/>
      <c r="G950" s="2"/>
      <c r="H950" s="2"/>
      <c r="I950" s="2"/>
      <c r="J950" s="2"/>
      <c r="K950" s="2"/>
      <c r="L950" s="2"/>
      <c r="M950" s="2"/>
      <c r="N950" s="2"/>
      <c r="O950" s="2"/>
      <c r="P950" s="2"/>
      <c r="Q950" s="2"/>
      <c r="R950" s="2"/>
      <c r="S950" s="2"/>
      <c r="T950" s="2"/>
      <c r="U950" s="2"/>
      <c r="V950" s="2"/>
      <c r="W950" s="2"/>
    </row>
    <row r="951">
      <c r="A951" s="2"/>
      <c r="B951" s="2"/>
      <c r="C951" s="2"/>
      <c r="D951" s="2"/>
      <c r="E951" s="2"/>
      <c r="F951" s="2"/>
      <c r="G951" s="2"/>
      <c r="H951" s="2"/>
      <c r="I951" s="2"/>
      <c r="J951" s="2"/>
      <c r="K951" s="2"/>
      <c r="L951" s="2"/>
      <c r="M951" s="2"/>
      <c r="N951" s="2"/>
      <c r="O951" s="2"/>
      <c r="P951" s="2"/>
      <c r="Q951" s="2"/>
      <c r="R951" s="2"/>
      <c r="S951" s="2"/>
      <c r="T951" s="2"/>
      <c r="U951" s="2"/>
      <c r="V951" s="2"/>
      <c r="W951" s="2"/>
    </row>
    <row r="952">
      <c r="A952" s="2"/>
      <c r="B952" s="2"/>
      <c r="C952" s="2"/>
      <c r="D952" s="2"/>
      <c r="E952" s="2"/>
      <c r="F952" s="2"/>
      <c r="G952" s="2"/>
      <c r="H952" s="2"/>
      <c r="I952" s="2"/>
      <c r="J952" s="2"/>
      <c r="K952" s="2"/>
      <c r="L952" s="2"/>
      <c r="M952" s="2"/>
      <c r="N952" s="2"/>
      <c r="O952" s="2"/>
      <c r="P952" s="2"/>
      <c r="Q952" s="2"/>
      <c r="R952" s="2"/>
      <c r="S952" s="2"/>
      <c r="T952" s="2"/>
      <c r="U952" s="2"/>
      <c r="V952" s="2"/>
      <c r="W952" s="2"/>
    </row>
    <row r="953">
      <c r="A953" s="2"/>
      <c r="B953" s="2"/>
      <c r="C953" s="2"/>
      <c r="D953" s="2"/>
      <c r="E953" s="2"/>
      <c r="F953" s="2"/>
      <c r="G953" s="2"/>
      <c r="H953" s="2"/>
      <c r="I953" s="2"/>
      <c r="J953" s="2"/>
      <c r="K953" s="2"/>
      <c r="L953" s="2"/>
      <c r="M953" s="2"/>
      <c r="N953" s="2"/>
      <c r="O953" s="2"/>
      <c r="P953" s="2"/>
      <c r="Q953" s="2"/>
      <c r="R953" s="2"/>
      <c r="S953" s="2"/>
      <c r="T953" s="2"/>
      <c r="U953" s="2"/>
      <c r="V953" s="2"/>
      <c r="W953" s="2"/>
    </row>
    <row r="954">
      <c r="A954" s="2"/>
      <c r="B954" s="2"/>
      <c r="C954" s="2"/>
      <c r="D954" s="2"/>
      <c r="E954" s="2"/>
      <c r="F954" s="2"/>
      <c r="G954" s="2"/>
      <c r="H954" s="2"/>
      <c r="I954" s="2"/>
      <c r="J954" s="2"/>
      <c r="K954" s="2"/>
      <c r="L954" s="2"/>
      <c r="M954" s="2"/>
      <c r="N954" s="2"/>
      <c r="O954" s="2"/>
      <c r="P954" s="2"/>
      <c r="Q954" s="2"/>
      <c r="R954" s="2"/>
      <c r="S954" s="2"/>
      <c r="T954" s="2"/>
      <c r="U954" s="2"/>
      <c r="V954" s="2"/>
      <c r="W954" s="2"/>
    </row>
    <row r="955">
      <c r="A955" s="2"/>
      <c r="B955" s="2"/>
      <c r="C955" s="2"/>
      <c r="D955" s="2"/>
      <c r="E955" s="2"/>
      <c r="F955" s="2"/>
      <c r="G955" s="2"/>
      <c r="H955" s="2"/>
      <c r="I955" s="2"/>
      <c r="J955" s="2"/>
      <c r="K955" s="2"/>
      <c r="L955" s="2"/>
      <c r="M955" s="2"/>
      <c r="N955" s="2"/>
      <c r="O955" s="2"/>
      <c r="P955" s="2"/>
      <c r="Q955" s="2"/>
      <c r="R955" s="2"/>
      <c r="S955" s="2"/>
      <c r="T955" s="2"/>
      <c r="U955" s="2"/>
      <c r="V955" s="2"/>
      <c r="W955" s="2"/>
    </row>
    <row r="956">
      <c r="A956" s="2"/>
      <c r="B956" s="2"/>
      <c r="C956" s="2"/>
      <c r="D956" s="2"/>
      <c r="E956" s="2"/>
      <c r="F956" s="2"/>
      <c r="G956" s="2"/>
      <c r="H956" s="2"/>
      <c r="I956" s="2"/>
      <c r="J956" s="2"/>
      <c r="K956" s="2"/>
      <c r="L956" s="2"/>
      <c r="M956" s="2"/>
      <c r="N956" s="2"/>
      <c r="O956" s="2"/>
      <c r="P956" s="2"/>
      <c r="Q956" s="2"/>
      <c r="R956" s="2"/>
      <c r="S956" s="2"/>
      <c r="T956" s="2"/>
      <c r="U956" s="2"/>
      <c r="V956" s="2"/>
      <c r="W956" s="2"/>
    </row>
    <row r="957">
      <c r="A957" s="2"/>
      <c r="B957" s="2"/>
      <c r="C957" s="2"/>
      <c r="D957" s="2"/>
      <c r="E957" s="2"/>
      <c r="F957" s="2"/>
      <c r="G957" s="2"/>
      <c r="H957" s="2"/>
      <c r="I957" s="2"/>
      <c r="J957" s="2"/>
      <c r="K957" s="2"/>
      <c r="L957" s="2"/>
      <c r="M957" s="2"/>
      <c r="N957" s="2"/>
      <c r="O957" s="2"/>
      <c r="P957" s="2"/>
      <c r="Q957" s="2"/>
      <c r="R957" s="2"/>
      <c r="S957" s="2"/>
      <c r="T957" s="2"/>
      <c r="U957" s="2"/>
      <c r="V957" s="2"/>
      <c r="W957" s="2"/>
    </row>
    <row r="958">
      <c r="A958" s="2"/>
      <c r="B958" s="2"/>
      <c r="C958" s="2"/>
      <c r="D958" s="2"/>
      <c r="E958" s="2"/>
      <c r="F958" s="2"/>
      <c r="G958" s="2"/>
      <c r="H958" s="2"/>
      <c r="I958" s="2"/>
      <c r="J958" s="2"/>
      <c r="K958" s="2"/>
      <c r="L958" s="2"/>
      <c r="M958" s="2"/>
      <c r="N958" s="2"/>
      <c r="O958" s="2"/>
      <c r="P958" s="2"/>
      <c r="Q958" s="2"/>
      <c r="R958" s="2"/>
      <c r="S958" s="2"/>
      <c r="T958" s="2"/>
      <c r="U958" s="2"/>
      <c r="V958" s="2"/>
      <c r="W958" s="2"/>
    </row>
    <row r="959">
      <c r="A959" s="2"/>
      <c r="B959" s="2"/>
      <c r="C959" s="2"/>
      <c r="D959" s="2"/>
      <c r="E959" s="2"/>
      <c r="F959" s="2"/>
      <c r="G959" s="2"/>
      <c r="H959" s="2"/>
      <c r="I959" s="2"/>
      <c r="J959" s="2"/>
      <c r="K959" s="2"/>
      <c r="L959" s="2"/>
      <c r="M959" s="2"/>
      <c r="N959" s="2"/>
      <c r="O959" s="2"/>
      <c r="P959" s="2"/>
      <c r="Q959" s="2"/>
      <c r="R959" s="2"/>
      <c r="S959" s="2"/>
      <c r="T959" s="2"/>
      <c r="U959" s="2"/>
      <c r="V959" s="2"/>
      <c r="W959" s="2"/>
    </row>
    <row r="960">
      <c r="A960" s="2"/>
      <c r="B960" s="2"/>
      <c r="C960" s="2"/>
      <c r="D960" s="2"/>
      <c r="E960" s="2"/>
      <c r="F960" s="2"/>
      <c r="G960" s="2"/>
      <c r="H960" s="2"/>
      <c r="I960" s="2"/>
      <c r="J960" s="2"/>
      <c r="K960" s="2"/>
      <c r="L960" s="2"/>
      <c r="M960" s="2"/>
      <c r="N960" s="2"/>
      <c r="O960" s="2"/>
      <c r="P960" s="2"/>
      <c r="Q960" s="2"/>
      <c r="R960" s="2"/>
      <c r="S960" s="2"/>
      <c r="T960" s="2"/>
      <c r="U960" s="2"/>
      <c r="V960" s="2"/>
      <c r="W960" s="2"/>
    </row>
    <row r="961">
      <c r="A961" s="2"/>
      <c r="B961" s="2"/>
      <c r="C961" s="2"/>
      <c r="D961" s="2"/>
      <c r="E961" s="2"/>
      <c r="F961" s="2"/>
      <c r="G961" s="2"/>
      <c r="H961" s="2"/>
      <c r="I961" s="2"/>
      <c r="J961" s="2"/>
      <c r="K961" s="2"/>
      <c r="L961" s="2"/>
      <c r="M961" s="2"/>
      <c r="N961" s="2"/>
      <c r="O961" s="2"/>
      <c r="P961" s="2"/>
      <c r="Q961" s="2"/>
      <c r="R961" s="2"/>
      <c r="S961" s="2"/>
      <c r="T961" s="2"/>
      <c r="U961" s="2"/>
      <c r="V961" s="2"/>
      <c r="W961" s="2"/>
    </row>
    <row r="962">
      <c r="A962" s="2"/>
      <c r="B962" s="2"/>
      <c r="C962" s="2"/>
      <c r="D962" s="2"/>
      <c r="E962" s="2"/>
      <c r="F962" s="2"/>
      <c r="G962" s="2"/>
      <c r="H962" s="2"/>
      <c r="I962" s="2"/>
      <c r="J962" s="2"/>
      <c r="K962" s="2"/>
      <c r="L962" s="2"/>
      <c r="M962" s="2"/>
      <c r="N962" s="2"/>
      <c r="O962" s="2"/>
      <c r="P962" s="2"/>
      <c r="Q962" s="2"/>
      <c r="R962" s="2"/>
      <c r="S962" s="2"/>
      <c r="T962" s="2"/>
      <c r="U962" s="2"/>
      <c r="V962" s="2"/>
      <c r="W962" s="2"/>
    </row>
    <row r="963">
      <c r="A963" s="2"/>
      <c r="B963" s="2"/>
      <c r="C963" s="2"/>
      <c r="D963" s="2"/>
      <c r="E963" s="2"/>
      <c r="F963" s="2"/>
      <c r="G963" s="2"/>
      <c r="H963" s="2"/>
      <c r="I963" s="2"/>
      <c r="J963" s="2"/>
      <c r="K963" s="2"/>
      <c r="L963" s="2"/>
      <c r="M963" s="2"/>
      <c r="N963" s="2"/>
      <c r="O963" s="2"/>
      <c r="P963" s="2"/>
      <c r="Q963" s="2"/>
      <c r="R963" s="2"/>
      <c r="S963" s="2"/>
      <c r="T963" s="2"/>
      <c r="U963" s="2"/>
      <c r="V963" s="2"/>
      <c r="W963" s="2"/>
    </row>
    <row r="964">
      <c r="A964" s="2"/>
      <c r="B964" s="2"/>
      <c r="C964" s="2"/>
      <c r="D964" s="2"/>
      <c r="E964" s="2"/>
      <c r="F964" s="2"/>
      <c r="G964" s="2"/>
      <c r="H964" s="2"/>
      <c r="I964" s="2"/>
      <c r="J964" s="2"/>
      <c r="K964" s="2"/>
      <c r="L964" s="2"/>
      <c r="M964" s="2"/>
      <c r="N964" s="2"/>
      <c r="O964" s="2"/>
      <c r="P964" s="2"/>
      <c r="Q964" s="2"/>
      <c r="R964" s="2"/>
      <c r="S964" s="2"/>
      <c r="T964" s="2"/>
      <c r="U964" s="2"/>
      <c r="V964" s="2"/>
      <c r="W964" s="2"/>
    </row>
    <row r="965">
      <c r="A965" s="2"/>
      <c r="B965" s="2"/>
      <c r="C965" s="2"/>
      <c r="D965" s="2"/>
      <c r="E965" s="2"/>
      <c r="F965" s="2"/>
      <c r="G965" s="2"/>
      <c r="H965" s="2"/>
      <c r="I965" s="2"/>
      <c r="J965" s="2"/>
      <c r="K965" s="2"/>
      <c r="L965" s="2"/>
      <c r="M965" s="2"/>
      <c r="N965" s="2"/>
      <c r="O965" s="2"/>
      <c r="P965" s="2"/>
      <c r="Q965" s="2"/>
      <c r="R965" s="2"/>
      <c r="S965" s="2"/>
      <c r="T965" s="2"/>
      <c r="U965" s="2"/>
      <c r="V965" s="2"/>
      <c r="W965" s="2"/>
    </row>
    <row r="966">
      <c r="A966" s="2"/>
      <c r="B966" s="2"/>
      <c r="C966" s="2"/>
      <c r="D966" s="2"/>
      <c r="E966" s="2"/>
      <c r="F966" s="2"/>
      <c r="G966" s="2"/>
      <c r="H966" s="2"/>
      <c r="I966" s="2"/>
      <c r="J966" s="2"/>
      <c r="K966" s="2"/>
      <c r="L966" s="2"/>
      <c r="M966" s="2"/>
      <c r="N966" s="2"/>
      <c r="O966" s="2"/>
      <c r="P966" s="2"/>
      <c r="Q966" s="2"/>
      <c r="R966" s="2"/>
      <c r="S966" s="2"/>
      <c r="T966" s="2"/>
      <c r="U966" s="2"/>
      <c r="V966" s="2"/>
      <c r="W966" s="2"/>
    </row>
    <row r="967">
      <c r="A967" s="2"/>
      <c r="B967" s="2"/>
      <c r="C967" s="2"/>
      <c r="D967" s="2"/>
      <c r="E967" s="2"/>
      <c r="F967" s="2"/>
      <c r="G967" s="2"/>
      <c r="H967" s="2"/>
      <c r="I967" s="2"/>
      <c r="J967" s="2"/>
      <c r="K967" s="2"/>
      <c r="L967" s="2"/>
      <c r="M967" s="2"/>
      <c r="N967" s="2"/>
      <c r="O967" s="2"/>
      <c r="P967" s="2"/>
      <c r="Q967" s="2"/>
      <c r="R967" s="2"/>
      <c r="S967" s="2"/>
      <c r="T967" s="2"/>
      <c r="U967" s="2"/>
      <c r="V967" s="2"/>
      <c r="W967" s="2"/>
    </row>
    <row r="968">
      <c r="A968" s="2"/>
      <c r="B968" s="2"/>
      <c r="C968" s="2"/>
      <c r="D968" s="2"/>
      <c r="E968" s="2"/>
      <c r="F968" s="2"/>
      <c r="G968" s="2"/>
      <c r="H968" s="2"/>
      <c r="I968" s="2"/>
      <c r="J968" s="2"/>
      <c r="K968" s="2"/>
      <c r="L968" s="2"/>
      <c r="M968" s="2"/>
      <c r="N968" s="2"/>
      <c r="O968" s="2"/>
      <c r="P968" s="2"/>
      <c r="Q968" s="2"/>
      <c r="R968" s="2"/>
      <c r="S968" s="2"/>
      <c r="T968" s="2"/>
      <c r="U968" s="2"/>
      <c r="V968" s="2"/>
      <c r="W968" s="2"/>
    </row>
    <row r="969">
      <c r="A969" s="2"/>
      <c r="B969" s="2"/>
      <c r="C969" s="2"/>
      <c r="D969" s="2"/>
      <c r="E969" s="2"/>
      <c r="F969" s="2"/>
      <c r="G969" s="2"/>
      <c r="H969" s="2"/>
      <c r="I969" s="2"/>
      <c r="J969" s="2"/>
      <c r="K969" s="2"/>
      <c r="L969" s="2"/>
      <c r="M969" s="2"/>
      <c r="N969" s="2"/>
      <c r="O969" s="2"/>
      <c r="P969" s="2"/>
      <c r="Q969" s="2"/>
      <c r="R969" s="2"/>
      <c r="S969" s="2"/>
      <c r="T969" s="2"/>
      <c r="U969" s="2"/>
      <c r="V969" s="2"/>
      <c r="W969" s="2"/>
    </row>
    <row r="970">
      <c r="A970" s="2"/>
      <c r="B970" s="2"/>
      <c r="C970" s="2"/>
      <c r="D970" s="2"/>
      <c r="E970" s="2"/>
      <c r="F970" s="2"/>
      <c r="G970" s="2"/>
      <c r="H970" s="2"/>
      <c r="I970" s="2"/>
      <c r="J970" s="2"/>
      <c r="K970" s="2"/>
      <c r="L970" s="2"/>
      <c r="M970" s="2"/>
      <c r="N970" s="2"/>
      <c r="O970" s="2"/>
      <c r="P970" s="2"/>
      <c r="Q970" s="2"/>
      <c r="R970" s="2"/>
      <c r="S970" s="2"/>
      <c r="T970" s="2"/>
      <c r="U970" s="2"/>
      <c r="V970" s="2"/>
      <c r="W970" s="2"/>
    </row>
    <row r="971">
      <c r="A971" s="2"/>
      <c r="B971" s="2"/>
      <c r="C971" s="2"/>
      <c r="D971" s="2"/>
      <c r="E971" s="2"/>
      <c r="F971" s="2"/>
      <c r="G971" s="2"/>
      <c r="H971" s="2"/>
      <c r="I971" s="2"/>
      <c r="J971" s="2"/>
      <c r="K971" s="2"/>
      <c r="L971" s="2"/>
      <c r="M971" s="2"/>
      <c r="N971" s="2"/>
      <c r="O971" s="2"/>
      <c r="P971" s="2"/>
      <c r="Q971" s="2"/>
      <c r="R971" s="2"/>
      <c r="S971" s="2"/>
      <c r="T971" s="2"/>
      <c r="U971" s="2"/>
      <c r="V971" s="2"/>
      <c r="W971" s="2"/>
    </row>
    <row r="972">
      <c r="A972" s="2"/>
      <c r="B972" s="2"/>
      <c r="C972" s="2"/>
      <c r="D972" s="2"/>
      <c r="E972" s="2"/>
      <c r="F972" s="2"/>
      <c r="G972" s="2"/>
      <c r="H972" s="2"/>
      <c r="I972" s="2"/>
      <c r="J972" s="2"/>
      <c r="K972" s="2"/>
      <c r="L972" s="2"/>
      <c r="M972" s="2"/>
      <c r="N972" s="2"/>
      <c r="O972" s="2"/>
      <c r="P972" s="2"/>
      <c r="Q972" s="2"/>
      <c r="R972" s="2"/>
      <c r="S972" s="2"/>
      <c r="T972" s="2"/>
      <c r="U972" s="2"/>
      <c r="V972" s="2"/>
      <c r="W972" s="2"/>
    </row>
    <row r="973">
      <c r="A973" s="2"/>
      <c r="B973" s="2"/>
      <c r="C973" s="2"/>
      <c r="D973" s="2"/>
      <c r="E973" s="2"/>
      <c r="F973" s="2"/>
      <c r="G973" s="2"/>
      <c r="H973" s="2"/>
      <c r="I973" s="2"/>
      <c r="J973" s="2"/>
      <c r="K973" s="2"/>
      <c r="L973" s="2"/>
      <c r="M973" s="2"/>
      <c r="N973" s="2"/>
      <c r="O973" s="2"/>
      <c r="P973" s="2"/>
      <c r="Q973" s="2"/>
      <c r="R973" s="2"/>
      <c r="S973" s="2"/>
      <c r="T973" s="2"/>
      <c r="U973" s="2"/>
      <c r="V973" s="2"/>
      <c r="W973" s="2"/>
    </row>
    <row r="974">
      <c r="A974" s="2"/>
      <c r="B974" s="2"/>
      <c r="C974" s="2"/>
      <c r="D974" s="2"/>
      <c r="E974" s="2"/>
      <c r="F974" s="2"/>
      <c r="G974" s="2"/>
      <c r="H974" s="2"/>
      <c r="I974" s="2"/>
      <c r="J974" s="2"/>
      <c r="K974" s="2"/>
      <c r="L974" s="2"/>
      <c r="M974" s="2"/>
      <c r="N974" s="2"/>
      <c r="O974" s="2"/>
      <c r="P974" s="2"/>
      <c r="Q974" s="2"/>
      <c r="R974" s="2"/>
      <c r="S974" s="2"/>
      <c r="T974" s="2"/>
      <c r="U974" s="2"/>
      <c r="V974" s="2"/>
      <c r="W974" s="2"/>
    </row>
    <row r="975">
      <c r="A975" s="2"/>
      <c r="B975" s="2"/>
      <c r="C975" s="2"/>
      <c r="D975" s="2"/>
      <c r="E975" s="2"/>
      <c r="F975" s="2"/>
      <c r="G975" s="2"/>
      <c r="H975" s="2"/>
      <c r="I975" s="2"/>
      <c r="J975" s="2"/>
      <c r="K975" s="2"/>
      <c r="L975" s="2"/>
      <c r="M975" s="2"/>
      <c r="N975" s="2"/>
      <c r="O975" s="2"/>
      <c r="P975" s="2"/>
      <c r="Q975" s="2"/>
      <c r="R975" s="2"/>
      <c r="S975" s="2"/>
      <c r="T975" s="2"/>
      <c r="U975" s="2"/>
      <c r="V975" s="2"/>
      <c r="W975" s="2"/>
    </row>
    <row r="976">
      <c r="A976" s="2"/>
      <c r="B976" s="2"/>
      <c r="C976" s="2"/>
      <c r="D976" s="2"/>
      <c r="E976" s="2"/>
      <c r="F976" s="2"/>
      <c r="G976" s="2"/>
      <c r="H976" s="2"/>
      <c r="I976" s="2"/>
      <c r="J976" s="2"/>
      <c r="K976" s="2"/>
      <c r="L976" s="2"/>
      <c r="M976" s="2"/>
      <c r="N976" s="2"/>
      <c r="O976" s="2"/>
      <c r="P976" s="2"/>
      <c r="Q976" s="2"/>
      <c r="R976" s="2"/>
      <c r="S976" s="2"/>
      <c r="T976" s="2"/>
      <c r="U976" s="2"/>
      <c r="V976" s="2"/>
      <c r="W976" s="2"/>
    </row>
    <row r="977">
      <c r="A977" s="2"/>
      <c r="B977" s="2"/>
      <c r="C977" s="2"/>
      <c r="D977" s="2"/>
      <c r="E977" s="2"/>
      <c r="F977" s="2"/>
      <c r="G977" s="2"/>
      <c r="H977" s="2"/>
      <c r="I977" s="2"/>
      <c r="J977" s="2"/>
      <c r="K977" s="2"/>
      <c r="L977" s="2"/>
      <c r="M977" s="2"/>
      <c r="N977" s="2"/>
      <c r="O977" s="2"/>
      <c r="P977" s="2"/>
      <c r="Q977" s="2"/>
      <c r="R977" s="2"/>
      <c r="S977" s="2"/>
      <c r="T977" s="2"/>
      <c r="U977" s="2"/>
      <c r="V977" s="2"/>
      <c r="W977" s="2"/>
    </row>
    <row r="978">
      <c r="A978" s="2"/>
      <c r="B978" s="2"/>
      <c r="C978" s="2"/>
      <c r="D978" s="2"/>
      <c r="E978" s="2"/>
      <c r="F978" s="2"/>
      <c r="G978" s="2"/>
      <c r="H978" s="2"/>
      <c r="I978" s="2"/>
      <c r="J978" s="2"/>
      <c r="K978" s="2"/>
      <c r="L978" s="2"/>
      <c r="M978" s="2"/>
      <c r="N978" s="2"/>
      <c r="O978" s="2"/>
      <c r="P978" s="2"/>
      <c r="Q978" s="2"/>
      <c r="R978" s="2"/>
      <c r="S978" s="2"/>
      <c r="T978" s="2"/>
      <c r="U978" s="2"/>
      <c r="V978" s="2"/>
      <c r="W978" s="2"/>
    </row>
    <row r="979">
      <c r="A979" s="2"/>
      <c r="B979" s="2"/>
      <c r="C979" s="2"/>
      <c r="D979" s="2"/>
      <c r="E979" s="2"/>
      <c r="F979" s="2"/>
      <c r="G979" s="2"/>
      <c r="H979" s="2"/>
      <c r="I979" s="2"/>
      <c r="J979" s="2"/>
      <c r="K979" s="2"/>
      <c r="L979" s="2"/>
      <c r="M979" s="2"/>
      <c r="N979" s="2"/>
      <c r="O979" s="2"/>
      <c r="P979" s="2"/>
      <c r="Q979" s="2"/>
      <c r="R979" s="2"/>
      <c r="S979" s="2"/>
      <c r="T979" s="2"/>
      <c r="U979" s="2"/>
      <c r="V979" s="2"/>
      <c r="W979" s="2"/>
    </row>
    <row r="980">
      <c r="A980" s="2"/>
      <c r="B980" s="2"/>
      <c r="C980" s="2"/>
      <c r="D980" s="2"/>
      <c r="E980" s="2"/>
      <c r="F980" s="2"/>
      <c r="G980" s="2"/>
      <c r="H980" s="2"/>
      <c r="I980" s="2"/>
      <c r="J980" s="2"/>
      <c r="K980" s="2"/>
      <c r="L980" s="2"/>
      <c r="M980" s="2"/>
      <c r="N980" s="2"/>
      <c r="O980" s="2"/>
      <c r="P980" s="2"/>
      <c r="Q980" s="2"/>
      <c r="R980" s="2"/>
      <c r="S980" s="2"/>
      <c r="T980" s="2"/>
      <c r="U980" s="2"/>
      <c r="V980" s="2"/>
      <c r="W980" s="2"/>
    </row>
    <row r="981">
      <c r="A981" s="2"/>
      <c r="B981" s="2"/>
      <c r="C981" s="2"/>
      <c r="D981" s="2"/>
      <c r="E981" s="2"/>
      <c r="F981" s="2"/>
      <c r="G981" s="2"/>
      <c r="H981" s="2"/>
      <c r="I981" s="2"/>
      <c r="J981" s="2"/>
      <c r="K981" s="2"/>
      <c r="L981" s="2"/>
      <c r="M981" s="2"/>
      <c r="N981" s="2"/>
      <c r="O981" s="2"/>
      <c r="P981" s="2"/>
      <c r="Q981" s="2"/>
      <c r="R981" s="2"/>
      <c r="S981" s="2"/>
      <c r="T981" s="2"/>
      <c r="U981" s="2"/>
      <c r="V981" s="2"/>
      <c r="W981" s="2"/>
    </row>
    <row r="982">
      <c r="A982" s="2"/>
      <c r="B982" s="2"/>
      <c r="C982" s="2"/>
      <c r="D982" s="2"/>
      <c r="E982" s="2"/>
      <c r="F982" s="2"/>
      <c r="G982" s="2"/>
      <c r="H982" s="2"/>
      <c r="I982" s="2"/>
      <c r="J982" s="2"/>
      <c r="K982" s="2"/>
      <c r="L982" s="2"/>
      <c r="M982" s="2"/>
      <c r="N982" s="2"/>
      <c r="O982" s="2"/>
      <c r="P982" s="2"/>
      <c r="Q982" s="2"/>
      <c r="R982" s="2"/>
      <c r="S982" s="2"/>
      <c r="T982" s="2"/>
      <c r="U982" s="2"/>
      <c r="V982" s="2"/>
      <c r="W982" s="2"/>
    </row>
    <row r="983">
      <c r="A983" s="2"/>
      <c r="B983" s="2"/>
      <c r="C983" s="2"/>
      <c r="D983" s="2"/>
      <c r="E983" s="2"/>
      <c r="F983" s="2"/>
      <c r="G983" s="2"/>
      <c r="H983" s="2"/>
      <c r="I983" s="2"/>
      <c r="J983" s="2"/>
      <c r="K983" s="2"/>
      <c r="L983" s="2"/>
      <c r="M983" s="2"/>
      <c r="N983" s="2"/>
      <c r="O983" s="2"/>
      <c r="P983" s="2"/>
      <c r="Q983" s="2"/>
      <c r="R983" s="2"/>
      <c r="S983" s="2"/>
      <c r="T983" s="2"/>
      <c r="U983" s="2"/>
      <c r="V983" s="2"/>
      <c r="W983" s="2"/>
    </row>
    <row r="984">
      <c r="A984" s="2"/>
      <c r="B984" s="2"/>
      <c r="C984" s="2"/>
      <c r="D984" s="2"/>
      <c r="E984" s="2"/>
      <c r="F984" s="2"/>
      <c r="G984" s="2"/>
      <c r="H984" s="2"/>
      <c r="I984" s="2"/>
      <c r="J984" s="2"/>
      <c r="K984" s="2"/>
      <c r="L984" s="2"/>
      <c r="M984" s="2"/>
      <c r="N984" s="2"/>
      <c r="O984" s="2"/>
      <c r="P984" s="2"/>
      <c r="Q984" s="2"/>
      <c r="R984" s="2"/>
      <c r="S984" s="2"/>
      <c r="T984" s="2"/>
      <c r="U984" s="2"/>
      <c r="V984" s="2"/>
      <c r="W984" s="2"/>
    </row>
    <row r="985">
      <c r="A985" s="2"/>
      <c r="B985" s="2"/>
      <c r="C985" s="2"/>
      <c r="D985" s="2"/>
      <c r="E985" s="2"/>
      <c r="F985" s="2"/>
      <c r="G985" s="2"/>
      <c r="H985" s="2"/>
      <c r="I985" s="2"/>
      <c r="J985" s="2"/>
      <c r="K985" s="2"/>
      <c r="L985" s="2"/>
      <c r="M985" s="2"/>
      <c r="N985" s="2"/>
      <c r="O985" s="2"/>
      <c r="P985" s="2"/>
      <c r="Q985" s="2"/>
      <c r="R985" s="2"/>
      <c r="S985" s="2"/>
      <c r="T985" s="2"/>
      <c r="U985" s="2"/>
      <c r="V985" s="2"/>
      <c r="W985" s="2"/>
    </row>
    <row r="986">
      <c r="A986" s="2"/>
      <c r="B986" s="2"/>
      <c r="C986" s="2"/>
      <c r="D986" s="2"/>
      <c r="E986" s="2"/>
      <c r="F986" s="2"/>
      <c r="G986" s="2"/>
      <c r="H986" s="2"/>
      <c r="I986" s="2"/>
      <c r="J986" s="2"/>
      <c r="K986" s="2"/>
      <c r="L986" s="2"/>
      <c r="M986" s="2"/>
      <c r="N986" s="2"/>
      <c r="O986" s="2"/>
      <c r="P986" s="2"/>
      <c r="Q986" s="2"/>
      <c r="R986" s="2"/>
      <c r="S986" s="2"/>
      <c r="T986" s="2"/>
      <c r="U986" s="2"/>
      <c r="V986" s="2"/>
      <c r="W986" s="2"/>
    </row>
    <row r="987">
      <c r="A987" s="2"/>
      <c r="B987" s="2"/>
      <c r="C987" s="2"/>
      <c r="D987" s="2"/>
      <c r="E987" s="2"/>
      <c r="F987" s="2"/>
      <c r="G987" s="2"/>
      <c r="H987" s="2"/>
      <c r="I987" s="2"/>
      <c r="J987" s="2"/>
      <c r="K987" s="2"/>
      <c r="L987" s="2"/>
      <c r="M987" s="2"/>
      <c r="N987" s="2"/>
      <c r="O987" s="2"/>
      <c r="P987" s="2"/>
      <c r="Q987" s="2"/>
      <c r="R987" s="2"/>
      <c r="S987" s="2"/>
      <c r="T987" s="2"/>
      <c r="U987" s="2"/>
      <c r="V987" s="2"/>
      <c r="W987" s="2"/>
    </row>
    <row r="988">
      <c r="A988" s="2"/>
      <c r="B988" s="2"/>
      <c r="C988" s="2"/>
      <c r="D988" s="2"/>
      <c r="E988" s="2"/>
      <c r="F988" s="2"/>
      <c r="G988" s="2"/>
      <c r="H988" s="2"/>
      <c r="I988" s="2"/>
      <c r="J988" s="2"/>
      <c r="K988" s="2"/>
      <c r="L988" s="2"/>
      <c r="M988" s="2"/>
      <c r="N988" s="2"/>
      <c r="O988" s="2"/>
      <c r="P988" s="2"/>
      <c r="Q988" s="2"/>
      <c r="R988" s="2"/>
      <c r="S988" s="2"/>
      <c r="T988" s="2"/>
      <c r="U988" s="2"/>
      <c r="V988" s="2"/>
      <c r="W988" s="2"/>
    </row>
    <row r="989">
      <c r="A989" s="2"/>
      <c r="B989" s="2"/>
      <c r="C989" s="2"/>
      <c r="D989" s="2"/>
      <c r="E989" s="2"/>
      <c r="F989" s="2"/>
      <c r="G989" s="2"/>
      <c r="H989" s="2"/>
      <c r="I989" s="2"/>
      <c r="J989" s="2"/>
      <c r="K989" s="2"/>
      <c r="L989" s="2"/>
      <c r="M989" s="2"/>
      <c r="N989" s="2"/>
      <c r="O989" s="2"/>
      <c r="P989" s="2"/>
      <c r="Q989" s="2"/>
      <c r="R989" s="2"/>
      <c r="S989" s="2"/>
      <c r="T989" s="2"/>
      <c r="U989" s="2"/>
      <c r="V989" s="2"/>
      <c r="W989" s="2"/>
    </row>
    <row r="990">
      <c r="A990" s="2"/>
      <c r="B990" s="2"/>
      <c r="C990" s="2"/>
      <c r="D990" s="2"/>
      <c r="E990" s="2"/>
      <c r="F990" s="2"/>
      <c r="G990" s="2"/>
      <c r="H990" s="2"/>
      <c r="I990" s="2"/>
      <c r="J990" s="2"/>
      <c r="K990" s="2"/>
      <c r="L990" s="2"/>
      <c r="M990" s="2"/>
      <c r="N990" s="2"/>
      <c r="O990" s="2"/>
      <c r="P990" s="2"/>
      <c r="Q990" s="2"/>
      <c r="R990" s="2"/>
      <c r="S990" s="2"/>
      <c r="T990" s="2"/>
      <c r="U990" s="2"/>
      <c r="V990" s="2"/>
      <c r="W990" s="2"/>
    </row>
    <row r="991">
      <c r="A991" s="2"/>
      <c r="B991" s="2"/>
      <c r="C991" s="2"/>
      <c r="D991" s="2"/>
      <c r="E991" s="2"/>
      <c r="F991" s="2"/>
      <c r="G991" s="2"/>
      <c r="H991" s="2"/>
      <c r="I991" s="2"/>
      <c r="J991" s="2"/>
      <c r="K991" s="2"/>
      <c r="L991" s="2"/>
      <c r="M991" s="2"/>
      <c r="N991" s="2"/>
      <c r="O991" s="2"/>
      <c r="P991" s="2"/>
      <c r="Q991" s="2"/>
      <c r="R991" s="2"/>
      <c r="S991" s="2"/>
      <c r="T991" s="2"/>
      <c r="U991" s="2"/>
      <c r="V991" s="2"/>
      <c r="W991" s="2"/>
    </row>
    <row r="992">
      <c r="A992" s="2"/>
      <c r="B992" s="2"/>
      <c r="C992" s="2"/>
      <c r="D992" s="2"/>
      <c r="E992" s="2"/>
      <c r="F992" s="2"/>
      <c r="G992" s="2"/>
      <c r="H992" s="2"/>
      <c r="I992" s="2"/>
      <c r="J992" s="2"/>
      <c r="K992" s="2"/>
      <c r="L992" s="2"/>
      <c r="M992" s="2"/>
      <c r="N992" s="2"/>
      <c r="O992" s="2"/>
      <c r="P992" s="2"/>
      <c r="Q992" s="2"/>
      <c r="R992" s="2"/>
      <c r="S992" s="2"/>
      <c r="T992" s="2"/>
      <c r="U992" s="2"/>
      <c r="V992" s="2"/>
      <c r="W992" s="2"/>
    </row>
    <row r="993">
      <c r="A993" s="2"/>
      <c r="B993" s="2"/>
      <c r="C993" s="2"/>
      <c r="D993" s="2"/>
      <c r="E993" s="2"/>
      <c r="F993" s="2"/>
      <c r="G993" s="2"/>
      <c r="H993" s="2"/>
      <c r="I993" s="2"/>
      <c r="J993" s="2"/>
      <c r="K993" s="2"/>
      <c r="L993" s="2"/>
      <c r="M993" s="2"/>
      <c r="N993" s="2"/>
      <c r="O993" s="2"/>
      <c r="P993" s="2"/>
      <c r="Q993" s="2"/>
      <c r="R993" s="2"/>
      <c r="S993" s="2"/>
      <c r="T993" s="2"/>
      <c r="U993" s="2"/>
      <c r="V993" s="2"/>
      <c r="W993" s="2"/>
    </row>
    <row r="994">
      <c r="A994" s="2"/>
      <c r="B994" s="2"/>
      <c r="C994" s="2"/>
      <c r="D994" s="2"/>
      <c r="E994" s="2"/>
      <c r="F994" s="2"/>
      <c r="G994" s="2"/>
      <c r="H994" s="2"/>
      <c r="I994" s="2"/>
      <c r="J994" s="2"/>
      <c r="K994" s="2"/>
      <c r="L994" s="2"/>
      <c r="M994" s="2"/>
      <c r="N994" s="2"/>
      <c r="O994" s="2"/>
      <c r="P994" s="2"/>
      <c r="Q994" s="2"/>
      <c r="R994" s="2"/>
      <c r="S994" s="2"/>
      <c r="T994" s="2"/>
      <c r="U994" s="2"/>
      <c r="V994" s="2"/>
      <c r="W994" s="2"/>
    </row>
    <row r="995">
      <c r="A995" s="2"/>
      <c r="B995" s="2"/>
      <c r="C995" s="2"/>
      <c r="D995" s="2"/>
      <c r="E995" s="2"/>
      <c r="F995" s="2"/>
      <c r="G995" s="2"/>
      <c r="H995" s="2"/>
      <c r="I995" s="2"/>
      <c r="J995" s="2"/>
      <c r="K995" s="2"/>
      <c r="L995" s="2"/>
      <c r="M995" s="2"/>
      <c r="N995" s="2"/>
      <c r="O995" s="2"/>
      <c r="P995" s="2"/>
      <c r="Q995" s="2"/>
      <c r="R995" s="2"/>
      <c r="S995" s="2"/>
      <c r="T995" s="2"/>
      <c r="U995" s="2"/>
      <c r="V995" s="2"/>
      <c r="W995" s="2"/>
    </row>
    <row r="996">
      <c r="A996" s="2"/>
      <c r="B996" s="2"/>
      <c r="C996" s="2"/>
      <c r="D996" s="2"/>
      <c r="E996" s="2"/>
      <c r="F996" s="2"/>
      <c r="G996" s="2"/>
      <c r="H996" s="2"/>
      <c r="I996" s="2"/>
      <c r="J996" s="2"/>
      <c r="K996" s="2"/>
      <c r="L996" s="2"/>
      <c r="M996" s="2"/>
      <c r="N996" s="2"/>
      <c r="O996" s="2"/>
      <c r="P996" s="2"/>
      <c r="Q996" s="2"/>
      <c r="R996" s="2"/>
      <c r="S996" s="2"/>
      <c r="T996" s="2"/>
      <c r="U996" s="2"/>
      <c r="V996" s="2"/>
      <c r="W996" s="2"/>
    </row>
    <row r="997">
      <c r="A997" s="2"/>
      <c r="B997" s="2"/>
      <c r="C997" s="2"/>
      <c r="D997" s="2"/>
      <c r="E997" s="2"/>
      <c r="F997" s="2"/>
      <c r="G997" s="2"/>
      <c r="H997" s="2"/>
      <c r="I997" s="2"/>
      <c r="J997" s="2"/>
      <c r="K997" s="2"/>
      <c r="L997" s="2"/>
      <c r="M997" s="2"/>
      <c r="N997" s="2"/>
      <c r="O997" s="2"/>
      <c r="P997" s="2"/>
      <c r="Q997" s="2"/>
      <c r="R997" s="2"/>
      <c r="S997" s="2"/>
      <c r="T997" s="2"/>
      <c r="U997" s="2"/>
      <c r="V997" s="2"/>
      <c r="W997" s="2"/>
    </row>
    <row r="998">
      <c r="A998" s="2"/>
      <c r="B998" s="2"/>
      <c r="C998" s="2"/>
      <c r="D998" s="2"/>
      <c r="E998" s="2"/>
      <c r="F998" s="2"/>
      <c r="G998" s="2"/>
      <c r="H998" s="2"/>
      <c r="I998" s="2"/>
      <c r="J998" s="2"/>
      <c r="K998" s="2"/>
      <c r="L998" s="2"/>
      <c r="M998" s="2"/>
      <c r="N998" s="2"/>
      <c r="O998" s="2"/>
      <c r="P998" s="2"/>
      <c r="Q998" s="2"/>
      <c r="R998" s="2"/>
      <c r="S998" s="2"/>
      <c r="T998" s="2"/>
      <c r="U998" s="2"/>
      <c r="V998" s="2"/>
      <c r="W998" s="2"/>
    </row>
    <row r="999">
      <c r="A999" s="2"/>
      <c r="B999" s="2"/>
      <c r="C999" s="2"/>
      <c r="D999" s="2"/>
      <c r="E999" s="2"/>
      <c r="F999" s="2"/>
      <c r="G999" s="2"/>
      <c r="H999" s="2"/>
      <c r="I999" s="2"/>
      <c r="J999" s="2"/>
      <c r="K999" s="2"/>
      <c r="L999" s="2"/>
      <c r="M999" s="2"/>
      <c r="N999" s="2"/>
      <c r="O999" s="2"/>
      <c r="P999" s="2"/>
      <c r="Q999" s="2"/>
      <c r="R999" s="2"/>
      <c r="S999" s="2"/>
      <c r="T999" s="2"/>
      <c r="U999" s="2"/>
      <c r="V999" s="2"/>
      <c r="W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row>
  </sheetData>
  <drawing r:id="rId1"/>
  <tableParts count="2">
    <tablePart r:id="rId4"/>
    <tablePart r:id="rId5"/>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ht="22.5" customHeight="1">
      <c r="A1" s="1" t="s">
        <v>0</v>
      </c>
      <c r="B1" s="1" t="s">
        <v>1</v>
      </c>
      <c r="C1" s="1" t="s">
        <v>2</v>
      </c>
      <c r="D1" s="1" t="s">
        <v>3</v>
      </c>
      <c r="E1" s="1" t="s">
        <v>577</v>
      </c>
      <c r="F1" s="2"/>
      <c r="G1" s="1" t="s">
        <v>0</v>
      </c>
      <c r="H1" s="1" t="s">
        <v>5</v>
      </c>
      <c r="I1" s="1" t="s">
        <v>6</v>
      </c>
      <c r="J1" s="1" t="s">
        <v>7</v>
      </c>
      <c r="K1" s="1" t="s">
        <v>4</v>
      </c>
      <c r="L1" s="2"/>
      <c r="M1" s="2"/>
      <c r="N1" s="2"/>
      <c r="O1" s="2"/>
      <c r="P1" s="2"/>
      <c r="Q1" s="2"/>
      <c r="R1" s="2"/>
      <c r="S1" s="2"/>
      <c r="T1" s="2"/>
      <c r="U1" s="2"/>
      <c r="V1" s="2"/>
      <c r="W1" s="2"/>
    </row>
    <row r="2" ht="22.5" customHeight="1">
      <c r="A2" s="3">
        <v>1.0</v>
      </c>
      <c r="B2" s="3" t="s">
        <v>1149</v>
      </c>
      <c r="C2" s="3" t="s">
        <v>1150</v>
      </c>
      <c r="D2" s="3" t="s">
        <v>1151</v>
      </c>
      <c r="E2" s="3" t="s">
        <v>1152</v>
      </c>
      <c r="F2" s="2"/>
      <c r="G2" s="3" t="str">
        <f>IFERROR(__xludf.DUMMYFUNCTION("GOOGLETRANSLATE(A2, ""it"", ""en"")"),"1")</f>
        <v>1</v>
      </c>
      <c r="H2" s="3" t="str">
        <f>IFERROR(__xludf.DUMMYFUNCTION("GOOGLETRANSLATE(B2, ""it"", ""en"")"),"What is the main objective in Pallone col Bracciale?")</f>
        <v>What is the main objective in Pallone col Bracciale?</v>
      </c>
      <c r="I2" s="3" t="str">
        <f>IFERROR(__xludf.DUMMYFUNCTION("GOOGLETRANSLATE(C2, ""it"", ""en"")"),"A. Hitting the ball with the armband B. Taking the ball over the end line C. Blocking the ball with the hands D. Making precise passes between players")</f>
        <v>A. Hitting the ball with the armband B. Taking the ball over the end line C. Blocking the ball with the hands D. Making precise passes between players</v>
      </c>
      <c r="J2" s="3" t="str">
        <f>IFERROR(__xludf.DUMMYFUNCTION("GOOGLETRANSLATE(D2, ""it"", ""en"")"),"Hit the ball with the bracelet")</f>
        <v>Hit the ball with the bracelet</v>
      </c>
      <c r="K2" s="3" t="str">
        <f>IFERROR(__xludf.DUMMYFUNCTION("GOOGLETRANSLATE(E2, ""it"", ""en"")"),"The main objective is to hit the ball with the bracelet to score points.")</f>
        <v>The main objective is to hit the ball with the bracelet to score points.</v>
      </c>
      <c r="L2" s="2"/>
      <c r="M2" s="2"/>
      <c r="N2" s="2"/>
      <c r="O2" s="2"/>
      <c r="P2" s="2"/>
      <c r="Q2" s="2"/>
      <c r="R2" s="2"/>
      <c r="S2" s="2"/>
      <c r="T2" s="2"/>
      <c r="U2" s="2"/>
      <c r="V2" s="2"/>
      <c r="W2" s="2"/>
    </row>
    <row r="3" ht="22.5" customHeight="1">
      <c r="A3" s="3">
        <v>2.0</v>
      </c>
      <c r="B3" s="3" t="s">
        <v>1153</v>
      </c>
      <c r="C3" s="3" t="s">
        <v>1154</v>
      </c>
      <c r="D3" s="3" t="s">
        <v>1155</v>
      </c>
      <c r="E3" s="3" t="s">
        <v>1156</v>
      </c>
      <c r="F3" s="2"/>
      <c r="G3" s="3" t="str">
        <f>IFERROR(__xludf.DUMMYFUNCTION("GOOGLETRANSLATE(A3, ""it"", ""en"")"),"2")</f>
        <v>2</v>
      </c>
      <c r="H3" s="3" t="str">
        <f>IFERROR(__xludf.DUMMYFUNCTION("GOOGLETRANSLATE(B3, ""it"", ""en"")"),"What is the standard weight of the ball in this game?")</f>
        <v>What is the standard weight of the ball in this game?</v>
      </c>
      <c r="I3" s="3" t="str">
        <f>IFERROR(__xludf.DUMMYFUNCTION("GOOGLETRANSLATE(C3, ""it"", ""en"")"),"A. 250-300 grams B. 400-450 grams C. 500-600 grams D. 700-800 grams")</f>
        <v>A. 250-300 grams B. 400-450 grams C. 500-600 grams D. 700-800 grams</v>
      </c>
      <c r="J3" s="3" t="str">
        <f>IFERROR(__xludf.DUMMYFUNCTION("GOOGLETRANSLATE(D3, ""it"", ""en"")"),"500-600 grams")</f>
        <v>500-600 grams</v>
      </c>
      <c r="K3" s="3" t="str">
        <f>IFERROR(__xludf.DUMMYFUNCTION("GOOGLETRANSLATE(E3, ""it"", ""en"")"),"The ball generally weighs between 500 and 600 grams.")</f>
        <v>The ball generally weighs between 500 and 600 grams.</v>
      </c>
      <c r="L3" s="2"/>
      <c r="M3" s="2"/>
      <c r="N3" s="2"/>
      <c r="O3" s="2"/>
      <c r="P3" s="2"/>
      <c r="Q3" s="2"/>
      <c r="R3" s="2"/>
      <c r="S3" s="2"/>
      <c r="T3" s="2"/>
      <c r="U3" s="2"/>
      <c r="V3" s="2"/>
      <c r="W3" s="2"/>
    </row>
    <row r="4" ht="22.5" customHeight="1">
      <c r="A4" s="3">
        <v>3.0</v>
      </c>
      <c r="B4" s="3" t="s">
        <v>1157</v>
      </c>
      <c r="C4" s="3" t="s">
        <v>1158</v>
      </c>
      <c r="D4" s="3" t="s">
        <v>1159</v>
      </c>
      <c r="E4" s="3" t="s">
        <v>1160</v>
      </c>
      <c r="F4" s="2"/>
      <c r="G4" s="3" t="str">
        <f>IFERROR(__xludf.DUMMYFUNCTION("GOOGLETRANSLATE(A4, ""it"", ""en"")"),"3")</f>
        <v>3</v>
      </c>
      <c r="H4" s="3" t="str">
        <f>IFERROR(__xludf.DUMMYFUNCTION("GOOGLETRANSLATE(B4, ""it"", ""en"")"),"How is victory determined in a match?")</f>
        <v>How is victory determined in a match?</v>
      </c>
      <c r="I4" s="3" t="str">
        <f>IFERROR(__xludf.DUMMYFUNCTION("GOOGLETRANSLATE(C4, ""it"", ""en"")"),"A. The first to score 10 points B. The first to score 15 points C. The first to score 21 points D. The first to score 30 points")</f>
        <v>A. The first to score 10 points B. The first to score 15 points C. The first to score 21 points D. The first to score 30 points</v>
      </c>
      <c r="J4" s="3" t="str">
        <f>IFERROR(__xludf.DUMMYFUNCTION("GOOGLETRANSLATE(D4, ""it"", ""en"")"),"The first to score 21 points")</f>
        <v>The first to score 21 points</v>
      </c>
      <c r="K4" s="3" t="str">
        <f>IFERROR(__xludf.DUMMYFUNCTION("GOOGLETRANSLATE(E4, ""it"", ""en"")"),"The team that reaches 21 points wins the game.")</f>
        <v>The team that reaches 21 points wins the game.</v>
      </c>
      <c r="L4" s="2"/>
      <c r="M4" s="2"/>
      <c r="N4" s="2"/>
      <c r="O4" s="2"/>
      <c r="P4" s="2"/>
      <c r="Q4" s="2"/>
      <c r="R4" s="2"/>
      <c r="S4" s="2"/>
      <c r="T4" s="2"/>
      <c r="U4" s="2"/>
      <c r="V4" s="2"/>
      <c r="W4" s="2"/>
    </row>
    <row r="5" ht="22.5" customHeight="1">
      <c r="A5" s="3">
        <v>4.0</v>
      </c>
      <c r="B5" s="3" t="s">
        <v>1161</v>
      </c>
      <c r="C5" s="3" t="s">
        <v>1162</v>
      </c>
      <c r="D5" s="3" t="s">
        <v>86</v>
      </c>
      <c r="E5" s="3" t="s">
        <v>1163</v>
      </c>
      <c r="F5" s="2"/>
      <c r="G5" s="3" t="str">
        <f>IFERROR(__xludf.DUMMYFUNCTION("GOOGLETRANSLATE(A5, ""it"", ""en"")"),"4")</f>
        <v>4</v>
      </c>
      <c r="H5" s="3" t="str">
        <f>IFERROR(__xludf.DUMMYFUNCTION("GOOGLETRANSLATE(B5, ""it"", ""en"")"),"What is the standard length of the playing field?")</f>
        <v>What is the standard length of the playing field?</v>
      </c>
      <c r="I5" s="3" t="str">
        <f>IFERROR(__xludf.DUMMYFUNCTION("GOOGLETRANSLATE(C5, ""it"", ""en"")"),"A. 30 meters B. 50 meters C. 80 meters D. 100 meters")</f>
        <v>A. 30 meters B. 50 meters C. 80 meters D. 100 meters</v>
      </c>
      <c r="J5" s="3" t="str">
        <f>IFERROR(__xludf.DUMMYFUNCTION("GOOGLETRANSLATE(D5, ""it"", ""en"")"),"80 meters")</f>
        <v>80 meters</v>
      </c>
      <c r="K5" s="3" t="str">
        <f>IFERROR(__xludf.DUMMYFUNCTION("GOOGLETRANSLATE(E5, ""it"", ""en"")"),"The playing field usually measures about 80 meters in length.")</f>
        <v>The playing field usually measures about 80 meters in length.</v>
      </c>
      <c r="L5" s="2"/>
      <c r="M5" s="2"/>
      <c r="N5" s="2"/>
      <c r="O5" s="2"/>
      <c r="P5" s="2"/>
      <c r="Q5" s="2"/>
      <c r="R5" s="2"/>
      <c r="S5" s="2"/>
      <c r="T5" s="2"/>
      <c r="U5" s="2"/>
      <c r="V5" s="2"/>
      <c r="W5" s="2"/>
    </row>
    <row r="6" ht="22.5" customHeight="1">
      <c r="A6" s="3">
        <v>5.0</v>
      </c>
      <c r="B6" s="3" t="s">
        <v>1164</v>
      </c>
      <c r="C6" s="3" t="s">
        <v>1165</v>
      </c>
      <c r="D6" s="3" t="s">
        <v>1166</v>
      </c>
      <c r="E6" s="3" t="s">
        <v>1167</v>
      </c>
      <c r="F6" s="2"/>
      <c r="G6" s="3" t="str">
        <f>IFERROR(__xludf.DUMMYFUNCTION("GOOGLETRANSLATE(A6, ""it"", ""en"")"),"5")</f>
        <v>5</v>
      </c>
      <c r="H6" s="3" t="str">
        <f>IFERROR(__xludf.DUMMYFUNCTION("GOOGLETRANSLATE(B6, ""it"", ""en"")"),"What do you use to hit the ball?")</f>
        <v>What do you use to hit the ball?</v>
      </c>
      <c r="I6" s="3" t="str">
        <f>IFERROR(__xludf.DUMMYFUNCTION("GOOGLETRANSLATE(C6, ""it"", ""en"")"),"A. Hands B. A racket C. A leather glove D. A wooden bracelet")</f>
        <v>A. Hands B. A racket C. A leather glove D. A wooden bracelet</v>
      </c>
      <c r="J6" s="3" t="str">
        <f>IFERROR(__xludf.DUMMYFUNCTION("GOOGLETRANSLATE(D6, ""it"", ""en"")"),"A wooden bracelet")</f>
        <v>A wooden bracelet</v>
      </c>
      <c r="K6" s="3" t="str">
        <f>IFERROR(__xludf.DUMMYFUNCTION("GOOGLETRANSLATE(E6, ""it"", ""en"")"),"The ball is hit with a wooden bracelet.")</f>
        <v>The ball is hit with a wooden bracelet.</v>
      </c>
      <c r="L6" s="2"/>
      <c r="M6" s="2"/>
      <c r="N6" s="2"/>
      <c r="O6" s="2"/>
      <c r="P6" s="2"/>
      <c r="Q6" s="2"/>
      <c r="R6" s="2"/>
      <c r="S6" s="2"/>
      <c r="T6" s="2"/>
      <c r="U6" s="2"/>
      <c r="V6" s="2"/>
      <c r="W6" s="2"/>
    </row>
    <row r="7" ht="22.5" customHeight="1">
      <c r="A7" s="3">
        <v>6.0</v>
      </c>
      <c r="B7" s="3" t="s">
        <v>519</v>
      </c>
      <c r="C7" s="3" t="s">
        <v>186</v>
      </c>
      <c r="D7" s="3">
        <v>3.0</v>
      </c>
      <c r="E7" s="3" t="s">
        <v>1168</v>
      </c>
      <c r="F7" s="2"/>
      <c r="G7" s="3" t="str">
        <f>IFERROR(__xludf.DUMMYFUNCTION("GOOGLETRANSLATE(A7, ""it"", ""en"")"),"6")</f>
        <v>6</v>
      </c>
      <c r="H7" s="3" t="str">
        <f>IFERROR(__xludf.DUMMYFUNCTION("GOOGLETRANSLATE(B7, ""it"", ""en"")"),"What is the maximum number of players per team?")</f>
        <v>What is the maximum number of players per team?</v>
      </c>
      <c r="I7" s="3" t="str">
        <f>IFERROR(__xludf.DUMMYFUNCTION("GOOGLETRANSLATE(C7, ""it"", ""en"")"),"A. 2 B. 3 C. 4 D. 5")</f>
        <v>A. 2 B. 3 C. 4 D. 5</v>
      </c>
      <c r="J7" s="3" t="str">
        <f>IFERROR(__xludf.DUMMYFUNCTION("GOOGLETRANSLATE(D7, ""it"", ""en"")"),"3")</f>
        <v>3</v>
      </c>
      <c r="K7" s="3" t="str">
        <f>IFERROR(__xludf.DUMMYFUNCTION("GOOGLETRANSLATE(E7, ""it"", ""en"")"),"Each team can have a maximum of 3 players.")</f>
        <v>Each team can have a maximum of 3 players.</v>
      </c>
      <c r="L7" s="2"/>
      <c r="M7" s="2"/>
      <c r="N7" s="2"/>
      <c r="O7" s="2"/>
      <c r="P7" s="2"/>
      <c r="Q7" s="2"/>
      <c r="R7" s="2"/>
      <c r="S7" s="2"/>
      <c r="T7" s="2"/>
      <c r="U7" s="2"/>
      <c r="V7" s="2"/>
      <c r="W7" s="2"/>
    </row>
    <row r="8" ht="22.5" customHeight="1">
      <c r="A8" s="3">
        <v>7.0</v>
      </c>
      <c r="B8" s="3" t="s">
        <v>1169</v>
      </c>
      <c r="C8" s="3" t="s">
        <v>1170</v>
      </c>
      <c r="D8" s="3" t="s">
        <v>1171</v>
      </c>
      <c r="E8" s="3" t="s">
        <v>1172</v>
      </c>
      <c r="F8" s="2"/>
      <c r="G8" s="3" t="str">
        <f>IFERROR(__xludf.DUMMYFUNCTION("GOOGLETRANSLATE(A8, ""it"", ""en"")"),"7")</f>
        <v>7</v>
      </c>
      <c r="H8" s="3" t="str">
        <f>IFERROR(__xludf.DUMMYFUNCTION("GOOGLETRANSLATE(B8, ""it"", ""en"")"),"What is the role of the batter in this game?")</f>
        <v>What is the role of the batter in this game?</v>
      </c>
      <c r="I8" s="3" t="str">
        <f>IFERROR(__xludf.DUMMYFUNCTION("GOOGLETRANSLATE(C8, ""it"", ""en"")"),"A. Blocking opponents' shots B. Serving the ball to the opponents C. Starting the play by hitting the ball D. Directing the team's strategy")</f>
        <v>A. Blocking opponents' shots B. Serving the ball to the opponents C. Starting the play by hitting the ball D. Directing the team's strategy</v>
      </c>
      <c r="J8" s="3" t="str">
        <f>IFERROR(__xludf.DUMMYFUNCTION("GOOGLETRANSLATE(D8, ""it"", ""en"")"),"Start the game by hitting the ball")</f>
        <v>Start the game by hitting the ball</v>
      </c>
      <c r="K8" s="3" t="str">
        <f>IFERROR(__xludf.DUMMYFUNCTION("GOOGLETRANSLATE(E8, ""it"", ""en"")"),"The batter begins each point by hitting the ball.")</f>
        <v>The batter begins each point by hitting the ball.</v>
      </c>
      <c r="L8" s="2"/>
      <c r="M8" s="2"/>
      <c r="N8" s="2"/>
      <c r="O8" s="2"/>
      <c r="P8" s="2"/>
      <c r="Q8" s="2"/>
      <c r="R8" s="2"/>
      <c r="S8" s="2"/>
      <c r="T8" s="2"/>
      <c r="U8" s="2"/>
      <c r="V8" s="2"/>
      <c r="W8" s="2"/>
    </row>
    <row r="9" ht="22.5" customHeight="1">
      <c r="A9" s="3">
        <v>8.0</v>
      </c>
      <c r="B9" s="3" t="s">
        <v>1173</v>
      </c>
      <c r="C9" s="3" t="s">
        <v>1174</v>
      </c>
      <c r="D9" s="3" t="s">
        <v>1175</v>
      </c>
      <c r="E9" s="3" t="s">
        <v>1176</v>
      </c>
      <c r="F9" s="2"/>
      <c r="G9" s="3" t="str">
        <f>IFERROR(__xludf.DUMMYFUNCTION("GOOGLETRANSLATE(A9, ""it"", ""en"")"),"8")</f>
        <v>8</v>
      </c>
      <c r="H9" s="3" t="str">
        <f>IFERROR(__xludf.DUMMYFUNCTION("GOOGLETRANSLATE(B9, ""it"", ""en"")"),"What happens if the ball hits the ground before crossing the center line?")</f>
        <v>What happens if the ball hits the ground before crossing the center line?</v>
      </c>
      <c r="I9" s="3" t="str">
        <f>IFERROR(__xludf.DUMMYFUNCTION("GOOGLETRANSLATE(C9, ""it"", ""en"")"),"A. Point to the opposing team B. Replay of the service C. One point penalty D. The ball is considered out")</f>
        <v>A. Point to the opposing team B. Replay of the service C. One point penalty D. The ball is considered out</v>
      </c>
      <c r="J9" s="3" t="str">
        <f>IFERROR(__xludf.DUMMYFUNCTION("GOOGLETRANSLATE(D9, ""it"", ""en"")"),"Point to the opposing team")</f>
        <v>Point to the opposing team</v>
      </c>
      <c r="K9" s="3" t="str">
        <f>IFERROR(__xludf.DUMMYFUNCTION("GOOGLETRANSLATE(E9, ""it"", ""en"")"),"If the ball does not go beyond the centre of the pitch")</f>
        <v>If the ball does not go beyond the centre of the pitch</v>
      </c>
      <c r="L9" s="2"/>
      <c r="M9" s="2"/>
      <c r="N9" s="2"/>
      <c r="O9" s="2"/>
      <c r="P9" s="2"/>
      <c r="Q9" s="2"/>
      <c r="R9" s="2"/>
      <c r="S9" s="2"/>
      <c r="T9" s="2"/>
      <c r="U9" s="2"/>
      <c r="V9" s="2"/>
      <c r="W9" s="2"/>
    </row>
    <row r="10" ht="22.5" customHeight="1">
      <c r="A10" s="3">
        <v>9.0</v>
      </c>
      <c r="B10" s="3" t="s">
        <v>1177</v>
      </c>
      <c r="C10" s="3" t="s">
        <v>1178</v>
      </c>
      <c r="D10" s="3" t="s">
        <v>657</v>
      </c>
      <c r="E10" s="3" t="s">
        <v>1179</v>
      </c>
      <c r="F10" s="2"/>
      <c r="G10" s="3" t="str">
        <f>IFERROR(__xludf.DUMMYFUNCTION("GOOGLETRANSLATE(A10, ""it"", ""en"")"),"9")</f>
        <v>9</v>
      </c>
      <c r="H10" s="3" t="str">
        <f>IFERROR(__xludf.DUMMYFUNCTION("GOOGLETRANSLATE(B10, ""it"", ""en"")"),"What is the typical height of the side net?")</f>
        <v>What is the typical height of the side net?</v>
      </c>
      <c r="I10" s="3" t="str">
        <f>IFERROR(__xludf.DUMMYFUNCTION("GOOGLETRANSLATE(C10, ""it"", ""en"")"),"A. 1 meter B. 2 meters C. 3 meters D. There is no side net")</f>
        <v>A. 1 meter B. 2 meters C. 3 meters D. There is no side net</v>
      </c>
      <c r="J10" s="3" t="str">
        <f>IFERROR(__xludf.DUMMYFUNCTION("GOOGLETRANSLATE(D10, ""it"", ""en"")"),"2 meters")</f>
        <v>2 meters</v>
      </c>
      <c r="K10" s="3" t="str">
        <f>IFERROR(__xludf.DUMMYFUNCTION("GOOGLETRANSLATE(E10, ""it"", ""en"")"),"The side net is about 2 meters high to prevent the ball from going out.")</f>
        <v>The side net is about 2 meters high to prevent the ball from going out.</v>
      </c>
      <c r="L10" s="2"/>
      <c r="M10" s="2"/>
      <c r="N10" s="2"/>
      <c r="O10" s="2"/>
      <c r="P10" s="2"/>
      <c r="Q10" s="2"/>
      <c r="R10" s="2"/>
      <c r="S10" s="2"/>
      <c r="T10" s="2"/>
      <c r="U10" s="2"/>
      <c r="V10" s="2"/>
      <c r="W10" s="2"/>
    </row>
    <row r="11" ht="22.5" customHeight="1">
      <c r="A11" s="3">
        <v>10.0</v>
      </c>
      <c r="B11" s="3" t="s">
        <v>1180</v>
      </c>
      <c r="C11" s="3" t="s">
        <v>1181</v>
      </c>
      <c r="D11" s="3" t="s">
        <v>1182</v>
      </c>
      <c r="E11" s="3" t="s">
        <v>1183</v>
      </c>
      <c r="F11" s="2"/>
      <c r="G11" s="3" t="str">
        <f>IFERROR(__xludf.DUMMYFUNCTION("GOOGLETRANSLATE(A11, ""it"", ""en"")"),"10")</f>
        <v>10</v>
      </c>
      <c r="H11" s="3" t="str">
        <f>IFERROR(__xludf.DUMMYFUNCTION("GOOGLETRANSLATE(B11, ""it"", ""en"")"),"How do you earn a point in Pallone col Bracciale?")</f>
        <v>How do you earn a point in Pallone col Bracciale?</v>
      </c>
      <c r="I11" s="3" t="str">
        <f>IFERROR(__xludf.DUMMYFUNCTION("GOOGLETRANSLATE(C11, ""it"", ""en"")"),"A. Hitting the ball out of bounds B. Passing the ball over the opponent's armband C. Hitting the ball so that the opponents do not return it D. Stopping the ball in mid-bounds")</f>
        <v>A. Hitting the ball out of bounds B. Passing the ball over the opponent's armband C. Hitting the ball so that the opponents do not return it D. Stopping the ball in mid-bounds</v>
      </c>
      <c r="J11" s="3" t="str">
        <f>IFERROR(__xludf.DUMMYFUNCTION("GOOGLETRANSLATE(D11, ""it"", ""en"")"),"Hitting the ball so that the opponents do not return it")</f>
        <v>Hitting the ball so that the opponents do not return it</v>
      </c>
      <c r="K11" s="3" t="str">
        <f>IFERROR(__xludf.DUMMYFUNCTION("GOOGLETRANSLATE(E11, ""it"", ""en"")"),"A point is earned when the opponent fails to return the ball.")</f>
        <v>A point is earned when the opponent fails to return the ball.</v>
      </c>
      <c r="L11" s="2"/>
      <c r="M11" s="2"/>
      <c r="N11" s="2"/>
      <c r="O11" s="2"/>
      <c r="P11" s="2"/>
      <c r="Q11" s="2"/>
      <c r="R11" s="2"/>
      <c r="S11" s="2"/>
      <c r="T11" s="2"/>
      <c r="U11" s="2"/>
      <c r="V11" s="2"/>
      <c r="W11" s="2"/>
    </row>
    <row r="12" ht="22.5" customHeight="1">
      <c r="A12" s="3">
        <v>11.0</v>
      </c>
      <c r="B12" s="3" t="s">
        <v>1184</v>
      </c>
      <c r="C12" s="3" t="s">
        <v>1185</v>
      </c>
      <c r="D12" s="3" t="s">
        <v>1186</v>
      </c>
      <c r="E12" s="3" t="s">
        <v>1187</v>
      </c>
      <c r="F12" s="2"/>
      <c r="G12" s="3" t="str">
        <f>IFERROR(__xludf.DUMMYFUNCTION("GOOGLETRANSLATE(A12, ""it"", ""en"")"),"11")</f>
        <v>11</v>
      </c>
      <c r="H12" s="3" t="str">
        <f>IFERROR(__xludf.DUMMYFUNCTION("GOOGLETRANSLATE(B12, ""it"", ""en"")"),"What happens if a player touches the ball with a part of the body other than the armband?")</f>
        <v>What happens if a player touches the ball with a part of the body other than the armband?</v>
      </c>
      <c r="I12" s="3" t="str">
        <f>IFERROR(__xludf.DUMMYFUNCTION("GOOGLETRANSLATE(C12, ""it"", ""en"")"),"A. Loss of point B. One point penalty C. Replay of the shot D. The ball is considered out of play")</f>
        <v>A. Loss of point B. One point penalty C. Replay of the shot D. The ball is considered out of play</v>
      </c>
      <c r="J12" s="3" t="str">
        <f>IFERROR(__xludf.DUMMYFUNCTION("GOOGLETRANSLATE(D12, ""it"", ""en"")"),"Loss of point")</f>
        <v>Loss of point</v>
      </c>
      <c r="K12" s="3" t="str">
        <f>IFERROR(__xludf.DUMMYFUNCTION("GOOGLETRANSLATE(E12, ""it"", ""en"")"),"If a player uses a body part other than the armband")</f>
        <v>If a player uses a body part other than the armband</v>
      </c>
      <c r="L12" s="2"/>
      <c r="M12" s="2"/>
      <c r="N12" s="2"/>
      <c r="O12" s="2"/>
      <c r="P12" s="2"/>
      <c r="Q12" s="2"/>
      <c r="R12" s="2"/>
      <c r="S12" s="2"/>
      <c r="T12" s="2"/>
      <c r="U12" s="2"/>
      <c r="V12" s="2"/>
      <c r="W12" s="2"/>
    </row>
    <row r="13" ht="22.5" customHeight="1">
      <c r="A13" s="3">
        <v>12.0</v>
      </c>
      <c r="B13" s="3" t="s">
        <v>1188</v>
      </c>
      <c r="C13" s="3" t="s">
        <v>1189</v>
      </c>
      <c r="D13" s="3" t="s">
        <v>1190</v>
      </c>
      <c r="E13" s="3" t="s">
        <v>1191</v>
      </c>
      <c r="F13" s="2"/>
      <c r="G13" s="3" t="str">
        <f>IFERROR(__xludf.DUMMYFUNCTION("GOOGLETRANSLATE(A13, ""it"", ""en"")"),"12")</f>
        <v>12</v>
      </c>
      <c r="H13" s="3" t="str">
        <f>IFERROR(__xludf.DUMMYFUNCTION("GOOGLETRANSLATE(B13, ""it"", ""en"")"),"How do you measure victory in a Pallone col Bracciale tournament?")</f>
        <v>How do you measure victory in a Pallone col Bracciale tournament?</v>
      </c>
      <c r="I13" s="3" t="str">
        <f>IFERROR(__xludf.DUMMYFUNCTION("GOOGLETRANSLATE(C13, ""it"", ""en"")"),"A. Playing time B. Total points C. Fan appreciation D. Total wins")</f>
        <v>A. Playing time B. Total points C. Fan appreciation D. Total wins</v>
      </c>
      <c r="J13" s="3" t="str">
        <f>IFERROR(__xludf.DUMMYFUNCTION("GOOGLETRANSLATE(D13, ""it"", ""en"")"),"Overall victories")</f>
        <v>Overall victories</v>
      </c>
      <c r="K13" s="3" t="str">
        <f>IFERROR(__xludf.DUMMYFUNCTION("GOOGLETRANSLATE(E13, ""it"", ""en"")"),"The team with the most match wins advances to the tournament.")</f>
        <v>The team with the most match wins advances to the tournament.</v>
      </c>
      <c r="L13" s="2"/>
      <c r="M13" s="2"/>
      <c r="N13" s="2"/>
      <c r="O13" s="2"/>
      <c r="P13" s="2"/>
      <c r="Q13" s="2"/>
      <c r="R13" s="2"/>
      <c r="S13" s="2"/>
      <c r="T13" s="2"/>
      <c r="U13" s="2"/>
      <c r="V13" s="2"/>
      <c r="W13" s="2"/>
    </row>
    <row r="14" ht="22.5" customHeight="1">
      <c r="A14" s="3">
        <v>13.0</v>
      </c>
      <c r="B14" s="3" t="s">
        <v>1192</v>
      </c>
      <c r="C14" s="3" t="s">
        <v>1193</v>
      </c>
      <c r="D14" s="3" t="s">
        <v>1194</v>
      </c>
      <c r="E14" s="3" t="s">
        <v>1195</v>
      </c>
      <c r="F14" s="2"/>
      <c r="G14" s="3" t="str">
        <f>IFERROR(__xludf.DUMMYFUNCTION("GOOGLETRANSLATE(A14, ""it"", ""en"")"),"13")</f>
        <v>13</v>
      </c>
      <c r="H14" s="3" t="str">
        <f>IFERROR(__xludf.DUMMYFUNCTION("GOOGLETRANSLATE(B14, ""it"", ""en"")"),"How many times can the ball bounce before being hit?")</f>
        <v>How many times can the ball bounce before being hit?</v>
      </c>
      <c r="I14" s="3" t="str">
        <f>IFERROR(__xludf.DUMMYFUNCTION("GOOGLETRANSLATE(C14, ""it"", ""en"")"),"A. 1 rebound B. 2 rebounds C. 3 rebounds D. Infinite rebounds")</f>
        <v>A. 1 rebound B. 2 rebounds C. 3 rebounds D. Infinite rebounds</v>
      </c>
      <c r="J14" s="3" t="str">
        <f>IFERROR(__xludf.DUMMYFUNCTION("GOOGLETRANSLATE(D14, ""it"", ""en"")"),"1 rebound")</f>
        <v>1 rebound</v>
      </c>
      <c r="K14" s="3" t="str">
        <f>IFERROR(__xludf.DUMMYFUNCTION("GOOGLETRANSLATE(E14, ""it"", ""en"")"),"The ball can only bounce once before being hit.")</f>
        <v>The ball can only bounce once before being hit.</v>
      </c>
      <c r="L14" s="2"/>
      <c r="M14" s="2"/>
      <c r="N14" s="2"/>
      <c r="O14" s="2"/>
      <c r="P14" s="2"/>
      <c r="Q14" s="2"/>
      <c r="R14" s="2"/>
      <c r="S14" s="2"/>
      <c r="T14" s="2"/>
      <c r="U14" s="2"/>
      <c r="V14" s="2"/>
      <c r="W14" s="2"/>
    </row>
    <row r="15" ht="22.5" customHeight="1">
      <c r="A15" s="3">
        <v>14.0</v>
      </c>
      <c r="B15" s="3" t="s">
        <v>1196</v>
      </c>
      <c r="C15" s="3" t="s">
        <v>1197</v>
      </c>
      <c r="D15" s="3" t="s">
        <v>1198</v>
      </c>
      <c r="E15" s="3" t="s">
        <v>1199</v>
      </c>
      <c r="F15" s="2"/>
      <c r="G15" s="3" t="str">
        <f>IFERROR(__xludf.DUMMYFUNCTION("GOOGLETRANSLATE(A15, ""it"", ""en"")"),"14")</f>
        <v>14</v>
      </c>
      <c r="H15" s="3" t="str">
        <f>IFERROR(__xludf.DUMMYFUNCTION("GOOGLETRANSLATE(B15, ""it"", ""en"")"),"What is the typical length of a match?")</f>
        <v>What is the typical length of a match?</v>
      </c>
      <c r="I15" s="3" t="str">
        <f>IFERROR(__xludf.DUMMYFUNCTION("GOOGLETRANSLATE(C15, ""it"", ""en"")"),"A. 30 minutes B. 60 minutes C. 90 minutes D. 120 minutes")</f>
        <v>A. 30 minutes B. 60 minutes C. 90 minutes D. 120 minutes</v>
      </c>
      <c r="J15" s="3" t="str">
        <f>IFERROR(__xludf.DUMMYFUNCTION("GOOGLETRANSLATE(D15, ""it"", ""en"")"),"90 minutes")</f>
        <v>90 minutes</v>
      </c>
      <c r="K15" s="3" t="str">
        <f>IFERROR(__xludf.DUMMYFUNCTION("GOOGLETRANSLATE(E15, ""it"", ""en"")"),"Matches generally last 90 minutes")</f>
        <v>Matches generally last 90 minutes</v>
      </c>
      <c r="L15" s="2"/>
      <c r="M15" s="2"/>
      <c r="N15" s="2"/>
      <c r="O15" s="2"/>
      <c r="P15" s="2"/>
      <c r="Q15" s="2"/>
      <c r="R15" s="2"/>
      <c r="S15" s="2"/>
      <c r="T15" s="2"/>
      <c r="U15" s="2"/>
      <c r="V15" s="2"/>
      <c r="W15" s="2"/>
    </row>
    <row r="16" ht="22.5" customHeight="1">
      <c r="A16" s="3">
        <v>15.0</v>
      </c>
      <c r="B16" s="3" t="s">
        <v>1200</v>
      </c>
      <c r="C16" s="3" t="s">
        <v>1201</v>
      </c>
      <c r="D16" s="3" t="s">
        <v>640</v>
      </c>
      <c r="E16" s="3" t="s">
        <v>1202</v>
      </c>
      <c r="F16" s="2"/>
      <c r="G16" s="3" t="str">
        <f>IFERROR(__xludf.DUMMYFUNCTION("GOOGLETRANSLATE(A16, ""it"", ""en"")"),"15")</f>
        <v>15</v>
      </c>
      <c r="H16" s="3" t="str">
        <f>IFERROR(__xludf.DUMMYFUNCTION("GOOGLETRANSLATE(B16, ""it"", ""en"")"),"What is the traditional bracelet material?")</f>
        <v>What is the traditional bracelet material?</v>
      </c>
      <c r="I16" s="3" t="str">
        <f>IFERROR(__xludf.DUMMYFUNCTION("GOOGLETRANSLATE(C16, ""it"", ""en"")"),"A. Plastic B. Metal C. Wood D. Leather")</f>
        <v>A. Plastic B. Metal C. Wood D. Leather</v>
      </c>
      <c r="J16" s="3" t="str">
        <f>IFERROR(__xludf.DUMMYFUNCTION("GOOGLETRANSLATE(D16, ""it"", ""en"")"),"Wood")</f>
        <v>Wood</v>
      </c>
      <c r="K16" s="3" t="str">
        <f>IFERROR(__xludf.DUMMYFUNCTION("GOOGLETRANSLATE(E16, ""it"", ""en"")"),"The bracelet is traditionally made of wood.")</f>
        <v>The bracelet is traditionally made of wood.</v>
      </c>
      <c r="L16" s="2"/>
      <c r="M16" s="2"/>
      <c r="N16" s="2"/>
      <c r="O16" s="2"/>
      <c r="P16" s="2"/>
      <c r="Q16" s="2"/>
      <c r="R16" s="2"/>
      <c r="S16" s="2"/>
      <c r="T16" s="2"/>
      <c r="U16" s="2"/>
      <c r="V16" s="2"/>
      <c r="W16" s="2"/>
    </row>
    <row r="17" ht="22.5" customHeight="1">
      <c r="A17" s="3">
        <v>16.0</v>
      </c>
      <c r="B17" s="3" t="s">
        <v>1203</v>
      </c>
      <c r="C17" s="3" t="s">
        <v>1204</v>
      </c>
      <c r="D17" s="3" t="s">
        <v>1205</v>
      </c>
      <c r="E17" s="3" t="s">
        <v>1206</v>
      </c>
      <c r="F17" s="2"/>
      <c r="G17" s="3" t="str">
        <f>IFERROR(__xludf.DUMMYFUNCTION("GOOGLETRANSLATE(A17, ""it"", ""en"")"),"16")</f>
        <v>16</v>
      </c>
      <c r="H17" s="3" t="str">
        <f>IFERROR(__xludf.DUMMYFUNCTION("GOOGLETRANSLATE(B17, ""it"", ""en"")"),"What is the distance between the service line and the center of the court?")</f>
        <v>What is the distance between the service line and the center of the court?</v>
      </c>
      <c r="I17" s="3" t="str">
        <f>IFERROR(__xludf.DUMMYFUNCTION("GOOGLETRANSLATE(C17, ""it"", ""en"")"),"A. 5 meters B. 10 meters C. 15 meters D. 20 meters")</f>
        <v>A. 5 meters B. 10 meters C. 15 meters D. 20 meters</v>
      </c>
      <c r="J17" s="3" t="str">
        <f>IFERROR(__xludf.DUMMYFUNCTION("GOOGLETRANSLATE(D17, ""it"", ""en"")"),"15 meters")</f>
        <v>15 meters</v>
      </c>
      <c r="K17" s="3" t="str">
        <f>IFERROR(__xludf.DUMMYFUNCTION("GOOGLETRANSLATE(E17, ""it"", ""en"")"),"The service line is 15 meters from the center of the court.")</f>
        <v>The service line is 15 meters from the center of the court.</v>
      </c>
      <c r="L17" s="2"/>
      <c r="M17" s="2"/>
      <c r="N17" s="2"/>
      <c r="O17" s="2"/>
      <c r="P17" s="2"/>
      <c r="Q17" s="2"/>
      <c r="R17" s="2"/>
      <c r="S17" s="2"/>
      <c r="T17" s="2"/>
      <c r="U17" s="2"/>
      <c r="V17" s="2"/>
      <c r="W17" s="2"/>
    </row>
    <row r="18" ht="22.5" customHeight="1">
      <c r="A18" s="3">
        <v>17.0</v>
      </c>
      <c r="B18" s="3" t="s">
        <v>1207</v>
      </c>
      <c r="C18" s="3" t="s">
        <v>1208</v>
      </c>
      <c r="D18" s="3" t="s">
        <v>1209</v>
      </c>
      <c r="E18" s="3" t="s">
        <v>1210</v>
      </c>
      <c r="F18" s="2"/>
      <c r="G18" s="3" t="str">
        <f>IFERROR(__xludf.DUMMYFUNCTION("GOOGLETRANSLATE(A18, ""it"", ""en"")"),"17")</f>
        <v>17</v>
      </c>
      <c r="H18" s="3" t="str">
        <f>IFERROR(__xludf.DUMMYFUNCTION("GOOGLETRANSLATE(B18, ""it"", ""en"")"),"Is it allowed to block the ball with your body?")</f>
        <v>Is it allowed to block the ball with your body?</v>
      </c>
      <c r="I18" s="3" t="str">
        <f>IFERROR(__xludf.DUMMYFUNCTION("GOOGLETRANSLATE(C18, ""it"", ""en"")"),"A. Yes B. No C. Yes only in defense D. Only with the referee's permission")</f>
        <v>A. Yes B. No C. Yes only in defense D. Only with the referee's permission</v>
      </c>
      <c r="J18" s="3" t="str">
        <f>IFERROR(__xludf.DUMMYFUNCTION("GOOGLETRANSLATE(D18, ""it"", ""en"")"),"No")</f>
        <v>No</v>
      </c>
      <c r="K18" s="3" t="str">
        <f>IFERROR(__xludf.DUMMYFUNCTION("GOOGLETRANSLATE(E18, ""it"", ""en"")"),"Blocking the ball with your body is prohibited.")</f>
        <v>Blocking the ball with your body is prohibited.</v>
      </c>
      <c r="L18" s="2"/>
      <c r="M18" s="2"/>
      <c r="N18" s="2"/>
      <c r="O18" s="2"/>
      <c r="P18" s="2"/>
      <c r="Q18" s="2"/>
      <c r="R18" s="2"/>
      <c r="S18" s="2"/>
      <c r="T18" s="2"/>
      <c r="U18" s="2"/>
      <c r="V18" s="2"/>
      <c r="W18" s="2"/>
    </row>
    <row r="19" ht="22.5" customHeight="1">
      <c r="A19" s="3">
        <v>18.0</v>
      </c>
      <c r="B19" s="3" t="s">
        <v>1211</v>
      </c>
      <c r="C19" s="3" t="s">
        <v>1212</v>
      </c>
      <c r="D19" s="3" t="s">
        <v>1213</v>
      </c>
      <c r="E19" s="3" t="s">
        <v>1214</v>
      </c>
      <c r="F19" s="2"/>
      <c r="G19" s="3" t="str">
        <f>IFERROR(__xludf.DUMMYFUNCTION("GOOGLETRANSLATE(A19, ""it"", ""en"")"),"18")</f>
        <v>18</v>
      </c>
      <c r="H19" s="3" t="str">
        <f>IFERROR(__xludf.DUMMYFUNCTION("GOOGLETRANSLATE(B19, ""it"", ""en"")"),"What is the penalty for a service violation?")</f>
        <v>What is the penalty for a service violation?</v>
      </c>
      <c r="I19" s="3" t="str">
        <f>IFERROR(__xludf.DUMMYFUNCTION("GOOGLETRANSLATE(C19, ""it"", ""en"")"),"A. Service replay B. Loss of the round C. Point awarded to the opponent D. One-point penalty")</f>
        <v>A. Service replay B. Loss of the round C. Point awarded to the opponent D. One-point penalty</v>
      </c>
      <c r="J19" s="3" t="str">
        <f>IFERROR(__xludf.DUMMYFUNCTION("GOOGLETRANSLATE(D19, ""it"", ""en"")"),"Point to the opponent")</f>
        <v>Point to the opponent</v>
      </c>
      <c r="K19" s="3" t="str">
        <f>IFERROR(__xludf.DUMMYFUNCTION("GOOGLETRANSLATE(E19, ""it"", ""en"")"),"An incorrect serve awards a point to the opponents.")</f>
        <v>An incorrect serve awards a point to the opponents.</v>
      </c>
      <c r="L19" s="2"/>
      <c r="M19" s="2"/>
      <c r="N19" s="2"/>
      <c r="O19" s="2"/>
      <c r="P19" s="2"/>
      <c r="Q19" s="2"/>
      <c r="R19" s="2"/>
      <c r="S19" s="2"/>
      <c r="T19" s="2"/>
      <c r="U19" s="2"/>
      <c r="V19" s="2"/>
      <c r="W19" s="2"/>
    </row>
    <row r="20" ht="22.5" customHeight="1">
      <c r="A20" s="3">
        <v>19.0</v>
      </c>
      <c r="B20" s="3" t="s">
        <v>1215</v>
      </c>
      <c r="C20" s="3" t="s">
        <v>1216</v>
      </c>
      <c r="D20" s="3" t="s">
        <v>1213</v>
      </c>
      <c r="E20" s="3" t="s">
        <v>1217</v>
      </c>
      <c r="F20" s="2"/>
      <c r="G20" s="3" t="str">
        <f>IFERROR(__xludf.DUMMYFUNCTION("GOOGLETRANSLATE(A20, ""it"", ""en"")"),"19")</f>
        <v>19</v>
      </c>
      <c r="H20" s="3" t="str">
        <f>IFERROR(__xludf.DUMMYFUNCTION("GOOGLETRANSLATE(B20, ""it"", ""en"")"),"What happens if the ball goes out of bounds?")</f>
        <v>What happens if the ball goes out of bounds?</v>
      </c>
      <c r="I20" s="3" t="str">
        <f>IFERROR(__xludf.DUMMYFUNCTION("GOOGLETRANSLATE(C20, ""it"", ""en"")"),"A. Point to the opponent B. Replay of the shot C. Point to the player D. One-point penalty")</f>
        <v>A. Point to the opponent B. Replay of the shot C. Point to the player D. One-point penalty</v>
      </c>
      <c r="J20" s="3" t="str">
        <f>IFERROR(__xludf.DUMMYFUNCTION("GOOGLETRANSLATE(D20, ""it"", ""en"")"),"Point to the opponent")</f>
        <v>Point to the opponent</v>
      </c>
      <c r="K20" s="3" t="str">
        <f>IFERROR(__xludf.DUMMYFUNCTION("GOOGLETRANSLATE(E20, ""it"", ""en"")"),"If the ball goes out")</f>
        <v>If the ball goes out</v>
      </c>
      <c r="L20" s="2"/>
      <c r="M20" s="2"/>
      <c r="N20" s="2"/>
      <c r="O20" s="2"/>
      <c r="P20" s="2"/>
      <c r="Q20" s="2"/>
      <c r="R20" s="2"/>
      <c r="S20" s="2"/>
      <c r="T20" s="2"/>
      <c r="U20" s="2"/>
      <c r="V20" s="2"/>
      <c r="W20" s="2"/>
    </row>
    <row r="21" ht="22.5" customHeight="1">
      <c r="A21" s="3">
        <v>20.0</v>
      </c>
      <c r="B21" s="3" t="s">
        <v>1218</v>
      </c>
      <c r="C21" s="3" t="s">
        <v>1219</v>
      </c>
      <c r="D21" s="3" t="s">
        <v>1220</v>
      </c>
      <c r="E21" s="3" t="s">
        <v>1221</v>
      </c>
      <c r="F21" s="2"/>
      <c r="G21" s="3" t="str">
        <f>IFERROR(__xludf.DUMMYFUNCTION("GOOGLETRANSLATE(A21, ""it"", ""en"")"),"20")</f>
        <v>20</v>
      </c>
      <c r="H21" s="3" t="str">
        <f>IFERROR(__xludf.DUMMYFUNCTION("GOOGLETRANSLATE(B21, ""it"", ""en"")"),"What is the role of the catcher in this game?")</f>
        <v>What is the role of the catcher in this game?</v>
      </c>
      <c r="I21" s="3" t="str">
        <f>IFERROR(__xludf.DUMMYFUNCTION("GOOGLETRANSLATE(C21, ""it"", ""en"")"),"A. Blocking the opponent's shots B. Returning the ball by hitting it C. Serving the ball D. Picking the ball up out of bounds")</f>
        <v>A. Blocking the opponent's shots B. Returning the ball by hitting it C. Serving the ball D. Picking the ball up out of bounds</v>
      </c>
      <c r="J21" s="3" t="str">
        <f>IFERROR(__xludf.DUMMYFUNCTION("GOOGLETRANSLATE(D21, ""it"", ""en"")"),"Return the ball by hitting it")</f>
        <v>Return the ball by hitting it</v>
      </c>
      <c r="K21" s="3" t="str">
        <f>IFERROR(__xludf.DUMMYFUNCTION("GOOGLETRANSLATE(E21, ""it"", ""en"")"),"The receiver returns the serve by hitting the ball.")</f>
        <v>The receiver returns the serve by hitting the ball.</v>
      </c>
      <c r="L21" s="2"/>
      <c r="M21" s="2"/>
      <c r="N21" s="2"/>
      <c r="O21" s="2"/>
      <c r="P21" s="2"/>
      <c r="Q21" s="2"/>
      <c r="R21" s="2"/>
      <c r="S21" s="2"/>
      <c r="T21" s="2"/>
      <c r="U21" s="2"/>
      <c r="V21" s="2"/>
      <c r="W21" s="2"/>
    </row>
    <row r="22" ht="22.5" customHeight="1">
      <c r="A22" s="3">
        <v>21.0</v>
      </c>
      <c r="B22" s="3" t="s">
        <v>1222</v>
      </c>
      <c r="C22" s="3" t="s">
        <v>1223</v>
      </c>
      <c r="D22" s="3" t="s">
        <v>1224</v>
      </c>
      <c r="E22" s="3" t="s">
        <v>1225</v>
      </c>
      <c r="F22" s="2"/>
      <c r="G22" s="3" t="str">
        <f>IFERROR(__xludf.DUMMYFUNCTION("GOOGLETRANSLATE(A22, ""it"", ""en"")"),"21")</f>
        <v>21</v>
      </c>
      <c r="H22" s="3" t="str">
        <f>IFERROR(__xludf.DUMMYFUNCTION("GOOGLETRANSLATE(B22, ""it"", ""en"")"),"How do you start a game?")</f>
        <v>How do you start a game?</v>
      </c>
      <c r="I22" s="3" t="str">
        <f>IFERROR(__xludf.DUMMYFUNCTION("GOOGLETRANSLATE(C22, ""it"", ""en"")"),"A. With a toss of a coin B. With a toss of a coin C. With the server's service D. With the ball being thrown")</f>
        <v>A. With a toss of a coin B. With a toss of a coin C. With the server's service D. With the ball being thrown</v>
      </c>
      <c r="J22" s="3" t="str">
        <f>IFERROR(__xludf.DUMMYFUNCTION("GOOGLETRANSLATE(D22, ""it"", ""en"")"),"With the server's service")</f>
        <v>With the server's service</v>
      </c>
      <c r="K22" s="3" t="str">
        <f>IFERROR(__xludf.DUMMYFUNCTION("GOOGLETRANSLATE(E22, ""it"", ""en"")"),"The server begins the game with the serve.")</f>
        <v>The server begins the game with the serve.</v>
      </c>
      <c r="L22" s="2"/>
      <c r="M22" s="2"/>
      <c r="N22" s="2"/>
      <c r="O22" s="2"/>
      <c r="P22" s="2"/>
      <c r="Q22" s="2"/>
      <c r="R22" s="2"/>
      <c r="S22" s="2"/>
      <c r="T22" s="2"/>
      <c r="U22" s="2"/>
      <c r="V22" s="2"/>
      <c r="W22" s="2"/>
    </row>
    <row r="23" ht="22.5" customHeight="1">
      <c r="A23" s="3">
        <v>22.0</v>
      </c>
      <c r="B23" s="3" t="s">
        <v>1226</v>
      </c>
      <c r="C23" s="3" t="s">
        <v>1227</v>
      </c>
      <c r="D23" s="3" t="s">
        <v>1228</v>
      </c>
      <c r="E23" s="3" t="s">
        <v>1229</v>
      </c>
      <c r="F23" s="2"/>
      <c r="G23" s="3" t="str">
        <f>IFERROR(__xludf.DUMMYFUNCTION("GOOGLETRANSLATE(A23, ""it"", ""en"")"),"22")</f>
        <v>22</v>
      </c>
      <c r="H23" s="3" t="str">
        <f>IFERROR(__xludf.DUMMYFUNCTION("GOOGLETRANSLATE(B23, ""it"", ""en"")"),"What is the penalty for misbehavior?")</f>
        <v>What is the penalty for misbehavior?</v>
      </c>
      <c r="I23" s="3" t="str">
        <f>IFERROR(__xludf.DUMMYFUNCTION("GOOGLETRANSLATE(C23, ""it"", ""en"")"),"A. Loss of points B. Warning C. Expulsion D. Replay of the point")</f>
        <v>A. Loss of points B. Warning C. Expulsion D. Replay of the point</v>
      </c>
      <c r="J23" s="3" t="str">
        <f>IFERROR(__xludf.DUMMYFUNCTION("GOOGLETRANSLATE(D23, ""it"", ""en"")"),"Warning")</f>
        <v>Warning</v>
      </c>
      <c r="K23" s="3" t="str">
        <f>IFERROR(__xludf.DUMMYFUNCTION("GOOGLETRANSLATE(E23, ""it"", ""en"")"),"Improper behavior leads to a warning.")</f>
        <v>Improper behavior leads to a warning.</v>
      </c>
      <c r="L23" s="2"/>
      <c r="M23" s="2"/>
      <c r="N23" s="2"/>
      <c r="O23" s="2"/>
      <c r="P23" s="2"/>
      <c r="Q23" s="2"/>
      <c r="R23" s="2"/>
      <c r="S23" s="2"/>
      <c r="T23" s="2"/>
      <c r="U23" s="2"/>
      <c r="V23" s="2"/>
      <c r="W23" s="2"/>
    </row>
    <row r="24" ht="22.5" customHeight="1">
      <c r="A24" s="3">
        <v>23.0</v>
      </c>
      <c r="B24" s="3" t="s">
        <v>1230</v>
      </c>
      <c r="C24" s="3" t="s">
        <v>1231</v>
      </c>
      <c r="D24" s="3" t="s">
        <v>1232</v>
      </c>
      <c r="E24" s="3" t="s">
        <v>1233</v>
      </c>
      <c r="F24" s="2"/>
      <c r="G24" s="3" t="str">
        <f>IFERROR(__xludf.DUMMYFUNCTION("GOOGLETRANSLATE(A24, ""it"", ""en"")"),"23")</f>
        <v>23</v>
      </c>
      <c r="H24" s="3" t="str">
        <f>IFERROR(__xludf.DUMMYFUNCTION("GOOGLETRANSLATE(B24, ""it"", ""en"")"),"How is the total score calculated at the end of a game?")</f>
        <v>How is the total score calculated at the end of a game?</v>
      </c>
      <c r="I24" s="3" t="str">
        <f>IFERROR(__xludf.DUMMYFUNCTION("GOOGLETRANSLATE(C24, ""it"", ""en"")"),"A. Sum of points for each round B. Number of services won C. Total number of shots D. Playing time")</f>
        <v>A. Sum of points for each round B. Number of services won C. Total number of shots D. Playing time</v>
      </c>
      <c r="J24" s="3" t="str">
        <f>IFERROR(__xludf.DUMMYFUNCTION("GOOGLETRANSLATE(D24, ""it"", ""en"")"),"Sum of points for each round")</f>
        <v>Sum of points for each round</v>
      </c>
      <c r="K24" s="3" t="str">
        <f>IFERROR(__xludf.DUMMYFUNCTION("GOOGLETRANSLATE(E24, ""it"", ""en"")"),"The total score is the sum of the points won in each round.")</f>
        <v>The total score is the sum of the points won in each round.</v>
      </c>
      <c r="L24" s="2"/>
      <c r="M24" s="2"/>
      <c r="N24" s="2"/>
      <c r="O24" s="2"/>
      <c r="P24" s="2"/>
      <c r="Q24" s="2"/>
      <c r="R24" s="2"/>
      <c r="S24" s="2"/>
      <c r="T24" s="2"/>
      <c r="U24" s="2"/>
      <c r="V24" s="2"/>
      <c r="W24" s="2"/>
    </row>
    <row r="25" ht="22.5" customHeight="1">
      <c r="A25" s="3">
        <v>24.0</v>
      </c>
      <c r="B25" s="3" t="s">
        <v>1234</v>
      </c>
      <c r="C25" s="3" t="s">
        <v>1235</v>
      </c>
      <c r="D25" s="3" t="s">
        <v>1236</v>
      </c>
      <c r="E25" s="3" t="s">
        <v>1237</v>
      </c>
      <c r="F25" s="2"/>
      <c r="G25" s="3" t="str">
        <f>IFERROR(__xludf.DUMMYFUNCTION("GOOGLETRANSLATE(A25, ""it"", ""en"")"),"24")</f>
        <v>24</v>
      </c>
      <c r="H25" s="3" t="str">
        <f>IFERROR(__xludf.DUMMYFUNCTION("GOOGLETRANSLATE(B25, ""it"", ""en"")"),"How many referees are needed for an official match?")</f>
        <v>How many referees are needed for an official match?</v>
      </c>
      <c r="I25" s="3" t="str">
        <f>IFERROR(__xludf.DUMMYFUNCTION("GOOGLETRANSLATE(C25, ""it"", ""en"")"),"A. 1 referee B. 2 referees C. 3 referees D. 4 referees")</f>
        <v>A. 1 referee B. 2 referees C. 3 referees D. 4 referees</v>
      </c>
      <c r="J25" s="3" t="str">
        <f>IFERROR(__xludf.DUMMYFUNCTION("GOOGLETRANSLATE(D25, ""it"", ""en"")"),"1 referee")</f>
        <v>1 referee</v>
      </c>
      <c r="K25" s="3" t="str">
        <f>IFERROR(__xludf.DUMMYFUNCTION("GOOGLETRANSLATE(E25, ""it"", ""en"")"),"One referee is enough to control the game.")</f>
        <v>One referee is enough to control the game.</v>
      </c>
      <c r="L25" s="2"/>
      <c r="M25" s="2"/>
      <c r="N25" s="2"/>
      <c r="O25" s="2"/>
      <c r="P25" s="2"/>
      <c r="Q25" s="2"/>
      <c r="R25" s="2"/>
      <c r="S25" s="2"/>
      <c r="T25" s="2"/>
      <c r="U25" s="2"/>
      <c r="V25" s="2"/>
      <c r="W25" s="2"/>
    </row>
    <row r="26" ht="22.5" customHeight="1">
      <c r="A26" s="3">
        <v>25.0</v>
      </c>
      <c r="B26" s="3" t="s">
        <v>1238</v>
      </c>
      <c r="C26" s="3" t="s">
        <v>1239</v>
      </c>
      <c r="D26" s="3" t="s">
        <v>1240</v>
      </c>
      <c r="E26" s="3" t="s">
        <v>1241</v>
      </c>
      <c r="F26" s="2"/>
      <c r="G26" s="3" t="str">
        <f>IFERROR(__xludf.DUMMYFUNCTION("GOOGLETRANSLATE(A26, ""it"", ""en"")"),"25")</f>
        <v>25</v>
      </c>
      <c r="H26" s="3" t="str">
        <f>IFERROR(__xludf.DUMMYFUNCTION("GOOGLETRANSLATE(B26, ""it"", ""en"")"),"What are points scored in succession without an answer called?")</f>
        <v>What are points scored in succession without an answer called?</v>
      </c>
      <c r="I26" s="3" t="str">
        <f>IFERROR(__xludf.DUMMYFUNCTION("GOOGLETRANSLATE(C26, ""it"", ""en"")"),"A. Consecutive hits B. Clear points C. Instant win D. Series")</f>
        <v>A. Consecutive hits B. Clear points C. Instant win D. Series</v>
      </c>
      <c r="J26" s="3" t="str">
        <f>IFERROR(__xludf.DUMMYFUNCTION("GOOGLETRANSLATE(D26, ""it"", ""en"")"),"Net points")</f>
        <v>Net points</v>
      </c>
      <c r="K26" s="3" t="str">
        <f>IFERROR(__xludf.DUMMYFUNCTION("GOOGLETRANSLATE(E26, ""it"", ""en"")"),"A series of consecutive unanswered points is called a ""clear point.""")</f>
        <v>A series of consecutive unanswered points is called a "clear point."</v>
      </c>
      <c r="L26" s="2"/>
      <c r="M26" s="2"/>
      <c r="N26" s="2"/>
      <c r="O26" s="2"/>
      <c r="P26" s="2"/>
      <c r="Q26" s="2"/>
      <c r="R26" s="2"/>
      <c r="S26" s="2"/>
      <c r="T26" s="2"/>
      <c r="U26" s="2"/>
      <c r="V26" s="2"/>
      <c r="W26" s="2"/>
    </row>
    <row r="27" ht="22.5" customHeight="1">
      <c r="A27" s="3">
        <v>26.0</v>
      </c>
      <c r="B27" s="3" t="s">
        <v>1242</v>
      </c>
      <c r="C27" s="3" t="s">
        <v>1243</v>
      </c>
      <c r="D27" s="3" t="s">
        <v>1244</v>
      </c>
      <c r="E27" s="3" t="s">
        <v>1245</v>
      </c>
      <c r="F27" s="2"/>
      <c r="G27" s="3" t="str">
        <f>IFERROR(__xludf.DUMMYFUNCTION("GOOGLETRANSLATE(A27, ""it"", ""en"")"),"26")</f>
        <v>26</v>
      </c>
      <c r="H27" s="3" t="str">
        <f>IFERROR(__xludf.DUMMYFUNCTION("GOOGLETRANSLATE(B27, ""it"", ""en"")"),"What is the rule for changing sides of the field?")</f>
        <v>What is the rule for changing sides of the field?</v>
      </c>
      <c r="I27" s="3" t="str">
        <f>IFERROR(__xludf.DUMMYFUNCTION("GOOGLETRANSLATE(C27, ""it"", ""en"")"),"A. Every 5 points B. Every 10 points C. At the end of the round D. Only with the referee's permission")</f>
        <v>A. Every 5 points B. Every 10 points C. At the end of the round D. Only with the referee's permission</v>
      </c>
      <c r="J27" s="3" t="str">
        <f>IFERROR(__xludf.DUMMYFUNCTION("GOOGLETRANSLATE(D27, ""it"", ""en"")"),"Every 10 points")</f>
        <v>Every 10 points</v>
      </c>
      <c r="K27" s="3" t="str">
        <f>IFERROR(__xludf.DUMMYFUNCTION("GOOGLETRANSLATE(E27, ""it"", ""en"")"),"Sides are changed every 10 points scored.")</f>
        <v>Sides are changed every 10 points scored.</v>
      </c>
      <c r="L27" s="2"/>
      <c r="M27" s="2"/>
      <c r="N27" s="2"/>
      <c r="O27" s="2"/>
      <c r="P27" s="2"/>
      <c r="Q27" s="2"/>
      <c r="R27" s="2"/>
      <c r="S27" s="2"/>
      <c r="T27" s="2"/>
      <c r="U27" s="2"/>
      <c r="V27" s="2"/>
      <c r="W27" s="2"/>
    </row>
    <row r="28" ht="22.5" customHeight="1">
      <c r="A28" s="3">
        <v>27.0</v>
      </c>
      <c r="B28" s="3" t="s">
        <v>1246</v>
      </c>
      <c r="C28" s="3" t="s">
        <v>1247</v>
      </c>
      <c r="D28" s="3" t="s">
        <v>1186</v>
      </c>
      <c r="E28" s="3" t="s">
        <v>1248</v>
      </c>
      <c r="F28" s="2"/>
      <c r="G28" s="3" t="str">
        <f>IFERROR(__xludf.DUMMYFUNCTION("GOOGLETRANSLATE(A28, ""it"", ""en"")"),"27")</f>
        <v>27</v>
      </c>
      <c r="H28" s="3" t="str">
        <f>IFERROR(__xludf.DUMMYFUNCTION("GOOGLETRANSLATE(B28, ""it"", ""en"")"),"What happens if the ball touches the bracelet and then falls to the ground?")</f>
        <v>What happens if the ball touches the bracelet and then falls to the ground?</v>
      </c>
      <c r="I28" s="3" t="str">
        <f>IFERROR(__xludf.DUMMYFUNCTION("GOOGLETRANSLATE(C28, ""it"", ""en"")"),"A. Replay of the shot B. Loss of the point C. Advantage to the receiver D. No penalty")</f>
        <v>A. Replay of the shot B. Loss of the point C. Advantage to the receiver D. No penalty</v>
      </c>
      <c r="J28" s="3" t="str">
        <f>IFERROR(__xludf.DUMMYFUNCTION("GOOGLETRANSLATE(D28, ""it"", ""en"")"),"Loss of point")</f>
        <v>Loss of point</v>
      </c>
      <c r="K28" s="3" t="str">
        <f>IFERROR(__xludf.DUMMYFUNCTION("GOOGLETRANSLATE(E28, ""it"", ""en"")"),"If the ball falls after touching the bracelet")</f>
        <v>If the ball falls after touching the bracelet</v>
      </c>
      <c r="L28" s="2"/>
      <c r="M28" s="2"/>
      <c r="N28" s="2"/>
      <c r="O28" s="2"/>
      <c r="P28" s="2"/>
      <c r="Q28" s="2"/>
      <c r="R28" s="2"/>
      <c r="S28" s="2"/>
      <c r="T28" s="2"/>
      <c r="U28" s="2"/>
      <c r="V28" s="2"/>
      <c r="W28" s="2"/>
    </row>
    <row r="29" ht="22.5" customHeight="1">
      <c r="A29" s="3">
        <v>28.0</v>
      </c>
      <c r="B29" s="3" t="s">
        <v>1249</v>
      </c>
      <c r="C29" s="3" t="s">
        <v>1250</v>
      </c>
      <c r="D29" s="3" t="s">
        <v>1251</v>
      </c>
      <c r="E29" s="3" t="s">
        <v>1252</v>
      </c>
      <c r="F29" s="2"/>
      <c r="G29" s="3" t="str">
        <f>IFERROR(__xludf.DUMMYFUNCTION("GOOGLETRANSLATE(A29, ""it"", ""en"")"),"28")</f>
        <v>28</v>
      </c>
      <c r="H29" s="3" t="str">
        <f>IFERROR(__xludf.DUMMYFUNCTION("GOOGLETRANSLATE(B29, ""it"", ""en"")"),"How do you adjust the break time between rounds?")</f>
        <v>How do you adjust the break time between rounds?</v>
      </c>
      <c r="I29" s="3" t="str">
        <f>IFERROR(__xludf.DUMMYFUNCTION("GOOGLETRANSLATE(C29, ""it"", ""en"")"),"A. Maximum 2 minutes B. Maximum 5 minutes C. Maximum 10 minutes D. No breaks allowed")</f>
        <v>A. Maximum 2 minutes B. Maximum 5 minutes C. Maximum 10 minutes D. No breaks allowed</v>
      </c>
      <c r="J29" s="3" t="str">
        <f>IFERROR(__xludf.DUMMYFUNCTION("GOOGLETRANSLATE(D29, ""it"", ""en"")"),"Maximum 5 minutes")</f>
        <v>Maximum 5 minutes</v>
      </c>
      <c r="K29" s="3" t="str">
        <f>IFERROR(__xludf.DUMMYFUNCTION("GOOGLETRANSLATE(E29, ""it"", ""en"")"),"Breaks between rounds cannot exceed 5 minutes.")</f>
        <v>Breaks between rounds cannot exceed 5 minutes.</v>
      </c>
      <c r="L29" s="2"/>
      <c r="M29" s="2"/>
      <c r="N29" s="2"/>
      <c r="O29" s="2"/>
      <c r="P29" s="2"/>
      <c r="Q29" s="2"/>
      <c r="R29" s="2"/>
      <c r="S29" s="2"/>
      <c r="T29" s="2"/>
      <c r="U29" s="2"/>
      <c r="V29" s="2"/>
      <c r="W29" s="2"/>
    </row>
    <row r="30" ht="22.5" customHeight="1">
      <c r="A30" s="3">
        <v>29.0</v>
      </c>
      <c r="B30" s="3" t="s">
        <v>1253</v>
      </c>
      <c r="C30" s="3" t="s">
        <v>1254</v>
      </c>
      <c r="D30" s="3" t="s">
        <v>1255</v>
      </c>
      <c r="E30" s="3" t="s">
        <v>1256</v>
      </c>
      <c r="F30" s="2"/>
      <c r="G30" s="3" t="str">
        <f>IFERROR(__xludf.DUMMYFUNCTION("GOOGLETRANSLATE(A30, ""it"", ""en"")"),"29")</f>
        <v>29</v>
      </c>
      <c r="H30" s="3" t="str">
        <f>IFERROR(__xludf.DUMMYFUNCTION("GOOGLETRANSLATE(B30, ""it"", ""en"")"),"What is the function of the baseline?")</f>
        <v>What is the function of the baseline?</v>
      </c>
      <c r="I30" s="3" t="str">
        <f>IFERROR(__xludf.DUMMYFUNCTION("GOOGLETRANSLATE(C30, ""it"", ""en"")"),"A. Separate the teams B. Indicate the playing area C. Signal the point where the ball goes out D. Signal the service line")</f>
        <v>A. Separate the teams B. Indicate the playing area C. Signal the point where the ball goes out D. Signal the service line</v>
      </c>
      <c r="J30" s="3" t="str">
        <f>IFERROR(__xludf.DUMMYFUNCTION("GOOGLETRANSLATE(D30, ""it"", ""en"")"),"Report the exit point of the ball")</f>
        <v>Report the exit point of the ball</v>
      </c>
      <c r="K30" s="3" t="str">
        <f>IFERROR(__xludf.DUMMYFUNCTION("GOOGLETRANSLATE(E30, ""it"", ""en"")"),"The end line marks the point beyond which the ball is out.")</f>
        <v>The end line marks the point beyond which the ball is out.</v>
      </c>
      <c r="L30" s="2"/>
      <c r="M30" s="2"/>
      <c r="N30" s="2"/>
      <c r="O30" s="2"/>
      <c r="P30" s="2"/>
      <c r="Q30" s="2"/>
      <c r="R30" s="2"/>
      <c r="S30" s="2"/>
      <c r="T30" s="2"/>
      <c r="U30" s="2"/>
      <c r="V30" s="2"/>
      <c r="W30" s="2"/>
    </row>
    <row r="31" ht="22.5" customHeight="1">
      <c r="A31" s="3">
        <v>30.0</v>
      </c>
      <c r="B31" s="3" t="s">
        <v>1257</v>
      </c>
      <c r="C31" s="3" t="s">
        <v>1258</v>
      </c>
      <c r="D31" s="3" t="s">
        <v>1259</v>
      </c>
      <c r="E31" s="3" t="s">
        <v>1260</v>
      </c>
      <c r="F31" s="2"/>
      <c r="G31" s="3" t="str">
        <f>IFERROR(__xludf.DUMMYFUNCTION("GOOGLETRANSLATE(A31, ""it"", ""en"")"),"30")</f>
        <v>30</v>
      </c>
      <c r="H31" s="3" t="str">
        <f>IFERROR(__xludf.DUMMYFUNCTION("GOOGLETRANSLATE(B31, ""it"", ""en"")"),"What should be done if a player's bracelet breaks during play?")</f>
        <v>What should be done if a player's bracelet breaks during play?</v>
      </c>
      <c r="I31" s="3" t="str">
        <f>IFERROR(__xludf.DUMMYFUNCTION("GOOGLETRANSLATE(C31, ""it"", ""en"")"),"A. Replace it immediately B. Stop the game C. Continue without the armband D. Ask the referee for permission")</f>
        <v>A. Replace it immediately B. Stop the game C. Continue without the armband D. Ask the referee for permission</v>
      </c>
      <c r="J31" s="3" t="str">
        <f>IFERROR(__xludf.DUMMYFUNCTION("GOOGLETRANSLATE(D31, ""it"", ""en"")"),"Replace it immediately")</f>
        <v>Replace it immediately</v>
      </c>
      <c r="K31" s="3" t="str">
        <f>IFERROR(__xludf.DUMMYFUNCTION("GOOGLETRANSLATE(E31, ""it"", ""en"")"),"A broken bracelet must be replaced before continuing.")</f>
        <v>A broken bracelet must be replaced before continuing.</v>
      </c>
      <c r="L31" s="2"/>
      <c r="M31" s="2"/>
      <c r="N31" s="2"/>
      <c r="O31" s="2"/>
      <c r="P31" s="2"/>
      <c r="Q31" s="2"/>
      <c r="R31" s="2"/>
      <c r="S31" s="2"/>
      <c r="T31" s="2"/>
      <c r="U31" s="2"/>
      <c r="V31" s="2"/>
      <c r="W31" s="2"/>
    </row>
    <row r="32" ht="22.5" customHeight="1">
      <c r="A32" s="3">
        <v>31.0</v>
      </c>
      <c r="B32" s="3" t="s">
        <v>1261</v>
      </c>
      <c r="C32" s="3" t="s">
        <v>1262</v>
      </c>
      <c r="D32" s="3" t="s">
        <v>1263</v>
      </c>
      <c r="E32" s="3" t="s">
        <v>1264</v>
      </c>
      <c r="F32" s="2"/>
      <c r="G32" s="3" t="str">
        <f>IFERROR(__xludf.DUMMYFUNCTION("GOOGLETRANSLATE(A32, ""it"", ""en"")"),"31")</f>
        <v>31</v>
      </c>
      <c r="H32" s="3" t="str">
        <f>IFERROR(__xludf.DUMMYFUNCTION("GOOGLETRANSLATE(B32, ""it"", ""en"")"),"What is the historical origin of Pallone col Bracciale?")</f>
        <v>What is the historical origin of Pallone col Bracciale?</v>
      </c>
      <c r="I32" s="3" t="str">
        <f>IFERROR(__xludf.DUMMYFUNCTION("GOOGLETRANSLATE(C32, ""it"", ""en"")"),"A. Ancient Rome B. Middle Ages C. Renaissance D. Modern period")</f>
        <v>A. Ancient Rome B. Middle Ages C. Renaissance D. Modern period</v>
      </c>
      <c r="J32" s="3" t="str">
        <f>IFERROR(__xludf.DUMMYFUNCTION("GOOGLETRANSLATE(D32, ""it"", ""en"")"),"Renaissance period")</f>
        <v>Renaissance period</v>
      </c>
      <c r="K32" s="3" t="str">
        <f>IFERROR(__xludf.DUMMYFUNCTION("GOOGLETRANSLATE(E32, ""it"", ""en"")"),"The game originated during the Renaissance in Italy.")</f>
        <v>The game originated during the Renaissance in Italy.</v>
      </c>
      <c r="L32" s="2"/>
      <c r="M32" s="2"/>
      <c r="N32" s="2"/>
      <c r="O32" s="2"/>
      <c r="P32" s="2"/>
      <c r="Q32" s="2"/>
      <c r="R32" s="2"/>
      <c r="S32" s="2"/>
      <c r="T32" s="2"/>
      <c r="U32" s="2"/>
      <c r="V32" s="2"/>
      <c r="W32" s="2"/>
    </row>
    <row r="33" ht="22.5" customHeight="1">
      <c r="A33" s="3">
        <v>32.0</v>
      </c>
      <c r="B33" s="3" t="s">
        <v>1265</v>
      </c>
      <c r="C33" s="3" t="s">
        <v>1266</v>
      </c>
      <c r="D33" s="3" t="s">
        <v>1267</v>
      </c>
      <c r="E33" s="3" t="s">
        <v>1268</v>
      </c>
      <c r="F33" s="2"/>
      <c r="G33" s="3" t="str">
        <f>IFERROR(__xludf.DUMMYFUNCTION("GOOGLETRANSLATE(A33, ""it"", ""en"")"),"32")</f>
        <v>32</v>
      </c>
      <c r="H33" s="3" t="str">
        <f>IFERROR(__xludf.DUMMYFUNCTION("GOOGLETRANSLATE(B33, ""it"", ""en"")"),"What is the main function of the central area of ​​the pitch?")</f>
        <v>What is the main function of the central area of ​​the pitch?</v>
      </c>
      <c r="I33" s="3" t="str">
        <f>IFERROR(__xludf.DUMMYFUNCTION("GOOGLETRANSLATE(C33, ""it"", ""en"")"),"A. Separate the teams B. Indicate the service area C. Limit rebounds D. Indicate the restart point")</f>
        <v>A. Separate the teams B. Indicate the service area C. Limit rebounds D. Indicate the restart point</v>
      </c>
      <c r="J33" s="3" t="str">
        <f>IFERROR(__xludf.DUMMYFUNCTION("GOOGLETRANSLATE(D33, ""it"", ""en"")"),"Indicate the service area")</f>
        <v>Indicate the service area</v>
      </c>
      <c r="K33" s="3" t="str">
        <f>IFERROR(__xludf.DUMMYFUNCTION("GOOGLETRANSLATE(E33, ""it"", ""en"")"),"The central area delimits the service area.")</f>
        <v>The central area delimits the service area.</v>
      </c>
      <c r="L33" s="2"/>
      <c r="M33" s="2"/>
      <c r="N33" s="2"/>
      <c r="O33" s="2"/>
      <c r="P33" s="2"/>
      <c r="Q33" s="2"/>
      <c r="R33" s="2"/>
      <c r="S33" s="2"/>
      <c r="T33" s="2"/>
      <c r="U33" s="2"/>
      <c r="V33" s="2"/>
      <c r="W33" s="2"/>
    </row>
    <row r="34" ht="22.5" customHeight="1">
      <c r="A34" s="3">
        <v>33.0</v>
      </c>
      <c r="B34" s="3" t="s">
        <v>1269</v>
      </c>
      <c r="C34" s="3" t="s">
        <v>1270</v>
      </c>
      <c r="D34" s="3" t="s">
        <v>1271</v>
      </c>
      <c r="E34" s="3" t="s">
        <v>1272</v>
      </c>
      <c r="F34" s="2"/>
      <c r="G34" s="3" t="str">
        <f>IFERROR(__xludf.DUMMYFUNCTION("GOOGLETRANSLATE(A34, ""it"", ""en"")"),"33")</f>
        <v>33</v>
      </c>
      <c r="H34" s="3" t="str">
        <f>IFERROR(__xludf.DUMMYFUNCTION("GOOGLETRANSLATE(B34, ""it"", ""en"")"),"What is the maximum length of a match in an official tournament?")</f>
        <v>What is the maximum length of a match in an official tournament?</v>
      </c>
      <c r="I34" s="3" t="str">
        <f>IFERROR(__xludf.DUMMYFUNCTION("GOOGLETRANSLATE(C34, ""it"", ""en"")"),"A. 90 minutes B. 120 minutes C. 150 minutes D. There is no limit")</f>
        <v>A. 90 minutes B. 120 minutes C. 150 minutes D. There is no limit</v>
      </c>
      <c r="J34" s="3" t="str">
        <f>IFERROR(__xludf.DUMMYFUNCTION("GOOGLETRANSLATE(D34, ""it"", ""en"")"),"120 minutes")</f>
        <v>120 minutes</v>
      </c>
      <c r="K34" s="3" t="str">
        <f>IFERROR(__xludf.DUMMYFUNCTION("GOOGLETRANSLATE(E34, ""it"", ""en"")"),"Tournament matches generally last a maximum of 120 minutes.")</f>
        <v>Tournament matches generally last a maximum of 120 minutes.</v>
      </c>
      <c r="L34" s="2"/>
      <c r="M34" s="2"/>
      <c r="N34" s="2"/>
      <c r="O34" s="2"/>
      <c r="P34" s="2"/>
      <c r="Q34" s="2"/>
      <c r="R34" s="2"/>
      <c r="S34" s="2"/>
      <c r="T34" s="2"/>
      <c r="U34" s="2"/>
      <c r="V34" s="2"/>
      <c r="W34" s="2"/>
    </row>
    <row r="35" ht="22.5" customHeight="1">
      <c r="A35" s="3">
        <v>34.0</v>
      </c>
      <c r="B35" s="3" t="s">
        <v>1273</v>
      </c>
      <c r="C35" s="3" t="s">
        <v>1274</v>
      </c>
      <c r="D35" s="3" t="s">
        <v>1275</v>
      </c>
      <c r="E35" s="3" t="s">
        <v>1276</v>
      </c>
      <c r="F35" s="2"/>
      <c r="G35" s="3" t="str">
        <f>IFERROR(__xludf.DUMMYFUNCTION("GOOGLETRANSLATE(A35, ""it"", ""en"")"),"34")</f>
        <v>34</v>
      </c>
      <c r="H35" s="3" t="str">
        <f>IFERROR(__xludf.DUMMYFUNCTION("GOOGLETRANSLATE(B35, ""it"", ""en"")"),"What is the role of the team captain?")</f>
        <v>What is the role of the team captain?</v>
      </c>
      <c r="I35" s="3" t="str">
        <f>IFERROR(__xludf.DUMMYFUNCTION("GOOGLETRANSLATE(C35, ""it"", ""en"")"),"A. Organize the strategy B. Serve the ball C. Assist the referee D. Respond to the opponent's shots")</f>
        <v>A. Organize the strategy B. Serve the ball C. Assist the referee D. Respond to the opponent's shots</v>
      </c>
      <c r="J35" s="3" t="str">
        <f>IFERROR(__xludf.DUMMYFUNCTION("GOOGLETRANSLATE(D35, ""it"", ""en"")"),"Organizing the strategy")</f>
        <v>Organizing the strategy</v>
      </c>
      <c r="K35" s="3" t="str">
        <f>IFERROR(__xludf.DUMMYFUNCTION("GOOGLETRANSLATE(E35, ""it"", ""en"")"),"The captain is responsible for the team's strategy.")</f>
        <v>The captain is responsible for the team's strategy.</v>
      </c>
      <c r="L35" s="2"/>
      <c r="M35" s="2"/>
      <c r="N35" s="2"/>
      <c r="O35" s="2"/>
      <c r="P35" s="2"/>
      <c r="Q35" s="2"/>
      <c r="R35" s="2"/>
      <c r="S35" s="2"/>
      <c r="T35" s="2"/>
      <c r="U35" s="2"/>
      <c r="V35" s="2"/>
      <c r="W35" s="2"/>
    </row>
    <row r="36" ht="22.5" customHeight="1">
      <c r="A36" s="3">
        <v>35.0</v>
      </c>
      <c r="B36" s="3" t="s">
        <v>1277</v>
      </c>
      <c r="C36" s="3" t="s">
        <v>1278</v>
      </c>
      <c r="D36" s="3" t="s">
        <v>1279</v>
      </c>
      <c r="E36" s="3" t="s">
        <v>1280</v>
      </c>
      <c r="F36" s="2"/>
      <c r="G36" s="3" t="str">
        <f>IFERROR(__xludf.DUMMYFUNCTION("GOOGLETRANSLATE(A36, ""it"", ""en"")"),"35")</f>
        <v>35</v>
      </c>
      <c r="H36" s="3" t="str">
        <f>IFERROR(__xludf.DUMMYFUNCTION("GOOGLETRANSLATE(B36, ""it"", ""en"")"),"What is the term used to describe a perfect shot?")</f>
        <v>What is the term used to describe a perfect shot?</v>
      </c>
      <c r="I36" s="3" t="str">
        <f>IFERROR(__xludf.DUMMYFUNCTION("GOOGLETRANSLATE(C36, ""it"", ""en"")"),"A. Clean serve B. Accurate bounce C. Direct shot D. Master stroke")</f>
        <v>A. Clean serve B. Accurate bounce C. Direct shot D. Master stroke</v>
      </c>
      <c r="J36" s="3" t="str">
        <f>IFERROR(__xludf.DUMMYFUNCTION("GOOGLETRANSLATE(D36, ""it"", ""en"")"),"Masterstroke")</f>
        <v>Masterstroke</v>
      </c>
      <c r="K36" s="3" t="str">
        <f>IFERROR(__xludf.DUMMYFUNCTION("GOOGLETRANSLATE(E36, ""it"", ""en"")"),"A perfect shot is called a ""master shot.""")</f>
        <v>A perfect shot is called a "master shot."</v>
      </c>
      <c r="L36" s="2"/>
      <c r="M36" s="2"/>
      <c r="N36" s="2"/>
      <c r="O36" s="2"/>
      <c r="P36" s="2"/>
      <c r="Q36" s="2"/>
      <c r="R36" s="2"/>
      <c r="S36" s="2"/>
      <c r="T36" s="2"/>
      <c r="U36" s="2"/>
      <c r="V36" s="2"/>
      <c r="W36" s="2"/>
    </row>
    <row r="37" ht="22.5" customHeight="1">
      <c r="A37" s="3">
        <v>36.0</v>
      </c>
      <c r="B37" s="3" t="s">
        <v>1281</v>
      </c>
      <c r="C37" s="3" t="s">
        <v>1282</v>
      </c>
      <c r="D37" s="3" t="s">
        <v>718</v>
      </c>
      <c r="E37" s="3" t="s">
        <v>1283</v>
      </c>
      <c r="F37" s="2"/>
      <c r="G37" s="3" t="str">
        <f>IFERROR(__xludf.DUMMYFUNCTION("GOOGLETRANSLATE(A37, ""it"", ""en"")"),"36")</f>
        <v>36</v>
      </c>
      <c r="H37" s="3" t="str">
        <f>IFERROR(__xludf.DUMMYFUNCTION("GOOGLETRANSLATE(B37, ""it"", ""en"")"),"What is the score to win a set?")</f>
        <v>What is the score to win a set?</v>
      </c>
      <c r="I37" s="3" t="str">
        <f>IFERROR(__xludf.DUMMYFUNCTION("GOOGLETRANSLATE(C37, ""it"", ""en"")"),"A. 11 points B. 15 points C. 21 points D. 25 points")</f>
        <v>A. 11 points B. 15 points C. 21 points D. 25 points</v>
      </c>
      <c r="J37" s="3" t="str">
        <f>IFERROR(__xludf.DUMMYFUNCTION("GOOGLETRANSLATE(D37, ""it"", ""en"")"),"21 points")</f>
        <v>21 points</v>
      </c>
      <c r="K37" s="3" t="str">
        <f>IFERROR(__xludf.DUMMYFUNCTION("GOOGLETRANSLATE(E37, ""it"", ""en"")"),"A set is won by reaching 21 points.")</f>
        <v>A set is won by reaching 21 points.</v>
      </c>
      <c r="L37" s="2"/>
      <c r="M37" s="2"/>
      <c r="N37" s="2"/>
      <c r="O37" s="2"/>
      <c r="P37" s="2"/>
      <c r="Q37" s="2"/>
      <c r="R37" s="2"/>
      <c r="S37" s="2"/>
      <c r="T37" s="2"/>
      <c r="U37" s="2"/>
      <c r="V37" s="2"/>
      <c r="W37" s="2"/>
    </row>
    <row r="38" ht="22.5" customHeight="1">
      <c r="A38" s="3">
        <v>37.0</v>
      </c>
      <c r="B38" s="3" t="s">
        <v>1284</v>
      </c>
      <c r="C38" s="3" t="s">
        <v>1285</v>
      </c>
      <c r="D38" s="3" t="s">
        <v>1286</v>
      </c>
      <c r="E38" s="3" t="s">
        <v>1287</v>
      </c>
      <c r="F38" s="2"/>
      <c r="G38" s="3" t="str">
        <f>IFERROR(__xludf.DUMMYFUNCTION("GOOGLETRANSLATE(A38, ""it"", ""en"")"),"37")</f>
        <v>37</v>
      </c>
      <c r="H38" s="3" t="str">
        <f>IFERROR(__xludf.DUMMYFUNCTION("GOOGLETRANSLATE(B38, ""it"", ""en"")"),"How are teams chosen in an informal match?")</f>
        <v>How are teams chosen in an informal match?</v>
      </c>
      <c r="I38" s="3" t="str">
        <f>IFERROR(__xludf.DUMMYFUNCTION("GOOGLETRANSLATE(C38, ""it"", ""en"")"),"A. Draw B. Selection of players in turn C. Test game D. Referee's decision")</f>
        <v>A. Draw B. Selection of players in turn C. Test game D. Referee's decision</v>
      </c>
      <c r="J38" s="3" t="str">
        <f>IFERROR(__xludf.DUMMYFUNCTION("GOOGLETRANSLATE(D38, ""it"", ""en"")"),"Players choose in turns")</f>
        <v>Players choose in turns</v>
      </c>
      <c r="K38" s="3" t="str">
        <f>IFERROR(__xludf.DUMMYFUNCTION("GOOGLETRANSLATE(E38, ""it"", ""en"")"),"In informal games")</f>
        <v>In informal games</v>
      </c>
      <c r="L38" s="2"/>
      <c r="M38" s="2"/>
      <c r="N38" s="2"/>
      <c r="O38" s="2"/>
      <c r="P38" s="2"/>
      <c r="Q38" s="2"/>
      <c r="R38" s="2"/>
      <c r="S38" s="2"/>
      <c r="T38" s="2"/>
      <c r="U38" s="2"/>
      <c r="V38" s="2"/>
      <c r="W38" s="2"/>
    </row>
    <row r="39" ht="22.5" customHeight="1">
      <c r="A39" s="3">
        <v>38.0</v>
      </c>
      <c r="B39" s="3" t="s">
        <v>1288</v>
      </c>
      <c r="C39" s="3" t="s">
        <v>1289</v>
      </c>
      <c r="D39" s="3" t="s">
        <v>1290</v>
      </c>
      <c r="E39" s="3" t="s">
        <v>1291</v>
      </c>
      <c r="F39" s="2"/>
      <c r="G39" s="3" t="str">
        <f>IFERROR(__xludf.DUMMYFUNCTION("GOOGLETRANSLATE(A39, ""it"", ""en"")"),"38")</f>
        <v>38</v>
      </c>
      <c r="H39" s="3" t="str">
        <f>IFERROR(__xludf.DUMMYFUNCTION("GOOGLETRANSLATE(B39, ""it"", ""en"")"),"What is the best material for Pallone col Bracciale pitches?")</f>
        <v>What is the best material for Pallone col Bracciale pitches?</v>
      </c>
      <c r="I39" s="3" t="str">
        <f>IFERROR(__xludf.DUMMYFUNCTION("GOOGLETRANSLATE(C39, ""it"", ""en"")"),"A. Natural grass B. Clay C. Synthetic grass D. Sand")</f>
        <v>A. Natural grass B. Clay C. Synthetic grass D. Sand</v>
      </c>
      <c r="J39" s="3" t="str">
        <f>IFERROR(__xludf.DUMMYFUNCTION("GOOGLETRANSLATE(D39, ""it"", ""en"")"),"beaten earth")</f>
        <v>beaten earth</v>
      </c>
      <c r="K39" s="3" t="str">
        <f>IFERROR(__xludf.DUMMYFUNCTION("GOOGLETRANSLATE(E39, ""it"", ""en"")"),"Clay is ideal for this game.")</f>
        <v>Clay is ideal for this game.</v>
      </c>
      <c r="L39" s="2"/>
      <c r="M39" s="2"/>
      <c r="N39" s="2"/>
      <c r="O39" s="2"/>
      <c r="P39" s="2"/>
      <c r="Q39" s="2"/>
      <c r="R39" s="2"/>
      <c r="S39" s="2"/>
      <c r="T39" s="2"/>
      <c r="U39" s="2"/>
      <c r="V39" s="2"/>
      <c r="W39" s="2"/>
    </row>
    <row r="40" ht="22.5" customHeight="1">
      <c r="A40" s="3">
        <v>39.0</v>
      </c>
      <c r="B40" s="3" t="s">
        <v>1292</v>
      </c>
      <c r="C40" s="3" t="s">
        <v>1293</v>
      </c>
      <c r="D40" s="3" t="s">
        <v>1294</v>
      </c>
      <c r="E40" s="3" t="s">
        <v>1295</v>
      </c>
      <c r="F40" s="2"/>
      <c r="G40" s="3" t="str">
        <f>IFERROR(__xludf.DUMMYFUNCTION("GOOGLETRANSLATE(A40, ""it"", ""en"")"),"39")</f>
        <v>39</v>
      </c>
      <c r="H40" s="3" t="str">
        <f>IFERROR(__xludf.DUMMYFUNCTION("GOOGLETRANSLATE(B40, ""it"", ""en"")"),"What is the typical distance between the service zone and the baseline?")</f>
        <v>What is the typical distance between the service zone and the baseline?</v>
      </c>
      <c r="I40" s="3" t="str">
        <f>IFERROR(__xludf.DUMMYFUNCTION("GOOGLETRANSLATE(C40, ""it"", ""en"")"),"A. 10 meters B. 20 meters C. 30 meters D. 40 meters")</f>
        <v>A. 10 meters B. 20 meters C. 30 meters D. 40 meters</v>
      </c>
      <c r="J40" s="3" t="str">
        <f>IFERROR(__xludf.DUMMYFUNCTION("GOOGLETRANSLATE(D40, ""it"", ""en"")"),"30 meters")</f>
        <v>30 meters</v>
      </c>
      <c r="K40" s="3" t="str">
        <f>IFERROR(__xludf.DUMMYFUNCTION("GOOGLETRANSLATE(E40, ""it"", ""en"")"),"The distance between the service zone and the baseline is approximately 30 meters.")</f>
        <v>The distance between the service zone and the baseline is approximately 30 meters.</v>
      </c>
      <c r="L40" s="2"/>
      <c r="M40" s="2"/>
      <c r="N40" s="2"/>
      <c r="O40" s="2"/>
      <c r="P40" s="2"/>
      <c r="Q40" s="2"/>
      <c r="R40" s="2"/>
      <c r="S40" s="2"/>
      <c r="T40" s="2"/>
      <c r="U40" s="2"/>
      <c r="V40" s="2"/>
      <c r="W40" s="2"/>
    </row>
    <row r="41" ht="22.5" customHeight="1">
      <c r="A41" s="3">
        <v>40.0</v>
      </c>
      <c r="B41" s="3" t="s">
        <v>1296</v>
      </c>
      <c r="C41" s="3" t="s">
        <v>1297</v>
      </c>
      <c r="D41" s="3" t="s">
        <v>1298</v>
      </c>
      <c r="E41" s="3" t="s">
        <v>1299</v>
      </c>
      <c r="F41" s="2"/>
      <c r="G41" s="3" t="str">
        <f>IFERROR(__xludf.DUMMYFUNCTION("GOOGLETRANSLATE(A41, ""it"", ""en"")"),"40")</f>
        <v>40</v>
      </c>
      <c r="H41" s="3" t="str">
        <f>IFERROR(__xludf.DUMMYFUNCTION("GOOGLETRANSLATE(B41, ""it"", ""en"")"),"How many points are earned for a winning serve?")</f>
        <v>How many points are earned for a winning serve?</v>
      </c>
      <c r="I41" s="3" t="str">
        <f>IFERROR(__xludf.DUMMYFUNCTION("GOOGLETRANSLATE(C41, ""it"", ""en"")"),"A. 1 point B. 2 points C. 3 points D. 5 points")</f>
        <v>A. 1 point B. 2 points C. 3 points D. 5 points</v>
      </c>
      <c r="J41" s="3" t="str">
        <f>IFERROR(__xludf.DUMMYFUNCTION("GOOGLETRANSLATE(D41, ""it"", ""en"")"),"1 point")</f>
        <v>1 point</v>
      </c>
      <c r="K41" s="3" t="str">
        <f>IFERROR(__xludf.DUMMYFUNCTION("GOOGLETRANSLATE(E41, ""it"", ""en"")"),"A winning serve is worth 1 point.")</f>
        <v>A winning serve is worth 1 point.</v>
      </c>
      <c r="L41" s="2"/>
      <c r="M41" s="2"/>
      <c r="N41" s="2"/>
      <c r="O41" s="2"/>
      <c r="P41" s="2"/>
      <c r="Q41" s="2"/>
      <c r="R41" s="2"/>
      <c r="S41" s="2"/>
      <c r="T41" s="2"/>
      <c r="U41" s="2"/>
      <c r="V41" s="2"/>
      <c r="W41" s="2"/>
    </row>
    <row r="42" ht="22.5" customHeight="1">
      <c r="A42" s="3">
        <v>41.0</v>
      </c>
      <c r="B42" s="3" t="s">
        <v>1300</v>
      </c>
      <c r="C42" s="3" t="s">
        <v>1301</v>
      </c>
      <c r="D42" s="3" t="s">
        <v>1302</v>
      </c>
      <c r="E42" s="3" t="s">
        <v>1303</v>
      </c>
      <c r="F42" s="2"/>
      <c r="G42" s="3" t="str">
        <f>IFERROR(__xludf.DUMMYFUNCTION("GOOGLETRANSLATE(A42, ""it"", ""en"")"),"41")</f>
        <v>41</v>
      </c>
      <c r="H42" s="3" t="str">
        <f>IFERROR(__xludf.DUMMYFUNCTION("GOOGLETRANSLATE(B42, ""it"", ""en"")"),"What happens if the ball breaks during play?")</f>
        <v>What happens if the ball breaks during play?</v>
      </c>
      <c r="I42" s="3" t="str">
        <f>IFERROR(__xludf.DUMMYFUNCTION("GOOGLETRANSLATE(C42, ""it"", ""en"")"),"A. The point is disallowed B. It is replaced and play resumes C. The opposing team wins the point D. Play is suspended")</f>
        <v>A. The point is disallowed B. It is replaced and play resumes C. The opposing team wins the point D. Play is suspended</v>
      </c>
      <c r="J42" s="3" t="str">
        <f>IFERROR(__xludf.DUMMYFUNCTION("GOOGLETRANSLATE(D42, ""it"", ""en"")"),"He is replaced and the game resumes")</f>
        <v>He is replaced and the game resumes</v>
      </c>
      <c r="K42" s="3" t="str">
        <f>IFERROR(__xludf.DUMMYFUNCTION("GOOGLETRANSLATE(E42, ""it"", ""en"")"),"A broken ball is replaced to continue the game.")</f>
        <v>A broken ball is replaced to continue the game.</v>
      </c>
      <c r="L42" s="2"/>
      <c r="M42" s="2"/>
      <c r="N42" s="2"/>
      <c r="O42" s="2"/>
      <c r="P42" s="2"/>
      <c r="Q42" s="2"/>
      <c r="R42" s="2"/>
      <c r="S42" s="2"/>
      <c r="T42" s="2"/>
      <c r="U42" s="2"/>
      <c r="V42" s="2"/>
      <c r="W42" s="2"/>
    </row>
    <row r="43" ht="22.5" customHeight="1">
      <c r="A43" s="3">
        <v>42.0</v>
      </c>
      <c r="B43" s="3" t="s">
        <v>1304</v>
      </c>
      <c r="C43" s="3" t="s">
        <v>1305</v>
      </c>
      <c r="D43" s="3" t="s">
        <v>1306</v>
      </c>
      <c r="E43" s="3" t="s">
        <v>1307</v>
      </c>
      <c r="F43" s="2"/>
      <c r="G43" s="3" t="str">
        <f>IFERROR(__xludf.DUMMYFUNCTION("GOOGLETRANSLATE(A43, ""it"", ""en"")"),"42")</f>
        <v>42</v>
      </c>
      <c r="H43" s="3" t="str">
        <f>IFERROR(__xludf.DUMMYFUNCTION("GOOGLETRANSLATE(B43, ""it"", ""en"")"),"How is an out-of-bounds zone defined?")</f>
        <v>How is an out-of-bounds zone defined?</v>
      </c>
      <c r="I43" s="3" t="str">
        <f>IFERROR(__xludf.DUMMYFUNCTION("GOOGLETRANSLATE(C43, ""it"", ""en"")"),"A. Any area outside the touchline B. Any area beyond the centre of the pitch C. Areas not regulated by play D. Areas near the crowd")</f>
        <v>A. Any area outside the touchline B. Any area beyond the centre of the pitch C. Areas not regulated by play D. Areas near the crowd</v>
      </c>
      <c r="J43" s="3" t="str">
        <f>IFERROR(__xludf.DUMMYFUNCTION("GOOGLETRANSLATE(D43, ""it"", ""en"")"),"Any area outside the touchline")</f>
        <v>Any area outside the touchline</v>
      </c>
      <c r="K43" s="3" t="str">
        <f>IFERROR(__xludf.DUMMYFUNCTION("GOOGLETRANSLATE(E43, ""it"", ""en"")"),"Areas outside the touchlines are considered out of play.")</f>
        <v>Areas outside the touchlines are considered out of play.</v>
      </c>
      <c r="L43" s="2"/>
      <c r="M43" s="2"/>
      <c r="N43" s="2"/>
      <c r="O43" s="2"/>
      <c r="P43" s="2"/>
      <c r="Q43" s="2"/>
      <c r="R43" s="2"/>
      <c r="S43" s="2"/>
      <c r="T43" s="2"/>
      <c r="U43" s="2"/>
      <c r="V43" s="2"/>
      <c r="W43" s="2"/>
    </row>
    <row r="44" ht="22.5" customHeight="1">
      <c r="A44" s="3">
        <v>43.0</v>
      </c>
      <c r="B44" s="3" t="s">
        <v>1308</v>
      </c>
      <c r="C44" s="3" t="s">
        <v>1309</v>
      </c>
      <c r="D44" s="3" t="s">
        <v>1310</v>
      </c>
      <c r="E44" s="3" t="s">
        <v>1311</v>
      </c>
      <c r="F44" s="2"/>
      <c r="G44" s="3" t="str">
        <f>IFERROR(__xludf.DUMMYFUNCTION("GOOGLETRANSLATE(A44, ""it"", ""en"")"),"43")</f>
        <v>43</v>
      </c>
      <c r="H44" s="3" t="str">
        <f>IFERROR(__xludf.DUMMYFUNCTION("GOOGLETRANSLATE(B44, ""it"", ""en"")"),"What does ""missed shot"" mean?")</f>
        <v>What does "missed shot" mean?</v>
      </c>
      <c r="I44" s="3" t="str">
        <f>IFERROR(__xludf.DUMMYFUNCTION("GOOGLETRANSLATE(C44, ""it"", ""en"")"),"A. A ball that does not reach the centre of the pitch B. A ball that bounces out C. A shot that does not hit the ball D. A ball that touches the side netting")</f>
        <v>A. A ball that does not reach the centre of the pitch B. A ball that bounces out C. A shot that does not hit the ball D. A ball that touches the side netting</v>
      </c>
      <c r="J44" s="3" t="str">
        <f>IFERROR(__xludf.DUMMYFUNCTION("GOOGLETRANSLATE(D44, ""it"", ""en"")"),"A shot that doesn't hit the ball")</f>
        <v>A shot that doesn't hit the ball</v>
      </c>
      <c r="K44" s="3" t="str">
        <f>IFERROR(__xludf.DUMMYFUNCTION("GOOGLETRANSLATE(E44, ""it"", ""en"")"),"A ""miss"" is when the ball is not hit.")</f>
        <v>A "miss" is when the ball is not hit.</v>
      </c>
      <c r="L44" s="2"/>
      <c r="M44" s="2"/>
      <c r="N44" s="2"/>
      <c r="O44" s="2"/>
      <c r="P44" s="2"/>
      <c r="Q44" s="2"/>
      <c r="R44" s="2"/>
      <c r="S44" s="2"/>
      <c r="T44" s="2"/>
      <c r="U44" s="2"/>
      <c r="V44" s="2"/>
      <c r="W44" s="2"/>
    </row>
    <row r="45" ht="22.5" customHeight="1">
      <c r="A45" s="3">
        <v>44.0</v>
      </c>
      <c r="B45" s="3" t="s">
        <v>1312</v>
      </c>
      <c r="C45" s="3" t="s">
        <v>1313</v>
      </c>
      <c r="D45" s="3" t="s">
        <v>710</v>
      </c>
      <c r="E45" s="3" t="s">
        <v>1314</v>
      </c>
      <c r="F45" s="2"/>
      <c r="G45" s="3" t="str">
        <f>IFERROR(__xludf.DUMMYFUNCTION("GOOGLETRANSLATE(A45, ""it"", ""en"")"),"44")</f>
        <v>44</v>
      </c>
      <c r="H45" s="3" t="str">
        <f>IFERROR(__xludf.DUMMYFUNCTION("GOOGLETRANSLATE(B45, ""it"", ""en"")"),"Who determines whether a shot is a valid one?")</f>
        <v>Who determines whether a shot is a valid one?</v>
      </c>
      <c r="I45" s="3" t="str">
        <f>IFERROR(__xludf.DUMMYFUNCTION("GOOGLETRANSLATE(C45, ""it"", ""en"")"),"A. The referee B. The team captain C. The opposing player D. The crowd")</f>
        <v>A. The referee B. The team captain C. The opposing player D. The crowd</v>
      </c>
      <c r="J45" s="3" t="str">
        <f>IFERROR(__xludf.DUMMYFUNCTION("GOOGLETRANSLATE(D45, ""it"", ""en"")"),"The referee")</f>
        <v>The referee</v>
      </c>
      <c r="K45" s="3" t="str">
        <f>IFERROR(__xludf.DUMMYFUNCTION("GOOGLETRANSLATE(E45, ""it"", ""en"")"),"The referee has final authority on legal hits.")</f>
        <v>The referee has final authority on legal hits.</v>
      </c>
      <c r="L45" s="2"/>
      <c r="M45" s="2"/>
      <c r="N45" s="2"/>
      <c r="O45" s="2"/>
      <c r="P45" s="2"/>
      <c r="Q45" s="2"/>
      <c r="R45" s="2"/>
      <c r="S45" s="2"/>
      <c r="T45" s="2"/>
      <c r="U45" s="2"/>
      <c r="V45" s="2"/>
      <c r="W45" s="2"/>
    </row>
    <row r="46" ht="22.5" customHeight="1">
      <c r="A46" s="3">
        <v>45.0</v>
      </c>
      <c r="B46" s="3" t="s">
        <v>1315</v>
      </c>
      <c r="C46" s="3" t="s">
        <v>1316</v>
      </c>
      <c r="D46" s="3" t="s">
        <v>632</v>
      </c>
      <c r="E46" s="3" t="s">
        <v>1317</v>
      </c>
      <c r="F46" s="2"/>
      <c r="G46" s="3" t="str">
        <f>IFERROR(__xludf.DUMMYFUNCTION("GOOGLETRANSLATE(A46, ""it"", ""en"")"),"45")</f>
        <v>45</v>
      </c>
      <c r="H46" s="3" t="str">
        <f>IFERROR(__xludf.DUMMYFUNCTION("GOOGLETRANSLATE(B46, ""it"", ""en"")"),"What happens if two players hit the ball at the same time?")</f>
        <v>What happens if two players hit the ball at the same time?</v>
      </c>
      <c r="I46" s="3" t="str">
        <f>IFERROR(__xludf.DUMMYFUNCTION("GOOGLETRANSLATE(C46, ""it"", ""en"")"),"A. The shot is considered void B. The point goes to the opponent C. The game continues D. The point is replayed")</f>
        <v>A. The shot is considered void B. The point goes to the opponent C. The game continues D. The point is replayed</v>
      </c>
      <c r="J46" s="3" t="str">
        <f>IFERROR(__xludf.DUMMYFUNCTION("GOOGLETRANSLATE(D46, ""it"", ""en"")"),"The game continues")</f>
        <v>The game continues</v>
      </c>
      <c r="K46" s="3" t="str">
        <f>IFERROR(__xludf.DUMMYFUNCTION("GOOGLETRANSLATE(E46, ""it"", ""en"")"),"If two players hit together")</f>
        <v>If two players hit together</v>
      </c>
      <c r="L46" s="2"/>
      <c r="M46" s="2"/>
      <c r="N46" s="2"/>
      <c r="O46" s="2"/>
      <c r="P46" s="2"/>
      <c r="Q46" s="2"/>
      <c r="R46" s="2"/>
      <c r="S46" s="2"/>
      <c r="T46" s="2"/>
      <c r="U46" s="2"/>
      <c r="V46" s="2"/>
      <c r="W46" s="2"/>
    </row>
    <row r="47" ht="22.5" customHeight="1">
      <c r="A47" s="3">
        <v>46.0</v>
      </c>
      <c r="B47" s="3" t="s">
        <v>1318</v>
      </c>
      <c r="C47" s="3" t="s">
        <v>1319</v>
      </c>
      <c r="D47" s="3" t="s">
        <v>1320</v>
      </c>
      <c r="E47" s="3" t="s">
        <v>1321</v>
      </c>
      <c r="F47" s="2"/>
      <c r="G47" s="3" t="str">
        <f>IFERROR(__xludf.DUMMYFUNCTION("GOOGLETRANSLATE(A47, ""it"", ""en"")"),"46")</f>
        <v>46</v>
      </c>
      <c r="H47" s="3" t="str">
        <f>IFERROR(__xludf.DUMMYFUNCTION("GOOGLETRANSLATE(B47, ""it"", ""en"")"),"What do I need to do to start an official tournament?")</f>
        <v>What do I need to do to start an official tournament?</v>
      </c>
      <c r="I47" s="3" t="str">
        <f>IFERROR(__xludf.DUMMYFUNCTION("GOOGLETRANSLATE(C47, ""it"", ""en"")"),"A. Sign a participation form B. Introduce yourself to the referee C. Perform a collective warm-up D. Flip a coin")</f>
        <v>A. Sign a participation form B. Introduce yourself to the referee C. Perform a collective warm-up D. Flip a coin</v>
      </c>
      <c r="J47" s="3" t="str">
        <f>IFERROR(__xludf.DUMMYFUNCTION("GOOGLETRANSLATE(D47, ""it"", ""en"")"),"Introduce yourself to the referee")</f>
        <v>Introduce yourself to the referee</v>
      </c>
      <c r="K47" s="3" t="str">
        <f>IFERROR(__xludf.DUMMYFUNCTION("GOOGLETRANSLATE(E47, ""it"", ""en"")"),"The referees check the players before the start.")</f>
        <v>The referees check the players before the start.</v>
      </c>
      <c r="L47" s="2"/>
      <c r="M47" s="2"/>
      <c r="N47" s="2"/>
      <c r="O47" s="2"/>
      <c r="P47" s="2"/>
      <c r="Q47" s="2"/>
      <c r="R47" s="2"/>
      <c r="S47" s="2"/>
      <c r="T47" s="2"/>
      <c r="U47" s="2"/>
      <c r="V47" s="2"/>
      <c r="W47" s="2"/>
    </row>
    <row r="48" ht="22.5" customHeight="1">
      <c r="A48" s="3">
        <v>47.0</v>
      </c>
      <c r="B48" s="3" t="s">
        <v>1322</v>
      </c>
      <c r="C48" s="3" t="s">
        <v>1323</v>
      </c>
      <c r="D48" s="3" t="s">
        <v>1324</v>
      </c>
      <c r="E48" s="3" t="s">
        <v>1325</v>
      </c>
      <c r="F48" s="2"/>
      <c r="G48" s="3" t="str">
        <f>IFERROR(__xludf.DUMMYFUNCTION("GOOGLETRANSLATE(A48, ""it"", ""en"")"),"47")</f>
        <v>47</v>
      </c>
      <c r="H48" s="3" t="str">
        <f>IFERROR(__xludf.DUMMYFUNCTION("GOOGLETRANSLATE(B48, ""it"", ""en"")"),"What is prohibited during a heist?")</f>
        <v>What is prohibited during a heist?</v>
      </c>
      <c r="I48" s="3" t="str">
        <f>IFERROR(__xludf.DUMMYFUNCTION("GOOGLETRANSLATE(C48, ""it"", ""en"")"),"A. Changing hands during the shot B. Touching the ball with both hands C. Shouting during the shot D. Hitting the ball with the body")</f>
        <v>A. Changing hands during the shot B. Touching the ball with both hands C. Shouting during the shot D. Hitting the ball with the body</v>
      </c>
      <c r="J48" s="3" t="str">
        <f>IFERROR(__xludf.DUMMYFUNCTION("GOOGLETRANSLATE(D48, ""it"", ""en"")"),"Hit the ball with the body")</f>
        <v>Hit the ball with the body</v>
      </c>
      <c r="K48" s="3" t="str">
        <f>IFERROR(__xludf.DUMMYFUNCTION("GOOGLETRANSLATE(E48, ""it"", ""en"")"),"The ball must be hit only with the armband.")</f>
        <v>The ball must be hit only with the armband.</v>
      </c>
      <c r="L48" s="2"/>
      <c r="M48" s="2"/>
      <c r="N48" s="2"/>
      <c r="O48" s="2"/>
      <c r="P48" s="2"/>
      <c r="Q48" s="2"/>
      <c r="R48" s="2"/>
      <c r="S48" s="2"/>
      <c r="T48" s="2"/>
      <c r="U48" s="2"/>
      <c r="V48" s="2"/>
      <c r="W48" s="2"/>
    </row>
    <row r="49" ht="22.5" customHeight="1">
      <c r="A49" s="3">
        <v>48.0</v>
      </c>
      <c r="B49" s="3" t="s">
        <v>1326</v>
      </c>
      <c r="C49" s="3" t="s">
        <v>1327</v>
      </c>
      <c r="D49" s="3" t="s">
        <v>1328</v>
      </c>
      <c r="E49" s="3" t="s">
        <v>1329</v>
      </c>
      <c r="F49" s="2"/>
      <c r="G49" s="3" t="str">
        <f>IFERROR(__xludf.DUMMYFUNCTION("GOOGLETRANSLATE(A49, ""it"", ""en"")"),"48")</f>
        <v>48</v>
      </c>
      <c r="H49" s="3" t="str">
        <f>IFERROR(__xludf.DUMMYFUNCTION("GOOGLETRANSLATE(B49, ""it"", ""en"")"),"What is the meaning of the dividing line?")</f>
        <v>What is the meaning of the dividing line?</v>
      </c>
      <c r="I49" s="3" t="str">
        <f>IFERROR(__xludf.DUMMYFUNCTION("GOOGLETRANSLATE(C49, ""it"", ""en"")"),"A. Separate the teams B. Signal the change of sides C. Indicate the playing points D. Indicate the boundaries of the field")</f>
        <v>A. Separate the teams B. Signal the change of sides C. Indicate the playing points D. Indicate the boundaries of the field</v>
      </c>
      <c r="J49" s="3" t="str">
        <f>IFERROR(__xludf.DUMMYFUNCTION("GOOGLETRANSLATE(D49, ""it"", ""en"")"),"Indicate the limits of the field")</f>
        <v>Indicate the limits of the field</v>
      </c>
      <c r="K49" s="3" t="str">
        <f>IFERROR(__xludf.DUMMYFUNCTION("GOOGLETRANSLATE(E49, ""it"", ""en"")"),"The dividing line indicates the boundaries of the field.")</f>
        <v>The dividing line indicates the boundaries of the field.</v>
      </c>
      <c r="L49" s="2"/>
      <c r="M49" s="2"/>
      <c r="N49" s="2"/>
      <c r="O49" s="2"/>
      <c r="P49" s="2"/>
      <c r="Q49" s="2"/>
      <c r="R49" s="2"/>
      <c r="S49" s="2"/>
      <c r="T49" s="2"/>
      <c r="U49" s="2"/>
      <c r="V49" s="2"/>
      <c r="W49" s="2"/>
    </row>
    <row r="50" ht="22.5" customHeight="1">
      <c r="A50" s="3">
        <v>49.0</v>
      </c>
      <c r="B50" s="3" t="s">
        <v>1330</v>
      </c>
      <c r="C50" s="3" t="s">
        <v>1331</v>
      </c>
      <c r="D50" s="3" t="s">
        <v>1332</v>
      </c>
      <c r="E50" s="3" t="s">
        <v>1333</v>
      </c>
      <c r="F50" s="2"/>
      <c r="G50" s="3" t="str">
        <f>IFERROR(__xludf.DUMMYFUNCTION("GOOGLETRANSLATE(A50, ""it"", ""en"")"),"49")</f>
        <v>49</v>
      </c>
      <c r="H50" s="3" t="str">
        <f>IFERROR(__xludf.DUMMYFUNCTION("GOOGLETRANSLATE(B50, ""it"", ""en"")"),"What is the importance of regular exercise?")</f>
        <v>What is the importance of regular exercise?</v>
      </c>
      <c r="I50" s="3" t="str">
        <f>IFERROR(__xludf.DUMMYFUNCTION("GOOGLETRANSLATE(C50, ""it"", ""en"")"),"A. Improve strength B. Perfect technique C. Prevent injuries D. All of the above")</f>
        <v>A. Improve strength B. Perfect technique C. Prevent injuries D. All of the above</v>
      </c>
      <c r="J50" s="3" t="str">
        <f>IFERROR(__xludf.DUMMYFUNCTION("GOOGLETRANSLATE(D50, ""it"", ""en"")"),"All of the above")</f>
        <v>All of the above</v>
      </c>
      <c r="K50" s="3" t="str">
        <f>IFERROR(__xludf.DUMMYFUNCTION("GOOGLETRANSLATE(E50, ""it"", ""en"")"),"Regular training is essential for strength")</f>
        <v>Regular training is essential for strength</v>
      </c>
      <c r="L50" s="2"/>
      <c r="M50" s="2"/>
      <c r="N50" s="2"/>
      <c r="O50" s="2"/>
      <c r="P50" s="2"/>
      <c r="Q50" s="2"/>
      <c r="R50" s="2"/>
      <c r="S50" s="2"/>
      <c r="T50" s="2"/>
      <c r="U50" s="2"/>
      <c r="V50" s="2"/>
      <c r="W50" s="2"/>
    </row>
    <row r="51" ht="22.5" customHeight="1">
      <c r="A51" s="3">
        <v>50.0</v>
      </c>
      <c r="B51" s="3" t="s">
        <v>1334</v>
      </c>
      <c r="C51" s="3" t="s">
        <v>1335</v>
      </c>
      <c r="D51" s="3" t="s">
        <v>1336</v>
      </c>
      <c r="E51" s="3" t="s">
        <v>1337</v>
      </c>
      <c r="F51" s="2"/>
      <c r="G51" s="3" t="str">
        <f>IFERROR(__xludf.DUMMYFUNCTION("GOOGLETRANSLATE(A51, ""it"", ""en"")"),"50")</f>
        <v>50</v>
      </c>
      <c r="H51" s="3" t="str">
        <f>IFERROR(__xludf.DUMMYFUNCTION("GOOGLETRANSLATE(B51, ""it"", ""en"")"),"What does the term ""no service"" mean?")</f>
        <v>What does the term "no service" mean?</v>
      </c>
      <c r="I51" s="3" t="str">
        <f>IFERROR(__xludf.DUMMYFUNCTION("GOOGLETRANSLATE(C51, ""it"", ""en"")"),"A. A serve that does not reach the center of the court B. A serve that goes out of bounds C. A serve that bounces off the side net D. A serve that is executed without power")</f>
        <v>A. A serve that does not reach the center of the court B. A serve that goes out of bounds C. A serve that bounces off the side net D. A serve that is executed without power</v>
      </c>
      <c r="J51" s="3" t="str">
        <f>IFERROR(__xludf.DUMMYFUNCTION("GOOGLETRANSLATE(D51, ""it"", ""en"")"),"A serve that doesn't reach the center of the court")</f>
        <v>A serve that doesn't reach the center of the court</v>
      </c>
      <c r="K51" s="3" t="str">
        <f>IFERROR(__xludf.DUMMYFUNCTION("GOOGLETRANSLATE(E51, ""it"", ""en"")"),"A bad serve does not clear the center of the court.")</f>
        <v>A bad serve does not clear the center of the court.</v>
      </c>
      <c r="L51" s="2"/>
      <c r="M51" s="2"/>
      <c r="N51" s="2"/>
      <c r="O51" s="2"/>
      <c r="P51" s="2"/>
      <c r="Q51" s="2"/>
      <c r="R51" s="2"/>
      <c r="S51" s="2"/>
      <c r="T51" s="2"/>
      <c r="U51" s="2"/>
      <c r="V51" s="2"/>
      <c r="W51" s="2"/>
    </row>
    <row r="52" ht="22.5" customHeight="1">
      <c r="A52" s="3">
        <v>51.0</v>
      </c>
      <c r="B52" s="3" t="s">
        <v>1338</v>
      </c>
      <c r="C52" s="3" t="s">
        <v>1339</v>
      </c>
      <c r="D52" s="3" t="s">
        <v>768</v>
      </c>
      <c r="E52" s="3" t="s">
        <v>1340</v>
      </c>
      <c r="F52" s="2"/>
      <c r="G52" s="3" t="str">
        <f>IFERROR(__xludf.DUMMYFUNCTION("GOOGLETRANSLATE(A52, ""it"", ""en"")"),"51")</f>
        <v>51</v>
      </c>
      <c r="H52" s="3" t="str">
        <f>IFERROR(__xludf.DUMMYFUNCTION("GOOGLETRANSLATE(B52, ""it"", ""en"")"),"What is the maximum time allowed for a player between shots?")</f>
        <v>What is the maximum time allowed for a player between shots?</v>
      </c>
      <c r="I52" s="3" t="str">
        <f>IFERROR(__xludf.DUMMYFUNCTION("GOOGLETRANSLATE(C52, ""it"", ""en"")"),"A. 10 seconds B. 20 seconds C. 30 seconds D. 1 minute")</f>
        <v>A. 10 seconds B. 20 seconds C. 30 seconds D. 1 minute</v>
      </c>
      <c r="J52" s="3" t="str">
        <f>IFERROR(__xludf.DUMMYFUNCTION("GOOGLETRANSLATE(D52, ""it"", ""en"")"),"30 seconds")</f>
        <v>30 seconds</v>
      </c>
      <c r="K52" s="3" t="str">
        <f>IFERROR(__xludf.DUMMYFUNCTION("GOOGLETRANSLATE(E52, ""it"", ""en"")"),"A player has a maximum of 30 seconds to prepare for the next shot.")</f>
        <v>A player has a maximum of 30 seconds to prepare for the next shot.</v>
      </c>
      <c r="L52" s="2"/>
      <c r="M52" s="2"/>
      <c r="N52" s="2"/>
      <c r="O52" s="2"/>
      <c r="P52" s="2"/>
      <c r="Q52" s="2"/>
      <c r="R52" s="2"/>
      <c r="S52" s="2"/>
      <c r="T52" s="2"/>
      <c r="U52" s="2"/>
      <c r="V52" s="2"/>
      <c r="W52" s="2"/>
    </row>
    <row r="53" ht="22.5" customHeight="1">
      <c r="A53" s="3">
        <v>52.0</v>
      </c>
      <c r="B53" s="3" t="s">
        <v>1341</v>
      </c>
      <c r="C53" s="3" t="s">
        <v>1342</v>
      </c>
      <c r="D53" s="3" t="s">
        <v>1343</v>
      </c>
      <c r="E53" s="3" t="s">
        <v>1344</v>
      </c>
      <c r="F53" s="2"/>
      <c r="G53" s="3" t="str">
        <f>IFERROR(__xludf.DUMMYFUNCTION("GOOGLETRANSLATE(A53, ""it"", ""en"")"),"52")</f>
        <v>52</v>
      </c>
      <c r="H53" s="3" t="str">
        <f>IFERROR(__xludf.DUMMYFUNCTION("GOOGLETRANSLATE(B53, ""it"", ""en"")"),"What is used to track the score?")</f>
        <v>What is used to track the score?</v>
      </c>
      <c r="I53" s="3" t="str">
        <f>IFERROR(__xludf.DUMMYFUNCTION("GOOGLETRANSLATE(C53, ""it"", ""en"")"),"A. Manual scoreboard B. Electronic scoreboard C. Paper lists D. Verbal calls")</f>
        <v>A. Manual scoreboard B. Electronic scoreboard C. Paper lists D. Verbal calls</v>
      </c>
      <c r="J53" s="3" t="str">
        <f>IFERROR(__xludf.DUMMYFUNCTION("GOOGLETRANSLATE(D53, ""it"", ""en"")"),"Manual scoreboard")</f>
        <v>Manual scoreboard</v>
      </c>
      <c r="K53" s="3" t="str">
        <f>IFERROR(__xludf.DUMMYFUNCTION("GOOGLETRANSLATE(E53, ""it"", ""en"")"),"Traditionally, a manual scoreboard is used to keep track of points.")</f>
        <v>Traditionally, a manual scoreboard is used to keep track of points.</v>
      </c>
      <c r="L53" s="2"/>
      <c r="M53" s="2"/>
      <c r="N53" s="2"/>
      <c r="O53" s="2"/>
      <c r="P53" s="2"/>
      <c r="Q53" s="2"/>
      <c r="R53" s="2"/>
      <c r="S53" s="2"/>
      <c r="T53" s="2"/>
      <c r="U53" s="2"/>
      <c r="V53" s="2"/>
      <c r="W53" s="2"/>
    </row>
    <row r="54" ht="22.5" customHeight="1">
      <c r="A54" s="3">
        <v>53.0</v>
      </c>
      <c r="B54" s="3" t="s">
        <v>1345</v>
      </c>
      <c r="C54" s="3" t="s">
        <v>1346</v>
      </c>
      <c r="D54" s="3" t="s">
        <v>1347</v>
      </c>
      <c r="E54" s="3" t="s">
        <v>1348</v>
      </c>
      <c r="F54" s="2"/>
      <c r="G54" s="3" t="str">
        <f>IFERROR(__xludf.DUMMYFUNCTION("GOOGLETRANSLATE(A54, ""it"", ""en"")"),"53")</f>
        <v>53</v>
      </c>
      <c r="H54" s="3" t="str">
        <f>IFERROR(__xludf.DUMMYFUNCTION("GOOGLETRANSLATE(B54, ""it"", ""en"")"),"How is the winner determined in the event of a tie?")</f>
        <v>How is the winner determined in the event of a tie?</v>
      </c>
      <c r="I54" s="3" t="str">
        <f>IFERROR(__xludf.DUMMYFUNCTION("GOOGLETRANSLATE(C54, ""it"", ""en"")"),"A. Extension of playing time B. Service challenge C. First point rule D. Referee's decision")</f>
        <v>A. Extension of playing time B. Service challenge C. First point rule D. Referee's decision</v>
      </c>
      <c r="J54" s="3" t="str">
        <f>IFERROR(__xludf.DUMMYFUNCTION("GOOGLETRANSLATE(D54, ""it"", ""en"")"),"Extension of playing time")</f>
        <v>Extension of playing time</v>
      </c>
      <c r="K54" s="3" t="str">
        <f>IFERROR(__xludf.DUMMYFUNCTION("GOOGLETRANSLATE(E54, ""it"", ""en"")"),"The game continues until one team scores a point.")</f>
        <v>The game continues until one team scores a point.</v>
      </c>
      <c r="L54" s="2"/>
      <c r="M54" s="2"/>
      <c r="N54" s="2"/>
      <c r="O54" s="2"/>
      <c r="P54" s="2"/>
      <c r="Q54" s="2"/>
      <c r="R54" s="2"/>
      <c r="S54" s="2"/>
      <c r="T54" s="2"/>
      <c r="U54" s="2"/>
      <c r="V54" s="2"/>
      <c r="W54" s="2"/>
    </row>
    <row r="55" ht="22.5" customHeight="1">
      <c r="A55" s="3">
        <v>54.0</v>
      </c>
      <c r="B55" s="3" t="s">
        <v>1349</v>
      </c>
      <c r="C55" s="3" t="s">
        <v>1350</v>
      </c>
      <c r="D55" s="3" t="s">
        <v>1351</v>
      </c>
      <c r="E55" s="3" t="s">
        <v>1352</v>
      </c>
      <c r="F55" s="2"/>
      <c r="G55" s="3" t="str">
        <f>IFERROR(__xludf.DUMMYFUNCTION("GOOGLETRANSLATE(A55, ""it"", ""en"")"),"54")</f>
        <v>54</v>
      </c>
      <c r="H55" s="3" t="str">
        <f>IFERROR(__xludf.DUMMYFUNCTION("GOOGLETRANSLATE(B55, ""it"", ""en"")"),"What should be done if a player gets injured during the game?")</f>
        <v>What should be done if a player gets injured during the game?</v>
      </c>
      <c r="I55" s="3" t="str">
        <f>IFERROR(__xludf.DUMMYFUNCTION("GOOGLETRANSLATE(C55, ""it"", ""en"")"),"A. Substitute the player B. Suspend the game C. Allow a break D. Continue the game with penalty")</f>
        <v>A. Substitute the player B. Suspend the game C. Allow a break D. Continue the game with penalty</v>
      </c>
      <c r="J55" s="3" t="str">
        <f>IFERROR(__xludf.DUMMYFUNCTION("GOOGLETRANSLATE(D55, ""it"", ""en"")"),"Allow a break")</f>
        <v>Allow a break</v>
      </c>
      <c r="K55" s="3" t="str">
        <f>IFERROR(__xludf.DUMMYFUNCTION("GOOGLETRANSLATE(E55, ""it"", ""en"")"),"The rules provide for breaks for injuries.")</f>
        <v>The rules provide for breaks for injuries.</v>
      </c>
      <c r="L55" s="2"/>
      <c r="M55" s="2"/>
      <c r="N55" s="2"/>
      <c r="O55" s="2"/>
      <c r="P55" s="2"/>
      <c r="Q55" s="2"/>
      <c r="R55" s="2"/>
      <c r="S55" s="2"/>
      <c r="T55" s="2"/>
      <c r="U55" s="2"/>
      <c r="V55" s="2"/>
      <c r="W55" s="2"/>
    </row>
    <row r="56" ht="22.5" customHeight="1">
      <c r="A56" s="3">
        <v>55.0</v>
      </c>
      <c r="B56" s="3" t="s">
        <v>1353</v>
      </c>
      <c r="C56" s="3" t="s">
        <v>1354</v>
      </c>
      <c r="D56" s="3" t="s">
        <v>837</v>
      </c>
      <c r="E56" s="3" t="s">
        <v>1355</v>
      </c>
      <c r="F56" s="2"/>
      <c r="G56" s="3" t="str">
        <f>IFERROR(__xludf.DUMMYFUNCTION("GOOGLETRANSLATE(A56, ""it"", ""en"")"),"55")</f>
        <v>55</v>
      </c>
      <c r="H56" s="3" t="str">
        <f>IFERROR(__xludf.DUMMYFUNCTION("GOOGLETRANSLATE(B56, ""it"", ""en"")"),"What happens if the ball touches the opposing player's armband?")</f>
        <v>What happens if the ball touches the opposing player's armband?</v>
      </c>
      <c r="I56" s="3" t="str">
        <f>IFERROR(__xludf.DUMMYFUNCTION("GOOGLETRANSLATE(C56, ""it"", ""en"")"),"A. The point is considered void B. The game continues normally C. The point goes to the opponent D. The player must play again")</f>
        <v>A. The point is considered void B. The game continues normally C. The point goes to the opponent D. The player must play again</v>
      </c>
      <c r="J56" s="3" t="str">
        <f>IFERROR(__xludf.DUMMYFUNCTION("GOOGLETRANSLATE(D56, ""it"", ""en"")"),"The game continues normally")</f>
        <v>The game continues normally</v>
      </c>
      <c r="K56" s="3" t="str">
        <f>IFERROR(__xludf.DUMMYFUNCTION("GOOGLETRANSLATE(E56, ""it"", ""en"")"),"The game does not stop if the ball touches the opponent's armband.")</f>
        <v>The game does not stop if the ball touches the opponent's armband.</v>
      </c>
      <c r="L56" s="2"/>
      <c r="M56" s="2"/>
      <c r="N56" s="2"/>
      <c r="O56" s="2"/>
      <c r="P56" s="2"/>
      <c r="Q56" s="2"/>
      <c r="R56" s="2"/>
      <c r="S56" s="2"/>
      <c r="T56" s="2"/>
      <c r="U56" s="2"/>
      <c r="V56" s="2"/>
      <c r="W56" s="2"/>
    </row>
    <row r="57" ht="22.5" customHeight="1">
      <c r="A57" s="3">
        <v>56.0</v>
      </c>
      <c r="B57" s="3" t="s">
        <v>1356</v>
      </c>
      <c r="C57" s="3" t="s">
        <v>1357</v>
      </c>
      <c r="D57" s="3" t="s">
        <v>1332</v>
      </c>
      <c r="E57" s="3" t="s">
        <v>1358</v>
      </c>
      <c r="F57" s="2"/>
      <c r="G57" s="3" t="str">
        <f>IFERROR(__xludf.DUMMYFUNCTION("GOOGLETRANSLATE(A57, ""it"", ""en"")"),"56")</f>
        <v>56</v>
      </c>
      <c r="H57" s="3" t="str">
        <f>IFERROR(__xludf.DUMMYFUNCTION("GOOGLETRANSLATE(B57, ""it"", ""en"")"),"How do you check the integrity of the bracelet?")</f>
        <v>How do you check the integrity of the bracelet?</v>
      </c>
      <c r="I57" s="3" t="str">
        <f>IFERROR(__xludf.DUMMYFUNCTION("GOOGLETRANSLATE(C57, ""it"", ""en"")"),"A. Visual inspection B. Endurance test C. Comparison with regulatory standards D. All of the above")</f>
        <v>A. Visual inspection B. Endurance test C. Comparison with regulatory standards D. All of the above</v>
      </c>
      <c r="J57" s="3" t="str">
        <f>IFERROR(__xludf.DUMMYFUNCTION("GOOGLETRANSLATE(D57, ""it"", ""en"")"),"All of the above")</f>
        <v>All of the above</v>
      </c>
      <c r="K57" s="3" t="str">
        <f>IFERROR(__xludf.DUMMYFUNCTION("GOOGLETRANSLATE(E57, ""it"", ""en"")"),"The bracelet is checked visually and through tests.")</f>
        <v>The bracelet is checked visually and through tests.</v>
      </c>
      <c r="L57" s="2"/>
      <c r="M57" s="2"/>
      <c r="N57" s="2"/>
      <c r="O57" s="2"/>
      <c r="P57" s="2"/>
      <c r="Q57" s="2"/>
      <c r="R57" s="2"/>
      <c r="S57" s="2"/>
      <c r="T57" s="2"/>
      <c r="U57" s="2"/>
      <c r="V57" s="2"/>
      <c r="W57" s="2"/>
    </row>
    <row r="58" ht="22.5" customHeight="1">
      <c r="A58" s="3">
        <v>57.0</v>
      </c>
      <c r="B58" s="3" t="s">
        <v>1359</v>
      </c>
      <c r="C58" s="3" t="s">
        <v>1360</v>
      </c>
      <c r="D58" s="3" t="s">
        <v>1205</v>
      </c>
      <c r="E58" s="3" t="s">
        <v>1361</v>
      </c>
      <c r="F58" s="2"/>
      <c r="G58" s="3" t="str">
        <f>IFERROR(__xludf.DUMMYFUNCTION("GOOGLETRANSLATE(A58, ""it"", ""en"")"),"57")</f>
        <v>57</v>
      </c>
      <c r="H58" s="3" t="str">
        <f>IFERROR(__xludf.DUMMYFUNCTION("GOOGLETRANSLATE(B58, ""it"", ""en"")"),"What is the maximum distance allowed between the service point and the center of the court?")</f>
        <v>What is the maximum distance allowed between the service point and the center of the court?</v>
      </c>
      <c r="I58" s="3" t="str">
        <f>IFERROR(__xludf.DUMMYFUNCTION("GOOGLETRANSLATE(C58, ""it"", ""en"")"),"A. 10 meters B. 15 meters C. 20 meters D. 25 meters")</f>
        <v>A. 10 meters B. 15 meters C. 20 meters D. 25 meters</v>
      </c>
      <c r="J58" s="3" t="str">
        <f>IFERROR(__xludf.DUMMYFUNCTION("GOOGLETRANSLATE(D58, ""it"", ""en"")"),"15 meters")</f>
        <v>15 meters</v>
      </c>
      <c r="K58" s="3" t="str">
        <f>IFERROR(__xludf.DUMMYFUNCTION("GOOGLETRANSLATE(E58, ""it"", ""en"")"),"The maximum distance is 15 meters.")</f>
        <v>The maximum distance is 15 meters.</v>
      </c>
      <c r="L58" s="2"/>
      <c r="M58" s="2"/>
      <c r="N58" s="2"/>
      <c r="O58" s="2"/>
      <c r="P58" s="2"/>
      <c r="Q58" s="2"/>
      <c r="R58" s="2"/>
      <c r="S58" s="2"/>
      <c r="T58" s="2"/>
      <c r="U58" s="2"/>
      <c r="V58" s="2"/>
      <c r="W58" s="2"/>
    </row>
    <row r="59" ht="22.5" customHeight="1">
      <c r="A59" s="3">
        <v>58.0</v>
      </c>
      <c r="B59" s="3" t="s">
        <v>1362</v>
      </c>
      <c r="C59" s="3" t="s">
        <v>1363</v>
      </c>
      <c r="D59" s="3" t="s">
        <v>1364</v>
      </c>
      <c r="E59" s="3" t="s">
        <v>1365</v>
      </c>
      <c r="F59" s="2"/>
      <c r="G59" s="3" t="str">
        <f>IFERROR(__xludf.DUMMYFUNCTION("GOOGLETRANSLATE(A59, ""it"", ""en"")"),"58")</f>
        <v>58</v>
      </c>
      <c r="H59" s="3" t="str">
        <f>IFERROR(__xludf.DUMMYFUNCTION("GOOGLETRANSLATE(B59, ""it"", ""en"")"),"What does a beep during gameplay indicate?")</f>
        <v>What does a beep during gameplay indicate?</v>
      </c>
      <c r="I59" s="3" t="str">
        <f>IFERROR(__xludf.DUMMYFUNCTION("GOOGLETRANSLATE(C59, ""it"", ""en"")"),"A. Change of turn B. Time-out requested C. Infraction detected D. End of round")</f>
        <v>A. Change of turn B. Time-out requested C. Infraction detected D. End of round</v>
      </c>
      <c r="J59" s="3" t="str">
        <f>IFERROR(__xludf.DUMMYFUNCTION("GOOGLETRANSLATE(D59, ""it"", ""en"")"),"Infringement detected")</f>
        <v>Infringement detected</v>
      </c>
      <c r="K59" s="3" t="str">
        <f>IFERROR(__xludf.DUMMYFUNCTION("GOOGLETRANSLATE(E59, ""it"", ""en"")"),"An audible signal indicates an infraction during play.")</f>
        <v>An audible signal indicates an infraction during play.</v>
      </c>
      <c r="L59" s="2"/>
      <c r="M59" s="2"/>
      <c r="N59" s="2"/>
      <c r="O59" s="2"/>
      <c r="P59" s="2"/>
      <c r="Q59" s="2"/>
      <c r="R59" s="2"/>
      <c r="S59" s="2"/>
      <c r="T59" s="2"/>
      <c r="U59" s="2"/>
      <c r="V59" s="2"/>
      <c r="W59" s="2"/>
    </row>
    <row r="60" ht="22.5" customHeight="1">
      <c r="A60" s="3">
        <v>59.0</v>
      </c>
      <c r="B60" s="3" t="s">
        <v>1366</v>
      </c>
      <c r="C60" s="3" t="s">
        <v>1367</v>
      </c>
      <c r="D60" s="3" t="s">
        <v>1368</v>
      </c>
      <c r="E60" s="3" t="s">
        <v>1369</v>
      </c>
      <c r="F60" s="2"/>
      <c r="G60" s="3" t="str">
        <f>IFERROR(__xludf.DUMMYFUNCTION("GOOGLETRANSLATE(A60, ""it"", ""en"")"),"59")</f>
        <v>59</v>
      </c>
      <c r="H60" s="3" t="str">
        <f>IFERROR(__xludf.DUMMYFUNCTION("GOOGLETRANSLATE(B60, ""it"", ""en"")"),"What is the maximum number of substitutions per match?")</f>
        <v>What is the maximum number of substitutions per match?</v>
      </c>
      <c r="I60" s="3" t="str">
        <f>IFERROR(__xludf.DUMMYFUNCTION("GOOGLETRANSLATE(C60, ""it"", ""en"")"),"A. No substitutions allowed B. 1 substitution C. 2 substitutions D. 3 substitutions")</f>
        <v>A. No substitutions allowed B. 1 substitution C. 2 substitutions D. 3 substitutions</v>
      </c>
      <c r="J60" s="3" t="str">
        <f>IFERROR(__xludf.DUMMYFUNCTION("GOOGLETRANSLATE(D60, ""it"", ""en"")"),"2 substitutions")</f>
        <v>2 substitutions</v>
      </c>
      <c r="K60" s="3" t="str">
        <f>IFERROR(__xludf.DUMMYFUNCTION("GOOGLETRANSLATE(E60, ""it"", ""en"")"),"A maximum of 2 substitutions per team are allowed.")</f>
        <v>A maximum of 2 substitutions per team are allowed.</v>
      </c>
      <c r="L60" s="2"/>
      <c r="M60" s="2"/>
      <c r="N60" s="2"/>
      <c r="O60" s="2"/>
      <c r="P60" s="2"/>
      <c r="Q60" s="2"/>
      <c r="R60" s="2"/>
      <c r="S60" s="2"/>
      <c r="T60" s="2"/>
      <c r="U60" s="2"/>
      <c r="V60" s="2"/>
      <c r="W60" s="2"/>
    </row>
    <row r="61" ht="22.5" customHeight="1">
      <c r="A61" s="3">
        <v>60.0</v>
      </c>
      <c r="B61" s="3" t="s">
        <v>1370</v>
      </c>
      <c r="C61" s="3" t="s">
        <v>1371</v>
      </c>
      <c r="D61" s="3" t="s">
        <v>1372</v>
      </c>
      <c r="E61" s="3" t="s">
        <v>1373</v>
      </c>
      <c r="F61" s="2"/>
      <c r="G61" s="3" t="str">
        <f>IFERROR(__xludf.DUMMYFUNCTION("GOOGLETRANSLATE(A61, ""it"", ""en"")"),"60")</f>
        <v>60</v>
      </c>
      <c r="H61" s="3" t="str">
        <f>IFERROR(__xludf.DUMMYFUNCTION("GOOGLETRANSLATE(B61, ""it"", ""en"")"),"What happens if a player leaves the field without permission?")</f>
        <v>What happens if a player leaves the field without permission?</v>
      </c>
      <c r="I61" s="3" t="str">
        <f>IFERROR(__xludf.DUMMYFUNCTION("GOOGLETRANSLATE(C61, ""it"", ""en"")"),"A. Point to the opponent B. 2-point penalty C. Expulsion from the game D. Warning")</f>
        <v>A. Point to the opponent B. 2-point penalty C. Expulsion from the game D. Warning</v>
      </c>
      <c r="J61" s="3" t="str">
        <f>IFERROR(__xludf.DUMMYFUNCTION("GOOGLETRANSLATE(D61, ""it"", ""en"")"),"Expulsion from the match")</f>
        <v>Expulsion from the match</v>
      </c>
      <c r="K61" s="3" t="str">
        <f>IFERROR(__xludf.DUMMYFUNCTION("GOOGLETRANSLATE(E61, ""it"", ""en"")"),"Leaving the camp without permission will result in expulsion.")</f>
        <v>Leaving the camp without permission will result in expulsion.</v>
      </c>
      <c r="L61" s="2"/>
      <c r="M61" s="2"/>
      <c r="N61" s="2"/>
      <c r="O61" s="2"/>
      <c r="P61" s="2"/>
      <c r="Q61" s="2"/>
      <c r="R61" s="2"/>
      <c r="S61" s="2"/>
      <c r="T61" s="2"/>
      <c r="U61" s="2"/>
      <c r="V61" s="2"/>
      <c r="W61" s="2"/>
    </row>
    <row r="62" ht="22.5" customHeight="1">
      <c r="A62" s="3">
        <v>61.0</v>
      </c>
      <c r="B62" s="3" t="s">
        <v>1374</v>
      </c>
      <c r="C62" s="3" t="s">
        <v>1375</v>
      </c>
      <c r="D62" s="3" t="s">
        <v>1376</v>
      </c>
      <c r="E62" s="3" t="s">
        <v>1377</v>
      </c>
      <c r="F62" s="2"/>
      <c r="G62" s="3" t="str">
        <f>IFERROR(__xludf.DUMMYFUNCTION("GOOGLETRANSLATE(A62, ""it"", ""en"")"),"61")</f>
        <v>61</v>
      </c>
      <c r="H62" s="3" t="str">
        <f>IFERROR(__xludf.DUMMYFUNCTION("GOOGLETRANSLATE(B62, ""it"", ""en"")"),"What is the meaning of a ""bounce"" shot?")</f>
        <v>What is the meaning of a "bounce" shot?</v>
      </c>
      <c r="I62" s="3" t="str">
        <f>IFERROR(__xludf.DUMMYFUNCTION("GOOGLETRANSLATE(C62, ""it"", ""en"")"),"A. A shot that hits the court before the bracelet B. A shot directed at the center of the court C. A shot that goes beyond the edge of the court D. A shot that hits an opponent")</f>
        <v>A. A shot that hits the court before the bracelet B. A shot directed at the center of the court C. A shot that goes beyond the edge of the court D. A shot that hits an opponent</v>
      </c>
      <c r="J62" s="3" t="str">
        <f>IFERROR(__xludf.DUMMYFUNCTION("GOOGLETRANSLATE(D62, ""it"", ""en"")"),"A shot that hits the court before the bracelet")</f>
        <v>A shot that hits the court before the bracelet</v>
      </c>
      <c r="K62" s="3" t="str">
        <f>IFERROR(__xludf.DUMMYFUNCTION("GOOGLETRANSLATE(E62, ""it"", ""en"")"),"A ""bounce"" shot is when the ball bounces on the court before being hit.")</f>
        <v>A "bounce" shot is when the ball bounces on the court before being hit.</v>
      </c>
      <c r="L62" s="2"/>
      <c r="M62" s="2"/>
      <c r="N62" s="2"/>
      <c r="O62" s="2"/>
      <c r="P62" s="2"/>
      <c r="Q62" s="2"/>
      <c r="R62" s="2"/>
      <c r="S62" s="2"/>
      <c r="T62" s="2"/>
      <c r="U62" s="2"/>
      <c r="V62" s="2"/>
      <c r="W62" s="2"/>
    </row>
    <row r="63" ht="22.5" customHeight="1">
      <c r="A63" s="3">
        <v>62.0</v>
      </c>
      <c r="B63" s="3" t="s">
        <v>1378</v>
      </c>
      <c r="C63" s="3" t="s">
        <v>1379</v>
      </c>
      <c r="D63" s="3" t="s">
        <v>290</v>
      </c>
      <c r="E63" s="3" t="s">
        <v>1380</v>
      </c>
      <c r="F63" s="2"/>
      <c r="G63" s="3" t="str">
        <f>IFERROR(__xludf.DUMMYFUNCTION("GOOGLETRANSLATE(A63, ""it"", ""en"")"),"62")</f>
        <v>62</v>
      </c>
      <c r="H63" s="3" t="str">
        <f>IFERROR(__xludf.DUMMYFUNCTION("GOOGLETRANSLATE(B63, ""it"", ""en"")"),"How is the team that starts the service determined?")</f>
        <v>How is the team that starts the service determined?</v>
      </c>
      <c r="I63" s="3" t="str">
        <f>IFERROR(__xludf.DUMMYFUNCTION("GOOGLETRANSLATE(C63, ""it"", ""en"")"),"A. Toss B. Captain's choice C. Previous score D. Referee's decision")</f>
        <v>A. Toss B. Captain's choice C. Previous score D. Referee's decision</v>
      </c>
      <c r="J63" s="3" t="str">
        <f>IFERROR(__xludf.DUMMYFUNCTION("GOOGLETRANSLATE(D63, ""it"", ""en"")"),"Draw")</f>
        <v>Draw</v>
      </c>
      <c r="K63" s="3" t="str">
        <f>IFERROR(__xludf.DUMMYFUNCTION("GOOGLETRANSLATE(E63, ""it"", ""en"")"),"The toss determines which team starts the service.")</f>
        <v>The toss determines which team starts the service.</v>
      </c>
      <c r="L63" s="2"/>
      <c r="M63" s="2"/>
      <c r="N63" s="2"/>
      <c r="O63" s="2"/>
      <c r="P63" s="2"/>
      <c r="Q63" s="2"/>
      <c r="R63" s="2"/>
      <c r="S63" s="2"/>
      <c r="T63" s="2"/>
      <c r="U63" s="2"/>
      <c r="V63" s="2"/>
      <c r="W63" s="2"/>
    </row>
    <row r="64" ht="22.5" customHeight="1">
      <c r="A64" s="3">
        <v>63.0</v>
      </c>
      <c r="B64" s="3" t="s">
        <v>1381</v>
      </c>
      <c r="C64" s="3" t="s">
        <v>1382</v>
      </c>
      <c r="D64" s="3" t="s">
        <v>1383</v>
      </c>
      <c r="E64" s="3" t="s">
        <v>1384</v>
      </c>
      <c r="F64" s="2"/>
      <c r="G64" s="3" t="str">
        <f>IFERROR(__xludf.DUMMYFUNCTION("GOOGLETRANSLATE(A64, ""it"", ""en"")"),"63")</f>
        <v>63</v>
      </c>
      <c r="H64" s="3" t="str">
        <f>IFERROR(__xludf.DUMMYFUNCTION("GOOGLETRANSLATE(B64, ""it"", ""en"")"),"What is the main purpose of the service?")</f>
        <v>What is the main purpose of the service?</v>
      </c>
      <c r="I64" s="3" t="str">
        <f>IFERROR(__xludf.DUMMYFUNCTION("GOOGLETRANSLATE(C64, ""it"", ""en"")"),"A. To obtain a direct point B. To prevent the opponent's response C. To start the rally D. To confuse the opponent")</f>
        <v>A. To obtain a direct point B. To prevent the opponent's response C. To start the rally D. To confuse the opponent</v>
      </c>
      <c r="J64" s="3" t="str">
        <f>IFERROR(__xludf.DUMMYFUNCTION("GOOGLETRANSLATE(D64, ""it"", ""en"")"),"Start the exchange")</f>
        <v>Start the exchange</v>
      </c>
      <c r="K64" s="3" t="str">
        <f>IFERROR(__xludf.DUMMYFUNCTION("GOOGLETRANSLATE(E64, ""it"", ""en"")"),"The service is used to initiate the exchange.")</f>
        <v>The service is used to initiate the exchange.</v>
      </c>
      <c r="L64" s="2"/>
      <c r="M64" s="2"/>
      <c r="N64" s="2"/>
      <c r="O64" s="2"/>
      <c r="P64" s="2"/>
      <c r="Q64" s="2"/>
      <c r="R64" s="2"/>
      <c r="S64" s="2"/>
      <c r="T64" s="2"/>
      <c r="U64" s="2"/>
      <c r="V64" s="2"/>
      <c r="W64" s="2"/>
    </row>
    <row r="65" ht="22.5" customHeight="1">
      <c r="A65" s="3">
        <v>64.0</v>
      </c>
      <c r="B65" s="3" t="s">
        <v>1385</v>
      </c>
      <c r="C65" s="3" t="s">
        <v>1386</v>
      </c>
      <c r="D65" s="3" t="s">
        <v>1387</v>
      </c>
      <c r="E65" s="3" t="s">
        <v>1388</v>
      </c>
      <c r="F65" s="2"/>
      <c r="G65" s="3" t="str">
        <f>IFERROR(__xludf.DUMMYFUNCTION("GOOGLETRANSLATE(A65, ""it"", ""en"")"),"64")</f>
        <v>64</v>
      </c>
      <c r="H65" s="3" t="str">
        <f>IFERROR(__xludf.DUMMYFUNCTION("GOOGLETRANSLATE(B65, ""it"", ""en"")"),"What happens if a player hits the ball out of bounds?")</f>
        <v>What happens if a player hits the ball out of bounds?</v>
      </c>
      <c r="I65" s="3" t="str">
        <f>IFERROR(__xludf.DUMMYFUNCTION("GOOGLETRANSLATE(C65, ""it"", ""en"")"),"A. The point goes to the opponent B. The player must replay C. The shot is considered a fail D. A penalty is assessed")</f>
        <v>A. The point goes to the opponent B. The player must replay C. The shot is considered a fail D. A penalty is assessed</v>
      </c>
      <c r="J65" s="3" t="str">
        <f>IFERROR(__xludf.DUMMYFUNCTION("GOOGLETRANSLATE(D65, ""it"", ""en"")"),"The point goes to the opponent")</f>
        <v>The point goes to the opponent</v>
      </c>
      <c r="K65" s="3" t="str">
        <f>IFERROR(__xludf.DUMMYFUNCTION("GOOGLETRANSLATE(E65, ""it"", ""en"")"),"A ball out of bounds awards the point to the opponent.")</f>
        <v>A ball out of bounds awards the point to the opponent.</v>
      </c>
      <c r="L65" s="2"/>
      <c r="M65" s="2"/>
      <c r="N65" s="2"/>
      <c r="O65" s="2"/>
      <c r="P65" s="2"/>
      <c r="Q65" s="2"/>
      <c r="R65" s="2"/>
      <c r="S65" s="2"/>
      <c r="T65" s="2"/>
      <c r="U65" s="2"/>
      <c r="V65" s="2"/>
      <c r="W65" s="2"/>
    </row>
    <row r="66" ht="22.5" customHeight="1">
      <c r="A66" s="3">
        <v>65.0</v>
      </c>
      <c r="B66" s="3" t="s">
        <v>1389</v>
      </c>
      <c r="C66" s="3" t="s">
        <v>1390</v>
      </c>
      <c r="D66" s="3" t="s">
        <v>1391</v>
      </c>
      <c r="E66" s="3" t="s">
        <v>1392</v>
      </c>
      <c r="F66" s="2"/>
      <c r="G66" s="3" t="str">
        <f>IFERROR(__xludf.DUMMYFUNCTION("GOOGLETRANSLATE(A66, ""it"", ""en"")"),"65")</f>
        <v>65</v>
      </c>
      <c r="H66" s="3" t="str">
        <f>IFERROR(__xludf.DUMMYFUNCTION("GOOGLETRANSLATE(B66, ""it"", ""en"")"),"What is the standard size of a Pallone col Bracciale pitch?")</f>
        <v>What is the standard size of a Pallone col Bracciale pitch?</v>
      </c>
      <c r="I66" s="3" t="str">
        <f>IFERROR(__xludf.DUMMYFUNCTION("GOOGLETRANSLATE(C66, ""it"", ""en"")"),"A. 20x30 meters B. 16x34 meters C. 30x50 meters D. 25x40 meters")</f>
        <v>A. 20x30 meters B. 16x34 meters C. 30x50 meters D. 25x40 meters</v>
      </c>
      <c r="J66" s="3" t="str">
        <f>IFERROR(__xludf.DUMMYFUNCTION("GOOGLETRANSLATE(D66, ""it"", ""en"")"),"16x34 meters")</f>
        <v>16x34 meters</v>
      </c>
      <c r="K66" s="3" t="str">
        <f>IFERROR(__xludf.DUMMYFUNCTION("GOOGLETRANSLATE(E66, ""it"", ""en"")"),"The standard dimensions of the field are 16x34 meters.")</f>
        <v>The standard dimensions of the field are 16x34 meters.</v>
      </c>
      <c r="L66" s="2"/>
      <c r="M66" s="2"/>
      <c r="N66" s="2"/>
      <c r="O66" s="2"/>
      <c r="P66" s="2"/>
      <c r="Q66" s="2"/>
      <c r="R66" s="2"/>
      <c r="S66" s="2"/>
      <c r="T66" s="2"/>
      <c r="U66" s="2"/>
      <c r="V66" s="2"/>
      <c r="W66" s="2"/>
    </row>
    <row r="67" ht="22.5" customHeight="1">
      <c r="A67" s="3">
        <v>66.0</v>
      </c>
      <c r="B67" s="3" t="s">
        <v>1393</v>
      </c>
      <c r="C67" s="3" t="s">
        <v>1394</v>
      </c>
      <c r="D67" s="3" t="s">
        <v>1395</v>
      </c>
      <c r="E67" s="3" t="s">
        <v>1396</v>
      </c>
      <c r="F67" s="2"/>
      <c r="G67" s="3" t="str">
        <f>IFERROR(__xludf.DUMMYFUNCTION("GOOGLETRANSLATE(A67, ""it"", ""en"")"),"66")</f>
        <v>66</v>
      </c>
      <c r="H67" s="3" t="str">
        <f>IFERROR(__xludf.DUMMYFUNCTION("GOOGLETRANSLATE(B67, ""it"", ""en"")"),"How is ball pressure checked before a match?")</f>
        <v>How is ball pressure checked before a match?</v>
      </c>
      <c r="I67" s="3" t="str">
        <f>IFERROR(__xludf.DUMMYFUNCTION("GOOGLETRANSLATE(C67, ""it"", ""en"")"),"A. Manual measurement B. Using a pressure gauge C. Visual inspection D. Not checked")</f>
        <v>A. Manual measurement B. Using a pressure gauge C. Visual inspection D. Not checked</v>
      </c>
      <c r="J67" s="3" t="str">
        <f>IFERROR(__xludf.DUMMYFUNCTION("GOOGLETRANSLATE(D67, ""it"", ""en"")"),"Using a pressure gauge")</f>
        <v>Using a pressure gauge</v>
      </c>
      <c r="K67" s="3" t="str">
        <f>IFERROR(__xludf.DUMMYFUNCTION("GOOGLETRANSLATE(E67, ""it"", ""en"")"),"A pressure gauge is used to check the pressure of the balloon.")</f>
        <v>A pressure gauge is used to check the pressure of the balloon.</v>
      </c>
      <c r="L67" s="2"/>
      <c r="M67" s="2"/>
      <c r="N67" s="2"/>
      <c r="O67" s="2"/>
      <c r="P67" s="2"/>
      <c r="Q67" s="2"/>
      <c r="R67" s="2"/>
      <c r="S67" s="2"/>
      <c r="T67" s="2"/>
      <c r="U67" s="2"/>
      <c r="V67" s="2"/>
      <c r="W67" s="2"/>
    </row>
    <row r="68" ht="22.5" customHeight="1">
      <c r="A68" s="3">
        <v>67.0</v>
      </c>
      <c r="B68" s="3" t="s">
        <v>1397</v>
      </c>
      <c r="C68" s="3" t="s">
        <v>1398</v>
      </c>
      <c r="D68" s="3" t="s">
        <v>1399</v>
      </c>
      <c r="E68" s="3" t="s">
        <v>1400</v>
      </c>
      <c r="F68" s="2"/>
      <c r="G68" s="3" t="str">
        <f>IFERROR(__xludf.DUMMYFUNCTION("GOOGLETRANSLATE(A68, ""it"", ""en"")"),"67")</f>
        <v>67</v>
      </c>
      <c r="H68" s="3" t="str">
        <f>IFERROR(__xludf.DUMMYFUNCTION("GOOGLETRANSLATE(B68, ""it"", ""en"")"),"What happens if the ball touches an external object during play?")</f>
        <v>What happens if the ball touches an external object during play?</v>
      </c>
      <c r="I68" s="3" t="str">
        <f>IFERROR(__xludf.DUMMYFUNCTION("GOOGLETRANSLATE(C68, ""it"", ""en"")"),"A. The point is void B. The game continues normally C. The point goes to the opponent D. The point is replayed")</f>
        <v>A. The point is void B. The game continues normally C. The point goes to the opponent D. The point is replayed</v>
      </c>
      <c r="J68" s="3" t="str">
        <f>IFERROR(__xludf.DUMMYFUNCTION("GOOGLETRANSLATE(D68, ""it"", ""en"")"),"The point is null")</f>
        <v>The point is null</v>
      </c>
      <c r="K68" s="3" t="str">
        <f>IFERROR(__xludf.DUMMYFUNCTION("GOOGLETRANSLATE(E68, ""it"", ""en"")"),"If the ball touches an external object")</f>
        <v>If the ball touches an external object</v>
      </c>
      <c r="L68" s="2"/>
      <c r="M68" s="2"/>
      <c r="N68" s="2"/>
      <c r="O68" s="2"/>
      <c r="P68" s="2"/>
      <c r="Q68" s="2"/>
      <c r="R68" s="2"/>
      <c r="S68" s="2"/>
      <c r="T68" s="2"/>
      <c r="U68" s="2"/>
      <c r="V68" s="2"/>
      <c r="W68" s="2"/>
    </row>
    <row r="69" ht="22.5" customHeight="1">
      <c r="A69" s="3">
        <v>68.0</v>
      </c>
      <c r="B69" s="3" t="s">
        <v>1401</v>
      </c>
      <c r="C69" s="3" t="s">
        <v>1402</v>
      </c>
      <c r="D69" s="3" t="s">
        <v>1403</v>
      </c>
      <c r="E69" s="3" t="s">
        <v>1404</v>
      </c>
      <c r="F69" s="2"/>
      <c r="G69" s="3" t="str">
        <f>IFERROR(__xludf.DUMMYFUNCTION("GOOGLETRANSLATE(A69, ""it"", ""en"")"),"68")</f>
        <v>68</v>
      </c>
      <c r="H69" s="3" t="str">
        <f>IFERROR(__xludf.DUMMYFUNCTION("GOOGLETRANSLATE(B69, ""it"", ""en"")"),"What is the term used to describe a turning point?")</f>
        <v>What is the term used to describe a turning point?</v>
      </c>
      <c r="I69" s="3" t="str">
        <f>IFERROR(__xludf.DUMMYFUNCTION("GOOGLETRANSLATE(C69, ""it"", ""en"")"),"A. Closing point B. Master point C. Final point D. Key point")</f>
        <v>A. Closing point B. Master point C. Final point D. Key point</v>
      </c>
      <c r="J69" s="3" t="str">
        <f>IFERROR(__xludf.DUMMYFUNCTION("GOOGLETRANSLATE(D69, ""it"", ""en"")"),"Master point")</f>
        <v>Master point</v>
      </c>
      <c r="K69" s="3" t="str">
        <f>IFERROR(__xludf.DUMMYFUNCTION("GOOGLETRANSLATE(E69, ""it"", ""en"")"),"A decisive point is called a ""master point.""")</f>
        <v>A decisive point is called a "master point."</v>
      </c>
      <c r="L69" s="2"/>
      <c r="M69" s="2"/>
      <c r="N69" s="2"/>
      <c r="O69" s="2"/>
      <c r="P69" s="2"/>
      <c r="Q69" s="2"/>
      <c r="R69" s="2"/>
      <c r="S69" s="2"/>
      <c r="T69" s="2"/>
      <c r="U69" s="2"/>
      <c r="V69" s="2"/>
      <c r="W69" s="2"/>
    </row>
    <row r="70" ht="22.5" customHeight="1">
      <c r="A70" s="3">
        <v>69.0</v>
      </c>
      <c r="B70" s="3" t="s">
        <v>1405</v>
      </c>
      <c r="C70" s="3" t="s">
        <v>1406</v>
      </c>
      <c r="D70" s="3" t="s">
        <v>1407</v>
      </c>
      <c r="E70" s="3" t="s">
        <v>1408</v>
      </c>
      <c r="F70" s="2"/>
      <c r="G70" s="3" t="str">
        <f>IFERROR(__xludf.DUMMYFUNCTION("GOOGLETRANSLATE(A70, ""it"", ""en"")"),"69")</f>
        <v>69</v>
      </c>
      <c r="H70" s="3" t="str">
        <f>IFERROR(__xludf.DUMMYFUNCTION("GOOGLETRANSLATE(B70, ""it"", ""en"")"),"How should a player behave towards the referee?")</f>
        <v>How should a player behave towards the referee?</v>
      </c>
      <c r="I70" s="3" t="str">
        <f>IFERROR(__xludf.DUMMYFUNCTION("GOOGLETRANSLATE(C70, ""it"", ""en"")"),"A. Challenge every decision B. Follow directions C. Ignore instructions D. Ask for explanations at every point")</f>
        <v>A. Challenge every decision B. Follow directions C. Ignore instructions D. Ask for explanations at every point</v>
      </c>
      <c r="J70" s="3" t="str">
        <f>IFERROR(__xludf.DUMMYFUNCTION("GOOGLETRANSLATE(D70, ""it"", ""en"")"),"Follow the directions")</f>
        <v>Follow the directions</v>
      </c>
      <c r="K70" s="3" t="str">
        <f>IFERROR(__xludf.DUMMYFUNCTION("GOOGLETRANSLATE(E70, ""it"", ""en"")"),"The player must follow the referee's instructions.")</f>
        <v>The player must follow the referee's instructions.</v>
      </c>
      <c r="L70" s="2"/>
      <c r="M70" s="2"/>
      <c r="N70" s="2"/>
      <c r="O70" s="2"/>
      <c r="P70" s="2"/>
      <c r="Q70" s="2"/>
      <c r="R70" s="2"/>
      <c r="S70" s="2"/>
      <c r="T70" s="2"/>
      <c r="U70" s="2"/>
      <c r="V70" s="2"/>
      <c r="W70" s="2"/>
    </row>
    <row r="71" ht="22.5" customHeight="1">
      <c r="A71" s="3">
        <v>70.0</v>
      </c>
      <c r="B71" s="3" t="s">
        <v>1409</v>
      </c>
      <c r="C71" s="3" t="s">
        <v>1410</v>
      </c>
      <c r="D71" s="3" t="s">
        <v>1411</v>
      </c>
      <c r="E71" s="3" t="s">
        <v>1412</v>
      </c>
      <c r="F71" s="2"/>
      <c r="G71" s="3" t="str">
        <f>IFERROR(__xludf.DUMMYFUNCTION("GOOGLETRANSLATE(A71, ""it"", ""en"")"),"70")</f>
        <v>70</v>
      </c>
      <c r="H71" s="3" t="str">
        <f>IFERROR(__xludf.DUMMYFUNCTION("GOOGLETRANSLATE(B71, ""it"", ""en"")"),"What is meant by “forced blow”?")</f>
        <v>What is meant by “forced blow”?</v>
      </c>
      <c r="I71" s="3" t="str">
        <f>IFERROR(__xludf.DUMMYFUNCTION("GOOGLETRANSLATE(C71, ""it"", ""en"")"),"A. A slow but precise shot B. A shot executed with extreme power C. A spin shot D. A shot near the edge of the court")</f>
        <v>A. A slow but precise shot B. A shot executed with extreme power C. A spin shot D. A shot near the edge of the court</v>
      </c>
      <c r="J71" s="3" t="str">
        <f>IFERROR(__xludf.DUMMYFUNCTION("GOOGLETRANSLATE(D71, ""it"", ""en"")"),"A shot executed with extreme power")</f>
        <v>A shot executed with extreme power</v>
      </c>
      <c r="K71" s="3" t="str">
        <f>IFERROR(__xludf.DUMMYFUNCTION("GOOGLETRANSLATE(E71, ""it"", ""en"")"),"The “power shot” is distinguished by its power.")</f>
        <v>The “power shot” is distinguished by its power.</v>
      </c>
      <c r="L71" s="2"/>
      <c r="M71" s="2"/>
      <c r="N71" s="2"/>
      <c r="O71" s="2"/>
      <c r="P71" s="2"/>
      <c r="Q71" s="2"/>
      <c r="R71" s="2"/>
      <c r="S71" s="2"/>
      <c r="T71" s="2"/>
      <c r="U71" s="2"/>
      <c r="V71" s="2"/>
      <c r="W71" s="2"/>
    </row>
    <row r="72" ht="22.5" customHeight="1">
      <c r="A72" s="3">
        <v>71.0</v>
      </c>
      <c r="B72" s="3" t="s">
        <v>1413</v>
      </c>
      <c r="C72" s="3" t="s">
        <v>1414</v>
      </c>
      <c r="D72" s="3" t="s">
        <v>1328</v>
      </c>
      <c r="E72" s="3" t="s">
        <v>1415</v>
      </c>
      <c r="F72" s="2"/>
      <c r="G72" s="3" t="str">
        <f>IFERROR(__xludf.DUMMYFUNCTION("GOOGLETRANSLATE(A72, ""it"", ""en"")"),"71")</f>
        <v>71</v>
      </c>
      <c r="H72" s="3" t="str">
        <f>IFERROR(__xludf.DUMMYFUNCTION("GOOGLETRANSLATE(B72, ""it"", ""en"")"),"What is the lines judge's responsibility?")</f>
        <v>What is the lines judge's responsibility?</v>
      </c>
      <c r="I72" s="3" t="str">
        <f>IFERROR(__xludf.DUMMYFUNCTION("GOOGLETRANSLATE(C72, ""it"", ""en"")"),"A. Report points B. Monitor infringements C. Indicate field limits D. Validate the service")</f>
        <v>A. Report points B. Monitor infringements C. Indicate field limits D. Validate the service</v>
      </c>
      <c r="J72" s="3" t="str">
        <f>IFERROR(__xludf.DUMMYFUNCTION("GOOGLETRANSLATE(D72, ""it"", ""en"")"),"Indicate the limits of the field")</f>
        <v>Indicate the limits of the field</v>
      </c>
      <c r="K72" s="3" t="str">
        <f>IFERROR(__xludf.DUMMYFUNCTION("GOOGLETRANSLATE(E72, ""it"", ""en"")"),"The lines judge is responsible for the boundaries of the pitch.")</f>
        <v>The lines judge is responsible for the boundaries of the pitch.</v>
      </c>
      <c r="L72" s="2"/>
      <c r="M72" s="2"/>
      <c r="N72" s="2"/>
      <c r="O72" s="2"/>
      <c r="P72" s="2"/>
      <c r="Q72" s="2"/>
      <c r="R72" s="2"/>
      <c r="S72" s="2"/>
      <c r="T72" s="2"/>
      <c r="U72" s="2"/>
      <c r="V72" s="2"/>
      <c r="W72" s="2"/>
    </row>
    <row r="73" ht="22.5" customHeight="1">
      <c r="A73" s="3">
        <v>72.0</v>
      </c>
      <c r="B73" s="3" t="s">
        <v>1416</v>
      </c>
      <c r="C73" s="3" t="s">
        <v>1417</v>
      </c>
      <c r="D73" s="3" t="s">
        <v>1418</v>
      </c>
      <c r="E73" s="3" t="s">
        <v>1419</v>
      </c>
      <c r="F73" s="2"/>
      <c r="G73" s="3" t="str">
        <f>IFERROR(__xludf.DUMMYFUNCTION("GOOGLETRANSLATE(A73, ""it"", ""en"")"),"72")</f>
        <v>72</v>
      </c>
      <c r="H73" s="3" t="str">
        <f>IFERROR(__xludf.DUMMYFUNCTION("GOOGLETRANSLATE(B73, ""it"", ""en"")"),"How is a point awarded for a double infraction?")</f>
        <v>How is a point awarded for a double infraction?</v>
      </c>
      <c r="I73" s="3" t="str">
        <f>IFERROR(__xludf.DUMMYFUNCTION("GOOGLETRANSLATE(C73, ""it"", ""en"")"),"A. To the first player who commits the infraction B. To the second player who commits the infraction C. The point is cancelled D. The point goes to the opponent")</f>
        <v>A. To the first player who commits the infraction B. To the second player who commits the infraction C. The point is cancelled D. The point goes to the opponent</v>
      </c>
      <c r="J73" s="3" t="str">
        <f>IFERROR(__xludf.DUMMYFUNCTION("GOOGLETRANSLATE(D73, ""it"", ""en"")"),"The point is cancelled")</f>
        <v>The point is cancelled</v>
      </c>
      <c r="K73" s="3" t="str">
        <f>IFERROR(__xludf.DUMMYFUNCTION("GOOGLETRANSLATE(E73, ""it"", ""en"")"),"In case of double infringement the point is void.")</f>
        <v>In case of double infringement the point is void.</v>
      </c>
      <c r="L73" s="2"/>
      <c r="M73" s="2"/>
      <c r="N73" s="2"/>
      <c r="O73" s="2"/>
      <c r="P73" s="2"/>
      <c r="Q73" s="2"/>
      <c r="R73" s="2"/>
      <c r="S73" s="2"/>
      <c r="T73" s="2"/>
      <c r="U73" s="2"/>
      <c r="V73" s="2"/>
      <c r="W73" s="2"/>
    </row>
    <row r="74" ht="22.5" customHeight="1">
      <c r="A74" s="3">
        <v>73.0</v>
      </c>
      <c r="B74" s="3" t="s">
        <v>1420</v>
      </c>
      <c r="C74" s="3" t="s">
        <v>1421</v>
      </c>
      <c r="D74" s="3" t="s">
        <v>1422</v>
      </c>
      <c r="E74" s="3" t="s">
        <v>1423</v>
      </c>
      <c r="F74" s="2"/>
      <c r="G74" s="3" t="str">
        <f>IFERROR(__xludf.DUMMYFUNCTION("GOOGLETRANSLATE(A74, ""it"", ""en"")"),"73")</f>
        <v>73</v>
      </c>
      <c r="H74" s="3" t="str">
        <f>IFERROR(__xludf.DUMMYFUNCTION("GOOGLETRANSLATE(B74, ""it"", ""en"")"),"What does “fair play” mean?")</f>
        <v>What does “fair play” mean?</v>
      </c>
      <c r="I74" s="3" t="str">
        <f>IFERROR(__xludf.DUMMYFUNCTION("GOOGLETRANSLATE(C74, ""it"", ""en"")"),"A. Do not use defensive tactics B. Avoid infractions C. Play without errors D. Do not use maximum force")</f>
        <v>A. Do not use defensive tactics B. Avoid infractions C. Play without errors D. Do not use maximum force</v>
      </c>
      <c r="J74" s="3" t="str">
        <f>IFERROR(__xludf.DUMMYFUNCTION("GOOGLETRANSLATE(D74, ""it"", ""en"")"),"Avoid infringements")</f>
        <v>Avoid infringements</v>
      </c>
      <c r="K74" s="3" t="str">
        <f>IFERROR(__xludf.DUMMYFUNCTION("GOOGLETRANSLATE(E74, ""it"", ""en"")"),"Fair play means avoiding infractions and respecting the rules.")</f>
        <v>Fair play means avoiding infractions and respecting the rules.</v>
      </c>
      <c r="L74" s="2"/>
      <c r="M74" s="2"/>
      <c r="N74" s="2"/>
      <c r="O74" s="2"/>
      <c r="P74" s="2"/>
      <c r="Q74" s="2"/>
      <c r="R74" s="2"/>
      <c r="S74" s="2"/>
      <c r="T74" s="2"/>
      <c r="U74" s="2"/>
      <c r="V74" s="2"/>
      <c r="W74" s="2"/>
    </row>
    <row r="75" ht="22.5" customHeight="1">
      <c r="A75" s="3">
        <v>74.0</v>
      </c>
      <c r="B75" s="3" t="s">
        <v>1424</v>
      </c>
      <c r="C75" s="3" t="s">
        <v>1425</v>
      </c>
      <c r="D75" s="3" t="s">
        <v>1426</v>
      </c>
      <c r="E75" s="3" t="s">
        <v>1427</v>
      </c>
      <c r="F75" s="2"/>
      <c r="G75" s="3" t="str">
        <f>IFERROR(__xludf.DUMMYFUNCTION("GOOGLETRANSLATE(A75, ""it"", ""en"")"),"74")</f>
        <v>74</v>
      </c>
      <c r="H75" s="3" t="str">
        <f>IFERROR(__xludf.DUMMYFUNCTION("GOOGLETRANSLATE(B75, ""it"", ""en"")"),"What is the minimum height limit for launching the service?")</f>
        <v>What is the minimum height limit for launching the service?</v>
      </c>
      <c r="I75" s="3" t="str">
        <f>IFERROR(__xludf.DUMMYFUNCTION("GOOGLETRANSLATE(C75, ""it"", ""en"")"),"A. 1 meter B. 1.5 meters C. 2 meters D. There is no limit")</f>
        <v>A. 1 meter B. 1.5 meters C. 2 meters D. There is no limit</v>
      </c>
      <c r="J75" s="3" t="str">
        <f>IFERROR(__xludf.DUMMYFUNCTION("GOOGLETRANSLATE(D75, ""it"", ""en"")"),"1.5 meters")</f>
        <v>1.5 meters</v>
      </c>
      <c r="K75" s="3" t="str">
        <f>IFERROR(__xludf.DUMMYFUNCTION("GOOGLETRANSLATE(E75, ""it"", ""en"")"),"The service must reach at least 1.5 meters in height.")</f>
        <v>The service must reach at least 1.5 meters in height.</v>
      </c>
      <c r="L75" s="2"/>
      <c r="M75" s="2"/>
      <c r="N75" s="2"/>
      <c r="O75" s="2"/>
      <c r="P75" s="2"/>
      <c r="Q75" s="2"/>
      <c r="R75" s="2"/>
      <c r="S75" s="2"/>
      <c r="T75" s="2"/>
      <c r="U75" s="2"/>
      <c r="V75" s="2"/>
      <c r="W75" s="2"/>
    </row>
    <row r="76" ht="22.5" customHeight="1">
      <c r="A76" s="3">
        <v>75.0</v>
      </c>
      <c r="B76" s="3" t="s">
        <v>1428</v>
      </c>
      <c r="C76" s="3" t="s">
        <v>1429</v>
      </c>
      <c r="D76" s="3" t="s">
        <v>640</v>
      </c>
      <c r="E76" s="3" t="s">
        <v>1430</v>
      </c>
      <c r="F76" s="2"/>
      <c r="G76" s="3" t="str">
        <f>IFERROR(__xludf.DUMMYFUNCTION("GOOGLETRANSLATE(A76, ""it"", ""en"")"),"75")</f>
        <v>75</v>
      </c>
      <c r="H76" s="3" t="str">
        <f>IFERROR(__xludf.DUMMYFUNCTION("GOOGLETRANSLATE(B76, ""it"", ""en"")"),"What is the traditional material used for the bracelet?")</f>
        <v>What is the traditional material used for the bracelet?</v>
      </c>
      <c r="I76" s="3" t="str">
        <f>IFERROR(__xludf.DUMMYFUNCTION("GOOGLETRANSLATE(C76, ""it"", ""en"")"),"A. Wood B. Plastic C. Metal D. Leather")</f>
        <v>A. Wood B. Plastic C. Metal D. Leather</v>
      </c>
      <c r="J76" s="3" t="str">
        <f>IFERROR(__xludf.DUMMYFUNCTION("GOOGLETRANSLATE(D76, ""it"", ""en"")"),"Wood")</f>
        <v>Wood</v>
      </c>
      <c r="K76" s="3" t="str">
        <f>IFERROR(__xludf.DUMMYFUNCTION("GOOGLETRANSLATE(E76, ""it"", ""en"")"),"The traditional bracelet is made of wood.")</f>
        <v>The traditional bracelet is made of wood.</v>
      </c>
      <c r="L76" s="2"/>
      <c r="M76" s="2"/>
      <c r="N76" s="2"/>
      <c r="O76" s="2"/>
      <c r="P76" s="2"/>
      <c r="Q76" s="2"/>
      <c r="R76" s="2"/>
      <c r="S76" s="2"/>
      <c r="T76" s="2"/>
      <c r="U76" s="2"/>
      <c r="V76" s="2"/>
      <c r="W76" s="2"/>
    </row>
    <row r="77" ht="22.5" customHeight="1">
      <c r="A77" s="3">
        <v>76.0</v>
      </c>
      <c r="B77" s="3" t="s">
        <v>1431</v>
      </c>
      <c r="C77" s="3" t="s">
        <v>1432</v>
      </c>
      <c r="D77" s="3" t="s">
        <v>1433</v>
      </c>
      <c r="E77" s="3" t="s">
        <v>1434</v>
      </c>
      <c r="F77" s="2"/>
      <c r="G77" s="3" t="str">
        <f>IFERROR(__xludf.DUMMYFUNCTION("GOOGLETRANSLATE(A77, ""it"", ""en"")"),"76")</f>
        <v>76</v>
      </c>
      <c r="H77" s="3" t="str">
        <f>IFERROR(__xludf.DUMMYFUNCTION("GOOGLETRANSLATE(B77, ""it"", ""en"")"),"What should a referee do if a player repeatedly breaks the rules?")</f>
        <v>What should a referee do if a player repeatedly breaks the rules?</v>
      </c>
      <c r="I77" s="3" t="str">
        <f>IFERROR(__xludf.DUMMYFUNCTION("GOOGLETRANSLATE(C77, ""it"", ""en"")"),"A. Award a point to the opponent B. Warning the player C. Expelling the player D. Stopping the game")</f>
        <v>A. Award a point to the opponent B. Warning the player C. Expelling the player D. Stopping the game</v>
      </c>
      <c r="J77" s="3" t="str">
        <f>IFERROR(__xludf.DUMMYFUNCTION("GOOGLETRANSLATE(D77, ""it"", ""en"")"),"Warning the player")</f>
        <v>Warning the player</v>
      </c>
      <c r="K77" s="3" t="str">
        <f>IFERROR(__xludf.DUMMYFUNCTION("GOOGLETRANSLATE(E77, ""it"", ""en"")"),"The referee cautions players for repeated infringements.")</f>
        <v>The referee cautions players for repeated infringements.</v>
      </c>
      <c r="L77" s="2"/>
      <c r="M77" s="2"/>
      <c r="N77" s="2"/>
      <c r="O77" s="2"/>
      <c r="P77" s="2"/>
      <c r="Q77" s="2"/>
      <c r="R77" s="2"/>
      <c r="S77" s="2"/>
      <c r="T77" s="2"/>
      <c r="U77" s="2"/>
      <c r="V77" s="2"/>
      <c r="W77" s="2"/>
    </row>
    <row r="78" ht="22.5" customHeight="1">
      <c r="A78" s="3">
        <v>77.0</v>
      </c>
      <c r="B78" s="3" t="s">
        <v>1435</v>
      </c>
      <c r="C78" s="3" t="s">
        <v>1436</v>
      </c>
      <c r="D78" s="3" t="s">
        <v>473</v>
      </c>
      <c r="E78" s="3" t="s">
        <v>1437</v>
      </c>
      <c r="F78" s="2"/>
      <c r="G78" s="3" t="str">
        <f>IFERROR(__xludf.DUMMYFUNCTION("GOOGLETRANSLATE(A78, ""it"", ""en"")"),"77")</f>
        <v>77</v>
      </c>
      <c r="H78" s="3" t="str">
        <f>IFERROR(__xludf.DUMMYFUNCTION("GOOGLETRANSLATE(B78, ""it"", ""en"")"),"What happens if a player doesn't show up at the field by the allotted time?")</f>
        <v>What happens if a player doesn't show up at the field by the allotted time?</v>
      </c>
      <c r="I78" s="3" t="str">
        <f>IFERROR(__xludf.DUMMYFUNCTION("GOOGLETRANSLATE(C78, ""it"", ""en"")"),"A. The team loses the set B. It is penalized 2 points C. The player is disqualified D. It is given a 5 minute extension")</f>
        <v>A. The team loses the set B. It is penalized 2 points C. The player is disqualified D. It is given a 5 minute extension</v>
      </c>
      <c r="J78" s="3" t="str">
        <f>IFERROR(__xludf.DUMMYFUNCTION("GOOGLETRANSLATE(D78, ""it"", ""en"")"),"The player is disqualified")</f>
        <v>The player is disqualified</v>
      </c>
      <c r="K78" s="3" t="str">
        <f>IFERROR(__xludf.DUMMYFUNCTION("GOOGLETRANSLATE(E78, ""it"", ""en"")"),"Failure to attend within the established time will result in disqualification.")</f>
        <v>Failure to attend within the established time will result in disqualification.</v>
      </c>
      <c r="L78" s="2"/>
      <c r="M78" s="2"/>
      <c r="N78" s="2"/>
      <c r="O78" s="2"/>
      <c r="P78" s="2"/>
      <c r="Q78" s="2"/>
      <c r="R78" s="2"/>
      <c r="S78" s="2"/>
      <c r="T78" s="2"/>
      <c r="U78" s="2"/>
      <c r="V78" s="2"/>
      <c r="W78" s="2"/>
    </row>
    <row r="79" ht="22.5" customHeight="1">
      <c r="A79" s="3">
        <v>78.0</v>
      </c>
      <c r="B79" s="3" t="s">
        <v>1438</v>
      </c>
      <c r="C79" s="3" t="s">
        <v>1439</v>
      </c>
      <c r="D79" s="3" t="s">
        <v>1440</v>
      </c>
      <c r="E79" s="3" t="s">
        <v>1441</v>
      </c>
      <c r="F79" s="2"/>
      <c r="G79" s="3" t="str">
        <f>IFERROR(__xludf.DUMMYFUNCTION("GOOGLETRANSLATE(A79, ""it"", ""en"")"),"78")</f>
        <v>78</v>
      </c>
      <c r="H79" s="3" t="str">
        <f>IFERROR(__xludf.DUMMYFUNCTION("GOOGLETRANSLATE(B79, ""it"", ""en"")"),"What is meant by “vantage point”?")</f>
        <v>What is meant by “vantage point”?</v>
      </c>
      <c r="I79" s="3" t="str">
        <f>IFERROR(__xludf.DUMMYFUNCTION("GOOGLETRANSLATE(C79, ""it"", ""en"")"),"A. A point awarded for a spectacular shot B. A decisive point in the final sets C. A point obtained for an opponent's infraction D. An extra point for the last team in the lead")</f>
        <v>A. A point awarded for a spectacular shot B. A decisive point in the final sets C. A point obtained for an opponent's infraction D. An extra point for the last team in the lead</v>
      </c>
      <c r="J79" s="3" t="str">
        <f>IFERROR(__xludf.DUMMYFUNCTION("GOOGLETRANSLATE(D79, ""it"", ""en"")"),"A decisive point in the final sets")</f>
        <v>A decisive point in the final sets</v>
      </c>
      <c r="K79" s="3" t="str">
        <f>IFERROR(__xludf.DUMMYFUNCTION("GOOGLETRANSLATE(E79, ""it"", ""en"")"),"The “breakout point” occurs in the final sets.")</f>
        <v>The “breakout point” occurs in the final sets.</v>
      </c>
      <c r="L79" s="2"/>
      <c r="M79" s="2"/>
      <c r="N79" s="2"/>
      <c r="O79" s="2"/>
      <c r="P79" s="2"/>
      <c r="Q79" s="2"/>
      <c r="R79" s="2"/>
      <c r="S79" s="2"/>
      <c r="T79" s="2"/>
      <c r="U79" s="2"/>
      <c r="V79" s="2"/>
      <c r="W79" s="2"/>
    </row>
    <row r="80" ht="22.5" customHeight="1">
      <c r="A80" s="3">
        <v>79.0</v>
      </c>
      <c r="B80" s="3" t="s">
        <v>1234</v>
      </c>
      <c r="C80" s="3" t="s">
        <v>1235</v>
      </c>
      <c r="D80" s="3" t="s">
        <v>1442</v>
      </c>
      <c r="E80" s="3" t="s">
        <v>1443</v>
      </c>
      <c r="F80" s="2"/>
      <c r="G80" s="3" t="str">
        <f>IFERROR(__xludf.DUMMYFUNCTION("GOOGLETRANSLATE(A80, ""it"", ""en"")"),"79")</f>
        <v>79</v>
      </c>
      <c r="H80" s="3" t="str">
        <f>IFERROR(__xludf.DUMMYFUNCTION("GOOGLETRANSLATE(B80, ""it"", ""en"")"),"How many referees are needed for an official match?")</f>
        <v>How many referees are needed for an official match?</v>
      </c>
      <c r="I80" s="3" t="str">
        <f>IFERROR(__xludf.DUMMYFUNCTION("GOOGLETRANSLATE(C80, ""it"", ""en"")"),"A. 1 referee B. 2 referees C. 3 referees D. 4 referees")</f>
        <v>A. 1 referee B. 2 referees C. 3 referees D. 4 referees</v>
      </c>
      <c r="J80" s="3" t="str">
        <f>IFERROR(__xludf.DUMMYFUNCTION("GOOGLETRANSLATE(D80, ""it"", ""en"")"),"2 referees")</f>
        <v>2 referees</v>
      </c>
      <c r="K80" s="3" t="str">
        <f>IFERROR(__xludf.DUMMYFUNCTION("GOOGLETRANSLATE(E80, ""it"", ""en"")"),"An official match requires at least 2 referees.")</f>
        <v>An official match requires at least 2 referees.</v>
      </c>
      <c r="L80" s="2"/>
      <c r="M80" s="2"/>
      <c r="N80" s="2"/>
      <c r="O80" s="2"/>
      <c r="P80" s="2"/>
      <c r="Q80" s="2"/>
      <c r="R80" s="2"/>
      <c r="S80" s="2"/>
      <c r="T80" s="2"/>
      <c r="U80" s="2"/>
      <c r="V80" s="2"/>
      <c r="W80" s="2"/>
    </row>
    <row r="81" ht="22.5" customHeight="1">
      <c r="A81" s="3">
        <v>80.0</v>
      </c>
      <c r="B81" s="3" t="s">
        <v>1444</v>
      </c>
      <c r="C81" s="3" t="s">
        <v>1445</v>
      </c>
      <c r="D81" s="3" t="s">
        <v>1446</v>
      </c>
      <c r="E81" s="3" t="s">
        <v>1447</v>
      </c>
      <c r="F81" s="2"/>
      <c r="G81" s="3" t="str">
        <f>IFERROR(__xludf.DUMMYFUNCTION("GOOGLETRANSLATE(A81, ""it"", ""en"")"),"80")</f>
        <v>80</v>
      </c>
      <c r="H81" s="3" t="str">
        <f>IFERROR(__xludf.DUMMYFUNCTION("GOOGLETRANSLATE(B81, ""it"", ""en"")"),"What is the role of a substitute during the match?")</f>
        <v>What is the role of a substitute during the match?</v>
      </c>
      <c r="I81" s="3" t="str">
        <f>IFERROR(__xludf.DUMMYFUNCTION("GOOGLETRANSLATE(C81, ""it"", ""en"")"),"A. Rest the main player B. Substitute only for injuries C. Participate in strategies D. Be ready to replace at any time")</f>
        <v>A. Rest the main player B. Substitute only for injuries C. Participate in strategies D. Be ready to replace at any time</v>
      </c>
      <c r="J81" s="3" t="str">
        <f>IFERROR(__xludf.DUMMYFUNCTION("GOOGLETRANSLATE(D81, ""it"", ""en"")"),"Be ready to replace at any time")</f>
        <v>Be ready to replace at any time</v>
      </c>
      <c r="K81" s="3" t="str">
        <f>IFERROR(__xludf.DUMMYFUNCTION("GOOGLETRANSLATE(E81, ""it"", ""en"")"),"A substitute must always be ready to enter the game.")</f>
        <v>A substitute must always be ready to enter the game.</v>
      </c>
      <c r="L81" s="2"/>
      <c r="M81" s="2"/>
      <c r="N81" s="2"/>
      <c r="O81" s="2"/>
      <c r="P81" s="2"/>
      <c r="Q81" s="2"/>
      <c r="R81" s="2"/>
      <c r="S81" s="2"/>
      <c r="T81" s="2"/>
      <c r="U81" s="2"/>
      <c r="V81" s="2"/>
      <c r="W81" s="2"/>
    </row>
    <row r="82" ht="22.5" customHeight="1">
      <c r="A82" s="3">
        <v>81.0</v>
      </c>
      <c r="B82" s="3" t="s">
        <v>1448</v>
      </c>
      <c r="C82" s="3" t="s">
        <v>1449</v>
      </c>
      <c r="D82" s="3" t="s">
        <v>1450</v>
      </c>
      <c r="E82" s="3" t="s">
        <v>1451</v>
      </c>
      <c r="F82" s="2"/>
      <c r="G82" s="3" t="str">
        <f>IFERROR(__xludf.DUMMYFUNCTION("GOOGLETRANSLATE(A82, ""it"", ""en"")"),"81")</f>
        <v>81</v>
      </c>
      <c r="H82" s="3" t="str">
        <f>IFERROR(__xludf.DUMMYFUNCTION("GOOGLETRANSLATE(B82, ""it"", ""en"")"),"What is the meaning of a “high blow”?")</f>
        <v>What is the meaning of a “high blow”?</v>
      </c>
      <c r="I82" s="3" t="str">
        <f>IFERROR(__xludf.DUMMYFUNCTION("GOOGLETRANSLATE(C82, ""it"", ""en"")"),"A. A shot that goes over the opponent's armband B. A shot that reaches a height greater than 3 meters C. A shot directed at the center of the court D. A shot that goes out of bounds")</f>
        <v>A. A shot that goes over the opponent's armband B. A shot that reaches a height greater than 3 meters C. A shot directed at the center of the court D. A shot that goes out of bounds</v>
      </c>
      <c r="J82" s="3" t="str">
        <f>IFERROR(__xludf.DUMMYFUNCTION("GOOGLETRANSLATE(D82, ""it"", ""en"")"),"A shot that reaches a height greater than 3 meters")</f>
        <v>A shot that reaches a height greater than 3 meters</v>
      </c>
      <c r="K82" s="3" t="str">
        <f>IFERROR(__xludf.DUMMYFUNCTION("GOOGLETRANSLATE(E82, ""it"", ""en"")"),"A “high shot” is recognized by its height.")</f>
        <v>A “high shot” is recognized by its height.</v>
      </c>
      <c r="L82" s="2"/>
      <c r="M82" s="2"/>
      <c r="N82" s="2"/>
      <c r="O82" s="2"/>
      <c r="P82" s="2"/>
      <c r="Q82" s="2"/>
      <c r="R82" s="2"/>
      <c r="S82" s="2"/>
      <c r="T82" s="2"/>
      <c r="U82" s="2"/>
      <c r="V82" s="2"/>
      <c r="W82" s="2"/>
    </row>
    <row r="83" ht="22.5" customHeight="1">
      <c r="A83" s="3">
        <v>82.0</v>
      </c>
      <c r="B83" s="3" t="s">
        <v>1452</v>
      </c>
      <c r="C83" s="3" t="s">
        <v>1453</v>
      </c>
      <c r="D83" s="3" t="s">
        <v>1454</v>
      </c>
      <c r="E83" s="3" t="s">
        <v>1455</v>
      </c>
      <c r="F83" s="2"/>
      <c r="G83" s="3" t="str">
        <f>IFERROR(__xludf.DUMMYFUNCTION("GOOGLETRANSLATE(A83, ""it"", ""en"")"),"82")</f>
        <v>82</v>
      </c>
      <c r="H83" s="3" t="str">
        <f>IFERROR(__xludf.DUMMYFUNCTION("GOOGLETRANSLATE(B83, ""it"", ""en"")"),"How is a foot fault determined?")</f>
        <v>How is a foot fault determined?</v>
      </c>
      <c r="I83" s="3" t="str">
        <f>IFERROR(__xludf.DUMMYFUNCTION("GOOGLETRANSLATE(C83, ""it"", ""en"")"),"A. The foot goes beyond the service line B. The foot touches the ball C. The foot goes out of bounds D. The foot lifts during the service")</f>
        <v>A. The foot goes beyond the service line B. The foot touches the ball C. The foot goes out of bounds D. The foot lifts during the service</v>
      </c>
      <c r="J83" s="3" t="str">
        <f>IFERROR(__xludf.DUMMYFUNCTION("GOOGLETRANSLATE(D83, ""it"", ""en"")"),"The foot crosses the service line")</f>
        <v>The foot crosses the service line</v>
      </c>
      <c r="K83" s="3" t="str">
        <f>IFERROR(__xludf.DUMMYFUNCTION("GOOGLETRANSLATE(E83, ""it"", ""en"")"),"A foot fault occurs if the foot goes over the service line.")</f>
        <v>A foot fault occurs if the foot goes over the service line.</v>
      </c>
      <c r="L83" s="2"/>
      <c r="M83" s="2"/>
      <c r="N83" s="2"/>
      <c r="O83" s="2"/>
      <c r="P83" s="2"/>
      <c r="Q83" s="2"/>
      <c r="R83" s="2"/>
      <c r="S83" s="2"/>
      <c r="T83" s="2"/>
      <c r="U83" s="2"/>
      <c r="V83" s="2"/>
      <c r="W83" s="2"/>
    </row>
    <row r="84" ht="22.5" customHeight="1">
      <c r="A84" s="3">
        <v>83.0</v>
      </c>
      <c r="B84" s="3" t="s">
        <v>1456</v>
      </c>
      <c r="C84" s="3" t="s">
        <v>1457</v>
      </c>
      <c r="D84" s="3" t="s">
        <v>310</v>
      </c>
      <c r="E84" s="3" t="s">
        <v>1458</v>
      </c>
      <c r="F84" s="2"/>
      <c r="G84" s="3" t="str">
        <f>IFERROR(__xludf.DUMMYFUNCTION("GOOGLETRANSLATE(A84, ""it"", ""en"")"),"83")</f>
        <v>83</v>
      </c>
      <c r="H84" s="3" t="str">
        <f>IFERROR(__xludf.DUMMYFUNCTION("GOOGLETRANSLATE(B84, ""it"", ""en"")"),"What happens if a player uses a non-regulation bracelet?")</f>
        <v>What happens if a player uses a non-regulation bracelet?</v>
      </c>
      <c r="I84" s="3" t="str">
        <f>IFERROR(__xludf.DUMMYFUNCTION("GOOGLETRANSLATE(C84, ""it"", ""en"")"),"A. 1 point penalty B. Immediate expulsion C. Bracelet disqualification D. The game is suspended")</f>
        <v>A. 1 point penalty B. Immediate expulsion C. Bracelet disqualification D. The game is suspended</v>
      </c>
      <c r="J84" s="3" t="str">
        <f>IFERROR(__xludf.DUMMYFUNCTION("GOOGLETRANSLATE(D84, ""it"", ""en"")"),"Immediate expulsion")</f>
        <v>Immediate expulsion</v>
      </c>
      <c r="K84" s="3" t="str">
        <f>IFERROR(__xludf.DUMMYFUNCTION("GOOGLETRANSLATE(E84, ""it"", ""en"")"),"Using an unregulated bracelet will result in expulsion.")</f>
        <v>Using an unregulated bracelet will result in expulsion.</v>
      </c>
      <c r="L84" s="2"/>
      <c r="M84" s="2"/>
      <c r="N84" s="2"/>
      <c r="O84" s="2"/>
      <c r="P84" s="2"/>
      <c r="Q84" s="2"/>
      <c r="R84" s="2"/>
      <c r="S84" s="2"/>
      <c r="T84" s="2"/>
      <c r="U84" s="2"/>
      <c r="V84" s="2"/>
      <c r="W84" s="2"/>
    </row>
    <row r="85" ht="22.5" customHeight="1">
      <c r="A85" s="3">
        <v>84.0</v>
      </c>
      <c r="B85" s="3" t="s">
        <v>1459</v>
      </c>
      <c r="C85" s="3" t="s">
        <v>1460</v>
      </c>
      <c r="D85" s="3" t="s">
        <v>1461</v>
      </c>
      <c r="E85" s="3" t="s">
        <v>1462</v>
      </c>
      <c r="F85" s="2"/>
      <c r="G85" s="3" t="str">
        <f>IFERROR(__xludf.DUMMYFUNCTION("GOOGLETRANSLATE(A85, ""it"", ""en"")"),"84")</f>
        <v>84</v>
      </c>
      <c r="H85" s="3" t="str">
        <f>IFERROR(__xludf.DUMMYFUNCTION("GOOGLETRANSLATE(B85, ""it"", ""en"")"),"What is the correct method for training the serve?")</f>
        <v>What is the correct method for training the serve?</v>
      </c>
      <c r="I85" s="3" t="str">
        <f>IFERROR(__xludf.DUMMYFUNCTION("GOOGLETRANSLATE(C85, ""it"", ""en"")"),"A. Repeat the service in sequence B. Alternate strength and precision C. Use balls of different sizes D. Simulate match situations")</f>
        <v>A. Repeat the service in sequence B. Alternate strength and precision C. Use balls of different sizes D. Simulate match situations</v>
      </c>
      <c r="J85" s="3" t="str">
        <f>IFERROR(__xludf.DUMMYFUNCTION("GOOGLETRANSLATE(D85, ""it"", ""en"")"),"Alternate strength and precision")</f>
        <v>Alternate strength and precision</v>
      </c>
      <c r="K85" s="3" t="str">
        <f>IFERROR(__xludf.DUMMYFUNCTION("GOOGLETRANSLATE(E85, ""it"", ""en"")"),"Effective training combines strength and precision.")</f>
        <v>Effective training combines strength and precision.</v>
      </c>
      <c r="L85" s="2"/>
      <c r="M85" s="2"/>
      <c r="N85" s="2"/>
      <c r="O85" s="2"/>
      <c r="P85" s="2"/>
      <c r="Q85" s="2"/>
      <c r="R85" s="2"/>
      <c r="S85" s="2"/>
      <c r="T85" s="2"/>
      <c r="U85" s="2"/>
      <c r="V85" s="2"/>
      <c r="W85" s="2"/>
    </row>
    <row r="86" ht="22.5" customHeight="1">
      <c r="A86" s="3">
        <v>85.0</v>
      </c>
      <c r="B86" s="3" t="s">
        <v>1463</v>
      </c>
      <c r="C86" s="3" t="s">
        <v>1464</v>
      </c>
      <c r="D86" s="3" t="s">
        <v>1465</v>
      </c>
      <c r="E86" s="3" t="s">
        <v>1466</v>
      </c>
      <c r="F86" s="2"/>
      <c r="G86" s="3" t="str">
        <f>IFERROR(__xludf.DUMMYFUNCTION("GOOGLETRANSLATE(A86, ""it"", ""en"")"),"85")</f>
        <v>85</v>
      </c>
      <c r="H86" s="3" t="str">
        <f>IFERROR(__xludf.DUMMYFUNCTION("GOOGLETRANSLATE(B86, ""it"", ""en"")"),"What does a red flag raised by a judge indicate?")</f>
        <v>What does a red flag raised by a judge indicate?</v>
      </c>
      <c r="I86" s="3" t="str">
        <f>IFERROR(__xludf.DUMMYFUNCTION("GOOGLETRANSLATE(C86, ""it"", ""en"")"),"A. A point scored B. An infraction committed C. A change of ends D. The end of the set")</f>
        <v>A. A point scored B. An infraction committed C. A change of ends D. The end of the set</v>
      </c>
      <c r="J86" s="3" t="str">
        <f>IFERROR(__xludf.DUMMYFUNCTION("GOOGLETRANSLATE(D86, ""it"", ""en"")"),"An infringement committed")</f>
        <v>An infringement committed</v>
      </c>
      <c r="K86" s="3" t="str">
        <f>IFERROR(__xludf.DUMMYFUNCTION("GOOGLETRANSLATE(E86, ""it"", ""en"")"),"The red flag indicates an infringement.")</f>
        <v>The red flag indicates an infringement.</v>
      </c>
      <c r="L86" s="2"/>
      <c r="M86" s="2"/>
      <c r="N86" s="2"/>
      <c r="O86" s="2"/>
      <c r="P86" s="2"/>
      <c r="Q86" s="2"/>
      <c r="R86" s="2"/>
      <c r="S86" s="2"/>
      <c r="T86" s="2"/>
      <c r="U86" s="2"/>
      <c r="V86" s="2"/>
      <c r="W86" s="2"/>
    </row>
    <row r="87" ht="22.5" customHeight="1">
      <c r="A87" s="3">
        <v>86.0</v>
      </c>
      <c r="B87" s="3" t="s">
        <v>1467</v>
      </c>
      <c r="C87" s="3" t="s">
        <v>1468</v>
      </c>
      <c r="D87" s="3" t="s">
        <v>1469</v>
      </c>
      <c r="E87" s="3" t="s">
        <v>1470</v>
      </c>
      <c r="F87" s="2"/>
      <c r="G87" s="3" t="str">
        <f>IFERROR(__xludf.DUMMYFUNCTION("GOOGLETRANSLATE(A87, ""it"", ""en"")"),"86")</f>
        <v>86</v>
      </c>
      <c r="H87" s="3" t="str">
        <f>IFERROR(__xludf.DUMMYFUNCTION("GOOGLETRANSLATE(B87, ""it"", ""en"")"),"What should be done if the field becomes impassable?")</f>
        <v>What should be done if the field becomes impassable?</v>
      </c>
      <c r="I87" s="3" t="str">
        <f>IFERROR(__xludf.DUMMYFUNCTION("GOOGLETRANSLATE(C87, ""it"", ""en"")"),"A. Continue the game B. Stop the game temporarily C. Announce the winning team D. Move to another court")</f>
        <v>A. Continue the game B. Stop the game temporarily C. Announce the winning team D. Move to another court</v>
      </c>
      <c r="J87" s="3" t="str">
        <f>IFERROR(__xludf.DUMMYFUNCTION("GOOGLETRANSLATE(D87, ""it"", ""en"")"),"Pause the game temporarily")</f>
        <v>Pause the game temporarily</v>
      </c>
      <c r="K87" s="3" t="str">
        <f>IFERROR(__xludf.DUMMYFUNCTION("GOOGLETRANSLATE(E87, ""it"", ""en"")"),"Play stops if the pitch is unplayable.")</f>
        <v>Play stops if the pitch is unplayable.</v>
      </c>
      <c r="L87" s="2"/>
      <c r="M87" s="2"/>
      <c r="N87" s="2"/>
      <c r="O87" s="2"/>
      <c r="P87" s="2"/>
      <c r="Q87" s="2"/>
      <c r="R87" s="2"/>
      <c r="S87" s="2"/>
      <c r="T87" s="2"/>
      <c r="U87" s="2"/>
      <c r="V87" s="2"/>
      <c r="W87" s="2"/>
    </row>
    <row r="88" ht="22.5" customHeight="1">
      <c r="A88" s="3">
        <v>87.0</v>
      </c>
      <c r="B88" s="3" t="s">
        <v>1471</v>
      </c>
      <c r="C88" s="3" t="s">
        <v>1472</v>
      </c>
      <c r="D88" s="3" t="s">
        <v>1473</v>
      </c>
      <c r="E88" s="3" t="s">
        <v>1474</v>
      </c>
      <c r="F88" s="2"/>
      <c r="G88" s="3" t="str">
        <f>IFERROR(__xludf.DUMMYFUNCTION("GOOGLETRANSLATE(A88, ""it"", ""en"")"),"87")</f>
        <v>87</v>
      </c>
      <c r="H88" s="3" t="str">
        <f>IFERROR(__xludf.DUMMYFUNCTION("GOOGLETRANSLATE(B88, ""it"", ""en"")"),"How is the final score calculated in the event of a dropout?")</f>
        <v>How is the final score calculated in the event of a dropout?</v>
      </c>
      <c r="I88" s="3" t="str">
        <f>IFERROR(__xludf.DUMMYFUNCTION("GOOGLETRANSLATE(C88, ""it"", ""en"")"),"A. By awarding the victory to the other team B. By resetting the score to zero C. By comparing the points scored D. By considering the current advantage")</f>
        <v>A. By awarding the victory to the other team B. By resetting the score to zero C. By comparing the points scored D. By considering the current advantage</v>
      </c>
      <c r="J88" s="3" t="str">
        <f>IFERROR(__xludf.DUMMYFUNCTION("GOOGLETRANSLATE(D88, ""it"", ""en"")"),"Awarding the victory to the other team")</f>
        <v>Awarding the victory to the other team</v>
      </c>
      <c r="K88" s="3" t="str">
        <f>IFERROR(__xludf.DUMMYFUNCTION("GOOGLETRANSLATE(E88, ""it"", ""en"")"),"Abandonment gives victory to the opponent.")</f>
        <v>Abandonment gives victory to the opponent.</v>
      </c>
      <c r="L88" s="2"/>
      <c r="M88" s="2"/>
      <c r="N88" s="2"/>
      <c r="O88" s="2"/>
      <c r="P88" s="2"/>
      <c r="Q88" s="2"/>
      <c r="R88" s="2"/>
      <c r="S88" s="2"/>
      <c r="T88" s="2"/>
      <c r="U88" s="2"/>
      <c r="V88" s="2"/>
      <c r="W88" s="2"/>
    </row>
    <row r="89" ht="22.5" customHeight="1">
      <c r="A89" s="3">
        <v>88.0</v>
      </c>
      <c r="B89" s="3" t="s">
        <v>1475</v>
      </c>
      <c r="C89" s="3" t="s">
        <v>1476</v>
      </c>
      <c r="D89" s="3" t="s">
        <v>1332</v>
      </c>
      <c r="E89" s="3" t="s">
        <v>1477</v>
      </c>
      <c r="F89" s="2"/>
      <c r="G89" s="3" t="str">
        <f>IFERROR(__xludf.DUMMYFUNCTION("GOOGLETRANSLATE(A89, ""it"", ""en"")"),"88")</f>
        <v>88</v>
      </c>
      <c r="H89" s="3" t="str">
        <f>IFERROR(__xludf.DUMMYFUNCTION("GOOGLETRANSLATE(B89, ""it"", ""en"")"),"What is the best way to protect the bracelet?")</f>
        <v>What is the best way to protect the bracelet?</v>
      </c>
      <c r="I89" s="3" t="str">
        <f>IFERROR(__xludf.DUMMYFUNCTION("GOOGLETRANSLATE(C89, ""it"", ""en"")"),"A. Clean it regularly B. Store it in a case C. Do not use it on hard surfaces D. All of the above")</f>
        <v>A. Clean it regularly B. Store it in a case C. Do not use it on hard surfaces D. All of the above</v>
      </c>
      <c r="J89" s="3" t="str">
        <f>IFERROR(__xludf.DUMMYFUNCTION("GOOGLETRANSLATE(D89, ""it"", ""en"")"),"All of the above")</f>
        <v>All of the above</v>
      </c>
      <c r="K89" s="3" t="str">
        <f>IFERROR(__xludf.DUMMYFUNCTION("GOOGLETRANSLATE(E89, ""it"", ""en"")"),"Bracelet maintenance includes all these practices.")</f>
        <v>Bracelet maintenance includes all these practices.</v>
      </c>
      <c r="L89" s="2"/>
      <c r="M89" s="2"/>
      <c r="N89" s="2"/>
      <c r="O89" s="2"/>
      <c r="P89" s="2"/>
      <c r="Q89" s="2"/>
      <c r="R89" s="2"/>
      <c r="S89" s="2"/>
      <c r="T89" s="2"/>
      <c r="U89" s="2"/>
      <c r="V89" s="2"/>
      <c r="W89" s="2"/>
    </row>
    <row r="90" ht="22.5" customHeight="1">
      <c r="A90" s="3">
        <v>89.0</v>
      </c>
      <c r="B90" s="3" t="s">
        <v>1478</v>
      </c>
      <c r="C90" s="3" t="s">
        <v>1479</v>
      </c>
      <c r="D90" s="3" t="s">
        <v>1480</v>
      </c>
      <c r="E90" s="3" t="s">
        <v>1481</v>
      </c>
      <c r="F90" s="2"/>
      <c r="G90" s="3" t="str">
        <f>IFERROR(__xludf.DUMMYFUNCTION("GOOGLETRANSLATE(A90, ""it"", ""en"")"),"89")</f>
        <v>89</v>
      </c>
      <c r="H90" s="3" t="str">
        <f>IFERROR(__xludf.DUMMYFUNCTION("GOOGLETRANSLATE(B90, ""it"", ""en"")"),"What is meant by the “safe zone” of the camp?")</f>
        <v>What is meant by the “safe zone” of the camp?</v>
      </c>
      <c r="I90" s="3" t="str">
        <f>IFERROR(__xludf.DUMMYFUNCTION("GOOGLETRANSLATE(C90, ""it"", ""en"")"),"A. An area where the ball cannot be hit B. A warm-up area C. An area where players are not penalized D. An area outside the boundaries of the game")</f>
        <v>A. An area where the ball cannot be hit B. A warm-up area C. An area where players are not penalized D. An area outside the boundaries of the game</v>
      </c>
      <c r="J90" s="3" t="str">
        <f>IFERROR(__xludf.DUMMYFUNCTION("GOOGLETRANSLATE(D90, ""it"", ""en"")"),"An area where the ball cannot be hit")</f>
        <v>An area where the ball cannot be hit</v>
      </c>
      <c r="K90" s="3" t="str">
        <f>IFERROR(__xludf.DUMMYFUNCTION("GOOGLETRANSLATE(E90, ""it"", ""en"")"),"The “safe zone” is an area where the ball cannot be hit.")</f>
        <v>The “safe zone” is an area where the ball cannot be hit.</v>
      </c>
      <c r="L90" s="2"/>
      <c r="M90" s="2"/>
      <c r="N90" s="2"/>
      <c r="O90" s="2"/>
      <c r="P90" s="2"/>
      <c r="Q90" s="2"/>
      <c r="R90" s="2"/>
      <c r="S90" s="2"/>
      <c r="T90" s="2"/>
      <c r="U90" s="2"/>
      <c r="V90" s="2"/>
      <c r="W90" s="2"/>
    </row>
    <row r="91" ht="22.5" customHeight="1">
      <c r="A91" s="3">
        <v>90.0</v>
      </c>
      <c r="B91" s="3" t="s">
        <v>1482</v>
      </c>
      <c r="C91" s="3" t="s">
        <v>1483</v>
      </c>
      <c r="D91" s="3" t="s">
        <v>1484</v>
      </c>
      <c r="E91" s="3"/>
      <c r="F91" s="2"/>
      <c r="G91" s="3" t="str">
        <f>IFERROR(__xludf.DUMMYFUNCTION("GOOGLETRANSLATE(A91, ""it"", ""en"")"),"90")</f>
        <v>90</v>
      </c>
      <c r="H91" s="3" t="str">
        <f>IFERROR(__xludf.DUMMYFUNCTION("GOOGLETRANSLATE(B91, ""it"", ""en"")"),"What is the distinguishing feature of an exhibition match?")</f>
        <v>What is the distinguishing feature of an exhibition match?</v>
      </c>
      <c r="I91" s="3" t="str">
        <f>IFERROR(__xludf.DUMMYFUNCTION("GOOGLETRANSLATE(C91, ""it"", ""en"")"),"A. No points are awarded B. The game is played with simplified rules C. A smaller pitch is used D. Lighter balls are used")</f>
        <v>A. No points are awarded B. The game is played with simplified rules C. A smaller pitch is used D. Lighter balls are used</v>
      </c>
      <c r="J91" s="3" t="str">
        <f>IFERROR(__xludf.DUMMYFUNCTION("GOOGLETRANSLATE(D91, ""it"", ""en"")"),"It is played with")</f>
        <v>It is played with</v>
      </c>
      <c r="K91" s="3" t="str">
        <f>IFERROR(__xludf.DUMMYFUNCTION("GOOGLETRANSLATE(E91, ""it"", ""en"")"),"#VALUE!")</f>
        <v>#VALUE!</v>
      </c>
      <c r="L91" s="2"/>
      <c r="M91" s="2"/>
      <c r="N91" s="2"/>
      <c r="O91" s="2"/>
      <c r="P91" s="2"/>
      <c r="Q91" s="2"/>
      <c r="R91" s="2"/>
      <c r="S91" s="2"/>
      <c r="T91" s="2"/>
      <c r="U91" s="2"/>
      <c r="V91" s="2"/>
      <c r="W91" s="2"/>
    </row>
    <row r="92" ht="22.5" customHeight="1">
      <c r="A92" s="3">
        <v>91.0</v>
      </c>
      <c r="B92" s="3" t="s">
        <v>1485</v>
      </c>
      <c r="C92" s="3" t="s">
        <v>1486</v>
      </c>
      <c r="D92" s="3" t="s">
        <v>1487</v>
      </c>
      <c r="E92" s="3" t="s">
        <v>1488</v>
      </c>
      <c r="F92" s="2"/>
      <c r="G92" s="3" t="str">
        <f>IFERROR(__xludf.DUMMYFUNCTION("GOOGLETRANSLATE(A92, ""it"", ""en"")"),"91")</f>
        <v>91</v>
      </c>
      <c r="H92" s="3" t="str">
        <f>IFERROR(__xludf.DUMMYFUNCTION("GOOGLETRANSLATE(B92, ""it"", ""en"")"),"What does a “low blow” mean in Pallone col Bracciale?")</f>
        <v>What does a “low blow” mean in Pallone col Bracciale?</v>
      </c>
      <c r="I92" s="3" t="str">
        <f>IFERROR(__xludf.DUMMYFUNCTION("GOOGLETRANSLATE(C92, ""it"", ""en"")"),"A. A shot close to the ground B. A shot under the net C. A shot directly to the legs D. A shot with little force")</f>
        <v>A. A shot close to the ground B. A shot under the net C. A shot directly to the legs D. A shot with little force</v>
      </c>
      <c r="J92" s="3" t="str">
        <f>IFERROR(__xludf.DUMMYFUNCTION("GOOGLETRANSLATE(D92, ""it"", ""en"")"),"A shot close to the ground")</f>
        <v>A shot close to the ground</v>
      </c>
      <c r="K92" s="3" t="str">
        <f>IFERROR(__xludf.DUMMYFUNCTION("GOOGLETRANSLATE(E92, ""it"", ""en"")"),"A “low blow” is a blow that is kept close to the ground.")</f>
        <v>A “low blow” is a blow that is kept close to the ground.</v>
      </c>
      <c r="L92" s="2"/>
      <c r="M92" s="2"/>
      <c r="N92" s="2"/>
      <c r="O92" s="2"/>
      <c r="P92" s="2"/>
      <c r="Q92" s="2"/>
      <c r="R92" s="2"/>
      <c r="S92" s="2"/>
      <c r="T92" s="2"/>
      <c r="U92" s="2"/>
      <c r="V92" s="2"/>
      <c r="W92" s="2"/>
    </row>
    <row r="93" ht="22.5" customHeight="1">
      <c r="A93" s="3">
        <v>92.0</v>
      </c>
      <c r="B93" s="3" t="s">
        <v>1489</v>
      </c>
      <c r="C93" s="3" t="s">
        <v>1490</v>
      </c>
      <c r="D93" s="3" t="s">
        <v>1491</v>
      </c>
      <c r="E93" s="3" t="s">
        <v>1492</v>
      </c>
      <c r="F93" s="2"/>
      <c r="G93" s="3" t="str">
        <f>IFERROR(__xludf.DUMMYFUNCTION("GOOGLETRANSLATE(A93, ""it"", ""en"")"),"92")</f>
        <v>92</v>
      </c>
      <c r="H93" s="3" t="str">
        <f>IFERROR(__xludf.DUMMYFUNCTION("GOOGLETRANSLATE(B93, ""it"", ""en"")"),"What is meant by “line of respect”?")</f>
        <v>What is meant by “line of respect”?</v>
      </c>
      <c r="I93" s="3" t="str">
        <f>IFERROR(__xludf.DUMMYFUNCTION("GOOGLETRANSLATE(C93, ""it"", ""en"")"),"A. The line separating the teams B. The line indicating the safe area C. The line that players cannot cross during the service D. The centre line of the court")</f>
        <v>A. The line separating the teams B. The line indicating the safe area C. The line that players cannot cross during the service D. The centre line of the court</v>
      </c>
      <c r="J93" s="3" t="str">
        <f>IFERROR(__xludf.DUMMYFUNCTION("GOOGLETRANSLATE(D93, ""it"", ""en"")"),"The line that players cannot cross during service")</f>
        <v>The line that players cannot cross during service</v>
      </c>
      <c r="K93" s="3" t="str">
        <f>IFERROR(__xludf.DUMMYFUNCTION("GOOGLETRANSLATE(E93, ""it"", ""en"")"),"The “line of respect” delimits the service.")</f>
        <v>The “line of respect” delimits the service.</v>
      </c>
      <c r="L93" s="2"/>
      <c r="M93" s="2"/>
      <c r="N93" s="2"/>
      <c r="O93" s="2"/>
      <c r="P93" s="2"/>
      <c r="Q93" s="2"/>
      <c r="R93" s="2"/>
      <c r="S93" s="2"/>
      <c r="T93" s="2"/>
      <c r="U93" s="2"/>
      <c r="V93" s="2"/>
      <c r="W93" s="2"/>
    </row>
    <row r="94" ht="22.5" customHeight="1">
      <c r="A94" s="3">
        <v>93.0</v>
      </c>
      <c r="B94" s="3" t="s">
        <v>1493</v>
      </c>
      <c r="C94" s="3" t="s">
        <v>55</v>
      </c>
      <c r="D94" s="3">
        <v>3.0</v>
      </c>
      <c r="E94" s="3" t="s">
        <v>1494</v>
      </c>
      <c r="F94" s="2"/>
      <c r="G94" s="3" t="str">
        <f>IFERROR(__xludf.DUMMYFUNCTION("GOOGLETRANSLATE(A94, ""it"", ""en"")"),"93")</f>
        <v>93</v>
      </c>
      <c r="H94" s="3" t="str">
        <f>IFERROR(__xludf.DUMMYFUNCTION("GOOGLETRANSLATE(B94, ""it"", ""en"")"),"What is the maximum number of players per team in an official match?")</f>
        <v>What is the maximum number of players per team in an official match?</v>
      </c>
      <c r="I94" s="3" t="str">
        <f>IFERROR(__xludf.DUMMYFUNCTION("GOOGLETRANSLATE(C94, ""it"", ""en"")"),"A. 3 B. 4 C. 5 D. 6")</f>
        <v>A. 3 B. 4 C. 5 D. 6</v>
      </c>
      <c r="J94" s="3" t="str">
        <f>IFERROR(__xludf.DUMMYFUNCTION("GOOGLETRANSLATE(D94, ""it"", ""en"")"),"3")</f>
        <v>3</v>
      </c>
      <c r="K94" s="3" t="str">
        <f>IFERROR(__xludf.DUMMYFUNCTION("GOOGLETRANSLATE(E94, ""it"", ""en"")"),"Each team can have a maximum of 3 players on the field.")</f>
        <v>Each team can have a maximum of 3 players on the field.</v>
      </c>
      <c r="L94" s="2"/>
      <c r="M94" s="2"/>
      <c r="N94" s="2"/>
      <c r="O94" s="2"/>
      <c r="P94" s="2"/>
      <c r="Q94" s="2"/>
      <c r="R94" s="2"/>
      <c r="S94" s="2"/>
      <c r="T94" s="2"/>
      <c r="U94" s="2"/>
      <c r="V94" s="2"/>
      <c r="W94" s="2"/>
    </row>
    <row r="95" ht="22.5" customHeight="1">
      <c r="A95" s="3">
        <v>94.0</v>
      </c>
      <c r="B95" s="3" t="s">
        <v>1495</v>
      </c>
      <c r="C95" s="3" t="s">
        <v>1496</v>
      </c>
      <c r="D95" s="3" t="s">
        <v>1387</v>
      </c>
      <c r="E95" s="3" t="s">
        <v>1497</v>
      </c>
      <c r="F95" s="2"/>
      <c r="G95" s="3" t="str">
        <f>IFERROR(__xludf.DUMMYFUNCTION("GOOGLETRANSLATE(A95, ""it"", ""en"")"),"94")</f>
        <v>94</v>
      </c>
      <c r="H95" s="3" t="str">
        <f>IFERROR(__xludf.DUMMYFUNCTION("GOOGLETRANSLATE(B95, ""it"", ""en"")"),"What happens if a player voluntarily stops playing?")</f>
        <v>What happens if a player voluntarily stops playing?</v>
      </c>
      <c r="I95" s="3" t="str">
        <f>IFERROR(__xludf.DUMMYFUNCTION("GOOGLETRANSLATE(C95, ""it"", ""en"")"),"A. The point goes to the opponent B. He is cautioned C. He is sent off D. A replay of the point is awarded")</f>
        <v>A. The point goes to the opponent B. He is cautioned C. He is sent off D. A replay of the point is awarded</v>
      </c>
      <c r="J95" s="3" t="str">
        <f>IFERROR(__xludf.DUMMYFUNCTION("GOOGLETRANSLATE(D95, ""it"", ""en"")"),"The point goes to the opponent")</f>
        <v>The point goes to the opponent</v>
      </c>
      <c r="K95" s="3" t="str">
        <f>IFERROR(__xludf.DUMMYFUNCTION("GOOGLETRANSLATE(E95, ""it"", ""en"")"),"Stopping play automatically gives the point to the opponent.")</f>
        <v>Stopping play automatically gives the point to the opponent.</v>
      </c>
      <c r="L95" s="2"/>
      <c r="M95" s="2"/>
      <c r="N95" s="2"/>
      <c r="O95" s="2"/>
      <c r="P95" s="2"/>
      <c r="Q95" s="2"/>
      <c r="R95" s="2"/>
      <c r="S95" s="2"/>
      <c r="T95" s="2"/>
      <c r="U95" s="2"/>
      <c r="V95" s="2"/>
      <c r="W95" s="2"/>
    </row>
    <row r="96" ht="22.5" customHeight="1">
      <c r="A96" s="3">
        <v>95.0</v>
      </c>
      <c r="B96" s="3" t="s">
        <v>1498</v>
      </c>
      <c r="C96" s="3" t="s">
        <v>1499</v>
      </c>
      <c r="D96" s="3" t="s">
        <v>1500</v>
      </c>
      <c r="E96" s="3" t="s">
        <v>1501</v>
      </c>
      <c r="F96" s="2"/>
      <c r="G96" s="3" t="str">
        <f>IFERROR(__xludf.DUMMYFUNCTION("GOOGLETRANSLATE(A96, ""it"", ""en"")"),"95")</f>
        <v>95</v>
      </c>
      <c r="H96" s="3" t="str">
        <f>IFERROR(__xludf.DUMMYFUNCTION("GOOGLETRANSLATE(B96, ""it"", ""en"")"),"What is the term used to describe a shot that ends a set?")</f>
        <v>What is the term used to describe a shot that ends a set?</v>
      </c>
      <c r="I96" s="3" t="str">
        <f>IFERROR(__xludf.DUMMYFUNCTION("GOOGLETRANSLATE(C96, ""it"", ""en"")"),"A. Coup de grace B. Closing blow C. Master blow D. Decisive blow")</f>
        <v>A. Coup de grace B. Closing blow C. Master blow D. Decisive blow</v>
      </c>
      <c r="J96" s="3" t="str">
        <f>IFERROR(__xludf.DUMMYFUNCTION("GOOGLETRANSLATE(D96, ""it"", ""en"")"),"Closing shot")</f>
        <v>Closing shot</v>
      </c>
      <c r="K96" s="3" t="str">
        <f>IFERROR(__xludf.DUMMYFUNCTION("GOOGLETRANSLATE(E96, ""it"", ""en"")"),"A shot that ends a set is called a “closing shot.”")</f>
        <v>A shot that ends a set is called a “closing shot.”</v>
      </c>
      <c r="L96" s="2"/>
      <c r="M96" s="2"/>
      <c r="N96" s="2"/>
      <c r="O96" s="2"/>
      <c r="P96" s="2"/>
      <c r="Q96" s="2"/>
      <c r="R96" s="2"/>
      <c r="S96" s="2"/>
      <c r="T96" s="2"/>
      <c r="U96" s="2"/>
      <c r="V96" s="2"/>
      <c r="W96" s="2"/>
    </row>
    <row r="97" ht="22.5" customHeight="1">
      <c r="A97" s="3">
        <v>96.0</v>
      </c>
      <c r="B97" s="3" t="s">
        <v>1502</v>
      </c>
      <c r="C97" s="3" t="s">
        <v>1503</v>
      </c>
      <c r="D97" s="3" t="s">
        <v>1504</v>
      </c>
      <c r="E97" s="3" t="s">
        <v>1505</v>
      </c>
      <c r="F97" s="2"/>
      <c r="G97" s="3" t="str">
        <f>IFERROR(__xludf.DUMMYFUNCTION("GOOGLETRANSLATE(A97, ""it"", ""en"")"),"96")</f>
        <v>96</v>
      </c>
      <c r="H97" s="3" t="str">
        <f>IFERROR(__xludf.DUMMYFUNCTION("GOOGLETRANSLATE(B97, ""it"", ""en"")"),"What role does the team captain have?")</f>
        <v>What role does the team captain have?</v>
      </c>
      <c r="I97" s="3" t="str">
        <f>IFERROR(__xludf.DUMMYFUNCTION("GOOGLETRANSLATE(C97, ""it"", ""en"")"),"A. Making strategies during the game B. Only performing the main serve C. Deciding on substitutions during the game D. Protesting against referee decisions")</f>
        <v>A. Making strategies during the game B. Only performing the main serve C. Deciding on substitutions during the game D. Protesting against referee decisions</v>
      </c>
      <c r="J97" s="3" t="str">
        <f>IFERROR(__xludf.DUMMYFUNCTION("GOOGLETRANSLATE(D97, ""it"", ""en"")"),"Making strategies during the game")</f>
        <v>Making strategies during the game</v>
      </c>
      <c r="K97" s="3" t="str">
        <f>IFERROR(__xludf.DUMMYFUNCTION("GOOGLETRANSLATE(E97, ""it"", ""en"")"),"The captain leads the team and sets strategies.")</f>
        <v>The captain leads the team and sets strategies.</v>
      </c>
      <c r="L97" s="2"/>
      <c r="M97" s="2"/>
      <c r="N97" s="2"/>
      <c r="O97" s="2"/>
      <c r="P97" s="2"/>
      <c r="Q97" s="2"/>
      <c r="R97" s="2"/>
      <c r="S97" s="2"/>
      <c r="T97" s="2"/>
      <c r="U97" s="2"/>
      <c r="V97" s="2"/>
      <c r="W97" s="2"/>
    </row>
    <row r="98" ht="22.5" customHeight="1">
      <c r="A98" s="3">
        <v>97.0</v>
      </c>
      <c r="B98" s="3" t="s">
        <v>1506</v>
      </c>
      <c r="C98" s="3" t="s">
        <v>1507</v>
      </c>
      <c r="D98" s="3" t="s">
        <v>1508</v>
      </c>
      <c r="E98" s="3" t="s">
        <v>1509</v>
      </c>
      <c r="F98" s="2"/>
      <c r="G98" s="3" t="str">
        <f>IFERROR(__xludf.DUMMYFUNCTION("GOOGLETRANSLATE(A98, ""it"", ""en"")"),"97")</f>
        <v>97</v>
      </c>
      <c r="H98" s="3" t="str">
        <f>IFERROR(__xludf.DUMMYFUNCTION("GOOGLETRANSLATE(B98, ""it"", ""en"")"),"What should you do if the ball breaks during play?")</f>
        <v>What should you do if the ball breaks during play?</v>
      </c>
      <c r="I98" s="3" t="str">
        <f>IFERROR(__xludf.DUMMYFUNCTION("GOOGLETRANSLATE(C98, ""it"", ""en"")"),"A. Continue with a new ball B. Stop the game C. Award the point to the previous shot D. Restart the set")</f>
        <v>A. Continue with a new ball B. Stop the game C. Award the point to the previous shot D. Restart the set</v>
      </c>
      <c r="J98" s="3" t="str">
        <f>IFERROR(__xludf.DUMMYFUNCTION("GOOGLETRANSLATE(D98, ""it"", ""en"")"),"Continue with a new ball")</f>
        <v>Continue with a new ball</v>
      </c>
      <c r="K98" s="3" t="str">
        <f>IFERROR(__xludf.DUMMYFUNCTION("GOOGLETRANSLATE(E98, ""it"", ""en"")"),"A broken ball is replaced and play continues.")</f>
        <v>A broken ball is replaced and play continues.</v>
      </c>
      <c r="L98" s="2"/>
      <c r="M98" s="2"/>
      <c r="N98" s="2"/>
      <c r="O98" s="2"/>
      <c r="P98" s="2"/>
      <c r="Q98" s="2"/>
      <c r="R98" s="2"/>
      <c r="S98" s="2"/>
      <c r="T98" s="2"/>
      <c r="U98" s="2"/>
      <c r="V98" s="2"/>
      <c r="W98" s="2"/>
    </row>
    <row r="99" ht="22.5" customHeight="1">
      <c r="A99" s="3">
        <v>98.0</v>
      </c>
      <c r="B99" s="3" t="s">
        <v>1510</v>
      </c>
      <c r="C99" s="3" t="s">
        <v>1511</v>
      </c>
      <c r="D99" s="3" t="s">
        <v>1512</v>
      </c>
      <c r="E99" s="3" t="s">
        <v>1513</v>
      </c>
      <c r="F99" s="2"/>
      <c r="G99" s="3" t="str">
        <f>IFERROR(__xludf.DUMMYFUNCTION("GOOGLETRANSLATE(A99, ""it"", ""en"")"),"98")</f>
        <v>98</v>
      </c>
      <c r="H99" s="3" t="str">
        <f>IFERROR(__xludf.DUMMYFUNCTION("GOOGLETRANSLATE(B99, ""it"", ""en"")"),"How is the length of a set determined?")</f>
        <v>How is the length of a set determined?</v>
      </c>
      <c r="I99" s="3" t="str">
        <f>IFERROR(__xludf.DUMMYFUNCTION("GOOGLETRANSLATE(C99, ""it"", ""en"")"),"A. Based on a time limit B. Determining a fixed number of points C. Letting the game continue until exhaustion D. Establishing an agreement between the teams")</f>
        <v>A. Based on a time limit B. Determining a fixed number of points C. Letting the game continue until exhaustion D. Establishing an agreement between the teams</v>
      </c>
      <c r="J99" s="3" t="str">
        <f>IFERROR(__xludf.DUMMYFUNCTION("GOOGLETRANSLATE(D99, ""it"", ""en"")"),"Determining a fixed number of points")</f>
        <v>Determining a fixed number of points</v>
      </c>
      <c r="K99" s="3" t="str">
        <f>IFERROR(__xludf.DUMMYFUNCTION("GOOGLETRANSLATE(E99, ""it"", ""en"")"),"The length of a set is determined by the points to be achieved.")</f>
        <v>The length of a set is determined by the points to be achieved.</v>
      </c>
      <c r="L99" s="2"/>
      <c r="M99" s="2"/>
      <c r="N99" s="2"/>
      <c r="O99" s="2"/>
      <c r="P99" s="2"/>
      <c r="Q99" s="2"/>
      <c r="R99" s="2"/>
      <c r="S99" s="2"/>
      <c r="T99" s="2"/>
      <c r="U99" s="2"/>
      <c r="V99" s="2"/>
      <c r="W99" s="2"/>
    </row>
    <row r="100" ht="22.5" customHeight="1">
      <c r="A100" s="3">
        <v>99.0</v>
      </c>
      <c r="B100" s="3" t="s">
        <v>1514</v>
      </c>
      <c r="C100" s="3" t="s">
        <v>1515</v>
      </c>
      <c r="D100" s="3" t="s">
        <v>1516</v>
      </c>
      <c r="E100" s="3" t="s">
        <v>1517</v>
      </c>
      <c r="F100" s="2"/>
      <c r="G100" s="3" t="str">
        <f>IFERROR(__xludf.DUMMYFUNCTION("GOOGLETRANSLATE(A100, ""it"", ""en"")"),"99")</f>
        <v>99</v>
      </c>
      <c r="H100" s="3" t="str">
        <f>IFERROR(__xludf.DUMMYFUNCTION("GOOGLETRANSLATE(B100, ""it"", ""en"")"),"What is meant by “oversized ball”?")</f>
        <v>What is meant by “oversized ball”?</v>
      </c>
      <c r="I100" s="3" t="str">
        <f>IFERROR(__xludf.DUMMYFUNCTION("GOOGLETRANSLATE(C100, ""it"", ""en"")"),"A. A ball with irregular dimensions B. A ball that is too heavy C. A ball not approved by the referee D. A ball out of bounds")</f>
        <v>A. A ball with irregular dimensions B. A ball that is too heavy C. A ball not approved by the referee D. A ball out of bounds</v>
      </c>
      <c r="J100" s="3" t="str">
        <f>IFERROR(__xludf.DUMMYFUNCTION("GOOGLETRANSLATE(D100, ""it"", ""en"")"),"A ball with irregular dimensions")</f>
        <v>A ball with irregular dimensions</v>
      </c>
      <c r="K100" s="3" t="str">
        <f>IFERROR(__xludf.DUMMYFUNCTION("GOOGLETRANSLATE(E100, ""it"", ""en"")"),"An “oversized ball” does not comply with the regulation dimensions.")</f>
        <v>An “oversized ball” does not comply with the regulation dimensions.</v>
      </c>
      <c r="L100" s="2"/>
      <c r="M100" s="2"/>
      <c r="N100" s="2"/>
      <c r="O100" s="2"/>
      <c r="P100" s="2"/>
      <c r="Q100" s="2"/>
      <c r="R100" s="2"/>
      <c r="S100" s="2"/>
      <c r="T100" s="2"/>
      <c r="U100" s="2"/>
      <c r="V100" s="2"/>
      <c r="W100" s="2"/>
    </row>
    <row r="101" ht="22.5" customHeight="1">
      <c r="A101" s="3">
        <v>100.0</v>
      </c>
      <c r="B101" s="3" t="s">
        <v>1518</v>
      </c>
      <c r="C101" s="3" t="s">
        <v>1519</v>
      </c>
      <c r="D101" s="3" t="s">
        <v>1520</v>
      </c>
      <c r="E101" s="3" t="s">
        <v>1521</v>
      </c>
      <c r="F101" s="2"/>
      <c r="G101" s="3" t="str">
        <f>IFERROR(__xludf.DUMMYFUNCTION("GOOGLETRANSLATE(A101, ""it"", ""en"")"),"100")</f>
        <v>100</v>
      </c>
      <c r="H101" s="3" t="str">
        <f>IFERROR(__xludf.DUMMYFUNCTION("GOOGLETRANSLATE(B101, ""it"", ""en"")"),"What is a player's starting position when serving?")</f>
        <v>What is a player's starting position when serving?</v>
      </c>
      <c r="I101" s="3" t="str">
        <f>IFERROR(__xludf.DUMMYFUNCTION("GOOGLETRANSLATE(C101, ""it"", ""en"")"),"A. Near the net B. On the baseline C. On the service line D. In the center of the court")</f>
        <v>A. Near the net B. On the baseline C. On the service line D. In the center of the court</v>
      </c>
      <c r="J101" s="3" t="str">
        <f>IFERROR(__xludf.DUMMYFUNCTION("GOOGLETRANSLATE(D101, ""it"", ""en"")"),"On the service line")</f>
        <v>On the service line</v>
      </c>
      <c r="K101" s="3" t="str">
        <f>IFERROR(__xludf.DUMMYFUNCTION("GOOGLETRANSLATE(E101, ""it"", ""en"")"),"The service is carried out starting from the service line.")</f>
        <v>The service is carried out starting from the service line.</v>
      </c>
      <c r="L101" s="2"/>
      <c r="M101" s="2"/>
      <c r="N101" s="2"/>
      <c r="O101" s="2"/>
      <c r="P101" s="2"/>
      <c r="Q101" s="2"/>
      <c r="R101" s="2"/>
      <c r="S101" s="2"/>
      <c r="T101" s="2"/>
      <c r="U101" s="2"/>
      <c r="V101" s="2"/>
      <c r="W101" s="2"/>
    </row>
    <row r="102" ht="22.5" customHeight="1">
      <c r="A102" s="3">
        <v>101.0</v>
      </c>
      <c r="B102" s="3" t="s">
        <v>1522</v>
      </c>
      <c r="C102" s="3" t="s">
        <v>1523</v>
      </c>
      <c r="D102" s="3" t="s">
        <v>1524</v>
      </c>
      <c r="E102" s="3" t="s">
        <v>1525</v>
      </c>
      <c r="F102" s="2"/>
      <c r="G102" s="3" t="str">
        <f>IFERROR(__xludf.DUMMYFUNCTION("GOOGLETRANSLATE(A102, ""it"", ""en"")"),"101")</f>
        <v>101</v>
      </c>
      <c r="H102" s="3" t="str">
        <f>IFERROR(__xludf.DUMMYFUNCTION("GOOGLETRANSLATE(B102, ""it"", ""en"")"),"What does a green flag raised by the linesman indicate?")</f>
        <v>What does a green flag raised by the linesman indicate?</v>
      </c>
      <c r="I102" s="3" t="str">
        <f>IFERROR(__xludf.DUMMYFUNCTION("GOOGLETRANSLATE(C102, ""it"", ""en"")"),"A. A point scored B. A foul committed C. A call for attention D. A valid hit")</f>
        <v>A. A point scored B. A foul committed C. A call for attention D. A valid hit</v>
      </c>
      <c r="J102" s="3" t="str">
        <f>IFERROR(__xludf.DUMMYFUNCTION("GOOGLETRANSLATE(D102, ""it"", ""en"")"),"A valid shot")</f>
        <v>A valid shot</v>
      </c>
      <c r="K102" s="3" t="str">
        <f>IFERROR(__xludf.DUMMYFUNCTION("GOOGLETRANSLATE(E102, ""it"", ""en"")"),"The green flag indicates that the shot is valid.")</f>
        <v>The green flag indicates that the shot is valid.</v>
      </c>
      <c r="L102" s="2"/>
      <c r="M102" s="2"/>
      <c r="N102" s="2"/>
      <c r="O102" s="2"/>
      <c r="P102" s="2"/>
      <c r="Q102" s="2"/>
      <c r="R102" s="2"/>
      <c r="S102" s="2"/>
      <c r="T102" s="2"/>
      <c r="U102" s="2"/>
      <c r="V102" s="2"/>
      <c r="W102" s="2"/>
    </row>
    <row r="103" ht="22.5" customHeight="1">
      <c r="A103" s="3">
        <v>102.0</v>
      </c>
      <c r="B103" s="3" t="s">
        <v>1526</v>
      </c>
      <c r="C103" s="3" t="s">
        <v>1527</v>
      </c>
      <c r="D103" s="3" t="s">
        <v>1332</v>
      </c>
      <c r="E103" s="3" t="s">
        <v>1528</v>
      </c>
      <c r="F103" s="2"/>
      <c r="G103" s="3" t="str">
        <f>IFERROR(__xludf.DUMMYFUNCTION("GOOGLETRANSLATE(A103, ""it"", ""en"")"),"102")</f>
        <v>102</v>
      </c>
      <c r="H103" s="3" t="str">
        <f>IFERROR(__xludf.DUMMYFUNCTION("GOOGLETRANSLATE(B103, ""it"", ""en"")"),"How can you prevent an injury during a game?")</f>
        <v>How can you prevent an injury during a game?</v>
      </c>
      <c r="I103" s="3" t="str">
        <f>IFERROR(__xludf.DUMMYFUNCTION("GOOGLETRANSLATE(C103, ""it"", ""en"")"),"A. Warming up properly B. Using adequate protection C. Training regularly D. All of the above")</f>
        <v>A. Warming up properly B. Using adequate protection C. Training regularly D. All of the above</v>
      </c>
      <c r="J103" s="3" t="str">
        <f>IFERROR(__xludf.DUMMYFUNCTION("GOOGLETRANSLATE(D103, ""it"", ""en"")"),"All of the above")</f>
        <v>All of the above</v>
      </c>
      <c r="K103" s="3" t="str">
        <f>IFERROR(__xludf.DUMMYFUNCTION("GOOGLETRANSLATE(E103, ""it"", ""en"")"),"Injury prevention requires a combination of practices.")</f>
        <v>Injury prevention requires a combination of practices.</v>
      </c>
      <c r="L103" s="2"/>
      <c r="M103" s="2"/>
      <c r="N103" s="2"/>
      <c r="O103" s="2"/>
      <c r="P103" s="2"/>
      <c r="Q103" s="2"/>
      <c r="R103" s="2"/>
      <c r="S103" s="2"/>
      <c r="T103" s="2"/>
      <c r="U103" s="2"/>
      <c r="V103" s="2"/>
      <c r="W103" s="2"/>
    </row>
    <row r="104" ht="22.5" customHeight="1">
      <c r="A104" s="3">
        <v>103.0</v>
      </c>
      <c r="B104" s="3" t="s">
        <v>1529</v>
      </c>
      <c r="C104" s="3" t="s">
        <v>1530</v>
      </c>
      <c r="D104" s="3" t="s">
        <v>1387</v>
      </c>
      <c r="E104" s="3" t="s">
        <v>1531</v>
      </c>
      <c r="F104" s="2"/>
      <c r="G104" s="3" t="str">
        <f>IFERROR(__xludf.DUMMYFUNCTION("GOOGLETRANSLATE(A104, ""it"", ""en"")"),"103")</f>
        <v>103</v>
      </c>
      <c r="H104" s="3" t="str">
        <f>IFERROR(__xludf.DUMMYFUNCTION("GOOGLETRANSLATE(B104, ""it"", ""en"")"),"What happens if a player hits the ball twice in a row?")</f>
        <v>What happens if a player hits the ball twice in a row?</v>
      </c>
      <c r="I104" s="3" t="str">
        <f>IFERROR(__xludf.DUMMYFUNCTION("GOOGLETRANSLATE(C104, ""it"", ""en"")"),"A. The shot is valid B. The point goes to the opponent C. The shot is repeated D. A warning is given")</f>
        <v>A. The shot is valid B. The point goes to the opponent C. The shot is repeated D. A warning is given</v>
      </c>
      <c r="J104" s="3" t="str">
        <f>IFERROR(__xludf.DUMMYFUNCTION("GOOGLETRANSLATE(D104, ""it"", ""en"")"),"The point goes to the opponent")</f>
        <v>The point goes to the opponent</v>
      </c>
      <c r="K104" s="3" t="str">
        <f>IFERROR(__xludf.DUMMYFUNCTION("GOOGLETRANSLATE(E104, ""it"", ""en"")"),"A double hit gives the opponent the point.")</f>
        <v>A double hit gives the opponent the point.</v>
      </c>
      <c r="L104" s="2"/>
      <c r="M104" s="2"/>
      <c r="N104" s="2"/>
      <c r="O104" s="2"/>
      <c r="P104" s="2"/>
      <c r="Q104" s="2"/>
      <c r="R104" s="2"/>
      <c r="S104" s="2"/>
      <c r="T104" s="2"/>
      <c r="U104" s="2"/>
      <c r="V104" s="2"/>
      <c r="W104" s="2"/>
    </row>
    <row r="105" ht="22.5" customHeight="1">
      <c r="A105" s="3">
        <v>104.0</v>
      </c>
      <c r="B105" s="3" t="s">
        <v>1532</v>
      </c>
      <c r="C105" s="3" t="s">
        <v>1533</v>
      </c>
      <c r="D105" s="3" t="s">
        <v>1534</v>
      </c>
      <c r="E105" s="3" t="s">
        <v>1535</v>
      </c>
      <c r="F105" s="2"/>
      <c r="G105" s="3" t="str">
        <f>IFERROR(__xludf.DUMMYFUNCTION("GOOGLETRANSLATE(A105, ""it"", ""en"")"),"104")</f>
        <v>104</v>
      </c>
      <c r="H105" s="3" t="str">
        <f>IFERROR(__xludf.DUMMYFUNCTION("GOOGLETRANSLATE(B105, ""it"", ""en"")"),"What is an “unforced error”?")</f>
        <v>What is an “unforced error”?</v>
      </c>
      <c r="I105" s="3" t="str">
        <f>IFERROR(__xludf.DUMMYFUNCTION("GOOGLETRANSLATE(C105, ""it"", ""en"")"),"A. An error caused by pressure from the opponent B. An error committed without outside interference C. An error due to court conditions D. An error that causes a replay of the point")</f>
        <v>A. An error caused by pressure from the opponent B. An error committed without outside interference C. An error due to court conditions D. An error that causes a replay of the point</v>
      </c>
      <c r="J105" s="3" t="str">
        <f>IFERROR(__xludf.DUMMYFUNCTION("GOOGLETRANSLATE(D105, ""it"", ""en"")"),"A mistake made without outside interference")</f>
        <v>A mistake made without outside interference</v>
      </c>
      <c r="K105" s="3" t="str">
        <f>IFERROR(__xludf.DUMMYFUNCTION("GOOGLETRANSLATE(E105, ""it"", ""en"")"),"An unforced error is a preventable error.")</f>
        <v>An unforced error is a preventable error.</v>
      </c>
      <c r="L105" s="2"/>
      <c r="M105" s="2"/>
      <c r="N105" s="2"/>
      <c r="O105" s="2"/>
      <c r="P105" s="2"/>
      <c r="Q105" s="2"/>
      <c r="R105" s="2"/>
      <c r="S105" s="2"/>
      <c r="T105" s="2"/>
      <c r="U105" s="2"/>
      <c r="V105" s="2"/>
      <c r="W105" s="2"/>
    </row>
    <row r="106" ht="22.5" customHeight="1">
      <c r="A106" s="3">
        <v>105.0</v>
      </c>
      <c r="B106" s="3" t="s">
        <v>1536</v>
      </c>
      <c r="C106" s="3" t="s">
        <v>1537</v>
      </c>
      <c r="D106" s="3" t="s">
        <v>1538</v>
      </c>
      <c r="E106" s="3" t="s">
        <v>1539</v>
      </c>
      <c r="F106" s="2"/>
      <c r="G106" s="3" t="str">
        <f>IFERROR(__xludf.DUMMYFUNCTION("GOOGLETRANSLATE(A106, ""it"", ""en"")"),"105")</f>
        <v>105</v>
      </c>
      <c r="H106" s="3" t="str">
        <f>IFERROR(__xludf.DUMMYFUNCTION("GOOGLETRANSLATE(B106, ""it"", ""en"")"),"What is meant by “advantage” in a set?")</f>
        <v>What is meant by “advantage” in a set?</v>
      </c>
      <c r="I106" s="3" t="str">
        <f>IFERROR(__xludf.DUMMYFUNCTION("GOOGLETRANSLATE(C106, ""it"", ""en"")"),"A. A team dominating the game B. A margin of at least 2 points C. A spectacular shot D. An opponent's foul")</f>
        <v>A. A team dominating the game B. A margin of at least 2 points C. A spectacular shot D. An opponent's foul</v>
      </c>
      <c r="J106" s="3" t="str">
        <f>IFERROR(__xludf.DUMMYFUNCTION("GOOGLETRANSLATE(D106, ""it"", ""en"")"),"A margin of at least 2 points")</f>
        <v>A margin of at least 2 points</v>
      </c>
      <c r="K106" s="3" t="str">
        <f>IFERROR(__xludf.DUMMYFUNCTION("GOOGLETRANSLATE(E106, ""it"", ""en"")"),"The lead implies a gap of 2 points.")</f>
        <v>The lead implies a gap of 2 points.</v>
      </c>
      <c r="L106" s="2"/>
      <c r="M106" s="2"/>
      <c r="N106" s="2"/>
      <c r="O106" s="2"/>
      <c r="P106" s="2"/>
      <c r="Q106" s="2"/>
      <c r="R106" s="2"/>
      <c r="S106" s="2"/>
      <c r="T106" s="2"/>
      <c r="U106" s="2"/>
      <c r="V106" s="2"/>
      <c r="W106" s="2"/>
    </row>
    <row r="107" ht="22.5" customHeight="1">
      <c r="A107" s="3">
        <v>106.0</v>
      </c>
      <c r="B107" s="3" t="s">
        <v>1540</v>
      </c>
      <c r="C107" s="3" t="s">
        <v>1541</v>
      </c>
      <c r="D107" s="3" t="s">
        <v>1542</v>
      </c>
      <c r="E107" s="3" t="s">
        <v>1543</v>
      </c>
      <c r="F107" s="2"/>
      <c r="G107" s="3" t="str">
        <f>IFERROR(__xludf.DUMMYFUNCTION("GOOGLETRANSLATE(A107, ""it"", ""en"")"),"106")</f>
        <v>106</v>
      </c>
      <c r="H107" s="3" t="str">
        <f>IFERROR(__xludf.DUMMYFUNCTION("GOOGLETRANSLATE(B107, ""it"", ""en"")"),"What should a player do if the ball is difficult to reach?")</f>
        <v>What should a player do if the ball is difficult to reach?</v>
      </c>
      <c r="I107" s="3" t="str">
        <f>IFERROR(__xludf.DUMMYFUNCTION("GOOGLETRANSLATE(C107, ""it"", ""en"")"),"A. Ask for a rematch B. Try to hit him anyway C. Give up the hit D. Signal to the referee")</f>
        <v>A. Ask for a rematch B. Try to hit him anyway C. Give up the hit D. Signal to the referee</v>
      </c>
      <c r="J107" s="3" t="str">
        <f>IFERROR(__xludf.DUMMYFUNCTION("GOOGLETRANSLATE(D107, ""it"", ""en"")"),"Try to hit him anyway")</f>
        <v>Try to hit him anyway</v>
      </c>
      <c r="K107" s="3" t="str">
        <f>IFERROR(__xludf.DUMMYFUNCTION("GOOGLETRANSLATE(E107, ""it"", ""en"")"),"A player must always try to hit the ball.")</f>
        <v>A player must always try to hit the ball.</v>
      </c>
      <c r="L107" s="2"/>
      <c r="M107" s="2"/>
      <c r="N107" s="2"/>
      <c r="O107" s="2"/>
      <c r="P107" s="2"/>
      <c r="Q107" s="2"/>
      <c r="R107" s="2"/>
      <c r="S107" s="2"/>
      <c r="T107" s="2"/>
      <c r="U107" s="2"/>
      <c r="V107" s="2"/>
      <c r="W107" s="2"/>
    </row>
    <row r="108" ht="22.5" customHeight="1">
      <c r="A108" s="3">
        <v>107.0</v>
      </c>
      <c r="B108" s="3" t="s">
        <v>1544</v>
      </c>
      <c r="C108" s="3" t="s">
        <v>1545</v>
      </c>
      <c r="D108" s="3" t="s">
        <v>1546</v>
      </c>
      <c r="E108" s="3" t="s">
        <v>1547</v>
      </c>
      <c r="F108" s="2"/>
      <c r="G108" s="3" t="str">
        <f>IFERROR(__xludf.DUMMYFUNCTION("GOOGLETRANSLATE(A108, ""it"", ""en"")"),"107")</f>
        <v>107</v>
      </c>
      <c r="H108" s="3" t="str">
        <f>IFERROR(__xludf.DUMMYFUNCTION("GOOGLETRANSLATE(B108, ""it"", ""en"")"),"What happens if both teams foul at the same time?")</f>
        <v>What happens if both teams foul at the same time?</v>
      </c>
      <c r="I108" s="3" t="str">
        <f>IFERROR(__xludf.DUMMYFUNCTION("GOOGLETRANSLATE(C108, ""it"", ""en"")"),"A. The point is retaken B. The point goes to the team in advantage C. A double fault is awarded D. The point is disallowed")</f>
        <v>A. The point is retaken B. The point goes to the team in advantage C. A double fault is awarded D. The point is disallowed</v>
      </c>
      <c r="J108" s="3" t="str">
        <f>IFERROR(__xludf.DUMMYFUNCTION("GOOGLETRANSLATE(D108, ""it"", ""en"")"),"The point is repeated")</f>
        <v>The point is repeated</v>
      </c>
      <c r="K108" s="3" t="str">
        <f>IFERROR(__xludf.DUMMYFUNCTION("GOOGLETRANSLATE(E108, ""it"", ""en"")"),"A double fault results in a replay of the point.")</f>
        <v>A double fault results in a replay of the point.</v>
      </c>
      <c r="L108" s="2"/>
      <c r="M108" s="2"/>
      <c r="N108" s="2"/>
      <c r="O108" s="2"/>
      <c r="P108" s="2"/>
      <c r="Q108" s="2"/>
      <c r="R108" s="2"/>
      <c r="S108" s="2"/>
      <c r="T108" s="2"/>
      <c r="U108" s="2"/>
      <c r="V108" s="2"/>
      <c r="W108" s="2"/>
    </row>
    <row r="109" ht="22.5" customHeight="1">
      <c r="A109" s="3">
        <v>108.0</v>
      </c>
      <c r="B109" s="3" t="s">
        <v>1548</v>
      </c>
      <c r="C109" s="3" t="s">
        <v>1549</v>
      </c>
      <c r="D109" s="3" t="s">
        <v>1550</v>
      </c>
      <c r="E109" s="3" t="s">
        <v>1551</v>
      </c>
      <c r="F109" s="2"/>
      <c r="G109" s="3" t="str">
        <f>IFERROR(__xludf.DUMMYFUNCTION("GOOGLETRANSLATE(A109, ""it"", ""en"")"),"108")</f>
        <v>108</v>
      </c>
      <c r="H109" s="3" t="str">
        <f>IFERROR(__xludf.DUMMYFUNCTION("GOOGLETRANSLATE(B109, ""it"", ""en"")"),"What does “ball in play” mean?")</f>
        <v>What does “ball in play” mean?</v>
      </c>
      <c r="I109" s="3" t="str">
        <f>IFERROR(__xludf.DUMMYFUNCTION("GOOGLETRANSLATE(C109, ""it"", ""en"")"),"A. A valid and moving ball B. A ball not yet served C. A ball that does not touch the ground D. A ball out of bounds")</f>
        <v>A. A valid and moving ball B. A ball not yet served C. A ball that does not touch the ground D. A ball out of bounds</v>
      </c>
      <c r="J109" s="3" t="str">
        <f>IFERROR(__xludf.DUMMYFUNCTION("GOOGLETRANSLATE(D109, ""it"", ""en"")"),"A good, moving ball")</f>
        <v>A good, moving ball</v>
      </c>
      <c r="K109" s="3" t="str">
        <f>IFERROR(__xludf.DUMMYFUNCTION("GOOGLETRANSLATE(E109, ""it"", ""en"")"),"A ball is in play when it is legal and in motion.")</f>
        <v>A ball is in play when it is legal and in motion.</v>
      </c>
      <c r="L109" s="2"/>
      <c r="M109" s="2"/>
      <c r="N109" s="2"/>
      <c r="O109" s="2"/>
      <c r="P109" s="2"/>
      <c r="Q109" s="2"/>
      <c r="R109" s="2"/>
      <c r="S109" s="2"/>
      <c r="T109" s="2"/>
      <c r="U109" s="2"/>
      <c r="V109" s="2"/>
      <c r="W109" s="2"/>
    </row>
    <row r="110" ht="22.5" customHeight="1">
      <c r="A110" s="3">
        <v>109.0</v>
      </c>
      <c r="B110" s="3" t="s">
        <v>1552</v>
      </c>
      <c r="C110" s="3" t="s">
        <v>1553</v>
      </c>
      <c r="D110" s="3" t="s">
        <v>1554</v>
      </c>
      <c r="E110" s="3" t="s">
        <v>1555</v>
      </c>
      <c r="F110" s="2"/>
      <c r="G110" s="3" t="str">
        <f>IFERROR(__xludf.DUMMYFUNCTION("GOOGLETRANSLATE(A110, ""it"", ""en"")"),"109")</f>
        <v>109</v>
      </c>
      <c r="H110" s="3" t="str">
        <f>IFERROR(__xludf.DUMMYFUNCTION("GOOGLETRANSLATE(B110, ""it"", ""en"")"),"What does a ball bouncing twice on the court indicate?")</f>
        <v>What does a ball bouncing twice on the court indicate?</v>
      </c>
      <c r="I110" s="3" t="str">
        <f>IFERROR(__xludf.DUMMYFUNCTION("GOOGLETRANSLATE(C110, ""it"", ""en"")"),"A. A disallowed shot B. A point for the opponent C. A technical foul D. A replay of the shot")</f>
        <v>A. A disallowed shot B. A point for the opponent C. A technical foul D. A replay of the shot</v>
      </c>
      <c r="J110" s="3" t="str">
        <f>IFERROR(__xludf.DUMMYFUNCTION("GOOGLETRANSLATE(D110, ""it"", ""en"")"),"A point for the opponent")</f>
        <v>A point for the opponent</v>
      </c>
      <c r="K110" s="3" t="str">
        <f>IFERROR(__xludf.DUMMYFUNCTION("GOOGLETRANSLATE(E110, ""it"", ""en"")"),"Two rebounds award the point to the opponent.")</f>
        <v>Two rebounds award the point to the opponent.</v>
      </c>
      <c r="L110" s="2"/>
      <c r="M110" s="2"/>
      <c r="N110" s="2"/>
      <c r="O110" s="2"/>
      <c r="P110" s="2"/>
      <c r="Q110" s="2"/>
      <c r="R110" s="2"/>
      <c r="S110" s="2"/>
      <c r="T110" s="2"/>
      <c r="U110" s="2"/>
      <c r="V110" s="2"/>
      <c r="W110" s="2"/>
    </row>
    <row r="111" ht="22.5" customHeight="1">
      <c r="A111" s="3">
        <v>110.0</v>
      </c>
      <c r="B111" s="3" t="s">
        <v>1556</v>
      </c>
      <c r="C111" s="3" t="s">
        <v>1557</v>
      </c>
      <c r="D111" s="3" t="s">
        <v>1332</v>
      </c>
      <c r="E111" s="3" t="s">
        <v>1558</v>
      </c>
      <c r="F111" s="2"/>
      <c r="G111" s="3" t="str">
        <f>IFERROR(__xludf.DUMMYFUNCTION("GOOGLETRANSLATE(A111, ""it"", ""en"")"),"110")</f>
        <v>110</v>
      </c>
      <c r="H111" s="3" t="str">
        <f>IFERROR(__xludf.DUMMYFUNCTION("GOOGLETRANSLATE(B111, ""it"", ""en"")"),"How is the winning team rewarded?")</f>
        <v>How is the winning team rewarded?</v>
      </c>
      <c r="I111" s="3" t="str">
        <f>IFERROR(__xludf.DUMMYFUNCTION("GOOGLETRANSLATE(C111, ""it"", ""en"")"),"A. With a trophy B. With a sum of money C. With medals D. All of the above")</f>
        <v>A. With a trophy B. With a sum of money C. With medals D. All of the above</v>
      </c>
      <c r="J111" s="3" t="str">
        <f>IFERROR(__xludf.DUMMYFUNCTION("GOOGLETRANSLATE(D111, ""it"", ""en"")"),"All of the above")</f>
        <v>All of the above</v>
      </c>
      <c r="K111" s="3" t="str">
        <f>IFERROR(__xludf.DUMMYFUNCTION("GOOGLETRANSLATE(E111, ""it"", ""en"")"),"Winning teams can receive trophies")</f>
        <v>Winning teams can receive trophies</v>
      </c>
      <c r="L111" s="2"/>
      <c r="M111" s="2"/>
      <c r="N111" s="2"/>
      <c r="O111" s="2"/>
      <c r="P111" s="2"/>
      <c r="Q111" s="2"/>
      <c r="R111" s="2"/>
      <c r="S111" s="2"/>
      <c r="T111" s="2"/>
      <c r="U111" s="2"/>
      <c r="V111" s="2"/>
      <c r="W111" s="2"/>
    </row>
    <row r="112" ht="22.5" customHeight="1">
      <c r="A112" s="3">
        <v>111.0</v>
      </c>
      <c r="B112" s="3" t="s">
        <v>1559</v>
      </c>
      <c r="C112" s="3" t="s">
        <v>1560</v>
      </c>
      <c r="D112" s="3" t="s">
        <v>1332</v>
      </c>
      <c r="E112" s="3" t="s">
        <v>1561</v>
      </c>
      <c r="F112" s="2"/>
      <c r="G112" s="3" t="str">
        <f>IFERROR(__xludf.DUMMYFUNCTION("GOOGLETRANSLATE(A112, ""it"", ""en"")"),"111")</f>
        <v>111</v>
      </c>
      <c r="H112" s="3" t="str">
        <f>IFERROR(__xludf.DUMMYFUNCTION("GOOGLETRANSLATE(B112, ""it"", ""en"")"),"What is the importance of communication between teammates?")</f>
        <v>What is the importance of communication between teammates?</v>
      </c>
      <c r="I112" s="3" t="str">
        <f>IFERROR(__xludf.DUMMYFUNCTION("GOOGLETRANSLATE(C112, ""it"", ""en"")"),"A. Avoid collisions B. Make the game smoother C. Coordinate for strategic shots D. All of the above")</f>
        <v>A. Avoid collisions B. Make the game smoother C. Coordinate for strategic shots D. All of the above</v>
      </c>
      <c r="J112" s="3" t="str">
        <f>IFERROR(__xludf.DUMMYFUNCTION("GOOGLETRANSLATE(D112, ""it"", ""en"")"),"All of the above")</f>
        <v>All of the above</v>
      </c>
      <c r="K112" s="3" t="str">
        <f>IFERROR(__xludf.DUMMYFUNCTION("GOOGLETRANSLATE(E112, ""it"", ""en"")"),"Communication is essential to strategy and security.")</f>
        <v>Communication is essential to strategy and security.</v>
      </c>
      <c r="L112" s="2"/>
      <c r="M112" s="2"/>
      <c r="N112" s="2"/>
      <c r="O112" s="2"/>
      <c r="P112" s="2"/>
      <c r="Q112" s="2"/>
      <c r="R112" s="2"/>
      <c r="S112" s="2"/>
      <c r="T112" s="2"/>
      <c r="U112" s="2"/>
      <c r="V112" s="2"/>
      <c r="W112" s="2"/>
    </row>
    <row r="113" ht="22.5" customHeight="1">
      <c r="A113" s="3">
        <v>112.0</v>
      </c>
      <c r="B113" s="3" t="s">
        <v>1562</v>
      </c>
      <c r="C113" s="3" t="s">
        <v>1563</v>
      </c>
      <c r="D113" s="3" t="s">
        <v>1564</v>
      </c>
      <c r="E113" s="3" t="s">
        <v>1565</v>
      </c>
      <c r="F113" s="2"/>
      <c r="G113" s="3" t="str">
        <f>IFERROR(__xludf.DUMMYFUNCTION("GOOGLETRANSLATE(A113, ""it"", ""en"")"),"112")</f>
        <v>112</v>
      </c>
      <c r="H113" s="3" t="str">
        <f>IFERROR(__xludf.DUMMYFUNCTION("GOOGLETRANSLATE(B113, ""it"", ""en"")"),"What is a common beginner mistake?")</f>
        <v>What is a common beginner mistake?</v>
      </c>
      <c r="I113" s="3" t="str">
        <f>IFERROR(__xludf.DUMMYFUNCTION("GOOGLETRANSLATE(C113, ""it"", ""en"")"),"A. Lack of precision B. Hitting with too much force C. Not maintaining the correct position D. All of the above")</f>
        <v>A. Lack of precision B. Hitting with too much force C. Not maintaining the correct position D. All of the above</v>
      </c>
      <c r="J113" s="3" t="str">
        <f>IFERROR(__xludf.DUMMYFUNCTION("GOOGLETRANSLATE(D113, ""it"", ""en"")"),"All of the above")</f>
        <v>All of the above</v>
      </c>
      <c r="K113" s="3" t="str">
        <f>IFERROR(__xludf.DUMMYFUNCTION("GOOGLETRANSLATE(E113, ""it"", ""en"")"),"Beginners often make these mistakes.")</f>
        <v>Beginners often make these mistakes.</v>
      </c>
      <c r="L113" s="2"/>
      <c r="M113" s="2"/>
      <c r="N113" s="2"/>
      <c r="O113" s="2"/>
      <c r="P113" s="2"/>
      <c r="Q113" s="2"/>
      <c r="R113" s="2"/>
      <c r="S113" s="2"/>
      <c r="T113" s="2"/>
      <c r="U113" s="2"/>
      <c r="V113" s="2"/>
      <c r="W113" s="2"/>
    </row>
    <row r="114" ht="22.5" customHeight="1">
      <c r="A114" s="3">
        <v>113.0</v>
      </c>
      <c r="B114" s="3" t="s">
        <v>1566</v>
      </c>
      <c r="C114" s="3" t="s">
        <v>1567</v>
      </c>
      <c r="D114" s="3" t="s">
        <v>1332</v>
      </c>
      <c r="E114" s="3" t="s">
        <v>1568</v>
      </c>
      <c r="F114" s="2"/>
      <c r="G114" s="3" t="str">
        <f>IFERROR(__xludf.DUMMYFUNCTION("GOOGLETRANSLATE(A114, ""it"", ""en"")"),"113")</f>
        <v>113</v>
      </c>
      <c r="H114" s="3" t="str">
        <f>IFERROR(__xludf.DUMMYFUNCTION("GOOGLETRANSLATE(B114, ""it"", ""en"")"),"What does a “friendly match” represent?")</f>
        <v>What does a “friendly match” represent?</v>
      </c>
      <c r="I114" s="3" t="str">
        <f>IFERROR(__xludf.DUMMYFUNCTION("GOOGLETRANSLATE(C114, ""it"", ""en"")"),"A. A non-competitive match B. A game with flexible rules C. A practice game D. All of the above")</f>
        <v>A. A non-competitive match B. A game with flexible rules C. A practice game D. All of the above</v>
      </c>
      <c r="J114" s="3" t="str">
        <f>IFERROR(__xludf.DUMMYFUNCTION("GOOGLETRANSLATE(D114, ""it"", ""en"")"),"All of the above")</f>
        <v>All of the above</v>
      </c>
      <c r="K114" s="3" t="str">
        <f>IFERROR(__xludf.DUMMYFUNCTION("GOOGLETRANSLATE(E114, ""it"", ""en"")"),"Friendly matches are less formal and can have flexible rules.")</f>
        <v>Friendly matches are less formal and can have flexible rules.</v>
      </c>
      <c r="L114" s="2"/>
      <c r="M114" s="2"/>
      <c r="N114" s="2"/>
      <c r="O114" s="2"/>
      <c r="P114" s="2"/>
      <c r="Q114" s="2"/>
      <c r="R114" s="2"/>
      <c r="S114" s="2"/>
      <c r="T114" s="2"/>
      <c r="U114" s="2"/>
      <c r="V114" s="2"/>
      <c r="W114" s="2"/>
    </row>
    <row r="115" ht="22.5" customHeight="1">
      <c r="A115" s="3">
        <v>114.0</v>
      </c>
      <c r="B115" s="3" t="s">
        <v>1569</v>
      </c>
      <c r="C115" s="3" t="s">
        <v>1570</v>
      </c>
      <c r="D115" s="3" t="s">
        <v>1571</v>
      </c>
      <c r="E115" s="3" t="s">
        <v>1572</v>
      </c>
      <c r="F115" s="2"/>
      <c r="G115" s="3" t="str">
        <f>IFERROR(__xludf.DUMMYFUNCTION("GOOGLETRANSLATE(A115, ""it"", ""en"")"),"114")</f>
        <v>114</v>
      </c>
      <c r="H115" s="3" t="str">
        <f>IFERROR(__xludf.DUMMYFUNCTION("GOOGLETRANSLATE(B115, ""it"", ""en"")"),"How is the winner calculated in case of a tie?")</f>
        <v>How is the winner calculated in case of a tie?</v>
      </c>
      <c r="I115" s="3" t="str">
        <f>IFERROR(__xludf.DUMMYFUNCTION("GOOGLETRANSLATE(C115, ""it"", ""en"")"),"A. Based on total points B. Playing an extra set C. Consulting the referee D. Awarding victory to both teams")</f>
        <v>A. Based on total points B. Playing an extra set C. Consulting the referee D. Awarding victory to both teams</v>
      </c>
      <c r="J115" s="3" t="str">
        <f>IFERROR(__xludf.DUMMYFUNCTION("GOOGLETRANSLATE(D115, ""it"", ""en"")"),"Playing an extra set")</f>
        <v>Playing an extra set</v>
      </c>
      <c r="K115" s="3" t="str">
        <f>IFERROR(__xludf.DUMMYFUNCTION("GOOGLETRANSLATE(E115, ""it"", ""en"")"),"An extra set determines the winner.")</f>
        <v>An extra set determines the winner.</v>
      </c>
      <c r="L115" s="2"/>
      <c r="M115" s="2"/>
      <c r="N115" s="2"/>
      <c r="O115" s="2"/>
      <c r="P115" s="2"/>
      <c r="Q115" s="2"/>
      <c r="R115" s="2"/>
      <c r="S115" s="2"/>
      <c r="T115" s="2"/>
      <c r="U115" s="2"/>
      <c r="V115" s="2"/>
      <c r="W115" s="2"/>
    </row>
    <row r="116" ht="22.5" customHeight="1">
      <c r="A116" s="3">
        <v>115.0</v>
      </c>
      <c r="B116" s="3" t="s">
        <v>1573</v>
      </c>
      <c r="C116" s="3" t="s">
        <v>1574</v>
      </c>
      <c r="D116" s="3" t="s">
        <v>1575</v>
      </c>
      <c r="E116" s="3" t="s">
        <v>1576</v>
      </c>
      <c r="F116" s="2"/>
      <c r="G116" s="3" t="str">
        <f>IFERROR(__xludf.DUMMYFUNCTION("GOOGLETRANSLATE(A116, ""it"", ""en"")"),"115")</f>
        <v>115</v>
      </c>
      <c r="H116" s="3" t="str">
        <f>IFERROR(__xludf.DUMMYFUNCTION("GOOGLETRANSLATE(B116, ""it"", ""en"")"),"What is the correct way to report a problem to the judge?")</f>
        <v>What is the correct way to report a problem to the judge?</v>
      </c>
      <c r="I116" s="3" t="str">
        <f>IFERROR(__xludf.DUMMYFUNCTION("GOOGLETRANSLATE(C116, ""it"", ""en"")"),"A. Raising your hand B. Speaking directly C. Asking for a break D. You cannot signal during the game")</f>
        <v>A. Raising your hand B. Speaking directly C. Asking for a break D. You cannot signal during the game</v>
      </c>
      <c r="J116" s="3" t="str">
        <f>IFERROR(__xludf.DUMMYFUNCTION("GOOGLETRANSLATE(D116, ""it"", ""en"")"),"Raising your hand")</f>
        <v>Raising your hand</v>
      </c>
      <c r="K116" s="3" t="str">
        <f>IFERROR(__xludf.DUMMYFUNCTION("GOOGLETRANSLATE(E116, ""it"", ""en"")"),"Players report problems by raising their hands.")</f>
        <v>Players report problems by raising their hands.</v>
      </c>
      <c r="L116" s="2"/>
      <c r="M116" s="2"/>
      <c r="N116" s="2"/>
      <c r="O116" s="2"/>
      <c r="P116" s="2"/>
      <c r="Q116" s="2"/>
      <c r="R116" s="2"/>
      <c r="S116" s="2"/>
      <c r="T116" s="2"/>
      <c r="U116" s="2"/>
      <c r="V116" s="2"/>
      <c r="W116" s="2"/>
    </row>
    <row r="117" ht="22.5" customHeight="1">
      <c r="A117" s="3">
        <v>116.0</v>
      </c>
      <c r="B117" s="3" t="s">
        <v>1577</v>
      </c>
      <c r="C117" s="3" t="s">
        <v>1578</v>
      </c>
      <c r="D117" s="3" t="s">
        <v>1579</v>
      </c>
      <c r="E117" s="3" t="s">
        <v>1580</v>
      </c>
      <c r="F117" s="2"/>
      <c r="G117" s="3" t="str">
        <f>IFERROR(__xludf.DUMMYFUNCTION("GOOGLETRANSLATE(A117, ""it"", ""en"")"),"116")</f>
        <v>116</v>
      </c>
      <c r="H117" s="3" t="str">
        <f>IFERROR(__xludf.DUMMYFUNCTION("GOOGLETRANSLATE(B117, ""it"", ""en"")"),"What should you do if a player gets injured during a match?")</f>
        <v>What should you do if a player gets injured during a match?</v>
      </c>
      <c r="I117" s="3" t="str">
        <f>IFERROR(__xludf.DUMMYFUNCTION("GOOGLETRANSLATE(C117, ""it"", ""en"")"),"A. Request a substitution B. Continue playing C. Request a medical timeout D. Leave the court")</f>
        <v>A. Request a substitution B. Continue playing C. Request a medical timeout D. Leave the court</v>
      </c>
      <c r="J117" s="3" t="str">
        <f>IFERROR(__xludf.DUMMYFUNCTION("GOOGLETRANSLATE(D117, ""it"", ""en"")"),"Request a medical timeout")</f>
        <v>Request a medical timeout</v>
      </c>
      <c r="K117" s="3" t="str">
        <f>IFERROR(__xludf.DUMMYFUNCTION("GOOGLETRANSLATE(E117, ""it"", ""en"")"),"An injury requires a timeout for medical attention.")</f>
        <v>An injury requires a timeout for medical attention.</v>
      </c>
      <c r="L117" s="2"/>
      <c r="M117" s="2"/>
      <c r="N117" s="2"/>
      <c r="O117" s="2"/>
      <c r="P117" s="2"/>
      <c r="Q117" s="2"/>
      <c r="R117" s="2"/>
      <c r="S117" s="2"/>
      <c r="T117" s="2"/>
      <c r="U117" s="2"/>
      <c r="V117" s="2"/>
      <c r="W117" s="2"/>
    </row>
    <row r="118" ht="22.5" customHeight="1">
      <c r="A118" s="3">
        <v>117.0</v>
      </c>
      <c r="B118" s="3" t="s">
        <v>1581</v>
      </c>
      <c r="C118" s="3" t="s">
        <v>1582</v>
      </c>
      <c r="D118" s="3" t="s">
        <v>1583</v>
      </c>
      <c r="E118" s="3" t="s">
        <v>1584</v>
      </c>
      <c r="F118" s="2"/>
      <c r="G118" s="3" t="str">
        <f>IFERROR(__xludf.DUMMYFUNCTION("GOOGLETRANSLATE(A118, ""it"", ""en"")"),"117")</f>
        <v>117</v>
      </c>
      <c r="H118" s="3" t="str">
        <f>IFERROR(__xludf.DUMMYFUNCTION("GOOGLETRANSLATE(B118, ""it"", ""en"")"),"What does “ball on the edge” mean?")</f>
        <v>What does “ball on the edge” mean?</v>
      </c>
      <c r="I118" s="3" t="str">
        <f>IFERROR(__xludf.DUMMYFUNCTION("GOOGLETRANSLATE(C118, ""it"", ""en"")"),"A. A ball close to the court line B. A ball touching the net C. A ball in the air D. A ball hitting the armband")</f>
        <v>A. A ball close to the court line B. A ball touching the net C. A ball in the air D. A ball hitting the armband</v>
      </c>
      <c r="J118" s="3" t="str">
        <f>IFERROR(__xludf.DUMMYFUNCTION("GOOGLETRANSLATE(D118, ""it"", ""en"")"),"A ball near the line of the field")</f>
        <v>A ball near the line of the field</v>
      </c>
      <c r="K118" s="3" t="str">
        <f>IFERROR(__xludf.DUMMYFUNCTION("GOOGLETRANSLATE(E118, ""it"", ""en"")"),"A “bounds ball” is found near the line of the field.")</f>
        <v>A “bounds ball” is found near the line of the field.</v>
      </c>
      <c r="L118" s="2"/>
      <c r="M118" s="2"/>
      <c r="N118" s="2"/>
      <c r="O118" s="2"/>
      <c r="P118" s="2"/>
      <c r="Q118" s="2"/>
      <c r="R118" s="2"/>
      <c r="S118" s="2"/>
      <c r="T118" s="2"/>
      <c r="U118" s="2"/>
      <c r="V118" s="2"/>
      <c r="W118" s="2"/>
    </row>
    <row r="119" ht="22.5" customHeight="1">
      <c r="A119" s="3">
        <v>118.0</v>
      </c>
      <c r="B119" s="3" t="s">
        <v>1585</v>
      </c>
      <c r="C119" s="3" t="s">
        <v>1586</v>
      </c>
      <c r="D119" s="3" t="s">
        <v>290</v>
      </c>
      <c r="E119" s="3" t="s">
        <v>1587</v>
      </c>
      <c r="F119" s="2"/>
      <c r="G119" s="3" t="str">
        <f>IFERROR(__xludf.DUMMYFUNCTION("GOOGLETRANSLATE(A119, ""it"", ""en"")"),"118")</f>
        <v>118</v>
      </c>
      <c r="H119" s="3" t="str">
        <f>IFERROR(__xludf.DUMMYFUNCTION("GOOGLETRANSLATE(B119, ""it"", ""en"")"),"How is the side of the field decided?")</f>
        <v>How is the side of the field decided?</v>
      </c>
      <c r="I119" s="3" t="str">
        <f>IFERROR(__xludf.DUMMYFUNCTION("GOOGLETRANSLATE(C119, ""it"", ""en"")"),"A. Toss B. Previous Score C. Umpire's Choice D. Captain's Decision")</f>
        <v>A. Toss B. Previous Score C. Umpire's Choice D. Captain's Decision</v>
      </c>
      <c r="J119" s="3" t="str">
        <f>IFERROR(__xludf.DUMMYFUNCTION("GOOGLETRANSLATE(D119, ""it"", ""en"")"),"Draw")</f>
        <v>Draw</v>
      </c>
      <c r="K119" s="3" t="str">
        <f>IFERROR(__xludf.DUMMYFUNCTION("GOOGLETRANSLATE(E119, ""it"", ""en"")"),"The side of the field is decided by drawing lots.")</f>
        <v>The side of the field is decided by drawing lots.</v>
      </c>
      <c r="L119" s="2"/>
      <c r="M119" s="2"/>
      <c r="N119" s="2"/>
      <c r="O119" s="2"/>
      <c r="P119" s="2"/>
      <c r="Q119" s="2"/>
      <c r="R119" s="2"/>
      <c r="S119" s="2"/>
      <c r="T119" s="2"/>
      <c r="U119" s="2"/>
      <c r="V119" s="2"/>
      <c r="W119" s="2"/>
    </row>
    <row r="120" ht="22.5" customHeight="1">
      <c r="A120" s="3">
        <v>119.0</v>
      </c>
      <c r="B120" s="3" t="s">
        <v>1588</v>
      </c>
      <c r="C120" s="3" t="s">
        <v>1589</v>
      </c>
      <c r="D120" s="3" t="s">
        <v>1590</v>
      </c>
      <c r="E120" s="3" t="s">
        <v>1591</v>
      </c>
      <c r="F120" s="2"/>
      <c r="G120" s="3" t="str">
        <f>IFERROR(__xludf.DUMMYFUNCTION("GOOGLETRANSLATE(A120, ""it"", ""en"")"),"119")</f>
        <v>119</v>
      </c>
      <c r="H120" s="3" t="str">
        <f>IFERROR(__xludf.DUMMYFUNCTION("GOOGLETRANSLATE(B120, ""it"", ""en"")"),"What does the term “technical shot” represent?")</f>
        <v>What does the term “technical shot” represent?</v>
      </c>
      <c r="I120" s="3" t="str">
        <f>IFERROR(__xludf.DUMMYFUNCTION("GOOGLETRANSLATE(C120, ""it"", ""en"")"),"A. A precisely executed shot B. An irregular shot C. A random shot D. An invalid shot")</f>
        <v>A. A precisely executed shot B. An irregular shot C. A random shot D. An invalid shot</v>
      </c>
      <c r="J120" s="3" t="str">
        <f>IFERROR(__xludf.DUMMYFUNCTION("GOOGLETRANSLATE(D120, ""it"", ""en"")"),"A precisely executed shot")</f>
        <v>A precisely executed shot</v>
      </c>
      <c r="K120" s="3" t="str">
        <f>IFERROR(__xludf.DUMMYFUNCTION("GOOGLETRANSLATE(E120, ""it"", ""en"")"),"A “technical shot” is distinguished by its precise execution.")</f>
        <v>A “technical shot” is distinguished by its precise execution.</v>
      </c>
      <c r="L120" s="2"/>
      <c r="M120" s="2"/>
      <c r="N120" s="2"/>
      <c r="O120" s="2"/>
      <c r="P120" s="2"/>
      <c r="Q120" s="2"/>
      <c r="R120" s="2"/>
      <c r="S120" s="2"/>
      <c r="T120" s="2"/>
      <c r="U120" s="2"/>
      <c r="V120" s="2"/>
      <c r="W120" s="2"/>
    </row>
    <row r="121" ht="22.5" customHeight="1">
      <c r="A121" s="3">
        <v>120.0</v>
      </c>
      <c r="B121" s="3" t="s">
        <v>1592</v>
      </c>
      <c r="C121" s="3" t="s">
        <v>1593</v>
      </c>
      <c r="D121" s="3" t="s">
        <v>1332</v>
      </c>
      <c r="E121" s="3" t="s">
        <v>1594</v>
      </c>
      <c r="F121" s="2"/>
      <c r="G121" s="3" t="str">
        <f>IFERROR(__xludf.DUMMYFUNCTION("GOOGLETRANSLATE(A121, ""it"", ""en"")"),"120")</f>
        <v>120</v>
      </c>
      <c r="H121" s="3" t="str">
        <f>IFERROR(__xludf.DUMMYFUNCTION("GOOGLETRANSLATE(B121, ""it"", ""en"")"),"How is the pitch prepared before an official match?")</f>
        <v>How is the pitch prepared before an official match?</v>
      </c>
      <c r="I121" s="3" t="str">
        <f>IFERROR(__xludf.DUMMYFUNCTION("GOOGLETRANSLATE(C121, ""it"", ""en"")"),"A. By measuring it accurately B. By cleaning it C. By repairing any damage D. All of the above")</f>
        <v>A. By measuring it accurately B. By cleaning it C. By repairing any damage D. All of the above</v>
      </c>
      <c r="J121" s="3" t="str">
        <f>IFERROR(__xludf.DUMMYFUNCTION("GOOGLETRANSLATE(D121, ""it"", ""en"")"),"All of the above")</f>
        <v>All of the above</v>
      </c>
      <c r="K121" s="3" t="str">
        <f>IFERROR(__xludf.DUMMYFUNCTION("GOOGLETRANSLATE(E121, ""it"", ""en"")"),"Field preparation includes measurements")</f>
        <v>Field preparation includes measurements</v>
      </c>
      <c r="L121" s="2"/>
      <c r="M121" s="2"/>
      <c r="N121" s="2"/>
      <c r="O121" s="2"/>
      <c r="P121" s="2"/>
      <c r="Q121" s="2"/>
      <c r="R121" s="2"/>
      <c r="S121" s="2"/>
      <c r="T121" s="2"/>
      <c r="U121" s="2"/>
      <c r="V121" s="2"/>
      <c r="W121" s="2"/>
    </row>
    <row r="122" ht="22.5" customHeight="1">
      <c r="A122" s="3">
        <v>121.0</v>
      </c>
      <c r="B122" s="3" t="s">
        <v>1595</v>
      </c>
      <c r="C122" s="3" t="s">
        <v>1596</v>
      </c>
      <c r="D122" s="3" t="s">
        <v>1597</v>
      </c>
      <c r="E122" s="3" t="s">
        <v>1598</v>
      </c>
      <c r="F122" s="2"/>
      <c r="G122" s="3" t="str">
        <f>IFERROR(__xludf.DUMMYFUNCTION("GOOGLETRANSLATE(A122, ""it"", ""en"")"),"121")</f>
        <v>121</v>
      </c>
      <c r="H122" s="3" t="str">
        <f>IFERROR(__xludf.DUMMYFUNCTION("GOOGLETRANSLATE(B122, ""it"", ""en"")"),"What does “no service” mean in Pallone col Bracciale?")</f>
        <v>What does “no service” mean in Pallone col Bracciale?</v>
      </c>
      <c r="I122" s="3" t="str">
        <f>IFERROR(__xludf.DUMMYFUNCTION("GOOGLETRANSLATE(C122, ""it"", ""en"")"),"A. A serve that does not cross the line B. A serve that touches the ground before being hit C. A serve that is out of bounds D. A serve that is too weak")</f>
        <v>A. A serve that does not cross the line B. A serve that touches the ground before being hit C. A serve that is out of bounds D. A serve that is too weak</v>
      </c>
      <c r="J122" s="3" t="str">
        <f>IFERROR(__xludf.DUMMYFUNCTION("GOOGLETRANSLATE(D122, ""it"", ""en"")"),"A service that does not cross the line of respect")</f>
        <v>A service that does not cross the line of respect</v>
      </c>
      <c r="K122" s="3" t="str">
        <f>IFERROR(__xludf.DUMMYFUNCTION("GOOGLETRANSLATE(E122, ""it"", ""en"")"),"A “null service” does not respect the basic rules of service.")</f>
        <v>A “null service” does not respect the basic rules of service.</v>
      </c>
      <c r="L122" s="2"/>
      <c r="M122" s="2"/>
      <c r="N122" s="2"/>
      <c r="O122" s="2"/>
      <c r="P122" s="2"/>
      <c r="Q122" s="2"/>
      <c r="R122" s="2"/>
      <c r="S122" s="2"/>
      <c r="T122" s="2"/>
      <c r="U122" s="2"/>
      <c r="V122" s="2"/>
      <c r="W122" s="2"/>
    </row>
    <row r="123" ht="22.5" customHeight="1">
      <c r="A123" s="3">
        <v>122.0</v>
      </c>
      <c r="B123" s="3" t="s">
        <v>1599</v>
      </c>
      <c r="C123" s="3" t="s">
        <v>1600</v>
      </c>
      <c r="D123" s="3" t="s">
        <v>1564</v>
      </c>
      <c r="E123" s="3" t="s">
        <v>1601</v>
      </c>
      <c r="F123" s="2"/>
      <c r="G123" s="3" t="str">
        <f>IFERROR(__xludf.DUMMYFUNCTION("GOOGLETRANSLATE(A123, ""it"", ""en"")"),"122")</f>
        <v>122</v>
      </c>
      <c r="H123" s="3" t="str">
        <f>IFERROR(__xludf.DUMMYFUNCTION("GOOGLETRANSLATE(B123, ""it"", ""en"")"),"What is the main purpose of the bracelet in the game?")</f>
        <v>What is the main purpose of the bracelet in the game?</v>
      </c>
      <c r="I123" s="3" t="str">
        <f>IFERROR(__xludf.DUMMYFUNCTION("GOOGLETRANSLATE(C123, ""it"", ""en"")"),"A. Protect the player's hand B. Improve the power of the shot C. Make the game more spectacular D. All of the above")</f>
        <v>A. Protect the player's hand B. Improve the power of the shot C. Make the game more spectacular D. All of the above</v>
      </c>
      <c r="J123" s="3" t="str">
        <f>IFERROR(__xludf.DUMMYFUNCTION("GOOGLETRANSLATE(D123, ""it"", ""en"")"),"All of the above")</f>
        <v>All of the above</v>
      </c>
      <c r="K123" s="3" t="str">
        <f>IFERROR(__xludf.DUMMYFUNCTION("GOOGLETRANSLATE(E123, ""it"", ""en"")"),"The bracelet protects and increases strength and precision.")</f>
        <v>The bracelet protects and increases strength and precision.</v>
      </c>
      <c r="L123" s="2"/>
      <c r="M123" s="2"/>
      <c r="N123" s="2"/>
      <c r="O123" s="2"/>
      <c r="P123" s="2"/>
      <c r="Q123" s="2"/>
      <c r="R123" s="2"/>
      <c r="S123" s="2"/>
      <c r="T123" s="2"/>
      <c r="U123" s="2"/>
      <c r="V123" s="2"/>
      <c r="W123" s="2"/>
    </row>
    <row r="124" ht="22.5" customHeight="1">
      <c r="A124" s="3">
        <v>123.0</v>
      </c>
      <c r="B124" s="3" t="s">
        <v>1602</v>
      </c>
      <c r="C124" s="3" t="s">
        <v>1603</v>
      </c>
      <c r="D124" s="3" t="s">
        <v>1564</v>
      </c>
      <c r="E124" s="3" t="s">
        <v>1604</v>
      </c>
      <c r="F124" s="2"/>
      <c r="G124" s="3" t="str">
        <f>IFERROR(__xludf.DUMMYFUNCTION("GOOGLETRANSLATE(A124, ""it"", ""en"")"),"123")</f>
        <v>123</v>
      </c>
      <c r="H124" s="3" t="str">
        <f>IFERROR(__xludf.DUMMYFUNCTION("GOOGLETRANSLATE(B124, ""it"", ""en"")"),"What is the role of the field judge?")</f>
        <v>What is the role of the field judge?</v>
      </c>
      <c r="I124" s="3" t="str">
        <f>IFERROR(__xludf.DUMMYFUNCTION("GOOGLETRANSLATE(C124, ""it"", ""en"")"),"A. Supervise the game B. Count points C. Handle fouls D. All of the above")</f>
        <v>A. Supervise the game B. Count points C. Handle fouls D. All of the above</v>
      </c>
      <c r="J124" s="3" t="str">
        <f>IFERROR(__xludf.DUMMYFUNCTION("GOOGLETRANSLATE(D124, ""it"", ""en"")"),"All of the above")</f>
        <v>All of the above</v>
      </c>
      <c r="K124" s="3" t="str">
        <f>IFERROR(__xludf.DUMMYFUNCTION("GOOGLETRANSLATE(E124, ""it"", ""en"")"),"The field umpire supervises all aspects of the game.")</f>
        <v>The field umpire supervises all aspects of the game.</v>
      </c>
      <c r="L124" s="2"/>
      <c r="M124" s="2"/>
      <c r="N124" s="2"/>
      <c r="O124" s="2"/>
      <c r="P124" s="2"/>
      <c r="Q124" s="2"/>
      <c r="R124" s="2"/>
      <c r="S124" s="2"/>
      <c r="T124" s="2"/>
      <c r="U124" s="2"/>
      <c r="V124" s="2"/>
      <c r="W124" s="2"/>
    </row>
    <row r="125" ht="22.5" customHeight="1">
      <c r="A125" s="3">
        <v>124.0</v>
      </c>
      <c r="B125" s="3" t="s">
        <v>1605</v>
      </c>
      <c r="C125" s="3" t="s">
        <v>1606</v>
      </c>
      <c r="D125" s="3" t="s">
        <v>1607</v>
      </c>
      <c r="E125" s="3" t="s">
        <v>1608</v>
      </c>
      <c r="F125" s="2"/>
      <c r="G125" s="3" t="str">
        <f>IFERROR(__xludf.DUMMYFUNCTION("GOOGLETRANSLATE(A125, ""it"", ""en"")"),"124")</f>
        <v>124</v>
      </c>
      <c r="H125" s="3" t="str">
        <f>IFERROR(__xludf.DUMMYFUNCTION("GOOGLETRANSLATE(B125, ""it"", ""en"")"),"What happens if a ball hits the net during play?")</f>
        <v>What happens if a ball hits the net during play?</v>
      </c>
      <c r="I125" s="3" t="str">
        <f>IFERROR(__xludf.DUMMYFUNCTION("GOOGLETRANSLATE(C125, ""it"", ""en"")"),"A. The point goes to the opponent B. The point is retaken C. The shot is valid if the ball goes over the net D. The shot is considered null")</f>
        <v>A. The point goes to the opponent B. The point is retaken C. The shot is valid if the ball goes over the net D. The shot is considered null</v>
      </c>
      <c r="J125" s="3" t="str">
        <f>IFERROR(__xludf.DUMMYFUNCTION("GOOGLETRANSLATE(D125, ""it"", ""en"")"),"The shot is valid if the ball goes over the net")</f>
        <v>The shot is valid if the ball goes over the net</v>
      </c>
      <c r="K125" s="3" t="str">
        <f>IFERROR(__xludf.DUMMYFUNCTION("GOOGLETRANSLATE(E125, ""it"", ""en"")"),"A ball that goes over the net after hitting it is valid.")</f>
        <v>A ball that goes over the net after hitting it is valid.</v>
      </c>
      <c r="L125" s="2"/>
      <c r="M125" s="2"/>
      <c r="N125" s="2"/>
      <c r="O125" s="2"/>
      <c r="P125" s="2"/>
      <c r="Q125" s="2"/>
      <c r="R125" s="2"/>
      <c r="S125" s="2"/>
      <c r="T125" s="2"/>
      <c r="U125" s="2"/>
      <c r="V125" s="2"/>
      <c r="W125" s="2"/>
    </row>
    <row r="126" ht="22.5" customHeight="1">
      <c r="A126" s="3">
        <v>125.0</v>
      </c>
      <c r="B126" s="3" t="s">
        <v>1609</v>
      </c>
      <c r="C126" s="3" t="s">
        <v>1610</v>
      </c>
      <c r="D126" s="3" t="s">
        <v>1259</v>
      </c>
      <c r="E126" s="3" t="s">
        <v>1611</v>
      </c>
      <c r="F126" s="2"/>
      <c r="G126" s="3" t="str">
        <f>IFERROR(__xludf.DUMMYFUNCTION("GOOGLETRANSLATE(A126, ""it"", ""en"")"),"125")</f>
        <v>125</v>
      </c>
      <c r="H126" s="3" t="str">
        <f>IFERROR(__xludf.DUMMYFUNCTION("GOOGLETRANSLATE(B126, ""it"", ""en"")"),"What should I do if my bracelet gets damaged during a game?")</f>
        <v>What should I do if my bracelet gets damaged during a game?</v>
      </c>
      <c r="I126" s="3" t="str">
        <f>IFERROR(__xludf.DUMMYFUNCTION("GOOGLETRANSLATE(C126, ""it"", ""en"")"),"A. Request a technical timeout B. Replace it immediately C. Continue playing with the damaged bracelet D. Ask for the referee's approval")</f>
        <v>A. Request a technical timeout B. Replace it immediately C. Continue playing with the damaged bracelet D. Ask for the referee's approval</v>
      </c>
      <c r="J126" s="3" t="str">
        <f>IFERROR(__xludf.DUMMYFUNCTION("GOOGLETRANSLATE(D126, ""it"", ""en"")"),"Replace it immediately")</f>
        <v>Replace it immediately</v>
      </c>
      <c r="K126" s="3" t="str">
        <f>IFERROR(__xludf.DUMMYFUNCTION("GOOGLETRANSLATE(E126, ""it"", ""en"")"),"A damaged bracelet must be replaced.")</f>
        <v>A damaged bracelet must be replaced.</v>
      </c>
      <c r="L126" s="2"/>
      <c r="M126" s="2"/>
      <c r="N126" s="2"/>
      <c r="O126" s="2"/>
      <c r="P126" s="2"/>
      <c r="Q126" s="2"/>
      <c r="R126" s="2"/>
      <c r="S126" s="2"/>
      <c r="T126" s="2"/>
      <c r="U126" s="2"/>
      <c r="V126" s="2"/>
      <c r="W126" s="2"/>
    </row>
    <row r="127" ht="22.5" customHeight="1">
      <c r="A127" s="3">
        <v>126.0</v>
      </c>
      <c r="B127" s="3" t="s">
        <v>1612</v>
      </c>
      <c r="C127" s="3" t="s">
        <v>1613</v>
      </c>
      <c r="D127" s="3" t="s">
        <v>1614</v>
      </c>
      <c r="E127" s="3" t="s">
        <v>1615</v>
      </c>
      <c r="F127" s="2"/>
      <c r="G127" s="3" t="str">
        <f>IFERROR(__xludf.DUMMYFUNCTION("GOOGLETRANSLATE(A127, ""it"", ""en"")"),"126")</f>
        <v>126</v>
      </c>
      <c r="H127" s="3" t="str">
        <f>IFERROR(__xludf.DUMMYFUNCTION("GOOGLETRANSLATE(B127, ""it"", ""en"")"),"What is meant by a “technical foul” in Pallone col Bracciale?")</f>
        <v>What is meant by a “technical foul” in Pallone col Bracciale?</v>
      </c>
      <c r="I127" s="3" t="str">
        <f>IFERROR(__xludf.DUMMYFUNCTION("GOOGLETRANSLATE(C127, ""it"", ""en"")"),"A. An error due to a violation of the basic rules B. An error related to the player's position C. An error related to equipment D. A random error")</f>
        <v>A. An error due to a violation of the basic rules B. An error related to the player's position C. An error related to equipment D. A random error</v>
      </c>
      <c r="J127" s="3" t="str">
        <f>IFERROR(__xludf.DUMMYFUNCTION("GOOGLETRANSLATE(D127, ""it"", ""en"")"),"An error due to a violation of the basic rules")</f>
        <v>An error due to a violation of the basic rules</v>
      </c>
      <c r="K127" s="3" t="str">
        <f>IFERROR(__xludf.DUMMYFUNCTION("GOOGLETRANSLATE(E127, ""it"", ""en"")"),"A technical foul involves a violation of the rules.")</f>
        <v>A technical foul involves a violation of the rules.</v>
      </c>
      <c r="L127" s="2"/>
      <c r="M127" s="2"/>
      <c r="N127" s="2"/>
      <c r="O127" s="2"/>
      <c r="P127" s="2"/>
      <c r="Q127" s="2"/>
      <c r="R127" s="2"/>
      <c r="S127" s="2"/>
      <c r="T127" s="2"/>
      <c r="U127" s="2"/>
      <c r="V127" s="2"/>
      <c r="W127" s="2"/>
    </row>
    <row r="128" ht="22.5" customHeight="1">
      <c r="A128" s="3">
        <v>127.0</v>
      </c>
      <c r="B128" s="3" t="s">
        <v>1616</v>
      </c>
      <c r="C128" s="3" t="s">
        <v>1617</v>
      </c>
      <c r="D128" s="3" t="s">
        <v>1618</v>
      </c>
      <c r="E128" s="3" t="s">
        <v>1619</v>
      </c>
      <c r="F128" s="2"/>
      <c r="G128" s="3" t="str">
        <f>IFERROR(__xludf.DUMMYFUNCTION("GOOGLETRANSLATE(A128, ""it"", ""en"")"),"127")</f>
        <v>127</v>
      </c>
      <c r="H128" s="3" t="str">
        <f>IFERROR(__xludf.DUMMYFUNCTION("GOOGLETRANSLATE(B128, ""it"", ""en"")"),"What is the signal used to start a game?")</f>
        <v>What is the signal used to start a game?</v>
      </c>
      <c r="I128" s="3" t="str">
        <f>IFERROR(__xludf.DUMMYFUNCTION("GOOGLETRANSLATE(C128, ""it"", ""en"")"),"A. A whistle from the judge B. Clapping hands C. Raising a green flag D. A drumbeat")</f>
        <v>A. A whistle from the judge B. Clapping hands C. Raising a green flag D. A drumbeat</v>
      </c>
      <c r="J128" s="3" t="str">
        <f>IFERROR(__xludf.DUMMYFUNCTION("GOOGLETRANSLATE(D128, ""it"", ""en"")"),"A whistle from the judge")</f>
        <v>A whistle from the judge</v>
      </c>
      <c r="K128" s="3" t="str">
        <f>IFERROR(__xludf.DUMMYFUNCTION("GOOGLETRANSLATE(E128, ""it"", ""en"")"),"The match starts with a whistle.")</f>
        <v>The match starts with a whistle.</v>
      </c>
      <c r="L128" s="2"/>
      <c r="M128" s="2"/>
      <c r="N128" s="2"/>
      <c r="O128" s="2"/>
      <c r="P128" s="2"/>
      <c r="Q128" s="2"/>
      <c r="R128" s="2"/>
      <c r="S128" s="2"/>
      <c r="T128" s="2"/>
      <c r="U128" s="2"/>
      <c r="V128" s="2"/>
      <c r="W128" s="2"/>
    </row>
    <row r="129" ht="22.5" customHeight="1">
      <c r="A129" s="3">
        <v>128.0</v>
      </c>
      <c r="B129" s="3" t="s">
        <v>1620</v>
      </c>
      <c r="C129" s="3" t="s">
        <v>1621</v>
      </c>
      <c r="D129" s="3" t="s">
        <v>1622</v>
      </c>
      <c r="E129" s="3" t="s">
        <v>1623</v>
      </c>
      <c r="F129" s="2"/>
      <c r="G129" s="3" t="str">
        <f>IFERROR(__xludf.DUMMYFUNCTION("GOOGLETRANSLATE(A129, ""it"", ""en"")"),"128")</f>
        <v>128</v>
      </c>
      <c r="H129" s="3" t="str">
        <f>IFERROR(__xludf.DUMMYFUNCTION("GOOGLETRANSLATE(B129, ""it"", ""en"")"),"How should a player behave after a foul?")</f>
        <v>How should a player behave after a foul?</v>
      </c>
      <c r="I129" s="3" t="str">
        <f>IFERROR(__xludf.DUMMYFUNCTION("GOOGLETRANSLATE(C129, ""it"", ""en"")"),"A. Apologize to the referee B. Accept the decision and continue playing C. Protest the decision D. Request a replay of the point")</f>
        <v>A. Apologize to the referee B. Accept the decision and continue playing C. Protest the decision D. Request a replay of the point</v>
      </c>
      <c r="J129" s="3" t="str">
        <f>IFERROR(__xludf.DUMMYFUNCTION("GOOGLETRANSLATE(D129, ""it"", ""en"")"),"Accept the decision and continue playing")</f>
        <v>Accept the decision and continue playing</v>
      </c>
      <c r="K129" s="3" t="str">
        <f>IFERROR(__xludf.DUMMYFUNCTION("GOOGLETRANSLATE(E129, ""it"", ""en"")"),"Good behavior is essential in the game.")</f>
        <v>Good behavior is essential in the game.</v>
      </c>
      <c r="L129" s="2"/>
      <c r="M129" s="2"/>
      <c r="N129" s="2"/>
      <c r="O129" s="2"/>
      <c r="P129" s="2"/>
      <c r="Q129" s="2"/>
      <c r="R129" s="2"/>
      <c r="S129" s="2"/>
      <c r="T129" s="2"/>
      <c r="U129" s="2"/>
      <c r="V129" s="2"/>
      <c r="W129" s="2"/>
    </row>
    <row r="130" ht="22.5" customHeight="1">
      <c r="A130" s="3">
        <v>129.0</v>
      </c>
      <c r="B130" s="3" t="s">
        <v>1624</v>
      </c>
      <c r="C130" s="3" t="s">
        <v>1625</v>
      </c>
      <c r="D130" s="3" t="s">
        <v>1626</v>
      </c>
      <c r="E130" s="3" t="s">
        <v>1627</v>
      </c>
      <c r="F130" s="2"/>
      <c r="G130" s="3" t="str">
        <f>IFERROR(__xludf.DUMMYFUNCTION("GOOGLETRANSLATE(A130, ""it"", ""en"")"),"129")</f>
        <v>129</v>
      </c>
      <c r="H130" s="3" t="str">
        <f>IFERROR(__xludf.DUMMYFUNCTION("GOOGLETRANSLATE(B130, ""it"", ""en"")"),"What is meant by “dead zone” on the field?")</f>
        <v>What is meant by “dead zone” on the field?</v>
      </c>
      <c r="I130" s="3" t="str">
        <f>IFERROR(__xludf.DUMMYFUNCTION("GOOGLETRANSLATE(C130, ""it"", ""en"")"),"A. An area of ​​the court that is rarely used B. An area that is out of play C. An area that causes no points D. An area that is not visible to the public")</f>
        <v>A. An area of ​​the court that is rarely used B. An area that is out of play C. An area that causes no points D. An area that is not visible to the public</v>
      </c>
      <c r="J130" s="3" t="str">
        <f>IFERROR(__xludf.DUMMYFUNCTION("GOOGLETRANSLATE(D130, ""it"", ""en"")"),"A rarely used area of ​​the pitch")</f>
        <v>A rarely used area of ​​the pitch</v>
      </c>
      <c r="K130" s="3" t="str">
        <f>IFERROR(__xludf.DUMMYFUNCTION("GOOGLETRANSLATE(E130, ""it"", ""en"")"),"The “dead zone” is little involved in the game.")</f>
        <v>The “dead zone” is little involved in the game.</v>
      </c>
      <c r="L130" s="2"/>
      <c r="M130" s="2"/>
      <c r="N130" s="2"/>
      <c r="O130" s="2"/>
      <c r="P130" s="2"/>
      <c r="Q130" s="2"/>
      <c r="R130" s="2"/>
      <c r="S130" s="2"/>
      <c r="T130" s="2"/>
      <c r="U130" s="2"/>
      <c r="V130" s="2"/>
      <c r="W130" s="2"/>
    </row>
    <row r="131" ht="22.5" customHeight="1">
      <c r="A131" s="3">
        <v>130.0</v>
      </c>
      <c r="B131" s="3" t="s">
        <v>1628</v>
      </c>
      <c r="C131" s="3" t="s">
        <v>1629</v>
      </c>
      <c r="D131" s="3" t="s">
        <v>1630</v>
      </c>
      <c r="E131" s="3" t="s">
        <v>1631</v>
      </c>
      <c r="F131" s="2"/>
      <c r="G131" s="3" t="str">
        <f>IFERROR(__xludf.DUMMYFUNCTION("GOOGLETRANSLATE(A131, ""it"", ""en"")"),"130")</f>
        <v>130</v>
      </c>
      <c r="H131" s="3" t="str">
        <f>IFERROR(__xludf.DUMMYFUNCTION("GOOGLETRANSLATE(B131, ""it"", ""en"")"),"How are teams determined in an amateur match?")</f>
        <v>How are teams determined in an amateur match?</v>
      </c>
      <c r="I131" s="3" t="str">
        <f>IFERROR(__xludf.DUMMYFUNCTION("GOOGLETRANSLATE(C131, ""it"", ""en"")"),"A. Random choice B. Draw C. Captain's decision D. Agreement between players")</f>
        <v>A. Random choice B. Draw C. Captain's decision D. Agreement between players</v>
      </c>
      <c r="J131" s="3" t="str">
        <f>IFERROR(__xludf.DUMMYFUNCTION("GOOGLETRANSLATE(D131, ""it"", ""en"")"),"Agreement between the players")</f>
        <v>Agreement between the players</v>
      </c>
      <c r="K131" s="3" t="str">
        <f>IFERROR(__xludf.DUMMYFUNCTION("GOOGLETRANSLATE(E131, ""it"", ""en"")"),"Amateur teams are formed through agreements.")</f>
        <v>Amateur teams are formed through agreements.</v>
      </c>
      <c r="L131" s="2"/>
      <c r="M131" s="2"/>
      <c r="N131" s="2"/>
      <c r="O131" s="2"/>
      <c r="P131" s="2"/>
      <c r="Q131" s="2"/>
      <c r="R131" s="2"/>
      <c r="S131" s="2"/>
      <c r="T131" s="2"/>
      <c r="U131" s="2"/>
      <c r="V131" s="2"/>
      <c r="W131" s="2"/>
    </row>
    <row r="132" ht="22.5" customHeight="1">
      <c r="A132" s="3">
        <v>131.0</v>
      </c>
      <c r="B132" s="3" t="s">
        <v>1632</v>
      </c>
      <c r="C132" s="3" t="s">
        <v>1633</v>
      </c>
      <c r="D132" s="3" t="s">
        <v>1564</v>
      </c>
      <c r="E132" s="3" t="s">
        <v>1634</v>
      </c>
      <c r="F132" s="2"/>
      <c r="G132" s="3" t="str">
        <f>IFERROR(__xludf.DUMMYFUNCTION("GOOGLETRANSLATE(A132, ""it"", ""en"")"),"131")</f>
        <v>131</v>
      </c>
      <c r="H132" s="3" t="str">
        <f>IFERROR(__xludf.DUMMYFUNCTION("GOOGLETRANSLATE(B132, ""it"", ""en"")"),"What constitutes a “winning shot”?")</f>
        <v>What constitutes a “winning shot”?</v>
      </c>
      <c r="I132" s="3" t="str">
        <f>IFERROR(__xludf.DUMMYFUNCTION("GOOGLETRANSLATE(C132, ""it"", ""en"")"),"A. A shot that ends a set B. A shot that passes the opponent C. A shot that causes an opponent to make an error D. All of the above")</f>
        <v>A. A shot that ends a set B. A shot that passes the opponent C. A shot that causes an opponent to make an error D. All of the above</v>
      </c>
      <c r="J132" s="3" t="str">
        <f>IFERROR(__xludf.DUMMYFUNCTION("GOOGLETRANSLATE(D132, ""it"", ""en"")"),"All of the above")</f>
        <v>All of the above</v>
      </c>
      <c r="K132" s="3" t="str">
        <f>IFERROR(__xludf.DUMMYFUNCTION("GOOGLETRANSLATE(E132, ""it"", ""en"")"),"A “winning shot” guarantees a point or the end of a set.")</f>
        <v>A “winning shot” guarantees a point or the end of a set.</v>
      </c>
      <c r="L132" s="2"/>
      <c r="M132" s="2"/>
      <c r="N132" s="2"/>
      <c r="O132" s="2"/>
      <c r="P132" s="2"/>
      <c r="Q132" s="2"/>
      <c r="R132" s="2"/>
      <c r="S132" s="2"/>
      <c r="T132" s="2"/>
      <c r="U132" s="2"/>
      <c r="V132" s="2"/>
      <c r="W132" s="2"/>
    </row>
    <row r="133" ht="22.5" customHeight="1">
      <c r="A133" s="3">
        <v>132.0</v>
      </c>
      <c r="B133" s="3" t="s">
        <v>1635</v>
      </c>
      <c r="C133" s="3" t="s">
        <v>1636</v>
      </c>
      <c r="D133" s="3" t="s">
        <v>1387</v>
      </c>
      <c r="E133" s="3" t="s">
        <v>1637</v>
      </c>
      <c r="F133" s="2"/>
      <c r="G133" s="3" t="str">
        <f>IFERROR(__xludf.DUMMYFUNCTION("GOOGLETRANSLATE(A133, ""it"", ""en"")"),"132")</f>
        <v>132</v>
      </c>
      <c r="H133" s="3" t="str">
        <f>IFERROR(__xludf.DUMMYFUNCTION("GOOGLETRANSLATE(B133, ""it"", ""en"")"),"What happens if a player touches the net during play?")</f>
        <v>What happens if a player touches the net during play?</v>
      </c>
      <c r="I133" s="3" t="str">
        <f>IFERROR(__xludf.DUMMYFUNCTION("GOOGLETRANSLATE(C133, ""it"", ""en"")"),"A. The point goes to the opponent B. He is warned C. The point is repeated D. The shot is considered null")</f>
        <v>A. The point goes to the opponent B. He is warned C. The point is repeated D. The shot is considered null</v>
      </c>
      <c r="J133" s="3" t="str">
        <f>IFERROR(__xludf.DUMMYFUNCTION("GOOGLETRANSLATE(D133, ""it"", ""en"")"),"The point goes to the opponent")</f>
        <v>The point goes to the opponent</v>
      </c>
      <c r="K133" s="3" t="str">
        <f>IFERROR(__xludf.DUMMYFUNCTION("GOOGLETRANSLATE(E133, ""it"", ""en"")"),"Touching the net results in the loss of the point.")</f>
        <v>Touching the net results in the loss of the point.</v>
      </c>
      <c r="L133" s="2"/>
      <c r="M133" s="2"/>
      <c r="N133" s="2"/>
      <c r="O133" s="2"/>
      <c r="P133" s="2"/>
      <c r="Q133" s="2"/>
      <c r="R133" s="2"/>
      <c r="S133" s="2"/>
      <c r="T133" s="2"/>
      <c r="U133" s="2"/>
      <c r="V133" s="2"/>
      <c r="W133" s="2"/>
    </row>
    <row r="134" ht="22.5" customHeight="1">
      <c r="A134" s="3">
        <v>133.0</v>
      </c>
      <c r="B134" s="3" t="s">
        <v>1638</v>
      </c>
      <c r="C134" s="3" t="s">
        <v>1639</v>
      </c>
      <c r="D134" s="3" t="s">
        <v>1332</v>
      </c>
      <c r="E134" s="3" t="s">
        <v>1640</v>
      </c>
      <c r="F134" s="2"/>
      <c r="G134" s="3" t="str">
        <f>IFERROR(__xludf.DUMMYFUNCTION("GOOGLETRANSLATE(A134, ""it"", ""en"")"),"133")</f>
        <v>133</v>
      </c>
      <c r="H134" s="3" t="str">
        <f>IFERROR(__xludf.DUMMYFUNCTION("GOOGLETRANSLATE(B134, ""it"", ""en"")"),"What is the importance of good posture in gaming?")</f>
        <v>What is the importance of good posture in gaming?</v>
      </c>
      <c r="I134" s="3" t="str">
        <f>IFERROR(__xludf.DUMMYFUNCTION("GOOGLETRANSLATE(C134, ""it"", ""en"")"),"A. Increase power B. Prevent injuries C. Improve accuracy D. All of the above")</f>
        <v>A. Increase power B. Prevent injuries C. Improve accuracy D. All of the above</v>
      </c>
      <c r="J134" s="3" t="str">
        <f>IFERROR(__xludf.DUMMYFUNCTION("GOOGLETRANSLATE(D134, ""it"", ""en"")"),"All of the above")</f>
        <v>All of the above</v>
      </c>
      <c r="K134" s="3" t="str">
        <f>IFERROR(__xludf.DUMMYFUNCTION("GOOGLETRANSLATE(E134, ""it"", ""en"")"),"Good posture improves performance and prevents physical problems.")</f>
        <v>Good posture improves performance and prevents physical problems.</v>
      </c>
      <c r="L134" s="2"/>
      <c r="M134" s="2"/>
      <c r="N134" s="2"/>
      <c r="O134" s="2"/>
      <c r="P134" s="2"/>
      <c r="Q134" s="2"/>
      <c r="R134" s="2"/>
      <c r="S134" s="2"/>
      <c r="T134" s="2"/>
      <c r="U134" s="2"/>
      <c r="V134" s="2"/>
      <c r="W134" s="2"/>
    </row>
    <row r="135" ht="22.5" customHeight="1">
      <c r="A135" s="3">
        <v>134.0</v>
      </c>
      <c r="B135" s="3" t="s">
        <v>1641</v>
      </c>
      <c r="C135" s="3" t="s">
        <v>1642</v>
      </c>
      <c r="D135" s="3" t="s">
        <v>640</v>
      </c>
      <c r="E135" s="3" t="s">
        <v>1643</v>
      </c>
      <c r="F135" s="2"/>
      <c r="G135" s="3" t="str">
        <f>IFERROR(__xludf.DUMMYFUNCTION("GOOGLETRANSLATE(A135, ""it"", ""en"")"),"134")</f>
        <v>134</v>
      </c>
      <c r="H135" s="3" t="str">
        <f>IFERROR(__xludf.DUMMYFUNCTION("GOOGLETRANSLATE(B135, ""it"", ""en"")"),"What material is commonly used for bracelets?")</f>
        <v>What material is commonly used for bracelets?</v>
      </c>
      <c r="I135" s="3" t="str">
        <f>IFERROR(__xludf.DUMMYFUNCTION("GOOGLETRANSLATE(C135, ""it"", ""en"")"),"A. Wood B. Metal C. Plastic D. Leather")</f>
        <v>A. Wood B. Metal C. Plastic D. Leather</v>
      </c>
      <c r="J135" s="3" t="str">
        <f>IFERROR(__xludf.DUMMYFUNCTION("GOOGLETRANSLATE(D135, ""it"", ""en"")"),"Wood")</f>
        <v>Wood</v>
      </c>
      <c r="K135" s="3" t="str">
        <f>IFERROR(__xludf.DUMMYFUNCTION("GOOGLETRANSLATE(E135, ""it"", ""en"")"),"Traditional bracelets are often made of wood.")</f>
        <v>Traditional bracelets are often made of wood.</v>
      </c>
      <c r="L135" s="2"/>
      <c r="M135" s="2"/>
      <c r="N135" s="2"/>
      <c r="O135" s="2"/>
      <c r="P135" s="2"/>
      <c r="Q135" s="2"/>
      <c r="R135" s="2"/>
      <c r="S135" s="2"/>
      <c r="T135" s="2"/>
      <c r="U135" s="2"/>
      <c r="V135" s="2"/>
      <c r="W135" s="2"/>
    </row>
    <row r="136" ht="22.5" customHeight="1">
      <c r="A136" s="3">
        <v>135.0</v>
      </c>
      <c r="B136" s="3" t="s">
        <v>1644</v>
      </c>
      <c r="C136" s="3" t="s">
        <v>1645</v>
      </c>
      <c r="D136" s="3" t="s">
        <v>1646</v>
      </c>
      <c r="E136" s="3" t="s">
        <v>1647</v>
      </c>
      <c r="F136" s="2"/>
      <c r="G136" s="3" t="str">
        <f>IFERROR(__xludf.DUMMYFUNCTION("GOOGLETRANSLATE(A136, ""it"", ""en"")"),"135")</f>
        <v>135</v>
      </c>
      <c r="H136" s="3" t="str">
        <f>IFERROR(__xludf.DUMMYFUNCTION("GOOGLETRANSLATE(B136, ""it"", ""en"")"),"What should be done if a player is unable to continue playing?")</f>
        <v>What should be done if a player is unable to continue playing?</v>
      </c>
      <c r="I136" s="3" t="str">
        <f>IFERROR(__xludf.DUMMYFUNCTION("GOOGLETRANSLATE(C136, ""it"", ""en"")"),"A. Leave the match B. Request a technical time-out C. Request a substitution D. Report the problem to the captain")</f>
        <v>A. Leave the match B. Request a technical time-out C. Request a substitution D. Report the problem to the captain</v>
      </c>
      <c r="J136" s="3" t="str">
        <f>IFERROR(__xludf.DUMMYFUNCTION("GOOGLETRANSLATE(D136, ""it"", ""en"")"),"Request a replacement")</f>
        <v>Request a replacement</v>
      </c>
      <c r="K136" s="3" t="str">
        <f>IFERROR(__xludf.DUMMYFUNCTION("GOOGLETRANSLATE(E136, ""it"", ""en"")"),"A player may be substituted if necessary.")</f>
        <v>A player may be substituted if necessary.</v>
      </c>
      <c r="L136" s="2"/>
      <c r="M136" s="2"/>
      <c r="N136" s="2"/>
      <c r="O136" s="2"/>
      <c r="P136" s="2"/>
      <c r="Q136" s="2"/>
      <c r="R136" s="2"/>
      <c r="S136" s="2"/>
      <c r="T136" s="2"/>
      <c r="U136" s="2"/>
      <c r="V136" s="2"/>
      <c r="W136" s="2"/>
    </row>
    <row r="137" ht="22.5" customHeight="1">
      <c r="A137" s="3">
        <v>136.0</v>
      </c>
      <c r="B137" s="3" t="s">
        <v>1648</v>
      </c>
      <c r="C137" s="3" t="s">
        <v>1649</v>
      </c>
      <c r="D137" s="3" t="s">
        <v>1564</v>
      </c>
      <c r="E137" s="3" t="s">
        <v>1650</v>
      </c>
      <c r="F137" s="2"/>
      <c r="G137" s="3" t="str">
        <f>IFERROR(__xludf.DUMMYFUNCTION("GOOGLETRANSLATE(A137, ""it"", ""en"")"),"136")</f>
        <v>136</v>
      </c>
      <c r="H137" s="3" t="str">
        <f>IFERROR(__xludf.DUMMYFUNCTION("GOOGLETRANSLATE(B137, ""it"", ""en"")"),"What is the purpose of the pre-game warm-up?")</f>
        <v>What is the purpose of the pre-game warm-up?</v>
      </c>
      <c r="I137" s="3" t="str">
        <f>IFERROR(__xludf.DUMMYFUNCTION("GOOGLETRANSLATE(C137, ""it"", ""en"")"),"A. Avoid muscle strains B. Improve concentration C. Prepare the body for the game D. All of the above")</f>
        <v>A. Avoid muscle strains B. Improve concentration C. Prepare the body for the game D. All of the above</v>
      </c>
      <c r="J137" s="3" t="str">
        <f>IFERROR(__xludf.DUMMYFUNCTION("GOOGLETRANSLATE(D137, ""it"", ""en"")"),"All of the above")</f>
        <v>All of the above</v>
      </c>
      <c r="K137" s="3" t="str">
        <f>IFERROR(__xludf.DUMMYFUNCTION("GOOGLETRANSLATE(E137, ""it"", ""en"")"),"Warming up is essential for physical and mental preparation.")</f>
        <v>Warming up is essential for physical and mental preparation.</v>
      </c>
      <c r="L137" s="2"/>
      <c r="M137" s="2"/>
      <c r="N137" s="2"/>
      <c r="O137" s="2"/>
      <c r="P137" s="2"/>
      <c r="Q137" s="2"/>
      <c r="R137" s="2"/>
      <c r="S137" s="2"/>
      <c r="T137" s="2"/>
      <c r="U137" s="2"/>
      <c r="V137" s="2"/>
      <c r="W137" s="2"/>
    </row>
    <row r="138" ht="22.5" customHeight="1">
      <c r="A138" s="3">
        <v>137.0</v>
      </c>
      <c r="B138" s="3" t="s">
        <v>1651</v>
      </c>
      <c r="C138" s="3" t="s">
        <v>1652</v>
      </c>
      <c r="D138" s="3" t="s">
        <v>1590</v>
      </c>
      <c r="E138" s="3" t="s">
        <v>1653</v>
      </c>
      <c r="F138" s="2"/>
      <c r="G138" s="3" t="str">
        <f>IFERROR(__xludf.DUMMYFUNCTION("GOOGLETRANSLATE(A138, ""it"", ""en"")"),"137")</f>
        <v>137</v>
      </c>
      <c r="H138" s="3" t="str">
        <f>IFERROR(__xludf.DUMMYFUNCTION("GOOGLETRANSLATE(B138, ""it"", ""en"")"),"What is meant by “controlled shot”?")</f>
        <v>What is meant by “controlled shot”?</v>
      </c>
      <c r="I138" s="3" t="str">
        <f>IFERROR(__xludf.DUMMYFUNCTION("GOOGLETRANSLATE(C138, ""it"", ""en"")"),"A. A precisely executed shot B. A casual shot C. A weak shot D. A shot that does not clear the net")</f>
        <v>A. A precisely executed shot B. A casual shot C. A weak shot D. A shot that does not clear the net</v>
      </c>
      <c r="J138" s="3" t="str">
        <f>IFERROR(__xludf.DUMMYFUNCTION("GOOGLETRANSLATE(D138, ""it"", ""en"")"),"A precisely executed shot")</f>
        <v>A precisely executed shot</v>
      </c>
      <c r="K138" s="3" t="str">
        <f>IFERROR(__xludf.DUMMYFUNCTION("GOOGLETRANSLATE(E138, ""it"", ""en"")"),"A controlled shot aims for precision and strategy.")</f>
        <v>A controlled shot aims for precision and strategy.</v>
      </c>
      <c r="L138" s="2"/>
      <c r="M138" s="2"/>
      <c r="N138" s="2"/>
      <c r="O138" s="2"/>
      <c r="P138" s="2"/>
      <c r="Q138" s="2"/>
      <c r="R138" s="2"/>
      <c r="S138" s="2"/>
      <c r="T138" s="2"/>
      <c r="U138" s="2"/>
      <c r="V138" s="2"/>
      <c r="W138" s="2"/>
    </row>
    <row r="139" ht="22.5" customHeight="1">
      <c r="A139" s="3">
        <v>138.0</v>
      </c>
      <c r="B139" s="3" t="s">
        <v>1654</v>
      </c>
      <c r="C139" s="3" t="s">
        <v>1655</v>
      </c>
      <c r="D139" s="3" t="s">
        <v>1656</v>
      </c>
      <c r="E139" s="3" t="s">
        <v>1657</v>
      </c>
      <c r="F139" s="2"/>
      <c r="G139" s="3" t="str">
        <f>IFERROR(__xludf.DUMMYFUNCTION("GOOGLETRANSLATE(A139, ""it"", ""en"")"),"138")</f>
        <v>138</v>
      </c>
      <c r="H139" s="3" t="str">
        <f>IFERROR(__xludf.DUMMYFUNCTION("GOOGLETRANSLATE(B139, ""it"", ""en"")"),"How is a ball out of bounds treated?")</f>
        <v>How is a ball out of bounds treated?</v>
      </c>
      <c r="I139" s="3" t="str">
        <f>IFERROR(__xludf.DUMMYFUNCTION("GOOGLETRANSLATE(C139, ""it"", ""en"")"),"A. As a point for the opponent B. As a fault C. As a let-off D. As a repetition of the point")</f>
        <v>A. As a point for the opponent B. As a fault C. As a let-off D. As a repetition of the point</v>
      </c>
      <c r="J139" s="3" t="str">
        <f>IFERROR(__xludf.DUMMYFUNCTION("GOOGLETRANSLATE(D139, ""it"", ""en"")"),"As a point for the opponent")</f>
        <v>As a point for the opponent</v>
      </c>
      <c r="K139" s="3" t="str">
        <f>IFERROR(__xludf.DUMMYFUNCTION("GOOGLETRANSLATE(E139, ""it"", ""en"")"),"A ball out of bounds awards the point to the opponent.")</f>
        <v>A ball out of bounds awards the point to the opponent.</v>
      </c>
      <c r="L139" s="2"/>
      <c r="M139" s="2"/>
      <c r="N139" s="2"/>
      <c r="O139" s="2"/>
      <c r="P139" s="2"/>
      <c r="Q139" s="2"/>
      <c r="R139" s="2"/>
      <c r="S139" s="2"/>
      <c r="T139" s="2"/>
      <c r="U139" s="2"/>
      <c r="V139" s="2"/>
      <c r="W139" s="2"/>
    </row>
    <row r="140" ht="22.5" customHeight="1">
      <c r="A140" s="3">
        <v>139.0</v>
      </c>
      <c r="B140" s="3" t="s">
        <v>1658</v>
      </c>
      <c r="C140" s="3" t="s">
        <v>1659</v>
      </c>
      <c r="D140" s="3" t="s">
        <v>1660</v>
      </c>
      <c r="E140" s="3" t="s">
        <v>1661</v>
      </c>
      <c r="F140" s="2"/>
      <c r="G140" s="3" t="str">
        <f>IFERROR(__xludf.DUMMYFUNCTION("GOOGLETRANSLATE(A140, ""it"", ""en"")"),"139")</f>
        <v>139</v>
      </c>
      <c r="H140" s="3" t="str">
        <f>IFERROR(__xludf.DUMMYFUNCTION("GOOGLETRANSLATE(B140, ""it"", ""en"")"),"What is the role of a coach during the game?")</f>
        <v>What is the role of a coach during the game?</v>
      </c>
      <c r="I140" s="3" t="str">
        <f>IFERROR(__xludf.DUMMYFUNCTION("GOOGLETRANSLATE(C140, ""it"", ""en"")"),"A. Give tactical instructions B. Encourage players C. Call for timeouts D. Manage all aspects of the team")</f>
        <v>A. Give tactical instructions B. Encourage players C. Call for timeouts D. Manage all aspects of the team</v>
      </c>
      <c r="J140" s="3" t="str">
        <f>IFERROR(__xludf.DUMMYFUNCTION("GOOGLETRANSLATE(D140, ""it"", ""en"")"),"Give tactical instructions")</f>
        <v>Give tactical instructions</v>
      </c>
      <c r="K140" s="3" t="str">
        <f>IFERROR(__xludf.DUMMYFUNCTION("GOOGLETRANSLATE(E140, ""it"", ""en"")"),"A coach guides the team's strategy.")</f>
        <v>A coach guides the team's strategy.</v>
      </c>
      <c r="L140" s="2"/>
      <c r="M140" s="2"/>
      <c r="N140" s="2"/>
      <c r="O140" s="2"/>
      <c r="P140" s="2"/>
      <c r="Q140" s="2"/>
      <c r="R140" s="2"/>
      <c r="S140" s="2"/>
      <c r="T140" s="2"/>
      <c r="U140" s="2"/>
      <c r="V140" s="2"/>
      <c r="W140" s="2"/>
    </row>
    <row r="141" ht="22.5" customHeight="1">
      <c r="A141" s="3">
        <v>140.0</v>
      </c>
      <c r="B141" s="3" t="s">
        <v>1662</v>
      </c>
      <c r="C141" s="3" t="s">
        <v>1663</v>
      </c>
      <c r="D141" s="3" t="s">
        <v>1664</v>
      </c>
      <c r="E141" s="3" t="s">
        <v>1665</v>
      </c>
      <c r="F141" s="2"/>
      <c r="G141" s="3" t="str">
        <f>IFERROR(__xludf.DUMMYFUNCTION("GOOGLETRANSLATE(A141, ""it"", ""en"")"),"140")</f>
        <v>140</v>
      </c>
      <c r="H141" s="3" t="str">
        <f>IFERROR(__xludf.DUMMYFUNCTION("GOOGLETRANSLATE(B141, ""it"", ""en"")"),"What is meant by “technical time”?")</f>
        <v>What is meant by “technical time”?</v>
      </c>
      <c r="I141" s="3" t="str">
        <f>IFERROR(__xludf.DUMMYFUNCTION("GOOGLETRANSLATE(C141, ""it"", ""en"")"),"A. A timeout required for regulatory reasons B. A timeout to repair the field C. A timeout related to weather conditions D. A timeout for a personal problem")</f>
        <v>A. A timeout required for regulatory reasons B. A timeout to repair the field C. A timeout related to weather conditions D. A timeout for a personal problem</v>
      </c>
      <c r="J141" s="3" t="str">
        <f>IFERROR(__xludf.DUMMYFUNCTION("GOOGLETRANSLATE(D141, ""it"", ""en"")"),"A timeout required for regulatory reasons")</f>
        <v>A timeout required for regulatory reasons</v>
      </c>
      <c r="K141" s="3" t="str">
        <f>IFERROR(__xludf.DUMMYFUNCTION("GOOGLETRANSLATE(E141, ""it"", ""en"")"),"“Technical time” is used to manage regulatory issues.")</f>
        <v>“Technical time” is used to manage regulatory issues.</v>
      </c>
      <c r="L141" s="2"/>
      <c r="M141" s="2"/>
      <c r="N141" s="2"/>
      <c r="O141" s="2"/>
      <c r="P141" s="2"/>
      <c r="Q141" s="2"/>
      <c r="R141" s="2"/>
      <c r="S141" s="2"/>
      <c r="T141" s="2"/>
      <c r="U141" s="2"/>
      <c r="V141" s="2"/>
      <c r="W141" s="2"/>
    </row>
    <row r="142" ht="22.5" customHeight="1">
      <c r="A142" s="3">
        <v>141.0</v>
      </c>
      <c r="B142" s="3" t="s">
        <v>1456</v>
      </c>
      <c r="C142" s="3" t="s">
        <v>1666</v>
      </c>
      <c r="D142" s="3" t="s">
        <v>1667</v>
      </c>
      <c r="E142" s="3" t="s">
        <v>1668</v>
      </c>
      <c r="F142" s="2"/>
      <c r="G142" s="3" t="str">
        <f>IFERROR(__xludf.DUMMYFUNCTION("GOOGLETRANSLATE(A142, ""it"", ""en"")"),"141")</f>
        <v>141</v>
      </c>
      <c r="H142" s="3" t="str">
        <f>IFERROR(__xludf.DUMMYFUNCTION("GOOGLETRANSLATE(B142, ""it"", ""en"")"),"What happens if a player uses a non-regulation bracelet?")</f>
        <v>What happens if a player uses a non-regulation bracelet?</v>
      </c>
      <c r="I142" s="3" t="str">
        <f>IFERROR(__xludf.DUMMYFUNCTION("GOOGLETRANSLATE(C142, ""it"", ""en"")"),"A. He is cautioned B. He is disqualified C. The point is cancelled D. He has to replace the bracelet")</f>
        <v>A. He is cautioned B. He is disqualified C. The point is cancelled D. He has to replace the bracelet</v>
      </c>
      <c r="J142" s="3" t="str">
        <f>IFERROR(__xludf.DUMMYFUNCTION("GOOGLETRANSLATE(D142, ""it"", ""en"")"),"You need to replace the bracelet")</f>
        <v>You need to replace the bracelet</v>
      </c>
      <c r="K142" s="3" t="str">
        <f>IFERROR(__xludf.DUMMYFUNCTION("GOOGLETRANSLATE(E142, ""it"", ""en"")"),"A non-regulation bracelet must be changed.")</f>
        <v>A non-regulation bracelet must be changed.</v>
      </c>
      <c r="L142" s="2"/>
      <c r="M142" s="2"/>
      <c r="N142" s="2"/>
      <c r="O142" s="2"/>
      <c r="P142" s="2"/>
      <c r="Q142" s="2"/>
      <c r="R142" s="2"/>
      <c r="S142" s="2"/>
      <c r="T142" s="2"/>
      <c r="U142" s="2"/>
      <c r="V142" s="2"/>
      <c r="W142" s="2"/>
    </row>
    <row r="143" ht="22.5" customHeight="1">
      <c r="A143" s="3">
        <v>142.0</v>
      </c>
      <c r="B143" s="3" t="s">
        <v>1669</v>
      </c>
      <c r="C143" s="3" t="s">
        <v>1670</v>
      </c>
      <c r="D143" s="3" t="s">
        <v>1332</v>
      </c>
      <c r="E143" s="3" t="s">
        <v>1671</v>
      </c>
      <c r="F143" s="2"/>
      <c r="G143" s="3" t="str">
        <f>IFERROR(__xludf.DUMMYFUNCTION("GOOGLETRANSLATE(A143, ""it"", ""en"")"),"142")</f>
        <v>142</v>
      </c>
      <c r="H143" s="3" t="str">
        <f>IFERROR(__xludf.DUMMYFUNCTION("GOOGLETRANSLATE(B143, ""it"", ""en"")"),"What is the importance of mutual respect between players?")</f>
        <v>What is the importance of mutual respect between players?</v>
      </c>
      <c r="I143" s="3" t="str">
        <f>IFERROR(__xludf.DUMMYFUNCTION("GOOGLETRANSLATE(C143, ""it"", ""en"")"),"A. Avoid conflict B. Maintain a good playing environment C. Demonstrate good sportsmanship D. All of the above")</f>
        <v>A. Avoid conflict B. Maintain a good playing environment C. Demonstrate good sportsmanship D. All of the above</v>
      </c>
      <c r="J143" s="3" t="str">
        <f>IFERROR(__xludf.DUMMYFUNCTION("GOOGLETRANSLATE(D143, ""it"", ""en"")"),"All of the above")</f>
        <v>All of the above</v>
      </c>
      <c r="K143" s="3" t="str">
        <f>IFERROR(__xludf.DUMMYFUNCTION("GOOGLETRANSLATE(E143, ""it"", ""en"")"),"Mutual respect is essential for fair play.")</f>
        <v>Mutual respect is essential for fair play.</v>
      </c>
      <c r="L143" s="2"/>
      <c r="M143" s="2"/>
      <c r="N143" s="2"/>
      <c r="O143" s="2"/>
      <c r="P143" s="2"/>
      <c r="Q143" s="2"/>
      <c r="R143" s="2"/>
      <c r="S143" s="2"/>
      <c r="T143" s="2"/>
      <c r="U143" s="2"/>
      <c r="V143" s="2"/>
      <c r="W143" s="2"/>
    </row>
    <row r="144" ht="22.5" customHeight="1">
      <c r="A144" s="3">
        <v>143.0</v>
      </c>
      <c r="B144" s="3" t="s">
        <v>1672</v>
      </c>
      <c r="C144" s="3" t="s">
        <v>1673</v>
      </c>
      <c r="D144" s="3" t="s">
        <v>1674</v>
      </c>
      <c r="E144" s="3" t="s">
        <v>1675</v>
      </c>
      <c r="F144" s="2"/>
      <c r="G144" s="3" t="str">
        <f>IFERROR(__xludf.DUMMYFUNCTION("GOOGLETRANSLATE(A144, ""it"", ""en"")"),"143")</f>
        <v>143</v>
      </c>
      <c r="H144" s="3" t="str">
        <f>IFERROR(__xludf.DUMMYFUNCTION("GOOGLETRANSLATE(B144, ""it"", ""en"")"),"What does a “long shot” indicate?")</f>
        <v>What does a “long shot” indicate?</v>
      </c>
      <c r="I144" s="3" t="str">
        <f>IFERROR(__xludf.DUMMYFUNCTION("GOOGLETRANSLATE(C144, ""it"", ""en"")"),"A. A shot that goes beyond the playing area B. A shot with a lot of power C. A shot that touches the baseline D. A shot that lasts longer than expected")</f>
        <v>A. A shot that goes beyond the playing area B. A shot with a lot of power C. A shot that touches the baseline D. A shot that lasts longer than expected</v>
      </c>
      <c r="J144" s="3" t="str">
        <f>IFERROR(__xludf.DUMMYFUNCTION("GOOGLETRANSLATE(D144, ""it"", ""en"")"),"A shot that goes beyond the playing area")</f>
        <v>A shot that goes beyond the playing area</v>
      </c>
      <c r="K144" s="3" t="str">
        <f>IFERROR(__xludf.DUMMYFUNCTION("GOOGLETRANSLATE(E144, ""it"", ""en"")"),"A long shot goes out of bounds.")</f>
        <v>A long shot goes out of bounds.</v>
      </c>
      <c r="L144" s="2"/>
      <c r="M144" s="2"/>
      <c r="N144" s="2"/>
      <c r="O144" s="2"/>
      <c r="P144" s="2"/>
      <c r="Q144" s="2"/>
      <c r="R144" s="2"/>
      <c r="S144" s="2"/>
      <c r="T144" s="2"/>
      <c r="U144" s="2"/>
      <c r="V144" s="2"/>
      <c r="W144" s="2"/>
    </row>
    <row r="145" ht="22.5" customHeight="1">
      <c r="A145" s="3">
        <v>144.0</v>
      </c>
      <c r="B145" s="3" t="s">
        <v>1676</v>
      </c>
      <c r="C145" s="3" t="s">
        <v>1677</v>
      </c>
      <c r="D145" s="3" t="s">
        <v>1678</v>
      </c>
      <c r="E145" s="3" t="s">
        <v>1679</v>
      </c>
      <c r="F145" s="2"/>
      <c r="G145" s="3" t="str">
        <f>IFERROR(__xludf.DUMMYFUNCTION("GOOGLETRANSLATE(A145, ""it"", ""en"")"),"144")</f>
        <v>144</v>
      </c>
      <c r="H145" s="3" t="str">
        <f>IFERROR(__xludf.DUMMYFUNCTION("GOOGLETRANSLATE(B145, ""it"", ""en"")"),"What is meant by “fluid gameplay”?")</f>
        <v>What is meant by “fluid gameplay”?</v>
      </c>
      <c r="I145" s="3" t="str">
        <f>IFERROR(__xludf.DUMMYFUNCTION("GOOGLETRANSLATE(C145, ""it"", ""en"")"),"A. A game without unnecessary interruptions B. A fast-paced game C. A game without rigid rules D. A friendly game")</f>
        <v>A. A game without unnecessary interruptions B. A fast-paced game C. A game without rigid rules D. A friendly game</v>
      </c>
      <c r="J145" s="3" t="str">
        <f>IFERROR(__xludf.DUMMYFUNCTION("GOOGLETRANSLATE(D145, ""it"", ""en"")"),"A game without unnecessary interruptions")</f>
        <v>A game without unnecessary interruptions</v>
      </c>
      <c r="K145" s="3" t="str">
        <f>IFERROR(__xludf.DUMMYFUNCTION("GOOGLETRANSLATE(E145, ""it"", ""en"")"),"A fluid game is smooth and well-organized.")</f>
        <v>A fluid game is smooth and well-organized.</v>
      </c>
      <c r="L145" s="2"/>
      <c r="M145" s="2"/>
      <c r="N145" s="2"/>
      <c r="O145" s="2"/>
      <c r="P145" s="2"/>
      <c r="Q145" s="2"/>
      <c r="R145" s="2"/>
      <c r="S145" s="2"/>
      <c r="T145" s="2"/>
      <c r="U145" s="2"/>
      <c r="V145" s="2"/>
      <c r="W145" s="2"/>
    </row>
    <row r="146" ht="22.5" customHeight="1">
      <c r="A146" s="3">
        <v>145.0</v>
      </c>
      <c r="B146" s="3" t="s">
        <v>1680</v>
      </c>
      <c r="C146" s="3" t="s">
        <v>1681</v>
      </c>
      <c r="D146" s="3" t="s">
        <v>1682</v>
      </c>
      <c r="E146" s="3" t="s">
        <v>1683</v>
      </c>
      <c r="F146" s="2"/>
      <c r="G146" s="3" t="str">
        <f>IFERROR(__xludf.DUMMYFUNCTION("GOOGLETRANSLATE(A146, ""it"", ""en"")"),"145")</f>
        <v>145</v>
      </c>
      <c r="H146" s="3" t="str">
        <f>IFERROR(__xludf.DUMMYFUNCTION("GOOGLETRANSLATE(B146, ""it"", ""en"")"),"What is a “forced error”?")</f>
        <v>What is a “forced error”?</v>
      </c>
      <c r="I146" s="3" t="str">
        <f>IFERROR(__xludf.DUMMYFUNCTION("GOOGLETRANSLATE(C146, ""it"", ""en"")"),"A. An error caused by pressure from the opponent B. An error committed intentionally C. An error related to the armband D. A random error")</f>
        <v>A. An error caused by pressure from the opponent B. An error committed intentionally C. An error related to the armband D. A random error</v>
      </c>
      <c r="J146" s="3" t="str">
        <f>IFERROR(__xludf.DUMMYFUNCTION("GOOGLETRANSLATE(D146, ""it"", ""en"")"),"An error caused by the opponent's pressure")</f>
        <v>An error caused by the opponent's pressure</v>
      </c>
      <c r="K146" s="3" t="str">
        <f>IFERROR(__xludf.DUMMYFUNCTION("GOOGLETRANSLATE(E146, ""it"", ""en"")"),"An unforced error arises from the opponent's strategy.")</f>
        <v>An unforced error arises from the opponent's strategy.</v>
      </c>
      <c r="L146" s="2"/>
      <c r="M146" s="2"/>
      <c r="N146" s="2"/>
      <c r="O146" s="2"/>
      <c r="P146" s="2"/>
      <c r="Q146" s="2"/>
      <c r="R146" s="2"/>
      <c r="S146" s="2"/>
      <c r="T146" s="2"/>
      <c r="U146" s="2"/>
      <c r="V146" s="2"/>
      <c r="W146" s="2"/>
    </row>
    <row r="147" ht="22.5" customHeight="1">
      <c r="A147" s="3">
        <v>146.0</v>
      </c>
      <c r="B147" s="3" t="s">
        <v>1684</v>
      </c>
      <c r="C147" s="3" t="s">
        <v>1685</v>
      </c>
      <c r="D147" s="3" t="s">
        <v>1686</v>
      </c>
      <c r="E147" s="3" t="s">
        <v>1687</v>
      </c>
      <c r="F147" s="2"/>
      <c r="G147" s="3" t="str">
        <f>IFERROR(__xludf.DUMMYFUNCTION("GOOGLETRANSLATE(A147, ""it"", ""en"")"),"146")</f>
        <v>146</v>
      </c>
      <c r="H147" s="3" t="str">
        <f>IFERROR(__xludf.DUMMYFUNCTION("GOOGLETRANSLATE(B147, ""it"", ""en"")"),"How is a “strategic coup” defined?")</f>
        <v>How is a “strategic coup” defined?</v>
      </c>
      <c r="I147" s="3" t="str">
        <f>IFERROR(__xludf.DUMMYFUNCTION("GOOGLETRANSLATE(C147, ""it"", ""en"")"),"A. A shot that aims to put the opponent in difficulty B. A random shot C. A shot that is too weak D. A shot that is repeated often")</f>
        <v>A. A shot that aims to put the opponent in difficulty B. A random shot C. A shot that is too weak D. A shot that is repeated often</v>
      </c>
      <c r="J147" s="3" t="str">
        <f>IFERROR(__xludf.DUMMYFUNCTION("GOOGLETRANSLATE(D147, ""it"", ""en"")"),"A shot that aims to put the opponent in difficulty")</f>
        <v>A shot that aims to put the opponent in difficulty</v>
      </c>
      <c r="K147" s="3" t="str">
        <f>IFERROR(__xludf.DUMMYFUNCTION("GOOGLETRANSLATE(E147, ""it"", ""en"")"),"A strategic move is used to gain an advantage.")</f>
        <v>A strategic move is used to gain an advantage.</v>
      </c>
      <c r="L147" s="2"/>
      <c r="M147" s="2"/>
      <c r="N147" s="2"/>
      <c r="O147" s="2"/>
      <c r="P147" s="2"/>
      <c r="Q147" s="2"/>
      <c r="R147" s="2"/>
      <c r="S147" s="2"/>
      <c r="T147" s="2"/>
      <c r="U147" s="2"/>
      <c r="V147" s="2"/>
      <c r="W147" s="2"/>
    </row>
    <row r="148" ht="22.5" customHeight="1">
      <c r="A148" s="3">
        <v>147.0</v>
      </c>
      <c r="B148" s="3" t="s">
        <v>1688</v>
      </c>
      <c r="C148" s="3" t="s">
        <v>1689</v>
      </c>
      <c r="D148" s="3" t="s">
        <v>1332</v>
      </c>
      <c r="E148" s="3" t="s">
        <v>1690</v>
      </c>
      <c r="F148" s="2"/>
      <c r="G148" s="3" t="str">
        <f>IFERROR(__xludf.DUMMYFUNCTION("GOOGLETRANSLATE(A148, ""it"", ""en"")"),"147")</f>
        <v>147</v>
      </c>
      <c r="H148" s="3" t="str">
        <f>IFERROR(__xludf.DUMMYFUNCTION("GOOGLETRANSLATE(B148, ""it"", ""en"")"),"What is the penalty for unsportsmanlike conduct?")</f>
        <v>What is the penalty for unsportsmanlike conduct?</v>
      </c>
      <c r="I148" s="3" t="str">
        <f>IFERROR(__xludf.DUMMYFUNCTION("GOOGLETRANSLATE(C148, ""it"", ""en"")"),"A. Warning B. Expulsion from the game C. Loss of a point D. All of the above")</f>
        <v>A. Warning B. Expulsion from the game C. Loss of a point D. All of the above</v>
      </c>
      <c r="J148" s="3" t="str">
        <f>IFERROR(__xludf.DUMMYFUNCTION("GOOGLETRANSLATE(D148, ""it"", ""en"")"),"All of the above")</f>
        <v>All of the above</v>
      </c>
      <c r="K148" s="3" t="str">
        <f>IFERROR(__xludf.DUMMYFUNCTION("GOOGLETRANSLATE(E148, ""it"", ""en"")"),"Unsportsmanlike conduct can lead to various sanctions.")</f>
        <v>Unsportsmanlike conduct can lead to various sanctions.</v>
      </c>
      <c r="L148" s="2"/>
      <c r="M148" s="2"/>
      <c r="N148" s="2"/>
      <c r="O148" s="2"/>
      <c r="P148" s="2"/>
      <c r="Q148" s="2"/>
      <c r="R148" s="2"/>
      <c r="S148" s="2"/>
      <c r="T148" s="2"/>
      <c r="U148" s="2"/>
      <c r="V148" s="2"/>
      <c r="W148" s="2"/>
    </row>
    <row r="149" ht="22.5" customHeight="1">
      <c r="A149" s="3">
        <v>148.0</v>
      </c>
      <c r="B149" s="3" t="s">
        <v>1691</v>
      </c>
      <c r="C149" s="3" t="s">
        <v>1692</v>
      </c>
      <c r="D149" s="3" t="s">
        <v>1693</v>
      </c>
      <c r="E149" s="3" t="s">
        <v>1694</v>
      </c>
      <c r="F149" s="2"/>
      <c r="G149" s="3" t="str">
        <f>IFERROR(__xludf.DUMMYFUNCTION("GOOGLETRANSLATE(A149, ""it"", ""en"")"),"148")</f>
        <v>148</v>
      </c>
      <c r="H149" s="3" t="str">
        <f>IFERROR(__xludf.DUMMYFUNCTION("GOOGLETRANSLATE(B149, ""it"", ""en"")"),"What is meant by “lateral line”?")</f>
        <v>What is meant by “lateral line”?</v>
      </c>
      <c r="I149" s="3" t="str">
        <f>IFERROR(__xludf.DUMMYFUNCTION("GOOGLETRANSLATE(C149, ""it"", ""en"")"),"A. The line marking the lateral boundaries of the court B. The line used for service C. A decorative line on the court D. The line dividing the teams")</f>
        <v>A. The line marking the lateral boundaries of the court B. The line used for service C. A decorative line on the court D. The line dividing the teams</v>
      </c>
      <c r="J149" s="3" t="str">
        <f>IFERROR(__xludf.DUMMYFUNCTION("GOOGLETRANSLATE(D149, ""it"", ""en"")"),"The line that marks the lateral boundaries of the field")</f>
        <v>The line that marks the lateral boundaries of the field</v>
      </c>
      <c r="K149" s="3" t="str">
        <f>IFERROR(__xludf.DUMMYFUNCTION("GOOGLETRANSLATE(E149, ""it"", ""en"")"),"The sideline marks the boundary of the playing field.")</f>
        <v>The sideline marks the boundary of the playing field.</v>
      </c>
      <c r="L149" s="2"/>
      <c r="M149" s="2"/>
      <c r="N149" s="2"/>
      <c r="O149" s="2"/>
      <c r="P149" s="2"/>
      <c r="Q149" s="2"/>
      <c r="R149" s="2"/>
      <c r="S149" s="2"/>
      <c r="T149" s="2"/>
      <c r="U149" s="2"/>
      <c r="V149" s="2"/>
      <c r="W149" s="2"/>
    </row>
    <row r="150" ht="22.5" customHeight="1">
      <c r="A150" s="3">
        <v>149.0</v>
      </c>
      <c r="B150" s="3" t="s">
        <v>1695</v>
      </c>
      <c r="C150" s="3" t="s">
        <v>1696</v>
      </c>
      <c r="D150" s="3" t="s">
        <v>1332</v>
      </c>
      <c r="E150" s="3" t="s">
        <v>1697</v>
      </c>
      <c r="F150" s="2"/>
      <c r="G150" s="3" t="str">
        <f>IFERROR(__xludf.DUMMYFUNCTION("GOOGLETRANSLATE(A150, ""it"", ""en"")"),"149")</f>
        <v>149</v>
      </c>
      <c r="H150" s="3" t="str">
        <f>IFERROR(__xludf.DUMMYFUNCTION("GOOGLETRANSLATE(B150, ""it"", ""en"")"),"What is the importance of regulation equipment?")</f>
        <v>What is the importance of regulation equipment?</v>
      </c>
      <c r="I150" s="3" t="str">
        <f>IFERROR(__xludf.DUMMYFUNCTION("GOOGLETRANSLATE(C150, ""it"", ""en"")"),"A. Prevent injuries B. Ensure fair play C. Improve performance D. All of the above")</f>
        <v>A. Prevent injuries B. Ensure fair play C. Improve performance D. All of the above</v>
      </c>
      <c r="J150" s="3" t="str">
        <f>IFERROR(__xludf.DUMMYFUNCTION("GOOGLETRANSLATE(D150, ""it"", ""en"")"),"All of the above")</f>
        <v>All of the above</v>
      </c>
      <c r="K150" s="3" t="str">
        <f>IFERROR(__xludf.DUMMYFUNCTION("GOOGLETRANSLATE(E150, ""it"", ""en"")"),"Regulatory equipment guarantees safety and correctness.")</f>
        <v>Regulatory equipment guarantees safety and correctness.</v>
      </c>
      <c r="L150" s="2"/>
      <c r="M150" s="2"/>
      <c r="N150" s="2"/>
      <c r="O150" s="2"/>
      <c r="P150" s="2"/>
      <c r="Q150" s="2"/>
      <c r="R150" s="2"/>
      <c r="S150" s="2"/>
      <c r="T150" s="2"/>
      <c r="U150" s="2"/>
      <c r="V150" s="2"/>
      <c r="W150" s="2"/>
    </row>
    <row r="151" ht="22.5" customHeight="1">
      <c r="A151" s="3">
        <v>150.0</v>
      </c>
      <c r="B151" s="3" t="s">
        <v>1698</v>
      </c>
      <c r="C151" s="3" t="s">
        <v>1699</v>
      </c>
      <c r="D151" s="3" t="s">
        <v>1700</v>
      </c>
      <c r="E151" s="3" t="s">
        <v>1701</v>
      </c>
      <c r="F151" s="2"/>
      <c r="G151" s="3" t="str">
        <f>IFERROR(__xludf.DUMMYFUNCTION("GOOGLETRANSLATE(A151, ""it"", ""en"")"),"150")</f>
        <v>150</v>
      </c>
      <c r="H151" s="3" t="str">
        <f>IFERROR(__xludf.DUMMYFUNCTION("GOOGLETRANSLATE(B151, ""it"", ""en"")"),"What happens if a player is late for the match?")</f>
        <v>What happens if a player is late for the match?</v>
      </c>
      <c r="I151" s="3" t="str">
        <f>IFERROR(__xludf.DUMMYFUNCTION("GOOGLETRANSLATE(C151, ""it"", ""en"")"),"A. Automatic loss of set B. Warning C. Automatic loss of match D. Extra time is given to prepare")</f>
        <v>A. Automatic loss of set B. Warning C. Automatic loss of match D. Extra time is given to prepare</v>
      </c>
      <c r="J151" s="3" t="str">
        <f>IFERROR(__xludf.DUMMYFUNCTION("GOOGLETRANSLATE(D151, ""it"", ""en"")"),"Automatic loss of the game")</f>
        <v>Automatic loss of the game</v>
      </c>
      <c r="K151" s="3" t="str">
        <f>IFERROR(__xludf.DUMMYFUNCTION("GOOGLETRANSLATE(E151, ""it"", ""en"")"),"Delay leads to defeat.")</f>
        <v>Delay leads to defeat.</v>
      </c>
      <c r="L151" s="2"/>
      <c r="M151" s="2"/>
      <c r="N151" s="2"/>
      <c r="O151" s="2"/>
      <c r="P151" s="2"/>
      <c r="Q151" s="2"/>
      <c r="R151" s="2"/>
      <c r="S151" s="2"/>
      <c r="T151" s="2"/>
      <c r="U151" s="2"/>
      <c r="V151" s="2"/>
      <c r="W151" s="2"/>
    </row>
    <row r="152">
      <c r="A152" s="2"/>
      <c r="B152" s="2"/>
      <c r="C152" s="2"/>
      <c r="D152" s="2"/>
      <c r="E152" s="2"/>
      <c r="F152" s="2"/>
      <c r="G152" s="2"/>
      <c r="H152" s="2"/>
      <c r="I152" s="2"/>
      <c r="J152" s="2"/>
      <c r="K152" s="2"/>
      <c r="L152" s="2"/>
      <c r="M152" s="2"/>
      <c r="N152" s="2"/>
      <c r="O152" s="2"/>
      <c r="P152" s="2"/>
      <c r="Q152" s="2"/>
      <c r="R152" s="2"/>
      <c r="S152" s="2"/>
      <c r="T152" s="2"/>
      <c r="U152" s="2"/>
      <c r="V152" s="2"/>
      <c r="W152" s="2"/>
    </row>
    <row r="153">
      <c r="A153" s="2"/>
      <c r="B153" s="2"/>
      <c r="C153" s="2"/>
      <c r="D153" s="2"/>
      <c r="E153" s="2"/>
      <c r="F153" s="2"/>
      <c r="G153" s="2"/>
      <c r="H153" s="2"/>
      <c r="I153" s="2"/>
      <c r="J153" s="2"/>
      <c r="K153" s="2"/>
      <c r="L153" s="2"/>
      <c r="M153" s="2"/>
      <c r="N153" s="2"/>
      <c r="O153" s="2"/>
      <c r="P153" s="2"/>
      <c r="Q153" s="2"/>
      <c r="R153" s="2"/>
      <c r="S153" s="2"/>
      <c r="T153" s="2"/>
      <c r="U153" s="2"/>
      <c r="V153" s="2"/>
      <c r="W153" s="2"/>
    </row>
    <row r="154">
      <c r="A154" s="2"/>
      <c r="B154" s="2"/>
      <c r="C154" s="2"/>
      <c r="D154" s="2"/>
      <c r="E154" s="2"/>
      <c r="F154" s="2"/>
      <c r="G154" s="2"/>
      <c r="H154" s="2"/>
      <c r="I154" s="2"/>
      <c r="J154" s="2"/>
      <c r="K154" s="2"/>
      <c r="L154" s="2"/>
      <c r="M154" s="2"/>
      <c r="N154" s="2"/>
      <c r="O154" s="2"/>
      <c r="P154" s="2"/>
      <c r="Q154" s="2"/>
      <c r="R154" s="2"/>
      <c r="S154" s="2"/>
      <c r="T154" s="2"/>
      <c r="U154" s="2"/>
      <c r="V154" s="2"/>
      <c r="W154" s="2"/>
    </row>
    <row r="155">
      <c r="A155" s="2"/>
      <c r="B155" s="2"/>
      <c r="C155" s="2"/>
      <c r="D155" s="2"/>
      <c r="E155" s="2"/>
      <c r="F155" s="2"/>
      <c r="G155" s="2"/>
      <c r="H155" s="2"/>
      <c r="I155" s="2"/>
      <c r="J155" s="2"/>
      <c r="K155" s="2"/>
      <c r="L155" s="2"/>
      <c r="M155" s="2"/>
      <c r="N155" s="2"/>
      <c r="O155" s="2"/>
      <c r="P155" s="2"/>
      <c r="Q155" s="2"/>
      <c r="R155" s="2"/>
      <c r="S155" s="2"/>
      <c r="T155" s="2"/>
      <c r="U155" s="2"/>
      <c r="V155" s="2"/>
      <c r="W155" s="2"/>
    </row>
    <row r="156">
      <c r="A156" s="2"/>
      <c r="B156" s="2"/>
      <c r="C156" s="2"/>
      <c r="D156" s="2"/>
      <c r="E156" s="2"/>
      <c r="F156" s="2"/>
      <c r="G156" s="2"/>
      <c r="H156" s="2"/>
      <c r="I156" s="2"/>
      <c r="J156" s="2"/>
      <c r="K156" s="2"/>
      <c r="L156" s="2"/>
      <c r="M156" s="2"/>
      <c r="N156" s="2"/>
      <c r="O156" s="2"/>
      <c r="P156" s="2"/>
      <c r="Q156" s="2"/>
      <c r="R156" s="2"/>
      <c r="S156" s="2"/>
      <c r="T156" s="2"/>
      <c r="U156" s="2"/>
      <c r="V156" s="2"/>
      <c r="W156" s="2"/>
    </row>
    <row r="157">
      <c r="A157" s="2"/>
      <c r="B157" s="2"/>
      <c r="C157" s="2"/>
      <c r="D157" s="2"/>
      <c r="E157" s="2"/>
      <c r="F157" s="2"/>
      <c r="G157" s="2"/>
      <c r="H157" s="2"/>
      <c r="I157" s="2"/>
      <c r="J157" s="2"/>
      <c r="K157" s="2"/>
      <c r="L157" s="2"/>
      <c r="M157" s="2"/>
      <c r="N157" s="2"/>
      <c r="O157" s="2"/>
      <c r="P157" s="2"/>
      <c r="Q157" s="2"/>
      <c r="R157" s="2"/>
      <c r="S157" s="2"/>
      <c r="T157" s="2"/>
      <c r="U157" s="2"/>
      <c r="V157" s="2"/>
      <c r="W157" s="2"/>
    </row>
    <row r="158">
      <c r="A158" s="2"/>
      <c r="B158" s="2"/>
      <c r="C158" s="2"/>
      <c r="D158" s="2"/>
      <c r="E158" s="2"/>
      <c r="F158" s="2"/>
      <c r="G158" s="2"/>
      <c r="H158" s="2"/>
      <c r="I158" s="2"/>
      <c r="J158" s="2"/>
      <c r="K158" s="2"/>
      <c r="L158" s="2"/>
      <c r="M158" s="2"/>
      <c r="N158" s="2"/>
      <c r="O158" s="2"/>
      <c r="P158" s="2"/>
      <c r="Q158" s="2"/>
      <c r="R158" s="2"/>
      <c r="S158" s="2"/>
      <c r="T158" s="2"/>
      <c r="U158" s="2"/>
      <c r="V158" s="2"/>
      <c r="W158" s="2"/>
    </row>
    <row r="159">
      <c r="A159" s="2"/>
      <c r="B159" s="2"/>
      <c r="C159" s="2"/>
      <c r="D159" s="2"/>
      <c r="E159" s="2"/>
      <c r="F159" s="2"/>
      <c r="G159" s="2"/>
      <c r="H159" s="2"/>
      <c r="I159" s="2"/>
      <c r="J159" s="2"/>
      <c r="K159" s="2"/>
      <c r="L159" s="2"/>
      <c r="M159" s="2"/>
      <c r="N159" s="2"/>
      <c r="O159" s="2"/>
      <c r="P159" s="2"/>
      <c r="Q159" s="2"/>
      <c r="R159" s="2"/>
      <c r="S159" s="2"/>
      <c r="T159" s="2"/>
      <c r="U159" s="2"/>
      <c r="V159" s="2"/>
      <c r="W159" s="2"/>
    </row>
    <row r="160">
      <c r="A160" s="2"/>
      <c r="B160" s="2"/>
      <c r="C160" s="2"/>
      <c r="D160" s="2"/>
      <c r="E160" s="2"/>
      <c r="F160" s="2"/>
      <c r="G160" s="2"/>
      <c r="H160" s="2"/>
      <c r="I160" s="2"/>
      <c r="J160" s="2"/>
      <c r="K160" s="2"/>
      <c r="L160" s="2"/>
      <c r="M160" s="2"/>
      <c r="N160" s="2"/>
      <c r="O160" s="2"/>
      <c r="P160" s="2"/>
      <c r="Q160" s="2"/>
      <c r="R160" s="2"/>
      <c r="S160" s="2"/>
      <c r="T160" s="2"/>
      <c r="U160" s="2"/>
      <c r="V160" s="2"/>
      <c r="W160" s="2"/>
    </row>
    <row r="161">
      <c r="A161" s="2"/>
      <c r="B161" s="2"/>
      <c r="C161" s="2"/>
      <c r="D161" s="2"/>
      <c r="E161" s="2"/>
      <c r="F161" s="2"/>
      <c r="G161" s="2"/>
      <c r="H161" s="2"/>
      <c r="I161" s="2"/>
      <c r="J161" s="2"/>
      <c r="K161" s="2"/>
      <c r="L161" s="2"/>
      <c r="M161" s="2"/>
      <c r="N161" s="2"/>
      <c r="O161" s="2"/>
      <c r="P161" s="2"/>
      <c r="Q161" s="2"/>
      <c r="R161" s="2"/>
      <c r="S161" s="2"/>
      <c r="T161" s="2"/>
      <c r="U161" s="2"/>
      <c r="V161" s="2"/>
      <c r="W161" s="2"/>
    </row>
    <row r="162">
      <c r="A162" s="2"/>
      <c r="B162" s="2"/>
      <c r="C162" s="2"/>
      <c r="D162" s="2"/>
      <c r="E162" s="2"/>
      <c r="F162" s="2"/>
      <c r="G162" s="2"/>
      <c r="H162" s="2"/>
      <c r="I162" s="2"/>
      <c r="J162" s="2"/>
      <c r="K162" s="2"/>
      <c r="L162" s="2"/>
      <c r="M162" s="2"/>
      <c r="N162" s="2"/>
      <c r="O162" s="2"/>
      <c r="P162" s="2"/>
      <c r="Q162" s="2"/>
      <c r="R162" s="2"/>
      <c r="S162" s="2"/>
      <c r="T162" s="2"/>
      <c r="U162" s="2"/>
      <c r="V162" s="2"/>
      <c r="W162" s="2"/>
    </row>
    <row r="163">
      <c r="A163" s="2"/>
      <c r="B163" s="2"/>
      <c r="C163" s="2"/>
      <c r="D163" s="2"/>
      <c r="E163" s="2"/>
      <c r="F163" s="2"/>
      <c r="G163" s="2"/>
      <c r="H163" s="2"/>
      <c r="I163" s="2"/>
      <c r="J163" s="2"/>
      <c r="K163" s="2"/>
      <c r="L163" s="2"/>
      <c r="M163" s="2"/>
      <c r="N163" s="2"/>
      <c r="O163" s="2"/>
      <c r="P163" s="2"/>
      <c r="Q163" s="2"/>
      <c r="R163" s="2"/>
      <c r="S163" s="2"/>
      <c r="T163" s="2"/>
      <c r="U163" s="2"/>
      <c r="V163" s="2"/>
      <c r="W163" s="2"/>
    </row>
    <row r="164">
      <c r="A164" s="2"/>
      <c r="B164" s="2"/>
      <c r="C164" s="2"/>
      <c r="D164" s="2"/>
      <c r="E164" s="2"/>
      <c r="F164" s="2"/>
      <c r="G164" s="2"/>
      <c r="H164" s="2"/>
      <c r="I164" s="2"/>
      <c r="J164" s="2"/>
      <c r="K164" s="2"/>
      <c r="L164" s="2"/>
      <c r="M164" s="2"/>
      <c r="N164" s="2"/>
      <c r="O164" s="2"/>
      <c r="P164" s="2"/>
      <c r="Q164" s="2"/>
      <c r="R164" s="2"/>
      <c r="S164" s="2"/>
      <c r="T164" s="2"/>
      <c r="U164" s="2"/>
      <c r="V164" s="2"/>
      <c r="W164" s="2"/>
    </row>
    <row r="165">
      <c r="A165" s="2"/>
      <c r="B165" s="2"/>
      <c r="C165" s="2"/>
      <c r="D165" s="2"/>
      <c r="E165" s="2"/>
      <c r="F165" s="2"/>
      <c r="G165" s="2"/>
      <c r="H165" s="2"/>
      <c r="I165" s="2"/>
      <c r="J165" s="2"/>
      <c r="K165" s="2"/>
      <c r="L165" s="2"/>
      <c r="M165" s="2"/>
      <c r="N165" s="2"/>
      <c r="O165" s="2"/>
      <c r="P165" s="2"/>
      <c r="Q165" s="2"/>
      <c r="R165" s="2"/>
      <c r="S165" s="2"/>
      <c r="T165" s="2"/>
      <c r="U165" s="2"/>
      <c r="V165" s="2"/>
      <c r="W165" s="2"/>
    </row>
    <row r="166">
      <c r="A166" s="2"/>
      <c r="B166" s="2"/>
      <c r="C166" s="2"/>
      <c r="D166" s="2"/>
      <c r="E166" s="2"/>
      <c r="F166" s="2"/>
      <c r="G166" s="2"/>
      <c r="H166" s="2"/>
      <c r="I166" s="2"/>
      <c r="J166" s="2"/>
      <c r="K166" s="2"/>
      <c r="L166" s="2"/>
      <c r="M166" s="2"/>
      <c r="N166" s="2"/>
      <c r="O166" s="2"/>
      <c r="P166" s="2"/>
      <c r="Q166" s="2"/>
      <c r="R166" s="2"/>
      <c r="S166" s="2"/>
      <c r="T166" s="2"/>
      <c r="U166" s="2"/>
      <c r="V166" s="2"/>
      <c r="W166" s="2"/>
    </row>
    <row r="167">
      <c r="A167" s="2"/>
      <c r="B167" s="2"/>
      <c r="C167" s="2"/>
      <c r="D167" s="2"/>
      <c r="E167" s="2"/>
      <c r="F167" s="2"/>
      <c r="G167" s="2"/>
      <c r="H167" s="2"/>
      <c r="I167" s="2"/>
      <c r="J167" s="2"/>
      <c r="K167" s="2"/>
      <c r="L167" s="2"/>
      <c r="M167" s="2"/>
      <c r="N167" s="2"/>
      <c r="O167" s="2"/>
      <c r="P167" s="2"/>
      <c r="Q167" s="2"/>
      <c r="R167" s="2"/>
      <c r="S167" s="2"/>
      <c r="T167" s="2"/>
      <c r="U167" s="2"/>
      <c r="V167" s="2"/>
      <c r="W167" s="2"/>
    </row>
    <row r="168">
      <c r="A168" s="2"/>
      <c r="B168" s="2"/>
      <c r="C168" s="2"/>
      <c r="D168" s="2"/>
      <c r="E168" s="2"/>
      <c r="F168" s="2"/>
      <c r="G168" s="2"/>
      <c r="H168" s="2"/>
      <c r="I168" s="2"/>
      <c r="J168" s="2"/>
      <c r="K168" s="2"/>
      <c r="L168" s="2"/>
      <c r="M168" s="2"/>
      <c r="N168" s="2"/>
      <c r="O168" s="2"/>
      <c r="P168" s="2"/>
      <c r="Q168" s="2"/>
      <c r="R168" s="2"/>
      <c r="S168" s="2"/>
      <c r="T168" s="2"/>
      <c r="U168" s="2"/>
      <c r="V168" s="2"/>
      <c r="W168" s="2"/>
    </row>
    <row r="169">
      <c r="A169" s="2"/>
      <c r="B169" s="2"/>
      <c r="C169" s="2"/>
      <c r="D169" s="2"/>
      <c r="E169" s="2"/>
      <c r="F169" s="2"/>
      <c r="G169" s="2"/>
      <c r="H169" s="2"/>
      <c r="I169" s="2"/>
      <c r="J169" s="2"/>
      <c r="K169" s="2"/>
      <c r="L169" s="2"/>
      <c r="M169" s="2"/>
      <c r="N169" s="2"/>
      <c r="O169" s="2"/>
      <c r="P169" s="2"/>
      <c r="Q169" s="2"/>
      <c r="R169" s="2"/>
      <c r="S169" s="2"/>
      <c r="T169" s="2"/>
      <c r="U169" s="2"/>
      <c r="V169" s="2"/>
      <c r="W169" s="2"/>
    </row>
    <row r="170">
      <c r="A170" s="2"/>
      <c r="B170" s="2"/>
      <c r="C170" s="2"/>
      <c r="D170" s="2"/>
      <c r="E170" s="2"/>
      <c r="F170" s="2"/>
      <c r="G170" s="2"/>
      <c r="H170" s="2"/>
      <c r="I170" s="2"/>
      <c r="J170" s="2"/>
      <c r="K170" s="2"/>
      <c r="L170" s="2"/>
      <c r="M170" s="2"/>
      <c r="N170" s="2"/>
      <c r="O170" s="2"/>
      <c r="P170" s="2"/>
      <c r="Q170" s="2"/>
      <c r="R170" s="2"/>
      <c r="S170" s="2"/>
      <c r="T170" s="2"/>
      <c r="U170" s="2"/>
      <c r="V170" s="2"/>
      <c r="W170" s="2"/>
    </row>
    <row r="171">
      <c r="A171" s="2"/>
      <c r="B171" s="2"/>
      <c r="C171" s="2"/>
      <c r="D171" s="2"/>
      <c r="E171" s="2"/>
      <c r="F171" s="2"/>
      <c r="G171" s="2"/>
      <c r="H171" s="2"/>
      <c r="I171" s="2"/>
      <c r="J171" s="2"/>
      <c r="K171" s="2"/>
      <c r="L171" s="2"/>
      <c r="M171" s="2"/>
      <c r="N171" s="2"/>
      <c r="O171" s="2"/>
      <c r="P171" s="2"/>
      <c r="Q171" s="2"/>
      <c r="R171" s="2"/>
      <c r="S171" s="2"/>
      <c r="T171" s="2"/>
      <c r="U171" s="2"/>
      <c r="V171" s="2"/>
      <c r="W171" s="2"/>
    </row>
    <row r="172">
      <c r="A172" s="2"/>
      <c r="B172" s="2"/>
      <c r="C172" s="2"/>
      <c r="D172" s="2"/>
      <c r="E172" s="2"/>
      <c r="F172" s="2"/>
      <c r="G172" s="2"/>
      <c r="H172" s="2"/>
      <c r="I172" s="2"/>
      <c r="J172" s="2"/>
      <c r="K172" s="2"/>
      <c r="L172" s="2"/>
      <c r="M172" s="2"/>
      <c r="N172" s="2"/>
      <c r="O172" s="2"/>
      <c r="P172" s="2"/>
      <c r="Q172" s="2"/>
      <c r="R172" s="2"/>
      <c r="S172" s="2"/>
      <c r="T172" s="2"/>
      <c r="U172" s="2"/>
      <c r="V172" s="2"/>
      <c r="W172" s="2"/>
    </row>
    <row r="173">
      <c r="A173" s="2"/>
      <c r="B173" s="2"/>
      <c r="C173" s="2"/>
      <c r="D173" s="2"/>
      <c r="E173" s="2"/>
      <c r="F173" s="2"/>
      <c r="G173" s="2"/>
      <c r="H173" s="2"/>
      <c r="I173" s="2"/>
      <c r="J173" s="2"/>
      <c r="K173" s="2"/>
      <c r="L173" s="2"/>
      <c r="M173" s="2"/>
      <c r="N173" s="2"/>
      <c r="O173" s="2"/>
      <c r="P173" s="2"/>
      <c r="Q173" s="2"/>
      <c r="R173" s="2"/>
      <c r="S173" s="2"/>
      <c r="T173" s="2"/>
      <c r="U173" s="2"/>
      <c r="V173" s="2"/>
      <c r="W173" s="2"/>
    </row>
    <row r="174">
      <c r="A174" s="2"/>
      <c r="B174" s="2"/>
      <c r="C174" s="2"/>
      <c r="D174" s="2"/>
      <c r="E174" s="2"/>
      <c r="F174" s="2"/>
      <c r="G174" s="2"/>
      <c r="H174" s="2"/>
      <c r="I174" s="2"/>
      <c r="J174" s="2"/>
      <c r="K174" s="2"/>
      <c r="L174" s="2"/>
      <c r="M174" s="2"/>
      <c r="N174" s="2"/>
      <c r="O174" s="2"/>
      <c r="P174" s="2"/>
      <c r="Q174" s="2"/>
      <c r="R174" s="2"/>
      <c r="S174" s="2"/>
      <c r="T174" s="2"/>
      <c r="U174" s="2"/>
      <c r="V174" s="2"/>
      <c r="W174" s="2"/>
    </row>
    <row r="175">
      <c r="A175" s="2"/>
      <c r="B175" s="2"/>
      <c r="C175" s="2"/>
      <c r="D175" s="2"/>
      <c r="E175" s="2"/>
      <c r="F175" s="2"/>
      <c r="G175" s="2"/>
      <c r="H175" s="2"/>
      <c r="I175" s="2"/>
      <c r="J175" s="2"/>
      <c r="K175" s="2"/>
      <c r="L175" s="2"/>
      <c r="M175" s="2"/>
      <c r="N175" s="2"/>
      <c r="O175" s="2"/>
      <c r="P175" s="2"/>
      <c r="Q175" s="2"/>
      <c r="R175" s="2"/>
      <c r="S175" s="2"/>
      <c r="T175" s="2"/>
      <c r="U175" s="2"/>
      <c r="V175" s="2"/>
      <c r="W175" s="2"/>
    </row>
    <row r="176">
      <c r="A176" s="2"/>
      <c r="B176" s="2"/>
      <c r="C176" s="2"/>
      <c r="D176" s="2"/>
      <c r="E176" s="2"/>
      <c r="F176" s="2"/>
      <c r="G176" s="2"/>
      <c r="H176" s="2"/>
      <c r="I176" s="2"/>
      <c r="J176" s="2"/>
      <c r="K176" s="2"/>
      <c r="L176" s="2"/>
      <c r="M176" s="2"/>
      <c r="N176" s="2"/>
      <c r="O176" s="2"/>
      <c r="P176" s="2"/>
      <c r="Q176" s="2"/>
      <c r="R176" s="2"/>
      <c r="S176" s="2"/>
      <c r="T176" s="2"/>
      <c r="U176" s="2"/>
      <c r="V176" s="2"/>
      <c r="W176" s="2"/>
    </row>
    <row r="177">
      <c r="A177" s="2"/>
      <c r="B177" s="2"/>
      <c r="C177" s="2"/>
      <c r="D177" s="2"/>
      <c r="E177" s="2"/>
      <c r="F177" s="2"/>
      <c r="G177" s="2"/>
      <c r="H177" s="2"/>
      <c r="I177" s="2"/>
      <c r="J177" s="2"/>
      <c r="K177" s="2"/>
      <c r="L177" s="2"/>
      <c r="M177" s="2"/>
      <c r="N177" s="2"/>
      <c r="O177" s="2"/>
      <c r="P177" s="2"/>
      <c r="Q177" s="2"/>
      <c r="R177" s="2"/>
      <c r="S177" s="2"/>
      <c r="T177" s="2"/>
      <c r="U177" s="2"/>
      <c r="V177" s="2"/>
      <c r="W177" s="2"/>
    </row>
    <row r="178">
      <c r="A178" s="2"/>
      <c r="B178" s="2"/>
      <c r="C178" s="2"/>
      <c r="D178" s="2"/>
      <c r="E178" s="2"/>
      <c r="F178" s="2"/>
      <c r="G178" s="2"/>
      <c r="H178" s="2"/>
      <c r="I178" s="2"/>
      <c r="J178" s="2"/>
      <c r="K178" s="2"/>
      <c r="L178" s="2"/>
      <c r="M178" s="2"/>
      <c r="N178" s="2"/>
      <c r="O178" s="2"/>
      <c r="P178" s="2"/>
      <c r="Q178" s="2"/>
      <c r="R178" s="2"/>
      <c r="S178" s="2"/>
      <c r="T178" s="2"/>
      <c r="U178" s="2"/>
      <c r="V178" s="2"/>
      <c r="W178" s="2"/>
    </row>
    <row r="179">
      <c r="A179" s="2"/>
      <c r="B179" s="2"/>
      <c r="C179" s="2"/>
      <c r="D179" s="2"/>
      <c r="E179" s="2"/>
      <c r="F179" s="2"/>
      <c r="G179" s="2"/>
      <c r="H179" s="2"/>
      <c r="I179" s="2"/>
      <c r="J179" s="2"/>
      <c r="K179" s="2"/>
      <c r="L179" s="2"/>
      <c r="M179" s="2"/>
      <c r="N179" s="2"/>
      <c r="O179" s="2"/>
      <c r="P179" s="2"/>
      <c r="Q179" s="2"/>
      <c r="R179" s="2"/>
      <c r="S179" s="2"/>
      <c r="T179" s="2"/>
      <c r="U179" s="2"/>
      <c r="V179" s="2"/>
      <c r="W179" s="2"/>
    </row>
    <row r="180">
      <c r="A180" s="2"/>
      <c r="B180" s="2"/>
      <c r="C180" s="2"/>
      <c r="D180" s="2"/>
      <c r="E180" s="2"/>
      <c r="F180" s="2"/>
      <c r="G180" s="2"/>
      <c r="H180" s="2"/>
      <c r="I180" s="2"/>
      <c r="J180" s="2"/>
      <c r="K180" s="2"/>
      <c r="L180" s="2"/>
      <c r="M180" s="2"/>
      <c r="N180" s="2"/>
      <c r="O180" s="2"/>
      <c r="P180" s="2"/>
      <c r="Q180" s="2"/>
      <c r="R180" s="2"/>
      <c r="S180" s="2"/>
      <c r="T180" s="2"/>
      <c r="U180" s="2"/>
      <c r="V180" s="2"/>
      <c r="W180" s="2"/>
    </row>
    <row r="181">
      <c r="A181" s="2"/>
      <c r="B181" s="2"/>
      <c r="C181" s="2"/>
      <c r="D181" s="2"/>
      <c r="E181" s="2"/>
      <c r="F181" s="2"/>
      <c r="G181" s="2"/>
      <c r="H181" s="2"/>
      <c r="I181" s="2"/>
      <c r="J181" s="2"/>
      <c r="K181" s="2"/>
      <c r="L181" s="2"/>
      <c r="M181" s="2"/>
      <c r="N181" s="2"/>
      <c r="O181" s="2"/>
      <c r="P181" s="2"/>
      <c r="Q181" s="2"/>
      <c r="R181" s="2"/>
      <c r="S181" s="2"/>
      <c r="T181" s="2"/>
      <c r="U181" s="2"/>
      <c r="V181" s="2"/>
      <c r="W181" s="2"/>
    </row>
    <row r="182">
      <c r="A182" s="2"/>
      <c r="B182" s="2"/>
      <c r="C182" s="2"/>
      <c r="D182" s="2"/>
      <c r="E182" s="2"/>
      <c r="F182" s="2"/>
      <c r="G182" s="2"/>
      <c r="H182" s="2"/>
      <c r="I182" s="2"/>
      <c r="J182" s="2"/>
      <c r="K182" s="2"/>
      <c r="L182" s="2"/>
      <c r="M182" s="2"/>
      <c r="N182" s="2"/>
      <c r="O182" s="2"/>
      <c r="P182" s="2"/>
      <c r="Q182" s="2"/>
      <c r="R182" s="2"/>
      <c r="S182" s="2"/>
      <c r="T182" s="2"/>
      <c r="U182" s="2"/>
      <c r="V182" s="2"/>
      <c r="W182" s="2"/>
    </row>
    <row r="183">
      <c r="A183" s="2"/>
      <c r="B183" s="2"/>
      <c r="C183" s="2"/>
      <c r="D183" s="2"/>
      <c r="E183" s="2"/>
      <c r="F183" s="2"/>
      <c r="G183" s="2"/>
      <c r="H183" s="2"/>
      <c r="I183" s="2"/>
      <c r="J183" s="2"/>
      <c r="K183" s="2"/>
      <c r="L183" s="2"/>
      <c r="M183" s="2"/>
      <c r="N183" s="2"/>
      <c r="O183" s="2"/>
      <c r="P183" s="2"/>
      <c r="Q183" s="2"/>
      <c r="R183" s="2"/>
      <c r="S183" s="2"/>
      <c r="T183" s="2"/>
      <c r="U183" s="2"/>
      <c r="V183" s="2"/>
      <c r="W183" s="2"/>
    </row>
    <row r="184">
      <c r="A184" s="2"/>
      <c r="B184" s="2"/>
      <c r="C184" s="2"/>
      <c r="D184" s="2"/>
      <c r="E184" s="2"/>
      <c r="F184" s="2"/>
      <c r="G184" s="2"/>
      <c r="H184" s="2"/>
      <c r="I184" s="2"/>
      <c r="J184" s="2"/>
      <c r="K184" s="2"/>
      <c r="L184" s="2"/>
      <c r="M184" s="2"/>
      <c r="N184" s="2"/>
      <c r="O184" s="2"/>
      <c r="P184" s="2"/>
      <c r="Q184" s="2"/>
      <c r="R184" s="2"/>
      <c r="S184" s="2"/>
      <c r="T184" s="2"/>
      <c r="U184" s="2"/>
      <c r="V184" s="2"/>
      <c r="W184" s="2"/>
    </row>
    <row r="185">
      <c r="A185" s="2"/>
      <c r="B185" s="2"/>
      <c r="C185" s="2"/>
      <c r="D185" s="2"/>
      <c r="E185" s="2"/>
      <c r="F185" s="2"/>
      <c r="G185" s="2"/>
      <c r="H185" s="2"/>
      <c r="I185" s="2"/>
      <c r="J185" s="2"/>
      <c r="K185" s="2"/>
      <c r="L185" s="2"/>
      <c r="M185" s="2"/>
      <c r="N185" s="2"/>
      <c r="O185" s="2"/>
      <c r="P185" s="2"/>
      <c r="Q185" s="2"/>
      <c r="R185" s="2"/>
      <c r="S185" s="2"/>
      <c r="T185" s="2"/>
      <c r="U185" s="2"/>
      <c r="V185" s="2"/>
      <c r="W185" s="2"/>
    </row>
    <row r="186">
      <c r="A186" s="2"/>
      <c r="B186" s="2"/>
      <c r="C186" s="2"/>
      <c r="D186" s="2"/>
      <c r="E186" s="2"/>
      <c r="F186" s="2"/>
      <c r="G186" s="2"/>
      <c r="H186" s="2"/>
      <c r="I186" s="2"/>
      <c r="J186" s="2"/>
      <c r="K186" s="2"/>
      <c r="L186" s="2"/>
      <c r="M186" s="2"/>
      <c r="N186" s="2"/>
      <c r="O186" s="2"/>
      <c r="P186" s="2"/>
      <c r="Q186" s="2"/>
      <c r="R186" s="2"/>
      <c r="S186" s="2"/>
      <c r="T186" s="2"/>
      <c r="U186" s="2"/>
      <c r="V186" s="2"/>
      <c r="W186" s="2"/>
    </row>
    <row r="187">
      <c r="A187" s="2"/>
      <c r="B187" s="2"/>
      <c r="C187" s="2"/>
      <c r="D187" s="2"/>
      <c r="E187" s="2"/>
      <c r="F187" s="2"/>
      <c r="G187" s="2"/>
      <c r="H187" s="2"/>
      <c r="I187" s="2"/>
      <c r="J187" s="2"/>
      <c r="K187" s="2"/>
      <c r="L187" s="2"/>
      <c r="M187" s="2"/>
      <c r="N187" s="2"/>
      <c r="O187" s="2"/>
      <c r="P187" s="2"/>
      <c r="Q187" s="2"/>
      <c r="R187" s="2"/>
      <c r="S187" s="2"/>
      <c r="T187" s="2"/>
      <c r="U187" s="2"/>
      <c r="V187" s="2"/>
      <c r="W187" s="2"/>
    </row>
    <row r="188">
      <c r="A188" s="2"/>
      <c r="B188" s="2"/>
      <c r="C188" s="2"/>
      <c r="D188" s="2"/>
      <c r="E188" s="2"/>
      <c r="F188" s="2"/>
      <c r="G188" s="2"/>
      <c r="H188" s="2"/>
      <c r="I188" s="2"/>
      <c r="J188" s="2"/>
      <c r="K188" s="2"/>
      <c r="L188" s="2"/>
      <c r="M188" s="2"/>
      <c r="N188" s="2"/>
      <c r="O188" s="2"/>
      <c r="P188" s="2"/>
      <c r="Q188" s="2"/>
      <c r="R188" s="2"/>
      <c r="S188" s="2"/>
      <c r="T188" s="2"/>
      <c r="U188" s="2"/>
      <c r="V188" s="2"/>
      <c r="W188" s="2"/>
    </row>
    <row r="189">
      <c r="A189" s="2"/>
      <c r="B189" s="2"/>
      <c r="C189" s="2"/>
      <c r="D189" s="2"/>
      <c r="E189" s="2"/>
      <c r="F189" s="2"/>
      <c r="G189" s="2"/>
      <c r="H189" s="2"/>
      <c r="I189" s="2"/>
      <c r="J189" s="2"/>
      <c r="K189" s="2"/>
      <c r="L189" s="2"/>
      <c r="M189" s="2"/>
      <c r="N189" s="2"/>
      <c r="O189" s="2"/>
      <c r="P189" s="2"/>
      <c r="Q189" s="2"/>
      <c r="R189" s="2"/>
      <c r="S189" s="2"/>
      <c r="T189" s="2"/>
      <c r="U189" s="2"/>
      <c r="V189" s="2"/>
      <c r="W189" s="2"/>
    </row>
    <row r="190">
      <c r="A190" s="2"/>
      <c r="B190" s="2"/>
      <c r="C190" s="2"/>
      <c r="D190" s="2"/>
      <c r="E190" s="2"/>
      <c r="F190" s="2"/>
      <c r="G190" s="2"/>
      <c r="H190" s="2"/>
      <c r="I190" s="2"/>
      <c r="J190" s="2"/>
      <c r="K190" s="2"/>
      <c r="L190" s="2"/>
      <c r="M190" s="2"/>
      <c r="N190" s="2"/>
      <c r="O190" s="2"/>
      <c r="P190" s="2"/>
      <c r="Q190" s="2"/>
      <c r="R190" s="2"/>
      <c r="S190" s="2"/>
      <c r="T190" s="2"/>
      <c r="U190" s="2"/>
      <c r="V190" s="2"/>
      <c r="W190" s="2"/>
    </row>
    <row r="191">
      <c r="A191" s="2"/>
      <c r="B191" s="2"/>
      <c r="C191" s="2"/>
      <c r="D191" s="2"/>
      <c r="E191" s="2"/>
      <c r="F191" s="2"/>
      <c r="G191" s="2"/>
      <c r="H191" s="2"/>
      <c r="I191" s="2"/>
      <c r="J191" s="2"/>
      <c r="K191" s="2"/>
      <c r="L191" s="2"/>
      <c r="M191" s="2"/>
      <c r="N191" s="2"/>
      <c r="O191" s="2"/>
      <c r="P191" s="2"/>
      <c r="Q191" s="2"/>
      <c r="R191" s="2"/>
      <c r="S191" s="2"/>
      <c r="T191" s="2"/>
      <c r="U191" s="2"/>
      <c r="V191" s="2"/>
      <c r="W191" s="2"/>
    </row>
    <row r="192">
      <c r="A192" s="2"/>
      <c r="B192" s="2"/>
      <c r="C192" s="2"/>
      <c r="D192" s="2"/>
      <c r="E192" s="2"/>
      <c r="F192" s="2"/>
      <c r="G192" s="2"/>
      <c r="H192" s="2"/>
      <c r="I192" s="2"/>
      <c r="J192" s="2"/>
      <c r="K192" s="2"/>
      <c r="L192" s="2"/>
      <c r="M192" s="2"/>
      <c r="N192" s="2"/>
      <c r="O192" s="2"/>
      <c r="P192" s="2"/>
      <c r="Q192" s="2"/>
      <c r="R192" s="2"/>
      <c r="S192" s="2"/>
      <c r="T192" s="2"/>
      <c r="U192" s="2"/>
      <c r="V192" s="2"/>
      <c r="W192" s="2"/>
    </row>
    <row r="193">
      <c r="A193" s="2"/>
      <c r="B193" s="2"/>
      <c r="C193" s="2"/>
      <c r="D193" s="2"/>
      <c r="E193" s="2"/>
      <c r="F193" s="2"/>
      <c r="G193" s="2"/>
      <c r="H193" s="2"/>
      <c r="I193" s="2"/>
      <c r="J193" s="2"/>
      <c r="K193" s="2"/>
      <c r="L193" s="2"/>
      <c r="M193" s="2"/>
      <c r="N193" s="2"/>
      <c r="O193" s="2"/>
      <c r="P193" s="2"/>
      <c r="Q193" s="2"/>
      <c r="R193" s="2"/>
      <c r="S193" s="2"/>
      <c r="T193" s="2"/>
      <c r="U193" s="2"/>
      <c r="V193" s="2"/>
      <c r="W193" s="2"/>
    </row>
    <row r="194">
      <c r="A194" s="2"/>
      <c r="B194" s="2"/>
      <c r="C194" s="2"/>
      <c r="D194" s="2"/>
      <c r="E194" s="2"/>
      <c r="F194" s="2"/>
      <c r="G194" s="2"/>
      <c r="H194" s="2"/>
      <c r="I194" s="2"/>
      <c r="J194" s="2"/>
      <c r="K194" s="2"/>
      <c r="L194" s="2"/>
      <c r="M194" s="2"/>
      <c r="N194" s="2"/>
      <c r="O194" s="2"/>
      <c r="P194" s="2"/>
      <c r="Q194" s="2"/>
      <c r="R194" s="2"/>
      <c r="S194" s="2"/>
      <c r="T194" s="2"/>
      <c r="U194" s="2"/>
      <c r="V194" s="2"/>
      <c r="W194" s="2"/>
    </row>
    <row r="195">
      <c r="A195" s="2"/>
      <c r="B195" s="2"/>
      <c r="C195" s="2"/>
      <c r="D195" s="2"/>
      <c r="E195" s="2"/>
      <c r="F195" s="2"/>
      <c r="G195" s="2"/>
      <c r="H195" s="2"/>
      <c r="I195" s="2"/>
      <c r="J195" s="2"/>
      <c r="K195" s="2"/>
      <c r="L195" s="2"/>
      <c r="M195" s="2"/>
      <c r="N195" s="2"/>
      <c r="O195" s="2"/>
      <c r="P195" s="2"/>
      <c r="Q195" s="2"/>
      <c r="R195" s="2"/>
      <c r="S195" s="2"/>
      <c r="T195" s="2"/>
      <c r="U195" s="2"/>
      <c r="V195" s="2"/>
      <c r="W195" s="2"/>
    </row>
    <row r="196">
      <c r="A196" s="2"/>
      <c r="B196" s="2"/>
      <c r="C196" s="2"/>
      <c r="D196" s="2"/>
      <c r="E196" s="2"/>
      <c r="F196" s="2"/>
      <c r="G196" s="2"/>
      <c r="H196" s="2"/>
      <c r="I196" s="2"/>
      <c r="J196" s="2"/>
      <c r="K196" s="2"/>
      <c r="L196" s="2"/>
      <c r="M196" s="2"/>
      <c r="N196" s="2"/>
      <c r="O196" s="2"/>
      <c r="P196" s="2"/>
      <c r="Q196" s="2"/>
      <c r="R196" s="2"/>
      <c r="S196" s="2"/>
      <c r="T196" s="2"/>
      <c r="U196" s="2"/>
      <c r="V196" s="2"/>
      <c r="W196" s="2"/>
    </row>
    <row r="197">
      <c r="A197" s="2"/>
      <c r="B197" s="2"/>
      <c r="C197" s="2"/>
      <c r="D197" s="2"/>
      <c r="E197" s="2"/>
      <c r="F197" s="2"/>
      <c r="G197" s="2"/>
      <c r="H197" s="2"/>
      <c r="I197" s="2"/>
      <c r="J197" s="2"/>
      <c r="K197" s="2"/>
      <c r="L197" s="2"/>
      <c r="M197" s="2"/>
      <c r="N197" s="2"/>
      <c r="O197" s="2"/>
      <c r="P197" s="2"/>
      <c r="Q197" s="2"/>
      <c r="R197" s="2"/>
      <c r="S197" s="2"/>
      <c r="T197" s="2"/>
      <c r="U197" s="2"/>
      <c r="V197" s="2"/>
      <c r="W197" s="2"/>
    </row>
    <row r="198">
      <c r="A198" s="2"/>
      <c r="B198" s="2"/>
      <c r="C198" s="2"/>
      <c r="D198" s="2"/>
      <c r="E198" s="2"/>
      <c r="F198" s="2"/>
      <c r="G198" s="2"/>
      <c r="H198" s="2"/>
      <c r="I198" s="2"/>
      <c r="J198" s="2"/>
      <c r="K198" s="2"/>
      <c r="L198" s="2"/>
      <c r="M198" s="2"/>
      <c r="N198" s="2"/>
      <c r="O198" s="2"/>
      <c r="P198" s="2"/>
      <c r="Q198" s="2"/>
      <c r="R198" s="2"/>
      <c r="S198" s="2"/>
      <c r="T198" s="2"/>
      <c r="U198" s="2"/>
      <c r="V198" s="2"/>
      <c r="W198" s="2"/>
    </row>
    <row r="199">
      <c r="A199" s="2"/>
      <c r="B199" s="2"/>
      <c r="C199" s="2"/>
      <c r="D199" s="2"/>
      <c r="E199" s="2"/>
      <c r="F199" s="2"/>
      <c r="G199" s="2"/>
      <c r="H199" s="2"/>
      <c r="I199" s="2"/>
      <c r="J199" s="2"/>
      <c r="K199" s="2"/>
      <c r="L199" s="2"/>
      <c r="M199" s="2"/>
      <c r="N199" s="2"/>
      <c r="O199" s="2"/>
      <c r="P199" s="2"/>
      <c r="Q199" s="2"/>
      <c r="R199" s="2"/>
      <c r="S199" s="2"/>
      <c r="T199" s="2"/>
      <c r="U199" s="2"/>
      <c r="V199" s="2"/>
      <c r="W199" s="2"/>
    </row>
    <row r="200">
      <c r="A200" s="2"/>
      <c r="B200" s="2"/>
      <c r="C200" s="2"/>
      <c r="D200" s="2"/>
      <c r="E200" s="2"/>
      <c r="F200" s="2"/>
      <c r="G200" s="2"/>
      <c r="H200" s="2"/>
      <c r="I200" s="2"/>
      <c r="J200" s="2"/>
      <c r="K200" s="2"/>
      <c r="L200" s="2"/>
      <c r="M200" s="2"/>
      <c r="N200" s="2"/>
      <c r="O200" s="2"/>
      <c r="P200" s="2"/>
      <c r="Q200" s="2"/>
      <c r="R200" s="2"/>
      <c r="S200" s="2"/>
      <c r="T200" s="2"/>
      <c r="U200" s="2"/>
      <c r="V200" s="2"/>
      <c r="W200" s="2"/>
    </row>
    <row r="201">
      <c r="A201" s="2"/>
      <c r="B201" s="2"/>
      <c r="C201" s="2"/>
      <c r="D201" s="2"/>
      <c r="E201" s="2"/>
      <c r="F201" s="2"/>
      <c r="G201" s="2"/>
      <c r="H201" s="2"/>
      <c r="I201" s="2"/>
      <c r="J201" s="2"/>
      <c r="K201" s="2"/>
      <c r="L201" s="2"/>
      <c r="M201" s="2"/>
      <c r="N201" s="2"/>
      <c r="O201" s="2"/>
      <c r="P201" s="2"/>
      <c r="Q201" s="2"/>
      <c r="R201" s="2"/>
      <c r="S201" s="2"/>
      <c r="T201" s="2"/>
      <c r="U201" s="2"/>
      <c r="V201" s="2"/>
      <c r="W201" s="2"/>
    </row>
    <row r="202">
      <c r="A202" s="2"/>
      <c r="B202" s="2"/>
      <c r="C202" s="2"/>
      <c r="D202" s="2"/>
      <c r="E202" s="2"/>
      <c r="F202" s="2"/>
      <c r="G202" s="2"/>
      <c r="H202" s="2"/>
      <c r="I202" s="2"/>
      <c r="J202" s="2"/>
      <c r="K202" s="2"/>
      <c r="L202" s="2"/>
      <c r="M202" s="2"/>
      <c r="N202" s="2"/>
      <c r="O202" s="2"/>
      <c r="P202" s="2"/>
      <c r="Q202" s="2"/>
      <c r="R202" s="2"/>
      <c r="S202" s="2"/>
      <c r="T202" s="2"/>
      <c r="U202" s="2"/>
      <c r="V202" s="2"/>
      <c r="W202" s="2"/>
    </row>
    <row r="203">
      <c r="A203" s="2"/>
      <c r="B203" s="2"/>
      <c r="C203" s="2"/>
      <c r="D203" s="2"/>
      <c r="E203" s="2"/>
      <c r="F203" s="2"/>
      <c r="G203" s="2"/>
      <c r="H203" s="2"/>
      <c r="I203" s="2"/>
      <c r="J203" s="2"/>
      <c r="K203" s="2"/>
      <c r="L203" s="2"/>
      <c r="M203" s="2"/>
      <c r="N203" s="2"/>
      <c r="O203" s="2"/>
      <c r="P203" s="2"/>
      <c r="Q203" s="2"/>
      <c r="R203" s="2"/>
      <c r="S203" s="2"/>
      <c r="T203" s="2"/>
      <c r="U203" s="2"/>
      <c r="V203" s="2"/>
      <c r="W203" s="2"/>
    </row>
    <row r="204">
      <c r="A204" s="2"/>
      <c r="B204" s="2"/>
      <c r="C204" s="2"/>
      <c r="D204" s="2"/>
      <c r="E204" s="2"/>
      <c r="F204" s="2"/>
      <c r="G204" s="2"/>
      <c r="H204" s="2"/>
      <c r="I204" s="2"/>
      <c r="J204" s="2"/>
      <c r="K204" s="2"/>
      <c r="L204" s="2"/>
      <c r="M204" s="2"/>
      <c r="N204" s="2"/>
      <c r="O204" s="2"/>
      <c r="P204" s="2"/>
      <c r="Q204" s="2"/>
      <c r="R204" s="2"/>
      <c r="S204" s="2"/>
      <c r="T204" s="2"/>
      <c r="U204" s="2"/>
      <c r="V204" s="2"/>
      <c r="W204" s="2"/>
    </row>
    <row r="205">
      <c r="A205" s="2"/>
      <c r="B205" s="2"/>
      <c r="C205" s="2"/>
      <c r="D205" s="2"/>
      <c r="E205" s="2"/>
      <c r="F205" s="2"/>
      <c r="G205" s="2"/>
      <c r="H205" s="2"/>
      <c r="I205" s="2"/>
      <c r="J205" s="2"/>
      <c r="K205" s="2"/>
      <c r="L205" s="2"/>
      <c r="M205" s="2"/>
      <c r="N205" s="2"/>
      <c r="O205" s="2"/>
      <c r="P205" s="2"/>
      <c r="Q205" s="2"/>
      <c r="R205" s="2"/>
      <c r="S205" s="2"/>
      <c r="T205" s="2"/>
      <c r="U205" s="2"/>
      <c r="V205" s="2"/>
      <c r="W205" s="2"/>
    </row>
    <row r="206">
      <c r="A206" s="2"/>
      <c r="B206" s="2"/>
      <c r="C206" s="2"/>
      <c r="D206" s="2"/>
      <c r="E206" s="2"/>
      <c r="F206" s="2"/>
      <c r="G206" s="2"/>
      <c r="H206" s="2"/>
      <c r="I206" s="2"/>
      <c r="J206" s="2"/>
      <c r="K206" s="2"/>
      <c r="L206" s="2"/>
      <c r="M206" s="2"/>
      <c r="N206" s="2"/>
      <c r="O206" s="2"/>
      <c r="P206" s="2"/>
      <c r="Q206" s="2"/>
      <c r="R206" s="2"/>
      <c r="S206" s="2"/>
      <c r="T206" s="2"/>
      <c r="U206" s="2"/>
      <c r="V206" s="2"/>
      <c r="W206" s="2"/>
    </row>
    <row r="207">
      <c r="A207" s="2"/>
      <c r="B207" s="2"/>
      <c r="C207" s="2"/>
      <c r="D207" s="2"/>
      <c r="E207" s="2"/>
      <c r="F207" s="2"/>
      <c r="G207" s="2"/>
      <c r="H207" s="2"/>
      <c r="I207" s="2"/>
      <c r="J207" s="2"/>
      <c r="K207" s="2"/>
      <c r="L207" s="2"/>
      <c r="M207" s="2"/>
      <c r="N207" s="2"/>
      <c r="O207" s="2"/>
      <c r="P207" s="2"/>
      <c r="Q207" s="2"/>
      <c r="R207" s="2"/>
      <c r="S207" s="2"/>
      <c r="T207" s="2"/>
      <c r="U207" s="2"/>
      <c r="V207" s="2"/>
      <c r="W207" s="2"/>
    </row>
    <row r="208">
      <c r="A208" s="2"/>
      <c r="B208" s="2"/>
      <c r="C208" s="2"/>
      <c r="D208" s="2"/>
      <c r="E208" s="2"/>
      <c r="F208" s="2"/>
      <c r="G208" s="2"/>
      <c r="H208" s="2"/>
      <c r="I208" s="2"/>
      <c r="J208" s="2"/>
      <c r="K208" s="2"/>
      <c r="L208" s="2"/>
      <c r="M208" s="2"/>
      <c r="N208" s="2"/>
      <c r="O208" s="2"/>
      <c r="P208" s="2"/>
      <c r="Q208" s="2"/>
      <c r="R208" s="2"/>
      <c r="S208" s="2"/>
      <c r="T208" s="2"/>
      <c r="U208" s="2"/>
      <c r="V208" s="2"/>
      <c r="W208" s="2"/>
    </row>
    <row r="209">
      <c r="A209" s="2"/>
      <c r="B209" s="2"/>
      <c r="C209" s="2"/>
      <c r="D209" s="2"/>
      <c r="E209" s="2"/>
      <c r="F209" s="2"/>
      <c r="G209" s="2"/>
      <c r="H209" s="2"/>
      <c r="I209" s="2"/>
      <c r="J209" s="2"/>
      <c r="K209" s="2"/>
      <c r="L209" s="2"/>
      <c r="M209" s="2"/>
      <c r="N209" s="2"/>
      <c r="O209" s="2"/>
      <c r="P209" s="2"/>
      <c r="Q209" s="2"/>
      <c r="R209" s="2"/>
      <c r="S209" s="2"/>
      <c r="T209" s="2"/>
      <c r="U209" s="2"/>
      <c r="V209" s="2"/>
      <c r="W209" s="2"/>
    </row>
    <row r="210">
      <c r="A210" s="2"/>
      <c r="B210" s="2"/>
      <c r="C210" s="2"/>
      <c r="D210" s="2"/>
      <c r="E210" s="2"/>
      <c r="F210" s="2"/>
      <c r="G210" s="2"/>
      <c r="H210" s="2"/>
      <c r="I210" s="2"/>
      <c r="J210" s="2"/>
      <c r="K210" s="2"/>
      <c r="L210" s="2"/>
      <c r="M210" s="2"/>
      <c r="N210" s="2"/>
      <c r="O210" s="2"/>
      <c r="P210" s="2"/>
      <c r="Q210" s="2"/>
      <c r="R210" s="2"/>
      <c r="S210" s="2"/>
      <c r="T210" s="2"/>
      <c r="U210" s="2"/>
      <c r="V210" s="2"/>
      <c r="W210" s="2"/>
    </row>
    <row r="211">
      <c r="A211" s="2"/>
      <c r="B211" s="2"/>
      <c r="C211" s="2"/>
      <c r="D211" s="2"/>
      <c r="E211" s="2"/>
      <c r="F211" s="2"/>
      <c r="G211" s="2"/>
      <c r="H211" s="2"/>
      <c r="I211" s="2"/>
      <c r="J211" s="2"/>
      <c r="K211" s="2"/>
      <c r="L211" s="2"/>
      <c r="M211" s="2"/>
      <c r="N211" s="2"/>
      <c r="O211" s="2"/>
      <c r="P211" s="2"/>
      <c r="Q211" s="2"/>
      <c r="R211" s="2"/>
      <c r="S211" s="2"/>
      <c r="T211" s="2"/>
      <c r="U211" s="2"/>
      <c r="V211" s="2"/>
      <c r="W211" s="2"/>
    </row>
    <row r="212">
      <c r="A212" s="2"/>
      <c r="B212" s="2"/>
      <c r="C212" s="2"/>
      <c r="D212" s="2"/>
      <c r="E212" s="2"/>
      <c r="F212" s="2"/>
      <c r="G212" s="2"/>
      <c r="H212" s="2"/>
      <c r="I212" s="2"/>
      <c r="J212" s="2"/>
      <c r="K212" s="2"/>
      <c r="L212" s="2"/>
      <c r="M212" s="2"/>
      <c r="N212" s="2"/>
      <c r="O212" s="2"/>
      <c r="P212" s="2"/>
      <c r="Q212" s="2"/>
      <c r="R212" s="2"/>
      <c r="S212" s="2"/>
      <c r="T212" s="2"/>
      <c r="U212" s="2"/>
      <c r="V212" s="2"/>
      <c r="W212" s="2"/>
    </row>
    <row r="213">
      <c r="A213" s="2"/>
      <c r="B213" s="2"/>
      <c r="C213" s="2"/>
      <c r="D213" s="2"/>
      <c r="E213" s="2"/>
      <c r="F213" s="2"/>
      <c r="G213" s="2"/>
      <c r="H213" s="2"/>
      <c r="I213" s="2"/>
      <c r="J213" s="2"/>
      <c r="K213" s="2"/>
      <c r="L213" s="2"/>
      <c r="M213" s="2"/>
      <c r="N213" s="2"/>
      <c r="O213" s="2"/>
      <c r="P213" s="2"/>
      <c r="Q213" s="2"/>
      <c r="R213" s="2"/>
      <c r="S213" s="2"/>
      <c r="T213" s="2"/>
      <c r="U213" s="2"/>
      <c r="V213" s="2"/>
      <c r="W213" s="2"/>
    </row>
    <row r="214">
      <c r="A214" s="2"/>
      <c r="B214" s="2"/>
      <c r="C214" s="2"/>
      <c r="D214" s="2"/>
      <c r="E214" s="2"/>
      <c r="F214" s="2"/>
      <c r="G214" s="2"/>
      <c r="H214" s="2"/>
      <c r="I214" s="2"/>
      <c r="J214" s="2"/>
      <c r="K214" s="2"/>
      <c r="L214" s="2"/>
      <c r="M214" s="2"/>
      <c r="N214" s="2"/>
      <c r="O214" s="2"/>
      <c r="P214" s="2"/>
      <c r="Q214" s="2"/>
      <c r="R214" s="2"/>
      <c r="S214" s="2"/>
      <c r="T214" s="2"/>
      <c r="U214" s="2"/>
      <c r="V214" s="2"/>
      <c r="W214" s="2"/>
    </row>
    <row r="215">
      <c r="A215" s="2"/>
      <c r="B215" s="2"/>
      <c r="C215" s="2"/>
      <c r="D215" s="2"/>
      <c r="E215" s="2"/>
      <c r="F215" s="2"/>
      <c r="G215" s="2"/>
      <c r="H215" s="2"/>
      <c r="I215" s="2"/>
      <c r="J215" s="2"/>
      <c r="K215" s="2"/>
      <c r="L215" s="2"/>
      <c r="M215" s="2"/>
      <c r="N215" s="2"/>
      <c r="O215" s="2"/>
      <c r="P215" s="2"/>
      <c r="Q215" s="2"/>
      <c r="R215" s="2"/>
      <c r="S215" s="2"/>
      <c r="T215" s="2"/>
      <c r="U215" s="2"/>
      <c r="V215" s="2"/>
      <c r="W215" s="2"/>
    </row>
    <row r="216">
      <c r="A216" s="2"/>
      <c r="B216" s="2"/>
      <c r="C216" s="2"/>
      <c r="D216" s="2"/>
      <c r="E216" s="2"/>
      <c r="F216" s="2"/>
      <c r="G216" s="2"/>
      <c r="H216" s="2"/>
      <c r="I216" s="2"/>
      <c r="J216" s="2"/>
      <c r="K216" s="2"/>
      <c r="L216" s="2"/>
      <c r="M216" s="2"/>
      <c r="N216" s="2"/>
      <c r="O216" s="2"/>
      <c r="P216" s="2"/>
      <c r="Q216" s="2"/>
      <c r="R216" s="2"/>
      <c r="S216" s="2"/>
      <c r="T216" s="2"/>
      <c r="U216" s="2"/>
      <c r="V216" s="2"/>
      <c r="W216" s="2"/>
    </row>
    <row r="217">
      <c r="A217" s="2"/>
      <c r="B217" s="2"/>
      <c r="C217" s="2"/>
      <c r="D217" s="2"/>
      <c r="E217" s="2"/>
      <c r="F217" s="2"/>
      <c r="G217" s="2"/>
      <c r="H217" s="2"/>
      <c r="I217" s="2"/>
      <c r="J217" s="2"/>
      <c r="K217" s="2"/>
      <c r="L217" s="2"/>
      <c r="M217" s="2"/>
      <c r="N217" s="2"/>
      <c r="O217" s="2"/>
      <c r="P217" s="2"/>
      <c r="Q217" s="2"/>
      <c r="R217" s="2"/>
      <c r="S217" s="2"/>
      <c r="T217" s="2"/>
      <c r="U217" s="2"/>
      <c r="V217" s="2"/>
      <c r="W217" s="2"/>
    </row>
    <row r="218">
      <c r="A218" s="2"/>
      <c r="B218" s="2"/>
      <c r="C218" s="2"/>
      <c r="D218" s="2"/>
      <c r="E218" s="2"/>
      <c r="F218" s="2"/>
      <c r="G218" s="2"/>
      <c r="H218" s="2"/>
      <c r="I218" s="2"/>
      <c r="J218" s="2"/>
      <c r="K218" s="2"/>
      <c r="L218" s="2"/>
      <c r="M218" s="2"/>
      <c r="N218" s="2"/>
      <c r="O218" s="2"/>
      <c r="P218" s="2"/>
      <c r="Q218" s="2"/>
      <c r="R218" s="2"/>
      <c r="S218" s="2"/>
      <c r="T218" s="2"/>
      <c r="U218" s="2"/>
      <c r="V218" s="2"/>
      <c r="W218" s="2"/>
    </row>
    <row r="219">
      <c r="A219" s="2"/>
      <c r="B219" s="2"/>
      <c r="C219" s="2"/>
      <c r="D219" s="2"/>
      <c r="E219" s="2"/>
      <c r="F219" s="2"/>
      <c r="G219" s="2"/>
      <c r="H219" s="2"/>
      <c r="I219" s="2"/>
      <c r="J219" s="2"/>
      <c r="K219" s="2"/>
      <c r="L219" s="2"/>
      <c r="M219" s="2"/>
      <c r="N219" s="2"/>
      <c r="O219" s="2"/>
      <c r="P219" s="2"/>
      <c r="Q219" s="2"/>
      <c r="R219" s="2"/>
      <c r="S219" s="2"/>
      <c r="T219" s="2"/>
      <c r="U219" s="2"/>
      <c r="V219" s="2"/>
      <c r="W219" s="2"/>
    </row>
    <row r="220">
      <c r="A220" s="2"/>
      <c r="B220" s="2"/>
      <c r="C220" s="2"/>
      <c r="D220" s="2"/>
      <c r="E220" s="2"/>
      <c r="F220" s="2"/>
      <c r="G220" s="2"/>
      <c r="H220" s="2"/>
      <c r="I220" s="2"/>
      <c r="J220" s="2"/>
      <c r="K220" s="2"/>
      <c r="L220" s="2"/>
      <c r="M220" s="2"/>
      <c r="N220" s="2"/>
      <c r="O220" s="2"/>
      <c r="P220" s="2"/>
      <c r="Q220" s="2"/>
      <c r="R220" s="2"/>
      <c r="S220" s="2"/>
      <c r="T220" s="2"/>
      <c r="U220" s="2"/>
      <c r="V220" s="2"/>
      <c r="W220" s="2"/>
    </row>
    <row r="221">
      <c r="A221" s="2"/>
      <c r="B221" s="2"/>
      <c r="C221" s="2"/>
      <c r="D221" s="2"/>
      <c r="E221" s="2"/>
      <c r="F221" s="2"/>
      <c r="G221" s="2"/>
      <c r="H221" s="2"/>
      <c r="I221" s="2"/>
      <c r="J221" s="2"/>
      <c r="K221" s="2"/>
      <c r="L221" s="2"/>
      <c r="M221" s="2"/>
      <c r="N221" s="2"/>
      <c r="O221" s="2"/>
      <c r="P221" s="2"/>
      <c r="Q221" s="2"/>
      <c r="R221" s="2"/>
      <c r="S221" s="2"/>
      <c r="T221" s="2"/>
      <c r="U221" s="2"/>
      <c r="V221" s="2"/>
      <c r="W221" s="2"/>
    </row>
    <row r="222">
      <c r="A222" s="2"/>
      <c r="B222" s="2"/>
      <c r="C222" s="2"/>
      <c r="D222" s="2"/>
      <c r="E222" s="2"/>
      <c r="F222" s="2"/>
      <c r="G222" s="2"/>
      <c r="H222" s="2"/>
      <c r="I222" s="2"/>
      <c r="J222" s="2"/>
      <c r="K222" s="2"/>
      <c r="L222" s="2"/>
      <c r="M222" s="2"/>
      <c r="N222" s="2"/>
      <c r="O222" s="2"/>
      <c r="P222" s="2"/>
      <c r="Q222" s="2"/>
      <c r="R222" s="2"/>
      <c r="S222" s="2"/>
      <c r="T222" s="2"/>
      <c r="U222" s="2"/>
      <c r="V222" s="2"/>
      <c r="W222" s="2"/>
    </row>
    <row r="223">
      <c r="A223" s="2"/>
      <c r="B223" s="2"/>
      <c r="C223" s="2"/>
      <c r="D223" s="2"/>
      <c r="E223" s="2"/>
      <c r="F223" s="2"/>
      <c r="G223" s="2"/>
      <c r="H223" s="2"/>
      <c r="I223" s="2"/>
      <c r="J223" s="2"/>
      <c r="K223" s="2"/>
      <c r="L223" s="2"/>
      <c r="M223" s="2"/>
      <c r="N223" s="2"/>
      <c r="O223" s="2"/>
      <c r="P223" s="2"/>
      <c r="Q223" s="2"/>
      <c r="R223" s="2"/>
      <c r="S223" s="2"/>
      <c r="T223" s="2"/>
      <c r="U223" s="2"/>
      <c r="V223" s="2"/>
      <c r="W223" s="2"/>
    </row>
    <row r="224">
      <c r="A224" s="2"/>
      <c r="B224" s="2"/>
      <c r="C224" s="2"/>
      <c r="D224" s="2"/>
      <c r="E224" s="2"/>
      <c r="F224" s="2"/>
      <c r="G224" s="2"/>
      <c r="H224" s="2"/>
      <c r="I224" s="2"/>
      <c r="J224" s="2"/>
      <c r="K224" s="2"/>
      <c r="L224" s="2"/>
      <c r="M224" s="2"/>
      <c r="N224" s="2"/>
      <c r="O224" s="2"/>
      <c r="P224" s="2"/>
      <c r="Q224" s="2"/>
      <c r="R224" s="2"/>
      <c r="S224" s="2"/>
      <c r="T224" s="2"/>
      <c r="U224" s="2"/>
      <c r="V224" s="2"/>
      <c r="W224" s="2"/>
    </row>
    <row r="225">
      <c r="A225" s="2"/>
      <c r="B225" s="2"/>
      <c r="C225" s="2"/>
      <c r="D225" s="2"/>
      <c r="E225" s="2"/>
      <c r="F225" s="2"/>
      <c r="G225" s="2"/>
      <c r="H225" s="2"/>
      <c r="I225" s="2"/>
      <c r="J225" s="2"/>
      <c r="K225" s="2"/>
      <c r="L225" s="2"/>
      <c r="M225" s="2"/>
      <c r="N225" s="2"/>
      <c r="O225" s="2"/>
      <c r="P225" s="2"/>
      <c r="Q225" s="2"/>
      <c r="R225" s="2"/>
      <c r="S225" s="2"/>
      <c r="T225" s="2"/>
      <c r="U225" s="2"/>
      <c r="V225" s="2"/>
      <c r="W225" s="2"/>
    </row>
    <row r="226">
      <c r="A226" s="2"/>
      <c r="B226" s="2"/>
      <c r="C226" s="2"/>
      <c r="D226" s="2"/>
      <c r="E226" s="2"/>
      <c r="F226" s="2"/>
      <c r="G226" s="2"/>
      <c r="H226" s="2"/>
      <c r="I226" s="2"/>
      <c r="J226" s="2"/>
      <c r="K226" s="2"/>
      <c r="L226" s="2"/>
      <c r="M226" s="2"/>
      <c r="N226" s="2"/>
      <c r="O226" s="2"/>
      <c r="P226" s="2"/>
      <c r="Q226" s="2"/>
      <c r="R226" s="2"/>
      <c r="S226" s="2"/>
      <c r="T226" s="2"/>
      <c r="U226" s="2"/>
      <c r="V226" s="2"/>
      <c r="W226" s="2"/>
    </row>
    <row r="227">
      <c r="A227" s="2"/>
      <c r="B227" s="2"/>
      <c r="C227" s="2"/>
      <c r="D227" s="2"/>
      <c r="E227" s="2"/>
      <c r="F227" s="2"/>
      <c r="G227" s="2"/>
      <c r="H227" s="2"/>
      <c r="I227" s="2"/>
      <c r="J227" s="2"/>
      <c r="K227" s="2"/>
      <c r="L227" s="2"/>
      <c r="M227" s="2"/>
      <c r="N227" s="2"/>
      <c r="O227" s="2"/>
      <c r="P227" s="2"/>
      <c r="Q227" s="2"/>
      <c r="R227" s="2"/>
      <c r="S227" s="2"/>
      <c r="T227" s="2"/>
      <c r="U227" s="2"/>
      <c r="V227" s="2"/>
      <c r="W227" s="2"/>
    </row>
    <row r="228">
      <c r="A228" s="2"/>
      <c r="B228" s="2"/>
      <c r="C228" s="2"/>
      <c r="D228" s="2"/>
      <c r="E228" s="2"/>
      <c r="F228" s="2"/>
      <c r="G228" s="2"/>
      <c r="H228" s="2"/>
      <c r="I228" s="2"/>
      <c r="J228" s="2"/>
      <c r="K228" s="2"/>
      <c r="L228" s="2"/>
      <c r="M228" s="2"/>
      <c r="N228" s="2"/>
      <c r="O228" s="2"/>
      <c r="P228" s="2"/>
      <c r="Q228" s="2"/>
      <c r="R228" s="2"/>
      <c r="S228" s="2"/>
      <c r="T228" s="2"/>
      <c r="U228" s="2"/>
      <c r="V228" s="2"/>
      <c r="W228" s="2"/>
    </row>
    <row r="229">
      <c r="A229" s="2"/>
      <c r="B229" s="2"/>
      <c r="C229" s="2"/>
      <c r="D229" s="2"/>
      <c r="E229" s="2"/>
      <c r="F229" s="2"/>
      <c r="G229" s="2"/>
      <c r="H229" s="2"/>
      <c r="I229" s="2"/>
      <c r="J229" s="2"/>
      <c r="K229" s="2"/>
      <c r="L229" s="2"/>
      <c r="M229" s="2"/>
      <c r="N229" s="2"/>
      <c r="O229" s="2"/>
      <c r="P229" s="2"/>
      <c r="Q229" s="2"/>
      <c r="R229" s="2"/>
      <c r="S229" s="2"/>
      <c r="T229" s="2"/>
      <c r="U229" s="2"/>
      <c r="V229" s="2"/>
      <c r="W229" s="2"/>
    </row>
    <row r="230">
      <c r="A230" s="2"/>
      <c r="B230" s="2"/>
      <c r="C230" s="2"/>
      <c r="D230" s="2"/>
      <c r="E230" s="2"/>
      <c r="F230" s="2"/>
      <c r="G230" s="2"/>
      <c r="H230" s="2"/>
      <c r="I230" s="2"/>
      <c r="J230" s="2"/>
      <c r="K230" s="2"/>
      <c r="L230" s="2"/>
      <c r="M230" s="2"/>
      <c r="N230" s="2"/>
      <c r="O230" s="2"/>
      <c r="P230" s="2"/>
      <c r="Q230" s="2"/>
      <c r="R230" s="2"/>
      <c r="S230" s="2"/>
      <c r="T230" s="2"/>
      <c r="U230" s="2"/>
      <c r="V230" s="2"/>
      <c r="W230" s="2"/>
    </row>
    <row r="231">
      <c r="A231" s="2"/>
      <c r="B231" s="2"/>
      <c r="C231" s="2"/>
      <c r="D231" s="2"/>
      <c r="E231" s="2"/>
      <c r="F231" s="2"/>
      <c r="G231" s="2"/>
      <c r="H231" s="2"/>
      <c r="I231" s="2"/>
      <c r="J231" s="2"/>
      <c r="K231" s="2"/>
      <c r="L231" s="2"/>
      <c r="M231" s="2"/>
      <c r="N231" s="2"/>
      <c r="O231" s="2"/>
      <c r="P231" s="2"/>
      <c r="Q231" s="2"/>
      <c r="R231" s="2"/>
      <c r="S231" s="2"/>
      <c r="T231" s="2"/>
      <c r="U231" s="2"/>
      <c r="V231" s="2"/>
      <c r="W231" s="2"/>
    </row>
    <row r="232">
      <c r="A232" s="2"/>
      <c r="B232" s="2"/>
      <c r="C232" s="2"/>
      <c r="D232" s="2"/>
      <c r="E232" s="2"/>
      <c r="F232" s="2"/>
      <c r="G232" s="2"/>
      <c r="H232" s="2"/>
      <c r="I232" s="2"/>
      <c r="J232" s="2"/>
      <c r="K232" s="2"/>
      <c r="L232" s="2"/>
      <c r="M232" s="2"/>
      <c r="N232" s="2"/>
      <c r="O232" s="2"/>
      <c r="P232" s="2"/>
      <c r="Q232" s="2"/>
      <c r="R232" s="2"/>
      <c r="S232" s="2"/>
      <c r="T232" s="2"/>
      <c r="U232" s="2"/>
      <c r="V232" s="2"/>
      <c r="W232" s="2"/>
    </row>
    <row r="233">
      <c r="A233" s="2"/>
      <c r="B233" s="2"/>
      <c r="C233" s="2"/>
      <c r="D233" s="2"/>
      <c r="E233" s="2"/>
      <c r="F233" s="2"/>
      <c r="G233" s="2"/>
      <c r="H233" s="2"/>
      <c r="I233" s="2"/>
      <c r="J233" s="2"/>
      <c r="K233" s="2"/>
      <c r="L233" s="2"/>
      <c r="M233" s="2"/>
      <c r="N233" s="2"/>
      <c r="O233" s="2"/>
      <c r="P233" s="2"/>
      <c r="Q233" s="2"/>
      <c r="R233" s="2"/>
      <c r="S233" s="2"/>
      <c r="T233" s="2"/>
      <c r="U233" s="2"/>
      <c r="V233" s="2"/>
      <c r="W233" s="2"/>
    </row>
    <row r="234">
      <c r="A234" s="2"/>
      <c r="B234" s="2"/>
      <c r="C234" s="2"/>
      <c r="D234" s="2"/>
      <c r="E234" s="2"/>
      <c r="F234" s="2"/>
      <c r="G234" s="2"/>
      <c r="H234" s="2"/>
      <c r="I234" s="2"/>
      <c r="J234" s="2"/>
      <c r="K234" s="2"/>
      <c r="L234" s="2"/>
      <c r="M234" s="2"/>
      <c r="N234" s="2"/>
      <c r="O234" s="2"/>
      <c r="P234" s="2"/>
      <c r="Q234" s="2"/>
      <c r="R234" s="2"/>
      <c r="S234" s="2"/>
      <c r="T234" s="2"/>
      <c r="U234" s="2"/>
      <c r="V234" s="2"/>
      <c r="W234" s="2"/>
    </row>
    <row r="235">
      <c r="A235" s="2"/>
      <c r="B235" s="2"/>
      <c r="C235" s="2"/>
      <c r="D235" s="2"/>
      <c r="E235" s="2"/>
      <c r="F235" s="2"/>
      <c r="G235" s="2"/>
      <c r="H235" s="2"/>
      <c r="I235" s="2"/>
      <c r="J235" s="2"/>
      <c r="K235" s="2"/>
      <c r="L235" s="2"/>
      <c r="M235" s="2"/>
      <c r="N235" s="2"/>
      <c r="O235" s="2"/>
      <c r="P235" s="2"/>
      <c r="Q235" s="2"/>
      <c r="R235" s="2"/>
      <c r="S235" s="2"/>
      <c r="T235" s="2"/>
      <c r="U235" s="2"/>
      <c r="V235" s="2"/>
      <c r="W235" s="2"/>
    </row>
    <row r="236">
      <c r="A236" s="2"/>
      <c r="B236" s="2"/>
      <c r="C236" s="2"/>
      <c r="D236" s="2"/>
      <c r="E236" s="2"/>
      <c r="F236" s="2"/>
      <c r="G236" s="2"/>
      <c r="H236" s="2"/>
      <c r="I236" s="2"/>
      <c r="J236" s="2"/>
      <c r="K236" s="2"/>
      <c r="L236" s="2"/>
      <c r="M236" s="2"/>
      <c r="N236" s="2"/>
      <c r="O236" s="2"/>
      <c r="P236" s="2"/>
      <c r="Q236" s="2"/>
      <c r="R236" s="2"/>
      <c r="S236" s="2"/>
      <c r="T236" s="2"/>
      <c r="U236" s="2"/>
      <c r="V236" s="2"/>
      <c r="W236" s="2"/>
    </row>
    <row r="237">
      <c r="A237" s="2"/>
      <c r="B237" s="2"/>
      <c r="C237" s="2"/>
      <c r="D237" s="2"/>
      <c r="E237" s="2"/>
      <c r="F237" s="2"/>
      <c r="G237" s="2"/>
      <c r="H237" s="2"/>
      <c r="I237" s="2"/>
      <c r="J237" s="2"/>
      <c r="K237" s="2"/>
      <c r="L237" s="2"/>
      <c r="M237" s="2"/>
      <c r="N237" s="2"/>
      <c r="O237" s="2"/>
      <c r="P237" s="2"/>
      <c r="Q237" s="2"/>
      <c r="R237" s="2"/>
      <c r="S237" s="2"/>
      <c r="T237" s="2"/>
      <c r="U237" s="2"/>
      <c r="V237" s="2"/>
      <c r="W237" s="2"/>
    </row>
    <row r="238">
      <c r="A238" s="2"/>
      <c r="B238" s="2"/>
      <c r="C238" s="2"/>
      <c r="D238" s="2"/>
      <c r="E238" s="2"/>
      <c r="F238" s="2"/>
      <c r="G238" s="2"/>
      <c r="H238" s="2"/>
      <c r="I238" s="2"/>
      <c r="J238" s="2"/>
      <c r="K238" s="2"/>
      <c r="L238" s="2"/>
      <c r="M238" s="2"/>
      <c r="N238" s="2"/>
      <c r="O238" s="2"/>
      <c r="P238" s="2"/>
      <c r="Q238" s="2"/>
      <c r="R238" s="2"/>
      <c r="S238" s="2"/>
      <c r="T238" s="2"/>
      <c r="U238" s="2"/>
      <c r="V238" s="2"/>
      <c r="W238" s="2"/>
    </row>
    <row r="239">
      <c r="A239" s="2"/>
      <c r="B239" s="2"/>
      <c r="C239" s="2"/>
      <c r="D239" s="2"/>
      <c r="E239" s="2"/>
      <c r="F239" s="2"/>
      <c r="G239" s="2"/>
      <c r="H239" s="2"/>
      <c r="I239" s="2"/>
      <c r="J239" s="2"/>
      <c r="K239" s="2"/>
      <c r="L239" s="2"/>
      <c r="M239" s="2"/>
      <c r="N239" s="2"/>
      <c r="O239" s="2"/>
      <c r="P239" s="2"/>
      <c r="Q239" s="2"/>
      <c r="R239" s="2"/>
      <c r="S239" s="2"/>
      <c r="T239" s="2"/>
      <c r="U239" s="2"/>
      <c r="V239" s="2"/>
      <c r="W239" s="2"/>
    </row>
    <row r="240">
      <c r="A240" s="2"/>
      <c r="B240" s="2"/>
      <c r="C240" s="2"/>
      <c r="D240" s="2"/>
      <c r="E240" s="2"/>
      <c r="F240" s="2"/>
      <c r="G240" s="2"/>
      <c r="H240" s="2"/>
      <c r="I240" s="2"/>
      <c r="J240" s="2"/>
      <c r="K240" s="2"/>
      <c r="L240" s="2"/>
      <c r="M240" s="2"/>
      <c r="N240" s="2"/>
      <c r="O240" s="2"/>
      <c r="P240" s="2"/>
      <c r="Q240" s="2"/>
      <c r="R240" s="2"/>
      <c r="S240" s="2"/>
      <c r="T240" s="2"/>
      <c r="U240" s="2"/>
      <c r="V240" s="2"/>
      <c r="W240" s="2"/>
    </row>
    <row r="241">
      <c r="A241" s="2"/>
      <c r="B241" s="2"/>
      <c r="C241" s="2"/>
      <c r="D241" s="2"/>
      <c r="E241" s="2"/>
      <c r="F241" s="2"/>
      <c r="G241" s="2"/>
      <c r="H241" s="2"/>
      <c r="I241" s="2"/>
      <c r="J241" s="2"/>
      <c r="K241" s="2"/>
      <c r="L241" s="2"/>
      <c r="M241" s="2"/>
      <c r="N241" s="2"/>
      <c r="O241" s="2"/>
      <c r="P241" s="2"/>
      <c r="Q241" s="2"/>
      <c r="R241" s="2"/>
      <c r="S241" s="2"/>
      <c r="T241" s="2"/>
      <c r="U241" s="2"/>
      <c r="V241" s="2"/>
      <c r="W241" s="2"/>
    </row>
    <row r="242">
      <c r="A242" s="2"/>
      <c r="B242" s="2"/>
      <c r="C242" s="2"/>
      <c r="D242" s="2"/>
      <c r="E242" s="2"/>
      <c r="F242" s="2"/>
      <c r="G242" s="2"/>
      <c r="H242" s="2"/>
      <c r="I242" s="2"/>
      <c r="J242" s="2"/>
      <c r="K242" s="2"/>
      <c r="L242" s="2"/>
      <c r="M242" s="2"/>
      <c r="N242" s="2"/>
      <c r="O242" s="2"/>
      <c r="P242" s="2"/>
      <c r="Q242" s="2"/>
      <c r="R242" s="2"/>
      <c r="S242" s="2"/>
      <c r="T242" s="2"/>
      <c r="U242" s="2"/>
      <c r="V242" s="2"/>
      <c r="W242" s="2"/>
    </row>
    <row r="243">
      <c r="A243" s="2"/>
      <c r="B243" s="2"/>
      <c r="C243" s="2"/>
      <c r="D243" s="2"/>
      <c r="E243" s="2"/>
      <c r="F243" s="2"/>
      <c r="G243" s="2"/>
      <c r="H243" s="2"/>
      <c r="I243" s="2"/>
      <c r="J243" s="2"/>
      <c r="K243" s="2"/>
      <c r="L243" s="2"/>
      <c r="M243" s="2"/>
      <c r="N243" s="2"/>
      <c r="O243" s="2"/>
      <c r="P243" s="2"/>
      <c r="Q243" s="2"/>
      <c r="R243" s="2"/>
      <c r="S243" s="2"/>
      <c r="T243" s="2"/>
      <c r="U243" s="2"/>
      <c r="V243" s="2"/>
      <c r="W243" s="2"/>
    </row>
    <row r="244">
      <c r="A244" s="2"/>
      <c r="B244" s="2"/>
      <c r="C244" s="2"/>
      <c r="D244" s="2"/>
      <c r="E244" s="2"/>
      <c r="F244" s="2"/>
      <c r="G244" s="2"/>
      <c r="H244" s="2"/>
      <c r="I244" s="2"/>
      <c r="J244" s="2"/>
      <c r="K244" s="2"/>
      <c r="L244" s="2"/>
      <c r="M244" s="2"/>
      <c r="N244" s="2"/>
      <c r="O244" s="2"/>
      <c r="P244" s="2"/>
      <c r="Q244" s="2"/>
      <c r="R244" s="2"/>
      <c r="S244" s="2"/>
      <c r="T244" s="2"/>
      <c r="U244" s="2"/>
      <c r="V244" s="2"/>
      <c r="W244" s="2"/>
    </row>
    <row r="245">
      <c r="A245" s="2"/>
      <c r="B245" s="2"/>
      <c r="C245" s="2"/>
      <c r="D245" s="2"/>
      <c r="E245" s="2"/>
      <c r="F245" s="2"/>
      <c r="G245" s="2"/>
      <c r="H245" s="2"/>
      <c r="I245" s="2"/>
      <c r="J245" s="2"/>
      <c r="K245" s="2"/>
      <c r="L245" s="2"/>
      <c r="M245" s="2"/>
      <c r="N245" s="2"/>
      <c r="O245" s="2"/>
      <c r="P245" s="2"/>
      <c r="Q245" s="2"/>
      <c r="R245" s="2"/>
      <c r="S245" s="2"/>
      <c r="T245" s="2"/>
      <c r="U245" s="2"/>
      <c r="V245" s="2"/>
      <c r="W245" s="2"/>
    </row>
    <row r="246">
      <c r="A246" s="2"/>
      <c r="B246" s="2"/>
      <c r="C246" s="2"/>
      <c r="D246" s="2"/>
      <c r="E246" s="2"/>
      <c r="F246" s="2"/>
      <c r="G246" s="2"/>
      <c r="H246" s="2"/>
      <c r="I246" s="2"/>
      <c r="J246" s="2"/>
      <c r="K246" s="2"/>
      <c r="L246" s="2"/>
      <c r="M246" s="2"/>
      <c r="N246" s="2"/>
      <c r="O246" s="2"/>
      <c r="P246" s="2"/>
      <c r="Q246" s="2"/>
      <c r="R246" s="2"/>
      <c r="S246" s="2"/>
      <c r="T246" s="2"/>
      <c r="U246" s="2"/>
      <c r="V246" s="2"/>
      <c r="W246" s="2"/>
    </row>
    <row r="247">
      <c r="A247" s="2"/>
      <c r="B247" s="2"/>
      <c r="C247" s="2"/>
      <c r="D247" s="2"/>
      <c r="E247" s="2"/>
      <c r="F247" s="2"/>
      <c r="G247" s="2"/>
      <c r="H247" s="2"/>
      <c r="I247" s="2"/>
      <c r="J247" s="2"/>
      <c r="K247" s="2"/>
      <c r="L247" s="2"/>
      <c r="M247" s="2"/>
      <c r="N247" s="2"/>
      <c r="O247" s="2"/>
      <c r="P247" s="2"/>
      <c r="Q247" s="2"/>
      <c r="R247" s="2"/>
      <c r="S247" s="2"/>
      <c r="T247" s="2"/>
      <c r="U247" s="2"/>
      <c r="V247" s="2"/>
      <c r="W247" s="2"/>
    </row>
    <row r="248">
      <c r="A248" s="2"/>
      <c r="B248" s="2"/>
      <c r="C248" s="2"/>
      <c r="D248" s="2"/>
      <c r="E248" s="2"/>
      <c r="F248" s="2"/>
      <c r="G248" s="2"/>
      <c r="H248" s="2"/>
      <c r="I248" s="2"/>
      <c r="J248" s="2"/>
      <c r="K248" s="2"/>
      <c r="L248" s="2"/>
      <c r="M248" s="2"/>
      <c r="N248" s="2"/>
      <c r="O248" s="2"/>
      <c r="P248" s="2"/>
      <c r="Q248" s="2"/>
      <c r="R248" s="2"/>
      <c r="S248" s="2"/>
      <c r="T248" s="2"/>
      <c r="U248" s="2"/>
      <c r="V248" s="2"/>
      <c r="W248" s="2"/>
    </row>
    <row r="249">
      <c r="A249" s="2"/>
      <c r="B249" s="2"/>
      <c r="C249" s="2"/>
      <c r="D249" s="2"/>
      <c r="E249" s="2"/>
      <c r="F249" s="2"/>
      <c r="G249" s="2"/>
      <c r="H249" s="2"/>
      <c r="I249" s="2"/>
      <c r="J249" s="2"/>
      <c r="K249" s="2"/>
      <c r="L249" s="2"/>
      <c r="M249" s="2"/>
      <c r="N249" s="2"/>
      <c r="O249" s="2"/>
      <c r="P249" s="2"/>
      <c r="Q249" s="2"/>
      <c r="R249" s="2"/>
      <c r="S249" s="2"/>
      <c r="T249" s="2"/>
      <c r="U249" s="2"/>
      <c r="V249" s="2"/>
      <c r="W249" s="2"/>
    </row>
    <row r="250">
      <c r="A250" s="2"/>
      <c r="B250" s="2"/>
      <c r="C250" s="2"/>
      <c r="D250" s="2"/>
      <c r="E250" s="2"/>
      <c r="F250" s="2"/>
      <c r="G250" s="2"/>
      <c r="H250" s="2"/>
      <c r="I250" s="2"/>
      <c r="J250" s="2"/>
      <c r="K250" s="2"/>
      <c r="L250" s="2"/>
      <c r="M250" s="2"/>
      <c r="N250" s="2"/>
      <c r="O250" s="2"/>
      <c r="P250" s="2"/>
      <c r="Q250" s="2"/>
      <c r="R250" s="2"/>
      <c r="S250" s="2"/>
      <c r="T250" s="2"/>
      <c r="U250" s="2"/>
      <c r="V250" s="2"/>
      <c r="W250" s="2"/>
    </row>
    <row r="251">
      <c r="A251" s="2"/>
      <c r="B251" s="2"/>
      <c r="C251" s="2"/>
      <c r="D251" s="2"/>
      <c r="E251" s="2"/>
      <c r="F251" s="2"/>
      <c r="G251" s="2"/>
      <c r="H251" s="2"/>
      <c r="I251" s="2"/>
      <c r="J251" s="2"/>
      <c r="K251" s="2"/>
      <c r="L251" s="2"/>
      <c r="M251" s="2"/>
      <c r="N251" s="2"/>
      <c r="O251" s="2"/>
      <c r="P251" s="2"/>
      <c r="Q251" s="2"/>
      <c r="R251" s="2"/>
      <c r="S251" s="2"/>
      <c r="T251" s="2"/>
      <c r="U251" s="2"/>
      <c r="V251" s="2"/>
      <c r="W251" s="2"/>
    </row>
    <row r="252">
      <c r="A252" s="2"/>
      <c r="B252" s="2"/>
      <c r="C252" s="2"/>
      <c r="D252" s="2"/>
      <c r="E252" s="2"/>
      <c r="F252" s="2"/>
      <c r="G252" s="2"/>
      <c r="H252" s="2"/>
      <c r="I252" s="2"/>
      <c r="J252" s="2"/>
      <c r="K252" s="2"/>
      <c r="L252" s="2"/>
      <c r="M252" s="2"/>
      <c r="N252" s="2"/>
      <c r="O252" s="2"/>
      <c r="P252" s="2"/>
      <c r="Q252" s="2"/>
      <c r="R252" s="2"/>
      <c r="S252" s="2"/>
      <c r="T252" s="2"/>
      <c r="U252" s="2"/>
      <c r="V252" s="2"/>
      <c r="W252" s="2"/>
    </row>
    <row r="253">
      <c r="A253" s="2"/>
      <c r="B253" s="2"/>
      <c r="C253" s="2"/>
      <c r="D253" s="2"/>
      <c r="E253" s="2"/>
      <c r="F253" s="2"/>
      <c r="G253" s="2"/>
      <c r="H253" s="2"/>
      <c r="I253" s="2"/>
      <c r="J253" s="2"/>
      <c r="K253" s="2"/>
      <c r="L253" s="2"/>
      <c r="M253" s="2"/>
      <c r="N253" s="2"/>
      <c r="O253" s="2"/>
      <c r="P253" s="2"/>
      <c r="Q253" s="2"/>
      <c r="R253" s="2"/>
      <c r="S253" s="2"/>
      <c r="T253" s="2"/>
      <c r="U253" s="2"/>
      <c r="V253" s="2"/>
      <c r="W253" s="2"/>
    </row>
    <row r="254">
      <c r="A254" s="2"/>
      <c r="B254" s="2"/>
      <c r="C254" s="2"/>
      <c r="D254" s="2"/>
      <c r="E254" s="2"/>
      <c r="F254" s="2"/>
      <c r="G254" s="2"/>
      <c r="H254" s="2"/>
      <c r="I254" s="2"/>
      <c r="J254" s="2"/>
      <c r="K254" s="2"/>
      <c r="L254" s="2"/>
      <c r="M254" s="2"/>
      <c r="N254" s="2"/>
      <c r="O254" s="2"/>
      <c r="P254" s="2"/>
      <c r="Q254" s="2"/>
      <c r="R254" s="2"/>
      <c r="S254" s="2"/>
      <c r="T254" s="2"/>
      <c r="U254" s="2"/>
      <c r="V254" s="2"/>
      <c r="W254" s="2"/>
    </row>
    <row r="255">
      <c r="A255" s="2"/>
      <c r="B255" s="2"/>
      <c r="C255" s="2"/>
      <c r="D255" s="2"/>
      <c r="E255" s="2"/>
      <c r="F255" s="2"/>
      <c r="G255" s="2"/>
      <c r="H255" s="2"/>
      <c r="I255" s="2"/>
      <c r="J255" s="2"/>
      <c r="K255" s="2"/>
      <c r="L255" s="2"/>
      <c r="M255" s="2"/>
      <c r="N255" s="2"/>
      <c r="O255" s="2"/>
      <c r="P255" s="2"/>
      <c r="Q255" s="2"/>
      <c r="R255" s="2"/>
      <c r="S255" s="2"/>
      <c r="T255" s="2"/>
      <c r="U255" s="2"/>
      <c r="V255" s="2"/>
      <c r="W255" s="2"/>
    </row>
    <row r="256">
      <c r="A256" s="2"/>
      <c r="B256" s="2"/>
      <c r="C256" s="2"/>
      <c r="D256" s="2"/>
      <c r="E256" s="2"/>
      <c r="F256" s="2"/>
      <c r="G256" s="2"/>
      <c r="H256" s="2"/>
      <c r="I256" s="2"/>
      <c r="J256" s="2"/>
      <c r="K256" s="2"/>
      <c r="L256" s="2"/>
      <c r="M256" s="2"/>
      <c r="N256" s="2"/>
      <c r="O256" s="2"/>
      <c r="P256" s="2"/>
      <c r="Q256" s="2"/>
      <c r="R256" s="2"/>
      <c r="S256" s="2"/>
      <c r="T256" s="2"/>
      <c r="U256" s="2"/>
      <c r="V256" s="2"/>
      <c r="W256" s="2"/>
    </row>
    <row r="257">
      <c r="A257" s="2"/>
      <c r="B257" s="2"/>
      <c r="C257" s="2"/>
      <c r="D257" s="2"/>
      <c r="E257" s="2"/>
      <c r="F257" s="2"/>
      <c r="G257" s="2"/>
      <c r="H257" s="2"/>
      <c r="I257" s="2"/>
      <c r="J257" s="2"/>
      <c r="K257" s="2"/>
      <c r="L257" s="2"/>
      <c r="M257" s="2"/>
      <c r="N257" s="2"/>
      <c r="O257" s="2"/>
      <c r="P257" s="2"/>
      <c r="Q257" s="2"/>
      <c r="R257" s="2"/>
      <c r="S257" s="2"/>
      <c r="T257" s="2"/>
      <c r="U257" s="2"/>
      <c r="V257" s="2"/>
      <c r="W257" s="2"/>
    </row>
    <row r="258">
      <c r="A258" s="2"/>
      <c r="B258" s="2"/>
      <c r="C258" s="2"/>
      <c r="D258" s="2"/>
      <c r="E258" s="2"/>
      <c r="F258" s="2"/>
      <c r="G258" s="2"/>
      <c r="H258" s="2"/>
      <c r="I258" s="2"/>
      <c r="J258" s="2"/>
      <c r="K258" s="2"/>
      <c r="L258" s="2"/>
      <c r="M258" s="2"/>
      <c r="N258" s="2"/>
      <c r="O258" s="2"/>
      <c r="P258" s="2"/>
      <c r="Q258" s="2"/>
      <c r="R258" s="2"/>
      <c r="S258" s="2"/>
      <c r="T258" s="2"/>
      <c r="U258" s="2"/>
      <c r="V258" s="2"/>
      <c r="W258" s="2"/>
    </row>
    <row r="259">
      <c r="A259" s="2"/>
      <c r="B259" s="2"/>
      <c r="C259" s="2"/>
      <c r="D259" s="2"/>
      <c r="E259" s="2"/>
      <c r="F259" s="2"/>
      <c r="G259" s="2"/>
      <c r="H259" s="2"/>
      <c r="I259" s="2"/>
      <c r="J259" s="2"/>
      <c r="K259" s="2"/>
      <c r="L259" s="2"/>
      <c r="M259" s="2"/>
      <c r="N259" s="2"/>
      <c r="O259" s="2"/>
      <c r="P259" s="2"/>
      <c r="Q259" s="2"/>
      <c r="R259" s="2"/>
      <c r="S259" s="2"/>
      <c r="T259" s="2"/>
      <c r="U259" s="2"/>
      <c r="V259" s="2"/>
      <c r="W259" s="2"/>
    </row>
    <row r="260">
      <c r="A260" s="2"/>
      <c r="B260" s="2"/>
      <c r="C260" s="2"/>
      <c r="D260" s="2"/>
      <c r="E260" s="2"/>
      <c r="F260" s="2"/>
      <c r="G260" s="2"/>
      <c r="H260" s="2"/>
      <c r="I260" s="2"/>
      <c r="J260" s="2"/>
      <c r="K260" s="2"/>
      <c r="L260" s="2"/>
      <c r="M260" s="2"/>
      <c r="N260" s="2"/>
      <c r="O260" s="2"/>
      <c r="P260" s="2"/>
      <c r="Q260" s="2"/>
      <c r="R260" s="2"/>
      <c r="S260" s="2"/>
      <c r="T260" s="2"/>
      <c r="U260" s="2"/>
      <c r="V260" s="2"/>
      <c r="W260" s="2"/>
    </row>
    <row r="261">
      <c r="A261" s="2"/>
      <c r="B261" s="2"/>
      <c r="C261" s="2"/>
      <c r="D261" s="2"/>
      <c r="E261" s="2"/>
      <c r="F261" s="2"/>
      <c r="G261" s="2"/>
      <c r="H261" s="2"/>
      <c r="I261" s="2"/>
      <c r="J261" s="2"/>
      <c r="K261" s="2"/>
      <c r="L261" s="2"/>
      <c r="M261" s="2"/>
      <c r="N261" s="2"/>
      <c r="O261" s="2"/>
      <c r="P261" s="2"/>
      <c r="Q261" s="2"/>
      <c r="R261" s="2"/>
      <c r="S261" s="2"/>
      <c r="T261" s="2"/>
      <c r="U261" s="2"/>
      <c r="V261" s="2"/>
      <c r="W261" s="2"/>
    </row>
    <row r="262">
      <c r="A262" s="2"/>
      <c r="B262" s="2"/>
      <c r="C262" s="2"/>
      <c r="D262" s="2"/>
      <c r="E262" s="2"/>
      <c r="F262" s="2"/>
      <c r="G262" s="2"/>
      <c r="H262" s="2"/>
      <c r="I262" s="2"/>
      <c r="J262" s="2"/>
      <c r="K262" s="2"/>
      <c r="L262" s="2"/>
      <c r="M262" s="2"/>
      <c r="N262" s="2"/>
      <c r="O262" s="2"/>
      <c r="P262" s="2"/>
      <c r="Q262" s="2"/>
      <c r="R262" s="2"/>
      <c r="S262" s="2"/>
      <c r="T262" s="2"/>
      <c r="U262" s="2"/>
      <c r="V262" s="2"/>
      <c r="W262" s="2"/>
    </row>
    <row r="263">
      <c r="A263" s="2"/>
      <c r="B263" s="2"/>
      <c r="C263" s="2"/>
      <c r="D263" s="2"/>
      <c r="E263" s="2"/>
      <c r="F263" s="2"/>
      <c r="G263" s="2"/>
      <c r="H263" s="2"/>
      <c r="I263" s="2"/>
      <c r="J263" s="2"/>
      <c r="K263" s="2"/>
      <c r="L263" s="2"/>
      <c r="M263" s="2"/>
      <c r="N263" s="2"/>
      <c r="O263" s="2"/>
      <c r="P263" s="2"/>
      <c r="Q263" s="2"/>
      <c r="R263" s="2"/>
      <c r="S263" s="2"/>
      <c r="T263" s="2"/>
      <c r="U263" s="2"/>
      <c r="V263" s="2"/>
      <c r="W263" s="2"/>
    </row>
    <row r="264">
      <c r="A264" s="2"/>
      <c r="B264" s="2"/>
      <c r="C264" s="2"/>
      <c r="D264" s="2"/>
      <c r="E264" s="2"/>
      <c r="F264" s="2"/>
      <c r="G264" s="2"/>
      <c r="H264" s="2"/>
      <c r="I264" s="2"/>
      <c r="J264" s="2"/>
      <c r="K264" s="2"/>
      <c r="L264" s="2"/>
      <c r="M264" s="2"/>
      <c r="N264" s="2"/>
      <c r="O264" s="2"/>
      <c r="P264" s="2"/>
      <c r="Q264" s="2"/>
      <c r="R264" s="2"/>
      <c r="S264" s="2"/>
      <c r="T264" s="2"/>
      <c r="U264" s="2"/>
      <c r="V264" s="2"/>
      <c r="W264" s="2"/>
    </row>
    <row r="265">
      <c r="A265" s="2"/>
      <c r="B265" s="2"/>
      <c r="C265" s="2"/>
      <c r="D265" s="2"/>
      <c r="E265" s="2"/>
      <c r="F265" s="2"/>
      <c r="G265" s="2"/>
      <c r="H265" s="2"/>
      <c r="I265" s="2"/>
      <c r="J265" s="2"/>
      <c r="K265" s="2"/>
      <c r="L265" s="2"/>
      <c r="M265" s="2"/>
      <c r="N265" s="2"/>
      <c r="O265" s="2"/>
      <c r="P265" s="2"/>
      <c r="Q265" s="2"/>
      <c r="R265" s="2"/>
      <c r="S265" s="2"/>
      <c r="T265" s="2"/>
      <c r="U265" s="2"/>
      <c r="V265" s="2"/>
      <c r="W265" s="2"/>
    </row>
    <row r="266">
      <c r="A266" s="2"/>
      <c r="B266" s="2"/>
      <c r="C266" s="2"/>
      <c r="D266" s="2"/>
      <c r="E266" s="2"/>
      <c r="F266" s="2"/>
      <c r="G266" s="2"/>
      <c r="H266" s="2"/>
      <c r="I266" s="2"/>
      <c r="J266" s="2"/>
      <c r="K266" s="2"/>
      <c r="L266" s="2"/>
      <c r="M266" s="2"/>
      <c r="N266" s="2"/>
      <c r="O266" s="2"/>
      <c r="P266" s="2"/>
      <c r="Q266" s="2"/>
      <c r="R266" s="2"/>
      <c r="S266" s="2"/>
      <c r="T266" s="2"/>
      <c r="U266" s="2"/>
      <c r="V266" s="2"/>
      <c r="W266" s="2"/>
    </row>
    <row r="267">
      <c r="A267" s="2"/>
      <c r="B267" s="2"/>
      <c r="C267" s="2"/>
      <c r="D267" s="2"/>
      <c r="E267" s="2"/>
      <c r="F267" s="2"/>
      <c r="G267" s="2"/>
      <c r="H267" s="2"/>
      <c r="I267" s="2"/>
      <c r="J267" s="2"/>
      <c r="K267" s="2"/>
      <c r="L267" s="2"/>
      <c r="M267" s="2"/>
      <c r="N267" s="2"/>
      <c r="O267" s="2"/>
      <c r="P267" s="2"/>
      <c r="Q267" s="2"/>
      <c r="R267" s="2"/>
      <c r="S267" s="2"/>
      <c r="T267" s="2"/>
      <c r="U267" s="2"/>
      <c r="V267" s="2"/>
      <c r="W267" s="2"/>
    </row>
    <row r="268">
      <c r="A268" s="2"/>
      <c r="B268" s="2"/>
      <c r="C268" s="2"/>
      <c r="D268" s="2"/>
      <c r="E268" s="2"/>
      <c r="F268" s="2"/>
      <c r="G268" s="2"/>
      <c r="H268" s="2"/>
      <c r="I268" s="2"/>
      <c r="J268" s="2"/>
      <c r="K268" s="2"/>
      <c r="L268" s="2"/>
      <c r="M268" s="2"/>
      <c r="N268" s="2"/>
      <c r="O268" s="2"/>
      <c r="P268" s="2"/>
      <c r="Q268" s="2"/>
      <c r="R268" s="2"/>
      <c r="S268" s="2"/>
      <c r="T268" s="2"/>
      <c r="U268" s="2"/>
      <c r="V268" s="2"/>
      <c r="W268" s="2"/>
    </row>
    <row r="269">
      <c r="A269" s="2"/>
      <c r="B269" s="2"/>
      <c r="C269" s="2"/>
      <c r="D269" s="2"/>
      <c r="E269" s="2"/>
      <c r="F269" s="2"/>
      <c r="G269" s="2"/>
      <c r="H269" s="2"/>
      <c r="I269" s="2"/>
      <c r="J269" s="2"/>
      <c r="K269" s="2"/>
      <c r="L269" s="2"/>
      <c r="M269" s="2"/>
      <c r="N269" s="2"/>
      <c r="O269" s="2"/>
      <c r="P269" s="2"/>
      <c r="Q269" s="2"/>
      <c r="R269" s="2"/>
      <c r="S269" s="2"/>
      <c r="T269" s="2"/>
      <c r="U269" s="2"/>
      <c r="V269" s="2"/>
      <c r="W269" s="2"/>
    </row>
    <row r="270">
      <c r="A270" s="2"/>
      <c r="B270" s="2"/>
      <c r="C270" s="2"/>
      <c r="D270" s="2"/>
      <c r="E270" s="2"/>
      <c r="F270" s="2"/>
      <c r="G270" s="2"/>
      <c r="H270" s="2"/>
      <c r="I270" s="2"/>
      <c r="J270" s="2"/>
      <c r="K270" s="2"/>
      <c r="L270" s="2"/>
      <c r="M270" s="2"/>
      <c r="N270" s="2"/>
      <c r="O270" s="2"/>
      <c r="P270" s="2"/>
      <c r="Q270" s="2"/>
      <c r="R270" s="2"/>
      <c r="S270" s="2"/>
      <c r="T270" s="2"/>
      <c r="U270" s="2"/>
      <c r="V270" s="2"/>
      <c r="W270" s="2"/>
    </row>
    <row r="271">
      <c r="A271" s="2"/>
      <c r="B271" s="2"/>
      <c r="C271" s="2"/>
      <c r="D271" s="2"/>
      <c r="E271" s="2"/>
      <c r="F271" s="2"/>
      <c r="G271" s="2"/>
      <c r="H271" s="2"/>
      <c r="I271" s="2"/>
      <c r="J271" s="2"/>
      <c r="K271" s="2"/>
      <c r="L271" s="2"/>
      <c r="M271" s="2"/>
      <c r="N271" s="2"/>
      <c r="O271" s="2"/>
      <c r="P271" s="2"/>
      <c r="Q271" s="2"/>
      <c r="R271" s="2"/>
      <c r="S271" s="2"/>
      <c r="T271" s="2"/>
      <c r="U271" s="2"/>
      <c r="V271" s="2"/>
      <c r="W271" s="2"/>
    </row>
    <row r="272">
      <c r="A272" s="2"/>
      <c r="B272" s="2"/>
      <c r="C272" s="2"/>
      <c r="D272" s="2"/>
      <c r="E272" s="2"/>
      <c r="F272" s="2"/>
      <c r="G272" s="2"/>
      <c r="H272" s="2"/>
      <c r="I272" s="2"/>
      <c r="J272" s="2"/>
      <c r="K272" s="2"/>
      <c r="L272" s="2"/>
      <c r="M272" s="2"/>
      <c r="N272" s="2"/>
      <c r="O272" s="2"/>
      <c r="P272" s="2"/>
      <c r="Q272" s="2"/>
      <c r="R272" s="2"/>
      <c r="S272" s="2"/>
      <c r="T272" s="2"/>
      <c r="U272" s="2"/>
      <c r="V272" s="2"/>
      <c r="W272" s="2"/>
    </row>
    <row r="273">
      <c r="A273" s="2"/>
      <c r="B273" s="2"/>
      <c r="C273" s="2"/>
      <c r="D273" s="2"/>
      <c r="E273" s="2"/>
      <c r="F273" s="2"/>
      <c r="G273" s="2"/>
      <c r="H273" s="2"/>
      <c r="I273" s="2"/>
      <c r="J273" s="2"/>
      <c r="K273" s="2"/>
      <c r="L273" s="2"/>
      <c r="M273" s="2"/>
      <c r="N273" s="2"/>
      <c r="O273" s="2"/>
      <c r="P273" s="2"/>
      <c r="Q273" s="2"/>
      <c r="R273" s="2"/>
      <c r="S273" s="2"/>
      <c r="T273" s="2"/>
      <c r="U273" s="2"/>
      <c r="V273" s="2"/>
      <c r="W273" s="2"/>
    </row>
    <row r="274">
      <c r="A274" s="2"/>
      <c r="B274" s="2"/>
      <c r="C274" s="2"/>
      <c r="D274" s="2"/>
      <c r="E274" s="2"/>
      <c r="F274" s="2"/>
      <c r="G274" s="2"/>
      <c r="H274" s="2"/>
      <c r="I274" s="2"/>
      <c r="J274" s="2"/>
      <c r="K274" s="2"/>
      <c r="L274" s="2"/>
      <c r="M274" s="2"/>
      <c r="N274" s="2"/>
      <c r="O274" s="2"/>
      <c r="P274" s="2"/>
      <c r="Q274" s="2"/>
      <c r="R274" s="2"/>
      <c r="S274" s="2"/>
      <c r="T274" s="2"/>
      <c r="U274" s="2"/>
      <c r="V274" s="2"/>
      <c r="W274" s="2"/>
    </row>
    <row r="275">
      <c r="A275" s="2"/>
      <c r="B275" s="2"/>
      <c r="C275" s="2"/>
      <c r="D275" s="2"/>
      <c r="E275" s="2"/>
      <c r="F275" s="2"/>
      <c r="G275" s="2"/>
      <c r="H275" s="2"/>
      <c r="I275" s="2"/>
      <c r="J275" s="2"/>
      <c r="K275" s="2"/>
      <c r="L275" s="2"/>
      <c r="M275" s="2"/>
      <c r="N275" s="2"/>
      <c r="O275" s="2"/>
      <c r="P275" s="2"/>
      <c r="Q275" s="2"/>
      <c r="R275" s="2"/>
      <c r="S275" s="2"/>
      <c r="T275" s="2"/>
      <c r="U275" s="2"/>
      <c r="V275" s="2"/>
      <c r="W275" s="2"/>
    </row>
    <row r="276">
      <c r="A276" s="2"/>
      <c r="B276" s="2"/>
      <c r="C276" s="2"/>
      <c r="D276" s="2"/>
      <c r="E276" s="2"/>
      <c r="F276" s="2"/>
      <c r="G276" s="2"/>
      <c r="H276" s="2"/>
      <c r="I276" s="2"/>
      <c r="J276" s="2"/>
      <c r="K276" s="2"/>
      <c r="L276" s="2"/>
      <c r="M276" s="2"/>
      <c r="N276" s="2"/>
      <c r="O276" s="2"/>
      <c r="P276" s="2"/>
      <c r="Q276" s="2"/>
      <c r="R276" s="2"/>
      <c r="S276" s="2"/>
      <c r="T276" s="2"/>
      <c r="U276" s="2"/>
      <c r="V276" s="2"/>
      <c r="W276" s="2"/>
    </row>
    <row r="277">
      <c r="A277" s="2"/>
      <c r="B277" s="2"/>
      <c r="C277" s="2"/>
      <c r="D277" s="2"/>
      <c r="E277" s="2"/>
      <c r="F277" s="2"/>
      <c r="G277" s="2"/>
      <c r="H277" s="2"/>
      <c r="I277" s="2"/>
      <c r="J277" s="2"/>
      <c r="K277" s="2"/>
      <c r="L277" s="2"/>
      <c r="M277" s="2"/>
      <c r="N277" s="2"/>
      <c r="O277" s="2"/>
      <c r="P277" s="2"/>
      <c r="Q277" s="2"/>
      <c r="R277" s="2"/>
      <c r="S277" s="2"/>
      <c r="T277" s="2"/>
      <c r="U277" s="2"/>
      <c r="V277" s="2"/>
      <c r="W277" s="2"/>
    </row>
    <row r="278">
      <c r="A278" s="2"/>
      <c r="B278" s="2"/>
      <c r="C278" s="2"/>
      <c r="D278" s="2"/>
      <c r="E278" s="2"/>
      <c r="F278" s="2"/>
      <c r="G278" s="2"/>
      <c r="H278" s="2"/>
      <c r="I278" s="2"/>
      <c r="J278" s="2"/>
      <c r="K278" s="2"/>
      <c r="L278" s="2"/>
      <c r="M278" s="2"/>
      <c r="N278" s="2"/>
      <c r="O278" s="2"/>
      <c r="P278" s="2"/>
      <c r="Q278" s="2"/>
      <c r="R278" s="2"/>
      <c r="S278" s="2"/>
      <c r="T278" s="2"/>
      <c r="U278" s="2"/>
      <c r="V278" s="2"/>
      <c r="W278" s="2"/>
    </row>
    <row r="279">
      <c r="A279" s="2"/>
      <c r="B279" s="2"/>
      <c r="C279" s="2"/>
      <c r="D279" s="2"/>
      <c r="E279" s="2"/>
      <c r="F279" s="2"/>
      <c r="G279" s="2"/>
      <c r="H279" s="2"/>
      <c r="I279" s="2"/>
      <c r="J279" s="2"/>
      <c r="K279" s="2"/>
      <c r="L279" s="2"/>
      <c r="M279" s="2"/>
      <c r="N279" s="2"/>
      <c r="O279" s="2"/>
      <c r="P279" s="2"/>
      <c r="Q279" s="2"/>
      <c r="R279" s="2"/>
      <c r="S279" s="2"/>
      <c r="T279" s="2"/>
      <c r="U279" s="2"/>
      <c r="V279" s="2"/>
      <c r="W279" s="2"/>
    </row>
    <row r="280">
      <c r="A280" s="2"/>
      <c r="B280" s="2"/>
      <c r="C280" s="2"/>
      <c r="D280" s="2"/>
      <c r="E280" s="2"/>
      <c r="F280" s="2"/>
      <c r="G280" s="2"/>
      <c r="H280" s="2"/>
      <c r="I280" s="2"/>
      <c r="J280" s="2"/>
      <c r="K280" s="2"/>
      <c r="L280" s="2"/>
      <c r="M280" s="2"/>
      <c r="N280" s="2"/>
      <c r="O280" s="2"/>
      <c r="P280" s="2"/>
      <c r="Q280" s="2"/>
      <c r="R280" s="2"/>
      <c r="S280" s="2"/>
      <c r="T280" s="2"/>
      <c r="U280" s="2"/>
      <c r="V280" s="2"/>
      <c r="W280" s="2"/>
    </row>
    <row r="281">
      <c r="A281" s="2"/>
      <c r="B281" s="2"/>
      <c r="C281" s="2"/>
      <c r="D281" s="2"/>
      <c r="E281" s="2"/>
      <c r="F281" s="2"/>
      <c r="G281" s="2"/>
      <c r="H281" s="2"/>
      <c r="I281" s="2"/>
      <c r="J281" s="2"/>
      <c r="K281" s="2"/>
      <c r="L281" s="2"/>
      <c r="M281" s="2"/>
      <c r="N281" s="2"/>
      <c r="O281" s="2"/>
      <c r="P281" s="2"/>
      <c r="Q281" s="2"/>
      <c r="R281" s="2"/>
      <c r="S281" s="2"/>
      <c r="T281" s="2"/>
      <c r="U281" s="2"/>
      <c r="V281" s="2"/>
      <c r="W281" s="2"/>
    </row>
    <row r="282">
      <c r="A282" s="2"/>
      <c r="B282" s="2"/>
      <c r="C282" s="2"/>
      <c r="D282" s="2"/>
      <c r="E282" s="2"/>
      <c r="F282" s="2"/>
      <c r="G282" s="2"/>
      <c r="H282" s="2"/>
      <c r="I282" s="2"/>
      <c r="J282" s="2"/>
      <c r="K282" s="2"/>
      <c r="L282" s="2"/>
      <c r="M282" s="2"/>
      <c r="N282" s="2"/>
      <c r="O282" s="2"/>
      <c r="P282" s="2"/>
      <c r="Q282" s="2"/>
      <c r="R282" s="2"/>
      <c r="S282" s="2"/>
      <c r="T282" s="2"/>
      <c r="U282" s="2"/>
      <c r="V282" s="2"/>
      <c r="W282" s="2"/>
    </row>
    <row r="283">
      <c r="A283" s="2"/>
      <c r="B283" s="2"/>
      <c r="C283" s="2"/>
      <c r="D283" s="2"/>
      <c r="E283" s="2"/>
      <c r="F283" s="2"/>
      <c r="G283" s="2"/>
      <c r="H283" s="2"/>
      <c r="I283" s="2"/>
      <c r="J283" s="2"/>
      <c r="K283" s="2"/>
      <c r="L283" s="2"/>
      <c r="M283" s="2"/>
      <c r="N283" s="2"/>
      <c r="O283" s="2"/>
      <c r="P283" s="2"/>
      <c r="Q283" s="2"/>
      <c r="R283" s="2"/>
      <c r="S283" s="2"/>
      <c r="T283" s="2"/>
      <c r="U283" s="2"/>
      <c r="V283" s="2"/>
      <c r="W283" s="2"/>
    </row>
    <row r="284">
      <c r="A284" s="2"/>
      <c r="B284" s="2"/>
      <c r="C284" s="2"/>
      <c r="D284" s="2"/>
      <c r="E284" s="2"/>
      <c r="F284" s="2"/>
      <c r="G284" s="2"/>
      <c r="H284" s="2"/>
      <c r="I284" s="2"/>
      <c r="J284" s="2"/>
      <c r="K284" s="2"/>
      <c r="L284" s="2"/>
      <c r="M284" s="2"/>
      <c r="N284" s="2"/>
      <c r="O284" s="2"/>
      <c r="P284" s="2"/>
      <c r="Q284" s="2"/>
      <c r="R284" s="2"/>
      <c r="S284" s="2"/>
      <c r="T284" s="2"/>
      <c r="U284" s="2"/>
      <c r="V284" s="2"/>
      <c r="W284" s="2"/>
    </row>
    <row r="285">
      <c r="A285" s="2"/>
      <c r="B285" s="2"/>
      <c r="C285" s="2"/>
      <c r="D285" s="2"/>
      <c r="E285" s="2"/>
      <c r="F285" s="2"/>
      <c r="G285" s="2"/>
      <c r="H285" s="2"/>
      <c r="I285" s="2"/>
      <c r="J285" s="2"/>
      <c r="K285" s="2"/>
      <c r="L285" s="2"/>
      <c r="M285" s="2"/>
      <c r="N285" s="2"/>
      <c r="O285" s="2"/>
      <c r="P285" s="2"/>
      <c r="Q285" s="2"/>
      <c r="R285" s="2"/>
      <c r="S285" s="2"/>
      <c r="T285" s="2"/>
      <c r="U285" s="2"/>
      <c r="V285" s="2"/>
      <c r="W285" s="2"/>
    </row>
    <row r="286">
      <c r="A286" s="2"/>
      <c r="B286" s="2"/>
      <c r="C286" s="2"/>
      <c r="D286" s="2"/>
      <c r="E286" s="2"/>
      <c r="F286" s="2"/>
      <c r="G286" s="2"/>
      <c r="H286" s="2"/>
      <c r="I286" s="2"/>
      <c r="J286" s="2"/>
      <c r="K286" s="2"/>
      <c r="L286" s="2"/>
      <c r="M286" s="2"/>
      <c r="N286" s="2"/>
      <c r="O286" s="2"/>
      <c r="P286" s="2"/>
      <c r="Q286" s="2"/>
      <c r="R286" s="2"/>
      <c r="S286" s="2"/>
      <c r="T286" s="2"/>
      <c r="U286" s="2"/>
      <c r="V286" s="2"/>
      <c r="W286" s="2"/>
    </row>
    <row r="287">
      <c r="A287" s="2"/>
      <c r="B287" s="2"/>
      <c r="C287" s="2"/>
      <c r="D287" s="2"/>
      <c r="E287" s="2"/>
      <c r="F287" s="2"/>
      <c r="G287" s="2"/>
      <c r="H287" s="2"/>
      <c r="I287" s="2"/>
      <c r="J287" s="2"/>
      <c r="K287" s="2"/>
      <c r="L287" s="2"/>
      <c r="M287" s="2"/>
      <c r="N287" s="2"/>
      <c r="O287" s="2"/>
      <c r="P287" s="2"/>
      <c r="Q287" s="2"/>
      <c r="R287" s="2"/>
      <c r="S287" s="2"/>
      <c r="T287" s="2"/>
      <c r="U287" s="2"/>
      <c r="V287" s="2"/>
      <c r="W287" s="2"/>
    </row>
    <row r="288">
      <c r="A288" s="2"/>
      <c r="B288" s="2"/>
      <c r="C288" s="2"/>
      <c r="D288" s="2"/>
      <c r="E288" s="2"/>
      <c r="F288" s="2"/>
      <c r="G288" s="2"/>
      <c r="H288" s="2"/>
      <c r="I288" s="2"/>
      <c r="J288" s="2"/>
      <c r="K288" s="2"/>
      <c r="L288" s="2"/>
      <c r="M288" s="2"/>
      <c r="N288" s="2"/>
      <c r="O288" s="2"/>
      <c r="P288" s="2"/>
      <c r="Q288" s="2"/>
      <c r="R288" s="2"/>
      <c r="S288" s="2"/>
      <c r="T288" s="2"/>
      <c r="U288" s="2"/>
      <c r="V288" s="2"/>
      <c r="W288" s="2"/>
    </row>
    <row r="289">
      <c r="A289" s="2"/>
      <c r="B289" s="2"/>
      <c r="C289" s="2"/>
      <c r="D289" s="2"/>
      <c r="E289" s="2"/>
      <c r="F289" s="2"/>
      <c r="G289" s="2"/>
      <c r="H289" s="2"/>
      <c r="I289" s="2"/>
      <c r="J289" s="2"/>
      <c r="K289" s="2"/>
      <c r="L289" s="2"/>
      <c r="M289" s="2"/>
      <c r="N289" s="2"/>
      <c r="O289" s="2"/>
      <c r="P289" s="2"/>
      <c r="Q289" s="2"/>
      <c r="R289" s="2"/>
      <c r="S289" s="2"/>
      <c r="T289" s="2"/>
      <c r="U289" s="2"/>
      <c r="V289" s="2"/>
      <c r="W289" s="2"/>
    </row>
    <row r="290">
      <c r="A290" s="2"/>
      <c r="B290" s="2"/>
      <c r="C290" s="2"/>
      <c r="D290" s="2"/>
      <c r="E290" s="2"/>
      <c r="F290" s="2"/>
      <c r="G290" s="2"/>
      <c r="H290" s="2"/>
      <c r="I290" s="2"/>
      <c r="J290" s="2"/>
      <c r="K290" s="2"/>
      <c r="L290" s="2"/>
      <c r="M290" s="2"/>
      <c r="N290" s="2"/>
      <c r="O290" s="2"/>
      <c r="P290" s="2"/>
      <c r="Q290" s="2"/>
      <c r="R290" s="2"/>
      <c r="S290" s="2"/>
      <c r="T290" s="2"/>
      <c r="U290" s="2"/>
      <c r="V290" s="2"/>
      <c r="W290" s="2"/>
    </row>
    <row r="291">
      <c r="A291" s="2"/>
      <c r="B291" s="2"/>
      <c r="C291" s="2"/>
      <c r="D291" s="2"/>
      <c r="E291" s="2"/>
      <c r="F291" s="2"/>
      <c r="G291" s="2"/>
      <c r="H291" s="2"/>
      <c r="I291" s="2"/>
      <c r="J291" s="2"/>
      <c r="K291" s="2"/>
      <c r="L291" s="2"/>
      <c r="M291" s="2"/>
      <c r="N291" s="2"/>
      <c r="O291" s="2"/>
      <c r="P291" s="2"/>
      <c r="Q291" s="2"/>
      <c r="R291" s="2"/>
      <c r="S291" s="2"/>
      <c r="T291" s="2"/>
      <c r="U291" s="2"/>
      <c r="V291" s="2"/>
      <c r="W291" s="2"/>
    </row>
    <row r="292">
      <c r="A292" s="2"/>
      <c r="B292" s="2"/>
      <c r="C292" s="2"/>
      <c r="D292" s="2"/>
      <c r="E292" s="2"/>
      <c r="F292" s="2"/>
      <c r="G292" s="2"/>
      <c r="H292" s="2"/>
      <c r="I292" s="2"/>
      <c r="J292" s="2"/>
      <c r="K292" s="2"/>
      <c r="L292" s="2"/>
      <c r="M292" s="2"/>
      <c r="N292" s="2"/>
      <c r="O292" s="2"/>
      <c r="P292" s="2"/>
      <c r="Q292" s="2"/>
      <c r="R292" s="2"/>
      <c r="S292" s="2"/>
      <c r="T292" s="2"/>
      <c r="U292" s="2"/>
      <c r="V292" s="2"/>
      <c r="W292" s="2"/>
    </row>
    <row r="293">
      <c r="A293" s="2"/>
      <c r="B293" s="2"/>
      <c r="C293" s="2"/>
      <c r="D293" s="2"/>
      <c r="E293" s="2"/>
      <c r="F293" s="2"/>
      <c r="G293" s="2"/>
      <c r="H293" s="2"/>
      <c r="I293" s="2"/>
      <c r="J293" s="2"/>
      <c r="K293" s="2"/>
      <c r="L293" s="2"/>
      <c r="M293" s="2"/>
      <c r="N293" s="2"/>
      <c r="O293" s="2"/>
      <c r="P293" s="2"/>
      <c r="Q293" s="2"/>
      <c r="R293" s="2"/>
      <c r="S293" s="2"/>
      <c r="T293" s="2"/>
      <c r="U293" s="2"/>
      <c r="V293" s="2"/>
      <c r="W293" s="2"/>
    </row>
    <row r="294">
      <c r="A294" s="2"/>
      <c r="B294" s="2"/>
      <c r="C294" s="2"/>
      <c r="D294" s="2"/>
      <c r="E294" s="2"/>
      <c r="F294" s="2"/>
      <c r="G294" s="2"/>
      <c r="H294" s="2"/>
      <c r="I294" s="2"/>
      <c r="J294" s="2"/>
      <c r="K294" s="2"/>
      <c r="L294" s="2"/>
      <c r="M294" s="2"/>
      <c r="N294" s="2"/>
      <c r="O294" s="2"/>
      <c r="P294" s="2"/>
      <c r="Q294" s="2"/>
      <c r="R294" s="2"/>
      <c r="S294" s="2"/>
      <c r="T294" s="2"/>
      <c r="U294" s="2"/>
      <c r="V294" s="2"/>
      <c r="W294" s="2"/>
    </row>
    <row r="295">
      <c r="A295" s="2"/>
      <c r="B295" s="2"/>
      <c r="C295" s="2"/>
      <c r="D295" s="2"/>
      <c r="E295" s="2"/>
      <c r="F295" s="2"/>
      <c r="G295" s="2"/>
      <c r="H295" s="2"/>
      <c r="I295" s="2"/>
      <c r="J295" s="2"/>
      <c r="K295" s="2"/>
      <c r="L295" s="2"/>
      <c r="M295" s="2"/>
      <c r="N295" s="2"/>
      <c r="O295" s="2"/>
      <c r="P295" s="2"/>
      <c r="Q295" s="2"/>
      <c r="R295" s="2"/>
      <c r="S295" s="2"/>
      <c r="T295" s="2"/>
      <c r="U295" s="2"/>
      <c r="V295" s="2"/>
      <c r="W295" s="2"/>
    </row>
    <row r="296">
      <c r="A296" s="2"/>
      <c r="B296" s="2"/>
      <c r="C296" s="2"/>
      <c r="D296" s="2"/>
      <c r="E296" s="2"/>
      <c r="F296" s="2"/>
      <c r="G296" s="2"/>
      <c r="H296" s="2"/>
      <c r="I296" s="2"/>
      <c r="J296" s="2"/>
      <c r="K296" s="2"/>
      <c r="L296" s="2"/>
      <c r="M296" s="2"/>
      <c r="N296" s="2"/>
      <c r="O296" s="2"/>
      <c r="P296" s="2"/>
      <c r="Q296" s="2"/>
      <c r="R296" s="2"/>
      <c r="S296" s="2"/>
      <c r="T296" s="2"/>
      <c r="U296" s="2"/>
      <c r="V296" s="2"/>
      <c r="W296" s="2"/>
    </row>
    <row r="297">
      <c r="A297" s="2"/>
      <c r="B297" s="2"/>
      <c r="C297" s="2"/>
      <c r="D297" s="2"/>
      <c r="E297" s="2"/>
      <c r="F297" s="2"/>
      <c r="G297" s="2"/>
      <c r="H297" s="2"/>
      <c r="I297" s="2"/>
      <c r="J297" s="2"/>
      <c r="K297" s="2"/>
      <c r="L297" s="2"/>
      <c r="M297" s="2"/>
      <c r="N297" s="2"/>
      <c r="O297" s="2"/>
      <c r="P297" s="2"/>
      <c r="Q297" s="2"/>
      <c r="R297" s="2"/>
      <c r="S297" s="2"/>
      <c r="T297" s="2"/>
      <c r="U297" s="2"/>
      <c r="V297" s="2"/>
      <c r="W297" s="2"/>
    </row>
    <row r="298">
      <c r="A298" s="2"/>
      <c r="B298" s="2"/>
      <c r="C298" s="2"/>
      <c r="D298" s="2"/>
      <c r="E298" s="2"/>
      <c r="F298" s="2"/>
      <c r="G298" s="2"/>
      <c r="H298" s="2"/>
      <c r="I298" s="2"/>
      <c r="J298" s="2"/>
      <c r="K298" s="2"/>
      <c r="L298" s="2"/>
      <c r="M298" s="2"/>
      <c r="N298" s="2"/>
      <c r="O298" s="2"/>
      <c r="P298" s="2"/>
      <c r="Q298" s="2"/>
      <c r="R298" s="2"/>
      <c r="S298" s="2"/>
      <c r="T298" s="2"/>
      <c r="U298" s="2"/>
      <c r="V298" s="2"/>
      <c r="W298" s="2"/>
    </row>
    <row r="299">
      <c r="A299" s="2"/>
      <c r="B299" s="2"/>
      <c r="C299" s="2"/>
      <c r="D299" s="2"/>
      <c r="E299" s="2"/>
      <c r="F299" s="2"/>
      <c r="G299" s="2"/>
      <c r="H299" s="2"/>
      <c r="I299" s="2"/>
      <c r="J299" s="2"/>
      <c r="K299" s="2"/>
      <c r="L299" s="2"/>
      <c r="M299" s="2"/>
      <c r="N299" s="2"/>
      <c r="O299" s="2"/>
      <c r="P299" s="2"/>
      <c r="Q299" s="2"/>
      <c r="R299" s="2"/>
      <c r="S299" s="2"/>
      <c r="T299" s="2"/>
      <c r="U299" s="2"/>
      <c r="V299" s="2"/>
      <c r="W299" s="2"/>
    </row>
    <row r="300">
      <c r="A300" s="2"/>
      <c r="B300" s="2"/>
      <c r="C300" s="2"/>
      <c r="D300" s="2"/>
      <c r="E300" s="2"/>
      <c r="F300" s="2"/>
      <c r="G300" s="2"/>
      <c r="H300" s="2"/>
      <c r="I300" s="2"/>
      <c r="J300" s="2"/>
      <c r="K300" s="2"/>
      <c r="L300" s="2"/>
      <c r="M300" s="2"/>
      <c r="N300" s="2"/>
      <c r="O300" s="2"/>
      <c r="P300" s="2"/>
      <c r="Q300" s="2"/>
      <c r="R300" s="2"/>
      <c r="S300" s="2"/>
      <c r="T300" s="2"/>
      <c r="U300" s="2"/>
      <c r="V300" s="2"/>
      <c r="W300" s="2"/>
    </row>
    <row r="301">
      <c r="A301" s="2"/>
      <c r="B301" s="2"/>
      <c r="C301" s="2"/>
      <c r="D301" s="2"/>
      <c r="E301" s="2"/>
      <c r="F301" s="2"/>
      <c r="G301" s="2"/>
      <c r="H301" s="2"/>
      <c r="I301" s="2"/>
      <c r="J301" s="2"/>
      <c r="K301" s="2"/>
      <c r="L301" s="2"/>
      <c r="M301" s="2"/>
      <c r="N301" s="2"/>
      <c r="O301" s="2"/>
      <c r="P301" s="2"/>
      <c r="Q301" s="2"/>
      <c r="R301" s="2"/>
      <c r="S301" s="2"/>
      <c r="T301" s="2"/>
      <c r="U301" s="2"/>
      <c r="V301" s="2"/>
      <c r="W301" s="2"/>
    </row>
    <row r="302">
      <c r="A302" s="2"/>
      <c r="B302" s="2"/>
      <c r="C302" s="2"/>
      <c r="D302" s="2"/>
      <c r="E302" s="2"/>
      <c r="F302" s="2"/>
      <c r="G302" s="2"/>
      <c r="H302" s="2"/>
      <c r="I302" s="2"/>
      <c r="J302" s="2"/>
      <c r="K302" s="2"/>
      <c r="L302" s="2"/>
      <c r="M302" s="2"/>
      <c r="N302" s="2"/>
      <c r="O302" s="2"/>
      <c r="P302" s="2"/>
      <c r="Q302" s="2"/>
      <c r="R302" s="2"/>
      <c r="S302" s="2"/>
      <c r="T302" s="2"/>
      <c r="U302" s="2"/>
      <c r="V302" s="2"/>
      <c r="W302" s="2"/>
    </row>
    <row r="303">
      <c r="A303" s="2"/>
      <c r="B303" s="2"/>
      <c r="C303" s="2"/>
      <c r="D303" s="2"/>
      <c r="E303" s="2"/>
      <c r="F303" s="2"/>
      <c r="G303" s="2"/>
      <c r="H303" s="2"/>
      <c r="I303" s="2"/>
      <c r="J303" s="2"/>
      <c r="K303" s="2"/>
      <c r="L303" s="2"/>
      <c r="M303" s="2"/>
      <c r="N303" s="2"/>
      <c r="O303" s="2"/>
      <c r="P303" s="2"/>
      <c r="Q303" s="2"/>
      <c r="R303" s="2"/>
      <c r="S303" s="2"/>
      <c r="T303" s="2"/>
      <c r="U303" s="2"/>
      <c r="V303" s="2"/>
      <c r="W303" s="2"/>
    </row>
    <row r="304">
      <c r="A304" s="2"/>
      <c r="B304" s="2"/>
      <c r="C304" s="2"/>
      <c r="D304" s="2"/>
      <c r="E304" s="2"/>
      <c r="F304" s="2"/>
      <c r="G304" s="2"/>
      <c r="H304" s="2"/>
      <c r="I304" s="2"/>
      <c r="J304" s="2"/>
      <c r="K304" s="2"/>
      <c r="L304" s="2"/>
      <c r="M304" s="2"/>
      <c r="N304" s="2"/>
      <c r="O304" s="2"/>
      <c r="P304" s="2"/>
      <c r="Q304" s="2"/>
      <c r="R304" s="2"/>
      <c r="S304" s="2"/>
      <c r="T304" s="2"/>
      <c r="U304" s="2"/>
      <c r="V304" s="2"/>
      <c r="W304" s="2"/>
    </row>
    <row r="305">
      <c r="A305" s="2"/>
      <c r="B305" s="2"/>
      <c r="C305" s="2"/>
      <c r="D305" s="2"/>
      <c r="E305" s="2"/>
      <c r="F305" s="2"/>
      <c r="G305" s="2"/>
      <c r="H305" s="2"/>
      <c r="I305" s="2"/>
      <c r="J305" s="2"/>
      <c r="K305" s="2"/>
      <c r="L305" s="2"/>
      <c r="M305" s="2"/>
      <c r="N305" s="2"/>
      <c r="O305" s="2"/>
      <c r="P305" s="2"/>
      <c r="Q305" s="2"/>
      <c r="R305" s="2"/>
      <c r="S305" s="2"/>
      <c r="T305" s="2"/>
      <c r="U305" s="2"/>
      <c r="V305" s="2"/>
      <c r="W305" s="2"/>
    </row>
    <row r="306">
      <c r="A306" s="2"/>
      <c r="B306" s="2"/>
      <c r="C306" s="2"/>
      <c r="D306" s="2"/>
      <c r="E306" s="2"/>
      <c r="F306" s="2"/>
      <c r="G306" s="2"/>
      <c r="H306" s="2"/>
      <c r="I306" s="2"/>
      <c r="J306" s="2"/>
      <c r="K306" s="2"/>
      <c r="L306" s="2"/>
      <c r="M306" s="2"/>
      <c r="N306" s="2"/>
      <c r="O306" s="2"/>
      <c r="P306" s="2"/>
      <c r="Q306" s="2"/>
      <c r="R306" s="2"/>
      <c r="S306" s="2"/>
      <c r="T306" s="2"/>
      <c r="U306" s="2"/>
      <c r="V306" s="2"/>
      <c r="W306" s="2"/>
    </row>
    <row r="307">
      <c r="A307" s="2"/>
      <c r="B307" s="2"/>
      <c r="C307" s="2"/>
      <c r="D307" s="2"/>
      <c r="E307" s="2"/>
      <c r="F307" s="2"/>
      <c r="G307" s="2"/>
      <c r="H307" s="2"/>
      <c r="I307" s="2"/>
      <c r="J307" s="2"/>
      <c r="K307" s="2"/>
      <c r="L307" s="2"/>
      <c r="M307" s="2"/>
      <c r="N307" s="2"/>
      <c r="O307" s="2"/>
      <c r="P307" s="2"/>
      <c r="Q307" s="2"/>
      <c r="R307" s="2"/>
      <c r="S307" s="2"/>
      <c r="T307" s="2"/>
      <c r="U307" s="2"/>
      <c r="V307" s="2"/>
      <c r="W307" s="2"/>
    </row>
    <row r="308">
      <c r="A308" s="2"/>
      <c r="B308" s="2"/>
      <c r="C308" s="2"/>
      <c r="D308" s="2"/>
      <c r="E308" s="2"/>
      <c r="F308" s="2"/>
      <c r="G308" s="2"/>
      <c r="H308" s="2"/>
      <c r="I308" s="2"/>
      <c r="J308" s="2"/>
      <c r="K308" s="2"/>
      <c r="L308" s="2"/>
      <c r="M308" s="2"/>
      <c r="N308" s="2"/>
      <c r="O308" s="2"/>
      <c r="P308" s="2"/>
      <c r="Q308" s="2"/>
      <c r="R308" s="2"/>
      <c r="S308" s="2"/>
      <c r="T308" s="2"/>
      <c r="U308" s="2"/>
      <c r="V308" s="2"/>
      <c r="W308" s="2"/>
    </row>
    <row r="309">
      <c r="A309" s="2"/>
      <c r="B309" s="2"/>
      <c r="C309" s="2"/>
      <c r="D309" s="2"/>
      <c r="E309" s="2"/>
      <c r="F309" s="2"/>
      <c r="G309" s="2"/>
      <c r="H309" s="2"/>
      <c r="I309" s="2"/>
      <c r="J309" s="2"/>
      <c r="K309" s="2"/>
      <c r="L309" s="2"/>
      <c r="M309" s="2"/>
      <c r="N309" s="2"/>
      <c r="O309" s="2"/>
      <c r="P309" s="2"/>
      <c r="Q309" s="2"/>
      <c r="R309" s="2"/>
      <c r="S309" s="2"/>
      <c r="T309" s="2"/>
      <c r="U309" s="2"/>
      <c r="V309" s="2"/>
      <c r="W309" s="2"/>
    </row>
    <row r="310">
      <c r="A310" s="2"/>
      <c r="B310" s="2"/>
      <c r="C310" s="2"/>
      <c r="D310" s="2"/>
      <c r="E310" s="2"/>
      <c r="F310" s="2"/>
      <c r="G310" s="2"/>
      <c r="H310" s="2"/>
      <c r="I310" s="2"/>
      <c r="J310" s="2"/>
      <c r="K310" s="2"/>
      <c r="L310" s="2"/>
      <c r="M310" s="2"/>
      <c r="N310" s="2"/>
      <c r="O310" s="2"/>
      <c r="P310" s="2"/>
      <c r="Q310" s="2"/>
      <c r="R310" s="2"/>
      <c r="S310" s="2"/>
      <c r="T310" s="2"/>
      <c r="U310" s="2"/>
      <c r="V310" s="2"/>
      <c r="W310" s="2"/>
    </row>
    <row r="311">
      <c r="A311" s="2"/>
      <c r="B311" s="2"/>
      <c r="C311" s="2"/>
      <c r="D311" s="2"/>
      <c r="E311" s="2"/>
      <c r="F311" s="2"/>
      <c r="G311" s="2"/>
      <c r="H311" s="2"/>
      <c r="I311" s="2"/>
      <c r="J311" s="2"/>
      <c r="K311" s="2"/>
      <c r="L311" s="2"/>
      <c r="M311" s="2"/>
      <c r="N311" s="2"/>
      <c r="O311" s="2"/>
      <c r="P311" s="2"/>
      <c r="Q311" s="2"/>
      <c r="R311" s="2"/>
      <c r="S311" s="2"/>
      <c r="T311" s="2"/>
      <c r="U311" s="2"/>
      <c r="V311" s="2"/>
      <c r="W311" s="2"/>
    </row>
    <row r="312">
      <c r="A312" s="2"/>
      <c r="B312" s="2"/>
      <c r="C312" s="2"/>
      <c r="D312" s="2"/>
      <c r="E312" s="2"/>
      <c r="F312" s="2"/>
      <c r="G312" s="2"/>
      <c r="H312" s="2"/>
      <c r="I312" s="2"/>
      <c r="J312" s="2"/>
      <c r="K312" s="2"/>
      <c r="L312" s="2"/>
      <c r="M312" s="2"/>
      <c r="N312" s="2"/>
      <c r="O312" s="2"/>
      <c r="P312" s="2"/>
      <c r="Q312" s="2"/>
      <c r="R312" s="2"/>
      <c r="S312" s="2"/>
      <c r="T312" s="2"/>
      <c r="U312" s="2"/>
      <c r="V312" s="2"/>
      <c r="W312" s="2"/>
    </row>
    <row r="313">
      <c r="A313" s="2"/>
      <c r="B313" s="2"/>
      <c r="C313" s="2"/>
      <c r="D313" s="2"/>
      <c r="E313" s="2"/>
      <c r="F313" s="2"/>
      <c r="G313" s="2"/>
      <c r="H313" s="2"/>
      <c r="I313" s="2"/>
      <c r="J313" s="2"/>
      <c r="K313" s="2"/>
      <c r="L313" s="2"/>
      <c r="M313" s="2"/>
      <c r="N313" s="2"/>
      <c r="O313" s="2"/>
      <c r="P313" s="2"/>
      <c r="Q313" s="2"/>
      <c r="R313" s="2"/>
      <c r="S313" s="2"/>
      <c r="T313" s="2"/>
      <c r="U313" s="2"/>
      <c r="V313" s="2"/>
      <c r="W313" s="2"/>
    </row>
    <row r="314">
      <c r="A314" s="2"/>
      <c r="B314" s="2"/>
      <c r="C314" s="2"/>
      <c r="D314" s="2"/>
      <c r="E314" s="2"/>
      <c r="F314" s="2"/>
      <c r="G314" s="2"/>
      <c r="H314" s="2"/>
      <c r="I314" s="2"/>
      <c r="J314" s="2"/>
      <c r="K314" s="2"/>
      <c r="L314" s="2"/>
      <c r="M314" s="2"/>
      <c r="N314" s="2"/>
      <c r="O314" s="2"/>
      <c r="P314" s="2"/>
      <c r="Q314" s="2"/>
      <c r="R314" s="2"/>
      <c r="S314" s="2"/>
      <c r="T314" s="2"/>
      <c r="U314" s="2"/>
      <c r="V314" s="2"/>
      <c r="W314" s="2"/>
    </row>
    <row r="315">
      <c r="A315" s="2"/>
      <c r="B315" s="2"/>
      <c r="C315" s="2"/>
      <c r="D315" s="2"/>
      <c r="E315" s="2"/>
      <c r="F315" s="2"/>
      <c r="G315" s="2"/>
      <c r="H315" s="2"/>
      <c r="I315" s="2"/>
      <c r="J315" s="2"/>
      <c r="K315" s="2"/>
      <c r="L315" s="2"/>
      <c r="M315" s="2"/>
      <c r="N315" s="2"/>
      <c r="O315" s="2"/>
      <c r="P315" s="2"/>
      <c r="Q315" s="2"/>
      <c r="R315" s="2"/>
      <c r="S315" s="2"/>
      <c r="T315" s="2"/>
      <c r="U315" s="2"/>
      <c r="V315" s="2"/>
      <c r="W315" s="2"/>
    </row>
    <row r="316">
      <c r="A316" s="2"/>
      <c r="B316" s="2"/>
      <c r="C316" s="2"/>
      <c r="D316" s="2"/>
      <c r="E316" s="2"/>
      <c r="F316" s="2"/>
      <c r="G316" s="2"/>
      <c r="H316" s="2"/>
      <c r="I316" s="2"/>
      <c r="J316" s="2"/>
      <c r="K316" s="2"/>
      <c r="L316" s="2"/>
      <c r="M316" s="2"/>
      <c r="N316" s="2"/>
      <c r="O316" s="2"/>
      <c r="P316" s="2"/>
      <c r="Q316" s="2"/>
      <c r="R316" s="2"/>
      <c r="S316" s="2"/>
      <c r="T316" s="2"/>
      <c r="U316" s="2"/>
      <c r="V316" s="2"/>
      <c r="W316" s="2"/>
    </row>
    <row r="317">
      <c r="A317" s="2"/>
      <c r="B317" s="2"/>
      <c r="C317" s="2"/>
      <c r="D317" s="2"/>
      <c r="E317" s="2"/>
      <c r="F317" s="2"/>
      <c r="G317" s="2"/>
      <c r="H317" s="2"/>
      <c r="I317" s="2"/>
      <c r="J317" s="2"/>
      <c r="K317" s="2"/>
      <c r="L317" s="2"/>
      <c r="M317" s="2"/>
      <c r="N317" s="2"/>
      <c r="O317" s="2"/>
      <c r="P317" s="2"/>
      <c r="Q317" s="2"/>
      <c r="R317" s="2"/>
      <c r="S317" s="2"/>
      <c r="T317" s="2"/>
      <c r="U317" s="2"/>
      <c r="V317" s="2"/>
      <c r="W317" s="2"/>
    </row>
    <row r="318">
      <c r="A318" s="2"/>
      <c r="B318" s="2"/>
      <c r="C318" s="2"/>
      <c r="D318" s="2"/>
      <c r="E318" s="2"/>
      <c r="F318" s="2"/>
      <c r="G318" s="2"/>
      <c r="H318" s="2"/>
      <c r="I318" s="2"/>
      <c r="J318" s="2"/>
      <c r="K318" s="2"/>
      <c r="L318" s="2"/>
      <c r="M318" s="2"/>
      <c r="N318" s="2"/>
      <c r="O318" s="2"/>
      <c r="P318" s="2"/>
      <c r="Q318" s="2"/>
      <c r="R318" s="2"/>
      <c r="S318" s="2"/>
      <c r="T318" s="2"/>
      <c r="U318" s="2"/>
      <c r="V318" s="2"/>
      <c r="W318" s="2"/>
    </row>
    <row r="319">
      <c r="A319" s="2"/>
      <c r="B319" s="2"/>
      <c r="C319" s="2"/>
      <c r="D319" s="2"/>
      <c r="E319" s="2"/>
      <c r="F319" s="2"/>
      <c r="G319" s="2"/>
      <c r="H319" s="2"/>
      <c r="I319" s="2"/>
      <c r="J319" s="2"/>
      <c r="K319" s="2"/>
      <c r="L319" s="2"/>
      <c r="M319" s="2"/>
      <c r="N319" s="2"/>
      <c r="O319" s="2"/>
      <c r="P319" s="2"/>
      <c r="Q319" s="2"/>
      <c r="R319" s="2"/>
      <c r="S319" s="2"/>
      <c r="T319" s="2"/>
      <c r="U319" s="2"/>
      <c r="V319" s="2"/>
      <c r="W319" s="2"/>
    </row>
    <row r="320">
      <c r="A320" s="2"/>
      <c r="B320" s="2"/>
      <c r="C320" s="2"/>
      <c r="D320" s="2"/>
      <c r="E320" s="2"/>
      <c r="F320" s="2"/>
      <c r="G320" s="2"/>
      <c r="H320" s="2"/>
      <c r="I320" s="2"/>
      <c r="J320" s="2"/>
      <c r="K320" s="2"/>
      <c r="L320" s="2"/>
      <c r="M320" s="2"/>
      <c r="N320" s="2"/>
      <c r="O320" s="2"/>
      <c r="P320" s="2"/>
      <c r="Q320" s="2"/>
      <c r="R320" s="2"/>
      <c r="S320" s="2"/>
      <c r="T320" s="2"/>
      <c r="U320" s="2"/>
      <c r="V320" s="2"/>
      <c r="W320" s="2"/>
    </row>
    <row r="321">
      <c r="A321" s="2"/>
      <c r="B321" s="2"/>
      <c r="C321" s="2"/>
      <c r="D321" s="2"/>
      <c r="E321" s="2"/>
      <c r="F321" s="2"/>
      <c r="G321" s="2"/>
      <c r="H321" s="2"/>
      <c r="I321" s="2"/>
      <c r="J321" s="2"/>
      <c r="K321" s="2"/>
      <c r="L321" s="2"/>
      <c r="M321" s="2"/>
      <c r="N321" s="2"/>
      <c r="O321" s="2"/>
      <c r="P321" s="2"/>
      <c r="Q321" s="2"/>
      <c r="R321" s="2"/>
      <c r="S321" s="2"/>
      <c r="T321" s="2"/>
      <c r="U321" s="2"/>
      <c r="V321" s="2"/>
      <c r="W321" s="2"/>
    </row>
    <row r="322">
      <c r="A322" s="2"/>
      <c r="B322" s="2"/>
      <c r="C322" s="2"/>
      <c r="D322" s="2"/>
      <c r="E322" s="2"/>
      <c r="F322" s="2"/>
      <c r="G322" s="2"/>
      <c r="H322" s="2"/>
      <c r="I322" s="2"/>
      <c r="J322" s="2"/>
      <c r="K322" s="2"/>
      <c r="L322" s="2"/>
      <c r="M322" s="2"/>
      <c r="N322" s="2"/>
      <c r="O322" s="2"/>
      <c r="P322" s="2"/>
      <c r="Q322" s="2"/>
      <c r="R322" s="2"/>
      <c r="S322" s="2"/>
      <c r="T322" s="2"/>
      <c r="U322" s="2"/>
      <c r="V322" s="2"/>
      <c r="W322" s="2"/>
    </row>
    <row r="323">
      <c r="A323" s="2"/>
      <c r="B323" s="2"/>
      <c r="C323" s="2"/>
      <c r="D323" s="2"/>
      <c r="E323" s="2"/>
      <c r="F323" s="2"/>
      <c r="G323" s="2"/>
      <c r="H323" s="2"/>
      <c r="I323" s="2"/>
      <c r="J323" s="2"/>
      <c r="K323" s="2"/>
      <c r="L323" s="2"/>
      <c r="M323" s="2"/>
      <c r="N323" s="2"/>
      <c r="O323" s="2"/>
      <c r="P323" s="2"/>
      <c r="Q323" s="2"/>
      <c r="R323" s="2"/>
      <c r="S323" s="2"/>
      <c r="T323" s="2"/>
      <c r="U323" s="2"/>
      <c r="V323" s="2"/>
      <c r="W323" s="2"/>
    </row>
    <row r="324">
      <c r="A324" s="2"/>
      <c r="B324" s="2"/>
      <c r="C324" s="2"/>
      <c r="D324" s="2"/>
      <c r="E324" s="2"/>
      <c r="F324" s="2"/>
      <c r="G324" s="2"/>
      <c r="H324" s="2"/>
      <c r="I324" s="2"/>
      <c r="J324" s="2"/>
      <c r="K324" s="2"/>
      <c r="L324" s="2"/>
      <c r="M324" s="2"/>
      <c r="N324" s="2"/>
      <c r="O324" s="2"/>
      <c r="P324" s="2"/>
      <c r="Q324" s="2"/>
      <c r="R324" s="2"/>
      <c r="S324" s="2"/>
      <c r="T324" s="2"/>
      <c r="U324" s="2"/>
      <c r="V324" s="2"/>
      <c r="W324" s="2"/>
    </row>
    <row r="325">
      <c r="A325" s="2"/>
      <c r="B325" s="2"/>
      <c r="C325" s="2"/>
      <c r="D325" s="2"/>
      <c r="E325" s="2"/>
      <c r="F325" s="2"/>
      <c r="G325" s="2"/>
      <c r="H325" s="2"/>
      <c r="I325" s="2"/>
      <c r="J325" s="2"/>
      <c r="K325" s="2"/>
      <c r="L325" s="2"/>
      <c r="M325" s="2"/>
      <c r="N325" s="2"/>
      <c r="O325" s="2"/>
      <c r="P325" s="2"/>
      <c r="Q325" s="2"/>
      <c r="R325" s="2"/>
      <c r="S325" s="2"/>
      <c r="T325" s="2"/>
      <c r="U325" s="2"/>
      <c r="V325" s="2"/>
      <c r="W325" s="2"/>
    </row>
    <row r="326">
      <c r="A326" s="2"/>
      <c r="B326" s="2"/>
      <c r="C326" s="2"/>
      <c r="D326" s="2"/>
      <c r="E326" s="2"/>
      <c r="F326" s="2"/>
      <c r="G326" s="2"/>
      <c r="H326" s="2"/>
      <c r="I326" s="2"/>
      <c r="J326" s="2"/>
      <c r="K326" s="2"/>
      <c r="L326" s="2"/>
      <c r="M326" s="2"/>
      <c r="N326" s="2"/>
      <c r="O326" s="2"/>
      <c r="P326" s="2"/>
      <c r="Q326" s="2"/>
      <c r="R326" s="2"/>
      <c r="S326" s="2"/>
      <c r="T326" s="2"/>
      <c r="U326" s="2"/>
      <c r="V326" s="2"/>
      <c r="W326" s="2"/>
    </row>
    <row r="327">
      <c r="A327" s="2"/>
      <c r="B327" s="2"/>
      <c r="C327" s="2"/>
      <c r="D327" s="2"/>
      <c r="E327" s="2"/>
      <c r="F327" s="2"/>
      <c r="G327" s="2"/>
      <c r="H327" s="2"/>
      <c r="I327" s="2"/>
      <c r="J327" s="2"/>
      <c r="K327" s="2"/>
      <c r="L327" s="2"/>
      <c r="M327" s="2"/>
      <c r="N327" s="2"/>
      <c r="O327" s="2"/>
      <c r="P327" s="2"/>
      <c r="Q327" s="2"/>
      <c r="R327" s="2"/>
      <c r="S327" s="2"/>
      <c r="T327" s="2"/>
      <c r="U327" s="2"/>
      <c r="V327" s="2"/>
      <c r="W327" s="2"/>
    </row>
    <row r="328">
      <c r="A328" s="2"/>
      <c r="B328" s="2"/>
      <c r="C328" s="2"/>
      <c r="D328" s="2"/>
      <c r="E328" s="2"/>
      <c r="F328" s="2"/>
      <c r="G328" s="2"/>
      <c r="H328" s="2"/>
      <c r="I328" s="2"/>
      <c r="J328" s="2"/>
      <c r="K328" s="2"/>
      <c r="L328" s="2"/>
      <c r="M328" s="2"/>
      <c r="N328" s="2"/>
      <c r="O328" s="2"/>
      <c r="P328" s="2"/>
      <c r="Q328" s="2"/>
      <c r="R328" s="2"/>
      <c r="S328" s="2"/>
      <c r="T328" s="2"/>
      <c r="U328" s="2"/>
      <c r="V328" s="2"/>
      <c r="W328" s="2"/>
    </row>
    <row r="329">
      <c r="A329" s="2"/>
      <c r="B329" s="2"/>
      <c r="C329" s="2"/>
      <c r="D329" s="2"/>
      <c r="E329" s="2"/>
      <c r="F329" s="2"/>
      <c r="G329" s="2"/>
      <c r="H329" s="2"/>
      <c r="I329" s="2"/>
      <c r="J329" s="2"/>
      <c r="K329" s="2"/>
      <c r="L329" s="2"/>
      <c r="M329" s="2"/>
      <c r="N329" s="2"/>
      <c r="O329" s="2"/>
      <c r="P329" s="2"/>
      <c r="Q329" s="2"/>
      <c r="R329" s="2"/>
      <c r="S329" s="2"/>
      <c r="T329" s="2"/>
      <c r="U329" s="2"/>
      <c r="V329" s="2"/>
      <c r="W329" s="2"/>
    </row>
    <row r="330">
      <c r="A330" s="2"/>
      <c r="B330" s="2"/>
      <c r="C330" s="2"/>
      <c r="D330" s="2"/>
      <c r="E330" s="2"/>
      <c r="F330" s="2"/>
      <c r="G330" s="2"/>
      <c r="H330" s="2"/>
      <c r="I330" s="2"/>
      <c r="J330" s="2"/>
      <c r="K330" s="2"/>
      <c r="L330" s="2"/>
      <c r="M330" s="2"/>
      <c r="N330" s="2"/>
      <c r="O330" s="2"/>
      <c r="P330" s="2"/>
      <c r="Q330" s="2"/>
      <c r="R330" s="2"/>
      <c r="S330" s="2"/>
      <c r="T330" s="2"/>
      <c r="U330" s="2"/>
      <c r="V330" s="2"/>
      <c r="W330" s="2"/>
    </row>
    <row r="331">
      <c r="A331" s="2"/>
      <c r="B331" s="2"/>
      <c r="C331" s="2"/>
      <c r="D331" s="2"/>
      <c r="E331" s="2"/>
      <c r="F331" s="2"/>
      <c r="G331" s="2"/>
      <c r="H331" s="2"/>
      <c r="I331" s="2"/>
      <c r="J331" s="2"/>
      <c r="K331" s="2"/>
      <c r="L331" s="2"/>
      <c r="M331" s="2"/>
      <c r="N331" s="2"/>
      <c r="O331" s="2"/>
      <c r="P331" s="2"/>
      <c r="Q331" s="2"/>
      <c r="R331" s="2"/>
      <c r="S331" s="2"/>
      <c r="T331" s="2"/>
      <c r="U331" s="2"/>
      <c r="V331" s="2"/>
      <c r="W331" s="2"/>
    </row>
    <row r="332">
      <c r="A332" s="2"/>
      <c r="B332" s="2"/>
      <c r="C332" s="2"/>
      <c r="D332" s="2"/>
      <c r="E332" s="2"/>
      <c r="F332" s="2"/>
      <c r="G332" s="2"/>
      <c r="H332" s="2"/>
      <c r="I332" s="2"/>
      <c r="J332" s="2"/>
      <c r="K332" s="2"/>
      <c r="L332" s="2"/>
      <c r="M332" s="2"/>
      <c r="N332" s="2"/>
      <c r="O332" s="2"/>
      <c r="P332" s="2"/>
      <c r="Q332" s="2"/>
      <c r="R332" s="2"/>
      <c r="S332" s="2"/>
      <c r="T332" s="2"/>
      <c r="U332" s="2"/>
      <c r="V332" s="2"/>
      <c r="W332" s="2"/>
    </row>
    <row r="333">
      <c r="A333" s="2"/>
      <c r="B333" s="2"/>
      <c r="C333" s="2"/>
      <c r="D333" s="2"/>
      <c r="E333" s="2"/>
      <c r="F333" s="2"/>
      <c r="G333" s="2"/>
      <c r="H333" s="2"/>
      <c r="I333" s="2"/>
      <c r="J333" s="2"/>
      <c r="K333" s="2"/>
      <c r="L333" s="2"/>
      <c r="M333" s="2"/>
      <c r="N333" s="2"/>
      <c r="O333" s="2"/>
      <c r="P333" s="2"/>
      <c r="Q333" s="2"/>
      <c r="R333" s="2"/>
      <c r="S333" s="2"/>
      <c r="T333" s="2"/>
      <c r="U333" s="2"/>
      <c r="V333" s="2"/>
      <c r="W333" s="2"/>
    </row>
    <row r="334">
      <c r="A334" s="2"/>
      <c r="B334" s="2"/>
      <c r="C334" s="2"/>
      <c r="D334" s="2"/>
      <c r="E334" s="2"/>
      <c r="F334" s="2"/>
      <c r="G334" s="2"/>
      <c r="H334" s="2"/>
      <c r="I334" s="2"/>
      <c r="J334" s="2"/>
      <c r="K334" s="2"/>
      <c r="L334" s="2"/>
      <c r="M334" s="2"/>
      <c r="N334" s="2"/>
      <c r="O334" s="2"/>
      <c r="P334" s="2"/>
      <c r="Q334" s="2"/>
      <c r="R334" s="2"/>
      <c r="S334" s="2"/>
      <c r="T334" s="2"/>
      <c r="U334" s="2"/>
      <c r="V334" s="2"/>
      <c r="W334" s="2"/>
    </row>
    <row r="335">
      <c r="A335" s="2"/>
      <c r="B335" s="2"/>
      <c r="C335" s="2"/>
      <c r="D335" s="2"/>
      <c r="E335" s="2"/>
      <c r="F335" s="2"/>
      <c r="G335" s="2"/>
      <c r="H335" s="2"/>
      <c r="I335" s="2"/>
      <c r="J335" s="2"/>
      <c r="K335" s="2"/>
      <c r="L335" s="2"/>
      <c r="M335" s="2"/>
      <c r="N335" s="2"/>
      <c r="O335" s="2"/>
      <c r="P335" s="2"/>
      <c r="Q335" s="2"/>
      <c r="R335" s="2"/>
      <c r="S335" s="2"/>
      <c r="T335" s="2"/>
      <c r="U335" s="2"/>
      <c r="V335" s="2"/>
      <c r="W335" s="2"/>
    </row>
    <row r="336">
      <c r="A336" s="2"/>
      <c r="B336" s="2"/>
      <c r="C336" s="2"/>
      <c r="D336" s="2"/>
      <c r="E336" s="2"/>
      <c r="F336" s="2"/>
      <c r="G336" s="2"/>
      <c r="H336" s="2"/>
      <c r="I336" s="2"/>
      <c r="J336" s="2"/>
      <c r="K336" s="2"/>
      <c r="L336" s="2"/>
      <c r="M336" s="2"/>
      <c r="N336" s="2"/>
      <c r="O336" s="2"/>
      <c r="P336" s="2"/>
      <c r="Q336" s="2"/>
      <c r="R336" s="2"/>
      <c r="S336" s="2"/>
      <c r="T336" s="2"/>
      <c r="U336" s="2"/>
      <c r="V336" s="2"/>
      <c r="W336" s="2"/>
    </row>
    <row r="337">
      <c r="A337" s="2"/>
      <c r="B337" s="2"/>
      <c r="C337" s="2"/>
      <c r="D337" s="2"/>
      <c r="E337" s="2"/>
      <c r="F337" s="2"/>
      <c r="G337" s="2"/>
      <c r="H337" s="2"/>
      <c r="I337" s="2"/>
      <c r="J337" s="2"/>
      <c r="K337" s="2"/>
      <c r="L337" s="2"/>
      <c r="M337" s="2"/>
      <c r="N337" s="2"/>
      <c r="O337" s="2"/>
      <c r="P337" s="2"/>
      <c r="Q337" s="2"/>
      <c r="R337" s="2"/>
      <c r="S337" s="2"/>
      <c r="T337" s="2"/>
      <c r="U337" s="2"/>
      <c r="V337" s="2"/>
      <c r="W337" s="2"/>
    </row>
    <row r="338">
      <c r="A338" s="2"/>
      <c r="B338" s="2"/>
      <c r="C338" s="2"/>
      <c r="D338" s="2"/>
      <c r="E338" s="2"/>
      <c r="F338" s="2"/>
      <c r="G338" s="2"/>
      <c r="H338" s="2"/>
      <c r="I338" s="2"/>
      <c r="J338" s="2"/>
      <c r="K338" s="2"/>
      <c r="L338" s="2"/>
      <c r="M338" s="2"/>
      <c r="N338" s="2"/>
      <c r="O338" s="2"/>
      <c r="P338" s="2"/>
      <c r="Q338" s="2"/>
      <c r="R338" s="2"/>
      <c r="S338" s="2"/>
      <c r="T338" s="2"/>
      <c r="U338" s="2"/>
      <c r="V338" s="2"/>
      <c r="W338" s="2"/>
    </row>
    <row r="339">
      <c r="A339" s="2"/>
      <c r="B339" s="2"/>
      <c r="C339" s="2"/>
      <c r="D339" s="2"/>
      <c r="E339" s="2"/>
      <c r="F339" s="2"/>
      <c r="G339" s="2"/>
      <c r="H339" s="2"/>
      <c r="I339" s="2"/>
      <c r="J339" s="2"/>
      <c r="K339" s="2"/>
      <c r="L339" s="2"/>
      <c r="M339" s="2"/>
      <c r="N339" s="2"/>
      <c r="O339" s="2"/>
      <c r="P339" s="2"/>
      <c r="Q339" s="2"/>
      <c r="R339" s="2"/>
      <c r="S339" s="2"/>
      <c r="T339" s="2"/>
      <c r="U339" s="2"/>
      <c r="V339" s="2"/>
      <c r="W339" s="2"/>
    </row>
    <row r="340">
      <c r="A340" s="2"/>
      <c r="B340" s="2"/>
      <c r="C340" s="2"/>
      <c r="D340" s="2"/>
      <c r="E340" s="2"/>
      <c r="F340" s="2"/>
      <c r="G340" s="2"/>
      <c r="H340" s="2"/>
      <c r="I340" s="2"/>
      <c r="J340" s="2"/>
      <c r="K340" s="2"/>
      <c r="L340" s="2"/>
      <c r="M340" s="2"/>
      <c r="N340" s="2"/>
      <c r="O340" s="2"/>
      <c r="P340" s="2"/>
      <c r="Q340" s="2"/>
      <c r="R340" s="2"/>
      <c r="S340" s="2"/>
      <c r="T340" s="2"/>
      <c r="U340" s="2"/>
      <c r="V340" s="2"/>
      <c r="W340" s="2"/>
    </row>
    <row r="341">
      <c r="A341" s="2"/>
      <c r="B341" s="2"/>
      <c r="C341" s="2"/>
      <c r="D341" s="2"/>
      <c r="E341" s="2"/>
      <c r="F341" s="2"/>
      <c r="G341" s="2"/>
      <c r="H341" s="2"/>
      <c r="I341" s="2"/>
      <c r="J341" s="2"/>
      <c r="K341" s="2"/>
      <c r="L341" s="2"/>
      <c r="M341" s="2"/>
      <c r="N341" s="2"/>
      <c r="O341" s="2"/>
      <c r="P341" s="2"/>
      <c r="Q341" s="2"/>
      <c r="R341" s="2"/>
      <c r="S341" s="2"/>
      <c r="T341" s="2"/>
      <c r="U341" s="2"/>
      <c r="V341" s="2"/>
      <c r="W341" s="2"/>
    </row>
    <row r="342">
      <c r="A342" s="2"/>
      <c r="B342" s="2"/>
      <c r="C342" s="2"/>
      <c r="D342" s="2"/>
      <c r="E342" s="2"/>
      <c r="F342" s="2"/>
      <c r="G342" s="2"/>
      <c r="H342" s="2"/>
      <c r="I342" s="2"/>
      <c r="J342" s="2"/>
      <c r="K342" s="2"/>
      <c r="L342" s="2"/>
      <c r="M342" s="2"/>
      <c r="N342" s="2"/>
      <c r="O342" s="2"/>
      <c r="P342" s="2"/>
      <c r="Q342" s="2"/>
      <c r="R342" s="2"/>
      <c r="S342" s="2"/>
      <c r="T342" s="2"/>
      <c r="U342" s="2"/>
      <c r="V342" s="2"/>
      <c r="W342" s="2"/>
    </row>
    <row r="343">
      <c r="A343" s="2"/>
      <c r="B343" s="2"/>
      <c r="C343" s="2"/>
      <c r="D343" s="2"/>
      <c r="E343" s="2"/>
      <c r="F343" s="2"/>
      <c r="G343" s="2"/>
      <c r="H343" s="2"/>
      <c r="I343" s="2"/>
      <c r="J343" s="2"/>
      <c r="K343" s="2"/>
      <c r="L343" s="2"/>
      <c r="M343" s="2"/>
      <c r="N343" s="2"/>
      <c r="O343" s="2"/>
      <c r="P343" s="2"/>
      <c r="Q343" s="2"/>
      <c r="R343" s="2"/>
      <c r="S343" s="2"/>
      <c r="T343" s="2"/>
      <c r="U343" s="2"/>
      <c r="V343" s="2"/>
      <c r="W343" s="2"/>
    </row>
    <row r="344">
      <c r="A344" s="2"/>
      <c r="B344" s="2"/>
      <c r="C344" s="2"/>
      <c r="D344" s="2"/>
      <c r="E344" s="2"/>
      <c r="F344" s="2"/>
      <c r="G344" s="2"/>
      <c r="H344" s="2"/>
      <c r="I344" s="2"/>
      <c r="J344" s="2"/>
      <c r="K344" s="2"/>
      <c r="L344" s="2"/>
      <c r="M344" s="2"/>
      <c r="N344" s="2"/>
      <c r="O344" s="2"/>
      <c r="P344" s="2"/>
      <c r="Q344" s="2"/>
      <c r="R344" s="2"/>
      <c r="S344" s="2"/>
      <c r="T344" s="2"/>
      <c r="U344" s="2"/>
      <c r="V344" s="2"/>
      <c r="W344" s="2"/>
    </row>
    <row r="345">
      <c r="A345" s="2"/>
      <c r="B345" s="2"/>
      <c r="C345" s="2"/>
      <c r="D345" s="2"/>
      <c r="E345" s="2"/>
      <c r="F345" s="2"/>
      <c r="G345" s="2"/>
      <c r="H345" s="2"/>
      <c r="I345" s="2"/>
      <c r="J345" s="2"/>
      <c r="K345" s="2"/>
      <c r="L345" s="2"/>
      <c r="M345" s="2"/>
      <c r="N345" s="2"/>
      <c r="O345" s="2"/>
      <c r="P345" s="2"/>
      <c r="Q345" s="2"/>
      <c r="R345" s="2"/>
      <c r="S345" s="2"/>
      <c r="T345" s="2"/>
      <c r="U345" s="2"/>
      <c r="V345" s="2"/>
      <c r="W345" s="2"/>
    </row>
    <row r="346">
      <c r="A346" s="2"/>
      <c r="B346" s="2"/>
      <c r="C346" s="2"/>
      <c r="D346" s="2"/>
      <c r="E346" s="2"/>
      <c r="F346" s="2"/>
      <c r="G346" s="2"/>
      <c r="H346" s="2"/>
      <c r="I346" s="2"/>
      <c r="J346" s="2"/>
      <c r="K346" s="2"/>
      <c r="L346" s="2"/>
      <c r="M346" s="2"/>
      <c r="N346" s="2"/>
      <c r="O346" s="2"/>
      <c r="P346" s="2"/>
      <c r="Q346" s="2"/>
      <c r="R346" s="2"/>
      <c r="S346" s="2"/>
      <c r="T346" s="2"/>
      <c r="U346" s="2"/>
      <c r="V346" s="2"/>
      <c r="W346" s="2"/>
    </row>
    <row r="347">
      <c r="A347" s="2"/>
      <c r="B347" s="2"/>
      <c r="C347" s="2"/>
      <c r="D347" s="2"/>
      <c r="E347" s="2"/>
      <c r="F347" s="2"/>
      <c r="G347" s="2"/>
      <c r="H347" s="2"/>
      <c r="I347" s="2"/>
      <c r="J347" s="2"/>
      <c r="K347" s="2"/>
      <c r="L347" s="2"/>
      <c r="M347" s="2"/>
      <c r="N347" s="2"/>
      <c r="O347" s="2"/>
      <c r="P347" s="2"/>
      <c r="Q347" s="2"/>
      <c r="R347" s="2"/>
      <c r="S347" s="2"/>
      <c r="T347" s="2"/>
      <c r="U347" s="2"/>
      <c r="V347" s="2"/>
      <c r="W347" s="2"/>
    </row>
    <row r="348">
      <c r="A348" s="2"/>
      <c r="B348" s="2"/>
      <c r="C348" s="2"/>
      <c r="D348" s="2"/>
      <c r="E348" s="2"/>
      <c r="F348" s="2"/>
      <c r="G348" s="2"/>
      <c r="H348" s="2"/>
      <c r="I348" s="2"/>
      <c r="J348" s="2"/>
      <c r="K348" s="2"/>
      <c r="L348" s="2"/>
      <c r="M348" s="2"/>
      <c r="N348" s="2"/>
      <c r="O348" s="2"/>
      <c r="P348" s="2"/>
      <c r="Q348" s="2"/>
      <c r="R348" s="2"/>
      <c r="S348" s="2"/>
      <c r="T348" s="2"/>
      <c r="U348" s="2"/>
      <c r="V348" s="2"/>
      <c r="W348" s="2"/>
    </row>
    <row r="349">
      <c r="A349" s="2"/>
      <c r="B349" s="2"/>
      <c r="C349" s="2"/>
      <c r="D349" s="2"/>
      <c r="E349" s="2"/>
      <c r="F349" s="2"/>
      <c r="G349" s="2"/>
      <c r="H349" s="2"/>
      <c r="I349" s="2"/>
      <c r="J349" s="2"/>
      <c r="K349" s="2"/>
      <c r="L349" s="2"/>
      <c r="M349" s="2"/>
      <c r="N349" s="2"/>
      <c r="O349" s="2"/>
      <c r="P349" s="2"/>
      <c r="Q349" s="2"/>
      <c r="R349" s="2"/>
      <c r="S349" s="2"/>
      <c r="T349" s="2"/>
      <c r="U349" s="2"/>
      <c r="V349" s="2"/>
      <c r="W349" s="2"/>
    </row>
    <row r="350">
      <c r="A350" s="2"/>
      <c r="B350" s="2"/>
      <c r="C350" s="2"/>
      <c r="D350" s="2"/>
      <c r="E350" s="2"/>
      <c r="F350" s="2"/>
      <c r="G350" s="2"/>
      <c r="H350" s="2"/>
      <c r="I350" s="2"/>
      <c r="J350" s="2"/>
      <c r="K350" s="2"/>
      <c r="L350" s="2"/>
      <c r="M350" s="2"/>
      <c r="N350" s="2"/>
      <c r="O350" s="2"/>
      <c r="P350" s="2"/>
      <c r="Q350" s="2"/>
      <c r="R350" s="2"/>
      <c r="S350" s="2"/>
      <c r="T350" s="2"/>
      <c r="U350" s="2"/>
      <c r="V350" s="2"/>
      <c r="W350" s="2"/>
    </row>
    <row r="351">
      <c r="A351" s="2"/>
      <c r="B351" s="2"/>
      <c r="C351" s="2"/>
      <c r="D351" s="2"/>
      <c r="E351" s="2"/>
      <c r="F351" s="2"/>
      <c r="G351" s="2"/>
      <c r="H351" s="2"/>
      <c r="I351" s="2"/>
      <c r="J351" s="2"/>
      <c r="K351" s="2"/>
      <c r="L351" s="2"/>
      <c r="M351" s="2"/>
      <c r="N351" s="2"/>
      <c r="O351" s="2"/>
      <c r="P351" s="2"/>
      <c r="Q351" s="2"/>
      <c r="R351" s="2"/>
      <c r="S351" s="2"/>
      <c r="T351" s="2"/>
      <c r="U351" s="2"/>
      <c r="V351" s="2"/>
      <c r="W351" s="2"/>
    </row>
    <row r="352">
      <c r="A352" s="2"/>
      <c r="B352" s="2"/>
      <c r="C352" s="2"/>
      <c r="D352" s="2"/>
      <c r="E352" s="2"/>
      <c r="F352" s="2"/>
      <c r="G352" s="2"/>
      <c r="H352" s="2"/>
      <c r="I352" s="2"/>
      <c r="J352" s="2"/>
      <c r="K352" s="2"/>
      <c r="L352" s="2"/>
      <c r="M352" s="2"/>
      <c r="N352" s="2"/>
      <c r="O352" s="2"/>
      <c r="P352" s="2"/>
      <c r="Q352" s="2"/>
      <c r="R352" s="2"/>
      <c r="S352" s="2"/>
      <c r="T352" s="2"/>
      <c r="U352" s="2"/>
      <c r="V352" s="2"/>
      <c r="W352" s="2"/>
    </row>
    <row r="353">
      <c r="A353" s="2"/>
      <c r="B353" s="2"/>
      <c r="C353" s="2"/>
      <c r="D353" s="2"/>
      <c r="E353" s="2"/>
      <c r="F353" s="2"/>
      <c r="G353" s="2"/>
      <c r="H353" s="2"/>
      <c r="I353" s="2"/>
      <c r="J353" s="2"/>
      <c r="K353" s="2"/>
      <c r="L353" s="2"/>
      <c r="M353" s="2"/>
      <c r="N353" s="2"/>
      <c r="O353" s="2"/>
      <c r="P353" s="2"/>
      <c r="Q353" s="2"/>
      <c r="R353" s="2"/>
      <c r="S353" s="2"/>
      <c r="T353" s="2"/>
      <c r="U353" s="2"/>
      <c r="V353" s="2"/>
      <c r="W353" s="2"/>
    </row>
    <row r="354">
      <c r="A354" s="2"/>
      <c r="B354" s="2"/>
      <c r="C354" s="2"/>
      <c r="D354" s="2"/>
      <c r="E354" s="2"/>
      <c r="F354" s="2"/>
      <c r="G354" s="2"/>
      <c r="H354" s="2"/>
      <c r="I354" s="2"/>
      <c r="J354" s="2"/>
      <c r="K354" s="2"/>
      <c r="L354" s="2"/>
      <c r="M354" s="2"/>
      <c r="N354" s="2"/>
      <c r="O354" s="2"/>
      <c r="P354" s="2"/>
      <c r="Q354" s="2"/>
      <c r="R354" s="2"/>
      <c r="S354" s="2"/>
      <c r="T354" s="2"/>
      <c r="U354" s="2"/>
      <c r="V354" s="2"/>
      <c r="W354" s="2"/>
    </row>
    <row r="355">
      <c r="A355" s="2"/>
      <c r="B355" s="2"/>
      <c r="C355" s="2"/>
      <c r="D355" s="2"/>
      <c r="E355" s="2"/>
      <c r="F355" s="2"/>
      <c r="G355" s="2"/>
      <c r="H355" s="2"/>
      <c r="I355" s="2"/>
      <c r="J355" s="2"/>
      <c r="K355" s="2"/>
      <c r="L355" s="2"/>
      <c r="M355" s="2"/>
      <c r="N355" s="2"/>
      <c r="O355" s="2"/>
      <c r="P355" s="2"/>
      <c r="Q355" s="2"/>
      <c r="R355" s="2"/>
      <c r="S355" s="2"/>
      <c r="T355" s="2"/>
      <c r="U355" s="2"/>
      <c r="V355" s="2"/>
      <c r="W355" s="2"/>
    </row>
    <row r="356">
      <c r="A356" s="2"/>
      <c r="B356" s="2"/>
      <c r="C356" s="2"/>
      <c r="D356" s="2"/>
      <c r="E356" s="2"/>
      <c r="F356" s="2"/>
      <c r="G356" s="2"/>
      <c r="H356" s="2"/>
      <c r="I356" s="2"/>
      <c r="J356" s="2"/>
      <c r="K356" s="2"/>
      <c r="L356" s="2"/>
      <c r="M356" s="2"/>
      <c r="N356" s="2"/>
      <c r="O356" s="2"/>
      <c r="P356" s="2"/>
      <c r="Q356" s="2"/>
      <c r="R356" s="2"/>
      <c r="S356" s="2"/>
      <c r="T356" s="2"/>
      <c r="U356" s="2"/>
      <c r="V356" s="2"/>
      <c r="W356" s="2"/>
    </row>
    <row r="357">
      <c r="A357" s="2"/>
      <c r="B357" s="2"/>
      <c r="C357" s="2"/>
      <c r="D357" s="2"/>
      <c r="E357" s="2"/>
      <c r="F357" s="2"/>
      <c r="G357" s="2"/>
      <c r="H357" s="2"/>
      <c r="I357" s="2"/>
      <c r="J357" s="2"/>
      <c r="K357" s="2"/>
      <c r="L357" s="2"/>
      <c r="M357" s="2"/>
      <c r="N357" s="2"/>
      <c r="O357" s="2"/>
      <c r="P357" s="2"/>
      <c r="Q357" s="2"/>
      <c r="R357" s="2"/>
      <c r="S357" s="2"/>
      <c r="T357" s="2"/>
      <c r="U357" s="2"/>
      <c r="V357" s="2"/>
      <c r="W357" s="2"/>
    </row>
    <row r="358">
      <c r="A358" s="2"/>
      <c r="B358" s="2"/>
      <c r="C358" s="2"/>
      <c r="D358" s="2"/>
      <c r="E358" s="2"/>
      <c r="F358" s="2"/>
      <c r="G358" s="2"/>
      <c r="H358" s="2"/>
      <c r="I358" s="2"/>
      <c r="J358" s="2"/>
      <c r="K358" s="2"/>
      <c r="L358" s="2"/>
      <c r="M358" s="2"/>
      <c r="N358" s="2"/>
      <c r="O358" s="2"/>
      <c r="P358" s="2"/>
      <c r="Q358" s="2"/>
      <c r="R358" s="2"/>
      <c r="S358" s="2"/>
      <c r="T358" s="2"/>
      <c r="U358" s="2"/>
      <c r="V358" s="2"/>
      <c r="W358" s="2"/>
    </row>
    <row r="359">
      <c r="A359" s="2"/>
      <c r="B359" s="2"/>
      <c r="C359" s="2"/>
      <c r="D359" s="2"/>
      <c r="E359" s="2"/>
      <c r="F359" s="2"/>
      <c r="G359" s="2"/>
      <c r="H359" s="2"/>
      <c r="I359" s="2"/>
      <c r="J359" s="2"/>
      <c r="K359" s="2"/>
      <c r="L359" s="2"/>
      <c r="M359" s="2"/>
      <c r="N359" s="2"/>
      <c r="O359" s="2"/>
      <c r="P359" s="2"/>
      <c r="Q359" s="2"/>
      <c r="R359" s="2"/>
      <c r="S359" s="2"/>
      <c r="T359" s="2"/>
      <c r="U359" s="2"/>
      <c r="V359" s="2"/>
      <c r="W359" s="2"/>
    </row>
    <row r="360">
      <c r="A360" s="2"/>
      <c r="B360" s="2"/>
      <c r="C360" s="2"/>
      <c r="D360" s="2"/>
      <c r="E360" s="2"/>
      <c r="F360" s="2"/>
      <c r="G360" s="2"/>
      <c r="H360" s="2"/>
      <c r="I360" s="2"/>
      <c r="J360" s="2"/>
      <c r="K360" s="2"/>
      <c r="L360" s="2"/>
      <c r="M360" s="2"/>
      <c r="N360" s="2"/>
      <c r="O360" s="2"/>
      <c r="P360" s="2"/>
      <c r="Q360" s="2"/>
      <c r="R360" s="2"/>
      <c r="S360" s="2"/>
      <c r="T360" s="2"/>
      <c r="U360" s="2"/>
      <c r="V360" s="2"/>
      <c r="W360" s="2"/>
    </row>
    <row r="361">
      <c r="A361" s="2"/>
      <c r="B361" s="2"/>
      <c r="C361" s="2"/>
      <c r="D361" s="2"/>
      <c r="E361" s="2"/>
      <c r="F361" s="2"/>
      <c r="G361" s="2"/>
      <c r="H361" s="2"/>
      <c r="I361" s="2"/>
      <c r="J361" s="2"/>
      <c r="K361" s="2"/>
      <c r="L361" s="2"/>
      <c r="M361" s="2"/>
      <c r="N361" s="2"/>
      <c r="O361" s="2"/>
      <c r="P361" s="2"/>
      <c r="Q361" s="2"/>
      <c r="R361" s="2"/>
      <c r="S361" s="2"/>
      <c r="T361" s="2"/>
      <c r="U361" s="2"/>
      <c r="V361" s="2"/>
      <c r="W361" s="2"/>
    </row>
    <row r="362">
      <c r="A362" s="2"/>
      <c r="B362" s="2"/>
      <c r="C362" s="2"/>
      <c r="D362" s="2"/>
      <c r="E362" s="2"/>
      <c r="F362" s="2"/>
      <c r="G362" s="2"/>
      <c r="H362" s="2"/>
      <c r="I362" s="2"/>
      <c r="J362" s="2"/>
      <c r="K362" s="2"/>
      <c r="L362" s="2"/>
      <c r="M362" s="2"/>
      <c r="N362" s="2"/>
      <c r="O362" s="2"/>
      <c r="P362" s="2"/>
      <c r="Q362" s="2"/>
      <c r="R362" s="2"/>
      <c r="S362" s="2"/>
      <c r="T362" s="2"/>
      <c r="U362" s="2"/>
      <c r="V362" s="2"/>
      <c r="W362" s="2"/>
    </row>
    <row r="363">
      <c r="A363" s="2"/>
      <c r="B363" s="2"/>
      <c r="C363" s="2"/>
      <c r="D363" s="2"/>
      <c r="E363" s="2"/>
      <c r="F363" s="2"/>
      <c r="G363" s="2"/>
      <c r="H363" s="2"/>
      <c r="I363" s="2"/>
      <c r="J363" s="2"/>
      <c r="K363" s="2"/>
      <c r="L363" s="2"/>
      <c r="M363" s="2"/>
      <c r="N363" s="2"/>
      <c r="O363" s="2"/>
      <c r="P363" s="2"/>
      <c r="Q363" s="2"/>
      <c r="R363" s="2"/>
      <c r="S363" s="2"/>
      <c r="T363" s="2"/>
      <c r="U363" s="2"/>
      <c r="V363" s="2"/>
      <c r="W363" s="2"/>
    </row>
    <row r="364">
      <c r="A364" s="2"/>
      <c r="B364" s="2"/>
      <c r="C364" s="2"/>
      <c r="D364" s="2"/>
      <c r="E364" s="2"/>
      <c r="F364" s="2"/>
      <c r="G364" s="2"/>
      <c r="H364" s="2"/>
      <c r="I364" s="2"/>
      <c r="J364" s="2"/>
      <c r="K364" s="2"/>
      <c r="L364" s="2"/>
      <c r="M364" s="2"/>
      <c r="N364" s="2"/>
      <c r="O364" s="2"/>
      <c r="P364" s="2"/>
      <c r="Q364" s="2"/>
      <c r="R364" s="2"/>
      <c r="S364" s="2"/>
      <c r="T364" s="2"/>
      <c r="U364" s="2"/>
      <c r="V364" s="2"/>
      <c r="W364" s="2"/>
    </row>
    <row r="365">
      <c r="A365" s="2"/>
      <c r="B365" s="2"/>
      <c r="C365" s="2"/>
      <c r="D365" s="2"/>
      <c r="E365" s="2"/>
      <c r="F365" s="2"/>
      <c r="G365" s="2"/>
      <c r="H365" s="2"/>
      <c r="I365" s="2"/>
      <c r="J365" s="2"/>
      <c r="K365" s="2"/>
      <c r="L365" s="2"/>
      <c r="M365" s="2"/>
      <c r="N365" s="2"/>
      <c r="O365" s="2"/>
      <c r="P365" s="2"/>
      <c r="Q365" s="2"/>
      <c r="R365" s="2"/>
      <c r="S365" s="2"/>
      <c r="T365" s="2"/>
      <c r="U365" s="2"/>
      <c r="V365" s="2"/>
      <c r="W365" s="2"/>
    </row>
    <row r="366">
      <c r="A366" s="2"/>
      <c r="B366" s="2"/>
      <c r="C366" s="2"/>
      <c r="D366" s="2"/>
      <c r="E366" s="2"/>
      <c r="F366" s="2"/>
      <c r="G366" s="2"/>
      <c r="H366" s="2"/>
      <c r="I366" s="2"/>
      <c r="J366" s="2"/>
      <c r="K366" s="2"/>
      <c r="L366" s="2"/>
      <c r="M366" s="2"/>
      <c r="N366" s="2"/>
      <c r="O366" s="2"/>
      <c r="P366" s="2"/>
      <c r="Q366" s="2"/>
      <c r="R366" s="2"/>
      <c r="S366" s="2"/>
      <c r="T366" s="2"/>
      <c r="U366" s="2"/>
      <c r="V366" s="2"/>
      <c r="W366" s="2"/>
    </row>
    <row r="367">
      <c r="A367" s="2"/>
      <c r="B367" s="2"/>
      <c r="C367" s="2"/>
      <c r="D367" s="2"/>
      <c r="E367" s="2"/>
      <c r="F367" s="2"/>
      <c r="G367" s="2"/>
      <c r="H367" s="2"/>
      <c r="I367" s="2"/>
      <c r="J367" s="2"/>
      <c r="K367" s="2"/>
      <c r="L367" s="2"/>
      <c r="M367" s="2"/>
      <c r="N367" s="2"/>
      <c r="O367" s="2"/>
      <c r="P367" s="2"/>
      <c r="Q367" s="2"/>
      <c r="R367" s="2"/>
      <c r="S367" s="2"/>
      <c r="T367" s="2"/>
      <c r="U367" s="2"/>
      <c r="V367" s="2"/>
      <c r="W367" s="2"/>
    </row>
    <row r="368">
      <c r="A368" s="2"/>
      <c r="B368" s="2"/>
      <c r="C368" s="2"/>
      <c r="D368" s="2"/>
      <c r="E368" s="2"/>
      <c r="F368" s="2"/>
      <c r="G368" s="2"/>
      <c r="H368" s="2"/>
      <c r="I368" s="2"/>
      <c r="J368" s="2"/>
      <c r="K368" s="2"/>
      <c r="L368" s="2"/>
      <c r="M368" s="2"/>
      <c r="N368" s="2"/>
      <c r="O368" s="2"/>
      <c r="P368" s="2"/>
      <c r="Q368" s="2"/>
      <c r="R368" s="2"/>
      <c r="S368" s="2"/>
      <c r="T368" s="2"/>
      <c r="U368" s="2"/>
      <c r="V368" s="2"/>
      <c r="W368" s="2"/>
    </row>
    <row r="369">
      <c r="A369" s="2"/>
      <c r="B369" s="2"/>
      <c r="C369" s="2"/>
      <c r="D369" s="2"/>
      <c r="E369" s="2"/>
      <c r="F369" s="2"/>
      <c r="G369" s="2"/>
      <c r="H369" s="2"/>
      <c r="I369" s="2"/>
      <c r="J369" s="2"/>
      <c r="K369" s="2"/>
      <c r="L369" s="2"/>
      <c r="M369" s="2"/>
      <c r="N369" s="2"/>
      <c r="O369" s="2"/>
      <c r="P369" s="2"/>
      <c r="Q369" s="2"/>
      <c r="R369" s="2"/>
      <c r="S369" s="2"/>
      <c r="T369" s="2"/>
      <c r="U369" s="2"/>
      <c r="V369" s="2"/>
      <c r="W369" s="2"/>
    </row>
    <row r="370">
      <c r="A370" s="2"/>
      <c r="B370" s="2"/>
      <c r="C370" s="2"/>
      <c r="D370" s="2"/>
      <c r="E370" s="2"/>
      <c r="F370" s="2"/>
      <c r="G370" s="2"/>
      <c r="H370" s="2"/>
      <c r="I370" s="2"/>
      <c r="J370" s="2"/>
      <c r="K370" s="2"/>
      <c r="L370" s="2"/>
      <c r="M370" s="2"/>
      <c r="N370" s="2"/>
      <c r="O370" s="2"/>
      <c r="P370" s="2"/>
      <c r="Q370" s="2"/>
      <c r="R370" s="2"/>
      <c r="S370" s="2"/>
      <c r="T370" s="2"/>
      <c r="U370" s="2"/>
      <c r="V370" s="2"/>
      <c r="W370" s="2"/>
    </row>
    <row r="371">
      <c r="A371" s="2"/>
      <c r="B371" s="2"/>
      <c r="C371" s="2"/>
      <c r="D371" s="2"/>
      <c r="E371" s="2"/>
      <c r="F371" s="2"/>
      <c r="G371" s="2"/>
      <c r="H371" s="2"/>
      <c r="I371" s="2"/>
      <c r="J371" s="2"/>
      <c r="K371" s="2"/>
      <c r="L371" s="2"/>
      <c r="M371" s="2"/>
      <c r="N371" s="2"/>
      <c r="O371" s="2"/>
      <c r="P371" s="2"/>
      <c r="Q371" s="2"/>
      <c r="R371" s="2"/>
      <c r="S371" s="2"/>
      <c r="T371" s="2"/>
      <c r="U371" s="2"/>
      <c r="V371" s="2"/>
      <c r="W371" s="2"/>
    </row>
    <row r="372">
      <c r="A372" s="2"/>
      <c r="B372" s="2"/>
      <c r="C372" s="2"/>
      <c r="D372" s="2"/>
      <c r="E372" s="2"/>
      <c r="F372" s="2"/>
      <c r="G372" s="2"/>
      <c r="H372" s="2"/>
      <c r="I372" s="2"/>
      <c r="J372" s="2"/>
      <c r="K372" s="2"/>
      <c r="L372" s="2"/>
      <c r="M372" s="2"/>
      <c r="N372" s="2"/>
      <c r="O372" s="2"/>
      <c r="P372" s="2"/>
      <c r="Q372" s="2"/>
      <c r="R372" s="2"/>
      <c r="S372" s="2"/>
      <c r="T372" s="2"/>
      <c r="U372" s="2"/>
      <c r="V372" s="2"/>
      <c r="W372" s="2"/>
    </row>
    <row r="373">
      <c r="A373" s="2"/>
      <c r="B373" s="2"/>
      <c r="C373" s="2"/>
      <c r="D373" s="2"/>
      <c r="E373" s="2"/>
      <c r="F373" s="2"/>
      <c r="G373" s="2"/>
      <c r="H373" s="2"/>
      <c r="I373" s="2"/>
      <c r="J373" s="2"/>
      <c r="K373" s="2"/>
      <c r="L373" s="2"/>
      <c r="M373" s="2"/>
      <c r="N373" s="2"/>
      <c r="O373" s="2"/>
      <c r="P373" s="2"/>
      <c r="Q373" s="2"/>
      <c r="R373" s="2"/>
      <c r="S373" s="2"/>
      <c r="T373" s="2"/>
      <c r="U373" s="2"/>
      <c r="V373" s="2"/>
      <c r="W373" s="2"/>
    </row>
    <row r="374">
      <c r="A374" s="2"/>
      <c r="B374" s="2"/>
      <c r="C374" s="2"/>
      <c r="D374" s="2"/>
      <c r="E374" s="2"/>
      <c r="F374" s="2"/>
      <c r="G374" s="2"/>
      <c r="H374" s="2"/>
      <c r="I374" s="2"/>
      <c r="J374" s="2"/>
      <c r="K374" s="2"/>
      <c r="L374" s="2"/>
      <c r="M374" s="2"/>
      <c r="N374" s="2"/>
      <c r="O374" s="2"/>
      <c r="P374" s="2"/>
      <c r="Q374" s="2"/>
      <c r="R374" s="2"/>
      <c r="S374" s="2"/>
      <c r="T374" s="2"/>
      <c r="U374" s="2"/>
      <c r="V374" s="2"/>
      <c r="W374" s="2"/>
    </row>
    <row r="375">
      <c r="A375" s="2"/>
      <c r="B375" s="2"/>
      <c r="C375" s="2"/>
      <c r="D375" s="2"/>
      <c r="E375" s="2"/>
      <c r="F375" s="2"/>
      <c r="G375" s="2"/>
      <c r="H375" s="2"/>
      <c r="I375" s="2"/>
      <c r="J375" s="2"/>
      <c r="K375" s="2"/>
      <c r="L375" s="2"/>
      <c r="M375" s="2"/>
      <c r="N375" s="2"/>
      <c r="O375" s="2"/>
      <c r="P375" s="2"/>
      <c r="Q375" s="2"/>
      <c r="R375" s="2"/>
      <c r="S375" s="2"/>
      <c r="T375" s="2"/>
      <c r="U375" s="2"/>
      <c r="V375" s="2"/>
      <c r="W375" s="2"/>
    </row>
    <row r="376">
      <c r="A376" s="2"/>
      <c r="B376" s="2"/>
      <c r="C376" s="2"/>
      <c r="D376" s="2"/>
      <c r="E376" s="2"/>
      <c r="F376" s="2"/>
      <c r="G376" s="2"/>
      <c r="H376" s="2"/>
      <c r="I376" s="2"/>
      <c r="J376" s="2"/>
      <c r="K376" s="2"/>
      <c r="L376" s="2"/>
      <c r="M376" s="2"/>
      <c r="N376" s="2"/>
      <c r="O376" s="2"/>
      <c r="P376" s="2"/>
      <c r="Q376" s="2"/>
      <c r="R376" s="2"/>
      <c r="S376" s="2"/>
      <c r="T376" s="2"/>
      <c r="U376" s="2"/>
      <c r="V376" s="2"/>
      <c r="W376" s="2"/>
    </row>
    <row r="377">
      <c r="A377" s="2"/>
      <c r="B377" s="2"/>
      <c r="C377" s="2"/>
      <c r="D377" s="2"/>
      <c r="E377" s="2"/>
      <c r="F377" s="2"/>
      <c r="G377" s="2"/>
      <c r="H377" s="2"/>
      <c r="I377" s="2"/>
      <c r="J377" s="2"/>
      <c r="K377" s="2"/>
      <c r="L377" s="2"/>
      <c r="M377" s="2"/>
      <c r="N377" s="2"/>
      <c r="O377" s="2"/>
      <c r="P377" s="2"/>
      <c r="Q377" s="2"/>
      <c r="R377" s="2"/>
      <c r="S377" s="2"/>
      <c r="T377" s="2"/>
      <c r="U377" s="2"/>
      <c r="V377" s="2"/>
      <c r="W377" s="2"/>
    </row>
    <row r="378">
      <c r="A378" s="2"/>
      <c r="B378" s="2"/>
      <c r="C378" s="2"/>
      <c r="D378" s="2"/>
      <c r="E378" s="2"/>
      <c r="F378" s="2"/>
      <c r="G378" s="2"/>
      <c r="H378" s="2"/>
      <c r="I378" s="2"/>
      <c r="J378" s="2"/>
      <c r="K378" s="2"/>
      <c r="L378" s="2"/>
      <c r="M378" s="2"/>
      <c r="N378" s="2"/>
      <c r="O378" s="2"/>
      <c r="P378" s="2"/>
      <c r="Q378" s="2"/>
      <c r="R378" s="2"/>
      <c r="S378" s="2"/>
      <c r="T378" s="2"/>
      <c r="U378" s="2"/>
      <c r="V378" s="2"/>
      <c r="W378" s="2"/>
    </row>
    <row r="379">
      <c r="A379" s="2"/>
      <c r="B379" s="2"/>
      <c r="C379" s="2"/>
      <c r="D379" s="2"/>
      <c r="E379" s="2"/>
      <c r="F379" s="2"/>
      <c r="G379" s="2"/>
      <c r="H379" s="2"/>
      <c r="I379" s="2"/>
      <c r="J379" s="2"/>
      <c r="K379" s="2"/>
      <c r="L379" s="2"/>
      <c r="M379" s="2"/>
      <c r="N379" s="2"/>
      <c r="O379" s="2"/>
      <c r="P379" s="2"/>
      <c r="Q379" s="2"/>
      <c r="R379" s="2"/>
      <c r="S379" s="2"/>
      <c r="T379" s="2"/>
      <c r="U379" s="2"/>
      <c r="V379" s="2"/>
      <c r="W379" s="2"/>
    </row>
    <row r="380">
      <c r="A380" s="2"/>
      <c r="B380" s="2"/>
      <c r="C380" s="2"/>
      <c r="D380" s="2"/>
      <c r="E380" s="2"/>
      <c r="F380" s="2"/>
      <c r="G380" s="2"/>
      <c r="H380" s="2"/>
      <c r="I380" s="2"/>
      <c r="J380" s="2"/>
      <c r="K380" s="2"/>
      <c r="L380" s="2"/>
      <c r="M380" s="2"/>
      <c r="N380" s="2"/>
      <c r="O380" s="2"/>
      <c r="P380" s="2"/>
      <c r="Q380" s="2"/>
      <c r="R380" s="2"/>
      <c r="S380" s="2"/>
      <c r="T380" s="2"/>
      <c r="U380" s="2"/>
      <c r="V380" s="2"/>
      <c r="W380" s="2"/>
    </row>
    <row r="381">
      <c r="A381" s="2"/>
      <c r="B381" s="2"/>
      <c r="C381" s="2"/>
      <c r="D381" s="2"/>
      <c r="E381" s="2"/>
      <c r="F381" s="2"/>
      <c r="G381" s="2"/>
      <c r="H381" s="2"/>
      <c r="I381" s="2"/>
      <c r="J381" s="2"/>
      <c r="K381" s="2"/>
      <c r="L381" s="2"/>
      <c r="M381" s="2"/>
      <c r="N381" s="2"/>
      <c r="O381" s="2"/>
      <c r="P381" s="2"/>
      <c r="Q381" s="2"/>
      <c r="R381" s="2"/>
      <c r="S381" s="2"/>
      <c r="T381" s="2"/>
      <c r="U381" s="2"/>
      <c r="V381" s="2"/>
      <c r="W381" s="2"/>
    </row>
    <row r="382">
      <c r="A382" s="2"/>
      <c r="B382" s="2"/>
      <c r="C382" s="2"/>
      <c r="D382" s="2"/>
      <c r="E382" s="2"/>
      <c r="F382" s="2"/>
      <c r="G382" s="2"/>
      <c r="H382" s="2"/>
      <c r="I382" s="2"/>
      <c r="J382" s="2"/>
      <c r="K382" s="2"/>
      <c r="L382" s="2"/>
      <c r="M382" s="2"/>
      <c r="N382" s="2"/>
      <c r="O382" s="2"/>
      <c r="P382" s="2"/>
      <c r="Q382" s="2"/>
      <c r="R382" s="2"/>
      <c r="S382" s="2"/>
      <c r="T382" s="2"/>
      <c r="U382" s="2"/>
      <c r="V382" s="2"/>
      <c r="W382" s="2"/>
    </row>
    <row r="383">
      <c r="A383" s="2"/>
      <c r="B383" s="2"/>
      <c r="C383" s="2"/>
      <c r="D383" s="2"/>
      <c r="E383" s="2"/>
      <c r="F383" s="2"/>
      <c r="G383" s="2"/>
      <c r="H383" s="2"/>
      <c r="I383" s="2"/>
      <c r="J383" s="2"/>
      <c r="K383" s="2"/>
      <c r="L383" s="2"/>
      <c r="M383" s="2"/>
      <c r="N383" s="2"/>
      <c r="O383" s="2"/>
      <c r="P383" s="2"/>
      <c r="Q383" s="2"/>
      <c r="R383" s="2"/>
      <c r="S383" s="2"/>
      <c r="T383" s="2"/>
      <c r="U383" s="2"/>
      <c r="V383" s="2"/>
      <c r="W383" s="2"/>
    </row>
    <row r="384">
      <c r="A384" s="2"/>
      <c r="B384" s="2"/>
      <c r="C384" s="2"/>
      <c r="D384" s="2"/>
      <c r="E384" s="2"/>
      <c r="F384" s="2"/>
      <c r="G384" s="2"/>
      <c r="H384" s="2"/>
      <c r="I384" s="2"/>
      <c r="J384" s="2"/>
      <c r="K384" s="2"/>
      <c r="L384" s="2"/>
      <c r="M384" s="2"/>
      <c r="N384" s="2"/>
      <c r="O384" s="2"/>
      <c r="P384" s="2"/>
      <c r="Q384" s="2"/>
      <c r="R384" s="2"/>
      <c r="S384" s="2"/>
      <c r="T384" s="2"/>
      <c r="U384" s="2"/>
      <c r="V384" s="2"/>
      <c r="W384" s="2"/>
    </row>
    <row r="385">
      <c r="A385" s="2"/>
      <c r="B385" s="2"/>
      <c r="C385" s="2"/>
      <c r="D385" s="2"/>
      <c r="E385" s="2"/>
      <c r="F385" s="2"/>
      <c r="G385" s="2"/>
      <c r="H385" s="2"/>
      <c r="I385" s="2"/>
      <c r="J385" s="2"/>
      <c r="K385" s="2"/>
      <c r="L385" s="2"/>
      <c r="M385" s="2"/>
      <c r="N385" s="2"/>
      <c r="O385" s="2"/>
      <c r="P385" s="2"/>
      <c r="Q385" s="2"/>
      <c r="R385" s="2"/>
      <c r="S385" s="2"/>
      <c r="T385" s="2"/>
      <c r="U385" s="2"/>
      <c r="V385" s="2"/>
      <c r="W385" s="2"/>
    </row>
    <row r="386">
      <c r="A386" s="2"/>
      <c r="B386" s="2"/>
      <c r="C386" s="2"/>
      <c r="D386" s="2"/>
      <c r="E386" s="2"/>
      <c r="F386" s="2"/>
      <c r="G386" s="2"/>
      <c r="H386" s="2"/>
      <c r="I386" s="2"/>
      <c r="J386" s="2"/>
      <c r="K386" s="2"/>
      <c r="L386" s="2"/>
      <c r="M386" s="2"/>
      <c r="N386" s="2"/>
      <c r="O386" s="2"/>
      <c r="P386" s="2"/>
      <c r="Q386" s="2"/>
      <c r="R386" s="2"/>
      <c r="S386" s="2"/>
      <c r="T386" s="2"/>
      <c r="U386" s="2"/>
      <c r="V386" s="2"/>
      <c r="W386" s="2"/>
    </row>
    <row r="387">
      <c r="A387" s="2"/>
      <c r="B387" s="2"/>
      <c r="C387" s="2"/>
      <c r="D387" s="2"/>
      <c r="E387" s="2"/>
      <c r="F387" s="2"/>
      <c r="G387" s="2"/>
      <c r="H387" s="2"/>
      <c r="I387" s="2"/>
      <c r="J387" s="2"/>
      <c r="K387" s="2"/>
      <c r="L387" s="2"/>
      <c r="M387" s="2"/>
      <c r="N387" s="2"/>
      <c r="O387" s="2"/>
      <c r="P387" s="2"/>
      <c r="Q387" s="2"/>
      <c r="R387" s="2"/>
      <c r="S387" s="2"/>
      <c r="T387" s="2"/>
      <c r="U387" s="2"/>
      <c r="V387" s="2"/>
      <c r="W387" s="2"/>
    </row>
    <row r="388">
      <c r="A388" s="2"/>
      <c r="B388" s="2"/>
      <c r="C388" s="2"/>
      <c r="D388" s="2"/>
      <c r="E388" s="2"/>
      <c r="F388" s="2"/>
      <c r="G388" s="2"/>
      <c r="H388" s="2"/>
      <c r="I388" s="2"/>
      <c r="J388" s="2"/>
      <c r="K388" s="2"/>
      <c r="L388" s="2"/>
      <c r="M388" s="2"/>
      <c r="N388" s="2"/>
      <c r="O388" s="2"/>
      <c r="P388" s="2"/>
      <c r="Q388" s="2"/>
      <c r="R388" s="2"/>
      <c r="S388" s="2"/>
      <c r="T388" s="2"/>
      <c r="U388" s="2"/>
      <c r="V388" s="2"/>
      <c r="W388" s="2"/>
    </row>
    <row r="389">
      <c r="A389" s="2"/>
      <c r="B389" s="2"/>
      <c r="C389" s="2"/>
      <c r="D389" s="2"/>
      <c r="E389" s="2"/>
      <c r="F389" s="2"/>
      <c r="G389" s="2"/>
      <c r="H389" s="2"/>
      <c r="I389" s="2"/>
      <c r="J389" s="2"/>
      <c r="K389" s="2"/>
      <c r="L389" s="2"/>
      <c r="M389" s="2"/>
      <c r="N389" s="2"/>
      <c r="O389" s="2"/>
      <c r="P389" s="2"/>
      <c r="Q389" s="2"/>
      <c r="R389" s="2"/>
      <c r="S389" s="2"/>
      <c r="T389" s="2"/>
      <c r="U389" s="2"/>
      <c r="V389" s="2"/>
      <c r="W389" s="2"/>
    </row>
    <row r="390">
      <c r="A390" s="2"/>
      <c r="B390" s="2"/>
      <c r="C390" s="2"/>
      <c r="D390" s="2"/>
      <c r="E390" s="2"/>
      <c r="F390" s="2"/>
      <c r="G390" s="2"/>
      <c r="H390" s="2"/>
      <c r="I390" s="2"/>
      <c r="J390" s="2"/>
      <c r="K390" s="2"/>
      <c r="L390" s="2"/>
      <c r="M390" s="2"/>
      <c r="N390" s="2"/>
      <c r="O390" s="2"/>
      <c r="P390" s="2"/>
      <c r="Q390" s="2"/>
      <c r="R390" s="2"/>
      <c r="S390" s="2"/>
      <c r="T390" s="2"/>
      <c r="U390" s="2"/>
      <c r="V390" s="2"/>
      <c r="W390" s="2"/>
    </row>
    <row r="391">
      <c r="A391" s="2"/>
      <c r="B391" s="2"/>
      <c r="C391" s="2"/>
      <c r="D391" s="2"/>
      <c r="E391" s="2"/>
      <c r="F391" s="2"/>
      <c r="G391" s="2"/>
      <c r="H391" s="2"/>
      <c r="I391" s="2"/>
      <c r="J391" s="2"/>
      <c r="K391" s="2"/>
      <c r="L391" s="2"/>
      <c r="M391" s="2"/>
      <c r="N391" s="2"/>
      <c r="O391" s="2"/>
      <c r="P391" s="2"/>
      <c r="Q391" s="2"/>
      <c r="R391" s="2"/>
      <c r="S391" s="2"/>
      <c r="T391" s="2"/>
      <c r="U391" s="2"/>
      <c r="V391" s="2"/>
      <c r="W391" s="2"/>
    </row>
    <row r="392">
      <c r="A392" s="2"/>
      <c r="B392" s="2"/>
      <c r="C392" s="2"/>
      <c r="D392" s="2"/>
      <c r="E392" s="2"/>
      <c r="F392" s="2"/>
      <c r="G392" s="2"/>
      <c r="H392" s="2"/>
      <c r="I392" s="2"/>
      <c r="J392" s="2"/>
      <c r="K392" s="2"/>
      <c r="L392" s="2"/>
      <c r="M392" s="2"/>
      <c r="N392" s="2"/>
      <c r="O392" s="2"/>
      <c r="P392" s="2"/>
      <c r="Q392" s="2"/>
      <c r="R392" s="2"/>
      <c r="S392" s="2"/>
      <c r="T392" s="2"/>
      <c r="U392" s="2"/>
      <c r="V392" s="2"/>
      <c r="W392" s="2"/>
    </row>
    <row r="393">
      <c r="A393" s="2"/>
      <c r="B393" s="2"/>
      <c r="C393" s="2"/>
      <c r="D393" s="2"/>
      <c r="E393" s="2"/>
      <c r="F393" s="2"/>
      <c r="G393" s="2"/>
      <c r="H393" s="2"/>
      <c r="I393" s="2"/>
      <c r="J393" s="2"/>
      <c r="K393" s="2"/>
      <c r="L393" s="2"/>
      <c r="M393" s="2"/>
      <c r="N393" s="2"/>
      <c r="O393" s="2"/>
      <c r="P393" s="2"/>
      <c r="Q393" s="2"/>
      <c r="R393" s="2"/>
      <c r="S393" s="2"/>
      <c r="T393" s="2"/>
      <c r="U393" s="2"/>
      <c r="V393" s="2"/>
      <c r="W393" s="2"/>
    </row>
    <row r="394">
      <c r="A394" s="2"/>
      <c r="B394" s="2"/>
      <c r="C394" s="2"/>
      <c r="D394" s="2"/>
      <c r="E394" s="2"/>
      <c r="F394" s="2"/>
      <c r="G394" s="2"/>
      <c r="H394" s="2"/>
      <c r="I394" s="2"/>
      <c r="J394" s="2"/>
      <c r="K394" s="2"/>
      <c r="L394" s="2"/>
      <c r="M394" s="2"/>
      <c r="N394" s="2"/>
      <c r="O394" s="2"/>
      <c r="P394" s="2"/>
      <c r="Q394" s="2"/>
      <c r="R394" s="2"/>
      <c r="S394" s="2"/>
      <c r="T394" s="2"/>
      <c r="U394" s="2"/>
      <c r="V394" s="2"/>
      <c r="W394" s="2"/>
    </row>
    <row r="395">
      <c r="A395" s="2"/>
      <c r="B395" s="2"/>
      <c r="C395" s="2"/>
      <c r="D395" s="2"/>
      <c r="E395" s="2"/>
      <c r="F395" s="2"/>
      <c r="G395" s="2"/>
      <c r="H395" s="2"/>
      <c r="I395" s="2"/>
      <c r="J395" s="2"/>
      <c r="K395" s="2"/>
      <c r="L395" s="2"/>
      <c r="M395" s="2"/>
      <c r="N395" s="2"/>
      <c r="O395" s="2"/>
      <c r="P395" s="2"/>
      <c r="Q395" s="2"/>
      <c r="R395" s="2"/>
      <c r="S395" s="2"/>
      <c r="T395" s="2"/>
      <c r="U395" s="2"/>
      <c r="V395" s="2"/>
      <c r="W395" s="2"/>
    </row>
    <row r="396">
      <c r="A396" s="2"/>
      <c r="B396" s="2"/>
      <c r="C396" s="2"/>
      <c r="D396" s="2"/>
      <c r="E396" s="2"/>
      <c r="F396" s="2"/>
      <c r="G396" s="2"/>
      <c r="H396" s="2"/>
      <c r="I396" s="2"/>
      <c r="J396" s="2"/>
      <c r="K396" s="2"/>
      <c r="L396" s="2"/>
      <c r="M396" s="2"/>
      <c r="N396" s="2"/>
      <c r="O396" s="2"/>
      <c r="P396" s="2"/>
      <c r="Q396" s="2"/>
      <c r="R396" s="2"/>
      <c r="S396" s="2"/>
      <c r="T396" s="2"/>
      <c r="U396" s="2"/>
      <c r="V396" s="2"/>
      <c r="W396" s="2"/>
    </row>
    <row r="397">
      <c r="A397" s="2"/>
      <c r="B397" s="2"/>
      <c r="C397" s="2"/>
      <c r="D397" s="2"/>
      <c r="E397" s="2"/>
      <c r="F397" s="2"/>
      <c r="G397" s="2"/>
      <c r="H397" s="2"/>
      <c r="I397" s="2"/>
      <c r="J397" s="2"/>
      <c r="K397" s="2"/>
      <c r="L397" s="2"/>
      <c r="M397" s="2"/>
      <c r="N397" s="2"/>
      <c r="O397" s="2"/>
      <c r="P397" s="2"/>
      <c r="Q397" s="2"/>
      <c r="R397" s="2"/>
      <c r="S397" s="2"/>
      <c r="T397" s="2"/>
      <c r="U397" s="2"/>
      <c r="V397" s="2"/>
      <c r="W397" s="2"/>
    </row>
    <row r="398">
      <c r="A398" s="2"/>
      <c r="B398" s="2"/>
      <c r="C398" s="2"/>
      <c r="D398" s="2"/>
      <c r="E398" s="2"/>
      <c r="F398" s="2"/>
      <c r="G398" s="2"/>
      <c r="H398" s="2"/>
      <c r="I398" s="2"/>
      <c r="J398" s="2"/>
      <c r="K398" s="2"/>
      <c r="L398" s="2"/>
      <c r="M398" s="2"/>
      <c r="N398" s="2"/>
      <c r="O398" s="2"/>
      <c r="P398" s="2"/>
      <c r="Q398" s="2"/>
      <c r="R398" s="2"/>
      <c r="S398" s="2"/>
      <c r="T398" s="2"/>
      <c r="U398" s="2"/>
      <c r="V398" s="2"/>
      <c r="W398" s="2"/>
    </row>
    <row r="399">
      <c r="A399" s="2"/>
      <c r="B399" s="2"/>
      <c r="C399" s="2"/>
      <c r="D399" s="2"/>
      <c r="E399" s="2"/>
      <c r="F399" s="2"/>
      <c r="G399" s="2"/>
      <c r="H399" s="2"/>
      <c r="I399" s="2"/>
      <c r="J399" s="2"/>
      <c r="K399" s="2"/>
      <c r="L399" s="2"/>
      <c r="M399" s="2"/>
      <c r="N399" s="2"/>
      <c r="O399" s="2"/>
      <c r="P399" s="2"/>
      <c r="Q399" s="2"/>
      <c r="R399" s="2"/>
      <c r="S399" s="2"/>
      <c r="T399" s="2"/>
      <c r="U399" s="2"/>
      <c r="V399" s="2"/>
      <c r="W399" s="2"/>
    </row>
    <row r="400">
      <c r="A400" s="2"/>
      <c r="B400" s="2"/>
      <c r="C400" s="2"/>
      <c r="D400" s="2"/>
      <c r="E400" s="2"/>
      <c r="F400" s="2"/>
      <c r="G400" s="2"/>
      <c r="H400" s="2"/>
      <c r="I400" s="2"/>
      <c r="J400" s="2"/>
      <c r="K400" s="2"/>
      <c r="L400" s="2"/>
      <c r="M400" s="2"/>
      <c r="N400" s="2"/>
      <c r="O400" s="2"/>
      <c r="P400" s="2"/>
      <c r="Q400" s="2"/>
      <c r="R400" s="2"/>
      <c r="S400" s="2"/>
      <c r="T400" s="2"/>
      <c r="U400" s="2"/>
      <c r="V400" s="2"/>
      <c r="W400" s="2"/>
    </row>
    <row r="401">
      <c r="A401" s="2"/>
      <c r="B401" s="2"/>
      <c r="C401" s="2"/>
      <c r="D401" s="2"/>
      <c r="E401" s="2"/>
      <c r="F401" s="2"/>
      <c r="G401" s="2"/>
      <c r="H401" s="2"/>
      <c r="I401" s="2"/>
      <c r="J401" s="2"/>
      <c r="K401" s="2"/>
      <c r="L401" s="2"/>
      <c r="M401" s="2"/>
      <c r="N401" s="2"/>
      <c r="O401" s="2"/>
      <c r="P401" s="2"/>
      <c r="Q401" s="2"/>
      <c r="R401" s="2"/>
      <c r="S401" s="2"/>
      <c r="T401" s="2"/>
      <c r="U401" s="2"/>
      <c r="V401" s="2"/>
      <c r="W401" s="2"/>
    </row>
    <row r="402">
      <c r="A402" s="2"/>
      <c r="B402" s="2"/>
      <c r="C402" s="2"/>
      <c r="D402" s="2"/>
      <c r="E402" s="2"/>
      <c r="F402" s="2"/>
      <c r="G402" s="2"/>
      <c r="H402" s="2"/>
      <c r="I402" s="2"/>
      <c r="J402" s="2"/>
      <c r="K402" s="2"/>
      <c r="L402" s="2"/>
      <c r="M402" s="2"/>
      <c r="N402" s="2"/>
      <c r="O402" s="2"/>
      <c r="P402" s="2"/>
      <c r="Q402" s="2"/>
      <c r="R402" s="2"/>
      <c r="S402" s="2"/>
      <c r="T402" s="2"/>
      <c r="U402" s="2"/>
      <c r="V402" s="2"/>
      <c r="W402" s="2"/>
    </row>
    <row r="403">
      <c r="A403" s="2"/>
      <c r="B403" s="2"/>
      <c r="C403" s="2"/>
      <c r="D403" s="2"/>
      <c r="E403" s="2"/>
      <c r="F403" s="2"/>
      <c r="G403" s="2"/>
      <c r="H403" s="2"/>
      <c r="I403" s="2"/>
      <c r="J403" s="2"/>
      <c r="K403" s="2"/>
      <c r="L403" s="2"/>
      <c r="M403" s="2"/>
      <c r="N403" s="2"/>
      <c r="O403" s="2"/>
      <c r="P403" s="2"/>
      <c r="Q403" s="2"/>
      <c r="R403" s="2"/>
      <c r="S403" s="2"/>
      <c r="T403" s="2"/>
      <c r="U403" s="2"/>
      <c r="V403" s="2"/>
      <c r="W403" s="2"/>
    </row>
    <row r="404">
      <c r="A404" s="2"/>
      <c r="B404" s="2"/>
      <c r="C404" s="2"/>
      <c r="D404" s="2"/>
      <c r="E404" s="2"/>
      <c r="F404" s="2"/>
      <c r="G404" s="2"/>
      <c r="H404" s="2"/>
      <c r="I404" s="2"/>
      <c r="J404" s="2"/>
      <c r="K404" s="2"/>
      <c r="L404" s="2"/>
      <c r="M404" s="2"/>
      <c r="N404" s="2"/>
      <c r="O404" s="2"/>
      <c r="P404" s="2"/>
      <c r="Q404" s="2"/>
      <c r="R404" s="2"/>
      <c r="S404" s="2"/>
      <c r="T404" s="2"/>
      <c r="U404" s="2"/>
      <c r="V404" s="2"/>
      <c r="W404" s="2"/>
    </row>
    <row r="405">
      <c r="A405" s="2"/>
      <c r="B405" s="2"/>
      <c r="C405" s="2"/>
      <c r="D405" s="2"/>
      <c r="E405" s="2"/>
      <c r="F405" s="2"/>
      <c r="G405" s="2"/>
      <c r="H405" s="2"/>
      <c r="I405" s="2"/>
      <c r="J405" s="2"/>
      <c r="K405" s="2"/>
      <c r="L405" s="2"/>
      <c r="M405" s="2"/>
      <c r="N405" s="2"/>
      <c r="O405" s="2"/>
      <c r="P405" s="2"/>
      <c r="Q405" s="2"/>
      <c r="R405" s="2"/>
      <c r="S405" s="2"/>
      <c r="T405" s="2"/>
      <c r="U405" s="2"/>
      <c r="V405" s="2"/>
      <c r="W405" s="2"/>
    </row>
    <row r="406">
      <c r="A406" s="2"/>
      <c r="B406" s="2"/>
      <c r="C406" s="2"/>
      <c r="D406" s="2"/>
      <c r="E406" s="2"/>
      <c r="F406" s="2"/>
      <c r="G406" s="2"/>
      <c r="H406" s="2"/>
      <c r="I406" s="2"/>
      <c r="J406" s="2"/>
      <c r="K406" s="2"/>
      <c r="L406" s="2"/>
      <c r="M406" s="2"/>
      <c r="N406" s="2"/>
      <c r="O406" s="2"/>
      <c r="P406" s="2"/>
      <c r="Q406" s="2"/>
      <c r="R406" s="2"/>
      <c r="S406" s="2"/>
      <c r="T406" s="2"/>
      <c r="U406" s="2"/>
      <c r="V406" s="2"/>
      <c r="W406" s="2"/>
    </row>
    <row r="407">
      <c r="A407" s="2"/>
      <c r="B407" s="2"/>
      <c r="C407" s="2"/>
      <c r="D407" s="2"/>
      <c r="E407" s="2"/>
      <c r="F407" s="2"/>
      <c r="G407" s="2"/>
      <c r="H407" s="2"/>
      <c r="I407" s="2"/>
      <c r="J407" s="2"/>
      <c r="K407" s="2"/>
      <c r="L407" s="2"/>
      <c r="M407" s="2"/>
      <c r="N407" s="2"/>
      <c r="O407" s="2"/>
      <c r="P407" s="2"/>
      <c r="Q407" s="2"/>
      <c r="R407" s="2"/>
      <c r="S407" s="2"/>
      <c r="T407" s="2"/>
      <c r="U407" s="2"/>
      <c r="V407" s="2"/>
      <c r="W407" s="2"/>
    </row>
    <row r="408">
      <c r="A408" s="2"/>
      <c r="B408" s="2"/>
      <c r="C408" s="2"/>
      <c r="D408" s="2"/>
      <c r="E408" s="2"/>
      <c r="F408" s="2"/>
      <c r="G408" s="2"/>
      <c r="H408" s="2"/>
      <c r="I408" s="2"/>
      <c r="J408" s="2"/>
      <c r="K408" s="2"/>
      <c r="L408" s="2"/>
      <c r="M408" s="2"/>
      <c r="N408" s="2"/>
      <c r="O408" s="2"/>
      <c r="P408" s="2"/>
      <c r="Q408" s="2"/>
      <c r="R408" s="2"/>
      <c r="S408" s="2"/>
      <c r="T408" s="2"/>
      <c r="U408" s="2"/>
      <c r="V408" s="2"/>
      <c r="W408" s="2"/>
    </row>
    <row r="409">
      <c r="A409" s="2"/>
      <c r="B409" s="2"/>
      <c r="C409" s="2"/>
      <c r="D409" s="2"/>
      <c r="E409" s="2"/>
      <c r="F409" s="2"/>
      <c r="G409" s="2"/>
      <c r="H409" s="2"/>
      <c r="I409" s="2"/>
      <c r="J409" s="2"/>
      <c r="K409" s="2"/>
      <c r="L409" s="2"/>
      <c r="M409" s="2"/>
      <c r="N409" s="2"/>
      <c r="O409" s="2"/>
      <c r="P409" s="2"/>
      <c r="Q409" s="2"/>
      <c r="R409" s="2"/>
      <c r="S409" s="2"/>
      <c r="T409" s="2"/>
      <c r="U409" s="2"/>
      <c r="V409" s="2"/>
      <c r="W409" s="2"/>
    </row>
    <row r="410">
      <c r="A410" s="2"/>
      <c r="B410" s="2"/>
      <c r="C410" s="2"/>
      <c r="D410" s="2"/>
      <c r="E410" s="2"/>
      <c r="F410" s="2"/>
      <c r="G410" s="2"/>
      <c r="H410" s="2"/>
      <c r="I410" s="2"/>
      <c r="J410" s="2"/>
      <c r="K410" s="2"/>
      <c r="L410" s="2"/>
      <c r="M410" s="2"/>
      <c r="N410" s="2"/>
      <c r="O410" s="2"/>
      <c r="P410" s="2"/>
      <c r="Q410" s="2"/>
      <c r="R410" s="2"/>
      <c r="S410" s="2"/>
      <c r="T410" s="2"/>
      <c r="U410" s="2"/>
      <c r="V410" s="2"/>
      <c r="W410" s="2"/>
    </row>
    <row r="411">
      <c r="A411" s="2"/>
      <c r="B411" s="2"/>
      <c r="C411" s="2"/>
      <c r="D411" s="2"/>
      <c r="E411" s="2"/>
      <c r="F411" s="2"/>
      <c r="G411" s="2"/>
      <c r="H411" s="2"/>
      <c r="I411" s="2"/>
      <c r="J411" s="2"/>
      <c r="K411" s="2"/>
      <c r="L411" s="2"/>
      <c r="M411" s="2"/>
      <c r="N411" s="2"/>
      <c r="O411" s="2"/>
      <c r="P411" s="2"/>
      <c r="Q411" s="2"/>
      <c r="R411" s="2"/>
      <c r="S411" s="2"/>
      <c r="T411" s="2"/>
      <c r="U411" s="2"/>
      <c r="V411" s="2"/>
      <c r="W411" s="2"/>
    </row>
    <row r="412">
      <c r="A412" s="2"/>
      <c r="B412" s="2"/>
      <c r="C412" s="2"/>
      <c r="D412" s="2"/>
      <c r="E412" s="2"/>
      <c r="F412" s="2"/>
      <c r="G412" s="2"/>
      <c r="H412" s="2"/>
      <c r="I412" s="2"/>
      <c r="J412" s="2"/>
      <c r="K412" s="2"/>
      <c r="L412" s="2"/>
      <c r="M412" s="2"/>
      <c r="N412" s="2"/>
      <c r="O412" s="2"/>
      <c r="P412" s="2"/>
      <c r="Q412" s="2"/>
      <c r="R412" s="2"/>
      <c r="S412" s="2"/>
      <c r="T412" s="2"/>
      <c r="U412" s="2"/>
      <c r="V412" s="2"/>
      <c r="W412" s="2"/>
    </row>
    <row r="413">
      <c r="A413" s="2"/>
      <c r="B413" s="2"/>
      <c r="C413" s="2"/>
      <c r="D413" s="2"/>
      <c r="E413" s="2"/>
      <c r="F413" s="2"/>
      <c r="G413" s="2"/>
      <c r="H413" s="2"/>
      <c r="I413" s="2"/>
      <c r="J413" s="2"/>
      <c r="K413" s="2"/>
      <c r="L413" s="2"/>
      <c r="M413" s="2"/>
      <c r="N413" s="2"/>
      <c r="O413" s="2"/>
      <c r="P413" s="2"/>
      <c r="Q413" s="2"/>
      <c r="R413" s="2"/>
      <c r="S413" s="2"/>
      <c r="T413" s="2"/>
      <c r="U413" s="2"/>
      <c r="V413" s="2"/>
      <c r="W413" s="2"/>
    </row>
    <row r="414">
      <c r="A414" s="2"/>
      <c r="B414" s="2"/>
      <c r="C414" s="2"/>
      <c r="D414" s="2"/>
      <c r="E414" s="2"/>
      <c r="F414" s="2"/>
      <c r="G414" s="2"/>
      <c r="H414" s="2"/>
      <c r="I414" s="2"/>
      <c r="J414" s="2"/>
      <c r="K414" s="2"/>
      <c r="L414" s="2"/>
      <c r="M414" s="2"/>
      <c r="N414" s="2"/>
      <c r="O414" s="2"/>
      <c r="P414" s="2"/>
      <c r="Q414" s="2"/>
      <c r="R414" s="2"/>
      <c r="S414" s="2"/>
      <c r="T414" s="2"/>
      <c r="U414" s="2"/>
      <c r="V414" s="2"/>
      <c r="W414" s="2"/>
    </row>
    <row r="415">
      <c r="A415" s="2"/>
      <c r="B415" s="2"/>
      <c r="C415" s="2"/>
      <c r="D415" s="2"/>
      <c r="E415" s="2"/>
      <c r="F415" s="2"/>
      <c r="G415" s="2"/>
      <c r="H415" s="2"/>
      <c r="I415" s="2"/>
      <c r="J415" s="2"/>
      <c r="K415" s="2"/>
      <c r="L415" s="2"/>
      <c r="M415" s="2"/>
      <c r="N415" s="2"/>
      <c r="O415" s="2"/>
      <c r="P415" s="2"/>
      <c r="Q415" s="2"/>
      <c r="R415" s="2"/>
      <c r="S415" s="2"/>
      <c r="T415" s="2"/>
      <c r="U415" s="2"/>
      <c r="V415" s="2"/>
      <c r="W415" s="2"/>
    </row>
    <row r="416">
      <c r="A416" s="2"/>
      <c r="B416" s="2"/>
      <c r="C416" s="2"/>
      <c r="D416" s="2"/>
      <c r="E416" s="2"/>
      <c r="F416" s="2"/>
      <c r="G416" s="2"/>
      <c r="H416" s="2"/>
      <c r="I416" s="2"/>
      <c r="J416" s="2"/>
      <c r="K416" s="2"/>
      <c r="L416" s="2"/>
      <c r="M416" s="2"/>
      <c r="N416" s="2"/>
      <c r="O416" s="2"/>
      <c r="P416" s="2"/>
      <c r="Q416" s="2"/>
      <c r="R416" s="2"/>
      <c r="S416" s="2"/>
      <c r="T416" s="2"/>
      <c r="U416" s="2"/>
      <c r="V416" s="2"/>
      <c r="W416" s="2"/>
    </row>
    <row r="417">
      <c r="A417" s="2"/>
      <c r="B417" s="2"/>
      <c r="C417" s="2"/>
      <c r="D417" s="2"/>
      <c r="E417" s="2"/>
      <c r="F417" s="2"/>
      <c r="G417" s="2"/>
      <c r="H417" s="2"/>
      <c r="I417" s="2"/>
      <c r="J417" s="2"/>
      <c r="K417" s="2"/>
      <c r="L417" s="2"/>
      <c r="M417" s="2"/>
      <c r="N417" s="2"/>
      <c r="O417" s="2"/>
      <c r="P417" s="2"/>
      <c r="Q417" s="2"/>
      <c r="R417" s="2"/>
      <c r="S417" s="2"/>
      <c r="T417" s="2"/>
      <c r="U417" s="2"/>
      <c r="V417" s="2"/>
      <c r="W417" s="2"/>
    </row>
    <row r="418">
      <c r="A418" s="2"/>
      <c r="B418" s="2"/>
      <c r="C418" s="2"/>
      <c r="D418" s="2"/>
      <c r="E418" s="2"/>
      <c r="F418" s="2"/>
      <c r="G418" s="2"/>
      <c r="H418" s="2"/>
      <c r="I418" s="2"/>
      <c r="J418" s="2"/>
      <c r="K418" s="2"/>
      <c r="L418" s="2"/>
      <c r="M418" s="2"/>
      <c r="N418" s="2"/>
      <c r="O418" s="2"/>
      <c r="P418" s="2"/>
      <c r="Q418" s="2"/>
      <c r="R418" s="2"/>
      <c r="S418" s="2"/>
      <c r="T418" s="2"/>
      <c r="U418" s="2"/>
      <c r="V418" s="2"/>
      <c r="W418" s="2"/>
    </row>
    <row r="419">
      <c r="A419" s="2"/>
      <c r="B419" s="2"/>
      <c r="C419" s="2"/>
      <c r="D419" s="2"/>
      <c r="E419" s="2"/>
      <c r="F419" s="2"/>
      <c r="G419" s="2"/>
      <c r="H419" s="2"/>
      <c r="I419" s="2"/>
      <c r="J419" s="2"/>
      <c r="K419" s="2"/>
      <c r="L419" s="2"/>
      <c r="M419" s="2"/>
      <c r="N419" s="2"/>
      <c r="O419" s="2"/>
      <c r="P419" s="2"/>
      <c r="Q419" s="2"/>
      <c r="R419" s="2"/>
      <c r="S419" s="2"/>
      <c r="T419" s="2"/>
      <c r="U419" s="2"/>
      <c r="V419" s="2"/>
      <c r="W419" s="2"/>
    </row>
    <row r="420">
      <c r="A420" s="2"/>
      <c r="B420" s="2"/>
      <c r="C420" s="2"/>
      <c r="D420" s="2"/>
      <c r="E420" s="2"/>
      <c r="F420" s="2"/>
      <c r="G420" s="2"/>
      <c r="H420" s="2"/>
      <c r="I420" s="2"/>
      <c r="J420" s="2"/>
      <c r="K420" s="2"/>
      <c r="L420" s="2"/>
      <c r="M420" s="2"/>
      <c r="N420" s="2"/>
      <c r="O420" s="2"/>
      <c r="P420" s="2"/>
      <c r="Q420" s="2"/>
      <c r="R420" s="2"/>
      <c r="S420" s="2"/>
      <c r="T420" s="2"/>
      <c r="U420" s="2"/>
      <c r="V420" s="2"/>
      <c r="W420" s="2"/>
    </row>
    <row r="421">
      <c r="A421" s="2"/>
      <c r="B421" s="2"/>
      <c r="C421" s="2"/>
      <c r="D421" s="2"/>
      <c r="E421" s="2"/>
      <c r="F421" s="2"/>
      <c r="G421" s="2"/>
      <c r="H421" s="2"/>
      <c r="I421" s="2"/>
      <c r="J421" s="2"/>
      <c r="K421" s="2"/>
      <c r="L421" s="2"/>
      <c r="M421" s="2"/>
      <c r="N421" s="2"/>
      <c r="O421" s="2"/>
      <c r="P421" s="2"/>
      <c r="Q421" s="2"/>
      <c r="R421" s="2"/>
      <c r="S421" s="2"/>
      <c r="T421" s="2"/>
      <c r="U421" s="2"/>
      <c r="V421" s="2"/>
      <c r="W421" s="2"/>
    </row>
    <row r="422">
      <c r="A422" s="2"/>
      <c r="B422" s="2"/>
      <c r="C422" s="2"/>
      <c r="D422" s="2"/>
      <c r="E422" s="2"/>
      <c r="F422" s="2"/>
      <c r="G422" s="2"/>
      <c r="H422" s="2"/>
      <c r="I422" s="2"/>
      <c r="J422" s="2"/>
      <c r="K422" s="2"/>
      <c r="L422" s="2"/>
      <c r="M422" s="2"/>
      <c r="N422" s="2"/>
      <c r="O422" s="2"/>
      <c r="P422" s="2"/>
      <c r="Q422" s="2"/>
      <c r="R422" s="2"/>
      <c r="S422" s="2"/>
      <c r="T422" s="2"/>
      <c r="U422" s="2"/>
      <c r="V422" s="2"/>
      <c r="W422" s="2"/>
    </row>
    <row r="423">
      <c r="A423" s="2"/>
      <c r="B423" s="2"/>
      <c r="C423" s="2"/>
      <c r="D423" s="2"/>
      <c r="E423" s="2"/>
      <c r="F423" s="2"/>
      <c r="G423" s="2"/>
      <c r="H423" s="2"/>
      <c r="I423" s="2"/>
      <c r="J423" s="2"/>
      <c r="K423" s="2"/>
      <c r="L423" s="2"/>
      <c r="M423" s="2"/>
      <c r="N423" s="2"/>
      <c r="O423" s="2"/>
      <c r="P423" s="2"/>
      <c r="Q423" s="2"/>
      <c r="R423" s="2"/>
      <c r="S423" s="2"/>
      <c r="T423" s="2"/>
      <c r="U423" s="2"/>
      <c r="V423" s="2"/>
      <c r="W423" s="2"/>
    </row>
    <row r="424">
      <c r="A424" s="2"/>
      <c r="B424" s="2"/>
      <c r="C424" s="2"/>
      <c r="D424" s="2"/>
      <c r="E424" s="2"/>
      <c r="F424" s="2"/>
      <c r="G424" s="2"/>
      <c r="H424" s="2"/>
      <c r="I424" s="2"/>
      <c r="J424" s="2"/>
      <c r="K424" s="2"/>
      <c r="L424" s="2"/>
      <c r="M424" s="2"/>
      <c r="N424" s="2"/>
      <c r="O424" s="2"/>
      <c r="P424" s="2"/>
      <c r="Q424" s="2"/>
      <c r="R424" s="2"/>
      <c r="S424" s="2"/>
      <c r="T424" s="2"/>
      <c r="U424" s="2"/>
      <c r="V424" s="2"/>
      <c r="W424" s="2"/>
    </row>
    <row r="425">
      <c r="A425" s="2"/>
      <c r="B425" s="2"/>
      <c r="C425" s="2"/>
      <c r="D425" s="2"/>
      <c r="E425" s="2"/>
      <c r="F425" s="2"/>
      <c r="G425" s="2"/>
      <c r="H425" s="2"/>
      <c r="I425" s="2"/>
      <c r="J425" s="2"/>
      <c r="K425" s="2"/>
      <c r="L425" s="2"/>
      <c r="M425" s="2"/>
      <c r="N425" s="2"/>
      <c r="O425" s="2"/>
      <c r="P425" s="2"/>
      <c r="Q425" s="2"/>
      <c r="R425" s="2"/>
      <c r="S425" s="2"/>
      <c r="T425" s="2"/>
      <c r="U425" s="2"/>
      <c r="V425" s="2"/>
      <c r="W425" s="2"/>
    </row>
    <row r="426">
      <c r="A426" s="2"/>
      <c r="B426" s="2"/>
      <c r="C426" s="2"/>
      <c r="D426" s="2"/>
      <c r="E426" s="2"/>
      <c r="F426" s="2"/>
      <c r="G426" s="2"/>
      <c r="H426" s="2"/>
      <c r="I426" s="2"/>
      <c r="J426" s="2"/>
      <c r="K426" s="2"/>
      <c r="L426" s="2"/>
      <c r="M426" s="2"/>
      <c r="N426" s="2"/>
      <c r="O426" s="2"/>
      <c r="P426" s="2"/>
      <c r="Q426" s="2"/>
      <c r="R426" s="2"/>
      <c r="S426" s="2"/>
      <c r="T426" s="2"/>
      <c r="U426" s="2"/>
      <c r="V426" s="2"/>
      <c r="W426" s="2"/>
    </row>
    <row r="427">
      <c r="A427" s="2"/>
      <c r="B427" s="2"/>
      <c r="C427" s="2"/>
      <c r="D427" s="2"/>
      <c r="E427" s="2"/>
      <c r="F427" s="2"/>
      <c r="G427" s="2"/>
      <c r="H427" s="2"/>
      <c r="I427" s="2"/>
      <c r="J427" s="2"/>
      <c r="K427" s="2"/>
      <c r="L427" s="2"/>
      <c r="M427" s="2"/>
      <c r="N427" s="2"/>
      <c r="O427" s="2"/>
      <c r="P427" s="2"/>
      <c r="Q427" s="2"/>
      <c r="R427" s="2"/>
      <c r="S427" s="2"/>
      <c r="T427" s="2"/>
      <c r="U427" s="2"/>
      <c r="V427" s="2"/>
      <c r="W427" s="2"/>
    </row>
    <row r="428">
      <c r="A428" s="2"/>
      <c r="B428" s="2"/>
      <c r="C428" s="2"/>
      <c r="D428" s="2"/>
      <c r="E428" s="2"/>
      <c r="F428" s="2"/>
      <c r="G428" s="2"/>
      <c r="H428" s="2"/>
      <c r="I428" s="2"/>
      <c r="J428" s="2"/>
      <c r="K428" s="2"/>
      <c r="L428" s="2"/>
      <c r="M428" s="2"/>
      <c r="N428" s="2"/>
      <c r="O428" s="2"/>
      <c r="P428" s="2"/>
      <c r="Q428" s="2"/>
      <c r="R428" s="2"/>
      <c r="S428" s="2"/>
      <c r="T428" s="2"/>
      <c r="U428" s="2"/>
      <c r="V428" s="2"/>
      <c r="W428" s="2"/>
    </row>
    <row r="429">
      <c r="A429" s="2"/>
      <c r="B429" s="2"/>
      <c r="C429" s="2"/>
      <c r="D429" s="2"/>
      <c r="E429" s="2"/>
      <c r="F429" s="2"/>
      <c r="G429" s="2"/>
      <c r="H429" s="2"/>
      <c r="I429" s="2"/>
      <c r="J429" s="2"/>
      <c r="K429" s="2"/>
      <c r="L429" s="2"/>
      <c r="M429" s="2"/>
      <c r="N429" s="2"/>
      <c r="O429" s="2"/>
      <c r="P429" s="2"/>
      <c r="Q429" s="2"/>
      <c r="R429" s="2"/>
      <c r="S429" s="2"/>
      <c r="T429" s="2"/>
      <c r="U429" s="2"/>
      <c r="V429" s="2"/>
      <c r="W429" s="2"/>
    </row>
    <row r="430">
      <c r="A430" s="2"/>
      <c r="B430" s="2"/>
      <c r="C430" s="2"/>
      <c r="D430" s="2"/>
      <c r="E430" s="2"/>
      <c r="F430" s="2"/>
      <c r="G430" s="2"/>
      <c r="H430" s="2"/>
      <c r="I430" s="2"/>
      <c r="J430" s="2"/>
      <c r="K430" s="2"/>
      <c r="L430" s="2"/>
      <c r="M430" s="2"/>
      <c r="N430" s="2"/>
      <c r="O430" s="2"/>
      <c r="P430" s="2"/>
      <c r="Q430" s="2"/>
      <c r="R430" s="2"/>
      <c r="S430" s="2"/>
      <c r="T430" s="2"/>
      <c r="U430" s="2"/>
      <c r="V430" s="2"/>
      <c r="W430" s="2"/>
    </row>
    <row r="431">
      <c r="A431" s="2"/>
      <c r="B431" s="2"/>
      <c r="C431" s="2"/>
      <c r="D431" s="2"/>
      <c r="E431" s="2"/>
      <c r="F431" s="2"/>
      <c r="G431" s="2"/>
      <c r="H431" s="2"/>
      <c r="I431" s="2"/>
      <c r="J431" s="2"/>
      <c r="K431" s="2"/>
      <c r="L431" s="2"/>
      <c r="M431" s="2"/>
      <c r="N431" s="2"/>
      <c r="O431" s="2"/>
      <c r="P431" s="2"/>
      <c r="Q431" s="2"/>
      <c r="R431" s="2"/>
      <c r="S431" s="2"/>
      <c r="T431" s="2"/>
      <c r="U431" s="2"/>
      <c r="V431" s="2"/>
      <c r="W431" s="2"/>
    </row>
    <row r="432">
      <c r="A432" s="2"/>
      <c r="B432" s="2"/>
      <c r="C432" s="2"/>
      <c r="D432" s="2"/>
      <c r="E432" s="2"/>
      <c r="F432" s="2"/>
      <c r="G432" s="2"/>
      <c r="H432" s="2"/>
      <c r="I432" s="2"/>
      <c r="J432" s="2"/>
      <c r="K432" s="2"/>
      <c r="L432" s="2"/>
      <c r="M432" s="2"/>
      <c r="N432" s="2"/>
      <c r="O432" s="2"/>
      <c r="P432" s="2"/>
      <c r="Q432" s="2"/>
      <c r="R432" s="2"/>
      <c r="S432" s="2"/>
      <c r="T432" s="2"/>
      <c r="U432" s="2"/>
      <c r="V432" s="2"/>
      <c r="W432" s="2"/>
    </row>
    <row r="433">
      <c r="A433" s="2"/>
      <c r="B433" s="2"/>
      <c r="C433" s="2"/>
      <c r="D433" s="2"/>
      <c r="E433" s="2"/>
      <c r="F433" s="2"/>
      <c r="G433" s="2"/>
      <c r="H433" s="2"/>
      <c r="I433" s="2"/>
      <c r="J433" s="2"/>
      <c r="K433" s="2"/>
      <c r="L433" s="2"/>
      <c r="M433" s="2"/>
      <c r="N433" s="2"/>
      <c r="O433" s="2"/>
      <c r="P433" s="2"/>
      <c r="Q433" s="2"/>
      <c r="R433" s="2"/>
      <c r="S433" s="2"/>
      <c r="T433" s="2"/>
      <c r="U433" s="2"/>
      <c r="V433" s="2"/>
      <c r="W433" s="2"/>
    </row>
    <row r="434">
      <c r="A434" s="2"/>
      <c r="B434" s="2"/>
      <c r="C434" s="2"/>
      <c r="D434" s="2"/>
      <c r="E434" s="2"/>
      <c r="F434" s="2"/>
      <c r="G434" s="2"/>
      <c r="H434" s="2"/>
      <c r="I434" s="2"/>
      <c r="J434" s="2"/>
      <c r="K434" s="2"/>
      <c r="L434" s="2"/>
      <c r="M434" s="2"/>
      <c r="N434" s="2"/>
      <c r="O434" s="2"/>
      <c r="P434" s="2"/>
      <c r="Q434" s="2"/>
      <c r="R434" s="2"/>
      <c r="S434" s="2"/>
      <c r="T434" s="2"/>
      <c r="U434" s="2"/>
      <c r="V434" s="2"/>
      <c r="W434" s="2"/>
    </row>
    <row r="435">
      <c r="A435" s="2"/>
      <c r="B435" s="2"/>
      <c r="C435" s="2"/>
      <c r="D435" s="2"/>
      <c r="E435" s="2"/>
      <c r="F435" s="2"/>
      <c r="G435" s="2"/>
      <c r="H435" s="2"/>
      <c r="I435" s="2"/>
      <c r="J435" s="2"/>
      <c r="K435" s="2"/>
      <c r="L435" s="2"/>
      <c r="M435" s="2"/>
      <c r="N435" s="2"/>
      <c r="O435" s="2"/>
      <c r="P435" s="2"/>
      <c r="Q435" s="2"/>
      <c r="R435" s="2"/>
      <c r="S435" s="2"/>
      <c r="T435" s="2"/>
      <c r="U435" s="2"/>
      <c r="V435" s="2"/>
      <c r="W435" s="2"/>
    </row>
    <row r="436">
      <c r="A436" s="2"/>
      <c r="B436" s="2"/>
      <c r="C436" s="2"/>
      <c r="D436" s="2"/>
      <c r="E436" s="2"/>
      <c r="F436" s="2"/>
      <c r="G436" s="2"/>
      <c r="H436" s="2"/>
      <c r="I436" s="2"/>
      <c r="J436" s="2"/>
      <c r="K436" s="2"/>
      <c r="L436" s="2"/>
      <c r="M436" s="2"/>
      <c r="N436" s="2"/>
      <c r="O436" s="2"/>
      <c r="P436" s="2"/>
      <c r="Q436" s="2"/>
      <c r="R436" s="2"/>
      <c r="S436" s="2"/>
      <c r="T436" s="2"/>
      <c r="U436" s="2"/>
      <c r="V436" s="2"/>
      <c r="W436" s="2"/>
    </row>
    <row r="437">
      <c r="A437" s="2"/>
      <c r="B437" s="2"/>
      <c r="C437" s="2"/>
      <c r="D437" s="2"/>
      <c r="E437" s="2"/>
      <c r="F437" s="2"/>
      <c r="G437" s="2"/>
      <c r="H437" s="2"/>
      <c r="I437" s="2"/>
      <c r="J437" s="2"/>
      <c r="K437" s="2"/>
      <c r="L437" s="2"/>
      <c r="M437" s="2"/>
      <c r="N437" s="2"/>
      <c r="O437" s="2"/>
      <c r="P437" s="2"/>
      <c r="Q437" s="2"/>
      <c r="R437" s="2"/>
      <c r="S437" s="2"/>
      <c r="T437" s="2"/>
      <c r="U437" s="2"/>
      <c r="V437" s="2"/>
      <c r="W437" s="2"/>
    </row>
    <row r="438">
      <c r="A438" s="2"/>
      <c r="B438" s="2"/>
      <c r="C438" s="2"/>
      <c r="D438" s="2"/>
      <c r="E438" s="2"/>
      <c r="F438" s="2"/>
      <c r="G438" s="2"/>
      <c r="H438" s="2"/>
      <c r="I438" s="2"/>
      <c r="J438" s="2"/>
      <c r="K438" s="2"/>
      <c r="L438" s="2"/>
      <c r="M438" s="2"/>
      <c r="N438" s="2"/>
      <c r="O438" s="2"/>
      <c r="P438" s="2"/>
      <c r="Q438" s="2"/>
      <c r="R438" s="2"/>
      <c r="S438" s="2"/>
      <c r="T438" s="2"/>
      <c r="U438" s="2"/>
      <c r="V438" s="2"/>
      <c r="W438" s="2"/>
    </row>
    <row r="439">
      <c r="A439" s="2"/>
      <c r="B439" s="2"/>
      <c r="C439" s="2"/>
      <c r="D439" s="2"/>
      <c r="E439" s="2"/>
      <c r="F439" s="2"/>
      <c r="G439" s="2"/>
      <c r="H439" s="2"/>
      <c r="I439" s="2"/>
      <c r="J439" s="2"/>
      <c r="K439" s="2"/>
      <c r="L439" s="2"/>
      <c r="M439" s="2"/>
      <c r="N439" s="2"/>
      <c r="O439" s="2"/>
      <c r="P439" s="2"/>
      <c r="Q439" s="2"/>
      <c r="R439" s="2"/>
      <c r="S439" s="2"/>
      <c r="T439" s="2"/>
      <c r="U439" s="2"/>
      <c r="V439" s="2"/>
      <c r="W439" s="2"/>
    </row>
    <row r="440">
      <c r="A440" s="2"/>
      <c r="B440" s="2"/>
      <c r="C440" s="2"/>
      <c r="D440" s="2"/>
      <c r="E440" s="2"/>
      <c r="F440" s="2"/>
      <c r="G440" s="2"/>
      <c r="H440" s="2"/>
      <c r="I440" s="2"/>
      <c r="J440" s="2"/>
      <c r="K440" s="2"/>
      <c r="L440" s="2"/>
      <c r="M440" s="2"/>
      <c r="N440" s="2"/>
      <c r="O440" s="2"/>
      <c r="P440" s="2"/>
      <c r="Q440" s="2"/>
      <c r="R440" s="2"/>
      <c r="S440" s="2"/>
      <c r="T440" s="2"/>
      <c r="U440" s="2"/>
      <c r="V440" s="2"/>
      <c r="W440" s="2"/>
    </row>
    <row r="441">
      <c r="A441" s="2"/>
      <c r="B441" s="2"/>
      <c r="C441" s="2"/>
      <c r="D441" s="2"/>
      <c r="E441" s="2"/>
      <c r="F441" s="2"/>
      <c r="G441" s="2"/>
      <c r="H441" s="2"/>
      <c r="I441" s="2"/>
      <c r="J441" s="2"/>
      <c r="K441" s="2"/>
      <c r="L441" s="2"/>
      <c r="M441" s="2"/>
      <c r="N441" s="2"/>
      <c r="O441" s="2"/>
      <c r="P441" s="2"/>
      <c r="Q441" s="2"/>
      <c r="R441" s="2"/>
      <c r="S441" s="2"/>
      <c r="T441" s="2"/>
      <c r="U441" s="2"/>
      <c r="V441" s="2"/>
      <c r="W441" s="2"/>
    </row>
    <row r="442">
      <c r="A442" s="2"/>
      <c r="B442" s="2"/>
      <c r="C442" s="2"/>
      <c r="D442" s="2"/>
      <c r="E442" s="2"/>
      <c r="F442" s="2"/>
      <c r="G442" s="2"/>
      <c r="H442" s="2"/>
      <c r="I442" s="2"/>
      <c r="J442" s="2"/>
      <c r="K442" s="2"/>
      <c r="L442" s="2"/>
      <c r="M442" s="2"/>
      <c r="N442" s="2"/>
      <c r="O442" s="2"/>
      <c r="P442" s="2"/>
      <c r="Q442" s="2"/>
      <c r="R442" s="2"/>
      <c r="S442" s="2"/>
      <c r="T442" s="2"/>
      <c r="U442" s="2"/>
      <c r="V442" s="2"/>
      <c r="W442" s="2"/>
    </row>
    <row r="443">
      <c r="A443" s="2"/>
      <c r="B443" s="2"/>
      <c r="C443" s="2"/>
      <c r="D443" s="2"/>
      <c r="E443" s="2"/>
      <c r="F443" s="2"/>
      <c r="G443" s="2"/>
      <c r="H443" s="2"/>
      <c r="I443" s="2"/>
      <c r="J443" s="2"/>
      <c r="K443" s="2"/>
      <c r="L443" s="2"/>
      <c r="M443" s="2"/>
      <c r="N443" s="2"/>
      <c r="O443" s="2"/>
      <c r="P443" s="2"/>
      <c r="Q443" s="2"/>
      <c r="R443" s="2"/>
      <c r="S443" s="2"/>
      <c r="T443" s="2"/>
      <c r="U443" s="2"/>
      <c r="V443" s="2"/>
      <c r="W443" s="2"/>
    </row>
    <row r="444">
      <c r="A444" s="2"/>
      <c r="B444" s="2"/>
      <c r="C444" s="2"/>
      <c r="D444" s="2"/>
      <c r="E444" s="2"/>
      <c r="F444" s="2"/>
      <c r="G444" s="2"/>
      <c r="H444" s="2"/>
      <c r="I444" s="2"/>
      <c r="J444" s="2"/>
      <c r="K444" s="2"/>
      <c r="L444" s="2"/>
      <c r="M444" s="2"/>
      <c r="N444" s="2"/>
      <c r="O444" s="2"/>
      <c r="P444" s="2"/>
      <c r="Q444" s="2"/>
      <c r="R444" s="2"/>
      <c r="S444" s="2"/>
      <c r="T444" s="2"/>
      <c r="U444" s="2"/>
      <c r="V444" s="2"/>
      <c r="W444" s="2"/>
    </row>
    <row r="445">
      <c r="A445" s="2"/>
      <c r="B445" s="2"/>
      <c r="C445" s="2"/>
      <c r="D445" s="2"/>
      <c r="E445" s="2"/>
      <c r="F445" s="2"/>
      <c r="G445" s="2"/>
      <c r="H445" s="2"/>
      <c r="I445" s="2"/>
      <c r="J445" s="2"/>
      <c r="K445" s="2"/>
      <c r="L445" s="2"/>
      <c r="M445" s="2"/>
      <c r="N445" s="2"/>
      <c r="O445" s="2"/>
      <c r="P445" s="2"/>
      <c r="Q445" s="2"/>
      <c r="R445" s="2"/>
      <c r="S445" s="2"/>
      <c r="T445" s="2"/>
      <c r="U445" s="2"/>
      <c r="V445" s="2"/>
      <c r="W445" s="2"/>
    </row>
    <row r="446">
      <c r="A446" s="2"/>
      <c r="B446" s="2"/>
      <c r="C446" s="2"/>
      <c r="D446" s="2"/>
      <c r="E446" s="2"/>
      <c r="F446" s="2"/>
      <c r="G446" s="2"/>
      <c r="H446" s="2"/>
      <c r="I446" s="2"/>
      <c r="J446" s="2"/>
      <c r="K446" s="2"/>
      <c r="L446" s="2"/>
      <c r="M446" s="2"/>
      <c r="N446" s="2"/>
      <c r="O446" s="2"/>
      <c r="P446" s="2"/>
      <c r="Q446" s="2"/>
      <c r="R446" s="2"/>
      <c r="S446" s="2"/>
      <c r="T446" s="2"/>
      <c r="U446" s="2"/>
      <c r="V446" s="2"/>
      <c r="W446" s="2"/>
    </row>
    <row r="447">
      <c r="A447" s="2"/>
      <c r="B447" s="2"/>
      <c r="C447" s="2"/>
      <c r="D447" s="2"/>
      <c r="E447" s="2"/>
      <c r="F447" s="2"/>
      <c r="G447" s="2"/>
      <c r="H447" s="2"/>
      <c r="I447" s="2"/>
      <c r="J447" s="2"/>
      <c r="K447" s="2"/>
      <c r="L447" s="2"/>
      <c r="M447" s="2"/>
      <c r="N447" s="2"/>
      <c r="O447" s="2"/>
      <c r="P447" s="2"/>
      <c r="Q447" s="2"/>
      <c r="R447" s="2"/>
      <c r="S447" s="2"/>
      <c r="T447" s="2"/>
      <c r="U447" s="2"/>
      <c r="V447" s="2"/>
      <c r="W447" s="2"/>
    </row>
    <row r="448">
      <c r="A448" s="2"/>
      <c r="B448" s="2"/>
      <c r="C448" s="2"/>
      <c r="D448" s="2"/>
      <c r="E448" s="2"/>
      <c r="F448" s="2"/>
      <c r="G448" s="2"/>
      <c r="H448" s="2"/>
      <c r="I448" s="2"/>
      <c r="J448" s="2"/>
      <c r="K448" s="2"/>
      <c r="L448" s="2"/>
      <c r="M448" s="2"/>
      <c r="N448" s="2"/>
      <c r="O448" s="2"/>
      <c r="P448" s="2"/>
      <c r="Q448" s="2"/>
      <c r="R448" s="2"/>
      <c r="S448" s="2"/>
      <c r="T448" s="2"/>
      <c r="U448" s="2"/>
      <c r="V448" s="2"/>
      <c r="W448" s="2"/>
    </row>
    <row r="449">
      <c r="A449" s="2"/>
      <c r="B449" s="2"/>
      <c r="C449" s="2"/>
      <c r="D449" s="2"/>
      <c r="E449" s="2"/>
      <c r="F449" s="2"/>
      <c r="G449" s="2"/>
      <c r="H449" s="2"/>
      <c r="I449" s="2"/>
      <c r="J449" s="2"/>
      <c r="K449" s="2"/>
      <c r="L449" s="2"/>
      <c r="M449" s="2"/>
      <c r="N449" s="2"/>
      <c r="O449" s="2"/>
      <c r="P449" s="2"/>
      <c r="Q449" s="2"/>
      <c r="R449" s="2"/>
      <c r="S449" s="2"/>
      <c r="T449" s="2"/>
      <c r="U449" s="2"/>
      <c r="V449" s="2"/>
      <c r="W449" s="2"/>
    </row>
    <row r="450">
      <c r="A450" s="2"/>
      <c r="B450" s="2"/>
      <c r="C450" s="2"/>
      <c r="D450" s="2"/>
      <c r="E450" s="2"/>
      <c r="F450" s="2"/>
      <c r="G450" s="2"/>
      <c r="H450" s="2"/>
      <c r="I450" s="2"/>
      <c r="J450" s="2"/>
      <c r="K450" s="2"/>
      <c r="L450" s="2"/>
      <c r="M450" s="2"/>
      <c r="N450" s="2"/>
      <c r="O450" s="2"/>
      <c r="P450" s="2"/>
      <c r="Q450" s="2"/>
      <c r="R450" s="2"/>
      <c r="S450" s="2"/>
      <c r="T450" s="2"/>
      <c r="U450" s="2"/>
      <c r="V450" s="2"/>
      <c r="W450" s="2"/>
    </row>
    <row r="451">
      <c r="A451" s="2"/>
      <c r="B451" s="2"/>
      <c r="C451" s="2"/>
      <c r="D451" s="2"/>
      <c r="E451" s="2"/>
      <c r="F451" s="2"/>
      <c r="G451" s="2"/>
      <c r="H451" s="2"/>
      <c r="I451" s="2"/>
      <c r="J451" s="2"/>
      <c r="K451" s="2"/>
      <c r="L451" s="2"/>
      <c r="M451" s="2"/>
      <c r="N451" s="2"/>
      <c r="O451" s="2"/>
      <c r="P451" s="2"/>
      <c r="Q451" s="2"/>
      <c r="R451" s="2"/>
      <c r="S451" s="2"/>
      <c r="T451" s="2"/>
      <c r="U451" s="2"/>
      <c r="V451" s="2"/>
      <c r="W451" s="2"/>
    </row>
    <row r="452">
      <c r="A452" s="2"/>
      <c r="B452" s="2"/>
      <c r="C452" s="2"/>
      <c r="D452" s="2"/>
      <c r="E452" s="2"/>
      <c r="F452" s="2"/>
      <c r="G452" s="2"/>
      <c r="H452" s="2"/>
      <c r="I452" s="2"/>
      <c r="J452" s="2"/>
      <c r="K452" s="2"/>
      <c r="L452" s="2"/>
      <c r="M452" s="2"/>
      <c r="N452" s="2"/>
      <c r="O452" s="2"/>
      <c r="P452" s="2"/>
      <c r="Q452" s="2"/>
      <c r="R452" s="2"/>
      <c r="S452" s="2"/>
      <c r="T452" s="2"/>
      <c r="U452" s="2"/>
      <c r="V452" s="2"/>
      <c r="W452" s="2"/>
    </row>
    <row r="453">
      <c r="A453" s="2"/>
      <c r="B453" s="2"/>
      <c r="C453" s="2"/>
      <c r="D453" s="2"/>
      <c r="E453" s="2"/>
      <c r="F453" s="2"/>
      <c r="G453" s="2"/>
      <c r="H453" s="2"/>
      <c r="I453" s="2"/>
      <c r="J453" s="2"/>
      <c r="K453" s="2"/>
      <c r="L453" s="2"/>
      <c r="M453" s="2"/>
      <c r="N453" s="2"/>
      <c r="O453" s="2"/>
      <c r="P453" s="2"/>
      <c r="Q453" s="2"/>
      <c r="R453" s="2"/>
      <c r="S453" s="2"/>
      <c r="T453" s="2"/>
      <c r="U453" s="2"/>
      <c r="V453" s="2"/>
      <c r="W453" s="2"/>
    </row>
    <row r="454">
      <c r="A454" s="2"/>
      <c r="B454" s="2"/>
      <c r="C454" s="2"/>
      <c r="D454" s="2"/>
      <c r="E454" s="2"/>
      <c r="F454" s="2"/>
      <c r="G454" s="2"/>
      <c r="H454" s="2"/>
      <c r="I454" s="2"/>
      <c r="J454" s="2"/>
      <c r="K454" s="2"/>
      <c r="L454" s="2"/>
      <c r="M454" s="2"/>
      <c r="N454" s="2"/>
      <c r="O454" s="2"/>
      <c r="P454" s="2"/>
      <c r="Q454" s="2"/>
      <c r="R454" s="2"/>
      <c r="S454" s="2"/>
      <c r="T454" s="2"/>
      <c r="U454" s="2"/>
      <c r="V454" s="2"/>
      <c r="W454" s="2"/>
    </row>
    <row r="455">
      <c r="A455" s="2"/>
      <c r="B455" s="2"/>
      <c r="C455" s="2"/>
      <c r="D455" s="2"/>
      <c r="E455" s="2"/>
      <c r="F455" s="2"/>
      <c r="G455" s="2"/>
      <c r="H455" s="2"/>
      <c r="I455" s="2"/>
      <c r="J455" s="2"/>
      <c r="K455" s="2"/>
      <c r="L455" s="2"/>
      <c r="M455" s="2"/>
      <c r="N455" s="2"/>
      <c r="O455" s="2"/>
      <c r="P455" s="2"/>
      <c r="Q455" s="2"/>
      <c r="R455" s="2"/>
      <c r="S455" s="2"/>
      <c r="T455" s="2"/>
      <c r="U455" s="2"/>
      <c r="V455" s="2"/>
      <c r="W455" s="2"/>
    </row>
    <row r="456">
      <c r="A456" s="2"/>
      <c r="B456" s="2"/>
      <c r="C456" s="2"/>
      <c r="D456" s="2"/>
      <c r="E456" s="2"/>
      <c r="F456" s="2"/>
      <c r="G456" s="2"/>
      <c r="H456" s="2"/>
      <c r="I456" s="2"/>
      <c r="J456" s="2"/>
      <c r="K456" s="2"/>
      <c r="L456" s="2"/>
      <c r="M456" s="2"/>
      <c r="N456" s="2"/>
      <c r="O456" s="2"/>
      <c r="P456" s="2"/>
      <c r="Q456" s="2"/>
      <c r="R456" s="2"/>
      <c r="S456" s="2"/>
      <c r="T456" s="2"/>
      <c r="U456" s="2"/>
      <c r="V456" s="2"/>
      <c r="W456" s="2"/>
    </row>
    <row r="457">
      <c r="A457" s="2"/>
      <c r="B457" s="2"/>
      <c r="C457" s="2"/>
      <c r="D457" s="2"/>
      <c r="E457" s="2"/>
      <c r="F457" s="2"/>
      <c r="G457" s="2"/>
      <c r="H457" s="2"/>
      <c r="I457" s="2"/>
      <c r="J457" s="2"/>
      <c r="K457" s="2"/>
      <c r="L457" s="2"/>
      <c r="M457" s="2"/>
      <c r="N457" s="2"/>
      <c r="O457" s="2"/>
      <c r="P457" s="2"/>
      <c r="Q457" s="2"/>
      <c r="R457" s="2"/>
      <c r="S457" s="2"/>
      <c r="T457" s="2"/>
      <c r="U457" s="2"/>
      <c r="V457" s="2"/>
      <c r="W457" s="2"/>
    </row>
    <row r="458">
      <c r="A458" s="2"/>
      <c r="B458" s="2"/>
      <c r="C458" s="2"/>
      <c r="D458" s="2"/>
      <c r="E458" s="2"/>
      <c r="F458" s="2"/>
      <c r="G458" s="2"/>
      <c r="H458" s="2"/>
      <c r="I458" s="2"/>
      <c r="J458" s="2"/>
      <c r="K458" s="2"/>
      <c r="L458" s="2"/>
      <c r="M458" s="2"/>
      <c r="N458" s="2"/>
      <c r="O458" s="2"/>
      <c r="P458" s="2"/>
      <c r="Q458" s="2"/>
      <c r="R458" s="2"/>
      <c r="S458" s="2"/>
      <c r="T458" s="2"/>
      <c r="U458" s="2"/>
      <c r="V458" s="2"/>
      <c r="W458" s="2"/>
    </row>
    <row r="459">
      <c r="A459" s="2"/>
      <c r="B459" s="2"/>
      <c r="C459" s="2"/>
      <c r="D459" s="2"/>
      <c r="E459" s="2"/>
      <c r="F459" s="2"/>
      <c r="G459" s="2"/>
      <c r="H459" s="2"/>
      <c r="I459" s="2"/>
      <c r="J459" s="2"/>
      <c r="K459" s="2"/>
      <c r="L459" s="2"/>
      <c r="M459" s="2"/>
      <c r="N459" s="2"/>
      <c r="O459" s="2"/>
      <c r="P459" s="2"/>
      <c r="Q459" s="2"/>
      <c r="R459" s="2"/>
      <c r="S459" s="2"/>
      <c r="T459" s="2"/>
      <c r="U459" s="2"/>
      <c r="V459" s="2"/>
      <c r="W459" s="2"/>
    </row>
    <row r="460">
      <c r="A460" s="2"/>
      <c r="B460" s="2"/>
      <c r="C460" s="2"/>
      <c r="D460" s="2"/>
      <c r="E460" s="2"/>
      <c r="F460" s="2"/>
      <c r="G460" s="2"/>
      <c r="H460" s="2"/>
      <c r="I460" s="2"/>
      <c r="J460" s="2"/>
      <c r="K460" s="2"/>
      <c r="L460" s="2"/>
      <c r="M460" s="2"/>
      <c r="N460" s="2"/>
      <c r="O460" s="2"/>
      <c r="P460" s="2"/>
      <c r="Q460" s="2"/>
      <c r="R460" s="2"/>
      <c r="S460" s="2"/>
      <c r="T460" s="2"/>
      <c r="U460" s="2"/>
      <c r="V460" s="2"/>
      <c r="W460" s="2"/>
    </row>
    <row r="461">
      <c r="A461" s="2"/>
      <c r="B461" s="2"/>
      <c r="C461" s="2"/>
      <c r="D461" s="2"/>
      <c r="E461" s="2"/>
      <c r="F461" s="2"/>
      <c r="G461" s="2"/>
      <c r="H461" s="2"/>
      <c r="I461" s="2"/>
      <c r="J461" s="2"/>
      <c r="K461" s="2"/>
      <c r="L461" s="2"/>
      <c r="M461" s="2"/>
      <c r="N461" s="2"/>
      <c r="O461" s="2"/>
      <c r="P461" s="2"/>
      <c r="Q461" s="2"/>
      <c r="R461" s="2"/>
      <c r="S461" s="2"/>
      <c r="T461" s="2"/>
      <c r="U461" s="2"/>
      <c r="V461" s="2"/>
      <c r="W461" s="2"/>
    </row>
    <row r="462">
      <c r="A462" s="2"/>
      <c r="B462" s="2"/>
      <c r="C462" s="2"/>
      <c r="D462" s="2"/>
      <c r="E462" s="2"/>
      <c r="F462" s="2"/>
      <c r="G462" s="2"/>
      <c r="H462" s="2"/>
      <c r="I462" s="2"/>
      <c r="J462" s="2"/>
      <c r="K462" s="2"/>
      <c r="L462" s="2"/>
      <c r="M462" s="2"/>
      <c r="N462" s="2"/>
      <c r="O462" s="2"/>
      <c r="P462" s="2"/>
      <c r="Q462" s="2"/>
      <c r="R462" s="2"/>
      <c r="S462" s="2"/>
      <c r="T462" s="2"/>
      <c r="U462" s="2"/>
      <c r="V462" s="2"/>
      <c r="W462" s="2"/>
    </row>
    <row r="463">
      <c r="A463" s="2"/>
      <c r="B463" s="2"/>
      <c r="C463" s="2"/>
      <c r="D463" s="2"/>
      <c r="E463" s="2"/>
      <c r="F463" s="2"/>
      <c r="G463" s="2"/>
      <c r="H463" s="2"/>
      <c r="I463" s="2"/>
      <c r="J463" s="2"/>
      <c r="K463" s="2"/>
      <c r="L463" s="2"/>
      <c r="M463" s="2"/>
      <c r="N463" s="2"/>
      <c r="O463" s="2"/>
      <c r="P463" s="2"/>
      <c r="Q463" s="2"/>
      <c r="R463" s="2"/>
      <c r="S463" s="2"/>
      <c r="T463" s="2"/>
      <c r="U463" s="2"/>
      <c r="V463" s="2"/>
      <c r="W463" s="2"/>
    </row>
    <row r="464">
      <c r="A464" s="2"/>
      <c r="B464" s="2"/>
      <c r="C464" s="2"/>
      <c r="D464" s="2"/>
      <c r="E464" s="2"/>
      <c r="F464" s="2"/>
      <c r="G464" s="2"/>
      <c r="H464" s="2"/>
      <c r="I464" s="2"/>
      <c r="J464" s="2"/>
      <c r="K464" s="2"/>
      <c r="L464" s="2"/>
      <c r="M464" s="2"/>
      <c r="N464" s="2"/>
      <c r="O464" s="2"/>
      <c r="P464" s="2"/>
      <c r="Q464" s="2"/>
      <c r="R464" s="2"/>
      <c r="S464" s="2"/>
      <c r="T464" s="2"/>
      <c r="U464" s="2"/>
      <c r="V464" s="2"/>
      <c r="W464" s="2"/>
    </row>
    <row r="465">
      <c r="A465" s="2"/>
      <c r="B465" s="2"/>
      <c r="C465" s="2"/>
      <c r="D465" s="2"/>
      <c r="E465" s="2"/>
      <c r="F465" s="2"/>
      <c r="G465" s="2"/>
      <c r="H465" s="2"/>
      <c r="I465" s="2"/>
      <c r="J465" s="2"/>
      <c r="K465" s="2"/>
      <c r="L465" s="2"/>
      <c r="M465" s="2"/>
      <c r="N465" s="2"/>
      <c r="O465" s="2"/>
      <c r="P465" s="2"/>
      <c r="Q465" s="2"/>
      <c r="R465" s="2"/>
      <c r="S465" s="2"/>
      <c r="T465" s="2"/>
      <c r="U465" s="2"/>
      <c r="V465" s="2"/>
      <c r="W465" s="2"/>
    </row>
    <row r="466">
      <c r="A466" s="2"/>
      <c r="B466" s="2"/>
      <c r="C466" s="2"/>
      <c r="D466" s="2"/>
      <c r="E466" s="2"/>
      <c r="F466" s="2"/>
      <c r="G466" s="2"/>
      <c r="H466" s="2"/>
      <c r="I466" s="2"/>
      <c r="J466" s="2"/>
      <c r="K466" s="2"/>
      <c r="L466" s="2"/>
      <c r="M466" s="2"/>
      <c r="N466" s="2"/>
      <c r="O466" s="2"/>
      <c r="P466" s="2"/>
      <c r="Q466" s="2"/>
      <c r="R466" s="2"/>
      <c r="S466" s="2"/>
      <c r="T466" s="2"/>
      <c r="U466" s="2"/>
      <c r="V466" s="2"/>
      <c r="W466" s="2"/>
    </row>
    <row r="467">
      <c r="A467" s="2"/>
      <c r="B467" s="2"/>
      <c r="C467" s="2"/>
      <c r="D467" s="2"/>
      <c r="E467" s="2"/>
      <c r="F467" s="2"/>
      <c r="G467" s="2"/>
      <c r="H467" s="2"/>
      <c r="I467" s="2"/>
      <c r="J467" s="2"/>
      <c r="K467" s="2"/>
      <c r="L467" s="2"/>
      <c r="M467" s="2"/>
      <c r="N467" s="2"/>
      <c r="O467" s="2"/>
      <c r="P467" s="2"/>
      <c r="Q467" s="2"/>
      <c r="R467" s="2"/>
      <c r="S467" s="2"/>
      <c r="T467" s="2"/>
      <c r="U467" s="2"/>
      <c r="V467" s="2"/>
      <c r="W467" s="2"/>
    </row>
    <row r="468">
      <c r="A468" s="2"/>
      <c r="B468" s="2"/>
      <c r="C468" s="2"/>
      <c r="D468" s="2"/>
      <c r="E468" s="2"/>
      <c r="F468" s="2"/>
      <c r="G468" s="2"/>
      <c r="H468" s="2"/>
      <c r="I468" s="2"/>
      <c r="J468" s="2"/>
      <c r="K468" s="2"/>
      <c r="L468" s="2"/>
      <c r="M468" s="2"/>
      <c r="N468" s="2"/>
      <c r="O468" s="2"/>
      <c r="P468" s="2"/>
      <c r="Q468" s="2"/>
      <c r="R468" s="2"/>
      <c r="S468" s="2"/>
      <c r="T468" s="2"/>
      <c r="U468" s="2"/>
      <c r="V468" s="2"/>
      <c r="W468" s="2"/>
    </row>
    <row r="469">
      <c r="A469" s="2"/>
      <c r="B469" s="2"/>
      <c r="C469" s="2"/>
      <c r="D469" s="2"/>
      <c r="E469" s="2"/>
      <c r="F469" s="2"/>
      <c r="G469" s="2"/>
      <c r="H469" s="2"/>
      <c r="I469" s="2"/>
      <c r="J469" s="2"/>
      <c r="K469" s="2"/>
      <c r="L469" s="2"/>
      <c r="M469" s="2"/>
      <c r="N469" s="2"/>
      <c r="O469" s="2"/>
      <c r="P469" s="2"/>
      <c r="Q469" s="2"/>
      <c r="R469" s="2"/>
      <c r="S469" s="2"/>
      <c r="T469" s="2"/>
      <c r="U469" s="2"/>
      <c r="V469" s="2"/>
      <c r="W469" s="2"/>
    </row>
    <row r="470">
      <c r="A470" s="2"/>
      <c r="B470" s="2"/>
      <c r="C470" s="2"/>
      <c r="D470" s="2"/>
      <c r="E470" s="2"/>
      <c r="F470" s="2"/>
      <c r="G470" s="2"/>
      <c r="H470" s="2"/>
      <c r="I470" s="2"/>
      <c r="J470" s="2"/>
      <c r="K470" s="2"/>
      <c r="L470" s="2"/>
      <c r="M470" s="2"/>
      <c r="N470" s="2"/>
      <c r="O470" s="2"/>
      <c r="P470" s="2"/>
      <c r="Q470" s="2"/>
      <c r="R470" s="2"/>
      <c r="S470" s="2"/>
      <c r="T470" s="2"/>
      <c r="U470" s="2"/>
      <c r="V470" s="2"/>
      <c r="W470" s="2"/>
    </row>
    <row r="471">
      <c r="A471" s="2"/>
      <c r="B471" s="2"/>
      <c r="C471" s="2"/>
      <c r="D471" s="2"/>
      <c r="E471" s="2"/>
      <c r="F471" s="2"/>
      <c r="G471" s="2"/>
      <c r="H471" s="2"/>
      <c r="I471" s="2"/>
      <c r="J471" s="2"/>
      <c r="K471" s="2"/>
      <c r="L471" s="2"/>
      <c r="M471" s="2"/>
      <c r="N471" s="2"/>
      <c r="O471" s="2"/>
      <c r="P471" s="2"/>
      <c r="Q471" s="2"/>
      <c r="R471" s="2"/>
      <c r="S471" s="2"/>
      <c r="T471" s="2"/>
      <c r="U471" s="2"/>
      <c r="V471" s="2"/>
      <c r="W471" s="2"/>
    </row>
    <row r="472">
      <c r="A472" s="2"/>
      <c r="B472" s="2"/>
      <c r="C472" s="2"/>
      <c r="D472" s="2"/>
      <c r="E472" s="2"/>
      <c r="F472" s="2"/>
      <c r="G472" s="2"/>
      <c r="H472" s="2"/>
      <c r="I472" s="2"/>
      <c r="J472" s="2"/>
      <c r="K472" s="2"/>
      <c r="L472" s="2"/>
      <c r="M472" s="2"/>
      <c r="N472" s="2"/>
      <c r="O472" s="2"/>
      <c r="P472" s="2"/>
      <c r="Q472" s="2"/>
      <c r="R472" s="2"/>
      <c r="S472" s="2"/>
      <c r="T472" s="2"/>
      <c r="U472" s="2"/>
      <c r="V472" s="2"/>
      <c r="W472" s="2"/>
    </row>
    <row r="473">
      <c r="A473" s="2"/>
      <c r="B473" s="2"/>
      <c r="C473" s="2"/>
      <c r="D473" s="2"/>
      <c r="E473" s="2"/>
      <c r="F473" s="2"/>
      <c r="G473" s="2"/>
      <c r="H473" s="2"/>
      <c r="I473" s="2"/>
      <c r="J473" s="2"/>
      <c r="K473" s="2"/>
      <c r="L473" s="2"/>
      <c r="M473" s="2"/>
      <c r="N473" s="2"/>
      <c r="O473" s="2"/>
      <c r="P473" s="2"/>
      <c r="Q473" s="2"/>
      <c r="R473" s="2"/>
      <c r="S473" s="2"/>
      <c r="T473" s="2"/>
      <c r="U473" s="2"/>
      <c r="V473" s="2"/>
      <c r="W473" s="2"/>
    </row>
    <row r="474">
      <c r="A474" s="2"/>
      <c r="B474" s="2"/>
      <c r="C474" s="2"/>
      <c r="D474" s="2"/>
      <c r="E474" s="2"/>
      <c r="F474" s="2"/>
      <c r="G474" s="2"/>
      <c r="H474" s="2"/>
      <c r="I474" s="2"/>
      <c r="J474" s="2"/>
      <c r="K474" s="2"/>
      <c r="L474" s="2"/>
      <c r="M474" s="2"/>
      <c r="N474" s="2"/>
      <c r="O474" s="2"/>
      <c r="P474" s="2"/>
      <c r="Q474" s="2"/>
      <c r="R474" s="2"/>
      <c r="S474" s="2"/>
      <c r="T474" s="2"/>
      <c r="U474" s="2"/>
      <c r="V474" s="2"/>
      <c r="W474" s="2"/>
    </row>
    <row r="475">
      <c r="A475" s="2"/>
      <c r="B475" s="2"/>
      <c r="C475" s="2"/>
      <c r="D475" s="2"/>
      <c r="E475" s="2"/>
      <c r="F475" s="2"/>
      <c r="G475" s="2"/>
      <c r="H475" s="2"/>
      <c r="I475" s="2"/>
      <c r="J475" s="2"/>
      <c r="K475" s="2"/>
      <c r="L475" s="2"/>
      <c r="M475" s="2"/>
      <c r="N475" s="2"/>
      <c r="O475" s="2"/>
      <c r="P475" s="2"/>
      <c r="Q475" s="2"/>
      <c r="R475" s="2"/>
      <c r="S475" s="2"/>
      <c r="T475" s="2"/>
      <c r="U475" s="2"/>
      <c r="V475" s="2"/>
      <c r="W475" s="2"/>
    </row>
    <row r="476">
      <c r="A476" s="2"/>
      <c r="B476" s="2"/>
      <c r="C476" s="2"/>
      <c r="D476" s="2"/>
      <c r="E476" s="2"/>
      <c r="F476" s="2"/>
      <c r="G476" s="2"/>
      <c r="H476" s="2"/>
      <c r="I476" s="2"/>
      <c r="J476" s="2"/>
      <c r="K476" s="2"/>
      <c r="L476" s="2"/>
      <c r="M476" s="2"/>
      <c r="N476" s="2"/>
      <c r="O476" s="2"/>
      <c r="P476" s="2"/>
      <c r="Q476" s="2"/>
      <c r="R476" s="2"/>
      <c r="S476" s="2"/>
      <c r="T476" s="2"/>
      <c r="U476" s="2"/>
      <c r="V476" s="2"/>
      <c r="W476" s="2"/>
    </row>
    <row r="477">
      <c r="A477" s="2"/>
      <c r="B477" s="2"/>
      <c r="C477" s="2"/>
      <c r="D477" s="2"/>
      <c r="E477" s="2"/>
      <c r="F477" s="2"/>
      <c r="G477" s="2"/>
      <c r="H477" s="2"/>
      <c r="I477" s="2"/>
      <c r="J477" s="2"/>
      <c r="K477" s="2"/>
      <c r="L477" s="2"/>
      <c r="M477" s="2"/>
      <c r="N477" s="2"/>
      <c r="O477" s="2"/>
      <c r="P477" s="2"/>
      <c r="Q477" s="2"/>
      <c r="R477" s="2"/>
      <c r="S477" s="2"/>
      <c r="T477" s="2"/>
      <c r="U477" s="2"/>
      <c r="V477" s="2"/>
      <c r="W477" s="2"/>
    </row>
    <row r="478">
      <c r="A478" s="2"/>
      <c r="B478" s="2"/>
      <c r="C478" s="2"/>
      <c r="D478" s="2"/>
      <c r="E478" s="2"/>
      <c r="F478" s="2"/>
      <c r="G478" s="2"/>
      <c r="H478" s="2"/>
      <c r="I478" s="2"/>
      <c r="J478" s="2"/>
      <c r="K478" s="2"/>
      <c r="L478" s="2"/>
      <c r="M478" s="2"/>
      <c r="N478" s="2"/>
      <c r="O478" s="2"/>
      <c r="P478" s="2"/>
      <c r="Q478" s="2"/>
      <c r="R478" s="2"/>
      <c r="S478" s="2"/>
      <c r="T478" s="2"/>
      <c r="U478" s="2"/>
      <c r="V478" s="2"/>
      <c r="W478" s="2"/>
    </row>
    <row r="479">
      <c r="A479" s="2"/>
      <c r="B479" s="2"/>
      <c r="C479" s="2"/>
      <c r="D479" s="2"/>
      <c r="E479" s="2"/>
      <c r="F479" s="2"/>
      <c r="G479" s="2"/>
      <c r="H479" s="2"/>
      <c r="I479" s="2"/>
      <c r="J479" s="2"/>
      <c r="K479" s="2"/>
      <c r="L479" s="2"/>
      <c r="M479" s="2"/>
      <c r="N479" s="2"/>
      <c r="O479" s="2"/>
      <c r="P479" s="2"/>
      <c r="Q479" s="2"/>
      <c r="R479" s="2"/>
      <c r="S479" s="2"/>
      <c r="T479" s="2"/>
      <c r="U479" s="2"/>
      <c r="V479" s="2"/>
      <c r="W479" s="2"/>
    </row>
    <row r="480">
      <c r="A480" s="2"/>
      <c r="B480" s="2"/>
      <c r="C480" s="2"/>
      <c r="D480" s="2"/>
      <c r="E480" s="2"/>
      <c r="F480" s="2"/>
      <c r="G480" s="2"/>
      <c r="H480" s="2"/>
      <c r="I480" s="2"/>
      <c r="J480" s="2"/>
      <c r="K480" s="2"/>
      <c r="L480" s="2"/>
      <c r="M480" s="2"/>
      <c r="N480" s="2"/>
      <c r="O480" s="2"/>
      <c r="P480" s="2"/>
      <c r="Q480" s="2"/>
      <c r="R480" s="2"/>
      <c r="S480" s="2"/>
      <c r="T480" s="2"/>
      <c r="U480" s="2"/>
      <c r="V480" s="2"/>
      <c r="W480" s="2"/>
    </row>
    <row r="481">
      <c r="A481" s="2"/>
      <c r="B481" s="2"/>
      <c r="C481" s="2"/>
      <c r="D481" s="2"/>
      <c r="E481" s="2"/>
      <c r="F481" s="2"/>
      <c r="G481" s="2"/>
      <c r="H481" s="2"/>
      <c r="I481" s="2"/>
      <c r="J481" s="2"/>
      <c r="K481" s="2"/>
      <c r="L481" s="2"/>
      <c r="M481" s="2"/>
      <c r="N481" s="2"/>
      <c r="O481" s="2"/>
      <c r="P481" s="2"/>
      <c r="Q481" s="2"/>
      <c r="R481" s="2"/>
      <c r="S481" s="2"/>
      <c r="T481" s="2"/>
      <c r="U481" s="2"/>
      <c r="V481" s="2"/>
      <c r="W481" s="2"/>
    </row>
    <row r="482">
      <c r="A482" s="2"/>
      <c r="B482" s="2"/>
      <c r="C482" s="2"/>
      <c r="D482" s="2"/>
      <c r="E482" s="2"/>
      <c r="F482" s="2"/>
      <c r="G482" s="2"/>
      <c r="H482" s="2"/>
      <c r="I482" s="2"/>
      <c r="J482" s="2"/>
      <c r="K482" s="2"/>
      <c r="L482" s="2"/>
      <c r="M482" s="2"/>
      <c r="N482" s="2"/>
      <c r="O482" s="2"/>
      <c r="P482" s="2"/>
      <c r="Q482" s="2"/>
      <c r="R482" s="2"/>
      <c r="S482" s="2"/>
      <c r="T482" s="2"/>
      <c r="U482" s="2"/>
      <c r="V482" s="2"/>
      <c r="W482" s="2"/>
    </row>
    <row r="483">
      <c r="A483" s="2"/>
      <c r="B483" s="2"/>
      <c r="C483" s="2"/>
      <c r="D483" s="2"/>
      <c r="E483" s="2"/>
      <c r="F483" s="2"/>
      <c r="G483" s="2"/>
      <c r="H483" s="2"/>
      <c r="I483" s="2"/>
      <c r="J483" s="2"/>
      <c r="K483" s="2"/>
      <c r="L483" s="2"/>
      <c r="M483" s="2"/>
      <c r="N483" s="2"/>
      <c r="O483" s="2"/>
      <c r="P483" s="2"/>
      <c r="Q483" s="2"/>
      <c r="R483" s="2"/>
      <c r="S483" s="2"/>
      <c r="T483" s="2"/>
      <c r="U483" s="2"/>
      <c r="V483" s="2"/>
      <c r="W483" s="2"/>
    </row>
    <row r="484">
      <c r="A484" s="2"/>
      <c r="B484" s="2"/>
      <c r="C484" s="2"/>
      <c r="D484" s="2"/>
      <c r="E484" s="2"/>
      <c r="F484" s="2"/>
      <c r="G484" s="2"/>
      <c r="H484" s="2"/>
      <c r="I484" s="2"/>
      <c r="J484" s="2"/>
      <c r="K484" s="2"/>
      <c r="L484" s="2"/>
      <c r="M484" s="2"/>
      <c r="N484" s="2"/>
      <c r="O484" s="2"/>
      <c r="P484" s="2"/>
      <c r="Q484" s="2"/>
      <c r="R484" s="2"/>
      <c r="S484" s="2"/>
      <c r="T484" s="2"/>
      <c r="U484" s="2"/>
      <c r="V484" s="2"/>
      <c r="W484" s="2"/>
    </row>
    <row r="485">
      <c r="A485" s="2"/>
      <c r="B485" s="2"/>
      <c r="C485" s="2"/>
      <c r="D485" s="2"/>
      <c r="E485" s="2"/>
      <c r="F485" s="2"/>
      <c r="G485" s="2"/>
      <c r="H485" s="2"/>
      <c r="I485" s="2"/>
      <c r="J485" s="2"/>
      <c r="K485" s="2"/>
      <c r="L485" s="2"/>
      <c r="M485" s="2"/>
      <c r="N485" s="2"/>
      <c r="O485" s="2"/>
      <c r="P485" s="2"/>
      <c r="Q485" s="2"/>
      <c r="R485" s="2"/>
      <c r="S485" s="2"/>
      <c r="T485" s="2"/>
      <c r="U485" s="2"/>
      <c r="V485" s="2"/>
      <c r="W485" s="2"/>
    </row>
    <row r="486">
      <c r="A486" s="2"/>
      <c r="B486" s="2"/>
      <c r="C486" s="2"/>
      <c r="D486" s="2"/>
      <c r="E486" s="2"/>
      <c r="F486" s="2"/>
      <c r="G486" s="2"/>
      <c r="H486" s="2"/>
      <c r="I486" s="2"/>
      <c r="J486" s="2"/>
      <c r="K486" s="2"/>
      <c r="L486" s="2"/>
      <c r="M486" s="2"/>
      <c r="N486" s="2"/>
      <c r="O486" s="2"/>
      <c r="P486" s="2"/>
      <c r="Q486" s="2"/>
      <c r="R486" s="2"/>
      <c r="S486" s="2"/>
      <c r="T486" s="2"/>
      <c r="U486" s="2"/>
      <c r="V486" s="2"/>
      <c r="W486" s="2"/>
    </row>
    <row r="487">
      <c r="A487" s="2"/>
      <c r="B487" s="2"/>
      <c r="C487" s="2"/>
      <c r="D487" s="2"/>
      <c r="E487" s="2"/>
      <c r="F487" s="2"/>
      <c r="G487" s="2"/>
      <c r="H487" s="2"/>
      <c r="I487" s="2"/>
      <c r="J487" s="2"/>
      <c r="K487" s="2"/>
      <c r="L487" s="2"/>
      <c r="M487" s="2"/>
      <c r="N487" s="2"/>
      <c r="O487" s="2"/>
      <c r="P487" s="2"/>
      <c r="Q487" s="2"/>
      <c r="R487" s="2"/>
      <c r="S487" s="2"/>
      <c r="T487" s="2"/>
      <c r="U487" s="2"/>
      <c r="V487" s="2"/>
      <c r="W487" s="2"/>
    </row>
    <row r="488">
      <c r="A488" s="2"/>
      <c r="B488" s="2"/>
      <c r="C488" s="2"/>
      <c r="D488" s="2"/>
      <c r="E488" s="2"/>
      <c r="F488" s="2"/>
      <c r="G488" s="2"/>
      <c r="H488" s="2"/>
      <c r="I488" s="2"/>
      <c r="J488" s="2"/>
      <c r="K488" s="2"/>
      <c r="L488" s="2"/>
      <c r="M488" s="2"/>
      <c r="N488" s="2"/>
      <c r="O488" s="2"/>
      <c r="P488" s="2"/>
      <c r="Q488" s="2"/>
      <c r="R488" s="2"/>
      <c r="S488" s="2"/>
      <c r="T488" s="2"/>
      <c r="U488" s="2"/>
      <c r="V488" s="2"/>
      <c r="W488" s="2"/>
    </row>
    <row r="489">
      <c r="A489" s="2"/>
      <c r="B489" s="2"/>
      <c r="C489" s="2"/>
      <c r="D489" s="2"/>
      <c r="E489" s="2"/>
      <c r="F489" s="2"/>
      <c r="G489" s="2"/>
      <c r="H489" s="2"/>
      <c r="I489" s="2"/>
      <c r="J489" s="2"/>
      <c r="K489" s="2"/>
      <c r="L489" s="2"/>
      <c r="M489" s="2"/>
      <c r="N489" s="2"/>
      <c r="O489" s="2"/>
      <c r="P489" s="2"/>
      <c r="Q489" s="2"/>
      <c r="R489" s="2"/>
      <c r="S489" s="2"/>
      <c r="T489" s="2"/>
      <c r="U489" s="2"/>
      <c r="V489" s="2"/>
      <c r="W489" s="2"/>
    </row>
    <row r="490">
      <c r="A490" s="2"/>
      <c r="B490" s="2"/>
      <c r="C490" s="2"/>
      <c r="D490" s="2"/>
      <c r="E490" s="2"/>
      <c r="F490" s="2"/>
      <c r="G490" s="2"/>
      <c r="H490" s="2"/>
      <c r="I490" s="2"/>
      <c r="J490" s="2"/>
      <c r="K490" s="2"/>
      <c r="L490" s="2"/>
      <c r="M490" s="2"/>
      <c r="N490" s="2"/>
      <c r="O490" s="2"/>
      <c r="P490" s="2"/>
      <c r="Q490" s="2"/>
      <c r="R490" s="2"/>
      <c r="S490" s="2"/>
      <c r="T490" s="2"/>
      <c r="U490" s="2"/>
      <c r="V490" s="2"/>
      <c r="W490" s="2"/>
    </row>
    <row r="491">
      <c r="A491" s="2"/>
      <c r="B491" s="2"/>
      <c r="C491" s="2"/>
      <c r="D491" s="2"/>
      <c r="E491" s="2"/>
      <c r="F491" s="2"/>
      <c r="G491" s="2"/>
      <c r="H491" s="2"/>
      <c r="I491" s="2"/>
      <c r="J491" s="2"/>
      <c r="K491" s="2"/>
      <c r="L491" s="2"/>
      <c r="M491" s="2"/>
      <c r="N491" s="2"/>
      <c r="O491" s="2"/>
      <c r="P491" s="2"/>
      <c r="Q491" s="2"/>
      <c r="R491" s="2"/>
      <c r="S491" s="2"/>
      <c r="T491" s="2"/>
      <c r="U491" s="2"/>
      <c r="V491" s="2"/>
      <c r="W491" s="2"/>
    </row>
    <row r="492">
      <c r="A492" s="2"/>
      <c r="B492" s="2"/>
      <c r="C492" s="2"/>
      <c r="D492" s="2"/>
      <c r="E492" s="2"/>
      <c r="F492" s="2"/>
      <c r="G492" s="2"/>
      <c r="H492" s="2"/>
      <c r="I492" s="2"/>
      <c r="J492" s="2"/>
      <c r="K492" s="2"/>
      <c r="L492" s="2"/>
      <c r="M492" s="2"/>
      <c r="N492" s="2"/>
      <c r="O492" s="2"/>
      <c r="P492" s="2"/>
      <c r="Q492" s="2"/>
      <c r="R492" s="2"/>
      <c r="S492" s="2"/>
      <c r="T492" s="2"/>
      <c r="U492" s="2"/>
      <c r="V492" s="2"/>
      <c r="W492" s="2"/>
    </row>
    <row r="493">
      <c r="A493" s="2"/>
      <c r="B493" s="2"/>
      <c r="C493" s="2"/>
      <c r="D493" s="2"/>
      <c r="E493" s="2"/>
      <c r="F493" s="2"/>
      <c r="G493" s="2"/>
      <c r="H493" s="2"/>
      <c r="I493" s="2"/>
      <c r="J493" s="2"/>
      <c r="K493" s="2"/>
      <c r="L493" s="2"/>
      <c r="M493" s="2"/>
      <c r="N493" s="2"/>
      <c r="O493" s="2"/>
      <c r="P493" s="2"/>
      <c r="Q493" s="2"/>
      <c r="R493" s="2"/>
      <c r="S493" s="2"/>
      <c r="T493" s="2"/>
      <c r="U493" s="2"/>
      <c r="V493" s="2"/>
      <c r="W493" s="2"/>
    </row>
    <row r="494">
      <c r="A494" s="2"/>
      <c r="B494" s="2"/>
      <c r="C494" s="2"/>
      <c r="D494" s="2"/>
      <c r="E494" s="2"/>
      <c r="F494" s="2"/>
      <c r="G494" s="2"/>
      <c r="H494" s="2"/>
      <c r="I494" s="2"/>
      <c r="J494" s="2"/>
      <c r="K494" s="2"/>
      <c r="L494" s="2"/>
      <c r="M494" s="2"/>
      <c r="N494" s="2"/>
      <c r="O494" s="2"/>
      <c r="P494" s="2"/>
      <c r="Q494" s="2"/>
      <c r="R494" s="2"/>
      <c r="S494" s="2"/>
      <c r="T494" s="2"/>
      <c r="U494" s="2"/>
      <c r="V494" s="2"/>
      <c r="W494" s="2"/>
    </row>
    <row r="495">
      <c r="A495" s="2"/>
      <c r="B495" s="2"/>
      <c r="C495" s="2"/>
      <c r="D495" s="2"/>
      <c r="E495" s="2"/>
      <c r="F495" s="2"/>
      <c r="G495" s="2"/>
      <c r="H495" s="2"/>
      <c r="I495" s="2"/>
      <c r="J495" s="2"/>
      <c r="K495" s="2"/>
      <c r="L495" s="2"/>
      <c r="M495" s="2"/>
      <c r="N495" s="2"/>
      <c r="O495" s="2"/>
      <c r="P495" s="2"/>
      <c r="Q495" s="2"/>
      <c r="R495" s="2"/>
      <c r="S495" s="2"/>
      <c r="T495" s="2"/>
      <c r="U495" s="2"/>
      <c r="V495" s="2"/>
      <c r="W495" s="2"/>
    </row>
    <row r="496">
      <c r="A496" s="2"/>
      <c r="B496" s="2"/>
      <c r="C496" s="2"/>
      <c r="D496" s="2"/>
      <c r="E496" s="2"/>
      <c r="F496" s="2"/>
      <c r="G496" s="2"/>
      <c r="H496" s="2"/>
      <c r="I496" s="2"/>
      <c r="J496" s="2"/>
      <c r="K496" s="2"/>
      <c r="L496" s="2"/>
      <c r="M496" s="2"/>
      <c r="N496" s="2"/>
      <c r="O496" s="2"/>
      <c r="P496" s="2"/>
      <c r="Q496" s="2"/>
      <c r="R496" s="2"/>
      <c r="S496" s="2"/>
      <c r="T496" s="2"/>
      <c r="U496" s="2"/>
      <c r="V496" s="2"/>
      <c r="W496" s="2"/>
    </row>
    <row r="497">
      <c r="A497" s="2"/>
      <c r="B497" s="2"/>
      <c r="C497" s="2"/>
      <c r="D497" s="2"/>
      <c r="E497" s="2"/>
      <c r="F497" s="2"/>
      <c r="G497" s="2"/>
      <c r="H497" s="2"/>
      <c r="I497" s="2"/>
      <c r="J497" s="2"/>
      <c r="K497" s="2"/>
      <c r="L497" s="2"/>
      <c r="M497" s="2"/>
      <c r="N497" s="2"/>
      <c r="O497" s="2"/>
      <c r="P497" s="2"/>
      <c r="Q497" s="2"/>
      <c r="R497" s="2"/>
      <c r="S497" s="2"/>
      <c r="T497" s="2"/>
      <c r="U497" s="2"/>
      <c r="V497" s="2"/>
      <c r="W497" s="2"/>
    </row>
    <row r="498">
      <c r="A498" s="2"/>
      <c r="B498" s="2"/>
      <c r="C498" s="2"/>
      <c r="D498" s="2"/>
      <c r="E498" s="2"/>
      <c r="F498" s="2"/>
      <c r="G498" s="2"/>
      <c r="H498" s="2"/>
      <c r="I498" s="2"/>
      <c r="J498" s="2"/>
      <c r="K498" s="2"/>
      <c r="L498" s="2"/>
      <c r="M498" s="2"/>
      <c r="N498" s="2"/>
      <c r="O498" s="2"/>
      <c r="P498" s="2"/>
      <c r="Q498" s="2"/>
      <c r="R498" s="2"/>
      <c r="S498" s="2"/>
      <c r="T498" s="2"/>
      <c r="U498" s="2"/>
      <c r="V498" s="2"/>
      <c r="W498" s="2"/>
    </row>
    <row r="499">
      <c r="A499" s="2"/>
      <c r="B499" s="2"/>
      <c r="C499" s="2"/>
      <c r="D499" s="2"/>
      <c r="E499" s="2"/>
      <c r="F499" s="2"/>
      <c r="G499" s="2"/>
      <c r="H499" s="2"/>
      <c r="I499" s="2"/>
      <c r="J499" s="2"/>
      <c r="K499" s="2"/>
      <c r="L499" s="2"/>
      <c r="M499" s="2"/>
      <c r="N499" s="2"/>
      <c r="O499" s="2"/>
      <c r="P499" s="2"/>
      <c r="Q499" s="2"/>
      <c r="R499" s="2"/>
      <c r="S499" s="2"/>
      <c r="T499" s="2"/>
      <c r="U499" s="2"/>
      <c r="V499" s="2"/>
      <c r="W499" s="2"/>
    </row>
    <row r="500">
      <c r="A500" s="2"/>
      <c r="B500" s="2"/>
      <c r="C500" s="2"/>
      <c r="D500" s="2"/>
      <c r="E500" s="2"/>
      <c r="F500" s="2"/>
      <c r="G500" s="2"/>
      <c r="H500" s="2"/>
      <c r="I500" s="2"/>
      <c r="J500" s="2"/>
      <c r="K500" s="2"/>
      <c r="L500" s="2"/>
      <c r="M500" s="2"/>
      <c r="N500" s="2"/>
      <c r="O500" s="2"/>
      <c r="P500" s="2"/>
      <c r="Q500" s="2"/>
      <c r="R500" s="2"/>
      <c r="S500" s="2"/>
      <c r="T500" s="2"/>
      <c r="U500" s="2"/>
      <c r="V500" s="2"/>
      <c r="W500" s="2"/>
    </row>
    <row r="501">
      <c r="A501" s="2"/>
      <c r="B501" s="2"/>
      <c r="C501" s="2"/>
      <c r="D501" s="2"/>
      <c r="E501" s="2"/>
      <c r="F501" s="2"/>
      <c r="G501" s="2"/>
      <c r="H501" s="2"/>
      <c r="I501" s="2"/>
      <c r="J501" s="2"/>
      <c r="K501" s="2"/>
      <c r="L501" s="2"/>
      <c r="M501" s="2"/>
      <c r="N501" s="2"/>
      <c r="O501" s="2"/>
      <c r="P501" s="2"/>
      <c r="Q501" s="2"/>
      <c r="R501" s="2"/>
      <c r="S501" s="2"/>
      <c r="T501" s="2"/>
      <c r="U501" s="2"/>
      <c r="V501" s="2"/>
      <c r="W501" s="2"/>
    </row>
    <row r="502">
      <c r="A502" s="2"/>
      <c r="B502" s="2"/>
      <c r="C502" s="2"/>
      <c r="D502" s="2"/>
      <c r="E502" s="2"/>
      <c r="F502" s="2"/>
      <c r="G502" s="2"/>
      <c r="H502" s="2"/>
      <c r="I502" s="2"/>
      <c r="J502" s="2"/>
      <c r="K502" s="2"/>
      <c r="L502" s="2"/>
      <c r="M502" s="2"/>
      <c r="N502" s="2"/>
      <c r="O502" s="2"/>
      <c r="P502" s="2"/>
      <c r="Q502" s="2"/>
      <c r="R502" s="2"/>
      <c r="S502" s="2"/>
      <c r="T502" s="2"/>
      <c r="U502" s="2"/>
      <c r="V502" s="2"/>
      <c r="W502" s="2"/>
    </row>
    <row r="503">
      <c r="A503" s="2"/>
      <c r="B503" s="2"/>
      <c r="C503" s="2"/>
      <c r="D503" s="2"/>
      <c r="E503" s="2"/>
      <c r="F503" s="2"/>
      <c r="G503" s="2"/>
      <c r="H503" s="2"/>
      <c r="I503" s="2"/>
      <c r="J503" s="2"/>
      <c r="K503" s="2"/>
      <c r="L503" s="2"/>
      <c r="M503" s="2"/>
      <c r="N503" s="2"/>
      <c r="O503" s="2"/>
      <c r="P503" s="2"/>
      <c r="Q503" s="2"/>
      <c r="R503" s="2"/>
      <c r="S503" s="2"/>
      <c r="T503" s="2"/>
      <c r="U503" s="2"/>
      <c r="V503" s="2"/>
      <c r="W503" s="2"/>
    </row>
    <row r="504">
      <c r="A504" s="2"/>
      <c r="B504" s="2"/>
      <c r="C504" s="2"/>
      <c r="D504" s="2"/>
      <c r="E504" s="2"/>
      <c r="F504" s="2"/>
      <c r="G504" s="2"/>
      <c r="H504" s="2"/>
      <c r="I504" s="2"/>
      <c r="J504" s="2"/>
      <c r="K504" s="2"/>
      <c r="L504" s="2"/>
      <c r="M504" s="2"/>
      <c r="N504" s="2"/>
      <c r="O504" s="2"/>
      <c r="P504" s="2"/>
      <c r="Q504" s="2"/>
      <c r="R504" s="2"/>
      <c r="S504" s="2"/>
      <c r="T504" s="2"/>
      <c r="U504" s="2"/>
      <c r="V504" s="2"/>
      <c r="W504" s="2"/>
    </row>
    <row r="505">
      <c r="A505" s="2"/>
      <c r="B505" s="2"/>
      <c r="C505" s="2"/>
      <c r="D505" s="2"/>
      <c r="E505" s="2"/>
      <c r="F505" s="2"/>
      <c r="G505" s="2"/>
      <c r="H505" s="2"/>
      <c r="I505" s="2"/>
      <c r="J505" s="2"/>
      <c r="K505" s="2"/>
      <c r="L505" s="2"/>
      <c r="M505" s="2"/>
      <c r="N505" s="2"/>
      <c r="O505" s="2"/>
      <c r="P505" s="2"/>
      <c r="Q505" s="2"/>
      <c r="R505" s="2"/>
      <c r="S505" s="2"/>
      <c r="T505" s="2"/>
      <c r="U505" s="2"/>
      <c r="V505" s="2"/>
      <c r="W505" s="2"/>
    </row>
    <row r="506">
      <c r="A506" s="2"/>
      <c r="B506" s="2"/>
      <c r="C506" s="2"/>
      <c r="D506" s="2"/>
      <c r="E506" s="2"/>
      <c r="F506" s="2"/>
      <c r="G506" s="2"/>
      <c r="H506" s="2"/>
      <c r="I506" s="2"/>
      <c r="J506" s="2"/>
      <c r="K506" s="2"/>
      <c r="L506" s="2"/>
      <c r="M506" s="2"/>
      <c r="N506" s="2"/>
      <c r="O506" s="2"/>
      <c r="P506" s="2"/>
      <c r="Q506" s="2"/>
      <c r="R506" s="2"/>
      <c r="S506" s="2"/>
      <c r="T506" s="2"/>
      <c r="U506" s="2"/>
      <c r="V506" s="2"/>
      <c r="W506" s="2"/>
    </row>
    <row r="507">
      <c r="A507" s="2"/>
      <c r="B507" s="2"/>
      <c r="C507" s="2"/>
      <c r="D507" s="2"/>
      <c r="E507" s="2"/>
      <c r="F507" s="2"/>
      <c r="G507" s="2"/>
      <c r="H507" s="2"/>
      <c r="I507" s="2"/>
      <c r="J507" s="2"/>
      <c r="K507" s="2"/>
      <c r="L507" s="2"/>
      <c r="M507" s="2"/>
      <c r="N507" s="2"/>
      <c r="O507" s="2"/>
      <c r="P507" s="2"/>
      <c r="Q507" s="2"/>
      <c r="R507" s="2"/>
      <c r="S507" s="2"/>
      <c r="T507" s="2"/>
      <c r="U507" s="2"/>
      <c r="V507" s="2"/>
      <c r="W507" s="2"/>
    </row>
    <row r="508">
      <c r="A508" s="2"/>
      <c r="B508" s="2"/>
      <c r="C508" s="2"/>
      <c r="D508" s="2"/>
      <c r="E508" s="2"/>
      <c r="F508" s="2"/>
      <c r="G508" s="2"/>
      <c r="H508" s="2"/>
      <c r="I508" s="2"/>
      <c r="J508" s="2"/>
      <c r="K508" s="2"/>
      <c r="L508" s="2"/>
      <c r="M508" s="2"/>
      <c r="N508" s="2"/>
      <c r="O508" s="2"/>
      <c r="P508" s="2"/>
      <c r="Q508" s="2"/>
      <c r="R508" s="2"/>
      <c r="S508" s="2"/>
      <c r="T508" s="2"/>
      <c r="U508" s="2"/>
      <c r="V508" s="2"/>
      <c r="W508" s="2"/>
    </row>
    <row r="509">
      <c r="A509" s="2"/>
      <c r="B509" s="2"/>
      <c r="C509" s="2"/>
      <c r="D509" s="2"/>
      <c r="E509" s="2"/>
      <c r="F509" s="2"/>
      <c r="G509" s="2"/>
      <c r="H509" s="2"/>
      <c r="I509" s="2"/>
      <c r="J509" s="2"/>
      <c r="K509" s="2"/>
      <c r="L509" s="2"/>
      <c r="M509" s="2"/>
      <c r="N509" s="2"/>
      <c r="O509" s="2"/>
      <c r="P509" s="2"/>
      <c r="Q509" s="2"/>
      <c r="R509" s="2"/>
      <c r="S509" s="2"/>
      <c r="T509" s="2"/>
      <c r="U509" s="2"/>
      <c r="V509" s="2"/>
      <c r="W509" s="2"/>
    </row>
    <row r="510">
      <c r="A510" s="2"/>
      <c r="B510" s="2"/>
      <c r="C510" s="2"/>
      <c r="D510" s="2"/>
      <c r="E510" s="2"/>
      <c r="F510" s="2"/>
      <c r="G510" s="2"/>
      <c r="H510" s="2"/>
      <c r="I510" s="2"/>
      <c r="J510" s="2"/>
      <c r="K510" s="2"/>
      <c r="L510" s="2"/>
      <c r="M510" s="2"/>
      <c r="N510" s="2"/>
      <c r="O510" s="2"/>
      <c r="P510" s="2"/>
      <c r="Q510" s="2"/>
      <c r="R510" s="2"/>
      <c r="S510" s="2"/>
      <c r="T510" s="2"/>
      <c r="U510" s="2"/>
      <c r="V510" s="2"/>
      <c r="W510" s="2"/>
    </row>
    <row r="511">
      <c r="A511" s="2"/>
      <c r="B511" s="2"/>
      <c r="C511" s="2"/>
      <c r="D511" s="2"/>
      <c r="E511" s="2"/>
      <c r="F511" s="2"/>
      <c r="G511" s="2"/>
      <c r="H511" s="2"/>
      <c r="I511" s="2"/>
      <c r="J511" s="2"/>
      <c r="K511" s="2"/>
      <c r="L511" s="2"/>
      <c r="M511" s="2"/>
      <c r="N511" s="2"/>
      <c r="O511" s="2"/>
      <c r="P511" s="2"/>
      <c r="Q511" s="2"/>
      <c r="R511" s="2"/>
      <c r="S511" s="2"/>
      <c r="T511" s="2"/>
      <c r="U511" s="2"/>
      <c r="V511" s="2"/>
      <c r="W511" s="2"/>
    </row>
    <row r="512">
      <c r="A512" s="2"/>
      <c r="B512" s="2"/>
      <c r="C512" s="2"/>
      <c r="D512" s="2"/>
      <c r="E512" s="2"/>
      <c r="F512" s="2"/>
      <c r="G512" s="2"/>
      <c r="H512" s="2"/>
      <c r="I512" s="2"/>
      <c r="J512" s="2"/>
      <c r="K512" s="2"/>
      <c r="L512" s="2"/>
      <c r="M512" s="2"/>
      <c r="N512" s="2"/>
      <c r="O512" s="2"/>
      <c r="P512" s="2"/>
      <c r="Q512" s="2"/>
      <c r="R512" s="2"/>
      <c r="S512" s="2"/>
      <c r="T512" s="2"/>
      <c r="U512" s="2"/>
      <c r="V512" s="2"/>
      <c r="W512" s="2"/>
    </row>
    <row r="513">
      <c r="A513" s="2"/>
      <c r="B513" s="2"/>
      <c r="C513" s="2"/>
      <c r="D513" s="2"/>
      <c r="E513" s="2"/>
      <c r="F513" s="2"/>
      <c r="G513" s="2"/>
      <c r="H513" s="2"/>
      <c r="I513" s="2"/>
      <c r="J513" s="2"/>
      <c r="K513" s="2"/>
      <c r="L513" s="2"/>
      <c r="M513" s="2"/>
      <c r="N513" s="2"/>
      <c r="O513" s="2"/>
      <c r="P513" s="2"/>
      <c r="Q513" s="2"/>
      <c r="R513" s="2"/>
      <c r="S513" s="2"/>
      <c r="T513" s="2"/>
      <c r="U513" s="2"/>
      <c r="V513" s="2"/>
      <c r="W513" s="2"/>
    </row>
    <row r="514">
      <c r="A514" s="2"/>
      <c r="B514" s="2"/>
      <c r="C514" s="2"/>
      <c r="D514" s="2"/>
      <c r="E514" s="2"/>
      <c r="F514" s="2"/>
      <c r="G514" s="2"/>
      <c r="H514" s="2"/>
      <c r="I514" s="2"/>
      <c r="J514" s="2"/>
      <c r="K514" s="2"/>
      <c r="L514" s="2"/>
      <c r="M514" s="2"/>
      <c r="N514" s="2"/>
      <c r="O514" s="2"/>
      <c r="P514" s="2"/>
      <c r="Q514" s="2"/>
      <c r="R514" s="2"/>
      <c r="S514" s="2"/>
      <c r="T514" s="2"/>
      <c r="U514" s="2"/>
      <c r="V514" s="2"/>
      <c r="W514" s="2"/>
    </row>
    <row r="515">
      <c r="A515" s="2"/>
      <c r="B515" s="2"/>
      <c r="C515" s="2"/>
      <c r="D515" s="2"/>
      <c r="E515" s="2"/>
      <c r="F515" s="2"/>
      <c r="G515" s="2"/>
      <c r="H515" s="2"/>
      <c r="I515" s="2"/>
      <c r="J515" s="2"/>
      <c r="K515" s="2"/>
      <c r="L515" s="2"/>
      <c r="M515" s="2"/>
      <c r="N515" s="2"/>
      <c r="O515" s="2"/>
      <c r="P515" s="2"/>
      <c r="Q515" s="2"/>
      <c r="R515" s="2"/>
      <c r="S515" s="2"/>
      <c r="T515" s="2"/>
      <c r="U515" s="2"/>
      <c r="V515" s="2"/>
      <c r="W515" s="2"/>
    </row>
    <row r="516">
      <c r="A516" s="2"/>
      <c r="B516" s="2"/>
      <c r="C516" s="2"/>
      <c r="D516" s="2"/>
      <c r="E516" s="2"/>
      <c r="F516" s="2"/>
      <c r="G516" s="2"/>
      <c r="H516" s="2"/>
      <c r="I516" s="2"/>
      <c r="J516" s="2"/>
      <c r="K516" s="2"/>
      <c r="L516" s="2"/>
      <c r="M516" s="2"/>
      <c r="N516" s="2"/>
      <c r="O516" s="2"/>
      <c r="P516" s="2"/>
      <c r="Q516" s="2"/>
      <c r="R516" s="2"/>
      <c r="S516" s="2"/>
      <c r="T516" s="2"/>
      <c r="U516" s="2"/>
      <c r="V516" s="2"/>
      <c r="W516" s="2"/>
    </row>
    <row r="517">
      <c r="A517" s="2"/>
      <c r="B517" s="2"/>
      <c r="C517" s="2"/>
      <c r="D517" s="2"/>
      <c r="E517" s="2"/>
      <c r="F517" s="2"/>
      <c r="G517" s="2"/>
      <c r="H517" s="2"/>
      <c r="I517" s="2"/>
      <c r="J517" s="2"/>
      <c r="K517" s="2"/>
      <c r="L517" s="2"/>
      <c r="M517" s="2"/>
      <c r="N517" s="2"/>
      <c r="O517" s="2"/>
      <c r="P517" s="2"/>
      <c r="Q517" s="2"/>
      <c r="R517" s="2"/>
      <c r="S517" s="2"/>
      <c r="T517" s="2"/>
      <c r="U517" s="2"/>
      <c r="V517" s="2"/>
      <c r="W517" s="2"/>
    </row>
    <row r="518">
      <c r="A518" s="2"/>
      <c r="B518" s="2"/>
      <c r="C518" s="2"/>
      <c r="D518" s="2"/>
      <c r="E518" s="2"/>
      <c r="F518" s="2"/>
      <c r="G518" s="2"/>
      <c r="H518" s="2"/>
      <c r="I518" s="2"/>
      <c r="J518" s="2"/>
      <c r="K518" s="2"/>
      <c r="L518" s="2"/>
      <c r="M518" s="2"/>
      <c r="N518" s="2"/>
      <c r="O518" s="2"/>
      <c r="P518" s="2"/>
      <c r="Q518" s="2"/>
      <c r="R518" s="2"/>
      <c r="S518" s="2"/>
      <c r="T518" s="2"/>
      <c r="U518" s="2"/>
      <c r="V518" s="2"/>
      <c r="W518" s="2"/>
    </row>
    <row r="519">
      <c r="A519" s="2"/>
      <c r="B519" s="2"/>
      <c r="C519" s="2"/>
      <c r="D519" s="2"/>
      <c r="E519" s="2"/>
      <c r="F519" s="2"/>
      <c r="G519" s="2"/>
      <c r="H519" s="2"/>
      <c r="I519" s="2"/>
      <c r="J519" s="2"/>
      <c r="K519" s="2"/>
      <c r="L519" s="2"/>
      <c r="M519" s="2"/>
      <c r="N519" s="2"/>
      <c r="O519" s="2"/>
      <c r="P519" s="2"/>
      <c r="Q519" s="2"/>
      <c r="R519" s="2"/>
      <c r="S519" s="2"/>
      <c r="T519" s="2"/>
      <c r="U519" s="2"/>
      <c r="V519" s="2"/>
      <c r="W519" s="2"/>
    </row>
    <row r="520">
      <c r="A520" s="2"/>
      <c r="B520" s="2"/>
      <c r="C520" s="2"/>
      <c r="D520" s="2"/>
      <c r="E520" s="2"/>
      <c r="F520" s="2"/>
      <c r="G520" s="2"/>
      <c r="H520" s="2"/>
      <c r="I520" s="2"/>
      <c r="J520" s="2"/>
      <c r="K520" s="2"/>
      <c r="L520" s="2"/>
      <c r="M520" s="2"/>
      <c r="N520" s="2"/>
      <c r="O520" s="2"/>
      <c r="P520" s="2"/>
      <c r="Q520" s="2"/>
      <c r="R520" s="2"/>
      <c r="S520" s="2"/>
      <c r="T520" s="2"/>
      <c r="U520" s="2"/>
      <c r="V520" s="2"/>
      <c r="W520" s="2"/>
    </row>
    <row r="521">
      <c r="A521" s="2"/>
      <c r="B521" s="2"/>
      <c r="C521" s="2"/>
      <c r="D521" s="2"/>
      <c r="E521" s="2"/>
      <c r="F521" s="2"/>
      <c r="G521" s="2"/>
      <c r="H521" s="2"/>
      <c r="I521" s="2"/>
      <c r="J521" s="2"/>
      <c r="K521" s="2"/>
      <c r="L521" s="2"/>
      <c r="M521" s="2"/>
      <c r="N521" s="2"/>
      <c r="O521" s="2"/>
      <c r="P521" s="2"/>
      <c r="Q521" s="2"/>
      <c r="R521" s="2"/>
      <c r="S521" s="2"/>
      <c r="T521" s="2"/>
      <c r="U521" s="2"/>
      <c r="V521" s="2"/>
      <c r="W521" s="2"/>
    </row>
    <row r="522">
      <c r="A522" s="2"/>
      <c r="B522" s="2"/>
      <c r="C522" s="2"/>
      <c r="D522" s="2"/>
      <c r="E522" s="2"/>
      <c r="F522" s="2"/>
      <c r="G522" s="2"/>
      <c r="H522" s="2"/>
      <c r="I522" s="2"/>
      <c r="J522" s="2"/>
      <c r="K522" s="2"/>
      <c r="L522" s="2"/>
      <c r="M522" s="2"/>
      <c r="N522" s="2"/>
      <c r="O522" s="2"/>
      <c r="P522" s="2"/>
      <c r="Q522" s="2"/>
      <c r="R522" s="2"/>
      <c r="S522" s="2"/>
      <c r="T522" s="2"/>
      <c r="U522" s="2"/>
      <c r="V522" s="2"/>
      <c r="W522" s="2"/>
    </row>
    <row r="523">
      <c r="A523" s="2"/>
      <c r="B523" s="2"/>
      <c r="C523" s="2"/>
      <c r="D523" s="2"/>
      <c r="E523" s="2"/>
      <c r="F523" s="2"/>
      <c r="G523" s="2"/>
      <c r="H523" s="2"/>
      <c r="I523" s="2"/>
      <c r="J523" s="2"/>
      <c r="K523" s="2"/>
      <c r="L523" s="2"/>
      <c r="M523" s="2"/>
      <c r="N523" s="2"/>
      <c r="O523" s="2"/>
      <c r="P523" s="2"/>
      <c r="Q523" s="2"/>
      <c r="R523" s="2"/>
      <c r="S523" s="2"/>
      <c r="T523" s="2"/>
      <c r="U523" s="2"/>
      <c r="V523" s="2"/>
      <c r="W523" s="2"/>
    </row>
    <row r="524">
      <c r="A524" s="2"/>
      <c r="B524" s="2"/>
      <c r="C524" s="2"/>
      <c r="D524" s="2"/>
      <c r="E524" s="2"/>
      <c r="F524" s="2"/>
      <c r="G524" s="2"/>
      <c r="H524" s="2"/>
      <c r="I524" s="2"/>
      <c r="J524" s="2"/>
      <c r="K524" s="2"/>
      <c r="L524" s="2"/>
      <c r="M524" s="2"/>
      <c r="N524" s="2"/>
      <c r="O524" s="2"/>
      <c r="P524" s="2"/>
      <c r="Q524" s="2"/>
      <c r="R524" s="2"/>
      <c r="S524" s="2"/>
      <c r="T524" s="2"/>
      <c r="U524" s="2"/>
      <c r="V524" s="2"/>
      <c r="W524" s="2"/>
    </row>
    <row r="525">
      <c r="A525" s="2"/>
      <c r="B525" s="2"/>
      <c r="C525" s="2"/>
      <c r="D525" s="2"/>
      <c r="E525" s="2"/>
      <c r="F525" s="2"/>
      <c r="G525" s="2"/>
      <c r="H525" s="2"/>
      <c r="I525" s="2"/>
      <c r="J525" s="2"/>
      <c r="K525" s="2"/>
      <c r="L525" s="2"/>
      <c r="M525" s="2"/>
      <c r="N525" s="2"/>
      <c r="O525" s="2"/>
      <c r="P525" s="2"/>
      <c r="Q525" s="2"/>
      <c r="R525" s="2"/>
      <c r="S525" s="2"/>
      <c r="T525" s="2"/>
      <c r="U525" s="2"/>
      <c r="V525" s="2"/>
      <c r="W525" s="2"/>
    </row>
    <row r="526">
      <c r="A526" s="2"/>
      <c r="B526" s="2"/>
      <c r="C526" s="2"/>
      <c r="D526" s="2"/>
      <c r="E526" s="2"/>
      <c r="F526" s="2"/>
      <c r="G526" s="2"/>
      <c r="H526" s="2"/>
      <c r="I526" s="2"/>
      <c r="J526" s="2"/>
      <c r="K526" s="2"/>
      <c r="L526" s="2"/>
      <c r="M526" s="2"/>
      <c r="N526" s="2"/>
      <c r="O526" s="2"/>
      <c r="P526" s="2"/>
      <c r="Q526" s="2"/>
      <c r="R526" s="2"/>
      <c r="S526" s="2"/>
      <c r="T526" s="2"/>
      <c r="U526" s="2"/>
      <c r="V526" s="2"/>
      <c r="W526" s="2"/>
    </row>
    <row r="527">
      <c r="A527" s="2"/>
      <c r="B527" s="2"/>
      <c r="C527" s="2"/>
      <c r="D527" s="2"/>
      <c r="E527" s="2"/>
      <c r="F527" s="2"/>
      <c r="G527" s="2"/>
      <c r="H527" s="2"/>
      <c r="I527" s="2"/>
      <c r="J527" s="2"/>
      <c r="K527" s="2"/>
      <c r="L527" s="2"/>
      <c r="M527" s="2"/>
      <c r="N527" s="2"/>
      <c r="O527" s="2"/>
      <c r="P527" s="2"/>
      <c r="Q527" s="2"/>
      <c r="R527" s="2"/>
      <c r="S527" s="2"/>
      <c r="T527" s="2"/>
      <c r="U527" s="2"/>
      <c r="V527" s="2"/>
      <c r="W527" s="2"/>
    </row>
    <row r="528">
      <c r="A528" s="2"/>
      <c r="B528" s="2"/>
      <c r="C528" s="2"/>
      <c r="D528" s="2"/>
      <c r="E528" s="2"/>
      <c r="F528" s="2"/>
      <c r="G528" s="2"/>
      <c r="H528" s="2"/>
      <c r="I528" s="2"/>
      <c r="J528" s="2"/>
      <c r="K528" s="2"/>
      <c r="L528" s="2"/>
      <c r="M528" s="2"/>
      <c r="N528" s="2"/>
      <c r="O528" s="2"/>
      <c r="P528" s="2"/>
      <c r="Q528" s="2"/>
      <c r="R528" s="2"/>
      <c r="S528" s="2"/>
      <c r="T528" s="2"/>
      <c r="U528" s="2"/>
      <c r="V528" s="2"/>
      <c r="W528" s="2"/>
    </row>
    <row r="529">
      <c r="A529" s="2"/>
      <c r="B529" s="2"/>
      <c r="C529" s="2"/>
      <c r="D529" s="2"/>
      <c r="E529" s="2"/>
      <c r="F529" s="2"/>
      <c r="G529" s="2"/>
      <c r="H529" s="2"/>
      <c r="I529" s="2"/>
      <c r="J529" s="2"/>
      <c r="K529" s="2"/>
      <c r="L529" s="2"/>
      <c r="M529" s="2"/>
      <c r="N529" s="2"/>
      <c r="O529" s="2"/>
      <c r="P529" s="2"/>
      <c r="Q529" s="2"/>
      <c r="R529" s="2"/>
      <c r="S529" s="2"/>
      <c r="T529" s="2"/>
      <c r="U529" s="2"/>
      <c r="V529" s="2"/>
      <c r="W529" s="2"/>
    </row>
    <row r="530">
      <c r="A530" s="2"/>
      <c r="B530" s="2"/>
      <c r="C530" s="2"/>
      <c r="D530" s="2"/>
      <c r="E530" s="2"/>
      <c r="F530" s="2"/>
      <c r="G530" s="2"/>
      <c r="H530" s="2"/>
      <c r="I530" s="2"/>
      <c r="J530" s="2"/>
      <c r="K530" s="2"/>
      <c r="L530" s="2"/>
      <c r="M530" s="2"/>
      <c r="N530" s="2"/>
      <c r="O530" s="2"/>
      <c r="P530" s="2"/>
      <c r="Q530" s="2"/>
      <c r="R530" s="2"/>
      <c r="S530" s="2"/>
      <c r="T530" s="2"/>
      <c r="U530" s="2"/>
      <c r="V530" s="2"/>
      <c r="W530" s="2"/>
    </row>
    <row r="531">
      <c r="A531" s="2"/>
      <c r="B531" s="2"/>
      <c r="C531" s="2"/>
      <c r="D531" s="2"/>
      <c r="E531" s="2"/>
      <c r="F531" s="2"/>
      <c r="G531" s="2"/>
      <c r="H531" s="2"/>
      <c r="I531" s="2"/>
      <c r="J531" s="2"/>
      <c r="K531" s="2"/>
      <c r="L531" s="2"/>
      <c r="M531" s="2"/>
      <c r="N531" s="2"/>
      <c r="O531" s="2"/>
      <c r="P531" s="2"/>
      <c r="Q531" s="2"/>
      <c r="R531" s="2"/>
      <c r="S531" s="2"/>
      <c r="T531" s="2"/>
      <c r="U531" s="2"/>
      <c r="V531" s="2"/>
      <c r="W531" s="2"/>
    </row>
    <row r="532">
      <c r="A532" s="2"/>
      <c r="B532" s="2"/>
      <c r="C532" s="2"/>
      <c r="D532" s="2"/>
      <c r="E532" s="2"/>
      <c r="F532" s="2"/>
      <c r="G532" s="2"/>
      <c r="H532" s="2"/>
      <c r="I532" s="2"/>
      <c r="J532" s="2"/>
      <c r="K532" s="2"/>
      <c r="L532" s="2"/>
      <c r="M532" s="2"/>
      <c r="N532" s="2"/>
      <c r="O532" s="2"/>
      <c r="P532" s="2"/>
      <c r="Q532" s="2"/>
      <c r="R532" s="2"/>
      <c r="S532" s="2"/>
      <c r="T532" s="2"/>
      <c r="U532" s="2"/>
      <c r="V532" s="2"/>
      <c r="W532" s="2"/>
    </row>
    <row r="533">
      <c r="A533" s="2"/>
      <c r="B533" s="2"/>
      <c r="C533" s="2"/>
      <c r="D533" s="2"/>
      <c r="E533" s="2"/>
      <c r="F533" s="2"/>
      <c r="G533" s="2"/>
      <c r="H533" s="2"/>
      <c r="I533" s="2"/>
      <c r="J533" s="2"/>
      <c r="K533" s="2"/>
      <c r="L533" s="2"/>
      <c r="M533" s="2"/>
      <c r="N533" s="2"/>
      <c r="O533" s="2"/>
      <c r="P533" s="2"/>
      <c r="Q533" s="2"/>
      <c r="R533" s="2"/>
      <c r="S533" s="2"/>
      <c r="T533" s="2"/>
      <c r="U533" s="2"/>
      <c r="V533" s="2"/>
      <c r="W533" s="2"/>
    </row>
    <row r="534">
      <c r="A534" s="2"/>
      <c r="B534" s="2"/>
      <c r="C534" s="2"/>
      <c r="D534" s="2"/>
      <c r="E534" s="2"/>
      <c r="F534" s="2"/>
      <c r="G534" s="2"/>
      <c r="H534" s="2"/>
      <c r="I534" s="2"/>
      <c r="J534" s="2"/>
      <c r="K534" s="2"/>
      <c r="L534" s="2"/>
      <c r="M534" s="2"/>
      <c r="N534" s="2"/>
      <c r="O534" s="2"/>
      <c r="P534" s="2"/>
      <c r="Q534" s="2"/>
      <c r="R534" s="2"/>
      <c r="S534" s="2"/>
      <c r="T534" s="2"/>
      <c r="U534" s="2"/>
      <c r="V534" s="2"/>
      <c r="W534" s="2"/>
    </row>
    <row r="535">
      <c r="A535" s="2"/>
      <c r="B535" s="2"/>
      <c r="C535" s="2"/>
      <c r="D535" s="2"/>
      <c r="E535" s="2"/>
      <c r="F535" s="2"/>
      <c r="G535" s="2"/>
      <c r="H535" s="2"/>
      <c r="I535" s="2"/>
      <c r="J535" s="2"/>
      <c r="K535" s="2"/>
      <c r="L535" s="2"/>
      <c r="M535" s="2"/>
      <c r="N535" s="2"/>
      <c r="O535" s="2"/>
      <c r="P535" s="2"/>
      <c r="Q535" s="2"/>
      <c r="R535" s="2"/>
      <c r="S535" s="2"/>
      <c r="T535" s="2"/>
      <c r="U535" s="2"/>
      <c r="V535" s="2"/>
      <c r="W535" s="2"/>
    </row>
    <row r="536">
      <c r="A536" s="2"/>
      <c r="B536" s="2"/>
      <c r="C536" s="2"/>
      <c r="D536" s="2"/>
      <c r="E536" s="2"/>
      <c r="F536" s="2"/>
      <c r="G536" s="2"/>
      <c r="H536" s="2"/>
      <c r="I536" s="2"/>
      <c r="J536" s="2"/>
      <c r="K536" s="2"/>
      <c r="L536" s="2"/>
      <c r="M536" s="2"/>
      <c r="N536" s="2"/>
      <c r="O536" s="2"/>
      <c r="P536" s="2"/>
      <c r="Q536" s="2"/>
      <c r="R536" s="2"/>
      <c r="S536" s="2"/>
      <c r="T536" s="2"/>
      <c r="U536" s="2"/>
      <c r="V536" s="2"/>
      <c r="W536" s="2"/>
    </row>
    <row r="537">
      <c r="A537" s="2"/>
      <c r="B537" s="2"/>
      <c r="C537" s="2"/>
      <c r="D537" s="2"/>
      <c r="E537" s="2"/>
      <c r="F537" s="2"/>
      <c r="G537" s="2"/>
      <c r="H537" s="2"/>
      <c r="I537" s="2"/>
      <c r="J537" s="2"/>
      <c r="K537" s="2"/>
      <c r="L537" s="2"/>
      <c r="M537" s="2"/>
      <c r="N537" s="2"/>
      <c r="O537" s="2"/>
      <c r="P537" s="2"/>
      <c r="Q537" s="2"/>
      <c r="R537" s="2"/>
      <c r="S537" s="2"/>
      <c r="T537" s="2"/>
      <c r="U537" s="2"/>
      <c r="V537" s="2"/>
      <c r="W537" s="2"/>
    </row>
    <row r="538">
      <c r="A538" s="2"/>
      <c r="B538" s="2"/>
      <c r="C538" s="2"/>
      <c r="D538" s="2"/>
      <c r="E538" s="2"/>
      <c r="F538" s="2"/>
      <c r="G538" s="2"/>
      <c r="H538" s="2"/>
      <c r="I538" s="2"/>
      <c r="J538" s="2"/>
      <c r="K538" s="2"/>
      <c r="L538" s="2"/>
      <c r="M538" s="2"/>
      <c r="N538" s="2"/>
      <c r="O538" s="2"/>
      <c r="P538" s="2"/>
      <c r="Q538" s="2"/>
      <c r="R538" s="2"/>
      <c r="S538" s="2"/>
      <c r="T538" s="2"/>
      <c r="U538" s="2"/>
      <c r="V538" s="2"/>
      <c r="W538" s="2"/>
    </row>
    <row r="539">
      <c r="A539" s="2"/>
      <c r="B539" s="2"/>
      <c r="C539" s="2"/>
      <c r="D539" s="2"/>
      <c r="E539" s="2"/>
      <c r="F539" s="2"/>
      <c r="G539" s="2"/>
      <c r="H539" s="2"/>
      <c r="I539" s="2"/>
      <c r="J539" s="2"/>
      <c r="K539" s="2"/>
      <c r="L539" s="2"/>
      <c r="M539" s="2"/>
      <c r="N539" s="2"/>
      <c r="O539" s="2"/>
      <c r="P539" s="2"/>
      <c r="Q539" s="2"/>
      <c r="R539" s="2"/>
      <c r="S539" s="2"/>
      <c r="T539" s="2"/>
      <c r="U539" s="2"/>
      <c r="V539" s="2"/>
      <c r="W539" s="2"/>
    </row>
    <row r="540">
      <c r="A540" s="2"/>
      <c r="B540" s="2"/>
      <c r="C540" s="2"/>
      <c r="D540" s="2"/>
      <c r="E540" s="2"/>
      <c r="F540" s="2"/>
      <c r="G540" s="2"/>
      <c r="H540" s="2"/>
      <c r="I540" s="2"/>
      <c r="J540" s="2"/>
      <c r="K540" s="2"/>
      <c r="L540" s="2"/>
      <c r="M540" s="2"/>
      <c r="N540" s="2"/>
      <c r="O540" s="2"/>
      <c r="P540" s="2"/>
      <c r="Q540" s="2"/>
      <c r="R540" s="2"/>
      <c r="S540" s="2"/>
      <c r="T540" s="2"/>
      <c r="U540" s="2"/>
      <c r="V540" s="2"/>
      <c r="W540" s="2"/>
    </row>
    <row r="541">
      <c r="A541" s="2"/>
      <c r="B541" s="2"/>
      <c r="C541" s="2"/>
      <c r="D541" s="2"/>
      <c r="E541" s="2"/>
      <c r="F541" s="2"/>
      <c r="G541" s="2"/>
      <c r="H541" s="2"/>
      <c r="I541" s="2"/>
      <c r="J541" s="2"/>
      <c r="K541" s="2"/>
      <c r="L541" s="2"/>
      <c r="M541" s="2"/>
      <c r="N541" s="2"/>
      <c r="O541" s="2"/>
      <c r="P541" s="2"/>
      <c r="Q541" s="2"/>
      <c r="R541" s="2"/>
      <c r="S541" s="2"/>
      <c r="T541" s="2"/>
      <c r="U541" s="2"/>
      <c r="V541" s="2"/>
      <c r="W541" s="2"/>
    </row>
    <row r="542">
      <c r="A542" s="2"/>
      <c r="B542" s="2"/>
      <c r="C542" s="2"/>
      <c r="D542" s="2"/>
      <c r="E542" s="2"/>
      <c r="F542" s="2"/>
      <c r="G542" s="2"/>
      <c r="H542" s="2"/>
      <c r="I542" s="2"/>
      <c r="J542" s="2"/>
      <c r="K542" s="2"/>
      <c r="L542" s="2"/>
      <c r="M542" s="2"/>
      <c r="N542" s="2"/>
      <c r="O542" s="2"/>
      <c r="P542" s="2"/>
      <c r="Q542" s="2"/>
      <c r="R542" s="2"/>
      <c r="S542" s="2"/>
      <c r="T542" s="2"/>
      <c r="U542" s="2"/>
      <c r="V542" s="2"/>
      <c r="W542" s="2"/>
    </row>
    <row r="543">
      <c r="A543" s="2"/>
      <c r="B543" s="2"/>
      <c r="C543" s="2"/>
      <c r="D543" s="2"/>
      <c r="E543" s="2"/>
      <c r="F543" s="2"/>
      <c r="G543" s="2"/>
      <c r="H543" s="2"/>
      <c r="I543" s="2"/>
      <c r="J543" s="2"/>
      <c r="K543" s="2"/>
      <c r="L543" s="2"/>
      <c r="M543" s="2"/>
      <c r="N543" s="2"/>
      <c r="O543" s="2"/>
      <c r="P543" s="2"/>
      <c r="Q543" s="2"/>
      <c r="R543" s="2"/>
      <c r="S543" s="2"/>
      <c r="T543" s="2"/>
      <c r="U543" s="2"/>
      <c r="V543" s="2"/>
      <c r="W543" s="2"/>
    </row>
    <row r="544">
      <c r="A544" s="2"/>
      <c r="B544" s="2"/>
      <c r="C544" s="2"/>
      <c r="D544" s="2"/>
      <c r="E544" s="2"/>
      <c r="F544" s="2"/>
      <c r="G544" s="2"/>
      <c r="H544" s="2"/>
      <c r="I544" s="2"/>
      <c r="J544" s="2"/>
      <c r="K544" s="2"/>
      <c r="L544" s="2"/>
      <c r="M544" s="2"/>
      <c r="N544" s="2"/>
      <c r="O544" s="2"/>
      <c r="P544" s="2"/>
      <c r="Q544" s="2"/>
      <c r="R544" s="2"/>
      <c r="S544" s="2"/>
      <c r="T544" s="2"/>
      <c r="U544" s="2"/>
      <c r="V544" s="2"/>
      <c r="W544" s="2"/>
    </row>
    <row r="545">
      <c r="A545" s="2"/>
      <c r="B545" s="2"/>
      <c r="C545" s="2"/>
      <c r="D545" s="2"/>
      <c r="E545" s="2"/>
      <c r="F545" s="2"/>
      <c r="G545" s="2"/>
      <c r="H545" s="2"/>
      <c r="I545" s="2"/>
      <c r="J545" s="2"/>
      <c r="K545" s="2"/>
      <c r="L545" s="2"/>
      <c r="M545" s="2"/>
      <c r="N545" s="2"/>
      <c r="O545" s="2"/>
      <c r="P545" s="2"/>
      <c r="Q545" s="2"/>
      <c r="R545" s="2"/>
      <c r="S545" s="2"/>
      <c r="T545" s="2"/>
      <c r="U545" s="2"/>
      <c r="V545" s="2"/>
      <c r="W545" s="2"/>
    </row>
    <row r="546">
      <c r="A546" s="2"/>
      <c r="B546" s="2"/>
      <c r="C546" s="2"/>
      <c r="D546" s="2"/>
      <c r="E546" s="2"/>
      <c r="F546" s="2"/>
      <c r="G546" s="2"/>
      <c r="H546" s="2"/>
      <c r="I546" s="2"/>
      <c r="J546" s="2"/>
      <c r="K546" s="2"/>
      <c r="L546" s="2"/>
      <c r="M546" s="2"/>
      <c r="N546" s="2"/>
      <c r="O546" s="2"/>
      <c r="P546" s="2"/>
      <c r="Q546" s="2"/>
      <c r="R546" s="2"/>
      <c r="S546" s="2"/>
      <c r="T546" s="2"/>
      <c r="U546" s="2"/>
      <c r="V546" s="2"/>
      <c r="W546" s="2"/>
    </row>
    <row r="547">
      <c r="A547" s="2"/>
      <c r="B547" s="2"/>
      <c r="C547" s="2"/>
      <c r="D547" s="2"/>
      <c r="E547" s="2"/>
      <c r="F547" s="2"/>
      <c r="G547" s="2"/>
      <c r="H547" s="2"/>
      <c r="I547" s="2"/>
      <c r="J547" s="2"/>
      <c r="K547" s="2"/>
      <c r="L547" s="2"/>
      <c r="M547" s="2"/>
      <c r="N547" s="2"/>
      <c r="O547" s="2"/>
      <c r="P547" s="2"/>
      <c r="Q547" s="2"/>
      <c r="R547" s="2"/>
      <c r="S547" s="2"/>
      <c r="T547" s="2"/>
      <c r="U547" s="2"/>
      <c r="V547" s="2"/>
      <c r="W547" s="2"/>
    </row>
    <row r="548">
      <c r="A548" s="2"/>
      <c r="B548" s="2"/>
      <c r="C548" s="2"/>
      <c r="D548" s="2"/>
      <c r="E548" s="2"/>
      <c r="F548" s="2"/>
      <c r="G548" s="2"/>
      <c r="H548" s="2"/>
      <c r="I548" s="2"/>
      <c r="J548" s="2"/>
      <c r="K548" s="2"/>
      <c r="L548" s="2"/>
      <c r="M548" s="2"/>
      <c r="N548" s="2"/>
      <c r="O548" s="2"/>
      <c r="P548" s="2"/>
      <c r="Q548" s="2"/>
      <c r="R548" s="2"/>
      <c r="S548" s="2"/>
      <c r="T548" s="2"/>
      <c r="U548" s="2"/>
      <c r="V548" s="2"/>
      <c r="W548" s="2"/>
    </row>
    <row r="549">
      <c r="A549" s="2"/>
      <c r="B549" s="2"/>
      <c r="C549" s="2"/>
      <c r="D549" s="2"/>
      <c r="E549" s="2"/>
      <c r="F549" s="2"/>
      <c r="G549" s="2"/>
      <c r="H549" s="2"/>
      <c r="I549" s="2"/>
      <c r="J549" s="2"/>
      <c r="K549" s="2"/>
      <c r="L549" s="2"/>
      <c r="M549" s="2"/>
      <c r="N549" s="2"/>
      <c r="O549" s="2"/>
      <c r="P549" s="2"/>
      <c r="Q549" s="2"/>
      <c r="R549" s="2"/>
      <c r="S549" s="2"/>
      <c r="T549" s="2"/>
      <c r="U549" s="2"/>
      <c r="V549" s="2"/>
      <c r="W549" s="2"/>
    </row>
    <row r="550">
      <c r="A550" s="2"/>
      <c r="B550" s="2"/>
      <c r="C550" s="2"/>
      <c r="D550" s="2"/>
      <c r="E550" s="2"/>
      <c r="F550" s="2"/>
      <c r="G550" s="2"/>
      <c r="H550" s="2"/>
      <c r="I550" s="2"/>
      <c r="J550" s="2"/>
      <c r="K550" s="2"/>
      <c r="L550" s="2"/>
      <c r="M550" s="2"/>
      <c r="N550" s="2"/>
      <c r="O550" s="2"/>
      <c r="P550" s="2"/>
      <c r="Q550" s="2"/>
      <c r="R550" s="2"/>
      <c r="S550" s="2"/>
      <c r="T550" s="2"/>
      <c r="U550" s="2"/>
      <c r="V550" s="2"/>
      <c r="W550" s="2"/>
    </row>
    <row r="551">
      <c r="A551" s="2"/>
      <c r="B551" s="2"/>
      <c r="C551" s="2"/>
      <c r="D551" s="2"/>
      <c r="E551" s="2"/>
      <c r="F551" s="2"/>
      <c r="G551" s="2"/>
      <c r="H551" s="2"/>
      <c r="I551" s="2"/>
      <c r="J551" s="2"/>
      <c r="K551" s="2"/>
      <c r="L551" s="2"/>
      <c r="M551" s="2"/>
      <c r="N551" s="2"/>
      <c r="O551" s="2"/>
      <c r="P551" s="2"/>
      <c r="Q551" s="2"/>
      <c r="R551" s="2"/>
      <c r="S551" s="2"/>
      <c r="T551" s="2"/>
      <c r="U551" s="2"/>
      <c r="V551" s="2"/>
      <c r="W551" s="2"/>
    </row>
    <row r="552">
      <c r="A552" s="2"/>
      <c r="B552" s="2"/>
      <c r="C552" s="2"/>
      <c r="D552" s="2"/>
      <c r="E552" s="2"/>
      <c r="F552" s="2"/>
      <c r="G552" s="2"/>
      <c r="H552" s="2"/>
      <c r="I552" s="2"/>
      <c r="J552" s="2"/>
      <c r="K552" s="2"/>
      <c r="L552" s="2"/>
      <c r="M552" s="2"/>
      <c r="N552" s="2"/>
      <c r="O552" s="2"/>
      <c r="P552" s="2"/>
      <c r="Q552" s="2"/>
      <c r="R552" s="2"/>
      <c r="S552" s="2"/>
      <c r="T552" s="2"/>
      <c r="U552" s="2"/>
      <c r="V552" s="2"/>
      <c r="W552" s="2"/>
    </row>
    <row r="553">
      <c r="A553" s="2"/>
      <c r="B553" s="2"/>
      <c r="C553" s="2"/>
      <c r="D553" s="2"/>
      <c r="E553" s="2"/>
      <c r="F553" s="2"/>
      <c r="G553" s="2"/>
      <c r="H553" s="2"/>
      <c r="I553" s="2"/>
      <c r="J553" s="2"/>
      <c r="K553" s="2"/>
      <c r="L553" s="2"/>
      <c r="M553" s="2"/>
      <c r="N553" s="2"/>
      <c r="O553" s="2"/>
      <c r="P553" s="2"/>
      <c r="Q553" s="2"/>
      <c r="R553" s="2"/>
      <c r="S553" s="2"/>
      <c r="T553" s="2"/>
      <c r="U553" s="2"/>
      <c r="V553" s="2"/>
      <c r="W553" s="2"/>
    </row>
    <row r="554">
      <c r="A554" s="2"/>
      <c r="B554" s="2"/>
      <c r="C554" s="2"/>
      <c r="D554" s="2"/>
      <c r="E554" s="2"/>
      <c r="F554" s="2"/>
      <c r="G554" s="2"/>
      <c r="H554" s="2"/>
      <c r="I554" s="2"/>
      <c r="J554" s="2"/>
      <c r="K554" s="2"/>
      <c r="L554" s="2"/>
      <c r="M554" s="2"/>
      <c r="N554" s="2"/>
      <c r="O554" s="2"/>
      <c r="P554" s="2"/>
      <c r="Q554" s="2"/>
      <c r="R554" s="2"/>
      <c r="S554" s="2"/>
      <c r="T554" s="2"/>
      <c r="U554" s="2"/>
      <c r="V554" s="2"/>
      <c r="W554" s="2"/>
    </row>
    <row r="555">
      <c r="A555" s="2"/>
      <c r="B555" s="2"/>
      <c r="C555" s="2"/>
      <c r="D555" s="2"/>
      <c r="E555" s="2"/>
      <c r="F555" s="2"/>
      <c r="G555" s="2"/>
      <c r="H555" s="2"/>
      <c r="I555" s="2"/>
      <c r="J555" s="2"/>
      <c r="K555" s="2"/>
      <c r="L555" s="2"/>
      <c r="M555" s="2"/>
      <c r="N555" s="2"/>
      <c r="O555" s="2"/>
      <c r="P555" s="2"/>
      <c r="Q555" s="2"/>
      <c r="R555" s="2"/>
      <c r="S555" s="2"/>
      <c r="T555" s="2"/>
      <c r="U555" s="2"/>
      <c r="V555" s="2"/>
      <c r="W555" s="2"/>
    </row>
    <row r="556">
      <c r="A556" s="2"/>
      <c r="B556" s="2"/>
      <c r="C556" s="2"/>
      <c r="D556" s="2"/>
      <c r="E556" s="2"/>
      <c r="F556" s="2"/>
      <c r="G556" s="2"/>
      <c r="H556" s="2"/>
      <c r="I556" s="2"/>
      <c r="J556" s="2"/>
      <c r="K556" s="2"/>
      <c r="L556" s="2"/>
      <c r="M556" s="2"/>
      <c r="N556" s="2"/>
      <c r="O556" s="2"/>
      <c r="P556" s="2"/>
      <c r="Q556" s="2"/>
      <c r="R556" s="2"/>
      <c r="S556" s="2"/>
      <c r="T556" s="2"/>
      <c r="U556" s="2"/>
      <c r="V556" s="2"/>
      <c r="W556" s="2"/>
    </row>
    <row r="557">
      <c r="A557" s="2"/>
      <c r="B557" s="2"/>
      <c r="C557" s="2"/>
      <c r="D557" s="2"/>
      <c r="E557" s="2"/>
      <c r="F557" s="2"/>
      <c r="G557" s="2"/>
      <c r="H557" s="2"/>
      <c r="I557" s="2"/>
      <c r="J557" s="2"/>
      <c r="K557" s="2"/>
      <c r="L557" s="2"/>
      <c r="M557" s="2"/>
      <c r="N557" s="2"/>
      <c r="O557" s="2"/>
      <c r="P557" s="2"/>
      <c r="Q557" s="2"/>
      <c r="R557" s="2"/>
      <c r="S557" s="2"/>
      <c r="T557" s="2"/>
      <c r="U557" s="2"/>
      <c r="V557" s="2"/>
      <c r="W557" s="2"/>
    </row>
    <row r="558">
      <c r="A558" s="2"/>
      <c r="B558" s="2"/>
      <c r="C558" s="2"/>
      <c r="D558" s="2"/>
      <c r="E558" s="2"/>
      <c r="F558" s="2"/>
      <c r="G558" s="2"/>
      <c r="H558" s="2"/>
      <c r="I558" s="2"/>
      <c r="J558" s="2"/>
      <c r="K558" s="2"/>
      <c r="L558" s="2"/>
      <c r="M558" s="2"/>
      <c r="N558" s="2"/>
      <c r="O558" s="2"/>
      <c r="P558" s="2"/>
      <c r="Q558" s="2"/>
      <c r="R558" s="2"/>
      <c r="S558" s="2"/>
      <c r="T558" s="2"/>
      <c r="U558" s="2"/>
      <c r="V558" s="2"/>
      <c r="W558" s="2"/>
    </row>
    <row r="559">
      <c r="A559" s="2"/>
      <c r="B559" s="2"/>
      <c r="C559" s="2"/>
      <c r="D559" s="2"/>
      <c r="E559" s="2"/>
      <c r="F559" s="2"/>
      <c r="G559" s="2"/>
      <c r="H559" s="2"/>
      <c r="I559" s="2"/>
      <c r="J559" s="2"/>
      <c r="K559" s="2"/>
      <c r="L559" s="2"/>
      <c r="M559" s="2"/>
      <c r="N559" s="2"/>
      <c r="O559" s="2"/>
      <c r="P559" s="2"/>
      <c r="Q559" s="2"/>
      <c r="R559" s="2"/>
      <c r="S559" s="2"/>
      <c r="T559" s="2"/>
      <c r="U559" s="2"/>
      <c r="V559" s="2"/>
      <c r="W559" s="2"/>
    </row>
    <row r="560">
      <c r="A560" s="2"/>
      <c r="B560" s="2"/>
      <c r="C560" s="2"/>
      <c r="D560" s="2"/>
      <c r="E560" s="2"/>
      <c r="F560" s="2"/>
      <c r="G560" s="2"/>
      <c r="H560" s="2"/>
      <c r="I560" s="2"/>
      <c r="J560" s="2"/>
      <c r="K560" s="2"/>
      <c r="L560" s="2"/>
      <c r="M560" s="2"/>
      <c r="N560" s="2"/>
      <c r="O560" s="2"/>
      <c r="P560" s="2"/>
      <c r="Q560" s="2"/>
      <c r="R560" s="2"/>
      <c r="S560" s="2"/>
      <c r="T560" s="2"/>
      <c r="U560" s="2"/>
      <c r="V560" s="2"/>
      <c r="W560" s="2"/>
    </row>
    <row r="561">
      <c r="A561" s="2"/>
      <c r="B561" s="2"/>
      <c r="C561" s="2"/>
      <c r="D561" s="2"/>
      <c r="E561" s="2"/>
      <c r="F561" s="2"/>
      <c r="G561" s="2"/>
      <c r="H561" s="2"/>
      <c r="I561" s="2"/>
      <c r="J561" s="2"/>
      <c r="K561" s="2"/>
      <c r="L561" s="2"/>
      <c r="M561" s="2"/>
      <c r="N561" s="2"/>
      <c r="O561" s="2"/>
      <c r="P561" s="2"/>
      <c r="Q561" s="2"/>
      <c r="R561" s="2"/>
      <c r="S561" s="2"/>
      <c r="T561" s="2"/>
      <c r="U561" s="2"/>
      <c r="V561" s="2"/>
      <c r="W561" s="2"/>
    </row>
    <row r="562">
      <c r="A562" s="2"/>
      <c r="B562" s="2"/>
      <c r="C562" s="2"/>
      <c r="D562" s="2"/>
      <c r="E562" s="2"/>
      <c r="F562" s="2"/>
      <c r="G562" s="2"/>
      <c r="H562" s="2"/>
      <c r="I562" s="2"/>
      <c r="J562" s="2"/>
      <c r="K562" s="2"/>
      <c r="L562" s="2"/>
      <c r="M562" s="2"/>
      <c r="N562" s="2"/>
      <c r="O562" s="2"/>
      <c r="P562" s="2"/>
      <c r="Q562" s="2"/>
      <c r="R562" s="2"/>
      <c r="S562" s="2"/>
      <c r="T562" s="2"/>
      <c r="U562" s="2"/>
      <c r="V562" s="2"/>
      <c r="W562" s="2"/>
    </row>
    <row r="563">
      <c r="A563" s="2"/>
      <c r="B563" s="2"/>
      <c r="C563" s="2"/>
      <c r="D563" s="2"/>
      <c r="E563" s="2"/>
      <c r="F563" s="2"/>
      <c r="G563" s="2"/>
      <c r="H563" s="2"/>
      <c r="I563" s="2"/>
      <c r="J563" s="2"/>
      <c r="K563" s="2"/>
      <c r="L563" s="2"/>
      <c r="M563" s="2"/>
      <c r="N563" s="2"/>
      <c r="O563" s="2"/>
      <c r="P563" s="2"/>
      <c r="Q563" s="2"/>
      <c r="R563" s="2"/>
      <c r="S563" s="2"/>
      <c r="T563" s="2"/>
      <c r="U563" s="2"/>
      <c r="V563" s="2"/>
      <c r="W563" s="2"/>
    </row>
    <row r="564">
      <c r="A564" s="2"/>
      <c r="B564" s="2"/>
      <c r="C564" s="2"/>
      <c r="D564" s="2"/>
      <c r="E564" s="2"/>
      <c r="F564" s="2"/>
      <c r="G564" s="2"/>
      <c r="H564" s="2"/>
      <c r="I564" s="2"/>
      <c r="J564" s="2"/>
      <c r="K564" s="2"/>
      <c r="L564" s="2"/>
      <c r="M564" s="2"/>
      <c r="N564" s="2"/>
      <c r="O564" s="2"/>
      <c r="P564" s="2"/>
      <c r="Q564" s="2"/>
      <c r="R564" s="2"/>
      <c r="S564" s="2"/>
      <c r="T564" s="2"/>
      <c r="U564" s="2"/>
      <c r="V564" s="2"/>
      <c r="W564" s="2"/>
    </row>
    <row r="565">
      <c r="A565" s="2"/>
      <c r="B565" s="2"/>
      <c r="C565" s="2"/>
      <c r="D565" s="2"/>
      <c r="E565" s="2"/>
      <c r="F565" s="2"/>
      <c r="G565" s="2"/>
      <c r="H565" s="2"/>
      <c r="I565" s="2"/>
      <c r="J565" s="2"/>
      <c r="K565" s="2"/>
      <c r="L565" s="2"/>
      <c r="M565" s="2"/>
      <c r="N565" s="2"/>
      <c r="O565" s="2"/>
      <c r="P565" s="2"/>
      <c r="Q565" s="2"/>
      <c r="R565" s="2"/>
      <c r="S565" s="2"/>
      <c r="T565" s="2"/>
      <c r="U565" s="2"/>
      <c r="V565" s="2"/>
      <c r="W565" s="2"/>
    </row>
    <row r="566">
      <c r="A566" s="2"/>
      <c r="B566" s="2"/>
      <c r="C566" s="2"/>
      <c r="D566" s="2"/>
      <c r="E566" s="2"/>
      <c r="F566" s="2"/>
      <c r="G566" s="2"/>
      <c r="H566" s="2"/>
      <c r="I566" s="2"/>
      <c r="J566" s="2"/>
      <c r="K566" s="2"/>
      <c r="L566" s="2"/>
      <c r="M566" s="2"/>
      <c r="N566" s="2"/>
      <c r="O566" s="2"/>
      <c r="P566" s="2"/>
      <c r="Q566" s="2"/>
      <c r="R566" s="2"/>
      <c r="S566" s="2"/>
      <c r="T566" s="2"/>
      <c r="U566" s="2"/>
      <c r="V566" s="2"/>
      <c r="W566" s="2"/>
    </row>
    <row r="567">
      <c r="A567" s="2"/>
      <c r="B567" s="2"/>
      <c r="C567" s="2"/>
      <c r="D567" s="2"/>
      <c r="E567" s="2"/>
      <c r="F567" s="2"/>
      <c r="G567" s="2"/>
      <c r="H567" s="2"/>
      <c r="I567" s="2"/>
      <c r="J567" s="2"/>
      <c r="K567" s="2"/>
      <c r="L567" s="2"/>
      <c r="M567" s="2"/>
      <c r="N567" s="2"/>
      <c r="O567" s="2"/>
      <c r="P567" s="2"/>
      <c r="Q567" s="2"/>
      <c r="R567" s="2"/>
      <c r="S567" s="2"/>
      <c r="T567" s="2"/>
      <c r="U567" s="2"/>
      <c r="V567" s="2"/>
      <c r="W567" s="2"/>
    </row>
    <row r="568">
      <c r="A568" s="2"/>
      <c r="B568" s="2"/>
      <c r="C568" s="2"/>
      <c r="D568" s="2"/>
      <c r="E568" s="2"/>
      <c r="F568" s="2"/>
      <c r="G568" s="2"/>
      <c r="H568" s="2"/>
      <c r="I568" s="2"/>
      <c r="J568" s="2"/>
      <c r="K568" s="2"/>
      <c r="L568" s="2"/>
      <c r="M568" s="2"/>
      <c r="N568" s="2"/>
      <c r="O568" s="2"/>
      <c r="P568" s="2"/>
      <c r="Q568" s="2"/>
      <c r="R568" s="2"/>
      <c r="S568" s="2"/>
      <c r="T568" s="2"/>
      <c r="U568" s="2"/>
      <c r="V568" s="2"/>
      <c r="W568" s="2"/>
    </row>
    <row r="569">
      <c r="A569" s="2"/>
      <c r="B569" s="2"/>
      <c r="C569" s="2"/>
      <c r="D569" s="2"/>
      <c r="E569" s="2"/>
      <c r="F569" s="2"/>
      <c r="G569" s="2"/>
      <c r="H569" s="2"/>
      <c r="I569" s="2"/>
      <c r="J569" s="2"/>
      <c r="K569" s="2"/>
      <c r="L569" s="2"/>
      <c r="M569" s="2"/>
      <c r="N569" s="2"/>
      <c r="O569" s="2"/>
      <c r="P569" s="2"/>
      <c r="Q569" s="2"/>
      <c r="R569" s="2"/>
      <c r="S569" s="2"/>
      <c r="T569" s="2"/>
      <c r="U569" s="2"/>
      <c r="V569" s="2"/>
      <c r="W569" s="2"/>
    </row>
    <row r="570">
      <c r="A570" s="2"/>
      <c r="B570" s="2"/>
      <c r="C570" s="2"/>
      <c r="D570" s="2"/>
      <c r="E570" s="2"/>
      <c r="F570" s="2"/>
      <c r="G570" s="2"/>
      <c r="H570" s="2"/>
      <c r="I570" s="2"/>
      <c r="J570" s="2"/>
      <c r="K570" s="2"/>
      <c r="L570" s="2"/>
      <c r="M570" s="2"/>
      <c r="N570" s="2"/>
      <c r="O570" s="2"/>
      <c r="P570" s="2"/>
      <c r="Q570" s="2"/>
      <c r="R570" s="2"/>
      <c r="S570" s="2"/>
      <c r="T570" s="2"/>
      <c r="U570" s="2"/>
      <c r="V570" s="2"/>
      <c r="W570" s="2"/>
    </row>
    <row r="571">
      <c r="A571" s="2"/>
      <c r="B571" s="2"/>
      <c r="C571" s="2"/>
      <c r="D571" s="2"/>
      <c r="E571" s="2"/>
      <c r="F571" s="2"/>
      <c r="G571" s="2"/>
      <c r="H571" s="2"/>
      <c r="I571" s="2"/>
      <c r="J571" s="2"/>
      <c r="K571" s="2"/>
      <c r="L571" s="2"/>
      <c r="M571" s="2"/>
      <c r="N571" s="2"/>
      <c r="O571" s="2"/>
      <c r="P571" s="2"/>
      <c r="Q571" s="2"/>
      <c r="R571" s="2"/>
      <c r="S571" s="2"/>
      <c r="T571" s="2"/>
      <c r="U571" s="2"/>
      <c r="V571" s="2"/>
      <c r="W571" s="2"/>
    </row>
    <row r="572">
      <c r="A572" s="2"/>
      <c r="B572" s="2"/>
      <c r="C572" s="2"/>
      <c r="D572" s="2"/>
      <c r="E572" s="2"/>
      <c r="F572" s="2"/>
      <c r="G572" s="2"/>
      <c r="H572" s="2"/>
      <c r="I572" s="2"/>
      <c r="J572" s="2"/>
      <c r="K572" s="2"/>
      <c r="L572" s="2"/>
      <c r="M572" s="2"/>
      <c r="N572" s="2"/>
      <c r="O572" s="2"/>
      <c r="P572" s="2"/>
      <c r="Q572" s="2"/>
      <c r="R572" s="2"/>
      <c r="S572" s="2"/>
      <c r="T572" s="2"/>
      <c r="U572" s="2"/>
      <c r="V572" s="2"/>
      <c r="W572" s="2"/>
    </row>
    <row r="573">
      <c r="A573" s="2"/>
      <c r="B573" s="2"/>
      <c r="C573" s="2"/>
      <c r="D573" s="2"/>
      <c r="E573" s="2"/>
      <c r="F573" s="2"/>
      <c r="G573" s="2"/>
      <c r="H573" s="2"/>
      <c r="I573" s="2"/>
      <c r="J573" s="2"/>
      <c r="K573" s="2"/>
      <c r="L573" s="2"/>
      <c r="M573" s="2"/>
      <c r="N573" s="2"/>
      <c r="O573" s="2"/>
      <c r="P573" s="2"/>
      <c r="Q573" s="2"/>
      <c r="R573" s="2"/>
      <c r="S573" s="2"/>
      <c r="T573" s="2"/>
      <c r="U573" s="2"/>
      <c r="V573" s="2"/>
      <c r="W573" s="2"/>
    </row>
    <row r="574">
      <c r="A574" s="2"/>
      <c r="B574" s="2"/>
      <c r="C574" s="2"/>
      <c r="D574" s="2"/>
      <c r="E574" s="2"/>
      <c r="F574" s="2"/>
      <c r="G574" s="2"/>
      <c r="H574" s="2"/>
      <c r="I574" s="2"/>
      <c r="J574" s="2"/>
      <c r="K574" s="2"/>
      <c r="L574" s="2"/>
      <c r="M574" s="2"/>
      <c r="N574" s="2"/>
      <c r="O574" s="2"/>
      <c r="P574" s="2"/>
      <c r="Q574" s="2"/>
      <c r="R574" s="2"/>
      <c r="S574" s="2"/>
      <c r="T574" s="2"/>
      <c r="U574" s="2"/>
      <c r="V574" s="2"/>
      <c r="W574" s="2"/>
    </row>
    <row r="575">
      <c r="A575" s="2"/>
      <c r="B575" s="2"/>
      <c r="C575" s="2"/>
      <c r="D575" s="2"/>
      <c r="E575" s="2"/>
      <c r="F575" s="2"/>
      <c r="G575" s="2"/>
      <c r="H575" s="2"/>
      <c r="I575" s="2"/>
      <c r="J575" s="2"/>
      <c r="K575" s="2"/>
      <c r="L575" s="2"/>
      <c r="M575" s="2"/>
      <c r="N575" s="2"/>
      <c r="O575" s="2"/>
      <c r="P575" s="2"/>
      <c r="Q575" s="2"/>
      <c r="R575" s="2"/>
      <c r="S575" s="2"/>
      <c r="T575" s="2"/>
      <c r="U575" s="2"/>
      <c r="V575" s="2"/>
      <c r="W575" s="2"/>
    </row>
    <row r="576">
      <c r="A576" s="2"/>
      <c r="B576" s="2"/>
      <c r="C576" s="2"/>
      <c r="D576" s="2"/>
      <c r="E576" s="2"/>
      <c r="F576" s="2"/>
      <c r="G576" s="2"/>
      <c r="H576" s="2"/>
      <c r="I576" s="2"/>
      <c r="J576" s="2"/>
      <c r="K576" s="2"/>
      <c r="L576" s="2"/>
      <c r="M576" s="2"/>
      <c r="N576" s="2"/>
      <c r="O576" s="2"/>
      <c r="P576" s="2"/>
      <c r="Q576" s="2"/>
      <c r="R576" s="2"/>
      <c r="S576" s="2"/>
      <c r="T576" s="2"/>
      <c r="U576" s="2"/>
      <c r="V576" s="2"/>
      <c r="W576" s="2"/>
    </row>
    <row r="577">
      <c r="A577" s="2"/>
      <c r="B577" s="2"/>
      <c r="C577" s="2"/>
      <c r="D577" s="2"/>
      <c r="E577" s="2"/>
      <c r="F577" s="2"/>
      <c r="G577" s="2"/>
      <c r="H577" s="2"/>
      <c r="I577" s="2"/>
      <c r="J577" s="2"/>
      <c r="K577" s="2"/>
      <c r="L577" s="2"/>
      <c r="M577" s="2"/>
      <c r="N577" s="2"/>
      <c r="O577" s="2"/>
      <c r="P577" s="2"/>
      <c r="Q577" s="2"/>
      <c r="R577" s="2"/>
      <c r="S577" s="2"/>
      <c r="T577" s="2"/>
      <c r="U577" s="2"/>
      <c r="V577" s="2"/>
      <c r="W577" s="2"/>
    </row>
    <row r="578">
      <c r="A578" s="2"/>
      <c r="B578" s="2"/>
      <c r="C578" s="2"/>
      <c r="D578" s="2"/>
      <c r="E578" s="2"/>
      <c r="F578" s="2"/>
      <c r="G578" s="2"/>
      <c r="H578" s="2"/>
      <c r="I578" s="2"/>
      <c r="J578" s="2"/>
      <c r="K578" s="2"/>
      <c r="L578" s="2"/>
      <c r="M578" s="2"/>
      <c r="N578" s="2"/>
      <c r="O578" s="2"/>
      <c r="P578" s="2"/>
      <c r="Q578" s="2"/>
      <c r="R578" s="2"/>
      <c r="S578" s="2"/>
      <c r="T578" s="2"/>
      <c r="U578" s="2"/>
      <c r="V578" s="2"/>
      <c r="W578" s="2"/>
    </row>
    <row r="579">
      <c r="A579" s="2"/>
      <c r="B579" s="2"/>
      <c r="C579" s="2"/>
      <c r="D579" s="2"/>
      <c r="E579" s="2"/>
      <c r="F579" s="2"/>
      <c r="G579" s="2"/>
      <c r="H579" s="2"/>
      <c r="I579" s="2"/>
      <c r="J579" s="2"/>
      <c r="K579" s="2"/>
      <c r="L579" s="2"/>
      <c r="M579" s="2"/>
      <c r="N579" s="2"/>
      <c r="O579" s="2"/>
      <c r="P579" s="2"/>
      <c r="Q579" s="2"/>
      <c r="R579" s="2"/>
      <c r="S579" s="2"/>
      <c r="T579" s="2"/>
      <c r="U579" s="2"/>
      <c r="V579" s="2"/>
      <c r="W579" s="2"/>
    </row>
    <row r="580">
      <c r="A580" s="2"/>
      <c r="B580" s="2"/>
      <c r="C580" s="2"/>
      <c r="D580" s="2"/>
      <c r="E580" s="2"/>
      <c r="F580" s="2"/>
      <c r="G580" s="2"/>
      <c r="H580" s="2"/>
      <c r="I580" s="2"/>
      <c r="J580" s="2"/>
      <c r="K580" s="2"/>
      <c r="L580" s="2"/>
      <c r="M580" s="2"/>
      <c r="N580" s="2"/>
      <c r="O580" s="2"/>
      <c r="P580" s="2"/>
      <c r="Q580" s="2"/>
      <c r="R580" s="2"/>
      <c r="S580" s="2"/>
      <c r="T580" s="2"/>
      <c r="U580" s="2"/>
      <c r="V580" s="2"/>
      <c r="W580" s="2"/>
    </row>
    <row r="581">
      <c r="A581" s="2"/>
      <c r="B581" s="2"/>
      <c r="C581" s="2"/>
      <c r="D581" s="2"/>
      <c r="E581" s="2"/>
      <c r="F581" s="2"/>
      <c r="G581" s="2"/>
      <c r="H581" s="2"/>
      <c r="I581" s="2"/>
      <c r="J581" s="2"/>
      <c r="K581" s="2"/>
      <c r="L581" s="2"/>
      <c r="M581" s="2"/>
      <c r="N581" s="2"/>
      <c r="O581" s="2"/>
      <c r="P581" s="2"/>
      <c r="Q581" s="2"/>
      <c r="R581" s="2"/>
      <c r="S581" s="2"/>
      <c r="T581" s="2"/>
      <c r="U581" s="2"/>
      <c r="V581" s="2"/>
      <c r="W581" s="2"/>
    </row>
    <row r="582">
      <c r="A582" s="2"/>
      <c r="B582" s="2"/>
      <c r="C582" s="2"/>
      <c r="D582" s="2"/>
      <c r="E582" s="2"/>
      <c r="F582" s="2"/>
      <c r="G582" s="2"/>
      <c r="H582" s="2"/>
      <c r="I582" s="2"/>
      <c r="J582" s="2"/>
      <c r="K582" s="2"/>
      <c r="L582" s="2"/>
      <c r="M582" s="2"/>
      <c r="N582" s="2"/>
      <c r="O582" s="2"/>
      <c r="P582" s="2"/>
      <c r="Q582" s="2"/>
      <c r="R582" s="2"/>
      <c r="S582" s="2"/>
      <c r="T582" s="2"/>
      <c r="U582" s="2"/>
      <c r="V582" s="2"/>
      <c r="W582" s="2"/>
    </row>
    <row r="583">
      <c r="A583" s="2"/>
      <c r="B583" s="2"/>
      <c r="C583" s="2"/>
      <c r="D583" s="2"/>
      <c r="E583" s="2"/>
      <c r="F583" s="2"/>
      <c r="G583" s="2"/>
      <c r="H583" s="2"/>
      <c r="I583" s="2"/>
      <c r="J583" s="2"/>
      <c r="K583" s="2"/>
      <c r="L583" s="2"/>
      <c r="M583" s="2"/>
      <c r="N583" s="2"/>
      <c r="O583" s="2"/>
      <c r="P583" s="2"/>
      <c r="Q583" s="2"/>
      <c r="R583" s="2"/>
      <c r="S583" s="2"/>
      <c r="T583" s="2"/>
      <c r="U583" s="2"/>
      <c r="V583" s="2"/>
      <c r="W583" s="2"/>
    </row>
    <row r="584">
      <c r="A584" s="2"/>
      <c r="B584" s="2"/>
      <c r="C584" s="2"/>
      <c r="D584" s="2"/>
      <c r="E584" s="2"/>
      <c r="F584" s="2"/>
      <c r="G584" s="2"/>
      <c r="H584" s="2"/>
      <c r="I584" s="2"/>
      <c r="J584" s="2"/>
      <c r="K584" s="2"/>
      <c r="L584" s="2"/>
      <c r="M584" s="2"/>
      <c r="N584" s="2"/>
      <c r="O584" s="2"/>
      <c r="P584" s="2"/>
      <c r="Q584" s="2"/>
      <c r="R584" s="2"/>
      <c r="S584" s="2"/>
      <c r="T584" s="2"/>
      <c r="U584" s="2"/>
      <c r="V584" s="2"/>
      <c r="W584" s="2"/>
    </row>
    <row r="585">
      <c r="A585" s="2"/>
      <c r="B585" s="2"/>
      <c r="C585" s="2"/>
      <c r="D585" s="2"/>
      <c r="E585" s="2"/>
      <c r="F585" s="2"/>
      <c r="G585" s="2"/>
      <c r="H585" s="2"/>
      <c r="I585" s="2"/>
      <c r="J585" s="2"/>
      <c r="K585" s="2"/>
      <c r="L585" s="2"/>
      <c r="M585" s="2"/>
      <c r="N585" s="2"/>
      <c r="O585" s="2"/>
      <c r="P585" s="2"/>
      <c r="Q585" s="2"/>
      <c r="R585" s="2"/>
      <c r="S585" s="2"/>
      <c r="T585" s="2"/>
      <c r="U585" s="2"/>
      <c r="V585" s="2"/>
      <c r="W585" s="2"/>
    </row>
    <row r="586">
      <c r="A586" s="2"/>
      <c r="B586" s="2"/>
      <c r="C586" s="2"/>
      <c r="D586" s="2"/>
      <c r="E586" s="2"/>
      <c r="F586" s="2"/>
      <c r="G586" s="2"/>
      <c r="H586" s="2"/>
      <c r="I586" s="2"/>
      <c r="J586" s="2"/>
      <c r="K586" s="2"/>
      <c r="L586" s="2"/>
      <c r="M586" s="2"/>
      <c r="N586" s="2"/>
      <c r="O586" s="2"/>
      <c r="P586" s="2"/>
      <c r="Q586" s="2"/>
      <c r="R586" s="2"/>
      <c r="S586" s="2"/>
      <c r="T586" s="2"/>
      <c r="U586" s="2"/>
      <c r="V586" s="2"/>
      <c r="W586" s="2"/>
    </row>
    <row r="587">
      <c r="A587" s="2"/>
      <c r="B587" s="2"/>
      <c r="C587" s="2"/>
      <c r="D587" s="2"/>
      <c r="E587" s="2"/>
      <c r="F587" s="2"/>
      <c r="G587" s="2"/>
      <c r="H587" s="2"/>
      <c r="I587" s="2"/>
      <c r="J587" s="2"/>
      <c r="K587" s="2"/>
      <c r="L587" s="2"/>
      <c r="M587" s="2"/>
      <c r="N587" s="2"/>
      <c r="O587" s="2"/>
      <c r="P587" s="2"/>
      <c r="Q587" s="2"/>
      <c r="R587" s="2"/>
      <c r="S587" s="2"/>
      <c r="T587" s="2"/>
      <c r="U587" s="2"/>
      <c r="V587" s="2"/>
      <c r="W587" s="2"/>
    </row>
    <row r="588">
      <c r="A588" s="2"/>
      <c r="B588" s="2"/>
      <c r="C588" s="2"/>
      <c r="D588" s="2"/>
      <c r="E588" s="2"/>
      <c r="F588" s="2"/>
      <c r="G588" s="2"/>
      <c r="H588" s="2"/>
      <c r="I588" s="2"/>
      <c r="J588" s="2"/>
      <c r="K588" s="2"/>
      <c r="L588" s="2"/>
      <c r="M588" s="2"/>
      <c r="N588" s="2"/>
      <c r="O588" s="2"/>
      <c r="P588" s="2"/>
      <c r="Q588" s="2"/>
      <c r="R588" s="2"/>
      <c r="S588" s="2"/>
      <c r="T588" s="2"/>
      <c r="U588" s="2"/>
      <c r="V588" s="2"/>
      <c r="W588" s="2"/>
    </row>
    <row r="589">
      <c r="A589" s="2"/>
      <c r="B589" s="2"/>
      <c r="C589" s="2"/>
      <c r="D589" s="2"/>
      <c r="E589" s="2"/>
      <c r="F589" s="2"/>
      <c r="G589" s="2"/>
      <c r="H589" s="2"/>
      <c r="I589" s="2"/>
      <c r="J589" s="2"/>
      <c r="K589" s="2"/>
      <c r="L589" s="2"/>
      <c r="M589" s="2"/>
      <c r="N589" s="2"/>
      <c r="O589" s="2"/>
      <c r="P589" s="2"/>
      <c r="Q589" s="2"/>
      <c r="R589" s="2"/>
      <c r="S589" s="2"/>
      <c r="T589" s="2"/>
      <c r="U589" s="2"/>
      <c r="V589" s="2"/>
      <c r="W589" s="2"/>
    </row>
    <row r="590">
      <c r="A590" s="2"/>
      <c r="B590" s="2"/>
      <c r="C590" s="2"/>
      <c r="D590" s="2"/>
      <c r="E590" s="2"/>
      <c r="F590" s="2"/>
      <c r="G590" s="2"/>
      <c r="H590" s="2"/>
      <c r="I590" s="2"/>
      <c r="J590" s="2"/>
      <c r="K590" s="2"/>
      <c r="L590" s="2"/>
      <c r="M590" s="2"/>
      <c r="N590" s="2"/>
      <c r="O590" s="2"/>
      <c r="P590" s="2"/>
      <c r="Q590" s="2"/>
      <c r="R590" s="2"/>
      <c r="S590" s="2"/>
      <c r="T590" s="2"/>
      <c r="U590" s="2"/>
      <c r="V590" s="2"/>
      <c r="W590" s="2"/>
    </row>
    <row r="591">
      <c r="A591" s="2"/>
      <c r="B591" s="2"/>
      <c r="C591" s="2"/>
      <c r="D591" s="2"/>
      <c r="E591" s="2"/>
      <c r="F591" s="2"/>
      <c r="G591" s="2"/>
      <c r="H591" s="2"/>
      <c r="I591" s="2"/>
      <c r="J591" s="2"/>
      <c r="K591" s="2"/>
      <c r="L591" s="2"/>
      <c r="M591" s="2"/>
      <c r="N591" s="2"/>
      <c r="O591" s="2"/>
      <c r="P591" s="2"/>
      <c r="Q591" s="2"/>
      <c r="R591" s="2"/>
      <c r="S591" s="2"/>
      <c r="T591" s="2"/>
      <c r="U591" s="2"/>
      <c r="V591" s="2"/>
      <c r="W591" s="2"/>
    </row>
    <row r="592">
      <c r="A592" s="2"/>
      <c r="B592" s="2"/>
      <c r="C592" s="2"/>
      <c r="D592" s="2"/>
      <c r="E592" s="2"/>
      <c r="F592" s="2"/>
      <c r="G592" s="2"/>
      <c r="H592" s="2"/>
      <c r="I592" s="2"/>
      <c r="J592" s="2"/>
      <c r="K592" s="2"/>
      <c r="L592" s="2"/>
      <c r="M592" s="2"/>
      <c r="N592" s="2"/>
      <c r="O592" s="2"/>
      <c r="P592" s="2"/>
      <c r="Q592" s="2"/>
      <c r="R592" s="2"/>
      <c r="S592" s="2"/>
      <c r="T592" s="2"/>
      <c r="U592" s="2"/>
      <c r="V592" s="2"/>
      <c r="W592" s="2"/>
    </row>
    <row r="593">
      <c r="A593" s="2"/>
      <c r="B593" s="2"/>
      <c r="C593" s="2"/>
      <c r="D593" s="2"/>
      <c r="E593" s="2"/>
      <c r="F593" s="2"/>
      <c r="G593" s="2"/>
      <c r="H593" s="2"/>
      <c r="I593" s="2"/>
      <c r="J593" s="2"/>
      <c r="K593" s="2"/>
      <c r="L593" s="2"/>
      <c r="M593" s="2"/>
      <c r="N593" s="2"/>
      <c r="O593" s="2"/>
      <c r="P593" s="2"/>
      <c r="Q593" s="2"/>
      <c r="R593" s="2"/>
      <c r="S593" s="2"/>
      <c r="T593" s="2"/>
      <c r="U593" s="2"/>
      <c r="V593" s="2"/>
      <c r="W593" s="2"/>
    </row>
    <row r="594">
      <c r="A594" s="2"/>
      <c r="B594" s="2"/>
      <c r="C594" s="2"/>
      <c r="D594" s="2"/>
      <c r="E594" s="2"/>
      <c r="F594" s="2"/>
      <c r="G594" s="2"/>
      <c r="H594" s="2"/>
      <c r="I594" s="2"/>
      <c r="J594" s="2"/>
      <c r="K594" s="2"/>
      <c r="L594" s="2"/>
      <c r="M594" s="2"/>
      <c r="N594" s="2"/>
      <c r="O594" s="2"/>
      <c r="P594" s="2"/>
      <c r="Q594" s="2"/>
      <c r="R594" s="2"/>
      <c r="S594" s="2"/>
      <c r="T594" s="2"/>
      <c r="U594" s="2"/>
      <c r="V594" s="2"/>
      <c r="W594" s="2"/>
    </row>
    <row r="595">
      <c r="A595" s="2"/>
      <c r="B595" s="2"/>
      <c r="C595" s="2"/>
      <c r="D595" s="2"/>
      <c r="E595" s="2"/>
      <c r="F595" s="2"/>
      <c r="G595" s="2"/>
      <c r="H595" s="2"/>
      <c r="I595" s="2"/>
      <c r="J595" s="2"/>
      <c r="K595" s="2"/>
      <c r="L595" s="2"/>
      <c r="M595" s="2"/>
      <c r="N595" s="2"/>
      <c r="O595" s="2"/>
      <c r="P595" s="2"/>
      <c r="Q595" s="2"/>
      <c r="R595" s="2"/>
      <c r="S595" s="2"/>
      <c r="T595" s="2"/>
      <c r="U595" s="2"/>
      <c r="V595" s="2"/>
      <c r="W595" s="2"/>
    </row>
    <row r="596">
      <c r="A596" s="2"/>
      <c r="B596" s="2"/>
      <c r="C596" s="2"/>
      <c r="D596" s="2"/>
      <c r="E596" s="2"/>
      <c r="F596" s="2"/>
      <c r="G596" s="2"/>
      <c r="H596" s="2"/>
      <c r="I596" s="2"/>
      <c r="J596" s="2"/>
      <c r="K596" s="2"/>
      <c r="L596" s="2"/>
      <c r="M596" s="2"/>
      <c r="N596" s="2"/>
      <c r="O596" s="2"/>
      <c r="P596" s="2"/>
      <c r="Q596" s="2"/>
      <c r="R596" s="2"/>
      <c r="S596" s="2"/>
      <c r="T596" s="2"/>
      <c r="U596" s="2"/>
      <c r="V596" s="2"/>
      <c r="W596" s="2"/>
    </row>
    <row r="597">
      <c r="A597" s="2"/>
      <c r="B597" s="2"/>
      <c r="C597" s="2"/>
      <c r="D597" s="2"/>
      <c r="E597" s="2"/>
      <c r="F597" s="2"/>
      <c r="G597" s="2"/>
      <c r="H597" s="2"/>
      <c r="I597" s="2"/>
      <c r="J597" s="2"/>
      <c r="K597" s="2"/>
      <c r="L597" s="2"/>
      <c r="M597" s="2"/>
      <c r="N597" s="2"/>
      <c r="O597" s="2"/>
      <c r="P597" s="2"/>
      <c r="Q597" s="2"/>
      <c r="R597" s="2"/>
      <c r="S597" s="2"/>
      <c r="T597" s="2"/>
      <c r="U597" s="2"/>
      <c r="V597" s="2"/>
      <c r="W597" s="2"/>
    </row>
    <row r="598">
      <c r="A598" s="2"/>
      <c r="B598" s="2"/>
      <c r="C598" s="2"/>
      <c r="D598" s="2"/>
      <c r="E598" s="2"/>
      <c r="F598" s="2"/>
      <c r="G598" s="2"/>
      <c r="H598" s="2"/>
      <c r="I598" s="2"/>
      <c r="J598" s="2"/>
      <c r="K598" s="2"/>
      <c r="L598" s="2"/>
      <c r="M598" s="2"/>
      <c r="N598" s="2"/>
      <c r="O598" s="2"/>
      <c r="P598" s="2"/>
      <c r="Q598" s="2"/>
      <c r="R598" s="2"/>
      <c r="S598" s="2"/>
      <c r="T598" s="2"/>
      <c r="U598" s="2"/>
      <c r="V598" s="2"/>
      <c r="W598" s="2"/>
    </row>
    <row r="599">
      <c r="A599" s="2"/>
      <c r="B599" s="2"/>
      <c r="C599" s="2"/>
      <c r="D599" s="2"/>
      <c r="E599" s="2"/>
      <c r="F599" s="2"/>
      <c r="G599" s="2"/>
      <c r="H599" s="2"/>
      <c r="I599" s="2"/>
      <c r="J599" s="2"/>
      <c r="K599" s="2"/>
      <c r="L599" s="2"/>
      <c r="M599" s="2"/>
      <c r="N599" s="2"/>
      <c r="O599" s="2"/>
      <c r="P599" s="2"/>
      <c r="Q599" s="2"/>
      <c r="R599" s="2"/>
      <c r="S599" s="2"/>
      <c r="T599" s="2"/>
      <c r="U599" s="2"/>
      <c r="V599" s="2"/>
      <c r="W599" s="2"/>
    </row>
    <row r="600">
      <c r="A600" s="2"/>
      <c r="B600" s="2"/>
      <c r="C600" s="2"/>
      <c r="D600" s="2"/>
      <c r="E600" s="2"/>
      <c r="F600" s="2"/>
      <c r="G600" s="2"/>
      <c r="H600" s="2"/>
      <c r="I600" s="2"/>
      <c r="J600" s="2"/>
      <c r="K600" s="2"/>
      <c r="L600" s="2"/>
      <c r="M600" s="2"/>
      <c r="N600" s="2"/>
      <c r="O600" s="2"/>
      <c r="P600" s="2"/>
      <c r="Q600" s="2"/>
      <c r="R600" s="2"/>
      <c r="S600" s="2"/>
      <c r="T600" s="2"/>
      <c r="U600" s="2"/>
      <c r="V600" s="2"/>
      <c r="W600" s="2"/>
    </row>
    <row r="601">
      <c r="A601" s="2"/>
      <c r="B601" s="2"/>
      <c r="C601" s="2"/>
      <c r="D601" s="2"/>
      <c r="E601" s="2"/>
      <c r="F601" s="2"/>
      <c r="G601" s="2"/>
      <c r="H601" s="2"/>
      <c r="I601" s="2"/>
      <c r="J601" s="2"/>
      <c r="K601" s="2"/>
      <c r="L601" s="2"/>
      <c r="M601" s="2"/>
      <c r="N601" s="2"/>
      <c r="O601" s="2"/>
      <c r="P601" s="2"/>
      <c r="Q601" s="2"/>
      <c r="R601" s="2"/>
      <c r="S601" s="2"/>
      <c r="T601" s="2"/>
      <c r="U601" s="2"/>
      <c r="V601" s="2"/>
      <c r="W601" s="2"/>
    </row>
    <row r="602">
      <c r="A602" s="2"/>
      <c r="B602" s="2"/>
      <c r="C602" s="2"/>
      <c r="D602" s="2"/>
      <c r="E602" s="2"/>
      <c r="F602" s="2"/>
      <c r="G602" s="2"/>
      <c r="H602" s="2"/>
      <c r="I602" s="2"/>
      <c r="J602" s="2"/>
      <c r="K602" s="2"/>
      <c r="L602" s="2"/>
      <c r="M602" s="2"/>
      <c r="N602" s="2"/>
      <c r="O602" s="2"/>
      <c r="P602" s="2"/>
      <c r="Q602" s="2"/>
      <c r="R602" s="2"/>
      <c r="S602" s="2"/>
      <c r="T602" s="2"/>
      <c r="U602" s="2"/>
      <c r="V602" s="2"/>
      <c r="W602" s="2"/>
    </row>
    <row r="603">
      <c r="A603" s="2"/>
      <c r="B603" s="2"/>
      <c r="C603" s="2"/>
      <c r="D603" s="2"/>
      <c r="E603" s="2"/>
      <c r="F603" s="2"/>
      <c r="G603" s="2"/>
      <c r="H603" s="2"/>
      <c r="I603" s="2"/>
      <c r="J603" s="2"/>
      <c r="K603" s="2"/>
      <c r="L603" s="2"/>
      <c r="M603" s="2"/>
      <c r="N603" s="2"/>
      <c r="O603" s="2"/>
      <c r="P603" s="2"/>
      <c r="Q603" s="2"/>
      <c r="R603" s="2"/>
      <c r="S603" s="2"/>
      <c r="T603" s="2"/>
      <c r="U603" s="2"/>
      <c r="V603" s="2"/>
      <c r="W603" s="2"/>
    </row>
    <row r="604">
      <c r="A604" s="2"/>
      <c r="B604" s="2"/>
      <c r="C604" s="2"/>
      <c r="D604" s="2"/>
      <c r="E604" s="2"/>
      <c r="F604" s="2"/>
      <c r="G604" s="2"/>
      <c r="H604" s="2"/>
      <c r="I604" s="2"/>
      <c r="J604" s="2"/>
      <c r="K604" s="2"/>
      <c r="L604" s="2"/>
      <c r="M604" s="2"/>
      <c r="N604" s="2"/>
      <c r="O604" s="2"/>
      <c r="P604" s="2"/>
      <c r="Q604" s="2"/>
      <c r="R604" s="2"/>
      <c r="S604" s="2"/>
      <c r="T604" s="2"/>
      <c r="U604" s="2"/>
      <c r="V604" s="2"/>
      <c r="W604" s="2"/>
    </row>
    <row r="605">
      <c r="A605" s="2"/>
      <c r="B605" s="2"/>
      <c r="C605" s="2"/>
      <c r="D605" s="2"/>
      <c r="E605" s="2"/>
      <c r="F605" s="2"/>
      <c r="G605" s="2"/>
      <c r="H605" s="2"/>
      <c r="I605" s="2"/>
      <c r="J605" s="2"/>
      <c r="K605" s="2"/>
      <c r="L605" s="2"/>
      <c r="M605" s="2"/>
      <c r="N605" s="2"/>
      <c r="O605" s="2"/>
      <c r="P605" s="2"/>
      <c r="Q605" s="2"/>
      <c r="R605" s="2"/>
      <c r="S605" s="2"/>
      <c r="T605" s="2"/>
      <c r="U605" s="2"/>
      <c r="V605" s="2"/>
      <c r="W605" s="2"/>
    </row>
    <row r="606">
      <c r="A606" s="2"/>
      <c r="B606" s="2"/>
      <c r="C606" s="2"/>
      <c r="D606" s="2"/>
      <c r="E606" s="2"/>
      <c r="F606" s="2"/>
      <c r="G606" s="2"/>
      <c r="H606" s="2"/>
      <c r="I606" s="2"/>
      <c r="J606" s="2"/>
      <c r="K606" s="2"/>
      <c r="L606" s="2"/>
      <c r="M606" s="2"/>
      <c r="N606" s="2"/>
      <c r="O606" s="2"/>
      <c r="P606" s="2"/>
      <c r="Q606" s="2"/>
      <c r="R606" s="2"/>
      <c r="S606" s="2"/>
      <c r="T606" s="2"/>
      <c r="U606" s="2"/>
      <c r="V606" s="2"/>
      <c r="W606" s="2"/>
    </row>
    <row r="607">
      <c r="A607" s="2"/>
      <c r="B607" s="2"/>
      <c r="C607" s="2"/>
      <c r="D607" s="2"/>
      <c r="E607" s="2"/>
      <c r="F607" s="2"/>
      <c r="G607" s="2"/>
      <c r="H607" s="2"/>
      <c r="I607" s="2"/>
      <c r="J607" s="2"/>
      <c r="K607" s="2"/>
      <c r="L607" s="2"/>
      <c r="M607" s="2"/>
      <c r="N607" s="2"/>
      <c r="O607" s="2"/>
      <c r="P607" s="2"/>
      <c r="Q607" s="2"/>
      <c r="R607" s="2"/>
      <c r="S607" s="2"/>
      <c r="T607" s="2"/>
      <c r="U607" s="2"/>
      <c r="V607" s="2"/>
      <c r="W607" s="2"/>
    </row>
    <row r="608">
      <c r="A608" s="2"/>
      <c r="B608" s="2"/>
      <c r="C608" s="2"/>
      <c r="D608" s="2"/>
      <c r="E608" s="2"/>
      <c r="F608" s="2"/>
      <c r="G608" s="2"/>
      <c r="H608" s="2"/>
      <c r="I608" s="2"/>
      <c r="J608" s="2"/>
      <c r="K608" s="2"/>
      <c r="L608" s="2"/>
      <c r="M608" s="2"/>
      <c r="N608" s="2"/>
      <c r="O608" s="2"/>
      <c r="P608" s="2"/>
      <c r="Q608" s="2"/>
      <c r="R608" s="2"/>
      <c r="S608" s="2"/>
      <c r="T608" s="2"/>
      <c r="U608" s="2"/>
      <c r="V608" s="2"/>
      <c r="W608" s="2"/>
    </row>
    <row r="609">
      <c r="A609" s="2"/>
      <c r="B609" s="2"/>
      <c r="C609" s="2"/>
      <c r="D609" s="2"/>
      <c r="E609" s="2"/>
      <c r="F609" s="2"/>
      <c r="G609" s="2"/>
      <c r="H609" s="2"/>
      <c r="I609" s="2"/>
      <c r="J609" s="2"/>
      <c r="K609" s="2"/>
      <c r="L609" s="2"/>
      <c r="M609" s="2"/>
      <c r="N609" s="2"/>
      <c r="O609" s="2"/>
      <c r="P609" s="2"/>
      <c r="Q609" s="2"/>
      <c r="R609" s="2"/>
      <c r="S609" s="2"/>
      <c r="T609" s="2"/>
      <c r="U609" s="2"/>
      <c r="V609" s="2"/>
      <c r="W609" s="2"/>
    </row>
    <row r="610">
      <c r="A610" s="2"/>
      <c r="B610" s="2"/>
      <c r="C610" s="2"/>
      <c r="D610" s="2"/>
      <c r="E610" s="2"/>
      <c r="F610" s="2"/>
      <c r="G610" s="2"/>
      <c r="H610" s="2"/>
      <c r="I610" s="2"/>
      <c r="J610" s="2"/>
      <c r="K610" s="2"/>
      <c r="L610" s="2"/>
      <c r="M610" s="2"/>
      <c r="N610" s="2"/>
      <c r="O610" s="2"/>
      <c r="P610" s="2"/>
      <c r="Q610" s="2"/>
      <c r="R610" s="2"/>
      <c r="S610" s="2"/>
      <c r="T610" s="2"/>
      <c r="U610" s="2"/>
      <c r="V610" s="2"/>
      <c r="W610" s="2"/>
    </row>
    <row r="611">
      <c r="A611" s="2"/>
      <c r="B611" s="2"/>
      <c r="C611" s="2"/>
      <c r="D611" s="2"/>
      <c r="E611" s="2"/>
      <c r="F611" s="2"/>
      <c r="G611" s="2"/>
      <c r="H611" s="2"/>
      <c r="I611" s="2"/>
      <c r="J611" s="2"/>
      <c r="K611" s="2"/>
      <c r="L611" s="2"/>
      <c r="M611" s="2"/>
      <c r="N611" s="2"/>
      <c r="O611" s="2"/>
      <c r="P611" s="2"/>
      <c r="Q611" s="2"/>
      <c r="R611" s="2"/>
      <c r="S611" s="2"/>
      <c r="T611" s="2"/>
      <c r="U611" s="2"/>
      <c r="V611" s="2"/>
      <c r="W611" s="2"/>
    </row>
    <row r="612">
      <c r="A612" s="2"/>
      <c r="B612" s="2"/>
      <c r="C612" s="2"/>
      <c r="D612" s="2"/>
      <c r="E612" s="2"/>
      <c r="F612" s="2"/>
      <c r="G612" s="2"/>
      <c r="H612" s="2"/>
      <c r="I612" s="2"/>
      <c r="J612" s="2"/>
      <c r="K612" s="2"/>
      <c r="L612" s="2"/>
      <c r="M612" s="2"/>
      <c r="N612" s="2"/>
      <c r="O612" s="2"/>
      <c r="P612" s="2"/>
      <c r="Q612" s="2"/>
      <c r="R612" s="2"/>
      <c r="S612" s="2"/>
      <c r="T612" s="2"/>
      <c r="U612" s="2"/>
      <c r="V612" s="2"/>
      <c r="W612" s="2"/>
    </row>
    <row r="613">
      <c r="A613" s="2"/>
      <c r="B613" s="2"/>
      <c r="C613" s="2"/>
      <c r="D613" s="2"/>
      <c r="E613" s="2"/>
      <c r="F613" s="2"/>
      <c r="G613" s="2"/>
      <c r="H613" s="2"/>
      <c r="I613" s="2"/>
      <c r="J613" s="2"/>
      <c r="K613" s="2"/>
      <c r="L613" s="2"/>
      <c r="M613" s="2"/>
      <c r="N613" s="2"/>
      <c r="O613" s="2"/>
      <c r="P613" s="2"/>
      <c r="Q613" s="2"/>
      <c r="R613" s="2"/>
      <c r="S613" s="2"/>
      <c r="T613" s="2"/>
      <c r="U613" s="2"/>
      <c r="V613" s="2"/>
      <c r="W613" s="2"/>
    </row>
    <row r="614">
      <c r="A614" s="2"/>
      <c r="B614" s="2"/>
      <c r="C614" s="2"/>
      <c r="D614" s="2"/>
      <c r="E614" s="2"/>
      <c r="F614" s="2"/>
      <c r="G614" s="2"/>
      <c r="H614" s="2"/>
      <c r="I614" s="2"/>
      <c r="J614" s="2"/>
      <c r="K614" s="2"/>
      <c r="L614" s="2"/>
      <c r="M614" s="2"/>
      <c r="N614" s="2"/>
      <c r="O614" s="2"/>
      <c r="P614" s="2"/>
      <c r="Q614" s="2"/>
      <c r="R614" s="2"/>
      <c r="S614" s="2"/>
      <c r="T614" s="2"/>
      <c r="U614" s="2"/>
      <c r="V614" s="2"/>
      <c r="W614" s="2"/>
    </row>
    <row r="615">
      <c r="A615" s="2"/>
      <c r="B615" s="2"/>
      <c r="C615" s="2"/>
      <c r="D615" s="2"/>
      <c r="E615" s="2"/>
      <c r="F615" s="2"/>
      <c r="G615" s="2"/>
      <c r="H615" s="2"/>
      <c r="I615" s="2"/>
      <c r="J615" s="2"/>
      <c r="K615" s="2"/>
      <c r="L615" s="2"/>
      <c r="M615" s="2"/>
      <c r="N615" s="2"/>
      <c r="O615" s="2"/>
      <c r="P615" s="2"/>
      <c r="Q615" s="2"/>
      <c r="R615" s="2"/>
      <c r="S615" s="2"/>
      <c r="T615" s="2"/>
      <c r="U615" s="2"/>
      <c r="V615" s="2"/>
      <c r="W615" s="2"/>
    </row>
    <row r="616">
      <c r="A616" s="2"/>
      <c r="B616" s="2"/>
      <c r="C616" s="2"/>
      <c r="D616" s="2"/>
      <c r="E616" s="2"/>
      <c r="F616" s="2"/>
      <c r="G616" s="2"/>
      <c r="H616" s="2"/>
      <c r="I616" s="2"/>
      <c r="J616" s="2"/>
      <c r="K616" s="2"/>
      <c r="L616" s="2"/>
      <c r="M616" s="2"/>
      <c r="N616" s="2"/>
      <c r="O616" s="2"/>
      <c r="P616" s="2"/>
      <c r="Q616" s="2"/>
      <c r="R616" s="2"/>
      <c r="S616" s="2"/>
      <c r="T616" s="2"/>
      <c r="U616" s="2"/>
      <c r="V616" s="2"/>
      <c r="W616" s="2"/>
    </row>
    <row r="617">
      <c r="A617" s="2"/>
      <c r="B617" s="2"/>
      <c r="C617" s="2"/>
      <c r="D617" s="2"/>
      <c r="E617" s="2"/>
      <c r="F617" s="2"/>
      <c r="G617" s="2"/>
      <c r="H617" s="2"/>
      <c r="I617" s="2"/>
      <c r="J617" s="2"/>
      <c r="K617" s="2"/>
      <c r="L617" s="2"/>
      <c r="M617" s="2"/>
      <c r="N617" s="2"/>
      <c r="O617" s="2"/>
      <c r="P617" s="2"/>
      <c r="Q617" s="2"/>
      <c r="R617" s="2"/>
      <c r="S617" s="2"/>
      <c r="T617" s="2"/>
      <c r="U617" s="2"/>
      <c r="V617" s="2"/>
      <c r="W617" s="2"/>
    </row>
    <row r="618">
      <c r="A618" s="2"/>
      <c r="B618" s="2"/>
      <c r="C618" s="2"/>
      <c r="D618" s="2"/>
      <c r="E618" s="2"/>
      <c r="F618" s="2"/>
      <c r="G618" s="2"/>
      <c r="H618" s="2"/>
      <c r="I618" s="2"/>
      <c r="J618" s="2"/>
      <c r="K618" s="2"/>
      <c r="L618" s="2"/>
      <c r="M618" s="2"/>
      <c r="N618" s="2"/>
      <c r="O618" s="2"/>
      <c r="P618" s="2"/>
      <c r="Q618" s="2"/>
      <c r="R618" s="2"/>
      <c r="S618" s="2"/>
      <c r="T618" s="2"/>
      <c r="U618" s="2"/>
      <c r="V618" s="2"/>
      <c r="W618" s="2"/>
    </row>
    <row r="619">
      <c r="A619" s="2"/>
      <c r="B619" s="2"/>
      <c r="C619" s="2"/>
      <c r="D619" s="2"/>
      <c r="E619" s="2"/>
      <c r="F619" s="2"/>
      <c r="G619" s="2"/>
      <c r="H619" s="2"/>
      <c r="I619" s="2"/>
      <c r="J619" s="2"/>
      <c r="K619" s="2"/>
      <c r="L619" s="2"/>
      <c r="M619" s="2"/>
      <c r="N619" s="2"/>
      <c r="O619" s="2"/>
      <c r="P619" s="2"/>
      <c r="Q619" s="2"/>
      <c r="R619" s="2"/>
      <c r="S619" s="2"/>
      <c r="T619" s="2"/>
      <c r="U619" s="2"/>
      <c r="V619" s="2"/>
      <c r="W619" s="2"/>
    </row>
    <row r="620">
      <c r="A620" s="2"/>
      <c r="B620" s="2"/>
      <c r="C620" s="2"/>
      <c r="D620" s="2"/>
      <c r="E620" s="2"/>
      <c r="F620" s="2"/>
      <c r="G620" s="2"/>
      <c r="H620" s="2"/>
      <c r="I620" s="2"/>
      <c r="J620" s="2"/>
      <c r="K620" s="2"/>
      <c r="L620" s="2"/>
      <c r="M620" s="2"/>
      <c r="N620" s="2"/>
      <c r="O620" s="2"/>
      <c r="P620" s="2"/>
      <c r="Q620" s="2"/>
      <c r="R620" s="2"/>
      <c r="S620" s="2"/>
      <c r="T620" s="2"/>
      <c r="U620" s="2"/>
      <c r="V620" s="2"/>
      <c r="W620" s="2"/>
    </row>
    <row r="621">
      <c r="A621" s="2"/>
      <c r="B621" s="2"/>
      <c r="C621" s="2"/>
      <c r="D621" s="2"/>
      <c r="E621" s="2"/>
      <c r="F621" s="2"/>
      <c r="G621" s="2"/>
      <c r="H621" s="2"/>
      <c r="I621" s="2"/>
      <c r="J621" s="2"/>
      <c r="K621" s="2"/>
      <c r="L621" s="2"/>
      <c r="M621" s="2"/>
      <c r="N621" s="2"/>
      <c r="O621" s="2"/>
      <c r="P621" s="2"/>
      <c r="Q621" s="2"/>
      <c r="R621" s="2"/>
      <c r="S621" s="2"/>
      <c r="T621" s="2"/>
      <c r="U621" s="2"/>
      <c r="V621" s="2"/>
      <c r="W621" s="2"/>
    </row>
    <row r="622">
      <c r="A622" s="2"/>
      <c r="B622" s="2"/>
      <c r="C622" s="2"/>
      <c r="D622" s="2"/>
      <c r="E622" s="2"/>
      <c r="F622" s="2"/>
      <c r="G622" s="2"/>
      <c r="H622" s="2"/>
      <c r="I622" s="2"/>
      <c r="J622" s="2"/>
      <c r="K622" s="2"/>
      <c r="L622" s="2"/>
      <c r="M622" s="2"/>
      <c r="N622" s="2"/>
      <c r="O622" s="2"/>
      <c r="P622" s="2"/>
      <c r="Q622" s="2"/>
      <c r="R622" s="2"/>
      <c r="S622" s="2"/>
      <c r="T622" s="2"/>
      <c r="U622" s="2"/>
      <c r="V622" s="2"/>
      <c r="W622" s="2"/>
    </row>
    <row r="623">
      <c r="A623" s="2"/>
      <c r="B623" s="2"/>
      <c r="C623" s="2"/>
      <c r="D623" s="2"/>
      <c r="E623" s="2"/>
      <c r="F623" s="2"/>
      <c r="G623" s="2"/>
      <c r="H623" s="2"/>
      <c r="I623" s="2"/>
      <c r="J623" s="2"/>
      <c r="K623" s="2"/>
      <c r="L623" s="2"/>
      <c r="M623" s="2"/>
      <c r="N623" s="2"/>
      <c r="O623" s="2"/>
      <c r="P623" s="2"/>
      <c r="Q623" s="2"/>
      <c r="R623" s="2"/>
      <c r="S623" s="2"/>
      <c r="T623" s="2"/>
      <c r="U623" s="2"/>
      <c r="V623" s="2"/>
      <c r="W623" s="2"/>
    </row>
    <row r="624">
      <c r="A624" s="2"/>
      <c r="B624" s="2"/>
      <c r="C624" s="2"/>
      <c r="D624" s="2"/>
      <c r="E624" s="2"/>
      <c r="F624" s="2"/>
      <c r="G624" s="2"/>
      <c r="H624" s="2"/>
      <c r="I624" s="2"/>
      <c r="J624" s="2"/>
      <c r="K624" s="2"/>
      <c r="L624" s="2"/>
      <c r="M624" s="2"/>
      <c r="N624" s="2"/>
      <c r="O624" s="2"/>
      <c r="P624" s="2"/>
      <c r="Q624" s="2"/>
      <c r="R624" s="2"/>
      <c r="S624" s="2"/>
      <c r="T624" s="2"/>
      <c r="U624" s="2"/>
      <c r="V624" s="2"/>
      <c r="W624" s="2"/>
    </row>
    <row r="625">
      <c r="A625" s="2"/>
      <c r="B625" s="2"/>
      <c r="C625" s="2"/>
      <c r="D625" s="2"/>
      <c r="E625" s="2"/>
      <c r="F625" s="2"/>
      <c r="G625" s="2"/>
      <c r="H625" s="2"/>
      <c r="I625" s="2"/>
      <c r="J625" s="2"/>
      <c r="K625" s="2"/>
      <c r="L625" s="2"/>
      <c r="M625" s="2"/>
      <c r="N625" s="2"/>
      <c r="O625" s="2"/>
      <c r="P625" s="2"/>
      <c r="Q625" s="2"/>
      <c r="R625" s="2"/>
      <c r="S625" s="2"/>
      <c r="T625" s="2"/>
      <c r="U625" s="2"/>
      <c r="V625" s="2"/>
      <c r="W625" s="2"/>
    </row>
    <row r="626">
      <c r="A626" s="2"/>
      <c r="B626" s="2"/>
      <c r="C626" s="2"/>
      <c r="D626" s="2"/>
      <c r="E626" s="2"/>
      <c r="F626" s="2"/>
      <c r="G626" s="2"/>
      <c r="H626" s="2"/>
      <c r="I626" s="2"/>
      <c r="J626" s="2"/>
      <c r="K626" s="2"/>
      <c r="L626" s="2"/>
      <c r="M626" s="2"/>
      <c r="N626" s="2"/>
      <c r="O626" s="2"/>
      <c r="P626" s="2"/>
      <c r="Q626" s="2"/>
      <c r="R626" s="2"/>
      <c r="S626" s="2"/>
      <c r="T626" s="2"/>
      <c r="U626" s="2"/>
      <c r="V626" s="2"/>
      <c r="W626" s="2"/>
    </row>
    <row r="627">
      <c r="A627" s="2"/>
      <c r="B627" s="2"/>
      <c r="C627" s="2"/>
      <c r="D627" s="2"/>
      <c r="E627" s="2"/>
      <c r="F627" s="2"/>
      <c r="G627" s="2"/>
      <c r="H627" s="2"/>
      <c r="I627" s="2"/>
      <c r="J627" s="2"/>
      <c r="K627" s="2"/>
      <c r="L627" s="2"/>
      <c r="M627" s="2"/>
      <c r="N627" s="2"/>
      <c r="O627" s="2"/>
      <c r="P627" s="2"/>
      <c r="Q627" s="2"/>
      <c r="R627" s="2"/>
      <c r="S627" s="2"/>
      <c r="T627" s="2"/>
      <c r="U627" s="2"/>
      <c r="V627" s="2"/>
      <c r="W627" s="2"/>
    </row>
    <row r="628">
      <c r="A628" s="2"/>
      <c r="B628" s="2"/>
      <c r="C628" s="2"/>
      <c r="D628" s="2"/>
      <c r="E628" s="2"/>
      <c r="F628" s="2"/>
      <c r="G628" s="2"/>
      <c r="H628" s="2"/>
      <c r="I628" s="2"/>
      <c r="J628" s="2"/>
      <c r="K628" s="2"/>
      <c r="L628" s="2"/>
      <c r="M628" s="2"/>
      <c r="N628" s="2"/>
      <c r="O628" s="2"/>
      <c r="P628" s="2"/>
      <c r="Q628" s="2"/>
      <c r="R628" s="2"/>
      <c r="S628" s="2"/>
      <c r="T628" s="2"/>
      <c r="U628" s="2"/>
      <c r="V628" s="2"/>
      <c r="W628" s="2"/>
    </row>
    <row r="629">
      <c r="A629" s="2"/>
      <c r="B629" s="2"/>
      <c r="C629" s="2"/>
      <c r="D629" s="2"/>
      <c r="E629" s="2"/>
      <c r="F629" s="2"/>
      <c r="G629" s="2"/>
      <c r="H629" s="2"/>
      <c r="I629" s="2"/>
      <c r="J629" s="2"/>
      <c r="K629" s="2"/>
      <c r="L629" s="2"/>
      <c r="M629" s="2"/>
      <c r="N629" s="2"/>
      <c r="O629" s="2"/>
      <c r="P629" s="2"/>
      <c r="Q629" s="2"/>
      <c r="R629" s="2"/>
      <c r="S629" s="2"/>
      <c r="T629" s="2"/>
      <c r="U629" s="2"/>
      <c r="V629" s="2"/>
      <c r="W629" s="2"/>
    </row>
    <row r="630">
      <c r="A630" s="2"/>
      <c r="B630" s="2"/>
      <c r="C630" s="2"/>
      <c r="D630" s="2"/>
      <c r="E630" s="2"/>
      <c r="F630" s="2"/>
      <c r="G630" s="2"/>
      <c r="H630" s="2"/>
      <c r="I630" s="2"/>
      <c r="J630" s="2"/>
      <c r="K630" s="2"/>
      <c r="L630" s="2"/>
      <c r="M630" s="2"/>
      <c r="N630" s="2"/>
      <c r="O630" s="2"/>
      <c r="P630" s="2"/>
      <c r="Q630" s="2"/>
      <c r="R630" s="2"/>
      <c r="S630" s="2"/>
      <c r="T630" s="2"/>
      <c r="U630" s="2"/>
      <c r="V630" s="2"/>
      <c r="W630" s="2"/>
    </row>
    <row r="631">
      <c r="A631" s="2"/>
      <c r="B631" s="2"/>
      <c r="C631" s="2"/>
      <c r="D631" s="2"/>
      <c r="E631" s="2"/>
      <c r="F631" s="2"/>
      <c r="G631" s="2"/>
      <c r="H631" s="2"/>
      <c r="I631" s="2"/>
      <c r="J631" s="2"/>
      <c r="K631" s="2"/>
      <c r="L631" s="2"/>
      <c r="M631" s="2"/>
      <c r="N631" s="2"/>
      <c r="O631" s="2"/>
      <c r="P631" s="2"/>
      <c r="Q631" s="2"/>
      <c r="R631" s="2"/>
      <c r="S631" s="2"/>
      <c r="T631" s="2"/>
      <c r="U631" s="2"/>
      <c r="V631" s="2"/>
      <c r="W631" s="2"/>
    </row>
    <row r="632">
      <c r="A632" s="2"/>
      <c r="B632" s="2"/>
      <c r="C632" s="2"/>
      <c r="D632" s="2"/>
      <c r="E632" s="2"/>
      <c r="F632" s="2"/>
      <c r="G632" s="2"/>
      <c r="H632" s="2"/>
      <c r="I632" s="2"/>
      <c r="J632" s="2"/>
      <c r="K632" s="2"/>
      <c r="L632" s="2"/>
      <c r="M632" s="2"/>
      <c r="N632" s="2"/>
      <c r="O632" s="2"/>
      <c r="P632" s="2"/>
      <c r="Q632" s="2"/>
      <c r="R632" s="2"/>
      <c r="S632" s="2"/>
      <c r="T632" s="2"/>
      <c r="U632" s="2"/>
      <c r="V632" s="2"/>
      <c r="W632" s="2"/>
    </row>
    <row r="633">
      <c r="A633" s="2"/>
      <c r="B633" s="2"/>
      <c r="C633" s="2"/>
      <c r="D633" s="2"/>
      <c r="E633" s="2"/>
      <c r="F633" s="2"/>
      <c r="G633" s="2"/>
      <c r="H633" s="2"/>
      <c r="I633" s="2"/>
      <c r="J633" s="2"/>
      <c r="K633" s="2"/>
      <c r="L633" s="2"/>
      <c r="M633" s="2"/>
      <c r="N633" s="2"/>
      <c r="O633" s="2"/>
      <c r="P633" s="2"/>
      <c r="Q633" s="2"/>
      <c r="R633" s="2"/>
      <c r="S633" s="2"/>
      <c r="T633" s="2"/>
      <c r="U633" s="2"/>
      <c r="V633" s="2"/>
      <c r="W633" s="2"/>
    </row>
    <row r="634">
      <c r="A634" s="2"/>
      <c r="B634" s="2"/>
      <c r="C634" s="2"/>
      <c r="D634" s="2"/>
      <c r="E634" s="2"/>
      <c r="F634" s="2"/>
      <c r="G634" s="2"/>
      <c r="H634" s="2"/>
      <c r="I634" s="2"/>
      <c r="J634" s="2"/>
      <c r="K634" s="2"/>
      <c r="L634" s="2"/>
      <c r="M634" s="2"/>
      <c r="N634" s="2"/>
      <c r="O634" s="2"/>
      <c r="P634" s="2"/>
      <c r="Q634" s="2"/>
      <c r="R634" s="2"/>
      <c r="S634" s="2"/>
      <c r="T634" s="2"/>
      <c r="U634" s="2"/>
      <c r="V634" s="2"/>
      <c r="W634" s="2"/>
    </row>
    <row r="635">
      <c r="A635" s="2"/>
      <c r="B635" s="2"/>
      <c r="C635" s="2"/>
      <c r="D635" s="2"/>
      <c r="E635" s="2"/>
      <c r="F635" s="2"/>
      <c r="G635" s="2"/>
      <c r="H635" s="2"/>
      <c r="I635" s="2"/>
      <c r="J635" s="2"/>
      <c r="K635" s="2"/>
      <c r="L635" s="2"/>
      <c r="M635" s="2"/>
      <c r="N635" s="2"/>
      <c r="O635" s="2"/>
      <c r="P635" s="2"/>
      <c r="Q635" s="2"/>
      <c r="R635" s="2"/>
      <c r="S635" s="2"/>
      <c r="T635" s="2"/>
      <c r="U635" s="2"/>
      <c r="V635" s="2"/>
      <c r="W635" s="2"/>
    </row>
    <row r="636">
      <c r="A636" s="2"/>
      <c r="B636" s="2"/>
      <c r="C636" s="2"/>
      <c r="D636" s="2"/>
      <c r="E636" s="2"/>
      <c r="F636" s="2"/>
      <c r="G636" s="2"/>
      <c r="H636" s="2"/>
      <c r="I636" s="2"/>
      <c r="J636" s="2"/>
      <c r="K636" s="2"/>
      <c r="L636" s="2"/>
      <c r="M636" s="2"/>
      <c r="N636" s="2"/>
      <c r="O636" s="2"/>
      <c r="P636" s="2"/>
      <c r="Q636" s="2"/>
      <c r="R636" s="2"/>
      <c r="S636" s="2"/>
      <c r="T636" s="2"/>
      <c r="U636" s="2"/>
      <c r="V636" s="2"/>
      <c r="W636" s="2"/>
    </row>
    <row r="637">
      <c r="A637" s="2"/>
      <c r="B637" s="2"/>
      <c r="C637" s="2"/>
      <c r="D637" s="2"/>
      <c r="E637" s="2"/>
      <c r="F637" s="2"/>
      <c r="G637" s="2"/>
      <c r="H637" s="2"/>
      <c r="I637" s="2"/>
      <c r="J637" s="2"/>
      <c r="K637" s="2"/>
      <c r="L637" s="2"/>
      <c r="M637" s="2"/>
      <c r="N637" s="2"/>
      <c r="O637" s="2"/>
      <c r="P637" s="2"/>
      <c r="Q637" s="2"/>
      <c r="R637" s="2"/>
      <c r="S637" s="2"/>
      <c r="T637" s="2"/>
      <c r="U637" s="2"/>
      <c r="V637" s="2"/>
      <c r="W637" s="2"/>
    </row>
    <row r="638">
      <c r="A638" s="2"/>
      <c r="B638" s="2"/>
      <c r="C638" s="2"/>
      <c r="D638" s="2"/>
      <c r="E638" s="2"/>
      <c r="F638" s="2"/>
      <c r="G638" s="2"/>
      <c r="H638" s="2"/>
      <c r="I638" s="2"/>
      <c r="J638" s="2"/>
      <c r="K638" s="2"/>
      <c r="L638" s="2"/>
      <c r="M638" s="2"/>
      <c r="N638" s="2"/>
      <c r="O638" s="2"/>
      <c r="P638" s="2"/>
      <c r="Q638" s="2"/>
      <c r="R638" s="2"/>
      <c r="S638" s="2"/>
      <c r="T638" s="2"/>
      <c r="U638" s="2"/>
      <c r="V638" s="2"/>
      <c r="W638" s="2"/>
    </row>
    <row r="639">
      <c r="A639" s="2"/>
      <c r="B639" s="2"/>
      <c r="C639" s="2"/>
      <c r="D639" s="2"/>
      <c r="E639" s="2"/>
      <c r="F639" s="2"/>
      <c r="G639" s="2"/>
      <c r="H639" s="2"/>
      <c r="I639" s="2"/>
      <c r="J639" s="2"/>
      <c r="K639" s="2"/>
      <c r="L639" s="2"/>
      <c r="M639" s="2"/>
      <c r="N639" s="2"/>
      <c r="O639" s="2"/>
      <c r="P639" s="2"/>
      <c r="Q639" s="2"/>
      <c r="R639" s="2"/>
      <c r="S639" s="2"/>
      <c r="T639" s="2"/>
      <c r="U639" s="2"/>
      <c r="V639" s="2"/>
      <c r="W639" s="2"/>
    </row>
    <row r="640">
      <c r="A640" s="2"/>
      <c r="B640" s="2"/>
      <c r="C640" s="2"/>
      <c r="D640" s="2"/>
      <c r="E640" s="2"/>
      <c r="F640" s="2"/>
      <c r="G640" s="2"/>
      <c r="H640" s="2"/>
      <c r="I640" s="2"/>
      <c r="J640" s="2"/>
      <c r="K640" s="2"/>
      <c r="L640" s="2"/>
      <c r="M640" s="2"/>
      <c r="N640" s="2"/>
      <c r="O640" s="2"/>
      <c r="P640" s="2"/>
      <c r="Q640" s="2"/>
      <c r="R640" s="2"/>
      <c r="S640" s="2"/>
      <c r="T640" s="2"/>
      <c r="U640" s="2"/>
      <c r="V640" s="2"/>
      <c r="W640" s="2"/>
    </row>
    <row r="641">
      <c r="A641" s="2"/>
      <c r="B641" s="2"/>
      <c r="C641" s="2"/>
      <c r="D641" s="2"/>
      <c r="E641" s="2"/>
      <c r="F641" s="2"/>
      <c r="G641" s="2"/>
      <c r="H641" s="2"/>
      <c r="I641" s="2"/>
      <c r="J641" s="2"/>
      <c r="K641" s="2"/>
      <c r="L641" s="2"/>
      <c r="M641" s="2"/>
      <c r="N641" s="2"/>
      <c r="O641" s="2"/>
      <c r="P641" s="2"/>
      <c r="Q641" s="2"/>
      <c r="R641" s="2"/>
      <c r="S641" s="2"/>
      <c r="T641" s="2"/>
      <c r="U641" s="2"/>
      <c r="V641" s="2"/>
      <c r="W641" s="2"/>
    </row>
    <row r="642">
      <c r="A642" s="2"/>
      <c r="B642" s="2"/>
      <c r="C642" s="2"/>
      <c r="D642" s="2"/>
      <c r="E642" s="2"/>
      <c r="F642" s="2"/>
      <c r="G642" s="2"/>
      <c r="H642" s="2"/>
      <c r="I642" s="2"/>
      <c r="J642" s="2"/>
      <c r="K642" s="2"/>
      <c r="L642" s="2"/>
      <c r="M642" s="2"/>
      <c r="N642" s="2"/>
      <c r="O642" s="2"/>
      <c r="P642" s="2"/>
      <c r="Q642" s="2"/>
      <c r="R642" s="2"/>
      <c r="S642" s="2"/>
      <c r="T642" s="2"/>
      <c r="U642" s="2"/>
      <c r="V642" s="2"/>
      <c r="W642" s="2"/>
    </row>
    <row r="643">
      <c r="A643" s="2"/>
      <c r="B643" s="2"/>
      <c r="C643" s="2"/>
      <c r="D643" s="2"/>
      <c r="E643" s="2"/>
      <c r="F643" s="2"/>
      <c r="G643" s="2"/>
      <c r="H643" s="2"/>
      <c r="I643" s="2"/>
      <c r="J643" s="2"/>
      <c r="K643" s="2"/>
      <c r="L643" s="2"/>
      <c r="M643" s="2"/>
      <c r="N643" s="2"/>
      <c r="O643" s="2"/>
      <c r="P643" s="2"/>
      <c r="Q643" s="2"/>
      <c r="R643" s="2"/>
      <c r="S643" s="2"/>
      <c r="T643" s="2"/>
      <c r="U643" s="2"/>
      <c r="V643" s="2"/>
      <c r="W643" s="2"/>
    </row>
    <row r="644">
      <c r="A644" s="2"/>
      <c r="B644" s="2"/>
      <c r="C644" s="2"/>
      <c r="D644" s="2"/>
      <c r="E644" s="2"/>
      <c r="F644" s="2"/>
      <c r="G644" s="2"/>
      <c r="H644" s="2"/>
      <c r="I644" s="2"/>
      <c r="J644" s="2"/>
      <c r="K644" s="2"/>
      <c r="L644" s="2"/>
      <c r="M644" s="2"/>
      <c r="N644" s="2"/>
      <c r="O644" s="2"/>
      <c r="P644" s="2"/>
      <c r="Q644" s="2"/>
      <c r="R644" s="2"/>
      <c r="S644" s="2"/>
      <c r="T644" s="2"/>
      <c r="U644" s="2"/>
      <c r="V644" s="2"/>
      <c r="W644" s="2"/>
    </row>
    <row r="645">
      <c r="A645" s="2"/>
      <c r="B645" s="2"/>
      <c r="C645" s="2"/>
      <c r="D645" s="2"/>
      <c r="E645" s="2"/>
      <c r="F645" s="2"/>
      <c r="G645" s="2"/>
      <c r="H645" s="2"/>
      <c r="I645" s="2"/>
      <c r="J645" s="2"/>
      <c r="K645" s="2"/>
      <c r="L645" s="2"/>
      <c r="M645" s="2"/>
      <c r="N645" s="2"/>
      <c r="O645" s="2"/>
      <c r="P645" s="2"/>
      <c r="Q645" s="2"/>
      <c r="R645" s="2"/>
      <c r="S645" s="2"/>
      <c r="T645" s="2"/>
      <c r="U645" s="2"/>
      <c r="V645" s="2"/>
      <c r="W645" s="2"/>
    </row>
    <row r="646">
      <c r="A646" s="2"/>
      <c r="B646" s="2"/>
      <c r="C646" s="2"/>
      <c r="D646" s="2"/>
      <c r="E646" s="2"/>
      <c r="F646" s="2"/>
      <c r="G646" s="2"/>
      <c r="H646" s="2"/>
      <c r="I646" s="2"/>
      <c r="J646" s="2"/>
      <c r="K646" s="2"/>
      <c r="L646" s="2"/>
      <c r="M646" s="2"/>
      <c r="N646" s="2"/>
      <c r="O646" s="2"/>
      <c r="P646" s="2"/>
      <c r="Q646" s="2"/>
      <c r="R646" s="2"/>
      <c r="S646" s="2"/>
      <c r="T646" s="2"/>
      <c r="U646" s="2"/>
      <c r="V646" s="2"/>
      <c r="W646" s="2"/>
    </row>
    <row r="647">
      <c r="A647" s="2"/>
      <c r="B647" s="2"/>
      <c r="C647" s="2"/>
      <c r="D647" s="2"/>
      <c r="E647" s="2"/>
      <c r="F647" s="2"/>
      <c r="G647" s="2"/>
      <c r="H647" s="2"/>
      <c r="I647" s="2"/>
      <c r="J647" s="2"/>
      <c r="K647" s="2"/>
      <c r="L647" s="2"/>
      <c r="M647" s="2"/>
      <c r="N647" s="2"/>
      <c r="O647" s="2"/>
      <c r="P647" s="2"/>
      <c r="Q647" s="2"/>
      <c r="R647" s="2"/>
      <c r="S647" s="2"/>
      <c r="T647" s="2"/>
      <c r="U647" s="2"/>
      <c r="V647" s="2"/>
      <c r="W647" s="2"/>
    </row>
    <row r="648">
      <c r="A648" s="2"/>
      <c r="B648" s="2"/>
      <c r="C648" s="2"/>
      <c r="D648" s="2"/>
      <c r="E648" s="2"/>
      <c r="F648" s="2"/>
      <c r="G648" s="2"/>
      <c r="H648" s="2"/>
      <c r="I648" s="2"/>
      <c r="J648" s="2"/>
      <c r="K648" s="2"/>
      <c r="L648" s="2"/>
      <c r="M648" s="2"/>
      <c r="N648" s="2"/>
      <c r="O648" s="2"/>
      <c r="P648" s="2"/>
      <c r="Q648" s="2"/>
      <c r="R648" s="2"/>
      <c r="S648" s="2"/>
      <c r="T648" s="2"/>
      <c r="U648" s="2"/>
      <c r="V648" s="2"/>
      <c r="W648" s="2"/>
    </row>
    <row r="649">
      <c r="A649" s="2"/>
      <c r="B649" s="2"/>
      <c r="C649" s="2"/>
      <c r="D649" s="2"/>
      <c r="E649" s="2"/>
      <c r="F649" s="2"/>
      <c r="G649" s="2"/>
      <c r="H649" s="2"/>
      <c r="I649" s="2"/>
      <c r="J649" s="2"/>
      <c r="K649" s="2"/>
      <c r="L649" s="2"/>
      <c r="M649" s="2"/>
      <c r="N649" s="2"/>
      <c r="O649" s="2"/>
      <c r="P649" s="2"/>
      <c r="Q649" s="2"/>
      <c r="R649" s="2"/>
      <c r="S649" s="2"/>
      <c r="T649" s="2"/>
      <c r="U649" s="2"/>
      <c r="V649" s="2"/>
      <c r="W649" s="2"/>
    </row>
    <row r="650">
      <c r="A650" s="2"/>
      <c r="B650" s="2"/>
      <c r="C650" s="2"/>
      <c r="D650" s="2"/>
      <c r="E650" s="2"/>
      <c r="F650" s="2"/>
      <c r="G650" s="2"/>
      <c r="H650" s="2"/>
      <c r="I650" s="2"/>
      <c r="J650" s="2"/>
      <c r="K650" s="2"/>
      <c r="L650" s="2"/>
      <c r="M650" s="2"/>
      <c r="N650" s="2"/>
      <c r="O650" s="2"/>
      <c r="P650" s="2"/>
      <c r="Q650" s="2"/>
      <c r="R650" s="2"/>
      <c r="S650" s="2"/>
      <c r="T650" s="2"/>
      <c r="U650" s="2"/>
      <c r="V650" s="2"/>
      <c r="W650" s="2"/>
    </row>
    <row r="651">
      <c r="A651" s="2"/>
      <c r="B651" s="2"/>
      <c r="C651" s="2"/>
      <c r="D651" s="2"/>
      <c r="E651" s="2"/>
      <c r="F651" s="2"/>
      <c r="G651" s="2"/>
      <c r="H651" s="2"/>
      <c r="I651" s="2"/>
      <c r="J651" s="2"/>
      <c r="K651" s="2"/>
      <c r="L651" s="2"/>
      <c r="M651" s="2"/>
      <c r="N651" s="2"/>
      <c r="O651" s="2"/>
      <c r="P651" s="2"/>
      <c r="Q651" s="2"/>
      <c r="R651" s="2"/>
      <c r="S651" s="2"/>
      <c r="T651" s="2"/>
      <c r="U651" s="2"/>
      <c r="V651" s="2"/>
      <c r="W651" s="2"/>
    </row>
    <row r="652">
      <c r="A652" s="2"/>
      <c r="B652" s="2"/>
      <c r="C652" s="2"/>
      <c r="D652" s="2"/>
      <c r="E652" s="2"/>
      <c r="F652" s="2"/>
      <c r="G652" s="2"/>
      <c r="H652" s="2"/>
      <c r="I652" s="2"/>
      <c r="J652" s="2"/>
      <c r="K652" s="2"/>
      <c r="L652" s="2"/>
      <c r="M652" s="2"/>
      <c r="N652" s="2"/>
      <c r="O652" s="2"/>
      <c r="P652" s="2"/>
      <c r="Q652" s="2"/>
      <c r="R652" s="2"/>
      <c r="S652" s="2"/>
      <c r="T652" s="2"/>
      <c r="U652" s="2"/>
      <c r="V652" s="2"/>
      <c r="W652" s="2"/>
    </row>
    <row r="653">
      <c r="A653" s="2"/>
      <c r="B653" s="2"/>
      <c r="C653" s="2"/>
      <c r="D653" s="2"/>
      <c r="E653" s="2"/>
      <c r="F653" s="2"/>
      <c r="G653" s="2"/>
      <c r="H653" s="2"/>
      <c r="I653" s="2"/>
      <c r="J653" s="2"/>
      <c r="K653" s="2"/>
      <c r="L653" s="2"/>
      <c r="M653" s="2"/>
      <c r="N653" s="2"/>
      <c r="O653" s="2"/>
      <c r="P653" s="2"/>
      <c r="Q653" s="2"/>
      <c r="R653" s="2"/>
      <c r="S653" s="2"/>
      <c r="T653" s="2"/>
      <c r="U653" s="2"/>
      <c r="V653" s="2"/>
      <c r="W653" s="2"/>
    </row>
    <row r="654">
      <c r="A654" s="2"/>
      <c r="B654" s="2"/>
      <c r="C654" s="2"/>
      <c r="D654" s="2"/>
      <c r="E654" s="2"/>
      <c r="F654" s="2"/>
      <c r="G654" s="2"/>
      <c r="H654" s="2"/>
      <c r="I654" s="2"/>
      <c r="J654" s="2"/>
      <c r="K654" s="2"/>
      <c r="L654" s="2"/>
      <c r="M654" s="2"/>
      <c r="N654" s="2"/>
      <c r="O654" s="2"/>
      <c r="P654" s="2"/>
      <c r="Q654" s="2"/>
      <c r="R654" s="2"/>
      <c r="S654" s="2"/>
      <c r="T654" s="2"/>
      <c r="U654" s="2"/>
      <c r="V654" s="2"/>
      <c r="W654" s="2"/>
    </row>
    <row r="655">
      <c r="A655" s="2"/>
      <c r="B655" s="2"/>
      <c r="C655" s="2"/>
      <c r="D655" s="2"/>
      <c r="E655" s="2"/>
      <c r="F655" s="2"/>
      <c r="G655" s="2"/>
      <c r="H655" s="2"/>
      <c r="I655" s="2"/>
      <c r="J655" s="2"/>
      <c r="K655" s="2"/>
      <c r="L655" s="2"/>
      <c r="M655" s="2"/>
      <c r="N655" s="2"/>
      <c r="O655" s="2"/>
      <c r="P655" s="2"/>
      <c r="Q655" s="2"/>
      <c r="R655" s="2"/>
      <c r="S655" s="2"/>
      <c r="T655" s="2"/>
      <c r="U655" s="2"/>
      <c r="V655" s="2"/>
      <c r="W655" s="2"/>
    </row>
    <row r="656">
      <c r="A656" s="2"/>
      <c r="B656" s="2"/>
      <c r="C656" s="2"/>
      <c r="D656" s="2"/>
      <c r="E656" s="2"/>
      <c r="F656" s="2"/>
      <c r="G656" s="2"/>
      <c r="H656" s="2"/>
      <c r="I656" s="2"/>
      <c r="J656" s="2"/>
      <c r="K656" s="2"/>
      <c r="L656" s="2"/>
      <c r="M656" s="2"/>
      <c r="N656" s="2"/>
      <c r="O656" s="2"/>
      <c r="P656" s="2"/>
      <c r="Q656" s="2"/>
      <c r="R656" s="2"/>
      <c r="S656" s="2"/>
      <c r="T656" s="2"/>
      <c r="U656" s="2"/>
      <c r="V656" s="2"/>
      <c r="W656" s="2"/>
    </row>
    <row r="657">
      <c r="A657" s="2"/>
      <c r="B657" s="2"/>
      <c r="C657" s="2"/>
      <c r="D657" s="2"/>
      <c r="E657" s="2"/>
      <c r="F657" s="2"/>
      <c r="G657" s="2"/>
      <c r="H657" s="2"/>
      <c r="I657" s="2"/>
      <c r="J657" s="2"/>
      <c r="K657" s="2"/>
      <c r="L657" s="2"/>
      <c r="M657" s="2"/>
      <c r="N657" s="2"/>
      <c r="O657" s="2"/>
      <c r="P657" s="2"/>
      <c r="Q657" s="2"/>
      <c r="R657" s="2"/>
      <c r="S657" s="2"/>
      <c r="T657" s="2"/>
      <c r="U657" s="2"/>
      <c r="V657" s="2"/>
      <c r="W657" s="2"/>
    </row>
    <row r="658">
      <c r="A658" s="2"/>
      <c r="B658" s="2"/>
      <c r="C658" s="2"/>
      <c r="D658" s="2"/>
      <c r="E658" s="2"/>
      <c r="F658" s="2"/>
      <c r="G658" s="2"/>
      <c r="H658" s="2"/>
      <c r="I658" s="2"/>
      <c r="J658" s="2"/>
      <c r="K658" s="2"/>
      <c r="L658" s="2"/>
      <c r="M658" s="2"/>
      <c r="N658" s="2"/>
      <c r="O658" s="2"/>
      <c r="P658" s="2"/>
      <c r="Q658" s="2"/>
      <c r="R658" s="2"/>
      <c r="S658" s="2"/>
      <c r="T658" s="2"/>
      <c r="U658" s="2"/>
      <c r="V658" s="2"/>
      <c r="W658" s="2"/>
    </row>
    <row r="659">
      <c r="A659" s="2"/>
      <c r="B659" s="2"/>
      <c r="C659" s="2"/>
      <c r="D659" s="2"/>
      <c r="E659" s="2"/>
      <c r="F659" s="2"/>
      <c r="G659" s="2"/>
      <c r="H659" s="2"/>
      <c r="I659" s="2"/>
      <c r="J659" s="2"/>
      <c r="K659" s="2"/>
      <c r="L659" s="2"/>
      <c r="M659" s="2"/>
      <c r="N659" s="2"/>
      <c r="O659" s="2"/>
      <c r="P659" s="2"/>
      <c r="Q659" s="2"/>
      <c r="R659" s="2"/>
      <c r="S659" s="2"/>
      <c r="T659" s="2"/>
      <c r="U659" s="2"/>
      <c r="V659" s="2"/>
      <c r="W659" s="2"/>
    </row>
    <row r="660">
      <c r="A660" s="2"/>
      <c r="B660" s="2"/>
      <c r="C660" s="2"/>
      <c r="D660" s="2"/>
      <c r="E660" s="2"/>
      <c r="F660" s="2"/>
      <c r="G660" s="2"/>
      <c r="H660" s="2"/>
      <c r="I660" s="2"/>
      <c r="J660" s="2"/>
      <c r="K660" s="2"/>
      <c r="L660" s="2"/>
      <c r="M660" s="2"/>
      <c r="N660" s="2"/>
      <c r="O660" s="2"/>
      <c r="P660" s="2"/>
      <c r="Q660" s="2"/>
      <c r="R660" s="2"/>
      <c r="S660" s="2"/>
      <c r="T660" s="2"/>
      <c r="U660" s="2"/>
      <c r="V660" s="2"/>
      <c r="W660" s="2"/>
    </row>
    <row r="661">
      <c r="A661" s="2"/>
      <c r="B661" s="2"/>
      <c r="C661" s="2"/>
      <c r="D661" s="2"/>
      <c r="E661" s="2"/>
      <c r="F661" s="2"/>
      <c r="G661" s="2"/>
      <c r="H661" s="2"/>
      <c r="I661" s="2"/>
      <c r="J661" s="2"/>
      <c r="K661" s="2"/>
      <c r="L661" s="2"/>
      <c r="M661" s="2"/>
      <c r="N661" s="2"/>
      <c r="O661" s="2"/>
      <c r="P661" s="2"/>
      <c r="Q661" s="2"/>
      <c r="R661" s="2"/>
      <c r="S661" s="2"/>
      <c r="T661" s="2"/>
      <c r="U661" s="2"/>
      <c r="V661" s="2"/>
      <c r="W661" s="2"/>
    </row>
    <row r="662">
      <c r="A662" s="2"/>
      <c r="B662" s="2"/>
      <c r="C662" s="2"/>
      <c r="D662" s="2"/>
      <c r="E662" s="2"/>
      <c r="F662" s="2"/>
      <c r="G662" s="2"/>
      <c r="H662" s="2"/>
      <c r="I662" s="2"/>
      <c r="J662" s="2"/>
      <c r="K662" s="2"/>
      <c r="L662" s="2"/>
      <c r="M662" s="2"/>
      <c r="N662" s="2"/>
      <c r="O662" s="2"/>
      <c r="P662" s="2"/>
      <c r="Q662" s="2"/>
      <c r="R662" s="2"/>
      <c r="S662" s="2"/>
      <c r="T662" s="2"/>
      <c r="U662" s="2"/>
      <c r="V662" s="2"/>
      <c r="W662" s="2"/>
    </row>
    <row r="663">
      <c r="A663" s="2"/>
      <c r="B663" s="2"/>
      <c r="C663" s="2"/>
      <c r="D663" s="2"/>
      <c r="E663" s="2"/>
      <c r="F663" s="2"/>
      <c r="G663" s="2"/>
      <c r="H663" s="2"/>
      <c r="I663" s="2"/>
      <c r="J663" s="2"/>
      <c r="K663" s="2"/>
      <c r="L663" s="2"/>
      <c r="M663" s="2"/>
      <c r="N663" s="2"/>
      <c r="O663" s="2"/>
      <c r="P663" s="2"/>
      <c r="Q663" s="2"/>
      <c r="R663" s="2"/>
      <c r="S663" s="2"/>
      <c r="T663" s="2"/>
      <c r="U663" s="2"/>
      <c r="V663" s="2"/>
      <c r="W663" s="2"/>
    </row>
    <row r="664">
      <c r="A664" s="2"/>
      <c r="B664" s="2"/>
      <c r="C664" s="2"/>
      <c r="D664" s="2"/>
      <c r="E664" s="2"/>
      <c r="F664" s="2"/>
      <c r="G664" s="2"/>
      <c r="H664" s="2"/>
      <c r="I664" s="2"/>
      <c r="J664" s="2"/>
      <c r="K664" s="2"/>
      <c r="L664" s="2"/>
      <c r="M664" s="2"/>
      <c r="N664" s="2"/>
      <c r="O664" s="2"/>
      <c r="P664" s="2"/>
      <c r="Q664" s="2"/>
      <c r="R664" s="2"/>
      <c r="S664" s="2"/>
      <c r="T664" s="2"/>
      <c r="U664" s="2"/>
      <c r="V664" s="2"/>
      <c r="W664" s="2"/>
    </row>
    <row r="665">
      <c r="A665" s="2"/>
      <c r="B665" s="2"/>
      <c r="C665" s="2"/>
      <c r="D665" s="2"/>
      <c r="E665" s="2"/>
      <c r="F665" s="2"/>
      <c r="G665" s="2"/>
      <c r="H665" s="2"/>
      <c r="I665" s="2"/>
      <c r="J665" s="2"/>
      <c r="K665" s="2"/>
      <c r="L665" s="2"/>
      <c r="M665" s="2"/>
      <c r="N665" s="2"/>
      <c r="O665" s="2"/>
      <c r="P665" s="2"/>
      <c r="Q665" s="2"/>
      <c r="R665" s="2"/>
      <c r="S665" s="2"/>
      <c r="T665" s="2"/>
      <c r="U665" s="2"/>
      <c r="V665" s="2"/>
      <c r="W665" s="2"/>
    </row>
    <row r="666">
      <c r="A666" s="2"/>
      <c r="B666" s="2"/>
      <c r="C666" s="2"/>
      <c r="D666" s="2"/>
      <c r="E666" s="2"/>
      <c r="F666" s="2"/>
      <c r="G666" s="2"/>
      <c r="H666" s="2"/>
      <c r="I666" s="2"/>
      <c r="J666" s="2"/>
      <c r="K666" s="2"/>
      <c r="L666" s="2"/>
      <c r="M666" s="2"/>
      <c r="N666" s="2"/>
      <c r="O666" s="2"/>
      <c r="P666" s="2"/>
      <c r="Q666" s="2"/>
      <c r="R666" s="2"/>
      <c r="S666" s="2"/>
      <c r="T666" s="2"/>
      <c r="U666" s="2"/>
      <c r="V666" s="2"/>
      <c r="W666" s="2"/>
    </row>
    <row r="667">
      <c r="A667" s="2"/>
      <c r="B667" s="2"/>
      <c r="C667" s="2"/>
      <c r="D667" s="2"/>
      <c r="E667" s="2"/>
      <c r="F667" s="2"/>
      <c r="G667" s="2"/>
      <c r="H667" s="2"/>
      <c r="I667" s="2"/>
      <c r="J667" s="2"/>
      <c r="K667" s="2"/>
      <c r="L667" s="2"/>
      <c r="M667" s="2"/>
      <c r="N667" s="2"/>
      <c r="O667" s="2"/>
      <c r="P667" s="2"/>
      <c r="Q667" s="2"/>
      <c r="R667" s="2"/>
      <c r="S667" s="2"/>
      <c r="T667" s="2"/>
      <c r="U667" s="2"/>
      <c r="V667" s="2"/>
      <c r="W667" s="2"/>
    </row>
    <row r="668">
      <c r="A668" s="2"/>
      <c r="B668" s="2"/>
      <c r="C668" s="2"/>
      <c r="D668" s="2"/>
      <c r="E668" s="2"/>
      <c r="F668" s="2"/>
      <c r="G668" s="2"/>
      <c r="H668" s="2"/>
      <c r="I668" s="2"/>
      <c r="J668" s="2"/>
      <c r="K668" s="2"/>
      <c r="L668" s="2"/>
      <c r="M668" s="2"/>
      <c r="N668" s="2"/>
      <c r="O668" s="2"/>
      <c r="P668" s="2"/>
      <c r="Q668" s="2"/>
      <c r="R668" s="2"/>
      <c r="S668" s="2"/>
      <c r="T668" s="2"/>
      <c r="U668" s="2"/>
      <c r="V668" s="2"/>
      <c r="W668" s="2"/>
    </row>
    <row r="669">
      <c r="A669" s="2"/>
      <c r="B669" s="2"/>
      <c r="C669" s="2"/>
      <c r="D669" s="2"/>
      <c r="E669" s="2"/>
      <c r="F669" s="2"/>
      <c r="G669" s="2"/>
      <c r="H669" s="2"/>
      <c r="I669" s="2"/>
      <c r="J669" s="2"/>
      <c r="K669" s="2"/>
      <c r="L669" s="2"/>
      <c r="M669" s="2"/>
      <c r="N669" s="2"/>
      <c r="O669" s="2"/>
      <c r="P669" s="2"/>
      <c r="Q669" s="2"/>
      <c r="R669" s="2"/>
      <c r="S669" s="2"/>
      <c r="T669" s="2"/>
      <c r="U669" s="2"/>
      <c r="V669" s="2"/>
      <c r="W669" s="2"/>
    </row>
    <row r="670">
      <c r="A670" s="2"/>
      <c r="B670" s="2"/>
      <c r="C670" s="2"/>
      <c r="D670" s="2"/>
      <c r="E670" s="2"/>
      <c r="F670" s="2"/>
      <c r="G670" s="2"/>
      <c r="H670" s="2"/>
      <c r="I670" s="2"/>
      <c r="J670" s="2"/>
      <c r="K670" s="2"/>
      <c r="L670" s="2"/>
      <c r="M670" s="2"/>
      <c r="N670" s="2"/>
      <c r="O670" s="2"/>
      <c r="P670" s="2"/>
      <c r="Q670" s="2"/>
      <c r="R670" s="2"/>
      <c r="S670" s="2"/>
      <c r="T670" s="2"/>
      <c r="U670" s="2"/>
      <c r="V670" s="2"/>
      <c r="W670" s="2"/>
    </row>
    <row r="671">
      <c r="A671" s="2"/>
      <c r="B671" s="2"/>
      <c r="C671" s="2"/>
      <c r="D671" s="2"/>
      <c r="E671" s="2"/>
      <c r="F671" s="2"/>
      <c r="G671" s="2"/>
      <c r="H671" s="2"/>
      <c r="I671" s="2"/>
      <c r="J671" s="2"/>
      <c r="K671" s="2"/>
      <c r="L671" s="2"/>
      <c r="M671" s="2"/>
      <c r="N671" s="2"/>
      <c r="O671" s="2"/>
      <c r="P671" s="2"/>
      <c r="Q671" s="2"/>
      <c r="R671" s="2"/>
      <c r="S671" s="2"/>
      <c r="T671" s="2"/>
      <c r="U671" s="2"/>
      <c r="V671" s="2"/>
      <c r="W671" s="2"/>
    </row>
    <row r="672">
      <c r="A672" s="2"/>
      <c r="B672" s="2"/>
      <c r="C672" s="2"/>
      <c r="D672" s="2"/>
      <c r="E672" s="2"/>
      <c r="F672" s="2"/>
      <c r="G672" s="2"/>
      <c r="H672" s="2"/>
      <c r="I672" s="2"/>
      <c r="J672" s="2"/>
      <c r="K672" s="2"/>
      <c r="L672" s="2"/>
      <c r="M672" s="2"/>
      <c r="N672" s="2"/>
      <c r="O672" s="2"/>
      <c r="P672" s="2"/>
      <c r="Q672" s="2"/>
      <c r="R672" s="2"/>
      <c r="S672" s="2"/>
      <c r="T672" s="2"/>
      <c r="U672" s="2"/>
      <c r="V672" s="2"/>
      <c r="W672" s="2"/>
    </row>
    <row r="673">
      <c r="A673" s="2"/>
      <c r="B673" s="2"/>
      <c r="C673" s="2"/>
      <c r="D673" s="2"/>
      <c r="E673" s="2"/>
      <c r="F673" s="2"/>
      <c r="G673" s="2"/>
      <c r="H673" s="2"/>
      <c r="I673" s="2"/>
      <c r="J673" s="2"/>
      <c r="K673" s="2"/>
      <c r="L673" s="2"/>
      <c r="M673" s="2"/>
      <c r="N673" s="2"/>
      <c r="O673" s="2"/>
      <c r="P673" s="2"/>
      <c r="Q673" s="2"/>
      <c r="R673" s="2"/>
      <c r="S673" s="2"/>
      <c r="T673" s="2"/>
      <c r="U673" s="2"/>
      <c r="V673" s="2"/>
      <c r="W673" s="2"/>
    </row>
    <row r="674">
      <c r="A674" s="2"/>
      <c r="B674" s="2"/>
      <c r="C674" s="2"/>
      <c r="D674" s="2"/>
      <c r="E674" s="2"/>
      <c r="F674" s="2"/>
      <c r="G674" s="2"/>
      <c r="H674" s="2"/>
      <c r="I674" s="2"/>
      <c r="J674" s="2"/>
      <c r="K674" s="2"/>
      <c r="L674" s="2"/>
      <c r="M674" s="2"/>
      <c r="N674" s="2"/>
      <c r="O674" s="2"/>
      <c r="P674" s="2"/>
      <c r="Q674" s="2"/>
      <c r="R674" s="2"/>
      <c r="S674" s="2"/>
      <c r="T674" s="2"/>
      <c r="U674" s="2"/>
      <c r="V674" s="2"/>
      <c r="W674" s="2"/>
    </row>
    <row r="675">
      <c r="A675" s="2"/>
      <c r="B675" s="2"/>
      <c r="C675" s="2"/>
      <c r="D675" s="2"/>
      <c r="E675" s="2"/>
      <c r="F675" s="2"/>
      <c r="G675" s="2"/>
      <c r="H675" s="2"/>
      <c r="I675" s="2"/>
      <c r="J675" s="2"/>
      <c r="K675" s="2"/>
      <c r="L675" s="2"/>
      <c r="M675" s="2"/>
      <c r="N675" s="2"/>
      <c r="O675" s="2"/>
      <c r="P675" s="2"/>
      <c r="Q675" s="2"/>
      <c r="R675" s="2"/>
      <c r="S675" s="2"/>
      <c r="T675" s="2"/>
      <c r="U675" s="2"/>
      <c r="V675" s="2"/>
      <c r="W675" s="2"/>
    </row>
    <row r="676">
      <c r="A676" s="2"/>
      <c r="B676" s="2"/>
      <c r="C676" s="2"/>
      <c r="D676" s="2"/>
      <c r="E676" s="2"/>
      <c r="F676" s="2"/>
      <c r="G676" s="2"/>
      <c r="H676" s="2"/>
      <c r="I676" s="2"/>
      <c r="J676" s="2"/>
      <c r="K676" s="2"/>
      <c r="L676" s="2"/>
      <c r="M676" s="2"/>
      <c r="N676" s="2"/>
      <c r="O676" s="2"/>
      <c r="P676" s="2"/>
      <c r="Q676" s="2"/>
      <c r="R676" s="2"/>
      <c r="S676" s="2"/>
      <c r="T676" s="2"/>
      <c r="U676" s="2"/>
      <c r="V676" s="2"/>
      <c r="W676" s="2"/>
    </row>
    <row r="677">
      <c r="A677" s="2"/>
      <c r="B677" s="2"/>
      <c r="C677" s="2"/>
      <c r="D677" s="2"/>
      <c r="E677" s="2"/>
      <c r="F677" s="2"/>
      <c r="G677" s="2"/>
      <c r="H677" s="2"/>
      <c r="I677" s="2"/>
      <c r="J677" s="2"/>
      <c r="K677" s="2"/>
      <c r="L677" s="2"/>
      <c r="M677" s="2"/>
      <c r="N677" s="2"/>
      <c r="O677" s="2"/>
      <c r="P677" s="2"/>
      <c r="Q677" s="2"/>
      <c r="R677" s="2"/>
      <c r="S677" s="2"/>
      <c r="T677" s="2"/>
      <c r="U677" s="2"/>
      <c r="V677" s="2"/>
      <c r="W677" s="2"/>
    </row>
    <row r="678">
      <c r="A678" s="2"/>
      <c r="B678" s="2"/>
      <c r="C678" s="2"/>
      <c r="D678" s="2"/>
      <c r="E678" s="2"/>
      <c r="F678" s="2"/>
      <c r="G678" s="2"/>
      <c r="H678" s="2"/>
      <c r="I678" s="2"/>
      <c r="J678" s="2"/>
      <c r="K678" s="2"/>
      <c r="L678" s="2"/>
      <c r="M678" s="2"/>
      <c r="N678" s="2"/>
      <c r="O678" s="2"/>
      <c r="P678" s="2"/>
      <c r="Q678" s="2"/>
      <c r="R678" s="2"/>
      <c r="S678" s="2"/>
      <c r="T678" s="2"/>
      <c r="U678" s="2"/>
      <c r="V678" s="2"/>
      <c r="W678" s="2"/>
    </row>
    <row r="679">
      <c r="A679" s="2"/>
      <c r="B679" s="2"/>
      <c r="C679" s="2"/>
      <c r="D679" s="2"/>
      <c r="E679" s="2"/>
      <c r="F679" s="2"/>
      <c r="G679" s="2"/>
      <c r="H679" s="2"/>
      <c r="I679" s="2"/>
      <c r="J679" s="2"/>
      <c r="K679" s="2"/>
      <c r="L679" s="2"/>
      <c r="M679" s="2"/>
      <c r="N679" s="2"/>
      <c r="O679" s="2"/>
      <c r="P679" s="2"/>
      <c r="Q679" s="2"/>
      <c r="R679" s="2"/>
      <c r="S679" s="2"/>
      <c r="T679" s="2"/>
      <c r="U679" s="2"/>
      <c r="V679" s="2"/>
      <c r="W679" s="2"/>
    </row>
    <row r="680">
      <c r="A680" s="2"/>
      <c r="B680" s="2"/>
      <c r="C680" s="2"/>
      <c r="D680" s="2"/>
      <c r="E680" s="2"/>
      <c r="F680" s="2"/>
      <c r="G680" s="2"/>
      <c r="H680" s="2"/>
      <c r="I680" s="2"/>
      <c r="J680" s="2"/>
      <c r="K680" s="2"/>
      <c r="L680" s="2"/>
      <c r="M680" s="2"/>
      <c r="N680" s="2"/>
      <c r="O680" s="2"/>
      <c r="P680" s="2"/>
      <c r="Q680" s="2"/>
      <c r="R680" s="2"/>
      <c r="S680" s="2"/>
      <c r="T680" s="2"/>
      <c r="U680" s="2"/>
      <c r="V680" s="2"/>
      <c r="W680" s="2"/>
    </row>
    <row r="681">
      <c r="A681" s="2"/>
      <c r="B681" s="2"/>
      <c r="C681" s="2"/>
      <c r="D681" s="2"/>
      <c r="E681" s="2"/>
      <c r="F681" s="2"/>
      <c r="G681" s="2"/>
      <c r="H681" s="2"/>
      <c r="I681" s="2"/>
      <c r="J681" s="2"/>
      <c r="K681" s="2"/>
      <c r="L681" s="2"/>
      <c r="M681" s="2"/>
      <c r="N681" s="2"/>
      <c r="O681" s="2"/>
      <c r="P681" s="2"/>
      <c r="Q681" s="2"/>
      <c r="R681" s="2"/>
      <c r="S681" s="2"/>
      <c r="T681" s="2"/>
      <c r="U681" s="2"/>
      <c r="V681" s="2"/>
      <c r="W681" s="2"/>
    </row>
    <row r="682">
      <c r="A682" s="2"/>
      <c r="B682" s="2"/>
      <c r="C682" s="2"/>
      <c r="D682" s="2"/>
      <c r="E682" s="2"/>
      <c r="F682" s="2"/>
      <c r="G682" s="2"/>
      <c r="H682" s="2"/>
      <c r="I682" s="2"/>
      <c r="J682" s="2"/>
      <c r="K682" s="2"/>
      <c r="L682" s="2"/>
      <c r="M682" s="2"/>
      <c r="N682" s="2"/>
      <c r="O682" s="2"/>
      <c r="P682" s="2"/>
      <c r="Q682" s="2"/>
      <c r="R682" s="2"/>
      <c r="S682" s="2"/>
      <c r="T682" s="2"/>
      <c r="U682" s="2"/>
      <c r="V682" s="2"/>
      <c r="W682" s="2"/>
    </row>
    <row r="683">
      <c r="A683" s="2"/>
      <c r="B683" s="2"/>
      <c r="C683" s="2"/>
      <c r="D683" s="2"/>
      <c r="E683" s="2"/>
      <c r="F683" s="2"/>
      <c r="G683" s="2"/>
      <c r="H683" s="2"/>
      <c r="I683" s="2"/>
      <c r="J683" s="2"/>
      <c r="K683" s="2"/>
      <c r="L683" s="2"/>
      <c r="M683" s="2"/>
      <c r="N683" s="2"/>
      <c r="O683" s="2"/>
      <c r="P683" s="2"/>
      <c r="Q683" s="2"/>
      <c r="R683" s="2"/>
      <c r="S683" s="2"/>
      <c r="T683" s="2"/>
      <c r="U683" s="2"/>
      <c r="V683" s="2"/>
      <c r="W683" s="2"/>
    </row>
    <row r="684">
      <c r="A684" s="2"/>
      <c r="B684" s="2"/>
      <c r="C684" s="2"/>
      <c r="D684" s="2"/>
      <c r="E684" s="2"/>
      <c r="F684" s="2"/>
      <c r="G684" s="2"/>
      <c r="H684" s="2"/>
      <c r="I684" s="2"/>
      <c r="J684" s="2"/>
      <c r="K684" s="2"/>
      <c r="L684" s="2"/>
      <c r="M684" s="2"/>
      <c r="N684" s="2"/>
      <c r="O684" s="2"/>
      <c r="P684" s="2"/>
      <c r="Q684" s="2"/>
      <c r="R684" s="2"/>
      <c r="S684" s="2"/>
      <c r="T684" s="2"/>
      <c r="U684" s="2"/>
      <c r="V684" s="2"/>
      <c r="W684" s="2"/>
    </row>
    <row r="685">
      <c r="A685" s="2"/>
      <c r="B685" s="2"/>
      <c r="C685" s="2"/>
      <c r="D685" s="2"/>
      <c r="E685" s="2"/>
      <c r="F685" s="2"/>
      <c r="G685" s="2"/>
      <c r="H685" s="2"/>
      <c r="I685" s="2"/>
      <c r="J685" s="2"/>
      <c r="K685" s="2"/>
      <c r="L685" s="2"/>
      <c r="M685" s="2"/>
      <c r="N685" s="2"/>
      <c r="O685" s="2"/>
      <c r="P685" s="2"/>
      <c r="Q685" s="2"/>
      <c r="R685" s="2"/>
      <c r="S685" s="2"/>
      <c r="T685" s="2"/>
      <c r="U685" s="2"/>
      <c r="V685" s="2"/>
      <c r="W685" s="2"/>
    </row>
    <row r="686">
      <c r="A686" s="2"/>
      <c r="B686" s="2"/>
      <c r="C686" s="2"/>
      <c r="D686" s="2"/>
      <c r="E686" s="2"/>
      <c r="F686" s="2"/>
      <c r="G686" s="2"/>
      <c r="H686" s="2"/>
      <c r="I686" s="2"/>
      <c r="J686" s="2"/>
      <c r="K686" s="2"/>
      <c r="L686" s="2"/>
      <c r="M686" s="2"/>
      <c r="N686" s="2"/>
      <c r="O686" s="2"/>
      <c r="P686" s="2"/>
      <c r="Q686" s="2"/>
      <c r="R686" s="2"/>
      <c r="S686" s="2"/>
      <c r="T686" s="2"/>
      <c r="U686" s="2"/>
      <c r="V686" s="2"/>
      <c r="W686" s="2"/>
    </row>
    <row r="687">
      <c r="A687" s="2"/>
      <c r="B687" s="2"/>
      <c r="C687" s="2"/>
      <c r="D687" s="2"/>
      <c r="E687" s="2"/>
      <c r="F687" s="2"/>
      <c r="G687" s="2"/>
      <c r="H687" s="2"/>
      <c r="I687" s="2"/>
      <c r="J687" s="2"/>
      <c r="K687" s="2"/>
      <c r="L687" s="2"/>
      <c r="M687" s="2"/>
      <c r="N687" s="2"/>
      <c r="O687" s="2"/>
      <c r="P687" s="2"/>
      <c r="Q687" s="2"/>
      <c r="R687" s="2"/>
      <c r="S687" s="2"/>
      <c r="T687" s="2"/>
      <c r="U687" s="2"/>
      <c r="V687" s="2"/>
      <c r="W687" s="2"/>
    </row>
    <row r="688">
      <c r="A688" s="2"/>
      <c r="B688" s="2"/>
      <c r="C688" s="2"/>
      <c r="D688" s="2"/>
      <c r="E688" s="2"/>
      <c r="F688" s="2"/>
      <c r="G688" s="2"/>
      <c r="H688" s="2"/>
      <c r="I688" s="2"/>
      <c r="J688" s="2"/>
      <c r="K688" s="2"/>
      <c r="L688" s="2"/>
      <c r="M688" s="2"/>
      <c r="N688" s="2"/>
      <c r="O688" s="2"/>
      <c r="P688" s="2"/>
      <c r="Q688" s="2"/>
      <c r="R688" s="2"/>
      <c r="S688" s="2"/>
      <c r="T688" s="2"/>
      <c r="U688" s="2"/>
      <c r="V688" s="2"/>
      <c r="W688" s="2"/>
    </row>
    <row r="689">
      <c r="A689" s="2"/>
      <c r="B689" s="2"/>
      <c r="C689" s="2"/>
      <c r="D689" s="2"/>
      <c r="E689" s="2"/>
      <c r="F689" s="2"/>
      <c r="G689" s="2"/>
      <c r="H689" s="2"/>
      <c r="I689" s="2"/>
      <c r="J689" s="2"/>
      <c r="K689" s="2"/>
      <c r="L689" s="2"/>
      <c r="M689" s="2"/>
      <c r="N689" s="2"/>
      <c r="O689" s="2"/>
      <c r="P689" s="2"/>
      <c r="Q689" s="2"/>
      <c r="R689" s="2"/>
      <c r="S689" s="2"/>
      <c r="T689" s="2"/>
      <c r="U689" s="2"/>
      <c r="V689" s="2"/>
      <c r="W689" s="2"/>
    </row>
    <row r="690">
      <c r="A690" s="2"/>
      <c r="B690" s="2"/>
      <c r="C690" s="2"/>
      <c r="D690" s="2"/>
      <c r="E690" s="2"/>
      <c r="F690" s="2"/>
      <c r="G690" s="2"/>
      <c r="H690" s="2"/>
      <c r="I690" s="2"/>
      <c r="J690" s="2"/>
      <c r="K690" s="2"/>
      <c r="L690" s="2"/>
      <c r="M690" s="2"/>
      <c r="N690" s="2"/>
      <c r="O690" s="2"/>
      <c r="P690" s="2"/>
      <c r="Q690" s="2"/>
      <c r="R690" s="2"/>
      <c r="S690" s="2"/>
      <c r="T690" s="2"/>
      <c r="U690" s="2"/>
      <c r="V690" s="2"/>
      <c r="W690" s="2"/>
    </row>
    <row r="691">
      <c r="A691" s="2"/>
      <c r="B691" s="2"/>
      <c r="C691" s="2"/>
      <c r="D691" s="2"/>
      <c r="E691" s="2"/>
      <c r="F691" s="2"/>
      <c r="G691" s="2"/>
      <c r="H691" s="2"/>
      <c r="I691" s="2"/>
      <c r="J691" s="2"/>
      <c r="K691" s="2"/>
      <c r="L691" s="2"/>
      <c r="M691" s="2"/>
      <c r="N691" s="2"/>
      <c r="O691" s="2"/>
      <c r="P691" s="2"/>
      <c r="Q691" s="2"/>
      <c r="R691" s="2"/>
      <c r="S691" s="2"/>
      <c r="T691" s="2"/>
      <c r="U691" s="2"/>
      <c r="V691" s="2"/>
      <c r="W691" s="2"/>
    </row>
    <row r="692">
      <c r="A692" s="2"/>
      <c r="B692" s="2"/>
      <c r="C692" s="2"/>
      <c r="D692" s="2"/>
      <c r="E692" s="2"/>
      <c r="F692" s="2"/>
      <c r="G692" s="2"/>
      <c r="H692" s="2"/>
      <c r="I692" s="2"/>
      <c r="J692" s="2"/>
      <c r="K692" s="2"/>
      <c r="L692" s="2"/>
      <c r="M692" s="2"/>
      <c r="N692" s="2"/>
      <c r="O692" s="2"/>
      <c r="P692" s="2"/>
      <c r="Q692" s="2"/>
      <c r="R692" s="2"/>
      <c r="S692" s="2"/>
      <c r="T692" s="2"/>
      <c r="U692" s="2"/>
      <c r="V692" s="2"/>
      <c r="W692" s="2"/>
    </row>
    <row r="693">
      <c r="A693" s="2"/>
      <c r="B693" s="2"/>
      <c r="C693" s="2"/>
      <c r="D693" s="2"/>
      <c r="E693" s="2"/>
      <c r="F693" s="2"/>
      <c r="G693" s="2"/>
      <c r="H693" s="2"/>
      <c r="I693" s="2"/>
      <c r="J693" s="2"/>
      <c r="K693" s="2"/>
      <c r="L693" s="2"/>
      <c r="M693" s="2"/>
      <c r="N693" s="2"/>
      <c r="O693" s="2"/>
      <c r="P693" s="2"/>
      <c r="Q693" s="2"/>
      <c r="R693" s="2"/>
      <c r="S693" s="2"/>
      <c r="T693" s="2"/>
      <c r="U693" s="2"/>
      <c r="V693" s="2"/>
      <c r="W693" s="2"/>
    </row>
    <row r="694">
      <c r="A694" s="2"/>
      <c r="B694" s="2"/>
      <c r="C694" s="2"/>
      <c r="D694" s="2"/>
      <c r="E694" s="2"/>
      <c r="F694" s="2"/>
      <c r="G694" s="2"/>
      <c r="H694" s="2"/>
      <c r="I694" s="2"/>
      <c r="J694" s="2"/>
      <c r="K694" s="2"/>
      <c r="L694" s="2"/>
      <c r="M694" s="2"/>
      <c r="N694" s="2"/>
      <c r="O694" s="2"/>
      <c r="P694" s="2"/>
      <c r="Q694" s="2"/>
      <c r="R694" s="2"/>
      <c r="S694" s="2"/>
      <c r="T694" s="2"/>
      <c r="U694" s="2"/>
      <c r="V694" s="2"/>
      <c r="W694" s="2"/>
    </row>
    <row r="695">
      <c r="A695" s="2"/>
      <c r="B695" s="2"/>
      <c r="C695" s="2"/>
      <c r="D695" s="2"/>
      <c r="E695" s="2"/>
      <c r="F695" s="2"/>
      <c r="G695" s="2"/>
      <c r="H695" s="2"/>
      <c r="I695" s="2"/>
      <c r="J695" s="2"/>
      <c r="K695" s="2"/>
      <c r="L695" s="2"/>
      <c r="M695" s="2"/>
      <c r="N695" s="2"/>
      <c r="O695" s="2"/>
      <c r="P695" s="2"/>
      <c r="Q695" s="2"/>
      <c r="R695" s="2"/>
      <c r="S695" s="2"/>
      <c r="T695" s="2"/>
      <c r="U695" s="2"/>
      <c r="V695" s="2"/>
      <c r="W695" s="2"/>
    </row>
    <row r="696">
      <c r="A696" s="2"/>
      <c r="B696" s="2"/>
      <c r="C696" s="2"/>
      <c r="D696" s="2"/>
      <c r="E696" s="2"/>
      <c r="F696" s="2"/>
      <c r="G696" s="2"/>
      <c r="H696" s="2"/>
      <c r="I696" s="2"/>
      <c r="J696" s="2"/>
      <c r="K696" s="2"/>
      <c r="L696" s="2"/>
      <c r="M696" s="2"/>
      <c r="N696" s="2"/>
      <c r="O696" s="2"/>
      <c r="P696" s="2"/>
      <c r="Q696" s="2"/>
      <c r="R696" s="2"/>
      <c r="S696" s="2"/>
      <c r="T696" s="2"/>
      <c r="U696" s="2"/>
      <c r="V696" s="2"/>
      <c r="W696" s="2"/>
    </row>
    <row r="697">
      <c r="A697" s="2"/>
      <c r="B697" s="2"/>
      <c r="C697" s="2"/>
      <c r="D697" s="2"/>
      <c r="E697" s="2"/>
      <c r="F697" s="2"/>
      <c r="G697" s="2"/>
      <c r="H697" s="2"/>
      <c r="I697" s="2"/>
      <c r="J697" s="2"/>
      <c r="K697" s="2"/>
      <c r="L697" s="2"/>
      <c r="M697" s="2"/>
      <c r="N697" s="2"/>
      <c r="O697" s="2"/>
      <c r="P697" s="2"/>
      <c r="Q697" s="2"/>
      <c r="R697" s="2"/>
      <c r="S697" s="2"/>
      <c r="T697" s="2"/>
      <c r="U697" s="2"/>
      <c r="V697" s="2"/>
      <c r="W697" s="2"/>
    </row>
    <row r="698">
      <c r="A698" s="2"/>
      <c r="B698" s="2"/>
      <c r="C698" s="2"/>
      <c r="D698" s="2"/>
      <c r="E698" s="2"/>
      <c r="F698" s="2"/>
      <c r="G698" s="2"/>
      <c r="H698" s="2"/>
      <c r="I698" s="2"/>
      <c r="J698" s="2"/>
      <c r="K698" s="2"/>
      <c r="L698" s="2"/>
      <c r="M698" s="2"/>
      <c r="N698" s="2"/>
      <c r="O698" s="2"/>
      <c r="P698" s="2"/>
      <c r="Q698" s="2"/>
      <c r="R698" s="2"/>
      <c r="S698" s="2"/>
      <c r="T698" s="2"/>
      <c r="U698" s="2"/>
      <c r="V698" s="2"/>
      <c r="W698" s="2"/>
    </row>
    <row r="699">
      <c r="A699" s="2"/>
      <c r="B699" s="2"/>
      <c r="C699" s="2"/>
      <c r="D699" s="2"/>
      <c r="E699" s="2"/>
      <c r="F699" s="2"/>
      <c r="G699" s="2"/>
      <c r="H699" s="2"/>
      <c r="I699" s="2"/>
      <c r="J699" s="2"/>
      <c r="K699" s="2"/>
      <c r="L699" s="2"/>
      <c r="M699" s="2"/>
      <c r="N699" s="2"/>
      <c r="O699" s="2"/>
      <c r="P699" s="2"/>
      <c r="Q699" s="2"/>
      <c r="R699" s="2"/>
      <c r="S699" s="2"/>
      <c r="T699" s="2"/>
      <c r="U699" s="2"/>
      <c r="V699" s="2"/>
      <c r="W699" s="2"/>
    </row>
    <row r="700">
      <c r="A700" s="2"/>
      <c r="B700" s="2"/>
      <c r="C700" s="2"/>
      <c r="D700" s="2"/>
      <c r="E700" s="2"/>
      <c r="F700" s="2"/>
      <c r="G700" s="2"/>
      <c r="H700" s="2"/>
      <c r="I700" s="2"/>
      <c r="J700" s="2"/>
      <c r="K700" s="2"/>
      <c r="L700" s="2"/>
      <c r="M700" s="2"/>
      <c r="N700" s="2"/>
      <c r="O700" s="2"/>
      <c r="P700" s="2"/>
      <c r="Q700" s="2"/>
      <c r="R700" s="2"/>
      <c r="S700" s="2"/>
      <c r="T700" s="2"/>
      <c r="U700" s="2"/>
      <c r="V700" s="2"/>
      <c r="W700" s="2"/>
    </row>
    <row r="701">
      <c r="A701" s="2"/>
      <c r="B701" s="2"/>
      <c r="C701" s="2"/>
      <c r="D701" s="2"/>
      <c r="E701" s="2"/>
      <c r="F701" s="2"/>
      <c r="G701" s="2"/>
      <c r="H701" s="2"/>
      <c r="I701" s="2"/>
      <c r="J701" s="2"/>
      <c r="K701" s="2"/>
      <c r="L701" s="2"/>
      <c r="M701" s="2"/>
      <c r="N701" s="2"/>
      <c r="O701" s="2"/>
      <c r="P701" s="2"/>
      <c r="Q701" s="2"/>
      <c r="R701" s="2"/>
      <c r="S701" s="2"/>
      <c r="T701" s="2"/>
      <c r="U701" s="2"/>
      <c r="V701" s="2"/>
      <c r="W701" s="2"/>
    </row>
    <row r="702">
      <c r="A702" s="2"/>
      <c r="B702" s="2"/>
      <c r="C702" s="2"/>
      <c r="D702" s="2"/>
      <c r="E702" s="2"/>
      <c r="F702" s="2"/>
      <c r="G702" s="2"/>
      <c r="H702" s="2"/>
      <c r="I702" s="2"/>
      <c r="J702" s="2"/>
      <c r="K702" s="2"/>
      <c r="L702" s="2"/>
      <c r="M702" s="2"/>
      <c r="N702" s="2"/>
      <c r="O702" s="2"/>
      <c r="P702" s="2"/>
      <c r="Q702" s="2"/>
      <c r="R702" s="2"/>
      <c r="S702" s="2"/>
      <c r="T702" s="2"/>
      <c r="U702" s="2"/>
      <c r="V702" s="2"/>
      <c r="W702" s="2"/>
    </row>
    <row r="703">
      <c r="A703" s="2"/>
      <c r="B703" s="2"/>
      <c r="C703" s="2"/>
      <c r="D703" s="2"/>
      <c r="E703" s="2"/>
      <c r="F703" s="2"/>
      <c r="G703" s="2"/>
      <c r="H703" s="2"/>
      <c r="I703" s="2"/>
      <c r="J703" s="2"/>
      <c r="K703" s="2"/>
      <c r="L703" s="2"/>
      <c r="M703" s="2"/>
      <c r="N703" s="2"/>
      <c r="O703" s="2"/>
      <c r="P703" s="2"/>
      <c r="Q703" s="2"/>
      <c r="R703" s="2"/>
      <c r="S703" s="2"/>
      <c r="T703" s="2"/>
      <c r="U703" s="2"/>
      <c r="V703" s="2"/>
      <c r="W703" s="2"/>
    </row>
    <row r="704">
      <c r="A704" s="2"/>
      <c r="B704" s="2"/>
      <c r="C704" s="2"/>
      <c r="D704" s="2"/>
      <c r="E704" s="2"/>
      <c r="F704" s="2"/>
      <c r="G704" s="2"/>
      <c r="H704" s="2"/>
      <c r="I704" s="2"/>
      <c r="J704" s="2"/>
      <c r="K704" s="2"/>
      <c r="L704" s="2"/>
      <c r="M704" s="2"/>
      <c r="N704" s="2"/>
      <c r="O704" s="2"/>
      <c r="P704" s="2"/>
      <c r="Q704" s="2"/>
      <c r="R704" s="2"/>
      <c r="S704" s="2"/>
      <c r="T704" s="2"/>
      <c r="U704" s="2"/>
      <c r="V704" s="2"/>
      <c r="W704" s="2"/>
    </row>
    <row r="705">
      <c r="A705" s="2"/>
      <c r="B705" s="2"/>
      <c r="C705" s="2"/>
      <c r="D705" s="2"/>
      <c r="E705" s="2"/>
      <c r="F705" s="2"/>
      <c r="G705" s="2"/>
      <c r="H705" s="2"/>
      <c r="I705" s="2"/>
      <c r="J705" s="2"/>
      <c r="K705" s="2"/>
      <c r="L705" s="2"/>
      <c r="M705" s="2"/>
      <c r="N705" s="2"/>
      <c r="O705" s="2"/>
      <c r="P705" s="2"/>
      <c r="Q705" s="2"/>
      <c r="R705" s="2"/>
      <c r="S705" s="2"/>
      <c r="T705" s="2"/>
      <c r="U705" s="2"/>
      <c r="V705" s="2"/>
      <c r="W705" s="2"/>
    </row>
    <row r="706">
      <c r="A706" s="2"/>
      <c r="B706" s="2"/>
      <c r="C706" s="2"/>
      <c r="D706" s="2"/>
      <c r="E706" s="2"/>
      <c r="F706" s="2"/>
      <c r="G706" s="2"/>
      <c r="H706" s="2"/>
      <c r="I706" s="2"/>
      <c r="J706" s="2"/>
      <c r="K706" s="2"/>
      <c r="L706" s="2"/>
      <c r="M706" s="2"/>
      <c r="N706" s="2"/>
      <c r="O706" s="2"/>
      <c r="P706" s="2"/>
      <c r="Q706" s="2"/>
      <c r="R706" s="2"/>
      <c r="S706" s="2"/>
      <c r="T706" s="2"/>
      <c r="U706" s="2"/>
      <c r="V706" s="2"/>
      <c r="W706" s="2"/>
    </row>
    <row r="707">
      <c r="A707" s="2"/>
      <c r="B707" s="2"/>
      <c r="C707" s="2"/>
      <c r="D707" s="2"/>
      <c r="E707" s="2"/>
      <c r="F707" s="2"/>
      <c r="G707" s="2"/>
      <c r="H707" s="2"/>
      <c r="I707" s="2"/>
      <c r="J707" s="2"/>
      <c r="K707" s="2"/>
      <c r="L707" s="2"/>
      <c r="M707" s="2"/>
      <c r="N707" s="2"/>
      <c r="O707" s="2"/>
      <c r="P707" s="2"/>
      <c r="Q707" s="2"/>
      <c r="R707" s="2"/>
      <c r="S707" s="2"/>
      <c r="T707" s="2"/>
      <c r="U707" s="2"/>
      <c r="V707" s="2"/>
      <c r="W707" s="2"/>
    </row>
    <row r="708">
      <c r="A708" s="2"/>
      <c r="B708" s="2"/>
      <c r="C708" s="2"/>
      <c r="D708" s="2"/>
      <c r="E708" s="2"/>
      <c r="F708" s="2"/>
      <c r="G708" s="2"/>
      <c r="H708" s="2"/>
      <c r="I708" s="2"/>
      <c r="J708" s="2"/>
      <c r="K708" s="2"/>
      <c r="L708" s="2"/>
      <c r="M708" s="2"/>
      <c r="N708" s="2"/>
      <c r="O708" s="2"/>
      <c r="P708" s="2"/>
      <c r="Q708" s="2"/>
      <c r="R708" s="2"/>
      <c r="S708" s="2"/>
      <c r="T708" s="2"/>
      <c r="U708" s="2"/>
      <c r="V708" s="2"/>
      <c r="W708" s="2"/>
    </row>
    <row r="709">
      <c r="A709" s="2"/>
      <c r="B709" s="2"/>
      <c r="C709" s="2"/>
      <c r="D709" s="2"/>
      <c r="E709" s="2"/>
      <c r="F709" s="2"/>
      <c r="G709" s="2"/>
      <c r="H709" s="2"/>
      <c r="I709" s="2"/>
      <c r="J709" s="2"/>
      <c r="K709" s="2"/>
      <c r="L709" s="2"/>
      <c r="M709" s="2"/>
      <c r="N709" s="2"/>
      <c r="O709" s="2"/>
      <c r="P709" s="2"/>
      <c r="Q709" s="2"/>
      <c r="R709" s="2"/>
      <c r="S709" s="2"/>
      <c r="T709" s="2"/>
      <c r="U709" s="2"/>
      <c r="V709" s="2"/>
      <c r="W709" s="2"/>
    </row>
    <row r="710">
      <c r="A710" s="2"/>
      <c r="B710" s="2"/>
      <c r="C710" s="2"/>
      <c r="D710" s="2"/>
      <c r="E710" s="2"/>
      <c r="F710" s="2"/>
      <c r="G710" s="2"/>
      <c r="H710" s="2"/>
      <c r="I710" s="2"/>
      <c r="J710" s="2"/>
      <c r="K710" s="2"/>
      <c r="L710" s="2"/>
      <c r="M710" s="2"/>
      <c r="N710" s="2"/>
      <c r="O710" s="2"/>
      <c r="P710" s="2"/>
      <c r="Q710" s="2"/>
      <c r="R710" s="2"/>
      <c r="S710" s="2"/>
      <c r="T710" s="2"/>
      <c r="U710" s="2"/>
      <c r="V710" s="2"/>
      <c r="W710" s="2"/>
    </row>
    <row r="711">
      <c r="A711" s="2"/>
      <c r="B711" s="2"/>
      <c r="C711" s="2"/>
      <c r="D711" s="2"/>
      <c r="E711" s="2"/>
      <c r="F711" s="2"/>
      <c r="G711" s="2"/>
      <c r="H711" s="2"/>
      <c r="I711" s="2"/>
      <c r="J711" s="2"/>
      <c r="K711" s="2"/>
      <c r="L711" s="2"/>
      <c r="M711" s="2"/>
      <c r="N711" s="2"/>
      <c r="O711" s="2"/>
      <c r="P711" s="2"/>
      <c r="Q711" s="2"/>
      <c r="R711" s="2"/>
      <c r="S711" s="2"/>
      <c r="T711" s="2"/>
      <c r="U711" s="2"/>
      <c r="V711" s="2"/>
      <c r="W711" s="2"/>
    </row>
    <row r="712">
      <c r="A712" s="2"/>
      <c r="B712" s="2"/>
      <c r="C712" s="2"/>
      <c r="D712" s="2"/>
      <c r="E712" s="2"/>
      <c r="F712" s="2"/>
      <c r="G712" s="2"/>
      <c r="H712" s="2"/>
      <c r="I712" s="2"/>
      <c r="J712" s="2"/>
      <c r="K712" s="2"/>
      <c r="L712" s="2"/>
      <c r="M712" s="2"/>
      <c r="N712" s="2"/>
      <c r="O712" s="2"/>
      <c r="P712" s="2"/>
      <c r="Q712" s="2"/>
      <c r="R712" s="2"/>
      <c r="S712" s="2"/>
      <c r="T712" s="2"/>
      <c r="U712" s="2"/>
      <c r="V712" s="2"/>
      <c r="W712" s="2"/>
    </row>
    <row r="713">
      <c r="A713" s="2"/>
      <c r="B713" s="2"/>
      <c r="C713" s="2"/>
      <c r="D713" s="2"/>
      <c r="E713" s="2"/>
      <c r="F713" s="2"/>
      <c r="G713" s="2"/>
      <c r="H713" s="2"/>
      <c r="I713" s="2"/>
      <c r="J713" s="2"/>
      <c r="K713" s="2"/>
      <c r="L713" s="2"/>
      <c r="M713" s="2"/>
      <c r="N713" s="2"/>
      <c r="O713" s="2"/>
      <c r="P713" s="2"/>
      <c r="Q713" s="2"/>
      <c r="R713" s="2"/>
      <c r="S713" s="2"/>
      <c r="T713" s="2"/>
      <c r="U713" s="2"/>
      <c r="V713" s="2"/>
      <c r="W713" s="2"/>
    </row>
    <row r="714">
      <c r="A714" s="2"/>
      <c r="B714" s="2"/>
      <c r="C714" s="2"/>
      <c r="D714" s="2"/>
      <c r="E714" s="2"/>
      <c r="F714" s="2"/>
      <c r="G714" s="2"/>
      <c r="H714" s="2"/>
      <c r="I714" s="2"/>
      <c r="J714" s="2"/>
      <c r="K714" s="2"/>
      <c r="L714" s="2"/>
      <c r="M714" s="2"/>
      <c r="N714" s="2"/>
      <c r="O714" s="2"/>
      <c r="P714" s="2"/>
      <c r="Q714" s="2"/>
      <c r="R714" s="2"/>
      <c r="S714" s="2"/>
      <c r="T714" s="2"/>
      <c r="U714" s="2"/>
      <c r="V714" s="2"/>
      <c r="W714" s="2"/>
    </row>
    <row r="715">
      <c r="A715" s="2"/>
      <c r="B715" s="2"/>
      <c r="C715" s="2"/>
      <c r="D715" s="2"/>
      <c r="E715" s="2"/>
      <c r="F715" s="2"/>
      <c r="G715" s="2"/>
      <c r="H715" s="2"/>
      <c r="I715" s="2"/>
      <c r="J715" s="2"/>
      <c r="K715" s="2"/>
      <c r="L715" s="2"/>
      <c r="M715" s="2"/>
      <c r="N715" s="2"/>
      <c r="O715" s="2"/>
      <c r="P715" s="2"/>
      <c r="Q715" s="2"/>
      <c r="R715" s="2"/>
      <c r="S715" s="2"/>
      <c r="T715" s="2"/>
      <c r="U715" s="2"/>
      <c r="V715" s="2"/>
      <c r="W715" s="2"/>
    </row>
    <row r="716">
      <c r="A716" s="2"/>
      <c r="B716" s="2"/>
      <c r="C716" s="2"/>
      <c r="D716" s="2"/>
      <c r="E716" s="2"/>
      <c r="F716" s="2"/>
      <c r="G716" s="2"/>
      <c r="H716" s="2"/>
      <c r="I716" s="2"/>
      <c r="J716" s="2"/>
      <c r="K716" s="2"/>
      <c r="L716" s="2"/>
      <c r="M716" s="2"/>
      <c r="N716" s="2"/>
      <c r="O716" s="2"/>
      <c r="P716" s="2"/>
      <c r="Q716" s="2"/>
      <c r="R716" s="2"/>
      <c r="S716" s="2"/>
      <c r="T716" s="2"/>
      <c r="U716" s="2"/>
      <c r="V716" s="2"/>
      <c r="W716" s="2"/>
    </row>
    <row r="717">
      <c r="A717" s="2"/>
      <c r="B717" s="2"/>
      <c r="C717" s="2"/>
      <c r="D717" s="2"/>
      <c r="E717" s="2"/>
      <c r="F717" s="2"/>
      <c r="G717" s="2"/>
      <c r="H717" s="2"/>
      <c r="I717" s="2"/>
      <c r="J717" s="2"/>
      <c r="K717" s="2"/>
      <c r="L717" s="2"/>
      <c r="M717" s="2"/>
      <c r="N717" s="2"/>
      <c r="O717" s="2"/>
      <c r="P717" s="2"/>
      <c r="Q717" s="2"/>
      <c r="R717" s="2"/>
      <c r="S717" s="2"/>
      <c r="T717" s="2"/>
      <c r="U717" s="2"/>
      <c r="V717" s="2"/>
      <c r="W717" s="2"/>
    </row>
    <row r="718">
      <c r="A718" s="2"/>
      <c r="B718" s="2"/>
      <c r="C718" s="2"/>
      <c r="D718" s="2"/>
      <c r="E718" s="2"/>
      <c r="F718" s="2"/>
      <c r="G718" s="2"/>
      <c r="H718" s="2"/>
      <c r="I718" s="2"/>
      <c r="J718" s="2"/>
      <c r="K718" s="2"/>
      <c r="L718" s="2"/>
      <c r="M718" s="2"/>
      <c r="N718" s="2"/>
      <c r="O718" s="2"/>
      <c r="P718" s="2"/>
      <c r="Q718" s="2"/>
      <c r="R718" s="2"/>
      <c r="S718" s="2"/>
      <c r="T718" s="2"/>
      <c r="U718" s="2"/>
      <c r="V718" s="2"/>
      <c r="W718" s="2"/>
    </row>
    <row r="719">
      <c r="A719" s="2"/>
      <c r="B719" s="2"/>
      <c r="C719" s="2"/>
      <c r="D719" s="2"/>
      <c r="E719" s="2"/>
      <c r="F719" s="2"/>
      <c r="G719" s="2"/>
      <c r="H719" s="2"/>
      <c r="I719" s="2"/>
      <c r="J719" s="2"/>
      <c r="K719" s="2"/>
      <c r="L719" s="2"/>
      <c r="M719" s="2"/>
      <c r="N719" s="2"/>
      <c r="O719" s="2"/>
      <c r="P719" s="2"/>
      <c r="Q719" s="2"/>
      <c r="R719" s="2"/>
      <c r="S719" s="2"/>
      <c r="T719" s="2"/>
      <c r="U719" s="2"/>
      <c r="V719" s="2"/>
      <c r="W719" s="2"/>
    </row>
    <row r="720">
      <c r="A720" s="2"/>
      <c r="B720" s="2"/>
      <c r="C720" s="2"/>
      <c r="D720" s="2"/>
      <c r="E720" s="2"/>
      <c r="F720" s="2"/>
      <c r="G720" s="2"/>
      <c r="H720" s="2"/>
      <c r="I720" s="2"/>
      <c r="J720" s="2"/>
      <c r="K720" s="2"/>
      <c r="L720" s="2"/>
      <c r="M720" s="2"/>
      <c r="N720" s="2"/>
      <c r="O720" s="2"/>
      <c r="P720" s="2"/>
      <c r="Q720" s="2"/>
      <c r="R720" s="2"/>
      <c r="S720" s="2"/>
      <c r="T720" s="2"/>
      <c r="U720" s="2"/>
      <c r="V720" s="2"/>
      <c r="W720" s="2"/>
    </row>
    <row r="721">
      <c r="A721" s="2"/>
      <c r="B721" s="2"/>
      <c r="C721" s="2"/>
      <c r="D721" s="2"/>
      <c r="E721" s="2"/>
      <c r="F721" s="2"/>
      <c r="G721" s="2"/>
      <c r="H721" s="2"/>
      <c r="I721" s="2"/>
      <c r="J721" s="2"/>
      <c r="K721" s="2"/>
      <c r="L721" s="2"/>
      <c r="M721" s="2"/>
      <c r="N721" s="2"/>
      <c r="O721" s="2"/>
      <c r="P721" s="2"/>
      <c r="Q721" s="2"/>
      <c r="R721" s="2"/>
      <c r="S721" s="2"/>
      <c r="T721" s="2"/>
      <c r="U721" s="2"/>
      <c r="V721" s="2"/>
      <c r="W721" s="2"/>
    </row>
    <row r="722">
      <c r="A722" s="2"/>
      <c r="B722" s="2"/>
      <c r="C722" s="2"/>
      <c r="D722" s="2"/>
      <c r="E722" s="2"/>
      <c r="F722" s="2"/>
      <c r="G722" s="2"/>
      <c r="H722" s="2"/>
      <c r="I722" s="2"/>
      <c r="J722" s="2"/>
      <c r="K722" s="2"/>
      <c r="L722" s="2"/>
      <c r="M722" s="2"/>
      <c r="N722" s="2"/>
      <c r="O722" s="2"/>
      <c r="P722" s="2"/>
      <c r="Q722" s="2"/>
      <c r="R722" s="2"/>
      <c r="S722" s="2"/>
      <c r="T722" s="2"/>
      <c r="U722" s="2"/>
      <c r="V722" s="2"/>
      <c r="W722" s="2"/>
    </row>
    <row r="723">
      <c r="A723" s="2"/>
      <c r="B723" s="2"/>
      <c r="C723" s="2"/>
      <c r="D723" s="2"/>
      <c r="E723" s="2"/>
      <c r="F723" s="2"/>
      <c r="G723" s="2"/>
      <c r="H723" s="2"/>
      <c r="I723" s="2"/>
      <c r="J723" s="2"/>
      <c r="K723" s="2"/>
      <c r="L723" s="2"/>
      <c r="M723" s="2"/>
      <c r="N723" s="2"/>
      <c r="O723" s="2"/>
      <c r="P723" s="2"/>
      <c r="Q723" s="2"/>
      <c r="R723" s="2"/>
      <c r="S723" s="2"/>
      <c r="T723" s="2"/>
      <c r="U723" s="2"/>
      <c r="V723" s="2"/>
      <c r="W723" s="2"/>
    </row>
    <row r="724">
      <c r="A724" s="2"/>
      <c r="B724" s="2"/>
      <c r="C724" s="2"/>
      <c r="D724" s="2"/>
      <c r="E724" s="2"/>
      <c r="F724" s="2"/>
      <c r="G724" s="2"/>
      <c r="H724" s="2"/>
      <c r="I724" s="2"/>
      <c r="J724" s="2"/>
      <c r="K724" s="2"/>
      <c r="L724" s="2"/>
      <c r="M724" s="2"/>
      <c r="N724" s="2"/>
      <c r="O724" s="2"/>
      <c r="P724" s="2"/>
      <c r="Q724" s="2"/>
      <c r="R724" s="2"/>
      <c r="S724" s="2"/>
      <c r="T724" s="2"/>
      <c r="U724" s="2"/>
      <c r="V724" s="2"/>
      <c r="W724" s="2"/>
    </row>
    <row r="725">
      <c r="A725" s="2"/>
      <c r="B725" s="2"/>
      <c r="C725" s="2"/>
      <c r="D725" s="2"/>
      <c r="E725" s="2"/>
      <c r="F725" s="2"/>
      <c r="G725" s="2"/>
      <c r="H725" s="2"/>
      <c r="I725" s="2"/>
      <c r="J725" s="2"/>
      <c r="K725" s="2"/>
      <c r="L725" s="2"/>
      <c r="M725" s="2"/>
      <c r="N725" s="2"/>
      <c r="O725" s="2"/>
      <c r="P725" s="2"/>
      <c r="Q725" s="2"/>
      <c r="R725" s="2"/>
      <c r="S725" s="2"/>
      <c r="T725" s="2"/>
      <c r="U725" s="2"/>
      <c r="V725" s="2"/>
      <c r="W725" s="2"/>
    </row>
    <row r="726">
      <c r="A726" s="2"/>
      <c r="B726" s="2"/>
      <c r="C726" s="2"/>
      <c r="D726" s="2"/>
      <c r="E726" s="2"/>
      <c r="F726" s="2"/>
      <c r="G726" s="2"/>
      <c r="H726" s="2"/>
      <c r="I726" s="2"/>
      <c r="J726" s="2"/>
      <c r="K726" s="2"/>
      <c r="L726" s="2"/>
      <c r="M726" s="2"/>
      <c r="N726" s="2"/>
      <c r="O726" s="2"/>
      <c r="P726" s="2"/>
      <c r="Q726" s="2"/>
      <c r="R726" s="2"/>
      <c r="S726" s="2"/>
      <c r="T726" s="2"/>
      <c r="U726" s="2"/>
      <c r="V726" s="2"/>
      <c r="W726" s="2"/>
    </row>
    <row r="727">
      <c r="A727" s="2"/>
      <c r="B727" s="2"/>
      <c r="C727" s="2"/>
      <c r="D727" s="2"/>
      <c r="E727" s="2"/>
      <c r="F727" s="2"/>
      <c r="G727" s="2"/>
      <c r="H727" s="2"/>
      <c r="I727" s="2"/>
      <c r="J727" s="2"/>
      <c r="K727" s="2"/>
      <c r="L727" s="2"/>
      <c r="M727" s="2"/>
      <c r="N727" s="2"/>
      <c r="O727" s="2"/>
      <c r="P727" s="2"/>
      <c r="Q727" s="2"/>
      <c r="R727" s="2"/>
      <c r="S727" s="2"/>
      <c r="T727" s="2"/>
      <c r="U727" s="2"/>
      <c r="V727" s="2"/>
      <c r="W727" s="2"/>
    </row>
    <row r="728">
      <c r="A728" s="2"/>
      <c r="B728" s="2"/>
      <c r="C728" s="2"/>
      <c r="D728" s="2"/>
      <c r="E728" s="2"/>
      <c r="F728" s="2"/>
      <c r="G728" s="2"/>
      <c r="H728" s="2"/>
      <c r="I728" s="2"/>
      <c r="J728" s="2"/>
      <c r="K728" s="2"/>
      <c r="L728" s="2"/>
      <c r="M728" s="2"/>
      <c r="N728" s="2"/>
      <c r="O728" s="2"/>
      <c r="P728" s="2"/>
      <c r="Q728" s="2"/>
      <c r="R728" s="2"/>
      <c r="S728" s="2"/>
      <c r="T728" s="2"/>
      <c r="U728" s="2"/>
      <c r="V728" s="2"/>
      <c r="W728" s="2"/>
    </row>
    <row r="729">
      <c r="A729" s="2"/>
      <c r="B729" s="2"/>
      <c r="C729" s="2"/>
      <c r="D729" s="2"/>
      <c r="E729" s="2"/>
      <c r="F729" s="2"/>
      <c r="G729" s="2"/>
      <c r="H729" s="2"/>
      <c r="I729" s="2"/>
      <c r="J729" s="2"/>
      <c r="K729" s="2"/>
      <c r="L729" s="2"/>
      <c r="M729" s="2"/>
      <c r="N729" s="2"/>
      <c r="O729" s="2"/>
      <c r="P729" s="2"/>
      <c r="Q729" s="2"/>
      <c r="R729" s="2"/>
      <c r="S729" s="2"/>
      <c r="T729" s="2"/>
      <c r="U729" s="2"/>
      <c r="V729" s="2"/>
      <c r="W729" s="2"/>
    </row>
    <row r="730">
      <c r="A730" s="2"/>
      <c r="B730" s="2"/>
      <c r="C730" s="2"/>
      <c r="D730" s="2"/>
      <c r="E730" s="2"/>
      <c r="F730" s="2"/>
      <c r="G730" s="2"/>
      <c r="H730" s="2"/>
      <c r="I730" s="2"/>
      <c r="J730" s="2"/>
      <c r="K730" s="2"/>
      <c r="L730" s="2"/>
      <c r="M730" s="2"/>
      <c r="N730" s="2"/>
      <c r="O730" s="2"/>
      <c r="P730" s="2"/>
      <c r="Q730" s="2"/>
      <c r="R730" s="2"/>
      <c r="S730" s="2"/>
      <c r="T730" s="2"/>
      <c r="U730" s="2"/>
      <c r="V730" s="2"/>
      <c r="W730" s="2"/>
    </row>
    <row r="731">
      <c r="A731" s="2"/>
      <c r="B731" s="2"/>
      <c r="C731" s="2"/>
      <c r="D731" s="2"/>
      <c r="E731" s="2"/>
      <c r="F731" s="2"/>
      <c r="G731" s="2"/>
      <c r="H731" s="2"/>
      <c r="I731" s="2"/>
      <c r="J731" s="2"/>
      <c r="K731" s="2"/>
      <c r="L731" s="2"/>
      <c r="M731" s="2"/>
      <c r="N731" s="2"/>
      <c r="O731" s="2"/>
      <c r="P731" s="2"/>
      <c r="Q731" s="2"/>
      <c r="R731" s="2"/>
      <c r="S731" s="2"/>
      <c r="T731" s="2"/>
      <c r="U731" s="2"/>
      <c r="V731" s="2"/>
      <c r="W731" s="2"/>
    </row>
    <row r="732">
      <c r="A732" s="2"/>
      <c r="B732" s="2"/>
      <c r="C732" s="2"/>
      <c r="D732" s="2"/>
      <c r="E732" s="2"/>
      <c r="F732" s="2"/>
      <c r="G732" s="2"/>
      <c r="H732" s="2"/>
      <c r="I732" s="2"/>
      <c r="J732" s="2"/>
      <c r="K732" s="2"/>
      <c r="L732" s="2"/>
      <c r="M732" s="2"/>
      <c r="N732" s="2"/>
      <c r="O732" s="2"/>
      <c r="P732" s="2"/>
      <c r="Q732" s="2"/>
      <c r="R732" s="2"/>
      <c r="S732" s="2"/>
      <c r="T732" s="2"/>
      <c r="U732" s="2"/>
      <c r="V732" s="2"/>
      <c r="W732" s="2"/>
    </row>
    <row r="733">
      <c r="A733" s="2"/>
      <c r="B733" s="2"/>
      <c r="C733" s="2"/>
      <c r="D733" s="2"/>
      <c r="E733" s="2"/>
      <c r="F733" s="2"/>
      <c r="G733" s="2"/>
      <c r="H733" s="2"/>
      <c r="I733" s="2"/>
      <c r="J733" s="2"/>
      <c r="K733" s="2"/>
      <c r="L733" s="2"/>
      <c r="M733" s="2"/>
      <c r="N733" s="2"/>
      <c r="O733" s="2"/>
      <c r="P733" s="2"/>
      <c r="Q733" s="2"/>
      <c r="R733" s="2"/>
      <c r="S733" s="2"/>
      <c r="T733" s="2"/>
      <c r="U733" s="2"/>
      <c r="V733" s="2"/>
      <c r="W733" s="2"/>
    </row>
    <row r="734">
      <c r="A734" s="2"/>
      <c r="B734" s="2"/>
      <c r="C734" s="2"/>
      <c r="D734" s="2"/>
      <c r="E734" s="2"/>
      <c r="F734" s="2"/>
      <c r="G734" s="2"/>
      <c r="H734" s="2"/>
      <c r="I734" s="2"/>
      <c r="J734" s="2"/>
      <c r="K734" s="2"/>
      <c r="L734" s="2"/>
      <c r="M734" s="2"/>
      <c r="N734" s="2"/>
      <c r="O734" s="2"/>
      <c r="P734" s="2"/>
      <c r="Q734" s="2"/>
      <c r="R734" s="2"/>
      <c r="S734" s="2"/>
      <c r="T734" s="2"/>
      <c r="U734" s="2"/>
      <c r="V734" s="2"/>
      <c r="W734" s="2"/>
    </row>
    <row r="735">
      <c r="A735" s="2"/>
      <c r="B735" s="2"/>
      <c r="C735" s="2"/>
      <c r="D735" s="2"/>
      <c r="E735" s="2"/>
      <c r="F735" s="2"/>
      <c r="G735" s="2"/>
      <c r="H735" s="2"/>
      <c r="I735" s="2"/>
      <c r="J735" s="2"/>
      <c r="K735" s="2"/>
      <c r="L735" s="2"/>
      <c r="M735" s="2"/>
      <c r="N735" s="2"/>
      <c r="O735" s="2"/>
      <c r="P735" s="2"/>
      <c r="Q735" s="2"/>
      <c r="R735" s="2"/>
      <c r="S735" s="2"/>
      <c r="T735" s="2"/>
      <c r="U735" s="2"/>
      <c r="V735" s="2"/>
      <c r="W735" s="2"/>
    </row>
    <row r="736">
      <c r="A736" s="2"/>
      <c r="B736" s="2"/>
      <c r="C736" s="2"/>
      <c r="D736" s="2"/>
      <c r="E736" s="2"/>
      <c r="F736" s="2"/>
      <c r="G736" s="2"/>
      <c r="H736" s="2"/>
      <c r="I736" s="2"/>
      <c r="J736" s="2"/>
      <c r="K736" s="2"/>
      <c r="L736" s="2"/>
      <c r="M736" s="2"/>
      <c r="N736" s="2"/>
      <c r="O736" s="2"/>
      <c r="P736" s="2"/>
      <c r="Q736" s="2"/>
      <c r="R736" s="2"/>
      <c r="S736" s="2"/>
      <c r="T736" s="2"/>
      <c r="U736" s="2"/>
      <c r="V736" s="2"/>
      <c r="W736" s="2"/>
    </row>
    <row r="737">
      <c r="A737" s="2"/>
      <c r="B737" s="2"/>
      <c r="C737" s="2"/>
      <c r="D737" s="2"/>
      <c r="E737" s="2"/>
      <c r="F737" s="2"/>
      <c r="G737" s="2"/>
      <c r="H737" s="2"/>
      <c r="I737" s="2"/>
      <c r="J737" s="2"/>
      <c r="K737" s="2"/>
      <c r="L737" s="2"/>
      <c r="M737" s="2"/>
      <c r="N737" s="2"/>
      <c r="O737" s="2"/>
      <c r="P737" s="2"/>
      <c r="Q737" s="2"/>
      <c r="R737" s="2"/>
      <c r="S737" s="2"/>
      <c r="T737" s="2"/>
      <c r="U737" s="2"/>
      <c r="V737" s="2"/>
      <c r="W737" s="2"/>
    </row>
    <row r="738">
      <c r="A738" s="2"/>
      <c r="B738" s="2"/>
      <c r="C738" s="2"/>
      <c r="D738" s="2"/>
      <c r="E738" s="2"/>
      <c r="F738" s="2"/>
      <c r="G738" s="2"/>
      <c r="H738" s="2"/>
      <c r="I738" s="2"/>
      <c r="J738" s="2"/>
      <c r="K738" s="2"/>
      <c r="L738" s="2"/>
      <c r="M738" s="2"/>
      <c r="N738" s="2"/>
      <c r="O738" s="2"/>
      <c r="P738" s="2"/>
      <c r="Q738" s="2"/>
      <c r="R738" s="2"/>
      <c r="S738" s="2"/>
      <c r="T738" s="2"/>
      <c r="U738" s="2"/>
      <c r="V738" s="2"/>
      <c r="W738" s="2"/>
    </row>
    <row r="739">
      <c r="A739" s="2"/>
      <c r="B739" s="2"/>
      <c r="C739" s="2"/>
      <c r="D739" s="2"/>
      <c r="E739" s="2"/>
      <c r="F739" s="2"/>
      <c r="G739" s="2"/>
      <c r="H739" s="2"/>
      <c r="I739" s="2"/>
      <c r="J739" s="2"/>
      <c r="K739" s="2"/>
      <c r="L739" s="2"/>
      <c r="M739" s="2"/>
      <c r="N739" s="2"/>
      <c r="O739" s="2"/>
      <c r="P739" s="2"/>
      <c r="Q739" s="2"/>
      <c r="R739" s="2"/>
      <c r="S739" s="2"/>
      <c r="T739" s="2"/>
      <c r="U739" s="2"/>
      <c r="V739" s="2"/>
      <c r="W739" s="2"/>
    </row>
    <row r="740">
      <c r="A740" s="2"/>
      <c r="B740" s="2"/>
      <c r="C740" s="2"/>
      <c r="D740" s="2"/>
      <c r="E740" s="2"/>
      <c r="F740" s="2"/>
      <c r="G740" s="2"/>
      <c r="H740" s="2"/>
      <c r="I740" s="2"/>
      <c r="J740" s="2"/>
      <c r="K740" s="2"/>
      <c r="L740" s="2"/>
      <c r="M740" s="2"/>
      <c r="N740" s="2"/>
      <c r="O740" s="2"/>
      <c r="P740" s="2"/>
      <c r="Q740" s="2"/>
      <c r="R740" s="2"/>
      <c r="S740" s="2"/>
      <c r="T740" s="2"/>
      <c r="U740" s="2"/>
      <c r="V740" s="2"/>
      <c r="W740" s="2"/>
    </row>
    <row r="741">
      <c r="A741" s="2"/>
      <c r="B741" s="2"/>
      <c r="C741" s="2"/>
      <c r="D741" s="2"/>
      <c r="E741" s="2"/>
      <c r="F741" s="2"/>
      <c r="G741" s="2"/>
      <c r="H741" s="2"/>
      <c r="I741" s="2"/>
      <c r="J741" s="2"/>
      <c r="K741" s="2"/>
      <c r="L741" s="2"/>
      <c r="M741" s="2"/>
      <c r="N741" s="2"/>
      <c r="O741" s="2"/>
      <c r="P741" s="2"/>
      <c r="Q741" s="2"/>
      <c r="R741" s="2"/>
      <c r="S741" s="2"/>
      <c r="T741" s="2"/>
      <c r="U741" s="2"/>
      <c r="V741" s="2"/>
      <c r="W741" s="2"/>
    </row>
    <row r="742">
      <c r="A742" s="2"/>
      <c r="B742" s="2"/>
      <c r="C742" s="2"/>
      <c r="D742" s="2"/>
      <c r="E742" s="2"/>
      <c r="F742" s="2"/>
      <c r="G742" s="2"/>
      <c r="H742" s="2"/>
      <c r="I742" s="2"/>
      <c r="J742" s="2"/>
      <c r="K742" s="2"/>
      <c r="L742" s="2"/>
      <c r="M742" s="2"/>
      <c r="N742" s="2"/>
      <c r="O742" s="2"/>
      <c r="P742" s="2"/>
      <c r="Q742" s="2"/>
      <c r="R742" s="2"/>
      <c r="S742" s="2"/>
      <c r="T742" s="2"/>
      <c r="U742" s="2"/>
      <c r="V742" s="2"/>
      <c r="W742" s="2"/>
    </row>
    <row r="743">
      <c r="A743" s="2"/>
      <c r="B743" s="2"/>
      <c r="C743" s="2"/>
      <c r="D743" s="2"/>
      <c r="E743" s="2"/>
      <c r="F743" s="2"/>
      <c r="G743" s="2"/>
      <c r="H743" s="2"/>
      <c r="I743" s="2"/>
      <c r="J743" s="2"/>
      <c r="K743" s="2"/>
      <c r="L743" s="2"/>
      <c r="M743" s="2"/>
      <c r="N743" s="2"/>
      <c r="O743" s="2"/>
      <c r="P743" s="2"/>
      <c r="Q743" s="2"/>
      <c r="R743" s="2"/>
      <c r="S743" s="2"/>
      <c r="T743" s="2"/>
      <c r="U743" s="2"/>
      <c r="V743" s="2"/>
      <c r="W743" s="2"/>
    </row>
    <row r="744">
      <c r="A744" s="2"/>
      <c r="B744" s="2"/>
      <c r="C744" s="2"/>
      <c r="D744" s="2"/>
      <c r="E744" s="2"/>
      <c r="F744" s="2"/>
      <c r="G744" s="2"/>
      <c r="H744" s="2"/>
      <c r="I744" s="2"/>
      <c r="J744" s="2"/>
      <c r="K744" s="2"/>
      <c r="L744" s="2"/>
      <c r="M744" s="2"/>
      <c r="N744" s="2"/>
      <c r="O744" s="2"/>
      <c r="P744" s="2"/>
      <c r="Q744" s="2"/>
      <c r="R744" s="2"/>
      <c r="S744" s="2"/>
      <c r="T744" s="2"/>
      <c r="U744" s="2"/>
      <c r="V744" s="2"/>
      <c r="W744" s="2"/>
    </row>
    <row r="745">
      <c r="A745" s="2"/>
      <c r="B745" s="2"/>
      <c r="C745" s="2"/>
      <c r="D745" s="2"/>
      <c r="E745" s="2"/>
      <c r="F745" s="2"/>
      <c r="G745" s="2"/>
      <c r="H745" s="2"/>
      <c r="I745" s="2"/>
      <c r="J745" s="2"/>
      <c r="K745" s="2"/>
      <c r="L745" s="2"/>
      <c r="M745" s="2"/>
      <c r="N745" s="2"/>
      <c r="O745" s="2"/>
      <c r="P745" s="2"/>
      <c r="Q745" s="2"/>
      <c r="R745" s="2"/>
      <c r="S745" s="2"/>
      <c r="T745" s="2"/>
      <c r="U745" s="2"/>
      <c r="V745" s="2"/>
      <c r="W745" s="2"/>
    </row>
    <row r="746">
      <c r="A746" s="2"/>
      <c r="B746" s="2"/>
      <c r="C746" s="2"/>
      <c r="D746" s="2"/>
      <c r="E746" s="2"/>
      <c r="F746" s="2"/>
      <c r="G746" s="2"/>
      <c r="H746" s="2"/>
      <c r="I746" s="2"/>
      <c r="J746" s="2"/>
      <c r="K746" s="2"/>
      <c r="L746" s="2"/>
      <c r="M746" s="2"/>
      <c r="N746" s="2"/>
      <c r="O746" s="2"/>
      <c r="P746" s="2"/>
      <c r="Q746" s="2"/>
      <c r="R746" s="2"/>
      <c r="S746" s="2"/>
      <c r="T746" s="2"/>
      <c r="U746" s="2"/>
      <c r="V746" s="2"/>
      <c r="W746" s="2"/>
    </row>
    <row r="747">
      <c r="A747" s="2"/>
      <c r="B747" s="2"/>
      <c r="C747" s="2"/>
      <c r="D747" s="2"/>
      <c r="E747" s="2"/>
      <c r="F747" s="2"/>
      <c r="G747" s="2"/>
      <c r="H747" s="2"/>
      <c r="I747" s="2"/>
      <c r="J747" s="2"/>
      <c r="K747" s="2"/>
      <c r="L747" s="2"/>
      <c r="M747" s="2"/>
      <c r="N747" s="2"/>
      <c r="O747" s="2"/>
      <c r="P747" s="2"/>
      <c r="Q747" s="2"/>
      <c r="R747" s="2"/>
      <c r="S747" s="2"/>
      <c r="T747" s="2"/>
      <c r="U747" s="2"/>
      <c r="V747" s="2"/>
      <c r="W747" s="2"/>
    </row>
    <row r="748">
      <c r="A748" s="2"/>
      <c r="B748" s="2"/>
      <c r="C748" s="2"/>
      <c r="D748" s="2"/>
      <c r="E748" s="2"/>
      <c r="F748" s="2"/>
      <c r="G748" s="2"/>
      <c r="H748" s="2"/>
      <c r="I748" s="2"/>
      <c r="J748" s="2"/>
      <c r="K748" s="2"/>
      <c r="L748" s="2"/>
      <c r="M748" s="2"/>
      <c r="N748" s="2"/>
      <c r="O748" s="2"/>
      <c r="P748" s="2"/>
      <c r="Q748" s="2"/>
      <c r="R748" s="2"/>
      <c r="S748" s="2"/>
      <c r="T748" s="2"/>
      <c r="U748" s="2"/>
      <c r="V748" s="2"/>
      <c r="W748" s="2"/>
    </row>
    <row r="749">
      <c r="A749" s="2"/>
      <c r="B749" s="2"/>
      <c r="C749" s="2"/>
      <c r="D749" s="2"/>
      <c r="E749" s="2"/>
      <c r="F749" s="2"/>
      <c r="G749" s="2"/>
      <c r="H749" s="2"/>
      <c r="I749" s="2"/>
      <c r="J749" s="2"/>
      <c r="K749" s="2"/>
      <c r="L749" s="2"/>
      <c r="M749" s="2"/>
      <c r="N749" s="2"/>
      <c r="O749" s="2"/>
      <c r="P749" s="2"/>
      <c r="Q749" s="2"/>
      <c r="R749" s="2"/>
      <c r="S749" s="2"/>
      <c r="T749" s="2"/>
      <c r="U749" s="2"/>
      <c r="V749" s="2"/>
      <c r="W749" s="2"/>
    </row>
    <row r="750">
      <c r="A750" s="2"/>
      <c r="B750" s="2"/>
      <c r="C750" s="2"/>
      <c r="D750" s="2"/>
      <c r="E750" s="2"/>
      <c r="F750" s="2"/>
      <c r="G750" s="2"/>
      <c r="H750" s="2"/>
      <c r="I750" s="2"/>
      <c r="J750" s="2"/>
      <c r="K750" s="2"/>
      <c r="L750" s="2"/>
      <c r="M750" s="2"/>
      <c r="N750" s="2"/>
      <c r="O750" s="2"/>
      <c r="P750" s="2"/>
      <c r="Q750" s="2"/>
      <c r="R750" s="2"/>
      <c r="S750" s="2"/>
      <c r="T750" s="2"/>
      <c r="U750" s="2"/>
      <c r="V750" s="2"/>
      <c r="W750" s="2"/>
    </row>
    <row r="751">
      <c r="A751" s="2"/>
      <c r="B751" s="2"/>
      <c r="C751" s="2"/>
      <c r="D751" s="2"/>
      <c r="E751" s="2"/>
      <c r="F751" s="2"/>
      <c r="G751" s="2"/>
      <c r="H751" s="2"/>
      <c r="I751" s="2"/>
      <c r="J751" s="2"/>
      <c r="K751" s="2"/>
      <c r="L751" s="2"/>
      <c r="M751" s="2"/>
      <c r="N751" s="2"/>
      <c r="O751" s="2"/>
      <c r="P751" s="2"/>
      <c r="Q751" s="2"/>
      <c r="R751" s="2"/>
      <c r="S751" s="2"/>
      <c r="T751" s="2"/>
      <c r="U751" s="2"/>
      <c r="V751" s="2"/>
      <c r="W751" s="2"/>
    </row>
    <row r="752">
      <c r="A752" s="2"/>
      <c r="B752" s="2"/>
      <c r="C752" s="2"/>
      <c r="D752" s="2"/>
      <c r="E752" s="2"/>
      <c r="F752" s="2"/>
      <c r="G752" s="2"/>
      <c r="H752" s="2"/>
      <c r="I752" s="2"/>
      <c r="J752" s="2"/>
      <c r="K752" s="2"/>
      <c r="L752" s="2"/>
      <c r="M752" s="2"/>
      <c r="N752" s="2"/>
      <c r="O752" s="2"/>
      <c r="P752" s="2"/>
      <c r="Q752" s="2"/>
      <c r="R752" s="2"/>
      <c r="S752" s="2"/>
      <c r="T752" s="2"/>
      <c r="U752" s="2"/>
      <c r="V752" s="2"/>
      <c r="W752" s="2"/>
    </row>
    <row r="753">
      <c r="A753" s="2"/>
      <c r="B753" s="2"/>
      <c r="C753" s="2"/>
      <c r="D753" s="2"/>
      <c r="E753" s="2"/>
      <c r="F753" s="2"/>
      <c r="G753" s="2"/>
      <c r="H753" s="2"/>
      <c r="I753" s="2"/>
      <c r="J753" s="2"/>
      <c r="K753" s="2"/>
      <c r="L753" s="2"/>
      <c r="M753" s="2"/>
      <c r="N753" s="2"/>
      <c r="O753" s="2"/>
      <c r="P753" s="2"/>
      <c r="Q753" s="2"/>
      <c r="R753" s="2"/>
      <c r="S753" s="2"/>
      <c r="T753" s="2"/>
      <c r="U753" s="2"/>
      <c r="V753" s="2"/>
      <c r="W753" s="2"/>
    </row>
    <row r="754">
      <c r="A754" s="2"/>
      <c r="B754" s="2"/>
      <c r="C754" s="2"/>
      <c r="D754" s="2"/>
      <c r="E754" s="2"/>
      <c r="F754" s="2"/>
      <c r="G754" s="2"/>
      <c r="H754" s="2"/>
      <c r="I754" s="2"/>
      <c r="J754" s="2"/>
      <c r="K754" s="2"/>
      <c r="L754" s="2"/>
      <c r="M754" s="2"/>
      <c r="N754" s="2"/>
      <c r="O754" s="2"/>
      <c r="P754" s="2"/>
      <c r="Q754" s="2"/>
      <c r="R754" s="2"/>
      <c r="S754" s="2"/>
      <c r="T754" s="2"/>
      <c r="U754" s="2"/>
      <c r="V754" s="2"/>
      <c r="W754" s="2"/>
    </row>
    <row r="755">
      <c r="A755" s="2"/>
      <c r="B755" s="2"/>
      <c r="C755" s="2"/>
      <c r="D755" s="2"/>
      <c r="E755" s="2"/>
      <c r="F755" s="2"/>
      <c r="G755" s="2"/>
      <c r="H755" s="2"/>
      <c r="I755" s="2"/>
      <c r="J755" s="2"/>
      <c r="K755" s="2"/>
      <c r="L755" s="2"/>
      <c r="M755" s="2"/>
      <c r="N755" s="2"/>
      <c r="O755" s="2"/>
      <c r="P755" s="2"/>
      <c r="Q755" s="2"/>
      <c r="R755" s="2"/>
      <c r="S755" s="2"/>
      <c r="T755" s="2"/>
      <c r="U755" s="2"/>
      <c r="V755" s="2"/>
      <c r="W755" s="2"/>
    </row>
    <row r="756">
      <c r="A756" s="2"/>
      <c r="B756" s="2"/>
      <c r="C756" s="2"/>
      <c r="D756" s="2"/>
      <c r="E756" s="2"/>
      <c r="F756" s="2"/>
      <c r="G756" s="2"/>
      <c r="H756" s="2"/>
      <c r="I756" s="2"/>
      <c r="J756" s="2"/>
      <c r="K756" s="2"/>
      <c r="L756" s="2"/>
      <c r="M756" s="2"/>
      <c r="N756" s="2"/>
      <c r="O756" s="2"/>
      <c r="P756" s="2"/>
      <c r="Q756" s="2"/>
      <c r="R756" s="2"/>
      <c r="S756" s="2"/>
      <c r="T756" s="2"/>
      <c r="U756" s="2"/>
      <c r="V756" s="2"/>
      <c r="W756" s="2"/>
    </row>
    <row r="757">
      <c r="A757" s="2"/>
      <c r="B757" s="2"/>
      <c r="C757" s="2"/>
      <c r="D757" s="2"/>
      <c r="E757" s="2"/>
      <c r="F757" s="2"/>
      <c r="G757" s="2"/>
      <c r="H757" s="2"/>
      <c r="I757" s="2"/>
      <c r="J757" s="2"/>
      <c r="K757" s="2"/>
      <c r="L757" s="2"/>
      <c r="M757" s="2"/>
      <c r="N757" s="2"/>
      <c r="O757" s="2"/>
      <c r="P757" s="2"/>
      <c r="Q757" s="2"/>
      <c r="R757" s="2"/>
      <c r="S757" s="2"/>
      <c r="T757" s="2"/>
      <c r="U757" s="2"/>
      <c r="V757" s="2"/>
      <c r="W757" s="2"/>
    </row>
    <row r="758">
      <c r="A758" s="2"/>
      <c r="B758" s="2"/>
      <c r="C758" s="2"/>
      <c r="D758" s="2"/>
      <c r="E758" s="2"/>
      <c r="F758" s="2"/>
      <c r="G758" s="2"/>
      <c r="H758" s="2"/>
      <c r="I758" s="2"/>
      <c r="J758" s="2"/>
      <c r="K758" s="2"/>
      <c r="L758" s="2"/>
      <c r="M758" s="2"/>
      <c r="N758" s="2"/>
      <c r="O758" s="2"/>
      <c r="P758" s="2"/>
      <c r="Q758" s="2"/>
      <c r="R758" s="2"/>
      <c r="S758" s="2"/>
      <c r="T758" s="2"/>
      <c r="U758" s="2"/>
      <c r="V758" s="2"/>
      <c r="W758" s="2"/>
    </row>
    <row r="759">
      <c r="A759" s="2"/>
      <c r="B759" s="2"/>
      <c r="C759" s="2"/>
      <c r="D759" s="2"/>
      <c r="E759" s="2"/>
      <c r="F759" s="2"/>
      <c r="G759" s="2"/>
      <c r="H759" s="2"/>
      <c r="I759" s="2"/>
      <c r="J759" s="2"/>
      <c r="K759" s="2"/>
      <c r="L759" s="2"/>
      <c r="M759" s="2"/>
      <c r="N759" s="2"/>
      <c r="O759" s="2"/>
      <c r="P759" s="2"/>
      <c r="Q759" s="2"/>
      <c r="R759" s="2"/>
      <c r="S759" s="2"/>
      <c r="T759" s="2"/>
      <c r="U759" s="2"/>
      <c r="V759" s="2"/>
      <c r="W759" s="2"/>
    </row>
    <row r="760">
      <c r="A760" s="2"/>
      <c r="B760" s="2"/>
      <c r="C760" s="2"/>
      <c r="D760" s="2"/>
      <c r="E760" s="2"/>
      <c r="F760" s="2"/>
      <c r="G760" s="2"/>
      <c r="H760" s="2"/>
      <c r="I760" s="2"/>
      <c r="J760" s="2"/>
      <c r="K760" s="2"/>
      <c r="L760" s="2"/>
      <c r="M760" s="2"/>
      <c r="N760" s="2"/>
      <c r="O760" s="2"/>
      <c r="P760" s="2"/>
      <c r="Q760" s="2"/>
      <c r="R760" s="2"/>
      <c r="S760" s="2"/>
      <c r="T760" s="2"/>
      <c r="U760" s="2"/>
      <c r="V760" s="2"/>
      <c r="W760" s="2"/>
    </row>
    <row r="761">
      <c r="A761" s="2"/>
      <c r="B761" s="2"/>
      <c r="C761" s="2"/>
      <c r="D761" s="2"/>
      <c r="E761" s="2"/>
      <c r="F761" s="2"/>
      <c r="G761" s="2"/>
      <c r="H761" s="2"/>
      <c r="I761" s="2"/>
      <c r="J761" s="2"/>
      <c r="K761" s="2"/>
      <c r="L761" s="2"/>
      <c r="M761" s="2"/>
      <c r="N761" s="2"/>
      <c r="O761" s="2"/>
      <c r="P761" s="2"/>
      <c r="Q761" s="2"/>
      <c r="R761" s="2"/>
      <c r="S761" s="2"/>
      <c r="T761" s="2"/>
      <c r="U761" s="2"/>
      <c r="V761" s="2"/>
      <c r="W761" s="2"/>
    </row>
    <row r="762">
      <c r="A762" s="2"/>
      <c r="B762" s="2"/>
      <c r="C762" s="2"/>
      <c r="D762" s="2"/>
      <c r="E762" s="2"/>
      <c r="F762" s="2"/>
      <c r="G762" s="2"/>
      <c r="H762" s="2"/>
      <c r="I762" s="2"/>
      <c r="J762" s="2"/>
      <c r="K762" s="2"/>
      <c r="L762" s="2"/>
      <c r="M762" s="2"/>
      <c r="N762" s="2"/>
      <c r="O762" s="2"/>
      <c r="P762" s="2"/>
      <c r="Q762" s="2"/>
      <c r="R762" s="2"/>
      <c r="S762" s="2"/>
      <c r="T762" s="2"/>
      <c r="U762" s="2"/>
      <c r="V762" s="2"/>
      <c r="W762" s="2"/>
    </row>
    <row r="763">
      <c r="A763" s="2"/>
      <c r="B763" s="2"/>
      <c r="C763" s="2"/>
      <c r="D763" s="2"/>
      <c r="E763" s="2"/>
      <c r="F763" s="2"/>
      <c r="G763" s="2"/>
      <c r="H763" s="2"/>
      <c r="I763" s="2"/>
      <c r="J763" s="2"/>
      <c r="K763" s="2"/>
      <c r="L763" s="2"/>
      <c r="M763" s="2"/>
      <c r="N763" s="2"/>
      <c r="O763" s="2"/>
      <c r="P763" s="2"/>
      <c r="Q763" s="2"/>
      <c r="R763" s="2"/>
      <c r="S763" s="2"/>
      <c r="T763" s="2"/>
      <c r="U763" s="2"/>
      <c r="V763" s="2"/>
      <c r="W763" s="2"/>
    </row>
    <row r="764">
      <c r="A764" s="2"/>
      <c r="B764" s="2"/>
      <c r="C764" s="2"/>
      <c r="D764" s="2"/>
      <c r="E764" s="2"/>
      <c r="F764" s="2"/>
      <c r="G764" s="2"/>
      <c r="H764" s="2"/>
      <c r="I764" s="2"/>
      <c r="J764" s="2"/>
      <c r="K764" s="2"/>
      <c r="L764" s="2"/>
      <c r="M764" s="2"/>
      <c r="N764" s="2"/>
      <c r="O764" s="2"/>
      <c r="P764" s="2"/>
      <c r="Q764" s="2"/>
      <c r="R764" s="2"/>
      <c r="S764" s="2"/>
      <c r="T764" s="2"/>
      <c r="U764" s="2"/>
      <c r="V764" s="2"/>
      <c r="W764" s="2"/>
    </row>
    <row r="765">
      <c r="A765" s="2"/>
      <c r="B765" s="2"/>
      <c r="C765" s="2"/>
      <c r="D765" s="2"/>
      <c r="E765" s="2"/>
      <c r="F765" s="2"/>
      <c r="G765" s="2"/>
      <c r="H765" s="2"/>
      <c r="I765" s="2"/>
      <c r="J765" s="2"/>
      <c r="K765" s="2"/>
      <c r="L765" s="2"/>
      <c r="M765" s="2"/>
      <c r="N765" s="2"/>
      <c r="O765" s="2"/>
      <c r="P765" s="2"/>
      <c r="Q765" s="2"/>
      <c r="R765" s="2"/>
      <c r="S765" s="2"/>
      <c r="T765" s="2"/>
      <c r="U765" s="2"/>
      <c r="V765" s="2"/>
      <c r="W765" s="2"/>
    </row>
    <row r="766">
      <c r="A766" s="2"/>
      <c r="B766" s="2"/>
      <c r="C766" s="2"/>
      <c r="D766" s="2"/>
      <c r="E766" s="2"/>
      <c r="F766" s="2"/>
      <c r="G766" s="2"/>
      <c r="H766" s="2"/>
      <c r="I766" s="2"/>
      <c r="J766" s="2"/>
      <c r="K766" s="2"/>
      <c r="L766" s="2"/>
      <c r="M766" s="2"/>
      <c r="N766" s="2"/>
      <c r="O766" s="2"/>
      <c r="P766" s="2"/>
      <c r="Q766" s="2"/>
      <c r="R766" s="2"/>
      <c r="S766" s="2"/>
      <c r="T766" s="2"/>
      <c r="U766" s="2"/>
      <c r="V766" s="2"/>
      <c r="W766" s="2"/>
    </row>
    <row r="767">
      <c r="A767" s="2"/>
      <c r="B767" s="2"/>
      <c r="C767" s="2"/>
      <c r="D767" s="2"/>
      <c r="E767" s="2"/>
      <c r="F767" s="2"/>
      <c r="G767" s="2"/>
      <c r="H767" s="2"/>
      <c r="I767" s="2"/>
      <c r="J767" s="2"/>
      <c r="K767" s="2"/>
      <c r="L767" s="2"/>
      <c r="M767" s="2"/>
      <c r="N767" s="2"/>
      <c r="O767" s="2"/>
      <c r="P767" s="2"/>
      <c r="Q767" s="2"/>
      <c r="R767" s="2"/>
      <c r="S767" s="2"/>
      <c r="T767" s="2"/>
      <c r="U767" s="2"/>
      <c r="V767" s="2"/>
      <c r="W767" s="2"/>
    </row>
    <row r="768">
      <c r="A768" s="2"/>
      <c r="B768" s="2"/>
      <c r="C768" s="2"/>
      <c r="D768" s="2"/>
      <c r="E768" s="2"/>
      <c r="F768" s="2"/>
      <c r="G768" s="2"/>
      <c r="H768" s="2"/>
      <c r="I768" s="2"/>
      <c r="J768" s="2"/>
      <c r="K768" s="2"/>
      <c r="L768" s="2"/>
      <c r="M768" s="2"/>
      <c r="N768" s="2"/>
      <c r="O768" s="2"/>
      <c r="P768" s="2"/>
      <c r="Q768" s="2"/>
      <c r="R768" s="2"/>
      <c r="S768" s="2"/>
      <c r="T768" s="2"/>
      <c r="U768" s="2"/>
      <c r="V768" s="2"/>
      <c r="W768" s="2"/>
    </row>
    <row r="769">
      <c r="A769" s="2"/>
      <c r="B769" s="2"/>
      <c r="C769" s="2"/>
      <c r="D769" s="2"/>
      <c r="E769" s="2"/>
      <c r="F769" s="2"/>
      <c r="G769" s="2"/>
      <c r="H769" s="2"/>
      <c r="I769" s="2"/>
      <c r="J769" s="2"/>
      <c r="K769" s="2"/>
      <c r="L769" s="2"/>
      <c r="M769" s="2"/>
      <c r="N769" s="2"/>
      <c r="O769" s="2"/>
      <c r="P769" s="2"/>
      <c r="Q769" s="2"/>
      <c r="R769" s="2"/>
      <c r="S769" s="2"/>
      <c r="T769" s="2"/>
      <c r="U769" s="2"/>
      <c r="V769" s="2"/>
      <c r="W769" s="2"/>
    </row>
    <row r="770">
      <c r="A770" s="2"/>
      <c r="B770" s="2"/>
      <c r="C770" s="2"/>
      <c r="D770" s="2"/>
      <c r="E770" s="2"/>
      <c r="F770" s="2"/>
      <c r="G770" s="2"/>
      <c r="H770" s="2"/>
      <c r="I770" s="2"/>
      <c r="J770" s="2"/>
      <c r="K770" s="2"/>
      <c r="L770" s="2"/>
      <c r="M770" s="2"/>
      <c r="N770" s="2"/>
      <c r="O770" s="2"/>
      <c r="P770" s="2"/>
      <c r="Q770" s="2"/>
      <c r="R770" s="2"/>
      <c r="S770" s="2"/>
      <c r="T770" s="2"/>
      <c r="U770" s="2"/>
      <c r="V770" s="2"/>
      <c r="W770" s="2"/>
    </row>
    <row r="771">
      <c r="A771" s="2"/>
      <c r="B771" s="2"/>
      <c r="C771" s="2"/>
      <c r="D771" s="2"/>
      <c r="E771" s="2"/>
      <c r="F771" s="2"/>
      <c r="G771" s="2"/>
      <c r="H771" s="2"/>
      <c r="I771" s="2"/>
      <c r="J771" s="2"/>
      <c r="K771" s="2"/>
      <c r="L771" s="2"/>
      <c r="M771" s="2"/>
      <c r="N771" s="2"/>
      <c r="O771" s="2"/>
      <c r="P771" s="2"/>
      <c r="Q771" s="2"/>
      <c r="R771" s="2"/>
      <c r="S771" s="2"/>
      <c r="T771" s="2"/>
      <c r="U771" s="2"/>
      <c r="V771" s="2"/>
      <c r="W771" s="2"/>
    </row>
    <row r="772">
      <c r="A772" s="2"/>
      <c r="B772" s="2"/>
      <c r="C772" s="2"/>
      <c r="D772" s="2"/>
      <c r="E772" s="2"/>
      <c r="F772" s="2"/>
      <c r="G772" s="2"/>
      <c r="H772" s="2"/>
      <c r="I772" s="2"/>
      <c r="J772" s="2"/>
      <c r="K772" s="2"/>
      <c r="L772" s="2"/>
      <c r="M772" s="2"/>
      <c r="N772" s="2"/>
      <c r="O772" s="2"/>
      <c r="P772" s="2"/>
      <c r="Q772" s="2"/>
      <c r="R772" s="2"/>
      <c r="S772" s="2"/>
      <c r="T772" s="2"/>
      <c r="U772" s="2"/>
      <c r="V772" s="2"/>
      <c r="W772" s="2"/>
    </row>
    <row r="773">
      <c r="A773" s="2"/>
      <c r="B773" s="2"/>
      <c r="C773" s="2"/>
      <c r="D773" s="2"/>
      <c r="E773" s="2"/>
      <c r="F773" s="2"/>
      <c r="G773" s="2"/>
      <c r="H773" s="2"/>
      <c r="I773" s="2"/>
      <c r="J773" s="2"/>
      <c r="K773" s="2"/>
      <c r="L773" s="2"/>
      <c r="M773" s="2"/>
      <c r="N773" s="2"/>
      <c r="O773" s="2"/>
      <c r="P773" s="2"/>
      <c r="Q773" s="2"/>
      <c r="R773" s="2"/>
      <c r="S773" s="2"/>
      <c r="T773" s="2"/>
      <c r="U773" s="2"/>
      <c r="V773" s="2"/>
      <c r="W773" s="2"/>
    </row>
    <row r="774">
      <c r="A774" s="2"/>
      <c r="B774" s="2"/>
      <c r="C774" s="2"/>
      <c r="D774" s="2"/>
      <c r="E774" s="2"/>
      <c r="F774" s="2"/>
      <c r="G774" s="2"/>
      <c r="H774" s="2"/>
      <c r="I774" s="2"/>
      <c r="J774" s="2"/>
      <c r="K774" s="2"/>
      <c r="L774" s="2"/>
      <c r="M774" s="2"/>
      <c r="N774" s="2"/>
      <c r="O774" s="2"/>
      <c r="P774" s="2"/>
      <c r="Q774" s="2"/>
      <c r="R774" s="2"/>
      <c r="S774" s="2"/>
      <c r="T774" s="2"/>
      <c r="U774" s="2"/>
      <c r="V774" s="2"/>
      <c r="W774" s="2"/>
    </row>
    <row r="775">
      <c r="A775" s="2"/>
      <c r="B775" s="2"/>
      <c r="C775" s="2"/>
      <c r="D775" s="2"/>
      <c r="E775" s="2"/>
      <c r="F775" s="2"/>
      <c r="G775" s="2"/>
      <c r="H775" s="2"/>
      <c r="I775" s="2"/>
      <c r="J775" s="2"/>
      <c r="K775" s="2"/>
      <c r="L775" s="2"/>
      <c r="M775" s="2"/>
      <c r="N775" s="2"/>
      <c r="O775" s="2"/>
      <c r="P775" s="2"/>
      <c r="Q775" s="2"/>
      <c r="R775" s="2"/>
      <c r="S775" s="2"/>
      <c r="T775" s="2"/>
      <c r="U775" s="2"/>
      <c r="V775" s="2"/>
      <c r="W775" s="2"/>
    </row>
    <row r="776">
      <c r="A776" s="2"/>
      <c r="B776" s="2"/>
      <c r="C776" s="2"/>
      <c r="D776" s="2"/>
      <c r="E776" s="2"/>
      <c r="F776" s="2"/>
      <c r="G776" s="2"/>
      <c r="H776" s="2"/>
      <c r="I776" s="2"/>
      <c r="J776" s="2"/>
      <c r="K776" s="2"/>
      <c r="L776" s="2"/>
      <c r="M776" s="2"/>
      <c r="N776" s="2"/>
      <c r="O776" s="2"/>
      <c r="P776" s="2"/>
      <c r="Q776" s="2"/>
      <c r="R776" s="2"/>
      <c r="S776" s="2"/>
      <c r="T776" s="2"/>
      <c r="U776" s="2"/>
      <c r="V776" s="2"/>
      <c r="W776" s="2"/>
    </row>
    <row r="777">
      <c r="A777" s="2"/>
      <c r="B777" s="2"/>
      <c r="C777" s="2"/>
      <c r="D777" s="2"/>
      <c r="E777" s="2"/>
      <c r="F777" s="2"/>
      <c r="G777" s="2"/>
      <c r="H777" s="2"/>
      <c r="I777" s="2"/>
      <c r="J777" s="2"/>
      <c r="K777" s="2"/>
      <c r="L777" s="2"/>
      <c r="M777" s="2"/>
      <c r="N777" s="2"/>
      <c r="O777" s="2"/>
      <c r="P777" s="2"/>
      <c r="Q777" s="2"/>
      <c r="R777" s="2"/>
      <c r="S777" s="2"/>
      <c r="T777" s="2"/>
      <c r="U777" s="2"/>
      <c r="V777" s="2"/>
      <c r="W777" s="2"/>
    </row>
    <row r="778">
      <c r="A778" s="2"/>
      <c r="B778" s="2"/>
      <c r="C778" s="2"/>
      <c r="D778" s="2"/>
      <c r="E778" s="2"/>
      <c r="F778" s="2"/>
      <c r="G778" s="2"/>
      <c r="H778" s="2"/>
      <c r="I778" s="2"/>
      <c r="J778" s="2"/>
      <c r="K778" s="2"/>
      <c r="L778" s="2"/>
      <c r="M778" s="2"/>
      <c r="N778" s="2"/>
      <c r="O778" s="2"/>
      <c r="P778" s="2"/>
      <c r="Q778" s="2"/>
      <c r="R778" s="2"/>
      <c r="S778" s="2"/>
      <c r="T778" s="2"/>
      <c r="U778" s="2"/>
      <c r="V778" s="2"/>
      <c r="W778" s="2"/>
    </row>
    <row r="779">
      <c r="A779" s="2"/>
      <c r="B779" s="2"/>
      <c r="C779" s="2"/>
      <c r="D779" s="2"/>
      <c r="E779" s="2"/>
      <c r="F779" s="2"/>
      <c r="G779" s="2"/>
      <c r="H779" s="2"/>
      <c r="I779" s="2"/>
      <c r="J779" s="2"/>
      <c r="K779" s="2"/>
      <c r="L779" s="2"/>
      <c r="M779" s="2"/>
      <c r="N779" s="2"/>
      <c r="O779" s="2"/>
      <c r="P779" s="2"/>
      <c r="Q779" s="2"/>
      <c r="R779" s="2"/>
      <c r="S779" s="2"/>
      <c r="T779" s="2"/>
      <c r="U779" s="2"/>
      <c r="V779" s="2"/>
      <c r="W779" s="2"/>
    </row>
    <row r="780">
      <c r="A780" s="2"/>
      <c r="B780" s="2"/>
      <c r="C780" s="2"/>
      <c r="D780" s="2"/>
      <c r="E780" s="2"/>
      <c r="F780" s="2"/>
      <c r="G780" s="2"/>
      <c r="H780" s="2"/>
      <c r="I780" s="2"/>
      <c r="J780" s="2"/>
      <c r="K780" s="2"/>
      <c r="L780" s="2"/>
      <c r="M780" s="2"/>
      <c r="N780" s="2"/>
      <c r="O780" s="2"/>
      <c r="P780" s="2"/>
      <c r="Q780" s="2"/>
      <c r="R780" s="2"/>
      <c r="S780" s="2"/>
      <c r="T780" s="2"/>
      <c r="U780" s="2"/>
      <c r="V780" s="2"/>
      <c r="W780" s="2"/>
    </row>
    <row r="781">
      <c r="A781" s="2"/>
      <c r="B781" s="2"/>
      <c r="C781" s="2"/>
      <c r="D781" s="2"/>
      <c r="E781" s="2"/>
      <c r="F781" s="2"/>
      <c r="G781" s="2"/>
      <c r="H781" s="2"/>
      <c r="I781" s="2"/>
      <c r="J781" s="2"/>
      <c r="K781" s="2"/>
      <c r="L781" s="2"/>
      <c r="M781" s="2"/>
      <c r="N781" s="2"/>
      <c r="O781" s="2"/>
      <c r="P781" s="2"/>
      <c r="Q781" s="2"/>
      <c r="R781" s="2"/>
      <c r="S781" s="2"/>
      <c r="T781" s="2"/>
      <c r="U781" s="2"/>
      <c r="V781" s="2"/>
      <c r="W781" s="2"/>
    </row>
    <row r="782">
      <c r="A782" s="2"/>
      <c r="B782" s="2"/>
      <c r="C782" s="2"/>
      <c r="D782" s="2"/>
      <c r="E782" s="2"/>
      <c r="F782" s="2"/>
      <c r="G782" s="2"/>
      <c r="H782" s="2"/>
      <c r="I782" s="2"/>
      <c r="J782" s="2"/>
      <c r="K782" s="2"/>
      <c r="L782" s="2"/>
      <c r="M782" s="2"/>
      <c r="N782" s="2"/>
      <c r="O782" s="2"/>
      <c r="P782" s="2"/>
      <c r="Q782" s="2"/>
      <c r="R782" s="2"/>
      <c r="S782" s="2"/>
      <c r="T782" s="2"/>
      <c r="U782" s="2"/>
      <c r="V782" s="2"/>
      <c r="W782" s="2"/>
    </row>
    <row r="783">
      <c r="A783" s="2"/>
      <c r="B783" s="2"/>
      <c r="C783" s="2"/>
      <c r="D783" s="2"/>
      <c r="E783" s="2"/>
      <c r="F783" s="2"/>
      <c r="G783" s="2"/>
      <c r="H783" s="2"/>
      <c r="I783" s="2"/>
      <c r="J783" s="2"/>
      <c r="K783" s="2"/>
      <c r="L783" s="2"/>
      <c r="M783" s="2"/>
      <c r="N783" s="2"/>
      <c r="O783" s="2"/>
      <c r="P783" s="2"/>
      <c r="Q783" s="2"/>
      <c r="R783" s="2"/>
      <c r="S783" s="2"/>
      <c r="T783" s="2"/>
      <c r="U783" s="2"/>
      <c r="V783" s="2"/>
      <c r="W783" s="2"/>
    </row>
    <row r="784">
      <c r="A784" s="2"/>
      <c r="B784" s="2"/>
      <c r="C784" s="2"/>
      <c r="D784" s="2"/>
      <c r="E784" s="2"/>
      <c r="F784" s="2"/>
      <c r="G784" s="2"/>
      <c r="H784" s="2"/>
      <c r="I784" s="2"/>
      <c r="J784" s="2"/>
      <c r="K784" s="2"/>
      <c r="L784" s="2"/>
      <c r="M784" s="2"/>
      <c r="N784" s="2"/>
      <c r="O784" s="2"/>
      <c r="P784" s="2"/>
      <c r="Q784" s="2"/>
      <c r="R784" s="2"/>
      <c r="S784" s="2"/>
      <c r="T784" s="2"/>
      <c r="U784" s="2"/>
      <c r="V784" s="2"/>
      <c r="W784" s="2"/>
    </row>
    <row r="785">
      <c r="A785" s="2"/>
      <c r="B785" s="2"/>
      <c r="C785" s="2"/>
      <c r="D785" s="2"/>
      <c r="E785" s="2"/>
      <c r="F785" s="2"/>
      <c r="G785" s="2"/>
      <c r="H785" s="2"/>
      <c r="I785" s="2"/>
      <c r="J785" s="2"/>
      <c r="K785" s="2"/>
      <c r="L785" s="2"/>
      <c r="M785" s="2"/>
      <c r="N785" s="2"/>
      <c r="O785" s="2"/>
      <c r="P785" s="2"/>
      <c r="Q785" s="2"/>
      <c r="R785" s="2"/>
      <c r="S785" s="2"/>
      <c r="T785" s="2"/>
      <c r="U785" s="2"/>
      <c r="V785" s="2"/>
      <c r="W785" s="2"/>
    </row>
    <row r="786">
      <c r="A786" s="2"/>
      <c r="B786" s="2"/>
      <c r="C786" s="2"/>
      <c r="D786" s="2"/>
      <c r="E786" s="2"/>
      <c r="F786" s="2"/>
      <c r="G786" s="2"/>
      <c r="H786" s="2"/>
      <c r="I786" s="2"/>
      <c r="J786" s="2"/>
      <c r="K786" s="2"/>
      <c r="L786" s="2"/>
      <c r="M786" s="2"/>
      <c r="N786" s="2"/>
      <c r="O786" s="2"/>
      <c r="P786" s="2"/>
      <c r="Q786" s="2"/>
      <c r="R786" s="2"/>
      <c r="S786" s="2"/>
      <c r="T786" s="2"/>
      <c r="U786" s="2"/>
      <c r="V786" s="2"/>
      <c r="W786" s="2"/>
    </row>
    <row r="787">
      <c r="A787" s="2"/>
      <c r="B787" s="2"/>
      <c r="C787" s="2"/>
      <c r="D787" s="2"/>
      <c r="E787" s="2"/>
      <c r="F787" s="2"/>
      <c r="G787" s="2"/>
      <c r="H787" s="2"/>
      <c r="I787" s="2"/>
      <c r="J787" s="2"/>
      <c r="K787" s="2"/>
      <c r="L787" s="2"/>
      <c r="M787" s="2"/>
      <c r="N787" s="2"/>
      <c r="O787" s="2"/>
      <c r="P787" s="2"/>
      <c r="Q787" s="2"/>
      <c r="R787" s="2"/>
      <c r="S787" s="2"/>
      <c r="T787" s="2"/>
      <c r="U787" s="2"/>
      <c r="V787" s="2"/>
      <c r="W787" s="2"/>
    </row>
    <row r="788">
      <c r="A788" s="2"/>
      <c r="B788" s="2"/>
      <c r="C788" s="2"/>
      <c r="D788" s="2"/>
      <c r="E788" s="2"/>
      <c r="F788" s="2"/>
      <c r="G788" s="2"/>
      <c r="H788" s="2"/>
      <c r="I788" s="2"/>
      <c r="J788" s="2"/>
      <c r="K788" s="2"/>
      <c r="L788" s="2"/>
      <c r="M788" s="2"/>
      <c r="N788" s="2"/>
      <c r="O788" s="2"/>
      <c r="P788" s="2"/>
      <c r="Q788" s="2"/>
      <c r="R788" s="2"/>
      <c r="S788" s="2"/>
      <c r="T788" s="2"/>
      <c r="U788" s="2"/>
      <c r="V788" s="2"/>
      <c r="W788" s="2"/>
    </row>
    <row r="789">
      <c r="A789" s="2"/>
      <c r="B789" s="2"/>
      <c r="C789" s="2"/>
      <c r="D789" s="2"/>
      <c r="E789" s="2"/>
      <c r="F789" s="2"/>
      <c r="G789" s="2"/>
      <c r="H789" s="2"/>
      <c r="I789" s="2"/>
      <c r="J789" s="2"/>
      <c r="K789" s="2"/>
      <c r="L789" s="2"/>
      <c r="M789" s="2"/>
      <c r="N789" s="2"/>
      <c r="O789" s="2"/>
      <c r="P789" s="2"/>
      <c r="Q789" s="2"/>
      <c r="R789" s="2"/>
      <c r="S789" s="2"/>
      <c r="T789" s="2"/>
      <c r="U789" s="2"/>
      <c r="V789" s="2"/>
      <c r="W789" s="2"/>
    </row>
    <row r="790">
      <c r="A790" s="2"/>
      <c r="B790" s="2"/>
      <c r="C790" s="2"/>
      <c r="D790" s="2"/>
      <c r="E790" s="2"/>
      <c r="F790" s="2"/>
      <c r="G790" s="2"/>
      <c r="H790" s="2"/>
      <c r="I790" s="2"/>
      <c r="J790" s="2"/>
      <c r="K790" s="2"/>
      <c r="L790" s="2"/>
      <c r="M790" s="2"/>
      <c r="N790" s="2"/>
      <c r="O790" s="2"/>
      <c r="P790" s="2"/>
      <c r="Q790" s="2"/>
      <c r="R790" s="2"/>
      <c r="S790" s="2"/>
      <c r="T790" s="2"/>
      <c r="U790" s="2"/>
      <c r="V790" s="2"/>
      <c r="W790" s="2"/>
    </row>
    <row r="791">
      <c r="A791" s="2"/>
      <c r="B791" s="2"/>
      <c r="C791" s="2"/>
      <c r="D791" s="2"/>
      <c r="E791" s="2"/>
      <c r="F791" s="2"/>
      <c r="G791" s="2"/>
      <c r="H791" s="2"/>
      <c r="I791" s="2"/>
      <c r="J791" s="2"/>
      <c r="K791" s="2"/>
      <c r="L791" s="2"/>
      <c r="M791" s="2"/>
      <c r="N791" s="2"/>
      <c r="O791" s="2"/>
      <c r="P791" s="2"/>
      <c r="Q791" s="2"/>
      <c r="R791" s="2"/>
      <c r="S791" s="2"/>
      <c r="T791" s="2"/>
      <c r="U791" s="2"/>
      <c r="V791" s="2"/>
      <c r="W791" s="2"/>
    </row>
    <row r="792">
      <c r="A792" s="2"/>
      <c r="B792" s="2"/>
      <c r="C792" s="2"/>
      <c r="D792" s="2"/>
      <c r="E792" s="2"/>
      <c r="F792" s="2"/>
      <c r="G792" s="2"/>
      <c r="H792" s="2"/>
      <c r="I792" s="2"/>
      <c r="J792" s="2"/>
      <c r="K792" s="2"/>
      <c r="L792" s="2"/>
      <c r="M792" s="2"/>
      <c r="N792" s="2"/>
      <c r="O792" s="2"/>
      <c r="P792" s="2"/>
      <c r="Q792" s="2"/>
      <c r="R792" s="2"/>
      <c r="S792" s="2"/>
      <c r="T792" s="2"/>
      <c r="U792" s="2"/>
      <c r="V792" s="2"/>
      <c r="W792" s="2"/>
    </row>
    <row r="793">
      <c r="A793" s="2"/>
      <c r="B793" s="2"/>
      <c r="C793" s="2"/>
      <c r="D793" s="2"/>
      <c r="E793" s="2"/>
      <c r="F793" s="2"/>
      <c r="G793" s="2"/>
      <c r="H793" s="2"/>
      <c r="I793" s="2"/>
      <c r="J793" s="2"/>
      <c r="K793" s="2"/>
      <c r="L793" s="2"/>
      <c r="M793" s="2"/>
      <c r="N793" s="2"/>
      <c r="O793" s="2"/>
      <c r="P793" s="2"/>
      <c r="Q793" s="2"/>
      <c r="R793" s="2"/>
      <c r="S793" s="2"/>
      <c r="T793" s="2"/>
      <c r="U793" s="2"/>
      <c r="V793" s="2"/>
      <c r="W793" s="2"/>
    </row>
    <row r="794">
      <c r="A794" s="2"/>
      <c r="B794" s="2"/>
      <c r="C794" s="2"/>
      <c r="D794" s="2"/>
      <c r="E794" s="2"/>
      <c r="F794" s="2"/>
      <c r="G794" s="2"/>
      <c r="H794" s="2"/>
      <c r="I794" s="2"/>
      <c r="J794" s="2"/>
      <c r="K794" s="2"/>
      <c r="L794" s="2"/>
      <c r="M794" s="2"/>
      <c r="N794" s="2"/>
      <c r="O794" s="2"/>
      <c r="P794" s="2"/>
      <c r="Q794" s="2"/>
      <c r="R794" s="2"/>
      <c r="S794" s="2"/>
      <c r="T794" s="2"/>
      <c r="U794" s="2"/>
      <c r="V794" s="2"/>
      <c r="W794" s="2"/>
    </row>
    <row r="795">
      <c r="A795" s="2"/>
      <c r="B795" s="2"/>
      <c r="C795" s="2"/>
      <c r="D795" s="2"/>
      <c r="E795" s="2"/>
      <c r="F795" s="2"/>
      <c r="G795" s="2"/>
      <c r="H795" s="2"/>
      <c r="I795" s="2"/>
      <c r="J795" s="2"/>
      <c r="K795" s="2"/>
      <c r="L795" s="2"/>
      <c r="M795" s="2"/>
      <c r="N795" s="2"/>
      <c r="O795" s="2"/>
      <c r="P795" s="2"/>
      <c r="Q795" s="2"/>
      <c r="R795" s="2"/>
      <c r="S795" s="2"/>
      <c r="T795" s="2"/>
      <c r="U795" s="2"/>
      <c r="V795" s="2"/>
      <c r="W795" s="2"/>
    </row>
    <row r="796">
      <c r="A796" s="2"/>
      <c r="B796" s="2"/>
      <c r="C796" s="2"/>
      <c r="D796" s="2"/>
      <c r="E796" s="2"/>
      <c r="F796" s="2"/>
      <c r="G796" s="2"/>
      <c r="H796" s="2"/>
      <c r="I796" s="2"/>
      <c r="J796" s="2"/>
      <c r="K796" s="2"/>
      <c r="L796" s="2"/>
      <c r="M796" s="2"/>
      <c r="N796" s="2"/>
      <c r="O796" s="2"/>
      <c r="P796" s="2"/>
      <c r="Q796" s="2"/>
      <c r="R796" s="2"/>
      <c r="S796" s="2"/>
      <c r="T796" s="2"/>
      <c r="U796" s="2"/>
      <c r="V796" s="2"/>
      <c r="W796" s="2"/>
    </row>
    <row r="797">
      <c r="A797" s="2"/>
      <c r="B797" s="2"/>
      <c r="C797" s="2"/>
      <c r="D797" s="2"/>
      <c r="E797" s="2"/>
      <c r="F797" s="2"/>
      <c r="G797" s="2"/>
      <c r="H797" s="2"/>
      <c r="I797" s="2"/>
      <c r="J797" s="2"/>
      <c r="K797" s="2"/>
      <c r="L797" s="2"/>
      <c r="M797" s="2"/>
      <c r="N797" s="2"/>
      <c r="O797" s="2"/>
      <c r="P797" s="2"/>
      <c r="Q797" s="2"/>
      <c r="R797" s="2"/>
      <c r="S797" s="2"/>
      <c r="T797" s="2"/>
      <c r="U797" s="2"/>
      <c r="V797" s="2"/>
      <c r="W797" s="2"/>
    </row>
    <row r="798">
      <c r="A798" s="2"/>
      <c r="B798" s="2"/>
      <c r="C798" s="2"/>
      <c r="D798" s="2"/>
      <c r="E798" s="2"/>
      <c r="F798" s="2"/>
      <c r="G798" s="2"/>
      <c r="H798" s="2"/>
      <c r="I798" s="2"/>
      <c r="J798" s="2"/>
      <c r="K798" s="2"/>
      <c r="L798" s="2"/>
      <c r="M798" s="2"/>
      <c r="N798" s="2"/>
      <c r="O798" s="2"/>
      <c r="P798" s="2"/>
      <c r="Q798" s="2"/>
      <c r="R798" s="2"/>
      <c r="S798" s="2"/>
      <c r="T798" s="2"/>
      <c r="U798" s="2"/>
      <c r="V798" s="2"/>
      <c r="W798" s="2"/>
    </row>
    <row r="799">
      <c r="A799" s="2"/>
      <c r="B799" s="2"/>
      <c r="C799" s="2"/>
      <c r="D799" s="2"/>
      <c r="E799" s="2"/>
      <c r="F799" s="2"/>
      <c r="G799" s="2"/>
      <c r="H799" s="2"/>
      <c r="I799" s="2"/>
      <c r="J799" s="2"/>
      <c r="K799" s="2"/>
      <c r="L799" s="2"/>
      <c r="M799" s="2"/>
      <c r="N799" s="2"/>
      <c r="O799" s="2"/>
      <c r="P799" s="2"/>
      <c r="Q799" s="2"/>
      <c r="R799" s="2"/>
      <c r="S799" s="2"/>
      <c r="T799" s="2"/>
      <c r="U799" s="2"/>
      <c r="V799" s="2"/>
      <c r="W799" s="2"/>
    </row>
    <row r="800">
      <c r="A800" s="2"/>
      <c r="B800" s="2"/>
      <c r="C800" s="2"/>
      <c r="D800" s="2"/>
      <c r="E800" s="2"/>
      <c r="F800" s="2"/>
      <c r="G800" s="2"/>
      <c r="H800" s="2"/>
      <c r="I800" s="2"/>
      <c r="J800" s="2"/>
      <c r="K800" s="2"/>
      <c r="L800" s="2"/>
      <c r="M800" s="2"/>
      <c r="N800" s="2"/>
      <c r="O800" s="2"/>
      <c r="P800" s="2"/>
      <c r="Q800" s="2"/>
      <c r="R800" s="2"/>
      <c r="S800" s="2"/>
      <c r="T800" s="2"/>
      <c r="U800" s="2"/>
      <c r="V800" s="2"/>
      <c r="W800" s="2"/>
    </row>
    <row r="801">
      <c r="A801" s="2"/>
      <c r="B801" s="2"/>
      <c r="C801" s="2"/>
      <c r="D801" s="2"/>
      <c r="E801" s="2"/>
      <c r="F801" s="2"/>
      <c r="G801" s="2"/>
      <c r="H801" s="2"/>
      <c r="I801" s="2"/>
      <c r="J801" s="2"/>
      <c r="K801" s="2"/>
      <c r="L801" s="2"/>
      <c r="M801" s="2"/>
      <c r="N801" s="2"/>
      <c r="O801" s="2"/>
      <c r="P801" s="2"/>
      <c r="Q801" s="2"/>
      <c r="R801" s="2"/>
      <c r="S801" s="2"/>
      <c r="T801" s="2"/>
      <c r="U801" s="2"/>
      <c r="V801" s="2"/>
      <c r="W801" s="2"/>
    </row>
    <row r="802">
      <c r="A802" s="2"/>
      <c r="B802" s="2"/>
      <c r="C802" s="2"/>
      <c r="D802" s="2"/>
      <c r="E802" s="2"/>
      <c r="F802" s="2"/>
      <c r="G802" s="2"/>
      <c r="H802" s="2"/>
      <c r="I802" s="2"/>
      <c r="J802" s="2"/>
      <c r="K802" s="2"/>
      <c r="L802" s="2"/>
      <c r="M802" s="2"/>
      <c r="N802" s="2"/>
      <c r="O802" s="2"/>
      <c r="P802" s="2"/>
      <c r="Q802" s="2"/>
      <c r="R802" s="2"/>
      <c r="S802" s="2"/>
      <c r="T802" s="2"/>
      <c r="U802" s="2"/>
      <c r="V802" s="2"/>
      <c r="W802" s="2"/>
    </row>
    <row r="803">
      <c r="A803" s="2"/>
      <c r="B803" s="2"/>
      <c r="C803" s="2"/>
      <c r="D803" s="2"/>
      <c r="E803" s="2"/>
      <c r="F803" s="2"/>
      <c r="G803" s="2"/>
      <c r="H803" s="2"/>
      <c r="I803" s="2"/>
      <c r="J803" s="2"/>
      <c r="K803" s="2"/>
      <c r="L803" s="2"/>
      <c r="M803" s="2"/>
      <c r="N803" s="2"/>
      <c r="O803" s="2"/>
      <c r="P803" s="2"/>
      <c r="Q803" s="2"/>
      <c r="R803" s="2"/>
      <c r="S803" s="2"/>
      <c r="T803" s="2"/>
      <c r="U803" s="2"/>
      <c r="V803" s="2"/>
      <c r="W803" s="2"/>
    </row>
    <row r="804">
      <c r="A804" s="2"/>
      <c r="B804" s="2"/>
      <c r="C804" s="2"/>
      <c r="D804" s="2"/>
      <c r="E804" s="2"/>
      <c r="F804" s="2"/>
      <c r="G804" s="2"/>
      <c r="H804" s="2"/>
      <c r="I804" s="2"/>
      <c r="J804" s="2"/>
      <c r="K804" s="2"/>
      <c r="L804" s="2"/>
      <c r="M804" s="2"/>
      <c r="N804" s="2"/>
      <c r="O804" s="2"/>
      <c r="P804" s="2"/>
      <c r="Q804" s="2"/>
      <c r="R804" s="2"/>
      <c r="S804" s="2"/>
      <c r="T804" s="2"/>
      <c r="U804" s="2"/>
      <c r="V804" s="2"/>
      <c r="W804" s="2"/>
    </row>
    <row r="805">
      <c r="A805" s="2"/>
      <c r="B805" s="2"/>
      <c r="C805" s="2"/>
      <c r="D805" s="2"/>
      <c r="E805" s="2"/>
      <c r="F805" s="2"/>
      <c r="G805" s="2"/>
      <c r="H805" s="2"/>
      <c r="I805" s="2"/>
      <c r="J805" s="2"/>
      <c r="K805" s="2"/>
      <c r="L805" s="2"/>
      <c r="M805" s="2"/>
      <c r="N805" s="2"/>
      <c r="O805" s="2"/>
      <c r="P805" s="2"/>
      <c r="Q805" s="2"/>
      <c r="R805" s="2"/>
      <c r="S805" s="2"/>
      <c r="T805" s="2"/>
      <c r="U805" s="2"/>
      <c r="V805" s="2"/>
      <c r="W805" s="2"/>
    </row>
    <row r="806">
      <c r="A806" s="2"/>
      <c r="B806" s="2"/>
      <c r="C806" s="2"/>
      <c r="D806" s="2"/>
      <c r="E806" s="2"/>
      <c r="F806" s="2"/>
      <c r="G806" s="2"/>
      <c r="H806" s="2"/>
      <c r="I806" s="2"/>
      <c r="J806" s="2"/>
      <c r="K806" s="2"/>
      <c r="L806" s="2"/>
      <c r="M806" s="2"/>
      <c r="N806" s="2"/>
      <c r="O806" s="2"/>
      <c r="P806" s="2"/>
      <c r="Q806" s="2"/>
      <c r="R806" s="2"/>
      <c r="S806" s="2"/>
      <c r="T806" s="2"/>
      <c r="U806" s="2"/>
      <c r="V806" s="2"/>
      <c r="W806" s="2"/>
    </row>
    <row r="807">
      <c r="A807" s="2"/>
      <c r="B807" s="2"/>
      <c r="C807" s="2"/>
      <c r="D807" s="2"/>
      <c r="E807" s="2"/>
      <c r="F807" s="2"/>
      <c r="G807" s="2"/>
      <c r="H807" s="2"/>
      <c r="I807" s="2"/>
      <c r="J807" s="2"/>
      <c r="K807" s="2"/>
      <c r="L807" s="2"/>
      <c r="M807" s="2"/>
      <c r="N807" s="2"/>
      <c r="O807" s="2"/>
      <c r="P807" s="2"/>
      <c r="Q807" s="2"/>
      <c r="R807" s="2"/>
      <c r="S807" s="2"/>
      <c r="T807" s="2"/>
      <c r="U807" s="2"/>
      <c r="V807" s="2"/>
      <c r="W807" s="2"/>
    </row>
    <row r="808">
      <c r="A808" s="2"/>
      <c r="B808" s="2"/>
      <c r="C808" s="2"/>
      <c r="D808" s="2"/>
      <c r="E808" s="2"/>
      <c r="F808" s="2"/>
      <c r="G808" s="2"/>
      <c r="H808" s="2"/>
      <c r="I808" s="2"/>
      <c r="J808" s="2"/>
      <c r="K808" s="2"/>
      <c r="L808" s="2"/>
      <c r="M808" s="2"/>
      <c r="N808" s="2"/>
      <c r="O808" s="2"/>
      <c r="P808" s="2"/>
      <c r="Q808" s="2"/>
      <c r="R808" s="2"/>
      <c r="S808" s="2"/>
      <c r="T808" s="2"/>
      <c r="U808" s="2"/>
      <c r="V808" s="2"/>
      <c r="W808" s="2"/>
    </row>
    <row r="809">
      <c r="A809" s="2"/>
      <c r="B809" s="2"/>
      <c r="C809" s="2"/>
      <c r="D809" s="2"/>
      <c r="E809" s="2"/>
      <c r="F809" s="2"/>
      <c r="G809" s="2"/>
      <c r="H809" s="2"/>
      <c r="I809" s="2"/>
      <c r="J809" s="2"/>
      <c r="K809" s="2"/>
      <c r="L809" s="2"/>
      <c r="M809" s="2"/>
      <c r="N809" s="2"/>
      <c r="O809" s="2"/>
      <c r="P809" s="2"/>
      <c r="Q809" s="2"/>
      <c r="R809" s="2"/>
      <c r="S809" s="2"/>
      <c r="T809" s="2"/>
      <c r="U809" s="2"/>
      <c r="V809" s="2"/>
      <c r="W809" s="2"/>
    </row>
    <row r="810">
      <c r="A810" s="2"/>
      <c r="B810" s="2"/>
      <c r="C810" s="2"/>
      <c r="D810" s="2"/>
      <c r="E810" s="2"/>
      <c r="F810" s="2"/>
      <c r="G810" s="2"/>
      <c r="H810" s="2"/>
      <c r="I810" s="2"/>
      <c r="J810" s="2"/>
      <c r="K810" s="2"/>
      <c r="L810" s="2"/>
      <c r="M810" s="2"/>
      <c r="N810" s="2"/>
      <c r="O810" s="2"/>
      <c r="P810" s="2"/>
      <c r="Q810" s="2"/>
      <c r="R810" s="2"/>
      <c r="S810" s="2"/>
      <c r="T810" s="2"/>
      <c r="U810" s="2"/>
      <c r="V810" s="2"/>
      <c r="W810" s="2"/>
    </row>
    <row r="811">
      <c r="A811" s="2"/>
      <c r="B811" s="2"/>
      <c r="C811" s="2"/>
      <c r="D811" s="2"/>
      <c r="E811" s="2"/>
      <c r="F811" s="2"/>
      <c r="G811" s="2"/>
      <c r="H811" s="2"/>
      <c r="I811" s="2"/>
      <c r="J811" s="2"/>
      <c r="K811" s="2"/>
      <c r="L811" s="2"/>
      <c r="M811" s="2"/>
      <c r="N811" s="2"/>
      <c r="O811" s="2"/>
      <c r="P811" s="2"/>
      <c r="Q811" s="2"/>
      <c r="R811" s="2"/>
      <c r="S811" s="2"/>
      <c r="T811" s="2"/>
      <c r="U811" s="2"/>
      <c r="V811" s="2"/>
      <c r="W811" s="2"/>
    </row>
    <row r="812">
      <c r="A812" s="2"/>
      <c r="B812" s="2"/>
      <c r="C812" s="2"/>
      <c r="D812" s="2"/>
      <c r="E812" s="2"/>
      <c r="F812" s="2"/>
      <c r="G812" s="2"/>
      <c r="H812" s="2"/>
      <c r="I812" s="2"/>
      <c r="J812" s="2"/>
      <c r="K812" s="2"/>
      <c r="L812" s="2"/>
      <c r="M812" s="2"/>
      <c r="N812" s="2"/>
      <c r="O812" s="2"/>
      <c r="P812" s="2"/>
      <c r="Q812" s="2"/>
      <c r="R812" s="2"/>
      <c r="S812" s="2"/>
      <c r="T812" s="2"/>
      <c r="U812" s="2"/>
      <c r="V812" s="2"/>
      <c r="W812" s="2"/>
    </row>
    <row r="813">
      <c r="A813" s="2"/>
      <c r="B813" s="2"/>
      <c r="C813" s="2"/>
      <c r="D813" s="2"/>
      <c r="E813" s="2"/>
      <c r="F813" s="2"/>
      <c r="G813" s="2"/>
      <c r="H813" s="2"/>
      <c r="I813" s="2"/>
      <c r="J813" s="2"/>
      <c r="K813" s="2"/>
      <c r="L813" s="2"/>
      <c r="M813" s="2"/>
      <c r="N813" s="2"/>
      <c r="O813" s="2"/>
      <c r="P813" s="2"/>
      <c r="Q813" s="2"/>
      <c r="R813" s="2"/>
      <c r="S813" s="2"/>
      <c r="T813" s="2"/>
      <c r="U813" s="2"/>
      <c r="V813" s="2"/>
      <c r="W813" s="2"/>
    </row>
    <row r="814">
      <c r="A814" s="2"/>
      <c r="B814" s="2"/>
      <c r="C814" s="2"/>
      <c r="D814" s="2"/>
      <c r="E814" s="2"/>
      <c r="F814" s="2"/>
      <c r="G814" s="2"/>
      <c r="H814" s="2"/>
      <c r="I814" s="2"/>
      <c r="J814" s="2"/>
      <c r="K814" s="2"/>
      <c r="L814" s="2"/>
      <c r="M814" s="2"/>
      <c r="N814" s="2"/>
      <c r="O814" s="2"/>
      <c r="P814" s="2"/>
      <c r="Q814" s="2"/>
      <c r="R814" s="2"/>
      <c r="S814" s="2"/>
      <c r="T814" s="2"/>
      <c r="U814" s="2"/>
      <c r="V814" s="2"/>
      <c r="W814" s="2"/>
    </row>
    <row r="815">
      <c r="A815" s="2"/>
      <c r="B815" s="2"/>
      <c r="C815" s="2"/>
      <c r="D815" s="2"/>
      <c r="E815" s="2"/>
      <c r="F815" s="2"/>
      <c r="G815" s="2"/>
      <c r="H815" s="2"/>
      <c r="I815" s="2"/>
      <c r="J815" s="2"/>
      <c r="K815" s="2"/>
      <c r="L815" s="2"/>
      <c r="M815" s="2"/>
      <c r="N815" s="2"/>
      <c r="O815" s="2"/>
      <c r="P815" s="2"/>
      <c r="Q815" s="2"/>
      <c r="R815" s="2"/>
      <c r="S815" s="2"/>
      <c r="T815" s="2"/>
      <c r="U815" s="2"/>
      <c r="V815" s="2"/>
      <c r="W815" s="2"/>
    </row>
    <row r="816">
      <c r="A816" s="2"/>
      <c r="B816" s="2"/>
      <c r="C816" s="2"/>
      <c r="D816" s="2"/>
      <c r="E816" s="2"/>
      <c r="F816" s="2"/>
      <c r="G816" s="2"/>
      <c r="H816" s="2"/>
      <c r="I816" s="2"/>
      <c r="J816" s="2"/>
      <c r="K816" s="2"/>
      <c r="L816" s="2"/>
      <c r="M816" s="2"/>
      <c r="N816" s="2"/>
      <c r="O816" s="2"/>
      <c r="P816" s="2"/>
      <c r="Q816" s="2"/>
      <c r="R816" s="2"/>
      <c r="S816" s="2"/>
      <c r="T816" s="2"/>
      <c r="U816" s="2"/>
      <c r="V816" s="2"/>
      <c r="W816" s="2"/>
    </row>
    <row r="817">
      <c r="A817" s="2"/>
      <c r="B817" s="2"/>
      <c r="C817" s="2"/>
      <c r="D817" s="2"/>
      <c r="E817" s="2"/>
      <c r="F817" s="2"/>
      <c r="G817" s="2"/>
      <c r="H817" s="2"/>
      <c r="I817" s="2"/>
      <c r="J817" s="2"/>
      <c r="K817" s="2"/>
      <c r="L817" s="2"/>
      <c r="M817" s="2"/>
      <c r="N817" s="2"/>
      <c r="O817" s="2"/>
      <c r="P817" s="2"/>
      <c r="Q817" s="2"/>
      <c r="R817" s="2"/>
      <c r="S817" s="2"/>
      <c r="T817" s="2"/>
      <c r="U817" s="2"/>
      <c r="V817" s="2"/>
      <c r="W817" s="2"/>
    </row>
    <row r="818">
      <c r="A818" s="2"/>
      <c r="B818" s="2"/>
      <c r="C818" s="2"/>
      <c r="D818" s="2"/>
      <c r="E818" s="2"/>
      <c r="F818" s="2"/>
      <c r="G818" s="2"/>
      <c r="H818" s="2"/>
      <c r="I818" s="2"/>
      <c r="J818" s="2"/>
      <c r="K818" s="2"/>
      <c r="L818" s="2"/>
      <c r="M818" s="2"/>
      <c r="N818" s="2"/>
      <c r="O818" s="2"/>
      <c r="P818" s="2"/>
      <c r="Q818" s="2"/>
      <c r="R818" s="2"/>
      <c r="S818" s="2"/>
      <c r="T818" s="2"/>
      <c r="U818" s="2"/>
      <c r="V818" s="2"/>
      <c r="W818" s="2"/>
    </row>
    <row r="819">
      <c r="A819" s="2"/>
      <c r="B819" s="2"/>
      <c r="C819" s="2"/>
      <c r="D819" s="2"/>
      <c r="E819" s="2"/>
      <c r="F819" s="2"/>
      <c r="G819" s="2"/>
      <c r="H819" s="2"/>
      <c r="I819" s="2"/>
      <c r="J819" s="2"/>
      <c r="K819" s="2"/>
      <c r="L819" s="2"/>
      <c r="M819" s="2"/>
      <c r="N819" s="2"/>
      <c r="O819" s="2"/>
      <c r="P819" s="2"/>
      <c r="Q819" s="2"/>
      <c r="R819" s="2"/>
      <c r="S819" s="2"/>
      <c r="T819" s="2"/>
      <c r="U819" s="2"/>
      <c r="V819" s="2"/>
      <c r="W819" s="2"/>
    </row>
    <row r="820">
      <c r="A820" s="2"/>
      <c r="B820" s="2"/>
      <c r="C820" s="2"/>
      <c r="D820" s="2"/>
      <c r="E820" s="2"/>
      <c r="F820" s="2"/>
      <c r="G820" s="2"/>
      <c r="H820" s="2"/>
      <c r="I820" s="2"/>
      <c r="J820" s="2"/>
      <c r="K820" s="2"/>
      <c r="L820" s="2"/>
      <c r="M820" s="2"/>
      <c r="N820" s="2"/>
      <c r="O820" s="2"/>
      <c r="P820" s="2"/>
      <c r="Q820" s="2"/>
      <c r="R820" s="2"/>
      <c r="S820" s="2"/>
      <c r="T820" s="2"/>
      <c r="U820" s="2"/>
      <c r="V820" s="2"/>
      <c r="W820" s="2"/>
    </row>
    <row r="821">
      <c r="A821" s="2"/>
      <c r="B821" s="2"/>
      <c r="C821" s="2"/>
      <c r="D821" s="2"/>
      <c r="E821" s="2"/>
      <c r="F821" s="2"/>
      <c r="G821" s="2"/>
      <c r="H821" s="2"/>
      <c r="I821" s="2"/>
      <c r="J821" s="2"/>
      <c r="K821" s="2"/>
      <c r="L821" s="2"/>
      <c r="M821" s="2"/>
      <c r="N821" s="2"/>
      <c r="O821" s="2"/>
      <c r="P821" s="2"/>
      <c r="Q821" s="2"/>
      <c r="R821" s="2"/>
      <c r="S821" s="2"/>
      <c r="T821" s="2"/>
      <c r="U821" s="2"/>
      <c r="V821" s="2"/>
      <c r="W821" s="2"/>
    </row>
    <row r="822">
      <c r="A822" s="2"/>
      <c r="B822" s="2"/>
      <c r="C822" s="2"/>
      <c r="D822" s="2"/>
      <c r="E822" s="2"/>
      <c r="F822" s="2"/>
      <c r="G822" s="2"/>
      <c r="H822" s="2"/>
      <c r="I822" s="2"/>
      <c r="J822" s="2"/>
      <c r="K822" s="2"/>
      <c r="L822" s="2"/>
      <c r="M822" s="2"/>
      <c r="N822" s="2"/>
      <c r="O822" s="2"/>
      <c r="P822" s="2"/>
      <c r="Q822" s="2"/>
      <c r="R822" s="2"/>
      <c r="S822" s="2"/>
      <c r="T822" s="2"/>
      <c r="U822" s="2"/>
      <c r="V822" s="2"/>
      <c r="W822" s="2"/>
    </row>
    <row r="823">
      <c r="A823" s="2"/>
      <c r="B823" s="2"/>
      <c r="C823" s="2"/>
      <c r="D823" s="2"/>
      <c r="E823" s="2"/>
      <c r="F823" s="2"/>
      <c r="G823" s="2"/>
      <c r="H823" s="2"/>
      <c r="I823" s="2"/>
      <c r="J823" s="2"/>
      <c r="K823" s="2"/>
      <c r="L823" s="2"/>
      <c r="M823" s="2"/>
      <c r="N823" s="2"/>
      <c r="O823" s="2"/>
      <c r="P823" s="2"/>
      <c r="Q823" s="2"/>
      <c r="R823" s="2"/>
      <c r="S823" s="2"/>
      <c r="T823" s="2"/>
      <c r="U823" s="2"/>
      <c r="V823" s="2"/>
      <c r="W823" s="2"/>
    </row>
    <row r="824">
      <c r="A824" s="2"/>
      <c r="B824" s="2"/>
      <c r="C824" s="2"/>
      <c r="D824" s="2"/>
      <c r="E824" s="2"/>
      <c r="F824" s="2"/>
      <c r="G824" s="2"/>
      <c r="H824" s="2"/>
      <c r="I824" s="2"/>
      <c r="J824" s="2"/>
      <c r="K824" s="2"/>
      <c r="L824" s="2"/>
      <c r="M824" s="2"/>
      <c r="N824" s="2"/>
      <c r="O824" s="2"/>
      <c r="P824" s="2"/>
      <c r="Q824" s="2"/>
      <c r="R824" s="2"/>
      <c r="S824" s="2"/>
      <c r="T824" s="2"/>
      <c r="U824" s="2"/>
      <c r="V824" s="2"/>
      <c r="W824" s="2"/>
    </row>
    <row r="825">
      <c r="A825" s="2"/>
      <c r="B825" s="2"/>
      <c r="C825" s="2"/>
      <c r="D825" s="2"/>
      <c r="E825" s="2"/>
      <c r="F825" s="2"/>
      <c r="G825" s="2"/>
      <c r="H825" s="2"/>
      <c r="I825" s="2"/>
      <c r="J825" s="2"/>
      <c r="K825" s="2"/>
      <c r="L825" s="2"/>
      <c r="M825" s="2"/>
      <c r="N825" s="2"/>
      <c r="O825" s="2"/>
      <c r="P825" s="2"/>
      <c r="Q825" s="2"/>
      <c r="R825" s="2"/>
      <c r="S825" s="2"/>
      <c r="T825" s="2"/>
      <c r="U825" s="2"/>
      <c r="V825" s="2"/>
      <c r="W825" s="2"/>
    </row>
    <row r="826">
      <c r="A826" s="2"/>
      <c r="B826" s="2"/>
      <c r="C826" s="2"/>
      <c r="D826" s="2"/>
      <c r="E826" s="2"/>
      <c r="F826" s="2"/>
      <c r="G826" s="2"/>
      <c r="H826" s="2"/>
      <c r="I826" s="2"/>
      <c r="J826" s="2"/>
      <c r="K826" s="2"/>
      <c r="L826" s="2"/>
      <c r="M826" s="2"/>
      <c r="N826" s="2"/>
      <c r="O826" s="2"/>
      <c r="P826" s="2"/>
      <c r="Q826" s="2"/>
      <c r="R826" s="2"/>
      <c r="S826" s="2"/>
      <c r="T826" s="2"/>
      <c r="U826" s="2"/>
      <c r="V826" s="2"/>
      <c r="W826" s="2"/>
    </row>
    <row r="827">
      <c r="A827" s="2"/>
      <c r="B827" s="2"/>
      <c r="C827" s="2"/>
      <c r="D827" s="2"/>
      <c r="E827" s="2"/>
      <c r="F827" s="2"/>
      <c r="G827" s="2"/>
      <c r="H827" s="2"/>
      <c r="I827" s="2"/>
      <c r="J827" s="2"/>
      <c r="K827" s="2"/>
      <c r="L827" s="2"/>
      <c r="M827" s="2"/>
      <c r="N827" s="2"/>
      <c r="O827" s="2"/>
      <c r="P827" s="2"/>
      <c r="Q827" s="2"/>
      <c r="R827" s="2"/>
      <c r="S827" s="2"/>
      <c r="T827" s="2"/>
      <c r="U827" s="2"/>
      <c r="V827" s="2"/>
      <c r="W827" s="2"/>
    </row>
    <row r="828">
      <c r="A828" s="2"/>
      <c r="B828" s="2"/>
      <c r="C828" s="2"/>
      <c r="D828" s="2"/>
      <c r="E828" s="2"/>
      <c r="F828" s="2"/>
      <c r="G828" s="2"/>
      <c r="H828" s="2"/>
      <c r="I828" s="2"/>
      <c r="J828" s="2"/>
      <c r="K828" s="2"/>
      <c r="L828" s="2"/>
      <c r="M828" s="2"/>
      <c r="N828" s="2"/>
      <c r="O828" s="2"/>
      <c r="P828" s="2"/>
      <c r="Q828" s="2"/>
      <c r="R828" s="2"/>
      <c r="S828" s="2"/>
      <c r="T828" s="2"/>
      <c r="U828" s="2"/>
      <c r="V828" s="2"/>
      <c r="W828" s="2"/>
    </row>
    <row r="829">
      <c r="A829" s="2"/>
      <c r="B829" s="2"/>
      <c r="C829" s="2"/>
      <c r="D829" s="2"/>
      <c r="E829" s="2"/>
      <c r="F829" s="2"/>
      <c r="G829" s="2"/>
      <c r="H829" s="2"/>
      <c r="I829" s="2"/>
      <c r="J829" s="2"/>
      <c r="K829" s="2"/>
      <c r="L829" s="2"/>
      <c r="M829" s="2"/>
      <c r="N829" s="2"/>
      <c r="O829" s="2"/>
      <c r="P829" s="2"/>
      <c r="Q829" s="2"/>
      <c r="R829" s="2"/>
      <c r="S829" s="2"/>
      <c r="T829" s="2"/>
      <c r="U829" s="2"/>
      <c r="V829" s="2"/>
      <c r="W829" s="2"/>
    </row>
    <row r="830">
      <c r="A830" s="2"/>
      <c r="B830" s="2"/>
      <c r="C830" s="2"/>
      <c r="D830" s="2"/>
      <c r="E830" s="2"/>
      <c r="F830" s="2"/>
      <c r="G830" s="2"/>
      <c r="H830" s="2"/>
      <c r="I830" s="2"/>
      <c r="J830" s="2"/>
      <c r="K830" s="2"/>
      <c r="L830" s="2"/>
      <c r="M830" s="2"/>
      <c r="N830" s="2"/>
      <c r="O830" s="2"/>
      <c r="P830" s="2"/>
      <c r="Q830" s="2"/>
      <c r="R830" s="2"/>
      <c r="S830" s="2"/>
      <c r="T830" s="2"/>
      <c r="U830" s="2"/>
      <c r="V830" s="2"/>
      <c r="W830" s="2"/>
    </row>
    <row r="831">
      <c r="A831" s="2"/>
      <c r="B831" s="2"/>
      <c r="C831" s="2"/>
      <c r="D831" s="2"/>
      <c r="E831" s="2"/>
      <c r="F831" s="2"/>
      <c r="G831" s="2"/>
      <c r="H831" s="2"/>
      <c r="I831" s="2"/>
      <c r="J831" s="2"/>
      <c r="K831" s="2"/>
      <c r="L831" s="2"/>
      <c r="M831" s="2"/>
      <c r="N831" s="2"/>
      <c r="O831" s="2"/>
      <c r="P831" s="2"/>
      <c r="Q831" s="2"/>
      <c r="R831" s="2"/>
      <c r="S831" s="2"/>
      <c r="T831" s="2"/>
      <c r="U831" s="2"/>
      <c r="V831" s="2"/>
      <c r="W831" s="2"/>
    </row>
    <row r="832">
      <c r="A832" s="2"/>
      <c r="B832" s="2"/>
      <c r="C832" s="2"/>
      <c r="D832" s="2"/>
      <c r="E832" s="2"/>
      <c r="F832" s="2"/>
      <c r="G832" s="2"/>
      <c r="H832" s="2"/>
      <c r="I832" s="2"/>
      <c r="J832" s="2"/>
      <c r="K832" s="2"/>
      <c r="L832" s="2"/>
      <c r="M832" s="2"/>
      <c r="N832" s="2"/>
      <c r="O832" s="2"/>
      <c r="P832" s="2"/>
      <c r="Q832" s="2"/>
      <c r="R832" s="2"/>
      <c r="S832" s="2"/>
      <c r="T832" s="2"/>
      <c r="U832" s="2"/>
      <c r="V832" s="2"/>
      <c r="W832" s="2"/>
    </row>
    <row r="833">
      <c r="A833" s="2"/>
      <c r="B833" s="2"/>
      <c r="C833" s="2"/>
      <c r="D833" s="2"/>
      <c r="E833" s="2"/>
      <c r="F833" s="2"/>
      <c r="G833" s="2"/>
      <c r="H833" s="2"/>
      <c r="I833" s="2"/>
      <c r="J833" s="2"/>
      <c r="K833" s="2"/>
      <c r="L833" s="2"/>
      <c r="M833" s="2"/>
      <c r="N833" s="2"/>
      <c r="O833" s="2"/>
      <c r="P833" s="2"/>
      <c r="Q833" s="2"/>
      <c r="R833" s="2"/>
      <c r="S833" s="2"/>
      <c r="T833" s="2"/>
      <c r="U833" s="2"/>
      <c r="V833" s="2"/>
      <c r="W833" s="2"/>
    </row>
    <row r="834">
      <c r="A834" s="2"/>
      <c r="B834" s="2"/>
      <c r="C834" s="2"/>
      <c r="D834" s="2"/>
      <c r="E834" s="2"/>
      <c r="F834" s="2"/>
      <c r="G834" s="2"/>
      <c r="H834" s="2"/>
      <c r="I834" s="2"/>
      <c r="J834" s="2"/>
      <c r="K834" s="2"/>
      <c r="L834" s="2"/>
      <c r="M834" s="2"/>
      <c r="N834" s="2"/>
      <c r="O834" s="2"/>
      <c r="P834" s="2"/>
      <c r="Q834" s="2"/>
      <c r="R834" s="2"/>
      <c r="S834" s="2"/>
      <c r="T834" s="2"/>
      <c r="U834" s="2"/>
      <c r="V834" s="2"/>
      <c r="W834" s="2"/>
    </row>
    <row r="835">
      <c r="A835" s="2"/>
      <c r="B835" s="2"/>
      <c r="C835" s="2"/>
      <c r="D835" s="2"/>
      <c r="E835" s="2"/>
      <c r="F835" s="2"/>
      <c r="G835" s="2"/>
      <c r="H835" s="2"/>
      <c r="I835" s="2"/>
      <c r="J835" s="2"/>
      <c r="K835" s="2"/>
      <c r="L835" s="2"/>
      <c r="M835" s="2"/>
      <c r="N835" s="2"/>
      <c r="O835" s="2"/>
      <c r="P835" s="2"/>
      <c r="Q835" s="2"/>
      <c r="R835" s="2"/>
      <c r="S835" s="2"/>
      <c r="T835" s="2"/>
      <c r="U835" s="2"/>
      <c r="V835" s="2"/>
      <c r="W835" s="2"/>
    </row>
    <row r="836">
      <c r="A836" s="2"/>
      <c r="B836" s="2"/>
      <c r="C836" s="2"/>
      <c r="D836" s="2"/>
      <c r="E836" s="2"/>
      <c r="F836" s="2"/>
      <c r="G836" s="2"/>
      <c r="H836" s="2"/>
      <c r="I836" s="2"/>
      <c r="J836" s="2"/>
      <c r="K836" s="2"/>
      <c r="L836" s="2"/>
      <c r="M836" s="2"/>
      <c r="N836" s="2"/>
      <c r="O836" s="2"/>
      <c r="P836" s="2"/>
      <c r="Q836" s="2"/>
      <c r="R836" s="2"/>
      <c r="S836" s="2"/>
      <c r="T836" s="2"/>
      <c r="U836" s="2"/>
      <c r="V836" s="2"/>
      <c r="W836" s="2"/>
    </row>
    <row r="837">
      <c r="A837" s="2"/>
      <c r="B837" s="2"/>
      <c r="C837" s="2"/>
      <c r="D837" s="2"/>
      <c r="E837" s="2"/>
      <c r="F837" s="2"/>
      <c r="G837" s="2"/>
      <c r="H837" s="2"/>
      <c r="I837" s="2"/>
      <c r="J837" s="2"/>
      <c r="K837" s="2"/>
      <c r="L837" s="2"/>
      <c r="M837" s="2"/>
      <c r="N837" s="2"/>
      <c r="O837" s="2"/>
      <c r="P837" s="2"/>
      <c r="Q837" s="2"/>
      <c r="R837" s="2"/>
      <c r="S837" s="2"/>
      <c r="T837" s="2"/>
      <c r="U837" s="2"/>
      <c r="V837" s="2"/>
      <c r="W837" s="2"/>
    </row>
    <row r="838">
      <c r="A838" s="2"/>
      <c r="B838" s="2"/>
      <c r="C838" s="2"/>
      <c r="D838" s="2"/>
      <c r="E838" s="2"/>
      <c r="F838" s="2"/>
      <c r="G838" s="2"/>
      <c r="H838" s="2"/>
      <c r="I838" s="2"/>
      <c r="J838" s="2"/>
      <c r="K838" s="2"/>
      <c r="L838" s="2"/>
      <c r="M838" s="2"/>
      <c r="N838" s="2"/>
      <c r="O838" s="2"/>
      <c r="P838" s="2"/>
      <c r="Q838" s="2"/>
      <c r="R838" s="2"/>
      <c r="S838" s="2"/>
      <c r="T838" s="2"/>
      <c r="U838" s="2"/>
      <c r="V838" s="2"/>
      <c r="W838" s="2"/>
    </row>
    <row r="839">
      <c r="A839" s="2"/>
      <c r="B839" s="2"/>
      <c r="C839" s="2"/>
      <c r="D839" s="2"/>
      <c r="E839" s="2"/>
      <c r="F839" s="2"/>
      <c r="G839" s="2"/>
      <c r="H839" s="2"/>
      <c r="I839" s="2"/>
      <c r="J839" s="2"/>
      <c r="K839" s="2"/>
      <c r="L839" s="2"/>
      <c r="M839" s="2"/>
      <c r="N839" s="2"/>
      <c r="O839" s="2"/>
      <c r="P839" s="2"/>
      <c r="Q839" s="2"/>
      <c r="R839" s="2"/>
      <c r="S839" s="2"/>
      <c r="T839" s="2"/>
      <c r="U839" s="2"/>
      <c r="V839" s="2"/>
      <c r="W839" s="2"/>
    </row>
    <row r="840">
      <c r="A840" s="2"/>
      <c r="B840" s="2"/>
      <c r="C840" s="2"/>
      <c r="D840" s="2"/>
      <c r="E840" s="2"/>
      <c r="F840" s="2"/>
      <c r="G840" s="2"/>
      <c r="H840" s="2"/>
      <c r="I840" s="2"/>
      <c r="J840" s="2"/>
      <c r="K840" s="2"/>
      <c r="L840" s="2"/>
      <c r="M840" s="2"/>
      <c r="N840" s="2"/>
      <c r="O840" s="2"/>
      <c r="P840" s="2"/>
      <c r="Q840" s="2"/>
      <c r="R840" s="2"/>
      <c r="S840" s="2"/>
      <c r="T840" s="2"/>
      <c r="U840" s="2"/>
      <c r="V840" s="2"/>
      <c r="W840" s="2"/>
    </row>
    <row r="841">
      <c r="A841" s="2"/>
      <c r="B841" s="2"/>
      <c r="C841" s="2"/>
      <c r="D841" s="2"/>
      <c r="E841" s="2"/>
      <c r="F841" s="2"/>
      <c r="G841" s="2"/>
      <c r="H841" s="2"/>
      <c r="I841" s="2"/>
      <c r="J841" s="2"/>
      <c r="K841" s="2"/>
      <c r="L841" s="2"/>
      <c r="M841" s="2"/>
      <c r="N841" s="2"/>
      <c r="O841" s="2"/>
      <c r="P841" s="2"/>
      <c r="Q841" s="2"/>
      <c r="R841" s="2"/>
      <c r="S841" s="2"/>
      <c r="T841" s="2"/>
      <c r="U841" s="2"/>
      <c r="V841" s="2"/>
      <c r="W841" s="2"/>
    </row>
    <row r="842">
      <c r="A842" s="2"/>
      <c r="B842" s="2"/>
      <c r="C842" s="2"/>
      <c r="D842" s="2"/>
      <c r="E842" s="2"/>
      <c r="F842" s="2"/>
      <c r="G842" s="2"/>
      <c r="H842" s="2"/>
      <c r="I842" s="2"/>
      <c r="J842" s="2"/>
      <c r="K842" s="2"/>
      <c r="L842" s="2"/>
      <c r="M842" s="2"/>
      <c r="N842" s="2"/>
      <c r="O842" s="2"/>
      <c r="P842" s="2"/>
      <c r="Q842" s="2"/>
      <c r="R842" s="2"/>
      <c r="S842" s="2"/>
      <c r="T842" s="2"/>
      <c r="U842" s="2"/>
      <c r="V842" s="2"/>
      <c r="W842" s="2"/>
    </row>
    <row r="843">
      <c r="A843" s="2"/>
      <c r="B843" s="2"/>
      <c r="C843" s="2"/>
      <c r="D843" s="2"/>
      <c r="E843" s="2"/>
      <c r="F843" s="2"/>
      <c r="G843" s="2"/>
      <c r="H843" s="2"/>
      <c r="I843" s="2"/>
      <c r="J843" s="2"/>
      <c r="K843" s="2"/>
      <c r="L843" s="2"/>
      <c r="M843" s="2"/>
      <c r="N843" s="2"/>
      <c r="O843" s="2"/>
      <c r="P843" s="2"/>
      <c r="Q843" s="2"/>
      <c r="R843" s="2"/>
      <c r="S843" s="2"/>
      <c r="T843" s="2"/>
      <c r="U843" s="2"/>
      <c r="V843" s="2"/>
      <c r="W843" s="2"/>
    </row>
    <row r="844">
      <c r="A844" s="2"/>
      <c r="B844" s="2"/>
      <c r="C844" s="2"/>
      <c r="D844" s="2"/>
      <c r="E844" s="2"/>
      <c r="F844" s="2"/>
      <c r="G844" s="2"/>
      <c r="H844" s="2"/>
      <c r="I844" s="2"/>
      <c r="J844" s="2"/>
      <c r="K844" s="2"/>
      <c r="L844" s="2"/>
      <c r="M844" s="2"/>
      <c r="N844" s="2"/>
      <c r="O844" s="2"/>
      <c r="P844" s="2"/>
      <c r="Q844" s="2"/>
      <c r="R844" s="2"/>
      <c r="S844" s="2"/>
      <c r="T844" s="2"/>
      <c r="U844" s="2"/>
      <c r="V844" s="2"/>
      <c r="W844" s="2"/>
    </row>
    <row r="845">
      <c r="A845" s="2"/>
      <c r="B845" s="2"/>
      <c r="C845" s="2"/>
      <c r="D845" s="2"/>
      <c r="E845" s="2"/>
      <c r="F845" s="2"/>
      <c r="G845" s="2"/>
      <c r="H845" s="2"/>
      <c r="I845" s="2"/>
      <c r="J845" s="2"/>
      <c r="K845" s="2"/>
      <c r="L845" s="2"/>
      <c r="M845" s="2"/>
      <c r="N845" s="2"/>
      <c r="O845" s="2"/>
      <c r="P845" s="2"/>
      <c r="Q845" s="2"/>
      <c r="R845" s="2"/>
      <c r="S845" s="2"/>
      <c r="T845" s="2"/>
      <c r="U845" s="2"/>
      <c r="V845" s="2"/>
      <c r="W845" s="2"/>
    </row>
    <row r="846">
      <c r="A846" s="2"/>
      <c r="B846" s="2"/>
      <c r="C846" s="2"/>
      <c r="D846" s="2"/>
      <c r="E846" s="2"/>
      <c r="F846" s="2"/>
      <c r="G846" s="2"/>
      <c r="H846" s="2"/>
      <c r="I846" s="2"/>
      <c r="J846" s="2"/>
      <c r="K846" s="2"/>
      <c r="L846" s="2"/>
      <c r="M846" s="2"/>
      <c r="N846" s="2"/>
      <c r="O846" s="2"/>
      <c r="P846" s="2"/>
      <c r="Q846" s="2"/>
      <c r="R846" s="2"/>
      <c r="S846" s="2"/>
      <c r="T846" s="2"/>
      <c r="U846" s="2"/>
      <c r="V846" s="2"/>
      <c r="W846" s="2"/>
    </row>
    <row r="847">
      <c r="A847" s="2"/>
      <c r="B847" s="2"/>
      <c r="C847" s="2"/>
      <c r="D847" s="2"/>
      <c r="E847" s="2"/>
      <c r="F847" s="2"/>
      <c r="G847" s="2"/>
      <c r="H847" s="2"/>
      <c r="I847" s="2"/>
      <c r="J847" s="2"/>
      <c r="K847" s="2"/>
      <c r="L847" s="2"/>
      <c r="M847" s="2"/>
      <c r="N847" s="2"/>
      <c r="O847" s="2"/>
      <c r="P847" s="2"/>
      <c r="Q847" s="2"/>
      <c r="R847" s="2"/>
      <c r="S847" s="2"/>
      <c r="T847" s="2"/>
      <c r="U847" s="2"/>
      <c r="V847" s="2"/>
      <c r="W847" s="2"/>
    </row>
    <row r="848">
      <c r="A848" s="2"/>
      <c r="B848" s="2"/>
      <c r="C848" s="2"/>
      <c r="D848" s="2"/>
      <c r="E848" s="2"/>
      <c r="F848" s="2"/>
      <c r="G848" s="2"/>
      <c r="H848" s="2"/>
      <c r="I848" s="2"/>
      <c r="J848" s="2"/>
      <c r="K848" s="2"/>
      <c r="L848" s="2"/>
      <c r="M848" s="2"/>
      <c r="N848" s="2"/>
      <c r="O848" s="2"/>
      <c r="P848" s="2"/>
      <c r="Q848" s="2"/>
      <c r="R848" s="2"/>
      <c r="S848" s="2"/>
      <c r="T848" s="2"/>
      <c r="U848" s="2"/>
      <c r="V848" s="2"/>
      <c r="W848" s="2"/>
    </row>
    <row r="849">
      <c r="A849" s="2"/>
      <c r="B849" s="2"/>
      <c r="C849" s="2"/>
      <c r="D849" s="2"/>
      <c r="E849" s="2"/>
      <c r="F849" s="2"/>
      <c r="G849" s="2"/>
      <c r="H849" s="2"/>
      <c r="I849" s="2"/>
      <c r="J849" s="2"/>
      <c r="K849" s="2"/>
      <c r="L849" s="2"/>
      <c r="M849" s="2"/>
      <c r="N849" s="2"/>
      <c r="O849" s="2"/>
      <c r="P849" s="2"/>
      <c r="Q849" s="2"/>
      <c r="R849" s="2"/>
      <c r="S849" s="2"/>
      <c r="T849" s="2"/>
      <c r="U849" s="2"/>
      <c r="V849" s="2"/>
      <c r="W849" s="2"/>
    </row>
    <row r="850">
      <c r="A850" s="2"/>
      <c r="B850" s="2"/>
      <c r="C850" s="2"/>
      <c r="D850" s="2"/>
      <c r="E850" s="2"/>
      <c r="F850" s="2"/>
      <c r="G850" s="2"/>
      <c r="H850" s="2"/>
      <c r="I850" s="2"/>
      <c r="J850" s="2"/>
      <c r="K850" s="2"/>
      <c r="L850" s="2"/>
      <c r="M850" s="2"/>
      <c r="N850" s="2"/>
      <c r="O850" s="2"/>
      <c r="P850" s="2"/>
      <c r="Q850" s="2"/>
      <c r="R850" s="2"/>
      <c r="S850" s="2"/>
      <c r="T850" s="2"/>
      <c r="U850" s="2"/>
      <c r="V850" s="2"/>
      <c r="W850" s="2"/>
    </row>
    <row r="851">
      <c r="A851" s="2"/>
      <c r="B851" s="2"/>
      <c r="C851" s="2"/>
      <c r="D851" s="2"/>
      <c r="E851" s="2"/>
      <c r="F851" s="2"/>
      <c r="G851" s="2"/>
      <c r="H851" s="2"/>
      <c r="I851" s="2"/>
      <c r="J851" s="2"/>
      <c r="K851" s="2"/>
      <c r="L851" s="2"/>
      <c r="M851" s="2"/>
      <c r="N851" s="2"/>
      <c r="O851" s="2"/>
      <c r="P851" s="2"/>
      <c r="Q851" s="2"/>
      <c r="R851" s="2"/>
      <c r="S851" s="2"/>
      <c r="T851" s="2"/>
      <c r="U851" s="2"/>
      <c r="V851" s="2"/>
      <c r="W851" s="2"/>
    </row>
    <row r="852">
      <c r="A852" s="2"/>
      <c r="B852" s="2"/>
      <c r="C852" s="2"/>
      <c r="D852" s="2"/>
      <c r="E852" s="2"/>
      <c r="F852" s="2"/>
      <c r="G852" s="2"/>
      <c r="H852" s="2"/>
      <c r="I852" s="2"/>
      <c r="J852" s="2"/>
      <c r="K852" s="2"/>
      <c r="L852" s="2"/>
      <c r="M852" s="2"/>
      <c r="N852" s="2"/>
      <c r="O852" s="2"/>
      <c r="P852" s="2"/>
      <c r="Q852" s="2"/>
      <c r="R852" s="2"/>
      <c r="S852" s="2"/>
      <c r="T852" s="2"/>
      <c r="U852" s="2"/>
      <c r="V852" s="2"/>
      <c r="W852" s="2"/>
    </row>
    <row r="853">
      <c r="A853" s="2"/>
      <c r="B853" s="2"/>
      <c r="C853" s="2"/>
      <c r="D853" s="2"/>
      <c r="E853" s="2"/>
      <c r="F853" s="2"/>
      <c r="G853" s="2"/>
      <c r="H853" s="2"/>
      <c r="I853" s="2"/>
      <c r="J853" s="2"/>
      <c r="K853" s="2"/>
      <c r="L853" s="2"/>
      <c r="M853" s="2"/>
      <c r="N853" s="2"/>
      <c r="O853" s="2"/>
      <c r="P853" s="2"/>
      <c r="Q853" s="2"/>
      <c r="R853" s="2"/>
      <c r="S853" s="2"/>
      <c r="T853" s="2"/>
      <c r="U853" s="2"/>
      <c r="V853" s="2"/>
      <c r="W853" s="2"/>
    </row>
    <row r="854">
      <c r="A854" s="2"/>
      <c r="B854" s="2"/>
      <c r="C854" s="2"/>
      <c r="D854" s="2"/>
      <c r="E854" s="2"/>
      <c r="F854" s="2"/>
      <c r="G854" s="2"/>
      <c r="H854" s="2"/>
      <c r="I854" s="2"/>
      <c r="J854" s="2"/>
      <c r="K854" s="2"/>
      <c r="L854" s="2"/>
      <c r="M854" s="2"/>
      <c r="N854" s="2"/>
      <c r="O854" s="2"/>
      <c r="P854" s="2"/>
      <c r="Q854" s="2"/>
      <c r="R854" s="2"/>
      <c r="S854" s="2"/>
      <c r="T854" s="2"/>
      <c r="U854" s="2"/>
      <c r="V854" s="2"/>
      <c r="W854" s="2"/>
    </row>
    <row r="855">
      <c r="A855" s="2"/>
      <c r="B855" s="2"/>
      <c r="C855" s="2"/>
      <c r="D855" s="2"/>
      <c r="E855" s="2"/>
      <c r="F855" s="2"/>
      <c r="G855" s="2"/>
      <c r="H855" s="2"/>
      <c r="I855" s="2"/>
      <c r="J855" s="2"/>
      <c r="K855" s="2"/>
      <c r="L855" s="2"/>
      <c r="M855" s="2"/>
      <c r="N855" s="2"/>
      <c r="O855" s="2"/>
      <c r="P855" s="2"/>
      <c r="Q855" s="2"/>
      <c r="R855" s="2"/>
      <c r="S855" s="2"/>
      <c r="T855" s="2"/>
      <c r="U855" s="2"/>
      <c r="V855" s="2"/>
      <c r="W855" s="2"/>
    </row>
    <row r="856">
      <c r="A856" s="2"/>
      <c r="B856" s="2"/>
      <c r="C856" s="2"/>
      <c r="D856" s="2"/>
      <c r="E856" s="2"/>
      <c r="F856" s="2"/>
      <c r="G856" s="2"/>
      <c r="H856" s="2"/>
      <c r="I856" s="2"/>
      <c r="J856" s="2"/>
      <c r="K856" s="2"/>
      <c r="L856" s="2"/>
      <c r="M856" s="2"/>
      <c r="N856" s="2"/>
      <c r="O856" s="2"/>
      <c r="P856" s="2"/>
      <c r="Q856" s="2"/>
      <c r="R856" s="2"/>
      <c r="S856" s="2"/>
      <c r="T856" s="2"/>
      <c r="U856" s="2"/>
      <c r="V856" s="2"/>
      <c r="W856" s="2"/>
    </row>
    <row r="857">
      <c r="A857" s="2"/>
      <c r="B857" s="2"/>
      <c r="C857" s="2"/>
      <c r="D857" s="2"/>
      <c r="E857" s="2"/>
      <c r="F857" s="2"/>
      <c r="G857" s="2"/>
      <c r="H857" s="2"/>
      <c r="I857" s="2"/>
      <c r="J857" s="2"/>
      <c r="K857" s="2"/>
      <c r="L857" s="2"/>
      <c r="M857" s="2"/>
      <c r="N857" s="2"/>
      <c r="O857" s="2"/>
      <c r="P857" s="2"/>
      <c r="Q857" s="2"/>
      <c r="R857" s="2"/>
      <c r="S857" s="2"/>
      <c r="T857" s="2"/>
      <c r="U857" s="2"/>
      <c r="V857" s="2"/>
      <c r="W857" s="2"/>
    </row>
    <row r="858">
      <c r="A858" s="2"/>
      <c r="B858" s="2"/>
      <c r="C858" s="2"/>
      <c r="D858" s="2"/>
      <c r="E858" s="2"/>
      <c r="F858" s="2"/>
      <c r="G858" s="2"/>
      <c r="H858" s="2"/>
      <c r="I858" s="2"/>
      <c r="J858" s="2"/>
      <c r="K858" s="2"/>
      <c r="L858" s="2"/>
      <c r="M858" s="2"/>
      <c r="N858" s="2"/>
      <c r="O858" s="2"/>
      <c r="P858" s="2"/>
      <c r="Q858" s="2"/>
      <c r="R858" s="2"/>
      <c r="S858" s="2"/>
      <c r="T858" s="2"/>
      <c r="U858" s="2"/>
      <c r="V858" s="2"/>
      <c r="W858" s="2"/>
    </row>
    <row r="859">
      <c r="A859" s="2"/>
      <c r="B859" s="2"/>
      <c r="C859" s="2"/>
      <c r="D859" s="2"/>
      <c r="E859" s="2"/>
      <c r="F859" s="2"/>
      <c r="G859" s="2"/>
      <c r="H859" s="2"/>
      <c r="I859" s="2"/>
      <c r="J859" s="2"/>
      <c r="K859" s="2"/>
      <c r="L859" s="2"/>
      <c r="M859" s="2"/>
      <c r="N859" s="2"/>
      <c r="O859" s="2"/>
      <c r="P859" s="2"/>
      <c r="Q859" s="2"/>
      <c r="R859" s="2"/>
      <c r="S859" s="2"/>
      <c r="T859" s="2"/>
      <c r="U859" s="2"/>
      <c r="V859" s="2"/>
      <c r="W859" s="2"/>
    </row>
    <row r="860">
      <c r="A860" s="2"/>
      <c r="B860" s="2"/>
      <c r="C860" s="2"/>
      <c r="D860" s="2"/>
      <c r="E860" s="2"/>
      <c r="F860" s="2"/>
      <c r="G860" s="2"/>
      <c r="H860" s="2"/>
      <c r="I860" s="2"/>
      <c r="J860" s="2"/>
      <c r="K860" s="2"/>
      <c r="L860" s="2"/>
      <c r="M860" s="2"/>
      <c r="N860" s="2"/>
      <c r="O860" s="2"/>
      <c r="P860" s="2"/>
      <c r="Q860" s="2"/>
      <c r="R860" s="2"/>
      <c r="S860" s="2"/>
      <c r="T860" s="2"/>
      <c r="U860" s="2"/>
      <c r="V860" s="2"/>
      <c r="W860" s="2"/>
    </row>
    <row r="861">
      <c r="A861" s="2"/>
      <c r="B861" s="2"/>
      <c r="C861" s="2"/>
      <c r="D861" s="2"/>
      <c r="E861" s="2"/>
      <c r="F861" s="2"/>
      <c r="G861" s="2"/>
      <c r="H861" s="2"/>
      <c r="I861" s="2"/>
      <c r="J861" s="2"/>
      <c r="K861" s="2"/>
      <c r="L861" s="2"/>
      <c r="M861" s="2"/>
      <c r="N861" s="2"/>
      <c r="O861" s="2"/>
      <c r="P861" s="2"/>
      <c r="Q861" s="2"/>
      <c r="R861" s="2"/>
      <c r="S861" s="2"/>
      <c r="T861" s="2"/>
      <c r="U861" s="2"/>
      <c r="V861" s="2"/>
      <c r="W861" s="2"/>
    </row>
    <row r="862">
      <c r="A862" s="2"/>
      <c r="B862" s="2"/>
      <c r="C862" s="2"/>
      <c r="D862" s="2"/>
      <c r="E862" s="2"/>
      <c r="F862" s="2"/>
      <c r="G862" s="2"/>
      <c r="H862" s="2"/>
      <c r="I862" s="2"/>
      <c r="J862" s="2"/>
      <c r="K862" s="2"/>
      <c r="L862" s="2"/>
      <c r="M862" s="2"/>
      <c r="N862" s="2"/>
      <c r="O862" s="2"/>
      <c r="P862" s="2"/>
      <c r="Q862" s="2"/>
      <c r="R862" s="2"/>
      <c r="S862" s="2"/>
      <c r="T862" s="2"/>
      <c r="U862" s="2"/>
      <c r="V862" s="2"/>
      <c r="W862" s="2"/>
    </row>
    <row r="863">
      <c r="A863" s="2"/>
      <c r="B863" s="2"/>
      <c r="C863" s="2"/>
      <c r="D863" s="2"/>
      <c r="E863" s="2"/>
      <c r="F863" s="2"/>
      <c r="G863" s="2"/>
      <c r="H863" s="2"/>
      <c r="I863" s="2"/>
      <c r="J863" s="2"/>
      <c r="K863" s="2"/>
      <c r="L863" s="2"/>
      <c r="M863" s="2"/>
      <c r="N863" s="2"/>
      <c r="O863" s="2"/>
      <c r="P863" s="2"/>
      <c r="Q863" s="2"/>
      <c r="R863" s="2"/>
      <c r="S863" s="2"/>
      <c r="T863" s="2"/>
      <c r="U863" s="2"/>
      <c r="V863" s="2"/>
      <c r="W863" s="2"/>
    </row>
    <row r="864">
      <c r="A864" s="2"/>
      <c r="B864" s="2"/>
      <c r="C864" s="2"/>
      <c r="D864" s="2"/>
      <c r="E864" s="2"/>
      <c r="F864" s="2"/>
      <c r="G864" s="2"/>
      <c r="H864" s="2"/>
      <c r="I864" s="2"/>
      <c r="J864" s="2"/>
      <c r="K864" s="2"/>
      <c r="L864" s="2"/>
      <c r="M864" s="2"/>
      <c r="N864" s="2"/>
      <c r="O864" s="2"/>
      <c r="P864" s="2"/>
      <c r="Q864" s="2"/>
      <c r="R864" s="2"/>
      <c r="S864" s="2"/>
      <c r="T864" s="2"/>
      <c r="U864" s="2"/>
      <c r="V864" s="2"/>
      <c r="W864" s="2"/>
    </row>
    <row r="865">
      <c r="A865" s="2"/>
      <c r="B865" s="2"/>
      <c r="C865" s="2"/>
      <c r="D865" s="2"/>
      <c r="E865" s="2"/>
      <c r="F865" s="2"/>
      <c r="G865" s="2"/>
      <c r="H865" s="2"/>
      <c r="I865" s="2"/>
      <c r="J865" s="2"/>
      <c r="K865" s="2"/>
      <c r="L865" s="2"/>
      <c r="M865" s="2"/>
      <c r="N865" s="2"/>
      <c r="O865" s="2"/>
      <c r="P865" s="2"/>
      <c r="Q865" s="2"/>
      <c r="R865" s="2"/>
      <c r="S865" s="2"/>
      <c r="T865" s="2"/>
      <c r="U865" s="2"/>
      <c r="V865" s="2"/>
      <c r="W865" s="2"/>
    </row>
    <row r="866">
      <c r="A866" s="2"/>
      <c r="B866" s="2"/>
      <c r="C866" s="2"/>
      <c r="D866" s="2"/>
      <c r="E866" s="2"/>
      <c r="F866" s="2"/>
      <c r="G866" s="2"/>
      <c r="H866" s="2"/>
      <c r="I866" s="2"/>
      <c r="J866" s="2"/>
      <c r="K866" s="2"/>
      <c r="L866" s="2"/>
      <c r="M866" s="2"/>
      <c r="N866" s="2"/>
      <c r="O866" s="2"/>
      <c r="P866" s="2"/>
      <c r="Q866" s="2"/>
      <c r="R866" s="2"/>
      <c r="S866" s="2"/>
      <c r="T866" s="2"/>
      <c r="U866" s="2"/>
      <c r="V866" s="2"/>
      <c r="W866" s="2"/>
    </row>
    <row r="867">
      <c r="A867" s="2"/>
      <c r="B867" s="2"/>
      <c r="C867" s="2"/>
      <c r="D867" s="2"/>
      <c r="E867" s="2"/>
      <c r="F867" s="2"/>
      <c r="G867" s="2"/>
      <c r="H867" s="2"/>
      <c r="I867" s="2"/>
      <c r="J867" s="2"/>
      <c r="K867" s="2"/>
      <c r="L867" s="2"/>
      <c r="M867" s="2"/>
      <c r="N867" s="2"/>
      <c r="O867" s="2"/>
      <c r="P867" s="2"/>
      <c r="Q867" s="2"/>
      <c r="R867" s="2"/>
      <c r="S867" s="2"/>
      <c r="T867" s="2"/>
      <c r="U867" s="2"/>
      <c r="V867" s="2"/>
      <c r="W867" s="2"/>
    </row>
    <row r="868">
      <c r="A868" s="2"/>
      <c r="B868" s="2"/>
      <c r="C868" s="2"/>
      <c r="D868" s="2"/>
      <c r="E868" s="2"/>
      <c r="F868" s="2"/>
      <c r="G868" s="2"/>
      <c r="H868" s="2"/>
      <c r="I868" s="2"/>
      <c r="J868" s="2"/>
      <c r="K868" s="2"/>
      <c r="L868" s="2"/>
      <c r="M868" s="2"/>
      <c r="N868" s="2"/>
      <c r="O868" s="2"/>
      <c r="P868" s="2"/>
      <c r="Q868" s="2"/>
      <c r="R868" s="2"/>
      <c r="S868" s="2"/>
      <c r="T868" s="2"/>
      <c r="U868" s="2"/>
      <c r="V868" s="2"/>
      <c r="W868" s="2"/>
    </row>
    <row r="869">
      <c r="A869" s="2"/>
      <c r="B869" s="2"/>
      <c r="C869" s="2"/>
      <c r="D869" s="2"/>
      <c r="E869" s="2"/>
      <c r="F869" s="2"/>
      <c r="G869" s="2"/>
      <c r="H869" s="2"/>
      <c r="I869" s="2"/>
      <c r="J869" s="2"/>
      <c r="K869" s="2"/>
      <c r="L869" s="2"/>
      <c r="M869" s="2"/>
      <c r="N869" s="2"/>
      <c r="O869" s="2"/>
      <c r="P869" s="2"/>
      <c r="Q869" s="2"/>
      <c r="R869" s="2"/>
      <c r="S869" s="2"/>
      <c r="T869" s="2"/>
      <c r="U869" s="2"/>
      <c r="V869" s="2"/>
      <c r="W869" s="2"/>
    </row>
    <row r="870">
      <c r="A870" s="2"/>
      <c r="B870" s="2"/>
      <c r="C870" s="2"/>
      <c r="D870" s="2"/>
      <c r="E870" s="2"/>
      <c r="F870" s="2"/>
      <c r="G870" s="2"/>
      <c r="H870" s="2"/>
      <c r="I870" s="2"/>
      <c r="J870" s="2"/>
      <c r="K870" s="2"/>
      <c r="L870" s="2"/>
      <c r="M870" s="2"/>
      <c r="N870" s="2"/>
      <c r="O870" s="2"/>
      <c r="P870" s="2"/>
      <c r="Q870" s="2"/>
      <c r="R870" s="2"/>
      <c r="S870" s="2"/>
      <c r="T870" s="2"/>
      <c r="U870" s="2"/>
      <c r="V870" s="2"/>
      <c r="W870" s="2"/>
    </row>
    <row r="871">
      <c r="A871" s="2"/>
      <c r="B871" s="2"/>
      <c r="C871" s="2"/>
      <c r="D871" s="2"/>
      <c r="E871" s="2"/>
      <c r="F871" s="2"/>
      <c r="G871" s="2"/>
      <c r="H871" s="2"/>
      <c r="I871" s="2"/>
      <c r="J871" s="2"/>
      <c r="K871" s="2"/>
      <c r="L871" s="2"/>
      <c r="M871" s="2"/>
      <c r="N871" s="2"/>
      <c r="O871" s="2"/>
      <c r="P871" s="2"/>
      <c r="Q871" s="2"/>
      <c r="R871" s="2"/>
      <c r="S871" s="2"/>
      <c r="T871" s="2"/>
      <c r="U871" s="2"/>
      <c r="V871" s="2"/>
      <c r="W871" s="2"/>
    </row>
    <row r="872">
      <c r="A872" s="2"/>
      <c r="B872" s="2"/>
      <c r="C872" s="2"/>
      <c r="D872" s="2"/>
      <c r="E872" s="2"/>
      <c r="F872" s="2"/>
      <c r="G872" s="2"/>
      <c r="H872" s="2"/>
      <c r="I872" s="2"/>
      <c r="J872" s="2"/>
      <c r="K872" s="2"/>
      <c r="L872" s="2"/>
      <c r="M872" s="2"/>
      <c r="N872" s="2"/>
      <c r="O872" s="2"/>
      <c r="P872" s="2"/>
      <c r="Q872" s="2"/>
      <c r="R872" s="2"/>
      <c r="S872" s="2"/>
      <c r="T872" s="2"/>
      <c r="U872" s="2"/>
      <c r="V872" s="2"/>
      <c r="W872" s="2"/>
    </row>
    <row r="873">
      <c r="A873" s="2"/>
      <c r="B873" s="2"/>
      <c r="C873" s="2"/>
      <c r="D873" s="2"/>
      <c r="E873" s="2"/>
      <c r="F873" s="2"/>
      <c r="G873" s="2"/>
      <c r="H873" s="2"/>
      <c r="I873" s="2"/>
      <c r="J873" s="2"/>
      <c r="K873" s="2"/>
      <c r="L873" s="2"/>
      <c r="M873" s="2"/>
      <c r="N873" s="2"/>
      <c r="O873" s="2"/>
      <c r="P873" s="2"/>
      <c r="Q873" s="2"/>
      <c r="R873" s="2"/>
      <c r="S873" s="2"/>
      <c r="T873" s="2"/>
      <c r="U873" s="2"/>
      <c r="V873" s="2"/>
      <c r="W873" s="2"/>
    </row>
    <row r="874">
      <c r="A874" s="2"/>
      <c r="B874" s="2"/>
      <c r="C874" s="2"/>
      <c r="D874" s="2"/>
      <c r="E874" s="2"/>
      <c r="F874" s="2"/>
      <c r="G874" s="2"/>
      <c r="H874" s="2"/>
      <c r="I874" s="2"/>
      <c r="J874" s="2"/>
      <c r="K874" s="2"/>
      <c r="L874" s="2"/>
      <c r="M874" s="2"/>
      <c r="N874" s="2"/>
      <c r="O874" s="2"/>
      <c r="P874" s="2"/>
      <c r="Q874" s="2"/>
      <c r="R874" s="2"/>
      <c r="S874" s="2"/>
      <c r="T874" s="2"/>
      <c r="U874" s="2"/>
      <c r="V874" s="2"/>
      <c r="W874" s="2"/>
    </row>
    <row r="875">
      <c r="A875" s="2"/>
      <c r="B875" s="2"/>
      <c r="C875" s="2"/>
      <c r="D875" s="2"/>
      <c r="E875" s="2"/>
      <c r="F875" s="2"/>
      <c r="G875" s="2"/>
      <c r="H875" s="2"/>
      <c r="I875" s="2"/>
      <c r="J875" s="2"/>
      <c r="K875" s="2"/>
      <c r="L875" s="2"/>
      <c r="M875" s="2"/>
      <c r="N875" s="2"/>
      <c r="O875" s="2"/>
      <c r="P875" s="2"/>
      <c r="Q875" s="2"/>
      <c r="R875" s="2"/>
      <c r="S875" s="2"/>
      <c r="T875" s="2"/>
      <c r="U875" s="2"/>
      <c r="V875" s="2"/>
      <c r="W875" s="2"/>
    </row>
    <row r="876">
      <c r="A876" s="2"/>
      <c r="B876" s="2"/>
      <c r="C876" s="2"/>
      <c r="D876" s="2"/>
      <c r="E876" s="2"/>
      <c r="F876" s="2"/>
      <c r="G876" s="2"/>
      <c r="H876" s="2"/>
      <c r="I876" s="2"/>
      <c r="J876" s="2"/>
      <c r="K876" s="2"/>
      <c r="L876" s="2"/>
      <c r="M876" s="2"/>
      <c r="N876" s="2"/>
      <c r="O876" s="2"/>
      <c r="P876" s="2"/>
      <c r="Q876" s="2"/>
      <c r="R876" s="2"/>
      <c r="S876" s="2"/>
      <c r="T876" s="2"/>
      <c r="U876" s="2"/>
      <c r="V876" s="2"/>
      <c r="W876" s="2"/>
    </row>
    <row r="877">
      <c r="A877" s="2"/>
      <c r="B877" s="2"/>
      <c r="C877" s="2"/>
      <c r="D877" s="2"/>
      <c r="E877" s="2"/>
      <c r="F877" s="2"/>
      <c r="G877" s="2"/>
      <c r="H877" s="2"/>
      <c r="I877" s="2"/>
      <c r="J877" s="2"/>
      <c r="K877" s="2"/>
      <c r="L877" s="2"/>
      <c r="M877" s="2"/>
      <c r="N877" s="2"/>
      <c r="O877" s="2"/>
      <c r="P877" s="2"/>
      <c r="Q877" s="2"/>
      <c r="R877" s="2"/>
      <c r="S877" s="2"/>
      <c r="T877" s="2"/>
      <c r="U877" s="2"/>
      <c r="V877" s="2"/>
      <c r="W877" s="2"/>
    </row>
    <row r="878">
      <c r="A878" s="2"/>
      <c r="B878" s="2"/>
      <c r="C878" s="2"/>
      <c r="D878" s="2"/>
      <c r="E878" s="2"/>
      <c r="F878" s="2"/>
      <c r="G878" s="2"/>
      <c r="H878" s="2"/>
      <c r="I878" s="2"/>
      <c r="J878" s="2"/>
      <c r="K878" s="2"/>
      <c r="L878" s="2"/>
      <c r="M878" s="2"/>
      <c r="N878" s="2"/>
      <c r="O878" s="2"/>
      <c r="P878" s="2"/>
      <c r="Q878" s="2"/>
      <c r="R878" s="2"/>
      <c r="S878" s="2"/>
      <c r="T878" s="2"/>
      <c r="U878" s="2"/>
      <c r="V878" s="2"/>
      <c r="W878" s="2"/>
    </row>
    <row r="879">
      <c r="A879" s="2"/>
      <c r="B879" s="2"/>
      <c r="C879" s="2"/>
      <c r="D879" s="2"/>
      <c r="E879" s="2"/>
      <c r="F879" s="2"/>
      <c r="G879" s="2"/>
      <c r="H879" s="2"/>
      <c r="I879" s="2"/>
      <c r="J879" s="2"/>
      <c r="K879" s="2"/>
      <c r="L879" s="2"/>
      <c r="M879" s="2"/>
      <c r="N879" s="2"/>
      <c r="O879" s="2"/>
      <c r="P879" s="2"/>
      <c r="Q879" s="2"/>
      <c r="R879" s="2"/>
      <c r="S879" s="2"/>
      <c r="T879" s="2"/>
      <c r="U879" s="2"/>
      <c r="V879" s="2"/>
      <c r="W879" s="2"/>
    </row>
    <row r="880">
      <c r="A880" s="2"/>
      <c r="B880" s="2"/>
      <c r="C880" s="2"/>
      <c r="D880" s="2"/>
      <c r="E880" s="2"/>
      <c r="F880" s="2"/>
      <c r="G880" s="2"/>
      <c r="H880" s="2"/>
      <c r="I880" s="2"/>
      <c r="J880" s="2"/>
      <c r="K880" s="2"/>
      <c r="L880" s="2"/>
      <c r="M880" s="2"/>
      <c r="N880" s="2"/>
      <c r="O880" s="2"/>
      <c r="P880" s="2"/>
      <c r="Q880" s="2"/>
      <c r="R880" s="2"/>
      <c r="S880" s="2"/>
      <c r="T880" s="2"/>
      <c r="U880" s="2"/>
      <c r="V880" s="2"/>
      <c r="W880" s="2"/>
    </row>
    <row r="881">
      <c r="A881" s="2"/>
      <c r="B881" s="2"/>
      <c r="C881" s="2"/>
      <c r="D881" s="2"/>
      <c r="E881" s="2"/>
      <c r="F881" s="2"/>
      <c r="G881" s="2"/>
      <c r="H881" s="2"/>
      <c r="I881" s="2"/>
      <c r="J881" s="2"/>
      <c r="K881" s="2"/>
      <c r="L881" s="2"/>
      <c r="M881" s="2"/>
      <c r="N881" s="2"/>
      <c r="O881" s="2"/>
      <c r="P881" s="2"/>
      <c r="Q881" s="2"/>
      <c r="R881" s="2"/>
      <c r="S881" s="2"/>
      <c r="T881" s="2"/>
      <c r="U881" s="2"/>
      <c r="V881" s="2"/>
      <c r="W881" s="2"/>
    </row>
    <row r="882">
      <c r="A882" s="2"/>
      <c r="B882" s="2"/>
      <c r="C882" s="2"/>
      <c r="D882" s="2"/>
      <c r="E882" s="2"/>
      <c r="F882" s="2"/>
      <c r="G882" s="2"/>
      <c r="H882" s="2"/>
      <c r="I882" s="2"/>
      <c r="J882" s="2"/>
      <c r="K882" s="2"/>
      <c r="L882" s="2"/>
      <c r="M882" s="2"/>
      <c r="N882" s="2"/>
      <c r="O882" s="2"/>
      <c r="P882" s="2"/>
      <c r="Q882" s="2"/>
      <c r="R882" s="2"/>
      <c r="S882" s="2"/>
      <c r="T882" s="2"/>
      <c r="U882" s="2"/>
      <c r="V882" s="2"/>
      <c r="W882" s="2"/>
    </row>
    <row r="883">
      <c r="A883" s="2"/>
      <c r="B883" s="2"/>
      <c r="C883" s="2"/>
      <c r="D883" s="2"/>
      <c r="E883" s="2"/>
      <c r="F883" s="2"/>
      <c r="G883" s="2"/>
      <c r="H883" s="2"/>
      <c r="I883" s="2"/>
      <c r="J883" s="2"/>
      <c r="K883" s="2"/>
      <c r="L883" s="2"/>
      <c r="M883" s="2"/>
      <c r="N883" s="2"/>
      <c r="O883" s="2"/>
      <c r="P883" s="2"/>
      <c r="Q883" s="2"/>
      <c r="R883" s="2"/>
      <c r="S883" s="2"/>
      <c r="T883" s="2"/>
      <c r="U883" s="2"/>
      <c r="V883" s="2"/>
      <c r="W883" s="2"/>
    </row>
    <row r="884">
      <c r="A884" s="2"/>
      <c r="B884" s="2"/>
      <c r="C884" s="2"/>
      <c r="D884" s="2"/>
      <c r="E884" s="2"/>
      <c r="F884" s="2"/>
      <c r="G884" s="2"/>
      <c r="H884" s="2"/>
      <c r="I884" s="2"/>
      <c r="J884" s="2"/>
      <c r="K884" s="2"/>
      <c r="L884" s="2"/>
      <c r="M884" s="2"/>
      <c r="N884" s="2"/>
      <c r="O884" s="2"/>
      <c r="P884" s="2"/>
      <c r="Q884" s="2"/>
      <c r="R884" s="2"/>
      <c r="S884" s="2"/>
      <c r="T884" s="2"/>
      <c r="U884" s="2"/>
      <c r="V884" s="2"/>
      <c r="W884" s="2"/>
    </row>
    <row r="885">
      <c r="A885" s="2"/>
      <c r="B885" s="2"/>
      <c r="C885" s="2"/>
      <c r="D885" s="2"/>
      <c r="E885" s="2"/>
      <c r="F885" s="2"/>
      <c r="G885" s="2"/>
      <c r="H885" s="2"/>
      <c r="I885" s="2"/>
      <c r="J885" s="2"/>
      <c r="K885" s="2"/>
      <c r="L885" s="2"/>
      <c r="M885" s="2"/>
      <c r="N885" s="2"/>
      <c r="O885" s="2"/>
      <c r="P885" s="2"/>
      <c r="Q885" s="2"/>
      <c r="R885" s="2"/>
      <c r="S885" s="2"/>
      <c r="T885" s="2"/>
      <c r="U885" s="2"/>
      <c r="V885" s="2"/>
      <c r="W885" s="2"/>
    </row>
    <row r="886">
      <c r="A886" s="2"/>
      <c r="B886" s="2"/>
      <c r="C886" s="2"/>
      <c r="D886" s="2"/>
      <c r="E886" s="2"/>
      <c r="F886" s="2"/>
      <c r="G886" s="2"/>
      <c r="H886" s="2"/>
      <c r="I886" s="2"/>
      <c r="J886" s="2"/>
      <c r="K886" s="2"/>
      <c r="L886" s="2"/>
      <c r="M886" s="2"/>
      <c r="N886" s="2"/>
      <c r="O886" s="2"/>
      <c r="P886" s="2"/>
      <c r="Q886" s="2"/>
      <c r="R886" s="2"/>
      <c r="S886" s="2"/>
      <c r="T886" s="2"/>
      <c r="U886" s="2"/>
      <c r="V886" s="2"/>
      <c r="W886" s="2"/>
    </row>
    <row r="887">
      <c r="A887" s="2"/>
      <c r="B887" s="2"/>
      <c r="C887" s="2"/>
      <c r="D887" s="2"/>
      <c r="E887" s="2"/>
      <c r="F887" s="2"/>
      <c r="G887" s="2"/>
      <c r="H887" s="2"/>
      <c r="I887" s="2"/>
      <c r="J887" s="2"/>
      <c r="K887" s="2"/>
      <c r="L887" s="2"/>
      <c r="M887" s="2"/>
      <c r="N887" s="2"/>
      <c r="O887" s="2"/>
      <c r="P887" s="2"/>
      <c r="Q887" s="2"/>
      <c r="R887" s="2"/>
      <c r="S887" s="2"/>
      <c r="T887" s="2"/>
      <c r="U887" s="2"/>
      <c r="V887" s="2"/>
      <c r="W887" s="2"/>
    </row>
    <row r="888">
      <c r="A888" s="2"/>
      <c r="B888" s="2"/>
      <c r="C888" s="2"/>
      <c r="D888" s="2"/>
      <c r="E888" s="2"/>
      <c r="F888" s="2"/>
      <c r="G888" s="2"/>
      <c r="H888" s="2"/>
      <c r="I888" s="2"/>
      <c r="J888" s="2"/>
      <c r="K888" s="2"/>
      <c r="L888" s="2"/>
      <c r="M888" s="2"/>
      <c r="N888" s="2"/>
      <c r="O888" s="2"/>
      <c r="P888" s="2"/>
      <c r="Q888" s="2"/>
      <c r="R888" s="2"/>
      <c r="S888" s="2"/>
      <c r="T888" s="2"/>
      <c r="U888" s="2"/>
      <c r="V888" s="2"/>
      <c r="W888" s="2"/>
    </row>
    <row r="889">
      <c r="A889" s="2"/>
      <c r="B889" s="2"/>
      <c r="C889" s="2"/>
      <c r="D889" s="2"/>
      <c r="E889" s="2"/>
      <c r="F889" s="2"/>
      <c r="G889" s="2"/>
      <c r="H889" s="2"/>
      <c r="I889" s="2"/>
      <c r="J889" s="2"/>
      <c r="K889" s="2"/>
      <c r="L889" s="2"/>
      <c r="M889" s="2"/>
      <c r="N889" s="2"/>
      <c r="O889" s="2"/>
      <c r="P889" s="2"/>
      <c r="Q889" s="2"/>
      <c r="R889" s="2"/>
      <c r="S889" s="2"/>
      <c r="T889" s="2"/>
      <c r="U889" s="2"/>
      <c r="V889" s="2"/>
      <c r="W889" s="2"/>
    </row>
    <row r="890">
      <c r="A890" s="2"/>
      <c r="B890" s="2"/>
      <c r="C890" s="2"/>
      <c r="D890" s="2"/>
      <c r="E890" s="2"/>
      <c r="F890" s="2"/>
      <c r="G890" s="2"/>
      <c r="H890" s="2"/>
      <c r="I890" s="2"/>
      <c r="J890" s="2"/>
      <c r="K890" s="2"/>
      <c r="L890" s="2"/>
      <c r="M890" s="2"/>
      <c r="N890" s="2"/>
      <c r="O890" s="2"/>
      <c r="P890" s="2"/>
      <c r="Q890" s="2"/>
      <c r="R890" s="2"/>
      <c r="S890" s="2"/>
      <c r="T890" s="2"/>
      <c r="U890" s="2"/>
      <c r="V890" s="2"/>
      <c r="W890" s="2"/>
    </row>
    <row r="891">
      <c r="A891" s="2"/>
      <c r="B891" s="2"/>
      <c r="C891" s="2"/>
      <c r="D891" s="2"/>
      <c r="E891" s="2"/>
      <c r="F891" s="2"/>
      <c r="G891" s="2"/>
      <c r="H891" s="2"/>
      <c r="I891" s="2"/>
      <c r="J891" s="2"/>
      <c r="K891" s="2"/>
      <c r="L891" s="2"/>
      <c r="M891" s="2"/>
      <c r="N891" s="2"/>
      <c r="O891" s="2"/>
      <c r="P891" s="2"/>
      <c r="Q891" s="2"/>
      <c r="R891" s="2"/>
      <c r="S891" s="2"/>
      <c r="T891" s="2"/>
      <c r="U891" s="2"/>
      <c r="V891" s="2"/>
      <c r="W891" s="2"/>
    </row>
    <row r="892">
      <c r="A892" s="2"/>
      <c r="B892" s="2"/>
      <c r="C892" s="2"/>
      <c r="D892" s="2"/>
      <c r="E892" s="2"/>
      <c r="F892" s="2"/>
      <c r="G892" s="2"/>
      <c r="H892" s="2"/>
      <c r="I892" s="2"/>
      <c r="J892" s="2"/>
      <c r="K892" s="2"/>
      <c r="L892" s="2"/>
      <c r="M892" s="2"/>
      <c r="N892" s="2"/>
      <c r="O892" s="2"/>
      <c r="P892" s="2"/>
      <c r="Q892" s="2"/>
      <c r="R892" s="2"/>
      <c r="S892" s="2"/>
      <c r="T892" s="2"/>
      <c r="U892" s="2"/>
      <c r="V892" s="2"/>
      <c r="W892" s="2"/>
    </row>
    <row r="893">
      <c r="A893" s="2"/>
      <c r="B893" s="2"/>
      <c r="C893" s="2"/>
      <c r="D893" s="2"/>
      <c r="E893" s="2"/>
      <c r="F893" s="2"/>
      <c r="G893" s="2"/>
      <c r="H893" s="2"/>
      <c r="I893" s="2"/>
      <c r="J893" s="2"/>
      <c r="K893" s="2"/>
      <c r="L893" s="2"/>
      <c r="M893" s="2"/>
      <c r="N893" s="2"/>
      <c r="O893" s="2"/>
      <c r="P893" s="2"/>
      <c r="Q893" s="2"/>
      <c r="R893" s="2"/>
      <c r="S893" s="2"/>
      <c r="T893" s="2"/>
      <c r="U893" s="2"/>
      <c r="V893" s="2"/>
      <c r="W893" s="2"/>
    </row>
    <row r="894">
      <c r="A894" s="2"/>
      <c r="B894" s="2"/>
      <c r="C894" s="2"/>
      <c r="D894" s="2"/>
      <c r="E894" s="2"/>
      <c r="F894" s="2"/>
      <c r="G894" s="2"/>
      <c r="H894" s="2"/>
      <c r="I894" s="2"/>
      <c r="J894" s="2"/>
      <c r="K894" s="2"/>
      <c r="L894" s="2"/>
      <c r="M894" s="2"/>
      <c r="N894" s="2"/>
      <c r="O894" s="2"/>
      <c r="P894" s="2"/>
      <c r="Q894" s="2"/>
      <c r="R894" s="2"/>
      <c r="S894" s="2"/>
      <c r="T894" s="2"/>
      <c r="U894" s="2"/>
      <c r="V894" s="2"/>
      <c r="W894" s="2"/>
    </row>
    <row r="895">
      <c r="A895" s="2"/>
      <c r="B895" s="2"/>
      <c r="C895" s="2"/>
      <c r="D895" s="2"/>
      <c r="E895" s="2"/>
      <c r="F895" s="2"/>
      <c r="G895" s="2"/>
      <c r="H895" s="2"/>
      <c r="I895" s="2"/>
      <c r="J895" s="2"/>
      <c r="K895" s="2"/>
      <c r="L895" s="2"/>
      <c r="M895" s="2"/>
      <c r="N895" s="2"/>
      <c r="O895" s="2"/>
      <c r="P895" s="2"/>
      <c r="Q895" s="2"/>
      <c r="R895" s="2"/>
      <c r="S895" s="2"/>
      <c r="T895" s="2"/>
      <c r="U895" s="2"/>
      <c r="V895" s="2"/>
      <c r="W895" s="2"/>
    </row>
    <row r="896">
      <c r="A896" s="2"/>
      <c r="B896" s="2"/>
      <c r="C896" s="2"/>
      <c r="D896" s="2"/>
      <c r="E896" s="2"/>
      <c r="F896" s="2"/>
      <c r="G896" s="2"/>
      <c r="H896" s="2"/>
      <c r="I896" s="2"/>
      <c r="J896" s="2"/>
      <c r="K896" s="2"/>
      <c r="L896" s="2"/>
      <c r="M896" s="2"/>
      <c r="N896" s="2"/>
      <c r="O896" s="2"/>
      <c r="P896" s="2"/>
      <c r="Q896" s="2"/>
      <c r="R896" s="2"/>
      <c r="S896" s="2"/>
      <c r="T896" s="2"/>
      <c r="U896" s="2"/>
      <c r="V896" s="2"/>
      <c r="W896" s="2"/>
    </row>
    <row r="897">
      <c r="A897" s="2"/>
      <c r="B897" s="2"/>
      <c r="C897" s="2"/>
      <c r="D897" s="2"/>
      <c r="E897" s="2"/>
      <c r="F897" s="2"/>
      <c r="G897" s="2"/>
      <c r="H897" s="2"/>
      <c r="I897" s="2"/>
      <c r="J897" s="2"/>
      <c r="K897" s="2"/>
      <c r="L897" s="2"/>
      <c r="M897" s="2"/>
      <c r="N897" s="2"/>
      <c r="O897" s="2"/>
      <c r="P897" s="2"/>
      <c r="Q897" s="2"/>
      <c r="R897" s="2"/>
      <c r="S897" s="2"/>
      <c r="T897" s="2"/>
      <c r="U897" s="2"/>
      <c r="V897" s="2"/>
      <c r="W897" s="2"/>
    </row>
    <row r="898">
      <c r="A898" s="2"/>
      <c r="B898" s="2"/>
      <c r="C898" s="2"/>
      <c r="D898" s="2"/>
      <c r="E898" s="2"/>
      <c r="F898" s="2"/>
      <c r="G898" s="2"/>
      <c r="H898" s="2"/>
      <c r="I898" s="2"/>
      <c r="J898" s="2"/>
      <c r="K898" s="2"/>
      <c r="L898" s="2"/>
      <c r="M898" s="2"/>
      <c r="N898" s="2"/>
      <c r="O898" s="2"/>
      <c r="P898" s="2"/>
      <c r="Q898" s="2"/>
      <c r="R898" s="2"/>
      <c r="S898" s="2"/>
      <c r="T898" s="2"/>
      <c r="U898" s="2"/>
      <c r="V898" s="2"/>
      <c r="W898" s="2"/>
    </row>
    <row r="899">
      <c r="A899" s="2"/>
      <c r="B899" s="2"/>
      <c r="C899" s="2"/>
      <c r="D899" s="2"/>
      <c r="E899" s="2"/>
      <c r="F899" s="2"/>
      <c r="G899" s="2"/>
      <c r="H899" s="2"/>
      <c r="I899" s="2"/>
      <c r="J899" s="2"/>
      <c r="K899" s="2"/>
      <c r="L899" s="2"/>
      <c r="M899" s="2"/>
      <c r="N899" s="2"/>
      <c r="O899" s="2"/>
      <c r="P899" s="2"/>
      <c r="Q899" s="2"/>
      <c r="R899" s="2"/>
      <c r="S899" s="2"/>
      <c r="T899" s="2"/>
      <c r="U899" s="2"/>
      <c r="V899" s="2"/>
      <c r="W899" s="2"/>
    </row>
    <row r="900">
      <c r="A900" s="2"/>
      <c r="B900" s="2"/>
      <c r="C900" s="2"/>
      <c r="D900" s="2"/>
      <c r="E900" s="2"/>
      <c r="F900" s="2"/>
      <c r="G900" s="2"/>
      <c r="H900" s="2"/>
      <c r="I900" s="2"/>
      <c r="J900" s="2"/>
      <c r="K900" s="2"/>
      <c r="L900" s="2"/>
      <c r="M900" s="2"/>
      <c r="N900" s="2"/>
      <c r="O900" s="2"/>
      <c r="P900" s="2"/>
      <c r="Q900" s="2"/>
      <c r="R900" s="2"/>
      <c r="S900" s="2"/>
      <c r="T900" s="2"/>
      <c r="U900" s="2"/>
      <c r="V900" s="2"/>
      <c r="W900" s="2"/>
    </row>
    <row r="901">
      <c r="A901" s="2"/>
      <c r="B901" s="2"/>
      <c r="C901" s="2"/>
      <c r="D901" s="2"/>
      <c r="E901" s="2"/>
      <c r="F901" s="2"/>
      <c r="G901" s="2"/>
      <c r="H901" s="2"/>
      <c r="I901" s="2"/>
      <c r="J901" s="2"/>
      <c r="K901" s="2"/>
      <c r="L901" s="2"/>
      <c r="M901" s="2"/>
      <c r="N901" s="2"/>
      <c r="O901" s="2"/>
      <c r="P901" s="2"/>
      <c r="Q901" s="2"/>
      <c r="R901" s="2"/>
      <c r="S901" s="2"/>
      <c r="T901" s="2"/>
      <c r="U901" s="2"/>
      <c r="V901" s="2"/>
      <c r="W901" s="2"/>
    </row>
    <row r="902">
      <c r="A902" s="2"/>
      <c r="B902" s="2"/>
      <c r="C902" s="2"/>
      <c r="D902" s="2"/>
      <c r="E902" s="2"/>
      <c r="F902" s="2"/>
      <c r="G902" s="2"/>
      <c r="H902" s="2"/>
      <c r="I902" s="2"/>
      <c r="J902" s="2"/>
      <c r="K902" s="2"/>
      <c r="L902" s="2"/>
      <c r="M902" s="2"/>
      <c r="N902" s="2"/>
      <c r="O902" s="2"/>
      <c r="P902" s="2"/>
      <c r="Q902" s="2"/>
      <c r="R902" s="2"/>
      <c r="S902" s="2"/>
      <c r="T902" s="2"/>
      <c r="U902" s="2"/>
      <c r="V902" s="2"/>
      <c r="W902" s="2"/>
    </row>
    <row r="903">
      <c r="A903" s="2"/>
      <c r="B903" s="2"/>
      <c r="C903" s="2"/>
      <c r="D903" s="2"/>
      <c r="E903" s="2"/>
      <c r="F903" s="2"/>
      <c r="G903" s="2"/>
      <c r="H903" s="2"/>
      <c r="I903" s="2"/>
      <c r="J903" s="2"/>
      <c r="K903" s="2"/>
      <c r="L903" s="2"/>
      <c r="M903" s="2"/>
      <c r="N903" s="2"/>
      <c r="O903" s="2"/>
      <c r="P903" s="2"/>
      <c r="Q903" s="2"/>
      <c r="R903" s="2"/>
      <c r="S903" s="2"/>
      <c r="T903" s="2"/>
      <c r="U903" s="2"/>
      <c r="V903" s="2"/>
      <c r="W903" s="2"/>
    </row>
    <row r="904">
      <c r="A904" s="2"/>
      <c r="B904" s="2"/>
      <c r="C904" s="2"/>
      <c r="D904" s="2"/>
      <c r="E904" s="2"/>
      <c r="F904" s="2"/>
      <c r="G904" s="2"/>
      <c r="H904" s="2"/>
      <c r="I904" s="2"/>
      <c r="J904" s="2"/>
      <c r="K904" s="2"/>
      <c r="L904" s="2"/>
      <c r="M904" s="2"/>
      <c r="N904" s="2"/>
      <c r="O904" s="2"/>
      <c r="P904" s="2"/>
      <c r="Q904" s="2"/>
      <c r="R904" s="2"/>
      <c r="S904" s="2"/>
      <c r="T904" s="2"/>
      <c r="U904" s="2"/>
      <c r="V904" s="2"/>
      <c r="W904" s="2"/>
    </row>
    <row r="905">
      <c r="A905" s="2"/>
      <c r="B905" s="2"/>
      <c r="C905" s="2"/>
      <c r="D905" s="2"/>
      <c r="E905" s="2"/>
      <c r="F905" s="2"/>
      <c r="G905" s="2"/>
      <c r="H905" s="2"/>
      <c r="I905" s="2"/>
      <c r="J905" s="2"/>
      <c r="K905" s="2"/>
      <c r="L905" s="2"/>
      <c r="M905" s="2"/>
      <c r="N905" s="2"/>
      <c r="O905" s="2"/>
      <c r="P905" s="2"/>
      <c r="Q905" s="2"/>
      <c r="R905" s="2"/>
      <c r="S905" s="2"/>
      <c r="T905" s="2"/>
      <c r="U905" s="2"/>
      <c r="V905" s="2"/>
      <c r="W905" s="2"/>
    </row>
    <row r="906">
      <c r="A906" s="2"/>
      <c r="B906" s="2"/>
      <c r="C906" s="2"/>
      <c r="D906" s="2"/>
      <c r="E906" s="2"/>
      <c r="F906" s="2"/>
      <c r="G906" s="2"/>
      <c r="H906" s="2"/>
      <c r="I906" s="2"/>
      <c r="J906" s="2"/>
      <c r="K906" s="2"/>
      <c r="L906" s="2"/>
      <c r="M906" s="2"/>
      <c r="N906" s="2"/>
      <c r="O906" s="2"/>
      <c r="P906" s="2"/>
      <c r="Q906" s="2"/>
      <c r="R906" s="2"/>
      <c r="S906" s="2"/>
      <c r="T906" s="2"/>
      <c r="U906" s="2"/>
      <c r="V906" s="2"/>
      <c r="W906" s="2"/>
    </row>
    <row r="907">
      <c r="A907" s="2"/>
      <c r="B907" s="2"/>
      <c r="C907" s="2"/>
      <c r="D907" s="2"/>
      <c r="E907" s="2"/>
      <c r="F907" s="2"/>
      <c r="G907" s="2"/>
      <c r="H907" s="2"/>
      <c r="I907" s="2"/>
      <c r="J907" s="2"/>
      <c r="K907" s="2"/>
      <c r="L907" s="2"/>
      <c r="M907" s="2"/>
      <c r="N907" s="2"/>
      <c r="O907" s="2"/>
      <c r="P907" s="2"/>
      <c r="Q907" s="2"/>
      <c r="R907" s="2"/>
      <c r="S907" s="2"/>
      <c r="T907" s="2"/>
      <c r="U907" s="2"/>
      <c r="V907" s="2"/>
      <c r="W907" s="2"/>
    </row>
    <row r="908">
      <c r="A908" s="2"/>
      <c r="B908" s="2"/>
      <c r="C908" s="2"/>
      <c r="D908" s="2"/>
      <c r="E908" s="2"/>
      <c r="F908" s="2"/>
      <c r="G908" s="2"/>
      <c r="H908" s="2"/>
      <c r="I908" s="2"/>
      <c r="J908" s="2"/>
      <c r="K908" s="2"/>
      <c r="L908" s="2"/>
      <c r="M908" s="2"/>
      <c r="N908" s="2"/>
      <c r="O908" s="2"/>
      <c r="P908" s="2"/>
      <c r="Q908" s="2"/>
      <c r="R908" s="2"/>
      <c r="S908" s="2"/>
      <c r="T908" s="2"/>
      <c r="U908" s="2"/>
      <c r="V908" s="2"/>
      <c r="W908" s="2"/>
    </row>
    <row r="909">
      <c r="A909" s="2"/>
      <c r="B909" s="2"/>
      <c r="C909" s="2"/>
      <c r="D909" s="2"/>
      <c r="E909" s="2"/>
      <c r="F909" s="2"/>
      <c r="G909" s="2"/>
      <c r="H909" s="2"/>
      <c r="I909" s="2"/>
      <c r="J909" s="2"/>
      <c r="K909" s="2"/>
      <c r="L909" s="2"/>
      <c r="M909" s="2"/>
      <c r="N909" s="2"/>
      <c r="O909" s="2"/>
      <c r="P909" s="2"/>
      <c r="Q909" s="2"/>
      <c r="R909" s="2"/>
      <c r="S909" s="2"/>
      <c r="T909" s="2"/>
      <c r="U909" s="2"/>
      <c r="V909" s="2"/>
      <c r="W909" s="2"/>
    </row>
    <row r="910">
      <c r="A910" s="2"/>
      <c r="B910" s="2"/>
      <c r="C910" s="2"/>
      <c r="D910" s="2"/>
      <c r="E910" s="2"/>
      <c r="F910" s="2"/>
      <c r="G910" s="2"/>
      <c r="H910" s="2"/>
      <c r="I910" s="2"/>
      <c r="J910" s="2"/>
      <c r="K910" s="2"/>
      <c r="L910" s="2"/>
      <c r="M910" s="2"/>
      <c r="N910" s="2"/>
      <c r="O910" s="2"/>
      <c r="P910" s="2"/>
      <c r="Q910" s="2"/>
      <c r="R910" s="2"/>
      <c r="S910" s="2"/>
      <c r="T910" s="2"/>
      <c r="U910" s="2"/>
      <c r="V910" s="2"/>
      <c r="W910" s="2"/>
    </row>
    <row r="911">
      <c r="A911" s="2"/>
      <c r="B911" s="2"/>
      <c r="C911" s="2"/>
      <c r="D911" s="2"/>
      <c r="E911" s="2"/>
      <c r="F911" s="2"/>
      <c r="G911" s="2"/>
      <c r="H911" s="2"/>
      <c r="I911" s="2"/>
      <c r="J911" s="2"/>
      <c r="K911" s="2"/>
      <c r="L911" s="2"/>
      <c r="M911" s="2"/>
      <c r="N911" s="2"/>
      <c r="O911" s="2"/>
      <c r="P911" s="2"/>
      <c r="Q911" s="2"/>
      <c r="R911" s="2"/>
      <c r="S911" s="2"/>
      <c r="T911" s="2"/>
      <c r="U911" s="2"/>
      <c r="V911" s="2"/>
      <c r="W911" s="2"/>
    </row>
    <row r="912">
      <c r="A912" s="2"/>
      <c r="B912" s="2"/>
      <c r="C912" s="2"/>
      <c r="D912" s="2"/>
      <c r="E912" s="2"/>
      <c r="F912" s="2"/>
      <c r="G912" s="2"/>
      <c r="H912" s="2"/>
      <c r="I912" s="2"/>
      <c r="J912" s="2"/>
      <c r="K912" s="2"/>
      <c r="L912" s="2"/>
      <c r="M912" s="2"/>
      <c r="N912" s="2"/>
      <c r="O912" s="2"/>
      <c r="P912" s="2"/>
      <c r="Q912" s="2"/>
      <c r="R912" s="2"/>
      <c r="S912" s="2"/>
      <c r="T912" s="2"/>
      <c r="U912" s="2"/>
      <c r="V912" s="2"/>
      <c r="W912" s="2"/>
    </row>
    <row r="913">
      <c r="A913" s="2"/>
      <c r="B913" s="2"/>
      <c r="C913" s="2"/>
      <c r="D913" s="2"/>
      <c r="E913" s="2"/>
      <c r="F913" s="2"/>
      <c r="G913" s="2"/>
      <c r="H913" s="2"/>
      <c r="I913" s="2"/>
      <c r="J913" s="2"/>
      <c r="K913" s="2"/>
      <c r="L913" s="2"/>
      <c r="M913" s="2"/>
      <c r="N913" s="2"/>
      <c r="O913" s="2"/>
      <c r="P913" s="2"/>
      <c r="Q913" s="2"/>
      <c r="R913" s="2"/>
      <c r="S913" s="2"/>
      <c r="T913" s="2"/>
      <c r="U913" s="2"/>
      <c r="V913" s="2"/>
      <c r="W913" s="2"/>
    </row>
    <row r="914">
      <c r="A914" s="2"/>
      <c r="B914" s="2"/>
      <c r="C914" s="2"/>
      <c r="D914" s="2"/>
      <c r="E914" s="2"/>
      <c r="F914" s="2"/>
      <c r="G914" s="2"/>
      <c r="H914" s="2"/>
      <c r="I914" s="2"/>
      <c r="J914" s="2"/>
      <c r="K914" s="2"/>
      <c r="L914" s="2"/>
      <c r="M914" s="2"/>
      <c r="N914" s="2"/>
      <c r="O914" s="2"/>
      <c r="P914" s="2"/>
      <c r="Q914" s="2"/>
      <c r="R914" s="2"/>
      <c r="S914" s="2"/>
      <c r="T914" s="2"/>
      <c r="U914" s="2"/>
      <c r="V914" s="2"/>
      <c r="W914" s="2"/>
    </row>
    <row r="915">
      <c r="A915" s="2"/>
      <c r="B915" s="2"/>
      <c r="C915" s="2"/>
      <c r="D915" s="2"/>
      <c r="E915" s="2"/>
      <c r="F915" s="2"/>
      <c r="G915" s="2"/>
      <c r="H915" s="2"/>
      <c r="I915" s="2"/>
      <c r="J915" s="2"/>
      <c r="K915" s="2"/>
      <c r="L915" s="2"/>
      <c r="M915" s="2"/>
      <c r="N915" s="2"/>
      <c r="O915" s="2"/>
      <c r="P915" s="2"/>
      <c r="Q915" s="2"/>
      <c r="R915" s="2"/>
      <c r="S915" s="2"/>
      <c r="T915" s="2"/>
      <c r="U915" s="2"/>
      <c r="V915" s="2"/>
      <c r="W915" s="2"/>
    </row>
    <row r="916">
      <c r="A916" s="2"/>
      <c r="B916" s="2"/>
      <c r="C916" s="2"/>
      <c r="D916" s="2"/>
      <c r="E916" s="2"/>
      <c r="F916" s="2"/>
      <c r="G916" s="2"/>
      <c r="H916" s="2"/>
      <c r="I916" s="2"/>
      <c r="J916" s="2"/>
      <c r="K916" s="2"/>
      <c r="L916" s="2"/>
      <c r="M916" s="2"/>
      <c r="N916" s="2"/>
      <c r="O916" s="2"/>
      <c r="P916" s="2"/>
      <c r="Q916" s="2"/>
      <c r="R916" s="2"/>
      <c r="S916" s="2"/>
      <c r="T916" s="2"/>
      <c r="U916" s="2"/>
      <c r="V916" s="2"/>
      <c r="W916" s="2"/>
    </row>
    <row r="917">
      <c r="A917" s="2"/>
      <c r="B917" s="2"/>
      <c r="C917" s="2"/>
      <c r="D917" s="2"/>
      <c r="E917" s="2"/>
      <c r="F917" s="2"/>
      <c r="G917" s="2"/>
      <c r="H917" s="2"/>
      <c r="I917" s="2"/>
      <c r="J917" s="2"/>
      <c r="K917" s="2"/>
      <c r="L917" s="2"/>
      <c r="M917" s="2"/>
      <c r="N917" s="2"/>
      <c r="O917" s="2"/>
      <c r="P917" s="2"/>
      <c r="Q917" s="2"/>
      <c r="R917" s="2"/>
      <c r="S917" s="2"/>
      <c r="T917" s="2"/>
      <c r="U917" s="2"/>
      <c r="V917" s="2"/>
      <c r="W917" s="2"/>
    </row>
    <row r="918">
      <c r="A918" s="2"/>
      <c r="B918" s="2"/>
      <c r="C918" s="2"/>
      <c r="D918" s="2"/>
      <c r="E918" s="2"/>
      <c r="F918" s="2"/>
      <c r="G918" s="2"/>
      <c r="H918" s="2"/>
      <c r="I918" s="2"/>
      <c r="J918" s="2"/>
      <c r="K918" s="2"/>
      <c r="L918" s="2"/>
      <c r="M918" s="2"/>
      <c r="N918" s="2"/>
      <c r="O918" s="2"/>
      <c r="P918" s="2"/>
      <c r="Q918" s="2"/>
      <c r="R918" s="2"/>
      <c r="S918" s="2"/>
      <c r="T918" s="2"/>
      <c r="U918" s="2"/>
      <c r="V918" s="2"/>
      <c r="W918" s="2"/>
    </row>
    <row r="919">
      <c r="A919" s="2"/>
      <c r="B919" s="2"/>
      <c r="C919" s="2"/>
      <c r="D919" s="2"/>
      <c r="E919" s="2"/>
      <c r="F919" s="2"/>
      <c r="G919" s="2"/>
      <c r="H919" s="2"/>
      <c r="I919" s="2"/>
      <c r="J919" s="2"/>
      <c r="K919" s="2"/>
      <c r="L919" s="2"/>
      <c r="M919" s="2"/>
      <c r="N919" s="2"/>
      <c r="O919" s="2"/>
      <c r="P919" s="2"/>
      <c r="Q919" s="2"/>
      <c r="R919" s="2"/>
      <c r="S919" s="2"/>
      <c r="T919" s="2"/>
      <c r="U919" s="2"/>
      <c r="V919" s="2"/>
      <c r="W919" s="2"/>
    </row>
    <row r="920">
      <c r="A920" s="2"/>
      <c r="B920" s="2"/>
      <c r="C920" s="2"/>
      <c r="D920" s="2"/>
      <c r="E920" s="2"/>
      <c r="F920" s="2"/>
      <c r="G920" s="2"/>
      <c r="H920" s="2"/>
      <c r="I920" s="2"/>
      <c r="J920" s="2"/>
      <c r="K920" s="2"/>
      <c r="L920" s="2"/>
      <c r="M920" s="2"/>
      <c r="N920" s="2"/>
      <c r="O920" s="2"/>
      <c r="P920" s="2"/>
      <c r="Q920" s="2"/>
      <c r="R920" s="2"/>
      <c r="S920" s="2"/>
      <c r="T920" s="2"/>
      <c r="U920" s="2"/>
      <c r="V920" s="2"/>
      <c r="W920" s="2"/>
    </row>
    <row r="921">
      <c r="A921" s="2"/>
      <c r="B921" s="2"/>
      <c r="C921" s="2"/>
      <c r="D921" s="2"/>
      <c r="E921" s="2"/>
      <c r="F921" s="2"/>
      <c r="G921" s="2"/>
      <c r="H921" s="2"/>
      <c r="I921" s="2"/>
      <c r="J921" s="2"/>
      <c r="K921" s="2"/>
      <c r="L921" s="2"/>
      <c r="M921" s="2"/>
      <c r="N921" s="2"/>
      <c r="O921" s="2"/>
      <c r="P921" s="2"/>
      <c r="Q921" s="2"/>
      <c r="R921" s="2"/>
      <c r="S921" s="2"/>
      <c r="T921" s="2"/>
      <c r="U921" s="2"/>
      <c r="V921" s="2"/>
      <c r="W921" s="2"/>
    </row>
    <row r="922">
      <c r="A922" s="2"/>
      <c r="B922" s="2"/>
      <c r="C922" s="2"/>
      <c r="D922" s="2"/>
      <c r="E922" s="2"/>
      <c r="F922" s="2"/>
      <c r="G922" s="2"/>
      <c r="H922" s="2"/>
      <c r="I922" s="2"/>
      <c r="J922" s="2"/>
      <c r="K922" s="2"/>
      <c r="L922" s="2"/>
      <c r="M922" s="2"/>
      <c r="N922" s="2"/>
      <c r="O922" s="2"/>
      <c r="P922" s="2"/>
      <c r="Q922" s="2"/>
      <c r="R922" s="2"/>
      <c r="S922" s="2"/>
      <c r="T922" s="2"/>
      <c r="U922" s="2"/>
      <c r="V922" s="2"/>
      <c r="W922" s="2"/>
    </row>
    <row r="923">
      <c r="A923" s="2"/>
      <c r="B923" s="2"/>
      <c r="C923" s="2"/>
      <c r="D923" s="2"/>
      <c r="E923" s="2"/>
      <c r="F923" s="2"/>
      <c r="G923" s="2"/>
      <c r="H923" s="2"/>
      <c r="I923" s="2"/>
      <c r="J923" s="2"/>
      <c r="K923" s="2"/>
      <c r="L923" s="2"/>
      <c r="M923" s="2"/>
      <c r="N923" s="2"/>
      <c r="O923" s="2"/>
      <c r="P923" s="2"/>
      <c r="Q923" s="2"/>
      <c r="R923" s="2"/>
      <c r="S923" s="2"/>
      <c r="T923" s="2"/>
      <c r="U923" s="2"/>
      <c r="V923" s="2"/>
      <c r="W923" s="2"/>
    </row>
    <row r="924">
      <c r="A924" s="2"/>
      <c r="B924" s="2"/>
      <c r="C924" s="2"/>
      <c r="D924" s="2"/>
      <c r="E924" s="2"/>
      <c r="F924" s="2"/>
      <c r="G924" s="2"/>
      <c r="H924" s="2"/>
      <c r="I924" s="2"/>
      <c r="J924" s="2"/>
      <c r="K924" s="2"/>
      <c r="L924" s="2"/>
      <c r="M924" s="2"/>
      <c r="N924" s="2"/>
      <c r="O924" s="2"/>
      <c r="P924" s="2"/>
      <c r="Q924" s="2"/>
      <c r="R924" s="2"/>
      <c r="S924" s="2"/>
      <c r="T924" s="2"/>
      <c r="U924" s="2"/>
      <c r="V924" s="2"/>
      <c r="W924" s="2"/>
    </row>
    <row r="925">
      <c r="A925" s="2"/>
      <c r="B925" s="2"/>
      <c r="C925" s="2"/>
      <c r="D925" s="2"/>
      <c r="E925" s="2"/>
      <c r="F925" s="2"/>
      <c r="G925" s="2"/>
      <c r="H925" s="2"/>
      <c r="I925" s="2"/>
      <c r="J925" s="2"/>
      <c r="K925" s="2"/>
      <c r="L925" s="2"/>
      <c r="M925" s="2"/>
      <c r="N925" s="2"/>
      <c r="O925" s="2"/>
      <c r="P925" s="2"/>
      <c r="Q925" s="2"/>
      <c r="R925" s="2"/>
      <c r="S925" s="2"/>
      <c r="T925" s="2"/>
      <c r="U925" s="2"/>
      <c r="V925" s="2"/>
      <c r="W925" s="2"/>
    </row>
    <row r="926">
      <c r="A926" s="2"/>
      <c r="B926" s="2"/>
      <c r="C926" s="2"/>
      <c r="D926" s="2"/>
      <c r="E926" s="2"/>
      <c r="F926" s="2"/>
      <c r="G926" s="2"/>
      <c r="H926" s="2"/>
      <c r="I926" s="2"/>
      <c r="J926" s="2"/>
      <c r="K926" s="2"/>
      <c r="L926" s="2"/>
      <c r="M926" s="2"/>
      <c r="N926" s="2"/>
      <c r="O926" s="2"/>
      <c r="P926" s="2"/>
      <c r="Q926" s="2"/>
      <c r="R926" s="2"/>
      <c r="S926" s="2"/>
      <c r="T926" s="2"/>
      <c r="U926" s="2"/>
      <c r="V926" s="2"/>
      <c r="W926" s="2"/>
    </row>
    <row r="927">
      <c r="A927" s="2"/>
      <c r="B927" s="2"/>
      <c r="C927" s="2"/>
      <c r="D927" s="2"/>
      <c r="E927" s="2"/>
      <c r="F927" s="2"/>
      <c r="G927" s="2"/>
      <c r="H927" s="2"/>
      <c r="I927" s="2"/>
      <c r="J927" s="2"/>
      <c r="K927" s="2"/>
      <c r="L927" s="2"/>
      <c r="M927" s="2"/>
      <c r="N927" s="2"/>
      <c r="O927" s="2"/>
      <c r="P927" s="2"/>
      <c r="Q927" s="2"/>
      <c r="R927" s="2"/>
      <c r="S927" s="2"/>
      <c r="T927" s="2"/>
      <c r="U927" s="2"/>
      <c r="V927" s="2"/>
      <c r="W927" s="2"/>
    </row>
    <row r="928">
      <c r="A928" s="2"/>
      <c r="B928" s="2"/>
      <c r="C928" s="2"/>
      <c r="D928" s="2"/>
      <c r="E928" s="2"/>
      <c r="F928" s="2"/>
      <c r="G928" s="2"/>
      <c r="H928" s="2"/>
      <c r="I928" s="2"/>
      <c r="J928" s="2"/>
      <c r="K928" s="2"/>
      <c r="L928" s="2"/>
      <c r="M928" s="2"/>
      <c r="N928" s="2"/>
      <c r="O928" s="2"/>
      <c r="P928" s="2"/>
      <c r="Q928" s="2"/>
      <c r="R928" s="2"/>
      <c r="S928" s="2"/>
      <c r="T928" s="2"/>
      <c r="U928" s="2"/>
      <c r="V928" s="2"/>
      <c r="W928" s="2"/>
    </row>
    <row r="929">
      <c r="A929" s="2"/>
      <c r="B929" s="2"/>
      <c r="C929" s="2"/>
      <c r="D929" s="2"/>
      <c r="E929" s="2"/>
      <c r="F929" s="2"/>
      <c r="G929" s="2"/>
      <c r="H929" s="2"/>
      <c r="I929" s="2"/>
      <c r="J929" s="2"/>
      <c r="K929" s="2"/>
      <c r="L929" s="2"/>
      <c r="M929" s="2"/>
      <c r="N929" s="2"/>
      <c r="O929" s="2"/>
      <c r="P929" s="2"/>
      <c r="Q929" s="2"/>
      <c r="R929" s="2"/>
      <c r="S929" s="2"/>
      <c r="T929" s="2"/>
      <c r="U929" s="2"/>
      <c r="V929" s="2"/>
      <c r="W929" s="2"/>
    </row>
    <row r="930">
      <c r="A930" s="2"/>
      <c r="B930" s="2"/>
      <c r="C930" s="2"/>
      <c r="D930" s="2"/>
      <c r="E930" s="2"/>
      <c r="F930" s="2"/>
      <c r="G930" s="2"/>
      <c r="H930" s="2"/>
      <c r="I930" s="2"/>
      <c r="J930" s="2"/>
      <c r="K930" s="2"/>
      <c r="L930" s="2"/>
      <c r="M930" s="2"/>
      <c r="N930" s="2"/>
      <c r="O930" s="2"/>
      <c r="P930" s="2"/>
      <c r="Q930" s="2"/>
      <c r="R930" s="2"/>
      <c r="S930" s="2"/>
      <c r="T930" s="2"/>
      <c r="U930" s="2"/>
      <c r="V930" s="2"/>
      <c r="W930" s="2"/>
    </row>
    <row r="931">
      <c r="A931" s="2"/>
      <c r="B931" s="2"/>
      <c r="C931" s="2"/>
      <c r="D931" s="2"/>
      <c r="E931" s="2"/>
      <c r="F931" s="2"/>
      <c r="G931" s="2"/>
      <c r="H931" s="2"/>
      <c r="I931" s="2"/>
      <c r="J931" s="2"/>
      <c r="K931" s="2"/>
      <c r="L931" s="2"/>
      <c r="M931" s="2"/>
      <c r="N931" s="2"/>
      <c r="O931" s="2"/>
      <c r="P931" s="2"/>
      <c r="Q931" s="2"/>
      <c r="R931" s="2"/>
      <c r="S931" s="2"/>
      <c r="T931" s="2"/>
      <c r="U931" s="2"/>
      <c r="V931" s="2"/>
      <c r="W931" s="2"/>
    </row>
    <row r="932">
      <c r="A932" s="2"/>
      <c r="B932" s="2"/>
      <c r="C932" s="2"/>
      <c r="D932" s="2"/>
      <c r="E932" s="2"/>
      <c r="F932" s="2"/>
      <c r="G932" s="2"/>
      <c r="H932" s="2"/>
      <c r="I932" s="2"/>
      <c r="J932" s="2"/>
      <c r="K932" s="2"/>
      <c r="L932" s="2"/>
      <c r="M932" s="2"/>
      <c r="N932" s="2"/>
      <c r="O932" s="2"/>
      <c r="P932" s="2"/>
      <c r="Q932" s="2"/>
      <c r="R932" s="2"/>
      <c r="S932" s="2"/>
      <c r="T932" s="2"/>
      <c r="U932" s="2"/>
      <c r="V932" s="2"/>
      <c r="W932" s="2"/>
    </row>
    <row r="933">
      <c r="A933" s="2"/>
      <c r="B933" s="2"/>
      <c r="C933" s="2"/>
      <c r="D933" s="2"/>
      <c r="E933" s="2"/>
      <c r="F933" s="2"/>
      <c r="G933" s="2"/>
      <c r="H933" s="2"/>
      <c r="I933" s="2"/>
      <c r="J933" s="2"/>
      <c r="K933" s="2"/>
      <c r="L933" s="2"/>
      <c r="M933" s="2"/>
      <c r="N933" s="2"/>
      <c r="O933" s="2"/>
      <c r="P933" s="2"/>
      <c r="Q933" s="2"/>
      <c r="R933" s="2"/>
      <c r="S933" s="2"/>
      <c r="T933" s="2"/>
      <c r="U933" s="2"/>
      <c r="V933" s="2"/>
      <c r="W933" s="2"/>
    </row>
    <row r="934">
      <c r="A934" s="2"/>
      <c r="B934" s="2"/>
      <c r="C934" s="2"/>
      <c r="D934" s="2"/>
      <c r="E934" s="2"/>
      <c r="F934" s="2"/>
      <c r="G934" s="2"/>
      <c r="H934" s="2"/>
      <c r="I934" s="2"/>
      <c r="J934" s="2"/>
      <c r="K934" s="2"/>
      <c r="L934" s="2"/>
      <c r="M934" s="2"/>
      <c r="N934" s="2"/>
      <c r="O934" s="2"/>
      <c r="P934" s="2"/>
      <c r="Q934" s="2"/>
      <c r="R934" s="2"/>
      <c r="S934" s="2"/>
      <c r="T934" s="2"/>
      <c r="U934" s="2"/>
      <c r="V934" s="2"/>
      <c r="W934" s="2"/>
    </row>
    <row r="935">
      <c r="A935" s="2"/>
      <c r="B935" s="2"/>
      <c r="C935" s="2"/>
      <c r="D935" s="2"/>
      <c r="E935" s="2"/>
      <c r="F935" s="2"/>
      <c r="G935" s="2"/>
      <c r="H935" s="2"/>
      <c r="I935" s="2"/>
      <c r="J935" s="2"/>
      <c r="K935" s="2"/>
      <c r="L935" s="2"/>
      <c r="M935" s="2"/>
      <c r="N935" s="2"/>
      <c r="O935" s="2"/>
      <c r="P935" s="2"/>
      <c r="Q935" s="2"/>
      <c r="R935" s="2"/>
      <c r="S935" s="2"/>
      <c r="T935" s="2"/>
      <c r="U935" s="2"/>
      <c r="V935" s="2"/>
      <c r="W935" s="2"/>
    </row>
    <row r="936">
      <c r="A936" s="2"/>
      <c r="B936" s="2"/>
      <c r="C936" s="2"/>
      <c r="D936" s="2"/>
      <c r="E936" s="2"/>
      <c r="F936" s="2"/>
      <c r="G936" s="2"/>
      <c r="H936" s="2"/>
      <c r="I936" s="2"/>
      <c r="J936" s="2"/>
      <c r="K936" s="2"/>
      <c r="L936" s="2"/>
      <c r="M936" s="2"/>
      <c r="N936" s="2"/>
      <c r="O936" s="2"/>
      <c r="P936" s="2"/>
      <c r="Q936" s="2"/>
      <c r="R936" s="2"/>
      <c r="S936" s="2"/>
      <c r="T936" s="2"/>
      <c r="U936" s="2"/>
      <c r="V936" s="2"/>
      <c r="W936" s="2"/>
    </row>
    <row r="937">
      <c r="A937" s="2"/>
      <c r="B937" s="2"/>
      <c r="C937" s="2"/>
      <c r="D937" s="2"/>
      <c r="E937" s="2"/>
      <c r="F937" s="2"/>
      <c r="G937" s="2"/>
      <c r="H937" s="2"/>
      <c r="I937" s="2"/>
      <c r="J937" s="2"/>
      <c r="K937" s="2"/>
      <c r="L937" s="2"/>
      <c r="M937" s="2"/>
      <c r="N937" s="2"/>
      <c r="O937" s="2"/>
      <c r="P937" s="2"/>
      <c r="Q937" s="2"/>
      <c r="R937" s="2"/>
      <c r="S937" s="2"/>
      <c r="T937" s="2"/>
      <c r="U937" s="2"/>
      <c r="V937" s="2"/>
      <c r="W937" s="2"/>
    </row>
    <row r="938">
      <c r="A938" s="2"/>
      <c r="B938" s="2"/>
      <c r="C938" s="2"/>
      <c r="D938" s="2"/>
      <c r="E938" s="2"/>
      <c r="F938" s="2"/>
      <c r="G938" s="2"/>
      <c r="H938" s="2"/>
      <c r="I938" s="2"/>
      <c r="J938" s="2"/>
      <c r="K938" s="2"/>
      <c r="L938" s="2"/>
      <c r="M938" s="2"/>
      <c r="N938" s="2"/>
      <c r="O938" s="2"/>
      <c r="P938" s="2"/>
      <c r="Q938" s="2"/>
      <c r="R938" s="2"/>
      <c r="S938" s="2"/>
      <c r="T938" s="2"/>
      <c r="U938" s="2"/>
      <c r="V938" s="2"/>
      <c r="W938" s="2"/>
    </row>
    <row r="939">
      <c r="A939" s="2"/>
      <c r="B939" s="2"/>
      <c r="C939" s="2"/>
      <c r="D939" s="2"/>
      <c r="E939" s="2"/>
      <c r="F939" s="2"/>
      <c r="G939" s="2"/>
      <c r="H939" s="2"/>
      <c r="I939" s="2"/>
      <c r="J939" s="2"/>
      <c r="K939" s="2"/>
      <c r="L939" s="2"/>
      <c r="M939" s="2"/>
      <c r="N939" s="2"/>
      <c r="O939" s="2"/>
      <c r="P939" s="2"/>
      <c r="Q939" s="2"/>
      <c r="R939" s="2"/>
      <c r="S939" s="2"/>
      <c r="T939" s="2"/>
      <c r="U939" s="2"/>
      <c r="V939" s="2"/>
      <c r="W939" s="2"/>
    </row>
    <row r="940">
      <c r="A940" s="2"/>
      <c r="B940" s="2"/>
      <c r="C940" s="2"/>
      <c r="D940" s="2"/>
      <c r="E940" s="2"/>
      <c r="F940" s="2"/>
      <c r="G940" s="2"/>
      <c r="H940" s="2"/>
      <c r="I940" s="2"/>
      <c r="J940" s="2"/>
      <c r="K940" s="2"/>
      <c r="L940" s="2"/>
      <c r="M940" s="2"/>
      <c r="N940" s="2"/>
      <c r="O940" s="2"/>
      <c r="P940" s="2"/>
      <c r="Q940" s="2"/>
      <c r="R940" s="2"/>
      <c r="S940" s="2"/>
      <c r="T940" s="2"/>
      <c r="U940" s="2"/>
      <c r="V940" s="2"/>
      <c r="W940" s="2"/>
    </row>
    <row r="941">
      <c r="A941" s="2"/>
      <c r="B941" s="2"/>
      <c r="C941" s="2"/>
      <c r="D941" s="2"/>
      <c r="E941" s="2"/>
      <c r="F941" s="2"/>
      <c r="G941" s="2"/>
      <c r="H941" s="2"/>
      <c r="I941" s="2"/>
      <c r="J941" s="2"/>
      <c r="K941" s="2"/>
      <c r="L941" s="2"/>
      <c r="M941" s="2"/>
      <c r="N941" s="2"/>
      <c r="O941" s="2"/>
      <c r="P941" s="2"/>
      <c r="Q941" s="2"/>
      <c r="R941" s="2"/>
      <c r="S941" s="2"/>
      <c r="T941" s="2"/>
      <c r="U941" s="2"/>
      <c r="V941" s="2"/>
      <c r="W941" s="2"/>
    </row>
    <row r="942">
      <c r="A942" s="2"/>
      <c r="B942" s="2"/>
      <c r="C942" s="2"/>
      <c r="D942" s="2"/>
      <c r="E942" s="2"/>
      <c r="F942" s="2"/>
      <c r="G942" s="2"/>
      <c r="H942" s="2"/>
      <c r="I942" s="2"/>
      <c r="J942" s="2"/>
      <c r="K942" s="2"/>
      <c r="L942" s="2"/>
      <c r="M942" s="2"/>
      <c r="N942" s="2"/>
      <c r="O942" s="2"/>
      <c r="P942" s="2"/>
      <c r="Q942" s="2"/>
      <c r="R942" s="2"/>
      <c r="S942" s="2"/>
      <c r="T942" s="2"/>
      <c r="U942" s="2"/>
      <c r="V942" s="2"/>
      <c r="W942" s="2"/>
    </row>
    <row r="943">
      <c r="A943" s="2"/>
      <c r="B943" s="2"/>
      <c r="C943" s="2"/>
      <c r="D943" s="2"/>
      <c r="E943" s="2"/>
      <c r="F943" s="2"/>
      <c r="G943" s="2"/>
      <c r="H943" s="2"/>
      <c r="I943" s="2"/>
      <c r="J943" s="2"/>
      <c r="K943" s="2"/>
      <c r="L943" s="2"/>
      <c r="M943" s="2"/>
      <c r="N943" s="2"/>
      <c r="O943" s="2"/>
      <c r="P943" s="2"/>
      <c r="Q943" s="2"/>
      <c r="R943" s="2"/>
      <c r="S943" s="2"/>
      <c r="T943" s="2"/>
      <c r="U943" s="2"/>
      <c r="V943" s="2"/>
      <c r="W943" s="2"/>
    </row>
    <row r="944">
      <c r="A944" s="2"/>
      <c r="B944" s="2"/>
      <c r="C944" s="2"/>
      <c r="D944" s="2"/>
      <c r="E944" s="2"/>
      <c r="F944" s="2"/>
      <c r="G944" s="2"/>
      <c r="H944" s="2"/>
      <c r="I944" s="2"/>
      <c r="J944" s="2"/>
      <c r="K944" s="2"/>
      <c r="L944" s="2"/>
      <c r="M944" s="2"/>
      <c r="N944" s="2"/>
      <c r="O944" s="2"/>
      <c r="P944" s="2"/>
      <c r="Q944" s="2"/>
      <c r="R944" s="2"/>
      <c r="S944" s="2"/>
      <c r="T944" s="2"/>
      <c r="U944" s="2"/>
      <c r="V944" s="2"/>
      <c r="W944" s="2"/>
    </row>
    <row r="945">
      <c r="A945" s="2"/>
      <c r="B945" s="2"/>
      <c r="C945" s="2"/>
      <c r="D945" s="2"/>
      <c r="E945" s="2"/>
      <c r="F945" s="2"/>
      <c r="G945" s="2"/>
      <c r="H945" s="2"/>
      <c r="I945" s="2"/>
      <c r="J945" s="2"/>
      <c r="K945" s="2"/>
      <c r="L945" s="2"/>
      <c r="M945" s="2"/>
      <c r="N945" s="2"/>
      <c r="O945" s="2"/>
      <c r="P945" s="2"/>
      <c r="Q945" s="2"/>
      <c r="R945" s="2"/>
      <c r="S945" s="2"/>
      <c r="T945" s="2"/>
      <c r="U945" s="2"/>
      <c r="V945" s="2"/>
      <c r="W945" s="2"/>
    </row>
    <row r="946">
      <c r="A946" s="2"/>
      <c r="B946" s="2"/>
      <c r="C946" s="2"/>
      <c r="D946" s="2"/>
      <c r="E946" s="2"/>
      <c r="F946" s="2"/>
      <c r="G946" s="2"/>
      <c r="H946" s="2"/>
      <c r="I946" s="2"/>
      <c r="J946" s="2"/>
      <c r="K946" s="2"/>
      <c r="L946" s="2"/>
      <c r="M946" s="2"/>
      <c r="N946" s="2"/>
      <c r="O946" s="2"/>
      <c r="P946" s="2"/>
      <c r="Q946" s="2"/>
      <c r="R946" s="2"/>
      <c r="S946" s="2"/>
      <c r="T946" s="2"/>
      <c r="U946" s="2"/>
      <c r="V946" s="2"/>
      <c r="W946" s="2"/>
    </row>
    <row r="947">
      <c r="A947" s="2"/>
      <c r="B947" s="2"/>
      <c r="C947" s="2"/>
      <c r="D947" s="2"/>
      <c r="E947" s="2"/>
      <c r="F947" s="2"/>
      <c r="G947" s="2"/>
      <c r="H947" s="2"/>
      <c r="I947" s="2"/>
      <c r="J947" s="2"/>
      <c r="K947" s="2"/>
      <c r="L947" s="2"/>
      <c r="M947" s="2"/>
      <c r="N947" s="2"/>
      <c r="O947" s="2"/>
      <c r="P947" s="2"/>
      <c r="Q947" s="2"/>
      <c r="R947" s="2"/>
      <c r="S947" s="2"/>
      <c r="T947" s="2"/>
      <c r="U947" s="2"/>
      <c r="V947" s="2"/>
      <c r="W947" s="2"/>
    </row>
    <row r="948">
      <c r="A948" s="2"/>
      <c r="B948" s="2"/>
      <c r="C948" s="2"/>
      <c r="D948" s="2"/>
      <c r="E948" s="2"/>
      <c r="F948" s="2"/>
      <c r="G948" s="2"/>
      <c r="H948" s="2"/>
      <c r="I948" s="2"/>
      <c r="J948" s="2"/>
      <c r="K948" s="2"/>
      <c r="L948" s="2"/>
      <c r="M948" s="2"/>
      <c r="N948" s="2"/>
      <c r="O948" s="2"/>
      <c r="P948" s="2"/>
      <c r="Q948" s="2"/>
      <c r="R948" s="2"/>
      <c r="S948" s="2"/>
      <c r="T948" s="2"/>
      <c r="U948" s="2"/>
      <c r="V948" s="2"/>
      <c r="W948" s="2"/>
    </row>
    <row r="949">
      <c r="A949" s="2"/>
      <c r="B949" s="2"/>
      <c r="C949" s="2"/>
      <c r="D949" s="2"/>
      <c r="E949" s="2"/>
      <c r="F949" s="2"/>
      <c r="G949" s="2"/>
      <c r="H949" s="2"/>
      <c r="I949" s="2"/>
      <c r="J949" s="2"/>
      <c r="K949" s="2"/>
      <c r="L949" s="2"/>
      <c r="M949" s="2"/>
      <c r="N949" s="2"/>
      <c r="O949" s="2"/>
      <c r="P949" s="2"/>
      <c r="Q949" s="2"/>
      <c r="R949" s="2"/>
      <c r="S949" s="2"/>
      <c r="T949" s="2"/>
      <c r="U949" s="2"/>
      <c r="V949" s="2"/>
      <c r="W949" s="2"/>
    </row>
    <row r="950">
      <c r="A950" s="2"/>
      <c r="B950" s="2"/>
      <c r="C950" s="2"/>
      <c r="D950" s="2"/>
      <c r="E950" s="2"/>
      <c r="F950" s="2"/>
      <c r="G950" s="2"/>
      <c r="H950" s="2"/>
      <c r="I950" s="2"/>
      <c r="J950" s="2"/>
      <c r="K950" s="2"/>
      <c r="L950" s="2"/>
      <c r="M950" s="2"/>
      <c r="N950" s="2"/>
      <c r="O950" s="2"/>
      <c r="P950" s="2"/>
      <c r="Q950" s="2"/>
      <c r="R950" s="2"/>
      <c r="S950" s="2"/>
      <c r="T950" s="2"/>
      <c r="U950" s="2"/>
      <c r="V950" s="2"/>
      <c r="W950" s="2"/>
    </row>
    <row r="951">
      <c r="A951" s="2"/>
      <c r="B951" s="2"/>
      <c r="C951" s="2"/>
      <c r="D951" s="2"/>
      <c r="E951" s="2"/>
      <c r="F951" s="2"/>
      <c r="G951" s="2"/>
      <c r="H951" s="2"/>
      <c r="I951" s="2"/>
      <c r="J951" s="2"/>
      <c r="K951" s="2"/>
      <c r="L951" s="2"/>
      <c r="M951" s="2"/>
      <c r="N951" s="2"/>
      <c r="O951" s="2"/>
      <c r="P951" s="2"/>
      <c r="Q951" s="2"/>
      <c r="R951" s="2"/>
      <c r="S951" s="2"/>
      <c r="T951" s="2"/>
      <c r="U951" s="2"/>
      <c r="V951" s="2"/>
      <c r="W951" s="2"/>
    </row>
    <row r="952">
      <c r="A952" s="2"/>
      <c r="B952" s="2"/>
      <c r="C952" s="2"/>
      <c r="D952" s="2"/>
      <c r="E952" s="2"/>
      <c r="F952" s="2"/>
      <c r="G952" s="2"/>
      <c r="H952" s="2"/>
      <c r="I952" s="2"/>
      <c r="J952" s="2"/>
      <c r="K952" s="2"/>
      <c r="L952" s="2"/>
      <c r="M952" s="2"/>
      <c r="N952" s="2"/>
      <c r="O952" s="2"/>
      <c r="P952" s="2"/>
      <c r="Q952" s="2"/>
      <c r="R952" s="2"/>
      <c r="S952" s="2"/>
      <c r="T952" s="2"/>
      <c r="U952" s="2"/>
      <c r="V952" s="2"/>
      <c r="W952" s="2"/>
    </row>
    <row r="953">
      <c r="A953" s="2"/>
      <c r="B953" s="2"/>
      <c r="C953" s="2"/>
      <c r="D953" s="2"/>
      <c r="E953" s="2"/>
      <c r="F953" s="2"/>
      <c r="G953" s="2"/>
      <c r="H953" s="2"/>
      <c r="I953" s="2"/>
      <c r="J953" s="2"/>
      <c r="K953" s="2"/>
      <c r="L953" s="2"/>
      <c r="M953" s="2"/>
      <c r="N953" s="2"/>
      <c r="O953" s="2"/>
      <c r="P953" s="2"/>
      <c r="Q953" s="2"/>
      <c r="R953" s="2"/>
      <c r="S953" s="2"/>
      <c r="T953" s="2"/>
      <c r="U953" s="2"/>
      <c r="V953" s="2"/>
      <c r="W953" s="2"/>
    </row>
    <row r="954">
      <c r="A954" s="2"/>
      <c r="B954" s="2"/>
      <c r="C954" s="2"/>
      <c r="D954" s="2"/>
      <c r="E954" s="2"/>
      <c r="F954" s="2"/>
      <c r="G954" s="2"/>
      <c r="H954" s="2"/>
      <c r="I954" s="2"/>
      <c r="J954" s="2"/>
      <c r="K954" s="2"/>
      <c r="L954" s="2"/>
      <c r="M954" s="2"/>
      <c r="N954" s="2"/>
      <c r="O954" s="2"/>
      <c r="P954" s="2"/>
      <c r="Q954" s="2"/>
      <c r="R954" s="2"/>
      <c r="S954" s="2"/>
      <c r="T954" s="2"/>
      <c r="U954" s="2"/>
      <c r="V954" s="2"/>
      <c r="W954" s="2"/>
    </row>
    <row r="955">
      <c r="A955" s="2"/>
      <c r="B955" s="2"/>
      <c r="C955" s="2"/>
      <c r="D955" s="2"/>
      <c r="E955" s="2"/>
      <c r="F955" s="2"/>
      <c r="G955" s="2"/>
      <c r="H955" s="2"/>
      <c r="I955" s="2"/>
      <c r="J955" s="2"/>
      <c r="K955" s="2"/>
      <c r="L955" s="2"/>
      <c r="M955" s="2"/>
      <c r="N955" s="2"/>
      <c r="O955" s="2"/>
      <c r="P955" s="2"/>
      <c r="Q955" s="2"/>
      <c r="R955" s="2"/>
      <c r="S955" s="2"/>
      <c r="T955" s="2"/>
      <c r="U955" s="2"/>
      <c r="V955" s="2"/>
      <c r="W955" s="2"/>
    </row>
    <row r="956">
      <c r="A956" s="2"/>
      <c r="B956" s="2"/>
      <c r="C956" s="2"/>
      <c r="D956" s="2"/>
      <c r="E956" s="2"/>
      <c r="F956" s="2"/>
      <c r="G956" s="2"/>
      <c r="H956" s="2"/>
      <c r="I956" s="2"/>
      <c r="J956" s="2"/>
      <c r="K956" s="2"/>
      <c r="L956" s="2"/>
      <c r="M956" s="2"/>
      <c r="N956" s="2"/>
      <c r="O956" s="2"/>
      <c r="P956" s="2"/>
      <c r="Q956" s="2"/>
      <c r="R956" s="2"/>
      <c r="S956" s="2"/>
      <c r="T956" s="2"/>
      <c r="U956" s="2"/>
      <c r="V956" s="2"/>
      <c r="W956" s="2"/>
    </row>
    <row r="957">
      <c r="A957" s="2"/>
      <c r="B957" s="2"/>
      <c r="C957" s="2"/>
      <c r="D957" s="2"/>
      <c r="E957" s="2"/>
      <c r="F957" s="2"/>
      <c r="G957" s="2"/>
      <c r="H957" s="2"/>
      <c r="I957" s="2"/>
      <c r="J957" s="2"/>
      <c r="K957" s="2"/>
      <c r="L957" s="2"/>
      <c r="M957" s="2"/>
      <c r="N957" s="2"/>
      <c r="O957" s="2"/>
      <c r="P957" s="2"/>
      <c r="Q957" s="2"/>
      <c r="R957" s="2"/>
      <c r="S957" s="2"/>
      <c r="T957" s="2"/>
      <c r="U957" s="2"/>
      <c r="V957" s="2"/>
      <c r="W957" s="2"/>
    </row>
    <row r="958">
      <c r="A958" s="2"/>
      <c r="B958" s="2"/>
      <c r="C958" s="2"/>
      <c r="D958" s="2"/>
      <c r="E958" s="2"/>
      <c r="F958" s="2"/>
      <c r="G958" s="2"/>
      <c r="H958" s="2"/>
      <c r="I958" s="2"/>
      <c r="J958" s="2"/>
      <c r="K958" s="2"/>
      <c r="L958" s="2"/>
      <c r="M958" s="2"/>
      <c r="N958" s="2"/>
      <c r="O958" s="2"/>
      <c r="P958" s="2"/>
      <c r="Q958" s="2"/>
      <c r="R958" s="2"/>
      <c r="S958" s="2"/>
      <c r="T958" s="2"/>
      <c r="U958" s="2"/>
      <c r="V958" s="2"/>
      <c r="W958" s="2"/>
    </row>
    <row r="959">
      <c r="A959" s="2"/>
      <c r="B959" s="2"/>
      <c r="C959" s="2"/>
      <c r="D959" s="2"/>
      <c r="E959" s="2"/>
      <c r="F959" s="2"/>
      <c r="G959" s="2"/>
      <c r="H959" s="2"/>
      <c r="I959" s="2"/>
      <c r="J959" s="2"/>
      <c r="K959" s="2"/>
      <c r="L959" s="2"/>
      <c r="M959" s="2"/>
      <c r="N959" s="2"/>
      <c r="O959" s="2"/>
      <c r="P959" s="2"/>
      <c r="Q959" s="2"/>
      <c r="R959" s="2"/>
      <c r="S959" s="2"/>
      <c r="T959" s="2"/>
      <c r="U959" s="2"/>
      <c r="V959" s="2"/>
      <c r="W959" s="2"/>
    </row>
    <row r="960">
      <c r="A960" s="2"/>
      <c r="B960" s="2"/>
      <c r="C960" s="2"/>
      <c r="D960" s="2"/>
      <c r="E960" s="2"/>
      <c r="F960" s="2"/>
      <c r="G960" s="2"/>
      <c r="H960" s="2"/>
      <c r="I960" s="2"/>
      <c r="J960" s="2"/>
      <c r="K960" s="2"/>
      <c r="L960" s="2"/>
      <c r="M960" s="2"/>
      <c r="N960" s="2"/>
      <c r="O960" s="2"/>
      <c r="P960" s="2"/>
      <c r="Q960" s="2"/>
      <c r="R960" s="2"/>
      <c r="S960" s="2"/>
      <c r="T960" s="2"/>
      <c r="U960" s="2"/>
      <c r="V960" s="2"/>
      <c r="W960" s="2"/>
    </row>
    <row r="961">
      <c r="A961" s="2"/>
      <c r="B961" s="2"/>
      <c r="C961" s="2"/>
      <c r="D961" s="2"/>
      <c r="E961" s="2"/>
      <c r="F961" s="2"/>
      <c r="G961" s="2"/>
      <c r="H961" s="2"/>
      <c r="I961" s="2"/>
      <c r="J961" s="2"/>
      <c r="K961" s="2"/>
      <c r="L961" s="2"/>
      <c r="M961" s="2"/>
      <c r="N961" s="2"/>
      <c r="O961" s="2"/>
      <c r="P961" s="2"/>
      <c r="Q961" s="2"/>
      <c r="R961" s="2"/>
      <c r="S961" s="2"/>
      <c r="T961" s="2"/>
      <c r="U961" s="2"/>
      <c r="V961" s="2"/>
      <c r="W961" s="2"/>
    </row>
    <row r="962">
      <c r="A962" s="2"/>
      <c r="B962" s="2"/>
      <c r="C962" s="2"/>
      <c r="D962" s="2"/>
      <c r="E962" s="2"/>
      <c r="F962" s="2"/>
      <c r="G962" s="2"/>
      <c r="H962" s="2"/>
      <c r="I962" s="2"/>
      <c r="J962" s="2"/>
      <c r="K962" s="2"/>
      <c r="L962" s="2"/>
      <c r="M962" s="2"/>
      <c r="N962" s="2"/>
      <c r="O962" s="2"/>
      <c r="P962" s="2"/>
      <c r="Q962" s="2"/>
      <c r="R962" s="2"/>
      <c r="S962" s="2"/>
      <c r="T962" s="2"/>
      <c r="U962" s="2"/>
      <c r="V962" s="2"/>
      <c r="W962" s="2"/>
    </row>
    <row r="963">
      <c r="A963" s="2"/>
      <c r="B963" s="2"/>
      <c r="C963" s="2"/>
      <c r="D963" s="2"/>
      <c r="E963" s="2"/>
      <c r="F963" s="2"/>
      <c r="G963" s="2"/>
      <c r="H963" s="2"/>
      <c r="I963" s="2"/>
      <c r="J963" s="2"/>
      <c r="K963" s="2"/>
      <c r="L963" s="2"/>
      <c r="M963" s="2"/>
      <c r="N963" s="2"/>
      <c r="O963" s="2"/>
      <c r="P963" s="2"/>
      <c r="Q963" s="2"/>
      <c r="R963" s="2"/>
      <c r="S963" s="2"/>
      <c r="T963" s="2"/>
      <c r="U963" s="2"/>
      <c r="V963" s="2"/>
      <c r="W963" s="2"/>
    </row>
    <row r="964">
      <c r="A964" s="2"/>
      <c r="B964" s="2"/>
      <c r="C964" s="2"/>
      <c r="D964" s="2"/>
      <c r="E964" s="2"/>
      <c r="F964" s="2"/>
      <c r="G964" s="2"/>
      <c r="H964" s="2"/>
      <c r="I964" s="2"/>
      <c r="J964" s="2"/>
      <c r="K964" s="2"/>
      <c r="L964" s="2"/>
      <c r="M964" s="2"/>
      <c r="N964" s="2"/>
      <c r="O964" s="2"/>
      <c r="P964" s="2"/>
      <c r="Q964" s="2"/>
      <c r="R964" s="2"/>
      <c r="S964" s="2"/>
      <c r="T964" s="2"/>
      <c r="U964" s="2"/>
      <c r="V964" s="2"/>
      <c r="W964" s="2"/>
    </row>
    <row r="965">
      <c r="A965" s="2"/>
      <c r="B965" s="2"/>
      <c r="C965" s="2"/>
      <c r="D965" s="2"/>
      <c r="E965" s="2"/>
      <c r="F965" s="2"/>
      <c r="G965" s="2"/>
      <c r="H965" s="2"/>
      <c r="I965" s="2"/>
      <c r="J965" s="2"/>
      <c r="K965" s="2"/>
      <c r="L965" s="2"/>
      <c r="M965" s="2"/>
      <c r="N965" s="2"/>
      <c r="O965" s="2"/>
      <c r="P965" s="2"/>
      <c r="Q965" s="2"/>
      <c r="R965" s="2"/>
      <c r="S965" s="2"/>
      <c r="T965" s="2"/>
      <c r="U965" s="2"/>
      <c r="V965" s="2"/>
      <c r="W965" s="2"/>
    </row>
    <row r="966">
      <c r="A966" s="2"/>
      <c r="B966" s="2"/>
      <c r="C966" s="2"/>
      <c r="D966" s="2"/>
      <c r="E966" s="2"/>
      <c r="F966" s="2"/>
      <c r="G966" s="2"/>
      <c r="H966" s="2"/>
      <c r="I966" s="2"/>
      <c r="J966" s="2"/>
      <c r="K966" s="2"/>
      <c r="L966" s="2"/>
      <c r="M966" s="2"/>
      <c r="N966" s="2"/>
      <c r="O966" s="2"/>
      <c r="P966" s="2"/>
      <c r="Q966" s="2"/>
      <c r="R966" s="2"/>
      <c r="S966" s="2"/>
      <c r="T966" s="2"/>
      <c r="U966" s="2"/>
      <c r="V966" s="2"/>
      <c r="W966" s="2"/>
    </row>
    <row r="967">
      <c r="A967" s="2"/>
      <c r="B967" s="2"/>
      <c r="C967" s="2"/>
      <c r="D967" s="2"/>
      <c r="E967" s="2"/>
      <c r="F967" s="2"/>
      <c r="G967" s="2"/>
      <c r="H967" s="2"/>
      <c r="I967" s="2"/>
      <c r="J967" s="2"/>
      <c r="K967" s="2"/>
      <c r="L967" s="2"/>
      <c r="M967" s="2"/>
      <c r="N967" s="2"/>
      <c r="O967" s="2"/>
      <c r="P967" s="2"/>
      <c r="Q967" s="2"/>
      <c r="R967" s="2"/>
      <c r="S967" s="2"/>
      <c r="T967" s="2"/>
      <c r="U967" s="2"/>
      <c r="V967" s="2"/>
      <c r="W967" s="2"/>
    </row>
    <row r="968">
      <c r="A968" s="2"/>
      <c r="B968" s="2"/>
      <c r="C968" s="2"/>
      <c r="D968" s="2"/>
      <c r="E968" s="2"/>
      <c r="F968" s="2"/>
      <c r="G968" s="2"/>
      <c r="H968" s="2"/>
      <c r="I968" s="2"/>
      <c r="J968" s="2"/>
      <c r="K968" s="2"/>
      <c r="L968" s="2"/>
      <c r="M968" s="2"/>
      <c r="N968" s="2"/>
      <c r="O968" s="2"/>
      <c r="P968" s="2"/>
      <c r="Q968" s="2"/>
      <c r="R968" s="2"/>
      <c r="S968" s="2"/>
      <c r="T968" s="2"/>
      <c r="U968" s="2"/>
      <c r="V968" s="2"/>
      <c r="W968" s="2"/>
    </row>
    <row r="969">
      <c r="A969" s="2"/>
      <c r="B969" s="2"/>
      <c r="C969" s="2"/>
      <c r="D969" s="2"/>
      <c r="E969" s="2"/>
      <c r="F969" s="2"/>
      <c r="G969" s="2"/>
      <c r="H969" s="2"/>
      <c r="I969" s="2"/>
      <c r="J969" s="2"/>
      <c r="K969" s="2"/>
      <c r="L969" s="2"/>
      <c r="M969" s="2"/>
      <c r="N969" s="2"/>
      <c r="O969" s="2"/>
      <c r="P969" s="2"/>
      <c r="Q969" s="2"/>
      <c r="R969" s="2"/>
      <c r="S969" s="2"/>
      <c r="T969" s="2"/>
      <c r="U969" s="2"/>
      <c r="V969" s="2"/>
      <c r="W969" s="2"/>
    </row>
    <row r="970">
      <c r="A970" s="2"/>
      <c r="B970" s="2"/>
      <c r="C970" s="2"/>
      <c r="D970" s="2"/>
      <c r="E970" s="2"/>
      <c r="F970" s="2"/>
      <c r="G970" s="2"/>
      <c r="H970" s="2"/>
      <c r="I970" s="2"/>
      <c r="J970" s="2"/>
      <c r="K970" s="2"/>
      <c r="L970" s="2"/>
      <c r="M970" s="2"/>
      <c r="N970" s="2"/>
      <c r="O970" s="2"/>
      <c r="P970" s="2"/>
      <c r="Q970" s="2"/>
      <c r="R970" s="2"/>
      <c r="S970" s="2"/>
      <c r="T970" s="2"/>
      <c r="U970" s="2"/>
      <c r="V970" s="2"/>
      <c r="W970" s="2"/>
    </row>
    <row r="971">
      <c r="A971" s="2"/>
      <c r="B971" s="2"/>
      <c r="C971" s="2"/>
      <c r="D971" s="2"/>
      <c r="E971" s="2"/>
      <c r="F971" s="2"/>
      <c r="G971" s="2"/>
      <c r="H971" s="2"/>
      <c r="I971" s="2"/>
      <c r="J971" s="2"/>
      <c r="K971" s="2"/>
      <c r="L971" s="2"/>
      <c r="M971" s="2"/>
      <c r="N971" s="2"/>
      <c r="O971" s="2"/>
      <c r="P971" s="2"/>
      <c r="Q971" s="2"/>
      <c r="R971" s="2"/>
      <c r="S971" s="2"/>
      <c r="T971" s="2"/>
      <c r="U971" s="2"/>
      <c r="V971" s="2"/>
      <c r="W971" s="2"/>
    </row>
    <row r="972">
      <c r="A972" s="2"/>
      <c r="B972" s="2"/>
      <c r="C972" s="2"/>
      <c r="D972" s="2"/>
      <c r="E972" s="2"/>
      <c r="F972" s="2"/>
      <c r="G972" s="2"/>
      <c r="H972" s="2"/>
      <c r="I972" s="2"/>
      <c r="J972" s="2"/>
      <c r="K972" s="2"/>
      <c r="L972" s="2"/>
      <c r="M972" s="2"/>
      <c r="N972" s="2"/>
      <c r="O972" s="2"/>
      <c r="P972" s="2"/>
      <c r="Q972" s="2"/>
      <c r="R972" s="2"/>
      <c r="S972" s="2"/>
      <c r="T972" s="2"/>
      <c r="U972" s="2"/>
      <c r="V972" s="2"/>
      <c r="W972" s="2"/>
    </row>
    <row r="973">
      <c r="A973" s="2"/>
      <c r="B973" s="2"/>
      <c r="C973" s="2"/>
      <c r="D973" s="2"/>
      <c r="E973" s="2"/>
      <c r="F973" s="2"/>
      <c r="G973" s="2"/>
      <c r="H973" s="2"/>
      <c r="I973" s="2"/>
      <c r="J973" s="2"/>
      <c r="K973" s="2"/>
      <c r="L973" s="2"/>
      <c r="M973" s="2"/>
      <c r="N973" s="2"/>
      <c r="O973" s="2"/>
      <c r="P973" s="2"/>
      <c r="Q973" s="2"/>
      <c r="R973" s="2"/>
      <c r="S973" s="2"/>
      <c r="T973" s="2"/>
      <c r="U973" s="2"/>
      <c r="V973" s="2"/>
      <c r="W973" s="2"/>
    </row>
    <row r="974">
      <c r="A974" s="2"/>
      <c r="B974" s="2"/>
      <c r="C974" s="2"/>
      <c r="D974" s="2"/>
      <c r="E974" s="2"/>
      <c r="F974" s="2"/>
      <c r="G974" s="2"/>
      <c r="H974" s="2"/>
      <c r="I974" s="2"/>
      <c r="J974" s="2"/>
      <c r="K974" s="2"/>
      <c r="L974" s="2"/>
      <c r="M974" s="2"/>
      <c r="N974" s="2"/>
      <c r="O974" s="2"/>
      <c r="P974" s="2"/>
      <c r="Q974" s="2"/>
      <c r="R974" s="2"/>
      <c r="S974" s="2"/>
      <c r="T974" s="2"/>
      <c r="U974" s="2"/>
      <c r="V974" s="2"/>
      <c r="W974" s="2"/>
    </row>
    <row r="975">
      <c r="A975" s="2"/>
      <c r="B975" s="2"/>
      <c r="C975" s="2"/>
      <c r="D975" s="2"/>
      <c r="E975" s="2"/>
      <c r="F975" s="2"/>
      <c r="G975" s="2"/>
      <c r="H975" s="2"/>
      <c r="I975" s="2"/>
      <c r="J975" s="2"/>
      <c r="K975" s="2"/>
      <c r="L975" s="2"/>
      <c r="M975" s="2"/>
      <c r="N975" s="2"/>
      <c r="O975" s="2"/>
      <c r="P975" s="2"/>
      <c r="Q975" s="2"/>
      <c r="R975" s="2"/>
      <c r="S975" s="2"/>
      <c r="T975" s="2"/>
      <c r="U975" s="2"/>
      <c r="V975" s="2"/>
      <c r="W975" s="2"/>
    </row>
    <row r="976">
      <c r="A976" s="2"/>
      <c r="B976" s="2"/>
      <c r="C976" s="2"/>
      <c r="D976" s="2"/>
      <c r="E976" s="2"/>
      <c r="F976" s="2"/>
      <c r="G976" s="2"/>
      <c r="H976" s="2"/>
      <c r="I976" s="2"/>
      <c r="J976" s="2"/>
      <c r="K976" s="2"/>
      <c r="L976" s="2"/>
      <c r="M976" s="2"/>
      <c r="N976" s="2"/>
      <c r="O976" s="2"/>
      <c r="P976" s="2"/>
      <c r="Q976" s="2"/>
      <c r="R976" s="2"/>
      <c r="S976" s="2"/>
      <c r="T976" s="2"/>
      <c r="U976" s="2"/>
      <c r="V976" s="2"/>
      <c r="W976" s="2"/>
    </row>
    <row r="977">
      <c r="A977" s="2"/>
      <c r="B977" s="2"/>
      <c r="C977" s="2"/>
      <c r="D977" s="2"/>
      <c r="E977" s="2"/>
      <c r="F977" s="2"/>
      <c r="G977" s="2"/>
      <c r="H977" s="2"/>
      <c r="I977" s="2"/>
      <c r="J977" s="2"/>
      <c r="K977" s="2"/>
      <c r="L977" s="2"/>
      <c r="M977" s="2"/>
      <c r="N977" s="2"/>
      <c r="O977" s="2"/>
      <c r="P977" s="2"/>
      <c r="Q977" s="2"/>
      <c r="R977" s="2"/>
      <c r="S977" s="2"/>
      <c r="T977" s="2"/>
      <c r="U977" s="2"/>
      <c r="V977" s="2"/>
      <c r="W977" s="2"/>
    </row>
    <row r="978">
      <c r="A978" s="2"/>
      <c r="B978" s="2"/>
      <c r="C978" s="2"/>
      <c r="D978" s="2"/>
      <c r="E978" s="2"/>
      <c r="F978" s="2"/>
      <c r="G978" s="2"/>
      <c r="H978" s="2"/>
      <c r="I978" s="2"/>
      <c r="J978" s="2"/>
      <c r="K978" s="2"/>
      <c r="L978" s="2"/>
      <c r="M978" s="2"/>
      <c r="N978" s="2"/>
      <c r="O978" s="2"/>
      <c r="P978" s="2"/>
      <c r="Q978" s="2"/>
      <c r="R978" s="2"/>
      <c r="S978" s="2"/>
      <c r="T978" s="2"/>
      <c r="U978" s="2"/>
      <c r="V978" s="2"/>
      <c r="W978" s="2"/>
    </row>
    <row r="979">
      <c r="A979" s="2"/>
      <c r="B979" s="2"/>
      <c r="C979" s="2"/>
      <c r="D979" s="2"/>
      <c r="E979" s="2"/>
      <c r="F979" s="2"/>
      <c r="G979" s="2"/>
      <c r="H979" s="2"/>
      <c r="I979" s="2"/>
      <c r="J979" s="2"/>
      <c r="K979" s="2"/>
      <c r="L979" s="2"/>
      <c r="M979" s="2"/>
      <c r="N979" s="2"/>
      <c r="O979" s="2"/>
      <c r="P979" s="2"/>
      <c r="Q979" s="2"/>
      <c r="R979" s="2"/>
      <c r="S979" s="2"/>
      <c r="T979" s="2"/>
      <c r="U979" s="2"/>
      <c r="V979" s="2"/>
      <c r="W979" s="2"/>
    </row>
    <row r="980">
      <c r="A980" s="2"/>
      <c r="B980" s="2"/>
      <c r="C980" s="2"/>
      <c r="D980" s="2"/>
      <c r="E980" s="2"/>
      <c r="F980" s="2"/>
      <c r="G980" s="2"/>
      <c r="H980" s="2"/>
      <c r="I980" s="2"/>
      <c r="J980" s="2"/>
      <c r="K980" s="2"/>
      <c r="L980" s="2"/>
      <c r="M980" s="2"/>
      <c r="N980" s="2"/>
      <c r="O980" s="2"/>
      <c r="P980" s="2"/>
      <c r="Q980" s="2"/>
      <c r="R980" s="2"/>
      <c r="S980" s="2"/>
      <c r="T980" s="2"/>
      <c r="U980" s="2"/>
      <c r="V980" s="2"/>
      <c r="W980" s="2"/>
    </row>
    <row r="981">
      <c r="A981" s="2"/>
      <c r="B981" s="2"/>
      <c r="C981" s="2"/>
      <c r="D981" s="2"/>
      <c r="E981" s="2"/>
      <c r="F981" s="2"/>
      <c r="G981" s="2"/>
      <c r="H981" s="2"/>
      <c r="I981" s="2"/>
      <c r="J981" s="2"/>
      <c r="K981" s="2"/>
      <c r="L981" s="2"/>
      <c r="M981" s="2"/>
      <c r="N981" s="2"/>
      <c r="O981" s="2"/>
      <c r="P981" s="2"/>
      <c r="Q981" s="2"/>
      <c r="R981" s="2"/>
      <c r="S981" s="2"/>
      <c r="T981" s="2"/>
      <c r="U981" s="2"/>
      <c r="V981" s="2"/>
      <c r="W981" s="2"/>
    </row>
    <row r="982">
      <c r="A982" s="2"/>
      <c r="B982" s="2"/>
      <c r="C982" s="2"/>
      <c r="D982" s="2"/>
      <c r="E982" s="2"/>
      <c r="F982" s="2"/>
      <c r="G982" s="2"/>
      <c r="H982" s="2"/>
      <c r="I982" s="2"/>
      <c r="J982" s="2"/>
      <c r="K982" s="2"/>
      <c r="L982" s="2"/>
      <c r="M982" s="2"/>
      <c r="N982" s="2"/>
      <c r="O982" s="2"/>
      <c r="P982" s="2"/>
      <c r="Q982" s="2"/>
      <c r="R982" s="2"/>
      <c r="S982" s="2"/>
      <c r="T982" s="2"/>
      <c r="U982" s="2"/>
      <c r="V982" s="2"/>
      <c r="W982" s="2"/>
    </row>
    <row r="983">
      <c r="A983" s="2"/>
      <c r="B983" s="2"/>
      <c r="C983" s="2"/>
      <c r="D983" s="2"/>
      <c r="E983" s="2"/>
      <c r="F983" s="2"/>
      <c r="G983" s="2"/>
      <c r="H983" s="2"/>
      <c r="I983" s="2"/>
      <c r="J983" s="2"/>
      <c r="K983" s="2"/>
      <c r="L983" s="2"/>
      <c r="M983" s="2"/>
      <c r="N983" s="2"/>
      <c r="O983" s="2"/>
      <c r="P983" s="2"/>
      <c r="Q983" s="2"/>
      <c r="R983" s="2"/>
      <c r="S983" s="2"/>
      <c r="T983" s="2"/>
      <c r="U983" s="2"/>
      <c r="V983" s="2"/>
      <c r="W983" s="2"/>
    </row>
    <row r="984">
      <c r="A984" s="2"/>
      <c r="B984" s="2"/>
      <c r="C984" s="2"/>
      <c r="D984" s="2"/>
      <c r="E984" s="2"/>
      <c r="F984" s="2"/>
      <c r="G984" s="2"/>
      <c r="H984" s="2"/>
      <c r="I984" s="2"/>
      <c r="J984" s="2"/>
      <c r="K984" s="2"/>
      <c r="L984" s="2"/>
      <c r="M984" s="2"/>
      <c r="N984" s="2"/>
      <c r="O984" s="2"/>
      <c r="P984" s="2"/>
      <c r="Q984" s="2"/>
      <c r="R984" s="2"/>
      <c r="S984" s="2"/>
      <c r="T984" s="2"/>
      <c r="U984" s="2"/>
      <c r="V984" s="2"/>
      <c r="W984" s="2"/>
    </row>
    <row r="985">
      <c r="A985" s="2"/>
      <c r="B985" s="2"/>
      <c r="C985" s="2"/>
      <c r="D985" s="2"/>
      <c r="E985" s="2"/>
      <c r="F985" s="2"/>
      <c r="G985" s="2"/>
      <c r="H985" s="2"/>
      <c r="I985" s="2"/>
      <c r="J985" s="2"/>
      <c r="K985" s="2"/>
      <c r="L985" s="2"/>
      <c r="M985" s="2"/>
      <c r="N985" s="2"/>
      <c r="O985" s="2"/>
      <c r="P985" s="2"/>
      <c r="Q985" s="2"/>
      <c r="R985" s="2"/>
      <c r="S985" s="2"/>
      <c r="T985" s="2"/>
      <c r="U985" s="2"/>
      <c r="V985" s="2"/>
      <c r="W985" s="2"/>
    </row>
    <row r="986">
      <c r="A986" s="2"/>
      <c r="B986" s="2"/>
      <c r="C986" s="2"/>
      <c r="D986" s="2"/>
      <c r="E986" s="2"/>
      <c r="F986" s="2"/>
      <c r="G986" s="2"/>
      <c r="H986" s="2"/>
      <c r="I986" s="2"/>
      <c r="J986" s="2"/>
      <c r="K986" s="2"/>
      <c r="L986" s="2"/>
      <c r="M986" s="2"/>
      <c r="N986" s="2"/>
      <c r="O986" s="2"/>
      <c r="P986" s="2"/>
      <c r="Q986" s="2"/>
      <c r="R986" s="2"/>
      <c r="S986" s="2"/>
      <c r="T986" s="2"/>
      <c r="U986" s="2"/>
      <c r="V986" s="2"/>
      <c r="W986" s="2"/>
    </row>
    <row r="987">
      <c r="A987" s="2"/>
      <c r="B987" s="2"/>
      <c r="C987" s="2"/>
      <c r="D987" s="2"/>
      <c r="E987" s="2"/>
      <c r="F987" s="2"/>
      <c r="G987" s="2"/>
      <c r="H987" s="2"/>
      <c r="I987" s="2"/>
      <c r="J987" s="2"/>
      <c r="K987" s="2"/>
      <c r="L987" s="2"/>
      <c r="M987" s="2"/>
      <c r="N987" s="2"/>
      <c r="O987" s="2"/>
      <c r="P987" s="2"/>
      <c r="Q987" s="2"/>
      <c r="R987" s="2"/>
      <c r="S987" s="2"/>
      <c r="T987" s="2"/>
      <c r="U987" s="2"/>
      <c r="V987" s="2"/>
      <c r="W987" s="2"/>
    </row>
    <row r="988">
      <c r="A988" s="2"/>
      <c r="B988" s="2"/>
      <c r="C988" s="2"/>
      <c r="D988" s="2"/>
      <c r="E988" s="2"/>
      <c r="F988" s="2"/>
      <c r="G988" s="2"/>
      <c r="H988" s="2"/>
      <c r="I988" s="2"/>
      <c r="J988" s="2"/>
      <c r="K988" s="2"/>
      <c r="L988" s="2"/>
      <c r="M988" s="2"/>
      <c r="N988" s="2"/>
      <c r="O988" s="2"/>
      <c r="P988" s="2"/>
      <c r="Q988" s="2"/>
      <c r="R988" s="2"/>
      <c r="S988" s="2"/>
      <c r="T988" s="2"/>
      <c r="U988" s="2"/>
      <c r="V988" s="2"/>
      <c r="W988" s="2"/>
    </row>
    <row r="989">
      <c r="A989" s="2"/>
      <c r="B989" s="2"/>
      <c r="C989" s="2"/>
      <c r="D989" s="2"/>
      <c r="E989" s="2"/>
      <c r="F989" s="2"/>
      <c r="G989" s="2"/>
      <c r="H989" s="2"/>
      <c r="I989" s="2"/>
      <c r="J989" s="2"/>
      <c r="K989" s="2"/>
      <c r="L989" s="2"/>
      <c r="M989" s="2"/>
      <c r="N989" s="2"/>
      <c r="O989" s="2"/>
      <c r="P989" s="2"/>
      <c r="Q989" s="2"/>
      <c r="R989" s="2"/>
      <c r="S989" s="2"/>
      <c r="T989" s="2"/>
      <c r="U989" s="2"/>
      <c r="V989" s="2"/>
      <c r="W989" s="2"/>
    </row>
    <row r="990">
      <c r="A990" s="2"/>
      <c r="B990" s="2"/>
      <c r="C990" s="2"/>
      <c r="D990" s="2"/>
      <c r="E990" s="2"/>
      <c r="F990" s="2"/>
      <c r="G990" s="2"/>
      <c r="H990" s="2"/>
      <c r="I990" s="2"/>
      <c r="J990" s="2"/>
      <c r="K990" s="2"/>
      <c r="L990" s="2"/>
      <c r="M990" s="2"/>
      <c r="N990" s="2"/>
      <c r="O990" s="2"/>
      <c r="P990" s="2"/>
      <c r="Q990" s="2"/>
      <c r="R990" s="2"/>
      <c r="S990" s="2"/>
      <c r="T990" s="2"/>
      <c r="U990" s="2"/>
      <c r="V990" s="2"/>
      <c r="W990" s="2"/>
    </row>
    <row r="991">
      <c r="A991" s="2"/>
      <c r="B991" s="2"/>
      <c r="C991" s="2"/>
      <c r="D991" s="2"/>
      <c r="E991" s="2"/>
      <c r="F991" s="2"/>
      <c r="G991" s="2"/>
      <c r="H991" s="2"/>
      <c r="I991" s="2"/>
      <c r="J991" s="2"/>
      <c r="K991" s="2"/>
      <c r="L991" s="2"/>
      <c r="M991" s="2"/>
      <c r="N991" s="2"/>
      <c r="O991" s="2"/>
      <c r="P991" s="2"/>
      <c r="Q991" s="2"/>
      <c r="R991" s="2"/>
      <c r="S991" s="2"/>
      <c r="T991" s="2"/>
      <c r="U991" s="2"/>
      <c r="V991" s="2"/>
      <c r="W991" s="2"/>
    </row>
    <row r="992">
      <c r="A992" s="2"/>
      <c r="B992" s="2"/>
      <c r="C992" s="2"/>
      <c r="D992" s="2"/>
      <c r="E992" s="2"/>
      <c r="F992" s="2"/>
      <c r="G992" s="2"/>
      <c r="H992" s="2"/>
      <c r="I992" s="2"/>
      <c r="J992" s="2"/>
      <c r="K992" s="2"/>
      <c r="L992" s="2"/>
      <c r="M992" s="2"/>
      <c r="N992" s="2"/>
      <c r="O992" s="2"/>
      <c r="P992" s="2"/>
      <c r="Q992" s="2"/>
      <c r="R992" s="2"/>
      <c r="S992" s="2"/>
      <c r="T992" s="2"/>
      <c r="U992" s="2"/>
      <c r="V992" s="2"/>
      <c r="W992" s="2"/>
    </row>
    <row r="993">
      <c r="A993" s="2"/>
      <c r="B993" s="2"/>
      <c r="C993" s="2"/>
      <c r="D993" s="2"/>
      <c r="E993" s="2"/>
      <c r="F993" s="2"/>
      <c r="G993" s="2"/>
      <c r="H993" s="2"/>
      <c r="I993" s="2"/>
      <c r="J993" s="2"/>
      <c r="K993" s="2"/>
      <c r="L993" s="2"/>
      <c r="M993" s="2"/>
      <c r="N993" s="2"/>
      <c r="O993" s="2"/>
      <c r="P993" s="2"/>
      <c r="Q993" s="2"/>
      <c r="R993" s="2"/>
      <c r="S993" s="2"/>
      <c r="T993" s="2"/>
      <c r="U993" s="2"/>
      <c r="V993" s="2"/>
      <c r="W993" s="2"/>
    </row>
    <row r="994">
      <c r="A994" s="2"/>
      <c r="B994" s="2"/>
      <c r="C994" s="2"/>
      <c r="D994" s="2"/>
      <c r="E994" s="2"/>
      <c r="F994" s="2"/>
      <c r="G994" s="2"/>
      <c r="H994" s="2"/>
      <c r="I994" s="2"/>
      <c r="J994" s="2"/>
      <c r="K994" s="2"/>
      <c r="L994" s="2"/>
      <c r="M994" s="2"/>
      <c r="N994" s="2"/>
      <c r="O994" s="2"/>
      <c r="P994" s="2"/>
      <c r="Q994" s="2"/>
      <c r="R994" s="2"/>
      <c r="S994" s="2"/>
      <c r="T994" s="2"/>
      <c r="U994" s="2"/>
      <c r="V994" s="2"/>
      <c r="W994" s="2"/>
    </row>
    <row r="995">
      <c r="A995" s="2"/>
      <c r="B995" s="2"/>
      <c r="C995" s="2"/>
      <c r="D995" s="2"/>
      <c r="E995" s="2"/>
      <c r="F995" s="2"/>
      <c r="G995" s="2"/>
      <c r="H995" s="2"/>
      <c r="I995" s="2"/>
      <c r="J995" s="2"/>
      <c r="K995" s="2"/>
      <c r="L995" s="2"/>
      <c r="M995" s="2"/>
      <c r="N995" s="2"/>
      <c r="O995" s="2"/>
      <c r="P995" s="2"/>
      <c r="Q995" s="2"/>
      <c r="R995" s="2"/>
      <c r="S995" s="2"/>
      <c r="T995" s="2"/>
      <c r="U995" s="2"/>
      <c r="V995" s="2"/>
      <c r="W995" s="2"/>
    </row>
    <row r="996">
      <c r="A996" s="2"/>
      <c r="B996" s="2"/>
      <c r="C996" s="2"/>
      <c r="D996" s="2"/>
      <c r="E996" s="2"/>
      <c r="F996" s="2"/>
      <c r="G996" s="2"/>
      <c r="H996" s="2"/>
      <c r="I996" s="2"/>
      <c r="J996" s="2"/>
      <c r="K996" s="2"/>
      <c r="L996" s="2"/>
      <c r="M996" s="2"/>
      <c r="N996" s="2"/>
      <c r="O996" s="2"/>
      <c r="P996" s="2"/>
      <c r="Q996" s="2"/>
      <c r="R996" s="2"/>
      <c r="S996" s="2"/>
      <c r="T996" s="2"/>
      <c r="U996" s="2"/>
      <c r="V996" s="2"/>
      <c r="W996" s="2"/>
    </row>
    <row r="997">
      <c r="A997" s="2"/>
      <c r="B997" s="2"/>
      <c r="C997" s="2"/>
      <c r="D997" s="2"/>
      <c r="E997" s="2"/>
      <c r="F997" s="2"/>
      <c r="G997" s="2"/>
      <c r="H997" s="2"/>
      <c r="I997" s="2"/>
      <c r="J997" s="2"/>
      <c r="K997" s="2"/>
      <c r="L997" s="2"/>
      <c r="M997" s="2"/>
      <c r="N997" s="2"/>
      <c r="O997" s="2"/>
      <c r="P997" s="2"/>
      <c r="Q997" s="2"/>
      <c r="R997" s="2"/>
      <c r="S997" s="2"/>
      <c r="T997" s="2"/>
      <c r="U997" s="2"/>
      <c r="V997" s="2"/>
      <c r="W997" s="2"/>
    </row>
    <row r="998">
      <c r="A998" s="2"/>
      <c r="B998" s="2"/>
      <c r="C998" s="2"/>
      <c r="D998" s="2"/>
      <c r="E998" s="2"/>
      <c r="F998" s="2"/>
      <c r="G998" s="2"/>
      <c r="H998" s="2"/>
      <c r="I998" s="2"/>
      <c r="J998" s="2"/>
      <c r="K998" s="2"/>
      <c r="L998" s="2"/>
      <c r="M998" s="2"/>
      <c r="N998" s="2"/>
      <c r="O998" s="2"/>
      <c r="P998" s="2"/>
      <c r="Q998" s="2"/>
      <c r="R998" s="2"/>
      <c r="S998" s="2"/>
      <c r="T998" s="2"/>
      <c r="U998" s="2"/>
      <c r="V998" s="2"/>
      <c r="W998" s="2"/>
    </row>
    <row r="999">
      <c r="A999" s="2"/>
      <c r="B999" s="2"/>
      <c r="C999" s="2"/>
      <c r="D999" s="2"/>
      <c r="E999" s="2"/>
      <c r="F999" s="2"/>
      <c r="G999" s="2"/>
      <c r="H999" s="2"/>
      <c r="I999" s="2"/>
      <c r="J999" s="2"/>
      <c r="K999" s="2"/>
      <c r="L999" s="2"/>
      <c r="M999" s="2"/>
      <c r="N999" s="2"/>
      <c r="O999" s="2"/>
      <c r="P999" s="2"/>
      <c r="Q999" s="2"/>
      <c r="R999" s="2"/>
      <c r="S999" s="2"/>
      <c r="T999" s="2"/>
      <c r="U999" s="2"/>
      <c r="V999" s="2"/>
      <c r="W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row>
  </sheetData>
  <drawing r:id="rId1"/>
  <tableParts count="2">
    <tablePart r:id="rId4"/>
    <tablePart r:id="rId5"/>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ht="22.5" customHeight="1">
      <c r="A1" s="1" t="s">
        <v>0</v>
      </c>
      <c r="B1" s="1" t="s">
        <v>1</v>
      </c>
      <c r="C1" s="1" t="s">
        <v>2</v>
      </c>
      <c r="D1" s="1" t="s">
        <v>1702</v>
      </c>
      <c r="E1" s="1" t="s">
        <v>577</v>
      </c>
      <c r="F1" s="2"/>
      <c r="G1" s="1" t="s">
        <v>0</v>
      </c>
      <c r="H1" s="1" t="s">
        <v>5</v>
      </c>
      <c r="I1" s="1" t="s">
        <v>6</v>
      </c>
      <c r="J1" s="1" t="s">
        <v>7</v>
      </c>
      <c r="K1" s="1" t="s">
        <v>4</v>
      </c>
      <c r="L1" s="2"/>
      <c r="M1" s="2"/>
      <c r="N1" s="2"/>
      <c r="O1" s="2"/>
      <c r="P1" s="2"/>
      <c r="Q1" s="2"/>
      <c r="R1" s="2"/>
      <c r="S1" s="2"/>
      <c r="T1" s="2"/>
      <c r="U1" s="2"/>
      <c r="V1" s="2"/>
      <c r="W1" s="2"/>
    </row>
    <row r="2" ht="22.5" customHeight="1">
      <c r="A2" s="3">
        <v>1.0</v>
      </c>
      <c r="B2" s="3" t="s">
        <v>1703</v>
      </c>
      <c r="C2" s="3" t="s">
        <v>1704</v>
      </c>
      <c r="D2" s="3" t="s">
        <v>1705</v>
      </c>
      <c r="E2" s="3" t="s">
        <v>1706</v>
      </c>
      <c r="F2" s="2"/>
      <c r="G2" s="3" t="str">
        <f>IFERROR(__xludf.DUMMYFUNCTION("GOOGLETRANSLATE(A2, ""it"", ""en"")"),"1")</f>
        <v>1</v>
      </c>
      <c r="H2" s="3" t="str">
        <f>IFERROR(__xludf.DUMMYFUNCTION("GOOGLETRANSLATE(B2, ""it"", ""en"")"),"What is the main objective of the Palio di Siena?")</f>
        <v>What is the main objective of the Palio di Siena?</v>
      </c>
      <c r="I2" s="3" t="str">
        <f>IFERROR(__xludf.DUMMYFUNCTION("GOOGLETRANSLATE(C2, ""it"", ""en"")"),"A. Win the most laps B. Win the first lap C. Win the race by completing three laps D. Win by remaining last in the field")</f>
        <v>A. Win the most laps B. Win the first lap C. Win the race by completing three laps D. Win by remaining last in the field</v>
      </c>
      <c r="J2" s="3" t="str">
        <f>IFERROR(__xludf.DUMMYFUNCTION("GOOGLETRANSLATE(D2, ""it"", ""en"")"),"Win the race by completing three laps")</f>
        <v>Win the race by completing three laps</v>
      </c>
      <c r="K2" s="3" t="str">
        <f>IFERROR(__xludf.DUMMYFUNCTION("GOOGLETRANSLATE(E2, ""it"", ""en"")"),"The Palio is won by the horse that completes three laps of the square first.")</f>
        <v>The Palio is won by the horse that completes three laps of the square first.</v>
      </c>
      <c r="L2" s="2"/>
      <c r="M2" s="2"/>
      <c r="N2" s="2"/>
      <c r="O2" s="2"/>
      <c r="P2" s="2"/>
      <c r="Q2" s="2"/>
      <c r="R2" s="2"/>
      <c r="S2" s="2"/>
      <c r="T2" s="2"/>
      <c r="U2" s="2"/>
      <c r="V2" s="2"/>
      <c r="W2" s="2"/>
    </row>
    <row r="3" ht="22.5" customHeight="1">
      <c r="A3" s="3">
        <v>2.0</v>
      </c>
      <c r="B3" s="3" t="s">
        <v>1707</v>
      </c>
      <c r="C3" s="3" t="s">
        <v>1708</v>
      </c>
      <c r="D3" s="3">
        <v>10.0</v>
      </c>
      <c r="E3" s="3" t="s">
        <v>1709</v>
      </c>
      <c r="F3" s="2"/>
      <c r="G3" s="3" t="str">
        <f>IFERROR(__xludf.DUMMYFUNCTION("GOOGLETRANSLATE(A3, ""it"", ""en"")"),"2")</f>
        <v>2</v>
      </c>
      <c r="H3" s="3" t="str">
        <f>IFERROR(__xludf.DUMMYFUNCTION("GOOGLETRANSLATE(B3, ""it"", ""en"")"),"How many districts participate in the Palio?")</f>
        <v>How many districts participate in the Palio?</v>
      </c>
      <c r="I3" s="3" t="str">
        <f>IFERROR(__xludf.DUMMYFUNCTION("GOOGLETRANSLATE(C3, ""it"", ""en"")"),"A. 7 B. 10 C. 12 D. 17")</f>
        <v>A. 7 B. 10 C. 12 D. 17</v>
      </c>
      <c r="J3" s="3" t="str">
        <f>IFERROR(__xludf.DUMMYFUNCTION("GOOGLETRANSLATE(D3, ""it"", ""en"")"),"10")</f>
        <v>10</v>
      </c>
      <c r="K3" s="3" t="str">
        <f>IFERROR(__xludf.DUMMYFUNCTION("GOOGLETRANSLATE(E3, ""it"", ""en"")"),"The ten districts participate in the Palio")</f>
        <v>The ten districts participate in the Palio</v>
      </c>
      <c r="L3" s="2"/>
      <c r="M3" s="2"/>
      <c r="N3" s="2"/>
      <c r="O3" s="2"/>
      <c r="P3" s="2"/>
      <c r="Q3" s="2"/>
      <c r="R3" s="2"/>
      <c r="S3" s="2"/>
      <c r="T3" s="2"/>
      <c r="U3" s="2"/>
      <c r="V3" s="2"/>
      <c r="W3" s="2"/>
    </row>
    <row r="4" ht="22.5" customHeight="1">
      <c r="A4" s="3">
        <v>3.0</v>
      </c>
      <c r="B4" s="3" t="s">
        <v>1710</v>
      </c>
      <c r="C4" s="3" t="s">
        <v>1711</v>
      </c>
      <c r="D4" s="3" t="s">
        <v>1712</v>
      </c>
      <c r="E4" s="3" t="s">
        <v>1713</v>
      </c>
      <c r="F4" s="2"/>
      <c r="G4" s="3" t="str">
        <f>IFERROR(__xludf.DUMMYFUNCTION("GOOGLETRANSLATE(A4, ""it"", ""en"")"),"3")</f>
        <v>3</v>
      </c>
      <c r="H4" s="3" t="str">
        <f>IFERROR(__xludf.DUMMYFUNCTION("GOOGLETRANSLATE(B4, ""it"", ""en"")"),"Where does the Palio di Siena take place?")</f>
        <v>Where does the Palio di Siena take place?</v>
      </c>
      <c r="I4" s="3" t="str">
        <f>IFERROR(__xludf.DUMMYFUNCTION("GOOGLETRANSLATE(C4, ""it"", ""en"")"),"A. In the Piazza del Campo B. In the Piazza della Repubblica C. In the Piazza San Marco D. In the Colosseum")</f>
        <v>A. In the Piazza del Campo B. In the Piazza della Repubblica C. In the Piazza San Marco D. In the Colosseum</v>
      </c>
      <c r="J4" s="3" t="str">
        <f>IFERROR(__xludf.DUMMYFUNCTION("GOOGLETRANSLATE(D4, ""it"", ""en"")"),"In the Piazza del Campo")</f>
        <v>In the Piazza del Campo</v>
      </c>
      <c r="K4" s="3" t="str">
        <f>IFERROR(__xludf.DUMMYFUNCTION("GOOGLETRANSLATE(E4, ""it"", ""en"")"),"The Palio takes place in Siena's historic Piazza del Campo.")</f>
        <v>The Palio takes place in Siena's historic Piazza del Campo.</v>
      </c>
      <c r="L4" s="2"/>
      <c r="M4" s="2"/>
      <c r="N4" s="2"/>
      <c r="O4" s="2"/>
      <c r="P4" s="2"/>
      <c r="Q4" s="2"/>
      <c r="R4" s="2"/>
      <c r="S4" s="2"/>
      <c r="T4" s="2"/>
      <c r="U4" s="2"/>
      <c r="V4" s="2"/>
      <c r="W4" s="2"/>
    </row>
    <row r="5" ht="22.5" customHeight="1">
      <c r="A5" s="3">
        <v>4.0</v>
      </c>
      <c r="B5" s="3" t="s">
        <v>1714</v>
      </c>
      <c r="C5" s="3" t="s">
        <v>1715</v>
      </c>
      <c r="D5" s="3" t="s">
        <v>1716</v>
      </c>
      <c r="E5" s="3" t="s">
        <v>1717</v>
      </c>
      <c r="F5" s="2"/>
      <c r="G5" s="3" t="str">
        <f>IFERROR(__xludf.DUMMYFUNCTION("GOOGLETRANSLATE(A5, ""it"", ""en"")"),"4")</f>
        <v>4</v>
      </c>
      <c r="H5" s="3" t="str">
        <f>IFERROR(__xludf.DUMMYFUNCTION("GOOGLETRANSLATE(B5, ""it"", ""en"")"),"How many Palios are held each year?")</f>
        <v>How many Palios are held each year?</v>
      </c>
      <c r="I5" s="3" t="str">
        <f>IFERROR(__xludf.DUMMYFUNCTION("GOOGLETRANSLATE(C5, ""it"", ""en"")"),"A. One B. Two C. Three D. Four")</f>
        <v>A. One B. Two C. Three D. Four</v>
      </c>
      <c r="J5" s="3" t="str">
        <f>IFERROR(__xludf.DUMMYFUNCTION("GOOGLETRANSLATE(D5, ""it"", ""en"")"),"Two")</f>
        <v>Two</v>
      </c>
      <c r="K5" s="3" t="str">
        <f>IFERROR(__xludf.DUMMYFUNCTION("GOOGLETRANSLATE(E5, ""it"", ""en"")"),"Two Palios are held each year: on July 2nd and August 16th.")</f>
        <v>Two Palios are held each year: on July 2nd and August 16th.</v>
      </c>
      <c r="L5" s="2"/>
      <c r="M5" s="2"/>
      <c r="N5" s="2"/>
      <c r="O5" s="2"/>
      <c r="P5" s="2"/>
      <c r="Q5" s="2"/>
      <c r="R5" s="2"/>
      <c r="S5" s="2"/>
      <c r="T5" s="2"/>
      <c r="U5" s="2"/>
      <c r="V5" s="2"/>
      <c r="W5" s="2"/>
    </row>
    <row r="6" ht="22.5" customHeight="1">
      <c r="A6" s="3">
        <v>5.0</v>
      </c>
      <c r="B6" s="3" t="s">
        <v>1718</v>
      </c>
      <c r="C6" s="3" t="s">
        <v>1719</v>
      </c>
      <c r="D6" s="3" t="s">
        <v>1720</v>
      </c>
      <c r="E6" s="3" t="s">
        <v>1721</v>
      </c>
      <c r="F6" s="2"/>
      <c r="G6" s="3" t="str">
        <f>IFERROR(__xludf.DUMMYFUNCTION("GOOGLETRANSLATE(A6, ""it"", ""en"")"),"5")</f>
        <v>5</v>
      </c>
      <c r="H6" s="3" t="str">
        <f>IFERROR(__xludf.DUMMYFUNCTION("GOOGLETRANSLATE(B6, ""it"", ""en"")"),"What do the contrade represent in the Palio?")</f>
        <v>What do the contrade represent in the Palio?</v>
      </c>
      <c r="I6" s="3" t="str">
        <f>IFERROR(__xludf.DUMMYFUNCTION("GOOGLETRANSLATE(C6, ""it"", ""en"")"),"A. Noble families B. Districts of Siena C. Military schools D. Maritime republics")</f>
        <v>A. Noble families B. Districts of Siena C. Military schools D. Maritime republics</v>
      </c>
      <c r="J6" s="3" t="str">
        <f>IFERROR(__xludf.DUMMYFUNCTION("GOOGLETRANSLATE(D6, ""it"", ""en"")"),"Neighborhoods of Siena")</f>
        <v>Neighborhoods of Siena</v>
      </c>
      <c r="K6" s="3" t="str">
        <f>IFERROR(__xludf.DUMMYFUNCTION("GOOGLETRANSLATE(E6, ""it"", ""en"")"),"The contrade represent the historic neighborhoods of Siena.")</f>
        <v>The contrade represent the historic neighborhoods of Siena.</v>
      </c>
      <c r="L6" s="2"/>
      <c r="M6" s="2"/>
      <c r="N6" s="2"/>
      <c r="O6" s="2"/>
      <c r="P6" s="2"/>
      <c r="Q6" s="2"/>
      <c r="R6" s="2"/>
      <c r="S6" s="2"/>
      <c r="T6" s="2"/>
      <c r="U6" s="2"/>
      <c r="V6" s="2"/>
      <c r="W6" s="2"/>
    </row>
    <row r="7" ht="22.5" customHeight="1">
      <c r="A7" s="3">
        <v>6.0</v>
      </c>
      <c r="B7" s="3" t="s">
        <v>1722</v>
      </c>
      <c r="C7" s="3" t="s">
        <v>1723</v>
      </c>
      <c r="D7" s="3" t="s">
        <v>1724</v>
      </c>
      <c r="E7" s="3" t="s">
        <v>1725</v>
      </c>
      <c r="F7" s="2"/>
      <c r="G7" s="3" t="str">
        <f>IFERROR(__xludf.DUMMYFUNCTION("GOOGLETRANSLATE(A7, ""it"", ""en"")"),"6")</f>
        <v>6</v>
      </c>
      <c r="H7" s="3" t="str">
        <f>IFERROR(__xludf.DUMMYFUNCTION("GOOGLETRANSLATE(B7, ""it"", ""en"")"),"What is the name of the riderless horse that wins the Palio?")</f>
        <v>What is the name of the riderless horse that wins the Palio?</v>
      </c>
      <c r="I7" s="3" t="str">
        <f>IFERROR(__xludf.DUMMYFUNCTION("GOOGLETRANSLATE(C7, ""it"", ""en"")"),"A. Loose horse B. Shaken horse C. Loose horse D. Injured horse")</f>
        <v>A. Loose horse B. Shaken horse C. Loose horse D. Injured horse</v>
      </c>
      <c r="J7" s="3" t="str">
        <f>IFERROR(__xludf.DUMMYFUNCTION("GOOGLETRANSLATE(D7, ""it"", ""en"")"),"Shaken horse")</f>
        <v>Shaken horse</v>
      </c>
      <c r="K7" s="3" t="str">
        <f>IFERROR(__xludf.DUMMYFUNCTION("GOOGLETRANSLATE(E7, ""it"", ""en"")"),"Even a riderless horse can win if it finishes first.")</f>
        <v>Even a riderless horse can win if it finishes first.</v>
      </c>
      <c r="L7" s="2"/>
      <c r="M7" s="2"/>
      <c r="N7" s="2"/>
      <c r="O7" s="2"/>
      <c r="P7" s="2"/>
      <c r="Q7" s="2"/>
      <c r="R7" s="2"/>
      <c r="S7" s="2"/>
      <c r="T7" s="2"/>
      <c r="U7" s="2"/>
      <c r="V7" s="2"/>
      <c r="W7" s="2"/>
    </row>
    <row r="8" ht="22.5" customHeight="1">
      <c r="A8" s="3">
        <v>7.0</v>
      </c>
      <c r="B8" s="3" t="s">
        <v>1726</v>
      </c>
      <c r="C8" s="3" t="s">
        <v>1727</v>
      </c>
      <c r="D8" s="3" t="s">
        <v>1728</v>
      </c>
      <c r="E8" s="3" t="s">
        <v>1729</v>
      </c>
      <c r="F8" s="2"/>
      <c r="G8" s="3" t="str">
        <f>IFERROR(__xludf.DUMMYFUNCTION("GOOGLETRANSLATE(A8, ""it"", ""en"")"),"7")</f>
        <v>7</v>
      </c>
      <c r="H8" s="3" t="str">
        <f>IFERROR(__xludf.DUMMYFUNCTION("GOOGLETRANSLATE(B8, ""it"", ""en"")"),"What is the name of the ceremony that assigns the horses to the districts?")</f>
        <v>What is the name of the ceremony that assigns the horses to the districts?</v>
      </c>
      <c r="I8" s="3" t="str">
        <f>IFERROR(__xludf.DUMMYFUNCTION("GOOGLETRANSLATE(C8, ""it"", ""en"")"),"A. Route B. Joust C. Preliminary race D. Draw")</f>
        <v>A. Route B. Joust C. Preliminary race D. Draw</v>
      </c>
      <c r="J8" s="3" t="str">
        <f>IFERROR(__xludf.DUMMYFUNCTION("GOOGLETRANSLATE(D8, ""it"", ""en"")"),"Deals with")</f>
        <v>Deals with</v>
      </c>
      <c r="K8" s="3" t="str">
        <f>IFERROR(__xludf.DUMMYFUNCTION("GOOGLETRANSLATE(E8, ""it"", ""en"")"),"The Tratta is the official ceremony for assigning the horses.")</f>
        <v>The Tratta is the official ceremony for assigning the horses.</v>
      </c>
      <c r="L8" s="2"/>
      <c r="M8" s="2"/>
      <c r="N8" s="2"/>
      <c r="O8" s="2"/>
      <c r="P8" s="2"/>
      <c r="Q8" s="2"/>
      <c r="R8" s="2"/>
      <c r="S8" s="2"/>
      <c r="T8" s="2"/>
      <c r="U8" s="2"/>
      <c r="V8" s="2"/>
      <c r="W8" s="2"/>
    </row>
    <row r="9" ht="22.5" customHeight="1">
      <c r="A9" s="3">
        <v>8.0</v>
      </c>
      <c r="B9" s="3" t="s">
        <v>1730</v>
      </c>
      <c r="C9" s="3" t="s">
        <v>1731</v>
      </c>
      <c r="D9" s="3" t="s">
        <v>1732</v>
      </c>
      <c r="E9" s="3" t="s">
        <v>1733</v>
      </c>
      <c r="F9" s="2"/>
      <c r="G9" s="3" t="str">
        <f>IFERROR(__xludf.DUMMYFUNCTION("GOOGLETRANSLATE(A9, ""it"", ""en"")"),"8")</f>
        <v>8</v>
      </c>
      <c r="H9" s="3" t="str">
        <f>IFERROR(__xludf.DUMMYFUNCTION("GOOGLETRANSLATE(B9, ""it"", ""en"")"),"How many rehearsals are held before the main race?")</f>
        <v>How many rehearsals are held before the main race?</v>
      </c>
      <c r="I9" s="3" t="str">
        <f>IFERROR(__xludf.DUMMYFUNCTION("GOOGLETRANSLATE(C9, ""it"", ""en"")"),"A. Two B. Four C. Six D. Eight")</f>
        <v>A. Two B. Four C. Six D. Eight</v>
      </c>
      <c r="J9" s="3" t="str">
        <f>IFERROR(__xludf.DUMMYFUNCTION("GOOGLETRANSLATE(D9, ""it"", ""en"")"),"Six")</f>
        <v>Six</v>
      </c>
      <c r="K9" s="3" t="str">
        <f>IFERROR(__xludf.DUMMYFUNCTION("GOOGLETRANSLATE(E9, ""it"", ""en"")"),"Six trials are held before the final race.")</f>
        <v>Six trials are held before the final race.</v>
      </c>
      <c r="L9" s="2"/>
      <c r="M9" s="2"/>
      <c r="N9" s="2"/>
      <c r="O9" s="2"/>
      <c r="P9" s="2"/>
      <c r="Q9" s="2"/>
      <c r="R9" s="2"/>
      <c r="S9" s="2"/>
      <c r="T9" s="2"/>
      <c r="U9" s="2"/>
      <c r="V9" s="2"/>
      <c r="W9" s="2"/>
    </row>
    <row r="10" ht="22.5" customHeight="1">
      <c r="A10" s="3">
        <v>9.0</v>
      </c>
      <c r="B10" s="3" t="s">
        <v>1734</v>
      </c>
      <c r="C10" s="3" t="s">
        <v>1735</v>
      </c>
      <c r="D10" s="3" t="s">
        <v>1736</v>
      </c>
      <c r="E10" s="3" t="s">
        <v>1737</v>
      </c>
      <c r="F10" s="2"/>
      <c r="G10" s="3" t="str">
        <f>IFERROR(__xludf.DUMMYFUNCTION("GOOGLETRANSLATE(A10, ""it"", ""en"")"),"9")</f>
        <v>9</v>
      </c>
      <c r="H10" s="3" t="str">
        <f>IFERROR(__xludf.DUMMYFUNCTION("GOOGLETRANSLATE(B10, ""it"", ""en"")"),"Who is the starter?")</f>
        <v>Who is the starter?</v>
      </c>
      <c r="I10" s="3" t="str">
        <f>IFERROR(__xludf.DUMMYFUNCTION("GOOGLETRANSLATE(C10, ""it"", ""en"")"),"A. The race referee B. The oldest jockey C. A representative of the districts D. The winning rider")</f>
        <v>A. The race referee B. The oldest jockey C. A representative of the districts D. The winning rider</v>
      </c>
      <c r="J10" s="3" t="str">
        <f>IFERROR(__xludf.DUMMYFUNCTION("GOOGLETRANSLATE(D10, ""it"", ""en"")"),"The race referee")</f>
        <v>The race referee</v>
      </c>
      <c r="K10" s="3" t="str">
        <f>IFERROR(__xludf.DUMMYFUNCTION("GOOGLETRANSLATE(E10, ""it"", ""en"")"),"The starter controls the start and starts the race.")</f>
        <v>The starter controls the start and starts the race.</v>
      </c>
      <c r="L10" s="2"/>
      <c r="M10" s="2"/>
      <c r="N10" s="2"/>
      <c r="O10" s="2"/>
      <c r="P10" s="2"/>
      <c r="Q10" s="2"/>
      <c r="R10" s="2"/>
      <c r="S10" s="2"/>
      <c r="T10" s="2"/>
      <c r="U10" s="2"/>
      <c r="V10" s="2"/>
      <c r="W10" s="2"/>
    </row>
    <row r="11" ht="22.5" customHeight="1">
      <c r="A11" s="3">
        <v>10.0</v>
      </c>
      <c r="B11" s="3" t="s">
        <v>1738</v>
      </c>
      <c r="C11" s="3" t="s">
        <v>1739</v>
      </c>
      <c r="D11" s="3" t="s">
        <v>1740</v>
      </c>
      <c r="E11" s="3" t="s">
        <v>1741</v>
      </c>
      <c r="F11" s="2"/>
      <c r="G11" s="3" t="str">
        <f>IFERROR(__xludf.DUMMYFUNCTION("GOOGLETRANSLATE(A11, ""it"", ""en"")"),"10")</f>
        <v>10</v>
      </c>
      <c r="H11" s="3" t="str">
        <f>IFERROR(__xludf.DUMMYFUNCTION("GOOGLETRANSLATE(B11, ""it"", ""en"")"),"What prize does the winning contrada receive?")</f>
        <v>What prize does the winning contrada receive?</v>
      </c>
      <c r="I11" s="3" t="str">
        <f>IFERROR(__xludf.DUMMYFUNCTION("GOOGLETRANSLATE(C11, ""it"", ""en"")"),"A. A golden crown B. A banner C. A bronze trophy D. A new horse")</f>
        <v>A. A golden crown B. A banner C. A bronze trophy D. A new horse</v>
      </c>
      <c r="J11" s="3" t="str">
        <f>IFERROR(__xludf.DUMMYFUNCTION("GOOGLETRANSLATE(D11, ""it"", ""en"")"),"A large banner")</f>
        <v>A large banner</v>
      </c>
      <c r="K11" s="3" t="str">
        <f>IFERROR(__xludf.DUMMYFUNCTION("GOOGLETRANSLATE(E11, ""it"", ""en"")"),"The banner is the symbolic prize for the winning contrada.")</f>
        <v>The banner is the symbolic prize for the winning contrada.</v>
      </c>
      <c r="L11" s="2"/>
      <c r="M11" s="2"/>
      <c r="N11" s="2"/>
      <c r="O11" s="2"/>
      <c r="P11" s="2"/>
      <c r="Q11" s="2"/>
      <c r="R11" s="2"/>
      <c r="S11" s="2"/>
      <c r="T11" s="2"/>
      <c r="U11" s="2"/>
      <c r="V11" s="2"/>
      <c r="W11" s="2"/>
    </row>
    <row r="12" ht="22.5" customHeight="1">
      <c r="A12" s="3">
        <v>11.0</v>
      </c>
      <c r="B12" s="3" t="s">
        <v>1742</v>
      </c>
      <c r="C12" s="3" t="s">
        <v>1743</v>
      </c>
      <c r="D12" s="3" t="s">
        <v>1744</v>
      </c>
      <c r="E12" s="3" t="s">
        <v>1745</v>
      </c>
      <c r="F12" s="2"/>
      <c r="G12" s="3" t="str">
        <f>IFERROR(__xludf.DUMMYFUNCTION("GOOGLETRANSLATE(A12, ""it"", ""en"")"),"11")</f>
        <v>11</v>
      </c>
      <c r="H12" s="3" t="str">
        <f>IFERROR(__xludf.DUMMYFUNCTION("GOOGLETRANSLATE(B12, ""it"", ""en"")"),"What does the banner symbolize?")</f>
        <v>What does the banner symbolize?</v>
      </c>
      <c r="I12" s="3" t="str">
        <f>IFERROR(__xludf.DUMMYFUNCTION("GOOGLETRANSLATE(C12, ""it"", ""en"")"),"A. The victory of the contrada B. The winning horse C. The history of Siena D. The glory of the jockeys")</f>
        <v>A. The victory of the contrada B. The winning horse C. The history of Siena D. The glory of the jockeys</v>
      </c>
      <c r="J12" s="3" t="str">
        <f>IFERROR(__xludf.DUMMYFUNCTION("GOOGLETRANSLATE(D12, ""it"", ""en"")"),"The victory of the contrada")</f>
        <v>The victory of the contrada</v>
      </c>
      <c r="K12" s="3" t="str">
        <f>IFERROR(__xludf.DUMMYFUNCTION("GOOGLETRANSLATE(E12, ""it"", ""en"")"),"The banner celebrates the victory of the contrada.")</f>
        <v>The banner celebrates the victory of the contrada.</v>
      </c>
      <c r="L12" s="2"/>
      <c r="M12" s="2"/>
      <c r="N12" s="2"/>
      <c r="O12" s="2"/>
      <c r="P12" s="2"/>
      <c r="Q12" s="2"/>
      <c r="R12" s="2"/>
      <c r="S12" s="2"/>
      <c r="T12" s="2"/>
      <c r="U12" s="2"/>
      <c r="V12" s="2"/>
      <c r="W12" s="2"/>
    </row>
    <row r="13" ht="22.5" customHeight="1">
      <c r="A13" s="3">
        <v>12.0</v>
      </c>
      <c r="B13" s="3" t="s">
        <v>1746</v>
      </c>
      <c r="C13" s="3" t="s">
        <v>1747</v>
      </c>
      <c r="D13" s="3" t="s">
        <v>1748</v>
      </c>
      <c r="E13" s="3" t="s">
        <v>1749</v>
      </c>
      <c r="F13" s="2"/>
      <c r="G13" s="3" t="str">
        <f>IFERROR(__xludf.DUMMYFUNCTION("GOOGLETRANSLATE(A13, ""it"", ""en"")"),"12")</f>
        <v>12</v>
      </c>
      <c r="H13" s="3" t="str">
        <f>IFERROR(__xludf.DUMMYFUNCTION("GOOGLETRANSLATE(B13, ""it"", ""en"")"),"What happens if a jockey falls during the race?")</f>
        <v>What happens if a jockey falls during the race?</v>
      </c>
      <c r="I13" s="3" t="str">
        <f>IFERROR(__xludf.DUMMYFUNCTION("GOOGLETRANSLATE(C13, ""it"", ""en"")"),"A. The contrada is disqualified B. The race continues C. The jockey is eliminated D. The horse is withdrawn")</f>
        <v>A. The contrada is disqualified B. The race continues C. The jockey is eliminated D. The horse is withdrawn</v>
      </c>
      <c r="J13" s="3" t="str">
        <f>IFERROR(__xludf.DUMMYFUNCTION("GOOGLETRANSLATE(D13, ""it"", ""en"")"),"The race continues")</f>
        <v>The race continues</v>
      </c>
      <c r="K13" s="3" t="str">
        <f>IFERROR(__xludf.DUMMYFUNCTION("GOOGLETRANSLATE(E13, ""it"", ""en"")"),"Even without a jockey")</f>
        <v>Even without a jockey</v>
      </c>
      <c r="L13" s="2"/>
      <c r="M13" s="2"/>
      <c r="N13" s="2"/>
      <c r="O13" s="2"/>
      <c r="P13" s="2"/>
      <c r="Q13" s="2"/>
      <c r="R13" s="2"/>
      <c r="S13" s="2"/>
      <c r="T13" s="2"/>
      <c r="U13" s="2"/>
      <c r="V13" s="2"/>
      <c r="W13" s="2"/>
    </row>
    <row r="14" ht="22.5" customHeight="1">
      <c r="A14" s="3">
        <v>13.0</v>
      </c>
      <c r="B14" s="3" t="s">
        <v>1750</v>
      </c>
      <c r="C14" s="3" t="s">
        <v>1751</v>
      </c>
      <c r="D14" s="3" t="s">
        <v>1752</v>
      </c>
      <c r="E14" s="3" t="s">
        <v>1753</v>
      </c>
      <c r="F14" s="2"/>
      <c r="G14" s="3" t="str">
        <f>IFERROR(__xludf.DUMMYFUNCTION("GOOGLETRANSLATE(A14, ""it"", ""en"")"),"13")</f>
        <v>13</v>
      </c>
      <c r="H14" s="3" t="str">
        <f>IFERROR(__xludf.DUMMYFUNCTION("GOOGLETRANSLATE(B14, ""it"", ""en"")"),"Who designs the banner?")</f>
        <v>Who designs the banner?</v>
      </c>
      <c r="I14" s="3" t="str">
        <f>IFERROR(__xludf.DUMMYFUNCTION("GOOGLETRANSLATE(C14, ""it"", ""en"")"),"A. A local artist B. A jockey C. A craftsman D. A starter")</f>
        <v>A. A local artist B. A jockey C. A craftsman D. A starter</v>
      </c>
      <c r="J14" s="3" t="str">
        <f>IFERROR(__xludf.DUMMYFUNCTION("GOOGLETRANSLATE(D14, ""it"", ""en"")"),"A local artist")</f>
        <v>A local artist</v>
      </c>
      <c r="K14" s="3" t="str">
        <f>IFERROR(__xludf.DUMMYFUNCTION("GOOGLETRANSLATE(E14, ""it"", ""en"")"),"The banner is designed by an artist chosen each year.")</f>
        <v>The banner is designed by an artist chosen each year.</v>
      </c>
      <c r="L14" s="2"/>
      <c r="M14" s="2"/>
      <c r="N14" s="2"/>
      <c r="O14" s="2"/>
      <c r="P14" s="2"/>
      <c r="Q14" s="2"/>
      <c r="R14" s="2"/>
      <c r="S14" s="2"/>
      <c r="T14" s="2"/>
      <c r="U14" s="2"/>
      <c r="V14" s="2"/>
      <c r="W14" s="2"/>
    </row>
    <row r="15" ht="22.5" customHeight="1">
      <c r="A15" s="3">
        <v>14.0</v>
      </c>
      <c r="B15" s="3" t="s">
        <v>1754</v>
      </c>
      <c r="C15" s="3" t="s">
        <v>1755</v>
      </c>
      <c r="D15" s="3" t="s">
        <v>1756</v>
      </c>
      <c r="E15" s="3" t="s">
        <v>1757</v>
      </c>
      <c r="F15" s="2"/>
      <c r="G15" s="3" t="str">
        <f>IFERROR(__xludf.DUMMYFUNCTION("GOOGLETRANSLATE(A15, ""it"", ""en"")"),"14")</f>
        <v>14</v>
      </c>
      <c r="H15" s="3" t="str">
        <f>IFERROR(__xludf.DUMMYFUNCTION("GOOGLETRANSLATE(B15, ""it"", ""en"")"),"What is the meaning of the Palio?")</f>
        <v>What is the meaning of the Palio?</v>
      </c>
      <c r="I15" s="3" t="str">
        <f>IFERROR(__xludf.DUMMYFUNCTION("GOOGLETRANSLATE(C15, ""it"", ""en"")"),"A. A religious celebration B. A tourism competition C. A military showdown D. A commercial event")</f>
        <v>A. A religious celebration B. A tourism competition C. A military showdown D. A commercial event</v>
      </c>
      <c r="J15" s="3" t="str">
        <f>IFERROR(__xludf.DUMMYFUNCTION("GOOGLETRANSLATE(D15, ""it"", ""en"")"),"A religious celebration")</f>
        <v>A religious celebration</v>
      </c>
      <c r="K15" s="3" t="str">
        <f>IFERROR(__xludf.DUMMYFUNCTION("GOOGLETRANSLATE(E15, ""it"", ""en"")"),"The Palio has origins linked to religious celebrations.")</f>
        <v>The Palio has origins linked to religious celebrations.</v>
      </c>
      <c r="L15" s="2"/>
      <c r="M15" s="2"/>
      <c r="N15" s="2"/>
      <c r="O15" s="2"/>
      <c r="P15" s="2"/>
      <c r="Q15" s="2"/>
      <c r="R15" s="2"/>
      <c r="S15" s="2"/>
      <c r="T15" s="2"/>
      <c r="U15" s="2"/>
      <c r="V15" s="2"/>
      <c r="W15" s="2"/>
    </row>
    <row r="16" ht="22.5" customHeight="1">
      <c r="A16" s="3">
        <v>15.0</v>
      </c>
      <c r="B16" s="3" t="s">
        <v>1758</v>
      </c>
      <c r="C16" s="3" t="s">
        <v>1759</v>
      </c>
      <c r="D16" s="3" t="s">
        <v>1760</v>
      </c>
      <c r="E16" s="3" t="s">
        <v>1761</v>
      </c>
      <c r="F16" s="2"/>
      <c r="G16" s="3" t="str">
        <f>IFERROR(__xludf.DUMMYFUNCTION("GOOGLETRANSLATE(A16, ""it"", ""en"")"),"15")</f>
        <v>15</v>
      </c>
      <c r="H16" s="3" t="str">
        <f>IFERROR(__xludf.DUMMYFUNCTION("GOOGLETRANSLATE(B16, ""it"", ""en"")"),"What is the role of the jockey?")</f>
        <v>What is the role of the jockey?</v>
      </c>
      <c r="I16" s="3" t="str">
        <f>IFERROR(__xludf.DUMMYFUNCTION("GOOGLETRANSLATE(C16, ""it"", ""en"")"),"A. Lead the horse during the race B. Push the horse by hand C. Set up the banner D. Conduct the opening ceremony")</f>
        <v>A. Lead the horse during the race B. Push the horse by hand C. Set up the banner D. Conduct the opening ceremony</v>
      </c>
      <c r="J16" s="3" t="str">
        <f>IFERROR(__xludf.DUMMYFUNCTION("GOOGLETRANSLATE(D16, ""it"", ""en"")"),"Leading the horse during the race")</f>
        <v>Leading the horse during the race</v>
      </c>
      <c r="K16" s="3" t="str">
        <f>IFERROR(__xludf.DUMMYFUNCTION("GOOGLETRANSLATE(E16, ""it"", ""en"")"),"The jockey guides the horse during the race.")</f>
        <v>The jockey guides the horse during the race.</v>
      </c>
      <c r="L16" s="2"/>
      <c r="M16" s="2"/>
      <c r="N16" s="2"/>
      <c r="O16" s="2"/>
      <c r="P16" s="2"/>
      <c r="Q16" s="2"/>
      <c r="R16" s="2"/>
      <c r="S16" s="2"/>
      <c r="T16" s="2"/>
      <c r="U16" s="2"/>
      <c r="V16" s="2"/>
      <c r="W16" s="2"/>
    </row>
    <row r="17" ht="22.5" customHeight="1">
      <c r="A17" s="3">
        <v>16.0</v>
      </c>
      <c r="B17" s="3" t="s">
        <v>1762</v>
      </c>
      <c r="C17" s="3" t="s">
        <v>1763</v>
      </c>
      <c r="D17" s="3" t="s">
        <v>1764</v>
      </c>
      <c r="E17" s="3" t="s">
        <v>1765</v>
      </c>
      <c r="F17" s="2"/>
      <c r="G17" s="3" t="str">
        <f>IFERROR(__xludf.DUMMYFUNCTION("GOOGLETRANSLATE(A17, ""it"", ""en"")"),"16")</f>
        <v>16</v>
      </c>
      <c r="H17" s="3" t="str">
        <f>IFERROR(__xludf.DUMMYFUNCTION("GOOGLETRANSLATE(B17, ""it"", ""en"")"),"Where do the horses start in the Palio?")</f>
        <v>Where do the horses start in the Palio?</v>
      </c>
      <c r="I17" s="3" t="str">
        <f>IFERROR(__xludf.DUMMYFUNCTION("GOOGLETRANSLATE(C17, ""it"", ""en"")"),"A. From a fixed gate B. From a taut rope C. From a line drawn on the ground D. From a fence")</f>
        <v>A. From a fixed gate B. From a taut rope C. From a line drawn on the ground D. From a fence</v>
      </c>
      <c r="J17" s="3" t="str">
        <f>IFERROR(__xludf.DUMMYFUNCTION("GOOGLETRANSLATE(D17, ""it"", ""en"")"),"From a tightrope")</f>
        <v>From a tightrope</v>
      </c>
      <c r="K17" s="3" t="str">
        <f>IFERROR(__xludf.DUMMYFUNCTION("GOOGLETRANSLATE(E17, ""it"", ""en"")"),"The start takes place behind a rope called a canape.")</f>
        <v>The start takes place behind a rope called a canape.</v>
      </c>
      <c r="L17" s="2"/>
      <c r="M17" s="2"/>
      <c r="N17" s="2"/>
      <c r="O17" s="2"/>
      <c r="P17" s="2"/>
      <c r="Q17" s="2"/>
      <c r="R17" s="2"/>
      <c r="S17" s="2"/>
      <c r="T17" s="2"/>
      <c r="U17" s="2"/>
      <c r="V17" s="2"/>
      <c r="W17" s="2"/>
    </row>
    <row r="18" ht="22.5" customHeight="1">
      <c r="A18" s="3">
        <v>17.0</v>
      </c>
      <c r="B18" s="3" t="s">
        <v>1766</v>
      </c>
      <c r="C18" s="3" t="s">
        <v>1767</v>
      </c>
      <c r="D18" s="3" t="s">
        <v>1768</v>
      </c>
      <c r="E18" s="3" t="s">
        <v>1769</v>
      </c>
      <c r="F18" s="2"/>
      <c r="G18" s="3" t="str">
        <f>IFERROR(__xludf.DUMMYFUNCTION("GOOGLETRANSLATE(A18, ""it"", ""en"")"),"17")</f>
        <v>17</v>
      </c>
      <c r="H18" s="3" t="str">
        <f>IFERROR(__xludf.DUMMYFUNCTION("GOOGLETRANSLATE(B18, ""it"", ""en"")"),"Who decides the starting order?")</f>
        <v>Who decides the starting order?</v>
      </c>
      <c r="I18" s="3" t="str">
        <f>IFERROR(__xludf.DUMMYFUNCTION("GOOGLETRANSLATE(C18, ""it"", ""en"")"),"A. The mayor B. The starter C. A draw D. The district captain")</f>
        <v>A. The mayor B. The starter C. A draw D. The district captain</v>
      </c>
      <c r="J18" s="3" t="str">
        <f>IFERROR(__xludf.DUMMYFUNCTION("GOOGLETRANSLATE(D18, ""it"", ""en"")"),"A draw")</f>
        <v>A draw</v>
      </c>
      <c r="K18" s="3" t="str">
        <f>IFERROR(__xludf.DUMMYFUNCTION("GOOGLETRANSLATE(E18, ""it"", ""en"")"),"The starting order is decided by drawing lots.")</f>
        <v>The starting order is decided by drawing lots.</v>
      </c>
      <c r="L18" s="2"/>
      <c r="M18" s="2"/>
      <c r="N18" s="2"/>
      <c r="O18" s="2"/>
      <c r="P18" s="2"/>
      <c r="Q18" s="2"/>
      <c r="R18" s="2"/>
      <c r="S18" s="2"/>
      <c r="T18" s="2"/>
      <c r="U18" s="2"/>
      <c r="V18" s="2"/>
      <c r="W18" s="2"/>
    </row>
    <row r="19" ht="22.5" customHeight="1">
      <c r="A19" s="3">
        <v>18.0</v>
      </c>
      <c r="B19" s="3" t="s">
        <v>1770</v>
      </c>
      <c r="C19" s="3" t="s">
        <v>1771</v>
      </c>
      <c r="D19" s="3" t="s">
        <v>1772</v>
      </c>
      <c r="E19" s="3" t="s">
        <v>1773</v>
      </c>
      <c r="F19" s="2"/>
      <c r="G19" s="3" t="str">
        <f>IFERROR(__xludf.DUMMYFUNCTION("GOOGLETRANSLATE(A19, ""it"", ""en"")"),"18")</f>
        <v>18</v>
      </c>
      <c r="H19" s="3" t="str">
        <f>IFERROR(__xludf.DUMMYFUNCTION("GOOGLETRANSLATE(B19, ""it"", ""en"")"),"How long does the Palio race last?")</f>
        <v>How long does the Palio race last?</v>
      </c>
      <c r="I19" s="3" t="str">
        <f>IFERROR(__xludf.DUMMYFUNCTION("GOOGLETRANSLATE(C19, ""it"", ""en"")"),"A. About 90 seconds B. About 3 minutes C. About 10 minutes D. About 30 minutes")</f>
        <v>A. About 90 seconds B. About 3 minutes C. About 10 minutes D. About 30 minutes</v>
      </c>
      <c r="J19" s="3" t="str">
        <f>IFERROR(__xludf.DUMMYFUNCTION("GOOGLETRANSLATE(D19, ""it"", ""en"")"),"About 90 seconds")</f>
        <v>About 90 seconds</v>
      </c>
      <c r="K19" s="3" t="str">
        <f>IFERROR(__xludf.DUMMYFUNCTION("GOOGLETRANSLATE(E19, ""it"", ""en"")"),"The race lasts just over a minute and a half.")</f>
        <v>The race lasts just over a minute and a half.</v>
      </c>
      <c r="L19" s="2"/>
      <c r="M19" s="2"/>
      <c r="N19" s="2"/>
      <c r="O19" s="2"/>
      <c r="P19" s="2"/>
      <c r="Q19" s="2"/>
      <c r="R19" s="2"/>
      <c r="S19" s="2"/>
      <c r="T19" s="2"/>
      <c r="U19" s="2"/>
      <c r="V19" s="2"/>
      <c r="W19" s="2"/>
    </row>
    <row r="20" ht="22.5" customHeight="1">
      <c r="A20" s="3">
        <v>19.0</v>
      </c>
      <c r="B20" s="3" t="s">
        <v>1774</v>
      </c>
      <c r="C20" s="3" t="s">
        <v>1775</v>
      </c>
      <c r="D20" s="3" t="s">
        <v>1776</v>
      </c>
      <c r="E20" s="3" t="s">
        <v>1777</v>
      </c>
      <c r="F20" s="2"/>
      <c r="G20" s="3" t="str">
        <f>IFERROR(__xludf.DUMMYFUNCTION("GOOGLETRANSLATE(A20, ""it"", ""en"")"),"19")</f>
        <v>19</v>
      </c>
      <c r="H20" s="3" t="str">
        <f>IFERROR(__xludf.DUMMYFUNCTION("GOOGLETRANSLATE(B20, ""it"", ""en"")"),"Which contrada has the record for victories?")</f>
        <v>Which contrada has the record for victories?</v>
      </c>
      <c r="I20" s="3" t="str">
        <f>IFERROR(__xludf.DUMMYFUNCTION("GOOGLETRANSLATE(C20, ""it"", ""en"")"),"A. Goose B. Giraffe C. Tower D. Dragon")</f>
        <v>A. Goose B. Giraffe C. Tower D. Dragon</v>
      </c>
      <c r="J20" s="3" t="str">
        <f>IFERROR(__xludf.DUMMYFUNCTION("GOOGLETRANSLATE(D20, ""it"", ""en"")"),"Goose")</f>
        <v>Goose</v>
      </c>
      <c r="K20" s="3" t="str">
        <f>IFERROR(__xludf.DUMMYFUNCTION("GOOGLETRANSLATE(E20, ""it"", ""en"")"),"The Oca contrada has the historical record for victories.")</f>
        <v>The Oca contrada has the historical record for victories.</v>
      </c>
      <c r="L20" s="2"/>
      <c r="M20" s="2"/>
      <c r="N20" s="2"/>
      <c r="O20" s="2"/>
      <c r="P20" s="2"/>
      <c r="Q20" s="2"/>
      <c r="R20" s="2"/>
      <c r="S20" s="2"/>
      <c r="T20" s="2"/>
      <c r="U20" s="2"/>
      <c r="V20" s="2"/>
      <c r="W20" s="2"/>
    </row>
    <row r="21" ht="22.5" customHeight="1">
      <c r="A21" s="3">
        <v>20.0</v>
      </c>
      <c r="B21" s="3" t="s">
        <v>1778</v>
      </c>
      <c r="C21" s="3" t="s">
        <v>1779</v>
      </c>
      <c r="D21" s="3" t="s">
        <v>434</v>
      </c>
      <c r="E21" s="3" t="s">
        <v>1780</v>
      </c>
      <c r="F21" s="2"/>
      <c r="G21" s="3" t="str">
        <f>IFERROR(__xludf.DUMMYFUNCTION("GOOGLETRANSLATE(A21, ""it"", ""en"")"),"20")</f>
        <v>20</v>
      </c>
      <c r="H21" s="3" t="str">
        <f>IFERROR(__xludf.DUMMYFUNCTION("GOOGLETRANSLATE(B21, ""it"", ""en"")"),"How many days does the Palio celebration last?")</f>
        <v>How many days does the Palio celebration last?</v>
      </c>
      <c r="I21" s="3" t="str">
        <f>IFERROR(__xludf.DUMMYFUNCTION("GOOGLETRANSLATE(C21, ""it"", ""en"")"),"A. One B. Three C. A week D. Ten days")</f>
        <v>A. One B. Three C. A week D. Ten days</v>
      </c>
      <c r="J21" s="3" t="str">
        <f>IFERROR(__xludf.DUMMYFUNCTION("GOOGLETRANSLATE(D21, ""it"", ""en"")"),"Three")</f>
        <v>Three</v>
      </c>
      <c r="K21" s="3" t="str">
        <f>IFERROR(__xludf.DUMMYFUNCTION("GOOGLETRANSLATE(E21, ""it"", ""en"")"),"The celebrations last three days")</f>
        <v>The celebrations last three days</v>
      </c>
      <c r="L21" s="2"/>
      <c r="M21" s="2"/>
      <c r="N21" s="2"/>
      <c r="O21" s="2"/>
      <c r="P21" s="2"/>
      <c r="Q21" s="2"/>
      <c r="R21" s="2"/>
      <c r="S21" s="2"/>
      <c r="T21" s="2"/>
      <c r="U21" s="2"/>
      <c r="V21" s="2"/>
      <c r="W21" s="2"/>
    </row>
    <row r="22" ht="22.5" customHeight="1">
      <c r="A22" s="3">
        <v>21.0</v>
      </c>
      <c r="B22" s="3" t="s">
        <v>1781</v>
      </c>
      <c r="C22" s="3" t="s">
        <v>1782</v>
      </c>
      <c r="D22" s="3" t="s">
        <v>1783</v>
      </c>
      <c r="E22" s="3" t="s">
        <v>1784</v>
      </c>
      <c r="F22" s="2"/>
      <c r="G22" s="3" t="str">
        <f>IFERROR(__xludf.DUMMYFUNCTION("GOOGLETRANSLATE(A22, ""it"", ""en"")"),"21")</f>
        <v>21</v>
      </c>
      <c r="H22" s="3" t="str">
        <f>IFERROR(__xludf.DUMMYFUNCTION("GOOGLETRANSLATE(B22, ""it"", ""en"")"),"How is the jockey chosen?")</f>
        <v>How is the jockey chosen?</v>
      </c>
      <c r="I22" s="3" t="str">
        <f>IFERROR(__xludf.DUMMYFUNCTION("GOOGLETRANSLATE(C22, ""it"", ""en"")"),"A. Through an auction B. By a district committee C. Through family succession D. Through a public competition")</f>
        <v>A. Through an auction B. By a district committee C. Through family succession D. Through a public competition</v>
      </c>
      <c r="J22" s="3" t="str">
        <f>IFERROR(__xludf.DUMMYFUNCTION("GOOGLETRANSLATE(D22, ""it"", ""en"")"),"From a district committee")</f>
        <v>From a district committee</v>
      </c>
      <c r="K22" s="3" t="str">
        <f>IFERROR(__xludf.DUMMYFUNCTION("GOOGLETRANSLATE(E22, ""it"", ""en"")"),"Each district chooses its own jockey.")</f>
        <v>Each district chooses its own jockey.</v>
      </c>
      <c r="L22" s="2"/>
      <c r="M22" s="2"/>
      <c r="N22" s="2"/>
      <c r="O22" s="2"/>
      <c r="P22" s="2"/>
      <c r="Q22" s="2"/>
      <c r="R22" s="2"/>
      <c r="S22" s="2"/>
      <c r="T22" s="2"/>
      <c r="U22" s="2"/>
      <c r="V22" s="2"/>
      <c r="W22" s="2"/>
    </row>
    <row r="23" ht="22.5" customHeight="1">
      <c r="A23" s="3">
        <v>22.0</v>
      </c>
      <c r="B23" s="3" t="s">
        <v>1785</v>
      </c>
      <c r="C23" s="3" t="s">
        <v>1786</v>
      </c>
      <c r="D23" s="3" t="s">
        <v>1787</v>
      </c>
      <c r="E23" s="3" t="s">
        <v>1788</v>
      </c>
      <c r="F23" s="2"/>
      <c r="G23" s="3" t="str">
        <f>IFERROR(__xludf.DUMMYFUNCTION("GOOGLETRANSLATE(A23, ""it"", ""en"")"),"22")</f>
        <v>22</v>
      </c>
      <c r="H23" s="3" t="str">
        <f>IFERROR(__xludf.DUMMYFUNCTION("GOOGLETRANSLATE(B23, ""it"", ""en"")"),"What happens if the departure is not regular?")</f>
        <v>What happens if the departure is not regular?</v>
      </c>
      <c r="I23" s="3" t="str">
        <f>IFERROR(__xludf.DUMMYFUNCTION("GOOGLETRANSLATE(C23, ""it"", ""en"")"),"A. The starter stops the race B. The jockey is punished C. The race continues with penalties D. The horse is disqualified")</f>
        <v>A. The starter stops the race B. The jockey is punished C. The race continues with penalties D. The horse is disqualified</v>
      </c>
      <c r="J23" s="3" t="str">
        <f>IFERROR(__xludf.DUMMYFUNCTION("GOOGLETRANSLATE(D23, ""it"", ""en"")"),"The starter stops the race")</f>
        <v>The starter stops the race</v>
      </c>
      <c r="K23" s="3" t="str">
        <f>IFERROR(__xludf.DUMMYFUNCTION("GOOGLETRANSLATE(E23, ""it"", ""en"")"),"The starter must ensure a regular start.")</f>
        <v>The starter must ensure a regular start.</v>
      </c>
      <c r="L23" s="2"/>
      <c r="M23" s="2"/>
      <c r="N23" s="2"/>
      <c r="O23" s="2"/>
      <c r="P23" s="2"/>
      <c r="Q23" s="2"/>
      <c r="R23" s="2"/>
      <c r="S23" s="2"/>
      <c r="T23" s="2"/>
      <c r="U23" s="2"/>
      <c r="V23" s="2"/>
      <c r="W23" s="2"/>
    </row>
    <row r="24" ht="22.5" customHeight="1">
      <c r="A24" s="3">
        <v>23.0</v>
      </c>
      <c r="B24" s="3" t="s">
        <v>1789</v>
      </c>
      <c r="C24" s="3" t="s">
        <v>1790</v>
      </c>
      <c r="D24" s="3" t="s">
        <v>1791</v>
      </c>
      <c r="E24" s="3" t="s">
        <v>1792</v>
      </c>
      <c r="F24" s="2"/>
      <c r="G24" s="3" t="str">
        <f>IFERROR(__xludf.DUMMYFUNCTION("GOOGLETRANSLATE(A24, ""it"", ""en"")"),"23")</f>
        <v>23</v>
      </c>
      <c r="H24" s="3" t="str">
        <f>IFERROR(__xludf.DUMMYFUNCTION("GOOGLETRANSLATE(B24, ""it"", ""en"")"),"What does ""provaccia"" mean?")</f>
        <v>What does "provaccia" mean?</v>
      </c>
      <c r="I24" s="3" t="str">
        <f>IFERROR(__xludf.DUMMYFUNCTION("GOOGLETRANSLATE(C24, ""it"", ""en"")"),"A. A dress rehearsal B. A reserve run C. A test for the starter D. A final celebration")</f>
        <v>A. A dress rehearsal B. A reserve run C. A test for the starter D. A final celebration</v>
      </c>
      <c r="J24" s="3" t="str">
        <f>IFERROR(__xludf.DUMMYFUNCTION("GOOGLETRANSLATE(D24, ""it"", ""en"")"),"A dress rehearsal")</f>
        <v>A dress rehearsal</v>
      </c>
      <c r="K24" s="3" t="str">
        <f>IFERROR(__xludf.DUMMYFUNCTION("GOOGLETRANSLATE(E24, ""it"", ""en"")"),"The trial run is the last test before the race.")</f>
        <v>The trial run is the last test before the race.</v>
      </c>
      <c r="L24" s="2"/>
      <c r="M24" s="2"/>
      <c r="N24" s="2"/>
      <c r="O24" s="2"/>
      <c r="P24" s="2"/>
      <c r="Q24" s="2"/>
      <c r="R24" s="2"/>
      <c r="S24" s="2"/>
      <c r="T24" s="2"/>
      <c r="U24" s="2"/>
      <c r="V24" s="2"/>
      <c r="W24" s="2"/>
    </row>
    <row r="25" ht="22.5" customHeight="1">
      <c r="A25" s="3">
        <v>24.0</v>
      </c>
      <c r="B25" s="3" t="s">
        <v>1793</v>
      </c>
      <c r="C25" s="3" t="s">
        <v>1794</v>
      </c>
      <c r="D25" s="3" t="s">
        <v>1795</v>
      </c>
      <c r="E25" s="3" t="s">
        <v>1796</v>
      </c>
      <c r="F25" s="2"/>
      <c r="G25" s="3" t="str">
        <f>IFERROR(__xludf.DUMMYFUNCTION("GOOGLETRANSLATE(A25, ""it"", ""en"")"),"24")</f>
        <v>24</v>
      </c>
      <c r="H25" s="3" t="str">
        <f>IFERROR(__xludf.DUMMYFUNCTION("GOOGLETRANSLATE(B25, ""it"", ""en"")"),"What is forbidden to jockeys during the race?")</f>
        <v>What is forbidden to jockeys during the race?</v>
      </c>
      <c r="I25" s="3" t="str">
        <f>IFERROR(__xludf.DUMMYFUNCTION("GOOGLETRANSLATE(C25, ""it"", ""en"")"),"A. Using whips B. Talking to each other C. Falling intentionally D. Blocking other horses")</f>
        <v>A. Using whips B. Talking to each other C. Falling intentionally D. Blocking other horses</v>
      </c>
      <c r="J25" s="3" t="str">
        <f>IFERROR(__xludf.DUMMYFUNCTION("GOOGLETRANSLATE(D25, ""it"", ""en"")"),"Block other horses")</f>
        <v>Block other horses</v>
      </c>
      <c r="K25" s="3" t="str">
        <f>IFERROR(__xludf.DUMMYFUNCTION("GOOGLETRANSLATE(E25, ""it"", ""en"")"),"Intentionally blocking or obstructing is prohibited.")</f>
        <v>Intentionally blocking or obstructing is prohibited.</v>
      </c>
      <c r="L25" s="2"/>
      <c r="M25" s="2"/>
      <c r="N25" s="2"/>
      <c r="O25" s="2"/>
      <c r="P25" s="2"/>
      <c r="Q25" s="2"/>
      <c r="R25" s="2"/>
      <c r="S25" s="2"/>
      <c r="T25" s="2"/>
      <c r="U25" s="2"/>
      <c r="V25" s="2"/>
      <c r="W25" s="2"/>
    </row>
    <row r="26" ht="22.5" customHeight="1">
      <c r="A26" s="3">
        <v>25.0</v>
      </c>
      <c r="B26" s="3" t="s">
        <v>1797</v>
      </c>
      <c r="C26" s="3" t="s">
        <v>1798</v>
      </c>
      <c r="D26" s="3" t="s">
        <v>1799</v>
      </c>
      <c r="E26" s="3" t="s">
        <v>1800</v>
      </c>
      <c r="F26" s="2"/>
      <c r="G26" s="3" t="str">
        <f>IFERROR(__xludf.DUMMYFUNCTION("GOOGLETRANSLATE(A26, ""it"", ""en"")"),"25")</f>
        <v>25</v>
      </c>
      <c r="H26" s="3" t="str">
        <f>IFERROR(__xludf.DUMMYFUNCTION("GOOGLETRANSLATE(B26, ""it"", ""en"")"),"What happens to the banner after the victory?")</f>
        <v>What happens to the banner after the victory?</v>
      </c>
      <c r="I26" s="3" t="str">
        <f>IFERROR(__xludf.DUMMYFUNCTION("GOOGLETRANSLATE(C26, ""it"", ""en"")"),"A. It is displayed in the winning contrada B. It is destroyed C. It is returned D. It is kept by the starter")</f>
        <v>A. It is displayed in the winning contrada B. It is destroyed C. It is returned D. It is kept by the starter</v>
      </c>
      <c r="J26" s="3" t="str">
        <f>IFERROR(__xludf.DUMMYFUNCTION("GOOGLETRANSLATE(D26, ""it"", ""en"")"),"It is displayed in the winning contrada")</f>
        <v>It is displayed in the winning contrada</v>
      </c>
      <c r="K26" s="3" t="str">
        <f>IFERROR(__xludf.DUMMYFUNCTION("GOOGLETRANSLATE(E26, ""it"", ""en"")"),"The banner is kept as a symbol of victory.")</f>
        <v>The banner is kept as a symbol of victory.</v>
      </c>
      <c r="L26" s="2"/>
      <c r="M26" s="2"/>
      <c r="N26" s="2"/>
      <c r="O26" s="2"/>
      <c r="P26" s="2"/>
      <c r="Q26" s="2"/>
      <c r="R26" s="2"/>
      <c r="S26" s="2"/>
      <c r="T26" s="2"/>
      <c r="U26" s="2"/>
      <c r="V26" s="2"/>
      <c r="W26" s="2"/>
    </row>
    <row r="27" ht="22.5" customHeight="1">
      <c r="A27" s="3">
        <v>26.0</v>
      </c>
      <c r="B27" s="3" t="s">
        <v>1801</v>
      </c>
      <c r="C27" s="3" t="s">
        <v>1802</v>
      </c>
      <c r="D27" s="3" t="s">
        <v>1803</v>
      </c>
      <c r="E27" s="3" t="s">
        <v>1804</v>
      </c>
      <c r="F27" s="2"/>
      <c r="G27" s="3" t="str">
        <f>IFERROR(__xludf.DUMMYFUNCTION("GOOGLETRANSLATE(A27, ""it"", ""en"")"),"26")</f>
        <v>26</v>
      </c>
      <c r="H27" s="3" t="str">
        <f>IFERROR(__xludf.DUMMYFUNCTION("GOOGLETRANSLATE(B27, ""it"", ""en"")"),"What is the symbol of the districts?")</f>
        <v>What is the symbol of the districts?</v>
      </c>
      <c r="I27" s="3" t="str">
        <f>IFERROR(__xludf.DUMMYFUNCTION("GOOGLETRANSLATE(C27, ""it"", ""en"")"),"A. Coat of Arms B. Horse C. Jockey D. Shield")</f>
        <v>A. Coat of Arms B. Horse C. Jockey D. Shield</v>
      </c>
      <c r="J27" s="3" t="str">
        <f>IFERROR(__xludf.DUMMYFUNCTION("GOOGLETRANSLATE(D27, ""it"", ""en"")"),"Coat of arms")</f>
        <v>Coat of arms</v>
      </c>
      <c r="K27" s="3" t="str">
        <f>IFERROR(__xludf.DUMMYFUNCTION("GOOGLETRANSLATE(E27, ""it"", ""en"")"),"Each contrada has its own unique coat of arms.")</f>
        <v>Each contrada has its own unique coat of arms.</v>
      </c>
      <c r="L27" s="2"/>
      <c r="M27" s="2"/>
      <c r="N27" s="2"/>
      <c r="O27" s="2"/>
      <c r="P27" s="2"/>
      <c r="Q27" s="2"/>
      <c r="R27" s="2"/>
      <c r="S27" s="2"/>
      <c r="T27" s="2"/>
      <c r="U27" s="2"/>
      <c r="V27" s="2"/>
      <c r="W27" s="2"/>
    </row>
    <row r="28" ht="22.5" customHeight="1">
      <c r="A28" s="3">
        <v>27.0</v>
      </c>
      <c r="B28" s="3" t="s">
        <v>1805</v>
      </c>
      <c r="C28" s="3" t="s">
        <v>1806</v>
      </c>
      <c r="D28" s="3" t="s">
        <v>1807</v>
      </c>
      <c r="E28" s="3" t="s">
        <v>1808</v>
      </c>
      <c r="F28" s="2"/>
      <c r="G28" s="3" t="str">
        <f>IFERROR(__xludf.DUMMYFUNCTION("GOOGLETRANSLATE(A28, ""it"", ""en"")"),"27")</f>
        <v>27</v>
      </c>
      <c r="H28" s="3" t="str">
        <f>IFERROR(__xludf.DUMMYFUNCTION("GOOGLETRANSLATE(B28, ""it"", ""en"")"),"What happens to the horses after the Palio?")</f>
        <v>What happens to the horses after the Palio?</v>
      </c>
      <c r="I28" s="3" t="str">
        <f>IFERROR(__xludf.DUMMYFUNCTION("GOOGLETRANSLATE(C28, ""it"", ""en"")"),"A. They return to their owners B. They remain with the district C. They retire from racing D. They participate in another race")</f>
        <v>A. They return to their owners B. They remain with the district C. They retire from racing D. They participate in another race</v>
      </c>
      <c r="J28" s="3" t="str">
        <f>IFERROR(__xludf.DUMMYFUNCTION("GOOGLETRANSLATE(D28, ""it"", ""en"")"),"They return to their owners")</f>
        <v>They return to their owners</v>
      </c>
      <c r="K28" s="3" t="str">
        <f>IFERROR(__xludf.DUMMYFUNCTION("GOOGLETRANSLATE(E28, ""it"", ""en"")"),"The horses are returned to their owners after the Palio.")</f>
        <v>The horses are returned to their owners after the Palio.</v>
      </c>
      <c r="L28" s="2"/>
      <c r="M28" s="2"/>
      <c r="N28" s="2"/>
      <c r="O28" s="2"/>
      <c r="P28" s="2"/>
      <c r="Q28" s="2"/>
      <c r="R28" s="2"/>
      <c r="S28" s="2"/>
      <c r="T28" s="2"/>
      <c r="U28" s="2"/>
      <c r="V28" s="2"/>
      <c r="W28" s="2"/>
    </row>
    <row r="29" ht="22.5" customHeight="1">
      <c r="A29" s="3">
        <v>28.0</v>
      </c>
      <c r="B29" s="3" t="s">
        <v>1809</v>
      </c>
      <c r="C29" s="3" t="s">
        <v>1810</v>
      </c>
      <c r="D29" s="3" t="s">
        <v>1811</v>
      </c>
      <c r="E29" s="3" t="s">
        <v>1812</v>
      </c>
      <c r="F29" s="2"/>
      <c r="G29" s="3" t="str">
        <f>IFERROR(__xludf.DUMMYFUNCTION("GOOGLETRANSLATE(A29, ""it"", ""en"")"),"28")</f>
        <v>28</v>
      </c>
      <c r="H29" s="3" t="str">
        <f>IFERROR(__xludf.DUMMYFUNCTION("GOOGLETRANSLATE(B29, ""it"", ""en"")"),"What is the historical origin of the Palio?")</f>
        <v>What is the historical origin of the Palio?</v>
      </c>
      <c r="I29" s="3" t="str">
        <f>IFERROR(__xludf.DUMMYFUNCTION("GOOGLETRANSLATE(C29, ""it"", ""en"")"),"A. Medieval competitions B. Roman festivals C. Renaissance competitions D. Napoleonic events")</f>
        <v>A. Medieval competitions B. Roman festivals C. Renaissance competitions D. Napoleonic events</v>
      </c>
      <c r="J29" s="3" t="str">
        <f>IFERROR(__xludf.DUMMYFUNCTION("GOOGLETRANSLATE(D29, ""it"", ""en"")"),"Medieval competitions")</f>
        <v>Medieval competitions</v>
      </c>
      <c r="K29" s="3" t="str">
        <f>IFERROR(__xludf.DUMMYFUNCTION("GOOGLETRANSLATE(E29, ""it"", ""en"")"),"The Palio has its origins in medieval competitions.")</f>
        <v>The Palio has its origins in medieval competitions.</v>
      </c>
      <c r="L29" s="2"/>
      <c r="M29" s="2"/>
      <c r="N29" s="2"/>
      <c r="O29" s="2"/>
      <c r="P29" s="2"/>
      <c r="Q29" s="2"/>
      <c r="R29" s="2"/>
      <c r="S29" s="2"/>
      <c r="T29" s="2"/>
      <c r="U29" s="2"/>
      <c r="V29" s="2"/>
      <c r="W29" s="2"/>
    </row>
    <row r="30" ht="22.5" customHeight="1">
      <c r="A30" s="3">
        <v>29.0</v>
      </c>
      <c r="B30" s="3" t="s">
        <v>1813</v>
      </c>
      <c r="C30" s="3" t="s">
        <v>1814</v>
      </c>
      <c r="D30" s="3" t="s">
        <v>1815</v>
      </c>
      <c r="E30" s="3" t="s">
        <v>1816</v>
      </c>
      <c r="F30" s="2"/>
      <c r="G30" s="3" t="str">
        <f>IFERROR(__xludf.DUMMYFUNCTION("GOOGLETRANSLATE(A30, ""it"", ""en"")"),"29")</f>
        <v>29</v>
      </c>
      <c r="H30" s="3" t="str">
        <f>IFERROR(__xludf.DUMMYFUNCTION("GOOGLETRANSLATE(B30, ""it"", ""en"")"),"What is the Palio celebration dinner called?")</f>
        <v>What is the Palio celebration dinner called?</v>
      </c>
      <c r="I30" s="3" t="str">
        <f>IFERROR(__xludf.DUMMYFUNCTION("GOOGLETRANSLATE(C30, ""it"", ""en"")"),"A. Victory Dinner B. Race Dinner C. Camp Dinner D. Jockey Dinner")</f>
        <v>A. Victory Dinner B. Race Dinner C. Camp Dinner D. Jockey Dinner</v>
      </c>
      <c r="J30" s="3" t="str">
        <f>IFERROR(__xludf.DUMMYFUNCTION("GOOGLETRANSLATE(D30, ""it"", ""en"")"),"Victory Dinner")</f>
        <v>Victory Dinner</v>
      </c>
      <c r="K30" s="3" t="str">
        <f>IFERROR(__xludf.DUMMYFUNCTION("GOOGLETRANSLATE(E30, ""it"", ""en"")"),"The winning contrada organizes a dinner to celebrate.")</f>
        <v>The winning contrada organizes a dinner to celebrate.</v>
      </c>
      <c r="L30" s="2"/>
      <c r="M30" s="2"/>
      <c r="N30" s="2"/>
      <c r="O30" s="2"/>
      <c r="P30" s="2"/>
      <c r="Q30" s="2"/>
      <c r="R30" s="2"/>
      <c r="S30" s="2"/>
      <c r="T30" s="2"/>
      <c r="U30" s="2"/>
      <c r="V30" s="2"/>
      <c r="W30" s="2"/>
    </row>
    <row r="31" ht="22.5" customHeight="1">
      <c r="A31" s="3">
        <v>30.0</v>
      </c>
      <c r="B31" s="3" t="s">
        <v>1817</v>
      </c>
      <c r="C31" s="3" t="s">
        <v>1818</v>
      </c>
      <c r="D31" s="3" t="s">
        <v>1819</v>
      </c>
      <c r="E31" s="3" t="s">
        <v>1820</v>
      </c>
      <c r="F31" s="2"/>
      <c r="G31" s="3" t="str">
        <f>IFERROR(__xludf.DUMMYFUNCTION("GOOGLETRANSLATE(A31, ""it"", ""en"")"),"30")</f>
        <v>30</v>
      </c>
      <c r="H31" s="3" t="str">
        <f>IFERROR(__xludf.DUMMYFUNCTION("GOOGLETRANSLATE(B31, ""it"", ""en"")"),"What is the role of the contrada captain?")</f>
        <v>What is the role of the contrada captain?</v>
      </c>
      <c r="I31" s="3" t="str">
        <f>IFERROR(__xludf.DUMMYFUNCTION("GOOGLETRANSLATE(C31, ""it"", ""en"")"),"A. Organize strategies for victory B. Lead the horse C. Create the team D. Be the starter")</f>
        <v>A. Organize strategies for victory B. Lead the horse C. Create the team D. Be the starter</v>
      </c>
      <c r="J31" s="3" t="str">
        <f>IFERROR(__xludf.DUMMYFUNCTION("GOOGLETRANSLATE(D31, ""it"", ""en"")"),"Organizing strategies for victory")</f>
        <v>Organizing strategies for victory</v>
      </c>
      <c r="K31" s="3" t="str">
        <f>IFERROR(__xludf.DUMMYFUNCTION("GOOGLETRANSLATE(E31, ""it"", ""en"")"),"The captain coordinates the contrada to achieve success.")</f>
        <v>The captain coordinates the contrada to achieve success.</v>
      </c>
      <c r="L31" s="2"/>
      <c r="M31" s="2"/>
      <c r="N31" s="2"/>
      <c r="O31" s="2"/>
      <c r="P31" s="2"/>
      <c r="Q31" s="2"/>
      <c r="R31" s="2"/>
      <c r="S31" s="2"/>
      <c r="T31" s="2"/>
      <c r="U31" s="2"/>
      <c r="V31" s="2"/>
      <c r="W31" s="2"/>
    </row>
    <row r="32" ht="22.5" customHeight="1">
      <c r="A32" s="3">
        <v>31.0</v>
      </c>
      <c r="B32" s="3" t="s">
        <v>1821</v>
      </c>
      <c r="C32" s="3" t="s">
        <v>1822</v>
      </c>
      <c r="D32" s="3" t="s">
        <v>1823</v>
      </c>
      <c r="E32" s="3" t="s">
        <v>1824</v>
      </c>
      <c r="F32" s="2"/>
      <c r="G32" s="3" t="str">
        <f>IFERROR(__xludf.DUMMYFUNCTION("GOOGLETRANSLATE(A32, ""it"", ""en"")"),"31")</f>
        <v>31</v>
      </c>
      <c r="H32" s="3" t="str">
        <f>IFERROR(__xludf.DUMMYFUNCTION("GOOGLETRANSLATE(B32, ""it"", ""en"")"),"What do the colors of a contrada represent?")</f>
        <v>What do the colors of a contrada represent?</v>
      </c>
      <c r="I32" s="3" t="str">
        <f>IFERROR(__xludf.DUMMYFUNCTION("GOOGLETRANSLATE(C32, ""it"", ""en"")"),"A. The contrada's horse B. The contrada's values ​​and history C. The year's banner D. The traditions of the mossiere")</f>
        <v>A. The contrada's horse B. The contrada's values ​​and history C. The year's banner D. The traditions of the mossiere</v>
      </c>
      <c r="J32" s="3" t="str">
        <f>IFERROR(__xludf.DUMMYFUNCTION("GOOGLETRANSLATE(D32, ""it"", ""en"")"),"The values ​​and history of the contrada")</f>
        <v>The values ​​and history of the contrada</v>
      </c>
      <c r="K32" s="3" t="str">
        <f>IFERROR(__xludf.DUMMYFUNCTION("GOOGLETRANSLATE(E32, ""it"", ""en"")"),"The colors symbolize the historical and cultural identity of each contrada.")</f>
        <v>The colors symbolize the historical and cultural identity of each contrada.</v>
      </c>
      <c r="L32" s="2"/>
      <c r="M32" s="2"/>
      <c r="N32" s="2"/>
      <c r="O32" s="2"/>
      <c r="P32" s="2"/>
      <c r="Q32" s="2"/>
      <c r="R32" s="2"/>
      <c r="S32" s="2"/>
      <c r="T32" s="2"/>
      <c r="U32" s="2"/>
      <c r="V32" s="2"/>
      <c r="W32" s="2"/>
    </row>
    <row r="33" ht="22.5" customHeight="1">
      <c r="A33" s="3">
        <v>32.0</v>
      </c>
      <c r="B33" s="3" t="s">
        <v>1825</v>
      </c>
      <c r="C33" s="3" t="s">
        <v>1826</v>
      </c>
      <c r="D33" s="3" t="s">
        <v>1827</v>
      </c>
      <c r="E33" s="3" t="s">
        <v>1828</v>
      </c>
      <c r="F33" s="2"/>
      <c r="G33" s="3" t="str">
        <f>IFERROR(__xludf.DUMMYFUNCTION("GOOGLETRANSLATE(A33, ""it"", ""en"")"),"32")</f>
        <v>32</v>
      </c>
      <c r="H33" s="3" t="str">
        <f>IFERROR(__xludf.DUMMYFUNCTION("GOOGLETRANSLATE(B33, ""it"", ""en"")"),"What happens if a horse gets injured while racing?")</f>
        <v>What happens if a horse gets injured while racing?</v>
      </c>
      <c r="I33" s="3" t="str">
        <f>IFERROR(__xludf.DUMMYFUNCTION("GOOGLETRANSLATE(C33, ""it"", ""en"")"),"A. He is treated immediately B. He is withdrawn C. He is replaced D. He is allowed to continue the race")</f>
        <v>A. He is treated immediately B. He is withdrawn C. He is replaced D. He is allowed to continue the race</v>
      </c>
      <c r="J33" s="3" t="str">
        <f>IFERROR(__xludf.DUMMYFUNCTION("GOOGLETRANSLATE(D33, ""it"", ""en"")"),"It is withdrawn")</f>
        <v>It is withdrawn</v>
      </c>
      <c r="K33" s="3" t="str">
        <f>IFERROR(__xludf.DUMMYFUNCTION("GOOGLETRANSLATE(E33, ""it"", ""en"")"),"An injured horse is quickly withdrawn for safety.")</f>
        <v>An injured horse is quickly withdrawn for safety.</v>
      </c>
      <c r="L33" s="2"/>
      <c r="M33" s="2"/>
      <c r="N33" s="2"/>
      <c r="O33" s="2"/>
      <c r="P33" s="2"/>
      <c r="Q33" s="2"/>
      <c r="R33" s="2"/>
      <c r="S33" s="2"/>
      <c r="T33" s="2"/>
      <c r="U33" s="2"/>
      <c r="V33" s="2"/>
      <c r="W33" s="2"/>
    </row>
    <row r="34" ht="22.5" customHeight="1">
      <c r="A34" s="3">
        <v>33.0</v>
      </c>
      <c r="B34" s="3" t="s">
        <v>1829</v>
      </c>
      <c r="C34" s="3" t="s">
        <v>1830</v>
      </c>
      <c r="D34" s="3" t="s">
        <v>1831</v>
      </c>
      <c r="E34" s="3" t="s">
        <v>1832</v>
      </c>
      <c r="F34" s="2"/>
      <c r="G34" s="3" t="str">
        <f>IFERROR(__xludf.DUMMYFUNCTION("GOOGLETRANSLATE(A34, ""it"", ""en"")"),"33")</f>
        <v>33</v>
      </c>
      <c r="H34" s="3" t="str">
        <f>IFERROR(__xludf.DUMMYFUNCTION("GOOGLETRANSLATE(B34, ""it"", ""en"")"),"Which district is nicknamed ""grandmother""?")</f>
        <v>Which district is nicknamed "grandmother"?</v>
      </c>
      <c r="I34" s="3" t="str">
        <f>IFERROR(__xludf.DUMMYFUNCTION("GOOGLETRANSLATE(C34, ""it"", ""en"")"),"A. Eagle B. Tower C. Niche D. Snail")</f>
        <v>A. Eagle B. Tower C. Niche D. Snail</v>
      </c>
      <c r="J34" s="3" t="str">
        <f>IFERROR(__xludf.DUMMYFUNCTION("GOOGLETRANSLATE(D34, ""it"", ""en"")"),"Niche")</f>
        <v>Niche</v>
      </c>
      <c r="K34" s="3" t="str">
        <f>IFERROR(__xludf.DUMMYFUNCTION("GOOGLETRANSLATE(E34, ""it"", ""en"")"),"The ""grandmother"" contrada is the one that hasn't won for the longest time.")</f>
        <v>The "grandmother" contrada is the one that hasn't won for the longest time.</v>
      </c>
      <c r="L34" s="2"/>
      <c r="M34" s="2"/>
      <c r="N34" s="2"/>
      <c r="O34" s="2"/>
      <c r="P34" s="2"/>
      <c r="Q34" s="2"/>
      <c r="R34" s="2"/>
      <c r="S34" s="2"/>
      <c r="T34" s="2"/>
      <c r="U34" s="2"/>
      <c r="V34" s="2"/>
      <c r="W34" s="2"/>
    </row>
    <row r="35" ht="22.5" customHeight="1">
      <c r="A35" s="3">
        <v>34.0</v>
      </c>
      <c r="B35" s="3" t="s">
        <v>1833</v>
      </c>
      <c r="C35" s="3" t="s">
        <v>1834</v>
      </c>
      <c r="D35" s="3" t="s">
        <v>1835</v>
      </c>
      <c r="E35" s="3" t="s">
        <v>1836</v>
      </c>
      <c r="F35" s="2"/>
      <c r="G35" s="3" t="str">
        <f>IFERROR(__xludf.DUMMYFUNCTION("GOOGLETRANSLATE(A35, ""it"", ""en"")"),"34")</f>
        <v>34</v>
      </c>
      <c r="H35" s="3" t="str">
        <f>IFERROR(__xludf.DUMMYFUNCTION("GOOGLETRANSLATE(B35, ""it"", ""en"")"),"What is the meaning of the contrada flag?")</f>
        <v>What is the meaning of the contrada flag?</v>
      </c>
      <c r="I35" s="3" t="str">
        <f>IFERROR(__xludf.DUMMYFUNCTION("GOOGLETRANSLATE(C35, ""it"", ""en"")"),"A. Symbolizes victory B. Identifies the contrada C. Indicates the starter D. Decorates the banner")</f>
        <v>A. Symbolizes victory B. Identifies the contrada C. Indicates the starter D. Decorates the banner</v>
      </c>
      <c r="J35" s="3" t="str">
        <f>IFERROR(__xludf.DUMMYFUNCTION("GOOGLETRANSLATE(D35, ""it"", ""en"")"),"Identify the district")</f>
        <v>Identify the district</v>
      </c>
      <c r="K35" s="3" t="str">
        <f>IFERROR(__xludf.DUMMYFUNCTION("GOOGLETRANSLATE(E35, ""it"", ""en"")"),"The flag is a distinctive symbol of the contrada.")</f>
        <v>The flag is a distinctive symbol of the contrada.</v>
      </c>
      <c r="L35" s="2"/>
      <c r="M35" s="2"/>
      <c r="N35" s="2"/>
      <c r="O35" s="2"/>
      <c r="P35" s="2"/>
      <c r="Q35" s="2"/>
      <c r="R35" s="2"/>
      <c r="S35" s="2"/>
      <c r="T35" s="2"/>
      <c r="U35" s="2"/>
      <c r="V35" s="2"/>
      <c r="W35" s="2"/>
    </row>
    <row r="36" ht="22.5" customHeight="1">
      <c r="A36" s="3">
        <v>35.0</v>
      </c>
      <c r="B36" s="3" t="s">
        <v>1837</v>
      </c>
      <c r="C36" s="3" t="s">
        <v>1838</v>
      </c>
      <c r="D36" s="3" t="s">
        <v>1839</v>
      </c>
      <c r="E36" s="3" t="s">
        <v>1840</v>
      </c>
      <c r="F36" s="2"/>
      <c r="G36" s="3" t="str">
        <f>IFERROR(__xludf.DUMMYFUNCTION("GOOGLETRANSLATE(A36, ""it"", ""en"")"),"35")</f>
        <v>35</v>
      </c>
      <c r="H36" s="3" t="str">
        <f>IFERROR(__xludf.DUMMYFUNCTION("GOOGLETRANSLATE(B36, ""it"", ""en"")"),"What is the name of the religious ritual before the Palio?")</f>
        <v>What is the name of the religious ritual before the Palio?</v>
      </c>
      <c r="I36" s="3" t="str">
        <f>IFERROR(__xludf.DUMMYFUNCTION("GOOGLETRANSLATE(C36, ""it"", ""en"")"),"A. Jockey's Mass B. Blessing of the Horse C. Starter's Prayer D. Offering of the Banner")</f>
        <v>A. Jockey's Mass B. Blessing of the Horse C. Starter's Prayer D. Offering of the Banner</v>
      </c>
      <c r="J36" s="3" t="str">
        <f>IFERROR(__xludf.DUMMYFUNCTION("GOOGLETRANSLATE(D36, ""it"", ""en"")"),"Blessing of the Horse")</f>
        <v>Blessing of the Horse</v>
      </c>
      <c r="K36" s="3" t="str">
        <f>IFERROR(__xludf.DUMMYFUNCTION("GOOGLETRANSLATE(E36, ""it"", ""en"")"),"Each horse is blessed before the race.")</f>
        <v>Each horse is blessed before the race.</v>
      </c>
      <c r="L36" s="2"/>
      <c r="M36" s="2"/>
      <c r="N36" s="2"/>
      <c r="O36" s="2"/>
      <c r="P36" s="2"/>
      <c r="Q36" s="2"/>
      <c r="R36" s="2"/>
      <c r="S36" s="2"/>
      <c r="T36" s="2"/>
      <c r="U36" s="2"/>
      <c r="V36" s="2"/>
      <c r="W36" s="2"/>
    </row>
    <row r="37" ht="22.5" customHeight="1">
      <c r="A37" s="3">
        <v>36.0</v>
      </c>
      <c r="B37" s="3" t="s">
        <v>1841</v>
      </c>
      <c r="C37" s="3" t="s">
        <v>1842</v>
      </c>
      <c r="D37" s="3">
        <v>10.0</v>
      </c>
      <c r="E37" s="3" t="s">
        <v>1843</v>
      </c>
      <c r="F37" s="2"/>
      <c r="G37" s="3" t="str">
        <f>IFERROR(__xludf.DUMMYFUNCTION("GOOGLETRANSLATE(A37, ""it"", ""en"")"),"36")</f>
        <v>36</v>
      </c>
      <c r="H37" s="3" t="str">
        <f>IFERROR(__xludf.DUMMYFUNCTION("GOOGLETRANSLATE(B37, ""it"", ""en"")"),"How many horses are taking part in the race?")</f>
        <v>How many horses are taking part in the race?</v>
      </c>
      <c r="I37" s="3" t="str">
        <f>IFERROR(__xludf.DUMMYFUNCTION("GOOGLETRANSLATE(C37, ""it"", ""en"")"),"A. 7 B. 10 C. 15 D. 17")</f>
        <v>A. 7 B. 10 C. 15 D. 17</v>
      </c>
      <c r="J37" s="3" t="str">
        <f>IFERROR(__xludf.DUMMYFUNCTION("GOOGLETRANSLATE(D37, ""it"", ""en"")"),"10")</f>
        <v>10</v>
      </c>
      <c r="K37" s="3" t="str">
        <f>IFERROR(__xludf.DUMMYFUNCTION("GOOGLETRANSLATE(E37, ""it"", ""en"")"),"Ten horses compete in the race.")</f>
        <v>Ten horses compete in the race.</v>
      </c>
      <c r="L37" s="2"/>
      <c r="M37" s="2"/>
      <c r="N37" s="2"/>
      <c r="O37" s="2"/>
      <c r="P37" s="2"/>
      <c r="Q37" s="2"/>
      <c r="R37" s="2"/>
      <c r="S37" s="2"/>
      <c r="T37" s="2"/>
      <c r="U37" s="2"/>
      <c r="V37" s="2"/>
      <c r="W37" s="2"/>
    </row>
    <row r="38" ht="22.5" customHeight="1">
      <c r="A38" s="3">
        <v>37.0</v>
      </c>
      <c r="B38" s="3" t="s">
        <v>1844</v>
      </c>
      <c r="C38" s="3" t="s">
        <v>1845</v>
      </c>
      <c r="D38" s="3" t="s">
        <v>1846</v>
      </c>
      <c r="E38" s="3" t="s">
        <v>1847</v>
      </c>
      <c r="F38" s="2"/>
      <c r="G38" s="3" t="str">
        <f>IFERROR(__xludf.DUMMYFUNCTION("GOOGLETRANSLATE(A38, ""it"", ""en"")"),"37")</f>
        <v>37</v>
      </c>
      <c r="H38" s="3" t="str">
        <f>IFERROR(__xludf.DUMMYFUNCTION("GOOGLETRANSLATE(B38, ""it"", ""en"")"),"What is celebrated on July 2nd during the Palio?")</f>
        <v>What is celebrated on July 2nd during the Palio?</v>
      </c>
      <c r="I38" s="3" t="str">
        <f>IFERROR(__xludf.DUMMYFUNCTION("GOOGLETRANSLATE(C38, ""it"", ""en"")"),"A. The Madonna of Provenzano B. The birth of Siena C. The glory of the districts D. The end of the wars")</f>
        <v>A. The Madonna of Provenzano B. The birth of Siena C. The glory of the districts D. The end of the wars</v>
      </c>
      <c r="J38" s="3" t="str">
        <f>IFERROR(__xludf.DUMMYFUNCTION("GOOGLETRANSLATE(D38, ""it"", ""en"")"),"The Madonna of Provenzano")</f>
        <v>The Madonna of Provenzano</v>
      </c>
      <c r="K38" s="3" t="str">
        <f>IFERROR(__xludf.DUMMYFUNCTION("GOOGLETRANSLATE(E38, ""it"", ""en"")"),"The Palio of July 2nd is dedicated to the Madonna of Provenzano.")</f>
        <v>The Palio of July 2nd is dedicated to the Madonna of Provenzano.</v>
      </c>
      <c r="L38" s="2"/>
      <c r="M38" s="2"/>
      <c r="N38" s="2"/>
      <c r="O38" s="2"/>
      <c r="P38" s="2"/>
      <c r="Q38" s="2"/>
      <c r="R38" s="2"/>
      <c r="S38" s="2"/>
      <c r="T38" s="2"/>
      <c r="U38" s="2"/>
      <c r="V38" s="2"/>
      <c r="W38" s="2"/>
    </row>
    <row r="39" ht="22.5" customHeight="1">
      <c r="A39" s="3">
        <v>38.0</v>
      </c>
      <c r="B39" s="3" t="s">
        <v>1848</v>
      </c>
      <c r="C39" s="3" t="s">
        <v>1849</v>
      </c>
      <c r="D39" s="3" t="s">
        <v>1850</v>
      </c>
      <c r="E39" s="3" t="s">
        <v>1851</v>
      </c>
      <c r="F39" s="2"/>
      <c r="G39" s="3" t="str">
        <f>IFERROR(__xludf.DUMMYFUNCTION("GOOGLETRANSLATE(A39, ""it"", ""en"")"),"38")</f>
        <v>38</v>
      </c>
      <c r="H39" s="3" t="str">
        <f>IFERROR(__xludf.DUMMYFUNCTION("GOOGLETRANSLATE(B39, ""it"", ""en"")"),"What is celebrated on August 16th during the Palio?")</f>
        <v>What is celebrated on August 16th during the Palio?</v>
      </c>
      <c r="I39" s="3" t="str">
        <f>IFERROR(__xludf.DUMMYFUNCTION("GOOGLETRANSLATE(C39, ""it"", ""en"")"),"A. The Assumption of the Virgin B. Peace between the districts C. Siena's victory D. The jockey's celebration")</f>
        <v>A. The Assumption of the Virgin B. Peace between the districts C. Siena's victory D. The jockey's celebration</v>
      </c>
      <c r="J39" s="3" t="str">
        <f>IFERROR(__xludf.DUMMYFUNCTION("GOOGLETRANSLATE(D39, ""it"", ""en"")"),"Our Lady of the Assumption")</f>
        <v>Our Lady of the Assumption</v>
      </c>
      <c r="K39" s="3" t="str">
        <f>IFERROR(__xludf.DUMMYFUNCTION("GOOGLETRANSLATE(E39, ""it"", ""en"")"),"The Palio of August 16th is dedicated to the Madonna Assunta.")</f>
        <v>The Palio of August 16th is dedicated to the Madonna Assunta.</v>
      </c>
      <c r="L39" s="2"/>
      <c r="M39" s="2"/>
      <c r="N39" s="2"/>
      <c r="O39" s="2"/>
      <c r="P39" s="2"/>
      <c r="Q39" s="2"/>
      <c r="R39" s="2"/>
      <c r="S39" s="2"/>
      <c r="T39" s="2"/>
      <c r="U39" s="2"/>
      <c r="V39" s="2"/>
      <c r="W39" s="2"/>
    </row>
    <row r="40" ht="22.5" customHeight="1">
      <c r="A40" s="3">
        <v>39.0</v>
      </c>
      <c r="B40" s="3" t="s">
        <v>1852</v>
      </c>
      <c r="C40" s="3" t="s">
        <v>1853</v>
      </c>
      <c r="D40" s="3" t="s">
        <v>1854</v>
      </c>
      <c r="E40" s="3" t="s">
        <v>1855</v>
      </c>
      <c r="F40" s="2"/>
      <c r="G40" s="3" t="str">
        <f>IFERROR(__xludf.DUMMYFUNCTION("GOOGLETRANSLATE(A40, ""it"", ""en"")"),"39")</f>
        <v>39</v>
      </c>
      <c r="H40" s="3" t="str">
        <f>IFERROR(__xludf.DUMMYFUNCTION("GOOGLETRANSLATE(B40, ""it"", ""en"")"),"What role does the appearance of a contrada have?")</f>
        <v>What role does the appearance of a contrada have?</v>
      </c>
      <c r="I40" s="3" t="str">
        <f>IFERROR(__xludf.DUMMYFUNCTION("GOOGLETRANSLATE(C40, ""it"", ""en"")"),"A. Represent the contrada during the parade B. Guide the horse C. Mark the route D. Conduct the awards ceremony")</f>
        <v>A. Represent the contrada during the parade B. Guide the horse C. Mark the route D. Conduct the awards ceremony</v>
      </c>
      <c r="J40" s="3" t="str">
        <f>IFERROR(__xludf.DUMMYFUNCTION("GOOGLETRANSLATE(D40, ""it"", ""en"")"),"Represent the contrada during the parade")</f>
        <v>Represent the contrada during the parade</v>
      </c>
      <c r="K40" s="3" t="str">
        <f>IFERROR(__xludf.DUMMYFUNCTION("GOOGLETRANSLATE(E40, ""it"", ""en"")"),"The comparsa is made up of extras who represent the contrada.")</f>
        <v>The comparsa is made up of extras who represent the contrada.</v>
      </c>
      <c r="L40" s="2"/>
      <c r="M40" s="2"/>
      <c r="N40" s="2"/>
      <c r="O40" s="2"/>
      <c r="P40" s="2"/>
      <c r="Q40" s="2"/>
      <c r="R40" s="2"/>
      <c r="S40" s="2"/>
      <c r="T40" s="2"/>
      <c r="U40" s="2"/>
      <c r="V40" s="2"/>
      <c r="W40" s="2"/>
    </row>
    <row r="41" ht="22.5" customHeight="1">
      <c r="A41" s="3">
        <v>40.0</v>
      </c>
      <c r="B41" s="3" t="s">
        <v>1856</v>
      </c>
      <c r="C41" s="3" t="s">
        <v>1857</v>
      </c>
      <c r="D41" s="3" t="s">
        <v>1858</v>
      </c>
      <c r="E41" s="3" t="s">
        <v>1859</v>
      </c>
      <c r="F41" s="2"/>
      <c r="G41" s="3" t="str">
        <f>IFERROR(__xludf.DUMMYFUNCTION("GOOGLETRANSLATE(A41, ""it"", ""en"")"),"40")</f>
        <v>40</v>
      </c>
      <c r="H41" s="3" t="str">
        <f>IFERROR(__xludf.DUMMYFUNCTION("GOOGLETRANSLATE(B41, ""it"", ""en"")"),"What is the role of the prior of a contrada?")</f>
        <v>What is the role of the prior of a contrada?</v>
      </c>
      <c r="I41" s="3" t="str">
        <f>IFERROR(__xludf.DUMMYFUNCTION("GOOGLETRANSLATE(C41, ""it"", ""en"")"),"A. Manage the internal affairs of the contrada B. Lead the horse C. Trace the route D. Create the banner")</f>
        <v>A. Manage the internal affairs of the contrada B. Lead the horse C. Trace the route D. Create the banner</v>
      </c>
      <c r="J41" s="3" t="str">
        <f>IFERROR(__xludf.DUMMYFUNCTION("GOOGLETRANSLATE(D41, ""it"", ""en"")"),"Manage the internal affairs of the district")</f>
        <v>Manage the internal affairs of the district</v>
      </c>
      <c r="K41" s="3" t="str">
        <f>IFERROR(__xludf.DUMMYFUNCTION("GOOGLETRANSLATE(E41, ""it"", ""en"")"),"The prior is responsible for the management of the district.")</f>
        <v>The prior is responsible for the management of the district.</v>
      </c>
      <c r="L41" s="2"/>
      <c r="M41" s="2"/>
      <c r="N41" s="2"/>
      <c r="O41" s="2"/>
      <c r="P41" s="2"/>
      <c r="Q41" s="2"/>
      <c r="R41" s="2"/>
      <c r="S41" s="2"/>
      <c r="T41" s="2"/>
      <c r="U41" s="2"/>
      <c r="V41" s="2"/>
      <c r="W41" s="2"/>
    </row>
    <row r="42" ht="22.5" customHeight="1">
      <c r="A42" s="3">
        <v>41.0</v>
      </c>
      <c r="B42" s="3" t="s">
        <v>1860</v>
      </c>
      <c r="C42" s="3" t="s">
        <v>1861</v>
      </c>
      <c r="D42" s="3" t="s">
        <v>1862</v>
      </c>
      <c r="E42" s="3" t="s">
        <v>1863</v>
      </c>
      <c r="F42" s="2"/>
      <c r="G42" s="3" t="str">
        <f>IFERROR(__xludf.DUMMYFUNCTION("GOOGLETRANSLATE(A42, ""it"", ""en"")"),"41")</f>
        <v>41</v>
      </c>
      <c r="H42" s="3" t="str">
        <f>IFERROR(__xludf.DUMMYFUNCTION("GOOGLETRANSLATE(B42, ""it"", ""en"")"),"What happens if two horses cross the finish line together?")</f>
        <v>What happens if two horses cross the finish line together?</v>
      </c>
      <c r="I42" s="3" t="str">
        <f>IFERROR(__xludf.DUMMYFUNCTION("GOOGLETRANSLATE(C42, ""it"", ""en"")"),"A. Another race is held B. The shaken horse wins C. The horse closest to the starter wins D. A tie is declared")</f>
        <v>A. Another race is held B. The shaken horse wins C. The horse closest to the starter wins D. A tie is declared</v>
      </c>
      <c r="J42" s="3" t="str">
        <f>IFERROR(__xludf.DUMMYFUNCTION("GOOGLETRANSLATE(D42, ""it"", ""en"")"),"A tie is declared")</f>
        <v>A tie is declared</v>
      </c>
      <c r="K42" s="3" t="str">
        <f>IFERROR(__xludf.DUMMYFUNCTION("GOOGLETRANSLATE(E42, ""it"", ""en"")"),"A tie is accepted if the horses finish together.")</f>
        <v>A tie is accepted if the horses finish together.</v>
      </c>
      <c r="L42" s="2"/>
      <c r="M42" s="2"/>
      <c r="N42" s="2"/>
      <c r="O42" s="2"/>
      <c r="P42" s="2"/>
      <c r="Q42" s="2"/>
      <c r="R42" s="2"/>
      <c r="S42" s="2"/>
      <c r="T42" s="2"/>
      <c r="U42" s="2"/>
      <c r="V42" s="2"/>
      <c r="W42" s="2"/>
    </row>
    <row r="43" ht="22.5" customHeight="1">
      <c r="A43" s="3">
        <v>42.0</v>
      </c>
      <c r="B43" s="3" t="s">
        <v>1864</v>
      </c>
      <c r="C43" s="3" t="s">
        <v>1865</v>
      </c>
      <c r="D43" s="3" t="s">
        <v>1866</v>
      </c>
      <c r="E43" s="3" t="s">
        <v>1867</v>
      </c>
      <c r="F43" s="2"/>
      <c r="G43" s="3" t="str">
        <f>IFERROR(__xludf.DUMMYFUNCTION("GOOGLETRANSLATE(A43, ""it"", ""en"")"),"42")</f>
        <v>42</v>
      </c>
      <c r="H43" s="3" t="str">
        <f>IFERROR(__xludf.DUMMYFUNCTION("GOOGLETRANSLATE(B43, ""it"", ""en"")"),"Who can participate as a jockey?")</f>
        <v>Who can participate as a jockey?</v>
      </c>
      <c r="I43" s="3" t="str">
        <f>IFERROR(__xludf.DUMMYFUNCTION("GOOGLETRANSLATE(C43, ""it"", ""en"")"),"A. Only citizens of Siena B. Only members of the contradas C. Anyone hired by the contrada D. Jockeys chosen by the State")</f>
        <v>A. Only citizens of Siena B. Only members of the contradas C. Anyone hired by the contrada D. Jockeys chosen by the State</v>
      </c>
      <c r="J43" s="3" t="str">
        <f>IFERROR(__xludf.DUMMYFUNCTION("GOOGLETRANSLATE(D43, ""it"", ""en"")"),"Anyone hired by the contrada")</f>
        <v>Anyone hired by the contrada</v>
      </c>
      <c r="K43" s="3" t="str">
        <f>IFERROR(__xludf.DUMMYFUNCTION("GOOGLETRANSLATE(E43, ""it"", ""en"")"),"The districts can choose external jockeys.")</f>
        <v>The districts can choose external jockeys.</v>
      </c>
      <c r="L43" s="2"/>
      <c r="M43" s="2"/>
      <c r="N43" s="2"/>
      <c r="O43" s="2"/>
      <c r="P43" s="2"/>
      <c r="Q43" s="2"/>
      <c r="R43" s="2"/>
      <c r="S43" s="2"/>
      <c r="T43" s="2"/>
      <c r="U43" s="2"/>
      <c r="V43" s="2"/>
      <c r="W43" s="2"/>
    </row>
    <row r="44" ht="22.5" customHeight="1">
      <c r="A44" s="3">
        <v>43.0</v>
      </c>
      <c r="B44" s="3" t="s">
        <v>1868</v>
      </c>
      <c r="C44" s="3" t="s">
        <v>1869</v>
      </c>
      <c r="D44" s="3" t="s">
        <v>290</v>
      </c>
      <c r="E44" s="3" t="s">
        <v>1870</v>
      </c>
      <c r="F44" s="2"/>
      <c r="G44" s="3" t="str">
        <f>IFERROR(__xludf.DUMMYFUNCTION("GOOGLETRANSLATE(A44, ""it"", ""en"")"),"43")</f>
        <v>43</v>
      </c>
      <c r="H44" s="3" t="str">
        <f>IFERROR(__xludf.DUMMYFUNCTION("GOOGLETRANSLATE(B44, ""it"", ""en"")"),"How are the horses chosen for the Palio?")</f>
        <v>How are the horses chosen for the Palio?</v>
      </c>
      <c r="I44" s="3" t="str">
        <f>IFERROR(__xludf.DUMMYFUNCTION("GOOGLETRANSLATE(C44, ""it"", ""en"")"),"A. Lottery B. Selection by speed C. Selection by experience D. Public competition")</f>
        <v>A. Lottery B. Selection by speed C. Selection by experience D. Public competition</v>
      </c>
      <c r="J44" s="3" t="str">
        <f>IFERROR(__xludf.DUMMYFUNCTION("GOOGLETRANSLATE(D44, ""it"", ""en"")"),"Draw")</f>
        <v>Draw</v>
      </c>
      <c r="K44" s="3" t="str">
        <f>IFERROR(__xludf.DUMMYFUNCTION("GOOGLETRANSLATE(E44, ""it"", ""en"")"),"The horses are assigned by official drawing.")</f>
        <v>The horses are assigned by official drawing.</v>
      </c>
      <c r="L44" s="2"/>
      <c r="M44" s="2"/>
      <c r="N44" s="2"/>
      <c r="O44" s="2"/>
      <c r="P44" s="2"/>
      <c r="Q44" s="2"/>
      <c r="R44" s="2"/>
      <c r="S44" s="2"/>
      <c r="T44" s="2"/>
      <c r="U44" s="2"/>
      <c r="V44" s="2"/>
      <c r="W44" s="2"/>
    </row>
    <row r="45" ht="22.5" customHeight="1">
      <c r="A45" s="3">
        <v>44.0</v>
      </c>
      <c r="B45" s="3" t="s">
        <v>1871</v>
      </c>
      <c r="C45" s="3" t="s">
        <v>1872</v>
      </c>
      <c r="D45" s="3" t="s">
        <v>1873</v>
      </c>
      <c r="E45" s="3" t="s">
        <v>1874</v>
      </c>
      <c r="F45" s="2"/>
      <c r="G45" s="3" t="str">
        <f>IFERROR(__xludf.DUMMYFUNCTION("GOOGLETRANSLATE(A45, ""it"", ""en"")"),"44")</f>
        <v>44</v>
      </c>
      <c r="H45" s="3" t="str">
        <f>IFERROR(__xludf.DUMMYFUNCTION("GOOGLETRANSLATE(B45, ""it"", ""en"")"),"What does it mean to ""make the move""?")</f>
        <v>What does it mean to "make the move"?</v>
      </c>
      <c r="I45" s="3" t="str">
        <f>IFERROR(__xludf.DUMMYFUNCTION("GOOGLETRANSLATE(C45, ""it"", ""en"")"),"A. Prepare the banner B. Approach the start C. Position yourself at the starting line D. Stop after the first lap")</f>
        <v>A. Prepare the banner B. Approach the start C. Position yourself at the starting line D. Stop after the first lap</v>
      </c>
      <c r="J45" s="3" t="str">
        <f>IFERROR(__xludf.DUMMYFUNCTION("GOOGLETRANSLATE(D45, ""it"", ""en"")"),"Position yourself at the canape")</f>
        <v>Position yourself at the canape</v>
      </c>
      <c r="K45" s="3" t="str">
        <f>IFERROR(__xludf.DUMMYFUNCTION("GOOGLETRANSLATE(E45, ""it"", ""en"")"),"Making the move means positioning yourself for the start.")</f>
        <v>Making the move means positioning yourself for the start.</v>
      </c>
      <c r="L45" s="2"/>
      <c r="M45" s="2"/>
      <c r="N45" s="2"/>
      <c r="O45" s="2"/>
      <c r="P45" s="2"/>
      <c r="Q45" s="2"/>
      <c r="R45" s="2"/>
      <c r="S45" s="2"/>
      <c r="T45" s="2"/>
      <c r="U45" s="2"/>
      <c r="V45" s="2"/>
      <c r="W45" s="2"/>
    </row>
    <row r="46" ht="22.5" customHeight="1">
      <c r="A46" s="3">
        <v>45.0</v>
      </c>
      <c r="B46" s="3" t="s">
        <v>1875</v>
      </c>
      <c r="C46" s="3" t="s">
        <v>1876</v>
      </c>
      <c r="D46" s="3" t="s">
        <v>1877</v>
      </c>
      <c r="E46" s="3" t="s">
        <v>1878</v>
      </c>
      <c r="F46" s="2"/>
      <c r="G46" s="3" t="str">
        <f>IFERROR(__xludf.DUMMYFUNCTION("GOOGLETRANSLATE(A46, ""it"", ""en"")"),"45")</f>
        <v>45</v>
      </c>
      <c r="H46" s="3" t="str">
        <f>IFERROR(__xludf.DUMMYFUNCTION("GOOGLETRANSLATE(B46, ""it"", ""en"")"),"Which district has a giraffe as its symbol?")</f>
        <v>Which district has a giraffe as its symbol?</v>
      </c>
      <c r="I46" s="3" t="str">
        <f>IFERROR(__xludf.DUMMYFUNCTION("GOOGLETRANSLATE(C46, ""it"", ""en"")"),"A. Goose B. Giraffe C. Dragon D. Snail")</f>
        <v>A. Goose B. Giraffe C. Dragon D. Snail</v>
      </c>
      <c r="J46" s="3" t="str">
        <f>IFERROR(__xludf.DUMMYFUNCTION("GOOGLETRANSLATE(D46, ""it"", ""en"")"),"Giraffe")</f>
        <v>Giraffe</v>
      </c>
      <c r="K46" s="3" t="str">
        <f>IFERROR(__xludf.DUMMYFUNCTION("GOOGLETRANSLATE(E46, ""it"", ""en"")"),"The Giraffa district has a giraffe as its symbol.")</f>
        <v>The Giraffa district has a giraffe as its symbol.</v>
      </c>
      <c r="L46" s="2"/>
      <c r="M46" s="2"/>
      <c r="N46" s="2"/>
      <c r="O46" s="2"/>
      <c r="P46" s="2"/>
      <c r="Q46" s="2"/>
      <c r="R46" s="2"/>
      <c r="S46" s="2"/>
      <c r="T46" s="2"/>
      <c r="U46" s="2"/>
      <c r="V46" s="2"/>
      <c r="W46" s="2"/>
    </row>
    <row r="47" ht="22.5" customHeight="1">
      <c r="A47" s="3">
        <v>46.0</v>
      </c>
      <c r="B47" s="3" t="s">
        <v>1879</v>
      </c>
      <c r="C47" s="3" t="s">
        <v>1880</v>
      </c>
      <c r="D47" s="3" t="s">
        <v>1881</v>
      </c>
      <c r="E47" s="3" t="s">
        <v>1882</v>
      </c>
      <c r="F47" s="2"/>
      <c r="G47" s="3" t="str">
        <f>IFERROR(__xludf.DUMMYFUNCTION("GOOGLETRANSLATE(A47, ""it"", ""en"")"),"46")</f>
        <v>46</v>
      </c>
      <c r="H47" s="3" t="str">
        <f>IFERROR(__xludf.DUMMYFUNCTION("GOOGLETRANSLATE(B47, ""it"", ""en"")"),"What is the deadline for a repeat victory by the same contrada?")</f>
        <v>What is the deadline for a repeat victory by the same contrada?</v>
      </c>
      <c r="I47" s="3" t="str">
        <f>IFERROR(__xludf.DUMMYFUNCTION("GOOGLETRANSLATE(C47, ""it"", ""en"")"),"A. Double B. Three of a Kind C. Rematch D. Conquest")</f>
        <v>A. Double B. Three of a Kind C. Rematch D. Conquest</v>
      </c>
      <c r="J47" s="3" t="str">
        <f>IFERROR(__xludf.DUMMYFUNCTION("GOOGLETRANSLATE(D47, ""it"", ""en"")"),"Double")</f>
        <v>Double</v>
      </c>
      <c r="K47" s="3" t="str">
        <f>IFERROR(__xludf.DUMMYFUNCTION("GOOGLETRANSLATE(E47, ""it"", ""en"")"),"A double occurs when a contrada wins two consecutive Palios.")</f>
        <v>A double occurs when a contrada wins two consecutive Palios.</v>
      </c>
      <c r="L47" s="2"/>
      <c r="M47" s="2"/>
      <c r="N47" s="2"/>
      <c r="O47" s="2"/>
      <c r="P47" s="2"/>
      <c r="Q47" s="2"/>
      <c r="R47" s="2"/>
      <c r="S47" s="2"/>
      <c r="T47" s="2"/>
      <c r="U47" s="2"/>
      <c r="V47" s="2"/>
      <c r="W47" s="2"/>
    </row>
    <row r="48" ht="22.5" customHeight="1">
      <c r="A48" s="3">
        <v>47.0</v>
      </c>
      <c r="B48" s="3" t="s">
        <v>1883</v>
      </c>
      <c r="C48" s="3" t="s">
        <v>1884</v>
      </c>
      <c r="D48" s="3" t="s">
        <v>1885</v>
      </c>
      <c r="E48" s="3" t="s">
        <v>1886</v>
      </c>
      <c r="F48" s="2"/>
      <c r="G48" s="3" t="str">
        <f>IFERROR(__xludf.DUMMYFUNCTION("GOOGLETRANSLATE(A48, ""it"", ""en"")"),"47")</f>
        <v>47</v>
      </c>
      <c r="H48" s="3" t="str">
        <f>IFERROR(__xludf.DUMMYFUNCTION("GOOGLETRANSLATE(B48, ""it"", ""en"")"),"What does ""drawing lots"" mean?")</f>
        <v>What does "drawing lots" mean?</v>
      </c>
      <c r="I48" s="3" t="str">
        <f>IFERROR(__xludf.DUMMYFUNCTION("GOOGLETRANSLATE(C48, ""it"", ""en"")"),"A. Selection of the starter B. Choice of horses C. Choice of participating districts D. Distribution of the banner")</f>
        <v>A. Selection of the starter B. Choice of horses C. Choice of participating districts D. Distribution of the banner</v>
      </c>
      <c r="J48" s="3" t="str">
        <f>IFERROR(__xludf.DUMMYFUNCTION("GOOGLETRANSLATE(D48, ""it"", ""en"")"),"Choice of participating districts")</f>
        <v>Choice of participating districts</v>
      </c>
      <c r="K48" s="3" t="str">
        <f>IFERROR(__xludf.DUMMYFUNCTION("GOOGLETRANSLATE(E48, ""it"", ""en"")"),"Seven districts are drawn by lot to participate in the Palio.")</f>
        <v>Seven districts are drawn by lot to participate in the Palio.</v>
      </c>
      <c r="L48" s="2"/>
      <c r="M48" s="2"/>
      <c r="N48" s="2"/>
      <c r="O48" s="2"/>
      <c r="P48" s="2"/>
      <c r="Q48" s="2"/>
      <c r="R48" s="2"/>
      <c r="S48" s="2"/>
      <c r="T48" s="2"/>
      <c r="U48" s="2"/>
      <c r="V48" s="2"/>
      <c r="W48" s="2"/>
    </row>
    <row r="49" ht="22.5" customHeight="1">
      <c r="A49" s="3">
        <v>48.0</v>
      </c>
      <c r="B49" s="3" t="s">
        <v>1887</v>
      </c>
      <c r="C49" s="3" t="s">
        <v>1888</v>
      </c>
      <c r="D49" s="3" t="s">
        <v>1889</v>
      </c>
      <c r="E49" s="3" t="s">
        <v>1890</v>
      </c>
      <c r="F49" s="2"/>
      <c r="G49" s="3" t="str">
        <f>IFERROR(__xludf.DUMMYFUNCTION("GOOGLETRANSLATE(A49, ""it"", ""en"")"),"48")</f>
        <v>48</v>
      </c>
      <c r="H49" s="3" t="str">
        <f>IFERROR(__xludf.DUMMYFUNCTION("GOOGLETRANSLATE(B49, ""it"", ""en"")"),"What is the main rule for horses?")</f>
        <v>What is the main rule for horses?</v>
      </c>
      <c r="I49" s="3" t="str">
        <f>IFERROR(__xludf.DUMMYFUNCTION("GOOGLETRANSLATE(C49, ""it"", ""en"")"),"A. They must be purebred B. They must come from Siena C. They must be half-blood D. They must be white")</f>
        <v>A. They must be purebred B. They must come from Siena C. They must be half-blood D. They must be white</v>
      </c>
      <c r="J49" s="3" t="str">
        <f>IFERROR(__xludf.DUMMYFUNCTION("GOOGLETRANSLATE(D49, ""it"", ""en"")"),"They must be half-bloods")</f>
        <v>They must be half-bloods</v>
      </c>
      <c r="K49" s="3" t="str">
        <f>IFERROR(__xludf.DUMMYFUNCTION("GOOGLETRANSLATE(E49, ""it"", ""en"")"),"For safety and tradition, half-blood horses are used.")</f>
        <v>For safety and tradition, half-blood horses are used.</v>
      </c>
      <c r="L49" s="2"/>
      <c r="M49" s="2"/>
      <c r="N49" s="2"/>
      <c r="O49" s="2"/>
      <c r="P49" s="2"/>
      <c r="Q49" s="2"/>
      <c r="R49" s="2"/>
      <c r="S49" s="2"/>
      <c r="T49" s="2"/>
      <c r="U49" s="2"/>
      <c r="V49" s="2"/>
      <c r="W49" s="2"/>
    </row>
    <row r="50" ht="22.5" customHeight="1">
      <c r="A50" s="3">
        <v>49.0</v>
      </c>
      <c r="B50" s="3" t="s">
        <v>1891</v>
      </c>
      <c r="C50" s="3" t="s">
        <v>1892</v>
      </c>
      <c r="D50" s="3" t="s">
        <v>1893</v>
      </c>
      <c r="E50" s="3" t="s">
        <v>1894</v>
      </c>
      <c r="F50" s="2"/>
      <c r="G50" s="3" t="str">
        <f>IFERROR(__xludf.DUMMYFUNCTION("GOOGLETRANSLATE(A50, ""it"", ""en"")"),"49")</f>
        <v>49</v>
      </c>
      <c r="H50" s="3" t="str">
        <f>IFERROR(__xludf.DUMMYFUNCTION("GOOGLETRANSLATE(B50, ""it"", ""en"")"),"What do the drums represent during the parade?")</f>
        <v>What do the drums represent during the parade?</v>
      </c>
      <c r="I50" s="3" t="str">
        <f>IFERROR(__xludf.DUMMYFUNCTION("GOOGLETRANSLATE(C50, ""it"", ""en"")"),"A. The pace of the race B. The call to the competition C. The history of the contrada D. The glory of the winner")</f>
        <v>A. The pace of the race B. The call to the competition C. The history of the contrada D. The glory of the winner</v>
      </c>
      <c r="J50" s="3" t="str">
        <f>IFERROR(__xludf.DUMMYFUNCTION("GOOGLETRANSLATE(D50, ""it"", ""en"")"),"The call to competition")</f>
        <v>The call to competition</v>
      </c>
      <c r="K50" s="3" t="str">
        <f>IFERROR(__xludf.DUMMYFUNCTION("GOOGLETRANSLATE(E50, ""it"", ""en"")"),"The drums mark the rhythm and draw attention.")</f>
        <v>The drums mark the rhythm and draw attention.</v>
      </c>
      <c r="L50" s="2"/>
      <c r="M50" s="2"/>
      <c r="N50" s="2"/>
      <c r="O50" s="2"/>
      <c r="P50" s="2"/>
      <c r="Q50" s="2"/>
      <c r="R50" s="2"/>
      <c r="S50" s="2"/>
      <c r="T50" s="2"/>
      <c r="U50" s="2"/>
      <c r="V50" s="2"/>
      <c r="W50" s="2"/>
    </row>
    <row r="51" ht="22.5" customHeight="1">
      <c r="A51" s="3">
        <v>50.0</v>
      </c>
      <c r="B51" s="3" t="s">
        <v>1895</v>
      </c>
      <c r="C51" s="3" t="s">
        <v>1715</v>
      </c>
      <c r="D51" s="3" t="s">
        <v>434</v>
      </c>
      <c r="E51" s="3" t="s">
        <v>1896</v>
      </c>
      <c r="F51" s="2"/>
      <c r="G51" s="3" t="str">
        <f>IFERROR(__xludf.DUMMYFUNCTION("GOOGLETRANSLATE(A51, ""it"", ""en"")"),"50")</f>
        <v>50</v>
      </c>
      <c r="H51" s="3" t="str">
        <f>IFERROR(__xludf.DUMMYFUNCTION("GOOGLETRANSLATE(B51, ""it"", ""en"")"),"How many days before does the journey begin?")</f>
        <v>How many days before does the journey begin?</v>
      </c>
      <c r="I51" s="3" t="str">
        <f>IFERROR(__xludf.DUMMYFUNCTION("GOOGLETRANSLATE(C51, ""it"", ""en"")"),"A. One B. Two C. Three D. Four")</f>
        <v>A. One B. Two C. Three D. Four</v>
      </c>
      <c r="J51" s="3" t="str">
        <f>IFERROR(__xludf.DUMMYFUNCTION("GOOGLETRANSLATE(D51, ""it"", ""en"")"),"Three")</f>
        <v>Three</v>
      </c>
      <c r="K51" s="3" t="str">
        <f>IFERROR(__xludf.DUMMYFUNCTION("GOOGLETRANSLATE(E51, ""it"", ""en"")"),"The Tratta takes place three days before the race.")</f>
        <v>The Tratta takes place three days before the race.</v>
      </c>
      <c r="L51" s="2"/>
      <c r="M51" s="2"/>
      <c r="N51" s="2"/>
      <c r="O51" s="2"/>
      <c r="P51" s="2"/>
      <c r="Q51" s="2"/>
      <c r="R51" s="2"/>
      <c r="S51" s="2"/>
      <c r="T51" s="2"/>
      <c r="U51" s="2"/>
      <c r="V51" s="2"/>
      <c r="W51" s="2"/>
    </row>
    <row r="52" ht="22.5" customHeight="1">
      <c r="A52" s="3">
        <v>51.0</v>
      </c>
      <c r="B52" s="3" t="s">
        <v>1897</v>
      </c>
      <c r="C52" s="3" t="s">
        <v>1898</v>
      </c>
      <c r="D52" s="3" t="s">
        <v>1899</v>
      </c>
      <c r="E52" s="3" t="s">
        <v>1900</v>
      </c>
      <c r="F52" s="2"/>
      <c r="G52" s="3" t="str">
        <f>IFERROR(__xludf.DUMMYFUNCTION("GOOGLETRANSLATE(A52, ""it"", ""en"")"),"51")</f>
        <v>51</v>
      </c>
      <c r="H52" s="3" t="str">
        <f>IFERROR(__xludf.DUMMYFUNCTION("GOOGLETRANSLATE(B52, ""it"", ""en"")"),"What does the jockey's jacket symbolize?")</f>
        <v>What does the jockey's jacket symbolize?</v>
      </c>
      <c r="I52" s="3" t="str">
        <f>IFERROR(__xludf.DUMMYFUNCTION("GOOGLETRANSLATE(C52, ""it"", ""en"")"),"A. The contrada flag B. The banner C. The history of Siena D. The contrada colors")</f>
        <v>A. The contrada flag B. The banner C. The history of Siena D. The contrada colors</v>
      </c>
      <c r="J52" s="3" t="str">
        <f>IFERROR(__xludf.DUMMYFUNCTION("GOOGLETRANSLATE(D52, ""it"", ""en"")"),"The colors of the contrada")</f>
        <v>The colors of the contrada</v>
      </c>
      <c r="K52" s="3" t="str">
        <f>IFERROR(__xludf.DUMMYFUNCTION("GOOGLETRANSLATE(E52, ""it"", ""en"")"),"The jacket features the distinctive colours of the contrada.")</f>
        <v>The jacket features the distinctive colours of the contrada.</v>
      </c>
      <c r="L52" s="2"/>
      <c r="M52" s="2"/>
      <c r="N52" s="2"/>
      <c r="O52" s="2"/>
      <c r="P52" s="2"/>
      <c r="Q52" s="2"/>
      <c r="R52" s="2"/>
      <c r="S52" s="2"/>
      <c r="T52" s="2"/>
      <c r="U52" s="2"/>
      <c r="V52" s="2"/>
      <c r="W52" s="2"/>
    </row>
    <row r="53" ht="22.5" customHeight="1">
      <c r="A53" s="3">
        <v>52.0</v>
      </c>
      <c r="B53" s="3" t="s">
        <v>1901</v>
      </c>
      <c r="C53" s="3" t="s">
        <v>1902</v>
      </c>
      <c r="D53" s="3" t="s">
        <v>1903</v>
      </c>
      <c r="E53" s="3" t="s">
        <v>1904</v>
      </c>
      <c r="F53" s="2"/>
      <c r="G53" s="3" t="str">
        <f>IFERROR(__xludf.DUMMYFUNCTION("GOOGLETRANSLATE(A53, ""it"", ""en"")"),"52")</f>
        <v>52</v>
      </c>
      <c r="H53" s="3" t="str">
        <f>IFERROR(__xludf.DUMMYFUNCTION("GOOGLETRANSLATE(B53, ""it"", ""en"")"),"What is the name of the test where the jockeys practice the start?")</f>
        <v>What is the name of the test where the jockeys practice the start?</v>
      </c>
      <c r="I53" s="3" t="str">
        <f>IFERROR(__xludf.DUMMYFUNCTION("GOOGLETRANSLATE(C53, ""it"", ""en"")"),"A. Move rehearsal B. Dress rehearsal C. Starter rehearsal D. Night rehearsal")</f>
        <v>A. Move rehearsal B. Dress rehearsal C. Starter rehearsal D. Night rehearsal</v>
      </c>
      <c r="J53" s="3" t="str">
        <f>IFERROR(__xludf.DUMMYFUNCTION("GOOGLETRANSLATE(D53, ""it"", ""en"")"),"Proof of the move")</f>
        <v>Proof of the move</v>
      </c>
      <c r="K53" s="3" t="str">
        <f>IFERROR(__xludf.DUMMYFUNCTION("GOOGLETRANSLATE(E53, ""it"", ""en"")"),"The move test is dedicated to the start.")</f>
        <v>The move test is dedicated to the start.</v>
      </c>
      <c r="L53" s="2"/>
      <c r="M53" s="2"/>
      <c r="N53" s="2"/>
      <c r="O53" s="2"/>
      <c r="P53" s="2"/>
      <c r="Q53" s="2"/>
      <c r="R53" s="2"/>
      <c r="S53" s="2"/>
      <c r="T53" s="2"/>
      <c r="U53" s="2"/>
      <c r="V53" s="2"/>
      <c r="W53" s="2"/>
    </row>
    <row r="54" ht="22.5" customHeight="1">
      <c r="A54" s="3">
        <v>53.0</v>
      </c>
      <c r="B54" s="3" t="s">
        <v>1905</v>
      </c>
      <c r="C54" s="3" t="s">
        <v>1906</v>
      </c>
      <c r="D54" s="3" t="s">
        <v>1907</v>
      </c>
      <c r="E54" s="3" t="s">
        <v>1908</v>
      </c>
      <c r="F54" s="2"/>
      <c r="G54" s="3" t="str">
        <f>IFERROR(__xludf.DUMMYFUNCTION("GOOGLETRANSLATE(A54, ""it"", ""en"")"),"53")</f>
        <v>53</v>
      </c>
      <c r="H54" s="3" t="str">
        <f>IFERROR(__xludf.DUMMYFUNCTION("GOOGLETRANSLATE(B54, ""it"", ""en"")"),"Who celebrates the mass before the Palio?")</f>
        <v>Who celebrates the mass before the Palio?</v>
      </c>
      <c r="I54" s="3" t="str">
        <f>IFERROR(__xludf.DUMMYFUNCTION("GOOGLETRANSLATE(C54, ""it"", ""en"")"),"A. The prior B. The mayor C. The bishop D. A jockey")</f>
        <v>A. The prior B. The mayor C. The bishop D. A jockey</v>
      </c>
      <c r="J54" s="3" t="str">
        <f>IFERROR(__xludf.DUMMYFUNCTION("GOOGLETRANSLATE(D54, ""it"", ""en"")"),"The bishop")</f>
        <v>The bishop</v>
      </c>
      <c r="K54" s="3" t="str">
        <f>IFERROR(__xludf.DUMMYFUNCTION("GOOGLETRANSLATE(E54, ""it"", ""en"")"),"The mass is celebrated by the bishop of Siena.")</f>
        <v>The mass is celebrated by the bishop of Siena.</v>
      </c>
      <c r="L54" s="2"/>
      <c r="M54" s="2"/>
      <c r="N54" s="2"/>
      <c r="O54" s="2"/>
      <c r="P54" s="2"/>
      <c r="Q54" s="2"/>
      <c r="R54" s="2"/>
      <c r="S54" s="2"/>
      <c r="T54" s="2"/>
      <c r="U54" s="2"/>
      <c r="V54" s="2"/>
      <c r="W54" s="2"/>
    </row>
    <row r="55" ht="22.5" customHeight="1">
      <c r="A55" s="3">
        <v>54.0</v>
      </c>
      <c r="B55" s="3" t="s">
        <v>1909</v>
      </c>
      <c r="C55" s="3" t="s">
        <v>1910</v>
      </c>
      <c r="D55" s="3" t="s">
        <v>1911</v>
      </c>
      <c r="E55" s="3" t="s">
        <v>1912</v>
      </c>
      <c r="F55" s="2"/>
      <c r="G55" s="3" t="str">
        <f>IFERROR(__xludf.DUMMYFUNCTION("GOOGLETRANSLATE(A55, ""it"", ""en"")"),"54")</f>
        <v>54</v>
      </c>
      <c r="H55" s="3" t="str">
        <f>IFERROR(__xludf.DUMMYFUNCTION("GOOGLETRANSLATE(B55, ""it"", ""en"")"),"What happens at the victory dinner?")</f>
        <v>What happens at the victory dinner?</v>
      </c>
      <c r="I55" s="3" t="str">
        <f>IFERROR(__xludf.DUMMYFUNCTION("GOOGLETRANSLATE(C55, ""it"", ""en"")"),"A. The banner is handed out B. The horse is prepared C. The winning contrada is celebrated D. The starter is chosen")</f>
        <v>A. The banner is handed out B. The horse is prepared C. The winning contrada is celebrated D. The starter is chosen</v>
      </c>
      <c r="J55" s="3" t="str">
        <f>IFERROR(__xludf.DUMMYFUNCTION("GOOGLETRANSLATE(D55, ""it"", ""en"")"),"The winning contrada is celebrated")</f>
        <v>The winning contrada is celebrated</v>
      </c>
      <c r="K55" s="3" t="str">
        <f>IFERROR(__xludf.DUMMYFUNCTION("GOOGLETRANSLATE(E55, ""it"", ""en"")"),"It's a moment of celebration for the winning contrada.")</f>
        <v>It's a moment of celebration for the winning contrada.</v>
      </c>
      <c r="L55" s="2"/>
      <c r="M55" s="2"/>
      <c r="N55" s="2"/>
      <c r="O55" s="2"/>
      <c r="P55" s="2"/>
      <c r="Q55" s="2"/>
      <c r="R55" s="2"/>
      <c r="S55" s="2"/>
      <c r="T55" s="2"/>
      <c r="U55" s="2"/>
      <c r="V55" s="2"/>
      <c r="W55" s="2"/>
    </row>
    <row r="56" ht="22.5" customHeight="1">
      <c r="A56" s="3">
        <v>55.0</v>
      </c>
      <c r="B56" s="3" t="s">
        <v>1913</v>
      </c>
      <c r="C56" s="3" t="s">
        <v>1914</v>
      </c>
      <c r="D56" s="3" t="s">
        <v>1915</v>
      </c>
      <c r="E56" s="3" t="s">
        <v>1916</v>
      </c>
      <c r="F56" s="2"/>
      <c r="G56" s="3" t="str">
        <f>IFERROR(__xludf.DUMMYFUNCTION("GOOGLETRANSLATE(A56, ""it"", ""en"")"),"55")</f>
        <v>55</v>
      </c>
      <c r="H56" s="3" t="str">
        <f>IFERROR(__xludf.DUMMYFUNCTION("GOOGLETRANSLATE(B56, ""it"", ""en"")"),"What is the preliminary race called?")</f>
        <v>What is the preliminary race called?</v>
      </c>
      <c r="I56" s="3" t="str">
        <f>IFERROR(__xludf.DUMMYFUNCTION("GOOGLETRANSLATE(C56, ""it"", ""en"")"),"A. Test run B. Night test C. Route D. Joust")</f>
        <v>A. Test run B. Night test C. Route D. Joust</v>
      </c>
      <c r="J56" s="3" t="str">
        <f>IFERROR(__xludf.DUMMYFUNCTION("GOOGLETRANSLATE(D56, ""it"", ""en"")"),"Test")</f>
        <v>Test</v>
      </c>
      <c r="K56" s="3" t="str">
        <f>IFERROR(__xludf.DUMMYFUNCTION("GOOGLETRANSLATE(E56, ""it"", ""en"")"),"The provaccia is a preliminary race before the Palio.")</f>
        <v>The provaccia is a preliminary race before the Palio.</v>
      </c>
      <c r="L56" s="2"/>
      <c r="M56" s="2"/>
      <c r="N56" s="2"/>
      <c r="O56" s="2"/>
      <c r="P56" s="2"/>
      <c r="Q56" s="2"/>
      <c r="R56" s="2"/>
      <c r="S56" s="2"/>
      <c r="T56" s="2"/>
      <c r="U56" s="2"/>
      <c r="V56" s="2"/>
      <c r="W56" s="2"/>
    </row>
    <row r="57" ht="22.5" customHeight="1">
      <c r="A57" s="3">
        <v>56.0</v>
      </c>
      <c r="B57" s="3" t="s">
        <v>1917</v>
      </c>
      <c r="C57" s="3" t="s">
        <v>1918</v>
      </c>
      <c r="D57" s="3" t="s">
        <v>1919</v>
      </c>
      <c r="E57" s="3" t="s">
        <v>1920</v>
      </c>
      <c r="F57" s="2"/>
      <c r="G57" s="3" t="str">
        <f>IFERROR(__xludf.DUMMYFUNCTION("GOOGLETRANSLATE(A57, ""it"", ""en"")"),"56")</f>
        <v>56</v>
      </c>
      <c r="H57" s="3" t="str">
        <f>IFERROR(__xludf.DUMMYFUNCTION("GOOGLETRANSLATE(B57, ""it"", ""en"")"),"What happens if a shaken horse crosses the finish line first?")</f>
        <v>What happens if a shaken horse crosses the finish line first?</v>
      </c>
      <c r="I57" s="3" t="str">
        <f>IFERROR(__xludf.DUMMYFUNCTION("GOOGLETRANSLATE(C57, ""it"", ""en"")"),"A. He wins the race B. He is eliminated C. The banner is reassigned D. Another race is run")</f>
        <v>A. He wins the race B. He is eliminated C. The banner is reassigned D. Another race is run</v>
      </c>
      <c r="J57" s="3" t="str">
        <f>IFERROR(__xludf.DUMMYFUNCTION("GOOGLETRANSLATE(D57, ""it"", ""en"")"),"He wins the race")</f>
        <v>He wins the race</v>
      </c>
      <c r="K57" s="3" t="str">
        <f>IFERROR(__xludf.DUMMYFUNCTION("GOOGLETRANSLATE(E57, ""it"", ""en"")"),"Even a horse without a jockey can win the Palio.")</f>
        <v>Even a horse without a jockey can win the Palio.</v>
      </c>
      <c r="L57" s="2"/>
      <c r="M57" s="2"/>
      <c r="N57" s="2"/>
      <c r="O57" s="2"/>
      <c r="P57" s="2"/>
      <c r="Q57" s="2"/>
      <c r="R57" s="2"/>
      <c r="S57" s="2"/>
      <c r="T57" s="2"/>
      <c r="U57" s="2"/>
      <c r="V57" s="2"/>
      <c r="W57" s="2"/>
    </row>
    <row r="58" ht="22.5" customHeight="1">
      <c r="A58" s="3">
        <v>57.0</v>
      </c>
      <c r="B58" s="3" t="s">
        <v>1921</v>
      </c>
      <c r="C58" s="3" t="s">
        <v>1922</v>
      </c>
      <c r="D58" s="3" t="s">
        <v>1923</v>
      </c>
      <c r="E58" s="3" t="s">
        <v>1924</v>
      </c>
      <c r="F58" s="2"/>
      <c r="G58" s="3" t="str">
        <f>IFERROR(__xludf.DUMMYFUNCTION("GOOGLETRANSLATE(A58, ""it"", ""en"")"),"57")</f>
        <v>57</v>
      </c>
      <c r="H58" s="3" t="str">
        <f>IFERROR(__xludf.DUMMYFUNCTION("GOOGLETRANSLATE(B58, ""it"", ""en"")"),"Who coordinates security in the square during the Palio?")</f>
        <v>Who coordinates security in the square during the Palio?</v>
      </c>
      <c r="I58" s="3" t="str">
        <f>IFERROR(__xludf.DUMMYFUNCTION("GOOGLETRANSLATE(C58, ""it"", ""en"")"),"A. The prior B. The starter C. The police D. The captain of the contrada")</f>
        <v>A. The prior B. The starter C. The police D. The captain of the contrada</v>
      </c>
      <c r="J58" s="3" t="str">
        <f>IFERROR(__xludf.DUMMYFUNCTION("GOOGLETRANSLATE(D58, ""it"", ""en"")"),"The police forces")</f>
        <v>The police forces</v>
      </c>
      <c r="K58" s="3" t="str">
        <f>IFERROR(__xludf.DUMMYFUNCTION("GOOGLETRANSLATE(E58, ""it"", ""en"")"),"Security is handled by law enforcement.")</f>
        <v>Security is handled by law enforcement.</v>
      </c>
      <c r="L58" s="2"/>
      <c r="M58" s="2"/>
      <c r="N58" s="2"/>
      <c r="O58" s="2"/>
      <c r="P58" s="2"/>
      <c r="Q58" s="2"/>
      <c r="R58" s="2"/>
      <c r="S58" s="2"/>
      <c r="T58" s="2"/>
      <c r="U58" s="2"/>
      <c r="V58" s="2"/>
      <c r="W58" s="2"/>
    </row>
    <row r="59" ht="22.5" customHeight="1">
      <c r="A59" s="3">
        <v>58.0</v>
      </c>
      <c r="B59" s="3" t="s">
        <v>1925</v>
      </c>
      <c r="C59" s="3" t="s">
        <v>1926</v>
      </c>
      <c r="D59" s="3" t="s">
        <v>1927</v>
      </c>
      <c r="E59" s="3" t="s">
        <v>1928</v>
      </c>
      <c r="F59" s="2"/>
      <c r="G59" s="3" t="str">
        <f>IFERROR(__xludf.DUMMYFUNCTION("GOOGLETRANSLATE(A59, ""it"", ""en"")"),"58")</f>
        <v>58</v>
      </c>
      <c r="H59" s="3" t="str">
        <f>IFERROR(__xludf.DUMMYFUNCTION("GOOGLETRANSLATE(B59, ""it"", ""en"")"),"How many times can a contrada participate in the Palio in a year?")</f>
        <v>How many times can a contrada participate in the Palio in a year?</v>
      </c>
      <c r="I59" s="3" t="str">
        <f>IFERROR(__xludf.DUMMYFUNCTION("GOOGLETRANSLATE(C59, ""it"", ""en"")"),"A. Once B. Twice C. Three times D. Unlimited")</f>
        <v>A. Once B. Twice C. Three times D. Unlimited</v>
      </c>
      <c r="J59" s="3" t="str">
        <f>IFERROR(__xludf.DUMMYFUNCTION("GOOGLETRANSLATE(D59, ""it"", ""en"")"),"Twice")</f>
        <v>Twice</v>
      </c>
      <c r="K59" s="3" t="str">
        <f>IFERROR(__xludf.DUMMYFUNCTION("GOOGLETRANSLATE(E59, ""it"", ""en"")"),"Each contrada can participate in the two Palios of the year.")</f>
        <v>Each contrada can participate in the two Palios of the year.</v>
      </c>
      <c r="L59" s="2"/>
      <c r="M59" s="2"/>
      <c r="N59" s="2"/>
      <c r="O59" s="2"/>
      <c r="P59" s="2"/>
      <c r="Q59" s="2"/>
      <c r="R59" s="2"/>
      <c r="S59" s="2"/>
      <c r="T59" s="2"/>
      <c r="U59" s="2"/>
      <c r="V59" s="2"/>
      <c r="W59" s="2"/>
    </row>
    <row r="60" ht="22.5" customHeight="1">
      <c r="A60" s="3">
        <v>59.0</v>
      </c>
      <c r="B60" s="3" t="s">
        <v>1929</v>
      </c>
      <c r="C60" s="3" t="s">
        <v>1930</v>
      </c>
      <c r="D60" s="3" t="s">
        <v>1931</v>
      </c>
      <c r="E60" s="3" t="s">
        <v>1932</v>
      </c>
      <c r="F60" s="2"/>
      <c r="G60" s="3" t="str">
        <f>IFERROR(__xludf.DUMMYFUNCTION("GOOGLETRANSLATE(A60, ""it"", ""en"")"),"59")</f>
        <v>59</v>
      </c>
      <c r="H60" s="3" t="str">
        <f>IFERROR(__xludf.DUMMYFUNCTION("GOOGLETRANSLATE(B60, ""it"", ""en"")"),"Which district has a dragon as its symbol?")</f>
        <v>Which district has a dragon as its symbol?</v>
      </c>
      <c r="I60" s="3" t="str">
        <f>IFERROR(__xludf.DUMMYFUNCTION("GOOGLETRANSLATE(C60, ""it"", ""en"")"),"A. Giraffe B. Tower C. Goose D. Dragon")</f>
        <v>A. Giraffe B. Tower C. Goose D. Dragon</v>
      </c>
      <c r="J60" s="3" t="str">
        <f>IFERROR(__xludf.DUMMYFUNCTION("GOOGLETRANSLATE(D60, ""it"", ""en"")"),"Dragon")</f>
        <v>Dragon</v>
      </c>
      <c r="K60" s="3" t="str">
        <f>IFERROR(__xludf.DUMMYFUNCTION("GOOGLETRANSLATE(E60, ""it"", ""en"")"),"The Drago district has a dragon as its symbol.")</f>
        <v>The Drago district has a dragon as its symbol.</v>
      </c>
      <c r="L60" s="2"/>
      <c r="M60" s="2"/>
      <c r="N60" s="2"/>
      <c r="O60" s="2"/>
      <c r="P60" s="2"/>
      <c r="Q60" s="2"/>
      <c r="R60" s="2"/>
      <c r="S60" s="2"/>
      <c r="T60" s="2"/>
      <c r="U60" s="2"/>
      <c r="V60" s="2"/>
      <c r="W60" s="2"/>
    </row>
    <row r="61" ht="22.5" customHeight="1">
      <c r="A61" s="3">
        <v>60.0</v>
      </c>
      <c r="B61" s="3" t="s">
        <v>1933</v>
      </c>
      <c r="C61" s="3" t="s">
        <v>1934</v>
      </c>
      <c r="D61" s="3" t="s">
        <v>1935</v>
      </c>
      <c r="E61" s="3" t="s">
        <v>1936</v>
      </c>
      <c r="F61" s="2"/>
      <c r="G61" s="3" t="str">
        <f>IFERROR(__xludf.DUMMYFUNCTION("GOOGLETRANSLATE(A61, ""it"", ""en"")"),"60")</f>
        <v>60</v>
      </c>
      <c r="H61" s="3" t="str">
        <f>IFERROR(__xludf.DUMMYFUNCTION("GOOGLETRANSLATE(B61, ""it"", ""en"")"),"Who decides the winners in case of disputes?")</f>
        <v>Who decides the winners in case of disputes?</v>
      </c>
      <c r="I61" s="3" t="str">
        <f>IFERROR(__xludf.DUMMYFUNCTION("GOOGLETRANSLATE(C61, ""it"", ""en"")"),"A. The starter B. The prior C. The judge of the Palio D. The mayor")</f>
        <v>A. The starter B. The prior C. The judge of the Palio D. The mayor</v>
      </c>
      <c r="J61" s="3" t="str">
        <f>IFERROR(__xludf.DUMMYFUNCTION("GOOGLETRANSLATE(D61, ""it"", ""en"")"),"The judge of the Palio")</f>
        <v>The judge of the Palio</v>
      </c>
      <c r="K61" s="3" t="str">
        <f>IFERROR(__xludf.DUMMYFUNCTION("GOOGLETRANSLATE(E61, ""it"", ""en"")"),"The Palio judge intervenes in case of disputes.")</f>
        <v>The Palio judge intervenes in case of disputes.</v>
      </c>
      <c r="L61" s="2"/>
      <c r="M61" s="2"/>
      <c r="N61" s="2"/>
      <c r="O61" s="2"/>
      <c r="P61" s="2"/>
      <c r="Q61" s="2"/>
      <c r="R61" s="2"/>
      <c r="S61" s="2"/>
      <c r="T61" s="2"/>
      <c r="U61" s="2"/>
      <c r="V61" s="2"/>
      <c r="W61" s="2"/>
    </row>
    <row r="62" ht="22.5" customHeight="1">
      <c r="A62" s="3">
        <v>61.0</v>
      </c>
      <c r="B62" s="3" t="s">
        <v>1937</v>
      </c>
      <c r="C62" s="3" t="s">
        <v>1938</v>
      </c>
      <c r="D62" s="3" t="s">
        <v>1939</v>
      </c>
      <c r="E62" s="3" t="s">
        <v>1940</v>
      </c>
      <c r="F62" s="2"/>
      <c r="G62" s="3" t="str">
        <f>IFERROR(__xludf.DUMMYFUNCTION("GOOGLETRANSLATE(A62, ""it"", ""en"")"),"61")</f>
        <v>61</v>
      </c>
      <c r="H62" s="3" t="str">
        <f>IFERROR(__xludf.DUMMYFUNCTION("GOOGLETRANSLATE(B62, ""it"", ""en"")"),"What is celebrated during the historical Palio procession?")</f>
        <v>What is celebrated during the historical Palio procession?</v>
      </c>
      <c r="I62" s="3" t="str">
        <f>IFERROR(__xludf.DUMMYFUNCTION("GOOGLETRANSLATE(C62, ""it"", ""en"")"),"A. The origins of Siena B. The glory of the districts C. The ancient medieval traditions D. The victory of the district")</f>
        <v>A. The origins of Siena B. The glory of the districts C. The ancient medieval traditions D. The victory of the district</v>
      </c>
      <c r="J62" s="3" t="str">
        <f>IFERROR(__xludf.DUMMYFUNCTION("GOOGLETRANSLATE(D62, ""it"", ""en"")"),"The ancient medieval traditions")</f>
        <v>The ancient medieval traditions</v>
      </c>
      <c r="K62" s="3" t="str">
        <f>IFERROR(__xludf.DUMMYFUNCTION("GOOGLETRANSLATE(E62, ""it"", ""en"")"),"The historical procession recalls the city's medieval traditions.")</f>
        <v>The historical procession recalls the city's medieval traditions.</v>
      </c>
      <c r="L62" s="2"/>
      <c r="M62" s="2"/>
      <c r="N62" s="2"/>
      <c r="O62" s="2"/>
      <c r="P62" s="2"/>
      <c r="Q62" s="2"/>
      <c r="R62" s="2"/>
      <c r="S62" s="2"/>
      <c r="T62" s="2"/>
      <c r="U62" s="2"/>
      <c r="V62" s="2"/>
      <c r="W62" s="2"/>
    </row>
    <row r="63" ht="22.5" customHeight="1">
      <c r="A63" s="3">
        <v>62.0</v>
      </c>
      <c r="B63" s="3" t="s">
        <v>1941</v>
      </c>
      <c r="C63" s="3" t="s">
        <v>1942</v>
      </c>
      <c r="D63" s="3" t="s">
        <v>1943</v>
      </c>
      <c r="E63" s="3" t="s">
        <v>1944</v>
      </c>
      <c r="F63" s="2"/>
      <c r="G63" s="3" t="str">
        <f>IFERROR(__xludf.DUMMYFUNCTION("GOOGLETRANSLATE(A63, ""it"", ""en"")"),"62")</f>
        <v>62</v>
      </c>
      <c r="H63" s="3" t="str">
        <f>IFERROR(__xludf.DUMMYFUNCTION("GOOGLETRANSLATE(B63, ""it"", ""en"")"),"What is the function of the canape during the Palio?")</f>
        <v>What is the function of the canape during the Palio?</v>
      </c>
      <c r="I63" s="3" t="str">
        <f>IFERROR(__xludf.DUMMYFUNCTION("GOOGLETRANSLATE(C63, ""it"", ""en"")"),"A. Mark the finish line B. Separate the districts C. Indicate the starting point D. Delimit the square")</f>
        <v>A. Mark the finish line B. Separate the districts C. Indicate the starting point D. Delimit the square</v>
      </c>
      <c r="J63" s="3" t="str">
        <f>IFERROR(__xludf.DUMMYFUNCTION("GOOGLETRANSLATE(D63, ""it"", ""en"")"),"Indicate the departure")</f>
        <v>Indicate the departure</v>
      </c>
      <c r="K63" s="3" t="str">
        <f>IFERROR(__xludf.DUMMYFUNCTION("GOOGLETRANSLATE(E63, ""it"", ""en"")"),"The hemp is the rope that marks the starting line.")</f>
        <v>The hemp is the rope that marks the starting line.</v>
      </c>
      <c r="L63" s="2"/>
      <c r="M63" s="2"/>
      <c r="N63" s="2"/>
      <c r="O63" s="2"/>
      <c r="P63" s="2"/>
      <c r="Q63" s="2"/>
      <c r="R63" s="2"/>
      <c r="S63" s="2"/>
      <c r="T63" s="2"/>
      <c r="U63" s="2"/>
      <c r="V63" s="2"/>
      <c r="W63" s="2"/>
    </row>
    <row r="64" ht="22.5" customHeight="1">
      <c r="A64" s="3">
        <v>63.0</v>
      </c>
      <c r="B64" s="3" t="s">
        <v>1945</v>
      </c>
      <c r="C64" s="3" t="s">
        <v>1946</v>
      </c>
      <c r="D64" s="3" t="s">
        <v>1947</v>
      </c>
      <c r="E64" s="3" t="s">
        <v>1948</v>
      </c>
      <c r="F64" s="2"/>
      <c r="G64" s="3" t="str">
        <f>IFERROR(__xludf.DUMMYFUNCTION("GOOGLETRANSLATE(A64, ""it"", ""en"")"),"63")</f>
        <v>63</v>
      </c>
      <c r="H64" s="3" t="str">
        <f>IFERROR(__xludf.DUMMYFUNCTION("GOOGLETRANSLATE(B64, ""it"", ""en"")"),"What is the role of the horse in the Palio tradition?")</f>
        <v>What is the role of the horse in the Palio tradition?</v>
      </c>
      <c r="I64" s="3" t="str">
        <f>IFERROR(__xludf.DUMMYFUNCTION("GOOGLETRANSLATE(C64, ""it"", ""en"")"),"A. Be a symbol of strength B. Be a purely decorative element C. Be the true protagonist D. Be a tribute to the Madonna")</f>
        <v>A. Be a symbol of strength B. Be a purely decorative element C. Be the true protagonist D. Be a tribute to the Madonna</v>
      </c>
      <c r="J64" s="3" t="str">
        <f>IFERROR(__xludf.DUMMYFUNCTION("GOOGLETRANSLATE(D64, ""it"", ""en"")"),"Being the real protagonist")</f>
        <v>Being the real protagonist</v>
      </c>
      <c r="K64" s="3" t="str">
        <f>IFERROR(__xludf.DUMMYFUNCTION("GOOGLETRANSLATE(E64, ""it"", ""en"")"),"The horse is the true protagonist of the race.")</f>
        <v>The horse is the true protagonist of the race.</v>
      </c>
      <c r="L64" s="2"/>
      <c r="M64" s="2"/>
      <c r="N64" s="2"/>
      <c r="O64" s="2"/>
      <c r="P64" s="2"/>
      <c r="Q64" s="2"/>
      <c r="R64" s="2"/>
      <c r="S64" s="2"/>
      <c r="T64" s="2"/>
      <c r="U64" s="2"/>
      <c r="V64" s="2"/>
      <c r="W64" s="2"/>
    </row>
    <row r="65" ht="22.5" customHeight="1">
      <c r="A65" s="3">
        <v>64.0</v>
      </c>
      <c r="B65" s="3" t="s">
        <v>1949</v>
      </c>
      <c r="C65" s="3" t="s">
        <v>1950</v>
      </c>
      <c r="D65" s="3">
        <v>7.0</v>
      </c>
      <c r="E65" s="3" t="s">
        <v>1951</v>
      </c>
      <c r="F65" s="2"/>
      <c r="G65" s="3" t="str">
        <f>IFERROR(__xludf.DUMMYFUNCTION("GOOGLETRANSLATE(A65, ""it"", ""en"")"),"64")</f>
        <v>64</v>
      </c>
      <c r="H65" s="3" t="str">
        <f>IFERROR(__xludf.DUMMYFUNCTION("GOOGLETRANSLATE(B65, ""it"", ""en"")"),"How many districts are excluded from the Palio each year?")</f>
        <v>How many districts are excluded from the Palio each year?</v>
      </c>
      <c r="I65" s="3" t="str">
        <f>IFERROR(__xludf.DUMMYFUNCTION("GOOGLETRANSLATE(C65, ""it"", ""en"")"),"A. 1 B. 3 C. 5 D. 7")</f>
        <v>A. 1 B. 3 C. 5 D. 7</v>
      </c>
      <c r="J65" s="3" t="str">
        <f>IFERROR(__xludf.DUMMYFUNCTION("GOOGLETRANSLATE(D65, ""it"", ""en"")"),"7")</f>
        <v>7</v>
      </c>
      <c r="K65" s="3" t="str">
        <f>IFERROR(__xludf.DUMMYFUNCTION("GOOGLETRANSLATE(E65, ""it"", ""en"")"),"Seven districts are excluded on a rotating basis each year.")</f>
        <v>Seven districts are excluded on a rotating basis each year.</v>
      </c>
      <c r="L65" s="2"/>
      <c r="M65" s="2"/>
      <c r="N65" s="2"/>
      <c r="O65" s="2"/>
      <c r="P65" s="2"/>
      <c r="Q65" s="2"/>
      <c r="R65" s="2"/>
      <c r="S65" s="2"/>
      <c r="T65" s="2"/>
      <c r="U65" s="2"/>
      <c r="V65" s="2"/>
      <c r="W65" s="2"/>
    </row>
    <row r="66" ht="22.5" customHeight="1">
      <c r="A66" s="3">
        <v>65.0</v>
      </c>
      <c r="B66" s="3" t="s">
        <v>1952</v>
      </c>
      <c r="C66" s="3" t="s">
        <v>1953</v>
      </c>
      <c r="D66" s="3" t="s">
        <v>1954</v>
      </c>
      <c r="E66" s="3" t="s">
        <v>1955</v>
      </c>
      <c r="F66" s="2"/>
      <c r="G66" s="3" t="str">
        <f>IFERROR(__xludf.DUMMYFUNCTION("GOOGLETRANSLATE(A66, ""it"", ""en"")"),"65")</f>
        <v>65</v>
      </c>
      <c r="H66" s="3" t="str">
        <f>IFERROR(__xludf.DUMMYFUNCTION("GOOGLETRANSLATE(B66, ""it"", ""en"")"),"Who decides the design of the banner?")</f>
        <v>Who decides the design of the banner?</v>
      </c>
      <c r="I66" s="3" t="str">
        <f>IFERROR(__xludf.DUMMYFUNCTION("GOOGLETRANSLATE(C66, ""it"", ""en"")"),"A. The municipality of Siena B. The starter C. The prior of the winning contrada D. The bishop")</f>
        <v>A. The municipality of Siena B. The starter C. The prior of the winning contrada D. The bishop</v>
      </c>
      <c r="J66" s="3" t="str">
        <f>IFERROR(__xludf.DUMMYFUNCTION("GOOGLETRANSLATE(D66, ""it"", ""en"")"),"The municipality of Siena")</f>
        <v>The municipality of Siena</v>
      </c>
      <c r="K66" s="3" t="str">
        <f>IFERROR(__xludf.DUMMYFUNCTION("GOOGLETRANSLATE(E66, ""it"", ""en"")"),"The municipality selects an artist to create it.")</f>
        <v>The municipality selects an artist to create it.</v>
      </c>
      <c r="L66" s="2"/>
      <c r="M66" s="2"/>
      <c r="N66" s="2"/>
      <c r="O66" s="2"/>
      <c r="P66" s="2"/>
      <c r="Q66" s="2"/>
      <c r="R66" s="2"/>
      <c r="S66" s="2"/>
      <c r="T66" s="2"/>
      <c r="U66" s="2"/>
      <c r="V66" s="2"/>
      <c r="W66" s="2"/>
    </row>
    <row r="67" ht="22.5" customHeight="1">
      <c r="A67" s="3">
        <v>66.0</v>
      </c>
      <c r="B67" s="3" t="s">
        <v>1956</v>
      </c>
      <c r="C67" s="3" t="s">
        <v>1957</v>
      </c>
      <c r="D67" s="3" t="s">
        <v>1958</v>
      </c>
      <c r="E67" s="3" t="s">
        <v>1959</v>
      </c>
      <c r="F67" s="2"/>
      <c r="G67" s="3" t="str">
        <f>IFERROR(__xludf.DUMMYFUNCTION("GOOGLETRANSLATE(A67, ""it"", ""en"")"),"66")</f>
        <v>66</v>
      </c>
      <c r="H67" s="3" t="str">
        <f>IFERROR(__xludf.DUMMYFUNCTION("GOOGLETRANSLATE(B67, ""it"", ""en"")"),"What do the banners carried during the procession represent?")</f>
        <v>What do the banners carried during the procession represent?</v>
      </c>
      <c r="I67" s="3" t="str">
        <f>IFERROR(__xludf.DUMMYFUNCTION("GOOGLETRANSLATE(C67, ""it"", ""en"")"),"A. The alliances between the districts B. The medieval wars C. The history and identity of the districts D. The Peace of Siena")</f>
        <v>A. The alliances between the districts B. The medieval wars C. The history and identity of the districts D. The Peace of Siena</v>
      </c>
      <c r="J67" s="3" t="str">
        <f>IFERROR(__xludf.DUMMYFUNCTION("GOOGLETRANSLATE(D67, ""it"", ""en"")"),"The history and identity of the districts")</f>
        <v>The history and identity of the districts</v>
      </c>
      <c r="K67" s="3" t="str">
        <f>IFERROR(__xludf.DUMMYFUNCTION("GOOGLETRANSLATE(E67, ""it"", ""en"")"),"The banners tell the story and identity of each contrada.")</f>
        <v>The banners tell the story and identity of each contrada.</v>
      </c>
      <c r="L67" s="2"/>
      <c r="M67" s="2"/>
      <c r="N67" s="2"/>
      <c r="O67" s="2"/>
      <c r="P67" s="2"/>
      <c r="Q67" s="2"/>
      <c r="R67" s="2"/>
      <c r="S67" s="2"/>
      <c r="T67" s="2"/>
      <c r="U67" s="2"/>
      <c r="V67" s="2"/>
      <c r="W67" s="2"/>
    </row>
    <row r="68" ht="22.5" customHeight="1">
      <c r="A68" s="3">
        <v>67.0</v>
      </c>
      <c r="B68" s="3" t="s">
        <v>1960</v>
      </c>
      <c r="C68" s="3" t="s">
        <v>1961</v>
      </c>
      <c r="D68" s="3" t="s">
        <v>1962</v>
      </c>
      <c r="E68" s="3" t="s">
        <v>1963</v>
      </c>
      <c r="F68" s="2"/>
      <c r="G68" s="3" t="str">
        <f>IFERROR(__xludf.DUMMYFUNCTION("GOOGLETRANSLATE(A68, ""it"", ""en"")"),"67")</f>
        <v>67</v>
      </c>
      <c r="H68" s="3" t="str">
        <f>IFERROR(__xludf.DUMMYFUNCTION("GOOGLETRANSLATE(B68, ""it"", ""en"")"),"Who can participate in the historical parade?")</f>
        <v>Who can participate in the historical parade?</v>
      </c>
      <c r="I68" s="3" t="str">
        <f>IFERROR(__xludf.DUMMYFUNCTION("GOOGLETRANSLATE(C68, ""it"", ""en"")"),"A. Only citizens of Siena B. All members of the districts C. People chosen by the municipality D. Anyone who wishes")</f>
        <v>A. Only citizens of Siena B. All members of the districts C. People chosen by the municipality D. Anyone who wishes</v>
      </c>
      <c r="J68" s="3" t="str">
        <f>IFERROR(__xludf.DUMMYFUNCTION("GOOGLETRANSLATE(D68, ""it"", ""en"")"),"All members of the districts")</f>
        <v>All members of the districts</v>
      </c>
      <c r="K68" s="3" t="str">
        <f>IFERROR(__xludf.DUMMYFUNCTION("GOOGLETRANSLATE(E68, ""it"", ""en"")"),"The procession is made up of members of the contrade.")</f>
        <v>The procession is made up of members of the contrade.</v>
      </c>
      <c r="L68" s="2"/>
      <c r="M68" s="2"/>
      <c r="N68" s="2"/>
      <c r="O68" s="2"/>
      <c r="P68" s="2"/>
      <c r="Q68" s="2"/>
      <c r="R68" s="2"/>
      <c r="S68" s="2"/>
      <c r="T68" s="2"/>
      <c r="U68" s="2"/>
      <c r="V68" s="2"/>
      <c r="W68" s="2"/>
    </row>
    <row r="69" ht="22.5" customHeight="1">
      <c r="A69" s="3">
        <v>68.0</v>
      </c>
      <c r="B69" s="3" t="s">
        <v>1964</v>
      </c>
      <c r="C69" s="3" t="s">
        <v>1965</v>
      </c>
      <c r="D69" s="3" t="s">
        <v>1966</v>
      </c>
      <c r="E69" s="3" t="s">
        <v>1967</v>
      </c>
      <c r="F69" s="2"/>
      <c r="G69" s="3" t="str">
        <f>IFERROR(__xludf.DUMMYFUNCTION("GOOGLETRANSLATE(A69, ""it"", ""en"")"),"68")</f>
        <v>68</v>
      </c>
      <c r="H69" s="3" t="str">
        <f>IFERROR(__xludf.DUMMYFUNCTION("GOOGLETRANSLATE(B69, ""it"", ""en"")"),"What happens during the ""flag in the wind""?")</f>
        <v>What happens during the "flag in the wind"?</v>
      </c>
      <c r="I69" s="3" t="str">
        <f>IFERROR(__xludf.DUMMYFUNCTION("GOOGLETRANSLATE(C69, ""it"", ""en"")"),"A. The banner is awarded B. The victory is celebrated C. The standard-bearers of the districts are displayed D. The starter is announced")</f>
        <v>A. The banner is awarded B. The victory is celebrated C. The standard-bearers of the districts are displayed D. The starter is announced</v>
      </c>
      <c r="J69" s="3" t="str">
        <f>IFERROR(__xludf.DUMMYFUNCTION("GOOGLETRANSLATE(D69, ""it"", ""en"")"),"The standard-bearers of the districts perform")</f>
        <v>The standard-bearers of the districts perform</v>
      </c>
      <c r="K69" s="3" t="str">
        <f>IFERROR(__xludf.DUMMYFUNCTION("GOOGLETRANSLATE(E69, ""it"", ""en"")"),"The flag wavers perform choreographies with the flags.")</f>
        <v>The flag wavers perform choreographies with the flags.</v>
      </c>
      <c r="L69" s="2"/>
      <c r="M69" s="2"/>
      <c r="N69" s="2"/>
      <c r="O69" s="2"/>
      <c r="P69" s="2"/>
      <c r="Q69" s="2"/>
      <c r="R69" s="2"/>
      <c r="S69" s="2"/>
      <c r="T69" s="2"/>
      <c r="U69" s="2"/>
      <c r="V69" s="2"/>
      <c r="W69" s="2"/>
    </row>
    <row r="70" ht="22.5" customHeight="1">
      <c r="A70" s="3">
        <v>69.0</v>
      </c>
      <c r="B70" s="3" t="s">
        <v>1968</v>
      </c>
      <c r="C70" s="3" t="s">
        <v>1969</v>
      </c>
      <c r="D70" s="3" t="s">
        <v>1970</v>
      </c>
      <c r="E70" s="3" t="s">
        <v>1971</v>
      </c>
      <c r="F70" s="2"/>
      <c r="G70" s="3" t="str">
        <f>IFERROR(__xludf.DUMMYFUNCTION("GOOGLETRANSLATE(A70, ""it"", ""en"")"),"69")</f>
        <v>69</v>
      </c>
      <c r="H70" s="3" t="str">
        <f>IFERROR(__xludf.DUMMYFUNCTION("GOOGLETRANSLATE(B70, ""it"", ""en"")"),"What is the traditional material of the banner?")</f>
        <v>What is the traditional material of the banner?</v>
      </c>
      <c r="I70" s="3" t="str">
        <f>IFERROR(__xludf.DUMMYFUNCTION("GOOGLETRANSLATE(C70, ""it"", ""en"")"),"A. Silk B. Linen C. Cotton D. Velvet")</f>
        <v>A. Silk B. Linen C. Cotton D. Velvet</v>
      </c>
      <c r="J70" s="3" t="str">
        <f>IFERROR(__xludf.DUMMYFUNCTION("GOOGLETRANSLATE(D70, ""it"", ""en"")"),"Silk")</f>
        <v>Silk</v>
      </c>
      <c r="K70" s="3" t="str">
        <f>IFERROR(__xludf.DUMMYFUNCTION("GOOGLETRANSLATE(E70, ""it"", ""en"")"),"The banner is traditionally painted on silk.")</f>
        <v>The banner is traditionally painted on silk.</v>
      </c>
      <c r="L70" s="2"/>
      <c r="M70" s="2"/>
      <c r="N70" s="2"/>
      <c r="O70" s="2"/>
      <c r="P70" s="2"/>
      <c r="Q70" s="2"/>
      <c r="R70" s="2"/>
      <c r="S70" s="2"/>
      <c r="T70" s="2"/>
      <c r="U70" s="2"/>
      <c r="V70" s="2"/>
      <c r="W70" s="2"/>
    </row>
    <row r="71" ht="22.5" customHeight="1">
      <c r="A71" s="3">
        <v>70.0</v>
      </c>
      <c r="B71" s="3" t="s">
        <v>1972</v>
      </c>
      <c r="C71" s="3" t="s">
        <v>1973</v>
      </c>
      <c r="D71" s="3" t="s">
        <v>1974</v>
      </c>
      <c r="E71" s="3" t="s">
        <v>1975</v>
      </c>
      <c r="F71" s="2"/>
      <c r="G71" s="3" t="str">
        <f>IFERROR(__xludf.DUMMYFUNCTION("GOOGLETRANSLATE(A71, ""it"", ""en"")"),"70")</f>
        <v>70</v>
      </c>
      <c r="H71" s="3" t="str">
        <f>IFERROR(__xludf.DUMMYFUNCTION("GOOGLETRANSLATE(B71, ""it"", ""en"")"),"What is the name of the access road to Piazza del Campo?")</f>
        <v>What is the name of the access road to Piazza del Campo?</v>
      </c>
      <c r="I71" s="3" t="str">
        <f>IFERROR(__xludf.DUMMYFUNCTION("GOOGLETRANSLATE(C71, ""it"", ""en"")"),"A. Drappellone Street B. Victory Street C. Casato Street D. Contrade Street")</f>
        <v>A. Drappellone Street B. Victory Street C. Casato Street D. Contrade Street</v>
      </c>
      <c r="J71" s="3" t="str">
        <f>IFERROR(__xludf.DUMMYFUNCTION("GOOGLETRANSLATE(D71, ""it"", ""en"")"),"Casato Street")</f>
        <v>Casato Street</v>
      </c>
      <c r="K71" s="3" t="str">
        <f>IFERROR(__xludf.DUMMYFUNCTION("GOOGLETRANSLATE(E71, ""it"", ""en"")"),"Via del Casato is one of the main entrances to the square.")</f>
        <v>Via del Casato is one of the main entrances to the square.</v>
      </c>
      <c r="L71" s="2"/>
      <c r="M71" s="2"/>
      <c r="N71" s="2"/>
      <c r="O71" s="2"/>
      <c r="P71" s="2"/>
      <c r="Q71" s="2"/>
      <c r="R71" s="2"/>
      <c r="S71" s="2"/>
      <c r="T71" s="2"/>
      <c r="U71" s="2"/>
      <c r="V71" s="2"/>
      <c r="W71" s="2"/>
    </row>
    <row r="72" ht="22.5" customHeight="1">
      <c r="A72" s="3">
        <v>71.0</v>
      </c>
      <c r="B72" s="3" t="s">
        <v>1976</v>
      </c>
      <c r="C72" s="3" t="s">
        <v>1977</v>
      </c>
      <c r="D72" s="3" t="s">
        <v>1978</v>
      </c>
      <c r="E72" s="3" t="s">
        <v>1979</v>
      </c>
      <c r="F72" s="2"/>
      <c r="G72" s="3" t="str">
        <f>IFERROR(__xludf.DUMMYFUNCTION("GOOGLETRANSLATE(A72, ""it"", ""en"")"),"71")</f>
        <v>71</v>
      </c>
      <c r="H72" s="3" t="str">
        <f>IFERROR(__xludf.DUMMYFUNCTION("GOOGLETRANSLATE(B72, ""it"", ""en"")"),"What does ""Palio alla lunga"" mean?")</f>
        <v>What does "Palio alla lunga" mean?</v>
      </c>
      <c r="I72" s="3" t="str">
        <f>IFERROR(__xludf.DUMMYFUNCTION("GOOGLETRANSLATE(C72, ""it"", ""en"")"),"A. A longer than usual race B. A competition outside Siena C. A Palio held on a straight course D. A Palio with more than 10 contrade")</f>
        <v>A. A longer than usual race B. A competition outside Siena C. A Palio held on a straight course D. A Palio with more than 10 contrade</v>
      </c>
      <c r="J72" s="3" t="str">
        <f>IFERROR(__xludf.DUMMYFUNCTION("GOOGLETRANSLATE(D72, ""it"", ""en"")"),"A Palio contested on a straight course")</f>
        <v>A Palio contested on a straight course</v>
      </c>
      <c r="K72" s="3" t="str">
        <f>IFERROR(__xludf.DUMMYFUNCTION("GOOGLETRANSLATE(E72, ""it"", ""en"")"),"The ""Palio alla lunga"" was run on straight courses outside the city.")</f>
        <v>The "Palio alla lunga" was run on straight courses outside the city.</v>
      </c>
      <c r="L72" s="2"/>
      <c r="M72" s="2"/>
      <c r="N72" s="2"/>
      <c r="O72" s="2"/>
      <c r="P72" s="2"/>
      <c r="Q72" s="2"/>
      <c r="R72" s="2"/>
      <c r="S72" s="2"/>
      <c r="T72" s="2"/>
      <c r="U72" s="2"/>
      <c r="V72" s="2"/>
      <c r="W72" s="2"/>
    </row>
    <row r="73" ht="22.5" customHeight="1">
      <c r="A73" s="3">
        <v>72.0</v>
      </c>
      <c r="B73" s="3" t="s">
        <v>1980</v>
      </c>
      <c r="C73" s="3" t="s">
        <v>1981</v>
      </c>
      <c r="D73" s="3" t="s">
        <v>1982</v>
      </c>
      <c r="E73" s="3" t="s">
        <v>1983</v>
      </c>
      <c r="F73" s="2"/>
      <c r="G73" s="3" t="str">
        <f>IFERROR(__xludf.DUMMYFUNCTION("GOOGLETRANSLATE(A73, ""it"", ""en"")"),"72")</f>
        <v>72</v>
      </c>
      <c r="H73" s="3" t="str">
        <f>IFERROR(__xludf.DUMMYFUNCTION("GOOGLETRANSLATE(B73, ""it"", ""en"")"),"What does the presence of a white horse in the historical procession indicate?")</f>
        <v>What does the presence of a white horse in the historical procession indicate?</v>
      </c>
      <c r="I73" s="3" t="str">
        <f>IFERROR(__xludf.DUMMYFUNCTION("GOOGLETRANSLATE(C73, ""it"", ""en"")"),"A. A guest district B. A symbol of purity C. The Madonna D. A tribute to the banner")</f>
        <v>A. A guest district B. A symbol of purity C. The Madonna D. A tribute to the banner</v>
      </c>
      <c r="J73" s="3" t="str">
        <f>IFERROR(__xludf.DUMMYFUNCTION("GOOGLETRANSLATE(D73, ""it"", ""en"")"),"A symbol of purity")</f>
        <v>A symbol of purity</v>
      </c>
      <c r="K73" s="3" t="str">
        <f>IFERROR(__xludf.DUMMYFUNCTION("GOOGLETRANSLATE(E73, ""it"", ""en"")"),"The white horse represents purity and devotion.")</f>
        <v>The white horse represents purity and devotion.</v>
      </c>
      <c r="L73" s="2"/>
      <c r="M73" s="2"/>
      <c r="N73" s="2"/>
      <c r="O73" s="2"/>
      <c r="P73" s="2"/>
      <c r="Q73" s="2"/>
      <c r="R73" s="2"/>
      <c r="S73" s="2"/>
      <c r="T73" s="2"/>
      <c r="U73" s="2"/>
      <c r="V73" s="2"/>
      <c r="W73" s="2"/>
    </row>
    <row r="74" ht="22.5" customHeight="1">
      <c r="A74" s="3">
        <v>73.0</v>
      </c>
      <c r="B74" s="3" t="s">
        <v>1984</v>
      </c>
      <c r="C74" s="3" t="s">
        <v>1985</v>
      </c>
      <c r="D74" s="3" t="s">
        <v>1986</v>
      </c>
      <c r="E74" s="3" t="s">
        <v>1987</v>
      </c>
      <c r="F74" s="2"/>
      <c r="G74" s="3" t="str">
        <f>IFERROR(__xludf.DUMMYFUNCTION("GOOGLETRANSLATE(A74, ""it"", ""en"")"),"73")</f>
        <v>73</v>
      </c>
      <c r="H74" s="3" t="str">
        <f>IFERROR(__xludf.DUMMYFUNCTION("GOOGLETRANSLATE(B74, ""it"", ""en"")"),"What happens if the rope breaks during departure?")</f>
        <v>What happens if the rope breaks during departure?</v>
      </c>
      <c r="I74" s="3" t="str">
        <f>IFERROR(__xludf.DUMMYFUNCTION("GOOGLETRANSLATE(C74, ""it"", ""en"")"),"A. The race is postponed B. The race continues C. The Palio is cancelled D. A new move is made")</f>
        <v>A. The race is postponed B. The race continues C. The Palio is cancelled D. A new move is made</v>
      </c>
      <c r="J74" s="3" t="str">
        <f>IFERROR(__xludf.DUMMYFUNCTION("GOOGLETRANSLATE(D74, ""it"", ""en"")"),"A new move is underway")</f>
        <v>A new move is underway</v>
      </c>
      <c r="K74" s="3" t="str">
        <f>IFERROR(__xludf.DUMMYFUNCTION("GOOGLETRANSLATE(E74, ""it"", ""en"")"),"A new move is needed to ensure fairness.")</f>
        <v>A new move is needed to ensure fairness.</v>
      </c>
      <c r="L74" s="2"/>
      <c r="M74" s="2"/>
      <c r="N74" s="2"/>
      <c r="O74" s="2"/>
      <c r="P74" s="2"/>
      <c r="Q74" s="2"/>
      <c r="R74" s="2"/>
      <c r="S74" s="2"/>
      <c r="T74" s="2"/>
      <c r="U74" s="2"/>
      <c r="V74" s="2"/>
      <c r="W74" s="2"/>
    </row>
    <row r="75" ht="22.5" customHeight="1">
      <c r="A75" s="3">
        <v>74.0</v>
      </c>
      <c r="B75" s="3" t="s">
        <v>1988</v>
      </c>
      <c r="C75" s="3" t="s">
        <v>1989</v>
      </c>
      <c r="D75" s="3" t="s">
        <v>1990</v>
      </c>
      <c r="E75" s="3" t="s">
        <v>1991</v>
      </c>
      <c r="F75" s="2"/>
      <c r="G75" s="3" t="str">
        <f>IFERROR(__xludf.DUMMYFUNCTION("GOOGLETRANSLATE(A75, ""it"", ""en"")"),"74")</f>
        <v>74</v>
      </c>
      <c r="H75" s="3" t="str">
        <f>IFERROR(__xludf.DUMMYFUNCTION("GOOGLETRANSLATE(B75, ""it"", ""en"")"),"How many times can a horse participate in the Palio?")</f>
        <v>How many times can a horse participate in the Palio?</v>
      </c>
      <c r="I75" s="3" t="str">
        <f>IFERROR(__xludf.DUMMYFUNCTION("GOOGLETRANSLATE(C75, ""it"", ""en"")"),"A. Only once B. As often as selected C. Up to three times D. Once every two years")</f>
        <v>A. Only once B. As often as selected C. Up to three times D. Once every two years</v>
      </c>
      <c r="J75" s="3" t="str">
        <f>IFERROR(__xludf.DUMMYFUNCTION("GOOGLETRANSLATE(D75, ""it"", ""en"")"),"Every time it is selected")</f>
        <v>Every time it is selected</v>
      </c>
      <c r="K75" s="3" t="str">
        <f>IFERROR(__xludf.DUMMYFUNCTION("GOOGLETRANSLATE(E75, ""it"", ""en"")"),"A horse can participate multiple times if deemed suitable.")</f>
        <v>A horse can participate multiple times if deemed suitable.</v>
      </c>
      <c r="L75" s="2"/>
      <c r="M75" s="2"/>
      <c r="N75" s="2"/>
      <c r="O75" s="2"/>
      <c r="P75" s="2"/>
      <c r="Q75" s="2"/>
      <c r="R75" s="2"/>
      <c r="S75" s="2"/>
      <c r="T75" s="2"/>
      <c r="U75" s="2"/>
      <c r="V75" s="2"/>
      <c r="W75" s="2"/>
    </row>
    <row r="76" ht="22.5" customHeight="1">
      <c r="A76" s="3">
        <v>75.0</v>
      </c>
      <c r="B76" s="3" t="s">
        <v>1992</v>
      </c>
      <c r="C76" s="3" t="s">
        <v>1993</v>
      </c>
      <c r="D76" s="3" t="s">
        <v>1994</v>
      </c>
      <c r="E76" s="3" t="s">
        <v>1995</v>
      </c>
      <c r="F76" s="2"/>
      <c r="G76" s="3" t="str">
        <f>IFERROR(__xludf.DUMMYFUNCTION("GOOGLETRANSLATE(A76, ""it"", ""en"")"),"75")</f>
        <v>75</v>
      </c>
      <c r="H76" s="3" t="str">
        <f>IFERROR(__xludf.DUMMYFUNCTION("GOOGLETRANSLATE(B76, ""it"", ""en"")"),"What does the figure of the drummer represent in the historical parade?")</f>
        <v>What does the figure of the drummer represent in the historical parade?</v>
      </c>
      <c r="I76" s="3" t="str">
        <f>IFERROR(__xludf.DUMMYFUNCTION("GOOGLETRANSLATE(C76, ""it"", ""en"")"),"A. The rhythm of the parade B. A symbol of battle C. The celebration of the contrada D. A tribute to the Madonna")</f>
        <v>A. The rhythm of the parade B. A symbol of battle C. The celebration of the contrada D. A tribute to the Madonna</v>
      </c>
      <c r="J76" s="3" t="str">
        <f>IFERROR(__xludf.DUMMYFUNCTION("GOOGLETRANSLATE(D76, ""it"", ""en"")"),"The rhythm of the parade")</f>
        <v>The rhythm of the parade</v>
      </c>
      <c r="K76" s="3" t="str">
        <f>IFERROR(__xludf.DUMMYFUNCTION("GOOGLETRANSLATE(E76, ""it"", ""en"")"),"The drummer marks the rhythm of the parade.")</f>
        <v>The drummer marks the rhythm of the parade.</v>
      </c>
      <c r="L76" s="2"/>
      <c r="M76" s="2"/>
      <c r="N76" s="2"/>
      <c r="O76" s="2"/>
      <c r="P76" s="2"/>
      <c r="Q76" s="2"/>
      <c r="R76" s="2"/>
      <c r="S76" s="2"/>
      <c r="T76" s="2"/>
      <c r="U76" s="2"/>
      <c r="V76" s="2"/>
      <c r="W76" s="2"/>
    </row>
    <row r="77" ht="22.5" customHeight="1">
      <c r="A77" s="3">
        <v>76.0</v>
      </c>
      <c r="B77" s="3" t="s">
        <v>1996</v>
      </c>
      <c r="C77" s="3" t="s">
        <v>1997</v>
      </c>
      <c r="D77" s="3" t="s">
        <v>1998</v>
      </c>
      <c r="E77" s="3" t="s">
        <v>1999</v>
      </c>
      <c r="F77" s="2"/>
      <c r="G77" s="3" t="str">
        <f>IFERROR(__xludf.DUMMYFUNCTION("GOOGLETRANSLATE(A77, ""it"", ""en"")"),"76")</f>
        <v>76</v>
      </c>
      <c r="H77" s="3" t="str">
        <f>IFERROR(__xludf.DUMMYFUNCTION("GOOGLETRANSLATE(B77, ""it"", ""en"")"),"Which district has an eagle as its symbol?")</f>
        <v>Which district has an eagle as its symbol?</v>
      </c>
      <c r="I77" s="3" t="str">
        <f>IFERROR(__xludf.DUMMYFUNCTION("GOOGLETRANSLATE(C77, ""it"", ""en"")"),"A. Dragon B. Goose C. Eagle D. Panther")</f>
        <v>A. Dragon B. Goose C. Eagle D. Panther</v>
      </c>
      <c r="J77" s="3" t="str">
        <f>IFERROR(__xludf.DUMMYFUNCTION("GOOGLETRANSLATE(D77, ""it"", ""en"")"),"Eagle")</f>
        <v>Eagle</v>
      </c>
      <c r="K77" s="3" t="str">
        <f>IFERROR(__xludf.DUMMYFUNCTION("GOOGLETRANSLATE(E77, ""it"", ""en"")"),"The Eagle has an eagle as its symbol.")</f>
        <v>The Eagle has an eagle as its symbol.</v>
      </c>
      <c r="L77" s="2"/>
      <c r="M77" s="2"/>
      <c r="N77" s="2"/>
      <c r="O77" s="2"/>
      <c r="P77" s="2"/>
      <c r="Q77" s="2"/>
      <c r="R77" s="2"/>
      <c r="S77" s="2"/>
      <c r="T77" s="2"/>
      <c r="U77" s="2"/>
      <c r="V77" s="2"/>
      <c r="W77" s="2"/>
    </row>
    <row r="78" ht="22.5" customHeight="1">
      <c r="A78" s="3">
        <v>77.0</v>
      </c>
      <c r="B78" s="3" t="s">
        <v>2000</v>
      </c>
      <c r="C78" s="3" t="s">
        <v>2001</v>
      </c>
      <c r="D78" s="3" t="s">
        <v>2002</v>
      </c>
      <c r="E78" s="3" t="s">
        <v>2003</v>
      </c>
      <c r="F78" s="2"/>
      <c r="G78" s="3" t="str">
        <f>IFERROR(__xludf.DUMMYFUNCTION("GOOGLETRANSLATE(A78, ""it"", ""en"")"),"77")</f>
        <v>77</v>
      </c>
      <c r="H78" s="3" t="str">
        <f>IFERROR(__xludf.DUMMYFUNCTION("GOOGLETRANSLATE(B78, ""it"", ""en"")"),"Who writes the anthem of a district?")</f>
        <v>Who writes the anthem of a district?</v>
      </c>
      <c r="I78" s="3" t="str">
        <f>IFERROR(__xludf.DUMMYFUNCTION("GOOGLETRANSLATE(C78, ""it"", ""en"")"),"A. The starter B. A member of the contrada C. A local artist D. A jockey")</f>
        <v>A. The starter B. A member of the contrada C. A local artist D. A jockey</v>
      </c>
      <c r="J78" s="3" t="str">
        <f>IFERROR(__xludf.DUMMYFUNCTION("GOOGLETRANSLATE(D78, ""it"", ""en"")"),"A member of the contrada")</f>
        <v>A member of the contrada</v>
      </c>
      <c r="K78" s="3" t="str">
        <f>IFERROR(__xludf.DUMMYFUNCTION("GOOGLETRANSLATE(E78, ""it"", ""en"")"),"The hymns are composed by members or supporters of the contrada.")</f>
        <v>The hymns are composed by members or supporters of the contrada.</v>
      </c>
      <c r="L78" s="2"/>
      <c r="M78" s="2"/>
      <c r="N78" s="2"/>
      <c r="O78" s="2"/>
      <c r="P78" s="2"/>
      <c r="Q78" s="2"/>
      <c r="R78" s="2"/>
      <c r="S78" s="2"/>
      <c r="T78" s="2"/>
      <c r="U78" s="2"/>
      <c r="V78" s="2"/>
      <c r="W78" s="2"/>
    </row>
    <row r="79" ht="22.5" customHeight="1">
      <c r="A79" s="3">
        <v>78.0</v>
      </c>
      <c r="B79" s="3" t="s">
        <v>2004</v>
      </c>
      <c r="C79" s="3" t="s">
        <v>2005</v>
      </c>
      <c r="D79" s="3" t="s">
        <v>2006</v>
      </c>
      <c r="E79" s="3" t="s">
        <v>2007</v>
      </c>
      <c r="F79" s="2"/>
      <c r="G79" s="3" t="str">
        <f>IFERROR(__xludf.DUMMYFUNCTION("GOOGLETRANSLATE(A79, ""it"", ""en"")"),"78")</f>
        <v>78</v>
      </c>
      <c r="H79" s="3" t="str">
        <f>IFERROR(__xludf.DUMMYFUNCTION("GOOGLETRANSLATE(B79, ""it"", ""en"")"),"What do the harnessed horses represent during the historical parade?")</f>
        <v>What do the harnessed horses represent during the historical parade?</v>
      </c>
      <c r="I79" s="3" t="str">
        <f>IFERROR(__xludf.DUMMYFUNCTION("GOOGLETRANSLATE(C79, ""it"", ""en"")"),"A. The ancient medieval knights B. The strength of the districts C. A tribute to the Madonna D. The glory of the Palio")</f>
        <v>A. The ancient medieval knights B. The strength of the districts C. A tribute to the Madonna D. The glory of the Palio</v>
      </c>
      <c r="J79" s="3" t="str">
        <f>IFERROR(__xludf.DUMMYFUNCTION("GOOGLETRANSLATE(D79, ""it"", ""en"")"),"The ancient medieval knights")</f>
        <v>The ancient medieval knights</v>
      </c>
      <c r="K79" s="3" t="str">
        <f>IFERROR(__xludf.DUMMYFUNCTION("GOOGLETRANSLATE(E79, ""it"", ""en"")"),"The barded horses recall medieval knights.")</f>
        <v>The barded horses recall medieval knights.</v>
      </c>
      <c r="L79" s="2"/>
      <c r="M79" s="2"/>
      <c r="N79" s="2"/>
      <c r="O79" s="2"/>
      <c r="P79" s="2"/>
      <c r="Q79" s="2"/>
      <c r="R79" s="2"/>
      <c r="S79" s="2"/>
      <c r="T79" s="2"/>
      <c r="U79" s="2"/>
      <c r="V79" s="2"/>
      <c r="W79" s="2"/>
    </row>
    <row r="80" ht="22.5" customHeight="1">
      <c r="A80" s="3">
        <v>79.0</v>
      </c>
      <c r="B80" s="3" t="s">
        <v>2008</v>
      </c>
      <c r="C80" s="3" t="s">
        <v>2009</v>
      </c>
      <c r="D80" s="3" t="s">
        <v>2010</v>
      </c>
      <c r="E80" s="3" t="s">
        <v>2011</v>
      </c>
      <c r="F80" s="2"/>
      <c r="G80" s="3" t="str">
        <f>IFERROR(__xludf.DUMMYFUNCTION("GOOGLETRANSLATE(A80, ""it"", ""en"")"),"79")</f>
        <v>79</v>
      </c>
      <c r="H80" s="3" t="str">
        <f>IFERROR(__xludf.DUMMYFUNCTION("GOOGLETRANSLATE(B80, ""it"", ""en"")"),"What is the role of the sign holder?")</f>
        <v>What is the role of the sign holder?</v>
      </c>
      <c r="I80" s="3" t="str">
        <f>IFERROR(__xludf.DUMMYFUNCTION("GOOGLETRANSLATE(C80, ""it"", ""en"")"),"A. Carry the banner B. Lead the historical procession C. Carry the contrada's banner D. Signal the start of the race")</f>
        <v>A. Carry the banner B. Lead the historical procession C. Carry the contrada's banner D. Signal the start of the race</v>
      </c>
      <c r="J80" s="3" t="str">
        <f>IFERROR(__xludf.DUMMYFUNCTION("GOOGLETRANSLATE(D80, ""it"", ""en"")"),"Carry the contrada's banner")</f>
        <v>Carry the contrada's banner</v>
      </c>
      <c r="K80" s="3" t="str">
        <f>IFERROR(__xludf.DUMMYFUNCTION("GOOGLETRANSLATE(E80, ""it"", ""en"")"),"The banner holder represents the contrada with its banner.")</f>
        <v>The banner holder represents the contrada with its banner.</v>
      </c>
      <c r="L80" s="2"/>
      <c r="M80" s="2"/>
      <c r="N80" s="2"/>
      <c r="O80" s="2"/>
      <c r="P80" s="2"/>
      <c r="Q80" s="2"/>
      <c r="R80" s="2"/>
      <c r="S80" s="2"/>
      <c r="T80" s="2"/>
      <c r="U80" s="2"/>
      <c r="V80" s="2"/>
      <c r="W80" s="2"/>
    </row>
    <row r="81" ht="22.5" customHeight="1">
      <c r="A81" s="3">
        <v>80.0</v>
      </c>
      <c r="B81" s="3" t="s">
        <v>2012</v>
      </c>
      <c r="C81" s="3" t="s">
        <v>2013</v>
      </c>
      <c r="D81" s="3" t="s">
        <v>2014</v>
      </c>
      <c r="E81" s="3" t="s">
        <v>2015</v>
      </c>
      <c r="F81" s="2"/>
      <c r="G81" s="3" t="str">
        <f>IFERROR(__xludf.DUMMYFUNCTION("GOOGLETRANSLATE(A81, ""it"", ""en"")"),"80")</f>
        <v>80</v>
      </c>
      <c r="H81" s="3" t="str">
        <f>IFERROR(__xludf.DUMMYFUNCTION("GOOGLETRANSLATE(B81, ""it"", ""en"")"),"What does ""fare cappotto"" mean?")</f>
        <v>What does "fare cappotto" mean?</v>
      </c>
      <c r="I81" s="3" t="str">
        <f>IFERROR(__xludf.DUMMYFUNCTION("GOOGLETRANSLATE(C81, ""it"", ""en"")"),"A. Win two consecutive Palios B. Win without a jockey C. Win all the trials D. Win every year")</f>
        <v>A. Win two consecutive Palios B. Win without a jockey C. Win all the trials D. Win every year</v>
      </c>
      <c r="J81" s="3" t="str">
        <f>IFERROR(__xludf.DUMMYFUNCTION("GOOGLETRANSLATE(D81, ""it"", ""en"")"),"Win two consecutive Palios")</f>
        <v>Win two consecutive Palios</v>
      </c>
      <c r="K81" s="3" t="str">
        <f>IFERROR(__xludf.DUMMYFUNCTION("GOOGLETRANSLATE(E81, ""it"", ""en"")"),"A contrada pulls off a ""landmark"" by winning both Palios of the year.")</f>
        <v>A contrada pulls off a "landmark" by winning both Palios of the year.</v>
      </c>
      <c r="L81" s="2"/>
      <c r="M81" s="2"/>
      <c r="N81" s="2"/>
      <c r="O81" s="2"/>
      <c r="P81" s="2"/>
      <c r="Q81" s="2"/>
      <c r="R81" s="2"/>
      <c r="S81" s="2"/>
      <c r="T81" s="2"/>
      <c r="U81" s="2"/>
      <c r="V81" s="2"/>
      <c r="W81" s="2"/>
    </row>
    <row r="82" ht="22.5" customHeight="1">
      <c r="A82" s="3">
        <v>81.0</v>
      </c>
      <c r="B82" s="3" t="s">
        <v>2016</v>
      </c>
      <c r="C82" s="3" t="s">
        <v>2017</v>
      </c>
      <c r="D82" s="3" t="s">
        <v>2018</v>
      </c>
      <c r="E82" s="3" t="s">
        <v>2019</v>
      </c>
      <c r="F82" s="2"/>
      <c r="G82" s="3" t="str">
        <f>IFERROR(__xludf.DUMMYFUNCTION("GOOGLETRANSLATE(A82, ""it"", ""en"")"),"81")</f>
        <v>81</v>
      </c>
      <c r="H82" s="3" t="str">
        <f>IFERROR(__xludf.DUMMYFUNCTION("GOOGLETRANSLATE(B82, ""it"", ""en"")"),"What do you call a winning horse without a jockey?")</f>
        <v>What do you call a winning horse without a jockey?</v>
      </c>
      <c r="I82" s="3" t="str">
        <f>IFERROR(__xludf.DUMMYFUNCTION("GOOGLETRANSLATE(C82, ""it"", ""en"")"),"A. Shaken B. Free C. Loose D. Abandoned")</f>
        <v>A. Shaken B. Free C. Loose D. Abandoned</v>
      </c>
      <c r="J82" s="3" t="str">
        <f>IFERROR(__xludf.DUMMYFUNCTION("GOOGLETRANSLATE(D82, ""it"", ""en"")"),"Shaken")</f>
        <v>Shaken</v>
      </c>
      <c r="K82" s="3" t="str">
        <f>IFERROR(__xludf.DUMMYFUNCTION("GOOGLETRANSLATE(E82, ""it"", ""en"")"),"The winning horse without a jockey is called ""scosso"".")</f>
        <v>The winning horse without a jockey is called "scosso".</v>
      </c>
      <c r="L82" s="2"/>
      <c r="M82" s="2"/>
      <c r="N82" s="2"/>
      <c r="O82" s="2"/>
      <c r="P82" s="2"/>
      <c r="Q82" s="2"/>
      <c r="R82" s="2"/>
      <c r="S82" s="2"/>
      <c r="T82" s="2"/>
      <c r="U82" s="2"/>
      <c r="V82" s="2"/>
      <c r="W82" s="2"/>
    </row>
    <row r="83" ht="22.5" customHeight="1">
      <c r="A83" s="3">
        <v>82.0</v>
      </c>
      <c r="B83" s="3" t="s">
        <v>2020</v>
      </c>
      <c r="C83" s="3" t="s">
        <v>2021</v>
      </c>
      <c r="D83" s="3" t="s">
        <v>2022</v>
      </c>
      <c r="E83" s="3" t="s">
        <v>2023</v>
      </c>
      <c r="F83" s="2"/>
      <c r="G83" s="3" t="str">
        <f>IFERROR(__xludf.DUMMYFUNCTION("GOOGLETRANSLATE(A83, ""it"", ""en"")"),"82")</f>
        <v>82</v>
      </c>
      <c r="H83" s="3" t="str">
        <f>IFERROR(__xludf.DUMMYFUNCTION("GOOGLETRANSLATE(B83, ""it"", ""en"")"),"Which contrada has a panther as its symbol?")</f>
        <v>Which contrada has a panther as its symbol?</v>
      </c>
      <c r="I83" s="3" t="str">
        <f>IFERROR(__xludf.DUMMYFUNCTION("GOOGLETRANSLATE(C83, ""it"", ""en"")"),"A. Goose B. Rook C. Panther D. Porcupine")</f>
        <v>A. Goose B. Rook C. Panther D. Porcupine</v>
      </c>
      <c r="J83" s="3" t="str">
        <f>IFERROR(__xludf.DUMMYFUNCTION("GOOGLETRANSLATE(D83, ""it"", ""en"")"),"Panther")</f>
        <v>Panther</v>
      </c>
      <c r="K83" s="3" t="str">
        <f>IFERROR(__xludf.DUMMYFUNCTION("GOOGLETRANSLATE(E83, ""it"", ""en"")"),"The Panther has a panther as its symbol.")</f>
        <v>The Panther has a panther as its symbol.</v>
      </c>
      <c r="L83" s="2"/>
      <c r="M83" s="2"/>
      <c r="N83" s="2"/>
      <c r="O83" s="2"/>
      <c r="P83" s="2"/>
      <c r="Q83" s="2"/>
      <c r="R83" s="2"/>
      <c r="S83" s="2"/>
      <c r="T83" s="2"/>
      <c r="U83" s="2"/>
      <c r="V83" s="2"/>
      <c r="W83" s="2"/>
    </row>
    <row r="84" ht="22.5" customHeight="1">
      <c r="A84" s="3">
        <v>83.0</v>
      </c>
      <c r="B84" s="3" t="s">
        <v>2024</v>
      </c>
      <c r="C84" s="3" t="s">
        <v>2025</v>
      </c>
      <c r="D84" s="3" t="s">
        <v>2026</v>
      </c>
      <c r="E84" s="3" t="s">
        <v>2027</v>
      </c>
      <c r="F84" s="2"/>
      <c r="G84" s="3" t="str">
        <f>IFERROR(__xludf.DUMMYFUNCTION("GOOGLETRANSLATE(A84, ""it"", ""en"")"),"83")</f>
        <v>83</v>
      </c>
      <c r="H84" s="3" t="str">
        <f>IFERROR(__xludf.DUMMYFUNCTION("GOOGLETRANSLATE(B84, ""it"", ""en"")"),"What does the crown worn during the historical parade symbolize?")</f>
        <v>What does the crown worn during the historical parade symbolize?</v>
      </c>
      <c r="I84" s="3" t="str">
        <f>IFERROR(__xludf.DUMMYFUNCTION("GOOGLETRANSLATE(C84, ""it"", ""en"")"),"A. The victory of the contrada B. The power of the prior C. The homage to the Madonna D. The glory of Siena")</f>
        <v>A. The victory of the contrada B. The power of the prior C. The homage to the Madonna D. The glory of Siena</v>
      </c>
      <c r="J84" s="3" t="str">
        <f>IFERROR(__xludf.DUMMYFUNCTION("GOOGLETRANSLATE(D84, ""it"", ""en"")"),"Homage to the Madonna")</f>
        <v>Homage to the Madonna</v>
      </c>
      <c r="K84" s="3" t="str">
        <f>IFERROR(__xludf.DUMMYFUNCTION("GOOGLETRANSLATE(E84, ""it"", ""en"")"),"The crown is a religious symbol.")</f>
        <v>The crown is a religious symbol.</v>
      </c>
      <c r="L84" s="2"/>
      <c r="M84" s="2"/>
      <c r="N84" s="2"/>
      <c r="O84" s="2"/>
      <c r="P84" s="2"/>
      <c r="Q84" s="2"/>
      <c r="R84" s="2"/>
      <c r="S84" s="2"/>
      <c r="T84" s="2"/>
      <c r="U84" s="2"/>
      <c r="V84" s="2"/>
      <c r="W84" s="2"/>
    </row>
    <row r="85" ht="22.5" customHeight="1">
      <c r="A85" s="3">
        <v>84.0</v>
      </c>
      <c r="B85" s="3" t="s">
        <v>2028</v>
      </c>
      <c r="C85" s="3" t="s">
        <v>2029</v>
      </c>
      <c r="D85" s="3" t="s">
        <v>2030</v>
      </c>
      <c r="E85" s="3" t="s">
        <v>2031</v>
      </c>
      <c r="F85" s="2"/>
      <c r="G85" s="3" t="str">
        <f>IFERROR(__xludf.DUMMYFUNCTION("GOOGLETRANSLATE(A85, ""it"", ""en"")"),"84")</f>
        <v>84</v>
      </c>
      <c r="H85" s="3" t="str">
        <f>IFERROR(__xludf.DUMMYFUNCTION("GOOGLETRANSLATE(B85, ""it"", ""en"")"),"Which district has a porcupine as its symbol?")</f>
        <v>Which district has a porcupine as its symbol?</v>
      </c>
      <c r="I85" s="3" t="str">
        <f>IFERROR(__xludf.DUMMYFUNCTION("GOOGLETRANSLATE(C85, ""it"", ""en"")"),"A. Tower B. Porcupine C. Goose D. She-wolf")</f>
        <v>A. Tower B. Porcupine C. Goose D. She-wolf</v>
      </c>
      <c r="J85" s="3" t="str">
        <f>IFERROR(__xludf.DUMMYFUNCTION("GOOGLETRANSLATE(D85, ""it"", ""en"")"),"Porcupine")</f>
        <v>Porcupine</v>
      </c>
      <c r="K85" s="3" t="str">
        <f>IFERROR(__xludf.DUMMYFUNCTION("GOOGLETRANSLATE(E85, ""it"", ""en"")"),"The Porcupine has a porcupine as its symbol.")</f>
        <v>The Porcupine has a porcupine as its symbol.</v>
      </c>
      <c r="L85" s="2"/>
      <c r="M85" s="2"/>
      <c r="N85" s="2"/>
      <c r="O85" s="2"/>
      <c r="P85" s="2"/>
      <c r="Q85" s="2"/>
      <c r="R85" s="2"/>
      <c r="S85" s="2"/>
      <c r="T85" s="2"/>
      <c r="U85" s="2"/>
      <c r="V85" s="2"/>
      <c r="W85" s="2"/>
    </row>
    <row r="86" ht="22.5" customHeight="1">
      <c r="A86" s="3">
        <v>85.0</v>
      </c>
      <c r="B86" s="3" t="s">
        <v>2032</v>
      </c>
      <c r="C86" s="3" t="s">
        <v>2033</v>
      </c>
      <c r="D86" s="3" t="s">
        <v>2034</v>
      </c>
      <c r="E86" s="3" t="s">
        <v>2035</v>
      </c>
      <c r="F86" s="2"/>
      <c r="G86" s="3" t="str">
        <f>IFERROR(__xludf.DUMMYFUNCTION("GOOGLETRANSLATE(A86, ""it"", ""en"")"),"85")</f>
        <v>85</v>
      </c>
      <c r="H86" s="3" t="str">
        <f>IFERROR(__xludf.DUMMYFUNCTION("GOOGLETRANSLATE(B86, ""it"", ""en"")"),"Who chooses the starter?")</f>
        <v>Who chooses the starter?</v>
      </c>
      <c r="I86" s="3" t="str">
        <f>IFERROR(__xludf.DUMMYFUNCTION("GOOGLETRANSLATE(C86, ""it"", ""en"")"),"A. The municipality B. The districts C. A citizens' committee D. The prior of the winning district")</f>
        <v>A. The municipality B. The districts C. A citizens' committee D. The prior of the winning district</v>
      </c>
      <c r="J86" s="3" t="str">
        <f>IFERROR(__xludf.DUMMYFUNCTION("GOOGLETRANSLATE(D86, ""it"", ""en"")"),"The municipality")</f>
        <v>The municipality</v>
      </c>
      <c r="K86" s="3" t="str">
        <f>IFERROR(__xludf.DUMMYFUNCTION("GOOGLETRANSLATE(E86, ""it"", ""en"")"),"The starter is chosen by the municipality.")</f>
        <v>The starter is chosen by the municipality.</v>
      </c>
      <c r="L86" s="2"/>
      <c r="M86" s="2"/>
      <c r="N86" s="2"/>
      <c r="O86" s="2"/>
      <c r="P86" s="2"/>
      <c r="Q86" s="2"/>
      <c r="R86" s="2"/>
      <c r="S86" s="2"/>
      <c r="T86" s="2"/>
      <c r="U86" s="2"/>
      <c r="V86" s="2"/>
      <c r="W86" s="2"/>
    </row>
    <row r="87" ht="22.5" customHeight="1">
      <c r="A87" s="3">
        <v>86.0</v>
      </c>
      <c r="B87" s="3" t="s">
        <v>2036</v>
      </c>
      <c r="C87" s="3" t="s">
        <v>2037</v>
      </c>
      <c r="D87" s="3" t="s">
        <v>2038</v>
      </c>
      <c r="E87" s="3" t="s">
        <v>2039</v>
      </c>
      <c r="F87" s="2"/>
      <c r="G87" s="3" t="str">
        <f>IFERROR(__xludf.DUMMYFUNCTION("GOOGLETRANSLATE(A87, ""it"", ""en"")"),"86")</f>
        <v>86</v>
      </c>
      <c r="H87" s="3" t="str">
        <f>IFERROR(__xludf.DUMMYFUNCTION("GOOGLETRANSLATE(B87, ""it"", ""en"")"),"What do the torches represent during the historical parade?")</f>
        <v>What do the torches represent during the historical parade?</v>
      </c>
      <c r="I87" s="3" t="str">
        <f>IFERROR(__xludf.DUMMYFUNCTION("GOOGLETRANSLATE(C87, ""it"", ""en"")"),"A. Peace B. Night celebrations C. The light of the Madonna D. The guide through the districts")</f>
        <v>A. Peace B. Night celebrations C. The light of the Madonna D. The guide through the districts</v>
      </c>
      <c r="J87" s="3" t="str">
        <f>IFERROR(__xludf.DUMMYFUNCTION("GOOGLETRANSLATE(D87, ""it"", ""en"")"),"The light of the Madonna")</f>
        <v>The light of the Madonna</v>
      </c>
      <c r="K87" s="3" t="str">
        <f>IFERROR(__xludf.DUMMYFUNCTION("GOOGLETRANSLATE(E87, ""it"", ""en"")"),"The torches symbolize devotion to the Madonna.")</f>
        <v>The torches symbolize devotion to the Madonna.</v>
      </c>
      <c r="L87" s="2"/>
      <c r="M87" s="2"/>
      <c r="N87" s="2"/>
      <c r="O87" s="2"/>
      <c r="P87" s="2"/>
      <c r="Q87" s="2"/>
      <c r="R87" s="2"/>
      <c r="S87" s="2"/>
      <c r="T87" s="2"/>
      <c r="U87" s="2"/>
      <c r="V87" s="2"/>
      <c r="W87" s="2"/>
    </row>
    <row r="88" ht="22.5" customHeight="1">
      <c r="A88" s="3">
        <v>87.0</v>
      </c>
      <c r="B88" s="3" t="s">
        <v>2040</v>
      </c>
      <c r="C88" s="3" t="s">
        <v>2041</v>
      </c>
      <c r="D88" s="3" t="s">
        <v>2042</v>
      </c>
      <c r="E88" s="3" t="s">
        <v>2043</v>
      </c>
      <c r="F88" s="2"/>
      <c r="G88" s="3" t="str">
        <f>IFERROR(__xludf.DUMMYFUNCTION("GOOGLETRANSLATE(A88, ""it"", ""en"")"),"87")</f>
        <v>87</v>
      </c>
      <c r="H88" s="3" t="str">
        <f>IFERROR(__xludf.DUMMYFUNCTION("GOOGLETRANSLATE(B88, ""it"", ""en"")"),"What happens if two contradas get in each other's way during a race?")</f>
        <v>What happens if two contradas get in each other's way during a race?</v>
      </c>
      <c r="I88" s="3" t="str">
        <f>IFERROR(__xludf.DUMMYFUNCTION("GOOGLETRANSLATE(C88, ""it"", ""en"")"),"A. Both are disqualified B. A penalty is given C. The first to arrive wins D. The starter intervenes")</f>
        <v>A. Both are disqualified B. A penalty is given C. The first to arrive wins D. The starter intervenes</v>
      </c>
      <c r="J88" s="3" t="str">
        <f>IFERROR(__xludf.DUMMYFUNCTION("GOOGLETRANSLATE(D88, ""it"", ""en"")"),"A penalty is awarded")</f>
        <v>A penalty is awarded</v>
      </c>
      <c r="K88" s="3" t="str">
        <f>IFERROR(__xludf.DUMMYFUNCTION("GOOGLETRANSLATE(E88, ""it"", ""en"")"),"Interference is punishable by penalty.")</f>
        <v>Interference is punishable by penalty.</v>
      </c>
      <c r="L88" s="2"/>
      <c r="M88" s="2"/>
      <c r="N88" s="2"/>
      <c r="O88" s="2"/>
      <c r="P88" s="2"/>
      <c r="Q88" s="2"/>
      <c r="R88" s="2"/>
      <c r="S88" s="2"/>
      <c r="T88" s="2"/>
      <c r="U88" s="2"/>
      <c r="V88" s="2"/>
      <c r="W88" s="2"/>
    </row>
    <row r="89" ht="22.5" customHeight="1">
      <c r="A89" s="3">
        <v>88.0</v>
      </c>
      <c r="B89" s="3" t="s">
        <v>2044</v>
      </c>
      <c r="C89" s="3" t="s">
        <v>2045</v>
      </c>
      <c r="D89" s="3" t="s">
        <v>2046</v>
      </c>
      <c r="E89" s="3" t="s">
        <v>2047</v>
      </c>
      <c r="F89" s="2"/>
      <c r="G89" s="3" t="str">
        <f>IFERROR(__xludf.DUMMYFUNCTION("GOOGLETRANSLATE(A89, ""it"", ""en"")"),"88")</f>
        <v>88</v>
      </c>
      <c r="H89" s="3" t="str">
        <f>IFERROR(__xludf.DUMMYFUNCTION("GOOGLETRANSLATE(B89, ""it"", ""en"")"),"What is the meaning of ""career""?")</f>
        <v>What is the meaning of "career"?</v>
      </c>
      <c r="I89" s="3" t="str">
        <f>IFERROR(__xludf.DUMMYFUNCTION("GOOGLETRANSLATE(C89, ""it"", ""en"")"),"A. The race itself B. The history of the contrada C. The banner D. The victory of the shaken horse")</f>
        <v>A. The race itself B. The history of the contrada C. The banner D. The victory of the shaken horse</v>
      </c>
      <c r="J89" s="3" t="str">
        <f>IFERROR(__xludf.DUMMYFUNCTION("GOOGLETRANSLATE(D89, ""it"", ""en"")"),"The race itself")</f>
        <v>The race itself</v>
      </c>
      <c r="K89" s="3" t="str">
        <f>IFERROR(__xludf.DUMMYFUNCTION("GOOGLETRANSLATE(E89, ""it"", ""en"")"),"The ""carriera"" is the term that indicates the Palio race.")</f>
        <v>The "carriera" is the term that indicates the Palio race.</v>
      </c>
      <c r="L89" s="2"/>
      <c r="M89" s="2"/>
      <c r="N89" s="2"/>
      <c r="O89" s="2"/>
      <c r="P89" s="2"/>
      <c r="Q89" s="2"/>
      <c r="R89" s="2"/>
      <c r="S89" s="2"/>
      <c r="T89" s="2"/>
      <c r="U89" s="2"/>
      <c r="V89" s="2"/>
      <c r="W89" s="2"/>
    </row>
    <row r="90" ht="22.5" customHeight="1">
      <c r="A90" s="3">
        <v>89.0</v>
      </c>
      <c r="B90" s="3" t="s">
        <v>2048</v>
      </c>
      <c r="C90" s="3" t="s">
        <v>2049</v>
      </c>
      <c r="D90" s="3" t="s">
        <v>2050</v>
      </c>
      <c r="E90" s="3" t="s">
        <v>2051</v>
      </c>
      <c r="F90" s="2"/>
      <c r="G90" s="3" t="str">
        <f>IFERROR(__xludf.DUMMYFUNCTION("GOOGLETRANSLATE(A90, ""it"", ""en"")"),"89")</f>
        <v>89</v>
      </c>
      <c r="H90" s="3" t="str">
        <f>IFERROR(__xludf.DUMMYFUNCTION("GOOGLETRANSLATE(B90, ""it"", ""en"")"),"Who assists the jockey during preparation?")</f>
        <v>Who assists the jockey during preparation?</v>
      </c>
      <c r="I90" s="3" t="str">
        <f>IFERROR(__xludf.DUMMYFUNCTION("GOOGLETRANSLATE(C90, ""it"", ""en"")"),"A. The prior B. The captain of the district C. The starter D. A fellow jockey")</f>
        <v>A. The prior B. The captain of the district C. The starter D. A fellow jockey</v>
      </c>
      <c r="J90" s="3" t="str">
        <f>IFERROR(__xludf.DUMMYFUNCTION("GOOGLETRANSLATE(D90, ""it"", ""en"")"),"The captain of the district")</f>
        <v>The captain of the district</v>
      </c>
      <c r="K90" s="3" t="str">
        <f>IFERROR(__xludf.DUMMYFUNCTION("GOOGLETRANSLATE(E90, ""it"", ""en"")"),"The captain provides strategic and logistical support.")</f>
        <v>The captain provides strategic and logistical support.</v>
      </c>
      <c r="L90" s="2"/>
      <c r="M90" s="2"/>
      <c r="N90" s="2"/>
      <c r="O90" s="2"/>
      <c r="P90" s="2"/>
      <c r="Q90" s="2"/>
      <c r="R90" s="2"/>
      <c r="S90" s="2"/>
      <c r="T90" s="2"/>
      <c r="U90" s="2"/>
      <c r="V90" s="2"/>
      <c r="W90" s="2"/>
    </row>
    <row r="91" ht="22.5" customHeight="1">
      <c r="A91" s="3">
        <v>90.0</v>
      </c>
      <c r="B91" s="3" t="s">
        <v>2052</v>
      </c>
      <c r="C91" s="3" t="s">
        <v>2053</v>
      </c>
      <c r="D91" s="3" t="s">
        <v>2054</v>
      </c>
      <c r="E91" s="3" t="s">
        <v>2055</v>
      </c>
      <c r="F91" s="2"/>
      <c r="G91" s="3" t="str">
        <f>IFERROR(__xludf.DUMMYFUNCTION("GOOGLETRANSLATE(A91, ""it"", ""en"")"),"90")</f>
        <v>90</v>
      </c>
      <c r="H91" s="3" t="str">
        <f>IFERROR(__xludf.DUMMYFUNCTION("GOOGLETRANSLATE(B91, ""it"", ""en"")"),"What is the name of the narrowest stretch of Piazza del Campo?")</f>
        <v>What is the name of the narrowest stretch of Piazza del Campo?</v>
      </c>
      <c r="I91" s="3" t="str">
        <f>IFERROR(__xludf.DUMMYFUNCTION("GOOGLETRANSLATE(C91, ""it"", ""en"")"),"A. San Martino B. Casato C. Mattarella D. Costarella di Fontebranda")</f>
        <v>A. San Martino B. Casato C. Mattarella D. Costarella di Fontebranda</v>
      </c>
      <c r="J91" s="3" t="str">
        <f>IFERROR(__xludf.DUMMYFUNCTION("GOOGLETRANSLATE(D91, ""it"", ""en"")"),"Saint Martin")</f>
        <v>Saint Martin</v>
      </c>
      <c r="K91" s="3" t="str">
        <f>IFERROR(__xludf.DUMMYFUNCTION("GOOGLETRANSLATE(E91, ""it"", ""en"")"),"The San Martino curve is famous for its difficulty.")</f>
        <v>The San Martino curve is famous for its difficulty.</v>
      </c>
      <c r="L91" s="2"/>
      <c r="M91" s="2"/>
      <c r="N91" s="2"/>
      <c r="O91" s="2"/>
      <c r="P91" s="2"/>
      <c r="Q91" s="2"/>
      <c r="R91" s="2"/>
      <c r="S91" s="2"/>
      <c r="T91" s="2"/>
      <c r="U91" s="2"/>
      <c r="V91" s="2"/>
      <c r="W91" s="2"/>
    </row>
    <row r="92" ht="22.5" customHeight="1">
      <c r="A92" s="3">
        <v>91.0</v>
      </c>
      <c r="B92" s="3" t="s">
        <v>2056</v>
      </c>
      <c r="C92" s="3" t="s">
        <v>2057</v>
      </c>
      <c r="D92" s="3" t="s">
        <v>2058</v>
      </c>
      <c r="E92" s="3" t="s">
        <v>2059</v>
      </c>
      <c r="F92" s="2"/>
      <c r="G92" s="3" t="str">
        <f>IFERROR(__xludf.DUMMYFUNCTION("GOOGLETRANSLATE(A92, ""it"", ""en"")"),"91")</f>
        <v>91</v>
      </c>
      <c r="H92" s="3" t="str">
        <f>IFERROR(__xludf.DUMMYFUNCTION("GOOGLETRANSLATE(B92, ""it"", ""en"")"),"What is the meaning of the term ""barbaresco""?")</f>
        <v>What is the meaning of the term "barbaresco"?</v>
      </c>
      <c r="I92" s="3" t="str">
        <f>IFERROR(__xludf.DUMMYFUNCTION("GOOGLETRANSLATE(C92, ""it"", ""en"")"),"A. The person who takes care of the horse B. A representative of the contrada C. The reserve jockey D. The starter")</f>
        <v>A. The person who takes care of the horse B. A representative of the contrada C. The reserve jockey D. The starter</v>
      </c>
      <c r="J92" s="3" t="str">
        <f>IFERROR(__xludf.DUMMYFUNCTION("GOOGLETRANSLATE(D92, ""it"", ""en"")"),"The one who takes care of the horse")</f>
        <v>The one who takes care of the horse</v>
      </c>
      <c r="K92" s="3" t="str">
        <f>IFERROR(__xludf.DUMMYFUNCTION("GOOGLETRANSLATE(E92, ""it"", ""en"")"),"The Barbaresco is the guardian of the contrada's horse.")</f>
        <v>The Barbaresco is the guardian of the contrada's horse.</v>
      </c>
      <c r="L92" s="2"/>
      <c r="M92" s="2"/>
      <c r="N92" s="2"/>
      <c r="O92" s="2"/>
      <c r="P92" s="2"/>
      <c r="Q92" s="2"/>
      <c r="R92" s="2"/>
      <c r="S92" s="2"/>
      <c r="T92" s="2"/>
      <c r="U92" s="2"/>
      <c r="V92" s="2"/>
      <c r="W92" s="2"/>
    </row>
    <row r="93" ht="22.5" customHeight="1">
      <c r="A93" s="3">
        <v>92.0</v>
      </c>
      <c r="B93" s="3" t="s">
        <v>2060</v>
      </c>
      <c r="C93" s="3" t="s">
        <v>2061</v>
      </c>
      <c r="D93" s="3" t="s">
        <v>2062</v>
      </c>
      <c r="E93" s="3" t="s">
        <v>2063</v>
      </c>
      <c r="F93" s="2"/>
      <c r="G93" s="3" t="str">
        <f>IFERROR(__xludf.DUMMYFUNCTION("GOOGLETRANSLATE(A93, ""it"", ""en"")"),"92")</f>
        <v>92</v>
      </c>
      <c r="H93" s="3" t="str">
        <f>IFERROR(__xludf.DUMMYFUNCTION("GOOGLETRANSLATE(B93, ""it"", ""en"")"),"What happens if a horse is deemed unfit?")</f>
        <v>What happens if a horse is deemed unfit?</v>
      </c>
      <c r="I93" s="3" t="str">
        <f>IFERROR(__xludf.DUMMYFUNCTION("GOOGLETRANSLATE(C93, ""it"", ""en"")"),"A. He is replaced B. He is disqualified C. He is assigned to another contrada D. He cannot participate in the Palio")</f>
        <v>A. He is replaced B. He is disqualified C. He is assigned to another contrada D. He cannot participate in the Palio</v>
      </c>
      <c r="J93" s="3" t="str">
        <f>IFERROR(__xludf.DUMMYFUNCTION("GOOGLETRANSLATE(D93, ""it"", ""en"")"),"It is replaced")</f>
        <v>It is replaced</v>
      </c>
      <c r="K93" s="3" t="str">
        <f>IFERROR(__xludf.DUMMYFUNCTION("GOOGLETRANSLATE(E93, ""it"", ""en"")"),"An unfit horse is replaced before the race.")</f>
        <v>An unfit horse is replaced before the race.</v>
      </c>
      <c r="L93" s="2"/>
      <c r="M93" s="2"/>
      <c r="N93" s="2"/>
      <c r="O93" s="2"/>
      <c r="P93" s="2"/>
      <c r="Q93" s="2"/>
      <c r="R93" s="2"/>
      <c r="S93" s="2"/>
      <c r="T93" s="2"/>
      <c r="U93" s="2"/>
      <c r="V93" s="2"/>
      <c r="W93" s="2"/>
    </row>
    <row r="94" ht="22.5" customHeight="1">
      <c r="A94" s="3">
        <v>93.0</v>
      </c>
      <c r="B94" s="3" t="s">
        <v>2064</v>
      </c>
      <c r="C94" s="3" t="s">
        <v>24</v>
      </c>
      <c r="D94" s="3">
        <v>6.0</v>
      </c>
      <c r="E94" s="3" t="s">
        <v>2065</v>
      </c>
      <c r="F94" s="2"/>
      <c r="G94" s="3" t="str">
        <f>IFERROR(__xludf.DUMMYFUNCTION("GOOGLETRANSLATE(A94, ""it"", ""en"")"),"93")</f>
        <v>93</v>
      </c>
      <c r="H94" s="3" t="str">
        <f>IFERROR(__xludf.DUMMYFUNCTION("GOOGLETRANSLATE(B94, ""it"", ""en"")"),"How many trials are held before the Palio?")</f>
        <v>How many trials are held before the Palio?</v>
      </c>
      <c r="I94" s="3" t="str">
        <f>IFERROR(__xludf.DUMMYFUNCTION("GOOGLETRANSLATE(C94, ""it"", ""en"")"),"A. 2 B. 3 C. 4 D. 6")</f>
        <v>A. 2 B. 3 C. 4 D. 6</v>
      </c>
      <c r="J94" s="3" t="str">
        <f>IFERROR(__xludf.DUMMYFUNCTION("GOOGLETRANSLATE(D94, ""it"", ""en"")"),"6")</f>
        <v>6</v>
      </c>
      <c r="K94" s="3" t="str">
        <f>IFERROR(__xludf.DUMMYFUNCTION("GOOGLETRANSLATE(E94, ""it"", ""en"")"),"Six official trials take place before the Palio.")</f>
        <v>Six official trials take place before the Palio.</v>
      </c>
      <c r="L94" s="2"/>
      <c r="M94" s="2"/>
      <c r="N94" s="2"/>
      <c r="O94" s="2"/>
      <c r="P94" s="2"/>
      <c r="Q94" s="2"/>
      <c r="R94" s="2"/>
      <c r="S94" s="2"/>
      <c r="T94" s="2"/>
      <c r="U94" s="2"/>
      <c r="V94" s="2"/>
      <c r="W94" s="2"/>
    </row>
    <row r="95" ht="22.5" customHeight="1">
      <c r="A95" s="3">
        <v>94.0</v>
      </c>
      <c r="B95" s="3" t="s">
        <v>2066</v>
      </c>
      <c r="C95" s="3" t="s">
        <v>2067</v>
      </c>
      <c r="D95" s="3" t="s">
        <v>2068</v>
      </c>
      <c r="E95" s="3" t="s">
        <v>2069</v>
      </c>
      <c r="F95" s="2"/>
      <c r="G95" s="3" t="str">
        <f>IFERROR(__xludf.DUMMYFUNCTION("GOOGLETRANSLATE(A95, ""it"", ""en"")"),"94")</f>
        <v>94</v>
      </c>
      <c r="H95" s="3" t="str">
        <f>IFERROR(__xludf.DUMMYFUNCTION("GOOGLETRANSLATE(B95, ""it"", ""en"")"),"Who delivers the banner to the winning contrada?")</f>
        <v>Who delivers the banner to the winning contrada?</v>
      </c>
      <c r="I95" s="3" t="str">
        <f>IFERROR(__xludf.DUMMYFUNCTION("GOOGLETRANSLATE(C95, ""it"", ""en"")"),"A. The mayor B. The starter C. The captain of the district D. The prior")</f>
        <v>A. The mayor B. The starter C. The captain of the district D. The prior</v>
      </c>
      <c r="J95" s="3" t="str">
        <f>IFERROR(__xludf.DUMMYFUNCTION("GOOGLETRANSLATE(D95, ""it"", ""en"")"),"The mayor")</f>
        <v>The mayor</v>
      </c>
      <c r="K95" s="3" t="str">
        <f>IFERROR(__xludf.DUMMYFUNCTION("GOOGLETRANSLATE(E95, ""it"", ""en"")"),"The mayor of Siena hands over the banner.")</f>
        <v>The mayor of Siena hands over the banner.</v>
      </c>
      <c r="L95" s="2"/>
      <c r="M95" s="2"/>
      <c r="N95" s="2"/>
      <c r="O95" s="2"/>
      <c r="P95" s="2"/>
      <c r="Q95" s="2"/>
      <c r="R95" s="2"/>
      <c r="S95" s="2"/>
      <c r="T95" s="2"/>
      <c r="U95" s="2"/>
      <c r="V95" s="2"/>
      <c r="W95" s="2"/>
    </row>
    <row r="96" ht="22.5" customHeight="1">
      <c r="A96" s="3">
        <v>95.0</v>
      </c>
      <c r="B96" s="3" t="s">
        <v>2070</v>
      </c>
      <c r="C96" s="3" t="s">
        <v>2071</v>
      </c>
      <c r="D96" s="3" t="s">
        <v>2072</v>
      </c>
      <c r="E96" s="3" t="s">
        <v>2073</v>
      </c>
      <c r="F96" s="2"/>
      <c r="G96" s="3" t="str">
        <f>IFERROR(__xludf.DUMMYFUNCTION("GOOGLETRANSLATE(A96, ""it"", ""en"")"),"95")</f>
        <v>95</v>
      </c>
      <c r="H96" s="3" t="str">
        <f>IFERROR(__xludf.DUMMYFUNCTION("GOOGLETRANSLATE(B96, ""it"", ""en"")"),"What do the colors of the banner represent?")</f>
        <v>What do the colors of the banner represent?</v>
      </c>
      <c r="I96" s="3" t="str">
        <f>IFERROR(__xludf.DUMMYFUNCTION("GOOGLETRANSLATE(C96, ""it"", ""en"")"),"A. The participating districts B. The religious celebration C. The victory of the Palio D. Local art")</f>
        <v>A. The participating districts B. The religious celebration C. The victory of the Palio D. Local art</v>
      </c>
      <c r="J96" s="3" t="str">
        <f>IFERROR(__xludf.DUMMYFUNCTION("GOOGLETRANSLATE(D96, ""it"", ""en"")"),"The religious celebration")</f>
        <v>The religious celebration</v>
      </c>
      <c r="K96" s="3" t="str">
        <f>IFERROR(__xludf.DUMMYFUNCTION("GOOGLETRANSLATE(E96, ""it"", ""en"")"),"The banner symbolizes devotion to the Madonna.")</f>
        <v>The banner symbolizes devotion to the Madonna.</v>
      </c>
      <c r="L96" s="2"/>
      <c r="M96" s="2"/>
      <c r="N96" s="2"/>
      <c r="O96" s="2"/>
      <c r="P96" s="2"/>
      <c r="Q96" s="2"/>
      <c r="R96" s="2"/>
      <c r="S96" s="2"/>
      <c r="T96" s="2"/>
      <c r="U96" s="2"/>
      <c r="V96" s="2"/>
      <c r="W96" s="2"/>
    </row>
    <row r="97" ht="22.5" customHeight="1">
      <c r="A97" s="3">
        <v>96.0</v>
      </c>
      <c r="B97" s="3" t="s">
        <v>2074</v>
      </c>
      <c r="C97" s="3" t="s">
        <v>2075</v>
      </c>
      <c r="D97" s="3" t="s">
        <v>1791</v>
      </c>
      <c r="E97" s="3" t="s">
        <v>2076</v>
      </c>
      <c r="F97" s="2"/>
      <c r="G97" s="3" t="str">
        <f>IFERROR(__xludf.DUMMYFUNCTION("GOOGLETRANSLATE(A97, ""it"", ""en"")"),"96")</f>
        <v>96</v>
      </c>
      <c r="H97" s="3" t="str">
        <f>IFERROR(__xludf.DUMMYFUNCTION("GOOGLETRANSLATE(B97, ""it"", ""en"")"),"What happens during the ""trial""?")</f>
        <v>What happens during the "trial"?</v>
      </c>
      <c r="I97" s="3" t="str">
        <f>IFERROR(__xludf.DUMMYFUNCTION("GOOGLETRANSLATE(C97, ""it"", ""en"")"),"A. The awarding of the banner B. A dress rehearsal C. The opening ceremony D. The choice of the starter")</f>
        <v>A. The awarding of the banner B. A dress rehearsal C. The opening ceremony D. The choice of the starter</v>
      </c>
      <c r="J97" s="3" t="str">
        <f>IFERROR(__xludf.DUMMYFUNCTION("GOOGLETRANSLATE(D97, ""it"", ""en"")"),"A dress rehearsal")</f>
        <v>A dress rehearsal</v>
      </c>
      <c r="K97" s="3" t="str">
        <f>IFERROR(__xludf.DUMMYFUNCTION("GOOGLETRANSLATE(E97, ""it"", ""en"")"),"The provaccia is a test before the official race.")</f>
        <v>The provaccia is a test before the official race.</v>
      </c>
      <c r="L97" s="2"/>
      <c r="M97" s="2"/>
      <c r="N97" s="2"/>
      <c r="O97" s="2"/>
      <c r="P97" s="2"/>
      <c r="Q97" s="2"/>
      <c r="R97" s="2"/>
      <c r="S97" s="2"/>
      <c r="T97" s="2"/>
      <c r="U97" s="2"/>
      <c r="V97" s="2"/>
      <c r="W97" s="2"/>
    </row>
    <row r="98" ht="22.5" customHeight="1">
      <c r="A98" s="3">
        <v>97.0</v>
      </c>
      <c r="B98" s="3" t="s">
        <v>2077</v>
      </c>
      <c r="C98" s="3" t="s">
        <v>2078</v>
      </c>
      <c r="D98" s="3" t="s">
        <v>2079</v>
      </c>
      <c r="E98" s="3" t="s">
        <v>2080</v>
      </c>
      <c r="F98" s="2"/>
      <c r="G98" s="3" t="str">
        <f>IFERROR(__xludf.DUMMYFUNCTION("GOOGLETRANSLATE(A98, ""it"", ""en"")"),"97")</f>
        <v>97</v>
      </c>
      <c r="H98" s="3" t="str">
        <f>IFERROR(__xludf.DUMMYFUNCTION("GOOGLETRANSLATE(B98, ""it"", ""en"")"),"What is the name of the youngest jockey to ever win the Palio?")</f>
        <v>What is the name of the youngest jockey to ever win the Palio?</v>
      </c>
      <c r="I98" s="3" t="str">
        <f>IFERROR(__xludf.DUMMYFUNCTION("GOOGLETRANSLATE(C98, ""it"", ""en"")"),"A. The Mossiere B. The Barbaresco C. The Virgin D. The Novice")</f>
        <v>A. The Mossiere B. The Barbaresco C. The Virgin D. The Novice</v>
      </c>
      <c r="J98" s="3" t="str">
        <f>IFERROR(__xludf.DUMMYFUNCTION("GOOGLETRANSLATE(D98, ""it"", ""en"")"),"The Novice")</f>
        <v>The Novice</v>
      </c>
      <c r="K98" s="3" t="str">
        <f>IFERROR(__xludf.DUMMYFUNCTION("GOOGLETRANSLATE(E98, ""it"", ""en"")"),"The youngest jockey is known as the ""Novice"".")</f>
        <v>The youngest jockey is known as the "Novice".</v>
      </c>
      <c r="L98" s="2"/>
      <c r="M98" s="2"/>
      <c r="N98" s="2"/>
      <c r="O98" s="2"/>
      <c r="P98" s="2"/>
      <c r="Q98" s="2"/>
      <c r="R98" s="2"/>
      <c r="S98" s="2"/>
      <c r="T98" s="2"/>
      <c r="U98" s="2"/>
      <c r="V98" s="2"/>
      <c r="W98" s="2"/>
    </row>
    <row r="99" ht="22.5" customHeight="1">
      <c r="A99" s="3">
        <v>98.0</v>
      </c>
      <c r="B99" s="3" t="s">
        <v>2081</v>
      </c>
      <c r="C99" s="3" t="s">
        <v>2082</v>
      </c>
      <c r="D99" s="3" t="s">
        <v>2083</v>
      </c>
      <c r="E99" s="3" t="s">
        <v>2084</v>
      </c>
      <c r="F99" s="2"/>
      <c r="G99" s="3" t="str">
        <f>IFERROR(__xludf.DUMMYFUNCTION("GOOGLETRANSLATE(A99, ""it"", ""en"")"),"98")</f>
        <v>98</v>
      </c>
      <c r="H99" s="3" t="str">
        <f>IFERROR(__xludf.DUMMYFUNCTION("GOOGLETRANSLATE(B99, ""it"", ""en"")"),"What is the most dangerous part of the Palio route?")</f>
        <v>What is the most dangerous part of the Palio route?</v>
      </c>
      <c r="I99" s="3" t="str">
        <f>IFERROR(__xludf.DUMMYFUNCTION("GOOGLETRANSLATE(C99, ""it"", ""en"")"),"A. The San Martino curve B. The start C. The final straight D. The Casato curve")</f>
        <v>A. The San Martino curve B. The start C. The final straight D. The Casato curve</v>
      </c>
      <c r="J99" s="3" t="str">
        <f>IFERROR(__xludf.DUMMYFUNCTION("GOOGLETRANSLATE(D99, ""it"", ""en"")"),"The San Martino curve")</f>
        <v>The San Martino curve</v>
      </c>
      <c r="K99" s="3" t="str">
        <f>IFERROR(__xludf.DUMMYFUNCTION("GOOGLETRANSLATE(E99, ""it"", ""en"")"),"The San Martino curve is known for its danger.")</f>
        <v>The San Martino curve is known for its danger.</v>
      </c>
      <c r="L99" s="2"/>
      <c r="M99" s="2"/>
      <c r="N99" s="2"/>
      <c r="O99" s="2"/>
      <c r="P99" s="2"/>
      <c r="Q99" s="2"/>
      <c r="R99" s="2"/>
      <c r="S99" s="2"/>
      <c r="T99" s="2"/>
      <c r="U99" s="2"/>
      <c r="V99" s="2"/>
      <c r="W99" s="2"/>
    </row>
    <row r="100" ht="22.5" customHeight="1">
      <c r="A100" s="3">
        <v>99.0</v>
      </c>
      <c r="B100" s="3" t="s">
        <v>2085</v>
      </c>
      <c r="C100" s="3" t="s">
        <v>2086</v>
      </c>
      <c r="D100" s="3" t="s">
        <v>2087</v>
      </c>
      <c r="E100" s="3" t="s">
        <v>2088</v>
      </c>
      <c r="F100" s="2"/>
      <c r="G100" s="3" t="str">
        <f>IFERROR(__xludf.DUMMYFUNCTION("GOOGLETRANSLATE(A100, ""it"", ""en"")"),"99")</f>
        <v>99</v>
      </c>
      <c r="H100" s="3" t="str">
        <f>IFERROR(__xludf.DUMMYFUNCTION("GOOGLETRANSLATE(B100, ""it"", ""en"")"),"What does ""fare melina"" mean during the Palio?")</f>
        <v>What does "fare melina" mean during the Palio?</v>
      </c>
      <c r="I100" s="3" t="str">
        <f>IFERROR(__xludf.DUMMYFUNCTION("GOOGLETRANSLATE(C100, ""it"", ""en"")"),"A. Obstructing opponents B. Intentionally slowing down C. Avoiding the race D. Pushing the horse to the maximum")</f>
        <v>A. Obstructing opponents B. Intentionally slowing down C. Avoiding the race D. Pushing the horse to the maximum</v>
      </c>
      <c r="J100" s="3" t="str">
        <f>IFERROR(__xludf.DUMMYFUNCTION("GOOGLETRANSLATE(D100, ""it"", ""en"")"),"Slow down intentionally")</f>
        <v>Slow down intentionally</v>
      </c>
      <c r="K100" s="3" t="str">
        <f>IFERROR(__xludf.DUMMYFUNCTION("GOOGLETRANSLATE(E100, ""it"", ""en"")"),"Playing for time means slowing down for the sake of a strategy.")</f>
        <v>Playing for time means slowing down for the sake of a strategy.</v>
      </c>
      <c r="L100" s="2"/>
      <c r="M100" s="2"/>
      <c r="N100" s="2"/>
      <c r="O100" s="2"/>
      <c r="P100" s="2"/>
      <c r="Q100" s="2"/>
      <c r="R100" s="2"/>
      <c r="S100" s="2"/>
      <c r="T100" s="2"/>
      <c r="U100" s="2"/>
      <c r="V100" s="2"/>
      <c r="W100" s="2"/>
    </row>
    <row r="101" ht="22.5" customHeight="1">
      <c r="A101" s="3">
        <v>100.0</v>
      </c>
      <c r="B101" s="3" t="s">
        <v>2089</v>
      </c>
      <c r="C101" s="3" t="s">
        <v>2090</v>
      </c>
      <c r="D101" s="3" t="s">
        <v>2091</v>
      </c>
      <c r="E101" s="3" t="s">
        <v>2092</v>
      </c>
      <c r="F101" s="2"/>
      <c r="G101" s="3" t="str">
        <f>IFERROR(__xludf.DUMMYFUNCTION("GOOGLETRANSLATE(A101, ""it"", ""en"")"),"100")</f>
        <v>100</v>
      </c>
      <c r="H101" s="3" t="str">
        <f>IFERROR(__xludf.DUMMYFUNCTION("GOOGLETRANSLATE(B101, ""it"", ""en"")"),"Which district has a she-wolf as its symbol?")</f>
        <v>Which district has a she-wolf as its symbol?</v>
      </c>
      <c r="I101" s="3" t="str">
        <f>IFERROR(__xludf.DUMMYFUNCTION("GOOGLETRANSLATE(C101, ""it"", ""en"")"),"A. Goose B. Wolf C. Dragon D. Giraffe")</f>
        <v>A. Goose B. Wolf C. Dragon D. Giraffe</v>
      </c>
      <c r="J101" s="3" t="str">
        <f>IFERROR(__xludf.DUMMYFUNCTION("GOOGLETRANSLATE(D101, ""it"", ""en"")"),"She-wolf")</f>
        <v>She-wolf</v>
      </c>
      <c r="K101" s="3" t="str">
        <f>IFERROR(__xludf.DUMMYFUNCTION("GOOGLETRANSLATE(E101, ""it"", ""en"")"),"The Wolf has a she-wolf as its symbol.")</f>
        <v>The Wolf has a she-wolf as its symbol.</v>
      </c>
      <c r="L101" s="2"/>
      <c r="M101" s="2"/>
      <c r="N101" s="2"/>
      <c r="O101" s="2"/>
      <c r="P101" s="2"/>
      <c r="Q101" s="2"/>
      <c r="R101" s="2"/>
      <c r="S101" s="2"/>
      <c r="T101" s="2"/>
      <c r="U101" s="2"/>
      <c r="V101" s="2"/>
      <c r="W101" s="2"/>
    </row>
    <row r="102" ht="22.5" customHeight="1">
      <c r="A102" s="3">
        <v>101.0</v>
      </c>
      <c r="B102" s="3" t="s">
        <v>2093</v>
      </c>
      <c r="C102" s="3" t="s">
        <v>2094</v>
      </c>
      <c r="D102" s="3" t="s">
        <v>2095</v>
      </c>
      <c r="E102" s="3" t="s">
        <v>2096</v>
      </c>
      <c r="F102" s="2"/>
      <c r="G102" s="3" t="str">
        <f>IFERROR(__xludf.DUMMYFUNCTION("GOOGLETRANSLATE(A102, ""it"", ""en"")"),"101")</f>
        <v>101</v>
      </c>
      <c r="H102" s="3" t="str">
        <f>IFERROR(__xludf.DUMMYFUNCTION("GOOGLETRANSLATE(B102, ""it"", ""en"")"),"What happens to the winning horse?")</f>
        <v>What happens to the winning horse?</v>
      </c>
      <c r="I102" s="3" t="str">
        <f>IFERROR(__xludf.DUMMYFUNCTION("GOOGLETRANSLATE(C102, ""it"", ""en"")"),"A. He is awarded with the banner B. He is celebrated in the church C. He is freed in the square D. He is hosted by the prior")</f>
        <v>A. He is awarded with the banner B. He is celebrated in the church C. He is freed in the square D. He is hosted by the prior</v>
      </c>
      <c r="J102" s="3" t="str">
        <f>IFERROR(__xludf.DUMMYFUNCTION("GOOGLETRANSLATE(D102, ""it"", ""en"")"),"It is celebrated in church")</f>
        <v>It is celebrated in church</v>
      </c>
      <c r="K102" s="3" t="str">
        <f>IFERROR(__xludf.DUMMYFUNCTION("GOOGLETRANSLATE(E102, ""it"", ""en"")"),"The winning horse is blessed in church.")</f>
        <v>The winning horse is blessed in church.</v>
      </c>
      <c r="L102" s="2"/>
      <c r="M102" s="2"/>
      <c r="N102" s="2"/>
      <c r="O102" s="2"/>
      <c r="P102" s="2"/>
      <c r="Q102" s="2"/>
      <c r="R102" s="2"/>
      <c r="S102" s="2"/>
      <c r="T102" s="2"/>
      <c r="U102" s="2"/>
      <c r="V102" s="2"/>
      <c r="W102" s="2"/>
    </row>
    <row r="103" ht="22.5" customHeight="1">
      <c r="A103" s="3">
        <v>102.0</v>
      </c>
      <c r="B103" s="3" t="s">
        <v>2097</v>
      </c>
      <c r="C103" s="3" t="s">
        <v>2098</v>
      </c>
      <c r="D103" s="3" t="s">
        <v>2099</v>
      </c>
      <c r="E103" s="3" t="s">
        <v>2100</v>
      </c>
      <c r="F103" s="2"/>
      <c r="G103" s="3" t="str">
        <f>IFERROR(__xludf.DUMMYFUNCTION("GOOGLETRANSLATE(A103, ""it"", ""en"")"),"102")</f>
        <v>102</v>
      </c>
      <c r="H103" s="3" t="str">
        <f>IFERROR(__xludf.DUMMYFUNCTION("GOOGLETRANSLATE(B103, ""it"", ""en"")"),"Who is responsible for the contrada's tactical decisions?")</f>
        <v>Who is responsible for the contrada's tactical decisions?</v>
      </c>
      <c r="I103" s="3" t="str">
        <f>IFERROR(__xludf.DUMMYFUNCTION("GOOGLETRANSLATE(C103, ""it"", ""en"")"),"A. The prior B. The captain C. The starter D. The jockey")</f>
        <v>A. The prior B. The captain C. The starter D. The jockey</v>
      </c>
      <c r="J103" s="3" t="str">
        <f>IFERROR(__xludf.DUMMYFUNCTION("GOOGLETRANSLATE(D103, ""it"", ""en"")"),"The Captain")</f>
        <v>The Captain</v>
      </c>
      <c r="K103" s="3" t="str">
        <f>IFERROR(__xludf.DUMMYFUNCTION("GOOGLETRANSLATE(E103, ""it"", ""en"")"),"The captain leads the contrada's tactical choices.")</f>
        <v>The captain leads the contrada's tactical choices.</v>
      </c>
      <c r="L103" s="2"/>
      <c r="M103" s="2"/>
      <c r="N103" s="2"/>
      <c r="O103" s="2"/>
      <c r="P103" s="2"/>
      <c r="Q103" s="2"/>
      <c r="R103" s="2"/>
      <c r="S103" s="2"/>
      <c r="T103" s="2"/>
      <c r="U103" s="2"/>
      <c r="V103" s="2"/>
      <c r="W103" s="2"/>
    </row>
    <row r="104" ht="22.5" customHeight="1">
      <c r="A104" s="3">
        <v>103.0</v>
      </c>
      <c r="B104" s="3" t="s">
        <v>2101</v>
      </c>
      <c r="C104" s="3" t="s">
        <v>2102</v>
      </c>
      <c r="D104" s="3" t="s">
        <v>2103</v>
      </c>
      <c r="E104" s="3" t="s">
        <v>2104</v>
      </c>
      <c r="F104" s="2"/>
      <c r="G104" s="3" t="str">
        <f>IFERROR(__xludf.DUMMYFUNCTION("GOOGLETRANSLATE(A104, ""it"", ""en"")"),"103")</f>
        <v>103</v>
      </c>
      <c r="H104" s="3" t="str">
        <f>IFERROR(__xludf.DUMMYFUNCTION("GOOGLETRANSLATE(B104, ""it"", ""en"")"),"What do the medieval costumes of the historical parade symbolize?")</f>
        <v>What do the medieval costumes of the historical parade symbolize?</v>
      </c>
      <c r="I104" s="3" t="str">
        <f>IFERROR(__xludf.DUMMYFUNCTION("GOOGLETRANSLATE(C104, ""it"", ""en"")"),"A. The wealth of the district B. The history of Siena C. The military tradition D. The religious faith")</f>
        <v>A. The wealth of the district B. The history of Siena C. The military tradition D. The religious faith</v>
      </c>
      <c r="J104" s="3" t="str">
        <f>IFERROR(__xludf.DUMMYFUNCTION("GOOGLETRANSLATE(D104, ""it"", ""en"")"),"The history of Siena")</f>
        <v>The history of Siena</v>
      </c>
      <c r="K104" s="3" t="str">
        <f>IFERROR(__xludf.DUMMYFUNCTION("GOOGLETRANSLATE(E104, ""it"", ""en"")"),"The medieval costumes recall the historical origins of the city.")</f>
        <v>The medieval costumes recall the historical origins of the city.</v>
      </c>
      <c r="L104" s="2"/>
      <c r="M104" s="2"/>
      <c r="N104" s="2"/>
      <c r="O104" s="2"/>
      <c r="P104" s="2"/>
      <c r="Q104" s="2"/>
      <c r="R104" s="2"/>
      <c r="S104" s="2"/>
      <c r="T104" s="2"/>
      <c r="U104" s="2"/>
      <c r="V104" s="2"/>
      <c r="W104" s="2"/>
    </row>
    <row r="105" ht="22.5" customHeight="1">
      <c r="A105" s="3">
        <v>104.0</v>
      </c>
      <c r="B105" s="3" t="s">
        <v>2105</v>
      </c>
      <c r="C105" s="3" t="s">
        <v>2106</v>
      </c>
      <c r="D105" s="3" t="s">
        <v>1776</v>
      </c>
      <c r="E105" s="3" t="s">
        <v>2107</v>
      </c>
      <c r="F105" s="2"/>
      <c r="G105" s="3" t="str">
        <f>IFERROR(__xludf.DUMMYFUNCTION("GOOGLETRANSLATE(A105, ""it"", ""en"")"),"104")</f>
        <v>104</v>
      </c>
      <c r="H105" s="3" t="str">
        <f>IFERROR(__xludf.DUMMYFUNCTION("GOOGLETRANSLATE(B105, ""it"", ""en"")"),"Which district has a goose as its symbol?")</f>
        <v>Which district has a goose as its symbol?</v>
      </c>
      <c r="I105" s="3" t="str">
        <f>IFERROR(__xludf.DUMMYFUNCTION("GOOGLETRANSLATE(C105, ""it"", ""en"")"),"A. Dragon B. Goose C. Porcupine D. She-wolf")</f>
        <v>A. Dragon B. Goose C. Porcupine D. She-wolf</v>
      </c>
      <c r="J105" s="3" t="str">
        <f>IFERROR(__xludf.DUMMYFUNCTION("GOOGLETRANSLATE(D105, ""it"", ""en"")"),"Goose")</f>
        <v>Goose</v>
      </c>
      <c r="K105" s="3" t="str">
        <f>IFERROR(__xludf.DUMMYFUNCTION("GOOGLETRANSLATE(E105, ""it"", ""en"")"),"The Goose has a goose as its symbol.")</f>
        <v>The Goose has a goose as its symbol.</v>
      </c>
      <c r="L105" s="2"/>
      <c r="M105" s="2"/>
      <c r="N105" s="2"/>
      <c r="O105" s="2"/>
      <c r="P105" s="2"/>
      <c r="Q105" s="2"/>
      <c r="R105" s="2"/>
      <c r="S105" s="2"/>
      <c r="T105" s="2"/>
      <c r="U105" s="2"/>
      <c r="V105" s="2"/>
      <c r="W105" s="2"/>
    </row>
    <row r="106" ht="22.5" customHeight="1">
      <c r="A106" s="3">
        <v>105.0</v>
      </c>
      <c r="B106" s="3" t="s">
        <v>2108</v>
      </c>
      <c r="C106" s="3" t="s">
        <v>2109</v>
      </c>
      <c r="D106" s="3" t="s">
        <v>2110</v>
      </c>
      <c r="E106" s="3" t="s">
        <v>2111</v>
      </c>
      <c r="F106" s="2"/>
      <c r="G106" s="3" t="str">
        <f>IFERROR(__xludf.DUMMYFUNCTION("GOOGLETRANSLATE(A106, ""it"", ""en"")"),"105")</f>
        <v>105</v>
      </c>
      <c r="H106" s="3" t="str">
        <f>IFERROR(__xludf.DUMMYFUNCTION("GOOGLETRANSLATE(B106, ""it"", ""en"")"),"What happens if the jockey falls during the race?")</f>
        <v>What happens if the jockey falls during the race?</v>
      </c>
      <c r="I106" s="3" t="str">
        <f>IFERROR(__xludf.DUMMYFUNCTION("GOOGLETRANSLATE(C106, ""it"", ""en"")"),"A. The contrada loses B. The horse continues to run C. It is disqualified D. The race stops")</f>
        <v>A. The contrada loses B. The horse continues to run C. It is disqualified D. The race stops</v>
      </c>
      <c r="J106" s="3" t="str">
        <f>IFERROR(__xludf.DUMMYFUNCTION("GOOGLETRANSLATE(D106, ""it"", ""en"")"),"The horse keeps running")</f>
        <v>The horse keeps running</v>
      </c>
      <c r="K106" s="3" t="str">
        <f>IFERROR(__xludf.DUMMYFUNCTION("GOOGLETRANSLATE(E106, ""it"", ""en"")"),"The horse can win even without a jockey.")</f>
        <v>The horse can win even without a jockey.</v>
      </c>
      <c r="L106" s="2"/>
      <c r="M106" s="2"/>
      <c r="N106" s="2"/>
      <c r="O106" s="2"/>
      <c r="P106" s="2"/>
      <c r="Q106" s="2"/>
      <c r="R106" s="2"/>
      <c r="S106" s="2"/>
      <c r="T106" s="2"/>
      <c r="U106" s="2"/>
      <c r="V106" s="2"/>
      <c r="W106" s="2"/>
    </row>
    <row r="107" ht="22.5" customHeight="1">
      <c r="A107" s="3">
        <v>106.0</v>
      </c>
      <c r="B107" s="3" t="s">
        <v>2112</v>
      </c>
      <c r="C107" s="3" t="s">
        <v>2113</v>
      </c>
      <c r="D107" s="3" t="s">
        <v>2114</v>
      </c>
      <c r="E107" s="3" t="s">
        <v>2115</v>
      </c>
      <c r="F107" s="2"/>
      <c r="G107" s="3" t="str">
        <f>IFERROR(__xludf.DUMMYFUNCTION("GOOGLETRANSLATE(A107, ""it"", ""en"")"),"106")</f>
        <v>106</v>
      </c>
      <c r="H107" s="3" t="str">
        <f>IFERROR(__xludf.DUMMYFUNCTION("GOOGLETRANSLATE(B107, ""it"", ""en"")"),"What does the term ""move"" mean?")</f>
        <v>What does the term "move" mean?</v>
      </c>
      <c r="I107" s="3" t="str">
        <f>IFERROR(__xludf.DUMMYFUNCTION("GOOGLETRANSLATE(C107, ""it"", ""en"")"),"A. The start of the race B. The end of the race C. The distribution of the banner D. The selection of the starter")</f>
        <v>A. The start of the race B. The end of the race C. The distribution of the banner D. The selection of the starter</v>
      </c>
      <c r="J107" s="3" t="str">
        <f>IFERROR(__xludf.DUMMYFUNCTION("GOOGLETRANSLATE(D107, ""it"", ""en"")"),"The start of the race")</f>
        <v>The start of the race</v>
      </c>
      <c r="K107" s="3" t="str">
        <f>IFERROR(__xludf.DUMMYFUNCTION("GOOGLETRANSLATE(E107, ""it"", ""en"")"),"The ""move"" is the moment of departure.")</f>
        <v>The "move" is the moment of departure.</v>
      </c>
      <c r="L107" s="2"/>
      <c r="M107" s="2"/>
      <c r="N107" s="2"/>
      <c r="O107" s="2"/>
      <c r="P107" s="2"/>
      <c r="Q107" s="2"/>
      <c r="R107" s="2"/>
      <c r="S107" s="2"/>
      <c r="T107" s="2"/>
      <c r="U107" s="2"/>
      <c r="V107" s="2"/>
      <c r="W107" s="2"/>
    </row>
    <row r="108" ht="22.5" customHeight="1">
      <c r="A108" s="3">
        <v>107.0</v>
      </c>
      <c r="B108" s="3" t="s">
        <v>2116</v>
      </c>
      <c r="C108" s="3" t="s">
        <v>2117</v>
      </c>
      <c r="D108" s="3" t="s">
        <v>2118</v>
      </c>
      <c r="E108" s="3" t="s">
        <v>2119</v>
      </c>
      <c r="F108" s="2"/>
      <c r="G108" s="3" t="str">
        <f>IFERROR(__xludf.DUMMYFUNCTION("GOOGLETRANSLATE(A108, ""it"", ""en"")"),"107")</f>
        <v>107</v>
      </c>
      <c r="H108" s="3" t="str">
        <f>IFERROR(__xludf.DUMMYFUNCTION("GOOGLETRANSLATE(B108, ""it"", ""en"")"),"What is the name of the painting that decorates the banner?")</f>
        <v>What is the name of the painting that decorates the banner?</v>
      </c>
      <c r="I108" s="3" t="str">
        <f>IFERROR(__xludf.DUMMYFUNCTION("GOOGLETRANSLATE(C108, ""it"", ""en"")"),"A. The Palio B. The Assumption C. The Rag D. The Triumph")</f>
        <v>A. The Palio B. The Assumption C. The Rag D. The Triumph</v>
      </c>
      <c r="J108" s="3" t="str">
        <f>IFERROR(__xludf.DUMMYFUNCTION("GOOGLETRANSLATE(D108, ""it"", ""en"")"),"The Rag")</f>
        <v>The Rag</v>
      </c>
      <c r="K108" s="3" t="str">
        <f>IFERROR(__xludf.DUMMYFUNCTION("GOOGLETRANSLATE(E108, ""it"", ""en"")"),"The banner is commonly called ""Cencio"".")</f>
        <v>The banner is commonly called "Cencio".</v>
      </c>
      <c r="L108" s="2"/>
      <c r="M108" s="2"/>
      <c r="N108" s="2"/>
      <c r="O108" s="2"/>
      <c r="P108" s="2"/>
      <c r="Q108" s="2"/>
      <c r="R108" s="2"/>
      <c r="S108" s="2"/>
      <c r="T108" s="2"/>
      <c r="U108" s="2"/>
      <c r="V108" s="2"/>
      <c r="W108" s="2"/>
    </row>
    <row r="109" ht="22.5" customHeight="1">
      <c r="A109" s="3">
        <v>108.0</v>
      </c>
      <c r="B109" s="3" t="s">
        <v>2120</v>
      </c>
      <c r="C109" s="3" t="s">
        <v>2121</v>
      </c>
      <c r="D109" s="3" t="s">
        <v>2122</v>
      </c>
      <c r="E109" s="3" t="s">
        <v>2123</v>
      </c>
      <c r="F109" s="2"/>
      <c r="G109" s="3" t="str">
        <f>IFERROR(__xludf.DUMMYFUNCTION("GOOGLETRANSLATE(A109, ""it"", ""en"")"),"108")</f>
        <v>108</v>
      </c>
      <c r="H109" s="3" t="str">
        <f>IFERROR(__xludf.DUMMYFUNCTION("GOOGLETRANSLATE(B109, ""it"", ""en"")"),"How are horses assigned to the contrade?")</f>
        <v>How are horses assigned to the contrade?</v>
      </c>
      <c r="I109" s="3" t="str">
        <f>IFERROR(__xludf.DUMMYFUNCTION("GOOGLETRANSLATE(C109, ""it"", ""en"")"),"A. By selection B. By vote C. By drawing lots D. By the prior's preference")</f>
        <v>A. By selection B. By vote C. By drawing lots D. By the prior's preference</v>
      </c>
      <c r="J109" s="3" t="str">
        <f>IFERROR(__xludf.DUMMYFUNCTION("GOOGLETRANSLATE(D109, ""it"", ""en"")"),"By drawing lots")</f>
        <v>By drawing lots</v>
      </c>
      <c r="K109" s="3" t="str">
        <f>IFERROR(__xludf.DUMMYFUNCTION("GOOGLETRANSLATE(E109, ""it"", ""en"")"),"The horses are assigned by drawing lots.")</f>
        <v>The horses are assigned by drawing lots.</v>
      </c>
      <c r="L109" s="2"/>
      <c r="M109" s="2"/>
      <c r="N109" s="2"/>
      <c r="O109" s="2"/>
      <c r="P109" s="2"/>
      <c r="Q109" s="2"/>
      <c r="R109" s="2"/>
      <c r="S109" s="2"/>
      <c r="T109" s="2"/>
      <c r="U109" s="2"/>
      <c r="V109" s="2"/>
      <c r="W109" s="2"/>
    </row>
    <row r="110" ht="22.5" customHeight="1">
      <c r="A110" s="3">
        <v>109.0</v>
      </c>
      <c r="B110" s="3" t="s">
        <v>2124</v>
      </c>
      <c r="C110" s="3" t="s">
        <v>2125</v>
      </c>
      <c r="D110" s="3" t="s">
        <v>2126</v>
      </c>
      <c r="E110" s="3" t="s">
        <v>2127</v>
      </c>
      <c r="F110" s="2"/>
      <c r="G110" s="3" t="str">
        <f>IFERROR(__xludf.DUMMYFUNCTION("GOOGLETRANSLATE(A110, ""it"", ""en"")"),"109")</f>
        <v>109</v>
      </c>
      <c r="H110" s="3" t="str">
        <f>IFERROR(__xludf.DUMMYFUNCTION("GOOGLETRANSLATE(B110, ""it"", ""en"")"),"What do the shields carried in the historical procession represent?")</f>
        <v>What do the shields carried in the historical procession represent?</v>
      </c>
      <c r="I110" s="3" t="str">
        <f>IFERROR(__xludf.DUMMYFUNCTION("GOOGLETRANSLATE(C110, ""it"", ""en"")"),"A. The victories of the districts B. The alliances between districts C. The medieval weapons D. The participating districts")</f>
        <v>A. The victories of the districts B. The alliances between districts C. The medieval weapons D. The participating districts</v>
      </c>
      <c r="J110" s="3" t="str">
        <f>IFERROR(__xludf.DUMMYFUNCTION("GOOGLETRANSLATE(D110, ""it"", ""en"")"),"The participating districts")</f>
        <v>The participating districts</v>
      </c>
      <c r="K110" s="3" t="str">
        <f>IFERROR(__xludf.DUMMYFUNCTION("GOOGLETRANSLATE(E110, ""it"", ""en"")"),"The shields show the symbols of the districts.")</f>
        <v>The shields show the symbols of the districts.</v>
      </c>
      <c r="L110" s="2"/>
      <c r="M110" s="2"/>
      <c r="N110" s="2"/>
      <c r="O110" s="2"/>
      <c r="P110" s="2"/>
      <c r="Q110" s="2"/>
      <c r="R110" s="2"/>
      <c r="S110" s="2"/>
      <c r="T110" s="2"/>
      <c r="U110" s="2"/>
      <c r="V110" s="2"/>
      <c r="W110" s="2"/>
    </row>
    <row r="111" ht="22.5" customHeight="1">
      <c r="A111" s="3">
        <v>110.0</v>
      </c>
      <c r="B111" s="3" t="s">
        <v>2128</v>
      </c>
      <c r="C111" s="3" t="s">
        <v>2129</v>
      </c>
      <c r="D111" s="3" t="s">
        <v>2130</v>
      </c>
      <c r="E111" s="3" t="s">
        <v>2131</v>
      </c>
      <c r="F111" s="2"/>
      <c r="G111" s="3" t="str">
        <f>IFERROR(__xludf.DUMMYFUNCTION("GOOGLETRANSLATE(A111, ""it"", ""en"")"),"110")</f>
        <v>110</v>
      </c>
      <c r="H111" s="3" t="str">
        <f>IFERROR(__xludf.DUMMYFUNCTION("GOOGLETRANSLATE(B111, ""it"", ""en"")"),"What happens if two districts end in a tie?")</f>
        <v>What happens if two districts end in a tie?</v>
      </c>
      <c r="I111" s="3" t="str">
        <f>IFERROR(__xludf.DUMMYFUNCTION("GOOGLETRANSLATE(C111, ""it"", ""en"")"),"A. The contrada with the jockey wins B. A new race is run C. The Palio is cancelled D. The victory is shared")</f>
        <v>A. The contrada with the jockey wins B. A new race is run C. The Palio is cancelled D. The victory is shared</v>
      </c>
      <c r="J111" s="3" t="str">
        <f>IFERROR(__xludf.DUMMYFUNCTION("GOOGLETRANSLATE(D111, ""it"", ""en"")"),"The victory is shared")</f>
        <v>The victory is shared</v>
      </c>
      <c r="K111" s="3" t="str">
        <f>IFERROR(__xludf.DUMMYFUNCTION("GOOGLETRANSLATE(E111, ""it"", ""en"")"),"A draw results in a shared victory.")</f>
        <v>A draw results in a shared victory.</v>
      </c>
      <c r="L111" s="2"/>
      <c r="M111" s="2"/>
      <c r="N111" s="2"/>
      <c r="O111" s="2"/>
      <c r="P111" s="2"/>
      <c r="Q111" s="2"/>
      <c r="R111" s="2"/>
      <c r="S111" s="2"/>
      <c r="T111" s="2"/>
      <c r="U111" s="2"/>
      <c r="V111" s="2"/>
      <c r="W111" s="2"/>
    </row>
    <row r="112" ht="22.5" customHeight="1">
      <c r="A112" s="3">
        <v>111.0</v>
      </c>
      <c r="B112" s="3" t="s">
        <v>2132</v>
      </c>
      <c r="C112" s="3" t="s">
        <v>2133</v>
      </c>
      <c r="D112" s="3" t="s">
        <v>2134</v>
      </c>
      <c r="E112" s="3" t="s">
        <v>2135</v>
      </c>
      <c r="F112" s="2"/>
      <c r="G112" s="3" t="str">
        <f>IFERROR(__xludf.DUMMYFUNCTION("GOOGLETRANSLATE(A112, ""it"", ""en"")"),"111")</f>
        <v>111</v>
      </c>
      <c r="H112" s="3" t="str">
        <f>IFERROR(__xludf.DUMMYFUNCTION("GOOGLETRANSLATE(B112, ""it"", ""en"")"),"What is the function of the starter?")</f>
        <v>What is the function of the starter?</v>
      </c>
      <c r="I112" s="3" t="str">
        <f>IFERROR(__xludf.DUMMYFUNCTION("GOOGLETRANSLATE(C112, ""it"", ""en"")"),"A. Manage the start B. Enforce the rules C. Reward the winner D. Choose the horses")</f>
        <v>A. Manage the start B. Enforce the rules C. Reward the winner D. Choose the horses</v>
      </c>
      <c r="J112" s="3" t="str">
        <f>IFERROR(__xludf.DUMMYFUNCTION("GOOGLETRANSLATE(D112, ""it"", ""en"")"),"Manage the departure")</f>
        <v>Manage the departure</v>
      </c>
      <c r="K112" s="3" t="str">
        <f>IFERROR(__xludf.DUMMYFUNCTION("GOOGLETRANSLATE(E112, ""it"", ""en"")"),"The starter supervises the start.")</f>
        <v>The starter supervises the start.</v>
      </c>
      <c r="L112" s="2"/>
      <c r="M112" s="2"/>
      <c r="N112" s="2"/>
      <c r="O112" s="2"/>
      <c r="P112" s="2"/>
      <c r="Q112" s="2"/>
      <c r="R112" s="2"/>
      <c r="S112" s="2"/>
      <c r="T112" s="2"/>
      <c r="U112" s="2"/>
      <c r="V112" s="2"/>
      <c r="W112" s="2"/>
    </row>
    <row r="113" ht="22.5" customHeight="1">
      <c r="A113" s="3">
        <v>112.0</v>
      </c>
      <c r="B113" s="3" t="s">
        <v>2136</v>
      </c>
      <c r="C113" s="3" t="s">
        <v>2137</v>
      </c>
      <c r="D113" s="3" t="s">
        <v>2138</v>
      </c>
      <c r="E113" s="3" t="s">
        <v>2139</v>
      </c>
      <c r="F113" s="2"/>
      <c r="G113" s="3" t="str">
        <f>IFERROR(__xludf.DUMMYFUNCTION("GOOGLETRANSLATE(A113, ""it"", ""en"")"),"112")</f>
        <v>112</v>
      </c>
      <c r="H113" s="3" t="str">
        <f>IFERROR(__xludf.DUMMYFUNCTION("GOOGLETRANSLATE(B113, ""it"", ""en"")"),"Which district has a tower as its symbol?")</f>
        <v>Which district has a tower as its symbol?</v>
      </c>
      <c r="I113" s="3" t="str">
        <f>IFERROR(__xludf.DUMMYFUNCTION("GOOGLETRANSLATE(C113, ""it"", ""en"")"),"A. Eagle B. Snail C. Goose D. Tower")</f>
        <v>A. Eagle B. Snail C. Goose D. Tower</v>
      </c>
      <c r="J113" s="3" t="str">
        <f>IFERROR(__xludf.DUMMYFUNCTION("GOOGLETRANSLATE(D113, ""it"", ""en"")"),"Tower")</f>
        <v>Tower</v>
      </c>
      <c r="K113" s="3" t="str">
        <f>IFERROR(__xludf.DUMMYFUNCTION("GOOGLETRANSLATE(E113, ""it"", ""en"")"),"The Tower has a tower as its symbol.")</f>
        <v>The Tower has a tower as its symbol.</v>
      </c>
      <c r="L113" s="2"/>
      <c r="M113" s="2"/>
      <c r="N113" s="2"/>
      <c r="O113" s="2"/>
      <c r="P113" s="2"/>
      <c r="Q113" s="2"/>
      <c r="R113" s="2"/>
      <c r="S113" s="2"/>
      <c r="T113" s="2"/>
      <c r="U113" s="2"/>
      <c r="V113" s="2"/>
      <c r="W113" s="2"/>
    </row>
    <row r="114" ht="22.5" customHeight="1">
      <c r="A114" s="3">
        <v>113.0</v>
      </c>
      <c r="B114" s="3" t="s">
        <v>2140</v>
      </c>
      <c r="C114" s="3" t="s">
        <v>2141</v>
      </c>
      <c r="D114" s="3" t="s">
        <v>2142</v>
      </c>
      <c r="E114" s="3" t="s">
        <v>2143</v>
      </c>
      <c r="F114" s="2"/>
      <c r="G114" s="3" t="str">
        <f>IFERROR(__xludf.DUMMYFUNCTION("GOOGLETRANSLATE(A114, ""it"", ""en"")"),"113")</f>
        <v>113</v>
      </c>
      <c r="H114" s="3" t="str">
        <f>IFERROR(__xludf.DUMMYFUNCTION("GOOGLETRANSLATE(B114, ""it"", ""en"")"),"What is meant by ""enemy regions""?")</f>
        <v>What is meant by "enemy regions"?</v>
      </c>
      <c r="I114" s="3" t="str">
        <f>IFERROR(__xludf.DUMMYFUNCTION("GOOGLETRANSLATE(C114, ""it"", ""en"")"),"A. Contradas with historical rivalry B. Contradas excluded from the Palio C. Contradas without alliances D. Defeated Contradas")</f>
        <v>A. Contradas with historical rivalry B. Contradas excluded from the Palio C. Contradas without alliances D. Defeated Contradas</v>
      </c>
      <c r="J114" s="3" t="str">
        <f>IFERROR(__xludf.DUMMYFUNCTION("GOOGLETRANSLATE(D114, ""it"", ""en"")"),"Districts with historical rivalry")</f>
        <v>Districts with historical rivalry</v>
      </c>
      <c r="K114" s="3" t="str">
        <f>IFERROR(__xludf.DUMMYFUNCTION("GOOGLETRANSLATE(E114, ""it"", ""en"")"),"The ""enemy districts"" have historical rivalries.")</f>
        <v>The "enemy districts" have historical rivalries.</v>
      </c>
      <c r="L114" s="2"/>
      <c r="M114" s="2"/>
      <c r="N114" s="2"/>
      <c r="O114" s="2"/>
      <c r="P114" s="2"/>
      <c r="Q114" s="2"/>
      <c r="R114" s="2"/>
      <c r="S114" s="2"/>
      <c r="T114" s="2"/>
      <c r="U114" s="2"/>
      <c r="V114" s="2"/>
      <c r="W114" s="2"/>
    </row>
    <row r="115" ht="22.5" customHeight="1">
      <c r="A115" s="3">
        <v>114.0</v>
      </c>
      <c r="B115" s="3" t="s">
        <v>2144</v>
      </c>
      <c r="C115" s="3" t="s">
        <v>2145</v>
      </c>
      <c r="D115" s="3" t="s">
        <v>2146</v>
      </c>
      <c r="E115" s="3" t="s">
        <v>2147</v>
      </c>
      <c r="F115" s="2"/>
      <c r="G115" s="3" t="str">
        <f>IFERROR(__xludf.DUMMYFUNCTION("GOOGLETRANSLATE(A115, ""it"", ""en"")"),"114")</f>
        <v>114</v>
      </c>
      <c r="H115" s="3" t="str">
        <f>IFERROR(__xludf.DUMMYFUNCTION("GOOGLETRANSLATE(B115, ""it"", ""en"")"),"What do the flags in the procession represent?")</f>
        <v>What do the flags in the procession represent?</v>
      </c>
      <c r="I115" s="3" t="str">
        <f>IFERROR(__xludf.DUMMYFUNCTION("GOOGLETRANSLATE(C115, ""it"", ""en"")"),"A. The borders of Siena B. The city's neighborhoods C. The contrade D. The victories of the Palio")</f>
        <v>A. The borders of Siena B. The city's neighborhoods C. The contrade D. The victories of the Palio</v>
      </c>
      <c r="J115" s="3" t="str">
        <f>IFERROR(__xludf.DUMMYFUNCTION("GOOGLETRANSLATE(D115, ""it"", ""en"")"),"The districts")</f>
        <v>The districts</v>
      </c>
      <c r="K115" s="3" t="str">
        <f>IFERROR(__xludf.DUMMYFUNCTION("GOOGLETRANSLATE(E115, ""it"", ""en"")"),"The flags identify the districts.")</f>
        <v>The flags identify the districts.</v>
      </c>
      <c r="L115" s="2"/>
      <c r="M115" s="2"/>
      <c r="N115" s="2"/>
      <c r="O115" s="2"/>
      <c r="P115" s="2"/>
      <c r="Q115" s="2"/>
      <c r="R115" s="2"/>
      <c r="S115" s="2"/>
      <c r="T115" s="2"/>
      <c r="U115" s="2"/>
      <c r="V115" s="2"/>
      <c r="W115" s="2"/>
    </row>
    <row r="116" ht="22.5" customHeight="1">
      <c r="A116" s="3">
        <v>115.0</v>
      </c>
      <c r="B116" s="3" t="s">
        <v>2148</v>
      </c>
      <c r="C116" s="3" t="s">
        <v>2149</v>
      </c>
      <c r="D116" s="3" t="s">
        <v>2150</v>
      </c>
      <c r="E116" s="3" t="s">
        <v>2151</v>
      </c>
      <c r="F116" s="2"/>
      <c r="G116" s="3" t="str">
        <f>IFERROR(__xludf.DUMMYFUNCTION("GOOGLETRANSLATE(A116, ""it"", ""en"")"),"115")</f>
        <v>115</v>
      </c>
      <c r="H116" s="3" t="str">
        <f>IFERROR(__xludf.DUMMYFUNCTION("GOOGLETRANSLATE(B116, ""it"", ""en"")"),"What happens during the blessing of the horse?")</f>
        <v>What happens during the blessing of the horse?</v>
      </c>
      <c r="I116" s="3" t="str">
        <f>IFERROR(__xludf.DUMMYFUNCTION("GOOGLETRANSLATE(C116, ""it"", ""en"")"),"A. The horse is decorated B. The horse is prepared for the race C. The horse is blessed with holy water D. The horse receives the banner")</f>
        <v>A. The horse is decorated B. The horse is prepared for the race C. The horse is blessed with holy water D. The horse receives the banner</v>
      </c>
      <c r="J116" s="3" t="str">
        <f>IFERROR(__xludf.DUMMYFUNCTION("GOOGLETRANSLATE(D116, ""it"", ""en"")"),"The horse is blessed with holy water")</f>
        <v>The horse is blessed with holy water</v>
      </c>
      <c r="K116" s="3" t="str">
        <f>IFERROR(__xludf.DUMMYFUNCTION("GOOGLETRANSLATE(E116, ""it"", ""en"")"),"The blessing is a traditional rite.")</f>
        <v>The blessing is a traditional rite.</v>
      </c>
      <c r="L116" s="2"/>
      <c r="M116" s="2"/>
      <c r="N116" s="2"/>
      <c r="O116" s="2"/>
      <c r="P116" s="2"/>
      <c r="Q116" s="2"/>
      <c r="R116" s="2"/>
      <c r="S116" s="2"/>
      <c r="T116" s="2"/>
      <c r="U116" s="2"/>
      <c r="V116" s="2"/>
      <c r="W116" s="2"/>
    </row>
    <row r="117" ht="22.5" customHeight="1">
      <c r="A117" s="3">
        <v>116.0</v>
      </c>
      <c r="B117" s="3" t="s">
        <v>2152</v>
      </c>
      <c r="C117" s="3" t="s">
        <v>2153</v>
      </c>
      <c r="D117" s="3" t="s">
        <v>2154</v>
      </c>
      <c r="E117" s="3" t="s">
        <v>2155</v>
      </c>
      <c r="F117" s="2"/>
      <c r="G117" s="3" t="str">
        <f>IFERROR(__xludf.DUMMYFUNCTION("GOOGLETRANSLATE(A117, ""it"", ""en"")"),"116")</f>
        <v>116</v>
      </c>
      <c r="H117" s="3" t="str">
        <f>IFERROR(__xludf.DUMMYFUNCTION("GOOGLETRANSLATE(B117, ""it"", ""en"")"),"What is the meaning of the word ""contrada""?")</f>
        <v>What is the meaning of the word "contrada"?</v>
      </c>
      <c r="I117" s="3" t="str">
        <f>IFERROR(__xludf.DUMMYFUNCTION("GOOGLETRANSLATE(C117, ""it"", ""en"")"),"A. A religious group B. A city district C. A symbol of the Palio D. A noble family")</f>
        <v>A. A religious group B. A city district C. A symbol of the Palio D. A noble family</v>
      </c>
      <c r="J117" s="3" t="str">
        <f>IFERROR(__xludf.DUMMYFUNCTION("GOOGLETRANSLATE(D117, ""it"", ""en"")"),"A city district")</f>
        <v>A city district</v>
      </c>
      <c r="K117" s="3" t="str">
        <f>IFERROR(__xludf.DUMMYFUNCTION("GOOGLETRANSLATE(E117, ""it"", ""en"")"),"The contrade are historical divisions of Siena.")</f>
        <v>The contrade are historical divisions of Siena.</v>
      </c>
      <c r="L117" s="2"/>
      <c r="M117" s="2"/>
      <c r="N117" s="2"/>
      <c r="O117" s="2"/>
      <c r="P117" s="2"/>
      <c r="Q117" s="2"/>
      <c r="R117" s="2"/>
      <c r="S117" s="2"/>
      <c r="T117" s="2"/>
      <c r="U117" s="2"/>
      <c r="V117" s="2"/>
      <c r="W117" s="2"/>
    </row>
    <row r="118" ht="22.5" customHeight="1">
      <c r="A118" s="3">
        <v>117.0</v>
      </c>
      <c r="B118" s="3" t="s">
        <v>2156</v>
      </c>
      <c r="C118" s="3" t="s">
        <v>2157</v>
      </c>
      <c r="D118" s="3" t="s">
        <v>2158</v>
      </c>
      <c r="E118" s="3" t="s">
        <v>2159</v>
      </c>
      <c r="F118" s="2"/>
      <c r="G118" s="3" t="str">
        <f>IFERROR(__xludf.DUMMYFUNCTION("GOOGLETRANSLATE(A118, ""it"", ""en"")"),"117")</f>
        <v>117</v>
      </c>
      <c r="H118" s="3" t="str">
        <f>IFERROR(__xludf.DUMMYFUNCTION("GOOGLETRANSLATE(B118, ""it"", ""en"")"),"What is the prize for the winning contrada?")</f>
        <v>What is the prize for the winning contrada?</v>
      </c>
      <c r="I118" s="3" t="str">
        <f>IFERROR(__xludf.DUMMYFUNCTION("GOOGLETRANSLATE(C118, ""it"", ""en"")"),"A. A golden trophy B. The banner C. A crown D. An honorary title")</f>
        <v>A. A golden trophy B. The banner C. A crown D. An honorary title</v>
      </c>
      <c r="J118" s="3" t="str">
        <f>IFERROR(__xludf.DUMMYFUNCTION("GOOGLETRANSLATE(D118, ""it"", ""en"")"),"The banner")</f>
        <v>The banner</v>
      </c>
      <c r="K118" s="3" t="str">
        <f>IFERROR(__xludf.DUMMYFUNCTION("GOOGLETRANSLATE(E118, ""it"", ""en"")"),"The winning contrada receives the banner.")</f>
        <v>The winning contrada receives the banner.</v>
      </c>
      <c r="L118" s="2"/>
      <c r="M118" s="2"/>
      <c r="N118" s="2"/>
      <c r="O118" s="2"/>
      <c r="P118" s="2"/>
      <c r="Q118" s="2"/>
      <c r="R118" s="2"/>
      <c r="S118" s="2"/>
      <c r="T118" s="2"/>
      <c r="U118" s="2"/>
      <c r="V118" s="2"/>
      <c r="W118" s="2"/>
    </row>
    <row r="119" ht="22.5" customHeight="1">
      <c r="A119" s="3">
        <v>118.0</v>
      </c>
      <c r="B119" s="3" t="s">
        <v>2160</v>
      </c>
      <c r="C119" s="3" t="s">
        <v>2161</v>
      </c>
      <c r="D119" s="3" t="s">
        <v>2162</v>
      </c>
      <c r="E119" s="3" t="s">
        <v>2163</v>
      </c>
      <c r="F119" s="2"/>
      <c r="G119" s="3" t="str">
        <f>IFERROR(__xludf.DUMMYFUNCTION("GOOGLETRANSLATE(A119, ""it"", ""en"")"),"118")</f>
        <v>118</v>
      </c>
      <c r="H119" s="3" t="str">
        <f>IFERROR(__xludf.DUMMYFUNCTION("GOOGLETRANSLATE(B119, ""it"", ""en"")"),"What is the name of the contrada leader?")</f>
        <v>What is the name of the contrada leader?</v>
      </c>
      <c r="I119" s="3" t="str">
        <f>IFERROR(__xludf.DUMMYFUNCTION("GOOGLETRANSLATE(C119, ""it"", ""en"")"),"A. The starter B. The captain C. The prior D. The Barbaresco")</f>
        <v>A. The starter B. The captain C. The prior D. The Barbaresco</v>
      </c>
      <c r="J119" s="3" t="str">
        <f>IFERROR(__xludf.DUMMYFUNCTION("GOOGLETRANSLATE(D119, ""it"", ""en"")"),"The prior")</f>
        <v>The prior</v>
      </c>
      <c r="K119" s="3" t="str">
        <f>IFERROR(__xludf.DUMMYFUNCTION("GOOGLETRANSLATE(E119, ""it"", ""en"")"),"The prior is the leader of the contrada.")</f>
        <v>The prior is the leader of the contrada.</v>
      </c>
      <c r="L119" s="2"/>
      <c r="M119" s="2"/>
      <c r="N119" s="2"/>
      <c r="O119" s="2"/>
      <c r="P119" s="2"/>
      <c r="Q119" s="2"/>
      <c r="R119" s="2"/>
      <c r="S119" s="2"/>
      <c r="T119" s="2"/>
      <c r="U119" s="2"/>
      <c r="V119" s="2"/>
      <c r="W119" s="2"/>
    </row>
    <row r="120" ht="22.5" customHeight="1">
      <c r="A120" s="3">
        <v>119.0</v>
      </c>
      <c r="B120" s="3" t="s">
        <v>2164</v>
      </c>
      <c r="C120" s="3" t="s">
        <v>2165</v>
      </c>
      <c r="D120" s="3" t="s">
        <v>2166</v>
      </c>
      <c r="E120" s="3" t="s">
        <v>2167</v>
      </c>
      <c r="F120" s="2"/>
      <c r="G120" s="3" t="str">
        <f>IFERROR(__xludf.DUMMYFUNCTION("GOOGLETRANSLATE(A120, ""it"", ""en"")"),"119")</f>
        <v>119</v>
      </c>
      <c r="H120" s="3" t="str">
        <f>IFERROR(__xludf.DUMMYFUNCTION("GOOGLETRANSLATE(B120, ""it"", ""en"")"),"What happens after the Palio race?")</f>
        <v>What happens after the Palio race?</v>
      </c>
      <c r="I120" s="3" t="str">
        <f>IFERROR(__xludf.DUMMYFUNCTION("GOOGLETRANSLATE(C120, ""it"", ""en"")"),"A. The distribution of prizes B. The victory dinner C. A new assignment of horses D. A religious ceremony")</f>
        <v>A. The distribution of prizes B. The victory dinner C. A new assignment of horses D. A religious ceremony</v>
      </c>
      <c r="J120" s="3" t="str">
        <f>IFERROR(__xludf.DUMMYFUNCTION("GOOGLETRANSLATE(D120, ""it"", ""en"")"),"The Victory Dinner")</f>
        <v>The Victory Dinner</v>
      </c>
      <c r="K120" s="3" t="str">
        <f>IFERROR(__xludf.DUMMYFUNCTION("GOOGLETRANSLATE(E120, ""it"", ""en"")"),"The winning contrada celebrates with a dinner.")</f>
        <v>The winning contrada celebrates with a dinner.</v>
      </c>
      <c r="L120" s="2"/>
      <c r="M120" s="2"/>
      <c r="N120" s="2"/>
      <c r="O120" s="2"/>
      <c r="P120" s="2"/>
      <c r="Q120" s="2"/>
      <c r="R120" s="2"/>
      <c r="S120" s="2"/>
      <c r="T120" s="2"/>
      <c r="U120" s="2"/>
      <c r="V120" s="2"/>
      <c r="W120" s="2"/>
    </row>
    <row r="121" ht="22.5" customHeight="1">
      <c r="A121" s="3">
        <v>120.0</v>
      </c>
      <c r="B121" s="3" t="s">
        <v>2168</v>
      </c>
      <c r="C121" s="3" t="s">
        <v>2169</v>
      </c>
      <c r="D121" s="3" t="s">
        <v>2170</v>
      </c>
      <c r="E121" s="3" t="s">
        <v>2171</v>
      </c>
      <c r="F121" s="2"/>
      <c r="G121" s="3" t="str">
        <f>IFERROR(__xludf.DUMMYFUNCTION("GOOGLETRANSLATE(A121, ""it"", ""en"")"),"120")</f>
        <v>120</v>
      </c>
      <c r="H121" s="3" t="str">
        <f>IFERROR(__xludf.DUMMYFUNCTION("GOOGLETRANSLATE(B121, ""it"", ""en"")"),"What is the role of the jockey in the contrada?")</f>
        <v>What is the role of the jockey in the contrada?</v>
      </c>
      <c r="I121" s="3" t="str">
        <f>IFERROR(__xludf.DUMMYFUNCTION("GOOGLETRANSLATE(C121, ""it"", ""en"")"),"A. Only run in the Palio B. Represent the contrada in all races C. Be an ambassador for the contrada D. Be part of the strategic decisions")</f>
        <v>A. Only run in the Palio B. Represent the contrada in all races C. Be an ambassador for the contrada D. Be part of the strategic decisions</v>
      </c>
      <c r="J121" s="3" t="str">
        <f>IFERROR(__xludf.DUMMYFUNCTION("GOOGLETRANSLATE(D121, ""it"", ""en"")"),"Be part of strategic decisions")</f>
        <v>Be part of strategic decisions</v>
      </c>
      <c r="K121" s="3" t="str">
        <f>IFERROR(__xludf.DUMMYFUNCTION("GOOGLETRANSLATE(E121, ""it"", ""en"")"),"The jockey also contributes to the race strategy.")</f>
        <v>The jockey also contributes to the race strategy.</v>
      </c>
      <c r="L121" s="2"/>
      <c r="M121" s="2"/>
      <c r="N121" s="2"/>
      <c r="O121" s="2"/>
      <c r="P121" s="2"/>
      <c r="Q121" s="2"/>
      <c r="R121" s="2"/>
      <c r="S121" s="2"/>
      <c r="T121" s="2"/>
      <c r="U121" s="2"/>
      <c r="V121" s="2"/>
      <c r="W121" s="2"/>
    </row>
    <row r="122" ht="22.5" customHeight="1">
      <c r="A122" s="3">
        <v>121.0</v>
      </c>
      <c r="B122" s="3" t="s">
        <v>2172</v>
      </c>
      <c r="C122" s="3" t="s">
        <v>2173</v>
      </c>
      <c r="D122" s="3" t="s">
        <v>2174</v>
      </c>
      <c r="E122" s="3" t="s">
        <v>2175</v>
      </c>
      <c r="F122" s="2"/>
      <c r="G122" s="3" t="str">
        <f>IFERROR(__xludf.DUMMYFUNCTION("GOOGLETRANSLATE(A122, ""it"", ""en"")"),"121")</f>
        <v>121</v>
      </c>
      <c r="H122" s="3" t="str">
        <f>IFERROR(__xludf.DUMMYFUNCTION("GOOGLETRANSLATE(B122, ""it"", ""en"")"),"What does the float carried in the historical procession symbolize?")</f>
        <v>What does the float carried in the historical procession symbolize?</v>
      </c>
      <c r="I122" s="3" t="str">
        <f>IFERROR(__xludf.DUMMYFUNCTION("GOOGLETRANSLATE(C122, ""it"", ""en"")"),"A. The victory of the Palio B. The glory of the city C. The ancient medieval festivals D. The alliances between districts")</f>
        <v>A. The victory of the Palio B. The glory of the city C. The ancient medieval festivals D. The alliances between districts</v>
      </c>
      <c r="J122" s="3" t="str">
        <f>IFERROR(__xludf.DUMMYFUNCTION("GOOGLETRANSLATE(D122, ""it"", ""en"")"),"The ancient medieval festivals")</f>
        <v>The ancient medieval festivals</v>
      </c>
      <c r="K122" s="3" t="str">
        <f>IFERROR(__xludf.DUMMYFUNCTION("GOOGLETRANSLATE(E122, ""it"", ""en"")"),"The chariot represents medieval celebrations.")</f>
        <v>The chariot represents medieval celebrations.</v>
      </c>
      <c r="L122" s="2"/>
      <c r="M122" s="2"/>
      <c r="N122" s="2"/>
      <c r="O122" s="2"/>
      <c r="P122" s="2"/>
      <c r="Q122" s="2"/>
      <c r="R122" s="2"/>
      <c r="S122" s="2"/>
      <c r="T122" s="2"/>
      <c r="U122" s="2"/>
      <c r="V122" s="2"/>
      <c r="W122" s="2"/>
    </row>
    <row r="123" ht="22.5" customHeight="1">
      <c r="A123" s="3">
        <v>122.0</v>
      </c>
      <c r="B123" s="3" t="s">
        <v>1929</v>
      </c>
      <c r="C123" s="3" t="s">
        <v>2176</v>
      </c>
      <c r="D123" s="3" t="s">
        <v>1931</v>
      </c>
      <c r="E123" s="3" t="s">
        <v>2177</v>
      </c>
      <c r="F123" s="2"/>
      <c r="G123" s="3" t="str">
        <f>IFERROR(__xludf.DUMMYFUNCTION("GOOGLETRANSLATE(A123, ""it"", ""en"")"),"122")</f>
        <v>122</v>
      </c>
      <c r="H123" s="3" t="str">
        <f>IFERROR(__xludf.DUMMYFUNCTION("GOOGLETRANSLATE(B123, ""it"", ""en"")"),"Which district has a dragon as its symbol?")</f>
        <v>Which district has a dragon as its symbol?</v>
      </c>
      <c r="I123" s="3" t="str">
        <f>IFERROR(__xludf.DUMMYFUNCTION("GOOGLETRANSLATE(C123, ""it"", ""en"")"),"A. Snail B. Dragon C. Goose D. Porcupine")</f>
        <v>A. Snail B. Dragon C. Goose D. Porcupine</v>
      </c>
      <c r="J123" s="3" t="str">
        <f>IFERROR(__xludf.DUMMYFUNCTION("GOOGLETRANSLATE(D123, ""it"", ""en"")"),"Dragon")</f>
        <v>Dragon</v>
      </c>
      <c r="K123" s="3" t="str">
        <f>IFERROR(__xludf.DUMMYFUNCTION("GOOGLETRANSLATE(E123, ""it"", ""en"")"),"The Dragon has a dragon as its symbol.")</f>
        <v>The Dragon has a dragon as its symbol.</v>
      </c>
      <c r="L123" s="2"/>
      <c r="M123" s="2"/>
      <c r="N123" s="2"/>
      <c r="O123" s="2"/>
      <c r="P123" s="2"/>
      <c r="Q123" s="2"/>
      <c r="R123" s="2"/>
      <c r="S123" s="2"/>
      <c r="T123" s="2"/>
      <c r="U123" s="2"/>
      <c r="V123" s="2"/>
      <c r="W123" s="2"/>
    </row>
    <row r="124" ht="22.5" customHeight="1">
      <c r="A124" s="3">
        <v>123.0</v>
      </c>
      <c r="B124" s="3" t="s">
        <v>2178</v>
      </c>
      <c r="C124" s="3" t="s">
        <v>2179</v>
      </c>
      <c r="D124" s="3" t="s">
        <v>2180</v>
      </c>
      <c r="E124" s="3" t="s">
        <v>2181</v>
      </c>
      <c r="F124" s="2"/>
      <c r="G124" s="3" t="str">
        <f>IFERROR(__xludf.DUMMYFUNCTION("GOOGLETRANSLATE(A124, ""it"", ""en"")"),"123")</f>
        <v>123</v>
      </c>
      <c r="H124" s="3" t="str">
        <f>IFERROR(__xludf.DUMMYFUNCTION("GOOGLETRANSLATE(B124, ""it"", ""en"")"),"What happens to the horse after the blessing?")</f>
        <v>What happens to the horse after the blessing?</v>
      </c>
      <c r="I124" s="3" t="str">
        <f>IFERROR(__xludf.DUMMYFUNCTION("GOOGLETRANSLATE(C124, ""it"", ""en"")"),"A. He returns to the stable B. The procession begins C. He is accompanied to the move D. He is decorated with the banner")</f>
        <v>A. He returns to the stable B. The procession begins C. He is accompanied to the move D. He is decorated with the banner</v>
      </c>
      <c r="J124" s="3" t="str">
        <f>IFERROR(__xludf.DUMMYFUNCTION("GOOGLETRANSLATE(D124, ""it"", ""en"")"),"It is accompanied to the move")</f>
        <v>It is accompanied to the move</v>
      </c>
      <c r="K124" s="3" t="str">
        <f>IFERROR(__xludf.DUMMYFUNCTION("GOOGLETRANSLATE(E124, ""it"", ""en"")"),"After the blessing")</f>
        <v>After the blessing</v>
      </c>
      <c r="L124" s="2"/>
      <c r="M124" s="2"/>
      <c r="N124" s="2"/>
      <c r="O124" s="2"/>
      <c r="P124" s="2"/>
      <c r="Q124" s="2"/>
      <c r="R124" s="2"/>
      <c r="S124" s="2"/>
      <c r="T124" s="2"/>
      <c r="U124" s="2"/>
      <c r="V124" s="2"/>
      <c r="W124" s="2"/>
    </row>
    <row r="125" ht="22.5" customHeight="1">
      <c r="A125" s="3">
        <v>124.0</v>
      </c>
      <c r="B125" s="3" t="s">
        <v>2182</v>
      </c>
      <c r="C125" s="3" t="s">
        <v>2183</v>
      </c>
      <c r="D125" s="3" t="s">
        <v>2068</v>
      </c>
      <c r="E125" s="3" t="s">
        <v>2184</v>
      </c>
      <c r="F125" s="2"/>
      <c r="G125" s="3" t="str">
        <f>IFERROR(__xludf.DUMMYFUNCTION("GOOGLETRANSLATE(A125, ""it"", ""en"")"),"124")</f>
        <v>124</v>
      </c>
      <c r="H125" s="3" t="str">
        <f>IFERROR(__xludf.DUMMYFUNCTION("GOOGLETRANSLATE(B125, ""it"", ""en"")"),"Who supervises the historical procession?")</f>
        <v>Who supervises the historical procession?</v>
      </c>
      <c r="I125" s="3" t="str">
        <f>IFERROR(__xludf.DUMMYFUNCTION("GOOGLETRANSLATE(C125, ""it"", ""en"")"),"A. The prior B. The starter C. The mayor D. The captain of the procession")</f>
        <v>A. The prior B. The starter C. The mayor D. The captain of the procession</v>
      </c>
      <c r="J125" s="3" t="str">
        <f>IFERROR(__xludf.DUMMYFUNCTION("GOOGLETRANSLATE(D125, ""it"", ""en"")"),"The mayor")</f>
        <v>The mayor</v>
      </c>
      <c r="K125" s="3" t="str">
        <f>IFERROR(__xludf.DUMMYFUNCTION("GOOGLETRANSLATE(E125, ""it"", ""en"")"),"The mayor of Siena supervises the historical procession.")</f>
        <v>The mayor of Siena supervises the historical procession.</v>
      </c>
      <c r="L125" s="2"/>
      <c r="M125" s="2"/>
      <c r="N125" s="2"/>
      <c r="O125" s="2"/>
      <c r="P125" s="2"/>
      <c r="Q125" s="2"/>
      <c r="R125" s="2"/>
      <c r="S125" s="2"/>
      <c r="T125" s="2"/>
      <c r="U125" s="2"/>
      <c r="V125" s="2"/>
      <c r="W125" s="2"/>
    </row>
    <row r="126" ht="22.5" customHeight="1">
      <c r="A126" s="3">
        <v>125.0</v>
      </c>
      <c r="B126" s="3" t="s">
        <v>2185</v>
      </c>
      <c r="C126" s="3" t="s">
        <v>2186</v>
      </c>
      <c r="D126" s="3" t="s">
        <v>2187</v>
      </c>
      <c r="E126" s="3" t="s">
        <v>2188</v>
      </c>
      <c r="F126" s="2"/>
      <c r="G126" s="3" t="str">
        <f>IFERROR(__xludf.DUMMYFUNCTION("GOOGLETRANSLATE(A126, ""it"", ""en"")"),"125")</f>
        <v>125</v>
      </c>
      <c r="H126" s="3" t="str">
        <f>IFERROR(__xludf.DUMMYFUNCTION("GOOGLETRANSLATE(B126, ""it"", ""en"")"),"What does the drum represent in the historical parade?")</f>
        <v>What does the drum represent in the historical parade?</v>
      </c>
      <c r="I126" s="3" t="str">
        <f>IFERROR(__xludf.DUMMYFUNCTION("GOOGLETRANSLATE(C126, ""it"", ""en"")"),"A. The voice of the districts B. The rhythm of the parade C. The strength of the district D. A religious symbol")</f>
        <v>A. The voice of the districts B. The rhythm of the parade C. The strength of the district D. A religious symbol</v>
      </c>
      <c r="J126" s="3" t="str">
        <f>IFERROR(__xludf.DUMMYFUNCTION("GOOGLETRANSLATE(D126, ""it"", ""en"")"),"The rhythm of the parade")</f>
        <v>The rhythm of the parade</v>
      </c>
      <c r="K126" s="3" t="str">
        <f>IFERROR(__xludf.DUMMYFUNCTION("GOOGLETRANSLATE(E126, ""it"", ""en"")"),"The drum gives rhythm and intensity to the parade.")</f>
        <v>The drum gives rhythm and intensity to the parade.</v>
      </c>
      <c r="L126" s="2"/>
      <c r="M126" s="2"/>
      <c r="N126" s="2"/>
      <c r="O126" s="2"/>
      <c r="P126" s="2"/>
      <c r="Q126" s="2"/>
      <c r="R126" s="2"/>
      <c r="S126" s="2"/>
      <c r="T126" s="2"/>
      <c r="U126" s="2"/>
      <c r="V126" s="2"/>
      <c r="W126" s="2"/>
    </row>
    <row r="127" ht="22.5" customHeight="1">
      <c r="A127" s="3">
        <v>126.0</v>
      </c>
      <c r="B127" s="3" t="s">
        <v>2189</v>
      </c>
      <c r="C127" s="3" t="s">
        <v>2190</v>
      </c>
      <c r="D127" s="3" t="s">
        <v>2191</v>
      </c>
      <c r="E127" s="3" t="s">
        <v>2192</v>
      </c>
      <c r="F127" s="2"/>
      <c r="G127" s="3" t="str">
        <f>IFERROR(__xludf.DUMMYFUNCTION("GOOGLETRANSLATE(A127, ""it"", ""en"")"),"126")</f>
        <v>126</v>
      </c>
      <c r="H127" s="3" t="str">
        <f>IFERROR(__xludf.DUMMYFUNCTION("GOOGLETRANSLATE(B127, ""it"", ""en"")"),"Which district has a snail as its symbol?")</f>
        <v>Which district has a snail as its symbol?</v>
      </c>
      <c r="I127" s="3" t="str">
        <f>IFERROR(__xludf.DUMMYFUNCTION("GOOGLETRANSLATE(C127, ""it"", ""en"")"),"A. Dragon B. Porcupine C. Snail D. She-wolf")</f>
        <v>A. Dragon B. Porcupine C. Snail D. She-wolf</v>
      </c>
      <c r="J127" s="3" t="str">
        <f>IFERROR(__xludf.DUMMYFUNCTION("GOOGLETRANSLATE(D127, ""it"", ""en"")"),"Snail")</f>
        <v>Snail</v>
      </c>
      <c r="K127" s="3" t="str">
        <f>IFERROR(__xludf.DUMMYFUNCTION("GOOGLETRANSLATE(E127, ""it"", ""en"")"),"The Snail has a snail as its symbol.")</f>
        <v>The Snail has a snail as its symbol.</v>
      </c>
      <c r="L127" s="2"/>
      <c r="M127" s="2"/>
      <c r="N127" s="2"/>
      <c r="O127" s="2"/>
      <c r="P127" s="2"/>
      <c r="Q127" s="2"/>
      <c r="R127" s="2"/>
      <c r="S127" s="2"/>
      <c r="T127" s="2"/>
      <c r="U127" s="2"/>
      <c r="V127" s="2"/>
      <c r="W127" s="2"/>
    </row>
    <row r="128" ht="22.5" customHeight="1">
      <c r="A128" s="3">
        <v>127.0</v>
      </c>
      <c r="B128" s="3" t="s">
        <v>2193</v>
      </c>
      <c r="C128" s="3" t="s">
        <v>2194</v>
      </c>
      <c r="D128" s="3" t="s">
        <v>2195</v>
      </c>
      <c r="E128" s="3" t="s">
        <v>2196</v>
      </c>
      <c r="F128" s="2"/>
      <c r="G128" s="3" t="str">
        <f>IFERROR(__xludf.DUMMYFUNCTION("GOOGLETRANSLATE(A128, ""it"", ""en"")"),"127")</f>
        <v>127</v>
      </c>
      <c r="H128" s="3" t="str">
        <f>IFERROR(__xludf.DUMMYFUNCTION("GOOGLETRANSLATE(B128, ""it"", ""en"")"),"What does ""provaccia"" mean?")</f>
        <v>What does "provaccia" mean?</v>
      </c>
      <c r="I128" s="3" t="str">
        <f>IFERROR(__xludf.DUMMYFUNCTION("GOOGLETRANSLATE(C128, ""it"", ""en"")"),"A. The last test before the Palio B. A performance by the contrada C. The choice of the jockey D. The blessing of the horses")</f>
        <v>A. The last test before the Palio B. A performance by the contrada C. The choice of the jockey D. The blessing of the horses</v>
      </c>
      <c r="J128" s="3" t="str">
        <f>IFERROR(__xludf.DUMMYFUNCTION("GOOGLETRANSLATE(D128, ""it"", ""en"")"),"The last test before the Palio")</f>
        <v>The last test before the Palio</v>
      </c>
      <c r="K128" s="3" t="str">
        <f>IFERROR(__xludf.DUMMYFUNCTION("GOOGLETRANSLATE(E128, ""it"", ""en"")"),"The provaccia is the final test before the race.")</f>
        <v>The provaccia is the final test before the race.</v>
      </c>
      <c r="L128" s="2"/>
      <c r="M128" s="2"/>
      <c r="N128" s="2"/>
      <c r="O128" s="2"/>
      <c r="P128" s="2"/>
      <c r="Q128" s="2"/>
      <c r="R128" s="2"/>
      <c r="S128" s="2"/>
      <c r="T128" s="2"/>
      <c r="U128" s="2"/>
      <c r="V128" s="2"/>
      <c r="W128" s="2"/>
    </row>
    <row r="129" ht="22.5" customHeight="1">
      <c r="A129" s="3">
        <v>128.0</v>
      </c>
      <c r="B129" s="3" t="s">
        <v>2197</v>
      </c>
      <c r="C129" s="3" t="s">
        <v>2198</v>
      </c>
      <c r="D129" s="3" t="s">
        <v>2199</v>
      </c>
      <c r="E129" s="3" t="s">
        <v>2200</v>
      </c>
      <c r="F129" s="2"/>
      <c r="G129" s="3" t="str">
        <f>IFERROR(__xludf.DUMMYFUNCTION("GOOGLETRANSLATE(A129, ""it"", ""en"")"),"128")</f>
        <v>128</v>
      </c>
      <c r="H129" s="3" t="str">
        <f>IFERROR(__xludf.DUMMYFUNCTION("GOOGLETRANSLATE(B129, ""it"", ""en"")"),"What is the meaning of the horse blessing?")</f>
        <v>What is the meaning of the horse blessing?</v>
      </c>
      <c r="I129" s="3" t="str">
        <f>IFERROR(__xludf.DUMMYFUNCTION("GOOGLETRANSLATE(C129, ""it"", ""en"")"),"A. To ensure divine protection B. To guarantee victory C. To prepare the horse for the race D. To celebrate its strength")</f>
        <v>A. To ensure divine protection B. To guarantee victory C. To prepare the horse for the race D. To celebrate its strength</v>
      </c>
      <c r="J129" s="3" t="str">
        <f>IFERROR(__xludf.DUMMYFUNCTION("GOOGLETRANSLATE(D129, ""it"", ""en"")"),"Ensure divine protection")</f>
        <v>Ensure divine protection</v>
      </c>
      <c r="K129" s="3" t="str">
        <f>IFERROR(__xludf.DUMMYFUNCTION("GOOGLETRANSLATE(E129, ""it"", ""en"")"),"The blessing invokes protection and success.")</f>
        <v>The blessing invokes protection and success.</v>
      </c>
      <c r="L129" s="2"/>
      <c r="M129" s="2"/>
      <c r="N129" s="2"/>
      <c r="O129" s="2"/>
      <c r="P129" s="2"/>
      <c r="Q129" s="2"/>
      <c r="R129" s="2"/>
      <c r="S129" s="2"/>
      <c r="T129" s="2"/>
      <c r="U129" s="2"/>
      <c r="V129" s="2"/>
      <c r="W129" s="2"/>
    </row>
    <row r="130" ht="22.5" customHeight="1">
      <c r="A130" s="3">
        <v>129.0</v>
      </c>
      <c r="B130" s="3" t="s">
        <v>2201</v>
      </c>
      <c r="C130" s="3" t="s">
        <v>2202</v>
      </c>
      <c r="D130" s="3" t="s">
        <v>2203</v>
      </c>
      <c r="E130" s="3" t="s">
        <v>2204</v>
      </c>
      <c r="F130" s="2"/>
      <c r="G130" s="3" t="str">
        <f>IFERROR(__xludf.DUMMYFUNCTION("GOOGLETRANSLATE(A130, ""it"", ""en"")"),"129")</f>
        <v>129</v>
      </c>
      <c r="H130" s="3" t="str">
        <f>IFERROR(__xludf.DUMMYFUNCTION("GOOGLETRANSLATE(B130, ""it"", ""en"")"),"What happens if the banner gets damaged?")</f>
        <v>What happens if the banner gets damaged?</v>
      </c>
      <c r="I130" s="3" t="str">
        <f>IFERROR(__xludf.DUMMYFUNCTION("GOOGLETRANSLATE(C130, ""it"", ""en"")"),"A. It is repaired and delivered B. It is replaced C. The race is cancelled D. The winning contrada receives a new one")</f>
        <v>A. It is repaired and delivered B. It is replaced C. The race is cancelled D. The winning contrada receives a new one</v>
      </c>
      <c r="J130" s="3" t="str">
        <f>IFERROR(__xludf.DUMMYFUNCTION("GOOGLETRANSLATE(D130, ""it"", ""en"")"),"It is repaired and delivered")</f>
        <v>It is repaired and delivered</v>
      </c>
      <c r="K130" s="3" t="str">
        <f>IFERROR(__xludf.DUMMYFUNCTION("GOOGLETRANSLATE(E130, ""it"", ""en"")"),"A damaged banner is restored.")</f>
        <v>A damaged banner is restored.</v>
      </c>
      <c r="L130" s="2"/>
      <c r="M130" s="2"/>
      <c r="N130" s="2"/>
      <c r="O130" s="2"/>
      <c r="P130" s="2"/>
      <c r="Q130" s="2"/>
      <c r="R130" s="2"/>
      <c r="S130" s="2"/>
      <c r="T130" s="2"/>
      <c r="U130" s="2"/>
      <c r="V130" s="2"/>
      <c r="W130" s="2"/>
    </row>
    <row r="131" ht="22.5" customHeight="1">
      <c r="A131" s="3">
        <v>130.0</v>
      </c>
      <c r="B131" s="3" t="s">
        <v>2205</v>
      </c>
      <c r="C131" s="3" t="s">
        <v>2206</v>
      </c>
      <c r="D131" s="3" t="s">
        <v>2207</v>
      </c>
      <c r="E131" s="3" t="s">
        <v>2208</v>
      </c>
      <c r="F131" s="2"/>
      <c r="G131" s="3" t="str">
        <f>IFERROR(__xludf.DUMMYFUNCTION("GOOGLETRANSLATE(A131, ""it"", ""en"")"),"130")</f>
        <v>130</v>
      </c>
      <c r="H131" s="3" t="str">
        <f>IFERROR(__xludf.DUMMYFUNCTION("GOOGLETRANSLATE(B131, ""it"", ""en"")"),"What is the name of the church where the horse is blessed?")</f>
        <v>What is the name of the church where the horse is blessed?</v>
      </c>
      <c r="I131" s="3" t="str">
        <f>IFERROR(__xludf.DUMMYFUNCTION("GOOGLETRANSLATE(C131, ""it"", ""en"")"),"A. Church of the Drappellone B. Siena Cathedral C. Church of the Contrada D. Church of San Martino")</f>
        <v>A. Church of the Drappellone B. Siena Cathedral C. Church of the Contrada D. Church of San Martino</v>
      </c>
      <c r="J131" s="3" t="str">
        <f>IFERROR(__xludf.DUMMYFUNCTION("GOOGLETRANSLATE(D131, ""it"", ""en"")"),"Church of the Contrada")</f>
        <v>Church of the Contrada</v>
      </c>
      <c r="K131" s="3" t="str">
        <f>IFERROR(__xludf.DUMMYFUNCTION("GOOGLETRANSLATE(E131, ""it"", ""en"")"),"Each district has a dedicated church for the blessing.")</f>
        <v>Each district has a dedicated church for the blessing.</v>
      </c>
      <c r="L131" s="2"/>
      <c r="M131" s="2"/>
      <c r="N131" s="2"/>
      <c r="O131" s="2"/>
      <c r="P131" s="2"/>
      <c r="Q131" s="2"/>
      <c r="R131" s="2"/>
      <c r="S131" s="2"/>
      <c r="T131" s="2"/>
      <c r="U131" s="2"/>
      <c r="V131" s="2"/>
      <c r="W131" s="2"/>
    </row>
    <row r="132" ht="22.5" customHeight="1">
      <c r="A132" s="3">
        <v>131.0</v>
      </c>
      <c r="B132" s="3" t="s">
        <v>2209</v>
      </c>
      <c r="C132" s="3" t="s">
        <v>2210</v>
      </c>
      <c r="D132" s="3" t="s">
        <v>2211</v>
      </c>
      <c r="E132" s="3" t="s">
        <v>2212</v>
      </c>
      <c r="F132" s="2"/>
      <c r="G132" s="3" t="str">
        <f>IFERROR(__xludf.DUMMYFUNCTION("GOOGLETRANSLATE(A132, ""it"", ""en"")"),"131")</f>
        <v>131</v>
      </c>
      <c r="H132" s="3" t="str">
        <f>IFERROR(__xludf.DUMMYFUNCTION("GOOGLETRANSLATE(B132, ""it"", ""en"")"),"What does ""career"" represent in the Palio?")</f>
        <v>What does "career" represent in the Palio?</v>
      </c>
      <c r="I132" s="3" t="str">
        <f>IFERROR(__xludf.DUMMYFUNCTION("GOOGLETRANSLATE(C132, ""it"", ""en"")"),"A. The race route B. The history of the districts C. The prize awarded D. The role of the jockey")</f>
        <v>A. The race route B. The history of the districts C. The prize awarded D. The role of the jockey</v>
      </c>
      <c r="J132" s="3" t="str">
        <f>IFERROR(__xludf.DUMMYFUNCTION("GOOGLETRANSLATE(D132, ""it"", ""en"")"),"The race route")</f>
        <v>The race route</v>
      </c>
      <c r="K132" s="3" t="str">
        <f>IFERROR(__xludf.DUMMYFUNCTION("GOOGLETRANSLATE(E132, ""it"", ""en"")"),"Career is the term that describes the course of the race.")</f>
        <v>Career is the term that describes the course of the race.</v>
      </c>
      <c r="L132" s="2"/>
      <c r="M132" s="2"/>
      <c r="N132" s="2"/>
      <c r="O132" s="2"/>
      <c r="P132" s="2"/>
      <c r="Q132" s="2"/>
      <c r="R132" s="2"/>
      <c r="S132" s="2"/>
      <c r="T132" s="2"/>
      <c r="U132" s="2"/>
      <c r="V132" s="2"/>
      <c r="W132" s="2"/>
    </row>
    <row r="133" ht="22.5" customHeight="1">
      <c r="A133" s="3">
        <v>132.0</v>
      </c>
      <c r="B133" s="3" t="s">
        <v>2213</v>
      </c>
      <c r="C133" s="3" t="s">
        <v>2214</v>
      </c>
      <c r="D133" s="3" t="s">
        <v>2215</v>
      </c>
      <c r="E133" s="3" t="s">
        <v>2216</v>
      </c>
      <c r="F133" s="2"/>
      <c r="G133" s="3" t="str">
        <f>IFERROR(__xludf.DUMMYFUNCTION("GOOGLETRANSLATE(A133, ""it"", ""en"")"),"132")</f>
        <v>132</v>
      </c>
      <c r="H133" s="3" t="str">
        <f>IFERROR(__xludf.DUMMYFUNCTION("GOOGLETRANSLATE(B133, ""it"", ""en"")"),"What does the term ""partito"" mean in the Palio?")</f>
        <v>What does the term "partito" mean in the Palio?</v>
      </c>
      <c r="I133" s="3" t="str">
        <f>IFERROR(__xludf.DUMMYFUNCTION("GOOGLETRANSLATE(C133, ""it"", ""en"")"),"A. An alliance between districts B. A celebratory event C. The distribution of horses D. The rivalry between two districts")</f>
        <v>A. An alliance between districts B. A celebratory event C. The distribution of horses D. The rivalry between two districts</v>
      </c>
      <c r="J133" s="3" t="str">
        <f>IFERROR(__xludf.DUMMYFUNCTION("GOOGLETRANSLATE(D133, ""it"", ""en"")"),"An alliance between districts")</f>
        <v>An alliance between districts</v>
      </c>
      <c r="K133" s="3" t="str">
        <f>IFERROR(__xludf.DUMMYFUNCTION("GOOGLETRANSLATE(E133, ""it"", ""en"")"),"A party indicates a tactical alliance.")</f>
        <v>A party indicates a tactical alliance.</v>
      </c>
      <c r="L133" s="2"/>
      <c r="M133" s="2"/>
      <c r="N133" s="2"/>
      <c r="O133" s="2"/>
      <c r="P133" s="2"/>
      <c r="Q133" s="2"/>
      <c r="R133" s="2"/>
      <c r="S133" s="2"/>
      <c r="T133" s="2"/>
      <c r="U133" s="2"/>
      <c r="V133" s="2"/>
      <c r="W133" s="2"/>
    </row>
    <row r="134" ht="22.5" customHeight="1">
      <c r="A134" s="3">
        <v>133.0</v>
      </c>
      <c r="B134" s="3" t="s">
        <v>1875</v>
      </c>
      <c r="C134" s="3" t="s">
        <v>2217</v>
      </c>
      <c r="D134" s="3" t="s">
        <v>1877</v>
      </c>
      <c r="E134" s="3" t="s">
        <v>2218</v>
      </c>
      <c r="F134" s="2"/>
      <c r="G134" s="3" t="str">
        <f>IFERROR(__xludf.DUMMYFUNCTION("GOOGLETRANSLATE(A134, ""it"", ""en"")"),"133")</f>
        <v>133</v>
      </c>
      <c r="H134" s="3" t="str">
        <f>IFERROR(__xludf.DUMMYFUNCTION("GOOGLETRANSLATE(B134, ""it"", ""en"")"),"Which district has a giraffe as its symbol?")</f>
        <v>Which district has a giraffe as its symbol?</v>
      </c>
      <c r="I134" s="3" t="str">
        <f>IFERROR(__xludf.DUMMYFUNCTION("GOOGLETRANSLATE(C134, ""it"", ""en"")"),"A. Goose B. Wolf C. Giraffe D. Panther")</f>
        <v>A. Goose B. Wolf C. Giraffe D. Panther</v>
      </c>
      <c r="J134" s="3" t="str">
        <f>IFERROR(__xludf.DUMMYFUNCTION("GOOGLETRANSLATE(D134, ""it"", ""en"")"),"Giraffe")</f>
        <v>Giraffe</v>
      </c>
      <c r="K134" s="3" t="str">
        <f>IFERROR(__xludf.DUMMYFUNCTION("GOOGLETRANSLATE(E134, ""it"", ""en"")"),"The Giraffe has a giraffe as its symbol.")</f>
        <v>The Giraffe has a giraffe as its symbol.</v>
      </c>
      <c r="L134" s="2"/>
      <c r="M134" s="2"/>
      <c r="N134" s="2"/>
      <c r="O134" s="2"/>
      <c r="P134" s="2"/>
      <c r="Q134" s="2"/>
      <c r="R134" s="2"/>
      <c r="S134" s="2"/>
      <c r="T134" s="2"/>
      <c r="U134" s="2"/>
      <c r="V134" s="2"/>
      <c r="W134" s="2"/>
    </row>
    <row r="135" ht="22.5" customHeight="1">
      <c r="A135" s="3">
        <v>134.0</v>
      </c>
      <c r="B135" s="3" t="s">
        <v>2219</v>
      </c>
      <c r="C135" s="3" t="s">
        <v>2220</v>
      </c>
      <c r="D135" s="3" t="s">
        <v>2221</v>
      </c>
      <c r="E135" s="3" t="s">
        <v>2222</v>
      </c>
      <c r="F135" s="2"/>
      <c r="G135" s="3" t="str">
        <f>IFERROR(__xludf.DUMMYFUNCTION("GOOGLETRANSLATE(A135, ""it"", ""en"")"),"134")</f>
        <v>134</v>
      </c>
      <c r="H135" s="3" t="str">
        <f>IFERROR(__xludf.DUMMYFUNCTION("GOOGLETRANSLATE(B135, ""it"", ""en"")"),"What happens during the ""move""?")</f>
        <v>What happens during the "move"?</v>
      </c>
      <c r="I135" s="3" t="str">
        <f>IFERROR(__xludf.DUMMYFUNCTION("GOOGLETRANSLATE(C135, ""it"", ""en"")"),"A. The beginning of the procession B. The assignment of the horses C. The start of the race D. The blessing of the horse")</f>
        <v>A. The beginning of the procession B. The assignment of the horses C. The start of the race D. The blessing of the horse</v>
      </c>
      <c r="J135" s="3" t="str">
        <f>IFERROR(__xludf.DUMMYFUNCTION("GOOGLETRANSLATE(D135, ""it"", ""en"")"),"The start of the race")</f>
        <v>The start of the race</v>
      </c>
      <c r="K135" s="3" t="str">
        <f>IFERROR(__xludf.DUMMYFUNCTION("GOOGLETRANSLATE(E135, ""it"", ""en"")"),"The move is the crucial moment of the start.")</f>
        <v>The move is the crucial moment of the start.</v>
      </c>
      <c r="L135" s="2"/>
      <c r="M135" s="2"/>
      <c r="N135" s="2"/>
      <c r="O135" s="2"/>
      <c r="P135" s="2"/>
      <c r="Q135" s="2"/>
      <c r="R135" s="2"/>
      <c r="S135" s="2"/>
      <c r="T135" s="2"/>
      <c r="U135" s="2"/>
      <c r="V135" s="2"/>
      <c r="W135" s="2"/>
    </row>
    <row r="136" ht="22.5" customHeight="1">
      <c r="A136" s="3">
        <v>135.0</v>
      </c>
      <c r="B136" s="3" t="s">
        <v>2223</v>
      </c>
      <c r="C136" s="3" t="s">
        <v>2224</v>
      </c>
      <c r="D136" s="3" t="s">
        <v>2225</v>
      </c>
      <c r="E136" s="3" t="s">
        <v>2226</v>
      </c>
      <c r="F136" s="2"/>
      <c r="G136" s="3" t="str">
        <f>IFERROR(__xludf.DUMMYFUNCTION("GOOGLETRANSLATE(A136, ""it"", ""en"")"),"135")</f>
        <v>135</v>
      </c>
      <c r="H136" s="3" t="str">
        <f>IFERROR(__xludf.DUMMYFUNCTION("GOOGLETRANSLATE(B136, ""it"", ""en"")"),"What does the Piazza del Campo symbolize during the Palio?")</f>
        <v>What does the Piazza del Campo symbolize during the Palio?</v>
      </c>
      <c r="I136" s="3" t="str">
        <f>IFERROR(__xludf.DUMMYFUNCTION("GOOGLETRANSLATE(C136, ""it"", ""en"")"),"A. The strength of the districts B. The history of Siena C. Religious devotion D. The centrality of the city")</f>
        <v>A. The strength of the districts B. The history of Siena C. Religious devotion D. The centrality of the city</v>
      </c>
      <c r="J136" s="3" t="str">
        <f>IFERROR(__xludf.DUMMYFUNCTION("GOOGLETRANSLATE(D136, ""it"", ""en"")"),"The centrality of the city")</f>
        <v>The centrality of the city</v>
      </c>
      <c r="K136" s="3" t="str">
        <f>IFERROR(__xludf.DUMMYFUNCTION("GOOGLETRANSLATE(E136, ""it"", ""en"")"),"The Piazza del Campo is the symbolic heart of the city.")</f>
        <v>The Piazza del Campo is the symbolic heart of the city.</v>
      </c>
      <c r="L136" s="2"/>
      <c r="M136" s="2"/>
      <c r="N136" s="2"/>
      <c r="O136" s="2"/>
      <c r="P136" s="2"/>
      <c r="Q136" s="2"/>
      <c r="R136" s="2"/>
      <c r="S136" s="2"/>
      <c r="T136" s="2"/>
      <c r="U136" s="2"/>
      <c r="V136" s="2"/>
      <c r="W136" s="2"/>
    </row>
    <row r="137" ht="22.5" customHeight="1">
      <c r="A137" s="3">
        <v>136.0</v>
      </c>
      <c r="B137" s="3" t="s">
        <v>2227</v>
      </c>
      <c r="C137" s="3" t="s">
        <v>2228</v>
      </c>
      <c r="D137" s="3" t="s">
        <v>2229</v>
      </c>
      <c r="E137" s="3" t="s">
        <v>2230</v>
      </c>
      <c r="F137" s="2"/>
      <c r="G137" s="3" t="str">
        <f>IFERROR(__xludf.DUMMYFUNCTION("GOOGLETRANSLATE(A137, ""it"", ""en"")"),"136")</f>
        <v>136</v>
      </c>
      <c r="H137" s="3" t="str">
        <f>IFERROR(__xludf.DUMMYFUNCTION("GOOGLETRANSLATE(B137, ""it"", ""en"")"),"Which district has a lion as its symbol?")</f>
        <v>Which district has a lion as its symbol?</v>
      </c>
      <c r="I137" s="3" t="str">
        <f>IFERROR(__xludf.DUMMYFUNCTION("GOOGLETRANSLATE(C137, ""it"", ""en"")"),"A. Eagle B. Unicorn C. Panther D. Wave")</f>
        <v>A. Eagle B. Unicorn C. Panther D. Wave</v>
      </c>
      <c r="J137" s="3" t="str">
        <f>IFERROR(__xludf.DUMMYFUNCTION("GOOGLETRANSLATE(D137, ""it"", ""en"")"),"Unicorn")</f>
        <v>Unicorn</v>
      </c>
      <c r="K137" s="3" t="str">
        <f>IFERROR(__xludf.DUMMYFUNCTION("GOOGLETRANSLATE(E137, ""it"", ""en"")"),"The Leocorno has a lion as its symbol.")</f>
        <v>The Leocorno has a lion as its symbol.</v>
      </c>
      <c r="L137" s="2"/>
      <c r="M137" s="2"/>
      <c r="N137" s="2"/>
      <c r="O137" s="2"/>
      <c r="P137" s="2"/>
      <c r="Q137" s="2"/>
      <c r="R137" s="2"/>
      <c r="S137" s="2"/>
      <c r="T137" s="2"/>
      <c r="U137" s="2"/>
      <c r="V137" s="2"/>
      <c r="W137" s="2"/>
    </row>
    <row r="138" ht="22.5" customHeight="1">
      <c r="A138" s="3">
        <v>137.0</v>
      </c>
      <c r="B138" s="3" t="s">
        <v>2231</v>
      </c>
      <c r="C138" s="3" t="s">
        <v>2232</v>
      </c>
      <c r="D138" s="3" t="s">
        <v>2233</v>
      </c>
      <c r="E138" s="3" t="s">
        <v>2234</v>
      </c>
      <c r="F138" s="2"/>
      <c r="G138" s="3" t="str">
        <f>IFERROR(__xludf.DUMMYFUNCTION("GOOGLETRANSLATE(A138, ""it"", ""en"")"),"137")</f>
        <v>137</v>
      </c>
      <c r="H138" s="3" t="str">
        <f>IFERROR(__xludf.DUMMYFUNCTION("GOOGLETRANSLATE(B138, ""it"", ""en"")"),"What does the wave represent in the symbol of the homonymous district?")</f>
        <v>What does the wave represent in the symbol of the homonymous district?</v>
      </c>
      <c r="I138" s="3" t="str">
        <f>IFERROR(__xludf.DUMMYFUNCTION("GOOGLETRANSLATE(C138, ""it"", ""en"")"),"A. The power of the waters B. Maritime trade C. The defense of Siena D. The purity of the Madonna")</f>
        <v>A. The power of the waters B. Maritime trade C. The defense of Siena D. The purity of the Madonna</v>
      </c>
      <c r="J138" s="3" t="str">
        <f>IFERROR(__xludf.DUMMYFUNCTION("GOOGLETRANSLATE(D138, ""it"", ""en"")"),"Maritime trade")</f>
        <v>Maritime trade</v>
      </c>
      <c r="K138" s="3" t="str">
        <f>IFERROR(__xludf.DUMMYFUNCTION("GOOGLETRANSLATE(E138, ""it"", ""en"")"),"The Wave represents the link with maritime trade.")</f>
        <v>The Wave represents the link with maritime trade.</v>
      </c>
      <c r="L138" s="2"/>
      <c r="M138" s="2"/>
      <c r="N138" s="2"/>
      <c r="O138" s="2"/>
      <c r="P138" s="2"/>
      <c r="Q138" s="2"/>
      <c r="R138" s="2"/>
      <c r="S138" s="2"/>
      <c r="T138" s="2"/>
      <c r="U138" s="2"/>
      <c r="V138" s="2"/>
      <c r="W138" s="2"/>
    </row>
    <row r="139" ht="22.5" customHeight="1">
      <c r="A139" s="3">
        <v>138.0</v>
      </c>
      <c r="B139" s="3" t="s">
        <v>2235</v>
      </c>
      <c r="C139" s="3" t="s">
        <v>2236</v>
      </c>
      <c r="D139" s="3" t="s">
        <v>1831</v>
      </c>
      <c r="E139" s="3" t="s">
        <v>2237</v>
      </c>
      <c r="F139" s="2"/>
      <c r="G139" s="3" t="str">
        <f>IFERROR(__xludf.DUMMYFUNCTION("GOOGLETRANSLATE(A139, ""it"", ""en"")"),"138")</f>
        <v>138</v>
      </c>
      <c r="H139" s="3" t="str">
        <f>IFERROR(__xludf.DUMMYFUNCTION("GOOGLETRANSLATE(B139, ""it"", ""en"")"),"Which contrada has a horse as its symbol?")</f>
        <v>Which contrada has a horse as its symbol?</v>
      </c>
      <c r="I139" s="3" t="str">
        <f>IFERROR(__xludf.DUMMYFUNCTION("GOOGLETRANSLATE(C139, ""it"", ""en"")"),"A. Goose B. Nicchio C. Wave D. Owl")</f>
        <v>A. Goose B. Nicchio C. Wave D. Owl</v>
      </c>
      <c r="J139" s="3" t="str">
        <f>IFERROR(__xludf.DUMMYFUNCTION("GOOGLETRANSLATE(D139, ""it"", ""en"")"),"Niche")</f>
        <v>Niche</v>
      </c>
      <c r="K139" s="3" t="str">
        <f>IFERROR(__xludf.DUMMYFUNCTION("GOOGLETRANSLATE(E139, ""it"", ""en"")"),"The Nicchio has a horse as its symbol.")</f>
        <v>The Nicchio has a horse as its symbol.</v>
      </c>
      <c r="L139" s="2"/>
      <c r="M139" s="2"/>
      <c r="N139" s="2"/>
      <c r="O139" s="2"/>
      <c r="P139" s="2"/>
      <c r="Q139" s="2"/>
      <c r="R139" s="2"/>
      <c r="S139" s="2"/>
      <c r="T139" s="2"/>
      <c r="U139" s="2"/>
      <c r="V139" s="2"/>
      <c r="W139" s="2"/>
    </row>
    <row r="140" ht="22.5" customHeight="1">
      <c r="A140" s="3">
        <v>139.0</v>
      </c>
      <c r="B140" s="3" t="s">
        <v>2238</v>
      </c>
      <c r="C140" s="3" t="s">
        <v>2239</v>
      </c>
      <c r="D140" s="3" t="s">
        <v>2240</v>
      </c>
      <c r="E140" s="3" t="s">
        <v>2241</v>
      </c>
      <c r="F140" s="2"/>
      <c r="G140" s="3" t="str">
        <f>IFERROR(__xludf.DUMMYFUNCTION("GOOGLETRANSLATE(A140, ""it"", ""en"")"),"139")</f>
        <v>139</v>
      </c>
      <c r="H140" s="3" t="str">
        <f>IFERROR(__xludf.DUMMYFUNCTION("GOOGLETRANSLATE(B140, ""it"", ""en"")"),"What is the meaning of the ""tratta"" in the Palio?")</f>
        <v>What is the meaning of the "tratta" in the Palio?</v>
      </c>
      <c r="I140" s="3" t="str">
        <f>IFERROR(__xludf.DUMMYFUNCTION("GOOGLETRANSLATE(C140, ""it"", ""en"")"),"A. The distribution of the horses B. The blessing of the horses C. The historical procession D. The selection of the starter")</f>
        <v>A. The distribution of the horses B. The blessing of the horses C. The historical procession D. The selection of the starter</v>
      </c>
      <c r="J140" s="3" t="str">
        <f>IFERROR(__xludf.DUMMYFUNCTION("GOOGLETRANSLATE(D140, ""it"", ""en"")"),"The distribution of horses")</f>
        <v>The distribution of horses</v>
      </c>
      <c r="K140" s="3" t="str">
        <f>IFERROR(__xludf.DUMMYFUNCTION("GOOGLETRANSLATE(E140, ""it"", ""en"")"),"The tratta is the drawing of lots for horses between the districts.")</f>
        <v>The tratta is the drawing of lots for horses between the districts.</v>
      </c>
      <c r="L140" s="2"/>
      <c r="M140" s="2"/>
      <c r="N140" s="2"/>
      <c r="O140" s="2"/>
      <c r="P140" s="2"/>
      <c r="Q140" s="2"/>
      <c r="R140" s="2"/>
      <c r="S140" s="2"/>
      <c r="T140" s="2"/>
      <c r="U140" s="2"/>
      <c r="V140" s="2"/>
      <c r="W140" s="2"/>
    </row>
    <row r="141" ht="22.5" customHeight="1">
      <c r="A141" s="3">
        <v>140.0</v>
      </c>
      <c r="B141" s="3" t="s">
        <v>2242</v>
      </c>
      <c r="C141" s="3" t="s">
        <v>2243</v>
      </c>
      <c r="D141" s="3" t="s">
        <v>2244</v>
      </c>
      <c r="E141" s="3" t="s">
        <v>2245</v>
      </c>
      <c r="F141" s="2"/>
      <c r="G141" s="3" t="str">
        <f>IFERROR(__xludf.DUMMYFUNCTION("GOOGLETRANSLATE(A141, ""it"", ""en"")"),"140")</f>
        <v>140</v>
      </c>
      <c r="H141" s="3" t="str">
        <f>IFERROR(__xludf.DUMMYFUNCTION("GOOGLETRANSLATE(B141, ""it"", ""en"")"),"What does ""shaken jockey"" mean?")</f>
        <v>What does "shaken jockey" mean?</v>
      </c>
      <c r="I141" s="3" t="str">
        <f>IFERROR(__xludf.DUMMYFUNCTION("GOOGLETRANSLATE(C141, ""it"", ""en"")"),"A. A jockey who does not participate B. A jockey in difficulty C. A horse that runs without a jockey D. A replaced jockey")</f>
        <v>A. A jockey who does not participate B. A jockey in difficulty C. A horse that runs without a jockey D. A replaced jockey</v>
      </c>
      <c r="J141" s="3" t="str">
        <f>IFERROR(__xludf.DUMMYFUNCTION("GOOGLETRANSLATE(D141, ""it"", ""en"")"),"A horse that runs without a rider")</f>
        <v>A horse that runs without a rider</v>
      </c>
      <c r="K141" s="3" t="str">
        <f>IFERROR(__xludf.DUMMYFUNCTION("GOOGLETRANSLATE(E141, ""it"", ""en"")"),"The jockey who was shaken is the one who fell during the race.")</f>
        <v>The jockey who was shaken is the one who fell during the race.</v>
      </c>
      <c r="L141" s="2"/>
      <c r="M141" s="2"/>
      <c r="N141" s="2"/>
      <c r="O141" s="2"/>
      <c r="P141" s="2"/>
      <c r="Q141" s="2"/>
      <c r="R141" s="2"/>
      <c r="S141" s="2"/>
      <c r="T141" s="2"/>
      <c r="U141" s="2"/>
      <c r="V141" s="2"/>
      <c r="W141" s="2"/>
    </row>
    <row r="142" ht="22.5" customHeight="1">
      <c r="A142" s="3">
        <v>141.0</v>
      </c>
      <c r="B142" s="3" t="s">
        <v>2246</v>
      </c>
      <c r="C142" s="3" t="s">
        <v>2247</v>
      </c>
      <c r="D142" s="3" t="s">
        <v>2248</v>
      </c>
      <c r="E142" s="3" t="s">
        <v>2249</v>
      </c>
      <c r="F142" s="2"/>
      <c r="G142" s="3" t="str">
        <f>IFERROR(__xludf.DUMMYFUNCTION("GOOGLETRANSLATE(A142, ""it"", ""en"")"),"141")</f>
        <v>141</v>
      </c>
      <c r="H142" s="3" t="str">
        <f>IFERROR(__xludf.DUMMYFUNCTION("GOOGLETRANSLATE(B142, ""it"", ""en"")"),"What happens if a horse is injured during the Palio?")</f>
        <v>What happens if a horse is injured during the Palio?</v>
      </c>
      <c r="I142" s="3" t="str">
        <f>IFERROR(__xludf.DUMMYFUNCTION("GOOGLETRANSLATE(C142, ""it"", ""en"")"),"A. He is excluded from the race B. He is immediately assisted C. The contrada is disqualified D. The race is suspended")</f>
        <v>A. He is excluded from the race B. He is immediately assisted C. The contrada is disqualified D. The race is suspended</v>
      </c>
      <c r="J142" s="3" t="str">
        <f>IFERROR(__xludf.DUMMYFUNCTION("GOOGLETRANSLATE(D142, ""it"", ""en"")"),"He is assisted immediately")</f>
        <v>He is assisted immediately</v>
      </c>
      <c r="K142" s="3" t="str">
        <f>IFERROR(__xludf.DUMMYFUNCTION("GOOGLETRANSLATE(E142, ""it"", ""en"")"),"The horse receives immediate treatment.")</f>
        <v>The horse receives immediate treatment.</v>
      </c>
      <c r="L142" s="2"/>
      <c r="M142" s="2"/>
      <c r="N142" s="2"/>
      <c r="O142" s="2"/>
      <c r="P142" s="2"/>
      <c r="Q142" s="2"/>
      <c r="R142" s="2"/>
      <c r="S142" s="2"/>
      <c r="T142" s="2"/>
      <c r="U142" s="2"/>
      <c r="V142" s="2"/>
      <c r="W142" s="2"/>
    </row>
    <row r="143" ht="22.5" customHeight="1">
      <c r="A143" s="3">
        <v>142.0</v>
      </c>
      <c r="B143" s="3" t="s">
        <v>2056</v>
      </c>
      <c r="C143" s="3" t="s">
        <v>2250</v>
      </c>
      <c r="D143" s="3" t="s">
        <v>2251</v>
      </c>
      <c r="E143" s="3" t="s">
        <v>2252</v>
      </c>
      <c r="F143" s="2"/>
      <c r="G143" s="3" t="str">
        <f>IFERROR(__xludf.DUMMYFUNCTION("GOOGLETRANSLATE(A143, ""it"", ""en"")"),"142")</f>
        <v>142</v>
      </c>
      <c r="H143" s="3" t="str">
        <f>IFERROR(__xludf.DUMMYFUNCTION("GOOGLETRANSLATE(B143, ""it"", ""en"")"),"What is the meaning of the term ""barbaresco""?")</f>
        <v>What is the meaning of the term "barbaresco"?</v>
      </c>
      <c r="I143" s="3" t="str">
        <f>IFERROR(__xludf.DUMMYFUNCTION("GOOGLETRANSLATE(C143, ""it"", ""en"")"),"A. The horse keeper B. A role in the historical parade C. A judge of the Palio D. A term for the starter")</f>
        <v>A. The horse keeper B. A role in the historical parade C. A judge of the Palio D. A term for the starter</v>
      </c>
      <c r="J143" s="3" t="str">
        <f>IFERROR(__xludf.DUMMYFUNCTION("GOOGLETRANSLATE(D143, ""it"", ""en"")"),"The horse keeper")</f>
        <v>The horse keeper</v>
      </c>
      <c r="K143" s="3" t="str">
        <f>IFERROR(__xludf.DUMMYFUNCTION("GOOGLETRANSLATE(E143, ""it"", ""en"")"),"The Barbaresco takes care of the contrada's horse.")</f>
        <v>The Barbaresco takes care of the contrada's horse.</v>
      </c>
      <c r="L143" s="2"/>
      <c r="M143" s="2"/>
      <c r="N143" s="2"/>
      <c r="O143" s="2"/>
      <c r="P143" s="2"/>
      <c r="Q143" s="2"/>
      <c r="R143" s="2"/>
      <c r="S143" s="2"/>
      <c r="T143" s="2"/>
      <c r="U143" s="2"/>
      <c r="V143" s="2"/>
      <c r="W143" s="2"/>
    </row>
    <row r="144" ht="22.5" customHeight="1">
      <c r="A144" s="3">
        <v>143.0</v>
      </c>
      <c r="B144" s="3" t="s">
        <v>2253</v>
      </c>
      <c r="C144" s="3" t="s">
        <v>2254</v>
      </c>
      <c r="D144" s="3" t="s">
        <v>2255</v>
      </c>
      <c r="E144" s="3" t="s">
        <v>2256</v>
      </c>
      <c r="F144" s="2"/>
      <c r="G144" s="3" t="str">
        <f>IFERROR(__xludf.DUMMYFUNCTION("GOOGLETRANSLATE(A144, ""it"", ""en"")"),"143")</f>
        <v>143</v>
      </c>
      <c r="H144" s="3" t="str">
        <f>IFERROR(__xludf.DUMMYFUNCTION("GOOGLETRANSLATE(B144, ""it"", ""en"")"),"What is the average length of the Palio race?")</f>
        <v>What is the average length of the Palio race?</v>
      </c>
      <c r="I144" s="3" t="str">
        <f>IFERROR(__xludf.DUMMYFUNCTION("GOOGLETRANSLATE(C144, ""it"", ""en"")"),"A. 30 seconds B. 1 minute C. 90 seconds D. 2 minutes")</f>
        <v>A. 30 seconds B. 1 minute C. 90 seconds D. 2 minutes</v>
      </c>
      <c r="J144" s="3" t="str">
        <f>IFERROR(__xludf.DUMMYFUNCTION("GOOGLETRANSLATE(D144, ""it"", ""en"")"),"90 seconds")</f>
        <v>90 seconds</v>
      </c>
      <c r="K144" s="3" t="str">
        <f>IFERROR(__xludf.DUMMYFUNCTION("GOOGLETRANSLATE(E144, ""it"", ""en"")"),"The Palio race lasts approximately 90 seconds.")</f>
        <v>The Palio race lasts approximately 90 seconds.</v>
      </c>
      <c r="L144" s="2"/>
      <c r="M144" s="2"/>
      <c r="N144" s="2"/>
      <c r="O144" s="2"/>
      <c r="P144" s="2"/>
      <c r="Q144" s="2"/>
      <c r="R144" s="2"/>
      <c r="S144" s="2"/>
      <c r="T144" s="2"/>
      <c r="U144" s="2"/>
      <c r="V144" s="2"/>
      <c r="W144" s="2"/>
    </row>
    <row r="145" ht="22.5" customHeight="1">
      <c r="A145" s="3">
        <v>144.0</v>
      </c>
      <c r="B145" s="3" t="s">
        <v>2257</v>
      </c>
      <c r="C145" s="3" t="s">
        <v>2258</v>
      </c>
      <c r="D145" s="3" t="s">
        <v>2259</v>
      </c>
      <c r="E145" s="3" t="s">
        <v>2260</v>
      </c>
      <c r="F145" s="2"/>
      <c r="G145" s="3" t="str">
        <f>IFERROR(__xludf.DUMMYFUNCTION("GOOGLETRANSLATE(A145, ""it"", ""en"")"),"144")</f>
        <v>144</v>
      </c>
      <c r="H145" s="3" t="str">
        <f>IFERROR(__xludf.DUMMYFUNCTION("GOOGLETRANSLATE(B145, ""it"", ""en"")"),"Which district has an elephant as its symbol?")</f>
        <v>Which district has an elephant as its symbol?</v>
      </c>
      <c r="I145" s="3" t="str">
        <f>IFERROR(__xludf.DUMMYFUNCTION("GOOGLETRANSLATE(C145, ""it"", ""en"")"),"A. Eagle B. Turtle C. Dragon D. Wave")</f>
        <v>A. Eagle B. Turtle C. Dragon D. Wave</v>
      </c>
      <c r="J145" s="3" t="str">
        <f>IFERROR(__xludf.DUMMYFUNCTION("GOOGLETRANSLATE(D145, ""it"", ""en"")"),"Turtle")</f>
        <v>Turtle</v>
      </c>
      <c r="K145" s="3" t="str">
        <f>IFERROR(__xludf.DUMMYFUNCTION("GOOGLETRANSLATE(E145, ""it"", ""en"")"),"The Tartuca has an elephant as its symbol.")</f>
        <v>The Tartuca has an elephant as its symbol.</v>
      </c>
      <c r="L145" s="2"/>
      <c r="M145" s="2"/>
      <c r="N145" s="2"/>
      <c r="O145" s="2"/>
      <c r="P145" s="2"/>
      <c r="Q145" s="2"/>
      <c r="R145" s="2"/>
      <c r="S145" s="2"/>
      <c r="T145" s="2"/>
      <c r="U145" s="2"/>
      <c r="V145" s="2"/>
      <c r="W145" s="2"/>
    </row>
    <row r="146" ht="22.5" customHeight="1">
      <c r="A146" s="3">
        <v>145.0</v>
      </c>
      <c r="B146" s="3" t="s">
        <v>2261</v>
      </c>
      <c r="C146" s="3" t="s">
        <v>2262</v>
      </c>
      <c r="D146" s="3" t="s">
        <v>2263</v>
      </c>
      <c r="E146" s="3" t="s">
        <v>2264</v>
      </c>
      <c r="F146" s="2"/>
      <c r="G146" s="3" t="str">
        <f>IFERROR(__xludf.DUMMYFUNCTION("GOOGLETRANSLATE(A146, ""it"", ""en"")"),"145")</f>
        <v>145</v>
      </c>
      <c r="H146" s="3" t="str">
        <f>IFERROR(__xludf.DUMMYFUNCTION("GOOGLETRANSLATE(B146, ""it"", ""en"")"),"What does the symbol of the Oca contrada represent?")</f>
        <v>What does the symbol of the Oca contrada represent?</v>
      </c>
      <c r="I146" s="3" t="str">
        <f>IFERROR(__xludf.DUMMYFUNCTION("GOOGLETRANSLATE(C146, ""it"", ""en"")"),"A. Devotion to the Madonna B. The purity of water C. The connection with nature D. Luck and success")</f>
        <v>A. Devotion to the Madonna B. The purity of water C. The connection with nature D. Luck and success</v>
      </c>
      <c r="J146" s="3" t="str">
        <f>IFERROR(__xludf.DUMMYFUNCTION("GOOGLETRANSLATE(D146, ""it"", ""en"")"),"Devotion to Our Lady")</f>
        <v>Devotion to Our Lady</v>
      </c>
      <c r="K146" s="3" t="str">
        <f>IFERROR(__xludf.DUMMYFUNCTION("GOOGLETRANSLATE(E146, ""it"", ""en"")"),"The Goose symbolizes devotion to the Madonna.")</f>
        <v>The Goose symbolizes devotion to the Madonna.</v>
      </c>
      <c r="L146" s="2"/>
      <c r="M146" s="2"/>
      <c r="N146" s="2"/>
      <c r="O146" s="2"/>
      <c r="P146" s="2"/>
      <c r="Q146" s="2"/>
      <c r="R146" s="2"/>
      <c r="S146" s="2"/>
      <c r="T146" s="2"/>
      <c r="U146" s="2"/>
      <c r="V146" s="2"/>
      <c r="W146" s="2"/>
    </row>
    <row r="147" ht="22.5" customHeight="1">
      <c r="A147" s="3">
        <v>146.0</v>
      </c>
      <c r="B147" s="3" t="s">
        <v>2265</v>
      </c>
      <c r="C147" s="3" t="s">
        <v>2266</v>
      </c>
      <c r="D147" s="3" t="s">
        <v>2267</v>
      </c>
      <c r="E147" s="3" t="s">
        <v>2268</v>
      </c>
      <c r="F147" s="2"/>
      <c r="G147" s="3" t="str">
        <f>IFERROR(__xludf.DUMMYFUNCTION("GOOGLETRANSLATE(A147, ""it"", ""en"")"),"146")</f>
        <v>146</v>
      </c>
      <c r="H147" s="3" t="str">
        <f>IFERROR(__xludf.DUMMYFUNCTION("GOOGLETRANSLATE(B147, ""it"", ""en"")"),"What happens if a horse completes the race without a jockey?")</f>
        <v>What happens if a horse completes the race without a jockey?</v>
      </c>
      <c r="I147" s="3" t="str">
        <f>IFERROR(__xludf.DUMMYFUNCTION("GOOGLETRANSLATE(C147, ""it"", ""en"")"),"A. He is disqualified B. The contrada loses C. He can win the Palio D. The race is cancelled")</f>
        <v>A. He is disqualified B. The contrada loses C. He can win the Palio D. The race is cancelled</v>
      </c>
      <c r="J147" s="3" t="str">
        <f>IFERROR(__xludf.DUMMYFUNCTION("GOOGLETRANSLATE(D147, ""it"", ""en"")"),"He can win the Palio")</f>
        <v>He can win the Palio</v>
      </c>
      <c r="K147" s="3" t="str">
        <f>IFERROR(__xludf.DUMMYFUNCTION("GOOGLETRANSLATE(E147, ""it"", ""en"")"),"A shaken horse can still win.")</f>
        <v>A shaken horse can still win.</v>
      </c>
      <c r="L147" s="2"/>
      <c r="M147" s="2"/>
      <c r="N147" s="2"/>
      <c r="O147" s="2"/>
      <c r="P147" s="2"/>
      <c r="Q147" s="2"/>
      <c r="R147" s="2"/>
      <c r="S147" s="2"/>
      <c r="T147" s="2"/>
      <c r="U147" s="2"/>
      <c r="V147" s="2"/>
      <c r="W147" s="2"/>
    </row>
    <row r="148" ht="22.5" customHeight="1">
      <c r="A148" s="3">
        <v>147.0</v>
      </c>
      <c r="B148" s="3" t="s">
        <v>2269</v>
      </c>
      <c r="C148" s="3" t="s">
        <v>2270</v>
      </c>
      <c r="D148" s="3" t="s">
        <v>1776</v>
      </c>
      <c r="E148" s="3" t="s">
        <v>2271</v>
      </c>
      <c r="F148" s="2"/>
      <c r="G148" s="3" t="str">
        <f>IFERROR(__xludf.DUMMYFUNCTION("GOOGLETRANSLATE(A148, ""it"", ""en"")"),"147")</f>
        <v>147</v>
      </c>
      <c r="H148" s="3" t="str">
        <f>IFERROR(__xludf.DUMMYFUNCTION("GOOGLETRANSLATE(B148, ""it"", ""en"")"),"Which contrada has won the most victories in the history of the Palio?")</f>
        <v>Which contrada has won the most victories in the history of the Palio?</v>
      </c>
      <c r="I148" s="3" t="str">
        <f>IFERROR(__xludf.DUMMYFUNCTION("GOOGLETRANSLATE(C148, ""it"", ""en"")"),"A. Goose B. Giraffe C. Wolf D. Tower")</f>
        <v>A. Goose B. Giraffe C. Wolf D. Tower</v>
      </c>
      <c r="J148" s="3" t="str">
        <f>IFERROR(__xludf.DUMMYFUNCTION("GOOGLETRANSLATE(D148, ""it"", ""en"")"),"Goose")</f>
        <v>Goose</v>
      </c>
      <c r="K148" s="3" t="str">
        <f>IFERROR(__xludf.DUMMYFUNCTION("GOOGLETRANSLATE(E148, ""it"", ""en"")"),"The Goose is known for having the most victories.")</f>
        <v>The Goose is known for having the most victories.</v>
      </c>
      <c r="L148" s="2"/>
      <c r="M148" s="2"/>
      <c r="N148" s="2"/>
      <c r="O148" s="2"/>
      <c r="P148" s="2"/>
      <c r="Q148" s="2"/>
      <c r="R148" s="2"/>
      <c r="S148" s="2"/>
      <c r="T148" s="2"/>
      <c r="U148" s="2"/>
      <c r="V148" s="2"/>
      <c r="W148" s="2"/>
    </row>
    <row r="149" ht="22.5" customHeight="1">
      <c r="A149" s="3">
        <v>148.0</v>
      </c>
      <c r="B149" s="3" t="s">
        <v>2272</v>
      </c>
      <c r="C149" s="3" t="s">
        <v>2273</v>
      </c>
      <c r="D149" s="3" t="s">
        <v>2158</v>
      </c>
      <c r="E149" s="3" t="s">
        <v>2274</v>
      </c>
      <c r="F149" s="2"/>
      <c r="G149" s="3" t="str">
        <f>IFERROR(__xludf.DUMMYFUNCTION("GOOGLETRANSLATE(A149, ""it"", ""en"")"),"148")</f>
        <v>148</v>
      </c>
      <c r="H149" s="3" t="str">
        <f>IFERROR(__xludf.DUMMYFUNCTION("GOOGLETRANSLATE(B149, ""it"", ""en"")"),"What does the term ""cencio"" mean?")</f>
        <v>What does the term "cencio" mean?</v>
      </c>
      <c r="I149" s="3" t="str">
        <f>IFERROR(__xludf.DUMMYFUNCTION("GOOGLETRANSLATE(C149, ""it"", ""en"")"),"A. The banner B. The symbol of the contrada C. A shaken horse D. The historical procession")</f>
        <v>A. The banner B. The symbol of the contrada C. A shaken horse D. The historical procession</v>
      </c>
      <c r="J149" s="3" t="str">
        <f>IFERROR(__xludf.DUMMYFUNCTION("GOOGLETRANSLATE(D149, ""it"", ""en"")"),"The banner")</f>
        <v>The banner</v>
      </c>
      <c r="K149" s="3" t="str">
        <f>IFERROR(__xludf.DUMMYFUNCTION("GOOGLETRANSLATE(E149, ""it"", ""en"")"),"The ""cencio"" is the nickname of the banner.")</f>
        <v>The "cencio" is the nickname of the banner.</v>
      </c>
      <c r="L149" s="2"/>
      <c r="M149" s="2"/>
      <c r="N149" s="2"/>
      <c r="O149" s="2"/>
      <c r="P149" s="2"/>
      <c r="Q149" s="2"/>
      <c r="R149" s="2"/>
      <c r="S149" s="2"/>
      <c r="T149" s="2"/>
      <c r="U149" s="2"/>
      <c r="V149" s="2"/>
      <c r="W149" s="2"/>
    </row>
    <row r="150" ht="22.5" customHeight="1">
      <c r="A150" s="3">
        <v>149.0</v>
      </c>
      <c r="B150" s="3" t="s">
        <v>2275</v>
      </c>
      <c r="C150" s="3" t="s">
        <v>2276</v>
      </c>
      <c r="D150" s="3" t="s">
        <v>2277</v>
      </c>
      <c r="E150" s="3" t="s">
        <v>2278</v>
      </c>
      <c r="F150" s="2"/>
      <c r="G150" s="3" t="str">
        <f>IFERROR(__xludf.DUMMYFUNCTION("GOOGLETRANSLATE(A150, ""it"", ""en"")"),"149")</f>
        <v>149</v>
      </c>
      <c r="H150" s="3" t="str">
        <f>IFERROR(__xludf.DUMMYFUNCTION("GOOGLETRANSLATE(B150, ""it"", ""en"")"),"What happens if a contrada doesn't present a horse?")</f>
        <v>What happens if a contrada doesn't present a horse?</v>
      </c>
      <c r="I150" s="3" t="str">
        <f>IFERROR(__xludf.DUMMYFUNCTION("GOOGLETRANSLATE(C150, ""it"", ""en"")"),"A. She is disqualified B. She participates with a horse drawn by lot C. She is excluded from the Palio D. She is penalized")</f>
        <v>A. She is disqualified B. She participates with a horse drawn by lot C. She is excluded from the Palio D. She is penalized</v>
      </c>
      <c r="J150" s="3" t="str">
        <f>IFERROR(__xludf.DUMMYFUNCTION("GOOGLETRANSLATE(D150, ""it"", ""en"")"),"Participate with a horse drawn by lot")</f>
        <v>Participate with a horse drawn by lot</v>
      </c>
      <c r="K150" s="3" t="str">
        <f>IFERROR(__xludf.DUMMYFUNCTION("GOOGLETRANSLATE(E150, ""it"", ""en"")"),"The contrada can use a horse drawn by lot.")</f>
        <v>The contrada can use a horse drawn by lot.</v>
      </c>
      <c r="L150" s="2"/>
      <c r="M150" s="2"/>
      <c r="N150" s="2"/>
      <c r="O150" s="2"/>
      <c r="P150" s="2"/>
      <c r="Q150" s="2"/>
      <c r="R150" s="2"/>
      <c r="S150" s="2"/>
      <c r="T150" s="2"/>
      <c r="U150" s="2"/>
      <c r="V150" s="2"/>
      <c r="W150" s="2"/>
    </row>
    <row r="151" ht="22.5" customHeight="1">
      <c r="A151" s="3">
        <v>150.0</v>
      </c>
      <c r="B151" s="3" t="s">
        <v>2279</v>
      </c>
      <c r="C151" s="3" t="s">
        <v>2280</v>
      </c>
      <c r="D151" s="3" t="s">
        <v>2281</v>
      </c>
      <c r="E151" s="3" t="s">
        <v>2282</v>
      </c>
      <c r="F151" s="2"/>
      <c r="G151" s="3" t="str">
        <f>IFERROR(__xludf.DUMMYFUNCTION("GOOGLETRANSLATE(A151, ""it"", ""en"")"),"150")</f>
        <v>150</v>
      </c>
      <c r="H151" s="3" t="str">
        <f>IFERROR(__xludf.DUMMYFUNCTION("GOOGLETRANSLATE(B151, ""it"", ""en"")"),"How is the jockey of each contrada decided?")</f>
        <v>How is the jockey of each contrada decided?</v>
      </c>
      <c r="I151" s="3" t="str">
        <f>IFERROR(__xludf.DUMMYFUNCTION("GOOGLETRANSLATE(C151, ""it"", ""en"")"),"A. By vote B. By drawing lots C. By decision of the captain D. By invitation of the starter")</f>
        <v>A. By vote B. By drawing lots C. By decision of the captain D. By invitation of the starter</v>
      </c>
      <c r="J151" s="3" t="str">
        <f>IFERROR(__xludf.DUMMYFUNCTION("GOOGLETRANSLATE(D151, ""it"", ""en"")"),"At the captain's decision")</f>
        <v>At the captain's decision</v>
      </c>
      <c r="K151" s="3" t="str">
        <f>IFERROR(__xludf.DUMMYFUNCTION("GOOGLETRANSLATE(E151, ""it"", ""en"")"),"The captain decides which jockey will represent the contrada.")</f>
        <v>The captain decides which jockey will represent the contrada.</v>
      </c>
      <c r="L151" s="2"/>
      <c r="M151" s="2"/>
      <c r="N151" s="2"/>
      <c r="O151" s="2"/>
      <c r="P151" s="2"/>
      <c r="Q151" s="2"/>
      <c r="R151" s="2"/>
      <c r="S151" s="2"/>
      <c r="T151" s="2"/>
      <c r="U151" s="2"/>
      <c r="V151" s="2"/>
      <c r="W151" s="2"/>
    </row>
    <row r="152">
      <c r="A152" s="2"/>
      <c r="B152" s="2"/>
      <c r="C152" s="2"/>
      <c r="D152" s="2"/>
      <c r="E152" s="2"/>
      <c r="F152" s="2"/>
      <c r="G152" s="2"/>
      <c r="H152" s="2"/>
      <c r="I152" s="2"/>
      <c r="J152" s="2"/>
      <c r="K152" s="2"/>
      <c r="L152" s="2"/>
      <c r="M152" s="2"/>
      <c r="N152" s="2"/>
      <c r="O152" s="2"/>
      <c r="P152" s="2"/>
      <c r="Q152" s="2"/>
      <c r="R152" s="2"/>
      <c r="S152" s="2"/>
      <c r="T152" s="2"/>
      <c r="U152" s="2"/>
      <c r="V152" s="2"/>
      <c r="W152" s="2"/>
    </row>
    <row r="153">
      <c r="A153" s="2"/>
      <c r="B153" s="2"/>
      <c r="C153" s="2"/>
      <c r="D153" s="2"/>
      <c r="E153" s="2"/>
      <c r="F153" s="2"/>
      <c r="G153" s="2"/>
      <c r="H153" s="2"/>
      <c r="I153" s="2"/>
      <c r="J153" s="2"/>
      <c r="K153" s="2"/>
      <c r="L153" s="2"/>
      <c r="M153" s="2"/>
      <c r="N153" s="2"/>
      <c r="O153" s="2"/>
      <c r="P153" s="2"/>
      <c r="Q153" s="2"/>
      <c r="R153" s="2"/>
      <c r="S153" s="2"/>
      <c r="T153" s="2"/>
      <c r="U153" s="2"/>
      <c r="V153" s="2"/>
      <c r="W153" s="2"/>
    </row>
    <row r="154">
      <c r="A154" s="2"/>
      <c r="B154" s="2"/>
      <c r="C154" s="2"/>
      <c r="D154" s="2"/>
      <c r="E154" s="2"/>
      <c r="F154" s="2"/>
      <c r="G154" s="2"/>
      <c r="H154" s="2"/>
      <c r="I154" s="2"/>
      <c r="J154" s="2"/>
      <c r="K154" s="2"/>
      <c r="L154" s="2"/>
      <c r="M154" s="2"/>
      <c r="N154" s="2"/>
      <c r="O154" s="2"/>
      <c r="P154" s="2"/>
      <c r="Q154" s="2"/>
      <c r="R154" s="2"/>
      <c r="S154" s="2"/>
      <c r="T154" s="2"/>
      <c r="U154" s="2"/>
      <c r="V154" s="2"/>
      <c r="W154" s="2"/>
    </row>
    <row r="155">
      <c r="A155" s="2"/>
      <c r="B155" s="2"/>
      <c r="C155" s="2"/>
      <c r="D155" s="2"/>
      <c r="E155" s="2"/>
      <c r="F155" s="2"/>
      <c r="G155" s="2"/>
      <c r="H155" s="2"/>
      <c r="I155" s="2"/>
      <c r="J155" s="2"/>
      <c r="K155" s="2"/>
      <c r="L155" s="2"/>
      <c r="M155" s="2"/>
      <c r="N155" s="2"/>
      <c r="O155" s="2"/>
      <c r="P155" s="2"/>
      <c r="Q155" s="2"/>
      <c r="R155" s="2"/>
      <c r="S155" s="2"/>
      <c r="T155" s="2"/>
      <c r="U155" s="2"/>
      <c r="V155" s="2"/>
      <c r="W155" s="2"/>
    </row>
    <row r="156">
      <c r="A156" s="2"/>
      <c r="B156" s="2"/>
      <c r="C156" s="2"/>
      <c r="D156" s="2"/>
      <c r="E156" s="2"/>
      <c r="F156" s="2"/>
      <c r="G156" s="2"/>
      <c r="H156" s="2"/>
      <c r="I156" s="2"/>
      <c r="J156" s="2"/>
      <c r="K156" s="2"/>
      <c r="L156" s="2"/>
      <c r="M156" s="2"/>
      <c r="N156" s="2"/>
      <c r="O156" s="2"/>
      <c r="P156" s="2"/>
      <c r="Q156" s="2"/>
      <c r="R156" s="2"/>
      <c r="S156" s="2"/>
      <c r="T156" s="2"/>
      <c r="U156" s="2"/>
      <c r="V156" s="2"/>
      <c r="W156" s="2"/>
    </row>
    <row r="157">
      <c r="A157" s="2"/>
      <c r="B157" s="2"/>
      <c r="C157" s="2"/>
      <c r="D157" s="2"/>
      <c r="E157" s="2"/>
      <c r="F157" s="2"/>
      <c r="G157" s="2"/>
      <c r="H157" s="2"/>
      <c r="I157" s="2"/>
      <c r="J157" s="2"/>
      <c r="K157" s="2"/>
      <c r="L157" s="2"/>
      <c r="M157" s="2"/>
      <c r="N157" s="2"/>
      <c r="O157" s="2"/>
      <c r="P157" s="2"/>
      <c r="Q157" s="2"/>
      <c r="R157" s="2"/>
      <c r="S157" s="2"/>
      <c r="T157" s="2"/>
      <c r="U157" s="2"/>
      <c r="V157" s="2"/>
      <c r="W157" s="2"/>
    </row>
    <row r="158">
      <c r="A158" s="2"/>
      <c r="B158" s="2"/>
      <c r="C158" s="2"/>
      <c r="D158" s="2"/>
      <c r="E158" s="2"/>
      <c r="F158" s="2"/>
      <c r="G158" s="2"/>
      <c r="H158" s="2"/>
      <c r="I158" s="2"/>
      <c r="J158" s="2"/>
      <c r="K158" s="2"/>
      <c r="L158" s="2"/>
      <c r="M158" s="2"/>
      <c r="N158" s="2"/>
      <c r="O158" s="2"/>
      <c r="P158" s="2"/>
      <c r="Q158" s="2"/>
      <c r="R158" s="2"/>
      <c r="S158" s="2"/>
      <c r="T158" s="2"/>
      <c r="U158" s="2"/>
      <c r="V158" s="2"/>
      <c r="W158" s="2"/>
    </row>
    <row r="159">
      <c r="A159" s="2"/>
      <c r="B159" s="2"/>
      <c r="C159" s="2"/>
      <c r="D159" s="2"/>
      <c r="E159" s="2"/>
      <c r="F159" s="2"/>
      <c r="G159" s="2"/>
      <c r="H159" s="2"/>
      <c r="I159" s="2"/>
      <c r="J159" s="2"/>
      <c r="K159" s="2"/>
      <c r="L159" s="2"/>
      <c r="M159" s="2"/>
      <c r="N159" s="2"/>
      <c r="O159" s="2"/>
      <c r="P159" s="2"/>
      <c r="Q159" s="2"/>
      <c r="R159" s="2"/>
      <c r="S159" s="2"/>
      <c r="T159" s="2"/>
      <c r="U159" s="2"/>
      <c r="V159" s="2"/>
      <c r="W159" s="2"/>
    </row>
    <row r="160">
      <c r="A160" s="2"/>
      <c r="B160" s="2"/>
      <c r="C160" s="2"/>
      <c r="D160" s="2"/>
      <c r="E160" s="2"/>
      <c r="F160" s="2"/>
      <c r="G160" s="2"/>
      <c r="H160" s="2"/>
      <c r="I160" s="2"/>
      <c r="J160" s="2"/>
      <c r="K160" s="2"/>
      <c r="L160" s="2"/>
      <c r="M160" s="2"/>
      <c r="N160" s="2"/>
      <c r="O160" s="2"/>
      <c r="P160" s="2"/>
      <c r="Q160" s="2"/>
      <c r="R160" s="2"/>
      <c r="S160" s="2"/>
      <c r="T160" s="2"/>
      <c r="U160" s="2"/>
      <c r="V160" s="2"/>
      <c r="W160" s="2"/>
    </row>
    <row r="161">
      <c r="A161" s="2"/>
      <c r="B161" s="2"/>
      <c r="C161" s="2"/>
      <c r="D161" s="2"/>
      <c r="E161" s="2"/>
      <c r="F161" s="2"/>
      <c r="G161" s="2"/>
      <c r="H161" s="2"/>
      <c r="I161" s="2"/>
      <c r="J161" s="2"/>
      <c r="K161" s="2"/>
      <c r="L161" s="2"/>
      <c r="M161" s="2"/>
      <c r="N161" s="2"/>
      <c r="O161" s="2"/>
      <c r="P161" s="2"/>
      <c r="Q161" s="2"/>
      <c r="R161" s="2"/>
      <c r="S161" s="2"/>
      <c r="T161" s="2"/>
      <c r="U161" s="2"/>
      <c r="V161" s="2"/>
      <c r="W161" s="2"/>
    </row>
    <row r="162">
      <c r="A162" s="2"/>
      <c r="B162" s="2"/>
      <c r="C162" s="2"/>
      <c r="D162" s="2"/>
      <c r="E162" s="2"/>
      <c r="F162" s="2"/>
      <c r="G162" s="2"/>
      <c r="H162" s="2"/>
      <c r="I162" s="2"/>
      <c r="J162" s="2"/>
      <c r="K162" s="2"/>
      <c r="L162" s="2"/>
      <c r="M162" s="2"/>
      <c r="N162" s="2"/>
      <c r="O162" s="2"/>
      <c r="P162" s="2"/>
      <c r="Q162" s="2"/>
      <c r="R162" s="2"/>
      <c r="S162" s="2"/>
      <c r="T162" s="2"/>
      <c r="U162" s="2"/>
      <c r="V162" s="2"/>
      <c r="W162" s="2"/>
    </row>
    <row r="163">
      <c r="A163" s="2"/>
      <c r="B163" s="2"/>
      <c r="C163" s="2"/>
      <c r="D163" s="2"/>
      <c r="E163" s="2"/>
      <c r="F163" s="2"/>
      <c r="G163" s="2"/>
      <c r="H163" s="2"/>
      <c r="I163" s="2"/>
      <c r="J163" s="2"/>
      <c r="K163" s="2"/>
      <c r="L163" s="2"/>
      <c r="M163" s="2"/>
      <c r="N163" s="2"/>
      <c r="O163" s="2"/>
      <c r="P163" s="2"/>
      <c r="Q163" s="2"/>
      <c r="R163" s="2"/>
      <c r="S163" s="2"/>
      <c r="T163" s="2"/>
      <c r="U163" s="2"/>
      <c r="V163" s="2"/>
      <c r="W163" s="2"/>
    </row>
    <row r="164">
      <c r="A164" s="2"/>
      <c r="B164" s="2"/>
      <c r="C164" s="2"/>
      <c r="D164" s="2"/>
      <c r="E164" s="2"/>
      <c r="F164" s="2"/>
      <c r="G164" s="2"/>
      <c r="H164" s="2"/>
      <c r="I164" s="2"/>
      <c r="J164" s="2"/>
      <c r="K164" s="2"/>
      <c r="L164" s="2"/>
      <c r="M164" s="2"/>
      <c r="N164" s="2"/>
      <c r="O164" s="2"/>
      <c r="P164" s="2"/>
      <c r="Q164" s="2"/>
      <c r="R164" s="2"/>
      <c r="S164" s="2"/>
      <c r="T164" s="2"/>
      <c r="U164" s="2"/>
      <c r="V164" s="2"/>
      <c r="W164" s="2"/>
    </row>
    <row r="165">
      <c r="A165" s="2"/>
      <c r="B165" s="2"/>
      <c r="C165" s="2"/>
      <c r="D165" s="2"/>
      <c r="E165" s="2"/>
      <c r="F165" s="2"/>
      <c r="G165" s="2"/>
      <c r="H165" s="2"/>
      <c r="I165" s="2"/>
      <c r="J165" s="2"/>
      <c r="K165" s="2"/>
      <c r="L165" s="2"/>
      <c r="M165" s="2"/>
      <c r="N165" s="2"/>
      <c r="O165" s="2"/>
      <c r="P165" s="2"/>
      <c r="Q165" s="2"/>
      <c r="R165" s="2"/>
      <c r="S165" s="2"/>
      <c r="T165" s="2"/>
      <c r="U165" s="2"/>
      <c r="V165" s="2"/>
      <c r="W165" s="2"/>
    </row>
    <row r="166">
      <c r="A166" s="2"/>
      <c r="B166" s="2"/>
      <c r="C166" s="2"/>
      <c r="D166" s="2"/>
      <c r="E166" s="2"/>
      <c r="F166" s="2"/>
      <c r="G166" s="2"/>
      <c r="H166" s="2"/>
      <c r="I166" s="2"/>
      <c r="J166" s="2"/>
      <c r="K166" s="2"/>
      <c r="L166" s="2"/>
      <c r="M166" s="2"/>
      <c r="N166" s="2"/>
      <c r="O166" s="2"/>
      <c r="P166" s="2"/>
      <c r="Q166" s="2"/>
      <c r="R166" s="2"/>
      <c r="S166" s="2"/>
      <c r="T166" s="2"/>
      <c r="U166" s="2"/>
      <c r="V166" s="2"/>
      <c r="W166" s="2"/>
    </row>
    <row r="167">
      <c r="A167" s="2"/>
      <c r="B167" s="2"/>
      <c r="C167" s="2"/>
      <c r="D167" s="2"/>
      <c r="E167" s="2"/>
      <c r="F167" s="2"/>
      <c r="G167" s="2"/>
      <c r="H167" s="2"/>
      <c r="I167" s="2"/>
      <c r="J167" s="2"/>
      <c r="K167" s="2"/>
      <c r="L167" s="2"/>
      <c r="M167" s="2"/>
      <c r="N167" s="2"/>
      <c r="O167" s="2"/>
      <c r="P167" s="2"/>
      <c r="Q167" s="2"/>
      <c r="R167" s="2"/>
      <c r="S167" s="2"/>
      <c r="T167" s="2"/>
      <c r="U167" s="2"/>
      <c r="V167" s="2"/>
      <c r="W167" s="2"/>
    </row>
    <row r="168">
      <c r="A168" s="2"/>
      <c r="B168" s="2"/>
      <c r="C168" s="2"/>
      <c r="D168" s="2"/>
      <c r="E168" s="2"/>
      <c r="F168" s="2"/>
      <c r="G168" s="2"/>
      <c r="H168" s="2"/>
      <c r="I168" s="2"/>
      <c r="J168" s="2"/>
      <c r="K168" s="2"/>
      <c r="L168" s="2"/>
      <c r="M168" s="2"/>
      <c r="N168" s="2"/>
      <c r="O168" s="2"/>
      <c r="P168" s="2"/>
      <c r="Q168" s="2"/>
      <c r="R168" s="2"/>
      <c r="S168" s="2"/>
      <c r="T168" s="2"/>
      <c r="U168" s="2"/>
      <c r="V168" s="2"/>
      <c r="W168" s="2"/>
    </row>
    <row r="169">
      <c r="A169" s="2"/>
      <c r="B169" s="2"/>
      <c r="C169" s="2"/>
      <c r="D169" s="2"/>
      <c r="E169" s="2"/>
      <c r="F169" s="2"/>
      <c r="G169" s="2"/>
      <c r="H169" s="2"/>
      <c r="I169" s="2"/>
      <c r="J169" s="2"/>
      <c r="K169" s="2"/>
      <c r="L169" s="2"/>
      <c r="M169" s="2"/>
      <c r="N169" s="2"/>
      <c r="O169" s="2"/>
      <c r="P169" s="2"/>
      <c r="Q169" s="2"/>
      <c r="R169" s="2"/>
      <c r="S169" s="2"/>
      <c r="T169" s="2"/>
      <c r="U169" s="2"/>
      <c r="V169" s="2"/>
      <c r="W169" s="2"/>
    </row>
    <row r="170">
      <c r="A170" s="2"/>
      <c r="B170" s="2"/>
      <c r="C170" s="2"/>
      <c r="D170" s="2"/>
      <c r="E170" s="2"/>
      <c r="F170" s="2"/>
      <c r="G170" s="2"/>
      <c r="H170" s="2"/>
      <c r="I170" s="2"/>
      <c r="J170" s="2"/>
      <c r="K170" s="2"/>
      <c r="L170" s="2"/>
      <c r="M170" s="2"/>
      <c r="N170" s="2"/>
      <c r="O170" s="2"/>
      <c r="P170" s="2"/>
      <c r="Q170" s="2"/>
      <c r="R170" s="2"/>
      <c r="S170" s="2"/>
      <c r="T170" s="2"/>
      <c r="U170" s="2"/>
      <c r="V170" s="2"/>
      <c r="W170" s="2"/>
    </row>
    <row r="171">
      <c r="A171" s="2"/>
      <c r="B171" s="2"/>
      <c r="C171" s="2"/>
      <c r="D171" s="2"/>
      <c r="E171" s="2"/>
      <c r="F171" s="2"/>
      <c r="G171" s="2"/>
      <c r="H171" s="2"/>
      <c r="I171" s="2"/>
      <c r="J171" s="2"/>
      <c r="K171" s="2"/>
      <c r="L171" s="2"/>
      <c r="M171" s="2"/>
      <c r="N171" s="2"/>
      <c r="O171" s="2"/>
      <c r="P171" s="2"/>
      <c r="Q171" s="2"/>
      <c r="R171" s="2"/>
      <c r="S171" s="2"/>
      <c r="T171" s="2"/>
      <c r="U171" s="2"/>
      <c r="V171" s="2"/>
      <c r="W171" s="2"/>
    </row>
    <row r="172">
      <c r="A172" s="2"/>
      <c r="B172" s="2"/>
      <c r="C172" s="2"/>
      <c r="D172" s="2"/>
      <c r="E172" s="2"/>
      <c r="F172" s="2"/>
      <c r="G172" s="2"/>
      <c r="H172" s="2"/>
      <c r="I172" s="2"/>
      <c r="J172" s="2"/>
      <c r="K172" s="2"/>
      <c r="L172" s="2"/>
      <c r="M172" s="2"/>
      <c r="N172" s="2"/>
      <c r="O172" s="2"/>
      <c r="P172" s="2"/>
      <c r="Q172" s="2"/>
      <c r="R172" s="2"/>
      <c r="S172" s="2"/>
      <c r="T172" s="2"/>
      <c r="U172" s="2"/>
      <c r="V172" s="2"/>
      <c r="W172" s="2"/>
    </row>
    <row r="173">
      <c r="A173" s="2"/>
      <c r="B173" s="2"/>
      <c r="C173" s="2"/>
      <c r="D173" s="2"/>
      <c r="E173" s="2"/>
      <c r="F173" s="2"/>
      <c r="G173" s="2"/>
      <c r="H173" s="2"/>
      <c r="I173" s="2"/>
      <c r="J173" s="2"/>
      <c r="K173" s="2"/>
      <c r="L173" s="2"/>
      <c r="M173" s="2"/>
      <c r="N173" s="2"/>
      <c r="O173" s="2"/>
      <c r="P173" s="2"/>
      <c r="Q173" s="2"/>
      <c r="R173" s="2"/>
      <c r="S173" s="2"/>
      <c r="T173" s="2"/>
      <c r="U173" s="2"/>
      <c r="V173" s="2"/>
      <c r="W173" s="2"/>
    </row>
    <row r="174">
      <c r="A174" s="2"/>
      <c r="B174" s="2"/>
      <c r="C174" s="2"/>
      <c r="D174" s="2"/>
      <c r="E174" s="2"/>
      <c r="F174" s="2"/>
      <c r="G174" s="2"/>
      <c r="H174" s="2"/>
      <c r="I174" s="2"/>
      <c r="J174" s="2"/>
      <c r="K174" s="2"/>
      <c r="L174" s="2"/>
      <c r="M174" s="2"/>
      <c r="N174" s="2"/>
      <c r="O174" s="2"/>
      <c r="P174" s="2"/>
      <c r="Q174" s="2"/>
      <c r="R174" s="2"/>
      <c r="S174" s="2"/>
      <c r="T174" s="2"/>
      <c r="U174" s="2"/>
      <c r="V174" s="2"/>
      <c r="W174" s="2"/>
    </row>
    <row r="175">
      <c r="A175" s="2"/>
      <c r="B175" s="2"/>
      <c r="C175" s="2"/>
      <c r="D175" s="2"/>
      <c r="E175" s="2"/>
      <c r="F175" s="2"/>
      <c r="G175" s="2"/>
      <c r="H175" s="2"/>
      <c r="I175" s="2"/>
      <c r="J175" s="2"/>
      <c r="K175" s="2"/>
      <c r="L175" s="2"/>
      <c r="M175" s="2"/>
      <c r="N175" s="2"/>
      <c r="O175" s="2"/>
      <c r="P175" s="2"/>
      <c r="Q175" s="2"/>
      <c r="R175" s="2"/>
      <c r="S175" s="2"/>
      <c r="T175" s="2"/>
      <c r="U175" s="2"/>
      <c r="V175" s="2"/>
      <c r="W175" s="2"/>
    </row>
    <row r="176">
      <c r="A176" s="2"/>
      <c r="B176" s="2"/>
      <c r="C176" s="2"/>
      <c r="D176" s="2"/>
      <c r="E176" s="2"/>
      <c r="F176" s="2"/>
      <c r="G176" s="2"/>
      <c r="H176" s="2"/>
      <c r="I176" s="2"/>
      <c r="J176" s="2"/>
      <c r="K176" s="2"/>
      <c r="L176" s="2"/>
      <c r="M176" s="2"/>
      <c r="N176" s="2"/>
      <c r="O176" s="2"/>
      <c r="P176" s="2"/>
      <c r="Q176" s="2"/>
      <c r="R176" s="2"/>
      <c r="S176" s="2"/>
      <c r="T176" s="2"/>
      <c r="U176" s="2"/>
      <c r="V176" s="2"/>
      <c r="W176" s="2"/>
    </row>
    <row r="177">
      <c r="A177" s="2"/>
      <c r="B177" s="2"/>
      <c r="C177" s="2"/>
      <c r="D177" s="2"/>
      <c r="E177" s="2"/>
      <c r="F177" s="2"/>
      <c r="G177" s="2"/>
      <c r="H177" s="2"/>
      <c r="I177" s="2"/>
      <c r="J177" s="2"/>
      <c r="K177" s="2"/>
      <c r="L177" s="2"/>
      <c r="M177" s="2"/>
      <c r="N177" s="2"/>
      <c r="O177" s="2"/>
      <c r="P177" s="2"/>
      <c r="Q177" s="2"/>
      <c r="R177" s="2"/>
      <c r="S177" s="2"/>
      <c r="T177" s="2"/>
      <c r="U177" s="2"/>
      <c r="V177" s="2"/>
      <c r="W177" s="2"/>
    </row>
    <row r="178">
      <c r="A178" s="2"/>
      <c r="B178" s="2"/>
      <c r="C178" s="2"/>
      <c r="D178" s="2"/>
      <c r="E178" s="2"/>
      <c r="F178" s="2"/>
      <c r="G178" s="2"/>
      <c r="H178" s="2"/>
      <c r="I178" s="2"/>
      <c r="J178" s="2"/>
      <c r="K178" s="2"/>
      <c r="L178" s="2"/>
      <c r="M178" s="2"/>
      <c r="N178" s="2"/>
      <c r="O178" s="2"/>
      <c r="P178" s="2"/>
      <c r="Q178" s="2"/>
      <c r="R178" s="2"/>
      <c r="S178" s="2"/>
      <c r="T178" s="2"/>
      <c r="U178" s="2"/>
      <c r="V178" s="2"/>
      <c r="W178" s="2"/>
    </row>
    <row r="179">
      <c r="A179" s="2"/>
      <c r="B179" s="2"/>
      <c r="C179" s="2"/>
      <c r="D179" s="2"/>
      <c r="E179" s="2"/>
      <c r="F179" s="2"/>
      <c r="G179" s="2"/>
      <c r="H179" s="2"/>
      <c r="I179" s="2"/>
      <c r="J179" s="2"/>
      <c r="K179" s="2"/>
      <c r="L179" s="2"/>
      <c r="M179" s="2"/>
      <c r="N179" s="2"/>
      <c r="O179" s="2"/>
      <c r="P179" s="2"/>
      <c r="Q179" s="2"/>
      <c r="R179" s="2"/>
      <c r="S179" s="2"/>
      <c r="T179" s="2"/>
      <c r="U179" s="2"/>
      <c r="V179" s="2"/>
      <c r="W179" s="2"/>
    </row>
    <row r="180">
      <c r="A180" s="2"/>
      <c r="B180" s="2"/>
      <c r="C180" s="2"/>
      <c r="D180" s="2"/>
      <c r="E180" s="2"/>
      <c r="F180" s="2"/>
      <c r="G180" s="2"/>
      <c r="H180" s="2"/>
      <c r="I180" s="2"/>
      <c r="J180" s="2"/>
      <c r="K180" s="2"/>
      <c r="L180" s="2"/>
      <c r="M180" s="2"/>
      <c r="N180" s="2"/>
      <c r="O180" s="2"/>
      <c r="P180" s="2"/>
      <c r="Q180" s="2"/>
      <c r="R180" s="2"/>
      <c r="S180" s="2"/>
      <c r="T180" s="2"/>
      <c r="U180" s="2"/>
      <c r="V180" s="2"/>
      <c r="W180" s="2"/>
    </row>
    <row r="181">
      <c r="A181" s="2"/>
      <c r="B181" s="2"/>
      <c r="C181" s="2"/>
      <c r="D181" s="2"/>
      <c r="E181" s="2"/>
      <c r="F181" s="2"/>
      <c r="G181" s="2"/>
      <c r="H181" s="2"/>
      <c r="I181" s="2"/>
      <c r="J181" s="2"/>
      <c r="K181" s="2"/>
      <c r="L181" s="2"/>
      <c r="M181" s="2"/>
      <c r="N181" s="2"/>
      <c r="O181" s="2"/>
      <c r="P181" s="2"/>
      <c r="Q181" s="2"/>
      <c r="R181" s="2"/>
      <c r="S181" s="2"/>
      <c r="T181" s="2"/>
      <c r="U181" s="2"/>
      <c r="V181" s="2"/>
      <c r="W181" s="2"/>
    </row>
    <row r="182">
      <c r="A182" s="2"/>
      <c r="B182" s="2"/>
      <c r="C182" s="2"/>
      <c r="D182" s="2"/>
      <c r="E182" s="2"/>
      <c r="F182" s="2"/>
      <c r="G182" s="2"/>
      <c r="H182" s="2"/>
      <c r="I182" s="2"/>
      <c r="J182" s="2"/>
      <c r="K182" s="2"/>
      <c r="L182" s="2"/>
      <c r="M182" s="2"/>
      <c r="N182" s="2"/>
      <c r="O182" s="2"/>
      <c r="P182" s="2"/>
      <c r="Q182" s="2"/>
      <c r="R182" s="2"/>
      <c r="S182" s="2"/>
      <c r="T182" s="2"/>
      <c r="U182" s="2"/>
      <c r="V182" s="2"/>
      <c r="W182" s="2"/>
    </row>
    <row r="183">
      <c r="A183" s="2"/>
      <c r="B183" s="2"/>
      <c r="C183" s="2"/>
      <c r="D183" s="2"/>
      <c r="E183" s="2"/>
      <c r="F183" s="2"/>
      <c r="G183" s="2"/>
      <c r="H183" s="2"/>
      <c r="I183" s="2"/>
      <c r="J183" s="2"/>
      <c r="K183" s="2"/>
      <c r="L183" s="2"/>
      <c r="M183" s="2"/>
      <c r="N183" s="2"/>
      <c r="O183" s="2"/>
      <c r="P183" s="2"/>
      <c r="Q183" s="2"/>
      <c r="R183" s="2"/>
      <c r="S183" s="2"/>
      <c r="T183" s="2"/>
      <c r="U183" s="2"/>
      <c r="V183" s="2"/>
      <c r="W183" s="2"/>
    </row>
    <row r="184">
      <c r="A184" s="2"/>
      <c r="B184" s="2"/>
      <c r="C184" s="2"/>
      <c r="D184" s="2"/>
      <c r="E184" s="2"/>
      <c r="F184" s="2"/>
      <c r="G184" s="2"/>
      <c r="H184" s="2"/>
      <c r="I184" s="2"/>
      <c r="J184" s="2"/>
      <c r="K184" s="2"/>
      <c r="L184" s="2"/>
      <c r="M184" s="2"/>
      <c r="N184" s="2"/>
      <c r="O184" s="2"/>
      <c r="P184" s="2"/>
      <c r="Q184" s="2"/>
      <c r="R184" s="2"/>
      <c r="S184" s="2"/>
      <c r="T184" s="2"/>
      <c r="U184" s="2"/>
      <c r="V184" s="2"/>
      <c r="W184" s="2"/>
    </row>
    <row r="185">
      <c r="A185" s="2"/>
      <c r="B185" s="2"/>
      <c r="C185" s="2"/>
      <c r="D185" s="2"/>
      <c r="E185" s="2"/>
      <c r="F185" s="2"/>
      <c r="G185" s="2"/>
      <c r="H185" s="2"/>
      <c r="I185" s="2"/>
      <c r="J185" s="2"/>
      <c r="K185" s="2"/>
      <c r="L185" s="2"/>
      <c r="M185" s="2"/>
      <c r="N185" s="2"/>
      <c r="O185" s="2"/>
      <c r="P185" s="2"/>
      <c r="Q185" s="2"/>
      <c r="R185" s="2"/>
      <c r="S185" s="2"/>
      <c r="T185" s="2"/>
      <c r="U185" s="2"/>
      <c r="V185" s="2"/>
      <c r="W185" s="2"/>
    </row>
    <row r="186">
      <c r="A186" s="2"/>
      <c r="B186" s="2"/>
      <c r="C186" s="2"/>
      <c r="D186" s="2"/>
      <c r="E186" s="2"/>
      <c r="F186" s="2"/>
      <c r="G186" s="2"/>
      <c r="H186" s="2"/>
      <c r="I186" s="2"/>
      <c r="J186" s="2"/>
      <c r="K186" s="2"/>
      <c r="L186" s="2"/>
      <c r="M186" s="2"/>
      <c r="N186" s="2"/>
      <c r="O186" s="2"/>
      <c r="P186" s="2"/>
      <c r="Q186" s="2"/>
      <c r="R186" s="2"/>
      <c r="S186" s="2"/>
      <c r="T186" s="2"/>
      <c r="U186" s="2"/>
      <c r="V186" s="2"/>
      <c r="W186" s="2"/>
    </row>
    <row r="187">
      <c r="A187" s="2"/>
      <c r="B187" s="2"/>
      <c r="C187" s="2"/>
      <c r="D187" s="2"/>
      <c r="E187" s="2"/>
      <c r="F187" s="2"/>
      <c r="G187" s="2"/>
      <c r="H187" s="2"/>
      <c r="I187" s="2"/>
      <c r="J187" s="2"/>
      <c r="K187" s="2"/>
      <c r="L187" s="2"/>
      <c r="M187" s="2"/>
      <c r="N187" s="2"/>
      <c r="O187" s="2"/>
      <c r="P187" s="2"/>
      <c r="Q187" s="2"/>
      <c r="R187" s="2"/>
      <c r="S187" s="2"/>
      <c r="T187" s="2"/>
      <c r="U187" s="2"/>
      <c r="V187" s="2"/>
      <c r="W187" s="2"/>
    </row>
    <row r="188">
      <c r="A188" s="2"/>
      <c r="B188" s="2"/>
      <c r="C188" s="2"/>
      <c r="D188" s="2"/>
      <c r="E188" s="2"/>
      <c r="F188" s="2"/>
      <c r="G188" s="2"/>
      <c r="H188" s="2"/>
      <c r="I188" s="2"/>
      <c r="J188" s="2"/>
      <c r="K188" s="2"/>
      <c r="L188" s="2"/>
      <c r="M188" s="2"/>
      <c r="N188" s="2"/>
      <c r="O188" s="2"/>
      <c r="P188" s="2"/>
      <c r="Q188" s="2"/>
      <c r="R188" s="2"/>
      <c r="S188" s="2"/>
      <c r="T188" s="2"/>
      <c r="U188" s="2"/>
      <c r="V188" s="2"/>
      <c r="W188" s="2"/>
    </row>
    <row r="189">
      <c r="A189" s="2"/>
      <c r="B189" s="2"/>
      <c r="C189" s="2"/>
      <c r="D189" s="2"/>
      <c r="E189" s="2"/>
      <c r="F189" s="2"/>
      <c r="G189" s="2"/>
      <c r="H189" s="2"/>
      <c r="I189" s="2"/>
      <c r="J189" s="2"/>
      <c r="K189" s="2"/>
      <c r="L189" s="2"/>
      <c r="M189" s="2"/>
      <c r="N189" s="2"/>
      <c r="O189" s="2"/>
      <c r="P189" s="2"/>
      <c r="Q189" s="2"/>
      <c r="R189" s="2"/>
      <c r="S189" s="2"/>
      <c r="T189" s="2"/>
      <c r="U189" s="2"/>
      <c r="V189" s="2"/>
      <c r="W189" s="2"/>
    </row>
    <row r="190">
      <c r="A190" s="2"/>
      <c r="B190" s="2"/>
      <c r="C190" s="2"/>
      <c r="D190" s="2"/>
      <c r="E190" s="2"/>
      <c r="F190" s="2"/>
      <c r="G190" s="2"/>
      <c r="H190" s="2"/>
      <c r="I190" s="2"/>
      <c r="J190" s="2"/>
      <c r="K190" s="2"/>
      <c r="L190" s="2"/>
      <c r="M190" s="2"/>
      <c r="N190" s="2"/>
      <c r="O190" s="2"/>
      <c r="P190" s="2"/>
      <c r="Q190" s="2"/>
      <c r="R190" s="2"/>
      <c r="S190" s="2"/>
      <c r="T190" s="2"/>
      <c r="U190" s="2"/>
      <c r="V190" s="2"/>
      <c r="W190" s="2"/>
    </row>
    <row r="191">
      <c r="A191" s="2"/>
      <c r="B191" s="2"/>
      <c r="C191" s="2"/>
      <c r="D191" s="2"/>
      <c r="E191" s="2"/>
      <c r="F191" s="2"/>
      <c r="G191" s="2"/>
      <c r="H191" s="2"/>
      <c r="I191" s="2"/>
      <c r="J191" s="2"/>
      <c r="K191" s="2"/>
      <c r="L191" s="2"/>
      <c r="M191" s="2"/>
      <c r="N191" s="2"/>
      <c r="O191" s="2"/>
      <c r="P191" s="2"/>
      <c r="Q191" s="2"/>
      <c r="R191" s="2"/>
      <c r="S191" s="2"/>
      <c r="T191" s="2"/>
      <c r="U191" s="2"/>
      <c r="V191" s="2"/>
      <c r="W191" s="2"/>
    </row>
    <row r="192">
      <c r="A192" s="2"/>
      <c r="B192" s="2"/>
      <c r="C192" s="2"/>
      <c r="D192" s="2"/>
      <c r="E192" s="2"/>
      <c r="F192" s="2"/>
      <c r="G192" s="2"/>
      <c r="H192" s="2"/>
      <c r="I192" s="2"/>
      <c r="J192" s="2"/>
      <c r="K192" s="2"/>
      <c r="L192" s="2"/>
      <c r="M192" s="2"/>
      <c r="N192" s="2"/>
      <c r="O192" s="2"/>
      <c r="P192" s="2"/>
      <c r="Q192" s="2"/>
      <c r="R192" s="2"/>
      <c r="S192" s="2"/>
      <c r="T192" s="2"/>
      <c r="U192" s="2"/>
      <c r="V192" s="2"/>
      <c r="W192" s="2"/>
    </row>
    <row r="193">
      <c r="A193" s="2"/>
      <c r="B193" s="2"/>
      <c r="C193" s="2"/>
      <c r="D193" s="2"/>
      <c r="E193" s="2"/>
      <c r="F193" s="2"/>
      <c r="G193" s="2"/>
      <c r="H193" s="2"/>
      <c r="I193" s="2"/>
      <c r="J193" s="2"/>
      <c r="K193" s="2"/>
      <c r="L193" s="2"/>
      <c r="M193" s="2"/>
      <c r="N193" s="2"/>
      <c r="O193" s="2"/>
      <c r="P193" s="2"/>
      <c r="Q193" s="2"/>
      <c r="R193" s="2"/>
      <c r="S193" s="2"/>
      <c r="T193" s="2"/>
      <c r="U193" s="2"/>
      <c r="V193" s="2"/>
      <c r="W193" s="2"/>
    </row>
    <row r="194">
      <c r="A194" s="2"/>
      <c r="B194" s="2"/>
      <c r="C194" s="2"/>
      <c r="D194" s="2"/>
      <c r="E194" s="2"/>
      <c r="F194" s="2"/>
      <c r="G194" s="2"/>
      <c r="H194" s="2"/>
      <c r="I194" s="2"/>
      <c r="J194" s="2"/>
      <c r="K194" s="2"/>
      <c r="L194" s="2"/>
      <c r="M194" s="2"/>
      <c r="N194" s="2"/>
      <c r="O194" s="2"/>
      <c r="P194" s="2"/>
      <c r="Q194" s="2"/>
      <c r="R194" s="2"/>
      <c r="S194" s="2"/>
      <c r="T194" s="2"/>
      <c r="U194" s="2"/>
      <c r="V194" s="2"/>
      <c r="W194" s="2"/>
    </row>
    <row r="195">
      <c r="A195" s="2"/>
      <c r="B195" s="2"/>
      <c r="C195" s="2"/>
      <c r="D195" s="2"/>
      <c r="E195" s="2"/>
      <c r="F195" s="2"/>
      <c r="G195" s="2"/>
      <c r="H195" s="2"/>
      <c r="I195" s="2"/>
      <c r="J195" s="2"/>
      <c r="K195" s="2"/>
      <c r="L195" s="2"/>
      <c r="M195" s="2"/>
      <c r="N195" s="2"/>
      <c r="O195" s="2"/>
      <c r="P195" s="2"/>
      <c r="Q195" s="2"/>
      <c r="R195" s="2"/>
      <c r="S195" s="2"/>
      <c r="T195" s="2"/>
      <c r="U195" s="2"/>
      <c r="V195" s="2"/>
      <c r="W195" s="2"/>
    </row>
    <row r="196">
      <c r="A196" s="2"/>
      <c r="B196" s="2"/>
      <c r="C196" s="2"/>
      <c r="D196" s="2"/>
      <c r="E196" s="2"/>
      <c r="F196" s="2"/>
      <c r="G196" s="2"/>
      <c r="H196" s="2"/>
      <c r="I196" s="2"/>
      <c r="J196" s="2"/>
      <c r="K196" s="2"/>
      <c r="L196" s="2"/>
      <c r="M196" s="2"/>
      <c r="N196" s="2"/>
      <c r="O196" s="2"/>
      <c r="P196" s="2"/>
      <c r="Q196" s="2"/>
      <c r="R196" s="2"/>
      <c r="S196" s="2"/>
      <c r="T196" s="2"/>
      <c r="U196" s="2"/>
      <c r="V196" s="2"/>
      <c r="W196" s="2"/>
    </row>
    <row r="197">
      <c r="A197" s="2"/>
      <c r="B197" s="2"/>
      <c r="C197" s="2"/>
      <c r="D197" s="2"/>
      <c r="E197" s="2"/>
      <c r="F197" s="2"/>
      <c r="G197" s="2"/>
      <c r="H197" s="2"/>
      <c r="I197" s="2"/>
      <c r="J197" s="2"/>
      <c r="K197" s="2"/>
      <c r="L197" s="2"/>
      <c r="M197" s="2"/>
      <c r="N197" s="2"/>
      <c r="O197" s="2"/>
      <c r="P197" s="2"/>
      <c r="Q197" s="2"/>
      <c r="R197" s="2"/>
      <c r="S197" s="2"/>
      <c r="T197" s="2"/>
      <c r="U197" s="2"/>
      <c r="V197" s="2"/>
      <c r="W197" s="2"/>
    </row>
    <row r="198">
      <c r="A198" s="2"/>
      <c r="B198" s="2"/>
      <c r="C198" s="2"/>
      <c r="D198" s="2"/>
      <c r="E198" s="2"/>
      <c r="F198" s="2"/>
      <c r="G198" s="2"/>
      <c r="H198" s="2"/>
      <c r="I198" s="2"/>
      <c r="J198" s="2"/>
      <c r="K198" s="2"/>
      <c r="L198" s="2"/>
      <c r="M198" s="2"/>
      <c r="N198" s="2"/>
      <c r="O198" s="2"/>
      <c r="P198" s="2"/>
      <c r="Q198" s="2"/>
      <c r="R198" s="2"/>
      <c r="S198" s="2"/>
      <c r="T198" s="2"/>
      <c r="U198" s="2"/>
      <c r="V198" s="2"/>
      <c r="W198" s="2"/>
    </row>
    <row r="199">
      <c r="A199" s="2"/>
      <c r="B199" s="2"/>
      <c r="C199" s="2"/>
      <c r="D199" s="2"/>
      <c r="E199" s="2"/>
      <c r="F199" s="2"/>
      <c r="G199" s="2"/>
      <c r="H199" s="2"/>
      <c r="I199" s="2"/>
      <c r="J199" s="2"/>
      <c r="K199" s="2"/>
      <c r="L199" s="2"/>
      <c r="M199" s="2"/>
      <c r="N199" s="2"/>
      <c r="O199" s="2"/>
      <c r="P199" s="2"/>
      <c r="Q199" s="2"/>
      <c r="R199" s="2"/>
      <c r="S199" s="2"/>
      <c r="T199" s="2"/>
      <c r="U199" s="2"/>
      <c r="V199" s="2"/>
      <c r="W199" s="2"/>
    </row>
    <row r="200">
      <c r="A200" s="2"/>
      <c r="B200" s="2"/>
      <c r="C200" s="2"/>
      <c r="D200" s="2"/>
      <c r="E200" s="2"/>
      <c r="F200" s="2"/>
      <c r="G200" s="2"/>
      <c r="H200" s="2"/>
      <c r="I200" s="2"/>
      <c r="J200" s="2"/>
      <c r="K200" s="2"/>
      <c r="L200" s="2"/>
      <c r="M200" s="2"/>
      <c r="N200" s="2"/>
      <c r="O200" s="2"/>
      <c r="P200" s="2"/>
      <c r="Q200" s="2"/>
      <c r="R200" s="2"/>
      <c r="S200" s="2"/>
      <c r="T200" s="2"/>
      <c r="U200" s="2"/>
      <c r="V200" s="2"/>
      <c r="W200" s="2"/>
    </row>
    <row r="201">
      <c r="A201" s="2"/>
      <c r="B201" s="2"/>
      <c r="C201" s="2"/>
      <c r="D201" s="2"/>
      <c r="E201" s="2"/>
      <c r="F201" s="2"/>
      <c r="G201" s="2"/>
      <c r="H201" s="2"/>
      <c r="I201" s="2"/>
      <c r="J201" s="2"/>
      <c r="K201" s="2"/>
      <c r="L201" s="2"/>
      <c r="M201" s="2"/>
      <c r="N201" s="2"/>
      <c r="O201" s="2"/>
      <c r="P201" s="2"/>
      <c r="Q201" s="2"/>
      <c r="R201" s="2"/>
      <c r="S201" s="2"/>
      <c r="T201" s="2"/>
      <c r="U201" s="2"/>
      <c r="V201" s="2"/>
      <c r="W201" s="2"/>
    </row>
    <row r="202">
      <c r="A202" s="2"/>
      <c r="B202" s="2"/>
      <c r="C202" s="2"/>
      <c r="D202" s="2"/>
      <c r="E202" s="2"/>
      <c r="F202" s="2"/>
      <c r="G202" s="2"/>
      <c r="H202" s="2"/>
      <c r="I202" s="2"/>
      <c r="J202" s="2"/>
      <c r="K202" s="2"/>
      <c r="L202" s="2"/>
      <c r="M202" s="2"/>
      <c r="N202" s="2"/>
      <c r="O202" s="2"/>
      <c r="P202" s="2"/>
      <c r="Q202" s="2"/>
      <c r="R202" s="2"/>
      <c r="S202" s="2"/>
      <c r="T202" s="2"/>
      <c r="U202" s="2"/>
      <c r="V202" s="2"/>
      <c r="W202" s="2"/>
    </row>
    <row r="203">
      <c r="A203" s="2"/>
      <c r="B203" s="2"/>
      <c r="C203" s="2"/>
      <c r="D203" s="2"/>
      <c r="E203" s="2"/>
      <c r="F203" s="2"/>
      <c r="G203" s="2"/>
      <c r="H203" s="2"/>
      <c r="I203" s="2"/>
      <c r="J203" s="2"/>
      <c r="K203" s="2"/>
      <c r="L203" s="2"/>
      <c r="M203" s="2"/>
      <c r="N203" s="2"/>
      <c r="O203" s="2"/>
      <c r="P203" s="2"/>
      <c r="Q203" s="2"/>
      <c r="R203" s="2"/>
      <c r="S203" s="2"/>
      <c r="T203" s="2"/>
      <c r="U203" s="2"/>
      <c r="V203" s="2"/>
      <c r="W203" s="2"/>
    </row>
    <row r="204">
      <c r="A204" s="2"/>
      <c r="B204" s="2"/>
      <c r="C204" s="2"/>
      <c r="D204" s="2"/>
      <c r="E204" s="2"/>
      <c r="F204" s="2"/>
      <c r="G204" s="2"/>
      <c r="H204" s="2"/>
      <c r="I204" s="2"/>
      <c r="J204" s="2"/>
      <c r="K204" s="2"/>
      <c r="L204" s="2"/>
      <c r="M204" s="2"/>
      <c r="N204" s="2"/>
      <c r="O204" s="2"/>
      <c r="P204" s="2"/>
      <c r="Q204" s="2"/>
      <c r="R204" s="2"/>
      <c r="S204" s="2"/>
      <c r="T204" s="2"/>
      <c r="U204" s="2"/>
      <c r="V204" s="2"/>
      <c r="W204" s="2"/>
    </row>
    <row r="205">
      <c r="A205" s="2"/>
      <c r="B205" s="2"/>
      <c r="C205" s="2"/>
      <c r="D205" s="2"/>
      <c r="E205" s="2"/>
      <c r="F205" s="2"/>
      <c r="G205" s="2"/>
      <c r="H205" s="2"/>
      <c r="I205" s="2"/>
      <c r="J205" s="2"/>
      <c r="K205" s="2"/>
      <c r="L205" s="2"/>
      <c r="M205" s="2"/>
      <c r="N205" s="2"/>
      <c r="O205" s="2"/>
      <c r="P205" s="2"/>
      <c r="Q205" s="2"/>
      <c r="R205" s="2"/>
      <c r="S205" s="2"/>
      <c r="T205" s="2"/>
      <c r="U205" s="2"/>
      <c r="V205" s="2"/>
      <c r="W205" s="2"/>
    </row>
    <row r="206">
      <c r="A206" s="2"/>
      <c r="B206" s="2"/>
      <c r="C206" s="2"/>
      <c r="D206" s="2"/>
      <c r="E206" s="2"/>
      <c r="F206" s="2"/>
      <c r="G206" s="2"/>
      <c r="H206" s="2"/>
      <c r="I206" s="2"/>
      <c r="J206" s="2"/>
      <c r="K206" s="2"/>
      <c r="L206" s="2"/>
      <c r="M206" s="2"/>
      <c r="N206" s="2"/>
      <c r="O206" s="2"/>
      <c r="P206" s="2"/>
      <c r="Q206" s="2"/>
      <c r="R206" s="2"/>
      <c r="S206" s="2"/>
      <c r="T206" s="2"/>
      <c r="U206" s="2"/>
      <c r="V206" s="2"/>
      <c r="W206" s="2"/>
    </row>
    <row r="207">
      <c r="A207" s="2"/>
      <c r="B207" s="2"/>
      <c r="C207" s="2"/>
      <c r="D207" s="2"/>
      <c r="E207" s="2"/>
      <c r="F207" s="2"/>
      <c r="G207" s="2"/>
      <c r="H207" s="2"/>
      <c r="I207" s="2"/>
      <c r="J207" s="2"/>
      <c r="K207" s="2"/>
      <c r="L207" s="2"/>
      <c r="M207" s="2"/>
      <c r="N207" s="2"/>
      <c r="O207" s="2"/>
      <c r="P207" s="2"/>
      <c r="Q207" s="2"/>
      <c r="R207" s="2"/>
      <c r="S207" s="2"/>
      <c r="T207" s="2"/>
      <c r="U207" s="2"/>
      <c r="V207" s="2"/>
      <c r="W207" s="2"/>
    </row>
    <row r="208">
      <c r="A208" s="2"/>
      <c r="B208" s="2"/>
      <c r="C208" s="2"/>
      <c r="D208" s="2"/>
      <c r="E208" s="2"/>
      <c r="F208" s="2"/>
      <c r="G208" s="2"/>
      <c r="H208" s="2"/>
      <c r="I208" s="2"/>
      <c r="J208" s="2"/>
      <c r="K208" s="2"/>
      <c r="L208" s="2"/>
      <c r="M208" s="2"/>
      <c r="N208" s="2"/>
      <c r="O208" s="2"/>
      <c r="P208" s="2"/>
      <c r="Q208" s="2"/>
      <c r="R208" s="2"/>
      <c r="S208" s="2"/>
      <c r="T208" s="2"/>
      <c r="U208" s="2"/>
      <c r="V208" s="2"/>
      <c r="W208" s="2"/>
    </row>
    <row r="209">
      <c r="A209" s="2"/>
      <c r="B209" s="2"/>
      <c r="C209" s="2"/>
      <c r="D209" s="2"/>
      <c r="E209" s="2"/>
      <c r="F209" s="2"/>
      <c r="G209" s="2"/>
      <c r="H209" s="2"/>
      <c r="I209" s="2"/>
      <c r="J209" s="2"/>
      <c r="K209" s="2"/>
      <c r="L209" s="2"/>
      <c r="M209" s="2"/>
      <c r="N209" s="2"/>
      <c r="O209" s="2"/>
      <c r="P209" s="2"/>
      <c r="Q209" s="2"/>
      <c r="R209" s="2"/>
      <c r="S209" s="2"/>
      <c r="T209" s="2"/>
      <c r="U209" s="2"/>
      <c r="V209" s="2"/>
      <c r="W209" s="2"/>
    </row>
    <row r="210">
      <c r="A210" s="2"/>
      <c r="B210" s="2"/>
      <c r="C210" s="2"/>
      <c r="D210" s="2"/>
      <c r="E210" s="2"/>
      <c r="F210" s="2"/>
      <c r="G210" s="2"/>
      <c r="H210" s="2"/>
      <c r="I210" s="2"/>
      <c r="J210" s="2"/>
      <c r="K210" s="2"/>
      <c r="L210" s="2"/>
      <c r="M210" s="2"/>
      <c r="N210" s="2"/>
      <c r="O210" s="2"/>
      <c r="P210" s="2"/>
      <c r="Q210" s="2"/>
      <c r="R210" s="2"/>
      <c r="S210" s="2"/>
      <c r="T210" s="2"/>
      <c r="U210" s="2"/>
      <c r="V210" s="2"/>
      <c r="W210" s="2"/>
    </row>
    <row r="211">
      <c r="A211" s="2"/>
      <c r="B211" s="2"/>
      <c r="C211" s="2"/>
      <c r="D211" s="2"/>
      <c r="E211" s="2"/>
      <c r="F211" s="2"/>
      <c r="G211" s="2"/>
      <c r="H211" s="2"/>
      <c r="I211" s="2"/>
      <c r="J211" s="2"/>
      <c r="K211" s="2"/>
      <c r="L211" s="2"/>
      <c r="M211" s="2"/>
      <c r="N211" s="2"/>
      <c r="O211" s="2"/>
      <c r="P211" s="2"/>
      <c r="Q211" s="2"/>
      <c r="R211" s="2"/>
      <c r="S211" s="2"/>
      <c r="T211" s="2"/>
      <c r="U211" s="2"/>
      <c r="V211" s="2"/>
      <c r="W211" s="2"/>
    </row>
    <row r="212">
      <c r="A212" s="2"/>
      <c r="B212" s="2"/>
      <c r="C212" s="2"/>
      <c r="D212" s="2"/>
      <c r="E212" s="2"/>
      <c r="F212" s="2"/>
      <c r="G212" s="2"/>
      <c r="H212" s="2"/>
      <c r="I212" s="2"/>
      <c r="J212" s="2"/>
      <c r="K212" s="2"/>
      <c r="L212" s="2"/>
      <c r="M212" s="2"/>
      <c r="N212" s="2"/>
      <c r="O212" s="2"/>
      <c r="P212" s="2"/>
      <c r="Q212" s="2"/>
      <c r="R212" s="2"/>
      <c r="S212" s="2"/>
      <c r="T212" s="2"/>
      <c r="U212" s="2"/>
      <c r="V212" s="2"/>
      <c r="W212" s="2"/>
    </row>
    <row r="213">
      <c r="A213" s="2"/>
      <c r="B213" s="2"/>
      <c r="C213" s="2"/>
      <c r="D213" s="2"/>
      <c r="E213" s="2"/>
      <c r="F213" s="2"/>
      <c r="G213" s="2"/>
      <c r="H213" s="2"/>
      <c r="I213" s="2"/>
      <c r="J213" s="2"/>
      <c r="K213" s="2"/>
      <c r="L213" s="2"/>
      <c r="M213" s="2"/>
      <c r="N213" s="2"/>
      <c r="O213" s="2"/>
      <c r="P213" s="2"/>
      <c r="Q213" s="2"/>
      <c r="R213" s="2"/>
      <c r="S213" s="2"/>
      <c r="T213" s="2"/>
      <c r="U213" s="2"/>
      <c r="V213" s="2"/>
      <c r="W213" s="2"/>
    </row>
    <row r="214">
      <c r="A214" s="2"/>
      <c r="B214" s="2"/>
      <c r="C214" s="2"/>
      <c r="D214" s="2"/>
      <c r="E214" s="2"/>
      <c r="F214" s="2"/>
      <c r="G214" s="2"/>
      <c r="H214" s="2"/>
      <c r="I214" s="2"/>
      <c r="J214" s="2"/>
      <c r="K214" s="2"/>
      <c r="L214" s="2"/>
      <c r="M214" s="2"/>
      <c r="N214" s="2"/>
      <c r="O214" s="2"/>
      <c r="P214" s="2"/>
      <c r="Q214" s="2"/>
      <c r="R214" s="2"/>
      <c r="S214" s="2"/>
      <c r="T214" s="2"/>
      <c r="U214" s="2"/>
      <c r="V214" s="2"/>
      <c r="W214" s="2"/>
    </row>
    <row r="215">
      <c r="A215" s="2"/>
      <c r="B215" s="2"/>
      <c r="C215" s="2"/>
      <c r="D215" s="2"/>
      <c r="E215" s="2"/>
      <c r="F215" s="2"/>
      <c r="G215" s="2"/>
      <c r="H215" s="2"/>
      <c r="I215" s="2"/>
      <c r="J215" s="2"/>
      <c r="K215" s="2"/>
      <c r="L215" s="2"/>
      <c r="M215" s="2"/>
      <c r="N215" s="2"/>
      <c r="O215" s="2"/>
      <c r="P215" s="2"/>
      <c r="Q215" s="2"/>
      <c r="R215" s="2"/>
      <c r="S215" s="2"/>
      <c r="T215" s="2"/>
      <c r="U215" s="2"/>
      <c r="V215" s="2"/>
      <c r="W215" s="2"/>
    </row>
    <row r="216">
      <c r="A216" s="2"/>
      <c r="B216" s="2"/>
      <c r="C216" s="2"/>
      <c r="D216" s="2"/>
      <c r="E216" s="2"/>
      <c r="F216" s="2"/>
      <c r="G216" s="2"/>
      <c r="H216" s="2"/>
      <c r="I216" s="2"/>
      <c r="J216" s="2"/>
      <c r="K216" s="2"/>
      <c r="L216" s="2"/>
      <c r="M216" s="2"/>
      <c r="N216" s="2"/>
      <c r="O216" s="2"/>
      <c r="P216" s="2"/>
      <c r="Q216" s="2"/>
      <c r="R216" s="2"/>
      <c r="S216" s="2"/>
      <c r="T216" s="2"/>
      <c r="U216" s="2"/>
      <c r="V216" s="2"/>
      <c r="W216" s="2"/>
    </row>
    <row r="217">
      <c r="A217" s="2"/>
      <c r="B217" s="2"/>
      <c r="C217" s="2"/>
      <c r="D217" s="2"/>
      <c r="E217" s="2"/>
      <c r="F217" s="2"/>
      <c r="G217" s="2"/>
      <c r="H217" s="2"/>
      <c r="I217" s="2"/>
      <c r="J217" s="2"/>
      <c r="K217" s="2"/>
      <c r="L217" s="2"/>
      <c r="M217" s="2"/>
      <c r="N217" s="2"/>
      <c r="O217" s="2"/>
      <c r="P217" s="2"/>
      <c r="Q217" s="2"/>
      <c r="R217" s="2"/>
      <c r="S217" s="2"/>
      <c r="T217" s="2"/>
      <c r="U217" s="2"/>
      <c r="V217" s="2"/>
      <c r="W217" s="2"/>
    </row>
    <row r="218">
      <c r="A218" s="2"/>
      <c r="B218" s="2"/>
      <c r="C218" s="2"/>
      <c r="D218" s="2"/>
      <c r="E218" s="2"/>
      <c r="F218" s="2"/>
      <c r="G218" s="2"/>
      <c r="H218" s="2"/>
      <c r="I218" s="2"/>
      <c r="J218" s="2"/>
      <c r="K218" s="2"/>
      <c r="L218" s="2"/>
      <c r="M218" s="2"/>
      <c r="N218" s="2"/>
      <c r="O218" s="2"/>
      <c r="P218" s="2"/>
      <c r="Q218" s="2"/>
      <c r="R218" s="2"/>
      <c r="S218" s="2"/>
      <c r="T218" s="2"/>
      <c r="U218" s="2"/>
      <c r="V218" s="2"/>
      <c r="W218" s="2"/>
    </row>
    <row r="219">
      <c r="A219" s="2"/>
      <c r="B219" s="2"/>
      <c r="C219" s="2"/>
      <c r="D219" s="2"/>
      <c r="E219" s="2"/>
      <c r="F219" s="2"/>
      <c r="G219" s="2"/>
      <c r="H219" s="2"/>
      <c r="I219" s="2"/>
      <c r="J219" s="2"/>
      <c r="K219" s="2"/>
      <c r="L219" s="2"/>
      <c r="M219" s="2"/>
      <c r="N219" s="2"/>
      <c r="O219" s="2"/>
      <c r="P219" s="2"/>
      <c r="Q219" s="2"/>
      <c r="R219" s="2"/>
      <c r="S219" s="2"/>
      <c r="T219" s="2"/>
      <c r="U219" s="2"/>
      <c r="V219" s="2"/>
      <c r="W219" s="2"/>
    </row>
    <row r="220">
      <c r="A220" s="2"/>
      <c r="B220" s="2"/>
      <c r="C220" s="2"/>
      <c r="D220" s="2"/>
      <c r="E220" s="2"/>
      <c r="F220" s="2"/>
      <c r="G220" s="2"/>
      <c r="H220" s="2"/>
      <c r="I220" s="2"/>
      <c r="J220" s="2"/>
      <c r="K220" s="2"/>
      <c r="L220" s="2"/>
      <c r="M220" s="2"/>
      <c r="N220" s="2"/>
      <c r="O220" s="2"/>
      <c r="P220" s="2"/>
      <c r="Q220" s="2"/>
      <c r="R220" s="2"/>
      <c r="S220" s="2"/>
      <c r="T220" s="2"/>
      <c r="U220" s="2"/>
      <c r="V220" s="2"/>
      <c r="W220" s="2"/>
    </row>
    <row r="221">
      <c r="A221" s="2"/>
      <c r="B221" s="2"/>
      <c r="C221" s="2"/>
      <c r="D221" s="2"/>
      <c r="E221" s="2"/>
      <c r="F221" s="2"/>
      <c r="G221" s="2"/>
      <c r="H221" s="2"/>
      <c r="I221" s="2"/>
      <c r="J221" s="2"/>
      <c r="K221" s="2"/>
      <c r="L221" s="2"/>
      <c r="M221" s="2"/>
      <c r="N221" s="2"/>
      <c r="O221" s="2"/>
      <c r="P221" s="2"/>
      <c r="Q221" s="2"/>
      <c r="R221" s="2"/>
      <c r="S221" s="2"/>
      <c r="T221" s="2"/>
      <c r="U221" s="2"/>
      <c r="V221" s="2"/>
      <c r="W221" s="2"/>
    </row>
    <row r="222">
      <c r="A222" s="2"/>
      <c r="B222" s="2"/>
      <c r="C222" s="2"/>
      <c r="D222" s="2"/>
      <c r="E222" s="2"/>
      <c r="F222" s="2"/>
      <c r="G222" s="2"/>
      <c r="H222" s="2"/>
      <c r="I222" s="2"/>
      <c r="J222" s="2"/>
      <c r="K222" s="2"/>
      <c r="L222" s="2"/>
      <c r="M222" s="2"/>
      <c r="N222" s="2"/>
      <c r="O222" s="2"/>
      <c r="P222" s="2"/>
      <c r="Q222" s="2"/>
      <c r="R222" s="2"/>
      <c r="S222" s="2"/>
      <c r="T222" s="2"/>
      <c r="U222" s="2"/>
      <c r="V222" s="2"/>
      <c r="W222" s="2"/>
    </row>
    <row r="223">
      <c r="A223" s="2"/>
      <c r="B223" s="2"/>
      <c r="C223" s="2"/>
      <c r="D223" s="2"/>
      <c r="E223" s="2"/>
      <c r="F223" s="2"/>
      <c r="G223" s="2"/>
      <c r="H223" s="2"/>
      <c r="I223" s="2"/>
      <c r="J223" s="2"/>
      <c r="K223" s="2"/>
      <c r="L223" s="2"/>
      <c r="M223" s="2"/>
      <c r="N223" s="2"/>
      <c r="O223" s="2"/>
      <c r="P223" s="2"/>
      <c r="Q223" s="2"/>
      <c r="R223" s="2"/>
      <c r="S223" s="2"/>
      <c r="T223" s="2"/>
      <c r="U223" s="2"/>
      <c r="V223" s="2"/>
      <c r="W223" s="2"/>
    </row>
    <row r="224">
      <c r="A224" s="2"/>
      <c r="B224" s="2"/>
      <c r="C224" s="2"/>
      <c r="D224" s="2"/>
      <c r="E224" s="2"/>
      <c r="F224" s="2"/>
      <c r="G224" s="2"/>
      <c r="H224" s="2"/>
      <c r="I224" s="2"/>
      <c r="J224" s="2"/>
      <c r="K224" s="2"/>
      <c r="L224" s="2"/>
      <c r="M224" s="2"/>
      <c r="N224" s="2"/>
      <c r="O224" s="2"/>
      <c r="P224" s="2"/>
      <c r="Q224" s="2"/>
      <c r="R224" s="2"/>
      <c r="S224" s="2"/>
      <c r="T224" s="2"/>
      <c r="U224" s="2"/>
      <c r="V224" s="2"/>
      <c r="W224" s="2"/>
    </row>
    <row r="225">
      <c r="A225" s="2"/>
      <c r="B225" s="2"/>
      <c r="C225" s="2"/>
      <c r="D225" s="2"/>
      <c r="E225" s="2"/>
      <c r="F225" s="2"/>
      <c r="G225" s="2"/>
      <c r="H225" s="2"/>
      <c r="I225" s="2"/>
      <c r="J225" s="2"/>
      <c r="K225" s="2"/>
      <c r="L225" s="2"/>
      <c r="M225" s="2"/>
      <c r="N225" s="2"/>
      <c r="O225" s="2"/>
      <c r="P225" s="2"/>
      <c r="Q225" s="2"/>
      <c r="R225" s="2"/>
      <c r="S225" s="2"/>
      <c r="T225" s="2"/>
      <c r="U225" s="2"/>
      <c r="V225" s="2"/>
      <c r="W225" s="2"/>
    </row>
    <row r="226">
      <c r="A226" s="2"/>
      <c r="B226" s="2"/>
      <c r="C226" s="2"/>
      <c r="D226" s="2"/>
      <c r="E226" s="2"/>
      <c r="F226" s="2"/>
      <c r="G226" s="2"/>
      <c r="H226" s="2"/>
      <c r="I226" s="2"/>
      <c r="J226" s="2"/>
      <c r="K226" s="2"/>
      <c r="L226" s="2"/>
      <c r="M226" s="2"/>
      <c r="N226" s="2"/>
      <c r="O226" s="2"/>
      <c r="P226" s="2"/>
      <c r="Q226" s="2"/>
      <c r="R226" s="2"/>
      <c r="S226" s="2"/>
      <c r="T226" s="2"/>
      <c r="U226" s="2"/>
      <c r="V226" s="2"/>
      <c r="W226" s="2"/>
    </row>
    <row r="227">
      <c r="A227" s="2"/>
      <c r="B227" s="2"/>
      <c r="C227" s="2"/>
      <c r="D227" s="2"/>
      <c r="E227" s="2"/>
      <c r="F227" s="2"/>
      <c r="G227" s="2"/>
      <c r="H227" s="2"/>
      <c r="I227" s="2"/>
      <c r="J227" s="2"/>
      <c r="K227" s="2"/>
      <c r="L227" s="2"/>
      <c r="M227" s="2"/>
      <c r="N227" s="2"/>
      <c r="O227" s="2"/>
      <c r="P227" s="2"/>
      <c r="Q227" s="2"/>
      <c r="R227" s="2"/>
      <c r="S227" s="2"/>
      <c r="T227" s="2"/>
      <c r="U227" s="2"/>
      <c r="V227" s="2"/>
      <c r="W227" s="2"/>
    </row>
    <row r="228">
      <c r="A228" s="2"/>
      <c r="B228" s="2"/>
      <c r="C228" s="2"/>
      <c r="D228" s="2"/>
      <c r="E228" s="2"/>
      <c r="F228" s="2"/>
      <c r="G228" s="2"/>
      <c r="H228" s="2"/>
      <c r="I228" s="2"/>
      <c r="J228" s="2"/>
      <c r="K228" s="2"/>
      <c r="L228" s="2"/>
      <c r="M228" s="2"/>
      <c r="N228" s="2"/>
      <c r="O228" s="2"/>
      <c r="P228" s="2"/>
      <c r="Q228" s="2"/>
      <c r="R228" s="2"/>
      <c r="S228" s="2"/>
      <c r="T228" s="2"/>
      <c r="U228" s="2"/>
      <c r="V228" s="2"/>
      <c r="W228" s="2"/>
    </row>
    <row r="229">
      <c r="A229" s="2"/>
      <c r="B229" s="2"/>
      <c r="C229" s="2"/>
      <c r="D229" s="2"/>
      <c r="E229" s="2"/>
      <c r="F229" s="2"/>
      <c r="G229" s="2"/>
      <c r="H229" s="2"/>
      <c r="I229" s="2"/>
      <c r="J229" s="2"/>
      <c r="K229" s="2"/>
      <c r="L229" s="2"/>
      <c r="M229" s="2"/>
      <c r="N229" s="2"/>
      <c r="O229" s="2"/>
      <c r="P229" s="2"/>
      <c r="Q229" s="2"/>
      <c r="R229" s="2"/>
      <c r="S229" s="2"/>
      <c r="T229" s="2"/>
      <c r="U229" s="2"/>
      <c r="V229" s="2"/>
      <c r="W229" s="2"/>
    </row>
    <row r="230">
      <c r="A230" s="2"/>
      <c r="B230" s="2"/>
      <c r="C230" s="2"/>
      <c r="D230" s="2"/>
      <c r="E230" s="2"/>
      <c r="F230" s="2"/>
      <c r="G230" s="2"/>
      <c r="H230" s="2"/>
      <c r="I230" s="2"/>
      <c r="J230" s="2"/>
      <c r="K230" s="2"/>
      <c r="L230" s="2"/>
      <c r="M230" s="2"/>
      <c r="N230" s="2"/>
      <c r="O230" s="2"/>
      <c r="P230" s="2"/>
      <c r="Q230" s="2"/>
      <c r="R230" s="2"/>
      <c r="S230" s="2"/>
      <c r="T230" s="2"/>
      <c r="U230" s="2"/>
      <c r="V230" s="2"/>
      <c r="W230" s="2"/>
    </row>
    <row r="231">
      <c r="A231" s="2"/>
      <c r="B231" s="2"/>
      <c r="C231" s="2"/>
      <c r="D231" s="2"/>
      <c r="E231" s="2"/>
      <c r="F231" s="2"/>
      <c r="G231" s="2"/>
      <c r="H231" s="2"/>
      <c r="I231" s="2"/>
      <c r="J231" s="2"/>
      <c r="K231" s="2"/>
      <c r="L231" s="2"/>
      <c r="M231" s="2"/>
      <c r="N231" s="2"/>
      <c r="O231" s="2"/>
      <c r="P231" s="2"/>
      <c r="Q231" s="2"/>
      <c r="R231" s="2"/>
      <c r="S231" s="2"/>
      <c r="T231" s="2"/>
      <c r="U231" s="2"/>
      <c r="V231" s="2"/>
      <c r="W231" s="2"/>
    </row>
    <row r="232">
      <c r="A232" s="2"/>
      <c r="B232" s="2"/>
      <c r="C232" s="2"/>
      <c r="D232" s="2"/>
      <c r="E232" s="2"/>
      <c r="F232" s="2"/>
      <c r="G232" s="2"/>
      <c r="H232" s="2"/>
      <c r="I232" s="2"/>
      <c r="J232" s="2"/>
      <c r="K232" s="2"/>
      <c r="L232" s="2"/>
      <c r="M232" s="2"/>
      <c r="N232" s="2"/>
      <c r="O232" s="2"/>
      <c r="P232" s="2"/>
      <c r="Q232" s="2"/>
      <c r="R232" s="2"/>
      <c r="S232" s="2"/>
      <c r="T232" s="2"/>
      <c r="U232" s="2"/>
      <c r="V232" s="2"/>
      <c r="W232" s="2"/>
    </row>
    <row r="233">
      <c r="A233" s="2"/>
      <c r="B233" s="2"/>
      <c r="C233" s="2"/>
      <c r="D233" s="2"/>
      <c r="E233" s="2"/>
      <c r="F233" s="2"/>
      <c r="G233" s="2"/>
      <c r="H233" s="2"/>
      <c r="I233" s="2"/>
      <c r="J233" s="2"/>
      <c r="K233" s="2"/>
      <c r="L233" s="2"/>
      <c r="M233" s="2"/>
      <c r="N233" s="2"/>
      <c r="O233" s="2"/>
      <c r="P233" s="2"/>
      <c r="Q233" s="2"/>
      <c r="R233" s="2"/>
      <c r="S233" s="2"/>
      <c r="T233" s="2"/>
      <c r="U233" s="2"/>
      <c r="V233" s="2"/>
      <c r="W233" s="2"/>
    </row>
    <row r="234">
      <c r="A234" s="2"/>
      <c r="B234" s="2"/>
      <c r="C234" s="2"/>
      <c r="D234" s="2"/>
      <c r="E234" s="2"/>
      <c r="F234" s="2"/>
      <c r="G234" s="2"/>
      <c r="H234" s="2"/>
      <c r="I234" s="2"/>
      <c r="J234" s="2"/>
      <c r="K234" s="2"/>
      <c r="L234" s="2"/>
      <c r="M234" s="2"/>
      <c r="N234" s="2"/>
      <c r="O234" s="2"/>
      <c r="P234" s="2"/>
      <c r="Q234" s="2"/>
      <c r="R234" s="2"/>
      <c r="S234" s="2"/>
      <c r="T234" s="2"/>
      <c r="U234" s="2"/>
      <c r="V234" s="2"/>
      <c r="W234" s="2"/>
    </row>
    <row r="235">
      <c r="A235" s="2"/>
      <c r="B235" s="2"/>
      <c r="C235" s="2"/>
      <c r="D235" s="2"/>
      <c r="E235" s="2"/>
      <c r="F235" s="2"/>
      <c r="G235" s="2"/>
      <c r="H235" s="2"/>
      <c r="I235" s="2"/>
      <c r="J235" s="2"/>
      <c r="K235" s="2"/>
      <c r="L235" s="2"/>
      <c r="M235" s="2"/>
      <c r="N235" s="2"/>
      <c r="O235" s="2"/>
      <c r="P235" s="2"/>
      <c r="Q235" s="2"/>
      <c r="R235" s="2"/>
      <c r="S235" s="2"/>
      <c r="T235" s="2"/>
      <c r="U235" s="2"/>
      <c r="V235" s="2"/>
      <c r="W235" s="2"/>
    </row>
    <row r="236">
      <c r="A236" s="2"/>
      <c r="B236" s="2"/>
      <c r="C236" s="2"/>
      <c r="D236" s="2"/>
      <c r="E236" s="2"/>
      <c r="F236" s="2"/>
      <c r="G236" s="2"/>
      <c r="H236" s="2"/>
      <c r="I236" s="2"/>
      <c r="J236" s="2"/>
      <c r="K236" s="2"/>
      <c r="L236" s="2"/>
      <c r="M236" s="2"/>
      <c r="N236" s="2"/>
      <c r="O236" s="2"/>
      <c r="P236" s="2"/>
      <c r="Q236" s="2"/>
      <c r="R236" s="2"/>
      <c r="S236" s="2"/>
      <c r="T236" s="2"/>
      <c r="U236" s="2"/>
      <c r="V236" s="2"/>
      <c r="W236" s="2"/>
    </row>
    <row r="237">
      <c r="A237" s="2"/>
      <c r="B237" s="2"/>
      <c r="C237" s="2"/>
      <c r="D237" s="2"/>
      <c r="E237" s="2"/>
      <c r="F237" s="2"/>
      <c r="G237" s="2"/>
      <c r="H237" s="2"/>
      <c r="I237" s="2"/>
      <c r="J237" s="2"/>
      <c r="K237" s="2"/>
      <c r="L237" s="2"/>
      <c r="M237" s="2"/>
      <c r="N237" s="2"/>
      <c r="O237" s="2"/>
      <c r="P237" s="2"/>
      <c r="Q237" s="2"/>
      <c r="R237" s="2"/>
      <c r="S237" s="2"/>
      <c r="T237" s="2"/>
      <c r="U237" s="2"/>
      <c r="V237" s="2"/>
      <c r="W237" s="2"/>
    </row>
    <row r="238">
      <c r="A238" s="2"/>
      <c r="B238" s="2"/>
      <c r="C238" s="2"/>
      <c r="D238" s="2"/>
      <c r="E238" s="2"/>
      <c r="F238" s="2"/>
      <c r="G238" s="2"/>
      <c r="H238" s="2"/>
      <c r="I238" s="2"/>
      <c r="J238" s="2"/>
      <c r="K238" s="2"/>
      <c r="L238" s="2"/>
      <c r="M238" s="2"/>
      <c r="N238" s="2"/>
      <c r="O238" s="2"/>
      <c r="P238" s="2"/>
      <c r="Q238" s="2"/>
      <c r="R238" s="2"/>
      <c r="S238" s="2"/>
      <c r="T238" s="2"/>
      <c r="U238" s="2"/>
      <c r="V238" s="2"/>
      <c r="W238" s="2"/>
    </row>
    <row r="239">
      <c r="A239" s="2"/>
      <c r="B239" s="2"/>
      <c r="C239" s="2"/>
      <c r="D239" s="2"/>
      <c r="E239" s="2"/>
      <c r="F239" s="2"/>
      <c r="G239" s="2"/>
      <c r="H239" s="2"/>
      <c r="I239" s="2"/>
      <c r="J239" s="2"/>
      <c r="K239" s="2"/>
      <c r="L239" s="2"/>
      <c r="M239" s="2"/>
      <c r="N239" s="2"/>
      <c r="O239" s="2"/>
      <c r="P239" s="2"/>
      <c r="Q239" s="2"/>
      <c r="R239" s="2"/>
      <c r="S239" s="2"/>
      <c r="T239" s="2"/>
      <c r="U239" s="2"/>
      <c r="V239" s="2"/>
      <c r="W239" s="2"/>
    </row>
    <row r="240">
      <c r="A240" s="2"/>
      <c r="B240" s="2"/>
      <c r="C240" s="2"/>
      <c r="D240" s="2"/>
      <c r="E240" s="2"/>
      <c r="F240" s="2"/>
      <c r="G240" s="2"/>
      <c r="H240" s="2"/>
      <c r="I240" s="2"/>
      <c r="J240" s="2"/>
      <c r="K240" s="2"/>
      <c r="L240" s="2"/>
      <c r="M240" s="2"/>
      <c r="N240" s="2"/>
      <c r="O240" s="2"/>
      <c r="P240" s="2"/>
      <c r="Q240" s="2"/>
      <c r="R240" s="2"/>
      <c r="S240" s="2"/>
      <c r="T240" s="2"/>
      <c r="U240" s="2"/>
      <c r="V240" s="2"/>
      <c r="W240" s="2"/>
    </row>
    <row r="241">
      <c r="A241" s="2"/>
      <c r="B241" s="2"/>
      <c r="C241" s="2"/>
      <c r="D241" s="2"/>
      <c r="E241" s="2"/>
      <c r="F241" s="2"/>
      <c r="G241" s="2"/>
      <c r="H241" s="2"/>
      <c r="I241" s="2"/>
      <c r="J241" s="2"/>
      <c r="K241" s="2"/>
      <c r="L241" s="2"/>
      <c r="M241" s="2"/>
      <c r="N241" s="2"/>
      <c r="O241" s="2"/>
      <c r="P241" s="2"/>
      <c r="Q241" s="2"/>
      <c r="R241" s="2"/>
      <c r="S241" s="2"/>
      <c r="T241" s="2"/>
      <c r="U241" s="2"/>
      <c r="V241" s="2"/>
      <c r="W241" s="2"/>
    </row>
    <row r="242">
      <c r="A242" s="2"/>
      <c r="B242" s="2"/>
      <c r="C242" s="2"/>
      <c r="D242" s="2"/>
      <c r="E242" s="2"/>
      <c r="F242" s="2"/>
      <c r="G242" s="2"/>
      <c r="H242" s="2"/>
      <c r="I242" s="2"/>
      <c r="J242" s="2"/>
      <c r="K242" s="2"/>
      <c r="L242" s="2"/>
      <c r="M242" s="2"/>
      <c r="N242" s="2"/>
      <c r="O242" s="2"/>
      <c r="P242" s="2"/>
      <c r="Q242" s="2"/>
      <c r="R242" s="2"/>
      <c r="S242" s="2"/>
      <c r="T242" s="2"/>
      <c r="U242" s="2"/>
      <c r="V242" s="2"/>
      <c r="W242" s="2"/>
    </row>
    <row r="243">
      <c r="A243" s="2"/>
      <c r="B243" s="2"/>
      <c r="C243" s="2"/>
      <c r="D243" s="2"/>
      <c r="E243" s="2"/>
      <c r="F243" s="2"/>
      <c r="G243" s="2"/>
      <c r="H243" s="2"/>
      <c r="I243" s="2"/>
      <c r="J243" s="2"/>
      <c r="K243" s="2"/>
      <c r="L243" s="2"/>
      <c r="M243" s="2"/>
      <c r="N243" s="2"/>
      <c r="O243" s="2"/>
      <c r="P243" s="2"/>
      <c r="Q243" s="2"/>
      <c r="R243" s="2"/>
      <c r="S243" s="2"/>
      <c r="T243" s="2"/>
      <c r="U243" s="2"/>
      <c r="V243" s="2"/>
      <c r="W243" s="2"/>
    </row>
    <row r="244">
      <c r="A244" s="2"/>
      <c r="B244" s="2"/>
      <c r="C244" s="2"/>
      <c r="D244" s="2"/>
      <c r="E244" s="2"/>
      <c r="F244" s="2"/>
      <c r="G244" s="2"/>
      <c r="H244" s="2"/>
      <c r="I244" s="2"/>
      <c r="J244" s="2"/>
      <c r="K244" s="2"/>
      <c r="L244" s="2"/>
      <c r="M244" s="2"/>
      <c r="N244" s="2"/>
      <c r="O244" s="2"/>
      <c r="P244" s="2"/>
      <c r="Q244" s="2"/>
      <c r="R244" s="2"/>
      <c r="S244" s="2"/>
      <c r="T244" s="2"/>
      <c r="U244" s="2"/>
      <c r="V244" s="2"/>
      <c r="W244" s="2"/>
    </row>
    <row r="245">
      <c r="A245" s="2"/>
      <c r="B245" s="2"/>
      <c r="C245" s="2"/>
      <c r="D245" s="2"/>
      <c r="E245" s="2"/>
      <c r="F245" s="2"/>
      <c r="G245" s="2"/>
      <c r="H245" s="2"/>
      <c r="I245" s="2"/>
      <c r="J245" s="2"/>
      <c r="K245" s="2"/>
      <c r="L245" s="2"/>
      <c r="M245" s="2"/>
      <c r="N245" s="2"/>
      <c r="O245" s="2"/>
      <c r="P245" s="2"/>
      <c r="Q245" s="2"/>
      <c r="R245" s="2"/>
      <c r="S245" s="2"/>
      <c r="T245" s="2"/>
      <c r="U245" s="2"/>
      <c r="V245" s="2"/>
      <c r="W245" s="2"/>
    </row>
    <row r="246">
      <c r="A246" s="2"/>
      <c r="B246" s="2"/>
      <c r="C246" s="2"/>
      <c r="D246" s="2"/>
      <c r="E246" s="2"/>
      <c r="F246" s="2"/>
      <c r="G246" s="2"/>
      <c r="H246" s="2"/>
      <c r="I246" s="2"/>
      <c r="J246" s="2"/>
      <c r="K246" s="2"/>
      <c r="L246" s="2"/>
      <c r="M246" s="2"/>
      <c r="N246" s="2"/>
      <c r="O246" s="2"/>
      <c r="P246" s="2"/>
      <c r="Q246" s="2"/>
      <c r="R246" s="2"/>
      <c r="S246" s="2"/>
      <c r="T246" s="2"/>
      <c r="U246" s="2"/>
      <c r="V246" s="2"/>
      <c r="W246" s="2"/>
    </row>
    <row r="247">
      <c r="A247" s="2"/>
      <c r="B247" s="2"/>
      <c r="C247" s="2"/>
      <c r="D247" s="2"/>
      <c r="E247" s="2"/>
      <c r="F247" s="2"/>
      <c r="G247" s="2"/>
      <c r="H247" s="2"/>
      <c r="I247" s="2"/>
      <c r="J247" s="2"/>
      <c r="K247" s="2"/>
      <c r="L247" s="2"/>
      <c r="M247" s="2"/>
      <c r="N247" s="2"/>
      <c r="O247" s="2"/>
      <c r="P247" s="2"/>
      <c r="Q247" s="2"/>
      <c r="R247" s="2"/>
      <c r="S247" s="2"/>
      <c r="T247" s="2"/>
      <c r="U247" s="2"/>
      <c r="V247" s="2"/>
      <c r="W247" s="2"/>
    </row>
    <row r="248">
      <c r="A248" s="2"/>
      <c r="B248" s="2"/>
      <c r="C248" s="2"/>
      <c r="D248" s="2"/>
      <c r="E248" s="2"/>
      <c r="F248" s="2"/>
      <c r="G248" s="2"/>
      <c r="H248" s="2"/>
      <c r="I248" s="2"/>
      <c r="J248" s="2"/>
      <c r="K248" s="2"/>
      <c r="L248" s="2"/>
      <c r="M248" s="2"/>
      <c r="N248" s="2"/>
      <c r="O248" s="2"/>
      <c r="P248" s="2"/>
      <c r="Q248" s="2"/>
      <c r="R248" s="2"/>
      <c r="S248" s="2"/>
      <c r="T248" s="2"/>
      <c r="U248" s="2"/>
      <c r="V248" s="2"/>
      <c r="W248" s="2"/>
    </row>
    <row r="249">
      <c r="A249" s="2"/>
      <c r="B249" s="2"/>
      <c r="C249" s="2"/>
      <c r="D249" s="2"/>
      <c r="E249" s="2"/>
      <c r="F249" s="2"/>
      <c r="G249" s="2"/>
      <c r="H249" s="2"/>
      <c r="I249" s="2"/>
      <c r="J249" s="2"/>
      <c r="K249" s="2"/>
      <c r="L249" s="2"/>
      <c r="M249" s="2"/>
      <c r="N249" s="2"/>
      <c r="O249" s="2"/>
      <c r="P249" s="2"/>
      <c r="Q249" s="2"/>
      <c r="R249" s="2"/>
      <c r="S249" s="2"/>
      <c r="T249" s="2"/>
      <c r="U249" s="2"/>
      <c r="V249" s="2"/>
      <c r="W249" s="2"/>
    </row>
    <row r="250">
      <c r="A250" s="2"/>
      <c r="B250" s="2"/>
      <c r="C250" s="2"/>
      <c r="D250" s="2"/>
      <c r="E250" s="2"/>
      <c r="F250" s="2"/>
      <c r="G250" s="2"/>
      <c r="H250" s="2"/>
      <c r="I250" s="2"/>
      <c r="J250" s="2"/>
      <c r="K250" s="2"/>
      <c r="L250" s="2"/>
      <c r="M250" s="2"/>
      <c r="N250" s="2"/>
      <c r="O250" s="2"/>
      <c r="P250" s="2"/>
      <c r="Q250" s="2"/>
      <c r="R250" s="2"/>
      <c r="S250" s="2"/>
      <c r="T250" s="2"/>
      <c r="U250" s="2"/>
      <c r="V250" s="2"/>
      <c r="W250" s="2"/>
    </row>
    <row r="251">
      <c r="A251" s="2"/>
      <c r="B251" s="2"/>
      <c r="C251" s="2"/>
      <c r="D251" s="2"/>
      <c r="E251" s="2"/>
      <c r="F251" s="2"/>
      <c r="G251" s="2"/>
      <c r="H251" s="2"/>
      <c r="I251" s="2"/>
      <c r="J251" s="2"/>
      <c r="K251" s="2"/>
      <c r="L251" s="2"/>
      <c r="M251" s="2"/>
      <c r="N251" s="2"/>
      <c r="O251" s="2"/>
      <c r="P251" s="2"/>
      <c r="Q251" s="2"/>
      <c r="R251" s="2"/>
      <c r="S251" s="2"/>
      <c r="T251" s="2"/>
      <c r="U251" s="2"/>
      <c r="V251" s="2"/>
      <c r="W251" s="2"/>
    </row>
    <row r="252">
      <c r="A252" s="2"/>
      <c r="B252" s="2"/>
      <c r="C252" s="2"/>
      <c r="D252" s="2"/>
      <c r="E252" s="2"/>
      <c r="F252" s="2"/>
      <c r="G252" s="2"/>
      <c r="H252" s="2"/>
      <c r="I252" s="2"/>
      <c r="J252" s="2"/>
      <c r="K252" s="2"/>
      <c r="L252" s="2"/>
      <c r="M252" s="2"/>
      <c r="N252" s="2"/>
      <c r="O252" s="2"/>
      <c r="P252" s="2"/>
      <c r="Q252" s="2"/>
      <c r="R252" s="2"/>
      <c r="S252" s="2"/>
      <c r="T252" s="2"/>
      <c r="U252" s="2"/>
      <c r="V252" s="2"/>
      <c r="W252" s="2"/>
    </row>
    <row r="253">
      <c r="A253" s="2"/>
      <c r="B253" s="2"/>
      <c r="C253" s="2"/>
      <c r="D253" s="2"/>
      <c r="E253" s="2"/>
      <c r="F253" s="2"/>
      <c r="G253" s="2"/>
      <c r="H253" s="2"/>
      <c r="I253" s="2"/>
      <c r="J253" s="2"/>
      <c r="K253" s="2"/>
      <c r="L253" s="2"/>
      <c r="M253" s="2"/>
      <c r="N253" s="2"/>
      <c r="O253" s="2"/>
      <c r="P253" s="2"/>
      <c r="Q253" s="2"/>
      <c r="R253" s="2"/>
      <c r="S253" s="2"/>
      <c r="T253" s="2"/>
      <c r="U253" s="2"/>
      <c r="V253" s="2"/>
      <c r="W253" s="2"/>
    </row>
    <row r="254">
      <c r="A254" s="2"/>
      <c r="B254" s="2"/>
      <c r="C254" s="2"/>
      <c r="D254" s="2"/>
      <c r="E254" s="2"/>
      <c r="F254" s="2"/>
      <c r="G254" s="2"/>
      <c r="H254" s="2"/>
      <c r="I254" s="2"/>
      <c r="J254" s="2"/>
      <c r="K254" s="2"/>
      <c r="L254" s="2"/>
      <c r="M254" s="2"/>
      <c r="N254" s="2"/>
      <c r="O254" s="2"/>
      <c r="P254" s="2"/>
      <c r="Q254" s="2"/>
      <c r="R254" s="2"/>
      <c r="S254" s="2"/>
      <c r="T254" s="2"/>
      <c r="U254" s="2"/>
      <c r="V254" s="2"/>
      <c r="W254" s="2"/>
    </row>
    <row r="255">
      <c r="A255" s="2"/>
      <c r="B255" s="2"/>
      <c r="C255" s="2"/>
      <c r="D255" s="2"/>
      <c r="E255" s="2"/>
      <c r="F255" s="2"/>
      <c r="G255" s="2"/>
      <c r="H255" s="2"/>
      <c r="I255" s="2"/>
      <c r="J255" s="2"/>
      <c r="K255" s="2"/>
      <c r="L255" s="2"/>
      <c r="M255" s="2"/>
      <c r="N255" s="2"/>
      <c r="O255" s="2"/>
      <c r="P255" s="2"/>
      <c r="Q255" s="2"/>
      <c r="R255" s="2"/>
      <c r="S255" s="2"/>
      <c r="T255" s="2"/>
      <c r="U255" s="2"/>
      <c r="V255" s="2"/>
      <c r="W255" s="2"/>
    </row>
    <row r="256">
      <c r="A256" s="2"/>
      <c r="B256" s="2"/>
      <c r="C256" s="2"/>
      <c r="D256" s="2"/>
      <c r="E256" s="2"/>
      <c r="F256" s="2"/>
      <c r="G256" s="2"/>
      <c r="H256" s="2"/>
      <c r="I256" s="2"/>
      <c r="J256" s="2"/>
      <c r="K256" s="2"/>
      <c r="L256" s="2"/>
      <c r="M256" s="2"/>
      <c r="N256" s="2"/>
      <c r="O256" s="2"/>
      <c r="P256" s="2"/>
      <c r="Q256" s="2"/>
      <c r="R256" s="2"/>
      <c r="S256" s="2"/>
      <c r="T256" s="2"/>
      <c r="U256" s="2"/>
      <c r="V256" s="2"/>
      <c r="W256" s="2"/>
    </row>
    <row r="257">
      <c r="A257" s="2"/>
      <c r="B257" s="2"/>
      <c r="C257" s="2"/>
      <c r="D257" s="2"/>
      <c r="E257" s="2"/>
      <c r="F257" s="2"/>
      <c r="G257" s="2"/>
      <c r="H257" s="2"/>
      <c r="I257" s="2"/>
      <c r="J257" s="2"/>
      <c r="K257" s="2"/>
      <c r="L257" s="2"/>
      <c r="M257" s="2"/>
      <c r="N257" s="2"/>
      <c r="O257" s="2"/>
      <c r="P257" s="2"/>
      <c r="Q257" s="2"/>
      <c r="R257" s="2"/>
      <c r="S257" s="2"/>
      <c r="T257" s="2"/>
      <c r="U257" s="2"/>
      <c r="V257" s="2"/>
      <c r="W257" s="2"/>
    </row>
    <row r="258">
      <c r="A258" s="2"/>
      <c r="B258" s="2"/>
      <c r="C258" s="2"/>
      <c r="D258" s="2"/>
      <c r="E258" s="2"/>
      <c r="F258" s="2"/>
      <c r="G258" s="2"/>
      <c r="H258" s="2"/>
      <c r="I258" s="2"/>
      <c r="J258" s="2"/>
      <c r="K258" s="2"/>
      <c r="L258" s="2"/>
      <c r="M258" s="2"/>
      <c r="N258" s="2"/>
      <c r="O258" s="2"/>
      <c r="P258" s="2"/>
      <c r="Q258" s="2"/>
      <c r="R258" s="2"/>
      <c r="S258" s="2"/>
      <c r="T258" s="2"/>
      <c r="U258" s="2"/>
      <c r="V258" s="2"/>
      <c r="W258" s="2"/>
    </row>
    <row r="259">
      <c r="A259" s="2"/>
      <c r="B259" s="2"/>
      <c r="C259" s="2"/>
      <c r="D259" s="2"/>
      <c r="E259" s="2"/>
      <c r="F259" s="2"/>
      <c r="G259" s="2"/>
      <c r="H259" s="2"/>
      <c r="I259" s="2"/>
      <c r="J259" s="2"/>
      <c r="K259" s="2"/>
      <c r="L259" s="2"/>
      <c r="M259" s="2"/>
      <c r="N259" s="2"/>
      <c r="O259" s="2"/>
      <c r="P259" s="2"/>
      <c r="Q259" s="2"/>
      <c r="R259" s="2"/>
      <c r="S259" s="2"/>
      <c r="T259" s="2"/>
      <c r="U259" s="2"/>
      <c r="V259" s="2"/>
      <c r="W259" s="2"/>
    </row>
    <row r="260">
      <c r="A260" s="2"/>
      <c r="B260" s="2"/>
      <c r="C260" s="2"/>
      <c r="D260" s="2"/>
      <c r="E260" s="2"/>
      <c r="F260" s="2"/>
      <c r="G260" s="2"/>
      <c r="H260" s="2"/>
      <c r="I260" s="2"/>
      <c r="J260" s="2"/>
      <c r="K260" s="2"/>
      <c r="L260" s="2"/>
      <c r="M260" s="2"/>
      <c r="N260" s="2"/>
      <c r="O260" s="2"/>
      <c r="P260" s="2"/>
      <c r="Q260" s="2"/>
      <c r="R260" s="2"/>
      <c r="S260" s="2"/>
      <c r="T260" s="2"/>
      <c r="U260" s="2"/>
      <c r="V260" s="2"/>
      <c r="W260" s="2"/>
    </row>
    <row r="261">
      <c r="A261" s="2"/>
      <c r="B261" s="2"/>
      <c r="C261" s="2"/>
      <c r="D261" s="2"/>
      <c r="E261" s="2"/>
      <c r="F261" s="2"/>
      <c r="G261" s="2"/>
      <c r="H261" s="2"/>
      <c r="I261" s="2"/>
      <c r="J261" s="2"/>
      <c r="K261" s="2"/>
      <c r="L261" s="2"/>
      <c r="M261" s="2"/>
      <c r="N261" s="2"/>
      <c r="O261" s="2"/>
      <c r="P261" s="2"/>
      <c r="Q261" s="2"/>
      <c r="R261" s="2"/>
      <c r="S261" s="2"/>
      <c r="T261" s="2"/>
      <c r="U261" s="2"/>
      <c r="V261" s="2"/>
      <c r="W261" s="2"/>
    </row>
    <row r="262">
      <c r="A262" s="2"/>
      <c r="B262" s="2"/>
      <c r="C262" s="2"/>
      <c r="D262" s="2"/>
      <c r="E262" s="2"/>
      <c r="F262" s="2"/>
      <c r="G262" s="2"/>
      <c r="H262" s="2"/>
      <c r="I262" s="2"/>
      <c r="J262" s="2"/>
      <c r="K262" s="2"/>
      <c r="L262" s="2"/>
      <c r="M262" s="2"/>
      <c r="N262" s="2"/>
      <c r="O262" s="2"/>
      <c r="P262" s="2"/>
      <c r="Q262" s="2"/>
      <c r="R262" s="2"/>
      <c r="S262" s="2"/>
      <c r="T262" s="2"/>
      <c r="U262" s="2"/>
      <c r="V262" s="2"/>
      <c r="W262" s="2"/>
    </row>
    <row r="263">
      <c r="A263" s="2"/>
      <c r="B263" s="2"/>
      <c r="C263" s="2"/>
      <c r="D263" s="2"/>
      <c r="E263" s="2"/>
      <c r="F263" s="2"/>
      <c r="G263" s="2"/>
      <c r="H263" s="2"/>
      <c r="I263" s="2"/>
      <c r="J263" s="2"/>
      <c r="K263" s="2"/>
      <c r="L263" s="2"/>
      <c r="M263" s="2"/>
      <c r="N263" s="2"/>
      <c r="O263" s="2"/>
      <c r="P263" s="2"/>
      <c r="Q263" s="2"/>
      <c r="R263" s="2"/>
      <c r="S263" s="2"/>
      <c r="T263" s="2"/>
      <c r="U263" s="2"/>
      <c r="V263" s="2"/>
      <c r="W263" s="2"/>
    </row>
    <row r="264">
      <c r="A264" s="2"/>
      <c r="B264" s="2"/>
      <c r="C264" s="2"/>
      <c r="D264" s="2"/>
      <c r="E264" s="2"/>
      <c r="F264" s="2"/>
      <c r="G264" s="2"/>
      <c r="H264" s="2"/>
      <c r="I264" s="2"/>
      <c r="J264" s="2"/>
      <c r="K264" s="2"/>
      <c r="L264" s="2"/>
      <c r="M264" s="2"/>
      <c r="N264" s="2"/>
      <c r="O264" s="2"/>
      <c r="P264" s="2"/>
      <c r="Q264" s="2"/>
      <c r="R264" s="2"/>
      <c r="S264" s="2"/>
      <c r="T264" s="2"/>
      <c r="U264" s="2"/>
      <c r="V264" s="2"/>
      <c r="W264" s="2"/>
    </row>
    <row r="265">
      <c r="A265" s="2"/>
      <c r="B265" s="2"/>
      <c r="C265" s="2"/>
      <c r="D265" s="2"/>
      <c r="E265" s="2"/>
      <c r="F265" s="2"/>
      <c r="G265" s="2"/>
      <c r="H265" s="2"/>
      <c r="I265" s="2"/>
      <c r="J265" s="2"/>
      <c r="K265" s="2"/>
      <c r="L265" s="2"/>
      <c r="M265" s="2"/>
      <c r="N265" s="2"/>
      <c r="O265" s="2"/>
      <c r="P265" s="2"/>
      <c r="Q265" s="2"/>
      <c r="R265" s="2"/>
      <c r="S265" s="2"/>
      <c r="T265" s="2"/>
      <c r="U265" s="2"/>
      <c r="V265" s="2"/>
      <c r="W265" s="2"/>
    </row>
    <row r="266">
      <c r="A266" s="2"/>
      <c r="B266" s="2"/>
      <c r="C266" s="2"/>
      <c r="D266" s="2"/>
      <c r="E266" s="2"/>
      <c r="F266" s="2"/>
      <c r="G266" s="2"/>
      <c r="H266" s="2"/>
      <c r="I266" s="2"/>
      <c r="J266" s="2"/>
      <c r="K266" s="2"/>
      <c r="L266" s="2"/>
      <c r="M266" s="2"/>
      <c r="N266" s="2"/>
      <c r="O266" s="2"/>
      <c r="P266" s="2"/>
      <c r="Q266" s="2"/>
      <c r="R266" s="2"/>
      <c r="S266" s="2"/>
      <c r="T266" s="2"/>
      <c r="U266" s="2"/>
      <c r="V266" s="2"/>
      <c r="W266" s="2"/>
    </row>
    <row r="267">
      <c r="A267" s="2"/>
      <c r="B267" s="2"/>
      <c r="C267" s="2"/>
      <c r="D267" s="2"/>
      <c r="E267" s="2"/>
      <c r="F267" s="2"/>
      <c r="G267" s="2"/>
      <c r="H267" s="2"/>
      <c r="I267" s="2"/>
      <c r="J267" s="2"/>
      <c r="K267" s="2"/>
      <c r="L267" s="2"/>
      <c r="M267" s="2"/>
      <c r="N267" s="2"/>
      <c r="O267" s="2"/>
      <c r="P267" s="2"/>
      <c r="Q267" s="2"/>
      <c r="R267" s="2"/>
      <c r="S267" s="2"/>
      <c r="T267" s="2"/>
      <c r="U267" s="2"/>
      <c r="V267" s="2"/>
      <c r="W267" s="2"/>
    </row>
    <row r="268">
      <c r="A268" s="2"/>
      <c r="B268" s="2"/>
      <c r="C268" s="2"/>
      <c r="D268" s="2"/>
      <c r="E268" s="2"/>
      <c r="F268" s="2"/>
      <c r="G268" s="2"/>
      <c r="H268" s="2"/>
      <c r="I268" s="2"/>
      <c r="J268" s="2"/>
      <c r="K268" s="2"/>
      <c r="L268" s="2"/>
      <c r="M268" s="2"/>
      <c r="N268" s="2"/>
      <c r="O268" s="2"/>
      <c r="P268" s="2"/>
      <c r="Q268" s="2"/>
      <c r="R268" s="2"/>
      <c r="S268" s="2"/>
      <c r="T268" s="2"/>
      <c r="U268" s="2"/>
      <c r="V268" s="2"/>
      <c r="W268" s="2"/>
    </row>
    <row r="269">
      <c r="A269" s="2"/>
      <c r="B269" s="2"/>
      <c r="C269" s="2"/>
      <c r="D269" s="2"/>
      <c r="E269" s="2"/>
      <c r="F269" s="2"/>
      <c r="G269" s="2"/>
      <c r="H269" s="2"/>
      <c r="I269" s="2"/>
      <c r="J269" s="2"/>
      <c r="K269" s="2"/>
      <c r="L269" s="2"/>
      <c r="M269" s="2"/>
      <c r="N269" s="2"/>
      <c r="O269" s="2"/>
      <c r="P269" s="2"/>
      <c r="Q269" s="2"/>
      <c r="R269" s="2"/>
      <c r="S269" s="2"/>
      <c r="T269" s="2"/>
      <c r="U269" s="2"/>
      <c r="V269" s="2"/>
      <c r="W269" s="2"/>
    </row>
    <row r="270">
      <c r="A270" s="2"/>
      <c r="B270" s="2"/>
      <c r="C270" s="2"/>
      <c r="D270" s="2"/>
      <c r="E270" s="2"/>
      <c r="F270" s="2"/>
      <c r="G270" s="2"/>
      <c r="H270" s="2"/>
      <c r="I270" s="2"/>
      <c r="J270" s="2"/>
      <c r="K270" s="2"/>
      <c r="L270" s="2"/>
      <c r="M270" s="2"/>
      <c r="N270" s="2"/>
      <c r="O270" s="2"/>
      <c r="P270" s="2"/>
      <c r="Q270" s="2"/>
      <c r="R270" s="2"/>
      <c r="S270" s="2"/>
      <c r="T270" s="2"/>
      <c r="U270" s="2"/>
      <c r="V270" s="2"/>
      <c r="W270" s="2"/>
    </row>
    <row r="271">
      <c r="A271" s="2"/>
      <c r="B271" s="2"/>
      <c r="C271" s="2"/>
      <c r="D271" s="2"/>
      <c r="E271" s="2"/>
      <c r="F271" s="2"/>
      <c r="G271" s="2"/>
      <c r="H271" s="2"/>
      <c r="I271" s="2"/>
      <c r="J271" s="2"/>
      <c r="K271" s="2"/>
      <c r="L271" s="2"/>
      <c r="M271" s="2"/>
      <c r="N271" s="2"/>
      <c r="O271" s="2"/>
      <c r="P271" s="2"/>
      <c r="Q271" s="2"/>
      <c r="R271" s="2"/>
      <c r="S271" s="2"/>
      <c r="T271" s="2"/>
      <c r="U271" s="2"/>
      <c r="V271" s="2"/>
      <c r="W271" s="2"/>
    </row>
    <row r="272">
      <c r="A272" s="2"/>
      <c r="B272" s="2"/>
      <c r="C272" s="2"/>
      <c r="D272" s="2"/>
      <c r="E272" s="2"/>
      <c r="F272" s="2"/>
      <c r="G272" s="2"/>
      <c r="H272" s="2"/>
      <c r="I272" s="2"/>
      <c r="J272" s="2"/>
      <c r="K272" s="2"/>
      <c r="L272" s="2"/>
      <c r="M272" s="2"/>
      <c r="N272" s="2"/>
      <c r="O272" s="2"/>
      <c r="P272" s="2"/>
      <c r="Q272" s="2"/>
      <c r="R272" s="2"/>
      <c r="S272" s="2"/>
      <c r="T272" s="2"/>
      <c r="U272" s="2"/>
      <c r="V272" s="2"/>
      <c r="W272" s="2"/>
    </row>
    <row r="273">
      <c r="A273" s="2"/>
      <c r="B273" s="2"/>
      <c r="C273" s="2"/>
      <c r="D273" s="2"/>
      <c r="E273" s="2"/>
      <c r="F273" s="2"/>
      <c r="G273" s="2"/>
      <c r="H273" s="2"/>
      <c r="I273" s="2"/>
      <c r="J273" s="2"/>
      <c r="K273" s="2"/>
      <c r="L273" s="2"/>
      <c r="M273" s="2"/>
      <c r="N273" s="2"/>
      <c r="O273" s="2"/>
      <c r="P273" s="2"/>
      <c r="Q273" s="2"/>
      <c r="R273" s="2"/>
      <c r="S273" s="2"/>
      <c r="T273" s="2"/>
      <c r="U273" s="2"/>
      <c r="V273" s="2"/>
      <c r="W273" s="2"/>
    </row>
    <row r="274">
      <c r="A274" s="2"/>
      <c r="B274" s="2"/>
      <c r="C274" s="2"/>
      <c r="D274" s="2"/>
      <c r="E274" s="2"/>
      <c r="F274" s="2"/>
      <c r="G274" s="2"/>
      <c r="H274" s="2"/>
      <c r="I274" s="2"/>
      <c r="J274" s="2"/>
      <c r="K274" s="2"/>
      <c r="L274" s="2"/>
      <c r="M274" s="2"/>
      <c r="N274" s="2"/>
      <c r="O274" s="2"/>
      <c r="P274" s="2"/>
      <c r="Q274" s="2"/>
      <c r="R274" s="2"/>
      <c r="S274" s="2"/>
      <c r="T274" s="2"/>
      <c r="U274" s="2"/>
      <c r="V274" s="2"/>
      <c r="W274" s="2"/>
    </row>
    <row r="275">
      <c r="A275" s="2"/>
      <c r="B275" s="2"/>
      <c r="C275" s="2"/>
      <c r="D275" s="2"/>
      <c r="E275" s="2"/>
      <c r="F275" s="2"/>
      <c r="G275" s="2"/>
      <c r="H275" s="2"/>
      <c r="I275" s="2"/>
      <c r="J275" s="2"/>
      <c r="K275" s="2"/>
      <c r="L275" s="2"/>
      <c r="M275" s="2"/>
      <c r="N275" s="2"/>
      <c r="O275" s="2"/>
      <c r="P275" s="2"/>
      <c r="Q275" s="2"/>
      <c r="R275" s="2"/>
      <c r="S275" s="2"/>
      <c r="T275" s="2"/>
      <c r="U275" s="2"/>
      <c r="V275" s="2"/>
      <c r="W275" s="2"/>
    </row>
    <row r="276">
      <c r="A276" s="2"/>
      <c r="B276" s="2"/>
      <c r="C276" s="2"/>
      <c r="D276" s="2"/>
      <c r="E276" s="2"/>
      <c r="F276" s="2"/>
      <c r="G276" s="2"/>
      <c r="H276" s="2"/>
      <c r="I276" s="2"/>
      <c r="J276" s="2"/>
      <c r="K276" s="2"/>
      <c r="L276" s="2"/>
      <c r="M276" s="2"/>
      <c r="N276" s="2"/>
      <c r="O276" s="2"/>
      <c r="P276" s="2"/>
      <c r="Q276" s="2"/>
      <c r="R276" s="2"/>
      <c r="S276" s="2"/>
      <c r="T276" s="2"/>
      <c r="U276" s="2"/>
      <c r="V276" s="2"/>
      <c r="W276" s="2"/>
    </row>
    <row r="277">
      <c r="A277" s="2"/>
      <c r="B277" s="2"/>
      <c r="C277" s="2"/>
      <c r="D277" s="2"/>
      <c r="E277" s="2"/>
      <c r="F277" s="2"/>
      <c r="G277" s="2"/>
      <c r="H277" s="2"/>
      <c r="I277" s="2"/>
      <c r="J277" s="2"/>
      <c r="K277" s="2"/>
      <c r="L277" s="2"/>
      <c r="M277" s="2"/>
      <c r="N277" s="2"/>
      <c r="O277" s="2"/>
      <c r="P277" s="2"/>
      <c r="Q277" s="2"/>
      <c r="R277" s="2"/>
      <c r="S277" s="2"/>
      <c r="T277" s="2"/>
      <c r="U277" s="2"/>
      <c r="V277" s="2"/>
      <c r="W277" s="2"/>
    </row>
    <row r="278">
      <c r="A278" s="2"/>
      <c r="B278" s="2"/>
      <c r="C278" s="2"/>
      <c r="D278" s="2"/>
      <c r="E278" s="2"/>
      <c r="F278" s="2"/>
      <c r="G278" s="2"/>
      <c r="H278" s="2"/>
      <c r="I278" s="2"/>
      <c r="J278" s="2"/>
      <c r="K278" s="2"/>
      <c r="L278" s="2"/>
      <c r="M278" s="2"/>
      <c r="N278" s="2"/>
      <c r="O278" s="2"/>
      <c r="P278" s="2"/>
      <c r="Q278" s="2"/>
      <c r="R278" s="2"/>
      <c r="S278" s="2"/>
      <c r="T278" s="2"/>
      <c r="U278" s="2"/>
      <c r="V278" s="2"/>
      <c r="W278" s="2"/>
    </row>
    <row r="279">
      <c r="A279" s="2"/>
      <c r="B279" s="2"/>
      <c r="C279" s="2"/>
      <c r="D279" s="2"/>
      <c r="E279" s="2"/>
      <c r="F279" s="2"/>
      <c r="G279" s="2"/>
      <c r="H279" s="2"/>
      <c r="I279" s="2"/>
      <c r="J279" s="2"/>
      <c r="K279" s="2"/>
      <c r="L279" s="2"/>
      <c r="M279" s="2"/>
      <c r="N279" s="2"/>
      <c r="O279" s="2"/>
      <c r="P279" s="2"/>
      <c r="Q279" s="2"/>
      <c r="R279" s="2"/>
      <c r="S279" s="2"/>
      <c r="T279" s="2"/>
      <c r="U279" s="2"/>
      <c r="V279" s="2"/>
      <c r="W279" s="2"/>
    </row>
    <row r="280">
      <c r="A280" s="2"/>
      <c r="B280" s="2"/>
      <c r="C280" s="2"/>
      <c r="D280" s="2"/>
      <c r="E280" s="2"/>
      <c r="F280" s="2"/>
      <c r="G280" s="2"/>
      <c r="H280" s="2"/>
      <c r="I280" s="2"/>
      <c r="J280" s="2"/>
      <c r="K280" s="2"/>
      <c r="L280" s="2"/>
      <c r="M280" s="2"/>
      <c r="N280" s="2"/>
      <c r="O280" s="2"/>
      <c r="P280" s="2"/>
      <c r="Q280" s="2"/>
      <c r="R280" s="2"/>
      <c r="S280" s="2"/>
      <c r="T280" s="2"/>
      <c r="U280" s="2"/>
      <c r="V280" s="2"/>
      <c r="W280" s="2"/>
    </row>
    <row r="281">
      <c r="A281" s="2"/>
      <c r="B281" s="2"/>
      <c r="C281" s="2"/>
      <c r="D281" s="2"/>
      <c r="E281" s="2"/>
      <c r="F281" s="2"/>
      <c r="G281" s="2"/>
      <c r="H281" s="2"/>
      <c r="I281" s="2"/>
      <c r="J281" s="2"/>
      <c r="K281" s="2"/>
      <c r="L281" s="2"/>
      <c r="M281" s="2"/>
      <c r="N281" s="2"/>
      <c r="O281" s="2"/>
      <c r="P281" s="2"/>
      <c r="Q281" s="2"/>
      <c r="R281" s="2"/>
      <c r="S281" s="2"/>
      <c r="T281" s="2"/>
      <c r="U281" s="2"/>
      <c r="V281" s="2"/>
      <c r="W281" s="2"/>
    </row>
    <row r="282">
      <c r="A282" s="2"/>
      <c r="B282" s="2"/>
      <c r="C282" s="2"/>
      <c r="D282" s="2"/>
      <c r="E282" s="2"/>
      <c r="F282" s="2"/>
      <c r="G282" s="2"/>
      <c r="H282" s="2"/>
      <c r="I282" s="2"/>
      <c r="J282" s="2"/>
      <c r="K282" s="2"/>
      <c r="L282" s="2"/>
      <c r="M282" s="2"/>
      <c r="N282" s="2"/>
      <c r="O282" s="2"/>
      <c r="P282" s="2"/>
      <c r="Q282" s="2"/>
      <c r="R282" s="2"/>
      <c r="S282" s="2"/>
      <c r="T282" s="2"/>
      <c r="U282" s="2"/>
      <c r="V282" s="2"/>
      <c r="W282" s="2"/>
    </row>
    <row r="283">
      <c r="A283" s="2"/>
      <c r="B283" s="2"/>
      <c r="C283" s="2"/>
      <c r="D283" s="2"/>
      <c r="E283" s="2"/>
      <c r="F283" s="2"/>
      <c r="G283" s="2"/>
      <c r="H283" s="2"/>
      <c r="I283" s="2"/>
      <c r="J283" s="2"/>
      <c r="K283" s="2"/>
      <c r="L283" s="2"/>
      <c r="M283" s="2"/>
      <c r="N283" s="2"/>
      <c r="O283" s="2"/>
      <c r="P283" s="2"/>
      <c r="Q283" s="2"/>
      <c r="R283" s="2"/>
      <c r="S283" s="2"/>
      <c r="T283" s="2"/>
      <c r="U283" s="2"/>
      <c r="V283" s="2"/>
      <c r="W283" s="2"/>
    </row>
    <row r="284">
      <c r="A284" s="2"/>
      <c r="B284" s="2"/>
      <c r="C284" s="2"/>
      <c r="D284" s="2"/>
      <c r="E284" s="2"/>
      <c r="F284" s="2"/>
      <c r="G284" s="2"/>
      <c r="H284" s="2"/>
      <c r="I284" s="2"/>
      <c r="J284" s="2"/>
      <c r="K284" s="2"/>
      <c r="L284" s="2"/>
      <c r="M284" s="2"/>
      <c r="N284" s="2"/>
      <c r="O284" s="2"/>
      <c r="P284" s="2"/>
      <c r="Q284" s="2"/>
      <c r="R284" s="2"/>
      <c r="S284" s="2"/>
      <c r="T284" s="2"/>
      <c r="U284" s="2"/>
      <c r="V284" s="2"/>
      <c r="W284" s="2"/>
    </row>
    <row r="285">
      <c r="A285" s="2"/>
      <c r="B285" s="2"/>
      <c r="C285" s="2"/>
      <c r="D285" s="2"/>
      <c r="E285" s="2"/>
      <c r="F285" s="2"/>
      <c r="G285" s="2"/>
      <c r="H285" s="2"/>
      <c r="I285" s="2"/>
      <c r="J285" s="2"/>
      <c r="K285" s="2"/>
      <c r="L285" s="2"/>
      <c r="M285" s="2"/>
      <c r="N285" s="2"/>
      <c r="O285" s="2"/>
      <c r="P285" s="2"/>
      <c r="Q285" s="2"/>
      <c r="R285" s="2"/>
      <c r="S285" s="2"/>
      <c r="T285" s="2"/>
      <c r="U285" s="2"/>
      <c r="V285" s="2"/>
      <c r="W285" s="2"/>
    </row>
    <row r="286">
      <c r="A286" s="2"/>
      <c r="B286" s="2"/>
      <c r="C286" s="2"/>
      <c r="D286" s="2"/>
      <c r="E286" s="2"/>
      <c r="F286" s="2"/>
      <c r="G286" s="2"/>
      <c r="H286" s="2"/>
      <c r="I286" s="2"/>
      <c r="J286" s="2"/>
      <c r="K286" s="2"/>
      <c r="L286" s="2"/>
      <c r="M286" s="2"/>
      <c r="N286" s="2"/>
      <c r="O286" s="2"/>
      <c r="P286" s="2"/>
      <c r="Q286" s="2"/>
      <c r="R286" s="2"/>
      <c r="S286" s="2"/>
      <c r="T286" s="2"/>
      <c r="U286" s="2"/>
      <c r="V286" s="2"/>
      <c r="W286" s="2"/>
    </row>
    <row r="287">
      <c r="A287" s="2"/>
      <c r="B287" s="2"/>
      <c r="C287" s="2"/>
      <c r="D287" s="2"/>
      <c r="E287" s="2"/>
      <c r="F287" s="2"/>
      <c r="G287" s="2"/>
      <c r="H287" s="2"/>
      <c r="I287" s="2"/>
      <c r="J287" s="2"/>
      <c r="K287" s="2"/>
      <c r="L287" s="2"/>
      <c r="M287" s="2"/>
      <c r="N287" s="2"/>
      <c r="O287" s="2"/>
      <c r="P287" s="2"/>
      <c r="Q287" s="2"/>
      <c r="R287" s="2"/>
      <c r="S287" s="2"/>
      <c r="T287" s="2"/>
      <c r="U287" s="2"/>
      <c r="V287" s="2"/>
      <c r="W287" s="2"/>
    </row>
    <row r="288">
      <c r="A288" s="2"/>
      <c r="B288" s="2"/>
      <c r="C288" s="2"/>
      <c r="D288" s="2"/>
      <c r="E288" s="2"/>
      <c r="F288" s="2"/>
      <c r="G288" s="2"/>
      <c r="H288" s="2"/>
      <c r="I288" s="2"/>
      <c r="J288" s="2"/>
      <c r="K288" s="2"/>
      <c r="L288" s="2"/>
      <c r="M288" s="2"/>
      <c r="N288" s="2"/>
      <c r="O288" s="2"/>
      <c r="P288" s="2"/>
      <c r="Q288" s="2"/>
      <c r="R288" s="2"/>
      <c r="S288" s="2"/>
      <c r="T288" s="2"/>
      <c r="U288" s="2"/>
      <c r="V288" s="2"/>
      <c r="W288" s="2"/>
    </row>
    <row r="289">
      <c r="A289" s="2"/>
      <c r="B289" s="2"/>
      <c r="C289" s="2"/>
      <c r="D289" s="2"/>
      <c r="E289" s="2"/>
      <c r="F289" s="2"/>
      <c r="G289" s="2"/>
      <c r="H289" s="2"/>
      <c r="I289" s="2"/>
      <c r="J289" s="2"/>
      <c r="K289" s="2"/>
      <c r="L289" s="2"/>
      <c r="M289" s="2"/>
      <c r="N289" s="2"/>
      <c r="O289" s="2"/>
      <c r="P289" s="2"/>
      <c r="Q289" s="2"/>
      <c r="R289" s="2"/>
      <c r="S289" s="2"/>
      <c r="T289" s="2"/>
      <c r="U289" s="2"/>
      <c r="V289" s="2"/>
      <c r="W289" s="2"/>
    </row>
    <row r="290">
      <c r="A290" s="2"/>
      <c r="B290" s="2"/>
      <c r="C290" s="2"/>
      <c r="D290" s="2"/>
      <c r="E290" s="2"/>
      <c r="F290" s="2"/>
      <c r="G290" s="2"/>
      <c r="H290" s="2"/>
      <c r="I290" s="2"/>
      <c r="J290" s="2"/>
      <c r="K290" s="2"/>
      <c r="L290" s="2"/>
      <c r="M290" s="2"/>
      <c r="N290" s="2"/>
      <c r="O290" s="2"/>
      <c r="P290" s="2"/>
      <c r="Q290" s="2"/>
      <c r="R290" s="2"/>
      <c r="S290" s="2"/>
      <c r="T290" s="2"/>
      <c r="U290" s="2"/>
      <c r="V290" s="2"/>
      <c r="W290" s="2"/>
    </row>
    <row r="291">
      <c r="A291" s="2"/>
      <c r="B291" s="2"/>
      <c r="C291" s="2"/>
      <c r="D291" s="2"/>
      <c r="E291" s="2"/>
      <c r="F291" s="2"/>
      <c r="G291" s="2"/>
      <c r="H291" s="2"/>
      <c r="I291" s="2"/>
      <c r="J291" s="2"/>
      <c r="K291" s="2"/>
      <c r="L291" s="2"/>
      <c r="M291" s="2"/>
      <c r="N291" s="2"/>
      <c r="O291" s="2"/>
      <c r="P291" s="2"/>
      <c r="Q291" s="2"/>
      <c r="R291" s="2"/>
      <c r="S291" s="2"/>
      <c r="T291" s="2"/>
      <c r="U291" s="2"/>
      <c r="V291" s="2"/>
      <c r="W291" s="2"/>
    </row>
    <row r="292">
      <c r="A292" s="2"/>
      <c r="B292" s="2"/>
      <c r="C292" s="2"/>
      <c r="D292" s="2"/>
      <c r="E292" s="2"/>
      <c r="F292" s="2"/>
      <c r="G292" s="2"/>
      <c r="H292" s="2"/>
      <c r="I292" s="2"/>
      <c r="J292" s="2"/>
      <c r="K292" s="2"/>
      <c r="L292" s="2"/>
      <c r="M292" s="2"/>
      <c r="N292" s="2"/>
      <c r="O292" s="2"/>
      <c r="P292" s="2"/>
      <c r="Q292" s="2"/>
      <c r="R292" s="2"/>
      <c r="S292" s="2"/>
      <c r="T292" s="2"/>
      <c r="U292" s="2"/>
      <c r="V292" s="2"/>
      <c r="W292" s="2"/>
    </row>
    <row r="293">
      <c r="A293" s="2"/>
      <c r="B293" s="2"/>
      <c r="C293" s="2"/>
      <c r="D293" s="2"/>
      <c r="E293" s="2"/>
      <c r="F293" s="2"/>
      <c r="G293" s="2"/>
      <c r="H293" s="2"/>
      <c r="I293" s="2"/>
      <c r="J293" s="2"/>
      <c r="K293" s="2"/>
      <c r="L293" s="2"/>
      <c r="M293" s="2"/>
      <c r="N293" s="2"/>
      <c r="O293" s="2"/>
      <c r="P293" s="2"/>
      <c r="Q293" s="2"/>
      <c r="R293" s="2"/>
      <c r="S293" s="2"/>
      <c r="T293" s="2"/>
      <c r="U293" s="2"/>
      <c r="V293" s="2"/>
      <c r="W293" s="2"/>
    </row>
    <row r="294">
      <c r="A294" s="2"/>
      <c r="B294" s="2"/>
      <c r="C294" s="2"/>
      <c r="D294" s="2"/>
      <c r="E294" s="2"/>
      <c r="F294" s="2"/>
      <c r="G294" s="2"/>
      <c r="H294" s="2"/>
      <c r="I294" s="2"/>
      <c r="J294" s="2"/>
      <c r="K294" s="2"/>
      <c r="L294" s="2"/>
      <c r="M294" s="2"/>
      <c r="N294" s="2"/>
      <c r="O294" s="2"/>
      <c r="P294" s="2"/>
      <c r="Q294" s="2"/>
      <c r="R294" s="2"/>
      <c r="S294" s="2"/>
      <c r="T294" s="2"/>
      <c r="U294" s="2"/>
      <c r="V294" s="2"/>
      <c r="W294" s="2"/>
    </row>
    <row r="295">
      <c r="A295" s="2"/>
      <c r="B295" s="2"/>
      <c r="C295" s="2"/>
      <c r="D295" s="2"/>
      <c r="E295" s="2"/>
      <c r="F295" s="2"/>
      <c r="G295" s="2"/>
      <c r="H295" s="2"/>
      <c r="I295" s="2"/>
      <c r="J295" s="2"/>
      <c r="K295" s="2"/>
      <c r="L295" s="2"/>
      <c r="M295" s="2"/>
      <c r="N295" s="2"/>
      <c r="O295" s="2"/>
      <c r="P295" s="2"/>
      <c r="Q295" s="2"/>
      <c r="R295" s="2"/>
      <c r="S295" s="2"/>
      <c r="T295" s="2"/>
      <c r="U295" s="2"/>
      <c r="V295" s="2"/>
      <c r="W295" s="2"/>
    </row>
    <row r="296">
      <c r="A296" s="2"/>
      <c r="B296" s="2"/>
      <c r="C296" s="2"/>
      <c r="D296" s="2"/>
      <c r="E296" s="2"/>
      <c r="F296" s="2"/>
      <c r="G296" s="2"/>
      <c r="H296" s="2"/>
      <c r="I296" s="2"/>
      <c r="J296" s="2"/>
      <c r="K296" s="2"/>
      <c r="L296" s="2"/>
      <c r="M296" s="2"/>
      <c r="N296" s="2"/>
      <c r="O296" s="2"/>
      <c r="P296" s="2"/>
      <c r="Q296" s="2"/>
      <c r="R296" s="2"/>
      <c r="S296" s="2"/>
      <c r="T296" s="2"/>
      <c r="U296" s="2"/>
      <c r="V296" s="2"/>
      <c r="W296" s="2"/>
    </row>
    <row r="297">
      <c r="A297" s="2"/>
      <c r="B297" s="2"/>
      <c r="C297" s="2"/>
      <c r="D297" s="2"/>
      <c r="E297" s="2"/>
      <c r="F297" s="2"/>
      <c r="G297" s="2"/>
      <c r="H297" s="2"/>
      <c r="I297" s="2"/>
      <c r="J297" s="2"/>
      <c r="K297" s="2"/>
      <c r="L297" s="2"/>
      <c r="M297" s="2"/>
      <c r="N297" s="2"/>
      <c r="O297" s="2"/>
      <c r="P297" s="2"/>
      <c r="Q297" s="2"/>
      <c r="R297" s="2"/>
      <c r="S297" s="2"/>
      <c r="T297" s="2"/>
      <c r="U297" s="2"/>
      <c r="V297" s="2"/>
      <c r="W297" s="2"/>
    </row>
    <row r="298">
      <c r="A298" s="2"/>
      <c r="B298" s="2"/>
      <c r="C298" s="2"/>
      <c r="D298" s="2"/>
      <c r="E298" s="2"/>
      <c r="F298" s="2"/>
      <c r="G298" s="2"/>
      <c r="H298" s="2"/>
      <c r="I298" s="2"/>
      <c r="J298" s="2"/>
      <c r="K298" s="2"/>
      <c r="L298" s="2"/>
      <c r="M298" s="2"/>
      <c r="N298" s="2"/>
      <c r="O298" s="2"/>
      <c r="P298" s="2"/>
      <c r="Q298" s="2"/>
      <c r="R298" s="2"/>
      <c r="S298" s="2"/>
      <c r="T298" s="2"/>
      <c r="U298" s="2"/>
      <c r="V298" s="2"/>
      <c r="W298" s="2"/>
    </row>
    <row r="299">
      <c r="A299" s="2"/>
      <c r="B299" s="2"/>
      <c r="C299" s="2"/>
      <c r="D299" s="2"/>
      <c r="E299" s="2"/>
      <c r="F299" s="2"/>
      <c r="G299" s="2"/>
      <c r="H299" s="2"/>
      <c r="I299" s="2"/>
      <c r="J299" s="2"/>
      <c r="K299" s="2"/>
      <c r="L299" s="2"/>
      <c r="M299" s="2"/>
      <c r="N299" s="2"/>
      <c r="O299" s="2"/>
      <c r="P299" s="2"/>
      <c r="Q299" s="2"/>
      <c r="R299" s="2"/>
      <c r="S299" s="2"/>
      <c r="T299" s="2"/>
      <c r="U299" s="2"/>
      <c r="V299" s="2"/>
      <c r="W299" s="2"/>
    </row>
    <row r="300">
      <c r="A300" s="2"/>
      <c r="B300" s="2"/>
      <c r="C300" s="2"/>
      <c r="D300" s="2"/>
      <c r="E300" s="2"/>
      <c r="F300" s="2"/>
      <c r="G300" s="2"/>
      <c r="H300" s="2"/>
      <c r="I300" s="2"/>
      <c r="J300" s="2"/>
      <c r="K300" s="2"/>
      <c r="L300" s="2"/>
      <c r="M300" s="2"/>
      <c r="N300" s="2"/>
      <c r="O300" s="2"/>
      <c r="P300" s="2"/>
      <c r="Q300" s="2"/>
      <c r="R300" s="2"/>
      <c r="S300" s="2"/>
      <c r="T300" s="2"/>
      <c r="U300" s="2"/>
      <c r="V300" s="2"/>
      <c r="W300" s="2"/>
    </row>
    <row r="301">
      <c r="A301" s="2"/>
      <c r="B301" s="2"/>
      <c r="C301" s="2"/>
      <c r="D301" s="2"/>
      <c r="E301" s="2"/>
      <c r="F301" s="2"/>
      <c r="G301" s="2"/>
      <c r="H301" s="2"/>
      <c r="I301" s="2"/>
      <c r="J301" s="2"/>
      <c r="K301" s="2"/>
      <c r="L301" s="2"/>
      <c r="M301" s="2"/>
      <c r="N301" s="2"/>
      <c r="O301" s="2"/>
      <c r="P301" s="2"/>
      <c r="Q301" s="2"/>
      <c r="R301" s="2"/>
      <c r="S301" s="2"/>
      <c r="T301" s="2"/>
      <c r="U301" s="2"/>
      <c r="V301" s="2"/>
      <c r="W301" s="2"/>
    </row>
    <row r="302">
      <c r="A302" s="2"/>
      <c r="B302" s="2"/>
      <c r="C302" s="2"/>
      <c r="D302" s="2"/>
      <c r="E302" s="2"/>
      <c r="F302" s="2"/>
      <c r="G302" s="2"/>
      <c r="H302" s="2"/>
      <c r="I302" s="2"/>
      <c r="J302" s="2"/>
      <c r="K302" s="2"/>
      <c r="L302" s="2"/>
      <c r="M302" s="2"/>
      <c r="N302" s="2"/>
      <c r="O302" s="2"/>
      <c r="P302" s="2"/>
      <c r="Q302" s="2"/>
      <c r="R302" s="2"/>
      <c r="S302" s="2"/>
      <c r="T302" s="2"/>
      <c r="U302" s="2"/>
      <c r="V302" s="2"/>
      <c r="W302" s="2"/>
    </row>
    <row r="303">
      <c r="A303" s="2"/>
      <c r="B303" s="2"/>
      <c r="C303" s="2"/>
      <c r="D303" s="2"/>
      <c r="E303" s="2"/>
      <c r="F303" s="2"/>
      <c r="G303" s="2"/>
      <c r="H303" s="2"/>
      <c r="I303" s="2"/>
      <c r="J303" s="2"/>
      <c r="K303" s="2"/>
      <c r="L303" s="2"/>
      <c r="M303" s="2"/>
      <c r="N303" s="2"/>
      <c r="O303" s="2"/>
      <c r="P303" s="2"/>
      <c r="Q303" s="2"/>
      <c r="R303" s="2"/>
      <c r="S303" s="2"/>
      <c r="T303" s="2"/>
      <c r="U303" s="2"/>
      <c r="V303" s="2"/>
      <c r="W303" s="2"/>
    </row>
    <row r="304">
      <c r="A304" s="2"/>
      <c r="B304" s="2"/>
      <c r="C304" s="2"/>
      <c r="D304" s="2"/>
      <c r="E304" s="2"/>
      <c r="F304" s="2"/>
      <c r="G304" s="2"/>
      <c r="H304" s="2"/>
      <c r="I304" s="2"/>
      <c r="J304" s="2"/>
      <c r="K304" s="2"/>
      <c r="L304" s="2"/>
      <c r="M304" s="2"/>
      <c r="N304" s="2"/>
      <c r="O304" s="2"/>
      <c r="P304" s="2"/>
      <c r="Q304" s="2"/>
      <c r="R304" s="2"/>
      <c r="S304" s="2"/>
      <c r="T304" s="2"/>
      <c r="U304" s="2"/>
      <c r="V304" s="2"/>
      <c r="W304" s="2"/>
    </row>
    <row r="305">
      <c r="A305" s="2"/>
      <c r="B305" s="2"/>
      <c r="C305" s="2"/>
      <c r="D305" s="2"/>
      <c r="E305" s="2"/>
      <c r="F305" s="2"/>
      <c r="G305" s="2"/>
      <c r="H305" s="2"/>
      <c r="I305" s="2"/>
      <c r="J305" s="2"/>
      <c r="K305" s="2"/>
      <c r="L305" s="2"/>
      <c r="M305" s="2"/>
      <c r="N305" s="2"/>
      <c r="O305" s="2"/>
      <c r="P305" s="2"/>
      <c r="Q305" s="2"/>
      <c r="R305" s="2"/>
      <c r="S305" s="2"/>
      <c r="T305" s="2"/>
      <c r="U305" s="2"/>
      <c r="V305" s="2"/>
      <c r="W305" s="2"/>
    </row>
    <row r="306">
      <c r="A306" s="2"/>
      <c r="B306" s="2"/>
      <c r="C306" s="2"/>
      <c r="D306" s="2"/>
      <c r="E306" s="2"/>
      <c r="F306" s="2"/>
      <c r="G306" s="2"/>
      <c r="H306" s="2"/>
      <c r="I306" s="2"/>
      <c r="J306" s="2"/>
      <c r="K306" s="2"/>
      <c r="L306" s="2"/>
      <c r="M306" s="2"/>
      <c r="N306" s="2"/>
      <c r="O306" s="2"/>
      <c r="P306" s="2"/>
      <c r="Q306" s="2"/>
      <c r="R306" s="2"/>
      <c r="S306" s="2"/>
      <c r="T306" s="2"/>
      <c r="U306" s="2"/>
      <c r="V306" s="2"/>
      <c r="W306" s="2"/>
    </row>
    <row r="307">
      <c r="A307" s="2"/>
      <c r="B307" s="2"/>
      <c r="C307" s="2"/>
      <c r="D307" s="2"/>
      <c r="E307" s="2"/>
      <c r="F307" s="2"/>
      <c r="G307" s="2"/>
      <c r="H307" s="2"/>
      <c r="I307" s="2"/>
      <c r="J307" s="2"/>
      <c r="K307" s="2"/>
      <c r="L307" s="2"/>
      <c r="M307" s="2"/>
      <c r="N307" s="2"/>
      <c r="O307" s="2"/>
      <c r="P307" s="2"/>
      <c r="Q307" s="2"/>
      <c r="R307" s="2"/>
      <c r="S307" s="2"/>
      <c r="T307" s="2"/>
      <c r="U307" s="2"/>
      <c r="V307" s="2"/>
      <c r="W307" s="2"/>
    </row>
    <row r="308">
      <c r="A308" s="2"/>
      <c r="B308" s="2"/>
      <c r="C308" s="2"/>
      <c r="D308" s="2"/>
      <c r="E308" s="2"/>
      <c r="F308" s="2"/>
      <c r="G308" s="2"/>
      <c r="H308" s="2"/>
      <c r="I308" s="2"/>
      <c r="J308" s="2"/>
      <c r="K308" s="2"/>
      <c r="L308" s="2"/>
      <c r="M308" s="2"/>
      <c r="N308" s="2"/>
      <c r="O308" s="2"/>
      <c r="P308" s="2"/>
      <c r="Q308" s="2"/>
      <c r="R308" s="2"/>
      <c r="S308" s="2"/>
      <c r="T308" s="2"/>
      <c r="U308" s="2"/>
      <c r="V308" s="2"/>
      <c r="W308" s="2"/>
    </row>
    <row r="309">
      <c r="A309" s="2"/>
      <c r="B309" s="2"/>
      <c r="C309" s="2"/>
      <c r="D309" s="2"/>
      <c r="E309" s="2"/>
      <c r="F309" s="2"/>
      <c r="G309" s="2"/>
      <c r="H309" s="2"/>
      <c r="I309" s="2"/>
      <c r="J309" s="2"/>
      <c r="K309" s="2"/>
      <c r="L309" s="2"/>
      <c r="M309" s="2"/>
      <c r="N309" s="2"/>
      <c r="O309" s="2"/>
      <c r="P309" s="2"/>
      <c r="Q309" s="2"/>
      <c r="R309" s="2"/>
      <c r="S309" s="2"/>
      <c r="T309" s="2"/>
      <c r="U309" s="2"/>
      <c r="V309" s="2"/>
      <c r="W309" s="2"/>
    </row>
    <row r="310">
      <c r="A310" s="2"/>
      <c r="B310" s="2"/>
      <c r="C310" s="2"/>
      <c r="D310" s="2"/>
      <c r="E310" s="2"/>
      <c r="F310" s="2"/>
      <c r="G310" s="2"/>
      <c r="H310" s="2"/>
      <c r="I310" s="2"/>
      <c r="J310" s="2"/>
      <c r="K310" s="2"/>
      <c r="L310" s="2"/>
      <c r="M310" s="2"/>
      <c r="N310" s="2"/>
      <c r="O310" s="2"/>
      <c r="P310" s="2"/>
      <c r="Q310" s="2"/>
      <c r="R310" s="2"/>
      <c r="S310" s="2"/>
      <c r="T310" s="2"/>
      <c r="U310" s="2"/>
      <c r="V310" s="2"/>
      <c r="W310" s="2"/>
    </row>
    <row r="311">
      <c r="A311" s="2"/>
      <c r="B311" s="2"/>
      <c r="C311" s="2"/>
      <c r="D311" s="2"/>
      <c r="E311" s="2"/>
      <c r="F311" s="2"/>
      <c r="G311" s="2"/>
      <c r="H311" s="2"/>
      <c r="I311" s="2"/>
      <c r="J311" s="2"/>
      <c r="K311" s="2"/>
      <c r="L311" s="2"/>
      <c r="M311" s="2"/>
      <c r="N311" s="2"/>
      <c r="O311" s="2"/>
      <c r="P311" s="2"/>
      <c r="Q311" s="2"/>
      <c r="R311" s="2"/>
      <c r="S311" s="2"/>
      <c r="T311" s="2"/>
      <c r="U311" s="2"/>
      <c r="V311" s="2"/>
      <c r="W311" s="2"/>
    </row>
    <row r="312">
      <c r="A312" s="2"/>
      <c r="B312" s="2"/>
      <c r="C312" s="2"/>
      <c r="D312" s="2"/>
      <c r="E312" s="2"/>
      <c r="F312" s="2"/>
      <c r="G312" s="2"/>
      <c r="H312" s="2"/>
      <c r="I312" s="2"/>
      <c r="J312" s="2"/>
      <c r="K312" s="2"/>
      <c r="L312" s="2"/>
      <c r="M312" s="2"/>
      <c r="N312" s="2"/>
      <c r="O312" s="2"/>
      <c r="P312" s="2"/>
      <c r="Q312" s="2"/>
      <c r="R312" s="2"/>
      <c r="S312" s="2"/>
      <c r="T312" s="2"/>
      <c r="U312" s="2"/>
      <c r="V312" s="2"/>
      <c r="W312" s="2"/>
    </row>
    <row r="313">
      <c r="A313" s="2"/>
      <c r="B313" s="2"/>
      <c r="C313" s="2"/>
      <c r="D313" s="2"/>
      <c r="E313" s="2"/>
      <c r="F313" s="2"/>
      <c r="G313" s="2"/>
      <c r="H313" s="2"/>
      <c r="I313" s="2"/>
      <c r="J313" s="2"/>
      <c r="K313" s="2"/>
      <c r="L313" s="2"/>
      <c r="M313" s="2"/>
      <c r="N313" s="2"/>
      <c r="O313" s="2"/>
      <c r="P313" s="2"/>
      <c r="Q313" s="2"/>
      <c r="R313" s="2"/>
      <c r="S313" s="2"/>
      <c r="T313" s="2"/>
      <c r="U313" s="2"/>
      <c r="V313" s="2"/>
      <c r="W313" s="2"/>
    </row>
    <row r="314">
      <c r="A314" s="2"/>
      <c r="B314" s="2"/>
      <c r="C314" s="2"/>
      <c r="D314" s="2"/>
      <c r="E314" s="2"/>
      <c r="F314" s="2"/>
      <c r="G314" s="2"/>
      <c r="H314" s="2"/>
      <c r="I314" s="2"/>
      <c r="J314" s="2"/>
      <c r="K314" s="2"/>
      <c r="L314" s="2"/>
      <c r="M314" s="2"/>
      <c r="N314" s="2"/>
      <c r="O314" s="2"/>
      <c r="P314" s="2"/>
      <c r="Q314" s="2"/>
      <c r="R314" s="2"/>
      <c r="S314" s="2"/>
      <c r="T314" s="2"/>
      <c r="U314" s="2"/>
      <c r="V314" s="2"/>
      <c r="W314" s="2"/>
    </row>
    <row r="315">
      <c r="A315" s="2"/>
      <c r="B315" s="2"/>
      <c r="C315" s="2"/>
      <c r="D315" s="2"/>
      <c r="E315" s="2"/>
      <c r="F315" s="2"/>
      <c r="G315" s="2"/>
      <c r="H315" s="2"/>
      <c r="I315" s="2"/>
      <c r="J315" s="2"/>
      <c r="K315" s="2"/>
      <c r="L315" s="2"/>
      <c r="M315" s="2"/>
      <c r="N315" s="2"/>
      <c r="O315" s="2"/>
      <c r="P315" s="2"/>
      <c r="Q315" s="2"/>
      <c r="R315" s="2"/>
      <c r="S315" s="2"/>
      <c r="T315" s="2"/>
      <c r="U315" s="2"/>
      <c r="V315" s="2"/>
      <c r="W315" s="2"/>
    </row>
    <row r="316">
      <c r="A316" s="2"/>
      <c r="B316" s="2"/>
      <c r="C316" s="2"/>
      <c r="D316" s="2"/>
      <c r="E316" s="2"/>
      <c r="F316" s="2"/>
      <c r="G316" s="2"/>
      <c r="H316" s="2"/>
      <c r="I316" s="2"/>
      <c r="J316" s="2"/>
      <c r="K316" s="2"/>
      <c r="L316" s="2"/>
      <c r="M316" s="2"/>
      <c r="N316" s="2"/>
      <c r="O316" s="2"/>
      <c r="P316" s="2"/>
      <c r="Q316" s="2"/>
      <c r="R316" s="2"/>
      <c r="S316" s="2"/>
      <c r="T316" s="2"/>
      <c r="U316" s="2"/>
      <c r="V316" s="2"/>
      <c r="W316" s="2"/>
    </row>
    <row r="317">
      <c r="A317" s="2"/>
      <c r="B317" s="2"/>
      <c r="C317" s="2"/>
      <c r="D317" s="2"/>
      <c r="E317" s="2"/>
      <c r="F317" s="2"/>
      <c r="G317" s="2"/>
      <c r="H317" s="2"/>
      <c r="I317" s="2"/>
      <c r="J317" s="2"/>
      <c r="K317" s="2"/>
      <c r="L317" s="2"/>
      <c r="M317" s="2"/>
      <c r="N317" s="2"/>
      <c r="O317" s="2"/>
      <c r="P317" s="2"/>
      <c r="Q317" s="2"/>
      <c r="R317" s="2"/>
      <c r="S317" s="2"/>
      <c r="T317" s="2"/>
      <c r="U317" s="2"/>
      <c r="V317" s="2"/>
      <c r="W317" s="2"/>
    </row>
    <row r="318">
      <c r="A318" s="2"/>
      <c r="B318" s="2"/>
      <c r="C318" s="2"/>
      <c r="D318" s="2"/>
      <c r="E318" s="2"/>
      <c r="F318" s="2"/>
      <c r="G318" s="2"/>
      <c r="H318" s="2"/>
      <c r="I318" s="2"/>
      <c r="J318" s="2"/>
      <c r="K318" s="2"/>
      <c r="L318" s="2"/>
      <c r="M318" s="2"/>
      <c r="N318" s="2"/>
      <c r="O318" s="2"/>
      <c r="P318" s="2"/>
      <c r="Q318" s="2"/>
      <c r="R318" s="2"/>
      <c r="S318" s="2"/>
      <c r="T318" s="2"/>
      <c r="U318" s="2"/>
      <c r="V318" s="2"/>
      <c r="W318" s="2"/>
    </row>
    <row r="319">
      <c r="A319" s="2"/>
      <c r="B319" s="2"/>
      <c r="C319" s="2"/>
      <c r="D319" s="2"/>
      <c r="E319" s="2"/>
      <c r="F319" s="2"/>
      <c r="G319" s="2"/>
      <c r="H319" s="2"/>
      <c r="I319" s="2"/>
      <c r="J319" s="2"/>
      <c r="K319" s="2"/>
      <c r="L319" s="2"/>
      <c r="M319" s="2"/>
      <c r="N319" s="2"/>
      <c r="O319" s="2"/>
      <c r="P319" s="2"/>
      <c r="Q319" s="2"/>
      <c r="R319" s="2"/>
      <c r="S319" s="2"/>
      <c r="T319" s="2"/>
      <c r="U319" s="2"/>
      <c r="V319" s="2"/>
      <c r="W319" s="2"/>
    </row>
    <row r="320">
      <c r="A320" s="2"/>
      <c r="B320" s="2"/>
      <c r="C320" s="2"/>
      <c r="D320" s="2"/>
      <c r="E320" s="2"/>
      <c r="F320" s="2"/>
      <c r="G320" s="2"/>
      <c r="H320" s="2"/>
      <c r="I320" s="2"/>
      <c r="J320" s="2"/>
      <c r="K320" s="2"/>
      <c r="L320" s="2"/>
      <c r="M320" s="2"/>
      <c r="N320" s="2"/>
      <c r="O320" s="2"/>
      <c r="P320" s="2"/>
      <c r="Q320" s="2"/>
      <c r="R320" s="2"/>
      <c r="S320" s="2"/>
      <c r="T320" s="2"/>
      <c r="U320" s="2"/>
      <c r="V320" s="2"/>
      <c r="W320" s="2"/>
    </row>
    <row r="321">
      <c r="A321" s="2"/>
      <c r="B321" s="2"/>
      <c r="C321" s="2"/>
      <c r="D321" s="2"/>
      <c r="E321" s="2"/>
      <c r="F321" s="2"/>
      <c r="G321" s="2"/>
      <c r="H321" s="2"/>
      <c r="I321" s="2"/>
      <c r="J321" s="2"/>
      <c r="K321" s="2"/>
      <c r="L321" s="2"/>
      <c r="M321" s="2"/>
      <c r="N321" s="2"/>
      <c r="O321" s="2"/>
      <c r="P321" s="2"/>
      <c r="Q321" s="2"/>
      <c r="R321" s="2"/>
      <c r="S321" s="2"/>
      <c r="T321" s="2"/>
      <c r="U321" s="2"/>
      <c r="V321" s="2"/>
      <c r="W321" s="2"/>
    </row>
    <row r="322">
      <c r="A322" s="2"/>
      <c r="B322" s="2"/>
      <c r="C322" s="2"/>
      <c r="D322" s="2"/>
      <c r="E322" s="2"/>
      <c r="F322" s="2"/>
      <c r="G322" s="2"/>
      <c r="H322" s="2"/>
      <c r="I322" s="2"/>
      <c r="J322" s="2"/>
      <c r="K322" s="2"/>
      <c r="L322" s="2"/>
      <c r="M322" s="2"/>
      <c r="N322" s="2"/>
      <c r="O322" s="2"/>
      <c r="P322" s="2"/>
      <c r="Q322" s="2"/>
      <c r="R322" s="2"/>
      <c r="S322" s="2"/>
      <c r="T322" s="2"/>
      <c r="U322" s="2"/>
      <c r="V322" s="2"/>
      <c r="W322" s="2"/>
    </row>
    <row r="323">
      <c r="A323" s="2"/>
      <c r="B323" s="2"/>
      <c r="C323" s="2"/>
      <c r="D323" s="2"/>
      <c r="E323" s="2"/>
      <c r="F323" s="2"/>
      <c r="G323" s="2"/>
      <c r="H323" s="2"/>
      <c r="I323" s="2"/>
      <c r="J323" s="2"/>
      <c r="K323" s="2"/>
      <c r="L323" s="2"/>
      <c r="M323" s="2"/>
      <c r="N323" s="2"/>
      <c r="O323" s="2"/>
      <c r="P323" s="2"/>
      <c r="Q323" s="2"/>
      <c r="R323" s="2"/>
      <c r="S323" s="2"/>
      <c r="T323" s="2"/>
      <c r="U323" s="2"/>
      <c r="V323" s="2"/>
      <c r="W323" s="2"/>
    </row>
    <row r="324">
      <c r="A324" s="2"/>
      <c r="B324" s="2"/>
      <c r="C324" s="2"/>
      <c r="D324" s="2"/>
      <c r="E324" s="2"/>
      <c r="F324" s="2"/>
      <c r="G324" s="2"/>
      <c r="H324" s="2"/>
      <c r="I324" s="2"/>
      <c r="J324" s="2"/>
      <c r="K324" s="2"/>
      <c r="L324" s="2"/>
      <c r="M324" s="2"/>
      <c r="N324" s="2"/>
      <c r="O324" s="2"/>
      <c r="P324" s="2"/>
      <c r="Q324" s="2"/>
      <c r="R324" s="2"/>
      <c r="S324" s="2"/>
      <c r="T324" s="2"/>
      <c r="U324" s="2"/>
      <c r="V324" s="2"/>
      <c r="W324" s="2"/>
    </row>
    <row r="325">
      <c r="A325" s="2"/>
      <c r="B325" s="2"/>
      <c r="C325" s="2"/>
      <c r="D325" s="2"/>
      <c r="E325" s="2"/>
      <c r="F325" s="2"/>
      <c r="G325" s="2"/>
      <c r="H325" s="2"/>
      <c r="I325" s="2"/>
      <c r="J325" s="2"/>
      <c r="K325" s="2"/>
      <c r="L325" s="2"/>
      <c r="M325" s="2"/>
      <c r="N325" s="2"/>
      <c r="O325" s="2"/>
      <c r="P325" s="2"/>
      <c r="Q325" s="2"/>
      <c r="R325" s="2"/>
      <c r="S325" s="2"/>
      <c r="T325" s="2"/>
      <c r="U325" s="2"/>
      <c r="V325" s="2"/>
      <c r="W325" s="2"/>
    </row>
    <row r="326">
      <c r="A326" s="2"/>
      <c r="B326" s="2"/>
      <c r="C326" s="2"/>
      <c r="D326" s="2"/>
      <c r="E326" s="2"/>
      <c r="F326" s="2"/>
      <c r="G326" s="2"/>
      <c r="H326" s="2"/>
      <c r="I326" s="2"/>
      <c r="J326" s="2"/>
      <c r="K326" s="2"/>
      <c r="L326" s="2"/>
      <c r="M326" s="2"/>
      <c r="N326" s="2"/>
      <c r="O326" s="2"/>
      <c r="P326" s="2"/>
      <c r="Q326" s="2"/>
      <c r="R326" s="2"/>
      <c r="S326" s="2"/>
      <c r="T326" s="2"/>
      <c r="U326" s="2"/>
      <c r="V326" s="2"/>
      <c r="W326" s="2"/>
    </row>
    <row r="327">
      <c r="A327" s="2"/>
      <c r="B327" s="2"/>
      <c r="C327" s="2"/>
      <c r="D327" s="2"/>
      <c r="E327" s="2"/>
      <c r="F327" s="2"/>
      <c r="G327" s="2"/>
      <c r="H327" s="2"/>
      <c r="I327" s="2"/>
      <c r="J327" s="2"/>
      <c r="K327" s="2"/>
      <c r="L327" s="2"/>
      <c r="M327" s="2"/>
      <c r="N327" s="2"/>
      <c r="O327" s="2"/>
      <c r="P327" s="2"/>
      <c r="Q327" s="2"/>
      <c r="R327" s="2"/>
      <c r="S327" s="2"/>
      <c r="T327" s="2"/>
      <c r="U327" s="2"/>
      <c r="V327" s="2"/>
      <c r="W327" s="2"/>
    </row>
    <row r="328">
      <c r="A328" s="2"/>
      <c r="B328" s="2"/>
      <c r="C328" s="2"/>
      <c r="D328" s="2"/>
      <c r="E328" s="2"/>
      <c r="F328" s="2"/>
      <c r="G328" s="2"/>
      <c r="H328" s="2"/>
      <c r="I328" s="2"/>
      <c r="J328" s="2"/>
      <c r="K328" s="2"/>
      <c r="L328" s="2"/>
      <c r="M328" s="2"/>
      <c r="N328" s="2"/>
      <c r="O328" s="2"/>
      <c r="P328" s="2"/>
      <c r="Q328" s="2"/>
      <c r="R328" s="2"/>
      <c r="S328" s="2"/>
      <c r="T328" s="2"/>
      <c r="U328" s="2"/>
      <c r="V328" s="2"/>
      <c r="W328" s="2"/>
    </row>
    <row r="329">
      <c r="A329" s="2"/>
      <c r="B329" s="2"/>
      <c r="C329" s="2"/>
      <c r="D329" s="2"/>
      <c r="E329" s="2"/>
      <c r="F329" s="2"/>
      <c r="G329" s="2"/>
      <c r="H329" s="2"/>
      <c r="I329" s="2"/>
      <c r="J329" s="2"/>
      <c r="K329" s="2"/>
      <c r="L329" s="2"/>
      <c r="M329" s="2"/>
      <c r="N329" s="2"/>
      <c r="O329" s="2"/>
      <c r="P329" s="2"/>
      <c r="Q329" s="2"/>
      <c r="R329" s="2"/>
      <c r="S329" s="2"/>
      <c r="T329" s="2"/>
      <c r="U329" s="2"/>
      <c r="V329" s="2"/>
      <c r="W329" s="2"/>
    </row>
    <row r="330">
      <c r="A330" s="2"/>
      <c r="B330" s="2"/>
      <c r="C330" s="2"/>
      <c r="D330" s="2"/>
      <c r="E330" s="2"/>
      <c r="F330" s="2"/>
      <c r="G330" s="2"/>
      <c r="H330" s="2"/>
      <c r="I330" s="2"/>
      <c r="J330" s="2"/>
      <c r="K330" s="2"/>
      <c r="L330" s="2"/>
      <c r="M330" s="2"/>
      <c r="N330" s="2"/>
      <c r="O330" s="2"/>
      <c r="P330" s="2"/>
      <c r="Q330" s="2"/>
      <c r="R330" s="2"/>
      <c r="S330" s="2"/>
      <c r="T330" s="2"/>
      <c r="U330" s="2"/>
      <c r="V330" s="2"/>
      <c r="W330" s="2"/>
    </row>
    <row r="331">
      <c r="A331" s="2"/>
      <c r="B331" s="2"/>
      <c r="C331" s="2"/>
      <c r="D331" s="2"/>
      <c r="E331" s="2"/>
      <c r="F331" s="2"/>
      <c r="G331" s="2"/>
      <c r="H331" s="2"/>
      <c r="I331" s="2"/>
      <c r="J331" s="2"/>
      <c r="K331" s="2"/>
      <c r="L331" s="2"/>
      <c r="M331" s="2"/>
      <c r="N331" s="2"/>
      <c r="O331" s="2"/>
      <c r="P331" s="2"/>
      <c r="Q331" s="2"/>
      <c r="R331" s="2"/>
      <c r="S331" s="2"/>
      <c r="T331" s="2"/>
      <c r="U331" s="2"/>
      <c r="V331" s="2"/>
      <c r="W331" s="2"/>
    </row>
    <row r="332">
      <c r="A332" s="2"/>
      <c r="B332" s="2"/>
      <c r="C332" s="2"/>
      <c r="D332" s="2"/>
      <c r="E332" s="2"/>
      <c r="F332" s="2"/>
      <c r="G332" s="2"/>
      <c r="H332" s="2"/>
      <c r="I332" s="2"/>
      <c r="J332" s="2"/>
      <c r="K332" s="2"/>
      <c r="L332" s="2"/>
      <c r="M332" s="2"/>
      <c r="N332" s="2"/>
      <c r="O332" s="2"/>
      <c r="P332" s="2"/>
      <c r="Q332" s="2"/>
      <c r="R332" s="2"/>
      <c r="S332" s="2"/>
      <c r="T332" s="2"/>
      <c r="U332" s="2"/>
      <c r="V332" s="2"/>
      <c r="W332" s="2"/>
    </row>
    <row r="333">
      <c r="A333" s="2"/>
      <c r="B333" s="2"/>
      <c r="C333" s="2"/>
      <c r="D333" s="2"/>
      <c r="E333" s="2"/>
      <c r="F333" s="2"/>
      <c r="G333" s="2"/>
      <c r="H333" s="2"/>
      <c r="I333" s="2"/>
      <c r="J333" s="2"/>
      <c r="K333" s="2"/>
      <c r="L333" s="2"/>
      <c r="M333" s="2"/>
      <c r="N333" s="2"/>
      <c r="O333" s="2"/>
      <c r="P333" s="2"/>
      <c r="Q333" s="2"/>
      <c r="R333" s="2"/>
      <c r="S333" s="2"/>
      <c r="T333" s="2"/>
      <c r="U333" s="2"/>
      <c r="V333" s="2"/>
      <c r="W333" s="2"/>
    </row>
    <row r="334">
      <c r="A334" s="2"/>
      <c r="B334" s="2"/>
      <c r="C334" s="2"/>
      <c r="D334" s="2"/>
      <c r="E334" s="2"/>
      <c r="F334" s="2"/>
      <c r="G334" s="2"/>
      <c r="H334" s="2"/>
      <c r="I334" s="2"/>
      <c r="J334" s="2"/>
      <c r="K334" s="2"/>
      <c r="L334" s="2"/>
      <c r="M334" s="2"/>
      <c r="N334" s="2"/>
      <c r="O334" s="2"/>
      <c r="P334" s="2"/>
      <c r="Q334" s="2"/>
      <c r="R334" s="2"/>
      <c r="S334" s="2"/>
      <c r="T334" s="2"/>
      <c r="U334" s="2"/>
      <c r="V334" s="2"/>
      <c r="W334" s="2"/>
    </row>
    <row r="335">
      <c r="A335" s="2"/>
      <c r="B335" s="2"/>
      <c r="C335" s="2"/>
      <c r="D335" s="2"/>
      <c r="E335" s="2"/>
      <c r="F335" s="2"/>
      <c r="G335" s="2"/>
      <c r="H335" s="2"/>
      <c r="I335" s="2"/>
      <c r="J335" s="2"/>
      <c r="K335" s="2"/>
      <c r="L335" s="2"/>
      <c r="M335" s="2"/>
      <c r="N335" s="2"/>
      <c r="O335" s="2"/>
      <c r="P335" s="2"/>
      <c r="Q335" s="2"/>
      <c r="R335" s="2"/>
      <c r="S335" s="2"/>
      <c r="T335" s="2"/>
      <c r="U335" s="2"/>
      <c r="V335" s="2"/>
      <c r="W335" s="2"/>
    </row>
    <row r="336">
      <c r="A336" s="2"/>
      <c r="B336" s="2"/>
      <c r="C336" s="2"/>
      <c r="D336" s="2"/>
      <c r="E336" s="2"/>
      <c r="F336" s="2"/>
      <c r="G336" s="2"/>
      <c r="H336" s="2"/>
      <c r="I336" s="2"/>
      <c r="J336" s="2"/>
      <c r="K336" s="2"/>
      <c r="L336" s="2"/>
      <c r="M336" s="2"/>
      <c r="N336" s="2"/>
      <c r="O336" s="2"/>
      <c r="P336" s="2"/>
      <c r="Q336" s="2"/>
      <c r="R336" s="2"/>
      <c r="S336" s="2"/>
      <c r="T336" s="2"/>
      <c r="U336" s="2"/>
      <c r="V336" s="2"/>
      <c r="W336" s="2"/>
    </row>
    <row r="337">
      <c r="A337" s="2"/>
      <c r="B337" s="2"/>
      <c r="C337" s="2"/>
      <c r="D337" s="2"/>
      <c r="E337" s="2"/>
      <c r="F337" s="2"/>
      <c r="G337" s="2"/>
      <c r="H337" s="2"/>
      <c r="I337" s="2"/>
      <c r="J337" s="2"/>
      <c r="K337" s="2"/>
      <c r="L337" s="2"/>
      <c r="M337" s="2"/>
      <c r="N337" s="2"/>
      <c r="O337" s="2"/>
      <c r="P337" s="2"/>
      <c r="Q337" s="2"/>
      <c r="R337" s="2"/>
      <c r="S337" s="2"/>
      <c r="T337" s="2"/>
      <c r="U337" s="2"/>
      <c r="V337" s="2"/>
      <c r="W337" s="2"/>
    </row>
    <row r="338">
      <c r="A338" s="2"/>
      <c r="B338" s="2"/>
      <c r="C338" s="2"/>
      <c r="D338" s="2"/>
      <c r="E338" s="2"/>
      <c r="F338" s="2"/>
      <c r="G338" s="2"/>
      <c r="H338" s="2"/>
      <c r="I338" s="2"/>
      <c r="J338" s="2"/>
      <c r="K338" s="2"/>
      <c r="L338" s="2"/>
      <c r="M338" s="2"/>
      <c r="N338" s="2"/>
      <c r="O338" s="2"/>
      <c r="P338" s="2"/>
      <c r="Q338" s="2"/>
      <c r="R338" s="2"/>
      <c r="S338" s="2"/>
      <c r="T338" s="2"/>
      <c r="U338" s="2"/>
      <c r="V338" s="2"/>
      <c r="W338" s="2"/>
    </row>
    <row r="339">
      <c r="A339" s="2"/>
      <c r="B339" s="2"/>
      <c r="C339" s="2"/>
      <c r="D339" s="2"/>
      <c r="E339" s="2"/>
      <c r="F339" s="2"/>
      <c r="G339" s="2"/>
      <c r="H339" s="2"/>
      <c r="I339" s="2"/>
      <c r="J339" s="2"/>
      <c r="K339" s="2"/>
      <c r="L339" s="2"/>
      <c r="M339" s="2"/>
      <c r="N339" s="2"/>
      <c r="O339" s="2"/>
      <c r="P339" s="2"/>
      <c r="Q339" s="2"/>
      <c r="R339" s="2"/>
      <c r="S339" s="2"/>
      <c r="T339" s="2"/>
      <c r="U339" s="2"/>
      <c r="V339" s="2"/>
      <c r="W339" s="2"/>
    </row>
    <row r="340">
      <c r="A340" s="2"/>
      <c r="B340" s="2"/>
      <c r="C340" s="2"/>
      <c r="D340" s="2"/>
      <c r="E340" s="2"/>
      <c r="F340" s="2"/>
      <c r="G340" s="2"/>
      <c r="H340" s="2"/>
      <c r="I340" s="2"/>
      <c r="J340" s="2"/>
      <c r="K340" s="2"/>
      <c r="L340" s="2"/>
      <c r="M340" s="2"/>
      <c r="N340" s="2"/>
      <c r="O340" s="2"/>
      <c r="P340" s="2"/>
      <c r="Q340" s="2"/>
      <c r="R340" s="2"/>
      <c r="S340" s="2"/>
      <c r="T340" s="2"/>
      <c r="U340" s="2"/>
      <c r="V340" s="2"/>
      <c r="W340" s="2"/>
    </row>
    <row r="341">
      <c r="A341" s="2"/>
      <c r="B341" s="2"/>
      <c r="C341" s="2"/>
      <c r="D341" s="2"/>
      <c r="E341" s="2"/>
      <c r="F341" s="2"/>
      <c r="G341" s="2"/>
      <c r="H341" s="2"/>
      <c r="I341" s="2"/>
      <c r="J341" s="2"/>
      <c r="K341" s="2"/>
      <c r="L341" s="2"/>
      <c r="M341" s="2"/>
      <c r="N341" s="2"/>
      <c r="O341" s="2"/>
      <c r="P341" s="2"/>
      <c r="Q341" s="2"/>
      <c r="R341" s="2"/>
      <c r="S341" s="2"/>
      <c r="T341" s="2"/>
      <c r="U341" s="2"/>
      <c r="V341" s="2"/>
      <c r="W341" s="2"/>
    </row>
    <row r="342">
      <c r="A342" s="2"/>
      <c r="B342" s="2"/>
      <c r="C342" s="2"/>
      <c r="D342" s="2"/>
      <c r="E342" s="2"/>
      <c r="F342" s="2"/>
      <c r="G342" s="2"/>
      <c r="H342" s="2"/>
      <c r="I342" s="2"/>
      <c r="J342" s="2"/>
      <c r="K342" s="2"/>
      <c r="L342" s="2"/>
      <c r="M342" s="2"/>
      <c r="N342" s="2"/>
      <c r="O342" s="2"/>
      <c r="P342" s="2"/>
      <c r="Q342" s="2"/>
      <c r="R342" s="2"/>
      <c r="S342" s="2"/>
      <c r="T342" s="2"/>
      <c r="U342" s="2"/>
      <c r="V342" s="2"/>
      <c r="W342" s="2"/>
    </row>
    <row r="343">
      <c r="A343" s="2"/>
      <c r="B343" s="2"/>
      <c r="C343" s="2"/>
      <c r="D343" s="2"/>
      <c r="E343" s="2"/>
      <c r="F343" s="2"/>
      <c r="G343" s="2"/>
      <c r="H343" s="2"/>
      <c r="I343" s="2"/>
      <c r="J343" s="2"/>
      <c r="K343" s="2"/>
      <c r="L343" s="2"/>
      <c r="M343" s="2"/>
      <c r="N343" s="2"/>
      <c r="O343" s="2"/>
      <c r="P343" s="2"/>
      <c r="Q343" s="2"/>
      <c r="R343" s="2"/>
      <c r="S343" s="2"/>
      <c r="T343" s="2"/>
      <c r="U343" s="2"/>
      <c r="V343" s="2"/>
      <c r="W343" s="2"/>
    </row>
    <row r="344">
      <c r="A344" s="2"/>
      <c r="B344" s="2"/>
      <c r="C344" s="2"/>
      <c r="D344" s="2"/>
      <c r="E344" s="2"/>
      <c r="F344" s="2"/>
      <c r="G344" s="2"/>
      <c r="H344" s="2"/>
      <c r="I344" s="2"/>
      <c r="J344" s="2"/>
      <c r="K344" s="2"/>
      <c r="L344" s="2"/>
      <c r="M344" s="2"/>
      <c r="N344" s="2"/>
      <c r="O344" s="2"/>
      <c r="P344" s="2"/>
      <c r="Q344" s="2"/>
      <c r="R344" s="2"/>
      <c r="S344" s="2"/>
      <c r="T344" s="2"/>
      <c r="U344" s="2"/>
      <c r="V344" s="2"/>
      <c r="W344" s="2"/>
    </row>
    <row r="345">
      <c r="A345" s="2"/>
      <c r="B345" s="2"/>
      <c r="C345" s="2"/>
      <c r="D345" s="2"/>
      <c r="E345" s="2"/>
      <c r="F345" s="2"/>
      <c r="G345" s="2"/>
      <c r="H345" s="2"/>
      <c r="I345" s="2"/>
      <c r="J345" s="2"/>
      <c r="K345" s="2"/>
      <c r="L345" s="2"/>
      <c r="M345" s="2"/>
      <c r="N345" s="2"/>
      <c r="O345" s="2"/>
      <c r="P345" s="2"/>
      <c r="Q345" s="2"/>
      <c r="R345" s="2"/>
      <c r="S345" s="2"/>
      <c r="T345" s="2"/>
      <c r="U345" s="2"/>
      <c r="V345" s="2"/>
      <c r="W345" s="2"/>
    </row>
    <row r="346">
      <c r="A346" s="2"/>
      <c r="B346" s="2"/>
      <c r="C346" s="2"/>
      <c r="D346" s="2"/>
      <c r="E346" s="2"/>
      <c r="F346" s="2"/>
      <c r="G346" s="2"/>
      <c r="H346" s="2"/>
      <c r="I346" s="2"/>
      <c r="J346" s="2"/>
      <c r="K346" s="2"/>
      <c r="L346" s="2"/>
      <c r="M346" s="2"/>
      <c r="N346" s="2"/>
      <c r="O346" s="2"/>
      <c r="P346" s="2"/>
      <c r="Q346" s="2"/>
      <c r="R346" s="2"/>
      <c r="S346" s="2"/>
      <c r="T346" s="2"/>
      <c r="U346" s="2"/>
      <c r="V346" s="2"/>
      <c r="W346" s="2"/>
    </row>
    <row r="347">
      <c r="A347" s="2"/>
      <c r="B347" s="2"/>
      <c r="C347" s="2"/>
      <c r="D347" s="2"/>
      <c r="E347" s="2"/>
      <c r="F347" s="2"/>
      <c r="G347" s="2"/>
      <c r="H347" s="2"/>
      <c r="I347" s="2"/>
      <c r="J347" s="2"/>
      <c r="K347" s="2"/>
      <c r="L347" s="2"/>
      <c r="M347" s="2"/>
      <c r="N347" s="2"/>
      <c r="O347" s="2"/>
      <c r="P347" s="2"/>
      <c r="Q347" s="2"/>
      <c r="R347" s="2"/>
      <c r="S347" s="2"/>
      <c r="T347" s="2"/>
      <c r="U347" s="2"/>
      <c r="V347" s="2"/>
      <c r="W347" s="2"/>
    </row>
    <row r="348">
      <c r="A348" s="2"/>
      <c r="B348" s="2"/>
      <c r="C348" s="2"/>
      <c r="D348" s="2"/>
      <c r="E348" s="2"/>
      <c r="F348" s="2"/>
      <c r="G348" s="2"/>
      <c r="H348" s="2"/>
      <c r="I348" s="2"/>
      <c r="J348" s="2"/>
      <c r="K348" s="2"/>
      <c r="L348" s="2"/>
      <c r="M348" s="2"/>
      <c r="N348" s="2"/>
      <c r="O348" s="2"/>
      <c r="P348" s="2"/>
      <c r="Q348" s="2"/>
      <c r="R348" s="2"/>
      <c r="S348" s="2"/>
      <c r="T348" s="2"/>
      <c r="U348" s="2"/>
      <c r="V348" s="2"/>
      <c r="W348" s="2"/>
    </row>
    <row r="349">
      <c r="A349" s="2"/>
      <c r="B349" s="2"/>
      <c r="C349" s="2"/>
      <c r="D349" s="2"/>
      <c r="E349" s="2"/>
      <c r="F349" s="2"/>
      <c r="G349" s="2"/>
      <c r="H349" s="2"/>
      <c r="I349" s="2"/>
      <c r="J349" s="2"/>
      <c r="K349" s="2"/>
      <c r="L349" s="2"/>
      <c r="M349" s="2"/>
      <c r="N349" s="2"/>
      <c r="O349" s="2"/>
      <c r="P349" s="2"/>
      <c r="Q349" s="2"/>
      <c r="R349" s="2"/>
      <c r="S349" s="2"/>
      <c r="T349" s="2"/>
      <c r="U349" s="2"/>
      <c r="V349" s="2"/>
      <c r="W349" s="2"/>
    </row>
    <row r="350">
      <c r="A350" s="2"/>
      <c r="B350" s="2"/>
      <c r="C350" s="2"/>
      <c r="D350" s="2"/>
      <c r="E350" s="2"/>
      <c r="F350" s="2"/>
      <c r="G350" s="2"/>
      <c r="H350" s="2"/>
      <c r="I350" s="2"/>
      <c r="J350" s="2"/>
      <c r="K350" s="2"/>
      <c r="L350" s="2"/>
      <c r="M350" s="2"/>
      <c r="N350" s="2"/>
      <c r="O350" s="2"/>
      <c r="P350" s="2"/>
      <c r="Q350" s="2"/>
      <c r="R350" s="2"/>
      <c r="S350" s="2"/>
      <c r="T350" s="2"/>
      <c r="U350" s="2"/>
      <c r="V350" s="2"/>
      <c r="W350" s="2"/>
    </row>
    <row r="351">
      <c r="A351" s="2"/>
      <c r="B351" s="2"/>
      <c r="C351" s="2"/>
      <c r="D351" s="2"/>
      <c r="E351" s="2"/>
      <c r="F351" s="2"/>
      <c r="G351" s="2"/>
      <c r="H351" s="2"/>
      <c r="I351" s="2"/>
      <c r="J351" s="2"/>
      <c r="K351" s="2"/>
      <c r="L351" s="2"/>
      <c r="M351" s="2"/>
      <c r="N351" s="2"/>
      <c r="O351" s="2"/>
      <c r="P351" s="2"/>
      <c r="Q351" s="2"/>
      <c r="R351" s="2"/>
      <c r="S351" s="2"/>
      <c r="T351" s="2"/>
      <c r="U351" s="2"/>
      <c r="V351" s="2"/>
      <c r="W351" s="2"/>
    </row>
    <row r="352">
      <c r="A352" s="2"/>
      <c r="B352" s="2"/>
      <c r="C352" s="2"/>
      <c r="D352" s="2"/>
      <c r="E352" s="2"/>
      <c r="F352" s="2"/>
      <c r="G352" s="2"/>
      <c r="H352" s="2"/>
      <c r="I352" s="2"/>
      <c r="J352" s="2"/>
      <c r="K352" s="2"/>
      <c r="L352" s="2"/>
      <c r="M352" s="2"/>
      <c r="N352" s="2"/>
      <c r="O352" s="2"/>
      <c r="P352" s="2"/>
      <c r="Q352" s="2"/>
      <c r="R352" s="2"/>
      <c r="S352" s="2"/>
      <c r="T352" s="2"/>
      <c r="U352" s="2"/>
      <c r="V352" s="2"/>
      <c r="W352" s="2"/>
    </row>
    <row r="353">
      <c r="A353" s="2"/>
      <c r="B353" s="2"/>
      <c r="C353" s="2"/>
      <c r="D353" s="2"/>
      <c r="E353" s="2"/>
      <c r="F353" s="2"/>
      <c r="G353" s="2"/>
      <c r="H353" s="2"/>
      <c r="I353" s="2"/>
      <c r="J353" s="2"/>
      <c r="K353" s="2"/>
      <c r="L353" s="2"/>
      <c r="M353" s="2"/>
      <c r="N353" s="2"/>
      <c r="O353" s="2"/>
      <c r="P353" s="2"/>
      <c r="Q353" s="2"/>
      <c r="R353" s="2"/>
      <c r="S353" s="2"/>
      <c r="T353" s="2"/>
      <c r="U353" s="2"/>
      <c r="V353" s="2"/>
      <c r="W353" s="2"/>
    </row>
    <row r="354">
      <c r="A354" s="2"/>
      <c r="B354" s="2"/>
      <c r="C354" s="2"/>
      <c r="D354" s="2"/>
      <c r="E354" s="2"/>
      <c r="F354" s="2"/>
      <c r="G354" s="2"/>
      <c r="H354" s="2"/>
      <c r="I354" s="2"/>
      <c r="J354" s="2"/>
      <c r="K354" s="2"/>
      <c r="L354" s="2"/>
      <c r="M354" s="2"/>
      <c r="N354" s="2"/>
      <c r="O354" s="2"/>
      <c r="P354" s="2"/>
      <c r="Q354" s="2"/>
      <c r="R354" s="2"/>
      <c r="S354" s="2"/>
      <c r="T354" s="2"/>
      <c r="U354" s="2"/>
      <c r="V354" s="2"/>
      <c r="W354" s="2"/>
    </row>
    <row r="355">
      <c r="A355" s="2"/>
      <c r="B355" s="2"/>
      <c r="C355" s="2"/>
      <c r="D355" s="2"/>
      <c r="E355" s="2"/>
      <c r="F355" s="2"/>
      <c r="G355" s="2"/>
      <c r="H355" s="2"/>
      <c r="I355" s="2"/>
      <c r="J355" s="2"/>
      <c r="K355" s="2"/>
      <c r="L355" s="2"/>
      <c r="M355" s="2"/>
      <c r="N355" s="2"/>
      <c r="O355" s="2"/>
      <c r="P355" s="2"/>
      <c r="Q355" s="2"/>
      <c r="R355" s="2"/>
      <c r="S355" s="2"/>
      <c r="T355" s="2"/>
      <c r="U355" s="2"/>
      <c r="V355" s="2"/>
      <c r="W355" s="2"/>
    </row>
    <row r="356">
      <c r="A356" s="2"/>
      <c r="B356" s="2"/>
      <c r="C356" s="2"/>
      <c r="D356" s="2"/>
      <c r="E356" s="2"/>
      <c r="F356" s="2"/>
      <c r="G356" s="2"/>
      <c r="H356" s="2"/>
      <c r="I356" s="2"/>
      <c r="J356" s="2"/>
      <c r="K356" s="2"/>
      <c r="L356" s="2"/>
      <c r="M356" s="2"/>
      <c r="N356" s="2"/>
      <c r="O356" s="2"/>
      <c r="P356" s="2"/>
      <c r="Q356" s="2"/>
      <c r="R356" s="2"/>
      <c r="S356" s="2"/>
      <c r="T356" s="2"/>
      <c r="U356" s="2"/>
      <c r="V356" s="2"/>
      <c r="W356" s="2"/>
    </row>
    <row r="357">
      <c r="A357" s="2"/>
      <c r="B357" s="2"/>
      <c r="C357" s="2"/>
      <c r="D357" s="2"/>
      <c r="E357" s="2"/>
      <c r="F357" s="2"/>
      <c r="G357" s="2"/>
      <c r="H357" s="2"/>
      <c r="I357" s="2"/>
      <c r="J357" s="2"/>
      <c r="K357" s="2"/>
      <c r="L357" s="2"/>
      <c r="M357" s="2"/>
      <c r="N357" s="2"/>
      <c r="O357" s="2"/>
      <c r="P357" s="2"/>
      <c r="Q357" s="2"/>
      <c r="R357" s="2"/>
      <c r="S357" s="2"/>
      <c r="T357" s="2"/>
      <c r="U357" s="2"/>
      <c r="V357" s="2"/>
      <c r="W357" s="2"/>
    </row>
    <row r="358">
      <c r="A358" s="2"/>
      <c r="B358" s="2"/>
      <c r="C358" s="2"/>
      <c r="D358" s="2"/>
      <c r="E358" s="2"/>
      <c r="F358" s="2"/>
      <c r="G358" s="2"/>
      <c r="H358" s="2"/>
      <c r="I358" s="2"/>
      <c r="J358" s="2"/>
      <c r="K358" s="2"/>
      <c r="L358" s="2"/>
      <c r="M358" s="2"/>
      <c r="N358" s="2"/>
      <c r="O358" s="2"/>
      <c r="P358" s="2"/>
      <c r="Q358" s="2"/>
      <c r="R358" s="2"/>
      <c r="S358" s="2"/>
      <c r="T358" s="2"/>
      <c r="U358" s="2"/>
      <c r="V358" s="2"/>
      <c r="W358" s="2"/>
    </row>
    <row r="359">
      <c r="A359" s="2"/>
      <c r="B359" s="2"/>
      <c r="C359" s="2"/>
      <c r="D359" s="2"/>
      <c r="E359" s="2"/>
      <c r="F359" s="2"/>
      <c r="G359" s="2"/>
      <c r="H359" s="2"/>
      <c r="I359" s="2"/>
      <c r="J359" s="2"/>
      <c r="K359" s="2"/>
      <c r="L359" s="2"/>
      <c r="M359" s="2"/>
      <c r="N359" s="2"/>
      <c r="O359" s="2"/>
      <c r="P359" s="2"/>
      <c r="Q359" s="2"/>
      <c r="R359" s="2"/>
      <c r="S359" s="2"/>
      <c r="T359" s="2"/>
      <c r="U359" s="2"/>
      <c r="V359" s="2"/>
      <c r="W359" s="2"/>
    </row>
    <row r="360">
      <c r="A360" s="2"/>
      <c r="B360" s="2"/>
      <c r="C360" s="2"/>
      <c r="D360" s="2"/>
      <c r="E360" s="2"/>
      <c r="F360" s="2"/>
      <c r="G360" s="2"/>
      <c r="H360" s="2"/>
      <c r="I360" s="2"/>
      <c r="J360" s="2"/>
      <c r="K360" s="2"/>
      <c r="L360" s="2"/>
      <c r="M360" s="2"/>
      <c r="N360" s="2"/>
      <c r="O360" s="2"/>
      <c r="P360" s="2"/>
      <c r="Q360" s="2"/>
      <c r="R360" s="2"/>
      <c r="S360" s="2"/>
      <c r="T360" s="2"/>
      <c r="U360" s="2"/>
      <c r="V360" s="2"/>
      <c r="W360" s="2"/>
    </row>
    <row r="361">
      <c r="A361" s="2"/>
      <c r="B361" s="2"/>
      <c r="C361" s="2"/>
      <c r="D361" s="2"/>
      <c r="E361" s="2"/>
      <c r="F361" s="2"/>
      <c r="G361" s="2"/>
      <c r="H361" s="2"/>
      <c r="I361" s="2"/>
      <c r="J361" s="2"/>
      <c r="K361" s="2"/>
      <c r="L361" s="2"/>
      <c r="M361" s="2"/>
      <c r="N361" s="2"/>
      <c r="O361" s="2"/>
      <c r="P361" s="2"/>
      <c r="Q361" s="2"/>
      <c r="R361" s="2"/>
      <c r="S361" s="2"/>
      <c r="T361" s="2"/>
      <c r="U361" s="2"/>
      <c r="V361" s="2"/>
      <c r="W361" s="2"/>
    </row>
    <row r="362">
      <c r="A362" s="2"/>
      <c r="B362" s="2"/>
      <c r="C362" s="2"/>
      <c r="D362" s="2"/>
      <c r="E362" s="2"/>
      <c r="F362" s="2"/>
      <c r="G362" s="2"/>
      <c r="H362" s="2"/>
      <c r="I362" s="2"/>
      <c r="J362" s="2"/>
      <c r="K362" s="2"/>
      <c r="L362" s="2"/>
      <c r="M362" s="2"/>
      <c r="N362" s="2"/>
      <c r="O362" s="2"/>
      <c r="P362" s="2"/>
      <c r="Q362" s="2"/>
      <c r="R362" s="2"/>
      <c r="S362" s="2"/>
      <c r="T362" s="2"/>
      <c r="U362" s="2"/>
      <c r="V362" s="2"/>
      <c r="W362" s="2"/>
    </row>
    <row r="363">
      <c r="A363" s="2"/>
      <c r="B363" s="2"/>
      <c r="C363" s="2"/>
      <c r="D363" s="2"/>
      <c r="E363" s="2"/>
      <c r="F363" s="2"/>
      <c r="G363" s="2"/>
      <c r="H363" s="2"/>
      <c r="I363" s="2"/>
      <c r="J363" s="2"/>
      <c r="K363" s="2"/>
      <c r="L363" s="2"/>
      <c r="M363" s="2"/>
      <c r="N363" s="2"/>
      <c r="O363" s="2"/>
      <c r="P363" s="2"/>
      <c r="Q363" s="2"/>
      <c r="R363" s="2"/>
      <c r="S363" s="2"/>
      <c r="T363" s="2"/>
      <c r="U363" s="2"/>
      <c r="V363" s="2"/>
      <c r="W363" s="2"/>
    </row>
    <row r="364">
      <c r="A364" s="2"/>
      <c r="B364" s="2"/>
      <c r="C364" s="2"/>
      <c r="D364" s="2"/>
      <c r="E364" s="2"/>
      <c r="F364" s="2"/>
      <c r="G364" s="2"/>
      <c r="H364" s="2"/>
      <c r="I364" s="2"/>
      <c r="J364" s="2"/>
      <c r="K364" s="2"/>
      <c r="L364" s="2"/>
      <c r="M364" s="2"/>
      <c r="N364" s="2"/>
      <c r="O364" s="2"/>
      <c r="P364" s="2"/>
      <c r="Q364" s="2"/>
      <c r="R364" s="2"/>
      <c r="S364" s="2"/>
      <c r="T364" s="2"/>
      <c r="U364" s="2"/>
      <c r="V364" s="2"/>
      <c r="W364" s="2"/>
    </row>
    <row r="365">
      <c r="A365" s="2"/>
      <c r="B365" s="2"/>
      <c r="C365" s="2"/>
      <c r="D365" s="2"/>
      <c r="E365" s="2"/>
      <c r="F365" s="2"/>
      <c r="G365" s="2"/>
      <c r="H365" s="2"/>
      <c r="I365" s="2"/>
      <c r="J365" s="2"/>
      <c r="K365" s="2"/>
      <c r="L365" s="2"/>
      <c r="M365" s="2"/>
      <c r="N365" s="2"/>
      <c r="O365" s="2"/>
      <c r="P365" s="2"/>
      <c r="Q365" s="2"/>
      <c r="R365" s="2"/>
      <c r="S365" s="2"/>
      <c r="T365" s="2"/>
      <c r="U365" s="2"/>
      <c r="V365" s="2"/>
      <c r="W365" s="2"/>
    </row>
    <row r="366">
      <c r="A366" s="2"/>
      <c r="B366" s="2"/>
      <c r="C366" s="2"/>
      <c r="D366" s="2"/>
      <c r="E366" s="2"/>
      <c r="F366" s="2"/>
      <c r="G366" s="2"/>
      <c r="H366" s="2"/>
      <c r="I366" s="2"/>
      <c r="J366" s="2"/>
      <c r="K366" s="2"/>
      <c r="L366" s="2"/>
      <c r="M366" s="2"/>
      <c r="N366" s="2"/>
      <c r="O366" s="2"/>
      <c r="P366" s="2"/>
      <c r="Q366" s="2"/>
      <c r="R366" s="2"/>
      <c r="S366" s="2"/>
      <c r="T366" s="2"/>
      <c r="U366" s="2"/>
      <c r="V366" s="2"/>
      <c r="W366" s="2"/>
    </row>
    <row r="367">
      <c r="A367" s="2"/>
      <c r="B367" s="2"/>
      <c r="C367" s="2"/>
      <c r="D367" s="2"/>
      <c r="E367" s="2"/>
      <c r="F367" s="2"/>
      <c r="G367" s="2"/>
      <c r="H367" s="2"/>
      <c r="I367" s="2"/>
      <c r="J367" s="2"/>
      <c r="K367" s="2"/>
      <c r="L367" s="2"/>
      <c r="M367" s="2"/>
      <c r="N367" s="2"/>
      <c r="O367" s="2"/>
      <c r="P367" s="2"/>
      <c r="Q367" s="2"/>
      <c r="R367" s="2"/>
      <c r="S367" s="2"/>
      <c r="T367" s="2"/>
      <c r="U367" s="2"/>
      <c r="V367" s="2"/>
      <c r="W367" s="2"/>
    </row>
    <row r="368">
      <c r="A368" s="2"/>
      <c r="B368" s="2"/>
      <c r="C368" s="2"/>
      <c r="D368" s="2"/>
      <c r="E368" s="2"/>
      <c r="F368" s="2"/>
      <c r="G368" s="2"/>
      <c r="H368" s="2"/>
      <c r="I368" s="2"/>
      <c r="J368" s="2"/>
      <c r="K368" s="2"/>
      <c r="L368" s="2"/>
      <c r="M368" s="2"/>
      <c r="N368" s="2"/>
      <c r="O368" s="2"/>
      <c r="P368" s="2"/>
      <c r="Q368" s="2"/>
      <c r="R368" s="2"/>
      <c r="S368" s="2"/>
      <c r="T368" s="2"/>
      <c r="U368" s="2"/>
      <c r="V368" s="2"/>
      <c r="W368" s="2"/>
    </row>
    <row r="369">
      <c r="A369" s="2"/>
      <c r="B369" s="2"/>
      <c r="C369" s="2"/>
      <c r="D369" s="2"/>
      <c r="E369" s="2"/>
      <c r="F369" s="2"/>
      <c r="G369" s="2"/>
      <c r="H369" s="2"/>
      <c r="I369" s="2"/>
      <c r="J369" s="2"/>
      <c r="K369" s="2"/>
      <c r="L369" s="2"/>
      <c r="M369" s="2"/>
      <c r="N369" s="2"/>
      <c r="O369" s="2"/>
      <c r="P369" s="2"/>
      <c r="Q369" s="2"/>
      <c r="R369" s="2"/>
      <c r="S369" s="2"/>
      <c r="T369" s="2"/>
      <c r="U369" s="2"/>
      <c r="V369" s="2"/>
      <c r="W369" s="2"/>
    </row>
    <row r="370">
      <c r="A370" s="2"/>
      <c r="B370" s="2"/>
      <c r="C370" s="2"/>
      <c r="D370" s="2"/>
      <c r="E370" s="2"/>
      <c r="F370" s="2"/>
      <c r="G370" s="2"/>
      <c r="H370" s="2"/>
      <c r="I370" s="2"/>
      <c r="J370" s="2"/>
      <c r="K370" s="2"/>
      <c r="L370" s="2"/>
      <c r="M370" s="2"/>
      <c r="N370" s="2"/>
      <c r="O370" s="2"/>
      <c r="P370" s="2"/>
      <c r="Q370" s="2"/>
      <c r="R370" s="2"/>
      <c r="S370" s="2"/>
      <c r="T370" s="2"/>
      <c r="U370" s="2"/>
      <c r="V370" s="2"/>
      <c r="W370" s="2"/>
    </row>
    <row r="371">
      <c r="A371" s="2"/>
      <c r="B371" s="2"/>
      <c r="C371" s="2"/>
      <c r="D371" s="2"/>
      <c r="E371" s="2"/>
      <c r="F371" s="2"/>
      <c r="G371" s="2"/>
      <c r="H371" s="2"/>
      <c r="I371" s="2"/>
      <c r="J371" s="2"/>
      <c r="K371" s="2"/>
      <c r="L371" s="2"/>
      <c r="M371" s="2"/>
      <c r="N371" s="2"/>
      <c r="O371" s="2"/>
      <c r="P371" s="2"/>
      <c r="Q371" s="2"/>
      <c r="R371" s="2"/>
      <c r="S371" s="2"/>
      <c r="T371" s="2"/>
      <c r="U371" s="2"/>
      <c r="V371" s="2"/>
      <c r="W371" s="2"/>
    </row>
    <row r="372">
      <c r="A372" s="2"/>
      <c r="B372" s="2"/>
      <c r="C372" s="2"/>
      <c r="D372" s="2"/>
      <c r="E372" s="2"/>
      <c r="F372" s="2"/>
      <c r="G372" s="2"/>
      <c r="H372" s="2"/>
      <c r="I372" s="2"/>
      <c r="J372" s="2"/>
      <c r="K372" s="2"/>
      <c r="L372" s="2"/>
      <c r="M372" s="2"/>
      <c r="N372" s="2"/>
      <c r="O372" s="2"/>
      <c r="P372" s="2"/>
      <c r="Q372" s="2"/>
      <c r="R372" s="2"/>
      <c r="S372" s="2"/>
      <c r="T372" s="2"/>
      <c r="U372" s="2"/>
      <c r="V372" s="2"/>
      <c r="W372" s="2"/>
    </row>
    <row r="373">
      <c r="A373" s="2"/>
      <c r="B373" s="2"/>
      <c r="C373" s="2"/>
      <c r="D373" s="2"/>
      <c r="E373" s="2"/>
      <c r="F373" s="2"/>
      <c r="G373" s="2"/>
      <c r="H373" s="2"/>
      <c r="I373" s="2"/>
      <c r="J373" s="2"/>
      <c r="K373" s="2"/>
      <c r="L373" s="2"/>
      <c r="M373" s="2"/>
      <c r="N373" s="2"/>
      <c r="O373" s="2"/>
      <c r="P373" s="2"/>
      <c r="Q373" s="2"/>
      <c r="R373" s="2"/>
      <c r="S373" s="2"/>
      <c r="T373" s="2"/>
      <c r="U373" s="2"/>
      <c r="V373" s="2"/>
      <c r="W373" s="2"/>
    </row>
    <row r="374">
      <c r="A374" s="2"/>
      <c r="B374" s="2"/>
      <c r="C374" s="2"/>
      <c r="D374" s="2"/>
      <c r="E374" s="2"/>
      <c r="F374" s="2"/>
      <c r="G374" s="2"/>
      <c r="H374" s="2"/>
      <c r="I374" s="2"/>
      <c r="J374" s="2"/>
      <c r="K374" s="2"/>
      <c r="L374" s="2"/>
      <c r="M374" s="2"/>
      <c r="N374" s="2"/>
      <c r="O374" s="2"/>
      <c r="P374" s="2"/>
      <c r="Q374" s="2"/>
      <c r="R374" s="2"/>
      <c r="S374" s="2"/>
      <c r="T374" s="2"/>
      <c r="U374" s="2"/>
      <c r="V374" s="2"/>
      <c r="W374" s="2"/>
    </row>
    <row r="375">
      <c r="A375" s="2"/>
      <c r="B375" s="2"/>
      <c r="C375" s="2"/>
      <c r="D375" s="2"/>
      <c r="E375" s="2"/>
      <c r="F375" s="2"/>
      <c r="G375" s="2"/>
      <c r="H375" s="2"/>
      <c r="I375" s="2"/>
      <c r="J375" s="2"/>
      <c r="K375" s="2"/>
      <c r="L375" s="2"/>
      <c r="M375" s="2"/>
      <c r="N375" s="2"/>
      <c r="O375" s="2"/>
      <c r="P375" s="2"/>
      <c r="Q375" s="2"/>
      <c r="R375" s="2"/>
      <c r="S375" s="2"/>
      <c r="T375" s="2"/>
      <c r="U375" s="2"/>
      <c r="V375" s="2"/>
      <c r="W375" s="2"/>
    </row>
    <row r="376">
      <c r="A376" s="2"/>
      <c r="B376" s="2"/>
      <c r="C376" s="2"/>
      <c r="D376" s="2"/>
      <c r="E376" s="2"/>
      <c r="F376" s="2"/>
      <c r="G376" s="2"/>
      <c r="H376" s="2"/>
      <c r="I376" s="2"/>
      <c r="J376" s="2"/>
      <c r="K376" s="2"/>
      <c r="L376" s="2"/>
      <c r="M376" s="2"/>
      <c r="N376" s="2"/>
      <c r="O376" s="2"/>
      <c r="P376" s="2"/>
      <c r="Q376" s="2"/>
      <c r="R376" s="2"/>
      <c r="S376" s="2"/>
      <c r="T376" s="2"/>
      <c r="U376" s="2"/>
      <c r="V376" s="2"/>
      <c r="W376" s="2"/>
    </row>
    <row r="377">
      <c r="A377" s="2"/>
      <c r="B377" s="2"/>
      <c r="C377" s="2"/>
      <c r="D377" s="2"/>
      <c r="E377" s="2"/>
      <c r="F377" s="2"/>
      <c r="G377" s="2"/>
      <c r="H377" s="2"/>
      <c r="I377" s="2"/>
      <c r="J377" s="2"/>
      <c r="K377" s="2"/>
      <c r="L377" s="2"/>
      <c r="M377" s="2"/>
      <c r="N377" s="2"/>
      <c r="O377" s="2"/>
      <c r="P377" s="2"/>
      <c r="Q377" s="2"/>
      <c r="R377" s="2"/>
      <c r="S377" s="2"/>
      <c r="T377" s="2"/>
      <c r="U377" s="2"/>
      <c r="V377" s="2"/>
      <c r="W377" s="2"/>
    </row>
    <row r="378">
      <c r="A378" s="2"/>
      <c r="B378" s="2"/>
      <c r="C378" s="2"/>
      <c r="D378" s="2"/>
      <c r="E378" s="2"/>
      <c r="F378" s="2"/>
      <c r="G378" s="2"/>
      <c r="H378" s="2"/>
      <c r="I378" s="2"/>
      <c r="J378" s="2"/>
      <c r="K378" s="2"/>
      <c r="L378" s="2"/>
      <c r="M378" s="2"/>
      <c r="N378" s="2"/>
      <c r="O378" s="2"/>
      <c r="P378" s="2"/>
      <c r="Q378" s="2"/>
      <c r="R378" s="2"/>
      <c r="S378" s="2"/>
      <c r="T378" s="2"/>
      <c r="U378" s="2"/>
      <c r="V378" s="2"/>
      <c r="W378" s="2"/>
    </row>
    <row r="379">
      <c r="A379" s="2"/>
      <c r="B379" s="2"/>
      <c r="C379" s="2"/>
      <c r="D379" s="2"/>
      <c r="E379" s="2"/>
      <c r="F379" s="2"/>
      <c r="G379" s="2"/>
      <c r="H379" s="2"/>
      <c r="I379" s="2"/>
      <c r="J379" s="2"/>
      <c r="K379" s="2"/>
      <c r="L379" s="2"/>
      <c r="M379" s="2"/>
      <c r="N379" s="2"/>
      <c r="O379" s="2"/>
      <c r="P379" s="2"/>
      <c r="Q379" s="2"/>
      <c r="R379" s="2"/>
      <c r="S379" s="2"/>
      <c r="T379" s="2"/>
      <c r="U379" s="2"/>
      <c r="V379" s="2"/>
      <c r="W379" s="2"/>
    </row>
    <row r="380">
      <c r="A380" s="2"/>
      <c r="B380" s="2"/>
      <c r="C380" s="2"/>
      <c r="D380" s="2"/>
      <c r="E380" s="2"/>
      <c r="F380" s="2"/>
      <c r="G380" s="2"/>
      <c r="H380" s="2"/>
      <c r="I380" s="2"/>
      <c r="J380" s="2"/>
      <c r="K380" s="2"/>
      <c r="L380" s="2"/>
      <c r="M380" s="2"/>
      <c r="N380" s="2"/>
      <c r="O380" s="2"/>
      <c r="P380" s="2"/>
      <c r="Q380" s="2"/>
      <c r="R380" s="2"/>
      <c r="S380" s="2"/>
      <c r="T380" s="2"/>
      <c r="U380" s="2"/>
      <c r="V380" s="2"/>
      <c r="W380" s="2"/>
    </row>
    <row r="381">
      <c r="A381" s="2"/>
      <c r="B381" s="2"/>
      <c r="C381" s="2"/>
      <c r="D381" s="2"/>
      <c r="E381" s="2"/>
      <c r="F381" s="2"/>
      <c r="G381" s="2"/>
      <c r="H381" s="2"/>
      <c r="I381" s="2"/>
      <c r="J381" s="2"/>
      <c r="K381" s="2"/>
      <c r="L381" s="2"/>
      <c r="M381" s="2"/>
      <c r="N381" s="2"/>
      <c r="O381" s="2"/>
      <c r="P381" s="2"/>
      <c r="Q381" s="2"/>
      <c r="R381" s="2"/>
      <c r="S381" s="2"/>
      <c r="T381" s="2"/>
      <c r="U381" s="2"/>
      <c r="V381" s="2"/>
      <c r="W381" s="2"/>
    </row>
    <row r="382">
      <c r="A382" s="2"/>
      <c r="B382" s="2"/>
      <c r="C382" s="2"/>
      <c r="D382" s="2"/>
      <c r="E382" s="2"/>
      <c r="F382" s="2"/>
      <c r="G382" s="2"/>
      <c r="H382" s="2"/>
      <c r="I382" s="2"/>
      <c r="J382" s="2"/>
      <c r="K382" s="2"/>
      <c r="L382" s="2"/>
      <c r="M382" s="2"/>
      <c r="N382" s="2"/>
      <c r="O382" s="2"/>
      <c r="P382" s="2"/>
      <c r="Q382" s="2"/>
      <c r="R382" s="2"/>
      <c r="S382" s="2"/>
      <c r="T382" s="2"/>
      <c r="U382" s="2"/>
      <c r="V382" s="2"/>
      <c r="W382" s="2"/>
    </row>
    <row r="383">
      <c r="A383" s="2"/>
      <c r="B383" s="2"/>
      <c r="C383" s="2"/>
      <c r="D383" s="2"/>
      <c r="E383" s="2"/>
      <c r="F383" s="2"/>
      <c r="G383" s="2"/>
      <c r="H383" s="2"/>
      <c r="I383" s="2"/>
      <c r="J383" s="2"/>
      <c r="K383" s="2"/>
      <c r="L383" s="2"/>
      <c r="M383" s="2"/>
      <c r="N383" s="2"/>
      <c r="O383" s="2"/>
      <c r="P383" s="2"/>
      <c r="Q383" s="2"/>
      <c r="R383" s="2"/>
      <c r="S383" s="2"/>
      <c r="T383" s="2"/>
      <c r="U383" s="2"/>
      <c r="V383" s="2"/>
      <c r="W383" s="2"/>
    </row>
    <row r="384">
      <c r="A384" s="2"/>
      <c r="B384" s="2"/>
      <c r="C384" s="2"/>
      <c r="D384" s="2"/>
      <c r="E384" s="2"/>
      <c r="F384" s="2"/>
      <c r="G384" s="2"/>
      <c r="H384" s="2"/>
      <c r="I384" s="2"/>
      <c r="J384" s="2"/>
      <c r="K384" s="2"/>
      <c r="L384" s="2"/>
      <c r="M384" s="2"/>
      <c r="N384" s="2"/>
      <c r="O384" s="2"/>
      <c r="P384" s="2"/>
      <c r="Q384" s="2"/>
      <c r="R384" s="2"/>
      <c r="S384" s="2"/>
      <c r="T384" s="2"/>
      <c r="U384" s="2"/>
      <c r="V384" s="2"/>
      <c r="W384" s="2"/>
    </row>
    <row r="385">
      <c r="A385" s="2"/>
      <c r="B385" s="2"/>
      <c r="C385" s="2"/>
      <c r="D385" s="2"/>
      <c r="E385" s="2"/>
      <c r="F385" s="2"/>
      <c r="G385" s="2"/>
      <c r="H385" s="2"/>
      <c r="I385" s="2"/>
      <c r="J385" s="2"/>
      <c r="K385" s="2"/>
      <c r="L385" s="2"/>
      <c r="M385" s="2"/>
      <c r="N385" s="2"/>
      <c r="O385" s="2"/>
      <c r="P385" s="2"/>
      <c r="Q385" s="2"/>
      <c r="R385" s="2"/>
      <c r="S385" s="2"/>
      <c r="T385" s="2"/>
      <c r="U385" s="2"/>
      <c r="V385" s="2"/>
      <c r="W385" s="2"/>
    </row>
    <row r="386">
      <c r="A386" s="2"/>
      <c r="B386" s="2"/>
      <c r="C386" s="2"/>
      <c r="D386" s="2"/>
      <c r="E386" s="2"/>
      <c r="F386" s="2"/>
      <c r="G386" s="2"/>
      <c r="H386" s="2"/>
      <c r="I386" s="2"/>
      <c r="J386" s="2"/>
      <c r="K386" s="2"/>
      <c r="L386" s="2"/>
      <c r="M386" s="2"/>
      <c r="N386" s="2"/>
      <c r="O386" s="2"/>
      <c r="P386" s="2"/>
      <c r="Q386" s="2"/>
      <c r="R386" s="2"/>
      <c r="S386" s="2"/>
      <c r="T386" s="2"/>
      <c r="U386" s="2"/>
      <c r="V386" s="2"/>
      <c r="W386" s="2"/>
    </row>
    <row r="387">
      <c r="A387" s="2"/>
      <c r="B387" s="2"/>
      <c r="C387" s="2"/>
      <c r="D387" s="2"/>
      <c r="E387" s="2"/>
      <c r="F387" s="2"/>
      <c r="G387" s="2"/>
      <c r="H387" s="2"/>
      <c r="I387" s="2"/>
      <c r="J387" s="2"/>
      <c r="K387" s="2"/>
      <c r="L387" s="2"/>
      <c r="M387" s="2"/>
      <c r="N387" s="2"/>
      <c r="O387" s="2"/>
      <c r="P387" s="2"/>
      <c r="Q387" s="2"/>
      <c r="R387" s="2"/>
      <c r="S387" s="2"/>
      <c r="T387" s="2"/>
      <c r="U387" s="2"/>
      <c r="V387" s="2"/>
      <c r="W387" s="2"/>
    </row>
    <row r="388">
      <c r="A388" s="2"/>
      <c r="B388" s="2"/>
      <c r="C388" s="2"/>
      <c r="D388" s="2"/>
      <c r="E388" s="2"/>
      <c r="F388" s="2"/>
      <c r="G388" s="2"/>
      <c r="H388" s="2"/>
      <c r="I388" s="2"/>
      <c r="J388" s="2"/>
      <c r="K388" s="2"/>
      <c r="L388" s="2"/>
      <c r="M388" s="2"/>
      <c r="N388" s="2"/>
      <c r="O388" s="2"/>
      <c r="P388" s="2"/>
      <c r="Q388" s="2"/>
      <c r="R388" s="2"/>
      <c r="S388" s="2"/>
      <c r="T388" s="2"/>
      <c r="U388" s="2"/>
      <c r="V388" s="2"/>
      <c r="W388" s="2"/>
    </row>
    <row r="389">
      <c r="A389" s="2"/>
      <c r="B389" s="2"/>
      <c r="C389" s="2"/>
      <c r="D389" s="2"/>
      <c r="E389" s="2"/>
      <c r="F389" s="2"/>
      <c r="G389" s="2"/>
      <c r="H389" s="2"/>
      <c r="I389" s="2"/>
      <c r="J389" s="2"/>
      <c r="K389" s="2"/>
      <c r="L389" s="2"/>
      <c r="M389" s="2"/>
      <c r="N389" s="2"/>
      <c r="O389" s="2"/>
      <c r="P389" s="2"/>
      <c r="Q389" s="2"/>
      <c r="R389" s="2"/>
      <c r="S389" s="2"/>
      <c r="T389" s="2"/>
      <c r="U389" s="2"/>
      <c r="V389" s="2"/>
      <c r="W389" s="2"/>
    </row>
    <row r="390">
      <c r="A390" s="2"/>
      <c r="B390" s="2"/>
      <c r="C390" s="2"/>
      <c r="D390" s="2"/>
      <c r="E390" s="2"/>
      <c r="F390" s="2"/>
      <c r="G390" s="2"/>
      <c r="H390" s="2"/>
      <c r="I390" s="2"/>
      <c r="J390" s="2"/>
      <c r="K390" s="2"/>
      <c r="L390" s="2"/>
      <c r="M390" s="2"/>
      <c r="N390" s="2"/>
      <c r="O390" s="2"/>
      <c r="P390" s="2"/>
      <c r="Q390" s="2"/>
      <c r="R390" s="2"/>
      <c r="S390" s="2"/>
      <c r="T390" s="2"/>
      <c r="U390" s="2"/>
      <c r="V390" s="2"/>
      <c r="W390" s="2"/>
    </row>
    <row r="391">
      <c r="A391" s="2"/>
      <c r="B391" s="2"/>
      <c r="C391" s="2"/>
      <c r="D391" s="2"/>
      <c r="E391" s="2"/>
      <c r="F391" s="2"/>
      <c r="G391" s="2"/>
      <c r="H391" s="2"/>
      <c r="I391" s="2"/>
      <c r="J391" s="2"/>
      <c r="K391" s="2"/>
      <c r="L391" s="2"/>
      <c r="M391" s="2"/>
      <c r="N391" s="2"/>
      <c r="O391" s="2"/>
      <c r="P391" s="2"/>
      <c r="Q391" s="2"/>
      <c r="R391" s="2"/>
      <c r="S391" s="2"/>
      <c r="T391" s="2"/>
      <c r="U391" s="2"/>
      <c r="V391" s="2"/>
      <c r="W391" s="2"/>
    </row>
    <row r="392">
      <c r="A392" s="2"/>
      <c r="B392" s="2"/>
      <c r="C392" s="2"/>
      <c r="D392" s="2"/>
      <c r="E392" s="2"/>
      <c r="F392" s="2"/>
      <c r="G392" s="2"/>
      <c r="H392" s="2"/>
      <c r="I392" s="2"/>
      <c r="J392" s="2"/>
      <c r="K392" s="2"/>
      <c r="L392" s="2"/>
      <c r="M392" s="2"/>
      <c r="N392" s="2"/>
      <c r="O392" s="2"/>
      <c r="P392" s="2"/>
      <c r="Q392" s="2"/>
      <c r="R392" s="2"/>
      <c r="S392" s="2"/>
      <c r="T392" s="2"/>
      <c r="U392" s="2"/>
      <c r="V392" s="2"/>
      <c r="W392" s="2"/>
    </row>
    <row r="393">
      <c r="A393" s="2"/>
      <c r="B393" s="2"/>
      <c r="C393" s="2"/>
      <c r="D393" s="2"/>
      <c r="E393" s="2"/>
      <c r="F393" s="2"/>
      <c r="G393" s="2"/>
      <c r="H393" s="2"/>
      <c r="I393" s="2"/>
      <c r="J393" s="2"/>
      <c r="K393" s="2"/>
      <c r="L393" s="2"/>
      <c r="M393" s="2"/>
      <c r="N393" s="2"/>
      <c r="O393" s="2"/>
      <c r="P393" s="2"/>
      <c r="Q393" s="2"/>
      <c r="R393" s="2"/>
      <c r="S393" s="2"/>
      <c r="T393" s="2"/>
      <c r="U393" s="2"/>
      <c r="V393" s="2"/>
      <c r="W393" s="2"/>
    </row>
    <row r="394">
      <c r="A394" s="2"/>
      <c r="B394" s="2"/>
      <c r="C394" s="2"/>
      <c r="D394" s="2"/>
      <c r="E394" s="2"/>
      <c r="F394" s="2"/>
      <c r="G394" s="2"/>
      <c r="H394" s="2"/>
      <c r="I394" s="2"/>
      <c r="J394" s="2"/>
      <c r="K394" s="2"/>
      <c r="L394" s="2"/>
      <c r="M394" s="2"/>
      <c r="N394" s="2"/>
      <c r="O394" s="2"/>
      <c r="P394" s="2"/>
      <c r="Q394" s="2"/>
      <c r="R394" s="2"/>
      <c r="S394" s="2"/>
      <c r="T394" s="2"/>
      <c r="U394" s="2"/>
      <c r="V394" s="2"/>
      <c r="W394" s="2"/>
    </row>
    <row r="395">
      <c r="A395" s="2"/>
      <c r="B395" s="2"/>
      <c r="C395" s="2"/>
      <c r="D395" s="2"/>
      <c r="E395" s="2"/>
      <c r="F395" s="2"/>
      <c r="G395" s="2"/>
      <c r="H395" s="2"/>
      <c r="I395" s="2"/>
      <c r="J395" s="2"/>
      <c r="K395" s="2"/>
      <c r="L395" s="2"/>
      <c r="M395" s="2"/>
      <c r="N395" s="2"/>
      <c r="O395" s="2"/>
      <c r="P395" s="2"/>
      <c r="Q395" s="2"/>
      <c r="R395" s="2"/>
      <c r="S395" s="2"/>
      <c r="T395" s="2"/>
      <c r="U395" s="2"/>
      <c r="V395" s="2"/>
      <c r="W395" s="2"/>
    </row>
    <row r="396">
      <c r="A396" s="2"/>
      <c r="B396" s="2"/>
      <c r="C396" s="2"/>
      <c r="D396" s="2"/>
      <c r="E396" s="2"/>
      <c r="F396" s="2"/>
      <c r="G396" s="2"/>
      <c r="H396" s="2"/>
      <c r="I396" s="2"/>
      <c r="J396" s="2"/>
      <c r="K396" s="2"/>
      <c r="L396" s="2"/>
      <c r="M396" s="2"/>
      <c r="N396" s="2"/>
      <c r="O396" s="2"/>
      <c r="P396" s="2"/>
      <c r="Q396" s="2"/>
      <c r="R396" s="2"/>
      <c r="S396" s="2"/>
      <c r="T396" s="2"/>
      <c r="U396" s="2"/>
      <c r="V396" s="2"/>
      <c r="W396" s="2"/>
    </row>
    <row r="397">
      <c r="A397" s="2"/>
      <c r="B397" s="2"/>
      <c r="C397" s="2"/>
      <c r="D397" s="2"/>
      <c r="E397" s="2"/>
      <c r="F397" s="2"/>
      <c r="G397" s="2"/>
      <c r="H397" s="2"/>
      <c r="I397" s="2"/>
      <c r="J397" s="2"/>
      <c r="K397" s="2"/>
      <c r="L397" s="2"/>
      <c r="M397" s="2"/>
      <c r="N397" s="2"/>
      <c r="O397" s="2"/>
      <c r="P397" s="2"/>
      <c r="Q397" s="2"/>
      <c r="R397" s="2"/>
      <c r="S397" s="2"/>
      <c r="T397" s="2"/>
      <c r="U397" s="2"/>
      <c r="V397" s="2"/>
      <c r="W397" s="2"/>
    </row>
    <row r="398">
      <c r="A398" s="2"/>
      <c r="B398" s="2"/>
      <c r="C398" s="2"/>
      <c r="D398" s="2"/>
      <c r="E398" s="2"/>
      <c r="F398" s="2"/>
      <c r="G398" s="2"/>
      <c r="H398" s="2"/>
      <c r="I398" s="2"/>
      <c r="J398" s="2"/>
      <c r="K398" s="2"/>
      <c r="L398" s="2"/>
      <c r="M398" s="2"/>
      <c r="N398" s="2"/>
      <c r="O398" s="2"/>
      <c r="P398" s="2"/>
      <c r="Q398" s="2"/>
      <c r="R398" s="2"/>
      <c r="S398" s="2"/>
      <c r="T398" s="2"/>
      <c r="U398" s="2"/>
      <c r="V398" s="2"/>
      <c r="W398" s="2"/>
    </row>
    <row r="399">
      <c r="A399" s="2"/>
      <c r="B399" s="2"/>
      <c r="C399" s="2"/>
      <c r="D399" s="2"/>
      <c r="E399" s="2"/>
      <c r="F399" s="2"/>
      <c r="G399" s="2"/>
      <c r="H399" s="2"/>
      <c r="I399" s="2"/>
      <c r="J399" s="2"/>
      <c r="K399" s="2"/>
      <c r="L399" s="2"/>
      <c r="M399" s="2"/>
      <c r="N399" s="2"/>
      <c r="O399" s="2"/>
      <c r="P399" s="2"/>
      <c r="Q399" s="2"/>
      <c r="R399" s="2"/>
      <c r="S399" s="2"/>
      <c r="T399" s="2"/>
      <c r="U399" s="2"/>
      <c r="V399" s="2"/>
      <c r="W399" s="2"/>
    </row>
    <row r="400">
      <c r="A400" s="2"/>
      <c r="B400" s="2"/>
      <c r="C400" s="2"/>
      <c r="D400" s="2"/>
      <c r="E400" s="2"/>
      <c r="F400" s="2"/>
      <c r="G400" s="2"/>
      <c r="H400" s="2"/>
      <c r="I400" s="2"/>
      <c r="J400" s="2"/>
      <c r="K400" s="2"/>
      <c r="L400" s="2"/>
      <c r="M400" s="2"/>
      <c r="N400" s="2"/>
      <c r="O400" s="2"/>
      <c r="P400" s="2"/>
      <c r="Q400" s="2"/>
      <c r="R400" s="2"/>
      <c r="S400" s="2"/>
      <c r="T400" s="2"/>
      <c r="U400" s="2"/>
      <c r="V400" s="2"/>
      <c r="W400" s="2"/>
    </row>
    <row r="401">
      <c r="A401" s="2"/>
      <c r="B401" s="2"/>
      <c r="C401" s="2"/>
      <c r="D401" s="2"/>
      <c r="E401" s="2"/>
      <c r="F401" s="2"/>
      <c r="G401" s="2"/>
      <c r="H401" s="2"/>
      <c r="I401" s="2"/>
      <c r="J401" s="2"/>
      <c r="K401" s="2"/>
      <c r="L401" s="2"/>
      <c r="M401" s="2"/>
      <c r="N401" s="2"/>
      <c r="O401" s="2"/>
      <c r="P401" s="2"/>
      <c r="Q401" s="2"/>
      <c r="R401" s="2"/>
      <c r="S401" s="2"/>
      <c r="T401" s="2"/>
      <c r="U401" s="2"/>
      <c r="V401" s="2"/>
      <c r="W401" s="2"/>
    </row>
    <row r="402">
      <c r="A402" s="2"/>
      <c r="B402" s="2"/>
      <c r="C402" s="2"/>
      <c r="D402" s="2"/>
      <c r="E402" s="2"/>
      <c r="F402" s="2"/>
      <c r="G402" s="2"/>
      <c r="H402" s="2"/>
      <c r="I402" s="2"/>
      <c r="J402" s="2"/>
      <c r="K402" s="2"/>
      <c r="L402" s="2"/>
      <c r="M402" s="2"/>
      <c r="N402" s="2"/>
      <c r="O402" s="2"/>
      <c r="P402" s="2"/>
      <c r="Q402" s="2"/>
      <c r="R402" s="2"/>
      <c r="S402" s="2"/>
      <c r="T402" s="2"/>
      <c r="U402" s="2"/>
      <c r="V402" s="2"/>
      <c r="W402" s="2"/>
    </row>
    <row r="403">
      <c r="A403" s="2"/>
      <c r="B403" s="2"/>
      <c r="C403" s="2"/>
      <c r="D403" s="2"/>
      <c r="E403" s="2"/>
      <c r="F403" s="2"/>
      <c r="G403" s="2"/>
      <c r="H403" s="2"/>
      <c r="I403" s="2"/>
      <c r="J403" s="2"/>
      <c r="K403" s="2"/>
      <c r="L403" s="2"/>
      <c r="M403" s="2"/>
      <c r="N403" s="2"/>
      <c r="O403" s="2"/>
      <c r="P403" s="2"/>
      <c r="Q403" s="2"/>
      <c r="R403" s="2"/>
      <c r="S403" s="2"/>
      <c r="T403" s="2"/>
      <c r="U403" s="2"/>
      <c r="V403" s="2"/>
      <c r="W403" s="2"/>
    </row>
    <row r="404">
      <c r="A404" s="2"/>
      <c r="B404" s="2"/>
      <c r="C404" s="2"/>
      <c r="D404" s="2"/>
      <c r="E404" s="2"/>
      <c r="F404" s="2"/>
      <c r="G404" s="2"/>
      <c r="H404" s="2"/>
      <c r="I404" s="2"/>
      <c r="J404" s="2"/>
      <c r="K404" s="2"/>
      <c r="L404" s="2"/>
      <c r="M404" s="2"/>
      <c r="N404" s="2"/>
      <c r="O404" s="2"/>
      <c r="P404" s="2"/>
      <c r="Q404" s="2"/>
      <c r="R404" s="2"/>
      <c r="S404" s="2"/>
      <c r="T404" s="2"/>
      <c r="U404" s="2"/>
      <c r="V404" s="2"/>
      <c r="W404" s="2"/>
    </row>
    <row r="405">
      <c r="A405" s="2"/>
      <c r="B405" s="2"/>
      <c r="C405" s="2"/>
      <c r="D405" s="2"/>
      <c r="E405" s="2"/>
      <c r="F405" s="2"/>
      <c r="G405" s="2"/>
      <c r="H405" s="2"/>
      <c r="I405" s="2"/>
      <c r="J405" s="2"/>
      <c r="K405" s="2"/>
      <c r="L405" s="2"/>
      <c r="M405" s="2"/>
      <c r="N405" s="2"/>
      <c r="O405" s="2"/>
      <c r="P405" s="2"/>
      <c r="Q405" s="2"/>
      <c r="R405" s="2"/>
      <c r="S405" s="2"/>
      <c r="T405" s="2"/>
      <c r="U405" s="2"/>
      <c r="V405" s="2"/>
      <c r="W405" s="2"/>
    </row>
    <row r="406">
      <c r="A406" s="2"/>
      <c r="B406" s="2"/>
      <c r="C406" s="2"/>
      <c r="D406" s="2"/>
      <c r="E406" s="2"/>
      <c r="F406" s="2"/>
      <c r="G406" s="2"/>
      <c r="H406" s="2"/>
      <c r="I406" s="2"/>
      <c r="J406" s="2"/>
      <c r="K406" s="2"/>
      <c r="L406" s="2"/>
      <c r="M406" s="2"/>
      <c r="N406" s="2"/>
      <c r="O406" s="2"/>
      <c r="P406" s="2"/>
      <c r="Q406" s="2"/>
      <c r="R406" s="2"/>
      <c r="S406" s="2"/>
      <c r="T406" s="2"/>
      <c r="U406" s="2"/>
      <c r="V406" s="2"/>
      <c r="W406" s="2"/>
    </row>
    <row r="407">
      <c r="A407" s="2"/>
      <c r="B407" s="2"/>
      <c r="C407" s="2"/>
      <c r="D407" s="2"/>
      <c r="E407" s="2"/>
      <c r="F407" s="2"/>
      <c r="G407" s="2"/>
      <c r="H407" s="2"/>
      <c r="I407" s="2"/>
      <c r="J407" s="2"/>
      <c r="K407" s="2"/>
      <c r="L407" s="2"/>
      <c r="M407" s="2"/>
      <c r="N407" s="2"/>
      <c r="O407" s="2"/>
      <c r="P407" s="2"/>
      <c r="Q407" s="2"/>
      <c r="R407" s="2"/>
      <c r="S407" s="2"/>
      <c r="T407" s="2"/>
      <c r="U407" s="2"/>
      <c r="V407" s="2"/>
      <c r="W407" s="2"/>
    </row>
    <row r="408">
      <c r="A408" s="2"/>
      <c r="B408" s="2"/>
      <c r="C408" s="2"/>
      <c r="D408" s="2"/>
      <c r="E408" s="2"/>
      <c r="F408" s="2"/>
      <c r="G408" s="2"/>
      <c r="H408" s="2"/>
      <c r="I408" s="2"/>
      <c r="J408" s="2"/>
      <c r="K408" s="2"/>
      <c r="L408" s="2"/>
      <c r="M408" s="2"/>
      <c r="N408" s="2"/>
      <c r="O408" s="2"/>
      <c r="P408" s="2"/>
      <c r="Q408" s="2"/>
      <c r="R408" s="2"/>
      <c r="S408" s="2"/>
      <c r="T408" s="2"/>
      <c r="U408" s="2"/>
      <c r="V408" s="2"/>
      <c r="W408" s="2"/>
    </row>
    <row r="409">
      <c r="A409" s="2"/>
      <c r="B409" s="2"/>
      <c r="C409" s="2"/>
      <c r="D409" s="2"/>
      <c r="E409" s="2"/>
      <c r="F409" s="2"/>
      <c r="G409" s="2"/>
      <c r="H409" s="2"/>
      <c r="I409" s="2"/>
      <c r="J409" s="2"/>
      <c r="K409" s="2"/>
      <c r="L409" s="2"/>
      <c r="M409" s="2"/>
      <c r="N409" s="2"/>
      <c r="O409" s="2"/>
      <c r="P409" s="2"/>
      <c r="Q409" s="2"/>
      <c r="R409" s="2"/>
      <c r="S409" s="2"/>
      <c r="T409" s="2"/>
      <c r="U409" s="2"/>
      <c r="V409" s="2"/>
      <c r="W409" s="2"/>
    </row>
    <row r="410">
      <c r="A410" s="2"/>
      <c r="B410" s="2"/>
      <c r="C410" s="2"/>
      <c r="D410" s="2"/>
      <c r="E410" s="2"/>
      <c r="F410" s="2"/>
      <c r="G410" s="2"/>
      <c r="H410" s="2"/>
      <c r="I410" s="2"/>
      <c r="J410" s="2"/>
      <c r="K410" s="2"/>
      <c r="L410" s="2"/>
      <c r="M410" s="2"/>
      <c r="N410" s="2"/>
      <c r="O410" s="2"/>
      <c r="P410" s="2"/>
      <c r="Q410" s="2"/>
      <c r="R410" s="2"/>
      <c r="S410" s="2"/>
      <c r="T410" s="2"/>
      <c r="U410" s="2"/>
      <c r="V410" s="2"/>
      <c r="W410" s="2"/>
    </row>
    <row r="411">
      <c r="A411" s="2"/>
      <c r="B411" s="2"/>
      <c r="C411" s="2"/>
      <c r="D411" s="2"/>
      <c r="E411" s="2"/>
      <c r="F411" s="2"/>
      <c r="G411" s="2"/>
      <c r="H411" s="2"/>
      <c r="I411" s="2"/>
      <c r="J411" s="2"/>
      <c r="K411" s="2"/>
      <c r="L411" s="2"/>
      <c r="M411" s="2"/>
      <c r="N411" s="2"/>
      <c r="O411" s="2"/>
      <c r="P411" s="2"/>
      <c r="Q411" s="2"/>
      <c r="R411" s="2"/>
      <c r="S411" s="2"/>
      <c r="T411" s="2"/>
      <c r="U411" s="2"/>
      <c r="V411" s="2"/>
      <c r="W411" s="2"/>
    </row>
    <row r="412">
      <c r="A412" s="2"/>
      <c r="B412" s="2"/>
      <c r="C412" s="2"/>
      <c r="D412" s="2"/>
      <c r="E412" s="2"/>
      <c r="F412" s="2"/>
      <c r="G412" s="2"/>
      <c r="H412" s="2"/>
      <c r="I412" s="2"/>
      <c r="J412" s="2"/>
      <c r="K412" s="2"/>
      <c r="L412" s="2"/>
      <c r="M412" s="2"/>
      <c r="N412" s="2"/>
      <c r="O412" s="2"/>
      <c r="P412" s="2"/>
      <c r="Q412" s="2"/>
      <c r="R412" s="2"/>
      <c r="S412" s="2"/>
      <c r="T412" s="2"/>
      <c r="U412" s="2"/>
      <c r="V412" s="2"/>
      <c r="W412" s="2"/>
    </row>
    <row r="413">
      <c r="A413" s="2"/>
      <c r="B413" s="2"/>
      <c r="C413" s="2"/>
      <c r="D413" s="2"/>
      <c r="E413" s="2"/>
      <c r="F413" s="2"/>
      <c r="G413" s="2"/>
      <c r="H413" s="2"/>
      <c r="I413" s="2"/>
      <c r="J413" s="2"/>
      <c r="K413" s="2"/>
      <c r="L413" s="2"/>
      <c r="M413" s="2"/>
      <c r="N413" s="2"/>
      <c r="O413" s="2"/>
      <c r="P413" s="2"/>
      <c r="Q413" s="2"/>
      <c r="R413" s="2"/>
      <c r="S413" s="2"/>
      <c r="T413" s="2"/>
      <c r="U413" s="2"/>
      <c r="V413" s="2"/>
      <c r="W413" s="2"/>
    </row>
    <row r="414">
      <c r="A414" s="2"/>
      <c r="B414" s="2"/>
      <c r="C414" s="2"/>
      <c r="D414" s="2"/>
      <c r="E414" s="2"/>
      <c r="F414" s="2"/>
      <c r="G414" s="2"/>
      <c r="H414" s="2"/>
      <c r="I414" s="2"/>
      <c r="J414" s="2"/>
      <c r="K414" s="2"/>
      <c r="L414" s="2"/>
      <c r="M414" s="2"/>
      <c r="N414" s="2"/>
      <c r="O414" s="2"/>
      <c r="P414" s="2"/>
      <c r="Q414" s="2"/>
      <c r="R414" s="2"/>
      <c r="S414" s="2"/>
      <c r="T414" s="2"/>
      <c r="U414" s="2"/>
      <c r="V414" s="2"/>
      <c r="W414" s="2"/>
    </row>
    <row r="415">
      <c r="A415" s="2"/>
      <c r="B415" s="2"/>
      <c r="C415" s="2"/>
      <c r="D415" s="2"/>
      <c r="E415" s="2"/>
      <c r="F415" s="2"/>
      <c r="G415" s="2"/>
      <c r="H415" s="2"/>
      <c r="I415" s="2"/>
      <c r="J415" s="2"/>
      <c r="K415" s="2"/>
      <c r="L415" s="2"/>
      <c r="M415" s="2"/>
      <c r="N415" s="2"/>
      <c r="O415" s="2"/>
      <c r="P415" s="2"/>
      <c r="Q415" s="2"/>
      <c r="R415" s="2"/>
      <c r="S415" s="2"/>
      <c r="T415" s="2"/>
      <c r="U415" s="2"/>
      <c r="V415" s="2"/>
      <c r="W415" s="2"/>
    </row>
    <row r="416">
      <c r="A416" s="2"/>
      <c r="B416" s="2"/>
      <c r="C416" s="2"/>
      <c r="D416" s="2"/>
      <c r="E416" s="2"/>
      <c r="F416" s="2"/>
      <c r="G416" s="2"/>
      <c r="H416" s="2"/>
      <c r="I416" s="2"/>
      <c r="J416" s="2"/>
      <c r="K416" s="2"/>
      <c r="L416" s="2"/>
      <c r="M416" s="2"/>
      <c r="N416" s="2"/>
      <c r="O416" s="2"/>
      <c r="P416" s="2"/>
      <c r="Q416" s="2"/>
      <c r="R416" s="2"/>
      <c r="S416" s="2"/>
      <c r="T416" s="2"/>
      <c r="U416" s="2"/>
      <c r="V416" s="2"/>
      <c r="W416" s="2"/>
    </row>
    <row r="417">
      <c r="A417" s="2"/>
      <c r="B417" s="2"/>
      <c r="C417" s="2"/>
      <c r="D417" s="2"/>
      <c r="E417" s="2"/>
      <c r="F417" s="2"/>
      <c r="G417" s="2"/>
      <c r="H417" s="2"/>
      <c r="I417" s="2"/>
      <c r="J417" s="2"/>
      <c r="K417" s="2"/>
      <c r="L417" s="2"/>
      <c r="M417" s="2"/>
      <c r="N417" s="2"/>
      <c r="O417" s="2"/>
      <c r="P417" s="2"/>
      <c r="Q417" s="2"/>
      <c r="R417" s="2"/>
      <c r="S417" s="2"/>
      <c r="T417" s="2"/>
      <c r="U417" s="2"/>
      <c r="V417" s="2"/>
      <c r="W417" s="2"/>
    </row>
    <row r="418">
      <c r="A418" s="2"/>
      <c r="B418" s="2"/>
      <c r="C418" s="2"/>
      <c r="D418" s="2"/>
      <c r="E418" s="2"/>
      <c r="F418" s="2"/>
      <c r="G418" s="2"/>
      <c r="H418" s="2"/>
      <c r="I418" s="2"/>
      <c r="J418" s="2"/>
      <c r="K418" s="2"/>
      <c r="L418" s="2"/>
      <c r="M418" s="2"/>
      <c r="N418" s="2"/>
      <c r="O418" s="2"/>
      <c r="P418" s="2"/>
      <c r="Q418" s="2"/>
      <c r="R418" s="2"/>
      <c r="S418" s="2"/>
      <c r="T418" s="2"/>
      <c r="U418" s="2"/>
      <c r="V418" s="2"/>
      <c r="W418" s="2"/>
    </row>
    <row r="419">
      <c r="A419" s="2"/>
      <c r="B419" s="2"/>
      <c r="C419" s="2"/>
      <c r="D419" s="2"/>
      <c r="E419" s="2"/>
      <c r="F419" s="2"/>
      <c r="G419" s="2"/>
      <c r="H419" s="2"/>
      <c r="I419" s="2"/>
      <c r="J419" s="2"/>
      <c r="K419" s="2"/>
      <c r="L419" s="2"/>
      <c r="M419" s="2"/>
      <c r="N419" s="2"/>
      <c r="O419" s="2"/>
      <c r="P419" s="2"/>
      <c r="Q419" s="2"/>
      <c r="R419" s="2"/>
      <c r="S419" s="2"/>
      <c r="T419" s="2"/>
      <c r="U419" s="2"/>
      <c r="V419" s="2"/>
      <c r="W419" s="2"/>
    </row>
    <row r="420">
      <c r="A420" s="2"/>
      <c r="B420" s="2"/>
      <c r="C420" s="2"/>
      <c r="D420" s="2"/>
      <c r="E420" s="2"/>
      <c r="F420" s="2"/>
      <c r="G420" s="2"/>
      <c r="H420" s="2"/>
      <c r="I420" s="2"/>
      <c r="J420" s="2"/>
      <c r="K420" s="2"/>
      <c r="L420" s="2"/>
      <c r="M420" s="2"/>
      <c r="N420" s="2"/>
      <c r="O420" s="2"/>
      <c r="P420" s="2"/>
      <c r="Q420" s="2"/>
      <c r="R420" s="2"/>
      <c r="S420" s="2"/>
      <c r="T420" s="2"/>
      <c r="U420" s="2"/>
      <c r="V420" s="2"/>
      <c r="W420" s="2"/>
    </row>
    <row r="421">
      <c r="A421" s="2"/>
      <c r="B421" s="2"/>
      <c r="C421" s="2"/>
      <c r="D421" s="2"/>
      <c r="E421" s="2"/>
      <c r="F421" s="2"/>
      <c r="G421" s="2"/>
      <c r="H421" s="2"/>
      <c r="I421" s="2"/>
      <c r="J421" s="2"/>
      <c r="K421" s="2"/>
      <c r="L421" s="2"/>
      <c r="M421" s="2"/>
      <c r="N421" s="2"/>
      <c r="O421" s="2"/>
      <c r="P421" s="2"/>
      <c r="Q421" s="2"/>
      <c r="R421" s="2"/>
      <c r="S421" s="2"/>
      <c r="T421" s="2"/>
      <c r="U421" s="2"/>
      <c r="V421" s="2"/>
      <c r="W421" s="2"/>
    </row>
    <row r="422">
      <c r="A422" s="2"/>
      <c r="B422" s="2"/>
      <c r="C422" s="2"/>
      <c r="D422" s="2"/>
      <c r="E422" s="2"/>
      <c r="F422" s="2"/>
      <c r="G422" s="2"/>
      <c r="H422" s="2"/>
      <c r="I422" s="2"/>
      <c r="J422" s="2"/>
      <c r="K422" s="2"/>
      <c r="L422" s="2"/>
      <c r="M422" s="2"/>
      <c r="N422" s="2"/>
      <c r="O422" s="2"/>
      <c r="P422" s="2"/>
      <c r="Q422" s="2"/>
      <c r="R422" s="2"/>
      <c r="S422" s="2"/>
      <c r="T422" s="2"/>
      <c r="U422" s="2"/>
      <c r="V422" s="2"/>
      <c r="W422" s="2"/>
    </row>
    <row r="423">
      <c r="A423" s="2"/>
      <c r="B423" s="2"/>
      <c r="C423" s="2"/>
      <c r="D423" s="2"/>
      <c r="E423" s="2"/>
      <c r="F423" s="2"/>
      <c r="G423" s="2"/>
      <c r="H423" s="2"/>
      <c r="I423" s="2"/>
      <c r="J423" s="2"/>
      <c r="K423" s="2"/>
      <c r="L423" s="2"/>
      <c r="M423" s="2"/>
      <c r="N423" s="2"/>
      <c r="O423" s="2"/>
      <c r="P423" s="2"/>
      <c r="Q423" s="2"/>
      <c r="R423" s="2"/>
      <c r="S423" s="2"/>
      <c r="T423" s="2"/>
      <c r="U423" s="2"/>
      <c r="V423" s="2"/>
      <c r="W423" s="2"/>
    </row>
    <row r="424">
      <c r="A424" s="2"/>
      <c r="B424" s="2"/>
      <c r="C424" s="2"/>
      <c r="D424" s="2"/>
      <c r="E424" s="2"/>
      <c r="F424" s="2"/>
      <c r="G424" s="2"/>
      <c r="H424" s="2"/>
      <c r="I424" s="2"/>
      <c r="J424" s="2"/>
      <c r="K424" s="2"/>
      <c r="L424" s="2"/>
      <c r="M424" s="2"/>
      <c r="N424" s="2"/>
      <c r="O424" s="2"/>
      <c r="P424" s="2"/>
      <c r="Q424" s="2"/>
      <c r="R424" s="2"/>
      <c r="S424" s="2"/>
      <c r="T424" s="2"/>
      <c r="U424" s="2"/>
      <c r="V424" s="2"/>
      <c r="W424" s="2"/>
    </row>
    <row r="425">
      <c r="A425" s="2"/>
      <c r="B425" s="2"/>
      <c r="C425" s="2"/>
      <c r="D425" s="2"/>
      <c r="E425" s="2"/>
      <c r="F425" s="2"/>
      <c r="G425" s="2"/>
      <c r="H425" s="2"/>
      <c r="I425" s="2"/>
      <c r="J425" s="2"/>
      <c r="K425" s="2"/>
      <c r="L425" s="2"/>
      <c r="M425" s="2"/>
      <c r="N425" s="2"/>
      <c r="O425" s="2"/>
      <c r="P425" s="2"/>
      <c r="Q425" s="2"/>
      <c r="R425" s="2"/>
      <c r="S425" s="2"/>
      <c r="T425" s="2"/>
      <c r="U425" s="2"/>
      <c r="V425" s="2"/>
      <c r="W425" s="2"/>
    </row>
    <row r="426">
      <c r="A426" s="2"/>
      <c r="B426" s="2"/>
      <c r="C426" s="2"/>
      <c r="D426" s="2"/>
      <c r="E426" s="2"/>
      <c r="F426" s="2"/>
      <c r="G426" s="2"/>
      <c r="H426" s="2"/>
      <c r="I426" s="2"/>
      <c r="J426" s="2"/>
      <c r="K426" s="2"/>
      <c r="L426" s="2"/>
      <c r="M426" s="2"/>
      <c r="N426" s="2"/>
      <c r="O426" s="2"/>
      <c r="P426" s="2"/>
      <c r="Q426" s="2"/>
      <c r="R426" s="2"/>
      <c r="S426" s="2"/>
      <c r="T426" s="2"/>
      <c r="U426" s="2"/>
      <c r="V426" s="2"/>
      <c r="W426" s="2"/>
    </row>
    <row r="427">
      <c r="A427" s="2"/>
      <c r="B427" s="2"/>
      <c r="C427" s="2"/>
      <c r="D427" s="2"/>
      <c r="E427" s="2"/>
      <c r="F427" s="2"/>
      <c r="G427" s="2"/>
      <c r="H427" s="2"/>
      <c r="I427" s="2"/>
      <c r="J427" s="2"/>
      <c r="K427" s="2"/>
      <c r="L427" s="2"/>
      <c r="M427" s="2"/>
      <c r="N427" s="2"/>
      <c r="O427" s="2"/>
      <c r="P427" s="2"/>
      <c r="Q427" s="2"/>
      <c r="R427" s="2"/>
      <c r="S427" s="2"/>
      <c r="T427" s="2"/>
      <c r="U427" s="2"/>
      <c r="V427" s="2"/>
      <c r="W427" s="2"/>
    </row>
    <row r="428">
      <c r="A428" s="2"/>
      <c r="B428" s="2"/>
      <c r="C428" s="2"/>
      <c r="D428" s="2"/>
      <c r="E428" s="2"/>
      <c r="F428" s="2"/>
      <c r="G428" s="2"/>
      <c r="H428" s="2"/>
      <c r="I428" s="2"/>
      <c r="J428" s="2"/>
      <c r="K428" s="2"/>
      <c r="L428" s="2"/>
      <c r="M428" s="2"/>
      <c r="N428" s="2"/>
      <c r="O428" s="2"/>
      <c r="P428" s="2"/>
      <c r="Q428" s="2"/>
      <c r="R428" s="2"/>
      <c r="S428" s="2"/>
      <c r="T428" s="2"/>
      <c r="U428" s="2"/>
      <c r="V428" s="2"/>
      <c r="W428" s="2"/>
    </row>
    <row r="429">
      <c r="A429" s="2"/>
      <c r="B429" s="2"/>
      <c r="C429" s="2"/>
      <c r="D429" s="2"/>
      <c r="E429" s="2"/>
      <c r="F429" s="2"/>
      <c r="G429" s="2"/>
      <c r="H429" s="2"/>
      <c r="I429" s="2"/>
      <c r="J429" s="2"/>
      <c r="K429" s="2"/>
      <c r="L429" s="2"/>
      <c r="M429" s="2"/>
      <c r="N429" s="2"/>
      <c r="O429" s="2"/>
      <c r="P429" s="2"/>
      <c r="Q429" s="2"/>
      <c r="R429" s="2"/>
      <c r="S429" s="2"/>
      <c r="T429" s="2"/>
      <c r="U429" s="2"/>
      <c r="V429" s="2"/>
      <c r="W429" s="2"/>
    </row>
    <row r="430">
      <c r="A430" s="2"/>
      <c r="B430" s="2"/>
      <c r="C430" s="2"/>
      <c r="D430" s="2"/>
      <c r="E430" s="2"/>
      <c r="F430" s="2"/>
      <c r="G430" s="2"/>
      <c r="H430" s="2"/>
      <c r="I430" s="2"/>
      <c r="J430" s="2"/>
      <c r="K430" s="2"/>
      <c r="L430" s="2"/>
      <c r="M430" s="2"/>
      <c r="N430" s="2"/>
      <c r="O430" s="2"/>
      <c r="P430" s="2"/>
      <c r="Q430" s="2"/>
      <c r="R430" s="2"/>
      <c r="S430" s="2"/>
      <c r="T430" s="2"/>
      <c r="U430" s="2"/>
      <c r="V430" s="2"/>
      <c r="W430" s="2"/>
    </row>
    <row r="431">
      <c r="A431" s="2"/>
      <c r="B431" s="2"/>
      <c r="C431" s="2"/>
      <c r="D431" s="2"/>
      <c r="E431" s="2"/>
      <c r="F431" s="2"/>
      <c r="G431" s="2"/>
      <c r="H431" s="2"/>
      <c r="I431" s="2"/>
      <c r="J431" s="2"/>
      <c r="K431" s="2"/>
      <c r="L431" s="2"/>
      <c r="M431" s="2"/>
      <c r="N431" s="2"/>
      <c r="O431" s="2"/>
      <c r="P431" s="2"/>
      <c r="Q431" s="2"/>
      <c r="R431" s="2"/>
      <c r="S431" s="2"/>
      <c r="T431" s="2"/>
      <c r="U431" s="2"/>
      <c r="V431" s="2"/>
      <c r="W431" s="2"/>
    </row>
    <row r="432">
      <c r="A432" s="2"/>
      <c r="B432" s="2"/>
      <c r="C432" s="2"/>
      <c r="D432" s="2"/>
      <c r="E432" s="2"/>
      <c r="F432" s="2"/>
      <c r="G432" s="2"/>
      <c r="H432" s="2"/>
      <c r="I432" s="2"/>
      <c r="J432" s="2"/>
      <c r="K432" s="2"/>
      <c r="L432" s="2"/>
      <c r="M432" s="2"/>
      <c r="N432" s="2"/>
      <c r="O432" s="2"/>
      <c r="P432" s="2"/>
      <c r="Q432" s="2"/>
      <c r="R432" s="2"/>
      <c r="S432" s="2"/>
      <c r="T432" s="2"/>
      <c r="U432" s="2"/>
      <c r="V432" s="2"/>
      <c r="W432" s="2"/>
    </row>
    <row r="433">
      <c r="A433" s="2"/>
      <c r="B433" s="2"/>
      <c r="C433" s="2"/>
      <c r="D433" s="2"/>
      <c r="E433" s="2"/>
      <c r="F433" s="2"/>
      <c r="G433" s="2"/>
      <c r="H433" s="2"/>
      <c r="I433" s="2"/>
      <c r="J433" s="2"/>
      <c r="K433" s="2"/>
      <c r="L433" s="2"/>
      <c r="M433" s="2"/>
      <c r="N433" s="2"/>
      <c r="O433" s="2"/>
      <c r="P433" s="2"/>
      <c r="Q433" s="2"/>
      <c r="R433" s="2"/>
      <c r="S433" s="2"/>
      <c r="T433" s="2"/>
      <c r="U433" s="2"/>
      <c r="V433" s="2"/>
      <c r="W433" s="2"/>
    </row>
    <row r="434">
      <c r="A434" s="2"/>
      <c r="B434" s="2"/>
      <c r="C434" s="2"/>
      <c r="D434" s="2"/>
      <c r="E434" s="2"/>
      <c r="F434" s="2"/>
      <c r="G434" s="2"/>
      <c r="H434" s="2"/>
      <c r="I434" s="2"/>
      <c r="J434" s="2"/>
      <c r="K434" s="2"/>
      <c r="L434" s="2"/>
      <c r="M434" s="2"/>
      <c r="N434" s="2"/>
      <c r="O434" s="2"/>
      <c r="P434" s="2"/>
      <c r="Q434" s="2"/>
      <c r="R434" s="2"/>
      <c r="S434" s="2"/>
      <c r="T434" s="2"/>
      <c r="U434" s="2"/>
      <c r="V434" s="2"/>
      <c r="W434" s="2"/>
    </row>
    <row r="435">
      <c r="A435" s="2"/>
      <c r="B435" s="2"/>
      <c r="C435" s="2"/>
      <c r="D435" s="2"/>
      <c r="E435" s="2"/>
      <c r="F435" s="2"/>
      <c r="G435" s="2"/>
      <c r="H435" s="2"/>
      <c r="I435" s="2"/>
      <c r="J435" s="2"/>
      <c r="K435" s="2"/>
      <c r="L435" s="2"/>
      <c r="M435" s="2"/>
      <c r="N435" s="2"/>
      <c r="O435" s="2"/>
      <c r="P435" s="2"/>
      <c r="Q435" s="2"/>
      <c r="R435" s="2"/>
      <c r="S435" s="2"/>
      <c r="T435" s="2"/>
      <c r="U435" s="2"/>
      <c r="V435" s="2"/>
      <c r="W435" s="2"/>
    </row>
    <row r="436">
      <c r="A436" s="2"/>
      <c r="B436" s="2"/>
      <c r="C436" s="2"/>
      <c r="D436" s="2"/>
      <c r="E436" s="2"/>
      <c r="F436" s="2"/>
      <c r="G436" s="2"/>
      <c r="H436" s="2"/>
      <c r="I436" s="2"/>
      <c r="J436" s="2"/>
      <c r="K436" s="2"/>
      <c r="L436" s="2"/>
      <c r="M436" s="2"/>
      <c r="N436" s="2"/>
      <c r="O436" s="2"/>
      <c r="P436" s="2"/>
      <c r="Q436" s="2"/>
      <c r="R436" s="2"/>
      <c r="S436" s="2"/>
      <c r="T436" s="2"/>
      <c r="U436" s="2"/>
      <c r="V436" s="2"/>
      <c r="W436" s="2"/>
    </row>
    <row r="437">
      <c r="A437" s="2"/>
      <c r="B437" s="2"/>
      <c r="C437" s="2"/>
      <c r="D437" s="2"/>
      <c r="E437" s="2"/>
      <c r="F437" s="2"/>
      <c r="G437" s="2"/>
      <c r="H437" s="2"/>
      <c r="I437" s="2"/>
      <c r="J437" s="2"/>
      <c r="K437" s="2"/>
      <c r="L437" s="2"/>
      <c r="M437" s="2"/>
      <c r="N437" s="2"/>
      <c r="O437" s="2"/>
      <c r="P437" s="2"/>
      <c r="Q437" s="2"/>
      <c r="R437" s="2"/>
      <c r="S437" s="2"/>
      <c r="T437" s="2"/>
      <c r="U437" s="2"/>
      <c r="V437" s="2"/>
      <c r="W437" s="2"/>
    </row>
    <row r="438">
      <c r="A438" s="2"/>
      <c r="B438" s="2"/>
      <c r="C438" s="2"/>
      <c r="D438" s="2"/>
      <c r="E438" s="2"/>
      <c r="F438" s="2"/>
      <c r="G438" s="2"/>
      <c r="H438" s="2"/>
      <c r="I438" s="2"/>
      <c r="J438" s="2"/>
      <c r="K438" s="2"/>
      <c r="L438" s="2"/>
      <c r="M438" s="2"/>
      <c r="N438" s="2"/>
      <c r="O438" s="2"/>
      <c r="P438" s="2"/>
      <c r="Q438" s="2"/>
      <c r="R438" s="2"/>
      <c r="S438" s="2"/>
      <c r="T438" s="2"/>
      <c r="U438" s="2"/>
      <c r="V438" s="2"/>
      <c r="W438" s="2"/>
    </row>
    <row r="439">
      <c r="A439" s="2"/>
      <c r="B439" s="2"/>
      <c r="C439" s="2"/>
      <c r="D439" s="2"/>
      <c r="E439" s="2"/>
      <c r="F439" s="2"/>
      <c r="G439" s="2"/>
      <c r="H439" s="2"/>
      <c r="I439" s="2"/>
      <c r="J439" s="2"/>
      <c r="K439" s="2"/>
      <c r="L439" s="2"/>
      <c r="M439" s="2"/>
      <c r="N439" s="2"/>
      <c r="O439" s="2"/>
      <c r="P439" s="2"/>
      <c r="Q439" s="2"/>
      <c r="R439" s="2"/>
      <c r="S439" s="2"/>
      <c r="T439" s="2"/>
      <c r="U439" s="2"/>
      <c r="V439" s="2"/>
      <c r="W439" s="2"/>
    </row>
    <row r="440">
      <c r="A440" s="2"/>
      <c r="B440" s="2"/>
      <c r="C440" s="2"/>
      <c r="D440" s="2"/>
      <c r="E440" s="2"/>
      <c r="F440" s="2"/>
      <c r="G440" s="2"/>
      <c r="H440" s="2"/>
      <c r="I440" s="2"/>
      <c r="J440" s="2"/>
      <c r="K440" s="2"/>
      <c r="L440" s="2"/>
      <c r="M440" s="2"/>
      <c r="N440" s="2"/>
      <c r="O440" s="2"/>
      <c r="P440" s="2"/>
      <c r="Q440" s="2"/>
      <c r="R440" s="2"/>
      <c r="S440" s="2"/>
      <c r="T440" s="2"/>
      <c r="U440" s="2"/>
      <c r="V440" s="2"/>
      <c r="W440" s="2"/>
    </row>
    <row r="441">
      <c r="A441" s="2"/>
      <c r="B441" s="2"/>
      <c r="C441" s="2"/>
      <c r="D441" s="2"/>
      <c r="E441" s="2"/>
      <c r="F441" s="2"/>
      <c r="G441" s="2"/>
      <c r="H441" s="2"/>
      <c r="I441" s="2"/>
      <c r="J441" s="2"/>
      <c r="K441" s="2"/>
      <c r="L441" s="2"/>
      <c r="M441" s="2"/>
      <c r="N441" s="2"/>
      <c r="O441" s="2"/>
      <c r="P441" s="2"/>
      <c r="Q441" s="2"/>
      <c r="R441" s="2"/>
      <c r="S441" s="2"/>
      <c r="T441" s="2"/>
      <c r="U441" s="2"/>
      <c r="V441" s="2"/>
      <c r="W441" s="2"/>
    </row>
    <row r="442">
      <c r="A442" s="2"/>
      <c r="B442" s="2"/>
      <c r="C442" s="2"/>
      <c r="D442" s="2"/>
      <c r="E442" s="2"/>
      <c r="F442" s="2"/>
      <c r="G442" s="2"/>
      <c r="H442" s="2"/>
      <c r="I442" s="2"/>
      <c r="J442" s="2"/>
      <c r="K442" s="2"/>
      <c r="L442" s="2"/>
      <c r="M442" s="2"/>
      <c r="N442" s="2"/>
      <c r="O442" s="2"/>
      <c r="P442" s="2"/>
      <c r="Q442" s="2"/>
      <c r="R442" s="2"/>
      <c r="S442" s="2"/>
      <c r="T442" s="2"/>
      <c r="U442" s="2"/>
      <c r="V442" s="2"/>
      <c r="W442" s="2"/>
    </row>
    <row r="443">
      <c r="A443" s="2"/>
      <c r="B443" s="2"/>
      <c r="C443" s="2"/>
      <c r="D443" s="2"/>
      <c r="E443" s="2"/>
      <c r="F443" s="2"/>
      <c r="G443" s="2"/>
      <c r="H443" s="2"/>
      <c r="I443" s="2"/>
      <c r="J443" s="2"/>
      <c r="K443" s="2"/>
      <c r="L443" s="2"/>
      <c r="M443" s="2"/>
      <c r="N443" s="2"/>
      <c r="O443" s="2"/>
      <c r="P443" s="2"/>
      <c r="Q443" s="2"/>
      <c r="R443" s="2"/>
      <c r="S443" s="2"/>
      <c r="T443" s="2"/>
      <c r="U443" s="2"/>
      <c r="V443" s="2"/>
      <c r="W443" s="2"/>
    </row>
    <row r="444">
      <c r="A444" s="2"/>
      <c r="B444" s="2"/>
      <c r="C444" s="2"/>
      <c r="D444" s="2"/>
      <c r="E444" s="2"/>
      <c r="F444" s="2"/>
      <c r="G444" s="2"/>
      <c r="H444" s="2"/>
      <c r="I444" s="2"/>
      <c r="J444" s="2"/>
      <c r="K444" s="2"/>
      <c r="L444" s="2"/>
      <c r="M444" s="2"/>
      <c r="N444" s="2"/>
      <c r="O444" s="2"/>
      <c r="P444" s="2"/>
      <c r="Q444" s="2"/>
      <c r="R444" s="2"/>
      <c r="S444" s="2"/>
      <c r="T444" s="2"/>
      <c r="U444" s="2"/>
      <c r="V444" s="2"/>
      <c r="W444" s="2"/>
    </row>
    <row r="445">
      <c r="A445" s="2"/>
      <c r="B445" s="2"/>
      <c r="C445" s="2"/>
      <c r="D445" s="2"/>
      <c r="E445" s="2"/>
      <c r="F445" s="2"/>
      <c r="G445" s="2"/>
      <c r="H445" s="2"/>
      <c r="I445" s="2"/>
      <c r="J445" s="2"/>
      <c r="K445" s="2"/>
      <c r="L445" s="2"/>
      <c r="M445" s="2"/>
      <c r="N445" s="2"/>
      <c r="O445" s="2"/>
      <c r="P445" s="2"/>
      <c r="Q445" s="2"/>
      <c r="R445" s="2"/>
      <c r="S445" s="2"/>
      <c r="T445" s="2"/>
      <c r="U445" s="2"/>
      <c r="V445" s="2"/>
      <c r="W445" s="2"/>
    </row>
    <row r="446">
      <c r="A446" s="2"/>
      <c r="B446" s="2"/>
      <c r="C446" s="2"/>
      <c r="D446" s="2"/>
      <c r="E446" s="2"/>
      <c r="F446" s="2"/>
      <c r="G446" s="2"/>
      <c r="H446" s="2"/>
      <c r="I446" s="2"/>
      <c r="J446" s="2"/>
      <c r="K446" s="2"/>
      <c r="L446" s="2"/>
      <c r="M446" s="2"/>
      <c r="N446" s="2"/>
      <c r="O446" s="2"/>
      <c r="P446" s="2"/>
      <c r="Q446" s="2"/>
      <c r="R446" s="2"/>
      <c r="S446" s="2"/>
      <c r="T446" s="2"/>
      <c r="U446" s="2"/>
      <c r="V446" s="2"/>
      <c r="W446" s="2"/>
    </row>
    <row r="447">
      <c r="A447" s="2"/>
      <c r="B447" s="2"/>
      <c r="C447" s="2"/>
      <c r="D447" s="2"/>
      <c r="E447" s="2"/>
      <c r="F447" s="2"/>
      <c r="G447" s="2"/>
      <c r="H447" s="2"/>
      <c r="I447" s="2"/>
      <c r="J447" s="2"/>
      <c r="K447" s="2"/>
      <c r="L447" s="2"/>
      <c r="M447" s="2"/>
      <c r="N447" s="2"/>
      <c r="O447" s="2"/>
      <c r="P447" s="2"/>
      <c r="Q447" s="2"/>
      <c r="R447" s="2"/>
      <c r="S447" s="2"/>
      <c r="T447" s="2"/>
      <c r="U447" s="2"/>
      <c r="V447" s="2"/>
      <c r="W447" s="2"/>
    </row>
    <row r="448">
      <c r="A448" s="2"/>
      <c r="B448" s="2"/>
      <c r="C448" s="2"/>
      <c r="D448" s="2"/>
      <c r="E448" s="2"/>
      <c r="F448" s="2"/>
      <c r="G448" s="2"/>
      <c r="H448" s="2"/>
      <c r="I448" s="2"/>
      <c r="J448" s="2"/>
      <c r="K448" s="2"/>
      <c r="L448" s="2"/>
      <c r="M448" s="2"/>
      <c r="N448" s="2"/>
      <c r="O448" s="2"/>
      <c r="P448" s="2"/>
      <c r="Q448" s="2"/>
      <c r="R448" s="2"/>
      <c r="S448" s="2"/>
      <c r="T448" s="2"/>
      <c r="U448" s="2"/>
      <c r="V448" s="2"/>
      <c r="W448" s="2"/>
    </row>
    <row r="449">
      <c r="A449" s="2"/>
      <c r="B449" s="2"/>
      <c r="C449" s="2"/>
      <c r="D449" s="2"/>
      <c r="E449" s="2"/>
      <c r="F449" s="2"/>
      <c r="G449" s="2"/>
      <c r="H449" s="2"/>
      <c r="I449" s="2"/>
      <c r="J449" s="2"/>
      <c r="K449" s="2"/>
      <c r="L449" s="2"/>
      <c r="M449" s="2"/>
      <c r="N449" s="2"/>
      <c r="O449" s="2"/>
      <c r="P449" s="2"/>
      <c r="Q449" s="2"/>
      <c r="R449" s="2"/>
      <c r="S449" s="2"/>
      <c r="T449" s="2"/>
      <c r="U449" s="2"/>
      <c r="V449" s="2"/>
      <c r="W449" s="2"/>
    </row>
    <row r="450">
      <c r="A450" s="2"/>
      <c r="B450" s="2"/>
      <c r="C450" s="2"/>
      <c r="D450" s="2"/>
      <c r="E450" s="2"/>
      <c r="F450" s="2"/>
      <c r="G450" s="2"/>
      <c r="H450" s="2"/>
      <c r="I450" s="2"/>
      <c r="J450" s="2"/>
      <c r="K450" s="2"/>
      <c r="L450" s="2"/>
      <c r="M450" s="2"/>
      <c r="N450" s="2"/>
      <c r="O450" s="2"/>
      <c r="P450" s="2"/>
      <c r="Q450" s="2"/>
      <c r="R450" s="2"/>
      <c r="S450" s="2"/>
      <c r="T450" s="2"/>
      <c r="U450" s="2"/>
      <c r="V450" s="2"/>
      <c r="W450" s="2"/>
    </row>
    <row r="451">
      <c r="A451" s="2"/>
      <c r="B451" s="2"/>
      <c r="C451" s="2"/>
      <c r="D451" s="2"/>
      <c r="E451" s="2"/>
      <c r="F451" s="2"/>
      <c r="G451" s="2"/>
      <c r="H451" s="2"/>
      <c r="I451" s="2"/>
      <c r="J451" s="2"/>
      <c r="K451" s="2"/>
      <c r="L451" s="2"/>
      <c r="M451" s="2"/>
      <c r="N451" s="2"/>
      <c r="O451" s="2"/>
      <c r="P451" s="2"/>
      <c r="Q451" s="2"/>
      <c r="R451" s="2"/>
      <c r="S451" s="2"/>
      <c r="T451" s="2"/>
      <c r="U451" s="2"/>
      <c r="V451" s="2"/>
      <c r="W451" s="2"/>
    </row>
    <row r="452">
      <c r="A452" s="2"/>
      <c r="B452" s="2"/>
      <c r="C452" s="2"/>
      <c r="D452" s="2"/>
      <c r="E452" s="2"/>
      <c r="F452" s="2"/>
      <c r="G452" s="2"/>
      <c r="H452" s="2"/>
      <c r="I452" s="2"/>
      <c r="J452" s="2"/>
      <c r="K452" s="2"/>
      <c r="L452" s="2"/>
      <c r="M452" s="2"/>
      <c r="N452" s="2"/>
      <c r="O452" s="2"/>
      <c r="P452" s="2"/>
      <c r="Q452" s="2"/>
      <c r="R452" s="2"/>
      <c r="S452" s="2"/>
      <c r="T452" s="2"/>
      <c r="U452" s="2"/>
      <c r="V452" s="2"/>
      <c r="W452" s="2"/>
    </row>
    <row r="453">
      <c r="A453" s="2"/>
      <c r="B453" s="2"/>
      <c r="C453" s="2"/>
      <c r="D453" s="2"/>
      <c r="E453" s="2"/>
      <c r="F453" s="2"/>
      <c r="G453" s="2"/>
      <c r="H453" s="2"/>
      <c r="I453" s="2"/>
      <c r="J453" s="2"/>
      <c r="K453" s="2"/>
      <c r="L453" s="2"/>
      <c r="M453" s="2"/>
      <c r="N453" s="2"/>
      <c r="O453" s="2"/>
      <c r="P453" s="2"/>
      <c r="Q453" s="2"/>
      <c r="R453" s="2"/>
      <c r="S453" s="2"/>
      <c r="T453" s="2"/>
      <c r="U453" s="2"/>
      <c r="V453" s="2"/>
      <c r="W453" s="2"/>
    </row>
    <row r="454">
      <c r="A454" s="2"/>
      <c r="B454" s="2"/>
      <c r="C454" s="2"/>
      <c r="D454" s="2"/>
      <c r="E454" s="2"/>
      <c r="F454" s="2"/>
      <c r="G454" s="2"/>
      <c r="H454" s="2"/>
      <c r="I454" s="2"/>
      <c r="J454" s="2"/>
      <c r="K454" s="2"/>
      <c r="L454" s="2"/>
      <c r="M454" s="2"/>
      <c r="N454" s="2"/>
      <c r="O454" s="2"/>
      <c r="P454" s="2"/>
      <c r="Q454" s="2"/>
      <c r="R454" s="2"/>
      <c r="S454" s="2"/>
      <c r="T454" s="2"/>
      <c r="U454" s="2"/>
      <c r="V454" s="2"/>
      <c r="W454" s="2"/>
    </row>
    <row r="455">
      <c r="A455" s="2"/>
      <c r="B455" s="2"/>
      <c r="C455" s="2"/>
      <c r="D455" s="2"/>
      <c r="E455" s="2"/>
      <c r="F455" s="2"/>
      <c r="G455" s="2"/>
      <c r="H455" s="2"/>
      <c r="I455" s="2"/>
      <c r="J455" s="2"/>
      <c r="K455" s="2"/>
      <c r="L455" s="2"/>
      <c r="M455" s="2"/>
      <c r="N455" s="2"/>
      <c r="O455" s="2"/>
      <c r="P455" s="2"/>
      <c r="Q455" s="2"/>
      <c r="R455" s="2"/>
      <c r="S455" s="2"/>
      <c r="T455" s="2"/>
      <c r="U455" s="2"/>
      <c r="V455" s="2"/>
      <c r="W455" s="2"/>
    </row>
    <row r="456">
      <c r="A456" s="2"/>
      <c r="B456" s="2"/>
      <c r="C456" s="2"/>
      <c r="D456" s="2"/>
      <c r="E456" s="2"/>
      <c r="F456" s="2"/>
      <c r="G456" s="2"/>
      <c r="H456" s="2"/>
      <c r="I456" s="2"/>
      <c r="J456" s="2"/>
      <c r="K456" s="2"/>
      <c r="L456" s="2"/>
      <c r="M456" s="2"/>
      <c r="N456" s="2"/>
      <c r="O456" s="2"/>
      <c r="P456" s="2"/>
      <c r="Q456" s="2"/>
      <c r="R456" s="2"/>
      <c r="S456" s="2"/>
      <c r="T456" s="2"/>
      <c r="U456" s="2"/>
      <c r="V456" s="2"/>
      <c r="W456" s="2"/>
    </row>
    <row r="457">
      <c r="A457" s="2"/>
      <c r="B457" s="2"/>
      <c r="C457" s="2"/>
      <c r="D457" s="2"/>
      <c r="E457" s="2"/>
      <c r="F457" s="2"/>
      <c r="G457" s="2"/>
      <c r="H457" s="2"/>
      <c r="I457" s="2"/>
      <c r="J457" s="2"/>
      <c r="K457" s="2"/>
      <c r="L457" s="2"/>
      <c r="M457" s="2"/>
      <c r="N457" s="2"/>
      <c r="O457" s="2"/>
      <c r="P457" s="2"/>
      <c r="Q457" s="2"/>
      <c r="R457" s="2"/>
      <c r="S457" s="2"/>
      <c r="T457" s="2"/>
      <c r="U457" s="2"/>
      <c r="V457" s="2"/>
      <c r="W457" s="2"/>
    </row>
    <row r="458">
      <c r="A458" s="2"/>
      <c r="B458" s="2"/>
      <c r="C458" s="2"/>
      <c r="D458" s="2"/>
      <c r="E458" s="2"/>
      <c r="F458" s="2"/>
      <c r="G458" s="2"/>
      <c r="H458" s="2"/>
      <c r="I458" s="2"/>
      <c r="J458" s="2"/>
      <c r="K458" s="2"/>
      <c r="L458" s="2"/>
      <c r="M458" s="2"/>
      <c r="N458" s="2"/>
      <c r="O458" s="2"/>
      <c r="P458" s="2"/>
      <c r="Q458" s="2"/>
      <c r="R458" s="2"/>
      <c r="S458" s="2"/>
      <c r="T458" s="2"/>
      <c r="U458" s="2"/>
      <c r="V458" s="2"/>
      <c r="W458" s="2"/>
    </row>
    <row r="459">
      <c r="A459" s="2"/>
      <c r="B459" s="2"/>
      <c r="C459" s="2"/>
      <c r="D459" s="2"/>
      <c r="E459" s="2"/>
      <c r="F459" s="2"/>
      <c r="G459" s="2"/>
      <c r="H459" s="2"/>
      <c r="I459" s="2"/>
      <c r="J459" s="2"/>
      <c r="K459" s="2"/>
      <c r="L459" s="2"/>
      <c r="M459" s="2"/>
      <c r="N459" s="2"/>
      <c r="O459" s="2"/>
      <c r="P459" s="2"/>
      <c r="Q459" s="2"/>
      <c r="R459" s="2"/>
      <c r="S459" s="2"/>
      <c r="T459" s="2"/>
      <c r="U459" s="2"/>
      <c r="V459" s="2"/>
      <c r="W459" s="2"/>
    </row>
    <row r="460">
      <c r="A460" s="2"/>
      <c r="B460" s="2"/>
      <c r="C460" s="2"/>
      <c r="D460" s="2"/>
      <c r="E460" s="2"/>
      <c r="F460" s="2"/>
      <c r="G460" s="2"/>
      <c r="H460" s="2"/>
      <c r="I460" s="2"/>
      <c r="J460" s="2"/>
      <c r="K460" s="2"/>
      <c r="L460" s="2"/>
      <c r="M460" s="2"/>
      <c r="N460" s="2"/>
      <c r="O460" s="2"/>
      <c r="P460" s="2"/>
      <c r="Q460" s="2"/>
      <c r="R460" s="2"/>
      <c r="S460" s="2"/>
      <c r="T460" s="2"/>
      <c r="U460" s="2"/>
      <c r="V460" s="2"/>
      <c r="W460" s="2"/>
    </row>
    <row r="461">
      <c r="A461" s="2"/>
      <c r="B461" s="2"/>
      <c r="C461" s="2"/>
      <c r="D461" s="2"/>
      <c r="E461" s="2"/>
      <c r="F461" s="2"/>
      <c r="G461" s="2"/>
      <c r="H461" s="2"/>
      <c r="I461" s="2"/>
      <c r="J461" s="2"/>
      <c r="K461" s="2"/>
      <c r="L461" s="2"/>
      <c r="M461" s="2"/>
      <c r="N461" s="2"/>
      <c r="O461" s="2"/>
      <c r="P461" s="2"/>
      <c r="Q461" s="2"/>
      <c r="R461" s="2"/>
      <c r="S461" s="2"/>
      <c r="T461" s="2"/>
      <c r="U461" s="2"/>
      <c r="V461" s="2"/>
      <c r="W461" s="2"/>
    </row>
    <row r="462">
      <c r="A462" s="2"/>
      <c r="B462" s="2"/>
      <c r="C462" s="2"/>
      <c r="D462" s="2"/>
      <c r="E462" s="2"/>
      <c r="F462" s="2"/>
      <c r="G462" s="2"/>
      <c r="H462" s="2"/>
      <c r="I462" s="2"/>
      <c r="J462" s="2"/>
      <c r="K462" s="2"/>
      <c r="L462" s="2"/>
      <c r="M462" s="2"/>
      <c r="N462" s="2"/>
      <c r="O462" s="2"/>
      <c r="P462" s="2"/>
      <c r="Q462" s="2"/>
      <c r="R462" s="2"/>
      <c r="S462" s="2"/>
      <c r="T462" s="2"/>
      <c r="U462" s="2"/>
      <c r="V462" s="2"/>
      <c r="W462" s="2"/>
    </row>
    <row r="463">
      <c r="A463" s="2"/>
      <c r="B463" s="2"/>
      <c r="C463" s="2"/>
      <c r="D463" s="2"/>
      <c r="E463" s="2"/>
      <c r="F463" s="2"/>
      <c r="G463" s="2"/>
      <c r="H463" s="2"/>
      <c r="I463" s="2"/>
      <c r="J463" s="2"/>
      <c r="K463" s="2"/>
      <c r="L463" s="2"/>
      <c r="M463" s="2"/>
      <c r="N463" s="2"/>
      <c r="O463" s="2"/>
      <c r="P463" s="2"/>
      <c r="Q463" s="2"/>
      <c r="R463" s="2"/>
      <c r="S463" s="2"/>
      <c r="T463" s="2"/>
      <c r="U463" s="2"/>
      <c r="V463" s="2"/>
      <c r="W463" s="2"/>
    </row>
    <row r="464">
      <c r="A464" s="2"/>
      <c r="B464" s="2"/>
      <c r="C464" s="2"/>
      <c r="D464" s="2"/>
      <c r="E464" s="2"/>
      <c r="F464" s="2"/>
      <c r="G464" s="2"/>
      <c r="H464" s="2"/>
      <c r="I464" s="2"/>
      <c r="J464" s="2"/>
      <c r="K464" s="2"/>
      <c r="L464" s="2"/>
      <c r="M464" s="2"/>
      <c r="N464" s="2"/>
      <c r="O464" s="2"/>
      <c r="P464" s="2"/>
      <c r="Q464" s="2"/>
      <c r="R464" s="2"/>
      <c r="S464" s="2"/>
      <c r="T464" s="2"/>
      <c r="U464" s="2"/>
      <c r="V464" s="2"/>
      <c r="W464" s="2"/>
    </row>
    <row r="465">
      <c r="A465" s="2"/>
      <c r="B465" s="2"/>
      <c r="C465" s="2"/>
      <c r="D465" s="2"/>
      <c r="E465" s="2"/>
      <c r="F465" s="2"/>
      <c r="G465" s="2"/>
      <c r="H465" s="2"/>
      <c r="I465" s="2"/>
      <c r="J465" s="2"/>
      <c r="K465" s="2"/>
      <c r="L465" s="2"/>
      <c r="M465" s="2"/>
      <c r="N465" s="2"/>
      <c r="O465" s="2"/>
      <c r="P465" s="2"/>
      <c r="Q465" s="2"/>
      <c r="R465" s="2"/>
      <c r="S465" s="2"/>
      <c r="T465" s="2"/>
      <c r="U465" s="2"/>
      <c r="V465" s="2"/>
      <c r="W465" s="2"/>
    </row>
    <row r="466">
      <c r="A466" s="2"/>
      <c r="B466" s="2"/>
      <c r="C466" s="2"/>
      <c r="D466" s="2"/>
      <c r="E466" s="2"/>
      <c r="F466" s="2"/>
      <c r="G466" s="2"/>
      <c r="H466" s="2"/>
      <c r="I466" s="2"/>
      <c r="J466" s="2"/>
      <c r="K466" s="2"/>
      <c r="L466" s="2"/>
      <c r="M466" s="2"/>
      <c r="N466" s="2"/>
      <c r="O466" s="2"/>
      <c r="P466" s="2"/>
      <c r="Q466" s="2"/>
      <c r="R466" s="2"/>
      <c r="S466" s="2"/>
      <c r="T466" s="2"/>
      <c r="U466" s="2"/>
      <c r="V466" s="2"/>
      <c r="W466" s="2"/>
    </row>
    <row r="467">
      <c r="A467" s="2"/>
      <c r="B467" s="2"/>
      <c r="C467" s="2"/>
      <c r="D467" s="2"/>
      <c r="E467" s="2"/>
      <c r="F467" s="2"/>
      <c r="G467" s="2"/>
      <c r="H467" s="2"/>
      <c r="I467" s="2"/>
      <c r="J467" s="2"/>
      <c r="K467" s="2"/>
      <c r="L467" s="2"/>
      <c r="M467" s="2"/>
      <c r="N467" s="2"/>
      <c r="O467" s="2"/>
      <c r="P467" s="2"/>
      <c r="Q467" s="2"/>
      <c r="R467" s="2"/>
      <c r="S467" s="2"/>
      <c r="T467" s="2"/>
      <c r="U467" s="2"/>
      <c r="V467" s="2"/>
      <c r="W467" s="2"/>
    </row>
    <row r="468">
      <c r="A468" s="2"/>
      <c r="B468" s="2"/>
      <c r="C468" s="2"/>
      <c r="D468" s="2"/>
      <c r="E468" s="2"/>
      <c r="F468" s="2"/>
      <c r="G468" s="2"/>
      <c r="H468" s="2"/>
      <c r="I468" s="2"/>
      <c r="J468" s="2"/>
      <c r="K468" s="2"/>
      <c r="L468" s="2"/>
      <c r="M468" s="2"/>
      <c r="N468" s="2"/>
      <c r="O468" s="2"/>
      <c r="P468" s="2"/>
      <c r="Q468" s="2"/>
      <c r="R468" s="2"/>
      <c r="S468" s="2"/>
      <c r="T468" s="2"/>
      <c r="U468" s="2"/>
      <c r="V468" s="2"/>
      <c r="W468" s="2"/>
    </row>
    <row r="469">
      <c r="A469" s="2"/>
      <c r="B469" s="2"/>
      <c r="C469" s="2"/>
      <c r="D469" s="2"/>
      <c r="E469" s="2"/>
      <c r="F469" s="2"/>
      <c r="G469" s="2"/>
      <c r="H469" s="2"/>
      <c r="I469" s="2"/>
      <c r="J469" s="2"/>
      <c r="K469" s="2"/>
      <c r="L469" s="2"/>
      <c r="M469" s="2"/>
      <c r="N469" s="2"/>
      <c r="O469" s="2"/>
      <c r="P469" s="2"/>
      <c r="Q469" s="2"/>
      <c r="R469" s="2"/>
      <c r="S469" s="2"/>
      <c r="T469" s="2"/>
      <c r="U469" s="2"/>
      <c r="V469" s="2"/>
      <c r="W469" s="2"/>
    </row>
    <row r="470">
      <c r="A470" s="2"/>
      <c r="B470" s="2"/>
      <c r="C470" s="2"/>
      <c r="D470" s="2"/>
      <c r="E470" s="2"/>
      <c r="F470" s="2"/>
      <c r="G470" s="2"/>
      <c r="H470" s="2"/>
      <c r="I470" s="2"/>
      <c r="J470" s="2"/>
      <c r="K470" s="2"/>
      <c r="L470" s="2"/>
      <c r="M470" s="2"/>
      <c r="N470" s="2"/>
      <c r="O470" s="2"/>
      <c r="P470" s="2"/>
      <c r="Q470" s="2"/>
      <c r="R470" s="2"/>
      <c r="S470" s="2"/>
      <c r="T470" s="2"/>
      <c r="U470" s="2"/>
      <c r="V470" s="2"/>
      <c r="W470" s="2"/>
    </row>
    <row r="471">
      <c r="A471" s="2"/>
      <c r="B471" s="2"/>
      <c r="C471" s="2"/>
      <c r="D471" s="2"/>
      <c r="E471" s="2"/>
      <c r="F471" s="2"/>
      <c r="G471" s="2"/>
      <c r="H471" s="2"/>
      <c r="I471" s="2"/>
      <c r="J471" s="2"/>
      <c r="K471" s="2"/>
      <c r="L471" s="2"/>
      <c r="M471" s="2"/>
      <c r="N471" s="2"/>
      <c r="O471" s="2"/>
      <c r="P471" s="2"/>
      <c r="Q471" s="2"/>
      <c r="R471" s="2"/>
      <c r="S471" s="2"/>
      <c r="T471" s="2"/>
      <c r="U471" s="2"/>
      <c r="V471" s="2"/>
      <c r="W471" s="2"/>
    </row>
    <row r="472">
      <c r="A472" s="2"/>
      <c r="B472" s="2"/>
      <c r="C472" s="2"/>
      <c r="D472" s="2"/>
      <c r="E472" s="2"/>
      <c r="F472" s="2"/>
      <c r="G472" s="2"/>
      <c r="H472" s="2"/>
      <c r="I472" s="2"/>
      <c r="J472" s="2"/>
      <c r="K472" s="2"/>
      <c r="L472" s="2"/>
      <c r="M472" s="2"/>
      <c r="N472" s="2"/>
      <c r="O472" s="2"/>
      <c r="P472" s="2"/>
      <c r="Q472" s="2"/>
      <c r="R472" s="2"/>
      <c r="S472" s="2"/>
      <c r="T472" s="2"/>
      <c r="U472" s="2"/>
      <c r="V472" s="2"/>
      <c r="W472" s="2"/>
    </row>
    <row r="473">
      <c r="A473" s="2"/>
      <c r="B473" s="2"/>
      <c r="C473" s="2"/>
      <c r="D473" s="2"/>
      <c r="E473" s="2"/>
      <c r="F473" s="2"/>
      <c r="G473" s="2"/>
      <c r="H473" s="2"/>
      <c r="I473" s="2"/>
      <c r="J473" s="2"/>
      <c r="K473" s="2"/>
      <c r="L473" s="2"/>
      <c r="M473" s="2"/>
      <c r="N473" s="2"/>
      <c r="O473" s="2"/>
      <c r="P473" s="2"/>
      <c r="Q473" s="2"/>
      <c r="R473" s="2"/>
      <c r="S473" s="2"/>
      <c r="T473" s="2"/>
      <c r="U473" s="2"/>
      <c r="V473" s="2"/>
      <c r="W473" s="2"/>
    </row>
    <row r="474">
      <c r="A474" s="2"/>
      <c r="B474" s="2"/>
      <c r="C474" s="2"/>
      <c r="D474" s="2"/>
      <c r="E474" s="2"/>
      <c r="F474" s="2"/>
      <c r="G474" s="2"/>
      <c r="H474" s="2"/>
      <c r="I474" s="2"/>
      <c r="J474" s="2"/>
      <c r="K474" s="2"/>
      <c r="L474" s="2"/>
      <c r="M474" s="2"/>
      <c r="N474" s="2"/>
      <c r="O474" s="2"/>
      <c r="P474" s="2"/>
      <c r="Q474" s="2"/>
      <c r="R474" s="2"/>
      <c r="S474" s="2"/>
      <c r="T474" s="2"/>
      <c r="U474" s="2"/>
      <c r="V474" s="2"/>
      <c r="W474" s="2"/>
    </row>
    <row r="475">
      <c r="A475" s="2"/>
      <c r="B475" s="2"/>
      <c r="C475" s="2"/>
      <c r="D475" s="2"/>
      <c r="E475" s="2"/>
      <c r="F475" s="2"/>
      <c r="G475" s="2"/>
      <c r="H475" s="2"/>
      <c r="I475" s="2"/>
      <c r="J475" s="2"/>
      <c r="K475" s="2"/>
      <c r="L475" s="2"/>
      <c r="M475" s="2"/>
      <c r="N475" s="2"/>
      <c r="O475" s="2"/>
      <c r="P475" s="2"/>
      <c r="Q475" s="2"/>
      <c r="R475" s="2"/>
      <c r="S475" s="2"/>
      <c r="T475" s="2"/>
      <c r="U475" s="2"/>
      <c r="V475" s="2"/>
      <c r="W475" s="2"/>
    </row>
    <row r="476">
      <c r="A476" s="2"/>
      <c r="B476" s="2"/>
      <c r="C476" s="2"/>
      <c r="D476" s="2"/>
      <c r="E476" s="2"/>
      <c r="F476" s="2"/>
      <c r="G476" s="2"/>
      <c r="H476" s="2"/>
      <c r="I476" s="2"/>
      <c r="J476" s="2"/>
      <c r="K476" s="2"/>
      <c r="L476" s="2"/>
      <c r="M476" s="2"/>
      <c r="N476" s="2"/>
      <c r="O476" s="2"/>
      <c r="P476" s="2"/>
      <c r="Q476" s="2"/>
      <c r="R476" s="2"/>
      <c r="S476" s="2"/>
      <c r="T476" s="2"/>
      <c r="U476" s="2"/>
      <c r="V476" s="2"/>
      <c r="W476" s="2"/>
    </row>
    <row r="477">
      <c r="A477" s="2"/>
      <c r="B477" s="2"/>
      <c r="C477" s="2"/>
      <c r="D477" s="2"/>
      <c r="E477" s="2"/>
      <c r="F477" s="2"/>
      <c r="G477" s="2"/>
      <c r="H477" s="2"/>
      <c r="I477" s="2"/>
      <c r="J477" s="2"/>
      <c r="K477" s="2"/>
      <c r="L477" s="2"/>
      <c r="M477" s="2"/>
      <c r="N477" s="2"/>
      <c r="O477" s="2"/>
      <c r="P477" s="2"/>
      <c r="Q477" s="2"/>
      <c r="R477" s="2"/>
      <c r="S477" s="2"/>
      <c r="T477" s="2"/>
      <c r="U477" s="2"/>
      <c r="V477" s="2"/>
      <c r="W477" s="2"/>
    </row>
    <row r="478">
      <c r="A478" s="2"/>
      <c r="B478" s="2"/>
      <c r="C478" s="2"/>
      <c r="D478" s="2"/>
      <c r="E478" s="2"/>
      <c r="F478" s="2"/>
      <c r="G478" s="2"/>
      <c r="H478" s="2"/>
      <c r="I478" s="2"/>
      <c r="J478" s="2"/>
      <c r="K478" s="2"/>
      <c r="L478" s="2"/>
      <c r="M478" s="2"/>
      <c r="N478" s="2"/>
      <c r="O478" s="2"/>
      <c r="P478" s="2"/>
      <c r="Q478" s="2"/>
      <c r="R478" s="2"/>
      <c r="S478" s="2"/>
      <c r="T478" s="2"/>
      <c r="U478" s="2"/>
      <c r="V478" s="2"/>
      <c r="W478" s="2"/>
    </row>
    <row r="479">
      <c r="A479" s="2"/>
      <c r="B479" s="2"/>
      <c r="C479" s="2"/>
      <c r="D479" s="2"/>
      <c r="E479" s="2"/>
      <c r="F479" s="2"/>
      <c r="G479" s="2"/>
      <c r="H479" s="2"/>
      <c r="I479" s="2"/>
      <c r="J479" s="2"/>
      <c r="K479" s="2"/>
      <c r="L479" s="2"/>
      <c r="M479" s="2"/>
      <c r="N479" s="2"/>
      <c r="O479" s="2"/>
      <c r="P479" s="2"/>
      <c r="Q479" s="2"/>
      <c r="R479" s="2"/>
      <c r="S479" s="2"/>
      <c r="T479" s="2"/>
      <c r="U479" s="2"/>
      <c r="V479" s="2"/>
      <c r="W479" s="2"/>
    </row>
    <row r="480">
      <c r="A480" s="2"/>
      <c r="B480" s="2"/>
      <c r="C480" s="2"/>
      <c r="D480" s="2"/>
      <c r="E480" s="2"/>
      <c r="F480" s="2"/>
      <c r="G480" s="2"/>
      <c r="H480" s="2"/>
      <c r="I480" s="2"/>
      <c r="J480" s="2"/>
      <c r="K480" s="2"/>
      <c r="L480" s="2"/>
      <c r="M480" s="2"/>
      <c r="N480" s="2"/>
      <c r="O480" s="2"/>
      <c r="P480" s="2"/>
      <c r="Q480" s="2"/>
      <c r="R480" s="2"/>
      <c r="S480" s="2"/>
      <c r="T480" s="2"/>
      <c r="U480" s="2"/>
      <c r="V480" s="2"/>
      <c r="W480" s="2"/>
    </row>
    <row r="481">
      <c r="A481" s="2"/>
      <c r="B481" s="2"/>
      <c r="C481" s="2"/>
      <c r="D481" s="2"/>
      <c r="E481" s="2"/>
      <c r="F481" s="2"/>
      <c r="G481" s="2"/>
      <c r="H481" s="2"/>
      <c r="I481" s="2"/>
      <c r="J481" s="2"/>
      <c r="K481" s="2"/>
      <c r="L481" s="2"/>
      <c r="M481" s="2"/>
      <c r="N481" s="2"/>
      <c r="O481" s="2"/>
      <c r="P481" s="2"/>
      <c r="Q481" s="2"/>
      <c r="R481" s="2"/>
      <c r="S481" s="2"/>
      <c r="T481" s="2"/>
      <c r="U481" s="2"/>
      <c r="V481" s="2"/>
      <c r="W481" s="2"/>
    </row>
    <row r="482">
      <c r="A482" s="2"/>
      <c r="B482" s="2"/>
      <c r="C482" s="2"/>
      <c r="D482" s="2"/>
      <c r="E482" s="2"/>
      <c r="F482" s="2"/>
      <c r="G482" s="2"/>
      <c r="H482" s="2"/>
      <c r="I482" s="2"/>
      <c r="J482" s="2"/>
      <c r="K482" s="2"/>
      <c r="L482" s="2"/>
      <c r="M482" s="2"/>
      <c r="N482" s="2"/>
      <c r="O482" s="2"/>
      <c r="P482" s="2"/>
      <c r="Q482" s="2"/>
      <c r="R482" s="2"/>
      <c r="S482" s="2"/>
      <c r="T482" s="2"/>
      <c r="U482" s="2"/>
      <c r="V482" s="2"/>
      <c r="W482" s="2"/>
    </row>
    <row r="483">
      <c r="A483" s="2"/>
      <c r="B483" s="2"/>
      <c r="C483" s="2"/>
      <c r="D483" s="2"/>
      <c r="E483" s="2"/>
      <c r="F483" s="2"/>
      <c r="G483" s="2"/>
      <c r="H483" s="2"/>
      <c r="I483" s="2"/>
      <c r="J483" s="2"/>
      <c r="K483" s="2"/>
      <c r="L483" s="2"/>
      <c r="M483" s="2"/>
      <c r="N483" s="2"/>
      <c r="O483" s="2"/>
      <c r="P483" s="2"/>
      <c r="Q483" s="2"/>
      <c r="R483" s="2"/>
      <c r="S483" s="2"/>
      <c r="T483" s="2"/>
      <c r="U483" s="2"/>
      <c r="V483" s="2"/>
      <c r="W483" s="2"/>
    </row>
    <row r="484">
      <c r="A484" s="2"/>
      <c r="B484" s="2"/>
      <c r="C484" s="2"/>
      <c r="D484" s="2"/>
      <c r="E484" s="2"/>
      <c r="F484" s="2"/>
      <c r="G484" s="2"/>
      <c r="H484" s="2"/>
      <c r="I484" s="2"/>
      <c r="J484" s="2"/>
      <c r="K484" s="2"/>
      <c r="L484" s="2"/>
      <c r="M484" s="2"/>
      <c r="N484" s="2"/>
      <c r="O484" s="2"/>
      <c r="P484" s="2"/>
      <c r="Q484" s="2"/>
      <c r="R484" s="2"/>
      <c r="S484" s="2"/>
      <c r="T484" s="2"/>
      <c r="U484" s="2"/>
      <c r="V484" s="2"/>
      <c r="W484" s="2"/>
    </row>
    <row r="485">
      <c r="A485" s="2"/>
      <c r="B485" s="2"/>
      <c r="C485" s="2"/>
      <c r="D485" s="2"/>
      <c r="E485" s="2"/>
      <c r="F485" s="2"/>
      <c r="G485" s="2"/>
      <c r="H485" s="2"/>
      <c r="I485" s="2"/>
      <c r="J485" s="2"/>
      <c r="K485" s="2"/>
      <c r="L485" s="2"/>
      <c r="M485" s="2"/>
      <c r="N485" s="2"/>
      <c r="O485" s="2"/>
      <c r="P485" s="2"/>
      <c r="Q485" s="2"/>
      <c r="R485" s="2"/>
      <c r="S485" s="2"/>
      <c r="T485" s="2"/>
      <c r="U485" s="2"/>
      <c r="V485" s="2"/>
      <c r="W485" s="2"/>
    </row>
    <row r="486">
      <c r="A486" s="2"/>
      <c r="B486" s="2"/>
      <c r="C486" s="2"/>
      <c r="D486" s="2"/>
      <c r="E486" s="2"/>
      <c r="F486" s="2"/>
      <c r="G486" s="2"/>
      <c r="H486" s="2"/>
      <c r="I486" s="2"/>
      <c r="J486" s="2"/>
      <c r="K486" s="2"/>
      <c r="L486" s="2"/>
      <c r="M486" s="2"/>
      <c r="N486" s="2"/>
      <c r="O486" s="2"/>
      <c r="P486" s="2"/>
      <c r="Q486" s="2"/>
      <c r="R486" s="2"/>
      <c r="S486" s="2"/>
      <c r="T486" s="2"/>
      <c r="U486" s="2"/>
      <c r="V486" s="2"/>
      <c r="W486" s="2"/>
    </row>
    <row r="487">
      <c r="A487" s="2"/>
      <c r="B487" s="2"/>
      <c r="C487" s="2"/>
      <c r="D487" s="2"/>
      <c r="E487" s="2"/>
      <c r="F487" s="2"/>
      <c r="G487" s="2"/>
      <c r="H487" s="2"/>
      <c r="I487" s="2"/>
      <c r="J487" s="2"/>
      <c r="K487" s="2"/>
      <c r="L487" s="2"/>
      <c r="M487" s="2"/>
      <c r="N487" s="2"/>
      <c r="O487" s="2"/>
      <c r="P487" s="2"/>
      <c r="Q487" s="2"/>
      <c r="R487" s="2"/>
      <c r="S487" s="2"/>
      <c r="T487" s="2"/>
      <c r="U487" s="2"/>
      <c r="V487" s="2"/>
      <c r="W487" s="2"/>
    </row>
    <row r="488">
      <c r="A488" s="2"/>
      <c r="B488" s="2"/>
      <c r="C488" s="2"/>
      <c r="D488" s="2"/>
      <c r="E488" s="2"/>
      <c r="F488" s="2"/>
      <c r="G488" s="2"/>
      <c r="H488" s="2"/>
      <c r="I488" s="2"/>
      <c r="J488" s="2"/>
      <c r="K488" s="2"/>
      <c r="L488" s="2"/>
      <c r="M488" s="2"/>
      <c r="N488" s="2"/>
      <c r="O488" s="2"/>
      <c r="P488" s="2"/>
      <c r="Q488" s="2"/>
      <c r="R488" s="2"/>
      <c r="S488" s="2"/>
      <c r="T488" s="2"/>
      <c r="U488" s="2"/>
      <c r="V488" s="2"/>
      <c r="W488" s="2"/>
    </row>
    <row r="489">
      <c r="A489" s="2"/>
      <c r="B489" s="2"/>
      <c r="C489" s="2"/>
      <c r="D489" s="2"/>
      <c r="E489" s="2"/>
      <c r="F489" s="2"/>
      <c r="G489" s="2"/>
      <c r="H489" s="2"/>
      <c r="I489" s="2"/>
      <c r="J489" s="2"/>
      <c r="K489" s="2"/>
      <c r="L489" s="2"/>
      <c r="M489" s="2"/>
      <c r="N489" s="2"/>
      <c r="O489" s="2"/>
      <c r="P489" s="2"/>
      <c r="Q489" s="2"/>
      <c r="R489" s="2"/>
      <c r="S489" s="2"/>
      <c r="T489" s="2"/>
      <c r="U489" s="2"/>
      <c r="V489" s="2"/>
      <c r="W489" s="2"/>
    </row>
    <row r="490">
      <c r="A490" s="2"/>
      <c r="B490" s="2"/>
      <c r="C490" s="2"/>
      <c r="D490" s="2"/>
      <c r="E490" s="2"/>
      <c r="F490" s="2"/>
      <c r="G490" s="2"/>
      <c r="H490" s="2"/>
      <c r="I490" s="2"/>
      <c r="J490" s="2"/>
      <c r="K490" s="2"/>
      <c r="L490" s="2"/>
      <c r="M490" s="2"/>
      <c r="N490" s="2"/>
      <c r="O490" s="2"/>
      <c r="P490" s="2"/>
      <c r="Q490" s="2"/>
      <c r="R490" s="2"/>
      <c r="S490" s="2"/>
      <c r="T490" s="2"/>
      <c r="U490" s="2"/>
      <c r="V490" s="2"/>
      <c r="W490" s="2"/>
    </row>
    <row r="491">
      <c r="A491" s="2"/>
      <c r="B491" s="2"/>
      <c r="C491" s="2"/>
      <c r="D491" s="2"/>
      <c r="E491" s="2"/>
      <c r="F491" s="2"/>
      <c r="G491" s="2"/>
      <c r="H491" s="2"/>
      <c r="I491" s="2"/>
      <c r="J491" s="2"/>
      <c r="K491" s="2"/>
      <c r="L491" s="2"/>
      <c r="M491" s="2"/>
      <c r="N491" s="2"/>
      <c r="O491" s="2"/>
      <c r="P491" s="2"/>
      <c r="Q491" s="2"/>
      <c r="R491" s="2"/>
      <c r="S491" s="2"/>
      <c r="T491" s="2"/>
      <c r="U491" s="2"/>
      <c r="V491" s="2"/>
      <c r="W491" s="2"/>
    </row>
    <row r="492">
      <c r="A492" s="2"/>
      <c r="B492" s="2"/>
      <c r="C492" s="2"/>
      <c r="D492" s="2"/>
      <c r="E492" s="2"/>
      <c r="F492" s="2"/>
      <c r="G492" s="2"/>
      <c r="H492" s="2"/>
      <c r="I492" s="2"/>
      <c r="J492" s="2"/>
      <c r="K492" s="2"/>
      <c r="L492" s="2"/>
      <c r="M492" s="2"/>
      <c r="N492" s="2"/>
      <c r="O492" s="2"/>
      <c r="P492" s="2"/>
      <c r="Q492" s="2"/>
      <c r="R492" s="2"/>
      <c r="S492" s="2"/>
      <c r="T492" s="2"/>
      <c r="U492" s="2"/>
      <c r="V492" s="2"/>
      <c r="W492" s="2"/>
    </row>
    <row r="493">
      <c r="A493" s="2"/>
      <c r="B493" s="2"/>
      <c r="C493" s="2"/>
      <c r="D493" s="2"/>
      <c r="E493" s="2"/>
      <c r="F493" s="2"/>
      <c r="G493" s="2"/>
      <c r="H493" s="2"/>
      <c r="I493" s="2"/>
      <c r="J493" s="2"/>
      <c r="K493" s="2"/>
      <c r="L493" s="2"/>
      <c r="M493" s="2"/>
      <c r="N493" s="2"/>
      <c r="O493" s="2"/>
      <c r="P493" s="2"/>
      <c r="Q493" s="2"/>
      <c r="R493" s="2"/>
      <c r="S493" s="2"/>
      <c r="T493" s="2"/>
      <c r="U493" s="2"/>
      <c r="V493" s="2"/>
      <c r="W493" s="2"/>
    </row>
    <row r="494">
      <c r="A494" s="2"/>
      <c r="B494" s="2"/>
      <c r="C494" s="2"/>
      <c r="D494" s="2"/>
      <c r="E494" s="2"/>
      <c r="F494" s="2"/>
      <c r="G494" s="2"/>
      <c r="H494" s="2"/>
      <c r="I494" s="2"/>
      <c r="J494" s="2"/>
      <c r="K494" s="2"/>
      <c r="L494" s="2"/>
      <c r="M494" s="2"/>
      <c r="N494" s="2"/>
      <c r="O494" s="2"/>
      <c r="P494" s="2"/>
      <c r="Q494" s="2"/>
      <c r="R494" s="2"/>
      <c r="S494" s="2"/>
      <c r="T494" s="2"/>
      <c r="U494" s="2"/>
      <c r="V494" s="2"/>
      <c r="W494" s="2"/>
    </row>
    <row r="495">
      <c r="A495" s="2"/>
      <c r="B495" s="2"/>
      <c r="C495" s="2"/>
      <c r="D495" s="2"/>
      <c r="E495" s="2"/>
      <c r="F495" s="2"/>
      <c r="G495" s="2"/>
      <c r="H495" s="2"/>
      <c r="I495" s="2"/>
      <c r="J495" s="2"/>
      <c r="K495" s="2"/>
      <c r="L495" s="2"/>
      <c r="M495" s="2"/>
      <c r="N495" s="2"/>
      <c r="O495" s="2"/>
      <c r="P495" s="2"/>
      <c r="Q495" s="2"/>
      <c r="R495" s="2"/>
      <c r="S495" s="2"/>
      <c r="T495" s="2"/>
      <c r="U495" s="2"/>
      <c r="V495" s="2"/>
      <c r="W495" s="2"/>
    </row>
    <row r="496">
      <c r="A496" s="2"/>
      <c r="B496" s="2"/>
      <c r="C496" s="2"/>
      <c r="D496" s="2"/>
      <c r="E496" s="2"/>
      <c r="F496" s="2"/>
      <c r="G496" s="2"/>
      <c r="H496" s="2"/>
      <c r="I496" s="2"/>
      <c r="J496" s="2"/>
      <c r="K496" s="2"/>
      <c r="L496" s="2"/>
      <c r="M496" s="2"/>
      <c r="N496" s="2"/>
      <c r="O496" s="2"/>
      <c r="P496" s="2"/>
      <c r="Q496" s="2"/>
      <c r="R496" s="2"/>
      <c r="S496" s="2"/>
      <c r="T496" s="2"/>
      <c r="U496" s="2"/>
      <c r="V496" s="2"/>
      <c r="W496" s="2"/>
    </row>
    <row r="497">
      <c r="A497" s="2"/>
      <c r="B497" s="2"/>
      <c r="C497" s="2"/>
      <c r="D497" s="2"/>
      <c r="E497" s="2"/>
      <c r="F497" s="2"/>
      <c r="G497" s="2"/>
      <c r="H497" s="2"/>
      <c r="I497" s="2"/>
      <c r="J497" s="2"/>
      <c r="K497" s="2"/>
      <c r="L497" s="2"/>
      <c r="M497" s="2"/>
      <c r="N497" s="2"/>
      <c r="O497" s="2"/>
      <c r="P497" s="2"/>
      <c r="Q497" s="2"/>
      <c r="R497" s="2"/>
      <c r="S497" s="2"/>
      <c r="T497" s="2"/>
      <c r="U497" s="2"/>
      <c r="V497" s="2"/>
      <c r="W497" s="2"/>
    </row>
    <row r="498">
      <c r="A498" s="2"/>
      <c r="B498" s="2"/>
      <c r="C498" s="2"/>
      <c r="D498" s="2"/>
      <c r="E498" s="2"/>
      <c r="F498" s="2"/>
      <c r="G498" s="2"/>
      <c r="H498" s="2"/>
      <c r="I498" s="2"/>
      <c r="J498" s="2"/>
      <c r="K498" s="2"/>
      <c r="L498" s="2"/>
      <c r="M498" s="2"/>
      <c r="N498" s="2"/>
      <c r="O498" s="2"/>
      <c r="P498" s="2"/>
      <c r="Q498" s="2"/>
      <c r="R498" s="2"/>
      <c r="S498" s="2"/>
      <c r="T498" s="2"/>
      <c r="U498" s="2"/>
      <c r="V498" s="2"/>
      <c r="W498" s="2"/>
    </row>
    <row r="499">
      <c r="A499" s="2"/>
      <c r="B499" s="2"/>
      <c r="C499" s="2"/>
      <c r="D499" s="2"/>
      <c r="E499" s="2"/>
      <c r="F499" s="2"/>
      <c r="G499" s="2"/>
      <c r="H499" s="2"/>
      <c r="I499" s="2"/>
      <c r="J499" s="2"/>
      <c r="K499" s="2"/>
      <c r="L499" s="2"/>
      <c r="M499" s="2"/>
      <c r="N499" s="2"/>
      <c r="O499" s="2"/>
      <c r="P499" s="2"/>
      <c r="Q499" s="2"/>
      <c r="R499" s="2"/>
      <c r="S499" s="2"/>
      <c r="T499" s="2"/>
      <c r="U499" s="2"/>
      <c r="V499" s="2"/>
      <c r="W499" s="2"/>
    </row>
    <row r="500">
      <c r="A500" s="2"/>
      <c r="B500" s="2"/>
      <c r="C500" s="2"/>
      <c r="D500" s="2"/>
      <c r="E500" s="2"/>
      <c r="F500" s="2"/>
      <c r="G500" s="2"/>
      <c r="H500" s="2"/>
      <c r="I500" s="2"/>
      <c r="J500" s="2"/>
      <c r="K500" s="2"/>
      <c r="L500" s="2"/>
      <c r="M500" s="2"/>
      <c r="N500" s="2"/>
      <c r="O500" s="2"/>
      <c r="P500" s="2"/>
      <c r="Q500" s="2"/>
      <c r="R500" s="2"/>
      <c r="S500" s="2"/>
      <c r="T500" s="2"/>
      <c r="U500" s="2"/>
      <c r="V500" s="2"/>
      <c r="W500" s="2"/>
    </row>
    <row r="501">
      <c r="A501" s="2"/>
      <c r="B501" s="2"/>
      <c r="C501" s="2"/>
      <c r="D501" s="2"/>
      <c r="E501" s="2"/>
      <c r="F501" s="2"/>
      <c r="G501" s="2"/>
      <c r="H501" s="2"/>
      <c r="I501" s="2"/>
      <c r="J501" s="2"/>
      <c r="K501" s="2"/>
      <c r="L501" s="2"/>
      <c r="M501" s="2"/>
      <c r="N501" s="2"/>
      <c r="O501" s="2"/>
      <c r="P501" s="2"/>
      <c r="Q501" s="2"/>
      <c r="R501" s="2"/>
      <c r="S501" s="2"/>
      <c r="T501" s="2"/>
      <c r="U501" s="2"/>
      <c r="V501" s="2"/>
      <c r="W501" s="2"/>
    </row>
    <row r="502">
      <c r="A502" s="2"/>
      <c r="B502" s="2"/>
      <c r="C502" s="2"/>
      <c r="D502" s="2"/>
      <c r="E502" s="2"/>
      <c r="F502" s="2"/>
      <c r="G502" s="2"/>
      <c r="H502" s="2"/>
      <c r="I502" s="2"/>
      <c r="J502" s="2"/>
      <c r="K502" s="2"/>
      <c r="L502" s="2"/>
      <c r="M502" s="2"/>
      <c r="N502" s="2"/>
      <c r="O502" s="2"/>
      <c r="P502" s="2"/>
      <c r="Q502" s="2"/>
      <c r="R502" s="2"/>
      <c r="S502" s="2"/>
      <c r="T502" s="2"/>
      <c r="U502" s="2"/>
      <c r="V502" s="2"/>
      <c r="W502" s="2"/>
    </row>
    <row r="503">
      <c r="A503" s="2"/>
      <c r="B503" s="2"/>
      <c r="C503" s="2"/>
      <c r="D503" s="2"/>
      <c r="E503" s="2"/>
      <c r="F503" s="2"/>
      <c r="G503" s="2"/>
      <c r="H503" s="2"/>
      <c r="I503" s="2"/>
      <c r="J503" s="2"/>
      <c r="K503" s="2"/>
      <c r="L503" s="2"/>
      <c r="M503" s="2"/>
      <c r="N503" s="2"/>
      <c r="O503" s="2"/>
      <c r="P503" s="2"/>
      <c r="Q503" s="2"/>
      <c r="R503" s="2"/>
      <c r="S503" s="2"/>
      <c r="T503" s="2"/>
      <c r="U503" s="2"/>
      <c r="V503" s="2"/>
      <c r="W503" s="2"/>
    </row>
    <row r="504">
      <c r="A504" s="2"/>
      <c r="B504" s="2"/>
      <c r="C504" s="2"/>
      <c r="D504" s="2"/>
      <c r="E504" s="2"/>
      <c r="F504" s="2"/>
      <c r="G504" s="2"/>
      <c r="H504" s="2"/>
      <c r="I504" s="2"/>
      <c r="J504" s="2"/>
      <c r="K504" s="2"/>
      <c r="L504" s="2"/>
      <c r="M504" s="2"/>
      <c r="N504" s="2"/>
      <c r="O504" s="2"/>
      <c r="P504" s="2"/>
      <c r="Q504" s="2"/>
      <c r="R504" s="2"/>
      <c r="S504" s="2"/>
      <c r="T504" s="2"/>
      <c r="U504" s="2"/>
      <c r="V504" s="2"/>
      <c r="W504" s="2"/>
    </row>
    <row r="505">
      <c r="A505" s="2"/>
      <c r="B505" s="2"/>
      <c r="C505" s="2"/>
      <c r="D505" s="2"/>
      <c r="E505" s="2"/>
      <c r="F505" s="2"/>
      <c r="G505" s="2"/>
      <c r="H505" s="2"/>
      <c r="I505" s="2"/>
      <c r="J505" s="2"/>
      <c r="K505" s="2"/>
      <c r="L505" s="2"/>
      <c r="M505" s="2"/>
      <c r="N505" s="2"/>
      <c r="O505" s="2"/>
      <c r="P505" s="2"/>
      <c r="Q505" s="2"/>
      <c r="R505" s="2"/>
      <c r="S505" s="2"/>
      <c r="T505" s="2"/>
      <c r="U505" s="2"/>
      <c r="V505" s="2"/>
      <c r="W505" s="2"/>
    </row>
    <row r="506">
      <c r="A506" s="2"/>
      <c r="B506" s="2"/>
      <c r="C506" s="2"/>
      <c r="D506" s="2"/>
      <c r="E506" s="2"/>
      <c r="F506" s="2"/>
      <c r="G506" s="2"/>
      <c r="H506" s="2"/>
      <c r="I506" s="2"/>
      <c r="J506" s="2"/>
      <c r="K506" s="2"/>
      <c r="L506" s="2"/>
      <c r="M506" s="2"/>
      <c r="N506" s="2"/>
      <c r="O506" s="2"/>
      <c r="P506" s="2"/>
      <c r="Q506" s="2"/>
      <c r="R506" s="2"/>
      <c r="S506" s="2"/>
      <c r="T506" s="2"/>
      <c r="U506" s="2"/>
      <c r="V506" s="2"/>
      <c r="W506" s="2"/>
    </row>
    <row r="507">
      <c r="A507" s="2"/>
      <c r="B507" s="2"/>
      <c r="C507" s="2"/>
      <c r="D507" s="2"/>
      <c r="E507" s="2"/>
      <c r="F507" s="2"/>
      <c r="G507" s="2"/>
      <c r="H507" s="2"/>
      <c r="I507" s="2"/>
      <c r="J507" s="2"/>
      <c r="K507" s="2"/>
      <c r="L507" s="2"/>
      <c r="M507" s="2"/>
      <c r="N507" s="2"/>
      <c r="O507" s="2"/>
      <c r="P507" s="2"/>
      <c r="Q507" s="2"/>
      <c r="R507" s="2"/>
      <c r="S507" s="2"/>
      <c r="T507" s="2"/>
      <c r="U507" s="2"/>
      <c r="V507" s="2"/>
      <c r="W507" s="2"/>
    </row>
    <row r="508">
      <c r="A508" s="2"/>
      <c r="B508" s="2"/>
      <c r="C508" s="2"/>
      <c r="D508" s="2"/>
      <c r="E508" s="2"/>
      <c r="F508" s="2"/>
      <c r="G508" s="2"/>
      <c r="H508" s="2"/>
      <c r="I508" s="2"/>
      <c r="J508" s="2"/>
      <c r="K508" s="2"/>
      <c r="L508" s="2"/>
      <c r="M508" s="2"/>
      <c r="N508" s="2"/>
      <c r="O508" s="2"/>
      <c r="P508" s="2"/>
      <c r="Q508" s="2"/>
      <c r="R508" s="2"/>
      <c r="S508" s="2"/>
      <c r="T508" s="2"/>
      <c r="U508" s="2"/>
      <c r="V508" s="2"/>
      <c r="W508" s="2"/>
    </row>
    <row r="509">
      <c r="A509" s="2"/>
      <c r="B509" s="2"/>
      <c r="C509" s="2"/>
      <c r="D509" s="2"/>
      <c r="E509" s="2"/>
      <c r="F509" s="2"/>
      <c r="G509" s="2"/>
      <c r="H509" s="2"/>
      <c r="I509" s="2"/>
      <c r="J509" s="2"/>
      <c r="K509" s="2"/>
      <c r="L509" s="2"/>
      <c r="M509" s="2"/>
      <c r="N509" s="2"/>
      <c r="O509" s="2"/>
      <c r="P509" s="2"/>
      <c r="Q509" s="2"/>
      <c r="R509" s="2"/>
      <c r="S509" s="2"/>
      <c r="T509" s="2"/>
      <c r="U509" s="2"/>
      <c r="V509" s="2"/>
      <c r="W509" s="2"/>
    </row>
    <row r="510">
      <c r="A510" s="2"/>
      <c r="B510" s="2"/>
      <c r="C510" s="2"/>
      <c r="D510" s="2"/>
      <c r="E510" s="2"/>
      <c r="F510" s="2"/>
      <c r="G510" s="2"/>
      <c r="H510" s="2"/>
      <c r="I510" s="2"/>
      <c r="J510" s="2"/>
      <c r="K510" s="2"/>
      <c r="L510" s="2"/>
      <c r="M510" s="2"/>
      <c r="N510" s="2"/>
      <c r="O510" s="2"/>
      <c r="P510" s="2"/>
      <c r="Q510" s="2"/>
      <c r="R510" s="2"/>
      <c r="S510" s="2"/>
      <c r="T510" s="2"/>
      <c r="U510" s="2"/>
      <c r="V510" s="2"/>
      <c r="W510" s="2"/>
    </row>
    <row r="511">
      <c r="A511" s="2"/>
      <c r="B511" s="2"/>
      <c r="C511" s="2"/>
      <c r="D511" s="2"/>
      <c r="E511" s="2"/>
      <c r="F511" s="2"/>
      <c r="G511" s="2"/>
      <c r="H511" s="2"/>
      <c r="I511" s="2"/>
      <c r="J511" s="2"/>
      <c r="K511" s="2"/>
      <c r="L511" s="2"/>
      <c r="M511" s="2"/>
      <c r="N511" s="2"/>
      <c r="O511" s="2"/>
      <c r="P511" s="2"/>
      <c r="Q511" s="2"/>
      <c r="R511" s="2"/>
      <c r="S511" s="2"/>
      <c r="T511" s="2"/>
      <c r="U511" s="2"/>
      <c r="V511" s="2"/>
      <c r="W511" s="2"/>
    </row>
    <row r="512">
      <c r="A512" s="2"/>
      <c r="B512" s="2"/>
      <c r="C512" s="2"/>
      <c r="D512" s="2"/>
      <c r="E512" s="2"/>
      <c r="F512" s="2"/>
      <c r="G512" s="2"/>
      <c r="H512" s="2"/>
      <c r="I512" s="2"/>
      <c r="J512" s="2"/>
      <c r="K512" s="2"/>
      <c r="L512" s="2"/>
      <c r="M512" s="2"/>
      <c r="N512" s="2"/>
      <c r="O512" s="2"/>
      <c r="P512" s="2"/>
      <c r="Q512" s="2"/>
      <c r="R512" s="2"/>
      <c r="S512" s="2"/>
      <c r="T512" s="2"/>
      <c r="U512" s="2"/>
      <c r="V512" s="2"/>
      <c r="W512" s="2"/>
    </row>
    <row r="513">
      <c r="A513" s="2"/>
      <c r="B513" s="2"/>
      <c r="C513" s="2"/>
      <c r="D513" s="2"/>
      <c r="E513" s="2"/>
      <c r="F513" s="2"/>
      <c r="G513" s="2"/>
      <c r="H513" s="2"/>
      <c r="I513" s="2"/>
      <c r="J513" s="2"/>
      <c r="K513" s="2"/>
      <c r="L513" s="2"/>
      <c r="M513" s="2"/>
      <c r="N513" s="2"/>
      <c r="O513" s="2"/>
      <c r="P513" s="2"/>
      <c r="Q513" s="2"/>
      <c r="R513" s="2"/>
      <c r="S513" s="2"/>
      <c r="T513" s="2"/>
      <c r="U513" s="2"/>
      <c r="V513" s="2"/>
      <c r="W513" s="2"/>
    </row>
    <row r="514">
      <c r="A514" s="2"/>
      <c r="B514" s="2"/>
      <c r="C514" s="2"/>
      <c r="D514" s="2"/>
      <c r="E514" s="2"/>
      <c r="F514" s="2"/>
      <c r="G514" s="2"/>
      <c r="H514" s="2"/>
      <c r="I514" s="2"/>
      <c r="J514" s="2"/>
      <c r="K514" s="2"/>
      <c r="L514" s="2"/>
      <c r="M514" s="2"/>
      <c r="N514" s="2"/>
      <c r="O514" s="2"/>
      <c r="P514" s="2"/>
      <c r="Q514" s="2"/>
      <c r="R514" s="2"/>
      <c r="S514" s="2"/>
      <c r="T514" s="2"/>
      <c r="U514" s="2"/>
      <c r="V514" s="2"/>
      <c r="W514" s="2"/>
    </row>
    <row r="515">
      <c r="A515" s="2"/>
      <c r="B515" s="2"/>
      <c r="C515" s="2"/>
      <c r="D515" s="2"/>
      <c r="E515" s="2"/>
      <c r="F515" s="2"/>
      <c r="G515" s="2"/>
      <c r="H515" s="2"/>
      <c r="I515" s="2"/>
      <c r="J515" s="2"/>
      <c r="K515" s="2"/>
      <c r="L515" s="2"/>
      <c r="M515" s="2"/>
      <c r="N515" s="2"/>
      <c r="O515" s="2"/>
      <c r="P515" s="2"/>
      <c r="Q515" s="2"/>
      <c r="R515" s="2"/>
      <c r="S515" s="2"/>
      <c r="T515" s="2"/>
      <c r="U515" s="2"/>
      <c r="V515" s="2"/>
      <c r="W515" s="2"/>
    </row>
    <row r="516">
      <c r="A516" s="2"/>
      <c r="B516" s="2"/>
      <c r="C516" s="2"/>
      <c r="D516" s="2"/>
      <c r="E516" s="2"/>
      <c r="F516" s="2"/>
      <c r="G516" s="2"/>
      <c r="H516" s="2"/>
      <c r="I516" s="2"/>
      <c r="J516" s="2"/>
      <c r="K516" s="2"/>
      <c r="L516" s="2"/>
      <c r="M516" s="2"/>
      <c r="N516" s="2"/>
      <c r="O516" s="2"/>
      <c r="P516" s="2"/>
      <c r="Q516" s="2"/>
      <c r="R516" s="2"/>
      <c r="S516" s="2"/>
      <c r="T516" s="2"/>
      <c r="U516" s="2"/>
      <c r="V516" s="2"/>
      <c r="W516" s="2"/>
    </row>
    <row r="517">
      <c r="A517" s="2"/>
      <c r="B517" s="2"/>
      <c r="C517" s="2"/>
      <c r="D517" s="2"/>
      <c r="E517" s="2"/>
      <c r="F517" s="2"/>
      <c r="G517" s="2"/>
      <c r="H517" s="2"/>
      <c r="I517" s="2"/>
      <c r="J517" s="2"/>
      <c r="K517" s="2"/>
      <c r="L517" s="2"/>
      <c r="M517" s="2"/>
      <c r="N517" s="2"/>
      <c r="O517" s="2"/>
      <c r="P517" s="2"/>
      <c r="Q517" s="2"/>
      <c r="R517" s="2"/>
      <c r="S517" s="2"/>
      <c r="T517" s="2"/>
      <c r="U517" s="2"/>
      <c r="V517" s="2"/>
      <c r="W517" s="2"/>
    </row>
    <row r="518">
      <c r="A518" s="2"/>
      <c r="B518" s="2"/>
      <c r="C518" s="2"/>
      <c r="D518" s="2"/>
      <c r="E518" s="2"/>
      <c r="F518" s="2"/>
      <c r="G518" s="2"/>
      <c r="H518" s="2"/>
      <c r="I518" s="2"/>
      <c r="J518" s="2"/>
      <c r="K518" s="2"/>
      <c r="L518" s="2"/>
      <c r="M518" s="2"/>
      <c r="N518" s="2"/>
      <c r="O518" s="2"/>
      <c r="P518" s="2"/>
      <c r="Q518" s="2"/>
      <c r="R518" s="2"/>
      <c r="S518" s="2"/>
      <c r="T518" s="2"/>
      <c r="U518" s="2"/>
      <c r="V518" s="2"/>
      <c r="W518" s="2"/>
    </row>
    <row r="519">
      <c r="A519" s="2"/>
      <c r="B519" s="2"/>
      <c r="C519" s="2"/>
      <c r="D519" s="2"/>
      <c r="E519" s="2"/>
      <c r="F519" s="2"/>
      <c r="G519" s="2"/>
      <c r="H519" s="2"/>
      <c r="I519" s="2"/>
      <c r="J519" s="2"/>
      <c r="K519" s="2"/>
      <c r="L519" s="2"/>
      <c r="M519" s="2"/>
      <c r="N519" s="2"/>
      <c r="O519" s="2"/>
      <c r="P519" s="2"/>
      <c r="Q519" s="2"/>
      <c r="R519" s="2"/>
      <c r="S519" s="2"/>
      <c r="T519" s="2"/>
      <c r="U519" s="2"/>
      <c r="V519" s="2"/>
      <c r="W519" s="2"/>
    </row>
    <row r="520">
      <c r="A520" s="2"/>
      <c r="B520" s="2"/>
      <c r="C520" s="2"/>
      <c r="D520" s="2"/>
      <c r="E520" s="2"/>
      <c r="F520" s="2"/>
      <c r="G520" s="2"/>
      <c r="H520" s="2"/>
      <c r="I520" s="2"/>
      <c r="J520" s="2"/>
      <c r="K520" s="2"/>
      <c r="L520" s="2"/>
      <c r="M520" s="2"/>
      <c r="N520" s="2"/>
      <c r="O520" s="2"/>
      <c r="P520" s="2"/>
      <c r="Q520" s="2"/>
      <c r="R520" s="2"/>
      <c r="S520" s="2"/>
      <c r="T520" s="2"/>
      <c r="U520" s="2"/>
      <c r="V520" s="2"/>
      <c r="W520" s="2"/>
    </row>
    <row r="521">
      <c r="A521" s="2"/>
      <c r="B521" s="2"/>
      <c r="C521" s="2"/>
      <c r="D521" s="2"/>
      <c r="E521" s="2"/>
      <c r="F521" s="2"/>
      <c r="G521" s="2"/>
      <c r="H521" s="2"/>
      <c r="I521" s="2"/>
      <c r="J521" s="2"/>
      <c r="K521" s="2"/>
      <c r="L521" s="2"/>
      <c r="M521" s="2"/>
      <c r="N521" s="2"/>
      <c r="O521" s="2"/>
      <c r="P521" s="2"/>
      <c r="Q521" s="2"/>
      <c r="R521" s="2"/>
      <c r="S521" s="2"/>
      <c r="T521" s="2"/>
      <c r="U521" s="2"/>
      <c r="V521" s="2"/>
      <c r="W521" s="2"/>
    </row>
    <row r="522">
      <c r="A522" s="2"/>
      <c r="B522" s="2"/>
      <c r="C522" s="2"/>
      <c r="D522" s="2"/>
      <c r="E522" s="2"/>
      <c r="F522" s="2"/>
      <c r="G522" s="2"/>
      <c r="H522" s="2"/>
      <c r="I522" s="2"/>
      <c r="J522" s="2"/>
      <c r="K522" s="2"/>
      <c r="L522" s="2"/>
      <c r="M522" s="2"/>
      <c r="N522" s="2"/>
      <c r="O522" s="2"/>
      <c r="P522" s="2"/>
      <c r="Q522" s="2"/>
      <c r="R522" s="2"/>
      <c r="S522" s="2"/>
      <c r="T522" s="2"/>
      <c r="U522" s="2"/>
      <c r="V522" s="2"/>
      <c r="W522" s="2"/>
    </row>
    <row r="523">
      <c r="A523" s="2"/>
      <c r="B523" s="2"/>
      <c r="C523" s="2"/>
      <c r="D523" s="2"/>
      <c r="E523" s="2"/>
      <c r="F523" s="2"/>
      <c r="G523" s="2"/>
      <c r="H523" s="2"/>
      <c r="I523" s="2"/>
      <c r="J523" s="2"/>
      <c r="K523" s="2"/>
      <c r="L523" s="2"/>
      <c r="M523" s="2"/>
      <c r="N523" s="2"/>
      <c r="O523" s="2"/>
      <c r="P523" s="2"/>
      <c r="Q523" s="2"/>
      <c r="R523" s="2"/>
      <c r="S523" s="2"/>
      <c r="T523" s="2"/>
      <c r="U523" s="2"/>
      <c r="V523" s="2"/>
      <c r="W523" s="2"/>
    </row>
    <row r="524">
      <c r="A524" s="2"/>
      <c r="B524" s="2"/>
      <c r="C524" s="2"/>
      <c r="D524" s="2"/>
      <c r="E524" s="2"/>
      <c r="F524" s="2"/>
      <c r="G524" s="2"/>
      <c r="H524" s="2"/>
      <c r="I524" s="2"/>
      <c r="J524" s="2"/>
      <c r="K524" s="2"/>
      <c r="L524" s="2"/>
      <c r="M524" s="2"/>
      <c r="N524" s="2"/>
      <c r="O524" s="2"/>
      <c r="P524" s="2"/>
      <c r="Q524" s="2"/>
      <c r="R524" s="2"/>
      <c r="S524" s="2"/>
      <c r="T524" s="2"/>
      <c r="U524" s="2"/>
      <c r="V524" s="2"/>
      <c r="W524" s="2"/>
    </row>
    <row r="525">
      <c r="A525" s="2"/>
      <c r="B525" s="2"/>
      <c r="C525" s="2"/>
      <c r="D525" s="2"/>
      <c r="E525" s="2"/>
      <c r="F525" s="2"/>
      <c r="G525" s="2"/>
      <c r="H525" s="2"/>
      <c r="I525" s="2"/>
      <c r="J525" s="2"/>
      <c r="K525" s="2"/>
      <c r="L525" s="2"/>
      <c r="M525" s="2"/>
      <c r="N525" s="2"/>
      <c r="O525" s="2"/>
      <c r="P525" s="2"/>
      <c r="Q525" s="2"/>
      <c r="R525" s="2"/>
      <c r="S525" s="2"/>
      <c r="T525" s="2"/>
      <c r="U525" s="2"/>
      <c r="V525" s="2"/>
      <c r="W525" s="2"/>
    </row>
    <row r="526">
      <c r="A526" s="2"/>
      <c r="B526" s="2"/>
      <c r="C526" s="2"/>
      <c r="D526" s="2"/>
      <c r="E526" s="2"/>
      <c r="F526" s="2"/>
      <c r="G526" s="2"/>
      <c r="H526" s="2"/>
      <c r="I526" s="2"/>
      <c r="J526" s="2"/>
      <c r="K526" s="2"/>
      <c r="L526" s="2"/>
      <c r="M526" s="2"/>
      <c r="N526" s="2"/>
      <c r="O526" s="2"/>
      <c r="P526" s="2"/>
      <c r="Q526" s="2"/>
      <c r="R526" s="2"/>
      <c r="S526" s="2"/>
      <c r="T526" s="2"/>
      <c r="U526" s="2"/>
      <c r="V526" s="2"/>
      <c r="W526" s="2"/>
    </row>
    <row r="527">
      <c r="A527" s="2"/>
      <c r="B527" s="2"/>
      <c r="C527" s="2"/>
      <c r="D527" s="2"/>
      <c r="E527" s="2"/>
      <c r="F527" s="2"/>
      <c r="G527" s="2"/>
      <c r="H527" s="2"/>
      <c r="I527" s="2"/>
      <c r="J527" s="2"/>
      <c r="K527" s="2"/>
      <c r="L527" s="2"/>
      <c r="M527" s="2"/>
      <c r="N527" s="2"/>
      <c r="O527" s="2"/>
      <c r="P527" s="2"/>
      <c r="Q527" s="2"/>
      <c r="R527" s="2"/>
      <c r="S527" s="2"/>
      <c r="T527" s="2"/>
      <c r="U527" s="2"/>
      <c r="V527" s="2"/>
      <c r="W527" s="2"/>
    </row>
    <row r="528">
      <c r="A528" s="2"/>
      <c r="B528" s="2"/>
      <c r="C528" s="2"/>
      <c r="D528" s="2"/>
      <c r="E528" s="2"/>
      <c r="F528" s="2"/>
      <c r="G528" s="2"/>
      <c r="H528" s="2"/>
      <c r="I528" s="2"/>
      <c r="J528" s="2"/>
      <c r="K528" s="2"/>
      <c r="L528" s="2"/>
      <c r="M528" s="2"/>
      <c r="N528" s="2"/>
      <c r="O528" s="2"/>
      <c r="P528" s="2"/>
      <c r="Q528" s="2"/>
      <c r="R528" s="2"/>
      <c r="S528" s="2"/>
      <c r="T528" s="2"/>
      <c r="U528" s="2"/>
      <c r="V528" s="2"/>
      <c r="W528" s="2"/>
    </row>
    <row r="529">
      <c r="A529" s="2"/>
      <c r="B529" s="2"/>
      <c r="C529" s="2"/>
      <c r="D529" s="2"/>
      <c r="E529" s="2"/>
      <c r="F529" s="2"/>
      <c r="G529" s="2"/>
      <c r="H529" s="2"/>
      <c r="I529" s="2"/>
      <c r="J529" s="2"/>
      <c r="K529" s="2"/>
      <c r="L529" s="2"/>
      <c r="M529" s="2"/>
      <c r="N529" s="2"/>
      <c r="O529" s="2"/>
      <c r="P529" s="2"/>
      <c r="Q529" s="2"/>
      <c r="R529" s="2"/>
      <c r="S529" s="2"/>
      <c r="T529" s="2"/>
      <c r="U529" s="2"/>
      <c r="V529" s="2"/>
      <c r="W529" s="2"/>
    </row>
    <row r="530">
      <c r="A530" s="2"/>
      <c r="B530" s="2"/>
      <c r="C530" s="2"/>
      <c r="D530" s="2"/>
      <c r="E530" s="2"/>
      <c r="F530" s="2"/>
      <c r="G530" s="2"/>
      <c r="H530" s="2"/>
      <c r="I530" s="2"/>
      <c r="J530" s="2"/>
      <c r="K530" s="2"/>
      <c r="L530" s="2"/>
      <c r="M530" s="2"/>
      <c r="N530" s="2"/>
      <c r="O530" s="2"/>
      <c r="P530" s="2"/>
      <c r="Q530" s="2"/>
      <c r="R530" s="2"/>
      <c r="S530" s="2"/>
      <c r="T530" s="2"/>
      <c r="U530" s="2"/>
      <c r="V530" s="2"/>
      <c r="W530" s="2"/>
    </row>
    <row r="531">
      <c r="A531" s="2"/>
      <c r="B531" s="2"/>
      <c r="C531" s="2"/>
      <c r="D531" s="2"/>
      <c r="E531" s="2"/>
      <c r="F531" s="2"/>
      <c r="G531" s="2"/>
      <c r="H531" s="2"/>
      <c r="I531" s="2"/>
      <c r="J531" s="2"/>
      <c r="K531" s="2"/>
      <c r="L531" s="2"/>
      <c r="M531" s="2"/>
      <c r="N531" s="2"/>
      <c r="O531" s="2"/>
      <c r="P531" s="2"/>
      <c r="Q531" s="2"/>
      <c r="R531" s="2"/>
      <c r="S531" s="2"/>
      <c r="T531" s="2"/>
      <c r="U531" s="2"/>
      <c r="V531" s="2"/>
      <c r="W531" s="2"/>
    </row>
    <row r="532">
      <c r="A532" s="2"/>
      <c r="B532" s="2"/>
      <c r="C532" s="2"/>
      <c r="D532" s="2"/>
      <c r="E532" s="2"/>
      <c r="F532" s="2"/>
      <c r="G532" s="2"/>
      <c r="H532" s="2"/>
      <c r="I532" s="2"/>
      <c r="J532" s="2"/>
      <c r="K532" s="2"/>
      <c r="L532" s="2"/>
      <c r="M532" s="2"/>
      <c r="N532" s="2"/>
      <c r="O532" s="2"/>
      <c r="P532" s="2"/>
      <c r="Q532" s="2"/>
      <c r="R532" s="2"/>
      <c r="S532" s="2"/>
      <c r="T532" s="2"/>
      <c r="U532" s="2"/>
      <c r="V532" s="2"/>
      <c r="W532" s="2"/>
    </row>
    <row r="533">
      <c r="A533" s="2"/>
      <c r="B533" s="2"/>
      <c r="C533" s="2"/>
      <c r="D533" s="2"/>
      <c r="E533" s="2"/>
      <c r="F533" s="2"/>
      <c r="G533" s="2"/>
      <c r="H533" s="2"/>
      <c r="I533" s="2"/>
      <c r="J533" s="2"/>
      <c r="K533" s="2"/>
      <c r="L533" s="2"/>
      <c r="M533" s="2"/>
      <c r="N533" s="2"/>
      <c r="O533" s="2"/>
      <c r="P533" s="2"/>
      <c r="Q533" s="2"/>
      <c r="R533" s="2"/>
      <c r="S533" s="2"/>
      <c r="T533" s="2"/>
      <c r="U533" s="2"/>
      <c r="V533" s="2"/>
      <c r="W533" s="2"/>
    </row>
    <row r="534">
      <c r="A534" s="2"/>
      <c r="B534" s="2"/>
      <c r="C534" s="2"/>
      <c r="D534" s="2"/>
      <c r="E534" s="2"/>
      <c r="F534" s="2"/>
      <c r="G534" s="2"/>
      <c r="H534" s="2"/>
      <c r="I534" s="2"/>
      <c r="J534" s="2"/>
      <c r="K534" s="2"/>
      <c r="L534" s="2"/>
      <c r="M534" s="2"/>
      <c r="N534" s="2"/>
      <c r="O534" s="2"/>
      <c r="P534" s="2"/>
      <c r="Q534" s="2"/>
      <c r="R534" s="2"/>
      <c r="S534" s="2"/>
      <c r="T534" s="2"/>
      <c r="U534" s="2"/>
      <c r="V534" s="2"/>
      <c r="W534" s="2"/>
    </row>
    <row r="535">
      <c r="A535" s="2"/>
      <c r="B535" s="2"/>
      <c r="C535" s="2"/>
      <c r="D535" s="2"/>
      <c r="E535" s="2"/>
      <c r="F535" s="2"/>
      <c r="G535" s="2"/>
      <c r="H535" s="2"/>
      <c r="I535" s="2"/>
      <c r="J535" s="2"/>
      <c r="K535" s="2"/>
      <c r="L535" s="2"/>
      <c r="M535" s="2"/>
      <c r="N535" s="2"/>
      <c r="O535" s="2"/>
      <c r="P535" s="2"/>
      <c r="Q535" s="2"/>
      <c r="R535" s="2"/>
      <c r="S535" s="2"/>
      <c r="T535" s="2"/>
      <c r="U535" s="2"/>
      <c r="V535" s="2"/>
      <c r="W535" s="2"/>
    </row>
    <row r="536">
      <c r="A536" s="2"/>
      <c r="B536" s="2"/>
      <c r="C536" s="2"/>
      <c r="D536" s="2"/>
      <c r="E536" s="2"/>
      <c r="F536" s="2"/>
      <c r="G536" s="2"/>
      <c r="H536" s="2"/>
      <c r="I536" s="2"/>
      <c r="J536" s="2"/>
      <c r="K536" s="2"/>
      <c r="L536" s="2"/>
      <c r="M536" s="2"/>
      <c r="N536" s="2"/>
      <c r="O536" s="2"/>
      <c r="P536" s="2"/>
      <c r="Q536" s="2"/>
      <c r="R536" s="2"/>
      <c r="S536" s="2"/>
      <c r="T536" s="2"/>
      <c r="U536" s="2"/>
      <c r="V536" s="2"/>
      <c r="W536" s="2"/>
    </row>
    <row r="537">
      <c r="A537" s="2"/>
      <c r="B537" s="2"/>
      <c r="C537" s="2"/>
      <c r="D537" s="2"/>
      <c r="E537" s="2"/>
      <c r="F537" s="2"/>
      <c r="G537" s="2"/>
      <c r="H537" s="2"/>
      <c r="I537" s="2"/>
      <c r="J537" s="2"/>
      <c r="K537" s="2"/>
      <c r="L537" s="2"/>
      <c r="M537" s="2"/>
      <c r="N537" s="2"/>
      <c r="O537" s="2"/>
      <c r="P537" s="2"/>
      <c r="Q537" s="2"/>
      <c r="R537" s="2"/>
      <c r="S537" s="2"/>
      <c r="T537" s="2"/>
      <c r="U537" s="2"/>
      <c r="V537" s="2"/>
      <c r="W537" s="2"/>
    </row>
    <row r="538">
      <c r="A538" s="2"/>
      <c r="B538" s="2"/>
      <c r="C538" s="2"/>
      <c r="D538" s="2"/>
      <c r="E538" s="2"/>
      <c r="F538" s="2"/>
      <c r="G538" s="2"/>
      <c r="H538" s="2"/>
      <c r="I538" s="2"/>
      <c r="J538" s="2"/>
      <c r="K538" s="2"/>
      <c r="L538" s="2"/>
      <c r="M538" s="2"/>
      <c r="N538" s="2"/>
      <c r="O538" s="2"/>
      <c r="P538" s="2"/>
      <c r="Q538" s="2"/>
      <c r="R538" s="2"/>
      <c r="S538" s="2"/>
      <c r="T538" s="2"/>
      <c r="U538" s="2"/>
      <c r="V538" s="2"/>
      <c r="W538" s="2"/>
    </row>
    <row r="539">
      <c r="A539" s="2"/>
      <c r="B539" s="2"/>
      <c r="C539" s="2"/>
      <c r="D539" s="2"/>
      <c r="E539" s="2"/>
      <c r="F539" s="2"/>
      <c r="G539" s="2"/>
      <c r="H539" s="2"/>
      <c r="I539" s="2"/>
      <c r="J539" s="2"/>
      <c r="K539" s="2"/>
      <c r="L539" s="2"/>
      <c r="M539" s="2"/>
      <c r="N539" s="2"/>
      <c r="O539" s="2"/>
      <c r="P539" s="2"/>
      <c r="Q539" s="2"/>
      <c r="R539" s="2"/>
      <c r="S539" s="2"/>
      <c r="T539" s="2"/>
      <c r="U539" s="2"/>
      <c r="V539" s="2"/>
      <c r="W539" s="2"/>
    </row>
    <row r="540">
      <c r="A540" s="2"/>
      <c r="B540" s="2"/>
      <c r="C540" s="2"/>
      <c r="D540" s="2"/>
      <c r="E540" s="2"/>
      <c r="F540" s="2"/>
      <c r="G540" s="2"/>
      <c r="H540" s="2"/>
      <c r="I540" s="2"/>
      <c r="J540" s="2"/>
      <c r="K540" s="2"/>
      <c r="L540" s="2"/>
      <c r="M540" s="2"/>
      <c r="N540" s="2"/>
      <c r="O540" s="2"/>
      <c r="P540" s="2"/>
      <c r="Q540" s="2"/>
      <c r="R540" s="2"/>
      <c r="S540" s="2"/>
      <c r="T540" s="2"/>
      <c r="U540" s="2"/>
      <c r="V540" s="2"/>
      <c r="W540" s="2"/>
    </row>
    <row r="541">
      <c r="A541" s="2"/>
      <c r="B541" s="2"/>
      <c r="C541" s="2"/>
      <c r="D541" s="2"/>
      <c r="E541" s="2"/>
      <c r="F541" s="2"/>
      <c r="G541" s="2"/>
      <c r="H541" s="2"/>
      <c r="I541" s="2"/>
      <c r="J541" s="2"/>
      <c r="K541" s="2"/>
      <c r="L541" s="2"/>
      <c r="M541" s="2"/>
      <c r="N541" s="2"/>
      <c r="O541" s="2"/>
      <c r="P541" s="2"/>
      <c r="Q541" s="2"/>
      <c r="R541" s="2"/>
      <c r="S541" s="2"/>
      <c r="T541" s="2"/>
      <c r="U541" s="2"/>
      <c r="V541" s="2"/>
      <c r="W541" s="2"/>
    </row>
    <row r="542">
      <c r="A542" s="2"/>
      <c r="B542" s="2"/>
      <c r="C542" s="2"/>
      <c r="D542" s="2"/>
      <c r="E542" s="2"/>
      <c r="F542" s="2"/>
      <c r="G542" s="2"/>
      <c r="H542" s="2"/>
      <c r="I542" s="2"/>
      <c r="J542" s="2"/>
      <c r="K542" s="2"/>
      <c r="L542" s="2"/>
      <c r="M542" s="2"/>
      <c r="N542" s="2"/>
      <c r="O542" s="2"/>
      <c r="P542" s="2"/>
      <c r="Q542" s="2"/>
      <c r="R542" s="2"/>
      <c r="S542" s="2"/>
      <c r="T542" s="2"/>
      <c r="U542" s="2"/>
      <c r="V542" s="2"/>
      <c r="W542" s="2"/>
    </row>
    <row r="543">
      <c r="A543" s="2"/>
      <c r="B543" s="2"/>
      <c r="C543" s="2"/>
      <c r="D543" s="2"/>
      <c r="E543" s="2"/>
      <c r="F543" s="2"/>
      <c r="G543" s="2"/>
      <c r="H543" s="2"/>
      <c r="I543" s="2"/>
      <c r="J543" s="2"/>
      <c r="K543" s="2"/>
      <c r="L543" s="2"/>
      <c r="M543" s="2"/>
      <c r="N543" s="2"/>
      <c r="O543" s="2"/>
      <c r="P543" s="2"/>
      <c r="Q543" s="2"/>
      <c r="R543" s="2"/>
      <c r="S543" s="2"/>
      <c r="T543" s="2"/>
      <c r="U543" s="2"/>
      <c r="V543" s="2"/>
      <c r="W543" s="2"/>
    </row>
    <row r="544">
      <c r="A544" s="2"/>
      <c r="B544" s="2"/>
      <c r="C544" s="2"/>
      <c r="D544" s="2"/>
      <c r="E544" s="2"/>
      <c r="F544" s="2"/>
      <c r="G544" s="2"/>
      <c r="H544" s="2"/>
      <c r="I544" s="2"/>
      <c r="J544" s="2"/>
      <c r="K544" s="2"/>
      <c r="L544" s="2"/>
      <c r="M544" s="2"/>
      <c r="N544" s="2"/>
      <c r="O544" s="2"/>
      <c r="P544" s="2"/>
      <c r="Q544" s="2"/>
      <c r="R544" s="2"/>
      <c r="S544" s="2"/>
      <c r="T544" s="2"/>
      <c r="U544" s="2"/>
      <c r="V544" s="2"/>
      <c r="W544" s="2"/>
    </row>
    <row r="545">
      <c r="A545" s="2"/>
      <c r="B545" s="2"/>
      <c r="C545" s="2"/>
      <c r="D545" s="2"/>
      <c r="E545" s="2"/>
      <c r="F545" s="2"/>
      <c r="G545" s="2"/>
      <c r="H545" s="2"/>
      <c r="I545" s="2"/>
      <c r="J545" s="2"/>
      <c r="K545" s="2"/>
      <c r="L545" s="2"/>
      <c r="M545" s="2"/>
      <c r="N545" s="2"/>
      <c r="O545" s="2"/>
      <c r="P545" s="2"/>
      <c r="Q545" s="2"/>
      <c r="R545" s="2"/>
      <c r="S545" s="2"/>
      <c r="T545" s="2"/>
      <c r="U545" s="2"/>
      <c r="V545" s="2"/>
      <c r="W545" s="2"/>
    </row>
    <row r="546">
      <c r="A546" s="2"/>
      <c r="B546" s="2"/>
      <c r="C546" s="2"/>
      <c r="D546" s="2"/>
      <c r="E546" s="2"/>
      <c r="F546" s="2"/>
      <c r="G546" s="2"/>
      <c r="H546" s="2"/>
      <c r="I546" s="2"/>
      <c r="J546" s="2"/>
      <c r="K546" s="2"/>
      <c r="L546" s="2"/>
      <c r="M546" s="2"/>
      <c r="N546" s="2"/>
      <c r="O546" s="2"/>
      <c r="P546" s="2"/>
      <c r="Q546" s="2"/>
      <c r="R546" s="2"/>
      <c r="S546" s="2"/>
      <c r="T546" s="2"/>
      <c r="U546" s="2"/>
      <c r="V546" s="2"/>
      <c r="W546" s="2"/>
    </row>
    <row r="547">
      <c r="A547" s="2"/>
      <c r="B547" s="2"/>
      <c r="C547" s="2"/>
      <c r="D547" s="2"/>
      <c r="E547" s="2"/>
      <c r="F547" s="2"/>
      <c r="G547" s="2"/>
      <c r="H547" s="2"/>
      <c r="I547" s="2"/>
      <c r="J547" s="2"/>
      <c r="K547" s="2"/>
      <c r="L547" s="2"/>
      <c r="M547" s="2"/>
      <c r="N547" s="2"/>
      <c r="O547" s="2"/>
      <c r="P547" s="2"/>
      <c r="Q547" s="2"/>
      <c r="R547" s="2"/>
      <c r="S547" s="2"/>
      <c r="T547" s="2"/>
      <c r="U547" s="2"/>
      <c r="V547" s="2"/>
      <c r="W547" s="2"/>
    </row>
    <row r="548">
      <c r="A548" s="2"/>
      <c r="B548" s="2"/>
      <c r="C548" s="2"/>
      <c r="D548" s="2"/>
      <c r="E548" s="2"/>
      <c r="F548" s="2"/>
      <c r="G548" s="2"/>
      <c r="H548" s="2"/>
      <c r="I548" s="2"/>
      <c r="J548" s="2"/>
      <c r="K548" s="2"/>
      <c r="L548" s="2"/>
      <c r="M548" s="2"/>
      <c r="N548" s="2"/>
      <c r="O548" s="2"/>
      <c r="P548" s="2"/>
      <c r="Q548" s="2"/>
      <c r="R548" s="2"/>
      <c r="S548" s="2"/>
      <c r="T548" s="2"/>
      <c r="U548" s="2"/>
      <c r="V548" s="2"/>
      <c r="W548" s="2"/>
    </row>
    <row r="549">
      <c r="A549" s="2"/>
      <c r="B549" s="2"/>
      <c r="C549" s="2"/>
      <c r="D549" s="2"/>
      <c r="E549" s="2"/>
      <c r="F549" s="2"/>
      <c r="G549" s="2"/>
      <c r="H549" s="2"/>
      <c r="I549" s="2"/>
      <c r="J549" s="2"/>
      <c r="K549" s="2"/>
      <c r="L549" s="2"/>
      <c r="M549" s="2"/>
      <c r="N549" s="2"/>
      <c r="O549" s="2"/>
      <c r="P549" s="2"/>
      <c r="Q549" s="2"/>
      <c r="R549" s="2"/>
      <c r="S549" s="2"/>
      <c r="T549" s="2"/>
      <c r="U549" s="2"/>
      <c r="V549" s="2"/>
      <c r="W549" s="2"/>
    </row>
    <row r="550">
      <c r="A550" s="2"/>
      <c r="B550" s="2"/>
      <c r="C550" s="2"/>
      <c r="D550" s="2"/>
      <c r="E550" s="2"/>
      <c r="F550" s="2"/>
      <c r="G550" s="2"/>
      <c r="H550" s="2"/>
      <c r="I550" s="2"/>
      <c r="J550" s="2"/>
      <c r="K550" s="2"/>
      <c r="L550" s="2"/>
      <c r="M550" s="2"/>
      <c r="N550" s="2"/>
      <c r="O550" s="2"/>
      <c r="P550" s="2"/>
      <c r="Q550" s="2"/>
      <c r="R550" s="2"/>
      <c r="S550" s="2"/>
      <c r="T550" s="2"/>
      <c r="U550" s="2"/>
      <c r="V550" s="2"/>
      <c r="W550" s="2"/>
    </row>
    <row r="551">
      <c r="A551" s="2"/>
      <c r="B551" s="2"/>
      <c r="C551" s="2"/>
      <c r="D551" s="2"/>
      <c r="E551" s="2"/>
      <c r="F551" s="2"/>
      <c r="G551" s="2"/>
      <c r="H551" s="2"/>
      <c r="I551" s="2"/>
      <c r="J551" s="2"/>
      <c r="K551" s="2"/>
      <c r="L551" s="2"/>
      <c r="M551" s="2"/>
      <c r="N551" s="2"/>
      <c r="O551" s="2"/>
      <c r="P551" s="2"/>
      <c r="Q551" s="2"/>
      <c r="R551" s="2"/>
      <c r="S551" s="2"/>
      <c r="T551" s="2"/>
      <c r="U551" s="2"/>
      <c r="V551" s="2"/>
      <c r="W551" s="2"/>
    </row>
    <row r="552">
      <c r="A552" s="2"/>
      <c r="B552" s="2"/>
      <c r="C552" s="2"/>
      <c r="D552" s="2"/>
      <c r="E552" s="2"/>
      <c r="F552" s="2"/>
      <c r="G552" s="2"/>
      <c r="H552" s="2"/>
      <c r="I552" s="2"/>
      <c r="J552" s="2"/>
      <c r="K552" s="2"/>
      <c r="L552" s="2"/>
      <c r="M552" s="2"/>
      <c r="N552" s="2"/>
      <c r="O552" s="2"/>
      <c r="P552" s="2"/>
      <c r="Q552" s="2"/>
      <c r="R552" s="2"/>
      <c r="S552" s="2"/>
      <c r="T552" s="2"/>
      <c r="U552" s="2"/>
      <c r="V552" s="2"/>
      <c r="W552" s="2"/>
    </row>
    <row r="553">
      <c r="A553" s="2"/>
      <c r="B553" s="2"/>
      <c r="C553" s="2"/>
      <c r="D553" s="2"/>
      <c r="E553" s="2"/>
      <c r="F553" s="2"/>
      <c r="G553" s="2"/>
      <c r="H553" s="2"/>
      <c r="I553" s="2"/>
      <c r="J553" s="2"/>
      <c r="K553" s="2"/>
      <c r="L553" s="2"/>
      <c r="M553" s="2"/>
      <c r="N553" s="2"/>
      <c r="O553" s="2"/>
      <c r="P553" s="2"/>
      <c r="Q553" s="2"/>
      <c r="R553" s="2"/>
      <c r="S553" s="2"/>
      <c r="T553" s="2"/>
      <c r="U553" s="2"/>
      <c r="V553" s="2"/>
      <c r="W553" s="2"/>
    </row>
    <row r="554">
      <c r="A554" s="2"/>
      <c r="B554" s="2"/>
      <c r="C554" s="2"/>
      <c r="D554" s="2"/>
      <c r="E554" s="2"/>
      <c r="F554" s="2"/>
      <c r="G554" s="2"/>
      <c r="H554" s="2"/>
      <c r="I554" s="2"/>
      <c r="J554" s="2"/>
      <c r="K554" s="2"/>
      <c r="L554" s="2"/>
      <c r="M554" s="2"/>
      <c r="N554" s="2"/>
      <c r="O554" s="2"/>
      <c r="P554" s="2"/>
      <c r="Q554" s="2"/>
      <c r="R554" s="2"/>
      <c r="S554" s="2"/>
      <c r="T554" s="2"/>
      <c r="U554" s="2"/>
      <c r="V554" s="2"/>
      <c r="W554" s="2"/>
    </row>
    <row r="555">
      <c r="A555" s="2"/>
      <c r="B555" s="2"/>
      <c r="C555" s="2"/>
      <c r="D555" s="2"/>
      <c r="E555" s="2"/>
      <c r="F555" s="2"/>
      <c r="G555" s="2"/>
      <c r="H555" s="2"/>
      <c r="I555" s="2"/>
      <c r="J555" s="2"/>
      <c r="K555" s="2"/>
      <c r="L555" s="2"/>
      <c r="M555" s="2"/>
      <c r="N555" s="2"/>
      <c r="O555" s="2"/>
      <c r="P555" s="2"/>
      <c r="Q555" s="2"/>
      <c r="R555" s="2"/>
      <c r="S555" s="2"/>
      <c r="T555" s="2"/>
      <c r="U555" s="2"/>
      <c r="V555" s="2"/>
      <c r="W555" s="2"/>
    </row>
    <row r="556">
      <c r="A556" s="2"/>
      <c r="B556" s="2"/>
      <c r="C556" s="2"/>
      <c r="D556" s="2"/>
      <c r="E556" s="2"/>
      <c r="F556" s="2"/>
      <c r="G556" s="2"/>
      <c r="H556" s="2"/>
      <c r="I556" s="2"/>
      <c r="J556" s="2"/>
      <c r="K556" s="2"/>
      <c r="L556" s="2"/>
      <c r="M556" s="2"/>
      <c r="N556" s="2"/>
      <c r="O556" s="2"/>
      <c r="P556" s="2"/>
      <c r="Q556" s="2"/>
      <c r="R556" s="2"/>
      <c r="S556" s="2"/>
      <c r="T556" s="2"/>
      <c r="U556" s="2"/>
      <c r="V556" s="2"/>
      <c r="W556" s="2"/>
    </row>
    <row r="557">
      <c r="A557" s="2"/>
      <c r="B557" s="2"/>
      <c r="C557" s="2"/>
      <c r="D557" s="2"/>
      <c r="E557" s="2"/>
      <c r="F557" s="2"/>
      <c r="G557" s="2"/>
      <c r="H557" s="2"/>
      <c r="I557" s="2"/>
      <c r="J557" s="2"/>
      <c r="K557" s="2"/>
      <c r="L557" s="2"/>
      <c r="M557" s="2"/>
      <c r="N557" s="2"/>
      <c r="O557" s="2"/>
      <c r="P557" s="2"/>
      <c r="Q557" s="2"/>
      <c r="R557" s="2"/>
      <c r="S557" s="2"/>
      <c r="T557" s="2"/>
      <c r="U557" s="2"/>
      <c r="V557" s="2"/>
      <c r="W557" s="2"/>
    </row>
    <row r="558">
      <c r="A558" s="2"/>
      <c r="B558" s="2"/>
      <c r="C558" s="2"/>
      <c r="D558" s="2"/>
      <c r="E558" s="2"/>
      <c r="F558" s="2"/>
      <c r="G558" s="2"/>
      <c r="H558" s="2"/>
      <c r="I558" s="2"/>
      <c r="J558" s="2"/>
      <c r="K558" s="2"/>
      <c r="L558" s="2"/>
      <c r="M558" s="2"/>
      <c r="N558" s="2"/>
      <c r="O558" s="2"/>
      <c r="P558" s="2"/>
      <c r="Q558" s="2"/>
      <c r="R558" s="2"/>
      <c r="S558" s="2"/>
      <c r="T558" s="2"/>
      <c r="U558" s="2"/>
      <c r="V558" s="2"/>
      <c r="W558" s="2"/>
    </row>
    <row r="559">
      <c r="A559" s="2"/>
      <c r="B559" s="2"/>
      <c r="C559" s="2"/>
      <c r="D559" s="2"/>
      <c r="E559" s="2"/>
      <c r="F559" s="2"/>
      <c r="G559" s="2"/>
      <c r="H559" s="2"/>
      <c r="I559" s="2"/>
      <c r="J559" s="2"/>
      <c r="K559" s="2"/>
      <c r="L559" s="2"/>
      <c r="M559" s="2"/>
      <c r="N559" s="2"/>
      <c r="O559" s="2"/>
      <c r="P559" s="2"/>
      <c r="Q559" s="2"/>
      <c r="R559" s="2"/>
      <c r="S559" s="2"/>
      <c r="T559" s="2"/>
      <c r="U559" s="2"/>
      <c r="V559" s="2"/>
      <c r="W559" s="2"/>
    </row>
    <row r="560">
      <c r="A560" s="2"/>
      <c r="B560" s="2"/>
      <c r="C560" s="2"/>
      <c r="D560" s="2"/>
      <c r="E560" s="2"/>
      <c r="F560" s="2"/>
      <c r="G560" s="2"/>
      <c r="H560" s="2"/>
      <c r="I560" s="2"/>
      <c r="J560" s="2"/>
      <c r="K560" s="2"/>
      <c r="L560" s="2"/>
      <c r="M560" s="2"/>
      <c r="N560" s="2"/>
      <c r="O560" s="2"/>
      <c r="P560" s="2"/>
      <c r="Q560" s="2"/>
      <c r="R560" s="2"/>
      <c r="S560" s="2"/>
      <c r="T560" s="2"/>
      <c r="U560" s="2"/>
      <c r="V560" s="2"/>
      <c r="W560" s="2"/>
    </row>
    <row r="561">
      <c r="A561" s="2"/>
      <c r="B561" s="2"/>
      <c r="C561" s="2"/>
      <c r="D561" s="2"/>
      <c r="E561" s="2"/>
      <c r="F561" s="2"/>
      <c r="G561" s="2"/>
      <c r="H561" s="2"/>
      <c r="I561" s="2"/>
      <c r="J561" s="2"/>
      <c r="K561" s="2"/>
      <c r="L561" s="2"/>
      <c r="M561" s="2"/>
      <c r="N561" s="2"/>
      <c r="O561" s="2"/>
      <c r="P561" s="2"/>
      <c r="Q561" s="2"/>
      <c r="R561" s="2"/>
      <c r="S561" s="2"/>
      <c r="T561" s="2"/>
      <c r="U561" s="2"/>
      <c r="V561" s="2"/>
      <c r="W561" s="2"/>
    </row>
    <row r="562">
      <c r="A562" s="2"/>
      <c r="B562" s="2"/>
      <c r="C562" s="2"/>
      <c r="D562" s="2"/>
      <c r="E562" s="2"/>
      <c r="F562" s="2"/>
      <c r="G562" s="2"/>
      <c r="H562" s="2"/>
      <c r="I562" s="2"/>
      <c r="J562" s="2"/>
      <c r="K562" s="2"/>
      <c r="L562" s="2"/>
      <c r="M562" s="2"/>
      <c r="N562" s="2"/>
      <c r="O562" s="2"/>
      <c r="P562" s="2"/>
      <c r="Q562" s="2"/>
      <c r="R562" s="2"/>
      <c r="S562" s="2"/>
      <c r="T562" s="2"/>
      <c r="U562" s="2"/>
      <c r="V562" s="2"/>
      <c r="W562" s="2"/>
    </row>
    <row r="563">
      <c r="A563" s="2"/>
      <c r="B563" s="2"/>
      <c r="C563" s="2"/>
      <c r="D563" s="2"/>
      <c r="E563" s="2"/>
      <c r="F563" s="2"/>
      <c r="G563" s="2"/>
      <c r="H563" s="2"/>
      <c r="I563" s="2"/>
      <c r="J563" s="2"/>
      <c r="K563" s="2"/>
      <c r="L563" s="2"/>
      <c r="M563" s="2"/>
      <c r="N563" s="2"/>
      <c r="O563" s="2"/>
      <c r="P563" s="2"/>
      <c r="Q563" s="2"/>
      <c r="R563" s="2"/>
      <c r="S563" s="2"/>
      <c r="T563" s="2"/>
      <c r="U563" s="2"/>
      <c r="V563" s="2"/>
      <c r="W563" s="2"/>
    </row>
    <row r="564">
      <c r="A564" s="2"/>
      <c r="B564" s="2"/>
      <c r="C564" s="2"/>
      <c r="D564" s="2"/>
      <c r="E564" s="2"/>
      <c r="F564" s="2"/>
      <c r="G564" s="2"/>
      <c r="H564" s="2"/>
      <c r="I564" s="2"/>
      <c r="J564" s="2"/>
      <c r="K564" s="2"/>
      <c r="L564" s="2"/>
      <c r="M564" s="2"/>
      <c r="N564" s="2"/>
      <c r="O564" s="2"/>
      <c r="P564" s="2"/>
      <c r="Q564" s="2"/>
      <c r="R564" s="2"/>
      <c r="S564" s="2"/>
      <c r="T564" s="2"/>
      <c r="U564" s="2"/>
      <c r="V564" s="2"/>
      <c r="W564" s="2"/>
    </row>
    <row r="565">
      <c r="A565" s="2"/>
      <c r="B565" s="2"/>
      <c r="C565" s="2"/>
      <c r="D565" s="2"/>
      <c r="E565" s="2"/>
      <c r="F565" s="2"/>
      <c r="G565" s="2"/>
      <c r="H565" s="2"/>
      <c r="I565" s="2"/>
      <c r="J565" s="2"/>
      <c r="K565" s="2"/>
      <c r="L565" s="2"/>
      <c r="M565" s="2"/>
      <c r="N565" s="2"/>
      <c r="O565" s="2"/>
      <c r="P565" s="2"/>
      <c r="Q565" s="2"/>
      <c r="R565" s="2"/>
      <c r="S565" s="2"/>
      <c r="T565" s="2"/>
      <c r="U565" s="2"/>
      <c r="V565" s="2"/>
      <c r="W565" s="2"/>
    </row>
    <row r="566">
      <c r="A566" s="2"/>
      <c r="B566" s="2"/>
      <c r="C566" s="2"/>
      <c r="D566" s="2"/>
      <c r="E566" s="2"/>
      <c r="F566" s="2"/>
      <c r="G566" s="2"/>
      <c r="H566" s="2"/>
      <c r="I566" s="2"/>
      <c r="J566" s="2"/>
      <c r="K566" s="2"/>
      <c r="L566" s="2"/>
      <c r="M566" s="2"/>
      <c r="N566" s="2"/>
      <c r="O566" s="2"/>
      <c r="P566" s="2"/>
      <c r="Q566" s="2"/>
      <c r="R566" s="2"/>
      <c r="S566" s="2"/>
      <c r="T566" s="2"/>
      <c r="U566" s="2"/>
      <c r="V566" s="2"/>
      <c r="W566" s="2"/>
    </row>
    <row r="567">
      <c r="A567" s="2"/>
      <c r="B567" s="2"/>
      <c r="C567" s="2"/>
      <c r="D567" s="2"/>
      <c r="E567" s="2"/>
      <c r="F567" s="2"/>
      <c r="G567" s="2"/>
      <c r="H567" s="2"/>
      <c r="I567" s="2"/>
      <c r="J567" s="2"/>
      <c r="K567" s="2"/>
      <c r="L567" s="2"/>
      <c r="M567" s="2"/>
      <c r="N567" s="2"/>
      <c r="O567" s="2"/>
      <c r="P567" s="2"/>
      <c r="Q567" s="2"/>
      <c r="R567" s="2"/>
      <c r="S567" s="2"/>
      <c r="T567" s="2"/>
      <c r="U567" s="2"/>
      <c r="V567" s="2"/>
      <c r="W567" s="2"/>
    </row>
    <row r="568">
      <c r="A568" s="2"/>
      <c r="B568" s="2"/>
      <c r="C568" s="2"/>
      <c r="D568" s="2"/>
      <c r="E568" s="2"/>
      <c r="F568" s="2"/>
      <c r="G568" s="2"/>
      <c r="H568" s="2"/>
      <c r="I568" s="2"/>
      <c r="J568" s="2"/>
      <c r="K568" s="2"/>
      <c r="L568" s="2"/>
      <c r="M568" s="2"/>
      <c r="N568" s="2"/>
      <c r="O568" s="2"/>
      <c r="P568" s="2"/>
      <c r="Q568" s="2"/>
      <c r="R568" s="2"/>
      <c r="S568" s="2"/>
      <c r="T568" s="2"/>
      <c r="U568" s="2"/>
      <c r="V568" s="2"/>
      <c r="W568" s="2"/>
    </row>
    <row r="569">
      <c r="A569" s="2"/>
      <c r="B569" s="2"/>
      <c r="C569" s="2"/>
      <c r="D569" s="2"/>
      <c r="E569" s="2"/>
      <c r="F569" s="2"/>
      <c r="G569" s="2"/>
      <c r="H569" s="2"/>
      <c r="I569" s="2"/>
      <c r="J569" s="2"/>
      <c r="K569" s="2"/>
      <c r="L569" s="2"/>
      <c r="M569" s="2"/>
      <c r="N569" s="2"/>
      <c r="O569" s="2"/>
      <c r="P569" s="2"/>
      <c r="Q569" s="2"/>
      <c r="R569" s="2"/>
      <c r="S569" s="2"/>
      <c r="T569" s="2"/>
      <c r="U569" s="2"/>
      <c r="V569" s="2"/>
      <c r="W569" s="2"/>
    </row>
    <row r="570">
      <c r="A570" s="2"/>
      <c r="B570" s="2"/>
      <c r="C570" s="2"/>
      <c r="D570" s="2"/>
      <c r="E570" s="2"/>
      <c r="F570" s="2"/>
      <c r="G570" s="2"/>
      <c r="H570" s="2"/>
      <c r="I570" s="2"/>
      <c r="J570" s="2"/>
      <c r="K570" s="2"/>
      <c r="L570" s="2"/>
      <c r="M570" s="2"/>
      <c r="N570" s="2"/>
      <c r="O570" s="2"/>
      <c r="P570" s="2"/>
      <c r="Q570" s="2"/>
      <c r="R570" s="2"/>
      <c r="S570" s="2"/>
      <c r="T570" s="2"/>
      <c r="U570" s="2"/>
      <c r="V570" s="2"/>
      <c r="W570" s="2"/>
    </row>
    <row r="571">
      <c r="A571" s="2"/>
      <c r="B571" s="2"/>
      <c r="C571" s="2"/>
      <c r="D571" s="2"/>
      <c r="E571" s="2"/>
      <c r="F571" s="2"/>
      <c r="G571" s="2"/>
      <c r="H571" s="2"/>
      <c r="I571" s="2"/>
      <c r="J571" s="2"/>
      <c r="K571" s="2"/>
      <c r="L571" s="2"/>
      <c r="M571" s="2"/>
      <c r="N571" s="2"/>
      <c r="O571" s="2"/>
      <c r="P571" s="2"/>
      <c r="Q571" s="2"/>
      <c r="R571" s="2"/>
      <c r="S571" s="2"/>
      <c r="T571" s="2"/>
      <c r="U571" s="2"/>
      <c r="V571" s="2"/>
      <c r="W571" s="2"/>
    </row>
    <row r="572">
      <c r="A572" s="2"/>
      <c r="B572" s="2"/>
      <c r="C572" s="2"/>
      <c r="D572" s="2"/>
      <c r="E572" s="2"/>
      <c r="F572" s="2"/>
      <c r="G572" s="2"/>
      <c r="H572" s="2"/>
      <c r="I572" s="2"/>
      <c r="J572" s="2"/>
      <c r="K572" s="2"/>
      <c r="L572" s="2"/>
      <c r="M572" s="2"/>
      <c r="N572" s="2"/>
      <c r="O572" s="2"/>
      <c r="P572" s="2"/>
      <c r="Q572" s="2"/>
      <c r="R572" s="2"/>
      <c r="S572" s="2"/>
      <c r="T572" s="2"/>
      <c r="U572" s="2"/>
      <c r="V572" s="2"/>
      <c r="W572" s="2"/>
    </row>
    <row r="573">
      <c r="A573" s="2"/>
      <c r="B573" s="2"/>
      <c r="C573" s="2"/>
      <c r="D573" s="2"/>
      <c r="E573" s="2"/>
      <c r="F573" s="2"/>
      <c r="G573" s="2"/>
      <c r="H573" s="2"/>
      <c r="I573" s="2"/>
      <c r="J573" s="2"/>
      <c r="K573" s="2"/>
      <c r="L573" s="2"/>
      <c r="M573" s="2"/>
      <c r="N573" s="2"/>
      <c r="O573" s="2"/>
      <c r="P573" s="2"/>
      <c r="Q573" s="2"/>
      <c r="R573" s="2"/>
      <c r="S573" s="2"/>
      <c r="T573" s="2"/>
      <c r="U573" s="2"/>
      <c r="V573" s="2"/>
      <c r="W573" s="2"/>
    </row>
    <row r="574">
      <c r="A574" s="2"/>
      <c r="B574" s="2"/>
      <c r="C574" s="2"/>
      <c r="D574" s="2"/>
      <c r="E574" s="2"/>
      <c r="F574" s="2"/>
      <c r="G574" s="2"/>
      <c r="H574" s="2"/>
      <c r="I574" s="2"/>
      <c r="J574" s="2"/>
      <c r="K574" s="2"/>
      <c r="L574" s="2"/>
      <c r="M574" s="2"/>
      <c r="N574" s="2"/>
      <c r="O574" s="2"/>
      <c r="P574" s="2"/>
      <c r="Q574" s="2"/>
      <c r="R574" s="2"/>
      <c r="S574" s="2"/>
      <c r="T574" s="2"/>
      <c r="U574" s="2"/>
      <c r="V574" s="2"/>
      <c r="W574" s="2"/>
    </row>
    <row r="575">
      <c r="A575" s="2"/>
      <c r="B575" s="2"/>
      <c r="C575" s="2"/>
      <c r="D575" s="2"/>
      <c r="E575" s="2"/>
      <c r="F575" s="2"/>
      <c r="G575" s="2"/>
      <c r="H575" s="2"/>
      <c r="I575" s="2"/>
      <c r="J575" s="2"/>
      <c r="K575" s="2"/>
      <c r="L575" s="2"/>
      <c r="M575" s="2"/>
      <c r="N575" s="2"/>
      <c r="O575" s="2"/>
      <c r="P575" s="2"/>
      <c r="Q575" s="2"/>
      <c r="R575" s="2"/>
      <c r="S575" s="2"/>
      <c r="T575" s="2"/>
      <c r="U575" s="2"/>
      <c r="V575" s="2"/>
      <c r="W575" s="2"/>
    </row>
    <row r="576">
      <c r="A576" s="2"/>
      <c r="B576" s="2"/>
      <c r="C576" s="2"/>
      <c r="D576" s="2"/>
      <c r="E576" s="2"/>
      <c r="F576" s="2"/>
      <c r="G576" s="2"/>
      <c r="H576" s="2"/>
      <c r="I576" s="2"/>
      <c r="J576" s="2"/>
      <c r="K576" s="2"/>
      <c r="L576" s="2"/>
      <c r="M576" s="2"/>
      <c r="N576" s="2"/>
      <c r="O576" s="2"/>
      <c r="P576" s="2"/>
      <c r="Q576" s="2"/>
      <c r="R576" s="2"/>
      <c r="S576" s="2"/>
      <c r="T576" s="2"/>
      <c r="U576" s="2"/>
      <c r="V576" s="2"/>
      <c r="W576" s="2"/>
    </row>
    <row r="577">
      <c r="A577" s="2"/>
      <c r="B577" s="2"/>
      <c r="C577" s="2"/>
      <c r="D577" s="2"/>
      <c r="E577" s="2"/>
      <c r="F577" s="2"/>
      <c r="G577" s="2"/>
      <c r="H577" s="2"/>
      <c r="I577" s="2"/>
      <c r="J577" s="2"/>
      <c r="K577" s="2"/>
      <c r="L577" s="2"/>
      <c r="M577" s="2"/>
      <c r="N577" s="2"/>
      <c r="O577" s="2"/>
      <c r="P577" s="2"/>
      <c r="Q577" s="2"/>
      <c r="R577" s="2"/>
      <c r="S577" s="2"/>
      <c r="T577" s="2"/>
      <c r="U577" s="2"/>
      <c r="V577" s="2"/>
      <c r="W577" s="2"/>
    </row>
    <row r="578">
      <c r="A578" s="2"/>
      <c r="B578" s="2"/>
      <c r="C578" s="2"/>
      <c r="D578" s="2"/>
      <c r="E578" s="2"/>
      <c r="F578" s="2"/>
      <c r="G578" s="2"/>
      <c r="H578" s="2"/>
      <c r="I578" s="2"/>
      <c r="J578" s="2"/>
      <c r="K578" s="2"/>
      <c r="L578" s="2"/>
      <c r="M578" s="2"/>
      <c r="N578" s="2"/>
      <c r="O578" s="2"/>
      <c r="P578" s="2"/>
      <c r="Q578" s="2"/>
      <c r="R578" s="2"/>
      <c r="S578" s="2"/>
      <c r="T578" s="2"/>
      <c r="U578" s="2"/>
      <c r="V578" s="2"/>
      <c r="W578" s="2"/>
    </row>
    <row r="579">
      <c r="A579" s="2"/>
      <c r="B579" s="2"/>
      <c r="C579" s="2"/>
      <c r="D579" s="2"/>
      <c r="E579" s="2"/>
      <c r="F579" s="2"/>
      <c r="G579" s="2"/>
      <c r="H579" s="2"/>
      <c r="I579" s="2"/>
      <c r="J579" s="2"/>
      <c r="K579" s="2"/>
      <c r="L579" s="2"/>
      <c r="M579" s="2"/>
      <c r="N579" s="2"/>
      <c r="O579" s="2"/>
      <c r="P579" s="2"/>
      <c r="Q579" s="2"/>
      <c r="R579" s="2"/>
      <c r="S579" s="2"/>
      <c r="T579" s="2"/>
      <c r="U579" s="2"/>
      <c r="V579" s="2"/>
      <c r="W579" s="2"/>
    </row>
    <row r="580">
      <c r="A580" s="2"/>
      <c r="B580" s="2"/>
      <c r="C580" s="2"/>
      <c r="D580" s="2"/>
      <c r="E580" s="2"/>
      <c r="F580" s="2"/>
      <c r="G580" s="2"/>
      <c r="H580" s="2"/>
      <c r="I580" s="2"/>
      <c r="J580" s="2"/>
      <c r="K580" s="2"/>
      <c r="L580" s="2"/>
      <c r="M580" s="2"/>
      <c r="N580" s="2"/>
      <c r="O580" s="2"/>
      <c r="P580" s="2"/>
      <c r="Q580" s="2"/>
      <c r="R580" s="2"/>
      <c r="S580" s="2"/>
      <c r="T580" s="2"/>
      <c r="U580" s="2"/>
      <c r="V580" s="2"/>
      <c r="W580" s="2"/>
    </row>
    <row r="581">
      <c r="A581" s="2"/>
      <c r="B581" s="2"/>
      <c r="C581" s="2"/>
      <c r="D581" s="2"/>
      <c r="E581" s="2"/>
      <c r="F581" s="2"/>
      <c r="G581" s="2"/>
      <c r="H581" s="2"/>
      <c r="I581" s="2"/>
      <c r="J581" s="2"/>
      <c r="K581" s="2"/>
      <c r="L581" s="2"/>
      <c r="M581" s="2"/>
      <c r="N581" s="2"/>
      <c r="O581" s="2"/>
      <c r="P581" s="2"/>
      <c r="Q581" s="2"/>
      <c r="R581" s="2"/>
      <c r="S581" s="2"/>
      <c r="T581" s="2"/>
      <c r="U581" s="2"/>
      <c r="V581" s="2"/>
      <c r="W581" s="2"/>
    </row>
    <row r="582">
      <c r="A582" s="2"/>
      <c r="B582" s="2"/>
      <c r="C582" s="2"/>
      <c r="D582" s="2"/>
      <c r="E582" s="2"/>
      <c r="F582" s="2"/>
      <c r="G582" s="2"/>
      <c r="H582" s="2"/>
      <c r="I582" s="2"/>
      <c r="J582" s="2"/>
      <c r="K582" s="2"/>
      <c r="L582" s="2"/>
      <c r="M582" s="2"/>
      <c r="N582" s="2"/>
      <c r="O582" s="2"/>
      <c r="P582" s="2"/>
      <c r="Q582" s="2"/>
      <c r="R582" s="2"/>
      <c r="S582" s="2"/>
      <c r="T582" s="2"/>
      <c r="U582" s="2"/>
      <c r="V582" s="2"/>
      <c r="W582" s="2"/>
    </row>
    <row r="583">
      <c r="A583" s="2"/>
      <c r="B583" s="2"/>
      <c r="C583" s="2"/>
      <c r="D583" s="2"/>
      <c r="E583" s="2"/>
      <c r="F583" s="2"/>
      <c r="G583" s="2"/>
      <c r="H583" s="2"/>
      <c r="I583" s="2"/>
      <c r="J583" s="2"/>
      <c r="K583" s="2"/>
      <c r="L583" s="2"/>
      <c r="M583" s="2"/>
      <c r="N583" s="2"/>
      <c r="O583" s="2"/>
      <c r="P583" s="2"/>
      <c r="Q583" s="2"/>
      <c r="R583" s="2"/>
      <c r="S583" s="2"/>
      <c r="T583" s="2"/>
      <c r="U583" s="2"/>
      <c r="V583" s="2"/>
      <c r="W583" s="2"/>
    </row>
    <row r="584">
      <c r="A584" s="2"/>
      <c r="B584" s="2"/>
      <c r="C584" s="2"/>
      <c r="D584" s="2"/>
      <c r="E584" s="2"/>
      <c r="F584" s="2"/>
      <c r="G584" s="2"/>
      <c r="H584" s="2"/>
      <c r="I584" s="2"/>
      <c r="J584" s="2"/>
      <c r="K584" s="2"/>
      <c r="L584" s="2"/>
      <c r="M584" s="2"/>
      <c r="N584" s="2"/>
      <c r="O584" s="2"/>
      <c r="P584" s="2"/>
      <c r="Q584" s="2"/>
      <c r="R584" s="2"/>
      <c r="S584" s="2"/>
      <c r="T584" s="2"/>
      <c r="U584" s="2"/>
      <c r="V584" s="2"/>
      <c r="W584" s="2"/>
    </row>
    <row r="585">
      <c r="A585" s="2"/>
      <c r="B585" s="2"/>
      <c r="C585" s="2"/>
      <c r="D585" s="2"/>
      <c r="E585" s="2"/>
      <c r="F585" s="2"/>
      <c r="G585" s="2"/>
      <c r="H585" s="2"/>
      <c r="I585" s="2"/>
      <c r="J585" s="2"/>
      <c r="K585" s="2"/>
      <c r="L585" s="2"/>
      <c r="M585" s="2"/>
      <c r="N585" s="2"/>
      <c r="O585" s="2"/>
      <c r="P585" s="2"/>
      <c r="Q585" s="2"/>
      <c r="R585" s="2"/>
      <c r="S585" s="2"/>
      <c r="T585" s="2"/>
      <c r="U585" s="2"/>
      <c r="V585" s="2"/>
      <c r="W585" s="2"/>
    </row>
    <row r="586">
      <c r="A586" s="2"/>
      <c r="B586" s="2"/>
      <c r="C586" s="2"/>
      <c r="D586" s="2"/>
      <c r="E586" s="2"/>
      <c r="F586" s="2"/>
      <c r="G586" s="2"/>
      <c r="H586" s="2"/>
      <c r="I586" s="2"/>
      <c r="J586" s="2"/>
      <c r="K586" s="2"/>
      <c r="L586" s="2"/>
      <c r="M586" s="2"/>
      <c r="N586" s="2"/>
      <c r="O586" s="2"/>
      <c r="P586" s="2"/>
      <c r="Q586" s="2"/>
      <c r="R586" s="2"/>
      <c r="S586" s="2"/>
      <c r="T586" s="2"/>
      <c r="U586" s="2"/>
      <c r="V586" s="2"/>
      <c r="W586" s="2"/>
    </row>
    <row r="587">
      <c r="A587" s="2"/>
      <c r="B587" s="2"/>
      <c r="C587" s="2"/>
      <c r="D587" s="2"/>
      <c r="E587" s="2"/>
      <c r="F587" s="2"/>
      <c r="G587" s="2"/>
      <c r="H587" s="2"/>
      <c r="I587" s="2"/>
      <c r="J587" s="2"/>
      <c r="K587" s="2"/>
      <c r="L587" s="2"/>
      <c r="M587" s="2"/>
      <c r="N587" s="2"/>
      <c r="O587" s="2"/>
      <c r="P587" s="2"/>
      <c r="Q587" s="2"/>
      <c r="R587" s="2"/>
      <c r="S587" s="2"/>
      <c r="T587" s="2"/>
      <c r="U587" s="2"/>
      <c r="V587" s="2"/>
      <c r="W587" s="2"/>
    </row>
    <row r="588">
      <c r="A588" s="2"/>
      <c r="B588" s="2"/>
      <c r="C588" s="2"/>
      <c r="D588" s="2"/>
      <c r="E588" s="2"/>
      <c r="F588" s="2"/>
      <c r="G588" s="2"/>
      <c r="H588" s="2"/>
      <c r="I588" s="2"/>
      <c r="J588" s="2"/>
      <c r="K588" s="2"/>
      <c r="L588" s="2"/>
      <c r="M588" s="2"/>
      <c r="N588" s="2"/>
      <c r="O588" s="2"/>
      <c r="P588" s="2"/>
      <c r="Q588" s="2"/>
      <c r="R588" s="2"/>
      <c r="S588" s="2"/>
      <c r="T588" s="2"/>
      <c r="U588" s="2"/>
      <c r="V588" s="2"/>
      <c r="W588" s="2"/>
    </row>
    <row r="589">
      <c r="A589" s="2"/>
      <c r="B589" s="2"/>
      <c r="C589" s="2"/>
      <c r="D589" s="2"/>
      <c r="E589" s="2"/>
      <c r="F589" s="2"/>
      <c r="G589" s="2"/>
      <c r="H589" s="2"/>
      <c r="I589" s="2"/>
      <c r="J589" s="2"/>
      <c r="K589" s="2"/>
      <c r="L589" s="2"/>
      <c r="M589" s="2"/>
      <c r="N589" s="2"/>
      <c r="O589" s="2"/>
      <c r="P589" s="2"/>
      <c r="Q589" s="2"/>
      <c r="R589" s="2"/>
      <c r="S589" s="2"/>
      <c r="T589" s="2"/>
      <c r="U589" s="2"/>
      <c r="V589" s="2"/>
      <c r="W589" s="2"/>
    </row>
    <row r="590">
      <c r="A590" s="2"/>
      <c r="B590" s="2"/>
      <c r="C590" s="2"/>
      <c r="D590" s="2"/>
      <c r="E590" s="2"/>
      <c r="F590" s="2"/>
      <c r="G590" s="2"/>
      <c r="H590" s="2"/>
      <c r="I590" s="2"/>
      <c r="J590" s="2"/>
      <c r="K590" s="2"/>
      <c r="L590" s="2"/>
      <c r="M590" s="2"/>
      <c r="N590" s="2"/>
      <c r="O590" s="2"/>
      <c r="P590" s="2"/>
      <c r="Q590" s="2"/>
      <c r="R590" s="2"/>
      <c r="S590" s="2"/>
      <c r="T590" s="2"/>
      <c r="U590" s="2"/>
      <c r="V590" s="2"/>
      <c r="W590" s="2"/>
    </row>
    <row r="591">
      <c r="A591" s="2"/>
      <c r="B591" s="2"/>
      <c r="C591" s="2"/>
      <c r="D591" s="2"/>
      <c r="E591" s="2"/>
      <c r="F591" s="2"/>
      <c r="G591" s="2"/>
      <c r="H591" s="2"/>
      <c r="I591" s="2"/>
      <c r="J591" s="2"/>
      <c r="K591" s="2"/>
      <c r="L591" s="2"/>
      <c r="M591" s="2"/>
      <c r="N591" s="2"/>
      <c r="O591" s="2"/>
      <c r="P591" s="2"/>
      <c r="Q591" s="2"/>
      <c r="R591" s="2"/>
      <c r="S591" s="2"/>
      <c r="T591" s="2"/>
      <c r="U591" s="2"/>
      <c r="V591" s="2"/>
      <c r="W591" s="2"/>
    </row>
    <row r="592">
      <c r="A592" s="2"/>
      <c r="B592" s="2"/>
      <c r="C592" s="2"/>
      <c r="D592" s="2"/>
      <c r="E592" s="2"/>
      <c r="F592" s="2"/>
      <c r="G592" s="2"/>
      <c r="H592" s="2"/>
      <c r="I592" s="2"/>
      <c r="J592" s="2"/>
      <c r="K592" s="2"/>
      <c r="L592" s="2"/>
      <c r="M592" s="2"/>
      <c r="N592" s="2"/>
      <c r="O592" s="2"/>
      <c r="P592" s="2"/>
      <c r="Q592" s="2"/>
      <c r="R592" s="2"/>
      <c r="S592" s="2"/>
      <c r="T592" s="2"/>
      <c r="U592" s="2"/>
      <c r="V592" s="2"/>
      <c r="W592" s="2"/>
    </row>
    <row r="593">
      <c r="A593" s="2"/>
      <c r="B593" s="2"/>
      <c r="C593" s="2"/>
      <c r="D593" s="2"/>
      <c r="E593" s="2"/>
      <c r="F593" s="2"/>
      <c r="G593" s="2"/>
      <c r="H593" s="2"/>
      <c r="I593" s="2"/>
      <c r="J593" s="2"/>
      <c r="K593" s="2"/>
      <c r="L593" s="2"/>
      <c r="M593" s="2"/>
      <c r="N593" s="2"/>
      <c r="O593" s="2"/>
      <c r="P593" s="2"/>
      <c r="Q593" s="2"/>
      <c r="R593" s="2"/>
      <c r="S593" s="2"/>
      <c r="T593" s="2"/>
      <c r="U593" s="2"/>
      <c r="V593" s="2"/>
      <c r="W593" s="2"/>
    </row>
    <row r="594">
      <c r="A594" s="2"/>
      <c r="B594" s="2"/>
      <c r="C594" s="2"/>
      <c r="D594" s="2"/>
      <c r="E594" s="2"/>
      <c r="F594" s="2"/>
      <c r="G594" s="2"/>
      <c r="H594" s="2"/>
      <c r="I594" s="2"/>
      <c r="J594" s="2"/>
      <c r="K594" s="2"/>
      <c r="L594" s="2"/>
      <c r="M594" s="2"/>
      <c r="N594" s="2"/>
      <c r="O594" s="2"/>
      <c r="P594" s="2"/>
      <c r="Q594" s="2"/>
      <c r="R594" s="2"/>
      <c r="S594" s="2"/>
      <c r="T594" s="2"/>
      <c r="U594" s="2"/>
      <c r="V594" s="2"/>
      <c r="W594" s="2"/>
    </row>
    <row r="595">
      <c r="A595" s="2"/>
      <c r="B595" s="2"/>
      <c r="C595" s="2"/>
      <c r="D595" s="2"/>
      <c r="E595" s="2"/>
      <c r="F595" s="2"/>
      <c r="G595" s="2"/>
      <c r="H595" s="2"/>
      <c r="I595" s="2"/>
      <c r="J595" s="2"/>
      <c r="K595" s="2"/>
      <c r="L595" s="2"/>
      <c r="M595" s="2"/>
      <c r="N595" s="2"/>
      <c r="O595" s="2"/>
      <c r="P595" s="2"/>
      <c r="Q595" s="2"/>
      <c r="R595" s="2"/>
      <c r="S595" s="2"/>
      <c r="T595" s="2"/>
      <c r="U595" s="2"/>
      <c r="V595" s="2"/>
      <c r="W595" s="2"/>
    </row>
    <row r="596">
      <c r="A596" s="2"/>
      <c r="B596" s="2"/>
      <c r="C596" s="2"/>
      <c r="D596" s="2"/>
      <c r="E596" s="2"/>
      <c r="F596" s="2"/>
      <c r="G596" s="2"/>
      <c r="H596" s="2"/>
      <c r="I596" s="2"/>
      <c r="J596" s="2"/>
      <c r="K596" s="2"/>
      <c r="L596" s="2"/>
      <c r="M596" s="2"/>
      <c r="N596" s="2"/>
      <c r="O596" s="2"/>
      <c r="P596" s="2"/>
      <c r="Q596" s="2"/>
      <c r="R596" s="2"/>
      <c r="S596" s="2"/>
      <c r="T596" s="2"/>
      <c r="U596" s="2"/>
      <c r="V596" s="2"/>
      <c r="W596" s="2"/>
    </row>
    <row r="597">
      <c r="A597" s="2"/>
      <c r="B597" s="2"/>
      <c r="C597" s="2"/>
      <c r="D597" s="2"/>
      <c r="E597" s="2"/>
      <c r="F597" s="2"/>
      <c r="G597" s="2"/>
      <c r="H597" s="2"/>
      <c r="I597" s="2"/>
      <c r="J597" s="2"/>
      <c r="K597" s="2"/>
      <c r="L597" s="2"/>
      <c r="M597" s="2"/>
      <c r="N597" s="2"/>
      <c r="O597" s="2"/>
      <c r="P597" s="2"/>
      <c r="Q597" s="2"/>
      <c r="R597" s="2"/>
      <c r="S597" s="2"/>
      <c r="T597" s="2"/>
      <c r="U597" s="2"/>
      <c r="V597" s="2"/>
      <c r="W597" s="2"/>
    </row>
    <row r="598">
      <c r="A598" s="2"/>
      <c r="B598" s="2"/>
      <c r="C598" s="2"/>
      <c r="D598" s="2"/>
      <c r="E598" s="2"/>
      <c r="F598" s="2"/>
      <c r="G598" s="2"/>
      <c r="H598" s="2"/>
      <c r="I598" s="2"/>
      <c r="J598" s="2"/>
      <c r="K598" s="2"/>
      <c r="L598" s="2"/>
      <c r="M598" s="2"/>
      <c r="N598" s="2"/>
      <c r="O598" s="2"/>
      <c r="P598" s="2"/>
      <c r="Q598" s="2"/>
      <c r="R598" s="2"/>
      <c r="S598" s="2"/>
      <c r="T598" s="2"/>
      <c r="U598" s="2"/>
      <c r="V598" s="2"/>
      <c r="W598" s="2"/>
    </row>
    <row r="599">
      <c r="A599" s="2"/>
      <c r="B599" s="2"/>
      <c r="C599" s="2"/>
      <c r="D599" s="2"/>
      <c r="E599" s="2"/>
      <c r="F599" s="2"/>
      <c r="G599" s="2"/>
      <c r="H599" s="2"/>
      <c r="I599" s="2"/>
      <c r="J599" s="2"/>
      <c r="K599" s="2"/>
      <c r="L599" s="2"/>
      <c r="M599" s="2"/>
      <c r="N599" s="2"/>
      <c r="O599" s="2"/>
      <c r="P599" s="2"/>
      <c r="Q599" s="2"/>
      <c r="R599" s="2"/>
      <c r="S599" s="2"/>
      <c r="T599" s="2"/>
      <c r="U599" s="2"/>
      <c r="V599" s="2"/>
      <c r="W599" s="2"/>
    </row>
    <row r="600">
      <c r="A600" s="2"/>
      <c r="B600" s="2"/>
      <c r="C600" s="2"/>
      <c r="D600" s="2"/>
      <c r="E600" s="2"/>
      <c r="F600" s="2"/>
      <c r="G600" s="2"/>
      <c r="H600" s="2"/>
      <c r="I600" s="2"/>
      <c r="J600" s="2"/>
      <c r="K600" s="2"/>
      <c r="L600" s="2"/>
      <c r="M600" s="2"/>
      <c r="N600" s="2"/>
      <c r="O600" s="2"/>
      <c r="P600" s="2"/>
      <c r="Q600" s="2"/>
      <c r="R600" s="2"/>
      <c r="S600" s="2"/>
      <c r="T600" s="2"/>
      <c r="U600" s="2"/>
      <c r="V600" s="2"/>
      <c r="W600" s="2"/>
    </row>
    <row r="601">
      <c r="A601" s="2"/>
      <c r="B601" s="2"/>
      <c r="C601" s="2"/>
      <c r="D601" s="2"/>
      <c r="E601" s="2"/>
      <c r="F601" s="2"/>
      <c r="G601" s="2"/>
      <c r="H601" s="2"/>
      <c r="I601" s="2"/>
      <c r="J601" s="2"/>
      <c r="K601" s="2"/>
      <c r="L601" s="2"/>
      <c r="M601" s="2"/>
      <c r="N601" s="2"/>
      <c r="O601" s="2"/>
      <c r="P601" s="2"/>
      <c r="Q601" s="2"/>
      <c r="R601" s="2"/>
      <c r="S601" s="2"/>
      <c r="T601" s="2"/>
      <c r="U601" s="2"/>
      <c r="V601" s="2"/>
      <c r="W601" s="2"/>
    </row>
    <row r="602">
      <c r="A602" s="2"/>
      <c r="B602" s="2"/>
      <c r="C602" s="2"/>
      <c r="D602" s="2"/>
      <c r="E602" s="2"/>
      <c r="F602" s="2"/>
      <c r="G602" s="2"/>
      <c r="H602" s="2"/>
      <c r="I602" s="2"/>
      <c r="J602" s="2"/>
      <c r="K602" s="2"/>
      <c r="L602" s="2"/>
      <c r="M602" s="2"/>
      <c r="N602" s="2"/>
      <c r="O602" s="2"/>
      <c r="P602" s="2"/>
      <c r="Q602" s="2"/>
      <c r="R602" s="2"/>
      <c r="S602" s="2"/>
      <c r="T602" s="2"/>
      <c r="U602" s="2"/>
      <c r="V602" s="2"/>
      <c r="W602" s="2"/>
    </row>
    <row r="603">
      <c r="A603" s="2"/>
      <c r="B603" s="2"/>
      <c r="C603" s="2"/>
      <c r="D603" s="2"/>
      <c r="E603" s="2"/>
      <c r="F603" s="2"/>
      <c r="G603" s="2"/>
      <c r="H603" s="2"/>
      <c r="I603" s="2"/>
      <c r="J603" s="2"/>
      <c r="K603" s="2"/>
      <c r="L603" s="2"/>
      <c r="M603" s="2"/>
      <c r="N603" s="2"/>
      <c r="O603" s="2"/>
      <c r="P603" s="2"/>
      <c r="Q603" s="2"/>
      <c r="R603" s="2"/>
      <c r="S603" s="2"/>
      <c r="T603" s="2"/>
      <c r="U603" s="2"/>
      <c r="V603" s="2"/>
      <c r="W603" s="2"/>
    </row>
    <row r="604">
      <c r="A604" s="2"/>
      <c r="B604" s="2"/>
      <c r="C604" s="2"/>
      <c r="D604" s="2"/>
      <c r="E604" s="2"/>
      <c r="F604" s="2"/>
      <c r="G604" s="2"/>
      <c r="H604" s="2"/>
      <c r="I604" s="2"/>
      <c r="J604" s="2"/>
      <c r="K604" s="2"/>
      <c r="L604" s="2"/>
      <c r="M604" s="2"/>
      <c r="N604" s="2"/>
      <c r="O604" s="2"/>
      <c r="P604" s="2"/>
      <c r="Q604" s="2"/>
      <c r="R604" s="2"/>
      <c r="S604" s="2"/>
      <c r="T604" s="2"/>
      <c r="U604" s="2"/>
      <c r="V604" s="2"/>
      <c r="W604" s="2"/>
    </row>
    <row r="605">
      <c r="A605" s="2"/>
      <c r="B605" s="2"/>
      <c r="C605" s="2"/>
      <c r="D605" s="2"/>
      <c r="E605" s="2"/>
      <c r="F605" s="2"/>
      <c r="G605" s="2"/>
      <c r="H605" s="2"/>
      <c r="I605" s="2"/>
      <c r="J605" s="2"/>
      <c r="K605" s="2"/>
      <c r="L605" s="2"/>
      <c r="M605" s="2"/>
      <c r="N605" s="2"/>
      <c r="O605" s="2"/>
      <c r="P605" s="2"/>
      <c r="Q605" s="2"/>
      <c r="R605" s="2"/>
      <c r="S605" s="2"/>
      <c r="T605" s="2"/>
      <c r="U605" s="2"/>
      <c r="V605" s="2"/>
      <c r="W605" s="2"/>
    </row>
    <row r="606">
      <c r="A606" s="2"/>
      <c r="B606" s="2"/>
      <c r="C606" s="2"/>
      <c r="D606" s="2"/>
      <c r="E606" s="2"/>
      <c r="F606" s="2"/>
      <c r="G606" s="2"/>
      <c r="H606" s="2"/>
      <c r="I606" s="2"/>
      <c r="J606" s="2"/>
      <c r="K606" s="2"/>
      <c r="L606" s="2"/>
      <c r="M606" s="2"/>
      <c r="N606" s="2"/>
      <c r="O606" s="2"/>
      <c r="P606" s="2"/>
      <c r="Q606" s="2"/>
      <c r="R606" s="2"/>
      <c r="S606" s="2"/>
      <c r="T606" s="2"/>
      <c r="U606" s="2"/>
      <c r="V606" s="2"/>
      <c r="W606" s="2"/>
    </row>
    <row r="607">
      <c r="A607" s="2"/>
      <c r="B607" s="2"/>
      <c r="C607" s="2"/>
      <c r="D607" s="2"/>
      <c r="E607" s="2"/>
      <c r="F607" s="2"/>
      <c r="G607" s="2"/>
      <c r="H607" s="2"/>
      <c r="I607" s="2"/>
      <c r="J607" s="2"/>
      <c r="K607" s="2"/>
      <c r="L607" s="2"/>
      <c r="M607" s="2"/>
      <c r="N607" s="2"/>
      <c r="O607" s="2"/>
      <c r="P607" s="2"/>
      <c r="Q607" s="2"/>
      <c r="R607" s="2"/>
      <c r="S607" s="2"/>
      <c r="T607" s="2"/>
      <c r="U607" s="2"/>
      <c r="V607" s="2"/>
      <c r="W607" s="2"/>
    </row>
    <row r="608">
      <c r="A608" s="2"/>
      <c r="B608" s="2"/>
      <c r="C608" s="2"/>
      <c r="D608" s="2"/>
      <c r="E608" s="2"/>
      <c r="F608" s="2"/>
      <c r="G608" s="2"/>
      <c r="H608" s="2"/>
      <c r="I608" s="2"/>
      <c r="J608" s="2"/>
      <c r="K608" s="2"/>
      <c r="L608" s="2"/>
      <c r="M608" s="2"/>
      <c r="N608" s="2"/>
      <c r="O608" s="2"/>
      <c r="P608" s="2"/>
      <c r="Q608" s="2"/>
      <c r="R608" s="2"/>
      <c r="S608" s="2"/>
      <c r="T608" s="2"/>
      <c r="U608" s="2"/>
      <c r="V608" s="2"/>
      <c r="W608" s="2"/>
    </row>
    <row r="609">
      <c r="A609" s="2"/>
      <c r="B609" s="2"/>
      <c r="C609" s="2"/>
      <c r="D609" s="2"/>
      <c r="E609" s="2"/>
      <c r="F609" s="2"/>
      <c r="G609" s="2"/>
      <c r="H609" s="2"/>
      <c r="I609" s="2"/>
      <c r="J609" s="2"/>
      <c r="K609" s="2"/>
      <c r="L609" s="2"/>
      <c r="M609" s="2"/>
      <c r="N609" s="2"/>
      <c r="O609" s="2"/>
      <c r="P609" s="2"/>
      <c r="Q609" s="2"/>
      <c r="R609" s="2"/>
      <c r="S609" s="2"/>
      <c r="T609" s="2"/>
      <c r="U609" s="2"/>
      <c r="V609" s="2"/>
      <c r="W609" s="2"/>
    </row>
    <row r="610">
      <c r="A610" s="2"/>
      <c r="B610" s="2"/>
      <c r="C610" s="2"/>
      <c r="D610" s="2"/>
      <c r="E610" s="2"/>
      <c r="F610" s="2"/>
      <c r="G610" s="2"/>
      <c r="H610" s="2"/>
      <c r="I610" s="2"/>
      <c r="J610" s="2"/>
      <c r="K610" s="2"/>
      <c r="L610" s="2"/>
      <c r="M610" s="2"/>
      <c r="N610" s="2"/>
      <c r="O610" s="2"/>
      <c r="P610" s="2"/>
      <c r="Q610" s="2"/>
      <c r="R610" s="2"/>
      <c r="S610" s="2"/>
      <c r="T610" s="2"/>
      <c r="U610" s="2"/>
      <c r="V610" s="2"/>
      <c r="W610" s="2"/>
    </row>
    <row r="611">
      <c r="A611" s="2"/>
      <c r="B611" s="2"/>
      <c r="C611" s="2"/>
      <c r="D611" s="2"/>
      <c r="E611" s="2"/>
      <c r="F611" s="2"/>
      <c r="G611" s="2"/>
      <c r="H611" s="2"/>
      <c r="I611" s="2"/>
      <c r="J611" s="2"/>
      <c r="K611" s="2"/>
      <c r="L611" s="2"/>
      <c r="M611" s="2"/>
      <c r="N611" s="2"/>
      <c r="O611" s="2"/>
      <c r="P611" s="2"/>
      <c r="Q611" s="2"/>
      <c r="R611" s="2"/>
      <c r="S611" s="2"/>
      <c r="T611" s="2"/>
      <c r="U611" s="2"/>
      <c r="V611" s="2"/>
      <c r="W611" s="2"/>
    </row>
    <row r="612">
      <c r="A612" s="2"/>
      <c r="B612" s="2"/>
      <c r="C612" s="2"/>
      <c r="D612" s="2"/>
      <c r="E612" s="2"/>
      <c r="F612" s="2"/>
      <c r="G612" s="2"/>
      <c r="H612" s="2"/>
      <c r="I612" s="2"/>
      <c r="J612" s="2"/>
      <c r="K612" s="2"/>
      <c r="L612" s="2"/>
      <c r="M612" s="2"/>
      <c r="N612" s="2"/>
      <c r="O612" s="2"/>
      <c r="P612" s="2"/>
      <c r="Q612" s="2"/>
      <c r="R612" s="2"/>
      <c r="S612" s="2"/>
      <c r="T612" s="2"/>
      <c r="U612" s="2"/>
      <c r="V612" s="2"/>
      <c r="W612" s="2"/>
    </row>
    <row r="613">
      <c r="A613" s="2"/>
      <c r="B613" s="2"/>
      <c r="C613" s="2"/>
      <c r="D613" s="2"/>
      <c r="E613" s="2"/>
      <c r="F613" s="2"/>
      <c r="G613" s="2"/>
      <c r="H613" s="2"/>
      <c r="I613" s="2"/>
      <c r="J613" s="2"/>
      <c r="K613" s="2"/>
      <c r="L613" s="2"/>
      <c r="M613" s="2"/>
      <c r="N613" s="2"/>
      <c r="O613" s="2"/>
      <c r="P613" s="2"/>
      <c r="Q613" s="2"/>
      <c r="R613" s="2"/>
      <c r="S613" s="2"/>
      <c r="T613" s="2"/>
      <c r="U613" s="2"/>
      <c r="V613" s="2"/>
      <c r="W613" s="2"/>
    </row>
    <row r="614">
      <c r="A614" s="2"/>
      <c r="B614" s="2"/>
      <c r="C614" s="2"/>
      <c r="D614" s="2"/>
      <c r="E614" s="2"/>
      <c r="F614" s="2"/>
      <c r="G614" s="2"/>
      <c r="H614" s="2"/>
      <c r="I614" s="2"/>
      <c r="J614" s="2"/>
      <c r="K614" s="2"/>
      <c r="L614" s="2"/>
      <c r="M614" s="2"/>
      <c r="N614" s="2"/>
      <c r="O614" s="2"/>
      <c r="P614" s="2"/>
      <c r="Q614" s="2"/>
      <c r="R614" s="2"/>
      <c r="S614" s="2"/>
      <c r="T614" s="2"/>
      <c r="U614" s="2"/>
      <c r="V614" s="2"/>
      <c r="W614" s="2"/>
    </row>
    <row r="615">
      <c r="A615" s="2"/>
      <c r="B615" s="2"/>
      <c r="C615" s="2"/>
      <c r="D615" s="2"/>
      <c r="E615" s="2"/>
      <c r="F615" s="2"/>
      <c r="G615" s="2"/>
      <c r="H615" s="2"/>
      <c r="I615" s="2"/>
      <c r="J615" s="2"/>
      <c r="K615" s="2"/>
      <c r="L615" s="2"/>
      <c r="M615" s="2"/>
      <c r="N615" s="2"/>
      <c r="O615" s="2"/>
      <c r="P615" s="2"/>
      <c r="Q615" s="2"/>
      <c r="R615" s="2"/>
      <c r="S615" s="2"/>
      <c r="T615" s="2"/>
      <c r="U615" s="2"/>
      <c r="V615" s="2"/>
      <c r="W615" s="2"/>
    </row>
    <row r="616">
      <c r="A616" s="2"/>
      <c r="B616" s="2"/>
      <c r="C616" s="2"/>
      <c r="D616" s="2"/>
      <c r="E616" s="2"/>
      <c r="F616" s="2"/>
      <c r="G616" s="2"/>
      <c r="H616" s="2"/>
      <c r="I616" s="2"/>
      <c r="J616" s="2"/>
      <c r="K616" s="2"/>
      <c r="L616" s="2"/>
      <c r="M616" s="2"/>
      <c r="N616" s="2"/>
      <c r="O616" s="2"/>
      <c r="P616" s="2"/>
      <c r="Q616" s="2"/>
      <c r="R616" s="2"/>
      <c r="S616" s="2"/>
      <c r="T616" s="2"/>
      <c r="U616" s="2"/>
      <c r="V616" s="2"/>
      <c r="W616" s="2"/>
    </row>
    <row r="617">
      <c r="A617" s="2"/>
      <c r="B617" s="2"/>
      <c r="C617" s="2"/>
      <c r="D617" s="2"/>
      <c r="E617" s="2"/>
      <c r="F617" s="2"/>
      <c r="G617" s="2"/>
      <c r="H617" s="2"/>
      <c r="I617" s="2"/>
      <c r="J617" s="2"/>
      <c r="K617" s="2"/>
      <c r="L617" s="2"/>
      <c r="M617" s="2"/>
      <c r="N617" s="2"/>
      <c r="O617" s="2"/>
      <c r="P617" s="2"/>
      <c r="Q617" s="2"/>
      <c r="R617" s="2"/>
      <c r="S617" s="2"/>
      <c r="T617" s="2"/>
      <c r="U617" s="2"/>
      <c r="V617" s="2"/>
      <c r="W617" s="2"/>
    </row>
    <row r="618">
      <c r="A618" s="2"/>
      <c r="B618" s="2"/>
      <c r="C618" s="2"/>
      <c r="D618" s="2"/>
      <c r="E618" s="2"/>
      <c r="F618" s="2"/>
      <c r="G618" s="2"/>
      <c r="H618" s="2"/>
      <c r="I618" s="2"/>
      <c r="J618" s="2"/>
      <c r="K618" s="2"/>
      <c r="L618" s="2"/>
      <c r="M618" s="2"/>
      <c r="N618" s="2"/>
      <c r="O618" s="2"/>
      <c r="P618" s="2"/>
      <c r="Q618" s="2"/>
      <c r="R618" s="2"/>
      <c r="S618" s="2"/>
      <c r="T618" s="2"/>
      <c r="U618" s="2"/>
      <c r="V618" s="2"/>
      <c r="W618" s="2"/>
    </row>
    <row r="619">
      <c r="A619" s="2"/>
      <c r="B619" s="2"/>
      <c r="C619" s="2"/>
      <c r="D619" s="2"/>
      <c r="E619" s="2"/>
      <c r="F619" s="2"/>
      <c r="G619" s="2"/>
      <c r="H619" s="2"/>
      <c r="I619" s="2"/>
      <c r="J619" s="2"/>
      <c r="K619" s="2"/>
      <c r="L619" s="2"/>
      <c r="M619" s="2"/>
      <c r="N619" s="2"/>
      <c r="O619" s="2"/>
      <c r="P619" s="2"/>
      <c r="Q619" s="2"/>
      <c r="R619" s="2"/>
      <c r="S619" s="2"/>
      <c r="T619" s="2"/>
      <c r="U619" s="2"/>
      <c r="V619" s="2"/>
      <c r="W619" s="2"/>
    </row>
    <row r="620">
      <c r="A620" s="2"/>
      <c r="B620" s="2"/>
      <c r="C620" s="2"/>
      <c r="D620" s="2"/>
      <c r="E620" s="2"/>
      <c r="F620" s="2"/>
      <c r="G620" s="2"/>
      <c r="H620" s="2"/>
      <c r="I620" s="2"/>
      <c r="J620" s="2"/>
      <c r="K620" s="2"/>
      <c r="L620" s="2"/>
      <c r="M620" s="2"/>
      <c r="N620" s="2"/>
      <c r="O620" s="2"/>
      <c r="P620" s="2"/>
      <c r="Q620" s="2"/>
      <c r="R620" s="2"/>
      <c r="S620" s="2"/>
      <c r="T620" s="2"/>
      <c r="U620" s="2"/>
      <c r="V620" s="2"/>
      <c r="W620" s="2"/>
    </row>
    <row r="621">
      <c r="A621" s="2"/>
      <c r="B621" s="2"/>
      <c r="C621" s="2"/>
      <c r="D621" s="2"/>
      <c r="E621" s="2"/>
      <c r="F621" s="2"/>
      <c r="G621" s="2"/>
      <c r="H621" s="2"/>
      <c r="I621" s="2"/>
      <c r="J621" s="2"/>
      <c r="K621" s="2"/>
      <c r="L621" s="2"/>
      <c r="M621" s="2"/>
      <c r="N621" s="2"/>
      <c r="O621" s="2"/>
      <c r="P621" s="2"/>
      <c r="Q621" s="2"/>
      <c r="R621" s="2"/>
      <c r="S621" s="2"/>
      <c r="T621" s="2"/>
      <c r="U621" s="2"/>
      <c r="V621" s="2"/>
      <c r="W621" s="2"/>
    </row>
    <row r="622">
      <c r="A622" s="2"/>
      <c r="B622" s="2"/>
      <c r="C622" s="2"/>
      <c r="D622" s="2"/>
      <c r="E622" s="2"/>
      <c r="F622" s="2"/>
      <c r="G622" s="2"/>
      <c r="H622" s="2"/>
      <c r="I622" s="2"/>
      <c r="J622" s="2"/>
      <c r="K622" s="2"/>
      <c r="L622" s="2"/>
      <c r="M622" s="2"/>
      <c r="N622" s="2"/>
      <c r="O622" s="2"/>
      <c r="P622" s="2"/>
      <c r="Q622" s="2"/>
      <c r="R622" s="2"/>
      <c r="S622" s="2"/>
      <c r="T622" s="2"/>
      <c r="U622" s="2"/>
      <c r="V622" s="2"/>
      <c r="W622" s="2"/>
    </row>
    <row r="623">
      <c r="A623" s="2"/>
      <c r="B623" s="2"/>
      <c r="C623" s="2"/>
      <c r="D623" s="2"/>
      <c r="E623" s="2"/>
      <c r="F623" s="2"/>
      <c r="G623" s="2"/>
      <c r="H623" s="2"/>
      <c r="I623" s="2"/>
      <c r="J623" s="2"/>
      <c r="K623" s="2"/>
      <c r="L623" s="2"/>
      <c r="M623" s="2"/>
      <c r="N623" s="2"/>
      <c r="O623" s="2"/>
      <c r="P623" s="2"/>
      <c r="Q623" s="2"/>
      <c r="R623" s="2"/>
      <c r="S623" s="2"/>
      <c r="T623" s="2"/>
      <c r="U623" s="2"/>
      <c r="V623" s="2"/>
      <c r="W623" s="2"/>
    </row>
    <row r="624">
      <c r="A624" s="2"/>
      <c r="B624" s="2"/>
      <c r="C624" s="2"/>
      <c r="D624" s="2"/>
      <c r="E624" s="2"/>
      <c r="F624" s="2"/>
      <c r="G624" s="2"/>
      <c r="H624" s="2"/>
      <c r="I624" s="2"/>
      <c r="J624" s="2"/>
      <c r="K624" s="2"/>
      <c r="L624" s="2"/>
      <c r="M624" s="2"/>
      <c r="N624" s="2"/>
      <c r="O624" s="2"/>
      <c r="P624" s="2"/>
      <c r="Q624" s="2"/>
      <c r="R624" s="2"/>
      <c r="S624" s="2"/>
      <c r="T624" s="2"/>
      <c r="U624" s="2"/>
      <c r="V624" s="2"/>
      <c r="W624" s="2"/>
    </row>
    <row r="625">
      <c r="A625" s="2"/>
      <c r="B625" s="2"/>
      <c r="C625" s="2"/>
      <c r="D625" s="2"/>
      <c r="E625" s="2"/>
      <c r="F625" s="2"/>
      <c r="G625" s="2"/>
      <c r="H625" s="2"/>
      <c r="I625" s="2"/>
      <c r="J625" s="2"/>
      <c r="K625" s="2"/>
      <c r="L625" s="2"/>
      <c r="M625" s="2"/>
      <c r="N625" s="2"/>
      <c r="O625" s="2"/>
      <c r="P625" s="2"/>
      <c r="Q625" s="2"/>
      <c r="R625" s="2"/>
      <c r="S625" s="2"/>
      <c r="T625" s="2"/>
      <c r="U625" s="2"/>
      <c r="V625" s="2"/>
      <c r="W625" s="2"/>
    </row>
    <row r="626">
      <c r="A626" s="2"/>
      <c r="B626" s="2"/>
      <c r="C626" s="2"/>
      <c r="D626" s="2"/>
      <c r="E626" s="2"/>
      <c r="F626" s="2"/>
      <c r="G626" s="2"/>
      <c r="H626" s="2"/>
      <c r="I626" s="2"/>
      <c r="J626" s="2"/>
      <c r="K626" s="2"/>
      <c r="L626" s="2"/>
      <c r="M626" s="2"/>
      <c r="N626" s="2"/>
      <c r="O626" s="2"/>
      <c r="P626" s="2"/>
      <c r="Q626" s="2"/>
      <c r="R626" s="2"/>
      <c r="S626" s="2"/>
      <c r="T626" s="2"/>
      <c r="U626" s="2"/>
      <c r="V626" s="2"/>
      <c r="W626" s="2"/>
    </row>
    <row r="627">
      <c r="A627" s="2"/>
      <c r="B627" s="2"/>
      <c r="C627" s="2"/>
      <c r="D627" s="2"/>
      <c r="E627" s="2"/>
      <c r="F627" s="2"/>
      <c r="G627" s="2"/>
      <c r="H627" s="2"/>
      <c r="I627" s="2"/>
      <c r="J627" s="2"/>
      <c r="K627" s="2"/>
      <c r="L627" s="2"/>
      <c r="M627" s="2"/>
      <c r="N627" s="2"/>
      <c r="O627" s="2"/>
      <c r="P627" s="2"/>
      <c r="Q627" s="2"/>
      <c r="R627" s="2"/>
      <c r="S627" s="2"/>
      <c r="T627" s="2"/>
      <c r="U627" s="2"/>
      <c r="V627" s="2"/>
      <c r="W627" s="2"/>
    </row>
    <row r="628">
      <c r="A628" s="2"/>
      <c r="B628" s="2"/>
      <c r="C628" s="2"/>
      <c r="D628" s="2"/>
      <c r="E628" s="2"/>
      <c r="F628" s="2"/>
      <c r="G628" s="2"/>
      <c r="H628" s="2"/>
      <c r="I628" s="2"/>
      <c r="J628" s="2"/>
      <c r="K628" s="2"/>
      <c r="L628" s="2"/>
      <c r="M628" s="2"/>
      <c r="N628" s="2"/>
      <c r="O628" s="2"/>
      <c r="P628" s="2"/>
      <c r="Q628" s="2"/>
      <c r="R628" s="2"/>
      <c r="S628" s="2"/>
      <c r="T628" s="2"/>
      <c r="U628" s="2"/>
      <c r="V628" s="2"/>
      <c r="W628" s="2"/>
    </row>
    <row r="629">
      <c r="A629" s="2"/>
      <c r="B629" s="2"/>
      <c r="C629" s="2"/>
      <c r="D629" s="2"/>
      <c r="E629" s="2"/>
      <c r="F629" s="2"/>
      <c r="G629" s="2"/>
      <c r="H629" s="2"/>
      <c r="I629" s="2"/>
      <c r="J629" s="2"/>
      <c r="K629" s="2"/>
      <c r="L629" s="2"/>
      <c r="M629" s="2"/>
      <c r="N629" s="2"/>
      <c r="O629" s="2"/>
      <c r="P629" s="2"/>
      <c r="Q629" s="2"/>
      <c r="R629" s="2"/>
      <c r="S629" s="2"/>
      <c r="T629" s="2"/>
      <c r="U629" s="2"/>
      <c r="V629" s="2"/>
      <c r="W629" s="2"/>
    </row>
    <row r="630">
      <c r="A630" s="2"/>
      <c r="B630" s="2"/>
      <c r="C630" s="2"/>
      <c r="D630" s="2"/>
      <c r="E630" s="2"/>
      <c r="F630" s="2"/>
      <c r="G630" s="2"/>
      <c r="H630" s="2"/>
      <c r="I630" s="2"/>
      <c r="J630" s="2"/>
      <c r="K630" s="2"/>
      <c r="L630" s="2"/>
      <c r="M630" s="2"/>
      <c r="N630" s="2"/>
      <c r="O630" s="2"/>
      <c r="P630" s="2"/>
      <c r="Q630" s="2"/>
      <c r="R630" s="2"/>
      <c r="S630" s="2"/>
      <c r="T630" s="2"/>
      <c r="U630" s="2"/>
      <c r="V630" s="2"/>
      <c r="W630" s="2"/>
    </row>
    <row r="631">
      <c r="A631" s="2"/>
      <c r="B631" s="2"/>
      <c r="C631" s="2"/>
      <c r="D631" s="2"/>
      <c r="E631" s="2"/>
      <c r="F631" s="2"/>
      <c r="G631" s="2"/>
      <c r="H631" s="2"/>
      <c r="I631" s="2"/>
      <c r="J631" s="2"/>
      <c r="K631" s="2"/>
      <c r="L631" s="2"/>
      <c r="M631" s="2"/>
      <c r="N631" s="2"/>
      <c r="O631" s="2"/>
      <c r="P631" s="2"/>
      <c r="Q631" s="2"/>
      <c r="R631" s="2"/>
      <c r="S631" s="2"/>
      <c r="T631" s="2"/>
      <c r="U631" s="2"/>
      <c r="V631" s="2"/>
      <c r="W631" s="2"/>
    </row>
    <row r="632">
      <c r="A632" s="2"/>
      <c r="B632" s="2"/>
      <c r="C632" s="2"/>
      <c r="D632" s="2"/>
      <c r="E632" s="2"/>
      <c r="F632" s="2"/>
      <c r="G632" s="2"/>
      <c r="H632" s="2"/>
      <c r="I632" s="2"/>
      <c r="J632" s="2"/>
      <c r="K632" s="2"/>
      <c r="L632" s="2"/>
      <c r="M632" s="2"/>
      <c r="N632" s="2"/>
      <c r="O632" s="2"/>
      <c r="P632" s="2"/>
      <c r="Q632" s="2"/>
      <c r="R632" s="2"/>
      <c r="S632" s="2"/>
      <c r="T632" s="2"/>
      <c r="U632" s="2"/>
      <c r="V632" s="2"/>
      <c r="W632" s="2"/>
    </row>
    <row r="633">
      <c r="A633" s="2"/>
      <c r="B633" s="2"/>
      <c r="C633" s="2"/>
      <c r="D633" s="2"/>
      <c r="E633" s="2"/>
      <c r="F633" s="2"/>
      <c r="G633" s="2"/>
      <c r="H633" s="2"/>
      <c r="I633" s="2"/>
      <c r="J633" s="2"/>
      <c r="K633" s="2"/>
      <c r="L633" s="2"/>
      <c r="M633" s="2"/>
      <c r="N633" s="2"/>
      <c r="O633" s="2"/>
      <c r="P633" s="2"/>
      <c r="Q633" s="2"/>
      <c r="R633" s="2"/>
      <c r="S633" s="2"/>
      <c r="T633" s="2"/>
      <c r="U633" s="2"/>
      <c r="V633" s="2"/>
      <c r="W633" s="2"/>
    </row>
    <row r="634">
      <c r="A634" s="2"/>
      <c r="B634" s="2"/>
      <c r="C634" s="2"/>
      <c r="D634" s="2"/>
      <c r="E634" s="2"/>
      <c r="F634" s="2"/>
      <c r="G634" s="2"/>
      <c r="H634" s="2"/>
      <c r="I634" s="2"/>
      <c r="J634" s="2"/>
      <c r="K634" s="2"/>
      <c r="L634" s="2"/>
      <c r="M634" s="2"/>
      <c r="N634" s="2"/>
      <c r="O634" s="2"/>
      <c r="P634" s="2"/>
      <c r="Q634" s="2"/>
      <c r="R634" s="2"/>
      <c r="S634" s="2"/>
      <c r="T634" s="2"/>
      <c r="U634" s="2"/>
      <c r="V634" s="2"/>
      <c r="W634" s="2"/>
    </row>
    <row r="635">
      <c r="A635" s="2"/>
      <c r="B635" s="2"/>
      <c r="C635" s="2"/>
      <c r="D635" s="2"/>
      <c r="E635" s="2"/>
      <c r="F635" s="2"/>
      <c r="G635" s="2"/>
      <c r="H635" s="2"/>
      <c r="I635" s="2"/>
      <c r="J635" s="2"/>
      <c r="K635" s="2"/>
      <c r="L635" s="2"/>
      <c r="M635" s="2"/>
      <c r="N635" s="2"/>
      <c r="O635" s="2"/>
      <c r="P635" s="2"/>
      <c r="Q635" s="2"/>
      <c r="R635" s="2"/>
      <c r="S635" s="2"/>
      <c r="T635" s="2"/>
      <c r="U635" s="2"/>
      <c r="V635" s="2"/>
      <c r="W635" s="2"/>
    </row>
    <row r="636">
      <c r="A636" s="2"/>
      <c r="B636" s="2"/>
      <c r="C636" s="2"/>
      <c r="D636" s="2"/>
      <c r="E636" s="2"/>
      <c r="F636" s="2"/>
      <c r="G636" s="2"/>
      <c r="H636" s="2"/>
      <c r="I636" s="2"/>
      <c r="J636" s="2"/>
      <c r="K636" s="2"/>
      <c r="L636" s="2"/>
      <c r="M636" s="2"/>
      <c r="N636" s="2"/>
      <c r="O636" s="2"/>
      <c r="P636" s="2"/>
      <c r="Q636" s="2"/>
      <c r="R636" s="2"/>
      <c r="S636" s="2"/>
      <c r="T636" s="2"/>
      <c r="U636" s="2"/>
      <c r="V636" s="2"/>
      <c r="W636" s="2"/>
    </row>
    <row r="637">
      <c r="A637" s="2"/>
      <c r="B637" s="2"/>
      <c r="C637" s="2"/>
      <c r="D637" s="2"/>
      <c r="E637" s="2"/>
      <c r="F637" s="2"/>
      <c r="G637" s="2"/>
      <c r="H637" s="2"/>
      <c r="I637" s="2"/>
      <c r="J637" s="2"/>
      <c r="K637" s="2"/>
      <c r="L637" s="2"/>
      <c r="M637" s="2"/>
      <c r="N637" s="2"/>
      <c r="O637" s="2"/>
      <c r="P637" s="2"/>
      <c r="Q637" s="2"/>
      <c r="R637" s="2"/>
      <c r="S637" s="2"/>
      <c r="T637" s="2"/>
      <c r="U637" s="2"/>
      <c r="V637" s="2"/>
      <c r="W637" s="2"/>
    </row>
    <row r="638">
      <c r="A638" s="2"/>
      <c r="B638" s="2"/>
      <c r="C638" s="2"/>
      <c r="D638" s="2"/>
      <c r="E638" s="2"/>
      <c r="F638" s="2"/>
      <c r="G638" s="2"/>
      <c r="H638" s="2"/>
      <c r="I638" s="2"/>
      <c r="J638" s="2"/>
      <c r="K638" s="2"/>
      <c r="L638" s="2"/>
      <c r="M638" s="2"/>
      <c r="N638" s="2"/>
      <c r="O638" s="2"/>
      <c r="P638" s="2"/>
      <c r="Q638" s="2"/>
      <c r="R638" s="2"/>
      <c r="S638" s="2"/>
      <c r="T638" s="2"/>
      <c r="U638" s="2"/>
      <c r="V638" s="2"/>
      <c r="W638" s="2"/>
    </row>
    <row r="639">
      <c r="A639" s="2"/>
      <c r="B639" s="2"/>
      <c r="C639" s="2"/>
      <c r="D639" s="2"/>
      <c r="E639" s="2"/>
      <c r="F639" s="2"/>
      <c r="G639" s="2"/>
      <c r="H639" s="2"/>
      <c r="I639" s="2"/>
      <c r="J639" s="2"/>
      <c r="K639" s="2"/>
      <c r="L639" s="2"/>
      <c r="M639" s="2"/>
      <c r="N639" s="2"/>
      <c r="O639" s="2"/>
      <c r="P639" s="2"/>
      <c r="Q639" s="2"/>
      <c r="R639" s="2"/>
      <c r="S639" s="2"/>
      <c r="T639" s="2"/>
      <c r="U639" s="2"/>
      <c r="V639" s="2"/>
      <c r="W639" s="2"/>
    </row>
    <row r="640">
      <c r="A640" s="2"/>
      <c r="B640" s="2"/>
      <c r="C640" s="2"/>
      <c r="D640" s="2"/>
      <c r="E640" s="2"/>
      <c r="F640" s="2"/>
      <c r="G640" s="2"/>
      <c r="H640" s="2"/>
      <c r="I640" s="2"/>
      <c r="J640" s="2"/>
      <c r="K640" s="2"/>
      <c r="L640" s="2"/>
      <c r="M640" s="2"/>
      <c r="N640" s="2"/>
      <c r="O640" s="2"/>
      <c r="P640" s="2"/>
      <c r="Q640" s="2"/>
      <c r="R640" s="2"/>
      <c r="S640" s="2"/>
      <c r="T640" s="2"/>
      <c r="U640" s="2"/>
      <c r="V640" s="2"/>
      <c r="W640" s="2"/>
    </row>
    <row r="641">
      <c r="A641" s="2"/>
      <c r="B641" s="2"/>
      <c r="C641" s="2"/>
      <c r="D641" s="2"/>
      <c r="E641" s="2"/>
      <c r="F641" s="2"/>
      <c r="G641" s="2"/>
      <c r="H641" s="2"/>
      <c r="I641" s="2"/>
      <c r="J641" s="2"/>
      <c r="K641" s="2"/>
      <c r="L641" s="2"/>
      <c r="M641" s="2"/>
      <c r="N641" s="2"/>
      <c r="O641" s="2"/>
      <c r="P641" s="2"/>
      <c r="Q641" s="2"/>
      <c r="R641" s="2"/>
      <c r="S641" s="2"/>
      <c r="T641" s="2"/>
      <c r="U641" s="2"/>
      <c r="V641" s="2"/>
      <c r="W641" s="2"/>
    </row>
    <row r="642">
      <c r="A642" s="2"/>
      <c r="B642" s="2"/>
      <c r="C642" s="2"/>
      <c r="D642" s="2"/>
      <c r="E642" s="2"/>
      <c r="F642" s="2"/>
      <c r="G642" s="2"/>
      <c r="H642" s="2"/>
      <c r="I642" s="2"/>
      <c r="J642" s="2"/>
      <c r="K642" s="2"/>
      <c r="L642" s="2"/>
      <c r="M642" s="2"/>
      <c r="N642" s="2"/>
      <c r="O642" s="2"/>
      <c r="P642" s="2"/>
      <c r="Q642" s="2"/>
      <c r="R642" s="2"/>
      <c r="S642" s="2"/>
      <c r="T642" s="2"/>
      <c r="U642" s="2"/>
      <c r="V642" s="2"/>
      <c r="W642" s="2"/>
    </row>
    <row r="643">
      <c r="A643" s="2"/>
      <c r="B643" s="2"/>
      <c r="C643" s="2"/>
      <c r="D643" s="2"/>
      <c r="E643" s="2"/>
      <c r="F643" s="2"/>
      <c r="G643" s="2"/>
      <c r="H643" s="2"/>
      <c r="I643" s="2"/>
      <c r="J643" s="2"/>
      <c r="K643" s="2"/>
      <c r="L643" s="2"/>
      <c r="M643" s="2"/>
      <c r="N643" s="2"/>
      <c r="O643" s="2"/>
      <c r="P643" s="2"/>
      <c r="Q643" s="2"/>
      <c r="R643" s="2"/>
      <c r="S643" s="2"/>
      <c r="T643" s="2"/>
      <c r="U643" s="2"/>
      <c r="V643" s="2"/>
      <c r="W643" s="2"/>
    </row>
    <row r="644">
      <c r="A644" s="2"/>
      <c r="B644" s="2"/>
      <c r="C644" s="2"/>
      <c r="D644" s="2"/>
      <c r="E644" s="2"/>
      <c r="F644" s="2"/>
      <c r="G644" s="2"/>
      <c r="H644" s="2"/>
      <c r="I644" s="2"/>
      <c r="J644" s="2"/>
      <c r="K644" s="2"/>
      <c r="L644" s="2"/>
      <c r="M644" s="2"/>
      <c r="N644" s="2"/>
      <c r="O644" s="2"/>
      <c r="P644" s="2"/>
      <c r="Q644" s="2"/>
      <c r="R644" s="2"/>
      <c r="S644" s="2"/>
      <c r="T644" s="2"/>
      <c r="U644" s="2"/>
      <c r="V644" s="2"/>
      <c r="W644" s="2"/>
    </row>
    <row r="645">
      <c r="A645" s="2"/>
      <c r="B645" s="2"/>
      <c r="C645" s="2"/>
      <c r="D645" s="2"/>
      <c r="E645" s="2"/>
      <c r="F645" s="2"/>
      <c r="G645" s="2"/>
      <c r="H645" s="2"/>
      <c r="I645" s="2"/>
      <c r="J645" s="2"/>
      <c r="K645" s="2"/>
      <c r="L645" s="2"/>
      <c r="M645" s="2"/>
      <c r="N645" s="2"/>
      <c r="O645" s="2"/>
      <c r="P645" s="2"/>
      <c r="Q645" s="2"/>
      <c r="R645" s="2"/>
      <c r="S645" s="2"/>
      <c r="T645" s="2"/>
      <c r="U645" s="2"/>
      <c r="V645" s="2"/>
      <c r="W645" s="2"/>
    </row>
    <row r="646">
      <c r="A646" s="2"/>
      <c r="B646" s="2"/>
      <c r="C646" s="2"/>
      <c r="D646" s="2"/>
      <c r="E646" s="2"/>
      <c r="F646" s="2"/>
      <c r="G646" s="2"/>
      <c r="H646" s="2"/>
      <c r="I646" s="2"/>
      <c r="J646" s="2"/>
      <c r="K646" s="2"/>
      <c r="L646" s="2"/>
      <c r="M646" s="2"/>
      <c r="N646" s="2"/>
      <c r="O646" s="2"/>
      <c r="P646" s="2"/>
      <c r="Q646" s="2"/>
      <c r="R646" s="2"/>
      <c r="S646" s="2"/>
      <c r="T646" s="2"/>
      <c r="U646" s="2"/>
      <c r="V646" s="2"/>
      <c r="W646" s="2"/>
    </row>
    <row r="647">
      <c r="A647" s="2"/>
      <c r="B647" s="2"/>
      <c r="C647" s="2"/>
      <c r="D647" s="2"/>
      <c r="E647" s="2"/>
      <c r="F647" s="2"/>
      <c r="G647" s="2"/>
      <c r="H647" s="2"/>
      <c r="I647" s="2"/>
      <c r="J647" s="2"/>
      <c r="K647" s="2"/>
      <c r="L647" s="2"/>
      <c r="M647" s="2"/>
      <c r="N647" s="2"/>
      <c r="O647" s="2"/>
      <c r="P647" s="2"/>
      <c r="Q647" s="2"/>
      <c r="R647" s="2"/>
      <c r="S647" s="2"/>
      <c r="T647" s="2"/>
      <c r="U647" s="2"/>
      <c r="V647" s="2"/>
      <c r="W647" s="2"/>
    </row>
    <row r="648">
      <c r="A648" s="2"/>
      <c r="B648" s="2"/>
      <c r="C648" s="2"/>
      <c r="D648" s="2"/>
      <c r="E648" s="2"/>
      <c r="F648" s="2"/>
      <c r="G648" s="2"/>
      <c r="H648" s="2"/>
      <c r="I648" s="2"/>
      <c r="J648" s="2"/>
      <c r="K648" s="2"/>
      <c r="L648" s="2"/>
      <c r="M648" s="2"/>
      <c r="N648" s="2"/>
      <c r="O648" s="2"/>
      <c r="P648" s="2"/>
      <c r="Q648" s="2"/>
      <c r="R648" s="2"/>
      <c r="S648" s="2"/>
      <c r="T648" s="2"/>
      <c r="U648" s="2"/>
      <c r="V648" s="2"/>
      <c r="W648" s="2"/>
    </row>
    <row r="649">
      <c r="A649" s="2"/>
      <c r="B649" s="2"/>
      <c r="C649" s="2"/>
      <c r="D649" s="2"/>
      <c r="E649" s="2"/>
      <c r="F649" s="2"/>
      <c r="G649" s="2"/>
      <c r="H649" s="2"/>
      <c r="I649" s="2"/>
      <c r="J649" s="2"/>
      <c r="K649" s="2"/>
      <c r="L649" s="2"/>
      <c r="M649" s="2"/>
      <c r="N649" s="2"/>
      <c r="O649" s="2"/>
      <c r="P649" s="2"/>
      <c r="Q649" s="2"/>
      <c r="R649" s="2"/>
      <c r="S649" s="2"/>
      <c r="T649" s="2"/>
      <c r="U649" s="2"/>
      <c r="V649" s="2"/>
      <c r="W649" s="2"/>
    </row>
    <row r="650">
      <c r="A650" s="2"/>
      <c r="B650" s="2"/>
      <c r="C650" s="2"/>
      <c r="D650" s="2"/>
      <c r="E650" s="2"/>
      <c r="F650" s="2"/>
      <c r="G650" s="2"/>
      <c r="H650" s="2"/>
      <c r="I650" s="2"/>
      <c r="J650" s="2"/>
      <c r="K650" s="2"/>
      <c r="L650" s="2"/>
      <c r="M650" s="2"/>
      <c r="N650" s="2"/>
      <c r="O650" s="2"/>
      <c r="P650" s="2"/>
      <c r="Q650" s="2"/>
      <c r="R650" s="2"/>
      <c r="S650" s="2"/>
      <c r="T650" s="2"/>
      <c r="U650" s="2"/>
      <c r="V650" s="2"/>
      <c r="W650" s="2"/>
    </row>
    <row r="651">
      <c r="A651" s="2"/>
      <c r="B651" s="2"/>
      <c r="C651" s="2"/>
      <c r="D651" s="2"/>
      <c r="E651" s="2"/>
      <c r="F651" s="2"/>
      <c r="G651" s="2"/>
      <c r="H651" s="2"/>
      <c r="I651" s="2"/>
      <c r="J651" s="2"/>
      <c r="K651" s="2"/>
      <c r="L651" s="2"/>
      <c r="M651" s="2"/>
      <c r="N651" s="2"/>
      <c r="O651" s="2"/>
      <c r="P651" s="2"/>
      <c r="Q651" s="2"/>
      <c r="R651" s="2"/>
      <c r="S651" s="2"/>
      <c r="T651" s="2"/>
      <c r="U651" s="2"/>
      <c r="V651" s="2"/>
      <c r="W651" s="2"/>
    </row>
    <row r="652">
      <c r="A652" s="2"/>
      <c r="B652" s="2"/>
      <c r="C652" s="2"/>
      <c r="D652" s="2"/>
      <c r="E652" s="2"/>
      <c r="F652" s="2"/>
      <c r="G652" s="2"/>
      <c r="H652" s="2"/>
      <c r="I652" s="2"/>
      <c r="J652" s="2"/>
      <c r="K652" s="2"/>
      <c r="L652" s="2"/>
      <c r="M652" s="2"/>
      <c r="N652" s="2"/>
      <c r="O652" s="2"/>
      <c r="P652" s="2"/>
      <c r="Q652" s="2"/>
      <c r="R652" s="2"/>
      <c r="S652" s="2"/>
      <c r="T652" s="2"/>
      <c r="U652" s="2"/>
      <c r="V652" s="2"/>
      <c r="W652" s="2"/>
    </row>
    <row r="653">
      <c r="A653" s="2"/>
      <c r="B653" s="2"/>
      <c r="C653" s="2"/>
      <c r="D653" s="2"/>
      <c r="E653" s="2"/>
      <c r="F653" s="2"/>
      <c r="G653" s="2"/>
      <c r="H653" s="2"/>
      <c r="I653" s="2"/>
      <c r="J653" s="2"/>
      <c r="K653" s="2"/>
      <c r="L653" s="2"/>
      <c r="M653" s="2"/>
      <c r="N653" s="2"/>
      <c r="O653" s="2"/>
      <c r="P653" s="2"/>
      <c r="Q653" s="2"/>
      <c r="R653" s="2"/>
      <c r="S653" s="2"/>
      <c r="T653" s="2"/>
      <c r="U653" s="2"/>
      <c r="V653" s="2"/>
      <c r="W653" s="2"/>
    </row>
    <row r="654">
      <c r="A654" s="2"/>
      <c r="B654" s="2"/>
      <c r="C654" s="2"/>
      <c r="D654" s="2"/>
      <c r="E654" s="2"/>
      <c r="F654" s="2"/>
      <c r="G654" s="2"/>
      <c r="H654" s="2"/>
      <c r="I654" s="2"/>
      <c r="J654" s="2"/>
      <c r="K654" s="2"/>
      <c r="L654" s="2"/>
      <c r="M654" s="2"/>
      <c r="N654" s="2"/>
      <c r="O654" s="2"/>
      <c r="P654" s="2"/>
      <c r="Q654" s="2"/>
      <c r="R654" s="2"/>
      <c r="S654" s="2"/>
      <c r="T654" s="2"/>
      <c r="U654" s="2"/>
      <c r="V654" s="2"/>
      <c r="W654" s="2"/>
    </row>
    <row r="655">
      <c r="A655" s="2"/>
      <c r="B655" s="2"/>
      <c r="C655" s="2"/>
      <c r="D655" s="2"/>
      <c r="E655" s="2"/>
      <c r="F655" s="2"/>
      <c r="G655" s="2"/>
      <c r="H655" s="2"/>
      <c r="I655" s="2"/>
      <c r="J655" s="2"/>
      <c r="K655" s="2"/>
      <c r="L655" s="2"/>
      <c r="M655" s="2"/>
      <c r="N655" s="2"/>
      <c r="O655" s="2"/>
      <c r="P655" s="2"/>
      <c r="Q655" s="2"/>
      <c r="R655" s="2"/>
      <c r="S655" s="2"/>
      <c r="T655" s="2"/>
      <c r="U655" s="2"/>
      <c r="V655" s="2"/>
      <c r="W655" s="2"/>
    </row>
    <row r="656">
      <c r="A656" s="2"/>
      <c r="B656" s="2"/>
      <c r="C656" s="2"/>
      <c r="D656" s="2"/>
      <c r="E656" s="2"/>
      <c r="F656" s="2"/>
      <c r="G656" s="2"/>
      <c r="H656" s="2"/>
      <c r="I656" s="2"/>
      <c r="J656" s="2"/>
      <c r="K656" s="2"/>
      <c r="L656" s="2"/>
      <c r="M656" s="2"/>
      <c r="N656" s="2"/>
      <c r="O656" s="2"/>
      <c r="P656" s="2"/>
      <c r="Q656" s="2"/>
      <c r="R656" s="2"/>
      <c r="S656" s="2"/>
      <c r="T656" s="2"/>
      <c r="U656" s="2"/>
      <c r="V656" s="2"/>
      <c r="W656" s="2"/>
    </row>
    <row r="657">
      <c r="A657" s="2"/>
      <c r="B657" s="2"/>
      <c r="C657" s="2"/>
      <c r="D657" s="2"/>
      <c r="E657" s="2"/>
      <c r="F657" s="2"/>
      <c r="G657" s="2"/>
      <c r="H657" s="2"/>
      <c r="I657" s="2"/>
      <c r="J657" s="2"/>
      <c r="K657" s="2"/>
      <c r="L657" s="2"/>
      <c r="M657" s="2"/>
      <c r="N657" s="2"/>
      <c r="O657" s="2"/>
      <c r="P657" s="2"/>
      <c r="Q657" s="2"/>
      <c r="R657" s="2"/>
      <c r="S657" s="2"/>
      <c r="T657" s="2"/>
      <c r="U657" s="2"/>
      <c r="V657" s="2"/>
      <c r="W657" s="2"/>
    </row>
    <row r="658">
      <c r="A658" s="2"/>
      <c r="B658" s="2"/>
      <c r="C658" s="2"/>
      <c r="D658" s="2"/>
      <c r="E658" s="2"/>
      <c r="F658" s="2"/>
      <c r="G658" s="2"/>
      <c r="H658" s="2"/>
      <c r="I658" s="2"/>
      <c r="J658" s="2"/>
      <c r="K658" s="2"/>
      <c r="L658" s="2"/>
      <c r="M658" s="2"/>
      <c r="N658" s="2"/>
      <c r="O658" s="2"/>
      <c r="P658" s="2"/>
      <c r="Q658" s="2"/>
      <c r="R658" s="2"/>
      <c r="S658" s="2"/>
      <c r="T658" s="2"/>
      <c r="U658" s="2"/>
      <c r="V658" s="2"/>
      <c r="W658" s="2"/>
    </row>
    <row r="659">
      <c r="A659" s="2"/>
      <c r="B659" s="2"/>
      <c r="C659" s="2"/>
      <c r="D659" s="2"/>
      <c r="E659" s="2"/>
      <c r="F659" s="2"/>
      <c r="G659" s="2"/>
      <c r="H659" s="2"/>
      <c r="I659" s="2"/>
      <c r="J659" s="2"/>
      <c r="K659" s="2"/>
      <c r="L659" s="2"/>
      <c r="M659" s="2"/>
      <c r="N659" s="2"/>
      <c r="O659" s="2"/>
      <c r="P659" s="2"/>
      <c r="Q659" s="2"/>
      <c r="R659" s="2"/>
      <c r="S659" s="2"/>
      <c r="T659" s="2"/>
      <c r="U659" s="2"/>
      <c r="V659" s="2"/>
      <c r="W659" s="2"/>
    </row>
    <row r="660">
      <c r="A660" s="2"/>
      <c r="B660" s="2"/>
      <c r="C660" s="2"/>
      <c r="D660" s="2"/>
      <c r="E660" s="2"/>
      <c r="F660" s="2"/>
      <c r="G660" s="2"/>
      <c r="H660" s="2"/>
      <c r="I660" s="2"/>
      <c r="J660" s="2"/>
      <c r="K660" s="2"/>
      <c r="L660" s="2"/>
      <c r="M660" s="2"/>
      <c r="N660" s="2"/>
      <c r="O660" s="2"/>
      <c r="P660" s="2"/>
      <c r="Q660" s="2"/>
      <c r="R660" s="2"/>
      <c r="S660" s="2"/>
      <c r="T660" s="2"/>
      <c r="U660" s="2"/>
      <c r="V660" s="2"/>
      <c r="W660" s="2"/>
    </row>
    <row r="661">
      <c r="A661" s="2"/>
      <c r="B661" s="2"/>
      <c r="C661" s="2"/>
      <c r="D661" s="2"/>
      <c r="E661" s="2"/>
      <c r="F661" s="2"/>
      <c r="G661" s="2"/>
      <c r="H661" s="2"/>
      <c r="I661" s="2"/>
      <c r="J661" s="2"/>
      <c r="K661" s="2"/>
      <c r="L661" s="2"/>
      <c r="M661" s="2"/>
      <c r="N661" s="2"/>
      <c r="O661" s="2"/>
      <c r="P661" s="2"/>
      <c r="Q661" s="2"/>
      <c r="R661" s="2"/>
      <c r="S661" s="2"/>
      <c r="T661" s="2"/>
      <c r="U661" s="2"/>
      <c r="V661" s="2"/>
      <c r="W661" s="2"/>
    </row>
    <row r="662">
      <c r="A662" s="2"/>
      <c r="B662" s="2"/>
      <c r="C662" s="2"/>
      <c r="D662" s="2"/>
      <c r="E662" s="2"/>
      <c r="F662" s="2"/>
      <c r="G662" s="2"/>
      <c r="H662" s="2"/>
      <c r="I662" s="2"/>
      <c r="J662" s="2"/>
      <c r="K662" s="2"/>
      <c r="L662" s="2"/>
      <c r="M662" s="2"/>
      <c r="N662" s="2"/>
      <c r="O662" s="2"/>
      <c r="P662" s="2"/>
      <c r="Q662" s="2"/>
      <c r="R662" s="2"/>
      <c r="S662" s="2"/>
      <c r="T662" s="2"/>
      <c r="U662" s="2"/>
      <c r="V662" s="2"/>
      <c r="W662" s="2"/>
    </row>
    <row r="663">
      <c r="A663" s="2"/>
      <c r="B663" s="2"/>
      <c r="C663" s="2"/>
      <c r="D663" s="2"/>
      <c r="E663" s="2"/>
      <c r="F663" s="2"/>
      <c r="G663" s="2"/>
      <c r="H663" s="2"/>
      <c r="I663" s="2"/>
      <c r="J663" s="2"/>
      <c r="K663" s="2"/>
      <c r="L663" s="2"/>
      <c r="M663" s="2"/>
      <c r="N663" s="2"/>
      <c r="O663" s="2"/>
      <c r="P663" s="2"/>
      <c r="Q663" s="2"/>
      <c r="R663" s="2"/>
      <c r="S663" s="2"/>
      <c r="T663" s="2"/>
      <c r="U663" s="2"/>
      <c r="V663" s="2"/>
      <c r="W663" s="2"/>
    </row>
    <row r="664">
      <c r="A664" s="2"/>
      <c r="B664" s="2"/>
      <c r="C664" s="2"/>
      <c r="D664" s="2"/>
      <c r="E664" s="2"/>
      <c r="F664" s="2"/>
      <c r="G664" s="2"/>
      <c r="H664" s="2"/>
      <c r="I664" s="2"/>
      <c r="J664" s="2"/>
      <c r="K664" s="2"/>
      <c r="L664" s="2"/>
      <c r="M664" s="2"/>
      <c r="N664" s="2"/>
      <c r="O664" s="2"/>
      <c r="P664" s="2"/>
      <c r="Q664" s="2"/>
      <c r="R664" s="2"/>
      <c r="S664" s="2"/>
      <c r="T664" s="2"/>
      <c r="U664" s="2"/>
      <c r="V664" s="2"/>
      <c r="W664" s="2"/>
    </row>
    <row r="665">
      <c r="A665" s="2"/>
      <c r="B665" s="2"/>
      <c r="C665" s="2"/>
      <c r="D665" s="2"/>
      <c r="E665" s="2"/>
      <c r="F665" s="2"/>
      <c r="G665" s="2"/>
      <c r="H665" s="2"/>
      <c r="I665" s="2"/>
      <c r="J665" s="2"/>
      <c r="K665" s="2"/>
      <c r="L665" s="2"/>
      <c r="M665" s="2"/>
      <c r="N665" s="2"/>
      <c r="O665" s="2"/>
      <c r="P665" s="2"/>
      <c r="Q665" s="2"/>
      <c r="R665" s="2"/>
      <c r="S665" s="2"/>
      <c r="T665" s="2"/>
      <c r="U665" s="2"/>
      <c r="V665" s="2"/>
      <c r="W665" s="2"/>
    </row>
    <row r="666">
      <c r="A666" s="2"/>
      <c r="B666" s="2"/>
      <c r="C666" s="2"/>
      <c r="D666" s="2"/>
      <c r="E666" s="2"/>
      <c r="F666" s="2"/>
      <c r="G666" s="2"/>
      <c r="H666" s="2"/>
      <c r="I666" s="2"/>
      <c r="J666" s="2"/>
      <c r="K666" s="2"/>
      <c r="L666" s="2"/>
      <c r="M666" s="2"/>
      <c r="N666" s="2"/>
      <c r="O666" s="2"/>
      <c r="P666" s="2"/>
      <c r="Q666" s="2"/>
      <c r="R666" s="2"/>
      <c r="S666" s="2"/>
      <c r="T666" s="2"/>
      <c r="U666" s="2"/>
      <c r="V666" s="2"/>
      <c r="W666" s="2"/>
    </row>
    <row r="667">
      <c r="A667" s="2"/>
      <c r="B667" s="2"/>
      <c r="C667" s="2"/>
      <c r="D667" s="2"/>
      <c r="E667" s="2"/>
      <c r="F667" s="2"/>
      <c r="G667" s="2"/>
      <c r="H667" s="2"/>
      <c r="I667" s="2"/>
      <c r="J667" s="2"/>
      <c r="K667" s="2"/>
      <c r="L667" s="2"/>
      <c r="M667" s="2"/>
      <c r="N667" s="2"/>
      <c r="O667" s="2"/>
      <c r="P667" s="2"/>
      <c r="Q667" s="2"/>
      <c r="R667" s="2"/>
      <c r="S667" s="2"/>
      <c r="T667" s="2"/>
      <c r="U667" s="2"/>
      <c r="V667" s="2"/>
      <c r="W667" s="2"/>
    </row>
    <row r="668">
      <c r="A668" s="2"/>
      <c r="B668" s="2"/>
      <c r="C668" s="2"/>
      <c r="D668" s="2"/>
      <c r="E668" s="2"/>
      <c r="F668" s="2"/>
      <c r="G668" s="2"/>
      <c r="H668" s="2"/>
      <c r="I668" s="2"/>
      <c r="J668" s="2"/>
      <c r="K668" s="2"/>
      <c r="L668" s="2"/>
      <c r="M668" s="2"/>
      <c r="N668" s="2"/>
      <c r="O668" s="2"/>
      <c r="P668" s="2"/>
      <c r="Q668" s="2"/>
      <c r="R668" s="2"/>
      <c r="S668" s="2"/>
      <c r="T668" s="2"/>
      <c r="U668" s="2"/>
      <c r="V668" s="2"/>
      <c r="W668" s="2"/>
    </row>
    <row r="669">
      <c r="A669" s="2"/>
      <c r="B669" s="2"/>
      <c r="C669" s="2"/>
      <c r="D669" s="2"/>
      <c r="E669" s="2"/>
      <c r="F669" s="2"/>
      <c r="G669" s="2"/>
      <c r="H669" s="2"/>
      <c r="I669" s="2"/>
      <c r="J669" s="2"/>
      <c r="K669" s="2"/>
      <c r="L669" s="2"/>
      <c r="M669" s="2"/>
      <c r="N669" s="2"/>
      <c r="O669" s="2"/>
      <c r="P669" s="2"/>
      <c r="Q669" s="2"/>
      <c r="R669" s="2"/>
      <c r="S669" s="2"/>
      <c r="T669" s="2"/>
      <c r="U669" s="2"/>
      <c r="V669" s="2"/>
      <c r="W669" s="2"/>
    </row>
    <row r="670">
      <c r="A670" s="2"/>
      <c r="B670" s="2"/>
      <c r="C670" s="2"/>
      <c r="D670" s="2"/>
      <c r="E670" s="2"/>
      <c r="F670" s="2"/>
      <c r="G670" s="2"/>
      <c r="H670" s="2"/>
      <c r="I670" s="2"/>
      <c r="J670" s="2"/>
      <c r="K670" s="2"/>
      <c r="L670" s="2"/>
      <c r="M670" s="2"/>
      <c r="N670" s="2"/>
      <c r="O670" s="2"/>
      <c r="P670" s="2"/>
      <c r="Q670" s="2"/>
      <c r="R670" s="2"/>
      <c r="S670" s="2"/>
      <c r="T670" s="2"/>
      <c r="U670" s="2"/>
      <c r="V670" s="2"/>
      <c r="W670" s="2"/>
    </row>
    <row r="671">
      <c r="A671" s="2"/>
      <c r="B671" s="2"/>
      <c r="C671" s="2"/>
      <c r="D671" s="2"/>
      <c r="E671" s="2"/>
      <c r="F671" s="2"/>
      <c r="G671" s="2"/>
      <c r="H671" s="2"/>
      <c r="I671" s="2"/>
      <c r="J671" s="2"/>
      <c r="K671" s="2"/>
      <c r="L671" s="2"/>
      <c r="M671" s="2"/>
      <c r="N671" s="2"/>
      <c r="O671" s="2"/>
      <c r="P671" s="2"/>
      <c r="Q671" s="2"/>
      <c r="R671" s="2"/>
      <c r="S671" s="2"/>
      <c r="T671" s="2"/>
      <c r="U671" s="2"/>
      <c r="V671" s="2"/>
      <c r="W671" s="2"/>
    </row>
    <row r="672">
      <c r="A672" s="2"/>
      <c r="B672" s="2"/>
      <c r="C672" s="2"/>
      <c r="D672" s="2"/>
      <c r="E672" s="2"/>
      <c r="F672" s="2"/>
      <c r="G672" s="2"/>
      <c r="H672" s="2"/>
      <c r="I672" s="2"/>
      <c r="J672" s="2"/>
      <c r="K672" s="2"/>
      <c r="L672" s="2"/>
      <c r="M672" s="2"/>
      <c r="N672" s="2"/>
      <c r="O672" s="2"/>
      <c r="P672" s="2"/>
      <c r="Q672" s="2"/>
      <c r="R672" s="2"/>
      <c r="S672" s="2"/>
      <c r="T672" s="2"/>
      <c r="U672" s="2"/>
      <c r="V672" s="2"/>
      <c r="W672" s="2"/>
    </row>
    <row r="673">
      <c r="A673" s="2"/>
      <c r="B673" s="2"/>
      <c r="C673" s="2"/>
      <c r="D673" s="2"/>
      <c r="E673" s="2"/>
      <c r="F673" s="2"/>
      <c r="G673" s="2"/>
      <c r="H673" s="2"/>
      <c r="I673" s="2"/>
      <c r="J673" s="2"/>
      <c r="K673" s="2"/>
      <c r="L673" s="2"/>
      <c r="M673" s="2"/>
      <c r="N673" s="2"/>
      <c r="O673" s="2"/>
      <c r="P673" s="2"/>
      <c r="Q673" s="2"/>
      <c r="R673" s="2"/>
      <c r="S673" s="2"/>
      <c r="T673" s="2"/>
      <c r="U673" s="2"/>
      <c r="V673" s="2"/>
      <c r="W673" s="2"/>
    </row>
    <row r="674">
      <c r="A674" s="2"/>
      <c r="B674" s="2"/>
      <c r="C674" s="2"/>
      <c r="D674" s="2"/>
      <c r="E674" s="2"/>
      <c r="F674" s="2"/>
      <c r="G674" s="2"/>
      <c r="H674" s="2"/>
      <c r="I674" s="2"/>
      <c r="J674" s="2"/>
      <c r="K674" s="2"/>
      <c r="L674" s="2"/>
      <c r="M674" s="2"/>
      <c r="N674" s="2"/>
      <c r="O674" s="2"/>
      <c r="P674" s="2"/>
      <c r="Q674" s="2"/>
      <c r="R674" s="2"/>
      <c r="S674" s="2"/>
      <c r="T674" s="2"/>
      <c r="U674" s="2"/>
      <c r="V674" s="2"/>
      <c r="W674" s="2"/>
    </row>
    <row r="675">
      <c r="A675" s="2"/>
      <c r="B675" s="2"/>
      <c r="C675" s="2"/>
      <c r="D675" s="2"/>
      <c r="E675" s="2"/>
      <c r="F675" s="2"/>
      <c r="G675" s="2"/>
      <c r="H675" s="2"/>
      <c r="I675" s="2"/>
      <c r="J675" s="2"/>
      <c r="K675" s="2"/>
      <c r="L675" s="2"/>
      <c r="M675" s="2"/>
      <c r="N675" s="2"/>
      <c r="O675" s="2"/>
      <c r="P675" s="2"/>
      <c r="Q675" s="2"/>
      <c r="R675" s="2"/>
      <c r="S675" s="2"/>
      <c r="T675" s="2"/>
      <c r="U675" s="2"/>
      <c r="V675" s="2"/>
      <c r="W675" s="2"/>
    </row>
    <row r="676">
      <c r="A676" s="2"/>
      <c r="B676" s="2"/>
      <c r="C676" s="2"/>
      <c r="D676" s="2"/>
      <c r="E676" s="2"/>
      <c r="F676" s="2"/>
      <c r="G676" s="2"/>
      <c r="H676" s="2"/>
      <c r="I676" s="2"/>
      <c r="J676" s="2"/>
      <c r="K676" s="2"/>
      <c r="L676" s="2"/>
      <c r="M676" s="2"/>
      <c r="N676" s="2"/>
      <c r="O676" s="2"/>
      <c r="P676" s="2"/>
      <c r="Q676" s="2"/>
      <c r="R676" s="2"/>
      <c r="S676" s="2"/>
      <c r="T676" s="2"/>
      <c r="U676" s="2"/>
      <c r="V676" s="2"/>
      <c r="W676" s="2"/>
    </row>
    <row r="677">
      <c r="A677" s="2"/>
      <c r="B677" s="2"/>
      <c r="C677" s="2"/>
      <c r="D677" s="2"/>
      <c r="E677" s="2"/>
      <c r="F677" s="2"/>
      <c r="G677" s="2"/>
      <c r="H677" s="2"/>
      <c r="I677" s="2"/>
      <c r="J677" s="2"/>
      <c r="K677" s="2"/>
      <c r="L677" s="2"/>
      <c r="M677" s="2"/>
      <c r="N677" s="2"/>
      <c r="O677" s="2"/>
      <c r="P677" s="2"/>
      <c r="Q677" s="2"/>
      <c r="R677" s="2"/>
      <c r="S677" s="2"/>
      <c r="T677" s="2"/>
      <c r="U677" s="2"/>
      <c r="V677" s="2"/>
      <c r="W677" s="2"/>
    </row>
    <row r="678">
      <c r="A678" s="2"/>
      <c r="B678" s="2"/>
      <c r="C678" s="2"/>
      <c r="D678" s="2"/>
      <c r="E678" s="2"/>
      <c r="F678" s="2"/>
      <c r="G678" s="2"/>
      <c r="H678" s="2"/>
      <c r="I678" s="2"/>
      <c r="J678" s="2"/>
      <c r="K678" s="2"/>
      <c r="L678" s="2"/>
      <c r="M678" s="2"/>
      <c r="N678" s="2"/>
      <c r="O678" s="2"/>
      <c r="P678" s="2"/>
      <c r="Q678" s="2"/>
      <c r="R678" s="2"/>
      <c r="S678" s="2"/>
      <c r="T678" s="2"/>
      <c r="U678" s="2"/>
      <c r="V678" s="2"/>
      <c r="W678" s="2"/>
    </row>
    <row r="679">
      <c r="A679" s="2"/>
      <c r="B679" s="2"/>
      <c r="C679" s="2"/>
      <c r="D679" s="2"/>
      <c r="E679" s="2"/>
      <c r="F679" s="2"/>
      <c r="G679" s="2"/>
      <c r="H679" s="2"/>
      <c r="I679" s="2"/>
      <c r="J679" s="2"/>
      <c r="K679" s="2"/>
      <c r="L679" s="2"/>
      <c r="M679" s="2"/>
      <c r="N679" s="2"/>
      <c r="O679" s="2"/>
      <c r="P679" s="2"/>
      <c r="Q679" s="2"/>
      <c r="R679" s="2"/>
      <c r="S679" s="2"/>
      <c r="T679" s="2"/>
      <c r="U679" s="2"/>
      <c r="V679" s="2"/>
      <c r="W679" s="2"/>
    </row>
    <row r="680">
      <c r="A680" s="2"/>
      <c r="B680" s="2"/>
      <c r="C680" s="2"/>
      <c r="D680" s="2"/>
      <c r="E680" s="2"/>
      <c r="F680" s="2"/>
      <c r="G680" s="2"/>
      <c r="H680" s="2"/>
      <c r="I680" s="2"/>
      <c r="J680" s="2"/>
      <c r="K680" s="2"/>
      <c r="L680" s="2"/>
      <c r="M680" s="2"/>
      <c r="N680" s="2"/>
      <c r="O680" s="2"/>
      <c r="P680" s="2"/>
      <c r="Q680" s="2"/>
      <c r="R680" s="2"/>
      <c r="S680" s="2"/>
      <c r="T680" s="2"/>
      <c r="U680" s="2"/>
      <c r="V680" s="2"/>
      <c r="W680" s="2"/>
    </row>
    <row r="681">
      <c r="A681" s="2"/>
      <c r="B681" s="2"/>
      <c r="C681" s="2"/>
      <c r="D681" s="2"/>
      <c r="E681" s="2"/>
      <c r="F681" s="2"/>
      <c r="G681" s="2"/>
      <c r="H681" s="2"/>
      <c r="I681" s="2"/>
      <c r="J681" s="2"/>
      <c r="K681" s="2"/>
      <c r="L681" s="2"/>
      <c r="M681" s="2"/>
      <c r="N681" s="2"/>
      <c r="O681" s="2"/>
      <c r="P681" s="2"/>
      <c r="Q681" s="2"/>
      <c r="R681" s="2"/>
      <c r="S681" s="2"/>
      <c r="T681" s="2"/>
      <c r="U681" s="2"/>
      <c r="V681" s="2"/>
      <c r="W681" s="2"/>
    </row>
    <row r="682">
      <c r="A682" s="2"/>
      <c r="B682" s="2"/>
      <c r="C682" s="2"/>
      <c r="D682" s="2"/>
      <c r="E682" s="2"/>
      <c r="F682" s="2"/>
      <c r="G682" s="2"/>
      <c r="H682" s="2"/>
      <c r="I682" s="2"/>
      <c r="J682" s="2"/>
      <c r="K682" s="2"/>
      <c r="L682" s="2"/>
      <c r="M682" s="2"/>
      <c r="N682" s="2"/>
      <c r="O682" s="2"/>
      <c r="P682" s="2"/>
      <c r="Q682" s="2"/>
      <c r="R682" s="2"/>
      <c r="S682" s="2"/>
      <c r="T682" s="2"/>
      <c r="U682" s="2"/>
      <c r="V682" s="2"/>
      <c r="W682" s="2"/>
    </row>
    <row r="683">
      <c r="A683" s="2"/>
      <c r="B683" s="2"/>
      <c r="C683" s="2"/>
      <c r="D683" s="2"/>
      <c r="E683" s="2"/>
      <c r="F683" s="2"/>
      <c r="G683" s="2"/>
      <c r="H683" s="2"/>
      <c r="I683" s="2"/>
      <c r="J683" s="2"/>
      <c r="K683" s="2"/>
      <c r="L683" s="2"/>
      <c r="M683" s="2"/>
      <c r="N683" s="2"/>
      <c r="O683" s="2"/>
      <c r="P683" s="2"/>
      <c r="Q683" s="2"/>
      <c r="R683" s="2"/>
      <c r="S683" s="2"/>
      <c r="T683" s="2"/>
      <c r="U683" s="2"/>
      <c r="V683" s="2"/>
      <c r="W683" s="2"/>
    </row>
    <row r="684">
      <c r="A684" s="2"/>
      <c r="B684" s="2"/>
      <c r="C684" s="2"/>
      <c r="D684" s="2"/>
      <c r="E684" s="2"/>
      <c r="F684" s="2"/>
      <c r="G684" s="2"/>
      <c r="H684" s="2"/>
      <c r="I684" s="2"/>
      <c r="J684" s="2"/>
      <c r="K684" s="2"/>
      <c r="L684" s="2"/>
      <c r="M684" s="2"/>
      <c r="N684" s="2"/>
      <c r="O684" s="2"/>
      <c r="P684" s="2"/>
      <c r="Q684" s="2"/>
      <c r="R684" s="2"/>
      <c r="S684" s="2"/>
      <c r="T684" s="2"/>
      <c r="U684" s="2"/>
      <c r="V684" s="2"/>
      <c r="W684" s="2"/>
    </row>
    <row r="685">
      <c r="A685" s="2"/>
      <c r="B685" s="2"/>
      <c r="C685" s="2"/>
      <c r="D685" s="2"/>
      <c r="E685" s="2"/>
      <c r="F685" s="2"/>
      <c r="G685" s="2"/>
      <c r="H685" s="2"/>
      <c r="I685" s="2"/>
      <c r="J685" s="2"/>
      <c r="K685" s="2"/>
      <c r="L685" s="2"/>
      <c r="M685" s="2"/>
      <c r="N685" s="2"/>
      <c r="O685" s="2"/>
      <c r="P685" s="2"/>
      <c r="Q685" s="2"/>
      <c r="R685" s="2"/>
      <c r="S685" s="2"/>
      <c r="T685" s="2"/>
      <c r="U685" s="2"/>
      <c r="V685" s="2"/>
      <c r="W685" s="2"/>
    </row>
    <row r="686">
      <c r="A686" s="2"/>
      <c r="B686" s="2"/>
      <c r="C686" s="2"/>
      <c r="D686" s="2"/>
      <c r="E686" s="2"/>
      <c r="F686" s="2"/>
      <c r="G686" s="2"/>
      <c r="H686" s="2"/>
      <c r="I686" s="2"/>
      <c r="J686" s="2"/>
      <c r="K686" s="2"/>
      <c r="L686" s="2"/>
      <c r="M686" s="2"/>
      <c r="N686" s="2"/>
      <c r="O686" s="2"/>
      <c r="P686" s="2"/>
      <c r="Q686" s="2"/>
      <c r="R686" s="2"/>
      <c r="S686" s="2"/>
      <c r="T686" s="2"/>
      <c r="U686" s="2"/>
      <c r="V686" s="2"/>
      <c r="W686" s="2"/>
    </row>
    <row r="687">
      <c r="A687" s="2"/>
      <c r="B687" s="2"/>
      <c r="C687" s="2"/>
      <c r="D687" s="2"/>
      <c r="E687" s="2"/>
      <c r="F687" s="2"/>
      <c r="G687" s="2"/>
      <c r="H687" s="2"/>
      <c r="I687" s="2"/>
      <c r="J687" s="2"/>
      <c r="K687" s="2"/>
      <c r="L687" s="2"/>
      <c r="M687" s="2"/>
      <c r="N687" s="2"/>
      <c r="O687" s="2"/>
      <c r="P687" s="2"/>
      <c r="Q687" s="2"/>
      <c r="R687" s="2"/>
      <c r="S687" s="2"/>
      <c r="T687" s="2"/>
      <c r="U687" s="2"/>
      <c r="V687" s="2"/>
      <c r="W687" s="2"/>
    </row>
    <row r="688">
      <c r="A688" s="2"/>
      <c r="B688" s="2"/>
      <c r="C688" s="2"/>
      <c r="D688" s="2"/>
      <c r="E688" s="2"/>
      <c r="F688" s="2"/>
      <c r="G688" s="2"/>
      <c r="H688" s="2"/>
      <c r="I688" s="2"/>
      <c r="J688" s="2"/>
      <c r="K688" s="2"/>
      <c r="L688" s="2"/>
      <c r="M688" s="2"/>
      <c r="N688" s="2"/>
      <c r="O688" s="2"/>
      <c r="P688" s="2"/>
      <c r="Q688" s="2"/>
      <c r="R688" s="2"/>
      <c r="S688" s="2"/>
      <c r="T688" s="2"/>
      <c r="U688" s="2"/>
      <c r="V688" s="2"/>
      <c r="W688" s="2"/>
    </row>
    <row r="689">
      <c r="A689" s="2"/>
      <c r="B689" s="2"/>
      <c r="C689" s="2"/>
      <c r="D689" s="2"/>
      <c r="E689" s="2"/>
      <c r="F689" s="2"/>
      <c r="G689" s="2"/>
      <c r="H689" s="2"/>
      <c r="I689" s="2"/>
      <c r="J689" s="2"/>
      <c r="K689" s="2"/>
      <c r="L689" s="2"/>
      <c r="M689" s="2"/>
      <c r="N689" s="2"/>
      <c r="O689" s="2"/>
      <c r="P689" s="2"/>
      <c r="Q689" s="2"/>
      <c r="R689" s="2"/>
      <c r="S689" s="2"/>
      <c r="T689" s="2"/>
      <c r="U689" s="2"/>
      <c r="V689" s="2"/>
      <c r="W689" s="2"/>
    </row>
    <row r="690">
      <c r="A690" s="2"/>
      <c r="B690" s="2"/>
      <c r="C690" s="2"/>
      <c r="D690" s="2"/>
      <c r="E690" s="2"/>
      <c r="F690" s="2"/>
      <c r="G690" s="2"/>
      <c r="H690" s="2"/>
      <c r="I690" s="2"/>
      <c r="J690" s="2"/>
      <c r="K690" s="2"/>
      <c r="L690" s="2"/>
      <c r="M690" s="2"/>
      <c r="N690" s="2"/>
      <c r="O690" s="2"/>
      <c r="P690" s="2"/>
      <c r="Q690" s="2"/>
      <c r="R690" s="2"/>
      <c r="S690" s="2"/>
      <c r="T690" s="2"/>
      <c r="U690" s="2"/>
      <c r="V690" s="2"/>
      <c r="W690" s="2"/>
    </row>
    <row r="691">
      <c r="A691" s="2"/>
      <c r="B691" s="2"/>
      <c r="C691" s="2"/>
      <c r="D691" s="2"/>
      <c r="E691" s="2"/>
      <c r="F691" s="2"/>
      <c r="G691" s="2"/>
      <c r="H691" s="2"/>
      <c r="I691" s="2"/>
      <c r="J691" s="2"/>
      <c r="K691" s="2"/>
      <c r="L691" s="2"/>
      <c r="M691" s="2"/>
      <c r="N691" s="2"/>
      <c r="O691" s="2"/>
      <c r="P691" s="2"/>
      <c r="Q691" s="2"/>
      <c r="R691" s="2"/>
      <c r="S691" s="2"/>
      <c r="T691" s="2"/>
      <c r="U691" s="2"/>
      <c r="V691" s="2"/>
      <c r="W691" s="2"/>
    </row>
    <row r="692">
      <c r="A692" s="2"/>
      <c r="B692" s="2"/>
      <c r="C692" s="2"/>
      <c r="D692" s="2"/>
      <c r="E692" s="2"/>
      <c r="F692" s="2"/>
      <c r="G692" s="2"/>
      <c r="H692" s="2"/>
      <c r="I692" s="2"/>
      <c r="J692" s="2"/>
      <c r="K692" s="2"/>
      <c r="L692" s="2"/>
      <c r="M692" s="2"/>
      <c r="N692" s="2"/>
      <c r="O692" s="2"/>
      <c r="P692" s="2"/>
      <c r="Q692" s="2"/>
      <c r="R692" s="2"/>
      <c r="S692" s="2"/>
      <c r="T692" s="2"/>
      <c r="U692" s="2"/>
      <c r="V692" s="2"/>
      <c r="W692" s="2"/>
    </row>
    <row r="693">
      <c r="A693" s="2"/>
      <c r="B693" s="2"/>
      <c r="C693" s="2"/>
      <c r="D693" s="2"/>
      <c r="E693" s="2"/>
      <c r="F693" s="2"/>
      <c r="G693" s="2"/>
      <c r="H693" s="2"/>
      <c r="I693" s="2"/>
      <c r="J693" s="2"/>
      <c r="K693" s="2"/>
      <c r="L693" s="2"/>
      <c r="M693" s="2"/>
      <c r="N693" s="2"/>
      <c r="O693" s="2"/>
      <c r="P693" s="2"/>
      <c r="Q693" s="2"/>
      <c r="R693" s="2"/>
      <c r="S693" s="2"/>
      <c r="T693" s="2"/>
      <c r="U693" s="2"/>
      <c r="V693" s="2"/>
      <c r="W693" s="2"/>
    </row>
    <row r="694">
      <c r="A694" s="2"/>
      <c r="B694" s="2"/>
      <c r="C694" s="2"/>
      <c r="D694" s="2"/>
      <c r="E694" s="2"/>
      <c r="F694" s="2"/>
      <c r="G694" s="2"/>
      <c r="H694" s="2"/>
      <c r="I694" s="2"/>
      <c r="J694" s="2"/>
      <c r="K694" s="2"/>
      <c r="L694" s="2"/>
      <c r="M694" s="2"/>
      <c r="N694" s="2"/>
      <c r="O694" s="2"/>
      <c r="P694" s="2"/>
      <c r="Q694" s="2"/>
      <c r="R694" s="2"/>
      <c r="S694" s="2"/>
      <c r="T694" s="2"/>
      <c r="U694" s="2"/>
      <c r="V694" s="2"/>
      <c r="W694" s="2"/>
    </row>
    <row r="695">
      <c r="A695" s="2"/>
      <c r="B695" s="2"/>
      <c r="C695" s="2"/>
      <c r="D695" s="2"/>
      <c r="E695" s="2"/>
      <c r="F695" s="2"/>
      <c r="G695" s="2"/>
      <c r="H695" s="2"/>
      <c r="I695" s="2"/>
      <c r="J695" s="2"/>
      <c r="K695" s="2"/>
      <c r="L695" s="2"/>
      <c r="M695" s="2"/>
      <c r="N695" s="2"/>
      <c r="O695" s="2"/>
      <c r="P695" s="2"/>
      <c r="Q695" s="2"/>
      <c r="R695" s="2"/>
      <c r="S695" s="2"/>
      <c r="T695" s="2"/>
      <c r="U695" s="2"/>
      <c r="V695" s="2"/>
      <c r="W695" s="2"/>
    </row>
    <row r="696">
      <c r="A696" s="2"/>
      <c r="B696" s="2"/>
      <c r="C696" s="2"/>
      <c r="D696" s="2"/>
      <c r="E696" s="2"/>
      <c r="F696" s="2"/>
      <c r="G696" s="2"/>
      <c r="H696" s="2"/>
      <c r="I696" s="2"/>
      <c r="J696" s="2"/>
      <c r="K696" s="2"/>
      <c r="L696" s="2"/>
      <c r="M696" s="2"/>
      <c r="N696" s="2"/>
      <c r="O696" s="2"/>
      <c r="P696" s="2"/>
      <c r="Q696" s="2"/>
      <c r="R696" s="2"/>
      <c r="S696" s="2"/>
      <c r="T696" s="2"/>
      <c r="U696" s="2"/>
      <c r="V696" s="2"/>
      <c r="W696" s="2"/>
    </row>
    <row r="697">
      <c r="A697" s="2"/>
      <c r="B697" s="2"/>
      <c r="C697" s="2"/>
      <c r="D697" s="2"/>
      <c r="E697" s="2"/>
      <c r="F697" s="2"/>
      <c r="G697" s="2"/>
      <c r="H697" s="2"/>
      <c r="I697" s="2"/>
      <c r="J697" s="2"/>
      <c r="K697" s="2"/>
      <c r="L697" s="2"/>
      <c r="M697" s="2"/>
      <c r="N697" s="2"/>
      <c r="O697" s="2"/>
      <c r="P697" s="2"/>
      <c r="Q697" s="2"/>
      <c r="R697" s="2"/>
      <c r="S697" s="2"/>
      <c r="T697" s="2"/>
      <c r="U697" s="2"/>
      <c r="V697" s="2"/>
      <c r="W697" s="2"/>
    </row>
    <row r="698">
      <c r="A698" s="2"/>
      <c r="B698" s="2"/>
      <c r="C698" s="2"/>
      <c r="D698" s="2"/>
      <c r="E698" s="2"/>
      <c r="F698" s="2"/>
      <c r="G698" s="2"/>
      <c r="H698" s="2"/>
      <c r="I698" s="2"/>
      <c r="J698" s="2"/>
      <c r="K698" s="2"/>
      <c r="L698" s="2"/>
      <c r="M698" s="2"/>
      <c r="N698" s="2"/>
      <c r="O698" s="2"/>
      <c r="P698" s="2"/>
      <c r="Q698" s="2"/>
      <c r="R698" s="2"/>
      <c r="S698" s="2"/>
      <c r="T698" s="2"/>
      <c r="U698" s="2"/>
      <c r="V698" s="2"/>
      <c r="W698" s="2"/>
    </row>
    <row r="699">
      <c r="A699" s="2"/>
      <c r="B699" s="2"/>
      <c r="C699" s="2"/>
      <c r="D699" s="2"/>
      <c r="E699" s="2"/>
      <c r="F699" s="2"/>
      <c r="G699" s="2"/>
      <c r="H699" s="2"/>
      <c r="I699" s="2"/>
      <c r="J699" s="2"/>
      <c r="K699" s="2"/>
      <c r="L699" s="2"/>
      <c r="M699" s="2"/>
      <c r="N699" s="2"/>
      <c r="O699" s="2"/>
      <c r="P699" s="2"/>
      <c r="Q699" s="2"/>
      <c r="R699" s="2"/>
      <c r="S699" s="2"/>
      <c r="T699" s="2"/>
      <c r="U699" s="2"/>
      <c r="V699" s="2"/>
      <c r="W699" s="2"/>
    </row>
    <row r="700">
      <c r="A700" s="2"/>
      <c r="B700" s="2"/>
      <c r="C700" s="2"/>
      <c r="D700" s="2"/>
      <c r="E700" s="2"/>
      <c r="F700" s="2"/>
      <c r="G700" s="2"/>
      <c r="H700" s="2"/>
      <c r="I700" s="2"/>
      <c r="J700" s="2"/>
      <c r="K700" s="2"/>
      <c r="L700" s="2"/>
      <c r="M700" s="2"/>
      <c r="N700" s="2"/>
      <c r="O700" s="2"/>
      <c r="P700" s="2"/>
      <c r="Q700" s="2"/>
      <c r="R700" s="2"/>
      <c r="S700" s="2"/>
      <c r="T700" s="2"/>
      <c r="U700" s="2"/>
      <c r="V700" s="2"/>
      <c r="W700" s="2"/>
    </row>
    <row r="701">
      <c r="A701" s="2"/>
      <c r="B701" s="2"/>
      <c r="C701" s="2"/>
      <c r="D701" s="2"/>
      <c r="E701" s="2"/>
      <c r="F701" s="2"/>
      <c r="G701" s="2"/>
      <c r="H701" s="2"/>
      <c r="I701" s="2"/>
      <c r="J701" s="2"/>
      <c r="K701" s="2"/>
      <c r="L701" s="2"/>
      <c r="M701" s="2"/>
      <c r="N701" s="2"/>
      <c r="O701" s="2"/>
      <c r="P701" s="2"/>
      <c r="Q701" s="2"/>
      <c r="R701" s="2"/>
      <c r="S701" s="2"/>
      <c r="T701" s="2"/>
      <c r="U701" s="2"/>
      <c r="V701" s="2"/>
      <c r="W701" s="2"/>
    </row>
    <row r="702">
      <c r="A702" s="2"/>
      <c r="B702" s="2"/>
      <c r="C702" s="2"/>
      <c r="D702" s="2"/>
      <c r="E702" s="2"/>
      <c r="F702" s="2"/>
      <c r="G702" s="2"/>
      <c r="H702" s="2"/>
      <c r="I702" s="2"/>
      <c r="J702" s="2"/>
      <c r="K702" s="2"/>
      <c r="L702" s="2"/>
      <c r="M702" s="2"/>
      <c r="N702" s="2"/>
      <c r="O702" s="2"/>
      <c r="P702" s="2"/>
      <c r="Q702" s="2"/>
      <c r="R702" s="2"/>
      <c r="S702" s="2"/>
      <c r="T702" s="2"/>
      <c r="U702" s="2"/>
      <c r="V702" s="2"/>
      <c r="W702" s="2"/>
    </row>
    <row r="703">
      <c r="A703" s="2"/>
      <c r="B703" s="2"/>
      <c r="C703" s="2"/>
      <c r="D703" s="2"/>
      <c r="E703" s="2"/>
      <c r="F703" s="2"/>
      <c r="G703" s="2"/>
      <c r="H703" s="2"/>
      <c r="I703" s="2"/>
      <c r="J703" s="2"/>
      <c r="K703" s="2"/>
      <c r="L703" s="2"/>
      <c r="M703" s="2"/>
      <c r="N703" s="2"/>
      <c r="O703" s="2"/>
      <c r="P703" s="2"/>
      <c r="Q703" s="2"/>
      <c r="R703" s="2"/>
      <c r="S703" s="2"/>
      <c r="T703" s="2"/>
      <c r="U703" s="2"/>
      <c r="V703" s="2"/>
      <c r="W703" s="2"/>
    </row>
    <row r="704">
      <c r="A704" s="2"/>
      <c r="B704" s="2"/>
      <c r="C704" s="2"/>
      <c r="D704" s="2"/>
      <c r="E704" s="2"/>
      <c r="F704" s="2"/>
      <c r="G704" s="2"/>
      <c r="H704" s="2"/>
      <c r="I704" s="2"/>
      <c r="J704" s="2"/>
      <c r="K704" s="2"/>
      <c r="L704" s="2"/>
      <c r="M704" s="2"/>
      <c r="N704" s="2"/>
      <c r="O704" s="2"/>
      <c r="P704" s="2"/>
      <c r="Q704" s="2"/>
      <c r="R704" s="2"/>
      <c r="S704" s="2"/>
      <c r="T704" s="2"/>
      <c r="U704" s="2"/>
      <c r="V704" s="2"/>
      <c r="W704" s="2"/>
    </row>
    <row r="705">
      <c r="A705" s="2"/>
      <c r="B705" s="2"/>
      <c r="C705" s="2"/>
      <c r="D705" s="2"/>
      <c r="E705" s="2"/>
      <c r="F705" s="2"/>
      <c r="G705" s="2"/>
      <c r="H705" s="2"/>
      <c r="I705" s="2"/>
      <c r="J705" s="2"/>
      <c r="K705" s="2"/>
      <c r="L705" s="2"/>
      <c r="M705" s="2"/>
      <c r="N705" s="2"/>
      <c r="O705" s="2"/>
      <c r="P705" s="2"/>
      <c r="Q705" s="2"/>
      <c r="R705" s="2"/>
      <c r="S705" s="2"/>
      <c r="T705" s="2"/>
      <c r="U705" s="2"/>
      <c r="V705" s="2"/>
      <c r="W705" s="2"/>
    </row>
    <row r="706">
      <c r="A706" s="2"/>
      <c r="B706" s="2"/>
      <c r="C706" s="2"/>
      <c r="D706" s="2"/>
      <c r="E706" s="2"/>
      <c r="F706" s="2"/>
      <c r="G706" s="2"/>
      <c r="H706" s="2"/>
      <c r="I706" s="2"/>
      <c r="J706" s="2"/>
      <c r="K706" s="2"/>
      <c r="L706" s="2"/>
      <c r="M706" s="2"/>
      <c r="N706" s="2"/>
      <c r="O706" s="2"/>
      <c r="P706" s="2"/>
      <c r="Q706" s="2"/>
      <c r="R706" s="2"/>
      <c r="S706" s="2"/>
      <c r="T706" s="2"/>
      <c r="U706" s="2"/>
      <c r="V706" s="2"/>
      <c r="W706" s="2"/>
    </row>
    <row r="707">
      <c r="A707" s="2"/>
      <c r="B707" s="2"/>
      <c r="C707" s="2"/>
      <c r="D707" s="2"/>
      <c r="E707" s="2"/>
      <c r="F707" s="2"/>
      <c r="G707" s="2"/>
      <c r="H707" s="2"/>
      <c r="I707" s="2"/>
      <c r="J707" s="2"/>
      <c r="K707" s="2"/>
      <c r="L707" s="2"/>
      <c r="M707" s="2"/>
      <c r="N707" s="2"/>
      <c r="O707" s="2"/>
      <c r="P707" s="2"/>
      <c r="Q707" s="2"/>
      <c r="R707" s="2"/>
      <c r="S707" s="2"/>
      <c r="T707" s="2"/>
      <c r="U707" s="2"/>
      <c r="V707" s="2"/>
      <c r="W707" s="2"/>
    </row>
    <row r="708">
      <c r="A708" s="2"/>
      <c r="B708" s="2"/>
      <c r="C708" s="2"/>
      <c r="D708" s="2"/>
      <c r="E708" s="2"/>
      <c r="F708" s="2"/>
      <c r="G708" s="2"/>
      <c r="H708" s="2"/>
      <c r="I708" s="2"/>
      <c r="J708" s="2"/>
      <c r="K708" s="2"/>
      <c r="L708" s="2"/>
      <c r="M708" s="2"/>
      <c r="N708" s="2"/>
      <c r="O708" s="2"/>
      <c r="P708" s="2"/>
      <c r="Q708" s="2"/>
      <c r="R708" s="2"/>
      <c r="S708" s="2"/>
      <c r="T708" s="2"/>
      <c r="U708" s="2"/>
      <c r="V708" s="2"/>
      <c r="W708" s="2"/>
    </row>
    <row r="709">
      <c r="A709" s="2"/>
      <c r="B709" s="2"/>
      <c r="C709" s="2"/>
      <c r="D709" s="2"/>
      <c r="E709" s="2"/>
      <c r="F709" s="2"/>
      <c r="G709" s="2"/>
      <c r="H709" s="2"/>
      <c r="I709" s="2"/>
      <c r="J709" s="2"/>
      <c r="K709" s="2"/>
      <c r="L709" s="2"/>
      <c r="M709" s="2"/>
      <c r="N709" s="2"/>
      <c r="O709" s="2"/>
      <c r="P709" s="2"/>
      <c r="Q709" s="2"/>
      <c r="R709" s="2"/>
      <c r="S709" s="2"/>
      <c r="T709" s="2"/>
      <c r="U709" s="2"/>
      <c r="V709" s="2"/>
      <c r="W709" s="2"/>
    </row>
    <row r="710">
      <c r="A710" s="2"/>
      <c r="B710" s="2"/>
      <c r="C710" s="2"/>
      <c r="D710" s="2"/>
      <c r="E710" s="2"/>
      <c r="F710" s="2"/>
      <c r="G710" s="2"/>
      <c r="H710" s="2"/>
      <c r="I710" s="2"/>
      <c r="J710" s="2"/>
      <c r="K710" s="2"/>
      <c r="L710" s="2"/>
      <c r="M710" s="2"/>
      <c r="N710" s="2"/>
      <c r="O710" s="2"/>
      <c r="P710" s="2"/>
      <c r="Q710" s="2"/>
      <c r="R710" s="2"/>
      <c r="S710" s="2"/>
      <c r="T710" s="2"/>
      <c r="U710" s="2"/>
      <c r="V710" s="2"/>
      <c r="W710" s="2"/>
    </row>
    <row r="711">
      <c r="A711" s="2"/>
      <c r="B711" s="2"/>
      <c r="C711" s="2"/>
      <c r="D711" s="2"/>
      <c r="E711" s="2"/>
      <c r="F711" s="2"/>
      <c r="G711" s="2"/>
      <c r="H711" s="2"/>
      <c r="I711" s="2"/>
      <c r="J711" s="2"/>
      <c r="K711" s="2"/>
      <c r="L711" s="2"/>
      <c r="M711" s="2"/>
      <c r="N711" s="2"/>
      <c r="O711" s="2"/>
      <c r="P711" s="2"/>
      <c r="Q711" s="2"/>
      <c r="R711" s="2"/>
      <c r="S711" s="2"/>
      <c r="T711" s="2"/>
      <c r="U711" s="2"/>
      <c r="V711" s="2"/>
      <c r="W711" s="2"/>
    </row>
    <row r="712">
      <c r="A712" s="2"/>
      <c r="B712" s="2"/>
      <c r="C712" s="2"/>
      <c r="D712" s="2"/>
      <c r="E712" s="2"/>
      <c r="F712" s="2"/>
      <c r="G712" s="2"/>
      <c r="H712" s="2"/>
      <c r="I712" s="2"/>
      <c r="J712" s="2"/>
      <c r="K712" s="2"/>
      <c r="L712" s="2"/>
      <c r="M712" s="2"/>
      <c r="N712" s="2"/>
      <c r="O712" s="2"/>
      <c r="P712" s="2"/>
      <c r="Q712" s="2"/>
      <c r="R712" s="2"/>
      <c r="S712" s="2"/>
      <c r="T712" s="2"/>
      <c r="U712" s="2"/>
      <c r="V712" s="2"/>
      <c r="W712" s="2"/>
    </row>
    <row r="713">
      <c r="A713" s="2"/>
      <c r="B713" s="2"/>
      <c r="C713" s="2"/>
      <c r="D713" s="2"/>
      <c r="E713" s="2"/>
      <c r="F713" s="2"/>
      <c r="G713" s="2"/>
      <c r="H713" s="2"/>
      <c r="I713" s="2"/>
      <c r="J713" s="2"/>
      <c r="K713" s="2"/>
      <c r="L713" s="2"/>
      <c r="M713" s="2"/>
      <c r="N713" s="2"/>
      <c r="O713" s="2"/>
      <c r="P713" s="2"/>
      <c r="Q713" s="2"/>
      <c r="R713" s="2"/>
      <c r="S713" s="2"/>
      <c r="T713" s="2"/>
      <c r="U713" s="2"/>
      <c r="V713" s="2"/>
      <c r="W713" s="2"/>
    </row>
    <row r="714">
      <c r="A714" s="2"/>
      <c r="B714" s="2"/>
      <c r="C714" s="2"/>
      <c r="D714" s="2"/>
      <c r="E714" s="2"/>
      <c r="F714" s="2"/>
      <c r="G714" s="2"/>
      <c r="H714" s="2"/>
      <c r="I714" s="2"/>
      <c r="J714" s="2"/>
      <c r="K714" s="2"/>
      <c r="L714" s="2"/>
      <c r="M714" s="2"/>
      <c r="N714" s="2"/>
      <c r="O714" s="2"/>
      <c r="P714" s="2"/>
      <c r="Q714" s="2"/>
      <c r="R714" s="2"/>
      <c r="S714" s="2"/>
      <c r="T714" s="2"/>
      <c r="U714" s="2"/>
      <c r="V714" s="2"/>
      <c r="W714" s="2"/>
    </row>
    <row r="715">
      <c r="A715" s="2"/>
      <c r="B715" s="2"/>
      <c r="C715" s="2"/>
      <c r="D715" s="2"/>
      <c r="E715" s="2"/>
      <c r="F715" s="2"/>
      <c r="G715" s="2"/>
      <c r="H715" s="2"/>
      <c r="I715" s="2"/>
      <c r="J715" s="2"/>
      <c r="K715" s="2"/>
      <c r="L715" s="2"/>
      <c r="M715" s="2"/>
      <c r="N715" s="2"/>
      <c r="O715" s="2"/>
      <c r="P715" s="2"/>
      <c r="Q715" s="2"/>
      <c r="R715" s="2"/>
      <c r="S715" s="2"/>
      <c r="T715" s="2"/>
      <c r="U715" s="2"/>
      <c r="V715" s="2"/>
      <c r="W715" s="2"/>
    </row>
    <row r="716">
      <c r="A716" s="2"/>
      <c r="B716" s="2"/>
      <c r="C716" s="2"/>
      <c r="D716" s="2"/>
      <c r="E716" s="2"/>
      <c r="F716" s="2"/>
      <c r="G716" s="2"/>
      <c r="H716" s="2"/>
      <c r="I716" s="2"/>
      <c r="J716" s="2"/>
      <c r="K716" s="2"/>
      <c r="L716" s="2"/>
      <c r="M716" s="2"/>
      <c r="N716" s="2"/>
      <c r="O716" s="2"/>
      <c r="P716" s="2"/>
      <c r="Q716" s="2"/>
      <c r="R716" s="2"/>
      <c r="S716" s="2"/>
      <c r="T716" s="2"/>
      <c r="U716" s="2"/>
      <c r="V716" s="2"/>
      <c r="W716" s="2"/>
    </row>
    <row r="717">
      <c r="A717" s="2"/>
      <c r="B717" s="2"/>
      <c r="C717" s="2"/>
      <c r="D717" s="2"/>
      <c r="E717" s="2"/>
      <c r="F717" s="2"/>
      <c r="G717" s="2"/>
      <c r="H717" s="2"/>
      <c r="I717" s="2"/>
      <c r="J717" s="2"/>
      <c r="K717" s="2"/>
      <c r="L717" s="2"/>
      <c r="M717" s="2"/>
      <c r="N717" s="2"/>
      <c r="O717" s="2"/>
      <c r="P717" s="2"/>
      <c r="Q717" s="2"/>
      <c r="R717" s="2"/>
      <c r="S717" s="2"/>
      <c r="T717" s="2"/>
      <c r="U717" s="2"/>
      <c r="V717" s="2"/>
      <c r="W717" s="2"/>
    </row>
    <row r="718">
      <c r="A718" s="2"/>
      <c r="B718" s="2"/>
      <c r="C718" s="2"/>
      <c r="D718" s="2"/>
      <c r="E718" s="2"/>
      <c r="F718" s="2"/>
      <c r="G718" s="2"/>
      <c r="H718" s="2"/>
      <c r="I718" s="2"/>
      <c r="J718" s="2"/>
      <c r="K718" s="2"/>
      <c r="L718" s="2"/>
      <c r="M718" s="2"/>
      <c r="N718" s="2"/>
      <c r="O718" s="2"/>
      <c r="P718" s="2"/>
      <c r="Q718" s="2"/>
      <c r="R718" s="2"/>
      <c r="S718" s="2"/>
      <c r="T718" s="2"/>
      <c r="U718" s="2"/>
      <c r="V718" s="2"/>
      <c r="W718" s="2"/>
    </row>
    <row r="719">
      <c r="A719" s="2"/>
      <c r="B719" s="2"/>
      <c r="C719" s="2"/>
      <c r="D719" s="2"/>
      <c r="E719" s="2"/>
      <c r="F719" s="2"/>
      <c r="G719" s="2"/>
      <c r="H719" s="2"/>
      <c r="I719" s="2"/>
      <c r="J719" s="2"/>
      <c r="K719" s="2"/>
      <c r="L719" s="2"/>
      <c r="M719" s="2"/>
      <c r="N719" s="2"/>
      <c r="O719" s="2"/>
      <c r="P719" s="2"/>
      <c r="Q719" s="2"/>
      <c r="R719" s="2"/>
      <c r="S719" s="2"/>
      <c r="T719" s="2"/>
      <c r="U719" s="2"/>
      <c r="V719" s="2"/>
      <c r="W719" s="2"/>
    </row>
    <row r="720">
      <c r="A720" s="2"/>
      <c r="B720" s="2"/>
      <c r="C720" s="2"/>
      <c r="D720" s="2"/>
      <c r="E720" s="2"/>
      <c r="F720" s="2"/>
      <c r="G720" s="2"/>
      <c r="H720" s="2"/>
      <c r="I720" s="2"/>
      <c r="J720" s="2"/>
      <c r="K720" s="2"/>
      <c r="L720" s="2"/>
      <c r="M720" s="2"/>
      <c r="N720" s="2"/>
      <c r="O720" s="2"/>
      <c r="P720" s="2"/>
      <c r="Q720" s="2"/>
      <c r="R720" s="2"/>
      <c r="S720" s="2"/>
      <c r="T720" s="2"/>
      <c r="U720" s="2"/>
      <c r="V720" s="2"/>
      <c r="W720" s="2"/>
    </row>
    <row r="721">
      <c r="A721" s="2"/>
      <c r="B721" s="2"/>
      <c r="C721" s="2"/>
      <c r="D721" s="2"/>
      <c r="E721" s="2"/>
      <c r="F721" s="2"/>
      <c r="G721" s="2"/>
      <c r="H721" s="2"/>
      <c r="I721" s="2"/>
      <c r="J721" s="2"/>
      <c r="K721" s="2"/>
      <c r="L721" s="2"/>
      <c r="M721" s="2"/>
      <c r="N721" s="2"/>
      <c r="O721" s="2"/>
      <c r="P721" s="2"/>
      <c r="Q721" s="2"/>
      <c r="R721" s="2"/>
      <c r="S721" s="2"/>
      <c r="T721" s="2"/>
      <c r="U721" s="2"/>
      <c r="V721" s="2"/>
      <c r="W721" s="2"/>
    </row>
    <row r="722">
      <c r="A722" s="2"/>
      <c r="B722" s="2"/>
      <c r="C722" s="2"/>
      <c r="D722" s="2"/>
      <c r="E722" s="2"/>
      <c r="F722" s="2"/>
      <c r="G722" s="2"/>
      <c r="H722" s="2"/>
      <c r="I722" s="2"/>
      <c r="J722" s="2"/>
      <c r="K722" s="2"/>
      <c r="L722" s="2"/>
      <c r="M722" s="2"/>
      <c r="N722" s="2"/>
      <c r="O722" s="2"/>
      <c r="P722" s="2"/>
      <c r="Q722" s="2"/>
      <c r="R722" s="2"/>
      <c r="S722" s="2"/>
      <c r="T722" s="2"/>
      <c r="U722" s="2"/>
      <c r="V722" s="2"/>
      <c r="W722" s="2"/>
    </row>
    <row r="723">
      <c r="A723" s="2"/>
      <c r="B723" s="2"/>
      <c r="C723" s="2"/>
      <c r="D723" s="2"/>
      <c r="E723" s="2"/>
      <c r="F723" s="2"/>
      <c r="G723" s="2"/>
      <c r="H723" s="2"/>
      <c r="I723" s="2"/>
      <c r="J723" s="2"/>
      <c r="K723" s="2"/>
      <c r="L723" s="2"/>
      <c r="M723" s="2"/>
      <c r="N723" s="2"/>
      <c r="O723" s="2"/>
      <c r="P723" s="2"/>
      <c r="Q723" s="2"/>
      <c r="R723" s="2"/>
      <c r="S723" s="2"/>
      <c r="T723" s="2"/>
      <c r="U723" s="2"/>
      <c r="V723" s="2"/>
      <c r="W723" s="2"/>
    </row>
    <row r="724">
      <c r="A724" s="2"/>
      <c r="B724" s="2"/>
      <c r="C724" s="2"/>
      <c r="D724" s="2"/>
      <c r="E724" s="2"/>
      <c r="F724" s="2"/>
      <c r="G724" s="2"/>
      <c r="H724" s="2"/>
      <c r="I724" s="2"/>
      <c r="J724" s="2"/>
      <c r="K724" s="2"/>
      <c r="L724" s="2"/>
      <c r="M724" s="2"/>
      <c r="N724" s="2"/>
      <c r="O724" s="2"/>
      <c r="P724" s="2"/>
      <c r="Q724" s="2"/>
      <c r="R724" s="2"/>
      <c r="S724" s="2"/>
      <c r="T724" s="2"/>
      <c r="U724" s="2"/>
      <c r="V724" s="2"/>
      <c r="W724" s="2"/>
    </row>
    <row r="725">
      <c r="A725" s="2"/>
      <c r="B725" s="2"/>
      <c r="C725" s="2"/>
      <c r="D725" s="2"/>
      <c r="E725" s="2"/>
      <c r="F725" s="2"/>
      <c r="G725" s="2"/>
      <c r="H725" s="2"/>
      <c r="I725" s="2"/>
      <c r="J725" s="2"/>
      <c r="K725" s="2"/>
      <c r="L725" s="2"/>
      <c r="M725" s="2"/>
      <c r="N725" s="2"/>
      <c r="O725" s="2"/>
      <c r="P725" s="2"/>
      <c r="Q725" s="2"/>
      <c r="R725" s="2"/>
      <c r="S725" s="2"/>
      <c r="T725" s="2"/>
      <c r="U725" s="2"/>
      <c r="V725" s="2"/>
      <c r="W725" s="2"/>
    </row>
    <row r="726">
      <c r="A726" s="2"/>
      <c r="B726" s="2"/>
      <c r="C726" s="2"/>
      <c r="D726" s="2"/>
      <c r="E726" s="2"/>
      <c r="F726" s="2"/>
      <c r="G726" s="2"/>
      <c r="H726" s="2"/>
      <c r="I726" s="2"/>
      <c r="J726" s="2"/>
      <c r="K726" s="2"/>
      <c r="L726" s="2"/>
      <c r="M726" s="2"/>
      <c r="N726" s="2"/>
      <c r="O726" s="2"/>
      <c r="P726" s="2"/>
      <c r="Q726" s="2"/>
      <c r="R726" s="2"/>
      <c r="S726" s="2"/>
      <c r="T726" s="2"/>
      <c r="U726" s="2"/>
      <c r="V726" s="2"/>
      <c r="W726" s="2"/>
    </row>
    <row r="727">
      <c r="A727" s="2"/>
      <c r="B727" s="2"/>
      <c r="C727" s="2"/>
      <c r="D727" s="2"/>
      <c r="E727" s="2"/>
      <c r="F727" s="2"/>
      <c r="G727" s="2"/>
      <c r="H727" s="2"/>
      <c r="I727" s="2"/>
      <c r="J727" s="2"/>
      <c r="K727" s="2"/>
      <c r="L727" s="2"/>
      <c r="M727" s="2"/>
      <c r="N727" s="2"/>
      <c r="O727" s="2"/>
      <c r="P727" s="2"/>
      <c r="Q727" s="2"/>
      <c r="R727" s="2"/>
      <c r="S727" s="2"/>
      <c r="T727" s="2"/>
      <c r="U727" s="2"/>
      <c r="V727" s="2"/>
      <c r="W727" s="2"/>
    </row>
    <row r="728">
      <c r="A728" s="2"/>
      <c r="B728" s="2"/>
      <c r="C728" s="2"/>
      <c r="D728" s="2"/>
      <c r="E728" s="2"/>
      <c r="F728" s="2"/>
      <c r="G728" s="2"/>
      <c r="H728" s="2"/>
      <c r="I728" s="2"/>
      <c r="J728" s="2"/>
      <c r="K728" s="2"/>
      <c r="L728" s="2"/>
      <c r="M728" s="2"/>
      <c r="N728" s="2"/>
      <c r="O728" s="2"/>
      <c r="P728" s="2"/>
      <c r="Q728" s="2"/>
      <c r="R728" s="2"/>
      <c r="S728" s="2"/>
      <c r="T728" s="2"/>
      <c r="U728" s="2"/>
      <c r="V728" s="2"/>
      <c r="W728" s="2"/>
    </row>
    <row r="729">
      <c r="A729" s="2"/>
      <c r="B729" s="2"/>
      <c r="C729" s="2"/>
      <c r="D729" s="2"/>
      <c r="E729" s="2"/>
      <c r="F729" s="2"/>
      <c r="G729" s="2"/>
      <c r="H729" s="2"/>
      <c r="I729" s="2"/>
      <c r="J729" s="2"/>
      <c r="K729" s="2"/>
      <c r="L729" s="2"/>
      <c r="M729" s="2"/>
      <c r="N729" s="2"/>
      <c r="O729" s="2"/>
      <c r="P729" s="2"/>
      <c r="Q729" s="2"/>
      <c r="R729" s="2"/>
      <c r="S729" s="2"/>
      <c r="T729" s="2"/>
      <c r="U729" s="2"/>
      <c r="V729" s="2"/>
      <c r="W729" s="2"/>
    </row>
    <row r="730">
      <c r="A730" s="2"/>
      <c r="B730" s="2"/>
      <c r="C730" s="2"/>
      <c r="D730" s="2"/>
      <c r="E730" s="2"/>
      <c r="F730" s="2"/>
      <c r="G730" s="2"/>
      <c r="H730" s="2"/>
      <c r="I730" s="2"/>
      <c r="J730" s="2"/>
      <c r="K730" s="2"/>
      <c r="L730" s="2"/>
      <c r="M730" s="2"/>
      <c r="N730" s="2"/>
      <c r="O730" s="2"/>
      <c r="P730" s="2"/>
      <c r="Q730" s="2"/>
      <c r="R730" s="2"/>
      <c r="S730" s="2"/>
      <c r="T730" s="2"/>
      <c r="U730" s="2"/>
      <c r="V730" s="2"/>
      <c r="W730" s="2"/>
    </row>
    <row r="731">
      <c r="A731" s="2"/>
      <c r="B731" s="2"/>
      <c r="C731" s="2"/>
      <c r="D731" s="2"/>
      <c r="E731" s="2"/>
      <c r="F731" s="2"/>
      <c r="G731" s="2"/>
      <c r="H731" s="2"/>
      <c r="I731" s="2"/>
      <c r="J731" s="2"/>
      <c r="K731" s="2"/>
      <c r="L731" s="2"/>
      <c r="M731" s="2"/>
      <c r="N731" s="2"/>
      <c r="O731" s="2"/>
      <c r="P731" s="2"/>
      <c r="Q731" s="2"/>
      <c r="R731" s="2"/>
      <c r="S731" s="2"/>
      <c r="T731" s="2"/>
      <c r="U731" s="2"/>
      <c r="V731" s="2"/>
      <c r="W731" s="2"/>
    </row>
    <row r="732">
      <c r="A732" s="2"/>
      <c r="B732" s="2"/>
      <c r="C732" s="2"/>
      <c r="D732" s="2"/>
      <c r="E732" s="2"/>
      <c r="F732" s="2"/>
      <c r="G732" s="2"/>
      <c r="H732" s="2"/>
      <c r="I732" s="2"/>
      <c r="J732" s="2"/>
      <c r="K732" s="2"/>
      <c r="L732" s="2"/>
      <c r="M732" s="2"/>
      <c r="N732" s="2"/>
      <c r="O732" s="2"/>
      <c r="P732" s="2"/>
      <c r="Q732" s="2"/>
      <c r="R732" s="2"/>
      <c r="S732" s="2"/>
      <c r="T732" s="2"/>
      <c r="U732" s="2"/>
      <c r="V732" s="2"/>
      <c r="W732" s="2"/>
    </row>
    <row r="733">
      <c r="A733" s="2"/>
      <c r="B733" s="2"/>
      <c r="C733" s="2"/>
      <c r="D733" s="2"/>
      <c r="E733" s="2"/>
      <c r="F733" s="2"/>
      <c r="G733" s="2"/>
      <c r="H733" s="2"/>
      <c r="I733" s="2"/>
      <c r="J733" s="2"/>
      <c r="K733" s="2"/>
      <c r="L733" s="2"/>
      <c r="M733" s="2"/>
      <c r="N733" s="2"/>
      <c r="O733" s="2"/>
      <c r="P733" s="2"/>
      <c r="Q733" s="2"/>
      <c r="R733" s="2"/>
      <c r="S733" s="2"/>
      <c r="T733" s="2"/>
      <c r="U733" s="2"/>
      <c r="V733" s="2"/>
      <c r="W733" s="2"/>
    </row>
    <row r="734">
      <c r="A734" s="2"/>
      <c r="B734" s="2"/>
      <c r="C734" s="2"/>
      <c r="D734" s="2"/>
      <c r="E734" s="2"/>
      <c r="F734" s="2"/>
      <c r="G734" s="2"/>
      <c r="H734" s="2"/>
      <c r="I734" s="2"/>
      <c r="J734" s="2"/>
      <c r="K734" s="2"/>
      <c r="L734" s="2"/>
      <c r="M734" s="2"/>
      <c r="N734" s="2"/>
      <c r="O734" s="2"/>
      <c r="P734" s="2"/>
      <c r="Q734" s="2"/>
      <c r="R734" s="2"/>
      <c r="S734" s="2"/>
      <c r="T734" s="2"/>
      <c r="U734" s="2"/>
      <c r="V734" s="2"/>
      <c r="W734" s="2"/>
    </row>
    <row r="735">
      <c r="A735" s="2"/>
      <c r="B735" s="2"/>
      <c r="C735" s="2"/>
      <c r="D735" s="2"/>
      <c r="E735" s="2"/>
      <c r="F735" s="2"/>
      <c r="G735" s="2"/>
      <c r="H735" s="2"/>
      <c r="I735" s="2"/>
      <c r="J735" s="2"/>
      <c r="K735" s="2"/>
      <c r="L735" s="2"/>
      <c r="M735" s="2"/>
      <c r="N735" s="2"/>
      <c r="O735" s="2"/>
      <c r="P735" s="2"/>
      <c r="Q735" s="2"/>
      <c r="R735" s="2"/>
      <c r="S735" s="2"/>
      <c r="T735" s="2"/>
      <c r="U735" s="2"/>
      <c r="V735" s="2"/>
      <c r="W735" s="2"/>
    </row>
    <row r="736">
      <c r="A736" s="2"/>
      <c r="B736" s="2"/>
      <c r="C736" s="2"/>
      <c r="D736" s="2"/>
      <c r="E736" s="2"/>
      <c r="F736" s="2"/>
      <c r="G736" s="2"/>
      <c r="H736" s="2"/>
      <c r="I736" s="2"/>
      <c r="J736" s="2"/>
      <c r="K736" s="2"/>
      <c r="L736" s="2"/>
      <c r="M736" s="2"/>
      <c r="N736" s="2"/>
      <c r="O736" s="2"/>
      <c r="P736" s="2"/>
      <c r="Q736" s="2"/>
      <c r="R736" s="2"/>
      <c r="S736" s="2"/>
      <c r="T736" s="2"/>
      <c r="U736" s="2"/>
      <c r="V736" s="2"/>
      <c r="W736" s="2"/>
    </row>
    <row r="737">
      <c r="A737" s="2"/>
      <c r="B737" s="2"/>
      <c r="C737" s="2"/>
      <c r="D737" s="2"/>
      <c r="E737" s="2"/>
      <c r="F737" s="2"/>
      <c r="G737" s="2"/>
      <c r="H737" s="2"/>
      <c r="I737" s="2"/>
      <c r="J737" s="2"/>
      <c r="K737" s="2"/>
      <c r="L737" s="2"/>
      <c r="M737" s="2"/>
      <c r="N737" s="2"/>
      <c r="O737" s="2"/>
      <c r="P737" s="2"/>
      <c r="Q737" s="2"/>
      <c r="R737" s="2"/>
      <c r="S737" s="2"/>
      <c r="T737" s="2"/>
      <c r="U737" s="2"/>
      <c r="V737" s="2"/>
      <c r="W737" s="2"/>
    </row>
    <row r="738">
      <c r="A738" s="2"/>
      <c r="B738" s="2"/>
      <c r="C738" s="2"/>
      <c r="D738" s="2"/>
      <c r="E738" s="2"/>
      <c r="F738" s="2"/>
      <c r="G738" s="2"/>
      <c r="H738" s="2"/>
      <c r="I738" s="2"/>
      <c r="J738" s="2"/>
      <c r="K738" s="2"/>
      <c r="L738" s="2"/>
      <c r="M738" s="2"/>
      <c r="N738" s="2"/>
      <c r="O738" s="2"/>
      <c r="P738" s="2"/>
      <c r="Q738" s="2"/>
      <c r="R738" s="2"/>
      <c r="S738" s="2"/>
      <c r="T738" s="2"/>
      <c r="U738" s="2"/>
      <c r="V738" s="2"/>
      <c r="W738" s="2"/>
    </row>
    <row r="739">
      <c r="A739" s="2"/>
      <c r="B739" s="2"/>
      <c r="C739" s="2"/>
      <c r="D739" s="2"/>
      <c r="E739" s="2"/>
      <c r="F739" s="2"/>
      <c r="G739" s="2"/>
      <c r="H739" s="2"/>
      <c r="I739" s="2"/>
      <c r="J739" s="2"/>
      <c r="K739" s="2"/>
      <c r="L739" s="2"/>
      <c r="M739" s="2"/>
      <c r="N739" s="2"/>
      <c r="O739" s="2"/>
      <c r="P739" s="2"/>
      <c r="Q739" s="2"/>
      <c r="R739" s="2"/>
      <c r="S739" s="2"/>
      <c r="T739" s="2"/>
      <c r="U739" s="2"/>
      <c r="V739" s="2"/>
      <c r="W739" s="2"/>
    </row>
    <row r="740">
      <c r="A740" s="2"/>
      <c r="B740" s="2"/>
      <c r="C740" s="2"/>
      <c r="D740" s="2"/>
      <c r="E740" s="2"/>
      <c r="F740" s="2"/>
      <c r="G740" s="2"/>
      <c r="H740" s="2"/>
      <c r="I740" s="2"/>
      <c r="J740" s="2"/>
      <c r="K740" s="2"/>
      <c r="L740" s="2"/>
      <c r="M740" s="2"/>
      <c r="N740" s="2"/>
      <c r="O740" s="2"/>
      <c r="P740" s="2"/>
      <c r="Q740" s="2"/>
      <c r="R740" s="2"/>
      <c r="S740" s="2"/>
      <c r="T740" s="2"/>
      <c r="U740" s="2"/>
      <c r="V740" s="2"/>
      <c r="W740" s="2"/>
    </row>
    <row r="741">
      <c r="A741" s="2"/>
      <c r="B741" s="2"/>
      <c r="C741" s="2"/>
      <c r="D741" s="2"/>
      <c r="E741" s="2"/>
      <c r="F741" s="2"/>
      <c r="G741" s="2"/>
      <c r="H741" s="2"/>
      <c r="I741" s="2"/>
      <c r="J741" s="2"/>
      <c r="K741" s="2"/>
      <c r="L741" s="2"/>
      <c r="M741" s="2"/>
      <c r="N741" s="2"/>
      <c r="O741" s="2"/>
      <c r="P741" s="2"/>
      <c r="Q741" s="2"/>
      <c r="R741" s="2"/>
      <c r="S741" s="2"/>
      <c r="T741" s="2"/>
      <c r="U741" s="2"/>
      <c r="V741" s="2"/>
      <c r="W741" s="2"/>
    </row>
    <row r="742">
      <c r="A742" s="2"/>
      <c r="B742" s="2"/>
      <c r="C742" s="2"/>
      <c r="D742" s="2"/>
      <c r="E742" s="2"/>
      <c r="F742" s="2"/>
      <c r="G742" s="2"/>
      <c r="H742" s="2"/>
      <c r="I742" s="2"/>
      <c r="J742" s="2"/>
      <c r="K742" s="2"/>
      <c r="L742" s="2"/>
      <c r="M742" s="2"/>
      <c r="N742" s="2"/>
      <c r="O742" s="2"/>
      <c r="P742" s="2"/>
      <c r="Q742" s="2"/>
      <c r="R742" s="2"/>
      <c r="S742" s="2"/>
      <c r="T742" s="2"/>
      <c r="U742" s="2"/>
      <c r="V742" s="2"/>
      <c r="W742" s="2"/>
    </row>
    <row r="743">
      <c r="A743" s="2"/>
      <c r="B743" s="2"/>
      <c r="C743" s="2"/>
      <c r="D743" s="2"/>
      <c r="E743" s="2"/>
      <c r="F743" s="2"/>
      <c r="G743" s="2"/>
      <c r="H743" s="2"/>
      <c r="I743" s="2"/>
      <c r="J743" s="2"/>
      <c r="K743" s="2"/>
      <c r="L743" s="2"/>
      <c r="M743" s="2"/>
      <c r="N743" s="2"/>
      <c r="O743" s="2"/>
      <c r="P743" s="2"/>
      <c r="Q743" s="2"/>
      <c r="R743" s="2"/>
      <c r="S743" s="2"/>
      <c r="T743" s="2"/>
      <c r="U743" s="2"/>
      <c r="V743" s="2"/>
      <c r="W743" s="2"/>
    </row>
    <row r="744">
      <c r="A744" s="2"/>
      <c r="B744" s="2"/>
      <c r="C744" s="2"/>
      <c r="D744" s="2"/>
      <c r="E744" s="2"/>
      <c r="F744" s="2"/>
      <c r="G744" s="2"/>
      <c r="H744" s="2"/>
      <c r="I744" s="2"/>
      <c r="J744" s="2"/>
      <c r="K744" s="2"/>
      <c r="L744" s="2"/>
      <c r="M744" s="2"/>
      <c r="N744" s="2"/>
      <c r="O744" s="2"/>
      <c r="P744" s="2"/>
      <c r="Q744" s="2"/>
      <c r="R744" s="2"/>
      <c r="S744" s="2"/>
      <c r="T744" s="2"/>
      <c r="U744" s="2"/>
      <c r="V744" s="2"/>
      <c r="W744" s="2"/>
    </row>
    <row r="745">
      <c r="A745" s="2"/>
      <c r="B745" s="2"/>
      <c r="C745" s="2"/>
      <c r="D745" s="2"/>
      <c r="E745" s="2"/>
      <c r="F745" s="2"/>
      <c r="G745" s="2"/>
      <c r="H745" s="2"/>
      <c r="I745" s="2"/>
      <c r="J745" s="2"/>
      <c r="K745" s="2"/>
      <c r="L745" s="2"/>
      <c r="M745" s="2"/>
      <c r="N745" s="2"/>
      <c r="O745" s="2"/>
      <c r="P745" s="2"/>
      <c r="Q745" s="2"/>
      <c r="R745" s="2"/>
      <c r="S745" s="2"/>
      <c r="T745" s="2"/>
      <c r="U745" s="2"/>
      <c r="V745" s="2"/>
      <c r="W745" s="2"/>
    </row>
    <row r="746">
      <c r="A746" s="2"/>
      <c r="B746" s="2"/>
      <c r="C746" s="2"/>
      <c r="D746" s="2"/>
      <c r="E746" s="2"/>
      <c r="F746" s="2"/>
      <c r="G746" s="2"/>
      <c r="H746" s="2"/>
      <c r="I746" s="2"/>
      <c r="J746" s="2"/>
      <c r="K746" s="2"/>
      <c r="L746" s="2"/>
      <c r="M746" s="2"/>
      <c r="N746" s="2"/>
      <c r="O746" s="2"/>
      <c r="P746" s="2"/>
      <c r="Q746" s="2"/>
      <c r="R746" s="2"/>
      <c r="S746" s="2"/>
      <c r="T746" s="2"/>
      <c r="U746" s="2"/>
      <c r="V746" s="2"/>
      <c r="W746" s="2"/>
    </row>
    <row r="747">
      <c r="A747" s="2"/>
      <c r="B747" s="2"/>
      <c r="C747" s="2"/>
      <c r="D747" s="2"/>
      <c r="E747" s="2"/>
      <c r="F747" s="2"/>
      <c r="G747" s="2"/>
      <c r="H747" s="2"/>
      <c r="I747" s="2"/>
      <c r="J747" s="2"/>
      <c r="K747" s="2"/>
      <c r="L747" s="2"/>
      <c r="M747" s="2"/>
      <c r="N747" s="2"/>
      <c r="O747" s="2"/>
      <c r="P747" s="2"/>
      <c r="Q747" s="2"/>
      <c r="R747" s="2"/>
      <c r="S747" s="2"/>
      <c r="T747" s="2"/>
      <c r="U747" s="2"/>
      <c r="V747" s="2"/>
      <c r="W747" s="2"/>
    </row>
    <row r="748">
      <c r="A748" s="2"/>
      <c r="B748" s="2"/>
      <c r="C748" s="2"/>
      <c r="D748" s="2"/>
      <c r="E748" s="2"/>
      <c r="F748" s="2"/>
      <c r="G748" s="2"/>
      <c r="H748" s="2"/>
      <c r="I748" s="2"/>
      <c r="J748" s="2"/>
      <c r="K748" s="2"/>
      <c r="L748" s="2"/>
      <c r="M748" s="2"/>
      <c r="N748" s="2"/>
      <c r="O748" s="2"/>
      <c r="P748" s="2"/>
      <c r="Q748" s="2"/>
      <c r="R748" s="2"/>
      <c r="S748" s="2"/>
      <c r="T748" s="2"/>
      <c r="U748" s="2"/>
      <c r="V748" s="2"/>
      <c r="W748" s="2"/>
    </row>
    <row r="749">
      <c r="A749" s="2"/>
      <c r="B749" s="2"/>
      <c r="C749" s="2"/>
      <c r="D749" s="2"/>
      <c r="E749" s="2"/>
      <c r="F749" s="2"/>
      <c r="G749" s="2"/>
      <c r="H749" s="2"/>
      <c r="I749" s="2"/>
      <c r="J749" s="2"/>
      <c r="K749" s="2"/>
      <c r="L749" s="2"/>
      <c r="M749" s="2"/>
      <c r="N749" s="2"/>
      <c r="O749" s="2"/>
      <c r="P749" s="2"/>
      <c r="Q749" s="2"/>
      <c r="R749" s="2"/>
      <c r="S749" s="2"/>
      <c r="T749" s="2"/>
      <c r="U749" s="2"/>
      <c r="V749" s="2"/>
      <c r="W749" s="2"/>
    </row>
    <row r="750">
      <c r="A750" s="2"/>
      <c r="B750" s="2"/>
      <c r="C750" s="2"/>
      <c r="D750" s="2"/>
      <c r="E750" s="2"/>
      <c r="F750" s="2"/>
      <c r="G750" s="2"/>
      <c r="H750" s="2"/>
      <c r="I750" s="2"/>
      <c r="J750" s="2"/>
      <c r="K750" s="2"/>
      <c r="L750" s="2"/>
      <c r="M750" s="2"/>
      <c r="N750" s="2"/>
      <c r="O750" s="2"/>
      <c r="P750" s="2"/>
      <c r="Q750" s="2"/>
      <c r="R750" s="2"/>
      <c r="S750" s="2"/>
      <c r="T750" s="2"/>
      <c r="U750" s="2"/>
      <c r="V750" s="2"/>
      <c r="W750" s="2"/>
    </row>
    <row r="751">
      <c r="A751" s="2"/>
      <c r="B751" s="2"/>
      <c r="C751" s="2"/>
      <c r="D751" s="2"/>
      <c r="E751" s="2"/>
      <c r="F751" s="2"/>
      <c r="G751" s="2"/>
      <c r="H751" s="2"/>
      <c r="I751" s="2"/>
      <c r="J751" s="2"/>
      <c r="K751" s="2"/>
      <c r="L751" s="2"/>
      <c r="M751" s="2"/>
      <c r="N751" s="2"/>
      <c r="O751" s="2"/>
      <c r="P751" s="2"/>
      <c r="Q751" s="2"/>
      <c r="R751" s="2"/>
      <c r="S751" s="2"/>
      <c r="T751" s="2"/>
      <c r="U751" s="2"/>
      <c r="V751" s="2"/>
      <c r="W751" s="2"/>
    </row>
    <row r="752">
      <c r="A752" s="2"/>
      <c r="B752" s="2"/>
      <c r="C752" s="2"/>
      <c r="D752" s="2"/>
      <c r="E752" s="2"/>
      <c r="F752" s="2"/>
      <c r="G752" s="2"/>
      <c r="H752" s="2"/>
      <c r="I752" s="2"/>
      <c r="J752" s="2"/>
      <c r="K752" s="2"/>
      <c r="L752" s="2"/>
      <c r="M752" s="2"/>
      <c r="N752" s="2"/>
      <c r="O752" s="2"/>
      <c r="P752" s="2"/>
      <c r="Q752" s="2"/>
      <c r="R752" s="2"/>
      <c r="S752" s="2"/>
      <c r="T752" s="2"/>
      <c r="U752" s="2"/>
      <c r="V752" s="2"/>
      <c r="W752" s="2"/>
    </row>
    <row r="753">
      <c r="A753" s="2"/>
      <c r="B753" s="2"/>
      <c r="C753" s="2"/>
      <c r="D753" s="2"/>
      <c r="E753" s="2"/>
      <c r="F753" s="2"/>
      <c r="G753" s="2"/>
      <c r="H753" s="2"/>
      <c r="I753" s="2"/>
      <c r="J753" s="2"/>
      <c r="K753" s="2"/>
      <c r="L753" s="2"/>
      <c r="M753" s="2"/>
      <c r="N753" s="2"/>
      <c r="O753" s="2"/>
      <c r="P753" s="2"/>
      <c r="Q753" s="2"/>
      <c r="R753" s="2"/>
      <c r="S753" s="2"/>
      <c r="T753" s="2"/>
      <c r="U753" s="2"/>
      <c r="V753" s="2"/>
      <c r="W753" s="2"/>
    </row>
    <row r="754">
      <c r="A754" s="2"/>
      <c r="B754" s="2"/>
      <c r="C754" s="2"/>
      <c r="D754" s="2"/>
      <c r="E754" s="2"/>
      <c r="F754" s="2"/>
      <c r="G754" s="2"/>
      <c r="H754" s="2"/>
      <c r="I754" s="2"/>
      <c r="J754" s="2"/>
      <c r="K754" s="2"/>
      <c r="L754" s="2"/>
      <c r="M754" s="2"/>
      <c r="N754" s="2"/>
      <c r="O754" s="2"/>
      <c r="P754" s="2"/>
      <c r="Q754" s="2"/>
      <c r="R754" s="2"/>
      <c r="S754" s="2"/>
      <c r="T754" s="2"/>
      <c r="U754" s="2"/>
      <c r="V754" s="2"/>
      <c r="W754" s="2"/>
    </row>
    <row r="755">
      <c r="A755" s="2"/>
      <c r="B755" s="2"/>
      <c r="C755" s="2"/>
      <c r="D755" s="2"/>
      <c r="E755" s="2"/>
      <c r="F755" s="2"/>
      <c r="G755" s="2"/>
      <c r="H755" s="2"/>
      <c r="I755" s="2"/>
      <c r="J755" s="2"/>
      <c r="K755" s="2"/>
      <c r="L755" s="2"/>
      <c r="M755" s="2"/>
      <c r="N755" s="2"/>
      <c r="O755" s="2"/>
      <c r="P755" s="2"/>
      <c r="Q755" s="2"/>
      <c r="R755" s="2"/>
      <c r="S755" s="2"/>
      <c r="T755" s="2"/>
      <c r="U755" s="2"/>
      <c r="V755" s="2"/>
      <c r="W755" s="2"/>
    </row>
    <row r="756">
      <c r="A756" s="2"/>
      <c r="B756" s="2"/>
      <c r="C756" s="2"/>
      <c r="D756" s="2"/>
      <c r="E756" s="2"/>
      <c r="F756" s="2"/>
      <c r="G756" s="2"/>
      <c r="H756" s="2"/>
      <c r="I756" s="2"/>
      <c r="J756" s="2"/>
      <c r="K756" s="2"/>
      <c r="L756" s="2"/>
      <c r="M756" s="2"/>
      <c r="N756" s="2"/>
      <c r="O756" s="2"/>
      <c r="P756" s="2"/>
      <c r="Q756" s="2"/>
      <c r="R756" s="2"/>
      <c r="S756" s="2"/>
      <c r="T756" s="2"/>
      <c r="U756" s="2"/>
      <c r="V756" s="2"/>
      <c r="W756" s="2"/>
    </row>
    <row r="757">
      <c r="A757" s="2"/>
      <c r="B757" s="2"/>
      <c r="C757" s="2"/>
      <c r="D757" s="2"/>
      <c r="E757" s="2"/>
      <c r="F757" s="2"/>
      <c r="G757" s="2"/>
      <c r="H757" s="2"/>
      <c r="I757" s="2"/>
      <c r="J757" s="2"/>
      <c r="K757" s="2"/>
      <c r="L757" s="2"/>
      <c r="M757" s="2"/>
      <c r="N757" s="2"/>
      <c r="O757" s="2"/>
      <c r="P757" s="2"/>
      <c r="Q757" s="2"/>
      <c r="R757" s="2"/>
      <c r="S757" s="2"/>
      <c r="T757" s="2"/>
      <c r="U757" s="2"/>
      <c r="V757" s="2"/>
      <c r="W757" s="2"/>
    </row>
    <row r="758">
      <c r="A758" s="2"/>
      <c r="B758" s="2"/>
      <c r="C758" s="2"/>
      <c r="D758" s="2"/>
      <c r="E758" s="2"/>
      <c r="F758" s="2"/>
      <c r="G758" s="2"/>
      <c r="H758" s="2"/>
      <c r="I758" s="2"/>
      <c r="J758" s="2"/>
      <c r="K758" s="2"/>
      <c r="L758" s="2"/>
      <c r="M758" s="2"/>
      <c r="N758" s="2"/>
      <c r="O758" s="2"/>
      <c r="P758" s="2"/>
      <c r="Q758" s="2"/>
      <c r="R758" s="2"/>
      <c r="S758" s="2"/>
      <c r="T758" s="2"/>
      <c r="U758" s="2"/>
      <c r="V758" s="2"/>
      <c r="W758" s="2"/>
    </row>
    <row r="759">
      <c r="A759" s="2"/>
      <c r="B759" s="2"/>
      <c r="C759" s="2"/>
      <c r="D759" s="2"/>
      <c r="E759" s="2"/>
      <c r="F759" s="2"/>
      <c r="G759" s="2"/>
      <c r="H759" s="2"/>
      <c r="I759" s="2"/>
      <c r="J759" s="2"/>
      <c r="K759" s="2"/>
      <c r="L759" s="2"/>
      <c r="M759" s="2"/>
      <c r="N759" s="2"/>
      <c r="O759" s="2"/>
      <c r="P759" s="2"/>
      <c r="Q759" s="2"/>
      <c r="R759" s="2"/>
      <c r="S759" s="2"/>
      <c r="T759" s="2"/>
      <c r="U759" s="2"/>
      <c r="V759" s="2"/>
      <c r="W759" s="2"/>
    </row>
    <row r="760">
      <c r="A760" s="2"/>
      <c r="B760" s="2"/>
      <c r="C760" s="2"/>
      <c r="D760" s="2"/>
      <c r="E760" s="2"/>
      <c r="F760" s="2"/>
      <c r="G760" s="2"/>
      <c r="H760" s="2"/>
      <c r="I760" s="2"/>
      <c r="J760" s="2"/>
      <c r="K760" s="2"/>
      <c r="L760" s="2"/>
      <c r="M760" s="2"/>
      <c r="N760" s="2"/>
      <c r="O760" s="2"/>
      <c r="P760" s="2"/>
      <c r="Q760" s="2"/>
      <c r="R760" s="2"/>
      <c r="S760" s="2"/>
      <c r="T760" s="2"/>
      <c r="U760" s="2"/>
      <c r="V760" s="2"/>
      <c r="W760" s="2"/>
    </row>
    <row r="761">
      <c r="A761" s="2"/>
      <c r="B761" s="2"/>
      <c r="C761" s="2"/>
      <c r="D761" s="2"/>
      <c r="E761" s="2"/>
      <c r="F761" s="2"/>
      <c r="G761" s="2"/>
      <c r="H761" s="2"/>
      <c r="I761" s="2"/>
      <c r="J761" s="2"/>
      <c r="K761" s="2"/>
      <c r="L761" s="2"/>
      <c r="M761" s="2"/>
      <c r="N761" s="2"/>
      <c r="O761" s="2"/>
      <c r="P761" s="2"/>
      <c r="Q761" s="2"/>
      <c r="R761" s="2"/>
      <c r="S761" s="2"/>
      <c r="T761" s="2"/>
      <c r="U761" s="2"/>
      <c r="V761" s="2"/>
      <c r="W761" s="2"/>
    </row>
    <row r="762">
      <c r="A762" s="2"/>
      <c r="B762" s="2"/>
      <c r="C762" s="2"/>
      <c r="D762" s="2"/>
      <c r="E762" s="2"/>
      <c r="F762" s="2"/>
      <c r="G762" s="2"/>
      <c r="H762" s="2"/>
      <c r="I762" s="2"/>
      <c r="J762" s="2"/>
      <c r="K762" s="2"/>
      <c r="L762" s="2"/>
      <c r="M762" s="2"/>
      <c r="N762" s="2"/>
      <c r="O762" s="2"/>
      <c r="P762" s="2"/>
      <c r="Q762" s="2"/>
      <c r="R762" s="2"/>
      <c r="S762" s="2"/>
      <c r="T762" s="2"/>
      <c r="U762" s="2"/>
      <c r="V762" s="2"/>
      <c r="W762" s="2"/>
    </row>
    <row r="763">
      <c r="A763" s="2"/>
      <c r="B763" s="2"/>
      <c r="C763" s="2"/>
      <c r="D763" s="2"/>
      <c r="E763" s="2"/>
      <c r="F763" s="2"/>
      <c r="G763" s="2"/>
      <c r="H763" s="2"/>
      <c r="I763" s="2"/>
      <c r="J763" s="2"/>
      <c r="K763" s="2"/>
      <c r="L763" s="2"/>
      <c r="M763" s="2"/>
      <c r="N763" s="2"/>
      <c r="O763" s="2"/>
      <c r="P763" s="2"/>
      <c r="Q763" s="2"/>
      <c r="R763" s="2"/>
      <c r="S763" s="2"/>
      <c r="T763" s="2"/>
      <c r="U763" s="2"/>
      <c r="V763" s="2"/>
      <c r="W763" s="2"/>
    </row>
    <row r="764">
      <c r="A764" s="2"/>
      <c r="B764" s="2"/>
      <c r="C764" s="2"/>
      <c r="D764" s="2"/>
      <c r="E764" s="2"/>
      <c r="F764" s="2"/>
      <c r="G764" s="2"/>
      <c r="H764" s="2"/>
      <c r="I764" s="2"/>
      <c r="J764" s="2"/>
      <c r="K764" s="2"/>
      <c r="L764" s="2"/>
      <c r="M764" s="2"/>
      <c r="N764" s="2"/>
      <c r="O764" s="2"/>
      <c r="P764" s="2"/>
      <c r="Q764" s="2"/>
      <c r="R764" s="2"/>
      <c r="S764" s="2"/>
      <c r="T764" s="2"/>
      <c r="U764" s="2"/>
      <c r="V764" s="2"/>
      <c r="W764" s="2"/>
    </row>
    <row r="765">
      <c r="A765" s="2"/>
      <c r="B765" s="2"/>
      <c r="C765" s="2"/>
      <c r="D765" s="2"/>
      <c r="E765" s="2"/>
      <c r="F765" s="2"/>
      <c r="G765" s="2"/>
      <c r="H765" s="2"/>
      <c r="I765" s="2"/>
      <c r="J765" s="2"/>
      <c r="K765" s="2"/>
      <c r="L765" s="2"/>
      <c r="M765" s="2"/>
      <c r="N765" s="2"/>
      <c r="O765" s="2"/>
      <c r="P765" s="2"/>
      <c r="Q765" s="2"/>
      <c r="R765" s="2"/>
      <c r="S765" s="2"/>
      <c r="T765" s="2"/>
      <c r="U765" s="2"/>
      <c r="V765" s="2"/>
      <c r="W765" s="2"/>
    </row>
    <row r="766">
      <c r="A766" s="2"/>
      <c r="B766" s="2"/>
      <c r="C766" s="2"/>
      <c r="D766" s="2"/>
      <c r="E766" s="2"/>
      <c r="F766" s="2"/>
      <c r="G766" s="2"/>
      <c r="H766" s="2"/>
      <c r="I766" s="2"/>
      <c r="J766" s="2"/>
      <c r="K766" s="2"/>
      <c r="L766" s="2"/>
      <c r="M766" s="2"/>
      <c r="N766" s="2"/>
      <c r="O766" s="2"/>
      <c r="P766" s="2"/>
      <c r="Q766" s="2"/>
      <c r="R766" s="2"/>
      <c r="S766" s="2"/>
      <c r="T766" s="2"/>
      <c r="U766" s="2"/>
      <c r="V766" s="2"/>
      <c r="W766" s="2"/>
    </row>
    <row r="767">
      <c r="A767" s="2"/>
      <c r="B767" s="2"/>
      <c r="C767" s="2"/>
      <c r="D767" s="2"/>
      <c r="E767" s="2"/>
      <c r="F767" s="2"/>
      <c r="G767" s="2"/>
      <c r="H767" s="2"/>
      <c r="I767" s="2"/>
      <c r="J767" s="2"/>
      <c r="K767" s="2"/>
      <c r="L767" s="2"/>
      <c r="M767" s="2"/>
      <c r="N767" s="2"/>
      <c r="O767" s="2"/>
      <c r="P767" s="2"/>
      <c r="Q767" s="2"/>
      <c r="R767" s="2"/>
      <c r="S767" s="2"/>
      <c r="T767" s="2"/>
      <c r="U767" s="2"/>
      <c r="V767" s="2"/>
      <c r="W767" s="2"/>
    </row>
    <row r="768">
      <c r="A768" s="2"/>
      <c r="B768" s="2"/>
      <c r="C768" s="2"/>
      <c r="D768" s="2"/>
      <c r="E768" s="2"/>
      <c r="F768" s="2"/>
      <c r="G768" s="2"/>
      <c r="H768" s="2"/>
      <c r="I768" s="2"/>
      <c r="J768" s="2"/>
      <c r="K768" s="2"/>
      <c r="L768" s="2"/>
      <c r="M768" s="2"/>
      <c r="N768" s="2"/>
      <c r="O768" s="2"/>
      <c r="P768" s="2"/>
      <c r="Q768" s="2"/>
      <c r="R768" s="2"/>
      <c r="S768" s="2"/>
      <c r="T768" s="2"/>
      <c r="U768" s="2"/>
      <c r="V768" s="2"/>
      <c r="W768" s="2"/>
    </row>
    <row r="769">
      <c r="A769" s="2"/>
      <c r="B769" s="2"/>
      <c r="C769" s="2"/>
      <c r="D769" s="2"/>
      <c r="E769" s="2"/>
      <c r="F769" s="2"/>
      <c r="G769" s="2"/>
      <c r="H769" s="2"/>
      <c r="I769" s="2"/>
      <c r="J769" s="2"/>
      <c r="K769" s="2"/>
      <c r="L769" s="2"/>
      <c r="M769" s="2"/>
      <c r="N769" s="2"/>
      <c r="O769" s="2"/>
      <c r="P769" s="2"/>
      <c r="Q769" s="2"/>
      <c r="R769" s="2"/>
      <c r="S769" s="2"/>
      <c r="T769" s="2"/>
      <c r="U769" s="2"/>
      <c r="V769" s="2"/>
      <c r="W769" s="2"/>
    </row>
    <row r="770">
      <c r="A770" s="2"/>
      <c r="B770" s="2"/>
      <c r="C770" s="2"/>
      <c r="D770" s="2"/>
      <c r="E770" s="2"/>
      <c r="F770" s="2"/>
      <c r="G770" s="2"/>
      <c r="H770" s="2"/>
      <c r="I770" s="2"/>
      <c r="J770" s="2"/>
      <c r="K770" s="2"/>
      <c r="L770" s="2"/>
      <c r="M770" s="2"/>
      <c r="N770" s="2"/>
      <c r="O770" s="2"/>
      <c r="P770" s="2"/>
      <c r="Q770" s="2"/>
      <c r="R770" s="2"/>
      <c r="S770" s="2"/>
      <c r="T770" s="2"/>
      <c r="U770" s="2"/>
      <c r="V770" s="2"/>
      <c r="W770" s="2"/>
    </row>
    <row r="771">
      <c r="A771" s="2"/>
      <c r="B771" s="2"/>
      <c r="C771" s="2"/>
      <c r="D771" s="2"/>
      <c r="E771" s="2"/>
      <c r="F771" s="2"/>
      <c r="G771" s="2"/>
      <c r="H771" s="2"/>
      <c r="I771" s="2"/>
      <c r="J771" s="2"/>
      <c r="K771" s="2"/>
      <c r="L771" s="2"/>
      <c r="M771" s="2"/>
      <c r="N771" s="2"/>
      <c r="O771" s="2"/>
      <c r="P771" s="2"/>
      <c r="Q771" s="2"/>
      <c r="R771" s="2"/>
      <c r="S771" s="2"/>
      <c r="T771" s="2"/>
      <c r="U771" s="2"/>
      <c r="V771" s="2"/>
      <c r="W771" s="2"/>
    </row>
    <row r="772">
      <c r="A772" s="2"/>
      <c r="B772" s="2"/>
      <c r="C772" s="2"/>
      <c r="D772" s="2"/>
      <c r="E772" s="2"/>
      <c r="F772" s="2"/>
      <c r="G772" s="2"/>
      <c r="H772" s="2"/>
      <c r="I772" s="2"/>
      <c r="J772" s="2"/>
      <c r="K772" s="2"/>
      <c r="L772" s="2"/>
      <c r="M772" s="2"/>
      <c r="N772" s="2"/>
      <c r="O772" s="2"/>
      <c r="P772" s="2"/>
      <c r="Q772" s="2"/>
      <c r="R772" s="2"/>
      <c r="S772" s="2"/>
      <c r="T772" s="2"/>
      <c r="U772" s="2"/>
      <c r="V772" s="2"/>
      <c r="W772" s="2"/>
    </row>
    <row r="773">
      <c r="A773" s="2"/>
      <c r="B773" s="2"/>
      <c r="C773" s="2"/>
      <c r="D773" s="2"/>
      <c r="E773" s="2"/>
      <c r="F773" s="2"/>
      <c r="G773" s="2"/>
      <c r="H773" s="2"/>
      <c r="I773" s="2"/>
      <c r="J773" s="2"/>
      <c r="K773" s="2"/>
      <c r="L773" s="2"/>
      <c r="M773" s="2"/>
      <c r="N773" s="2"/>
      <c r="O773" s="2"/>
      <c r="P773" s="2"/>
      <c r="Q773" s="2"/>
      <c r="R773" s="2"/>
      <c r="S773" s="2"/>
      <c r="T773" s="2"/>
      <c r="U773" s="2"/>
      <c r="V773" s="2"/>
      <c r="W773" s="2"/>
    </row>
    <row r="774">
      <c r="A774" s="2"/>
      <c r="B774" s="2"/>
      <c r="C774" s="2"/>
      <c r="D774" s="2"/>
      <c r="E774" s="2"/>
      <c r="F774" s="2"/>
      <c r="G774" s="2"/>
      <c r="H774" s="2"/>
      <c r="I774" s="2"/>
      <c r="J774" s="2"/>
      <c r="K774" s="2"/>
      <c r="L774" s="2"/>
      <c r="M774" s="2"/>
      <c r="N774" s="2"/>
      <c r="O774" s="2"/>
      <c r="P774" s="2"/>
      <c r="Q774" s="2"/>
      <c r="R774" s="2"/>
      <c r="S774" s="2"/>
      <c r="T774" s="2"/>
      <c r="U774" s="2"/>
      <c r="V774" s="2"/>
      <c r="W774" s="2"/>
    </row>
    <row r="775">
      <c r="A775" s="2"/>
      <c r="B775" s="2"/>
      <c r="C775" s="2"/>
      <c r="D775" s="2"/>
      <c r="E775" s="2"/>
      <c r="F775" s="2"/>
      <c r="G775" s="2"/>
      <c r="H775" s="2"/>
      <c r="I775" s="2"/>
      <c r="J775" s="2"/>
      <c r="K775" s="2"/>
      <c r="L775" s="2"/>
      <c r="M775" s="2"/>
      <c r="N775" s="2"/>
      <c r="O775" s="2"/>
      <c r="P775" s="2"/>
      <c r="Q775" s="2"/>
      <c r="R775" s="2"/>
      <c r="S775" s="2"/>
      <c r="T775" s="2"/>
      <c r="U775" s="2"/>
      <c r="V775" s="2"/>
      <c r="W775" s="2"/>
    </row>
    <row r="776">
      <c r="A776" s="2"/>
      <c r="B776" s="2"/>
      <c r="C776" s="2"/>
      <c r="D776" s="2"/>
      <c r="E776" s="2"/>
      <c r="F776" s="2"/>
      <c r="G776" s="2"/>
      <c r="H776" s="2"/>
      <c r="I776" s="2"/>
      <c r="J776" s="2"/>
      <c r="K776" s="2"/>
      <c r="L776" s="2"/>
      <c r="M776" s="2"/>
      <c r="N776" s="2"/>
      <c r="O776" s="2"/>
      <c r="P776" s="2"/>
      <c r="Q776" s="2"/>
      <c r="R776" s="2"/>
      <c r="S776" s="2"/>
      <c r="T776" s="2"/>
      <c r="U776" s="2"/>
      <c r="V776" s="2"/>
      <c r="W776" s="2"/>
    </row>
    <row r="777">
      <c r="A777" s="2"/>
      <c r="B777" s="2"/>
      <c r="C777" s="2"/>
      <c r="D777" s="2"/>
      <c r="E777" s="2"/>
      <c r="F777" s="2"/>
      <c r="G777" s="2"/>
      <c r="H777" s="2"/>
      <c r="I777" s="2"/>
      <c r="J777" s="2"/>
      <c r="K777" s="2"/>
      <c r="L777" s="2"/>
      <c r="M777" s="2"/>
      <c r="N777" s="2"/>
      <c r="O777" s="2"/>
      <c r="P777" s="2"/>
      <c r="Q777" s="2"/>
      <c r="R777" s="2"/>
      <c r="S777" s="2"/>
      <c r="T777" s="2"/>
      <c r="U777" s="2"/>
      <c r="V777" s="2"/>
      <c r="W777" s="2"/>
    </row>
    <row r="778">
      <c r="A778" s="2"/>
      <c r="B778" s="2"/>
      <c r="C778" s="2"/>
      <c r="D778" s="2"/>
      <c r="E778" s="2"/>
      <c r="F778" s="2"/>
      <c r="G778" s="2"/>
      <c r="H778" s="2"/>
      <c r="I778" s="2"/>
      <c r="J778" s="2"/>
      <c r="K778" s="2"/>
      <c r="L778" s="2"/>
      <c r="M778" s="2"/>
      <c r="N778" s="2"/>
      <c r="O778" s="2"/>
      <c r="P778" s="2"/>
      <c r="Q778" s="2"/>
      <c r="R778" s="2"/>
      <c r="S778" s="2"/>
      <c r="T778" s="2"/>
      <c r="U778" s="2"/>
      <c r="V778" s="2"/>
      <c r="W778" s="2"/>
    </row>
    <row r="779">
      <c r="A779" s="2"/>
      <c r="B779" s="2"/>
      <c r="C779" s="2"/>
      <c r="D779" s="2"/>
      <c r="E779" s="2"/>
      <c r="F779" s="2"/>
      <c r="G779" s="2"/>
      <c r="H779" s="2"/>
      <c r="I779" s="2"/>
      <c r="J779" s="2"/>
      <c r="K779" s="2"/>
      <c r="L779" s="2"/>
      <c r="M779" s="2"/>
      <c r="N779" s="2"/>
      <c r="O779" s="2"/>
      <c r="P779" s="2"/>
      <c r="Q779" s="2"/>
      <c r="R779" s="2"/>
      <c r="S779" s="2"/>
      <c r="T779" s="2"/>
      <c r="U779" s="2"/>
      <c r="V779" s="2"/>
      <c r="W779" s="2"/>
    </row>
    <row r="780">
      <c r="A780" s="2"/>
      <c r="B780" s="2"/>
      <c r="C780" s="2"/>
      <c r="D780" s="2"/>
      <c r="E780" s="2"/>
      <c r="F780" s="2"/>
      <c r="G780" s="2"/>
      <c r="H780" s="2"/>
      <c r="I780" s="2"/>
      <c r="J780" s="2"/>
      <c r="K780" s="2"/>
      <c r="L780" s="2"/>
      <c r="M780" s="2"/>
      <c r="N780" s="2"/>
      <c r="O780" s="2"/>
      <c r="P780" s="2"/>
      <c r="Q780" s="2"/>
      <c r="R780" s="2"/>
      <c r="S780" s="2"/>
      <c r="T780" s="2"/>
      <c r="U780" s="2"/>
      <c r="V780" s="2"/>
      <c r="W780" s="2"/>
    </row>
    <row r="781">
      <c r="A781" s="2"/>
      <c r="B781" s="2"/>
      <c r="C781" s="2"/>
      <c r="D781" s="2"/>
      <c r="E781" s="2"/>
      <c r="F781" s="2"/>
      <c r="G781" s="2"/>
      <c r="H781" s="2"/>
      <c r="I781" s="2"/>
      <c r="J781" s="2"/>
      <c r="K781" s="2"/>
      <c r="L781" s="2"/>
      <c r="M781" s="2"/>
      <c r="N781" s="2"/>
      <c r="O781" s="2"/>
      <c r="P781" s="2"/>
      <c r="Q781" s="2"/>
      <c r="R781" s="2"/>
      <c r="S781" s="2"/>
      <c r="T781" s="2"/>
      <c r="U781" s="2"/>
      <c r="V781" s="2"/>
      <c r="W781" s="2"/>
    </row>
    <row r="782">
      <c r="A782" s="2"/>
      <c r="B782" s="2"/>
      <c r="C782" s="2"/>
      <c r="D782" s="2"/>
      <c r="E782" s="2"/>
      <c r="F782" s="2"/>
      <c r="G782" s="2"/>
      <c r="H782" s="2"/>
      <c r="I782" s="2"/>
      <c r="J782" s="2"/>
      <c r="K782" s="2"/>
      <c r="L782" s="2"/>
      <c r="M782" s="2"/>
      <c r="N782" s="2"/>
      <c r="O782" s="2"/>
      <c r="P782" s="2"/>
      <c r="Q782" s="2"/>
      <c r="R782" s="2"/>
      <c r="S782" s="2"/>
      <c r="T782" s="2"/>
      <c r="U782" s="2"/>
      <c r="V782" s="2"/>
      <c r="W782" s="2"/>
    </row>
    <row r="783">
      <c r="A783" s="2"/>
      <c r="B783" s="2"/>
      <c r="C783" s="2"/>
      <c r="D783" s="2"/>
      <c r="E783" s="2"/>
      <c r="F783" s="2"/>
      <c r="G783" s="2"/>
      <c r="H783" s="2"/>
      <c r="I783" s="2"/>
      <c r="J783" s="2"/>
      <c r="K783" s="2"/>
      <c r="L783" s="2"/>
      <c r="M783" s="2"/>
      <c r="N783" s="2"/>
      <c r="O783" s="2"/>
      <c r="P783" s="2"/>
      <c r="Q783" s="2"/>
      <c r="R783" s="2"/>
      <c r="S783" s="2"/>
      <c r="T783" s="2"/>
      <c r="U783" s="2"/>
      <c r="V783" s="2"/>
      <c r="W783" s="2"/>
    </row>
    <row r="784">
      <c r="A784" s="2"/>
      <c r="B784" s="2"/>
      <c r="C784" s="2"/>
      <c r="D784" s="2"/>
      <c r="E784" s="2"/>
      <c r="F784" s="2"/>
      <c r="G784" s="2"/>
      <c r="H784" s="2"/>
      <c r="I784" s="2"/>
      <c r="J784" s="2"/>
      <c r="K784" s="2"/>
      <c r="L784" s="2"/>
      <c r="M784" s="2"/>
      <c r="N784" s="2"/>
      <c r="O784" s="2"/>
      <c r="P784" s="2"/>
      <c r="Q784" s="2"/>
      <c r="R784" s="2"/>
      <c r="S784" s="2"/>
      <c r="T784" s="2"/>
      <c r="U784" s="2"/>
      <c r="V784" s="2"/>
      <c r="W784" s="2"/>
    </row>
    <row r="785">
      <c r="A785" s="2"/>
      <c r="B785" s="2"/>
      <c r="C785" s="2"/>
      <c r="D785" s="2"/>
      <c r="E785" s="2"/>
      <c r="F785" s="2"/>
      <c r="G785" s="2"/>
      <c r="H785" s="2"/>
      <c r="I785" s="2"/>
      <c r="J785" s="2"/>
      <c r="K785" s="2"/>
      <c r="L785" s="2"/>
      <c r="M785" s="2"/>
      <c r="N785" s="2"/>
      <c r="O785" s="2"/>
      <c r="P785" s="2"/>
      <c r="Q785" s="2"/>
      <c r="R785" s="2"/>
      <c r="S785" s="2"/>
      <c r="T785" s="2"/>
      <c r="U785" s="2"/>
      <c r="V785" s="2"/>
      <c r="W785" s="2"/>
    </row>
    <row r="786">
      <c r="A786" s="2"/>
      <c r="B786" s="2"/>
      <c r="C786" s="2"/>
      <c r="D786" s="2"/>
      <c r="E786" s="2"/>
      <c r="F786" s="2"/>
      <c r="G786" s="2"/>
      <c r="H786" s="2"/>
      <c r="I786" s="2"/>
      <c r="J786" s="2"/>
      <c r="K786" s="2"/>
      <c r="L786" s="2"/>
      <c r="M786" s="2"/>
      <c r="N786" s="2"/>
      <c r="O786" s="2"/>
      <c r="P786" s="2"/>
      <c r="Q786" s="2"/>
      <c r="R786" s="2"/>
      <c r="S786" s="2"/>
      <c r="T786" s="2"/>
      <c r="U786" s="2"/>
      <c r="V786" s="2"/>
      <c r="W786" s="2"/>
    </row>
    <row r="787">
      <c r="A787" s="2"/>
      <c r="B787" s="2"/>
      <c r="C787" s="2"/>
      <c r="D787" s="2"/>
      <c r="E787" s="2"/>
      <c r="F787" s="2"/>
      <c r="G787" s="2"/>
      <c r="H787" s="2"/>
      <c r="I787" s="2"/>
      <c r="J787" s="2"/>
      <c r="K787" s="2"/>
      <c r="L787" s="2"/>
      <c r="M787" s="2"/>
      <c r="N787" s="2"/>
      <c r="O787" s="2"/>
      <c r="P787" s="2"/>
      <c r="Q787" s="2"/>
      <c r="R787" s="2"/>
      <c r="S787" s="2"/>
      <c r="T787" s="2"/>
      <c r="U787" s="2"/>
      <c r="V787" s="2"/>
      <c r="W787" s="2"/>
    </row>
    <row r="788">
      <c r="A788" s="2"/>
      <c r="B788" s="2"/>
      <c r="C788" s="2"/>
      <c r="D788" s="2"/>
      <c r="E788" s="2"/>
      <c r="F788" s="2"/>
      <c r="G788" s="2"/>
      <c r="H788" s="2"/>
      <c r="I788" s="2"/>
      <c r="J788" s="2"/>
      <c r="K788" s="2"/>
      <c r="L788" s="2"/>
      <c r="M788" s="2"/>
      <c r="N788" s="2"/>
      <c r="O788" s="2"/>
      <c r="P788" s="2"/>
      <c r="Q788" s="2"/>
      <c r="R788" s="2"/>
      <c r="S788" s="2"/>
      <c r="T788" s="2"/>
      <c r="U788" s="2"/>
      <c r="V788" s="2"/>
      <c r="W788" s="2"/>
    </row>
    <row r="789">
      <c r="A789" s="2"/>
      <c r="B789" s="2"/>
      <c r="C789" s="2"/>
      <c r="D789" s="2"/>
      <c r="E789" s="2"/>
      <c r="F789" s="2"/>
      <c r="G789" s="2"/>
      <c r="H789" s="2"/>
      <c r="I789" s="2"/>
      <c r="J789" s="2"/>
      <c r="K789" s="2"/>
      <c r="L789" s="2"/>
      <c r="M789" s="2"/>
      <c r="N789" s="2"/>
      <c r="O789" s="2"/>
      <c r="P789" s="2"/>
      <c r="Q789" s="2"/>
      <c r="R789" s="2"/>
      <c r="S789" s="2"/>
      <c r="T789" s="2"/>
      <c r="U789" s="2"/>
      <c r="V789" s="2"/>
      <c r="W789" s="2"/>
    </row>
    <row r="790">
      <c r="A790" s="2"/>
      <c r="B790" s="2"/>
      <c r="C790" s="2"/>
      <c r="D790" s="2"/>
      <c r="E790" s="2"/>
      <c r="F790" s="2"/>
      <c r="G790" s="2"/>
      <c r="H790" s="2"/>
      <c r="I790" s="2"/>
      <c r="J790" s="2"/>
      <c r="K790" s="2"/>
      <c r="L790" s="2"/>
      <c r="M790" s="2"/>
      <c r="N790" s="2"/>
      <c r="O790" s="2"/>
      <c r="P790" s="2"/>
      <c r="Q790" s="2"/>
      <c r="R790" s="2"/>
      <c r="S790" s="2"/>
      <c r="T790" s="2"/>
      <c r="U790" s="2"/>
      <c r="V790" s="2"/>
      <c r="W790" s="2"/>
    </row>
    <row r="791">
      <c r="A791" s="2"/>
      <c r="B791" s="2"/>
      <c r="C791" s="2"/>
      <c r="D791" s="2"/>
      <c r="E791" s="2"/>
      <c r="F791" s="2"/>
      <c r="G791" s="2"/>
      <c r="H791" s="2"/>
      <c r="I791" s="2"/>
      <c r="J791" s="2"/>
      <c r="K791" s="2"/>
      <c r="L791" s="2"/>
      <c r="M791" s="2"/>
      <c r="N791" s="2"/>
      <c r="O791" s="2"/>
      <c r="P791" s="2"/>
      <c r="Q791" s="2"/>
      <c r="R791" s="2"/>
      <c r="S791" s="2"/>
      <c r="T791" s="2"/>
      <c r="U791" s="2"/>
      <c r="V791" s="2"/>
      <c r="W791" s="2"/>
    </row>
    <row r="792">
      <c r="A792" s="2"/>
      <c r="B792" s="2"/>
      <c r="C792" s="2"/>
      <c r="D792" s="2"/>
      <c r="E792" s="2"/>
      <c r="F792" s="2"/>
      <c r="G792" s="2"/>
      <c r="H792" s="2"/>
      <c r="I792" s="2"/>
      <c r="J792" s="2"/>
      <c r="K792" s="2"/>
      <c r="L792" s="2"/>
      <c r="M792" s="2"/>
      <c r="N792" s="2"/>
      <c r="O792" s="2"/>
      <c r="P792" s="2"/>
      <c r="Q792" s="2"/>
      <c r="R792" s="2"/>
      <c r="S792" s="2"/>
      <c r="T792" s="2"/>
      <c r="U792" s="2"/>
      <c r="V792" s="2"/>
      <c r="W792" s="2"/>
    </row>
    <row r="793">
      <c r="A793" s="2"/>
      <c r="B793" s="2"/>
      <c r="C793" s="2"/>
      <c r="D793" s="2"/>
      <c r="E793" s="2"/>
      <c r="F793" s="2"/>
      <c r="G793" s="2"/>
      <c r="H793" s="2"/>
      <c r="I793" s="2"/>
      <c r="J793" s="2"/>
      <c r="K793" s="2"/>
      <c r="L793" s="2"/>
      <c r="M793" s="2"/>
      <c r="N793" s="2"/>
      <c r="O793" s="2"/>
      <c r="P793" s="2"/>
      <c r="Q793" s="2"/>
      <c r="R793" s="2"/>
      <c r="S793" s="2"/>
      <c r="T793" s="2"/>
      <c r="U793" s="2"/>
      <c r="V793" s="2"/>
      <c r="W793" s="2"/>
    </row>
    <row r="794">
      <c r="A794" s="2"/>
      <c r="B794" s="2"/>
      <c r="C794" s="2"/>
      <c r="D794" s="2"/>
      <c r="E794" s="2"/>
      <c r="F794" s="2"/>
      <c r="G794" s="2"/>
      <c r="H794" s="2"/>
      <c r="I794" s="2"/>
      <c r="J794" s="2"/>
      <c r="K794" s="2"/>
      <c r="L794" s="2"/>
      <c r="M794" s="2"/>
      <c r="N794" s="2"/>
      <c r="O794" s="2"/>
      <c r="P794" s="2"/>
      <c r="Q794" s="2"/>
      <c r="R794" s="2"/>
      <c r="S794" s="2"/>
      <c r="T794" s="2"/>
      <c r="U794" s="2"/>
      <c r="V794" s="2"/>
      <c r="W794" s="2"/>
    </row>
    <row r="795">
      <c r="A795" s="2"/>
      <c r="B795" s="2"/>
      <c r="C795" s="2"/>
      <c r="D795" s="2"/>
      <c r="E795" s="2"/>
      <c r="F795" s="2"/>
      <c r="G795" s="2"/>
      <c r="H795" s="2"/>
      <c r="I795" s="2"/>
      <c r="J795" s="2"/>
      <c r="K795" s="2"/>
      <c r="L795" s="2"/>
      <c r="M795" s="2"/>
      <c r="N795" s="2"/>
      <c r="O795" s="2"/>
      <c r="P795" s="2"/>
      <c r="Q795" s="2"/>
      <c r="R795" s="2"/>
      <c r="S795" s="2"/>
      <c r="T795" s="2"/>
      <c r="U795" s="2"/>
      <c r="V795" s="2"/>
      <c r="W795" s="2"/>
    </row>
    <row r="796">
      <c r="A796" s="2"/>
      <c r="B796" s="2"/>
      <c r="C796" s="2"/>
      <c r="D796" s="2"/>
      <c r="E796" s="2"/>
      <c r="F796" s="2"/>
      <c r="G796" s="2"/>
      <c r="H796" s="2"/>
      <c r="I796" s="2"/>
      <c r="J796" s="2"/>
      <c r="K796" s="2"/>
      <c r="L796" s="2"/>
      <c r="M796" s="2"/>
      <c r="N796" s="2"/>
      <c r="O796" s="2"/>
      <c r="P796" s="2"/>
      <c r="Q796" s="2"/>
      <c r="R796" s="2"/>
      <c r="S796" s="2"/>
      <c r="T796" s="2"/>
      <c r="U796" s="2"/>
      <c r="V796" s="2"/>
      <c r="W796" s="2"/>
    </row>
    <row r="797">
      <c r="A797" s="2"/>
      <c r="B797" s="2"/>
      <c r="C797" s="2"/>
      <c r="D797" s="2"/>
      <c r="E797" s="2"/>
      <c r="F797" s="2"/>
      <c r="G797" s="2"/>
      <c r="H797" s="2"/>
      <c r="I797" s="2"/>
      <c r="J797" s="2"/>
      <c r="K797" s="2"/>
      <c r="L797" s="2"/>
      <c r="M797" s="2"/>
      <c r="N797" s="2"/>
      <c r="O797" s="2"/>
      <c r="P797" s="2"/>
      <c r="Q797" s="2"/>
      <c r="R797" s="2"/>
      <c r="S797" s="2"/>
      <c r="T797" s="2"/>
      <c r="U797" s="2"/>
      <c r="V797" s="2"/>
      <c r="W797" s="2"/>
    </row>
    <row r="798">
      <c r="A798" s="2"/>
      <c r="B798" s="2"/>
      <c r="C798" s="2"/>
      <c r="D798" s="2"/>
      <c r="E798" s="2"/>
      <c r="F798" s="2"/>
      <c r="G798" s="2"/>
      <c r="H798" s="2"/>
      <c r="I798" s="2"/>
      <c r="J798" s="2"/>
      <c r="K798" s="2"/>
      <c r="L798" s="2"/>
      <c r="M798" s="2"/>
      <c r="N798" s="2"/>
      <c r="O798" s="2"/>
      <c r="P798" s="2"/>
      <c r="Q798" s="2"/>
      <c r="R798" s="2"/>
      <c r="S798" s="2"/>
      <c r="T798" s="2"/>
      <c r="U798" s="2"/>
      <c r="V798" s="2"/>
      <c r="W798" s="2"/>
    </row>
    <row r="799">
      <c r="A799" s="2"/>
      <c r="B799" s="2"/>
      <c r="C799" s="2"/>
      <c r="D799" s="2"/>
      <c r="E799" s="2"/>
      <c r="F799" s="2"/>
      <c r="G799" s="2"/>
      <c r="H799" s="2"/>
      <c r="I799" s="2"/>
      <c r="J799" s="2"/>
      <c r="K799" s="2"/>
      <c r="L799" s="2"/>
      <c r="M799" s="2"/>
      <c r="N799" s="2"/>
      <c r="O799" s="2"/>
      <c r="P799" s="2"/>
      <c r="Q799" s="2"/>
      <c r="R799" s="2"/>
      <c r="S799" s="2"/>
      <c r="T799" s="2"/>
      <c r="U799" s="2"/>
      <c r="V799" s="2"/>
      <c r="W799" s="2"/>
    </row>
    <row r="800">
      <c r="A800" s="2"/>
      <c r="B800" s="2"/>
      <c r="C800" s="2"/>
      <c r="D800" s="2"/>
      <c r="E800" s="2"/>
      <c r="F800" s="2"/>
      <c r="G800" s="2"/>
      <c r="H800" s="2"/>
      <c r="I800" s="2"/>
      <c r="J800" s="2"/>
      <c r="K800" s="2"/>
      <c r="L800" s="2"/>
      <c r="M800" s="2"/>
      <c r="N800" s="2"/>
      <c r="O800" s="2"/>
      <c r="P800" s="2"/>
      <c r="Q800" s="2"/>
      <c r="R800" s="2"/>
      <c r="S800" s="2"/>
      <c r="T800" s="2"/>
      <c r="U800" s="2"/>
      <c r="V800" s="2"/>
      <c r="W800" s="2"/>
    </row>
    <row r="801">
      <c r="A801" s="2"/>
      <c r="B801" s="2"/>
      <c r="C801" s="2"/>
      <c r="D801" s="2"/>
      <c r="E801" s="2"/>
      <c r="F801" s="2"/>
      <c r="G801" s="2"/>
      <c r="H801" s="2"/>
      <c r="I801" s="2"/>
      <c r="J801" s="2"/>
      <c r="K801" s="2"/>
      <c r="L801" s="2"/>
      <c r="M801" s="2"/>
      <c r="N801" s="2"/>
      <c r="O801" s="2"/>
      <c r="P801" s="2"/>
      <c r="Q801" s="2"/>
      <c r="R801" s="2"/>
      <c r="S801" s="2"/>
      <c r="T801" s="2"/>
      <c r="U801" s="2"/>
      <c r="V801" s="2"/>
      <c r="W801" s="2"/>
    </row>
    <row r="802">
      <c r="A802" s="2"/>
      <c r="B802" s="2"/>
      <c r="C802" s="2"/>
      <c r="D802" s="2"/>
      <c r="E802" s="2"/>
      <c r="F802" s="2"/>
      <c r="G802" s="2"/>
      <c r="H802" s="2"/>
      <c r="I802" s="2"/>
      <c r="J802" s="2"/>
      <c r="K802" s="2"/>
      <c r="L802" s="2"/>
      <c r="M802" s="2"/>
      <c r="N802" s="2"/>
      <c r="O802" s="2"/>
      <c r="P802" s="2"/>
      <c r="Q802" s="2"/>
      <c r="R802" s="2"/>
      <c r="S802" s="2"/>
      <c r="T802" s="2"/>
      <c r="U802" s="2"/>
      <c r="V802" s="2"/>
      <c r="W802" s="2"/>
    </row>
    <row r="803">
      <c r="A803" s="2"/>
      <c r="B803" s="2"/>
      <c r="C803" s="2"/>
      <c r="D803" s="2"/>
      <c r="E803" s="2"/>
      <c r="F803" s="2"/>
      <c r="G803" s="2"/>
      <c r="H803" s="2"/>
      <c r="I803" s="2"/>
      <c r="J803" s="2"/>
      <c r="K803" s="2"/>
      <c r="L803" s="2"/>
      <c r="M803" s="2"/>
      <c r="N803" s="2"/>
      <c r="O803" s="2"/>
      <c r="P803" s="2"/>
      <c r="Q803" s="2"/>
      <c r="R803" s="2"/>
      <c r="S803" s="2"/>
      <c r="T803" s="2"/>
      <c r="U803" s="2"/>
      <c r="V803" s="2"/>
      <c r="W803" s="2"/>
    </row>
    <row r="804">
      <c r="A804" s="2"/>
      <c r="B804" s="2"/>
      <c r="C804" s="2"/>
      <c r="D804" s="2"/>
      <c r="E804" s="2"/>
      <c r="F804" s="2"/>
      <c r="G804" s="2"/>
      <c r="H804" s="2"/>
      <c r="I804" s="2"/>
      <c r="J804" s="2"/>
      <c r="K804" s="2"/>
      <c r="L804" s="2"/>
      <c r="M804" s="2"/>
      <c r="N804" s="2"/>
      <c r="O804" s="2"/>
      <c r="P804" s="2"/>
      <c r="Q804" s="2"/>
      <c r="R804" s="2"/>
      <c r="S804" s="2"/>
      <c r="T804" s="2"/>
      <c r="U804" s="2"/>
      <c r="V804" s="2"/>
      <c r="W804" s="2"/>
    </row>
    <row r="805">
      <c r="A805" s="2"/>
      <c r="B805" s="2"/>
      <c r="C805" s="2"/>
      <c r="D805" s="2"/>
      <c r="E805" s="2"/>
      <c r="F805" s="2"/>
      <c r="G805" s="2"/>
      <c r="H805" s="2"/>
      <c r="I805" s="2"/>
      <c r="J805" s="2"/>
      <c r="K805" s="2"/>
      <c r="L805" s="2"/>
      <c r="M805" s="2"/>
      <c r="N805" s="2"/>
      <c r="O805" s="2"/>
      <c r="P805" s="2"/>
      <c r="Q805" s="2"/>
      <c r="R805" s="2"/>
      <c r="S805" s="2"/>
      <c r="T805" s="2"/>
      <c r="U805" s="2"/>
      <c r="V805" s="2"/>
      <c r="W805" s="2"/>
    </row>
    <row r="806">
      <c r="A806" s="2"/>
      <c r="B806" s="2"/>
      <c r="C806" s="2"/>
      <c r="D806" s="2"/>
      <c r="E806" s="2"/>
      <c r="F806" s="2"/>
      <c r="G806" s="2"/>
      <c r="H806" s="2"/>
      <c r="I806" s="2"/>
      <c r="J806" s="2"/>
      <c r="K806" s="2"/>
      <c r="L806" s="2"/>
      <c r="M806" s="2"/>
      <c r="N806" s="2"/>
      <c r="O806" s="2"/>
      <c r="P806" s="2"/>
      <c r="Q806" s="2"/>
      <c r="R806" s="2"/>
      <c r="S806" s="2"/>
      <c r="T806" s="2"/>
      <c r="U806" s="2"/>
      <c r="V806" s="2"/>
      <c r="W806" s="2"/>
    </row>
    <row r="807">
      <c r="A807" s="2"/>
      <c r="B807" s="2"/>
      <c r="C807" s="2"/>
      <c r="D807" s="2"/>
      <c r="E807" s="2"/>
      <c r="F807" s="2"/>
      <c r="G807" s="2"/>
      <c r="H807" s="2"/>
      <c r="I807" s="2"/>
      <c r="J807" s="2"/>
      <c r="K807" s="2"/>
      <c r="L807" s="2"/>
      <c r="M807" s="2"/>
      <c r="N807" s="2"/>
      <c r="O807" s="2"/>
      <c r="P807" s="2"/>
      <c r="Q807" s="2"/>
      <c r="R807" s="2"/>
      <c r="S807" s="2"/>
      <c r="T807" s="2"/>
      <c r="U807" s="2"/>
      <c r="V807" s="2"/>
      <c r="W807" s="2"/>
    </row>
    <row r="808">
      <c r="A808" s="2"/>
      <c r="B808" s="2"/>
      <c r="C808" s="2"/>
      <c r="D808" s="2"/>
      <c r="E808" s="2"/>
      <c r="F808" s="2"/>
      <c r="G808" s="2"/>
      <c r="H808" s="2"/>
      <c r="I808" s="2"/>
      <c r="J808" s="2"/>
      <c r="K808" s="2"/>
      <c r="L808" s="2"/>
      <c r="M808" s="2"/>
      <c r="N808" s="2"/>
      <c r="O808" s="2"/>
      <c r="P808" s="2"/>
      <c r="Q808" s="2"/>
      <c r="R808" s="2"/>
      <c r="S808" s="2"/>
      <c r="T808" s="2"/>
      <c r="U808" s="2"/>
      <c r="V808" s="2"/>
      <c r="W808" s="2"/>
    </row>
    <row r="809">
      <c r="A809" s="2"/>
      <c r="B809" s="2"/>
      <c r="C809" s="2"/>
      <c r="D809" s="2"/>
      <c r="E809" s="2"/>
      <c r="F809" s="2"/>
      <c r="G809" s="2"/>
      <c r="H809" s="2"/>
      <c r="I809" s="2"/>
      <c r="J809" s="2"/>
      <c r="K809" s="2"/>
      <c r="L809" s="2"/>
      <c r="M809" s="2"/>
      <c r="N809" s="2"/>
      <c r="O809" s="2"/>
      <c r="P809" s="2"/>
      <c r="Q809" s="2"/>
      <c r="R809" s="2"/>
      <c r="S809" s="2"/>
      <c r="T809" s="2"/>
      <c r="U809" s="2"/>
      <c r="V809" s="2"/>
      <c r="W809" s="2"/>
    </row>
    <row r="810">
      <c r="A810" s="2"/>
      <c r="B810" s="2"/>
      <c r="C810" s="2"/>
      <c r="D810" s="2"/>
      <c r="E810" s="2"/>
      <c r="F810" s="2"/>
      <c r="G810" s="2"/>
      <c r="H810" s="2"/>
      <c r="I810" s="2"/>
      <c r="J810" s="2"/>
      <c r="K810" s="2"/>
      <c r="L810" s="2"/>
      <c r="M810" s="2"/>
      <c r="N810" s="2"/>
      <c r="O810" s="2"/>
      <c r="P810" s="2"/>
      <c r="Q810" s="2"/>
      <c r="R810" s="2"/>
      <c r="S810" s="2"/>
      <c r="T810" s="2"/>
      <c r="U810" s="2"/>
      <c r="V810" s="2"/>
      <c r="W810" s="2"/>
    </row>
    <row r="811">
      <c r="A811" s="2"/>
      <c r="B811" s="2"/>
      <c r="C811" s="2"/>
      <c r="D811" s="2"/>
      <c r="E811" s="2"/>
      <c r="F811" s="2"/>
      <c r="G811" s="2"/>
      <c r="H811" s="2"/>
      <c r="I811" s="2"/>
      <c r="J811" s="2"/>
      <c r="K811" s="2"/>
      <c r="L811" s="2"/>
      <c r="M811" s="2"/>
      <c r="N811" s="2"/>
      <c r="O811" s="2"/>
      <c r="P811" s="2"/>
      <c r="Q811" s="2"/>
      <c r="R811" s="2"/>
      <c r="S811" s="2"/>
      <c r="T811" s="2"/>
      <c r="U811" s="2"/>
      <c r="V811" s="2"/>
      <c r="W811" s="2"/>
    </row>
    <row r="812">
      <c r="A812" s="2"/>
      <c r="B812" s="2"/>
      <c r="C812" s="2"/>
      <c r="D812" s="2"/>
      <c r="E812" s="2"/>
      <c r="F812" s="2"/>
      <c r="G812" s="2"/>
      <c r="H812" s="2"/>
      <c r="I812" s="2"/>
      <c r="J812" s="2"/>
      <c r="K812" s="2"/>
      <c r="L812" s="2"/>
      <c r="M812" s="2"/>
      <c r="N812" s="2"/>
      <c r="O812" s="2"/>
      <c r="P812" s="2"/>
      <c r="Q812" s="2"/>
      <c r="R812" s="2"/>
      <c r="S812" s="2"/>
      <c r="T812" s="2"/>
      <c r="U812" s="2"/>
      <c r="V812" s="2"/>
      <c r="W812" s="2"/>
    </row>
    <row r="813">
      <c r="A813" s="2"/>
      <c r="B813" s="2"/>
      <c r="C813" s="2"/>
      <c r="D813" s="2"/>
      <c r="E813" s="2"/>
      <c r="F813" s="2"/>
      <c r="G813" s="2"/>
      <c r="H813" s="2"/>
      <c r="I813" s="2"/>
      <c r="J813" s="2"/>
      <c r="K813" s="2"/>
      <c r="L813" s="2"/>
      <c r="M813" s="2"/>
      <c r="N813" s="2"/>
      <c r="O813" s="2"/>
      <c r="P813" s="2"/>
      <c r="Q813" s="2"/>
      <c r="R813" s="2"/>
      <c r="S813" s="2"/>
      <c r="T813" s="2"/>
      <c r="U813" s="2"/>
      <c r="V813" s="2"/>
      <c r="W813" s="2"/>
    </row>
    <row r="814">
      <c r="A814" s="2"/>
      <c r="B814" s="2"/>
      <c r="C814" s="2"/>
      <c r="D814" s="2"/>
      <c r="E814" s="2"/>
      <c r="F814" s="2"/>
      <c r="G814" s="2"/>
      <c r="H814" s="2"/>
      <c r="I814" s="2"/>
      <c r="J814" s="2"/>
      <c r="K814" s="2"/>
      <c r="L814" s="2"/>
      <c r="M814" s="2"/>
      <c r="N814" s="2"/>
      <c r="O814" s="2"/>
      <c r="P814" s="2"/>
      <c r="Q814" s="2"/>
      <c r="R814" s="2"/>
      <c r="S814" s="2"/>
      <c r="T814" s="2"/>
      <c r="U814" s="2"/>
      <c r="V814" s="2"/>
      <c r="W814" s="2"/>
    </row>
    <row r="815">
      <c r="A815" s="2"/>
      <c r="B815" s="2"/>
      <c r="C815" s="2"/>
      <c r="D815" s="2"/>
      <c r="E815" s="2"/>
      <c r="F815" s="2"/>
      <c r="G815" s="2"/>
      <c r="H815" s="2"/>
      <c r="I815" s="2"/>
      <c r="J815" s="2"/>
      <c r="K815" s="2"/>
      <c r="L815" s="2"/>
      <c r="M815" s="2"/>
      <c r="N815" s="2"/>
      <c r="O815" s="2"/>
      <c r="P815" s="2"/>
      <c r="Q815" s="2"/>
      <c r="R815" s="2"/>
      <c r="S815" s="2"/>
      <c r="T815" s="2"/>
      <c r="U815" s="2"/>
      <c r="V815" s="2"/>
      <c r="W815" s="2"/>
    </row>
    <row r="816">
      <c r="A816" s="2"/>
      <c r="B816" s="2"/>
      <c r="C816" s="2"/>
      <c r="D816" s="2"/>
      <c r="E816" s="2"/>
      <c r="F816" s="2"/>
      <c r="G816" s="2"/>
      <c r="H816" s="2"/>
      <c r="I816" s="2"/>
      <c r="J816" s="2"/>
      <c r="K816" s="2"/>
      <c r="L816" s="2"/>
      <c r="M816" s="2"/>
      <c r="N816" s="2"/>
      <c r="O816" s="2"/>
      <c r="P816" s="2"/>
      <c r="Q816" s="2"/>
      <c r="R816" s="2"/>
      <c r="S816" s="2"/>
      <c r="T816" s="2"/>
      <c r="U816" s="2"/>
      <c r="V816" s="2"/>
      <c r="W816" s="2"/>
    </row>
    <row r="817">
      <c r="A817" s="2"/>
      <c r="B817" s="2"/>
      <c r="C817" s="2"/>
      <c r="D817" s="2"/>
      <c r="E817" s="2"/>
      <c r="F817" s="2"/>
      <c r="G817" s="2"/>
      <c r="H817" s="2"/>
      <c r="I817" s="2"/>
      <c r="J817" s="2"/>
      <c r="K817" s="2"/>
      <c r="L817" s="2"/>
      <c r="M817" s="2"/>
      <c r="N817" s="2"/>
      <c r="O817" s="2"/>
      <c r="P817" s="2"/>
      <c r="Q817" s="2"/>
      <c r="R817" s="2"/>
      <c r="S817" s="2"/>
      <c r="T817" s="2"/>
      <c r="U817" s="2"/>
      <c r="V817" s="2"/>
      <c r="W817" s="2"/>
    </row>
    <row r="818">
      <c r="A818" s="2"/>
      <c r="B818" s="2"/>
      <c r="C818" s="2"/>
      <c r="D818" s="2"/>
      <c r="E818" s="2"/>
      <c r="F818" s="2"/>
      <c r="G818" s="2"/>
      <c r="H818" s="2"/>
      <c r="I818" s="2"/>
      <c r="J818" s="2"/>
      <c r="K818" s="2"/>
      <c r="L818" s="2"/>
      <c r="M818" s="2"/>
      <c r="N818" s="2"/>
      <c r="O818" s="2"/>
      <c r="P818" s="2"/>
      <c r="Q818" s="2"/>
      <c r="R818" s="2"/>
      <c r="S818" s="2"/>
      <c r="T818" s="2"/>
      <c r="U818" s="2"/>
      <c r="V818" s="2"/>
      <c r="W818" s="2"/>
    </row>
    <row r="819">
      <c r="A819" s="2"/>
      <c r="B819" s="2"/>
      <c r="C819" s="2"/>
      <c r="D819" s="2"/>
      <c r="E819" s="2"/>
      <c r="F819" s="2"/>
      <c r="G819" s="2"/>
      <c r="H819" s="2"/>
      <c r="I819" s="2"/>
      <c r="J819" s="2"/>
      <c r="K819" s="2"/>
      <c r="L819" s="2"/>
      <c r="M819" s="2"/>
      <c r="N819" s="2"/>
      <c r="O819" s="2"/>
      <c r="P819" s="2"/>
      <c r="Q819" s="2"/>
      <c r="R819" s="2"/>
      <c r="S819" s="2"/>
      <c r="T819" s="2"/>
      <c r="U819" s="2"/>
      <c r="V819" s="2"/>
      <c r="W819" s="2"/>
    </row>
    <row r="820">
      <c r="A820" s="2"/>
      <c r="B820" s="2"/>
      <c r="C820" s="2"/>
      <c r="D820" s="2"/>
      <c r="E820" s="2"/>
      <c r="F820" s="2"/>
      <c r="G820" s="2"/>
      <c r="H820" s="2"/>
      <c r="I820" s="2"/>
      <c r="J820" s="2"/>
      <c r="K820" s="2"/>
      <c r="L820" s="2"/>
      <c r="M820" s="2"/>
      <c r="N820" s="2"/>
      <c r="O820" s="2"/>
      <c r="P820" s="2"/>
      <c r="Q820" s="2"/>
      <c r="R820" s="2"/>
      <c r="S820" s="2"/>
      <c r="T820" s="2"/>
      <c r="U820" s="2"/>
      <c r="V820" s="2"/>
      <c r="W820" s="2"/>
    </row>
    <row r="821">
      <c r="A821" s="2"/>
      <c r="B821" s="2"/>
      <c r="C821" s="2"/>
      <c r="D821" s="2"/>
      <c r="E821" s="2"/>
      <c r="F821" s="2"/>
      <c r="G821" s="2"/>
      <c r="H821" s="2"/>
      <c r="I821" s="2"/>
      <c r="J821" s="2"/>
      <c r="K821" s="2"/>
      <c r="L821" s="2"/>
      <c r="M821" s="2"/>
      <c r="N821" s="2"/>
      <c r="O821" s="2"/>
      <c r="P821" s="2"/>
      <c r="Q821" s="2"/>
      <c r="R821" s="2"/>
      <c r="S821" s="2"/>
      <c r="T821" s="2"/>
      <c r="U821" s="2"/>
      <c r="V821" s="2"/>
      <c r="W821" s="2"/>
    </row>
    <row r="822">
      <c r="A822" s="2"/>
      <c r="B822" s="2"/>
      <c r="C822" s="2"/>
      <c r="D822" s="2"/>
      <c r="E822" s="2"/>
      <c r="F822" s="2"/>
      <c r="G822" s="2"/>
      <c r="H822" s="2"/>
      <c r="I822" s="2"/>
      <c r="J822" s="2"/>
      <c r="K822" s="2"/>
      <c r="L822" s="2"/>
      <c r="M822" s="2"/>
      <c r="N822" s="2"/>
      <c r="O822" s="2"/>
      <c r="P822" s="2"/>
      <c r="Q822" s="2"/>
      <c r="R822" s="2"/>
      <c r="S822" s="2"/>
      <c r="T822" s="2"/>
      <c r="U822" s="2"/>
      <c r="V822" s="2"/>
      <c r="W822" s="2"/>
    </row>
    <row r="823">
      <c r="A823" s="2"/>
      <c r="B823" s="2"/>
      <c r="C823" s="2"/>
      <c r="D823" s="2"/>
      <c r="E823" s="2"/>
      <c r="F823" s="2"/>
      <c r="G823" s="2"/>
      <c r="H823" s="2"/>
      <c r="I823" s="2"/>
      <c r="J823" s="2"/>
      <c r="K823" s="2"/>
      <c r="L823" s="2"/>
      <c r="M823" s="2"/>
      <c r="N823" s="2"/>
      <c r="O823" s="2"/>
      <c r="P823" s="2"/>
      <c r="Q823" s="2"/>
      <c r="R823" s="2"/>
      <c r="S823" s="2"/>
      <c r="T823" s="2"/>
      <c r="U823" s="2"/>
      <c r="V823" s="2"/>
      <c r="W823" s="2"/>
    </row>
    <row r="824">
      <c r="A824" s="2"/>
      <c r="B824" s="2"/>
      <c r="C824" s="2"/>
      <c r="D824" s="2"/>
      <c r="E824" s="2"/>
      <c r="F824" s="2"/>
      <c r="G824" s="2"/>
      <c r="H824" s="2"/>
      <c r="I824" s="2"/>
      <c r="J824" s="2"/>
      <c r="K824" s="2"/>
      <c r="L824" s="2"/>
      <c r="M824" s="2"/>
      <c r="N824" s="2"/>
      <c r="O824" s="2"/>
      <c r="P824" s="2"/>
      <c r="Q824" s="2"/>
      <c r="R824" s="2"/>
      <c r="S824" s="2"/>
      <c r="T824" s="2"/>
      <c r="U824" s="2"/>
      <c r="V824" s="2"/>
      <c r="W824" s="2"/>
    </row>
    <row r="825">
      <c r="A825" s="2"/>
      <c r="B825" s="2"/>
      <c r="C825" s="2"/>
      <c r="D825" s="2"/>
      <c r="E825" s="2"/>
      <c r="F825" s="2"/>
      <c r="G825" s="2"/>
      <c r="H825" s="2"/>
      <c r="I825" s="2"/>
      <c r="J825" s="2"/>
      <c r="K825" s="2"/>
      <c r="L825" s="2"/>
      <c r="M825" s="2"/>
      <c r="N825" s="2"/>
      <c r="O825" s="2"/>
      <c r="P825" s="2"/>
      <c r="Q825" s="2"/>
      <c r="R825" s="2"/>
      <c r="S825" s="2"/>
      <c r="T825" s="2"/>
      <c r="U825" s="2"/>
      <c r="V825" s="2"/>
      <c r="W825" s="2"/>
    </row>
    <row r="826">
      <c r="A826" s="2"/>
      <c r="B826" s="2"/>
      <c r="C826" s="2"/>
      <c r="D826" s="2"/>
      <c r="E826" s="2"/>
      <c r="F826" s="2"/>
      <c r="G826" s="2"/>
      <c r="H826" s="2"/>
      <c r="I826" s="2"/>
      <c r="J826" s="2"/>
      <c r="K826" s="2"/>
      <c r="L826" s="2"/>
      <c r="M826" s="2"/>
      <c r="N826" s="2"/>
      <c r="O826" s="2"/>
      <c r="P826" s="2"/>
      <c r="Q826" s="2"/>
      <c r="R826" s="2"/>
      <c r="S826" s="2"/>
      <c r="T826" s="2"/>
      <c r="U826" s="2"/>
      <c r="V826" s="2"/>
      <c r="W826" s="2"/>
    </row>
    <row r="827">
      <c r="A827" s="2"/>
      <c r="B827" s="2"/>
      <c r="C827" s="2"/>
      <c r="D827" s="2"/>
      <c r="E827" s="2"/>
      <c r="F827" s="2"/>
      <c r="G827" s="2"/>
      <c r="H827" s="2"/>
      <c r="I827" s="2"/>
      <c r="J827" s="2"/>
      <c r="K827" s="2"/>
      <c r="L827" s="2"/>
      <c r="M827" s="2"/>
      <c r="N827" s="2"/>
      <c r="O827" s="2"/>
      <c r="P827" s="2"/>
      <c r="Q827" s="2"/>
      <c r="R827" s="2"/>
      <c r="S827" s="2"/>
      <c r="T827" s="2"/>
      <c r="U827" s="2"/>
      <c r="V827" s="2"/>
      <c r="W827" s="2"/>
    </row>
    <row r="828">
      <c r="A828" s="2"/>
      <c r="B828" s="2"/>
      <c r="C828" s="2"/>
      <c r="D828" s="2"/>
      <c r="E828" s="2"/>
      <c r="F828" s="2"/>
      <c r="G828" s="2"/>
      <c r="H828" s="2"/>
      <c r="I828" s="2"/>
      <c r="J828" s="2"/>
      <c r="K828" s="2"/>
      <c r="L828" s="2"/>
      <c r="M828" s="2"/>
      <c r="N828" s="2"/>
      <c r="O828" s="2"/>
      <c r="P828" s="2"/>
      <c r="Q828" s="2"/>
      <c r="R828" s="2"/>
      <c r="S828" s="2"/>
      <c r="T828" s="2"/>
      <c r="U828" s="2"/>
      <c r="V828" s="2"/>
      <c r="W828" s="2"/>
    </row>
    <row r="829">
      <c r="A829" s="2"/>
      <c r="B829" s="2"/>
      <c r="C829" s="2"/>
      <c r="D829" s="2"/>
      <c r="E829" s="2"/>
      <c r="F829" s="2"/>
      <c r="G829" s="2"/>
      <c r="H829" s="2"/>
      <c r="I829" s="2"/>
      <c r="J829" s="2"/>
      <c r="K829" s="2"/>
      <c r="L829" s="2"/>
      <c r="M829" s="2"/>
      <c r="N829" s="2"/>
      <c r="O829" s="2"/>
      <c r="P829" s="2"/>
      <c r="Q829" s="2"/>
      <c r="R829" s="2"/>
      <c r="S829" s="2"/>
      <c r="T829" s="2"/>
      <c r="U829" s="2"/>
      <c r="V829" s="2"/>
      <c r="W829" s="2"/>
    </row>
    <row r="830">
      <c r="A830" s="2"/>
      <c r="B830" s="2"/>
      <c r="C830" s="2"/>
      <c r="D830" s="2"/>
      <c r="E830" s="2"/>
      <c r="F830" s="2"/>
      <c r="G830" s="2"/>
      <c r="H830" s="2"/>
      <c r="I830" s="2"/>
      <c r="J830" s="2"/>
      <c r="K830" s="2"/>
      <c r="L830" s="2"/>
      <c r="M830" s="2"/>
      <c r="N830" s="2"/>
      <c r="O830" s="2"/>
      <c r="P830" s="2"/>
      <c r="Q830" s="2"/>
      <c r="R830" s="2"/>
      <c r="S830" s="2"/>
      <c r="T830" s="2"/>
      <c r="U830" s="2"/>
      <c r="V830" s="2"/>
      <c r="W830" s="2"/>
    </row>
    <row r="831">
      <c r="A831" s="2"/>
      <c r="B831" s="2"/>
      <c r="C831" s="2"/>
      <c r="D831" s="2"/>
      <c r="E831" s="2"/>
      <c r="F831" s="2"/>
      <c r="G831" s="2"/>
      <c r="H831" s="2"/>
      <c r="I831" s="2"/>
      <c r="J831" s="2"/>
      <c r="K831" s="2"/>
      <c r="L831" s="2"/>
      <c r="M831" s="2"/>
      <c r="N831" s="2"/>
      <c r="O831" s="2"/>
      <c r="P831" s="2"/>
      <c r="Q831" s="2"/>
      <c r="R831" s="2"/>
      <c r="S831" s="2"/>
      <c r="T831" s="2"/>
      <c r="U831" s="2"/>
      <c r="V831" s="2"/>
      <c r="W831" s="2"/>
    </row>
    <row r="832">
      <c r="A832" s="2"/>
      <c r="B832" s="2"/>
      <c r="C832" s="2"/>
      <c r="D832" s="2"/>
      <c r="E832" s="2"/>
      <c r="F832" s="2"/>
      <c r="G832" s="2"/>
      <c r="H832" s="2"/>
      <c r="I832" s="2"/>
      <c r="J832" s="2"/>
      <c r="K832" s="2"/>
      <c r="L832" s="2"/>
      <c r="M832" s="2"/>
      <c r="N832" s="2"/>
      <c r="O832" s="2"/>
      <c r="P832" s="2"/>
      <c r="Q832" s="2"/>
      <c r="R832" s="2"/>
      <c r="S832" s="2"/>
      <c r="T832" s="2"/>
      <c r="U832" s="2"/>
      <c r="V832" s="2"/>
      <c r="W832" s="2"/>
    </row>
    <row r="833">
      <c r="A833" s="2"/>
      <c r="B833" s="2"/>
      <c r="C833" s="2"/>
      <c r="D833" s="2"/>
      <c r="E833" s="2"/>
      <c r="F833" s="2"/>
      <c r="G833" s="2"/>
      <c r="H833" s="2"/>
      <c r="I833" s="2"/>
      <c r="J833" s="2"/>
      <c r="K833" s="2"/>
      <c r="L833" s="2"/>
      <c r="M833" s="2"/>
      <c r="N833" s="2"/>
      <c r="O833" s="2"/>
      <c r="P833" s="2"/>
      <c r="Q833" s="2"/>
      <c r="R833" s="2"/>
      <c r="S833" s="2"/>
      <c r="T833" s="2"/>
      <c r="U833" s="2"/>
      <c r="V833" s="2"/>
      <c r="W833" s="2"/>
    </row>
    <row r="834">
      <c r="A834" s="2"/>
      <c r="B834" s="2"/>
      <c r="C834" s="2"/>
      <c r="D834" s="2"/>
      <c r="E834" s="2"/>
      <c r="F834" s="2"/>
      <c r="G834" s="2"/>
      <c r="H834" s="2"/>
      <c r="I834" s="2"/>
      <c r="J834" s="2"/>
      <c r="K834" s="2"/>
      <c r="L834" s="2"/>
      <c r="M834" s="2"/>
      <c r="N834" s="2"/>
      <c r="O834" s="2"/>
      <c r="P834" s="2"/>
      <c r="Q834" s="2"/>
      <c r="R834" s="2"/>
      <c r="S834" s="2"/>
      <c r="T834" s="2"/>
      <c r="U834" s="2"/>
      <c r="V834" s="2"/>
      <c r="W834" s="2"/>
    </row>
    <row r="835">
      <c r="A835" s="2"/>
      <c r="B835" s="2"/>
      <c r="C835" s="2"/>
      <c r="D835" s="2"/>
      <c r="E835" s="2"/>
      <c r="F835" s="2"/>
      <c r="G835" s="2"/>
      <c r="H835" s="2"/>
      <c r="I835" s="2"/>
      <c r="J835" s="2"/>
      <c r="K835" s="2"/>
      <c r="L835" s="2"/>
      <c r="M835" s="2"/>
      <c r="N835" s="2"/>
      <c r="O835" s="2"/>
      <c r="P835" s="2"/>
      <c r="Q835" s="2"/>
      <c r="R835" s="2"/>
      <c r="S835" s="2"/>
      <c r="T835" s="2"/>
      <c r="U835" s="2"/>
      <c r="V835" s="2"/>
      <c r="W835" s="2"/>
    </row>
    <row r="836">
      <c r="A836" s="2"/>
      <c r="B836" s="2"/>
      <c r="C836" s="2"/>
      <c r="D836" s="2"/>
      <c r="E836" s="2"/>
      <c r="F836" s="2"/>
      <c r="G836" s="2"/>
      <c r="H836" s="2"/>
      <c r="I836" s="2"/>
      <c r="J836" s="2"/>
      <c r="K836" s="2"/>
      <c r="L836" s="2"/>
      <c r="M836" s="2"/>
      <c r="N836" s="2"/>
      <c r="O836" s="2"/>
      <c r="P836" s="2"/>
      <c r="Q836" s="2"/>
      <c r="R836" s="2"/>
      <c r="S836" s="2"/>
      <c r="T836" s="2"/>
      <c r="U836" s="2"/>
      <c r="V836" s="2"/>
      <c r="W836" s="2"/>
    </row>
    <row r="837">
      <c r="A837" s="2"/>
      <c r="B837" s="2"/>
      <c r="C837" s="2"/>
      <c r="D837" s="2"/>
      <c r="E837" s="2"/>
      <c r="F837" s="2"/>
      <c r="G837" s="2"/>
      <c r="H837" s="2"/>
      <c r="I837" s="2"/>
      <c r="J837" s="2"/>
      <c r="K837" s="2"/>
      <c r="L837" s="2"/>
      <c r="M837" s="2"/>
      <c r="N837" s="2"/>
      <c r="O837" s="2"/>
      <c r="P837" s="2"/>
      <c r="Q837" s="2"/>
      <c r="R837" s="2"/>
      <c r="S837" s="2"/>
      <c r="T837" s="2"/>
      <c r="U837" s="2"/>
      <c r="V837" s="2"/>
      <c r="W837" s="2"/>
    </row>
    <row r="838">
      <c r="A838" s="2"/>
      <c r="B838" s="2"/>
      <c r="C838" s="2"/>
      <c r="D838" s="2"/>
      <c r="E838" s="2"/>
      <c r="F838" s="2"/>
      <c r="G838" s="2"/>
      <c r="H838" s="2"/>
      <c r="I838" s="2"/>
      <c r="J838" s="2"/>
      <c r="K838" s="2"/>
      <c r="L838" s="2"/>
      <c r="M838" s="2"/>
      <c r="N838" s="2"/>
      <c r="O838" s="2"/>
      <c r="P838" s="2"/>
      <c r="Q838" s="2"/>
      <c r="R838" s="2"/>
      <c r="S838" s="2"/>
      <c r="T838" s="2"/>
      <c r="U838" s="2"/>
      <c r="V838" s="2"/>
      <c r="W838" s="2"/>
    </row>
    <row r="839">
      <c r="A839" s="2"/>
      <c r="B839" s="2"/>
      <c r="C839" s="2"/>
      <c r="D839" s="2"/>
      <c r="E839" s="2"/>
      <c r="F839" s="2"/>
      <c r="G839" s="2"/>
      <c r="H839" s="2"/>
      <c r="I839" s="2"/>
      <c r="J839" s="2"/>
      <c r="K839" s="2"/>
      <c r="L839" s="2"/>
      <c r="M839" s="2"/>
      <c r="N839" s="2"/>
      <c r="O839" s="2"/>
      <c r="P839" s="2"/>
      <c r="Q839" s="2"/>
      <c r="R839" s="2"/>
      <c r="S839" s="2"/>
      <c r="T839" s="2"/>
      <c r="U839" s="2"/>
      <c r="V839" s="2"/>
      <c r="W839" s="2"/>
    </row>
    <row r="840">
      <c r="A840" s="2"/>
      <c r="B840" s="2"/>
      <c r="C840" s="2"/>
      <c r="D840" s="2"/>
      <c r="E840" s="2"/>
      <c r="F840" s="2"/>
      <c r="G840" s="2"/>
      <c r="H840" s="2"/>
      <c r="I840" s="2"/>
      <c r="J840" s="2"/>
      <c r="K840" s="2"/>
      <c r="L840" s="2"/>
      <c r="M840" s="2"/>
      <c r="N840" s="2"/>
      <c r="O840" s="2"/>
      <c r="P840" s="2"/>
      <c r="Q840" s="2"/>
      <c r="R840" s="2"/>
      <c r="S840" s="2"/>
      <c r="T840" s="2"/>
      <c r="U840" s="2"/>
      <c r="V840" s="2"/>
      <c r="W840" s="2"/>
    </row>
    <row r="841">
      <c r="A841" s="2"/>
      <c r="B841" s="2"/>
      <c r="C841" s="2"/>
      <c r="D841" s="2"/>
      <c r="E841" s="2"/>
      <c r="F841" s="2"/>
      <c r="G841" s="2"/>
      <c r="H841" s="2"/>
      <c r="I841" s="2"/>
      <c r="J841" s="2"/>
      <c r="K841" s="2"/>
      <c r="L841" s="2"/>
      <c r="M841" s="2"/>
      <c r="N841" s="2"/>
      <c r="O841" s="2"/>
      <c r="P841" s="2"/>
      <c r="Q841" s="2"/>
      <c r="R841" s="2"/>
      <c r="S841" s="2"/>
      <c r="T841" s="2"/>
      <c r="U841" s="2"/>
      <c r="V841" s="2"/>
      <c r="W841" s="2"/>
    </row>
    <row r="842">
      <c r="A842" s="2"/>
      <c r="B842" s="2"/>
      <c r="C842" s="2"/>
      <c r="D842" s="2"/>
      <c r="E842" s="2"/>
      <c r="F842" s="2"/>
      <c r="G842" s="2"/>
      <c r="H842" s="2"/>
      <c r="I842" s="2"/>
      <c r="J842" s="2"/>
      <c r="K842" s="2"/>
      <c r="L842" s="2"/>
      <c r="M842" s="2"/>
      <c r="N842" s="2"/>
      <c r="O842" s="2"/>
      <c r="P842" s="2"/>
      <c r="Q842" s="2"/>
      <c r="R842" s="2"/>
      <c r="S842" s="2"/>
      <c r="T842" s="2"/>
      <c r="U842" s="2"/>
      <c r="V842" s="2"/>
      <c r="W842" s="2"/>
    </row>
    <row r="843">
      <c r="A843" s="2"/>
      <c r="B843" s="2"/>
      <c r="C843" s="2"/>
      <c r="D843" s="2"/>
      <c r="E843" s="2"/>
      <c r="F843" s="2"/>
      <c r="G843" s="2"/>
      <c r="H843" s="2"/>
      <c r="I843" s="2"/>
      <c r="J843" s="2"/>
      <c r="K843" s="2"/>
      <c r="L843" s="2"/>
      <c r="M843" s="2"/>
      <c r="N843" s="2"/>
      <c r="O843" s="2"/>
      <c r="P843" s="2"/>
      <c r="Q843" s="2"/>
      <c r="R843" s="2"/>
      <c r="S843" s="2"/>
      <c r="T843" s="2"/>
      <c r="U843" s="2"/>
      <c r="V843" s="2"/>
      <c r="W843" s="2"/>
    </row>
    <row r="844">
      <c r="A844" s="2"/>
      <c r="B844" s="2"/>
      <c r="C844" s="2"/>
      <c r="D844" s="2"/>
      <c r="E844" s="2"/>
      <c r="F844" s="2"/>
      <c r="G844" s="2"/>
      <c r="H844" s="2"/>
      <c r="I844" s="2"/>
      <c r="J844" s="2"/>
      <c r="K844" s="2"/>
      <c r="L844" s="2"/>
      <c r="M844" s="2"/>
      <c r="N844" s="2"/>
      <c r="O844" s="2"/>
      <c r="P844" s="2"/>
      <c r="Q844" s="2"/>
      <c r="R844" s="2"/>
      <c r="S844" s="2"/>
      <c r="T844" s="2"/>
      <c r="U844" s="2"/>
      <c r="V844" s="2"/>
      <c r="W844" s="2"/>
    </row>
    <row r="845">
      <c r="A845" s="2"/>
      <c r="B845" s="2"/>
      <c r="C845" s="2"/>
      <c r="D845" s="2"/>
      <c r="E845" s="2"/>
      <c r="F845" s="2"/>
      <c r="G845" s="2"/>
      <c r="H845" s="2"/>
      <c r="I845" s="2"/>
      <c r="J845" s="2"/>
      <c r="K845" s="2"/>
      <c r="L845" s="2"/>
      <c r="M845" s="2"/>
      <c r="N845" s="2"/>
      <c r="O845" s="2"/>
      <c r="P845" s="2"/>
      <c r="Q845" s="2"/>
      <c r="R845" s="2"/>
      <c r="S845" s="2"/>
      <c r="T845" s="2"/>
      <c r="U845" s="2"/>
      <c r="V845" s="2"/>
      <c r="W845" s="2"/>
    </row>
    <row r="846">
      <c r="A846" s="2"/>
      <c r="B846" s="2"/>
      <c r="C846" s="2"/>
      <c r="D846" s="2"/>
      <c r="E846" s="2"/>
      <c r="F846" s="2"/>
      <c r="G846" s="2"/>
      <c r="H846" s="2"/>
      <c r="I846" s="2"/>
      <c r="J846" s="2"/>
      <c r="K846" s="2"/>
      <c r="L846" s="2"/>
      <c r="M846" s="2"/>
      <c r="N846" s="2"/>
      <c r="O846" s="2"/>
      <c r="P846" s="2"/>
      <c r="Q846" s="2"/>
      <c r="R846" s="2"/>
      <c r="S846" s="2"/>
      <c r="T846" s="2"/>
      <c r="U846" s="2"/>
      <c r="V846" s="2"/>
      <c r="W846" s="2"/>
    </row>
    <row r="847">
      <c r="A847" s="2"/>
      <c r="B847" s="2"/>
      <c r="C847" s="2"/>
      <c r="D847" s="2"/>
      <c r="E847" s="2"/>
      <c r="F847" s="2"/>
      <c r="G847" s="2"/>
      <c r="H847" s="2"/>
      <c r="I847" s="2"/>
      <c r="J847" s="2"/>
      <c r="K847" s="2"/>
      <c r="L847" s="2"/>
      <c r="M847" s="2"/>
      <c r="N847" s="2"/>
      <c r="O847" s="2"/>
      <c r="P847" s="2"/>
      <c r="Q847" s="2"/>
      <c r="R847" s="2"/>
      <c r="S847" s="2"/>
      <c r="T847" s="2"/>
      <c r="U847" s="2"/>
      <c r="V847" s="2"/>
      <c r="W847" s="2"/>
    </row>
    <row r="848">
      <c r="A848" s="2"/>
      <c r="B848" s="2"/>
      <c r="C848" s="2"/>
      <c r="D848" s="2"/>
      <c r="E848" s="2"/>
      <c r="F848" s="2"/>
      <c r="G848" s="2"/>
      <c r="H848" s="2"/>
      <c r="I848" s="2"/>
      <c r="J848" s="2"/>
      <c r="K848" s="2"/>
      <c r="L848" s="2"/>
      <c r="M848" s="2"/>
      <c r="N848" s="2"/>
      <c r="O848" s="2"/>
      <c r="P848" s="2"/>
      <c r="Q848" s="2"/>
      <c r="R848" s="2"/>
      <c r="S848" s="2"/>
      <c r="T848" s="2"/>
      <c r="U848" s="2"/>
      <c r="V848" s="2"/>
      <c r="W848" s="2"/>
    </row>
    <row r="849">
      <c r="A849" s="2"/>
      <c r="B849" s="2"/>
      <c r="C849" s="2"/>
      <c r="D849" s="2"/>
      <c r="E849" s="2"/>
      <c r="F849" s="2"/>
      <c r="G849" s="2"/>
      <c r="H849" s="2"/>
      <c r="I849" s="2"/>
      <c r="J849" s="2"/>
      <c r="K849" s="2"/>
      <c r="L849" s="2"/>
      <c r="M849" s="2"/>
      <c r="N849" s="2"/>
      <c r="O849" s="2"/>
      <c r="P849" s="2"/>
      <c r="Q849" s="2"/>
      <c r="R849" s="2"/>
      <c r="S849" s="2"/>
      <c r="T849" s="2"/>
      <c r="U849" s="2"/>
      <c r="V849" s="2"/>
      <c r="W849" s="2"/>
    </row>
    <row r="850">
      <c r="A850" s="2"/>
      <c r="B850" s="2"/>
      <c r="C850" s="2"/>
      <c r="D850" s="2"/>
      <c r="E850" s="2"/>
      <c r="F850" s="2"/>
      <c r="G850" s="2"/>
      <c r="H850" s="2"/>
      <c r="I850" s="2"/>
      <c r="J850" s="2"/>
      <c r="K850" s="2"/>
      <c r="L850" s="2"/>
      <c r="M850" s="2"/>
      <c r="N850" s="2"/>
      <c r="O850" s="2"/>
      <c r="P850" s="2"/>
      <c r="Q850" s="2"/>
      <c r="R850" s="2"/>
      <c r="S850" s="2"/>
      <c r="T850" s="2"/>
      <c r="U850" s="2"/>
      <c r="V850" s="2"/>
      <c r="W850" s="2"/>
    </row>
    <row r="851">
      <c r="A851" s="2"/>
      <c r="B851" s="2"/>
      <c r="C851" s="2"/>
      <c r="D851" s="2"/>
      <c r="E851" s="2"/>
      <c r="F851" s="2"/>
      <c r="G851" s="2"/>
      <c r="H851" s="2"/>
      <c r="I851" s="2"/>
      <c r="J851" s="2"/>
      <c r="K851" s="2"/>
      <c r="L851" s="2"/>
      <c r="M851" s="2"/>
      <c r="N851" s="2"/>
      <c r="O851" s="2"/>
      <c r="P851" s="2"/>
      <c r="Q851" s="2"/>
      <c r="R851" s="2"/>
      <c r="S851" s="2"/>
      <c r="T851" s="2"/>
      <c r="U851" s="2"/>
      <c r="V851" s="2"/>
      <c r="W851" s="2"/>
    </row>
    <row r="852">
      <c r="A852" s="2"/>
      <c r="B852" s="2"/>
      <c r="C852" s="2"/>
      <c r="D852" s="2"/>
      <c r="E852" s="2"/>
      <c r="F852" s="2"/>
      <c r="G852" s="2"/>
      <c r="H852" s="2"/>
      <c r="I852" s="2"/>
      <c r="J852" s="2"/>
      <c r="K852" s="2"/>
      <c r="L852" s="2"/>
      <c r="M852" s="2"/>
      <c r="N852" s="2"/>
      <c r="O852" s="2"/>
      <c r="P852" s="2"/>
      <c r="Q852" s="2"/>
      <c r="R852" s="2"/>
      <c r="S852" s="2"/>
      <c r="T852" s="2"/>
      <c r="U852" s="2"/>
      <c r="V852" s="2"/>
      <c r="W852" s="2"/>
    </row>
    <row r="853">
      <c r="A853" s="2"/>
      <c r="B853" s="2"/>
      <c r="C853" s="2"/>
      <c r="D853" s="2"/>
      <c r="E853" s="2"/>
      <c r="F853" s="2"/>
      <c r="G853" s="2"/>
      <c r="H853" s="2"/>
      <c r="I853" s="2"/>
      <c r="J853" s="2"/>
      <c r="K853" s="2"/>
      <c r="L853" s="2"/>
      <c r="M853" s="2"/>
      <c r="N853" s="2"/>
      <c r="O853" s="2"/>
      <c r="P853" s="2"/>
      <c r="Q853" s="2"/>
      <c r="R853" s="2"/>
      <c r="S853" s="2"/>
      <c r="T853" s="2"/>
      <c r="U853" s="2"/>
      <c r="V853" s="2"/>
      <c r="W853" s="2"/>
    </row>
    <row r="854">
      <c r="A854" s="2"/>
      <c r="B854" s="2"/>
      <c r="C854" s="2"/>
      <c r="D854" s="2"/>
      <c r="E854" s="2"/>
      <c r="F854" s="2"/>
      <c r="G854" s="2"/>
      <c r="H854" s="2"/>
      <c r="I854" s="2"/>
      <c r="J854" s="2"/>
      <c r="K854" s="2"/>
      <c r="L854" s="2"/>
      <c r="M854" s="2"/>
      <c r="N854" s="2"/>
      <c r="O854" s="2"/>
      <c r="P854" s="2"/>
      <c r="Q854" s="2"/>
      <c r="R854" s="2"/>
      <c r="S854" s="2"/>
      <c r="T854" s="2"/>
      <c r="U854" s="2"/>
      <c r="V854" s="2"/>
      <c r="W854" s="2"/>
    </row>
    <row r="855">
      <c r="A855" s="2"/>
      <c r="B855" s="2"/>
      <c r="C855" s="2"/>
      <c r="D855" s="2"/>
      <c r="E855" s="2"/>
      <c r="F855" s="2"/>
      <c r="G855" s="2"/>
      <c r="H855" s="2"/>
      <c r="I855" s="2"/>
      <c r="J855" s="2"/>
      <c r="K855" s="2"/>
      <c r="L855" s="2"/>
      <c r="M855" s="2"/>
      <c r="N855" s="2"/>
      <c r="O855" s="2"/>
      <c r="P855" s="2"/>
      <c r="Q855" s="2"/>
      <c r="R855" s="2"/>
      <c r="S855" s="2"/>
      <c r="T855" s="2"/>
      <c r="U855" s="2"/>
      <c r="V855" s="2"/>
      <c r="W855" s="2"/>
    </row>
    <row r="856">
      <c r="A856" s="2"/>
      <c r="B856" s="2"/>
      <c r="C856" s="2"/>
      <c r="D856" s="2"/>
      <c r="E856" s="2"/>
      <c r="F856" s="2"/>
      <c r="G856" s="2"/>
      <c r="H856" s="2"/>
      <c r="I856" s="2"/>
      <c r="J856" s="2"/>
      <c r="K856" s="2"/>
      <c r="L856" s="2"/>
      <c r="M856" s="2"/>
      <c r="N856" s="2"/>
      <c r="O856" s="2"/>
      <c r="P856" s="2"/>
      <c r="Q856" s="2"/>
      <c r="R856" s="2"/>
      <c r="S856" s="2"/>
      <c r="T856" s="2"/>
      <c r="U856" s="2"/>
      <c r="V856" s="2"/>
      <c r="W856" s="2"/>
    </row>
    <row r="857">
      <c r="A857" s="2"/>
      <c r="B857" s="2"/>
      <c r="C857" s="2"/>
      <c r="D857" s="2"/>
      <c r="E857" s="2"/>
      <c r="F857" s="2"/>
      <c r="G857" s="2"/>
      <c r="H857" s="2"/>
      <c r="I857" s="2"/>
      <c r="J857" s="2"/>
      <c r="K857" s="2"/>
      <c r="L857" s="2"/>
      <c r="M857" s="2"/>
      <c r="N857" s="2"/>
      <c r="O857" s="2"/>
      <c r="P857" s="2"/>
      <c r="Q857" s="2"/>
      <c r="R857" s="2"/>
      <c r="S857" s="2"/>
      <c r="T857" s="2"/>
      <c r="U857" s="2"/>
      <c r="V857" s="2"/>
      <c r="W857" s="2"/>
    </row>
    <row r="858">
      <c r="A858" s="2"/>
      <c r="B858" s="2"/>
      <c r="C858" s="2"/>
      <c r="D858" s="2"/>
      <c r="E858" s="2"/>
      <c r="F858" s="2"/>
      <c r="G858" s="2"/>
      <c r="H858" s="2"/>
      <c r="I858" s="2"/>
      <c r="J858" s="2"/>
      <c r="K858" s="2"/>
      <c r="L858" s="2"/>
      <c r="M858" s="2"/>
      <c r="N858" s="2"/>
      <c r="O858" s="2"/>
      <c r="P858" s="2"/>
      <c r="Q858" s="2"/>
      <c r="R858" s="2"/>
      <c r="S858" s="2"/>
      <c r="T858" s="2"/>
      <c r="U858" s="2"/>
      <c r="V858" s="2"/>
      <c r="W858" s="2"/>
    </row>
    <row r="859">
      <c r="A859" s="2"/>
      <c r="B859" s="2"/>
      <c r="C859" s="2"/>
      <c r="D859" s="2"/>
      <c r="E859" s="2"/>
      <c r="F859" s="2"/>
      <c r="G859" s="2"/>
      <c r="H859" s="2"/>
      <c r="I859" s="2"/>
      <c r="J859" s="2"/>
      <c r="K859" s="2"/>
      <c r="L859" s="2"/>
      <c r="M859" s="2"/>
      <c r="N859" s="2"/>
      <c r="O859" s="2"/>
      <c r="P859" s="2"/>
      <c r="Q859" s="2"/>
      <c r="R859" s="2"/>
      <c r="S859" s="2"/>
      <c r="T859" s="2"/>
      <c r="U859" s="2"/>
      <c r="V859" s="2"/>
      <c r="W859" s="2"/>
    </row>
    <row r="860">
      <c r="A860" s="2"/>
      <c r="B860" s="2"/>
      <c r="C860" s="2"/>
      <c r="D860" s="2"/>
      <c r="E860" s="2"/>
      <c r="F860" s="2"/>
      <c r="G860" s="2"/>
      <c r="H860" s="2"/>
      <c r="I860" s="2"/>
      <c r="J860" s="2"/>
      <c r="K860" s="2"/>
      <c r="L860" s="2"/>
      <c r="M860" s="2"/>
      <c r="N860" s="2"/>
      <c r="O860" s="2"/>
      <c r="P860" s="2"/>
      <c r="Q860" s="2"/>
      <c r="R860" s="2"/>
      <c r="S860" s="2"/>
      <c r="T860" s="2"/>
      <c r="U860" s="2"/>
      <c r="V860" s="2"/>
      <c r="W860" s="2"/>
    </row>
    <row r="861">
      <c r="A861" s="2"/>
      <c r="B861" s="2"/>
      <c r="C861" s="2"/>
      <c r="D861" s="2"/>
      <c r="E861" s="2"/>
      <c r="F861" s="2"/>
      <c r="G861" s="2"/>
      <c r="H861" s="2"/>
      <c r="I861" s="2"/>
      <c r="J861" s="2"/>
      <c r="K861" s="2"/>
      <c r="L861" s="2"/>
      <c r="M861" s="2"/>
      <c r="N861" s="2"/>
      <c r="O861" s="2"/>
      <c r="P861" s="2"/>
      <c r="Q861" s="2"/>
      <c r="R861" s="2"/>
      <c r="S861" s="2"/>
      <c r="T861" s="2"/>
      <c r="U861" s="2"/>
      <c r="V861" s="2"/>
      <c r="W861" s="2"/>
    </row>
    <row r="862">
      <c r="A862" s="2"/>
      <c r="B862" s="2"/>
      <c r="C862" s="2"/>
      <c r="D862" s="2"/>
      <c r="E862" s="2"/>
      <c r="F862" s="2"/>
      <c r="G862" s="2"/>
      <c r="H862" s="2"/>
      <c r="I862" s="2"/>
      <c r="J862" s="2"/>
      <c r="K862" s="2"/>
      <c r="L862" s="2"/>
      <c r="M862" s="2"/>
      <c r="N862" s="2"/>
      <c r="O862" s="2"/>
      <c r="P862" s="2"/>
      <c r="Q862" s="2"/>
      <c r="R862" s="2"/>
      <c r="S862" s="2"/>
      <c r="T862" s="2"/>
      <c r="U862" s="2"/>
      <c r="V862" s="2"/>
      <c r="W862" s="2"/>
    </row>
    <row r="863">
      <c r="A863" s="2"/>
      <c r="B863" s="2"/>
      <c r="C863" s="2"/>
      <c r="D863" s="2"/>
      <c r="E863" s="2"/>
      <c r="F863" s="2"/>
      <c r="G863" s="2"/>
      <c r="H863" s="2"/>
      <c r="I863" s="2"/>
      <c r="J863" s="2"/>
      <c r="K863" s="2"/>
      <c r="L863" s="2"/>
      <c r="M863" s="2"/>
      <c r="N863" s="2"/>
      <c r="O863" s="2"/>
      <c r="P863" s="2"/>
      <c r="Q863" s="2"/>
      <c r="R863" s="2"/>
      <c r="S863" s="2"/>
      <c r="T863" s="2"/>
      <c r="U863" s="2"/>
      <c r="V863" s="2"/>
      <c r="W863" s="2"/>
    </row>
    <row r="864">
      <c r="A864" s="2"/>
      <c r="B864" s="2"/>
      <c r="C864" s="2"/>
      <c r="D864" s="2"/>
      <c r="E864" s="2"/>
      <c r="F864" s="2"/>
      <c r="G864" s="2"/>
      <c r="H864" s="2"/>
      <c r="I864" s="2"/>
      <c r="J864" s="2"/>
      <c r="K864" s="2"/>
      <c r="L864" s="2"/>
      <c r="M864" s="2"/>
      <c r="N864" s="2"/>
      <c r="O864" s="2"/>
      <c r="P864" s="2"/>
      <c r="Q864" s="2"/>
      <c r="R864" s="2"/>
      <c r="S864" s="2"/>
      <c r="T864" s="2"/>
      <c r="U864" s="2"/>
      <c r="V864" s="2"/>
      <c r="W864" s="2"/>
    </row>
    <row r="865">
      <c r="A865" s="2"/>
      <c r="B865" s="2"/>
      <c r="C865" s="2"/>
      <c r="D865" s="2"/>
      <c r="E865" s="2"/>
      <c r="F865" s="2"/>
      <c r="G865" s="2"/>
      <c r="H865" s="2"/>
      <c r="I865" s="2"/>
      <c r="J865" s="2"/>
      <c r="K865" s="2"/>
      <c r="L865" s="2"/>
      <c r="M865" s="2"/>
      <c r="N865" s="2"/>
      <c r="O865" s="2"/>
      <c r="P865" s="2"/>
      <c r="Q865" s="2"/>
      <c r="R865" s="2"/>
      <c r="S865" s="2"/>
      <c r="T865" s="2"/>
      <c r="U865" s="2"/>
      <c r="V865" s="2"/>
      <c r="W865" s="2"/>
    </row>
    <row r="866">
      <c r="A866" s="2"/>
      <c r="B866" s="2"/>
      <c r="C866" s="2"/>
      <c r="D866" s="2"/>
      <c r="E866" s="2"/>
      <c r="F866" s="2"/>
      <c r="G866" s="2"/>
      <c r="H866" s="2"/>
      <c r="I866" s="2"/>
      <c r="J866" s="2"/>
      <c r="K866" s="2"/>
      <c r="L866" s="2"/>
      <c r="M866" s="2"/>
      <c r="N866" s="2"/>
      <c r="O866" s="2"/>
      <c r="P866" s="2"/>
      <c r="Q866" s="2"/>
      <c r="R866" s="2"/>
      <c r="S866" s="2"/>
      <c r="T866" s="2"/>
      <c r="U866" s="2"/>
      <c r="V866" s="2"/>
      <c r="W866" s="2"/>
    </row>
    <row r="867">
      <c r="A867" s="2"/>
      <c r="B867" s="2"/>
      <c r="C867" s="2"/>
      <c r="D867" s="2"/>
      <c r="E867" s="2"/>
      <c r="F867" s="2"/>
      <c r="G867" s="2"/>
      <c r="H867" s="2"/>
      <c r="I867" s="2"/>
      <c r="J867" s="2"/>
      <c r="K867" s="2"/>
      <c r="L867" s="2"/>
      <c r="M867" s="2"/>
      <c r="N867" s="2"/>
      <c r="O867" s="2"/>
      <c r="P867" s="2"/>
      <c r="Q867" s="2"/>
      <c r="R867" s="2"/>
      <c r="S867" s="2"/>
      <c r="T867" s="2"/>
      <c r="U867" s="2"/>
      <c r="V867" s="2"/>
      <c r="W867" s="2"/>
    </row>
    <row r="868">
      <c r="A868" s="2"/>
      <c r="B868" s="2"/>
      <c r="C868" s="2"/>
      <c r="D868" s="2"/>
      <c r="E868" s="2"/>
      <c r="F868" s="2"/>
      <c r="G868" s="2"/>
      <c r="H868" s="2"/>
      <c r="I868" s="2"/>
      <c r="J868" s="2"/>
      <c r="K868" s="2"/>
      <c r="L868" s="2"/>
      <c r="M868" s="2"/>
      <c r="N868" s="2"/>
      <c r="O868" s="2"/>
      <c r="P868" s="2"/>
      <c r="Q868" s="2"/>
      <c r="R868" s="2"/>
      <c r="S868" s="2"/>
      <c r="T868" s="2"/>
      <c r="U868" s="2"/>
      <c r="V868" s="2"/>
      <c r="W868" s="2"/>
    </row>
    <row r="869">
      <c r="A869" s="2"/>
      <c r="B869" s="2"/>
      <c r="C869" s="2"/>
      <c r="D869" s="2"/>
      <c r="E869" s="2"/>
      <c r="F869" s="2"/>
      <c r="G869" s="2"/>
      <c r="H869" s="2"/>
      <c r="I869" s="2"/>
      <c r="J869" s="2"/>
      <c r="K869" s="2"/>
      <c r="L869" s="2"/>
      <c r="M869" s="2"/>
      <c r="N869" s="2"/>
      <c r="O869" s="2"/>
      <c r="P869" s="2"/>
      <c r="Q869" s="2"/>
      <c r="R869" s="2"/>
      <c r="S869" s="2"/>
      <c r="T869" s="2"/>
      <c r="U869" s="2"/>
      <c r="V869" s="2"/>
      <c r="W869" s="2"/>
    </row>
    <row r="870">
      <c r="A870" s="2"/>
      <c r="B870" s="2"/>
      <c r="C870" s="2"/>
      <c r="D870" s="2"/>
      <c r="E870" s="2"/>
      <c r="F870" s="2"/>
      <c r="G870" s="2"/>
      <c r="H870" s="2"/>
      <c r="I870" s="2"/>
      <c r="J870" s="2"/>
      <c r="K870" s="2"/>
      <c r="L870" s="2"/>
      <c r="M870" s="2"/>
      <c r="N870" s="2"/>
      <c r="O870" s="2"/>
      <c r="P870" s="2"/>
      <c r="Q870" s="2"/>
      <c r="R870" s="2"/>
      <c r="S870" s="2"/>
      <c r="T870" s="2"/>
      <c r="U870" s="2"/>
      <c r="V870" s="2"/>
      <c r="W870" s="2"/>
    </row>
    <row r="871">
      <c r="A871" s="2"/>
      <c r="B871" s="2"/>
      <c r="C871" s="2"/>
      <c r="D871" s="2"/>
      <c r="E871" s="2"/>
      <c r="F871" s="2"/>
      <c r="G871" s="2"/>
      <c r="H871" s="2"/>
      <c r="I871" s="2"/>
      <c r="J871" s="2"/>
      <c r="K871" s="2"/>
      <c r="L871" s="2"/>
      <c r="M871" s="2"/>
      <c r="N871" s="2"/>
      <c r="O871" s="2"/>
      <c r="P871" s="2"/>
      <c r="Q871" s="2"/>
      <c r="R871" s="2"/>
      <c r="S871" s="2"/>
      <c r="T871" s="2"/>
      <c r="U871" s="2"/>
      <c r="V871" s="2"/>
      <c r="W871" s="2"/>
    </row>
    <row r="872">
      <c r="A872" s="2"/>
      <c r="B872" s="2"/>
      <c r="C872" s="2"/>
      <c r="D872" s="2"/>
      <c r="E872" s="2"/>
      <c r="F872" s="2"/>
      <c r="G872" s="2"/>
      <c r="H872" s="2"/>
      <c r="I872" s="2"/>
      <c r="J872" s="2"/>
      <c r="K872" s="2"/>
      <c r="L872" s="2"/>
      <c r="M872" s="2"/>
      <c r="N872" s="2"/>
      <c r="O872" s="2"/>
      <c r="P872" s="2"/>
      <c r="Q872" s="2"/>
      <c r="R872" s="2"/>
      <c r="S872" s="2"/>
      <c r="T872" s="2"/>
      <c r="U872" s="2"/>
      <c r="V872" s="2"/>
      <c r="W872" s="2"/>
    </row>
    <row r="873">
      <c r="A873" s="2"/>
      <c r="B873" s="2"/>
      <c r="C873" s="2"/>
      <c r="D873" s="2"/>
      <c r="E873" s="2"/>
      <c r="F873" s="2"/>
      <c r="G873" s="2"/>
      <c r="H873" s="2"/>
      <c r="I873" s="2"/>
      <c r="J873" s="2"/>
      <c r="K873" s="2"/>
      <c r="L873" s="2"/>
      <c r="M873" s="2"/>
      <c r="N873" s="2"/>
      <c r="O873" s="2"/>
      <c r="P873" s="2"/>
      <c r="Q873" s="2"/>
      <c r="R873" s="2"/>
      <c r="S873" s="2"/>
      <c r="T873" s="2"/>
      <c r="U873" s="2"/>
      <c r="V873" s="2"/>
      <c r="W873" s="2"/>
    </row>
    <row r="874">
      <c r="A874" s="2"/>
      <c r="B874" s="2"/>
      <c r="C874" s="2"/>
      <c r="D874" s="2"/>
      <c r="E874" s="2"/>
      <c r="F874" s="2"/>
      <c r="G874" s="2"/>
      <c r="H874" s="2"/>
      <c r="I874" s="2"/>
      <c r="J874" s="2"/>
      <c r="K874" s="2"/>
      <c r="L874" s="2"/>
      <c r="M874" s="2"/>
      <c r="N874" s="2"/>
      <c r="O874" s="2"/>
      <c r="P874" s="2"/>
      <c r="Q874" s="2"/>
      <c r="R874" s="2"/>
      <c r="S874" s="2"/>
      <c r="T874" s="2"/>
      <c r="U874" s="2"/>
      <c r="V874" s="2"/>
      <c r="W874" s="2"/>
    </row>
    <row r="875">
      <c r="A875" s="2"/>
      <c r="B875" s="2"/>
      <c r="C875" s="2"/>
      <c r="D875" s="2"/>
      <c r="E875" s="2"/>
      <c r="F875" s="2"/>
      <c r="G875" s="2"/>
      <c r="H875" s="2"/>
      <c r="I875" s="2"/>
      <c r="J875" s="2"/>
      <c r="K875" s="2"/>
      <c r="L875" s="2"/>
      <c r="M875" s="2"/>
      <c r="N875" s="2"/>
      <c r="O875" s="2"/>
      <c r="P875" s="2"/>
      <c r="Q875" s="2"/>
      <c r="R875" s="2"/>
      <c r="S875" s="2"/>
      <c r="T875" s="2"/>
      <c r="U875" s="2"/>
      <c r="V875" s="2"/>
      <c r="W875" s="2"/>
    </row>
    <row r="876">
      <c r="A876" s="2"/>
      <c r="B876" s="2"/>
      <c r="C876" s="2"/>
      <c r="D876" s="2"/>
      <c r="E876" s="2"/>
      <c r="F876" s="2"/>
      <c r="G876" s="2"/>
      <c r="H876" s="2"/>
      <c r="I876" s="2"/>
      <c r="J876" s="2"/>
      <c r="K876" s="2"/>
      <c r="L876" s="2"/>
      <c r="M876" s="2"/>
      <c r="N876" s="2"/>
      <c r="O876" s="2"/>
      <c r="P876" s="2"/>
      <c r="Q876" s="2"/>
      <c r="R876" s="2"/>
      <c r="S876" s="2"/>
      <c r="T876" s="2"/>
      <c r="U876" s="2"/>
      <c r="V876" s="2"/>
      <c r="W876" s="2"/>
    </row>
    <row r="877">
      <c r="A877" s="2"/>
      <c r="B877" s="2"/>
      <c r="C877" s="2"/>
      <c r="D877" s="2"/>
      <c r="E877" s="2"/>
      <c r="F877" s="2"/>
      <c r="G877" s="2"/>
      <c r="H877" s="2"/>
      <c r="I877" s="2"/>
      <c r="J877" s="2"/>
      <c r="K877" s="2"/>
      <c r="L877" s="2"/>
      <c r="M877" s="2"/>
      <c r="N877" s="2"/>
      <c r="O877" s="2"/>
      <c r="P877" s="2"/>
      <c r="Q877" s="2"/>
      <c r="R877" s="2"/>
      <c r="S877" s="2"/>
      <c r="T877" s="2"/>
      <c r="U877" s="2"/>
      <c r="V877" s="2"/>
      <c r="W877" s="2"/>
    </row>
    <row r="878">
      <c r="A878" s="2"/>
      <c r="B878" s="2"/>
      <c r="C878" s="2"/>
      <c r="D878" s="2"/>
      <c r="E878" s="2"/>
      <c r="F878" s="2"/>
      <c r="G878" s="2"/>
      <c r="H878" s="2"/>
      <c r="I878" s="2"/>
      <c r="J878" s="2"/>
      <c r="K878" s="2"/>
      <c r="L878" s="2"/>
      <c r="M878" s="2"/>
      <c r="N878" s="2"/>
      <c r="O878" s="2"/>
      <c r="P878" s="2"/>
      <c r="Q878" s="2"/>
      <c r="R878" s="2"/>
      <c r="S878" s="2"/>
      <c r="T878" s="2"/>
      <c r="U878" s="2"/>
      <c r="V878" s="2"/>
      <c r="W878" s="2"/>
    </row>
    <row r="879">
      <c r="A879" s="2"/>
      <c r="B879" s="2"/>
      <c r="C879" s="2"/>
      <c r="D879" s="2"/>
      <c r="E879" s="2"/>
      <c r="F879" s="2"/>
      <c r="G879" s="2"/>
      <c r="H879" s="2"/>
      <c r="I879" s="2"/>
      <c r="J879" s="2"/>
      <c r="K879" s="2"/>
      <c r="L879" s="2"/>
      <c r="M879" s="2"/>
      <c r="N879" s="2"/>
      <c r="O879" s="2"/>
      <c r="P879" s="2"/>
      <c r="Q879" s="2"/>
      <c r="R879" s="2"/>
      <c r="S879" s="2"/>
      <c r="T879" s="2"/>
      <c r="U879" s="2"/>
      <c r="V879" s="2"/>
      <c r="W879" s="2"/>
    </row>
    <row r="880">
      <c r="A880" s="2"/>
      <c r="B880" s="2"/>
      <c r="C880" s="2"/>
      <c r="D880" s="2"/>
      <c r="E880" s="2"/>
      <c r="F880" s="2"/>
      <c r="G880" s="2"/>
      <c r="H880" s="2"/>
      <c r="I880" s="2"/>
      <c r="J880" s="2"/>
      <c r="K880" s="2"/>
      <c r="L880" s="2"/>
      <c r="M880" s="2"/>
      <c r="N880" s="2"/>
      <c r="O880" s="2"/>
      <c r="P880" s="2"/>
      <c r="Q880" s="2"/>
      <c r="R880" s="2"/>
      <c r="S880" s="2"/>
      <c r="T880" s="2"/>
      <c r="U880" s="2"/>
      <c r="V880" s="2"/>
      <c r="W880" s="2"/>
    </row>
    <row r="881">
      <c r="A881" s="2"/>
      <c r="B881" s="2"/>
      <c r="C881" s="2"/>
      <c r="D881" s="2"/>
      <c r="E881" s="2"/>
      <c r="F881" s="2"/>
      <c r="G881" s="2"/>
      <c r="H881" s="2"/>
      <c r="I881" s="2"/>
      <c r="J881" s="2"/>
      <c r="K881" s="2"/>
      <c r="L881" s="2"/>
      <c r="M881" s="2"/>
      <c r="N881" s="2"/>
      <c r="O881" s="2"/>
      <c r="P881" s="2"/>
      <c r="Q881" s="2"/>
      <c r="R881" s="2"/>
      <c r="S881" s="2"/>
      <c r="T881" s="2"/>
      <c r="U881" s="2"/>
      <c r="V881" s="2"/>
      <c r="W881" s="2"/>
    </row>
    <row r="882">
      <c r="A882" s="2"/>
      <c r="B882" s="2"/>
      <c r="C882" s="2"/>
      <c r="D882" s="2"/>
      <c r="E882" s="2"/>
      <c r="F882" s="2"/>
      <c r="G882" s="2"/>
      <c r="H882" s="2"/>
      <c r="I882" s="2"/>
      <c r="J882" s="2"/>
      <c r="K882" s="2"/>
      <c r="L882" s="2"/>
      <c r="M882" s="2"/>
      <c r="N882" s="2"/>
      <c r="O882" s="2"/>
      <c r="P882" s="2"/>
      <c r="Q882" s="2"/>
      <c r="R882" s="2"/>
      <c r="S882" s="2"/>
      <c r="T882" s="2"/>
      <c r="U882" s="2"/>
      <c r="V882" s="2"/>
      <c r="W882" s="2"/>
    </row>
    <row r="883">
      <c r="A883" s="2"/>
      <c r="B883" s="2"/>
      <c r="C883" s="2"/>
      <c r="D883" s="2"/>
      <c r="E883" s="2"/>
      <c r="F883" s="2"/>
      <c r="G883" s="2"/>
      <c r="H883" s="2"/>
      <c r="I883" s="2"/>
      <c r="J883" s="2"/>
      <c r="K883" s="2"/>
      <c r="L883" s="2"/>
      <c r="M883" s="2"/>
      <c r="N883" s="2"/>
      <c r="O883" s="2"/>
      <c r="P883" s="2"/>
      <c r="Q883" s="2"/>
      <c r="R883" s="2"/>
      <c r="S883" s="2"/>
      <c r="T883" s="2"/>
      <c r="U883" s="2"/>
      <c r="V883" s="2"/>
      <c r="W883" s="2"/>
    </row>
    <row r="884">
      <c r="A884" s="2"/>
      <c r="B884" s="2"/>
      <c r="C884" s="2"/>
      <c r="D884" s="2"/>
      <c r="E884" s="2"/>
      <c r="F884" s="2"/>
      <c r="G884" s="2"/>
      <c r="H884" s="2"/>
      <c r="I884" s="2"/>
      <c r="J884" s="2"/>
      <c r="K884" s="2"/>
      <c r="L884" s="2"/>
      <c r="M884" s="2"/>
      <c r="N884" s="2"/>
      <c r="O884" s="2"/>
      <c r="P884" s="2"/>
      <c r="Q884" s="2"/>
      <c r="R884" s="2"/>
      <c r="S884" s="2"/>
      <c r="T884" s="2"/>
      <c r="U884" s="2"/>
      <c r="V884" s="2"/>
      <c r="W884" s="2"/>
    </row>
    <row r="885">
      <c r="A885" s="2"/>
      <c r="B885" s="2"/>
      <c r="C885" s="2"/>
      <c r="D885" s="2"/>
      <c r="E885" s="2"/>
      <c r="F885" s="2"/>
      <c r="G885" s="2"/>
      <c r="H885" s="2"/>
      <c r="I885" s="2"/>
      <c r="J885" s="2"/>
      <c r="K885" s="2"/>
      <c r="L885" s="2"/>
      <c r="M885" s="2"/>
      <c r="N885" s="2"/>
      <c r="O885" s="2"/>
      <c r="P885" s="2"/>
      <c r="Q885" s="2"/>
      <c r="R885" s="2"/>
      <c r="S885" s="2"/>
      <c r="T885" s="2"/>
      <c r="U885" s="2"/>
      <c r="V885" s="2"/>
      <c r="W885" s="2"/>
    </row>
    <row r="886">
      <c r="A886" s="2"/>
      <c r="B886" s="2"/>
      <c r="C886" s="2"/>
      <c r="D886" s="2"/>
      <c r="E886" s="2"/>
      <c r="F886" s="2"/>
      <c r="G886" s="2"/>
      <c r="H886" s="2"/>
      <c r="I886" s="2"/>
      <c r="J886" s="2"/>
      <c r="K886" s="2"/>
      <c r="L886" s="2"/>
      <c r="M886" s="2"/>
      <c r="N886" s="2"/>
      <c r="O886" s="2"/>
      <c r="P886" s="2"/>
      <c r="Q886" s="2"/>
      <c r="R886" s="2"/>
      <c r="S886" s="2"/>
      <c r="T886" s="2"/>
      <c r="U886" s="2"/>
      <c r="V886" s="2"/>
      <c r="W886" s="2"/>
    </row>
    <row r="887">
      <c r="A887" s="2"/>
      <c r="B887" s="2"/>
      <c r="C887" s="2"/>
      <c r="D887" s="2"/>
      <c r="E887" s="2"/>
      <c r="F887" s="2"/>
      <c r="G887" s="2"/>
      <c r="H887" s="2"/>
      <c r="I887" s="2"/>
      <c r="J887" s="2"/>
      <c r="K887" s="2"/>
      <c r="L887" s="2"/>
      <c r="M887" s="2"/>
      <c r="N887" s="2"/>
      <c r="O887" s="2"/>
      <c r="P887" s="2"/>
      <c r="Q887" s="2"/>
      <c r="R887" s="2"/>
      <c r="S887" s="2"/>
      <c r="T887" s="2"/>
      <c r="U887" s="2"/>
      <c r="V887" s="2"/>
      <c r="W887" s="2"/>
    </row>
    <row r="888">
      <c r="A888" s="2"/>
      <c r="B888" s="2"/>
      <c r="C888" s="2"/>
      <c r="D888" s="2"/>
      <c r="E888" s="2"/>
      <c r="F888" s="2"/>
      <c r="G888" s="2"/>
      <c r="H888" s="2"/>
      <c r="I888" s="2"/>
      <c r="J888" s="2"/>
      <c r="K888" s="2"/>
      <c r="L888" s="2"/>
      <c r="M888" s="2"/>
      <c r="N888" s="2"/>
      <c r="O888" s="2"/>
      <c r="P888" s="2"/>
      <c r="Q888" s="2"/>
      <c r="R888" s="2"/>
      <c r="S888" s="2"/>
      <c r="T888" s="2"/>
      <c r="U888" s="2"/>
      <c r="V888" s="2"/>
      <c r="W888" s="2"/>
    </row>
    <row r="889">
      <c r="A889" s="2"/>
      <c r="B889" s="2"/>
      <c r="C889" s="2"/>
      <c r="D889" s="2"/>
      <c r="E889" s="2"/>
      <c r="F889" s="2"/>
      <c r="G889" s="2"/>
      <c r="H889" s="2"/>
      <c r="I889" s="2"/>
      <c r="J889" s="2"/>
      <c r="K889" s="2"/>
      <c r="L889" s="2"/>
      <c r="M889" s="2"/>
      <c r="N889" s="2"/>
      <c r="O889" s="2"/>
      <c r="P889" s="2"/>
      <c r="Q889" s="2"/>
      <c r="R889" s="2"/>
      <c r="S889" s="2"/>
      <c r="T889" s="2"/>
      <c r="U889" s="2"/>
      <c r="V889" s="2"/>
      <c r="W889" s="2"/>
    </row>
    <row r="890">
      <c r="A890" s="2"/>
      <c r="B890" s="2"/>
      <c r="C890" s="2"/>
      <c r="D890" s="2"/>
      <c r="E890" s="2"/>
      <c r="F890" s="2"/>
      <c r="G890" s="2"/>
      <c r="H890" s="2"/>
      <c r="I890" s="2"/>
      <c r="J890" s="2"/>
      <c r="K890" s="2"/>
      <c r="L890" s="2"/>
      <c r="M890" s="2"/>
      <c r="N890" s="2"/>
      <c r="O890" s="2"/>
      <c r="P890" s="2"/>
      <c r="Q890" s="2"/>
      <c r="R890" s="2"/>
      <c r="S890" s="2"/>
      <c r="T890" s="2"/>
      <c r="U890" s="2"/>
      <c r="V890" s="2"/>
      <c r="W890" s="2"/>
    </row>
    <row r="891">
      <c r="A891" s="2"/>
      <c r="B891" s="2"/>
      <c r="C891" s="2"/>
      <c r="D891" s="2"/>
      <c r="E891" s="2"/>
      <c r="F891" s="2"/>
      <c r="G891" s="2"/>
      <c r="H891" s="2"/>
      <c r="I891" s="2"/>
      <c r="J891" s="2"/>
      <c r="K891" s="2"/>
      <c r="L891" s="2"/>
      <c r="M891" s="2"/>
      <c r="N891" s="2"/>
      <c r="O891" s="2"/>
      <c r="P891" s="2"/>
      <c r="Q891" s="2"/>
      <c r="R891" s="2"/>
      <c r="S891" s="2"/>
      <c r="T891" s="2"/>
      <c r="U891" s="2"/>
      <c r="V891" s="2"/>
      <c r="W891" s="2"/>
    </row>
    <row r="892">
      <c r="A892" s="2"/>
      <c r="B892" s="2"/>
      <c r="C892" s="2"/>
      <c r="D892" s="2"/>
      <c r="E892" s="2"/>
      <c r="F892" s="2"/>
      <c r="G892" s="2"/>
      <c r="H892" s="2"/>
      <c r="I892" s="2"/>
      <c r="J892" s="2"/>
      <c r="K892" s="2"/>
      <c r="L892" s="2"/>
      <c r="M892" s="2"/>
      <c r="N892" s="2"/>
      <c r="O892" s="2"/>
      <c r="P892" s="2"/>
      <c r="Q892" s="2"/>
      <c r="R892" s="2"/>
      <c r="S892" s="2"/>
      <c r="T892" s="2"/>
      <c r="U892" s="2"/>
      <c r="V892" s="2"/>
      <c r="W892" s="2"/>
    </row>
    <row r="893">
      <c r="A893" s="2"/>
      <c r="B893" s="2"/>
      <c r="C893" s="2"/>
      <c r="D893" s="2"/>
      <c r="E893" s="2"/>
      <c r="F893" s="2"/>
      <c r="G893" s="2"/>
      <c r="H893" s="2"/>
      <c r="I893" s="2"/>
      <c r="J893" s="2"/>
      <c r="K893" s="2"/>
      <c r="L893" s="2"/>
      <c r="M893" s="2"/>
      <c r="N893" s="2"/>
      <c r="O893" s="2"/>
      <c r="P893" s="2"/>
      <c r="Q893" s="2"/>
      <c r="R893" s="2"/>
      <c r="S893" s="2"/>
      <c r="T893" s="2"/>
      <c r="U893" s="2"/>
      <c r="V893" s="2"/>
      <c r="W893" s="2"/>
    </row>
    <row r="894">
      <c r="A894" s="2"/>
      <c r="B894" s="2"/>
      <c r="C894" s="2"/>
      <c r="D894" s="2"/>
      <c r="E894" s="2"/>
      <c r="F894" s="2"/>
      <c r="G894" s="2"/>
      <c r="H894" s="2"/>
      <c r="I894" s="2"/>
      <c r="J894" s="2"/>
      <c r="K894" s="2"/>
      <c r="L894" s="2"/>
      <c r="M894" s="2"/>
      <c r="N894" s="2"/>
      <c r="O894" s="2"/>
      <c r="P894" s="2"/>
      <c r="Q894" s="2"/>
      <c r="R894" s="2"/>
      <c r="S894" s="2"/>
      <c r="T894" s="2"/>
      <c r="U894" s="2"/>
      <c r="V894" s="2"/>
      <c r="W894" s="2"/>
    </row>
    <row r="895">
      <c r="A895" s="2"/>
      <c r="B895" s="2"/>
      <c r="C895" s="2"/>
      <c r="D895" s="2"/>
      <c r="E895" s="2"/>
      <c r="F895" s="2"/>
      <c r="G895" s="2"/>
      <c r="H895" s="2"/>
      <c r="I895" s="2"/>
      <c r="J895" s="2"/>
      <c r="K895" s="2"/>
      <c r="L895" s="2"/>
      <c r="M895" s="2"/>
      <c r="N895" s="2"/>
      <c r="O895" s="2"/>
      <c r="P895" s="2"/>
      <c r="Q895" s="2"/>
      <c r="R895" s="2"/>
      <c r="S895" s="2"/>
      <c r="T895" s="2"/>
      <c r="U895" s="2"/>
      <c r="V895" s="2"/>
      <c r="W895" s="2"/>
    </row>
    <row r="896">
      <c r="A896" s="2"/>
      <c r="B896" s="2"/>
      <c r="C896" s="2"/>
      <c r="D896" s="2"/>
      <c r="E896" s="2"/>
      <c r="F896" s="2"/>
      <c r="G896" s="2"/>
      <c r="H896" s="2"/>
      <c r="I896" s="2"/>
      <c r="J896" s="2"/>
      <c r="K896" s="2"/>
      <c r="L896" s="2"/>
      <c r="M896" s="2"/>
      <c r="N896" s="2"/>
      <c r="O896" s="2"/>
      <c r="P896" s="2"/>
      <c r="Q896" s="2"/>
      <c r="R896" s="2"/>
      <c r="S896" s="2"/>
      <c r="T896" s="2"/>
      <c r="U896" s="2"/>
      <c r="V896" s="2"/>
      <c r="W896" s="2"/>
    </row>
    <row r="897">
      <c r="A897" s="2"/>
      <c r="B897" s="2"/>
      <c r="C897" s="2"/>
      <c r="D897" s="2"/>
      <c r="E897" s="2"/>
      <c r="F897" s="2"/>
      <c r="G897" s="2"/>
      <c r="H897" s="2"/>
      <c r="I897" s="2"/>
      <c r="J897" s="2"/>
      <c r="K897" s="2"/>
      <c r="L897" s="2"/>
      <c r="M897" s="2"/>
      <c r="N897" s="2"/>
      <c r="O897" s="2"/>
      <c r="P897" s="2"/>
      <c r="Q897" s="2"/>
      <c r="R897" s="2"/>
      <c r="S897" s="2"/>
      <c r="T897" s="2"/>
      <c r="U897" s="2"/>
      <c r="V897" s="2"/>
      <c r="W897" s="2"/>
    </row>
    <row r="898">
      <c r="A898" s="2"/>
      <c r="B898" s="2"/>
      <c r="C898" s="2"/>
      <c r="D898" s="2"/>
      <c r="E898" s="2"/>
      <c r="F898" s="2"/>
      <c r="G898" s="2"/>
      <c r="H898" s="2"/>
      <c r="I898" s="2"/>
      <c r="J898" s="2"/>
      <c r="K898" s="2"/>
      <c r="L898" s="2"/>
      <c r="M898" s="2"/>
      <c r="N898" s="2"/>
      <c r="O898" s="2"/>
      <c r="P898" s="2"/>
      <c r="Q898" s="2"/>
      <c r="R898" s="2"/>
      <c r="S898" s="2"/>
      <c r="T898" s="2"/>
      <c r="U898" s="2"/>
      <c r="V898" s="2"/>
      <c r="W898" s="2"/>
    </row>
    <row r="899">
      <c r="A899" s="2"/>
      <c r="B899" s="2"/>
      <c r="C899" s="2"/>
      <c r="D899" s="2"/>
      <c r="E899" s="2"/>
      <c r="F899" s="2"/>
      <c r="G899" s="2"/>
      <c r="H899" s="2"/>
      <c r="I899" s="2"/>
      <c r="J899" s="2"/>
      <c r="K899" s="2"/>
      <c r="L899" s="2"/>
      <c r="M899" s="2"/>
      <c r="N899" s="2"/>
      <c r="O899" s="2"/>
      <c r="P899" s="2"/>
      <c r="Q899" s="2"/>
      <c r="R899" s="2"/>
      <c r="S899" s="2"/>
      <c r="T899" s="2"/>
      <c r="U899" s="2"/>
      <c r="V899" s="2"/>
      <c r="W899" s="2"/>
    </row>
    <row r="900">
      <c r="A900" s="2"/>
      <c r="B900" s="2"/>
      <c r="C900" s="2"/>
      <c r="D900" s="2"/>
      <c r="E900" s="2"/>
      <c r="F900" s="2"/>
      <c r="G900" s="2"/>
      <c r="H900" s="2"/>
      <c r="I900" s="2"/>
      <c r="J900" s="2"/>
      <c r="K900" s="2"/>
      <c r="L900" s="2"/>
      <c r="M900" s="2"/>
      <c r="N900" s="2"/>
      <c r="O900" s="2"/>
      <c r="P900" s="2"/>
      <c r="Q900" s="2"/>
      <c r="R900" s="2"/>
      <c r="S900" s="2"/>
      <c r="T900" s="2"/>
      <c r="U900" s="2"/>
      <c r="V900" s="2"/>
      <c r="W900" s="2"/>
    </row>
    <row r="901">
      <c r="A901" s="2"/>
      <c r="B901" s="2"/>
      <c r="C901" s="2"/>
      <c r="D901" s="2"/>
      <c r="E901" s="2"/>
      <c r="F901" s="2"/>
      <c r="G901" s="2"/>
      <c r="H901" s="2"/>
      <c r="I901" s="2"/>
      <c r="J901" s="2"/>
      <c r="K901" s="2"/>
      <c r="L901" s="2"/>
      <c r="M901" s="2"/>
      <c r="N901" s="2"/>
      <c r="O901" s="2"/>
      <c r="P901" s="2"/>
      <c r="Q901" s="2"/>
      <c r="R901" s="2"/>
      <c r="S901" s="2"/>
      <c r="T901" s="2"/>
      <c r="U901" s="2"/>
      <c r="V901" s="2"/>
      <c r="W901" s="2"/>
    </row>
    <row r="902">
      <c r="A902" s="2"/>
      <c r="B902" s="2"/>
      <c r="C902" s="2"/>
      <c r="D902" s="2"/>
      <c r="E902" s="2"/>
      <c r="F902" s="2"/>
      <c r="G902" s="2"/>
      <c r="H902" s="2"/>
      <c r="I902" s="2"/>
      <c r="J902" s="2"/>
      <c r="K902" s="2"/>
      <c r="L902" s="2"/>
      <c r="M902" s="2"/>
      <c r="N902" s="2"/>
      <c r="O902" s="2"/>
      <c r="P902" s="2"/>
      <c r="Q902" s="2"/>
      <c r="R902" s="2"/>
      <c r="S902" s="2"/>
      <c r="T902" s="2"/>
      <c r="U902" s="2"/>
      <c r="V902" s="2"/>
      <c r="W902" s="2"/>
    </row>
    <row r="903">
      <c r="A903" s="2"/>
      <c r="B903" s="2"/>
      <c r="C903" s="2"/>
      <c r="D903" s="2"/>
      <c r="E903" s="2"/>
      <c r="F903" s="2"/>
      <c r="G903" s="2"/>
      <c r="H903" s="2"/>
      <c r="I903" s="2"/>
      <c r="J903" s="2"/>
      <c r="K903" s="2"/>
      <c r="L903" s="2"/>
      <c r="M903" s="2"/>
      <c r="N903" s="2"/>
      <c r="O903" s="2"/>
      <c r="P903" s="2"/>
      <c r="Q903" s="2"/>
      <c r="R903" s="2"/>
      <c r="S903" s="2"/>
      <c r="T903" s="2"/>
      <c r="U903" s="2"/>
      <c r="V903" s="2"/>
      <c r="W903" s="2"/>
    </row>
    <row r="904">
      <c r="A904" s="2"/>
      <c r="B904" s="2"/>
      <c r="C904" s="2"/>
      <c r="D904" s="2"/>
      <c r="E904" s="2"/>
      <c r="F904" s="2"/>
      <c r="G904" s="2"/>
      <c r="H904" s="2"/>
      <c r="I904" s="2"/>
      <c r="J904" s="2"/>
      <c r="K904" s="2"/>
      <c r="L904" s="2"/>
      <c r="M904" s="2"/>
      <c r="N904" s="2"/>
      <c r="O904" s="2"/>
      <c r="P904" s="2"/>
      <c r="Q904" s="2"/>
      <c r="R904" s="2"/>
      <c r="S904" s="2"/>
      <c r="T904" s="2"/>
      <c r="U904" s="2"/>
      <c r="V904" s="2"/>
      <c r="W904" s="2"/>
    </row>
    <row r="905">
      <c r="A905" s="2"/>
      <c r="B905" s="2"/>
      <c r="C905" s="2"/>
      <c r="D905" s="2"/>
      <c r="E905" s="2"/>
      <c r="F905" s="2"/>
      <c r="G905" s="2"/>
      <c r="H905" s="2"/>
      <c r="I905" s="2"/>
      <c r="J905" s="2"/>
      <c r="K905" s="2"/>
      <c r="L905" s="2"/>
      <c r="M905" s="2"/>
      <c r="N905" s="2"/>
      <c r="O905" s="2"/>
      <c r="P905" s="2"/>
      <c r="Q905" s="2"/>
      <c r="R905" s="2"/>
      <c r="S905" s="2"/>
      <c r="T905" s="2"/>
      <c r="U905" s="2"/>
      <c r="V905" s="2"/>
      <c r="W905" s="2"/>
    </row>
    <row r="906">
      <c r="A906" s="2"/>
      <c r="B906" s="2"/>
      <c r="C906" s="2"/>
      <c r="D906" s="2"/>
      <c r="E906" s="2"/>
      <c r="F906" s="2"/>
      <c r="G906" s="2"/>
      <c r="H906" s="2"/>
      <c r="I906" s="2"/>
      <c r="J906" s="2"/>
      <c r="K906" s="2"/>
      <c r="L906" s="2"/>
      <c r="M906" s="2"/>
      <c r="N906" s="2"/>
      <c r="O906" s="2"/>
      <c r="P906" s="2"/>
      <c r="Q906" s="2"/>
      <c r="R906" s="2"/>
      <c r="S906" s="2"/>
      <c r="T906" s="2"/>
      <c r="U906" s="2"/>
      <c r="V906" s="2"/>
      <c r="W906" s="2"/>
    </row>
    <row r="907">
      <c r="A907" s="2"/>
      <c r="B907" s="2"/>
      <c r="C907" s="2"/>
      <c r="D907" s="2"/>
      <c r="E907" s="2"/>
      <c r="F907" s="2"/>
      <c r="G907" s="2"/>
      <c r="H907" s="2"/>
      <c r="I907" s="2"/>
      <c r="J907" s="2"/>
      <c r="K907" s="2"/>
      <c r="L907" s="2"/>
      <c r="M907" s="2"/>
      <c r="N907" s="2"/>
      <c r="O907" s="2"/>
      <c r="P907" s="2"/>
      <c r="Q907" s="2"/>
      <c r="R907" s="2"/>
      <c r="S907" s="2"/>
      <c r="T907" s="2"/>
      <c r="U907" s="2"/>
      <c r="V907" s="2"/>
      <c r="W907" s="2"/>
    </row>
    <row r="908">
      <c r="A908" s="2"/>
      <c r="B908" s="2"/>
      <c r="C908" s="2"/>
      <c r="D908" s="2"/>
      <c r="E908" s="2"/>
      <c r="F908" s="2"/>
      <c r="G908" s="2"/>
      <c r="H908" s="2"/>
      <c r="I908" s="2"/>
      <c r="J908" s="2"/>
      <c r="K908" s="2"/>
      <c r="L908" s="2"/>
      <c r="M908" s="2"/>
      <c r="N908" s="2"/>
      <c r="O908" s="2"/>
      <c r="P908" s="2"/>
      <c r="Q908" s="2"/>
      <c r="R908" s="2"/>
      <c r="S908" s="2"/>
      <c r="T908" s="2"/>
      <c r="U908" s="2"/>
      <c r="V908" s="2"/>
      <c r="W908" s="2"/>
    </row>
    <row r="909">
      <c r="A909" s="2"/>
      <c r="B909" s="2"/>
      <c r="C909" s="2"/>
      <c r="D909" s="2"/>
      <c r="E909" s="2"/>
      <c r="F909" s="2"/>
      <c r="G909" s="2"/>
      <c r="H909" s="2"/>
      <c r="I909" s="2"/>
      <c r="J909" s="2"/>
      <c r="K909" s="2"/>
      <c r="L909" s="2"/>
      <c r="M909" s="2"/>
      <c r="N909" s="2"/>
      <c r="O909" s="2"/>
      <c r="P909" s="2"/>
      <c r="Q909" s="2"/>
      <c r="R909" s="2"/>
      <c r="S909" s="2"/>
      <c r="T909" s="2"/>
      <c r="U909" s="2"/>
      <c r="V909" s="2"/>
      <c r="W909" s="2"/>
    </row>
    <row r="910">
      <c r="A910" s="2"/>
      <c r="B910" s="2"/>
      <c r="C910" s="2"/>
      <c r="D910" s="2"/>
      <c r="E910" s="2"/>
      <c r="F910" s="2"/>
      <c r="G910" s="2"/>
      <c r="H910" s="2"/>
      <c r="I910" s="2"/>
      <c r="J910" s="2"/>
      <c r="K910" s="2"/>
      <c r="L910" s="2"/>
      <c r="M910" s="2"/>
      <c r="N910" s="2"/>
      <c r="O910" s="2"/>
      <c r="P910" s="2"/>
      <c r="Q910" s="2"/>
      <c r="R910" s="2"/>
      <c r="S910" s="2"/>
      <c r="T910" s="2"/>
      <c r="U910" s="2"/>
      <c r="V910" s="2"/>
      <c r="W910" s="2"/>
    </row>
    <row r="911">
      <c r="A911" s="2"/>
      <c r="B911" s="2"/>
      <c r="C911" s="2"/>
      <c r="D911" s="2"/>
      <c r="E911" s="2"/>
      <c r="F911" s="2"/>
      <c r="G911" s="2"/>
      <c r="H911" s="2"/>
      <c r="I911" s="2"/>
      <c r="J911" s="2"/>
      <c r="K911" s="2"/>
      <c r="L911" s="2"/>
      <c r="M911" s="2"/>
      <c r="N911" s="2"/>
      <c r="O911" s="2"/>
      <c r="P911" s="2"/>
      <c r="Q911" s="2"/>
      <c r="R911" s="2"/>
      <c r="S911" s="2"/>
      <c r="T911" s="2"/>
      <c r="U911" s="2"/>
      <c r="V911" s="2"/>
      <c r="W911" s="2"/>
    </row>
    <row r="912">
      <c r="A912" s="2"/>
      <c r="B912" s="2"/>
      <c r="C912" s="2"/>
      <c r="D912" s="2"/>
      <c r="E912" s="2"/>
      <c r="F912" s="2"/>
      <c r="G912" s="2"/>
      <c r="H912" s="2"/>
      <c r="I912" s="2"/>
      <c r="J912" s="2"/>
      <c r="K912" s="2"/>
      <c r="L912" s="2"/>
      <c r="M912" s="2"/>
      <c r="N912" s="2"/>
      <c r="O912" s="2"/>
      <c r="P912" s="2"/>
      <c r="Q912" s="2"/>
      <c r="R912" s="2"/>
      <c r="S912" s="2"/>
      <c r="T912" s="2"/>
      <c r="U912" s="2"/>
      <c r="V912" s="2"/>
      <c r="W912" s="2"/>
    </row>
    <row r="913">
      <c r="A913" s="2"/>
      <c r="B913" s="2"/>
      <c r="C913" s="2"/>
      <c r="D913" s="2"/>
      <c r="E913" s="2"/>
      <c r="F913" s="2"/>
      <c r="G913" s="2"/>
      <c r="H913" s="2"/>
      <c r="I913" s="2"/>
      <c r="J913" s="2"/>
      <c r="K913" s="2"/>
      <c r="L913" s="2"/>
      <c r="M913" s="2"/>
      <c r="N913" s="2"/>
      <c r="O913" s="2"/>
      <c r="P913" s="2"/>
      <c r="Q913" s="2"/>
      <c r="R913" s="2"/>
      <c r="S913" s="2"/>
      <c r="T913" s="2"/>
      <c r="U913" s="2"/>
      <c r="V913" s="2"/>
      <c r="W913" s="2"/>
    </row>
    <row r="914">
      <c r="A914" s="2"/>
      <c r="B914" s="2"/>
      <c r="C914" s="2"/>
      <c r="D914" s="2"/>
      <c r="E914" s="2"/>
      <c r="F914" s="2"/>
      <c r="G914" s="2"/>
      <c r="H914" s="2"/>
      <c r="I914" s="2"/>
      <c r="J914" s="2"/>
      <c r="K914" s="2"/>
      <c r="L914" s="2"/>
      <c r="M914" s="2"/>
      <c r="N914" s="2"/>
      <c r="O914" s="2"/>
      <c r="P914" s="2"/>
      <c r="Q914" s="2"/>
      <c r="R914" s="2"/>
      <c r="S914" s="2"/>
      <c r="T914" s="2"/>
      <c r="U914" s="2"/>
      <c r="V914" s="2"/>
      <c r="W914" s="2"/>
    </row>
    <row r="915">
      <c r="A915" s="2"/>
      <c r="B915" s="2"/>
      <c r="C915" s="2"/>
      <c r="D915" s="2"/>
      <c r="E915" s="2"/>
      <c r="F915" s="2"/>
      <c r="G915" s="2"/>
      <c r="H915" s="2"/>
      <c r="I915" s="2"/>
      <c r="J915" s="2"/>
      <c r="K915" s="2"/>
      <c r="L915" s="2"/>
      <c r="M915" s="2"/>
      <c r="N915" s="2"/>
      <c r="O915" s="2"/>
      <c r="P915" s="2"/>
      <c r="Q915" s="2"/>
      <c r="R915" s="2"/>
      <c r="S915" s="2"/>
      <c r="T915" s="2"/>
      <c r="U915" s="2"/>
      <c r="V915" s="2"/>
      <c r="W915" s="2"/>
    </row>
    <row r="916">
      <c r="A916" s="2"/>
      <c r="B916" s="2"/>
      <c r="C916" s="2"/>
      <c r="D916" s="2"/>
      <c r="E916" s="2"/>
      <c r="F916" s="2"/>
      <c r="G916" s="2"/>
      <c r="H916" s="2"/>
      <c r="I916" s="2"/>
      <c r="J916" s="2"/>
      <c r="K916" s="2"/>
      <c r="L916" s="2"/>
      <c r="M916" s="2"/>
      <c r="N916" s="2"/>
      <c r="O916" s="2"/>
      <c r="P916" s="2"/>
      <c r="Q916" s="2"/>
      <c r="R916" s="2"/>
      <c r="S916" s="2"/>
      <c r="T916" s="2"/>
      <c r="U916" s="2"/>
      <c r="V916" s="2"/>
      <c r="W916" s="2"/>
    </row>
    <row r="917">
      <c r="A917" s="2"/>
      <c r="B917" s="2"/>
      <c r="C917" s="2"/>
      <c r="D917" s="2"/>
      <c r="E917" s="2"/>
      <c r="F917" s="2"/>
      <c r="G917" s="2"/>
      <c r="H917" s="2"/>
      <c r="I917" s="2"/>
      <c r="J917" s="2"/>
      <c r="K917" s="2"/>
      <c r="L917" s="2"/>
      <c r="M917" s="2"/>
      <c r="N917" s="2"/>
      <c r="O917" s="2"/>
      <c r="P917" s="2"/>
      <c r="Q917" s="2"/>
      <c r="R917" s="2"/>
      <c r="S917" s="2"/>
      <c r="T917" s="2"/>
      <c r="U917" s="2"/>
      <c r="V917" s="2"/>
      <c r="W917" s="2"/>
    </row>
    <row r="918">
      <c r="A918" s="2"/>
      <c r="B918" s="2"/>
      <c r="C918" s="2"/>
      <c r="D918" s="2"/>
      <c r="E918" s="2"/>
      <c r="F918" s="2"/>
      <c r="G918" s="2"/>
      <c r="H918" s="2"/>
      <c r="I918" s="2"/>
      <c r="J918" s="2"/>
      <c r="K918" s="2"/>
      <c r="L918" s="2"/>
      <c r="M918" s="2"/>
      <c r="N918" s="2"/>
      <c r="O918" s="2"/>
      <c r="P918" s="2"/>
      <c r="Q918" s="2"/>
      <c r="R918" s="2"/>
      <c r="S918" s="2"/>
      <c r="T918" s="2"/>
      <c r="U918" s="2"/>
      <c r="V918" s="2"/>
      <c r="W918" s="2"/>
    </row>
    <row r="919">
      <c r="A919" s="2"/>
      <c r="B919" s="2"/>
      <c r="C919" s="2"/>
      <c r="D919" s="2"/>
      <c r="E919" s="2"/>
      <c r="F919" s="2"/>
      <c r="G919" s="2"/>
      <c r="H919" s="2"/>
      <c r="I919" s="2"/>
      <c r="J919" s="2"/>
      <c r="K919" s="2"/>
      <c r="L919" s="2"/>
      <c r="M919" s="2"/>
      <c r="N919" s="2"/>
      <c r="O919" s="2"/>
      <c r="P919" s="2"/>
      <c r="Q919" s="2"/>
      <c r="R919" s="2"/>
      <c r="S919" s="2"/>
      <c r="T919" s="2"/>
      <c r="U919" s="2"/>
      <c r="V919" s="2"/>
      <c r="W919" s="2"/>
    </row>
    <row r="920">
      <c r="A920" s="2"/>
      <c r="B920" s="2"/>
      <c r="C920" s="2"/>
      <c r="D920" s="2"/>
      <c r="E920" s="2"/>
      <c r="F920" s="2"/>
      <c r="G920" s="2"/>
      <c r="H920" s="2"/>
      <c r="I920" s="2"/>
      <c r="J920" s="2"/>
      <c r="K920" s="2"/>
      <c r="L920" s="2"/>
      <c r="M920" s="2"/>
      <c r="N920" s="2"/>
      <c r="O920" s="2"/>
      <c r="P920" s="2"/>
      <c r="Q920" s="2"/>
      <c r="R920" s="2"/>
      <c r="S920" s="2"/>
      <c r="T920" s="2"/>
      <c r="U920" s="2"/>
      <c r="V920" s="2"/>
      <c r="W920" s="2"/>
    </row>
    <row r="921">
      <c r="A921" s="2"/>
      <c r="B921" s="2"/>
      <c r="C921" s="2"/>
      <c r="D921" s="2"/>
      <c r="E921" s="2"/>
      <c r="F921" s="2"/>
      <c r="G921" s="2"/>
      <c r="H921" s="2"/>
      <c r="I921" s="2"/>
      <c r="J921" s="2"/>
      <c r="K921" s="2"/>
      <c r="L921" s="2"/>
      <c r="M921" s="2"/>
      <c r="N921" s="2"/>
      <c r="O921" s="2"/>
      <c r="P921" s="2"/>
      <c r="Q921" s="2"/>
      <c r="R921" s="2"/>
      <c r="S921" s="2"/>
      <c r="T921" s="2"/>
      <c r="U921" s="2"/>
      <c r="V921" s="2"/>
      <c r="W921" s="2"/>
    </row>
    <row r="922">
      <c r="A922" s="2"/>
      <c r="B922" s="2"/>
      <c r="C922" s="2"/>
      <c r="D922" s="2"/>
      <c r="E922" s="2"/>
      <c r="F922" s="2"/>
      <c r="G922" s="2"/>
      <c r="H922" s="2"/>
      <c r="I922" s="2"/>
      <c r="J922" s="2"/>
      <c r="K922" s="2"/>
      <c r="L922" s="2"/>
      <c r="M922" s="2"/>
      <c r="N922" s="2"/>
      <c r="O922" s="2"/>
      <c r="P922" s="2"/>
      <c r="Q922" s="2"/>
      <c r="R922" s="2"/>
      <c r="S922" s="2"/>
      <c r="T922" s="2"/>
      <c r="U922" s="2"/>
      <c r="V922" s="2"/>
      <c r="W922" s="2"/>
    </row>
    <row r="923">
      <c r="A923" s="2"/>
      <c r="B923" s="2"/>
      <c r="C923" s="2"/>
      <c r="D923" s="2"/>
      <c r="E923" s="2"/>
      <c r="F923" s="2"/>
      <c r="G923" s="2"/>
      <c r="H923" s="2"/>
      <c r="I923" s="2"/>
      <c r="J923" s="2"/>
      <c r="K923" s="2"/>
      <c r="L923" s="2"/>
      <c r="M923" s="2"/>
      <c r="N923" s="2"/>
      <c r="O923" s="2"/>
      <c r="P923" s="2"/>
      <c r="Q923" s="2"/>
      <c r="R923" s="2"/>
      <c r="S923" s="2"/>
      <c r="T923" s="2"/>
      <c r="U923" s="2"/>
      <c r="V923" s="2"/>
      <c r="W923" s="2"/>
    </row>
    <row r="924">
      <c r="A924" s="2"/>
      <c r="B924" s="2"/>
      <c r="C924" s="2"/>
      <c r="D924" s="2"/>
      <c r="E924" s="2"/>
      <c r="F924" s="2"/>
      <c r="G924" s="2"/>
      <c r="H924" s="2"/>
      <c r="I924" s="2"/>
      <c r="J924" s="2"/>
      <c r="K924" s="2"/>
      <c r="L924" s="2"/>
      <c r="M924" s="2"/>
      <c r="N924" s="2"/>
      <c r="O924" s="2"/>
      <c r="P924" s="2"/>
      <c r="Q924" s="2"/>
      <c r="R924" s="2"/>
      <c r="S924" s="2"/>
      <c r="T924" s="2"/>
      <c r="U924" s="2"/>
      <c r="V924" s="2"/>
      <c r="W924" s="2"/>
    </row>
    <row r="925">
      <c r="A925" s="2"/>
      <c r="B925" s="2"/>
      <c r="C925" s="2"/>
      <c r="D925" s="2"/>
      <c r="E925" s="2"/>
      <c r="F925" s="2"/>
      <c r="G925" s="2"/>
      <c r="H925" s="2"/>
      <c r="I925" s="2"/>
      <c r="J925" s="2"/>
      <c r="K925" s="2"/>
      <c r="L925" s="2"/>
      <c r="M925" s="2"/>
      <c r="N925" s="2"/>
      <c r="O925" s="2"/>
      <c r="P925" s="2"/>
      <c r="Q925" s="2"/>
      <c r="R925" s="2"/>
      <c r="S925" s="2"/>
      <c r="T925" s="2"/>
      <c r="U925" s="2"/>
      <c r="V925" s="2"/>
      <c r="W925" s="2"/>
    </row>
    <row r="926">
      <c r="A926" s="2"/>
      <c r="B926" s="2"/>
      <c r="C926" s="2"/>
      <c r="D926" s="2"/>
      <c r="E926" s="2"/>
      <c r="F926" s="2"/>
      <c r="G926" s="2"/>
      <c r="H926" s="2"/>
      <c r="I926" s="2"/>
      <c r="J926" s="2"/>
      <c r="K926" s="2"/>
      <c r="L926" s="2"/>
      <c r="M926" s="2"/>
      <c r="N926" s="2"/>
      <c r="O926" s="2"/>
      <c r="P926" s="2"/>
      <c r="Q926" s="2"/>
      <c r="R926" s="2"/>
      <c r="S926" s="2"/>
      <c r="T926" s="2"/>
      <c r="U926" s="2"/>
      <c r="V926" s="2"/>
      <c r="W926" s="2"/>
    </row>
    <row r="927">
      <c r="A927" s="2"/>
      <c r="B927" s="2"/>
      <c r="C927" s="2"/>
      <c r="D927" s="2"/>
      <c r="E927" s="2"/>
      <c r="F927" s="2"/>
      <c r="G927" s="2"/>
      <c r="H927" s="2"/>
      <c r="I927" s="2"/>
      <c r="J927" s="2"/>
      <c r="K927" s="2"/>
      <c r="L927" s="2"/>
      <c r="M927" s="2"/>
      <c r="N927" s="2"/>
      <c r="O927" s="2"/>
      <c r="P927" s="2"/>
      <c r="Q927" s="2"/>
      <c r="R927" s="2"/>
      <c r="S927" s="2"/>
      <c r="T927" s="2"/>
      <c r="U927" s="2"/>
      <c r="V927" s="2"/>
      <c r="W927" s="2"/>
    </row>
    <row r="928">
      <c r="A928" s="2"/>
      <c r="B928" s="2"/>
      <c r="C928" s="2"/>
      <c r="D928" s="2"/>
      <c r="E928" s="2"/>
      <c r="F928" s="2"/>
      <c r="G928" s="2"/>
      <c r="H928" s="2"/>
      <c r="I928" s="2"/>
      <c r="J928" s="2"/>
      <c r="K928" s="2"/>
      <c r="L928" s="2"/>
      <c r="M928" s="2"/>
      <c r="N928" s="2"/>
      <c r="O928" s="2"/>
      <c r="P928" s="2"/>
      <c r="Q928" s="2"/>
      <c r="R928" s="2"/>
      <c r="S928" s="2"/>
      <c r="T928" s="2"/>
      <c r="U928" s="2"/>
      <c r="V928" s="2"/>
      <c r="W928" s="2"/>
    </row>
    <row r="929">
      <c r="A929" s="2"/>
      <c r="B929" s="2"/>
      <c r="C929" s="2"/>
      <c r="D929" s="2"/>
      <c r="E929" s="2"/>
      <c r="F929" s="2"/>
      <c r="G929" s="2"/>
      <c r="H929" s="2"/>
      <c r="I929" s="2"/>
      <c r="J929" s="2"/>
      <c r="K929" s="2"/>
      <c r="L929" s="2"/>
      <c r="M929" s="2"/>
      <c r="N929" s="2"/>
      <c r="O929" s="2"/>
      <c r="P929" s="2"/>
      <c r="Q929" s="2"/>
      <c r="R929" s="2"/>
      <c r="S929" s="2"/>
      <c r="T929" s="2"/>
      <c r="U929" s="2"/>
      <c r="V929" s="2"/>
      <c r="W929" s="2"/>
    </row>
    <row r="930">
      <c r="A930" s="2"/>
      <c r="B930" s="2"/>
      <c r="C930" s="2"/>
      <c r="D930" s="2"/>
      <c r="E930" s="2"/>
      <c r="F930" s="2"/>
      <c r="G930" s="2"/>
      <c r="H930" s="2"/>
      <c r="I930" s="2"/>
      <c r="J930" s="2"/>
      <c r="K930" s="2"/>
      <c r="L930" s="2"/>
      <c r="M930" s="2"/>
      <c r="N930" s="2"/>
      <c r="O930" s="2"/>
      <c r="P930" s="2"/>
      <c r="Q930" s="2"/>
      <c r="R930" s="2"/>
      <c r="S930" s="2"/>
      <c r="T930" s="2"/>
      <c r="U930" s="2"/>
      <c r="V930" s="2"/>
      <c r="W930" s="2"/>
    </row>
    <row r="931">
      <c r="A931" s="2"/>
      <c r="B931" s="2"/>
      <c r="C931" s="2"/>
      <c r="D931" s="2"/>
      <c r="E931" s="2"/>
      <c r="F931" s="2"/>
      <c r="G931" s="2"/>
      <c r="H931" s="2"/>
      <c r="I931" s="2"/>
      <c r="J931" s="2"/>
      <c r="K931" s="2"/>
      <c r="L931" s="2"/>
      <c r="M931" s="2"/>
      <c r="N931" s="2"/>
      <c r="O931" s="2"/>
      <c r="P931" s="2"/>
      <c r="Q931" s="2"/>
      <c r="R931" s="2"/>
      <c r="S931" s="2"/>
      <c r="T931" s="2"/>
      <c r="U931" s="2"/>
      <c r="V931" s="2"/>
      <c r="W931" s="2"/>
    </row>
    <row r="932">
      <c r="A932" s="2"/>
      <c r="B932" s="2"/>
      <c r="C932" s="2"/>
      <c r="D932" s="2"/>
      <c r="E932" s="2"/>
      <c r="F932" s="2"/>
      <c r="G932" s="2"/>
      <c r="H932" s="2"/>
      <c r="I932" s="2"/>
      <c r="J932" s="2"/>
      <c r="K932" s="2"/>
      <c r="L932" s="2"/>
      <c r="M932" s="2"/>
      <c r="N932" s="2"/>
      <c r="O932" s="2"/>
      <c r="P932" s="2"/>
      <c r="Q932" s="2"/>
      <c r="R932" s="2"/>
      <c r="S932" s="2"/>
      <c r="T932" s="2"/>
      <c r="U932" s="2"/>
      <c r="V932" s="2"/>
      <c r="W932" s="2"/>
    </row>
    <row r="933">
      <c r="A933" s="2"/>
      <c r="B933" s="2"/>
      <c r="C933" s="2"/>
      <c r="D933" s="2"/>
      <c r="E933" s="2"/>
      <c r="F933" s="2"/>
      <c r="G933" s="2"/>
      <c r="H933" s="2"/>
      <c r="I933" s="2"/>
      <c r="J933" s="2"/>
      <c r="K933" s="2"/>
      <c r="L933" s="2"/>
      <c r="M933" s="2"/>
      <c r="N933" s="2"/>
      <c r="O933" s="2"/>
      <c r="P933" s="2"/>
      <c r="Q933" s="2"/>
      <c r="R933" s="2"/>
      <c r="S933" s="2"/>
      <c r="T933" s="2"/>
      <c r="U933" s="2"/>
      <c r="V933" s="2"/>
      <c r="W933" s="2"/>
    </row>
    <row r="934">
      <c r="A934" s="2"/>
      <c r="B934" s="2"/>
      <c r="C934" s="2"/>
      <c r="D934" s="2"/>
      <c r="E934" s="2"/>
      <c r="F934" s="2"/>
      <c r="G934" s="2"/>
      <c r="H934" s="2"/>
      <c r="I934" s="2"/>
      <c r="J934" s="2"/>
      <c r="K934" s="2"/>
      <c r="L934" s="2"/>
      <c r="M934" s="2"/>
      <c r="N934" s="2"/>
      <c r="O934" s="2"/>
      <c r="P934" s="2"/>
      <c r="Q934" s="2"/>
      <c r="R934" s="2"/>
      <c r="S934" s="2"/>
      <c r="T934" s="2"/>
      <c r="U934" s="2"/>
      <c r="V934" s="2"/>
      <c r="W934" s="2"/>
    </row>
    <row r="935">
      <c r="A935" s="2"/>
      <c r="B935" s="2"/>
      <c r="C935" s="2"/>
      <c r="D935" s="2"/>
      <c r="E935" s="2"/>
      <c r="F935" s="2"/>
      <c r="G935" s="2"/>
      <c r="H935" s="2"/>
      <c r="I935" s="2"/>
      <c r="J935" s="2"/>
      <c r="K935" s="2"/>
      <c r="L935" s="2"/>
      <c r="M935" s="2"/>
      <c r="N935" s="2"/>
      <c r="O935" s="2"/>
      <c r="P935" s="2"/>
      <c r="Q935" s="2"/>
      <c r="R935" s="2"/>
      <c r="S935" s="2"/>
      <c r="T935" s="2"/>
      <c r="U935" s="2"/>
      <c r="V935" s="2"/>
      <c r="W935" s="2"/>
    </row>
    <row r="936">
      <c r="A936" s="2"/>
      <c r="B936" s="2"/>
      <c r="C936" s="2"/>
      <c r="D936" s="2"/>
      <c r="E936" s="2"/>
      <c r="F936" s="2"/>
      <c r="G936" s="2"/>
      <c r="H936" s="2"/>
      <c r="I936" s="2"/>
      <c r="J936" s="2"/>
      <c r="K936" s="2"/>
      <c r="L936" s="2"/>
      <c r="M936" s="2"/>
      <c r="N936" s="2"/>
      <c r="O936" s="2"/>
      <c r="P936" s="2"/>
      <c r="Q936" s="2"/>
      <c r="R936" s="2"/>
      <c r="S936" s="2"/>
      <c r="T936" s="2"/>
      <c r="U936" s="2"/>
      <c r="V936" s="2"/>
      <c r="W936" s="2"/>
    </row>
    <row r="937">
      <c r="A937" s="2"/>
      <c r="B937" s="2"/>
      <c r="C937" s="2"/>
      <c r="D937" s="2"/>
      <c r="E937" s="2"/>
      <c r="F937" s="2"/>
      <c r="G937" s="2"/>
      <c r="H937" s="2"/>
      <c r="I937" s="2"/>
      <c r="J937" s="2"/>
      <c r="K937" s="2"/>
      <c r="L937" s="2"/>
      <c r="M937" s="2"/>
      <c r="N937" s="2"/>
      <c r="O937" s="2"/>
      <c r="P937" s="2"/>
      <c r="Q937" s="2"/>
      <c r="R937" s="2"/>
      <c r="S937" s="2"/>
      <c r="T937" s="2"/>
      <c r="U937" s="2"/>
      <c r="V937" s="2"/>
      <c r="W937" s="2"/>
    </row>
    <row r="938">
      <c r="A938" s="2"/>
      <c r="B938" s="2"/>
      <c r="C938" s="2"/>
      <c r="D938" s="2"/>
      <c r="E938" s="2"/>
      <c r="F938" s="2"/>
      <c r="G938" s="2"/>
      <c r="H938" s="2"/>
      <c r="I938" s="2"/>
      <c r="J938" s="2"/>
      <c r="K938" s="2"/>
      <c r="L938" s="2"/>
      <c r="M938" s="2"/>
      <c r="N938" s="2"/>
      <c r="O938" s="2"/>
      <c r="P938" s="2"/>
      <c r="Q938" s="2"/>
      <c r="R938" s="2"/>
      <c r="S938" s="2"/>
      <c r="T938" s="2"/>
      <c r="U938" s="2"/>
      <c r="V938" s="2"/>
      <c r="W938" s="2"/>
    </row>
    <row r="939">
      <c r="A939" s="2"/>
      <c r="B939" s="2"/>
      <c r="C939" s="2"/>
      <c r="D939" s="2"/>
      <c r="E939" s="2"/>
      <c r="F939" s="2"/>
      <c r="G939" s="2"/>
      <c r="H939" s="2"/>
      <c r="I939" s="2"/>
      <c r="J939" s="2"/>
      <c r="K939" s="2"/>
      <c r="L939" s="2"/>
      <c r="M939" s="2"/>
      <c r="N939" s="2"/>
      <c r="O939" s="2"/>
      <c r="P939" s="2"/>
      <c r="Q939" s="2"/>
      <c r="R939" s="2"/>
      <c r="S939" s="2"/>
      <c r="T939" s="2"/>
      <c r="U939" s="2"/>
      <c r="V939" s="2"/>
      <c r="W939" s="2"/>
    </row>
    <row r="940">
      <c r="A940" s="2"/>
      <c r="B940" s="2"/>
      <c r="C940" s="2"/>
      <c r="D940" s="2"/>
      <c r="E940" s="2"/>
      <c r="F940" s="2"/>
      <c r="G940" s="2"/>
      <c r="H940" s="2"/>
      <c r="I940" s="2"/>
      <c r="J940" s="2"/>
      <c r="K940" s="2"/>
      <c r="L940" s="2"/>
      <c r="M940" s="2"/>
      <c r="N940" s="2"/>
      <c r="O940" s="2"/>
      <c r="P940" s="2"/>
      <c r="Q940" s="2"/>
      <c r="R940" s="2"/>
      <c r="S940" s="2"/>
      <c r="T940" s="2"/>
      <c r="U940" s="2"/>
      <c r="V940" s="2"/>
      <c r="W940" s="2"/>
    </row>
    <row r="941">
      <c r="A941" s="2"/>
      <c r="B941" s="2"/>
      <c r="C941" s="2"/>
      <c r="D941" s="2"/>
      <c r="E941" s="2"/>
      <c r="F941" s="2"/>
      <c r="G941" s="2"/>
      <c r="H941" s="2"/>
      <c r="I941" s="2"/>
      <c r="J941" s="2"/>
      <c r="K941" s="2"/>
      <c r="L941" s="2"/>
      <c r="M941" s="2"/>
      <c r="N941" s="2"/>
      <c r="O941" s="2"/>
      <c r="P941" s="2"/>
      <c r="Q941" s="2"/>
      <c r="R941" s="2"/>
      <c r="S941" s="2"/>
      <c r="T941" s="2"/>
      <c r="U941" s="2"/>
      <c r="V941" s="2"/>
      <c r="W941" s="2"/>
    </row>
    <row r="942">
      <c r="A942" s="2"/>
      <c r="B942" s="2"/>
      <c r="C942" s="2"/>
      <c r="D942" s="2"/>
      <c r="E942" s="2"/>
      <c r="F942" s="2"/>
      <c r="G942" s="2"/>
      <c r="H942" s="2"/>
      <c r="I942" s="2"/>
      <c r="J942" s="2"/>
      <c r="K942" s="2"/>
      <c r="L942" s="2"/>
      <c r="M942" s="2"/>
      <c r="N942" s="2"/>
      <c r="O942" s="2"/>
      <c r="P942" s="2"/>
      <c r="Q942" s="2"/>
      <c r="R942" s="2"/>
      <c r="S942" s="2"/>
      <c r="T942" s="2"/>
      <c r="U942" s="2"/>
      <c r="V942" s="2"/>
      <c r="W942" s="2"/>
    </row>
    <row r="943">
      <c r="A943" s="2"/>
      <c r="B943" s="2"/>
      <c r="C943" s="2"/>
      <c r="D943" s="2"/>
      <c r="E943" s="2"/>
      <c r="F943" s="2"/>
      <c r="G943" s="2"/>
      <c r="H943" s="2"/>
      <c r="I943" s="2"/>
      <c r="J943" s="2"/>
      <c r="K943" s="2"/>
      <c r="L943" s="2"/>
      <c r="M943" s="2"/>
      <c r="N943" s="2"/>
      <c r="O943" s="2"/>
      <c r="P943" s="2"/>
      <c r="Q943" s="2"/>
      <c r="R943" s="2"/>
      <c r="S943" s="2"/>
      <c r="T943" s="2"/>
      <c r="U943" s="2"/>
      <c r="V943" s="2"/>
      <c r="W943" s="2"/>
    </row>
    <row r="944">
      <c r="A944" s="2"/>
      <c r="B944" s="2"/>
      <c r="C944" s="2"/>
      <c r="D944" s="2"/>
      <c r="E944" s="2"/>
      <c r="F944" s="2"/>
      <c r="G944" s="2"/>
      <c r="H944" s="2"/>
      <c r="I944" s="2"/>
      <c r="J944" s="2"/>
      <c r="K944" s="2"/>
      <c r="L944" s="2"/>
      <c r="M944" s="2"/>
      <c r="N944" s="2"/>
      <c r="O944" s="2"/>
      <c r="P944" s="2"/>
      <c r="Q944" s="2"/>
      <c r="R944" s="2"/>
      <c r="S944" s="2"/>
      <c r="T944" s="2"/>
      <c r="U944" s="2"/>
      <c r="V944" s="2"/>
      <c r="W944" s="2"/>
    </row>
    <row r="945">
      <c r="A945" s="2"/>
      <c r="B945" s="2"/>
      <c r="C945" s="2"/>
      <c r="D945" s="2"/>
      <c r="E945" s="2"/>
      <c r="F945" s="2"/>
      <c r="G945" s="2"/>
      <c r="H945" s="2"/>
      <c r="I945" s="2"/>
      <c r="J945" s="2"/>
      <c r="K945" s="2"/>
      <c r="L945" s="2"/>
      <c r="M945" s="2"/>
      <c r="N945" s="2"/>
      <c r="O945" s="2"/>
      <c r="P945" s="2"/>
      <c r="Q945" s="2"/>
      <c r="R945" s="2"/>
      <c r="S945" s="2"/>
      <c r="T945" s="2"/>
      <c r="U945" s="2"/>
      <c r="V945" s="2"/>
      <c r="W945" s="2"/>
    </row>
    <row r="946">
      <c r="A946" s="2"/>
      <c r="B946" s="2"/>
      <c r="C946" s="2"/>
      <c r="D946" s="2"/>
      <c r="E946" s="2"/>
      <c r="F946" s="2"/>
      <c r="G946" s="2"/>
      <c r="H946" s="2"/>
      <c r="I946" s="2"/>
      <c r="J946" s="2"/>
      <c r="K946" s="2"/>
      <c r="L946" s="2"/>
      <c r="M946" s="2"/>
      <c r="N946" s="2"/>
      <c r="O946" s="2"/>
      <c r="P946" s="2"/>
      <c r="Q946" s="2"/>
      <c r="R946" s="2"/>
      <c r="S946" s="2"/>
      <c r="T946" s="2"/>
      <c r="U946" s="2"/>
      <c r="V946" s="2"/>
      <c r="W946" s="2"/>
    </row>
    <row r="947">
      <c r="A947" s="2"/>
      <c r="B947" s="2"/>
      <c r="C947" s="2"/>
      <c r="D947" s="2"/>
      <c r="E947" s="2"/>
      <c r="F947" s="2"/>
      <c r="G947" s="2"/>
      <c r="H947" s="2"/>
      <c r="I947" s="2"/>
      <c r="J947" s="2"/>
      <c r="K947" s="2"/>
      <c r="L947" s="2"/>
      <c r="M947" s="2"/>
      <c r="N947" s="2"/>
      <c r="O947" s="2"/>
      <c r="P947" s="2"/>
      <c r="Q947" s="2"/>
      <c r="R947" s="2"/>
      <c r="S947" s="2"/>
      <c r="T947" s="2"/>
      <c r="U947" s="2"/>
      <c r="V947" s="2"/>
      <c r="W947" s="2"/>
    </row>
    <row r="948">
      <c r="A948" s="2"/>
      <c r="B948" s="2"/>
      <c r="C948" s="2"/>
      <c r="D948" s="2"/>
      <c r="E948" s="2"/>
      <c r="F948" s="2"/>
      <c r="G948" s="2"/>
      <c r="H948" s="2"/>
      <c r="I948" s="2"/>
      <c r="J948" s="2"/>
      <c r="K948" s="2"/>
      <c r="L948" s="2"/>
      <c r="M948" s="2"/>
      <c r="N948" s="2"/>
      <c r="O948" s="2"/>
      <c r="P948" s="2"/>
      <c r="Q948" s="2"/>
      <c r="R948" s="2"/>
      <c r="S948" s="2"/>
      <c r="T948" s="2"/>
      <c r="U948" s="2"/>
      <c r="V948" s="2"/>
      <c r="W948" s="2"/>
    </row>
    <row r="949">
      <c r="A949" s="2"/>
      <c r="B949" s="2"/>
      <c r="C949" s="2"/>
      <c r="D949" s="2"/>
      <c r="E949" s="2"/>
      <c r="F949" s="2"/>
      <c r="G949" s="2"/>
      <c r="H949" s="2"/>
      <c r="I949" s="2"/>
      <c r="J949" s="2"/>
      <c r="K949" s="2"/>
      <c r="L949" s="2"/>
      <c r="M949" s="2"/>
      <c r="N949" s="2"/>
      <c r="O949" s="2"/>
      <c r="P949" s="2"/>
      <c r="Q949" s="2"/>
      <c r="R949" s="2"/>
      <c r="S949" s="2"/>
      <c r="T949" s="2"/>
      <c r="U949" s="2"/>
      <c r="V949" s="2"/>
      <c r="W949" s="2"/>
    </row>
    <row r="950">
      <c r="A950" s="2"/>
      <c r="B950" s="2"/>
      <c r="C950" s="2"/>
      <c r="D950" s="2"/>
      <c r="E950" s="2"/>
      <c r="F950" s="2"/>
      <c r="G950" s="2"/>
      <c r="H950" s="2"/>
      <c r="I950" s="2"/>
      <c r="J950" s="2"/>
      <c r="K950" s="2"/>
      <c r="L950" s="2"/>
      <c r="M950" s="2"/>
      <c r="N950" s="2"/>
      <c r="O950" s="2"/>
      <c r="P950" s="2"/>
      <c r="Q950" s="2"/>
      <c r="R950" s="2"/>
      <c r="S950" s="2"/>
      <c r="T950" s="2"/>
      <c r="U950" s="2"/>
      <c r="V950" s="2"/>
      <c r="W950" s="2"/>
    </row>
    <row r="951">
      <c r="A951" s="2"/>
      <c r="B951" s="2"/>
      <c r="C951" s="2"/>
      <c r="D951" s="2"/>
      <c r="E951" s="2"/>
      <c r="F951" s="2"/>
      <c r="G951" s="2"/>
      <c r="H951" s="2"/>
      <c r="I951" s="2"/>
      <c r="J951" s="2"/>
      <c r="K951" s="2"/>
      <c r="L951" s="2"/>
      <c r="M951" s="2"/>
      <c r="N951" s="2"/>
      <c r="O951" s="2"/>
      <c r="P951" s="2"/>
      <c r="Q951" s="2"/>
      <c r="R951" s="2"/>
      <c r="S951" s="2"/>
      <c r="T951" s="2"/>
      <c r="U951" s="2"/>
      <c r="V951" s="2"/>
      <c r="W951" s="2"/>
    </row>
    <row r="952">
      <c r="A952" s="2"/>
      <c r="B952" s="2"/>
      <c r="C952" s="2"/>
      <c r="D952" s="2"/>
      <c r="E952" s="2"/>
      <c r="F952" s="2"/>
      <c r="G952" s="2"/>
      <c r="H952" s="2"/>
      <c r="I952" s="2"/>
      <c r="J952" s="2"/>
      <c r="K952" s="2"/>
      <c r="L952" s="2"/>
      <c r="M952" s="2"/>
      <c r="N952" s="2"/>
      <c r="O952" s="2"/>
      <c r="P952" s="2"/>
      <c r="Q952" s="2"/>
      <c r="R952" s="2"/>
      <c r="S952" s="2"/>
      <c r="T952" s="2"/>
      <c r="U952" s="2"/>
      <c r="V952" s="2"/>
      <c r="W952" s="2"/>
    </row>
    <row r="953">
      <c r="A953" s="2"/>
      <c r="B953" s="2"/>
      <c r="C953" s="2"/>
      <c r="D953" s="2"/>
      <c r="E953" s="2"/>
      <c r="F953" s="2"/>
      <c r="G953" s="2"/>
      <c r="H953" s="2"/>
      <c r="I953" s="2"/>
      <c r="J953" s="2"/>
      <c r="K953" s="2"/>
      <c r="L953" s="2"/>
      <c r="M953" s="2"/>
      <c r="N953" s="2"/>
      <c r="O953" s="2"/>
      <c r="P953" s="2"/>
      <c r="Q953" s="2"/>
      <c r="R953" s="2"/>
      <c r="S953" s="2"/>
      <c r="T953" s="2"/>
      <c r="U953" s="2"/>
      <c r="V953" s="2"/>
      <c r="W953" s="2"/>
    </row>
    <row r="954">
      <c r="A954" s="2"/>
      <c r="B954" s="2"/>
      <c r="C954" s="2"/>
      <c r="D954" s="2"/>
      <c r="E954" s="2"/>
      <c r="F954" s="2"/>
      <c r="G954" s="2"/>
      <c r="H954" s="2"/>
      <c r="I954" s="2"/>
      <c r="J954" s="2"/>
      <c r="K954" s="2"/>
      <c r="L954" s="2"/>
      <c r="M954" s="2"/>
      <c r="N954" s="2"/>
      <c r="O954" s="2"/>
      <c r="P954" s="2"/>
      <c r="Q954" s="2"/>
      <c r="R954" s="2"/>
      <c r="S954" s="2"/>
      <c r="T954" s="2"/>
      <c r="U954" s="2"/>
      <c r="V954" s="2"/>
      <c r="W954" s="2"/>
    </row>
    <row r="955">
      <c r="A955" s="2"/>
      <c r="B955" s="2"/>
      <c r="C955" s="2"/>
      <c r="D955" s="2"/>
      <c r="E955" s="2"/>
      <c r="F955" s="2"/>
      <c r="G955" s="2"/>
      <c r="H955" s="2"/>
      <c r="I955" s="2"/>
      <c r="J955" s="2"/>
      <c r="K955" s="2"/>
      <c r="L955" s="2"/>
      <c r="M955" s="2"/>
      <c r="N955" s="2"/>
      <c r="O955" s="2"/>
      <c r="P955" s="2"/>
      <c r="Q955" s="2"/>
      <c r="R955" s="2"/>
      <c r="S955" s="2"/>
      <c r="T955" s="2"/>
      <c r="U955" s="2"/>
      <c r="V955" s="2"/>
      <c r="W955" s="2"/>
    </row>
    <row r="956">
      <c r="A956" s="2"/>
      <c r="B956" s="2"/>
      <c r="C956" s="2"/>
      <c r="D956" s="2"/>
      <c r="E956" s="2"/>
      <c r="F956" s="2"/>
      <c r="G956" s="2"/>
      <c r="H956" s="2"/>
      <c r="I956" s="2"/>
      <c r="J956" s="2"/>
      <c r="K956" s="2"/>
      <c r="L956" s="2"/>
      <c r="M956" s="2"/>
      <c r="N956" s="2"/>
      <c r="O956" s="2"/>
      <c r="P956" s="2"/>
      <c r="Q956" s="2"/>
      <c r="R956" s="2"/>
      <c r="S956" s="2"/>
      <c r="T956" s="2"/>
      <c r="U956" s="2"/>
      <c r="V956" s="2"/>
      <c r="W956" s="2"/>
    </row>
    <row r="957">
      <c r="A957" s="2"/>
      <c r="B957" s="2"/>
      <c r="C957" s="2"/>
      <c r="D957" s="2"/>
      <c r="E957" s="2"/>
      <c r="F957" s="2"/>
      <c r="G957" s="2"/>
      <c r="H957" s="2"/>
      <c r="I957" s="2"/>
      <c r="J957" s="2"/>
      <c r="K957" s="2"/>
      <c r="L957" s="2"/>
      <c r="M957" s="2"/>
      <c r="N957" s="2"/>
      <c r="O957" s="2"/>
      <c r="P957" s="2"/>
      <c r="Q957" s="2"/>
      <c r="R957" s="2"/>
      <c r="S957" s="2"/>
      <c r="T957" s="2"/>
      <c r="U957" s="2"/>
      <c r="V957" s="2"/>
      <c r="W957" s="2"/>
    </row>
    <row r="958">
      <c r="A958" s="2"/>
      <c r="B958" s="2"/>
      <c r="C958" s="2"/>
      <c r="D958" s="2"/>
      <c r="E958" s="2"/>
      <c r="F958" s="2"/>
      <c r="G958" s="2"/>
      <c r="H958" s="2"/>
      <c r="I958" s="2"/>
      <c r="J958" s="2"/>
      <c r="K958" s="2"/>
      <c r="L958" s="2"/>
      <c r="M958" s="2"/>
      <c r="N958" s="2"/>
      <c r="O958" s="2"/>
      <c r="P958" s="2"/>
      <c r="Q958" s="2"/>
      <c r="R958" s="2"/>
      <c r="S958" s="2"/>
      <c r="T958" s="2"/>
      <c r="U958" s="2"/>
      <c r="V958" s="2"/>
      <c r="W958" s="2"/>
    </row>
    <row r="959">
      <c r="A959" s="2"/>
      <c r="B959" s="2"/>
      <c r="C959" s="2"/>
      <c r="D959" s="2"/>
      <c r="E959" s="2"/>
      <c r="F959" s="2"/>
      <c r="G959" s="2"/>
      <c r="H959" s="2"/>
      <c r="I959" s="2"/>
      <c r="J959" s="2"/>
      <c r="K959" s="2"/>
      <c r="L959" s="2"/>
      <c r="M959" s="2"/>
      <c r="N959" s="2"/>
      <c r="O959" s="2"/>
      <c r="P959" s="2"/>
      <c r="Q959" s="2"/>
      <c r="R959" s="2"/>
      <c r="S959" s="2"/>
      <c r="T959" s="2"/>
      <c r="U959" s="2"/>
      <c r="V959" s="2"/>
      <c r="W959" s="2"/>
    </row>
    <row r="960">
      <c r="A960" s="2"/>
      <c r="B960" s="2"/>
      <c r="C960" s="2"/>
      <c r="D960" s="2"/>
      <c r="E960" s="2"/>
      <c r="F960" s="2"/>
      <c r="G960" s="2"/>
      <c r="H960" s="2"/>
      <c r="I960" s="2"/>
      <c r="J960" s="2"/>
      <c r="K960" s="2"/>
      <c r="L960" s="2"/>
      <c r="M960" s="2"/>
      <c r="N960" s="2"/>
      <c r="O960" s="2"/>
      <c r="P960" s="2"/>
      <c r="Q960" s="2"/>
      <c r="R960" s="2"/>
      <c r="S960" s="2"/>
      <c r="T960" s="2"/>
      <c r="U960" s="2"/>
      <c r="V960" s="2"/>
      <c r="W960" s="2"/>
    </row>
    <row r="961">
      <c r="A961" s="2"/>
      <c r="B961" s="2"/>
      <c r="C961" s="2"/>
      <c r="D961" s="2"/>
      <c r="E961" s="2"/>
      <c r="F961" s="2"/>
      <c r="G961" s="2"/>
      <c r="H961" s="2"/>
      <c r="I961" s="2"/>
      <c r="J961" s="2"/>
      <c r="K961" s="2"/>
      <c r="L961" s="2"/>
      <c r="M961" s="2"/>
      <c r="N961" s="2"/>
      <c r="O961" s="2"/>
      <c r="P961" s="2"/>
      <c r="Q961" s="2"/>
      <c r="R961" s="2"/>
      <c r="S961" s="2"/>
      <c r="T961" s="2"/>
      <c r="U961" s="2"/>
      <c r="V961" s="2"/>
      <c r="W961" s="2"/>
    </row>
    <row r="962">
      <c r="A962" s="2"/>
      <c r="B962" s="2"/>
      <c r="C962" s="2"/>
      <c r="D962" s="2"/>
      <c r="E962" s="2"/>
      <c r="F962" s="2"/>
      <c r="G962" s="2"/>
      <c r="H962" s="2"/>
      <c r="I962" s="2"/>
      <c r="J962" s="2"/>
      <c r="K962" s="2"/>
      <c r="L962" s="2"/>
      <c r="M962" s="2"/>
      <c r="N962" s="2"/>
      <c r="O962" s="2"/>
      <c r="P962" s="2"/>
      <c r="Q962" s="2"/>
      <c r="R962" s="2"/>
      <c r="S962" s="2"/>
      <c r="T962" s="2"/>
      <c r="U962" s="2"/>
      <c r="V962" s="2"/>
      <c r="W962" s="2"/>
    </row>
    <row r="963">
      <c r="A963" s="2"/>
      <c r="B963" s="2"/>
      <c r="C963" s="2"/>
      <c r="D963" s="2"/>
      <c r="E963" s="2"/>
      <c r="F963" s="2"/>
      <c r="G963" s="2"/>
      <c r="H963" s="2"/>
      <c r="I963" s="2"/>
      <c r="J963" s="2"/>
      <c r="K963" s="2"/>
      <c r="L963" s="2"/>
      <c r="M963" s="2"/>
      <c r="N963" s="2"/>
      <c r="O963" s="2"/>
      <c r="P963" s="2"/>
      <c r="Q963" s="2"/>
      <c r="R963" s="2"/>
      <c r="S963" s="2"/>
      <c r="T963" s="2"/>
      <c r="U963" s="2"/>
      <c r="V963" s="2"/>
      <c r="W963" s="2"/>
    </row>
    <row r="964">
      <c r="A964" s="2"/>
      <c r="B964" s="2"/>
      <c r="C964" s="2"/>
      <c r="D964" s="2"/>
      <c r="E964" s="2"/>
      <c r="F964" s="2"/>
      <c r="G964" s="2"/>
      <c r="H964" s="2"/>
      <c r="I964" s="2"/>
      <c r="J964" s="2"/>
      <c r="K964" s="2"/>
      <c r="L964" s="2"/>
      <c r="M964" s="2"/>
      <c r="N964" s="2"/>
      <c r="O964" s="2"/>
      <c r="P964" s="2"/>
      <c r="Q964" s="2"/>
      <c r="R964" s="2"/>
      <c r="S964" s="2"/>
      <c r="T964" s="2"/>
      <c r="U964" s="2"/>
      <c r="V964" s="2"/>
      <c r="W964" s="2"/>
    </row>
    <row r="965">
      <c r="A965" s="2"/>
      <c r="B965" s="2"/>
      <c r="C965" s="2"/>
      <c r="D965" s="2"/>
      <c r="E965" s="2"/>
      <c r="F965" s="2"/>
      <c r="G965" s="2"/>
      <c r="H965" s="2"/>
      <c r="I965" s="2"/>
      <c r="J965" s="2"/>
      <c r="K965" s="2"/>
      <c r="L965" s="2"/>
      <c r="M965" s="2"/>
      <c r="N965" s="2"/>
      <c r="O965" s="2"/>
      <c r="P965" s="2"/>
      <c r="Q965" s="2"/>
      <c r="R965" s="2"/>
      <c r="S965" s="2"/>
      <c r="T965" s="2"/>
      <c r="U965" s="2"/>
      <c r="V965" s="2"/>
      <c r="W965" s="2"/>
    </row>
    <row r="966">
      <c r="A966" s="2"/>
      <c r="B966" s="2"/>
      <c r="C966" s="2"/>
      <c r="D966" s="2"/>
      <c r="E966" s="2"/>
      <c r="F966" s="2"/>
      <c r="G966" s="2"/>
      <c r="H966" s="2"/>
      <c r="I966" s="2"/>
      <c r="J966" s="2"/>
      <c r="K966" s="2"/>
      <c r="L966" s="2"/>
      <c r="M966" s="2"/>
      <c r="N966" s="2"/>
      <c r="O966" s="2"/>
      <c r="P966" s="2"/>
      <c r="Q966" s="2"/>
      <c r="R966" s="2"/>
      <c r="S966" s="2"/>
      <c r="T966" s="2"/>
      <c r="U966" s="2"/>
      <c r="V966" s="2"/>
      <c r="W966" s="2"/>
    </row>
    <row r="967">
      <c r="A967" s="2"/>
      <c r="B967" s="2"/>
      <c r="C967" s="2"/>
      <c r="D967" s="2"/>
      <c r="E967" s="2"/>
      <c r="F967" s="2"/>
      <c r="G967" s="2"/>
      <c r="H967" s="2"/>
      <c r="I967" s="2"/>
      <c r="J967" s="2"/>
      <c r="K967" s="2"/>
      <c r="L967" s="2"/>
      <c r="M967" s="2"/>
      <c r="N967" s="2"/>
      <c r="O967" s="2"/>
      <c r="P967" s="2"/>
      <c r="Q967" s="2"/>
      <c r="R967" s="2"/>
      <c r="S967" s="2"/>
      <c r="T967" s="2"/>
      <c r="U967" s="2"/>
      <c r="V967" s="2"/>
      <c r="W967" s="2"/>
    </row>
    <row r="968">
      <c r="A968" s="2"/>
      <c r="B968" s="2"/>
      <c r="C968" s="2"/>
      <c r="D968" s="2"/>
      <c r="E968" s="2"/>
      <c r="F968" s="2"/>
      <c r="G968" s="2"/>
      <c r="H968" s="2"/>
      <c r="I968" s="2"/>
      <c r="J968" s="2"/>
      <c r="K968" s="2"/>
      <c r="L968" s="2"/>
      <c r="M968" s="2"/>
      <c r="N968" s="2"/>
      <c r="O968" s="2"/>
      <c r="P968" s="2"/>
      <c r="Q968" s="2"/>
      <c r="R968" s="2"/>
      <c r="S968" s="2"/>
      <c r="T968" s="2"/>
      <c r="U968" s="2"/>
      <c r="V968" s="2"/>
      <c r="W968" s="2"/>
    </row>
    <row r="969">
      <c r="A969" s="2"/>
      <c r="B969" s="2"/>
      <c r="C969" s="2"/>
      <c r="D969" s="2"/>
      <c r="E969" s="2"/>
      <c r="F969" s="2"/>
      <c r="G969" s="2"/>
      <c r="H969" s="2"/>
      <c r="I969" s="2"/>
      <c r="J969" s="2"/>
      <c r="K969" s="2"/>
      <c r="L969" s="2"/>
      <c r="M969" s="2"/>
      <c r="N969" s="2"/>
      <c r="O969" s="2"/>
      <c r="P969" s="2"/>
      <c r="Q969" s="2"/>
      <c r="R969" s="2"/>
      <c r="S969" s="2"/>
      <c r="T969" s="2"/>
      <c r="U969" s="2"/>
      <c r="V969" s="2"/>
      <c r="W969" s="2"/>
    </row>
    <row r="970">
      <c r="A970" s="2"/>
      <c r="B970" s="2"/>
      <c r="C970" s="2"/>
      <c r="D970" s="2"/>
      <c r="E970" s="2"/>
      <c r="F970" s="2"/>
      <c r="G970" s="2"/>
      <c r="H970" s="2"/>
      <c r="I970" s="2"/>
      <c r="J970" s="2"/>
      <c r="K970" s="2"/>
      <c r="L970" s="2"/>
      <c r="M970" s="2"/>
      <c r="N970" s="2"/>
      <c r="O970" s="2"/>
      <c r="P970" s="2"/>
      <c r="Q970" s="2"/>
      <c r="R970" s="2"/>
      <c r="S970" s="2"/>
      <c r="T970" s="2"/>
      <c r="U970" s="2"/>
      <c r="V970" s="2"/>
      <c r="W970" s="2"/>
    </row>
    <row r="971">
      <c r="A971" s="2"/>
      <c r="B971" s="2"/>
      <c r="C971" s="2"/>
      <c r="D971" s="2"/>
      <c r="E971" s="2"/>
      <c r="F971" s="2"/>
      <c r="G971" s="2"/>
      <c r="H971" s="2"/>
      <c r="I971" s="2"/>
      <c r="J971" s="2"/>
      <c r="K971" s="2"/>
      <c r="L971" s="2"/>
      <c r="M971" s="2"/>
      <c r="N971" s="2"/>
      <c r="O971" s="2"/>
      <c r="P971" s="2"/>
      <c r="Q971" s="2"/>
      <c r="R971" s="2"/>
      <c r="S971" s="2"/>
      <c r="T971" s="2"/>
      <c r="U971" s="2"/>
      <c r="V971" s="2"/>
      <c r="W971" s="2"/>
    </row>
    <row r="972">
      <c r="A972" s="2"/>
      <c r="B972" s="2"/>
      <c r="C972" s="2"/>
      <c r="D972" s="2"/>
      <c r="E972" s="2"/>
      <c r="F972" s="2"/>
      <c r="G972" s="2"/>
      <c r="H972" s="2"/>
      <c r="I972" s="2"/>
      <c r="J972" s="2"/>
      <c r="K972" s="2"/>
      <c r="L972" s="2"/>
      <c r="M972" s="2"/>
      <c r="N972" s="2"/>
      <c r="O972" s="2"/>
      <c r="P972" s="2"/>
      <c r="Q972" s="2"/>
      <c r="R972" s="2"/>
      <c r="S972" s="2"/>
      <c r="T972" s="2"/>
      <c r="U972" s="2"/>
      <c r="V972" s="2"/>
      <c r="W972" s="2"/>
    </row>
    <row r="973">
      <c r="A973" s="2"/>
      <c r="B973" s="2"/>
      <c r="C973" s="2"/>
      <c r="D973" s="2"/>
      <c r="E973" s="2"/>
      <c r="F973" s="2"/>
      <c r="G973" s="2"/>
      <c r="H973" s="2"/>
      <c r="I973" s="2"/>
      <c r="J973" s="2"/>
      <c r="K973" s="2"/>
      <c r="L973" s="2"/>
      <c r="M973" s="2"/>
      <c r="N973" s="2"/>
      <c r="O973" s="2"/>
      <c r="P973" s="2"/>
      <c r="Q973" s="2"/>
      <c r="R973" s="2"/>
      <c r="S973" s="2"/>
      <c r="T973" s="2"/>
      <c r="U973" s="2"/>
      <c r="V973" s="2"/>
      <c r="W973" s="2"/>
    </row>
    <row r="974">
      <c r="A974" s="2"/>
      <c r="B974" s="2"/>
      <c r="C974" s="2"/>
      <c r="D974" s="2"/>
      <c r="E974" s="2"/>
      <c r="F974" s="2"/>
      <c r="G974" s="2"/>
      <c r="H974" s="2"/>
      <c r="I974" s="2"/>
      <c r="J974" s="2"/>
      <c r="K974" s="2"/>
      <c r="L974" s="2"/>
      <c r="M974" s="2"/>
      <c r="N974" s="2"/>
      <c r="O974" s="2"/>
      <c r="P974" s="2"/>
      <c r="Q974" s="2"/>
      <c r="R974" s="2"/>
      <c r="S974" s="2"/>
      <c r="T974" s="2"/>
      <c r="U974" s="2"/>
      <c r="V974" s="2"/>
      <c r="W974" s="2"/>
    </row>
    <row r="975">
      <c r="A975" s="2"/>
      <c r="B975" s="2"/>
      <c r="C975" s="2"/>
      <c r="D975" s="2"/>
      <c r="E975" s="2"/>
      <c r="F975" s="2"/>
      <c r="G975" s="2"/>
      <c r="H975" s="2"/>
      <c r="I975" s="2"/>
      <c r="J975" s="2"/>
      <c r="K975" s="2"/>
      <c r="L975" s="2"/>
      <c r="M975" s="2"/>
      <c r="N975" s="2"/>
      <c r="O975" s="2"/>
      <c r="P975" s="2"/>
      <c r="Q975" s="2"/>
      <c r="R975" s="2"/>
      <c r="S975" s="2"/>
      <c r="T975" s="2"/>
      <c r="U975" s="2"/>
      <c r="V975" s="2"/>
      <c r="W975" s="2"/>
    </row>
    <row r="976">
      <c r="A976" s="2"/>
      <c r="B976" s="2"/>
      <c r="C976" s="2"/>
      <c r="D976" s="2"/>
      <c r="E976" s="2"/>
      <c r="F976" s="2"/>
      <c r="G976" s="2"/>
      <c r="H976" s="2"/>
      <c r="I976" s="2"/>
      <c r="J976" s="2"/>
      <c r="K976" s="2"/>
      <c r="L976" s="2"/>
      <c r="M976" s="2"/>
      <c r="N976" s="2"/>
      <c r="O976" s="2"/>
      <c r="P976" s="2"/>
      <c r="Q976" s="2"/>
      <c r="R976" s="2"/>
      <c r="S976" s="2"/>
      <c r="T976" s="2"/>
      <c r="U976" s="2"/>
      <c r="V976" s="2"/>
      <c r="W976" s="2"/>
    </row>
    <row r="977">
      <c r="A977" s="2"/>
      <c r="B977" s="2"/>
      <c r="C977" s="2"/>
      <c r="D977" s="2"/>
      <c r="E977" s="2"/>
      <c r="F977" s="2"/>
      <c r="G977" s="2"/>
      <c r="H977" s="2"/>
      <c r="I977" s="2"/>
      <c r="J977" s="2"/>
      <c r="K977" s="2"/>
      <c r="L977" s="2"/>
      <c r="M977" s="2"/>
      <c r="N977" s="2"/>
      <c r="O977" s="2"/>
      <c r="P977" s="2"/>
      <c r="Q977" s="2"/>
      <c r="R977" s="2"/>
      <c r="S977" s="2"/>
      <c r="T977" s="2"/>
      <c r="U977" s="2"/>
      <c r="V977" s="2"/>
      <c r="W977" s="2"/>
    </row>
    <row r="978">
      <c r="A978" s="2"/>
      <c r="B978" s="2"/>
      <c r="C978" s="2"/>
      <c r="D978" s="2"/>
      <c r="E978" s="2"/>
      <c r="F978" s="2"/>
      <c r="G978" s="2"/>
      <c r="H978" s="2"/>
      <c r="I978" s="2"/>
      <c r="J978" s="2"/>
      <c r="K978" s="2"/>
      <c r="L978" s="2"/>
      <c r="M978" s="2"/>
      <c r="N978" s="2"/>
      <c r="O978" s="2"/>
      <c r="P978" s="2"/>
      <c r="Q978" s="2"/>
      <c r="R978" s="2"/>
      <c r="S978" s="2"/>
      <c r="T978" s="2"/>
      <c r="U978" s="2"/>
      <c r="V978" s="2"/>
      <c r="W978" s="2"/>
    </row>
    <row r="979">
      <c r="A979" s="2"/>
      <c r="B979" s="2"/>
      <c r="C979" s="2"/>
      <c r="D979" s="2"/>
      <c r="E979" s="2"/>
      <c r="F979" s="2"/>
      <c r="G979" s="2"/>
      <c r="H979" s="2"/>
      <c r="I979" s="2"/>
      <c r="J979" s="2"/>
      <c r="K979" s="2"/>
      <c r="L979" s="2"/>
      <c r="M979" s="2"/>
      <c r="N979" s="2"/>
      <c r="O979" s="2"/>
      <c r="P979" s="2"/>
      <c r="Q979" s="2"/>
      <c r="R979" s="2"/>
      <c r="S979" s="2"/>
      <c r="T979" s="2"/>
      <c r="U979" s="2"/>
      <c r="V979" s="2"/>
      <c r="W979" s="2"/>
    </row>
    <row r="980">
      <c r="A980" s="2"/>
      <c r="B980" s="2"/>
      <c r="C980" s="2"/>
      <c r="D980" s="2"/>
      <c r="E980" s="2"/>
      <c r="F980" s="2"/>
      <c r="G980" s="2"/>
      <c r="H980" s="2"/>
      <c r="I980" s="2"/>
      <c r="J980" s="2"/>
      <c r="K980" s="2"/>
      <c r="L980" s="2"/>
      <c r="M980" s="2"/>
      <c r="N980" s="2"/>
      <c r="O980" s="2"/>
      <c r="P980" s="2"/>
      <c r="Q980" s="2"/>
      <c r="R980" s="2"/>
      <c r="S980" s="2"/>
      <c r="T980" s="2"/>
      <c r="U980" s="2"/>
      <c r="V980" s="2"/>
      <c r="W980" s="2"/>
    </row>
    <row r="981">
      <c r="A981" s="2"/>
      <c r="B981" s="2"/>
      <c r="C981" s="2"/>
      <c r="D981" s="2"/>
      <c r="E981" s="2"/>
      <c r="F981" s="2"/>
      <c r="G981" s="2"/>
      <c r="H981" s="2"/>
      <c r="I981" s="2"/>
      <c r="J981" s="2"/>
      <c r="K981" s="2"/>
      <c r="L981" s="2"/>
      <c r="M981" s="2"/>
      <c r="N981" s="2"/>
      <c r="O981" s="2"/>
      <c r="P981" s="2"/>
      <c r="Q981" s="2"/>
      <c r="R981" s="2"/>
      <c r="S981" s="2"/>
      <c r="T981" s="2"/>
      <c r="U981" s="2"/>
      <c r="V981" s="2"/>
      <c r="W981" s="2"/>
    </row>
    <row r="982">
      <c r="A982" s="2"/>
      <c r="B982" s="2"/>
      <c r="C982" s="2"/>
      <c r="D982" s="2"/>
      <c r="E982" s="2"/>
      <c r="F982" s="2"/>
      <c r="G982" s="2"/>
      <c r="H982" s="2"/>
      <c r="I982" s="2"/>
      <c r="J982" s="2"/>
      <c r="K982" s="2"/>
      <c r="L982" s="2"/>
      <c r="M982" s="2"/>
      <c r="N982" s="2"/>
      <c r="O982" s="2"/>
      <c r="P982" s="2"/>
      <c r="Q982" s="2"/>
      <c r="R982" s="2"/>
      <c r="S982" s="2"/>
      <c r="T982" s="2"/>
      <c r="U982" s="2"/>
      <c r="V982" s="2"/>
      <c r="W982" s="2"/>
    </row>
    <row r="983">
      <c r="A983" s="2"/>
      <c r="B983" s="2"/>
      <c r="C983" s="2"/>
      <c r="D983" s="2"/>
      <c r="E983" s="2"/>
      <c r="F983" s="2"/>
      <c r="G983" s="2"/>
      <c r="H983" s="2"/>
      <c r="I983" s="2"/>
      <c r="J983" s="2"/>
      <c r="K983" s="2"/>
      <c r="L983" s="2"/>
      <c r="M983" s="2"/>
      <c r="N983" s="2"/>
      <c r="O983" s="2"/>
      <c r="P983" s="2"/>
      <c r="Q983" s="2"/>
      <c r="R983" s="2"/>
      <c r="S983" s="2"/>
      <c r="T983" s="2"/>
      <c r="U983" s="2"/>
      <c r="V983" s="2"/>
      <c r="W983" s="2"/>
    </row>
    <row r="984">
      <c r="A984" s="2"/>
      <c r="B984" s="2"/>
      <c r="C984" s="2"/>
      <c r="D984" s="2"/>
      <c r="E984" s="2"/>
      <c r="F984" s="2"/>
      <c r="G984" s="2"/>
      <c r="H984" s="2"/>
      <c r="I984" s="2"/>
      <c r="J984" s="2"/>
      <c r="K984" s="2"/>
      <c r="L984" s="2"/>
      <c r="M984" s="2"/>
      <c r="N984" s="2"/>
      <c r="O984" s="2"/>
      <c r="P984" s="2"/>
      <c r="Q984" s="2"/>
      <c r="R984" s="2"/>
      <c r="S984" s="2"/>
      <c r="T984" s="2"/>
      <c r="U984" s="2"/>
      <c r="V984" s="2"/>
      <c r="W984" s="2"/>
    </row>
    <row r="985">
      <c r="A985" s="2"/>
      <c r="B985" s="2"/>
      <c r="C985" s="2"/>
      <c r="D985" s="2"/>
      <c r="E985" s="2"/>
      <c r="F985" s="2"/>
      <c r="G985" s="2"/>
      <c r="H985" s="2"/>
      <c r="I985" s="2"/>
      <c r="J985" s="2"/>
      <c r="K985" s="2"/>
      <c r="L985" s="2"/>
      <c r="M985" s="2"/>
      <c r="N985" s="2"/>
      <c r="O985" s="2"/>
      <c r="P985" s="2"/>
      <c r="Q985" s="2"/>
      <c r="R985" s="2"/>
      <c r="S985" s="2"/>
      <c r="T985" s="2"/>
      <c r="U985" s="2"/>
      <c r="V985" s="2"/>
      <c r="W985" s="2"/>
    </row>
    <row r="986">
      <c r="A986" s="2"/>
      <c r="B986" s="2"/>
      <c r="C986" s="2"/>
      <c r="D986" s="2"/>
      <c r="E986" s="2"/>
      <c r="F986" s="2"/>
      <c r="G986" s="2"/>
      <c r="H986" s="2"/>
      <c r="I986" s="2"/>
      <c r="J986" s="2"/>
      <c r="K986" s="2"/>
      <c r="L986" s="2"/>
      <c r="M986" s="2"/>
      <c r="N986" s="2"/>
      <c r="O986" s="2"/>
      <c r="P986" s="2"/>
      <c r="Q986" s="2"/>
      <c r="R986" s="2"/>
      <c r="S986" s="2"/>
      <c r="T986" s="2"/>
      <c r="U986" s="2"/>
      <c r="V986" s="2"/>
      <c r="W986" s="2"/>
    </row>
    <row r="987">
      <c r="A987" s="2"/>
      <c r="B987" s="2"/>
      <c r="C987" s="2"/>
      <c r="D987" s="2"/>
      <c r="E987" s="2"/>
      <c r="F987" s="2"/>
      <c r="G987" s="2"/>
      <c r="H987" s="2"/>
      <c r="I987" s="2"/>
      <c r="J987" s="2"/>
      <c r="K987" s="2"/>
      <c r="L987" s="2"/>
      <c r="M987" s="2"/>
      <c r="N987" s="2"/>
      <c r="O987" s="2"/>
      <c r="P987" s="2"/>
      <c r="Q987" s="2"/>
      <c r="R987" s="2"/>
      <c r="S987" s="2"/>
      <c r="T987" s="2"/>
      <c r="U987" s="2"/>
      <c r="V987" s="2"/>
      <c r="W987" s="2"/>
    </row>
    <row r="988">
      <c r="A988" s="2"/>
      <c r="B988" s="2"/>
      <c r="C988" s="2"/>
      <c r="D988" s="2"/>
      <c r="E988" s="2"/>
      <c r="F988" s="2"/>
      <c r="G988" s="2"/>
      <c r="H988" s="2"/>
      <c r="I988" s="2"/>
      <c r="J988" s="2"/>
      <c r="K988" s="2"/>
      <c r="L988" s="2"/>
      <c r="M988" s="2"/>
      <c r="N988" s="2"/>
      <c r="O988" s="2"/>
      <c r="P988" s="2"/>
      <c r="Q988" s="2"/>
      <c r="R988" s="2"/>
      <c r="S988" s="2"/>
      <c r="T988" s="2"/>
      <c r="U988" s="2"/>
      <c r="V988" s="2"/>
      <c r="W988" s="2"/>
    </row>
    <row r="989">
      <c r="A989" s="2"/>
      <c r="B989" s="2"/>
      <c r="C989" s="2"/>
      <c r="D989" s="2"/>
      <c r="E989" s="2"/>
      <c r="F989" s="2"/>
      <c r="G989" s="2"/>
      <c r="H989" s="2"/>
      <c r="I989" s="2"/>
      <c r="J989" s="2"/>
      <c r="K989" s="2"/>
      <c r="L989" s="2"/>
      <c r="M989" s="2"/>
      <c r="N989" s="2"/>
      <c r="O989" s="2"/>
      <c r="P989" s="2"/>
      <c r="Q989" s="2"/>
      <c r="R989" s="2"/>
      <c r="S989" s="2"/>
      <c r="T989" s="2"/>
      <c r="U989" s="2"/>
      <c r="V989" s="2"/>
      <c r="W989" s="2"/>
    </row>
    <row r="990">
      <c r="A990" s="2"/>
      <c r="B990" s="2"/>
      <c r="C990" s="2"/>
      <c r="D990" s="2"/>
      <c r="E990" s="2"/>
      <c r="F990" s="2"/>
      <c r="G990" s="2"/>
      <c r="H990" s="2"/>
      <c r="I990" s="2"/>
      <c r="J990" s="2"/>
      <c r="K990" s="2"/>
      <c r="L990" s="2"/>
      <c r="M990" s="2"/>
      <c r="N990" s="2"/>
      <c r="O990" s="2"/>
      <c r="P990" s="2"/>
      <c r="Q990" s="2"/>
      <c r="R990" s="2"/>
      <c r="S990" s="2"/>
      <c r="T990" s="2"/>
      <c r="U990" s="2"/>
      <c r="V990" s="2"/>
      <c r="W990" s="2"/>
    </row>
    <row r="991">
      <c r="A991" s="2"/>
      <c r="B991" s="2"/>
      <c r="C991" s="2"/>
      <c r="D991" s="2"/>
      <c r="E991" s="2"/>
      <c r="F991" s="2"/>
      <c r="G991" s="2"/>
      <c r="H991" s="2"/>
      <c r="I991" s="2"/>
      <c r="J991" s="2"/>
      <c r="K991" s="2"/>
      <c r="L991" s="2"/>
      <c r="M991" s="2"/>
      <c r="N991" s="2"/>
      <c r="O991" s="2"/>
      <c r="P991" s="2"/>
      <c r="Q991" s="2"/>
      <c r="R991" s="2"/>
      <c r="S991" s="2"/>
      <c r="T991" s="2"/>
      <c r="U991" s="2"/>
      <c r="V991" s="2"/>
      <c r="W991" s="2"/>
    </row>
    <row r="992">
      <c r="A992" s="2"/>
      <c r="B992" s="2"/>
      <c r="C992" s="2"/>
      <c r="D992" s="2"/>
      <c r="E992" s="2"/>
      <c r="F992" s="2"/>
      <c r="G992" s="2"/>
      <c r="H992" s="2"/>
      <c r="I992" s="2"/>
      <c r="J992" s="2"/>
      <c r="K992" s="2"/>
      <c r="L992" s="2"/>
      <c r="M992" s="2"/>
      <c r="N992" s="2"/>
      <c r="O992" s="2"/>
      <c r="P992" s="2"/>
      <c r="Q992" s="2"/>
      <c r="R992" s="2"/>
      <c r="S992" s="2"/>
      <c r="T992" s="2"/>
      <c r="U992" s="2"/>
      <c r="V992" s="2"/>
      <c r="W992" s="2"/>
    </row>
    <row r="993">
      <c r="A993" s="2"/>
      <c r="B993" s="2"/>
      <c r="C993" s="2"/>
      <c r="D993" s="2"/>
      <c r="E993" s="2"/>
      <c r="F993" s="2"/>
      <c r="G993" s="2"/>
      <c r="H993" s="2"/>
      <c r="I993" s="2"/>
      <c r="J993" s="2"/>
      <c r="K993" s="2"/>
      <c r="L993" s="2"/>
      <c r="M993" s="2"/>
      <c r="N993" s="2"/>
      <c r="O993" s="2"/>
      <c r="P993" s="2"/>
      <c r="Q993" s="2"/>
      <c r="R993" s="2"/>
      <c r="S993" s="2"/>
      <c r="T993" s="2"/>
      <c r="U993" s="2"/>
      <c r="V993" s="2"/>
      <c r="W993" s="2"/>
    </row>
    <row r="994">
      <c r="A994" s="2"/>
      <c r="B994" s="2"/>
      <c r="C994" s="2"/>
      <c r="D994" s="2"/>
      <c r="E994" s="2"/>
      <c r="F994" s="2"/>
      <c r="G994" s="2"/>
      <c r="H994" s="2"/>
      <c r="I994" s="2"/>
      <c r="J994" s="2"/>
      <c r="K994" s="2"/>
      <c r="L994" s="2"/>
      <c r="M994" s="2"/>
      <c r="N994" s="2"/>
      <c r="O994" s="2"/>
      <c r="P994" s="2"/>
      <c r="Q994" s="2"/>
      <c r="R994" s="2"/>
      <c r="S994" s="2"/>
      <c r="T994" s="2"/>
      <c r="U994" s="2"/>
      <c r="V994" s="2"/>
      <c r="W994" s="2"/>
    </row>
    <row r="995">
      <c r="A995" s="2"/>
      <c r="B995" s="2"/>
      <c r="C995" s="2"/>
      <c r="D995" s="2"/>
      <c r="E995" s="2"/>
      <c r="F995" s="2"/>
      <c r="G995" s="2"/>
      <c r="H995" s="2"/>
      <c r="I995" s="2"/>
      <c r="J995" s="2"/>
      <c r="K995" s="2"/>
      <c r="L995" s="2"/>
      <c r="M995" s="2"/>
      <c r="N995" s="2"/>
      <c r="O995" s="2"/>
      <c r="P995" s="2"/>
      <c r="Q995" s="2"/>
      <c r="R995" s="2"/>
      <c r="S995" s="2"/>
      <c r="T995" s="2"/>
      <c r="U995" s="2"/>
      <c r="V995" s="2"/>
      <c r="W995" s="2"/>
    </row>
    <row r="996">
      <c r="A996" s="2"/>
      <c r="B996" s="2"/>
      <c r="C996" s="2"/>
      <c r="D996" s="2"/>
      <c r="E996" s="2"/>
      <c r="F996" s="2"/>
      <c r="G996" s="2"/>
      <c r="H996" s="2"/>
      <c r="I996" s="2"/>
      <c r="J996" s="2"/>
      <c r="K996" s="2"/>
      <c r="L996" s="2"/>
      <c r="M996" s="2"/>
      <c r="N996" s="2"/>
      <c r="O996" s="2"/>
      <c r="P996" s="2"/>
      <c r="Q996" s="2"/>
      <c r="R996" s="2"/>
      <c r="S996" s="2"/>
      <c r="T996" s="2"/>
      <c r="U996" s="2"/>
      <c r="V996" s="2"/>
      <c r="W996" s="2"/>
    </row>
    <row r="997">
      <c r="A997" s="2"/>
      <c r="B997" s="2"/>
      <c r="C997" s="2"/>
      <c r="D997" s="2"/>
      <c r="E997" s="2"/>
      <c r="F997" s="2"/>
      <c r="G997" s="2"/>
      <c r="H997" s="2"/>
      <c r="I997" s="2"/>
      <c r="J997" s="2"/>
      <c r="K997" s="2"/>
      <c r="L997" s="2"/>
      <c r="M997" s="2"/>
      <c r="N997" s="2"/>
      <c r="O997" s="2"/>
      <c r="P997" s="2"/>
      <c r="Q997" s="2"/>
      <c r="R997" s="2"/>
      <c r="S997" s="2"/>
      <c r="T997" s="2"/>
      <c r="U997" s="2"/>
      <c r="V997" s="2"/>
      <c r="W997" s="2"/>
    </row>
    <row r="998">
      <c r="A998" s="2"/>
      <c r="B998" s="2"/>
      <c r="C998" s="2"/>
      <c r="D998" s="2"/>
      <c r="E998" s="2"/>
      <c r="F998" s="2"/>
      <c r="G998" s="2"/>
      <c r="H998" s="2"/>
      <c r="I998" s="2"/>
      <c r="J998" s="2"/>
      <c r="K998" s="2"/>
      <c r="L998" s="2"/>
      <c r="M998" s="2"/>
      <c r="N998" s="2"/>
      <c r="O998" s="2"/>
      <c r="P998" s="2"/>
      <c r="Q998" s="2"/>
      <c r="R998" s="2"/>
      <c r="S998" s="2"/>
      <c r="T998" s="2"/>
      <c r="U998" s="2"/>
      <c r="V998" s="2"/>
      <c r="W998" s="2"/>
    </row>
    <row r="999">
      <c r="A999" s="2"/>
      <c r="B999" s="2"/>
      <c r="C999" s="2"/>
      <c r="D999" s="2"/>
      <c r="E999" s="2"/>
      <c r="F999" s="2"/>
      <c r="G999" s="2"/>
      <c r="H999" s="2"/>
      <c r="I999" s="2"/>
      <c r="J999" s="2"/>
      <c r="K999" s="2"/>
      <c r="L999" s="2"/>
      <c r="M999" s="2"/>
      <c r="N999" s="2"/>
      <c r="O999" s="2"/>
      <c r="P999" s="2"/>
      <c r="Q999" s="2"/>
      <c r="R999" s="2"/>
      <c r="S999" s="2"/>
      <c r="T999" s="2"/>
      <c r="U999" s="2"/>
      <c r="V999" s="2"/>
      <c r="W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row>
  </sheetData>
  <drawing r:id="rId1"/>
  <tableParts count="2">
    <tablePart r:id="rId4"/>
    <tablePart r:id="rId5"/>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ht="22.5" customHeight="1">
      <c r="A1" s="1" t="s">
        <v>0</v>
      </c>
      <c r="B1" s="1" t="s">
        <v>1</v>
      </c>
      <c r="C1" s="1" t="s">
        <v>2</v>
      </c>
      <c r="D1" s="1" t="s">
        <v>3</v>
      </c>
      <c r="E1" s="1" t="s">
        <v>577</v>
      </c>
      <c r="F1" s="2"/>
      <c r="G1" s="1" t="s">
        <v>0</v>
      </c>
      <c r="H1" s="1" t="s">
        <v>5</v>
      </c>
      <c r="I1" s="1" t="s">
        <v>6</v>
      </c>
      <c r="J1" s="1" t="s">
        <v>7</v>
      </c>
      <c r="K1" s="1" t="s">
        <v>4</v>
      </c>
      <c r="L1" s="2"/>
      <c r="M1" s="2"/>
      <c r="N1" s="2"/>
      <c r="O1" s="2"/>
      <c r="P1" s="2"/>
      <c r="Q1" s="2"/>
      <c r="R1" s="2"/>
      <c r="S1" s="2"/>
      <c r="T1" s="2"/>
      <c r="U1" s="2"/>
      <c r="V1" s="2"/>
      <c r="W1" s="2"/>
    </row>
    <row r="2" ht="22.5" customHeight="1">
      <c r="A2" s="3">
        <v>1.0</v>
      </c>
      <c r="B2" s="3" t="s">
        <v>1703</v>
      </c>
      <c r="C2" s="3" t="s">
        <v>1704</v>
      </c>
      <c r="D2" s="3" t="s">
        <v>1705</v>
      </c>
      <c r="E2" s="3" t="s">
        <v>1706</v>
      </c>
      <c r="F2" s="2"/>
      <c r="G2" s="3" t="str">
        <f>IFERROR(__xludf.DUMMYFUNCTION("GOOGLETRANSLATE(A2, ""it"", ""en"")"),"1")</f>
        <v>1</v>
      </c>
      <c r="H2" s="3" t="str">
        <f>IFERROR(__xludf.DUMMYFUNCTION("GOOGLETRANSLATE(B2, ""it"", ""en"")"),"What is the main objective of the Palio di Siena?")</f>
        <v>What is the main objective of the Palio di Siena?</v>
      </c>
      <c r="I2" s="3" t="str">
        <f>IFERROR(__xludf.DUMMYFUNCTION("GOOGLETRANSLATE(C2, ""it"", ""en"")"),"A. Win the most laps B. Win the first lap C. Win the race by completing three laps D. Win by remaining last in the field")</f>
        <v>A. Win the most laps B. Win the first lap C. Win the race by completing three laps D. Win by remaining last in the field</v>
      </c>
      <c r="J2" s="3" t="str">
        <f>IFERROR(__xludf.DUMMYFUNCTION("GOOGLETRANSLATE(D2, ""it"", ""en"")"),"Win the race by completing three laps")</f>
        <v>Win the race by completing three laps</v>
      </c>
      <c r="K2" s="3" t="str">
        <f>IFERROR(__xludf.DUMMYFUNCTION("GOOGLETRANSLATE(E2, ""it"", ""en"")"),"The Palio is won by the horse that completes three laps of the square first.")</f>
        <v>The Palio is won by the horse that completes three laps of the square first.</v>
      </c>
      <c r="L2" s="2"/>
      <c r="M2" s="2"/>
      <c r="N2" s="2"/>
      <c r="O2" s="2"/>
      <c r="P2" s="2"/>
      <c r="Q2" s="2"/>
      <c r="R2" s="2"/>
      <c r="S2" s="2"/>
      <c r="T2" s="2"/>
      <c r="U2" s="2"/>
      <c r="V2" s="2"/>
      <c r="W2" s="2"/>
    </row>
    <row r="3" ht="22.5" customHeight="1">
      <c r="A3" s="3">
        <v>2.0</v>
      </c>
      <c r="B3" s="3" t="s">
        <v>1707</v>
      </c>
      <c r="C3" s="3" t="s">
        <v>1708</v>
      </c>
      <c r="D3" s="3">
        <v>10.0</v>
      </c>
      <c r="E3" s="3" t="s">
        <v>1709</v>
      </c>
      <c r="F3" s="2"/>
      <c r="G3" s="3" t="str">
        <f>IFERROR(__xludf.DUMMYFUNCTION("GOOGLETRANSLATE(A3, ""it"", ""en"")"),"2")</f>
        <v>2</v>
      </c>
      <c r="H3" s="3" t="str">
        <f>IFERROR(__xludf.DUMMYFUNCTION("GOOGLETRANSLATE(B3, ""it"", ""en"")"),"How many districts participate in the Palio?")</f>
        <v>How many districts participate in the Palio?</v>
      </c>
      <c r="I3" s="3" t="str">
        <f>IFERROR(__xludf.DUMMYFUNCTION("GOOGLETRANSLATE(C3, ""it"", ""en"")"),"A. 7 B. 10 C. 12 D. 17")</f>
        <v>A. 7 B. 10 C. 12 D. 17</v>
      </c>
      <c r="J3" s="3" t="str">
        <f>IFERROR(__xludf.DUMMYFUNCTION("GOOGLETRANSLATE(D3, ""it"", ""en"")"),"10")</f>
        <v>10</v>
      </c>
      <c r="K3" s="3" t="str">
        <f>IFERROR(__xludf.DUMMYFUNCTION("GOOGLETRANSLATE(E3, ""it"", ""en"")"),"The ten districts participate in the Palio")</f>
        <v>The ten districts participate in the Palio</v>
      </c>
      <c r="L3" s="2"/>
      <c r="M3" s="2"/>
      <c r="N3" s="2"/>
      <c r="O3" s="2"/>
      <c r="P3" s="2"/>
      <c r="Q3" s="2"/>
      <c r="R3" s="2"/>
      <c r="S3" s="2"/>
      <c r="T3" s="2"/>
      <c r="U3" s="2"/>
      <c r="V3" s="2"/>
      <c r="W3" s="2"/>
    </row>
    <row r="4" ht="22.5" customHeight="1">
      <c r="A4" s="3">
        <v>3.0</v>
      </c>
      <c r="B4" s="3" t="s">
        <v>1710</v>
      </c>
      <c r="C4" s="3" t="s">
        <v>1711</v>
      </c>
      <c r="D4" s="3" t="s">
        <v>1712</v>
      </c>
      <c r="E4" s="3" t="s">
        <v>1713</v>
      </c>
      <c r="F4" s="2"/>
      <c r="G4" s="3" t="str">
        <f>IFERROR(__xludf.DUMMYFUNCTION("GOOGLETRANSLATE(A4, ""it"", ""en"")"),"3")</f>
        <v>3</v>
      </c>
      <c r="H4" s="3" t="str">
        <f>IFERROR(__xludf.DUMMYFUNCTION("GOOGLETRANSLATE(B4, ""it"", ""en"")"),"Where does the Palio di Siena take place?")</f>
        <v>Where does the Palio di Siena take place?</v>
      </c>
      <c r="I4" s="3" t="str">
        <f>IFERROR(__xludf.DUMMYFUNCTION("GOOGLETRANSLATE(C4, ""it"", ""en"")"),"A. In the Piazza del Campo B. In the Piazza della Repubblica C. In the Piazza San Marco D. In the Colosseum")</f>
        <v>A. In the Piazza del Campo B. In the Piazza della Repubblica C. In the Piazza San Marco D. In the Colosseum</v>
      </c>
      <c r="J4" s="3" t="str">
        <f>IFERROR(__xludf.DUMMYFUNCTION("GOOGLETRANSLATE(D4, ""it"", ""en"")"),"In the Piazza del Campo")</f>
        <v>In the Piazza del Campo</v>
      </c>
      <c r="K4" s="3" t="str">
        <f>IFERROR(__xludf.DUMMYFUNCTION("GOOGLETRANSLATE(E4, ""it"", ""en"")"),"The Palio takes place in Siena's historic Piazza del Campo.")</f>
        <v>The Palio takes place in Siena's historic Piazza del Campo.</v>
      </c>
      <c r="L4" s="2"/>
      <c r="M4" s="2"/>
      <c r="N4" s="2"/>
      <c r="O4" s="2"/>
      <c r="P4" s="2"/>
      <c r="Q4" s="2"/>
      <c r="R4" s="2"/>
      <c r="S4" s="2"/>
      <c r="T4" s="2"/>
      <c r="U4" s="2"/>
      <c r="V4" s="2"/>
      <c r="W4" s="2"/>
    </row>
    <row r="5" ht="22.5" customHeight="1">
      <c r="A5" s="3">
        <v>4.0</v>
      </c>
      <c r="B5" s="3" t="s">
        <v>1714</v>
      </c>
      <c r="C5" s="3" t="s">
        <v>1715</v>
      </c>
      <c r="D5" s="3" t="s">
        <v>1716</v>
      </c>
      <c r="E5" s="3" t="s">
        <v>1717</v>
      </c>
      <c r="F5" s="2"/>
      <c r="G5" s="3" t="str">
        <f>IFERROR(__xludf.DUMMYFUNCTION("GOOGLETRANSLATE(A5, ""it"", ""en"")"),"4")</f>
        <v>4</v>
      </c>
      <c r="H5" s="3" t="str">
        <f>IFERROR(__xludf.DUMMYFUNCTION("GOOGLETRANSLATE(B5, ""it"", ""en"")"),"How many Palios are held each year?")</f>
        <v>How many Palios are held each year?</v>
      </c>
      <c r="I5" s="3" t="str">
        <f>IFERROR(__xludf.DUMMYFUNCTION("GOOGLETRANSLATE(C5, ""it"", ""en"")"),"A. One B. Two C. Three D. Four")</f>
        <v>A. One B. Two C. Three D. Four</v>
      </c>
      <c r="J5" s="3" t="str">
        <f>IFERROR(__xludf.DUMMYFUNCTION("GOOGLETRANSLATE(D5, ""it"", ""en"")"),"Two")</f>
        <v>Two</v>
      </c>
      <c r="K5" s="3" t="str">
        <f>IFERROR(__xludf.DUMMYFUNCTION("GOOGLETRANSLATE(E5, ""it"", ""en"")"),"Two Palios are held each year: on July 2nd and August 16th.")</f>
        <v>Two Palios are held each year: on July 2nd and August 16th.</v>
      </c>
      <c r="L5" s="2"/>
      <c r="M5" s="2"/>
      <c r="N5" s="2"/>
      <c r="O5" s="2"/>
      <c r="P5" s="2"/>
      <c r="Q5" s="2"/>
      <c r="R5" s="2"/>
      <c r="S5" s="2"/>
      <c r="T5" s="2"/>
      <c r="U5" s="2"/>
      <c r="V5" s="2"/>
      <c r="W5" s="2"/>
    </row>
    <row r="6" ht="22.5" customHeight="1">
      <c r="A6" s="3">
        <v>5.0</v>
      </c>
      <c r="B6" s="3" t="s">
        <v>1718</v>
      </c>
      <c r="C6" s="3" t="s">
        <v>1719</v>
      </c>
      <c r="D6" s="3" t="s">
        <v>1720</v>
      </c>
      <c r="E6" s="3" t="s">
        <v>1721</v>
      </c>
      <c r="F6" s="2"/>
      <c r="G6" s="3" t="str">
        <f>IFERROR(__xludf.DUMMYFUNCTION("GOOGLETRANSLATE(A6, ""it"", ""en"")"),"5")</f>
        <v>5</v>
      </c>
      <c r="H6" s="3" t="str">
        <f>IFERROR(__xludf.DUMMYFUNCTION("GOOGLETRANSLATE(B6, ""it"", ""en"")"),"What do the contrade represent in the Palio?")</f>
        <v>What do the contrade represent in the Palio?</v>
      </c>
      <c r="I6" s="3" t="str">
        <f>IFERROR(__xludf.DUMMYFUNCTION("GOOGLETRANSLATE(C6, ""it"", ""en"")"),"A. Noble families B. Districts of Siena C. Military schools D. Maritime republics")</f>
        <v>A. Noble families B. Districts of Siena C. Military schools D. Maritime republics</v>
      </c>
      <c r="J6" s="3" t="str">
        <f>IFERROR(__xludf.DUMMYFUNCTION("GOOGLETRANSLATE(D6, ""it"", ""en"")"),"Neighborhoods of Siena")</f>
        <v>Neighborhoods of Siena</v>
      </c>
      <c r="K6" s="3" t="str">
        <f>IFERROR(__xludf.DUMMYFUNCTION("GOOGLETRANSLATE(E6, ""it"", ""en"")"),"The contrade represent the historic neighborhoods of Siena.")</f>
        <v>The contrade represent the historic neighborhoods of Siena.</v>
      </c>
      <c r="L6" s="2"/>
      <c r="M6" s="2"/>
      <c r="N6" s="2"/>
      <c r="O6" s="2"/>
      <c r="P6" s="2"/>
      <c r="Q6" s="2"/>
      <c r="R6" s="2"/>
      <c r="S6" s="2"/>
      <c r="T6" s="2"/>
      <c r="U6" s="2"/>
      <c r="V6" s="2"/>
      <c r="W6" s="2"/>
    </row>
    <row r="7" ht="22.5" customHeight="1">
      <c r="A7" s="3">
        <v>6.0</v>
      </c>
      <c r="B7" s="3" t="s">
        <v>1722</v>
      </c>
      <c r="C7" s="3" t="s">
        <v>1723</v>
      </c>
      <c r="D7" s="3" t="s">
        <v>1724</v>
      </c>
      <c r="E7" s="3" t="s">
        <v>1725</v>
      </c>
      <c r="F7" s="2"/>
      <c r="G7" s="3" t="str">
        <f>IFERROR(__xludf.DUMMYFUNCTION("GOOGLETRANSLATE(A7, ""it"", ""en"")"),"6")</f>
        <v>6</v>
      </c>
      <c r="H7" s="3" t="str">
        <f>IFERROR(__xludf.DUMMYFUNCTION("GOOGLETRANSLATE(B7, ""it"", ""en"")"),"What is the name of the riderless horse that wins the Palio?")</f>
        <v>What is the name of the riderless horse that wins the Palio?</v>
      </c>
      <c r="I7" s="3" t="str">
        <f>IFERROR(__xludf.DUMMYFUNCTION("GOOGLETRANSLATE(C7, ""it"", ""en"")"),"A. Loose horse B. Shaken horse C. Loose horse D. Injured horse")</f>
        <v>A. Loose horse B. Shaken horse C. Loose horse D. Injured horse</v>
      </c>
      <c r="J7" s="3" t="str">
        <f>IFERROR(__xludf.DUMMYFUNCTION("GOOGLETRANSLATE(D7, ""it"", ""en"")"),"Shaken horse")</f>
        <v>Shaken horse</v>
      </c>
      <c r="K7" s="3" t="str">
        <f>IFERROR(__xludf.DUMMYFUNCTION("GOOGLETRANSLATE(E7, ""it"", ""en"")"),"Even a riderless horse can win if it finishes first.")</f>
        <v>Even a riderless horse can win if it finishes first.</v>
      </c>
      <c r="L7" s="2"/>
      <c r="M7" s="2"/>
      <c r="N7" s="2"/>
      <c r="O7" s="2"/>
      <c r="P7" s="2"/>
      <c r="Q7" s="2"/>
      <c r="R7" s="2"/>
      <c r="S7" s="2"/>
      <c r="T7" s="2"/>
      <c r="U7" s="2"/>
      <c r="V7" s="2"/>
      <c r="W7" s="2"/>
    </row>
    <row r="8" ht="22.5" customHeight="1">
      <c r="A8" s="3">
        <v>7.0</v>
      </c>
      <c r="B8" s="3" t="s">
        <v>1726</v>
      </c>
      <c r="C8" s="3" t="s">
        <v>1727</v>
      </c>
      <c r="D8" s="3" t="s">
        <v>1728</v>
      </c>
      <c r="E8" s="3" t="s">
        <v>1729</v>
      </c>
      <c r="F8" s="2"/>
      <c r="G8" s="3" t="str">
        <f>IFERROR(__xludf.DUMMYFUNCTION("GOOGLETRANSLATE(A8, ""it"", ""en"")"),"7")</f>
        <v>7</v>
      </c>
      <c r="H8" s="3" t="str">
        <f>IFERROR(__xludf.DUMMYFUNCTION("GOOGLETRANSLATE(B8, ""it"", ""en"")"),"What is the name of the ceremony that assigns the horses to the districts?")</f>
        <v>What is the name of the ceremony that assigns the horses to the districts?</v>
      </c>
      <c r="I8" s="3" t="str">
        <f>IFERROR(__xludf.DUMMYFUNCTION("GOOGLETRANSLATE(C8, ""it"", ""en"")"),"A. Route B. Joust C. Preliminary race D. Draw")</f>
        <v>A. Route B. Joust C. Preliminary race D. Draw</v>
      </c>
      <c r="J8" s="3" t="str">
        <f>IFERROR(__xludf.DUMMYFUNCTION("GOOGLETRANSLATE(D8, ""it"", ""en"")"),"Deals with")</f>
        <v>Deals with</v>
      </c>
      <c r="K8" s="3" t="str">
        <f>IFERROR(__xludf.DUMMYFUNCTION("GOOGLETRANSLATE(E8, ""it"", ""en"")"),"The Tratta is the official ceremony for assigning the horses.")</f>
        <v>The Tratta is the official ceremony for assigning the horses.</v>
      </c>
      <c r="L8" s="2"/>
      <c r="M8" s="2"/>
      <c r="N8" s="2"/>
      <c r="O8" s="2"/>
      <c r="P8" s="2"/>
      <c r="Q8" s="2"/>
      <c r="R8" s="2"/>
      <c r="S8" s="2"/>
      <c r="T8" s="2"/>
      <c r="U8" s="2"/>
      <c r="V8" s="2"/>
      <c r="W8" s="2"/>
    </row>
    <row r="9" ht="22.5" customHeight="1">
      <c r="A9" s="3">
        <v>8.0</v>
      </c>
      <c r="B9" s="3" t="s">
        <v>1730</v>
      </c>
      <c r="C9" s="3" t="s">
        <v>1731</v>
      </c>
      <c r="D9" s="3" t="s">
        <v>1732</v>
      </c>
      <c r="E9" s="3" t="s">
        <v>1733</v>
      </c>
      <c r="F9" s="2"/>
      <c r="G9" s="3" t="str">
        <f>IFERROR(__xludf.DUMMYFUNCTION("GOOGLETRANSLATE(A9, ""it"", ""en"")"),"8")</f>
        <v>8</v>
      </c>
      <c r="H9" s="3" t="str">
        <f>IFERROR(__xludf.DUMMYFUNCTION("GOOGLETRANSLATE(B9, ""it"", ""en"")"),"How many rehearsals are held before the main race?")</f>
        <v>How many rehearsals are held before the main race?</v>
      </c>
      <c r="I9" s="3" t="str">
        <f>IFERROR(__xludf.DUMMYFUNCTION("GOOGLETRANSLATE(C9, ""it"", ""en"")"),"A. Two B. Four C. Six D. Eight")</f>
        <v>A. Two B. Four C. Six D. Eight</v>
      </c>
      <c r="J9" s="3" t="str">
        <f>IFERROR(__xludf.DUMMYFUNCTION("GOOGLETRANSLATE(D9, ""it"", ""en"")"),"Six")</f>
        <v>Six</v>
      </c>
      <c r="K9" s="3" t="str">
        <f>IFERROR(__xludf.DUMMYFUNCTION("GOOGLETRANSLATE(E9, ""it"", ""en"")"),"Six trials are held before the final race.")</f>
        <v>Six trials are held before the final race.</v>
      </c>
      <c r="L9" s="2"/>
      <c r="M9" s="2"/>
      <c r="N9" s="2"/>
      <c r="O9" s="2"/>
      <c r="P9" s="2"/>
      <c r="Q9" s="2"/>
      <c r="R9" s="2"/>
      <c r="S9" s="2"/>
      <c r="T9" s="2"/>
      <c r="U9" s="2"/>
      <c r="V9" s="2"/>
      <c r="W9" s="2"/>
    </row>
    <row r="10" ht="22.5" customHeight="1">
      <c r="A10" s="3">
        <v>9.0</v>
      </c>
      <c r="B10" s="3" t="s">
        <v>1734</v>
      </c>
      <c r="C10" s="3" t="s">
        <v>1735</v>
      </c>
      <c r="D10" s="3" t="s">
        <v>1736</v>
      </c>
      <c r="E10" s="3" t="s">
        <v>1737</v>
      </c>
      <c r="F10" s="2"/>
      <c r="G10" s="3" t="str">
        <f>IFERROR(__xludf.DUMMYFUNCTION("GOOGLETRANSLATE(A10, ""it"", ""en"")"),"9")</f>
        <v>9</v>
      </c>
      <c r="H10" s="3" t="str">
        <f>IFERROR(__xludf.DUMMYFUNCTION("GOOGLETRANSLATE(B10, ""it"", ""en"")"),"Who is the starter?")</f>
        <v>Who is the starter?</v>
      </c>
      <c r="I10" s="3" t="str">
        <f>IFERROR(__xludf.DUMMYFUNCTION("GOOGLETRANSLATE(C10, ""it"", ""en"")"),"A. The race referee B. The oldest jockey C. A representative of the districts D. The winning rider")</f>
        <v>A. The race referee B. The oldest jockey C. A representative of the districts D. The winning rider</v>
      </c>
      <c r="J10" s="3" t="str">
        <f>IFERROR(__xludf.DUMMYFUNCTION("GOOGLETRANSLATE(D10, ""it"", ""en"")"),"The race referee")</f>
        <v>The race referee</v>
      </c>
      <c r="K10" s="3" t="str">
        <f>IFERROR(__xludf.DUMMYFUNCTION("GOOGLETRANSLATE(E10, ""it"", ""en"")"),"The starter controls the start and starts the race.")</f>
        <v>The starter controls the start and starts the race.</v>
      </c>
      <c r="L10" s="2"/>
      <c r="M10" s="2"/>
      <c r="N10" s="2"/>
      <c r="O10" s="2"/>
      <c r="P10" s="2"/>
      <c r="Q10" s="2"/>
      <c r="R10" s="2"/>
      <c r="S10" s="2"/>
      <c r="T10" s="2"/>
      <c r="U10" s="2"/>
      <c r="V10" s="2"/>
      <c r="W10" s="2"/>
    </row>
    <row r="11" ht="22.5" customHeight="1">
      <c r="A11" s="3">
        <v>10.0</v>
      </c>
      <c r="B11" s="3" t="s">
        <v>1738</v>
      </c>
      <c r="C11" s="3" t="s">
        <v>1739</v>
      </c>
      <c r="D11" s="3" t="s">
        <v>1740</v>
      </c>
      <c r="E11" s="3" t="s">
        <v>1741</v>
      </c>
      <c r="F11" s="2"/>
      <c r="G11" s="3" t="str">
        <f>IFERROR(__xludf.DUMMYFUNCTION("GOOGLETRANSLATE(A11, ""it"", ""en"")"),"10")</f>
        <v>10</v>
      </c>
      <c r="H11" s="3" t="str">
        <f>IFERROR(__xludf.DUMMYFUNCTION("GOOGLETRANSLATE(B11, ""it"", ""en"")"),"What prize does the winning contrada receive?")</f>
        <v>What prize does the winning contrada receive?</v>
      </c>
      <c r="I11" s="3" t="str">
        <f>IFERROR(__xludf.DUMMYFUNCTION("GOOGLETRANSLATE(C11, ""it"", ""en"")"),"A. A golden crown B. A banner C. A bronze trophy D. A new horse")</f>
        <v>A. A golden crown B. A banner C. A bronze trophy D. A new horse</v>
      </c>
      <c r="J11" s="3" t="str">
        <f>IFERROR(__xludf.DUMMYFUNCTION("GOOGLETRANSLATE(D11, ""it"", ""en"")"),"A large banner")</f>
        <v>A large banner</v>
      </c>
      <c r="K11" s="3" t="str">
        <f>IFERROR(__xludf.DUMMYFUNCTION("GOOGLETRANSLATE(E11, ""it"", ""en"")"),"The banner is the symbolic prize for the winning contrada.")</f>
        <v>The banner is the symbolic prize for the winning contrada.</v>
      </c>
      <c r="L11" s="2"/>
      <c r="M11" s="2"/>
      <c r="N11" s="2"/>
      <c r="O11" s="2"/>
      <c r="P11" s="2"/>
      <c r="Q11" s="2"/>
      <c r="R11" s="2"/>
      <c r="S11" s="2"/>
      <c r="T11" s="2"/>
      <c r="U11" s="2"/>
      <c r="V11" s="2"/>
      <c r="W11" s="2"/>
    </row>
    <row r="12" ht="22.5" customHeight="1">
      <c r="A12" s="3">
        <v>11.0</v>
      </c>
      <c r="B12" s="3" t="s">
        <v>1742</v>
      </c>
      <c r="C12" s="3" t="s">
        <v>1743</v>
      </c>
      <c r="D12" s="3" t="s">
        <v>1744</v>
      </c>
      <c r="E12" s="3" t="s">
        <v>1745</v>
      </c>
      <c r="F12" s="2"/>
      <c r="G12" s="3" t="str">
        <f>IFERROR(__xludf.DUMMYFUNCTION("GOOGLETRANSLATE(A12, ""it"", ""en"")"),"11")</f>
        <v>11</v>
      </c>
      <c r="H12" s="3" t="str">
        <f>IFERROR(__xludf.DUMMYFUNCTION("GOOGLETRANSLATE(B12, ""it"", ""en"")"),"What does the banner symbolize?")</f>
        <v>What does the banner symbolize?</v>
      </c>
      <c r="I12" s="3" t="str">
        <f>IFERROR(__xludf.DUMMYFUNCTION("GOOGLETRANSLATE(C12, ""it"", ""en"")"),"A. The victory of the contrada B. The winning horse C. The history of Siena D. The glory of the jockeys")</f>
        <v>A. The victory of the contrada B. The winning horse C. The history of Siena D. The glory of the jockeys</v>
      </c>
      <c r="J12" s="3" t="str">
        <f>IFERROR(__xludf.DUMMYFUNCTION("GOOGLETRANSLATE(D12, ""it"", ""en"")"),"The victory of the contrada")</f>
        <v>The victory of the contrada</v>
      </c>
      <c r="K12" s="3" t="str">
        <f>IFERROR(__xludf.DUMMYFUNCTION("GOOGLETRANSLATE(E12, ""it"", ""en"")"),"The banner celebrates the victory of the contrada.")</f>
        <v>The banner celebrates the victory of the contrada.</v>
      </c>
      <c r="L12" s="2"/>
      <c r="M12" s="2"/>
      <c r="N12" s="2"/>
      <c r="O12" s="2"/>
      <c r="P12" s="2"/>
      <c r="Q12" s="2"/>
      <c r="R12" s="2"/>
      <c r="S12" s="2"/>
      <c r="T12" s="2"/>
      <c r="U12" s="2"/>
      <c r="V12" s="2"/>
      <c r="W12" s="2"/>
    </row>
    <row r="13" ht="22.5" customHeight="1">
      <c r="A13" s="3">
        <v>12.0</v>
      </c>
      <c r="B13" s="3" t="s">
        <v>1746</v>
      </c>
      <c r="C13" s="3" t="s">
        <v>1747</v>
      </c>
      <c r="D13" s="3" t="s">
        <v>1748</v>
      </c>
      <c r="E13" s="3" t="s">
        <v>1749</v>
      </c>
      <c r="F13" s="2"/>
      <c r="G13" s="3" t="str">
        <f>IFERROR(__xludf.DUMMYFUNCTION("GOOGLETRANSLATE(A13, ""it"", ""en"")"),"12")</f>
        <v>12</v>
      </c>
      <c r="H13" s="3" t="str">
        <f>IFERROR(__xludf.DUMMYFUNCTION("GOOGLETRANSLATE(B13, ""it"", ""en"")"),"What happens if a jockey falls during the race?")</f>
        <v>What happens if a jockey falls during the race?</v>
      </c>
      <c r="I13" s="3" t="str">
        <f>IFERROR(__xludf.DUMMYFUNCTION("GOOGLETRANSLATE(C13, ""it"", ""en"")"),"A. The contrada is disqualified B. The race continues C. The jockey is eliminated D. The horse is withdrawn")</f>
        <v>A. The contrada is disqualified B. The race continues C. The jockey is eliminated D. The horse is withdrawn</v>
      </c>
      <c r="J13" s="3" t="str">
        <f>IFERROR(__xludf.DUMMYFUNCTION("GOOGLETRANSLATE(D13, ""it"", ""en"")"),"The race continues")</f>
        <v>The race continues</v>
      </c>
      <c r="K13" s="3" t="str">
        <f>IFERROR(__xludf.DUMMYFUNCTION("GOOGLETRANSLATE(E13, ""it"", ""en"")"),"Even without a jockey")</f>
        <v>Even without a jockey</v>
      </c>
      <c r="L13" s="2"/>
      <c r="M13" s="2"/>
      <c r="N13" s="2"/>
      <c r="O13" s="2"/>
      <c r="P13" s="2"/>
      <c r="Q13" s="2"/>
      <c r="R13" s="2"/>
      <c r="S13" s="2"/>
      <c r="T13" s="2"/>
      <c r="U13" s="2"/>
      <c r="V13" s="2"/>
      <c r="W13" s="2"/>
    </row>
    <row r="14" ht="22.5" customHeight="1">
      <c r="A14" s="3">
        <v>13.0</v>
      </c>
      <c r="B14" s="3" t="s">
        <v>1750</v>
      </c>
      <c r="C14" s="3" t="s">
        <v>1751</v>
      </c>
      <c r="D14" s="3" t="s">
        <v>1752</v>
      </c>
      <c r="E14" s="3" t="s">
        <v>1753</v>
      </c>
      <c r="F14" s="2"/>
      <c r="G14" s="3" t="str">
        <f>IFERROR(__xludf.DUMMYFUNCTION("GOOGLETRANSLATE(A14, ""it"", ""en"")"),"13")</f>
        <v>13</v>
      </c>
      <c r="H14" s="3" t="str">
        <f>IFERROR(__xludf.DUMMYFUNCTION("GOOGLETRANSLATE(B14, ""it"", ""en"")"),"Who designs the banner?")</f>
        <v>Who designs the banner?</v>
      </c>
      <c r="I14" s="3" t="str">
        <f>IFERROR(__xludf.DUMMYFUNCTION("GOOGLETRANSLATE(C14, ""it"", ""en"")"),"A. A local artist B. A jockey C. A craftsman D. A starter")</f>
        <v>A. A local artist B. A jockey C. A craftsman D. A starter</v>
      </c>
      <c r="J14" s="3" t="str">
        <f>IFERROR(__xludf.DUMMYFUNCTION("GOOGLETRANSLATE(D14, ""it"", ""en"")"),"A local artist")</f>
        <v>A local artist</v>
      </c>
      <c r="K14" s="3" t="str">
        <f>IFERROR(__xludf.DUMMYFUNCTION("GOOGLETRANSLATE(E14, ""it"", ""en"")"),"The banner is designed by an artist chosen each year.")</f>
        <v>The banner is designed by an artist chosen each year.</v>
      </c>
      <c r="L14" s="2"/>
      <c r="M14" s="2"/>
      <c r="N14" s="2"/>
      <c r="O14" s="2"/>
      <c r="P14" s="2"/>
      <c r="Q14" s="2"/>
      <c r="R14" s="2"/>
      <c r="S14" s="2"/>
      <c r="T14" s="2"/>
      <c r="U14" s="2"/>
      <c r="V14" s="2"/>
      <c r="W14" s="2"/>
    </row>
    <row r="15" ht="22.5" customHeight="1">
      <c r="A15" s="3">
        <v>14.0</v>
      </c>
      <c r="B15" s="3" t="s">
        <v>1754</v>
      </c>
      <c r="C15" s="3" t="s">
        <v>1755</v>
      </c>
      <c r="D15" s="3" t="s">
        <v>1756</v>
      </c>
      <c r="E15" s="3" t="s">
        <v>1757</v>
      </c>
      <c r="F15" s="2"/>
      <c r="G15" s="3" t="str">
        <f>IFERROR(__xludf.DUMMYFUNCTION("GOOGLETRANSLATE(A15, ""it"", ""en"")"),"14")</f>
        <v>14</v>
      </c>
      <c r="H15" s="3" t="str">
        <f>IFERROR(__xludf.DUMMYFUNCTION("GOOGLETRANSLATE(B15, ""it"", ""en"")"),"What is the meaning of the Palio?")</f>
        <v>What is the meaning of the Palio?</v>
      </c>
      <c r="I15" s="3" t="str">
        <f>IFERROR(__xludf.DUMMYFUNCTION("GOOGLETRANSLATE(C15, ""it"", ""en"")"),"A. A religious celebration B. A tourism competition C. A military showdown D. A commercial event")</f>
        <v>A. A religious celebration B. A tourism competition C. A military showdown D. A commercial event</v>
      </c>
      <c r="J15" s="3" t="str">
        <f>IFERROR(__xludf.DUMMYFUNCTION("GOOGLETRANSLATE(D15, ""it"", ""en"")"),"A religious celebration")</f>
        <v>A religious celebration</v>
      </c>
      <c r="K15" s="3" t="str">
        <f>IFERROR(__xludf.DUMMYFUNCTION("GOOGLETRANSLATE(E15, ""it"", ""en"")"),"The Palio has origins linked to religious celebrations.")</f>
        <v>The Palio has origins linked to religious celebrations.</v>
      </c>
      <c r="L15" s="2"/>
      <c r="M15" s="2"/>
      <c r="N15" s="2"/>
      <c r="O15" s="2"/>
      <c r="P15" s="2"/>
      <c r="Q15" s="2"/>
      <c r="R15" s="2"/>
      <c r="S15" s="2"/>
      <c r="T15" s="2"/>
      <c r="U15" s="2"/>
      <c r="V15" s="2"/>
      <c r="W15" s="2"/>
    </row>
    <row r="16" ht="22.5" customHeight="1">
      <c r="A16" s="3">
        <v>15.0</v>
      </c>
      <c r="B16" s="3" t="s">
        <v>1758</v>
      </c>
      <c r="C16" s="3" t="s">
        <v>1759</v>
      </c>
      <c r="D16" s="3" t="s">
        <v>1760</v>
      </c>
      <c r="E16" s="3" t="s">
        <v>1761</v>
      </c>
      <c r="F16" s="2"/>
      <c r="G16" s="3" t="str">
        <f>IFERROR(__xludf.DUMMYFUNCTION("GOOGLETRANSLATE(A16, ""it"", ""en"")"),"15")</f>
        <v>15</v>
      </c>
      <c r="H16" s="3" t="str">
        <f>IFERROR(__xludf.DUMMYFUNCTION("GOOGLETRANSLATE(B16, ""it"", ""en"")"),"What is the role of the jockey?")</f>
        <v>What is the role of the jockey?</v>
      </c>
      <c r="I16" s="3" t="str">
        <f>IFERROR(__xludf.DUMMYFUNCTION("GOOGLETRANSLATE(C16, ""it"", ""en"")"),"A. Lead the horse during the race B. Push the horse by hand C. Set up the banner D. Conduct the opening ceremony")</f>
        <v>A. Lead the horse during the race B. Push the horse by hand C. Set up the banner D. Conduct the opening ceremony</v>
      </c>
      <c r="J16" s="3" t="str">
        <f>IFERROR(__xludf.DUMMYFUNCTION("GOOGLETRANSLATE(D16, ""it"", ""en"")"),"Leading the horse during the race")</f>
        <v>Leading the horse during the race</v>
      </c>
      <c r="K16" s="3" t="str">
        <f>IFERROR(__xludf.DUMMYFUNCTION("GOOGLETRANSLATE(E16, ""it"", ""en"")"),"The jockey guides the horse during the race.")</f>
        <v>The jockey guides the horse during the race.</v>
      </c>
      <c r="L16" s="2"/>
      <c r="M16" s="2"/>
      <c r="N16" s="2"/>
      <c r="O16" s="2"/>
      <c r="P16" s="2"/>
      <c r="Q16" s="2"/>
      <c r="R16" s="2"/>
      <c r="S16" s="2"/>
      <c r="T16" s="2"/>
      <c r="U16" s="2"/>
      <c r="V16" s="2"/>
      <c r="W16" s="2"/>
    </row>
    <row r="17" ht="22.5" customHeight="1">
      <c r="A17" s="3">
        <v>16.0</v>
      </c>
      <c r="B17" s="3" t="s">
        <v>1762</v>
      </c>
      <c r="C17" s="3" t="s">
        <v>1763</v>
      </c>
      <c r="D17" s="3" t="s">
        <v>1764</v>
      </c>
      <c r="E17" s="3" t="s">
        <v>1765</v>
      </c>
      <c r="F17" s="2"/>
      <c r="G17" s="3" t="str">
        <f>IFERROR(__xludf.DUMMYFUNCTION("GOOGLETRANSLATE(A17, ""it"", ""en"")"),"16")</f>
        <v>16</v>
      </c>
      <c r="H17" s="3" t="str">
        <f>IFERROR(__xludf.DUMMYFUNCTION("GOOGLETRANSLATE(B17, ""it"", ""en"")"),"Where do the horses start in the Palio?")</f>
        <v>Where do the horses start in the Palio?</v>
      </c>
      <c r="I17" s="3" t="str">
        <f>IFERROR(__xludf.DUMMYFUNCTION("GOOGLETRANSLATE(C17, ""it"", ""en"")"),"A. From a fixed gate B. From a taut rope C. From a line drawn on the ground D. From a fence")</f>
        <v>A. From a fixed gate B. From a taut rope C. From a line drawn on the ground D. From a fence</v>
      </c>
      <c r="J17" s="3" t="str">
        <f>IFERROR(__xludf.DUMMYFUNCTION("GOOGLETRANSLATE(D17, ""it"", ""en"")"),"From a tightrope")</f>
        <v>From a tightrope</v>
      </c>
      <c r="K17" s="3" t="str">
        <f>IFERROR(__xludf.DUMMYFUNCTION("GOOGLETRANSLATE(E17, ""it"", ""en"")"),"The start takes place behind a rope called a canape.")</f>
        <v>The start takes place behind a rope called a canape.</v>
      </c>
      <c r="L17" s="2"/>
      <c r="M17" s="2"/>
      <c r="N17" s="2"/>
      <c r="O17" s="2"/>
      <c r="P17" s="2"/>
      <c r="Q17" s="2"/>
      <c r="R17" s="2"/>
      <c r="S17" s="2"/>
      <c r="T17" s="2"/>
      <c r="U17" s="2"/>
      <c r="V17" s="2"/>
      <c r="W17" s="2"/>
    </row>
    <row r="18" ht="22.5" customHeight="1">
      <c r="A18" s="3">
        <v>17.0</v>
      </c>
      <c r="B18" s="3" t="s">
        <v>1766</v>
      </c>
      <c r="C18" s="3" t="s">
        <v>1767</v>
      </c>
      <c r="D18" s="3" t="s">
        <v>1768</v>
      </c>
      <c r="E18" s="3" t="s">
        <v>1769</v>
      </c>
      <c r="F18" s="2"/>
      <c r="G18" s="3" t="str">
        <f>IFERROR(__xludf.DUMMYFUNCTION("GOOGLETRANSLATE(A18, ""it"", ""en"")"),"17")</f>
        <v>17</v>
      </c>
      <c r="H18" s="3" t="str">
        <f>IFERROR(__xludf.DUMMYFUNCTION("GOOGLETRANSLATE(B18, ""it"", ""en"")"),"Who decides the starting order?")</f>
        <v>Who decides the starting order?</v>
      </c>
      <c r="I18" s="3" t="str">
        <f>IFERROR(__xludf.DUMMYFUNCTION("GOOGLETRANSLATE(C18, ""it"", ""en"")"),"A. The mayor B. The starter C. A draw D. The district captain")</f>
        <v>A. The mayor B. The starter C. A draw D. The district captain</v>
      </c>
      <c r="J18" s="3" t="str">
        <f>IFERROR(__xludf.DUMMYFUNCTION("GOOGLETRANSLATE(D18, ""it"", ""en"")"),"A draw")</f>
        <v>A draw</v>
      </c>
      <c r="K18" s="3" t="str">
        <f>IFERROR(__xludf.DUMMYFUNCTION("GOOGLETRANSLATE(E18, ""it"", ""en"")"),"The starting order is decided by drawing lots.")</f>
        <v>The starting order is decided by drawing lots.</v>
      </c>
      <c r="L18" s="2"/>
      <c r="M18" s="2"/>
      <c r="N18" s="2"/>
      <c r="O18" s="2"/>
      <c r="P18" s="2"/>
      <c r="Q18" s="2"/>
      <c r="R18" s="2"/>
      <c r="S18" s="2"/>
      <c r="T18" s="2"/>
      <c r="U18" s="2"/>
      <c r="V18" s="2"/>
      <c r="W18" s="2"/>
    </row>
    <row r="19" ht="22.5" customHeight="1">
      <c r="A19" s="3">
        <v>18.0</v>
      </c>
      <c r="B19" s="3" t="s">
        <v>1770</v>
      </c>
      <c r="C19" s="3" t="s">
        <v>1771</v>
      </c>
      <c r="D19" s="3" t="s">
        <v>1772</v>
      </c>
      <c r="E19" s="3" t="s">
        <v>1773</v>
      </c>
      <c r="F19" s="2"/>
      <c r="G19" s="3" t="str">
        <f>IFERROR(__xludf.DUMMYFUNCTION("GOOGLETRANSLATE(A19, ""it"", ""en"")"),"18")</f>
        <v>18</v>
      </c>
      <c r="H19" s="3" t="str">
        <f>IFERROR(__xludf.DUMMYFUNCTION("GOOGLETRANSLATE(B19, ""it"", ""en"")"),"How long does the Palio race last?")</f>
        <v>How long does the Palio race last?</v>
      </c>
      <c r="I19" s="3" t="str">
        <f>IFERROR(__xludf.DUMMYFUNCTION("GOOGLETRANSLATE(C19, ""it"", ""en"")"),"A. About 90 seconds B. About 3 minutes C. About 10 minutes D. About 30 minutes")</f>
        <v>A. About 90 seconds B. About 3 minutes C. About 10 minutes D. About 30 minutes</v>
      </c>
      <c r="J19" s="3" t="str">
        <f>IFERROR(__xludf.DUMMYFUNCTION("GOOGLETRANSLATE(D19, ""it"", ""en"")"),"About 90 seconds")</f>
        <v>About 90 seconds</v>
      </c>
      <c r="K19" s="3" t="str">
        <f>IFERROR(__xludf.DUMMYFUNCTION("GOOGLETRANSLATE(E19, ""it"", ""en"")"),"The race lasts just over a minute and a half.")</f>
        <v>The race lasts just over a minute and a half.</v>
      </c>
      <c r="L19" s="2"/>
      <c r="M19" s="2"/>
      <c r="N19" s="2"/>
      <c r="O19" s="2"/>
      <c r="P19" s="2"/>
      <c r="Q19" s="2"/>
      <c r="R19" s="2"/>
      <c r="S19" s="2"/>
      <c r="T19" s="2"/>
      <c r="U19" s="2"/>
      <c r="V19" s="2"/>
      <c r="W19" s="2"/>
    </row>
    <row r="20" ht="22.5" customHeight="1">
      <c r="A20" s="3">
        <v>19.0</v>
      </c>
      <c r="B20" s="3" t="s">
        <v>1774</v>
      </c>
      <c r="C20" s="3" t="s">
        <v>1775</v>
      </c>
      <c r="D20" s="3" t="s">
        <v>1776</v>
      </c>
      <c r="E20" s="3" t="s">
        <v>1777</v>
      </c>
      <c r="F20" s="2"/>
      <c r="G20" s="3" t="str">
        <f>IFERROR(__xludf.DUMMYFUNCTION("GOOGLETRANSLATE(A20, ""it"", ""en"")"),"19")</f>
        <v>19</v>
      </c>
      <c r="H20" s="3" t="str">
        <f>IFERROR(__xludf.DUMMYFUNCTION("GOOGLETRANSLATE(B20, ""it"", ""en"")"),"Which contrada has the record for victories?")</f>
        <v>Which contrada has the record for victories?</v>
      </c>
      <c r="I20" s="3" t="str">
        <f>IFERROR(__xludf.DUMMYFUNCTION("GOOGLETRANSLATE(C20, ""it"", ""en"")"),"A. Goose B. Giraffe C. Tower D. Dragon")</f>
        <v>A. Goose B. Giraffe C. Tower D. Dragon</v>
      </c>
      <c r="J20" s="3" t="str">
        <f>IFERROR(__xludf.DUMMYFUNCTION("GOOGLETRANSLATE(D20, ""it"", ""en"")"),"Goose")</f>
        <v>Goose</v>
      </c>
      <c r="K20" s="3" t="str">
        <f>IFERROR(__xludf.DUMMYFUNCTION("GOOGLETRANSLATE(E20, ""it"", ""en"")"),"The Oca contrada has the historical record for victories.")</f>
        <v>The Oca contrada has the historical record for victories.</v>
      </c>
      <c r="L20" s="2"/>
      <c r="M20" s="2"/>
      <c r="N20" s="2"/>
      <c r="O20" s="2"/>
      <c r="P20" s="2"/>
      <c r="Q20" s="2"/>
      <c r="R20" s="2"/>
      <c r="S20" s="2"/>
      <c r="T20" s="2"/>
      <c r="U20" s="2"/>
      <c r="V20" s="2"/>
      <c r="W20" s="2"/>
    </row>
    <row r="21" ht="22.5" customHeight="1">
      <c r="A21" s="3">
        <v>20.0</v>
      </c>
      <c r="B21" s="3" t="s">
        <v>1778</v>
      </c>
      <c r="C21" s="3" t="s">
        <v>1779</v>
      </c>
      <c r="D21" s="3" t="s">
        <v>434</v>
      </c>
      <c r="E21" s="3" t="s">
        <v>1780</v>
      </c>
      <c r="F21" s="2"/>
      <c r="G21" s="3" t="str">
        <f>IFERROR(__xludf.DUMMYFUNCTION("GOOGLETRANSLATE(A21, ""it"", ""en"")"),"20")</f>
        <v>20</v>
      </c>
      <c r="H21" s="3" t="str">
        <f>IFERROR(__xludf.DUMMYFUNCTION("GOOGLETRANSLATE(B21, ""it"", ""en"")"),"How many days does the Palio celebration last?")</f>
        <v>How many days does the Palio celebration last?</v>
      </c>
      <c r="I21" s="3" t="str">
        <f>IFERROR(__xludf.DUMMYFUNCTION("GOOGLETRANSLATE(C21, ""it"", ""en"")"),"A. One B. Three C. A week D. Ten days")</f>
        <v>A. One B. Three C. A week D. Ten days</v>
      </c>
      <c r="J21" s="3" t="str">
        <f>IFERROR(__xludf.DUMMYFUNCTION("GOOGLETRANSLATE(D21, ""it"", ""en"")"),"Three")</f>
        <v>Three</v>
      </c>
      <c r="K21" s="3" t="str">
        <f>IFERROR(__xludf.DUMMYFUNCTION("GOOGLETRANSLATE(E21, ""it"", ""en"")"),"The celebrations last three days")</f>
        <v>The celebrations last three days</v>
      </c>
      <c r="L21" s="2"/>
      <c r="M21" s="2"/>
      <c r="N21" s="2"/>
      <c r="O21" s="2"/>
      <c r="P21" s="2"/>
      <c r="Q21" s="2"/>
      <c r="R21" s="2"/>
      <c r="S21" s="2"/>
      <c r="T21" s="2"/>
      <c r="U21" s="2"/>
      <c r="V21" s="2"/>
      <c r="W21" s="2"/>
    </row>
    <row r="22" ht="22.5" customHeight="1">
      <c r="A22" s="3">
        <v>21.0</v>
      </c>
      <c r="B22" s="3" t="s">
        <v>1781</v>
      </c>
      <c r="C22" s="3" t="s">
        <v>1782</v>
      </c>
      <c r="D22" s="3" t="s">
        <v>1783</v>
      </c>
      <c r="E22" s="3" t="s">
        <v>1784</v>
      </c>
      <c r="F22" s="2"/>
      <c r="G22" s="3" t="str">
        <f>IFERROR(__xludf.DUMMYFUNCTION("GOOGLETRANSLATE(A22, ""it"", ""en"")"),"21")</f>
        <v>21</v>
      </c>
      <c r="H22" s="3" t="str">
        <f>IFERROR(__xludf.DUMMYFUNCTION("GOOGLETRANSLATE(B22, ""it"", ""en"")"),"How is the jockey chosen?")</f>
        <v>How is the jockey chosen?</v>
      </c>
      <c r="I22" s="3" t="str">
        <f>IFERROR(__xludf.DUMMYFUNCTION("GOOGLETRANSLATE(C22, ""it"", ""en"")"),"A. Through an auction B. By a district committee C. Through family succession D. Through a public competition")</f>
        <v>A. Through an auction B. By a district committee C. Through family succession D. Through a public competition</v>
      </c>
      <c r="J22" s="3" t="str">
        <f>IFERROR(__xludf.DUMMYFUNCTION("GOOGLETRANSLATE(D22, ""it"", ""en"")"),"From a district committee")</f>
        <v>From a district committee</v>
      </c>
      <c r="K22" s="3" t="str">
        <f>IFERROR(__xludf.DUMMYFUNCTION("GOOGLETRANSLATE(E22, ""it"", ""en"")"),"Each district chooses its own jockey.")</f>
        <v>Each district chooses its own jockey.</v>
      </c>
      <c r="L22" s="2"/>
      <c r="M22" s="2"/>
      <c r="N22" s="2"/>
      <c r="O22" s="2"/>
      <c r="P22" s="2"/>
      <c r="Q22" s="2"/>
      <c r="R22" s="2"/>
      <c r="S22" s="2"/>
      <c r="T22" s="2"/>
      <c r="U22" s="2"/>
      <c r="V22" s="2"/>
      <c r="W22" s="2"/>
    </row>
    <row r="23" ht="22.5" customHeight="1">
      <c r="A23" s="3">
        <v>22.0</v>
      </c>
      <c r="B23" s="3" t="s">
        <v>1785</v>
      </c>
      <c r="C23" s="3" t="s">
        <v>1786</v>
      </c>
      <c r="D23" s="3" t="s">
        <v>1787</v>
      </c>
      <c r="E23" s="3" t="s">
        <v>1788</v>
      </c>
      <c r="F23" s="2"/>
      <c r="G23" s="3" t="str">
        <f>IFERROR(__xludf.DUMMYFUNCTION("GOOGLETRANSLATE(A23, ""it"", ""en"")"),"22")</f>
        <v>22</v>
      </c>
      <c r="H23" s="3" t="str">
        <f>IFERROR(__xludf.DUMMYFUNCTION("GOOGLETRANSLATE(B23, ""it"", ""en"")"),"What happens if the departure is not regular?")</f>
        <v>What happens if the departure is not regular?</v>
      </c>
      <c r="I23" s="3" t="str">
        <f>IFERROR(__xludf.DUMMYFUNCTION("GOOGLETRANSLATE(C23, ""it"", ""en"")"),"A. The starter stops the race B. The jockey is punished C. The race continues with penalties D. The horse is disqualified")</f>
        <v>A. The starter stops the race B. The jockey is punished C. The race continues with penalties D. The horse is disqualified</v>
      </c>
      <c r="J23" s="3" t="str">
        <f>IFERROR(__xludf.DUMMYFUNCTION("GOOGLETRANSLATE(D23, ""it"", ""en"")"),"The starter stops the race")</f>
        <v>The starter stops the race</v>
      </c>
      <c r="K23" s="3" t="str">
        <f>IFERROR(__xludf.DUMMYFUNCTION("GOOGLETRANSLATE(E23, ""it"", ""en"")"),"The starter must ensure a regular start.")</f>
        <v>The starter must ensure a regular start.</v>
      </c>
      <c r="L23" s="2"/>
      <c r="M23" s="2"/>
      <c r="N23" s="2"/>
      <c r="O23" s="2"/>
      <c r="P23" s="2"/>
      <c r="Q23" s="2"/>
      <c r="R23" s="2"/>
      <c r="S23" s="2"/>
      <c r="T23" s="2"/>
      <c r="U23" s="2"/>
      <c r="V23" s="2"/>
      <c r="W23" s="2"/>
    </row>
    <row r="24" ht="22.5" customHeight="1">
      <c r="A24" s="3">
        <v>23.0</v>
      </c>
      <c r="B24" s="3" t="s">
        <v>1789</v>
      </c>
      <c r="C24" s="3" t="s">
        <v>1790</v>
      </c>
      <c r="D24" s="3" t="s">
        <v>1791</v>
      </c>
      <c r="E24" s="3" t="s">
        <v>1792</v>
      </c>
      <c r="F24" s="2"/>
      <c r="G24" s="3" t="str">
        <f>IFERROR(__xludf.DUMMYFUNCTION("GOOGLETRANSLATE(A24, ""it"", ""en"")"),"23")</f>
        <v>23</v>
      </c>
      <c r="H24" s="3" t="str">
        <f>IFERROR(__xludf.DUMMYFUNCTION("GOOGLETRANSLATE(B24, ""it"", ""en"")"),"What does ""provaccia"" mean?")</f>
        <v>What does "provaccia" mean?</v>
      </c>
      <c r="I24" s="3" t="str">
        <f>IFERROR(__xludf.DUMMYFUNCTION("GOOGLETRANSLATE(C24, ""it"", ""en"")"),"A. A dress rehearsal B. A reserve run C. A test for the starter D. A final celebration")</f>
        <v>A. A dress rehearsal B. A reserve run C. A test for the starter D. A final celebration</v>
      </c>
      <c r="J24" s="3" t="str">
        <f>IFERROR(__xludf.DUMMYFUNCTION("GOOGLETRANSLATE(D24, ""it"", ""en"")"),"A dress rehearsal")</f>
        <v>A dress rehearsal</v>
      </c>
      <c r="K24" s="3" t="str">
        <f>IFERROR(__xludf.DUMMYFUNCTION("GOOGLETRANSLATE(E24, ""it"", ""en"")"),"The trial run is the last test before the race.")</f>
        <v>The trial run is the last test before the race.</v>
      </c>
      <c r="L24" s="2"/>
      <c r="M24" s="2"/>
      <c r="N24" s="2"/>
      <c r="O24" s="2"/>
      <c r="P24" s="2"/>
      <c r="Q24" s="2"/>
      <c r="R24" s="2"/>
      <c r="S24" s="2"/>
      <c r="T24" s="2"/>
      <c r="U24" s="2"/>
      <c r="V24" s="2"/>
      <c r="W24" s="2"/>
    </row>
    <row r="25" ht="22.5" customHeight="1">
      <c r="A25" s="3">
        <v>24.0</v>
      </c>
      <c r="B25" s="3" t="s">
        <v>1793</v>
      </c>
      <c r="C25" s="3" t="s">
        <v>1794</v>
      </c>
      <c r="D25" s="3" t="s">
        <v>1795</v>
      </c>
      <c r="E25" s="3" t="s">
        <v>1796</v>
      </c>
      <c r="F25" s="2"/>
      <c r="G25" s="3" t="str">
        <f>IFERROR(__xludf.DUMMYFUNCTION("GOOGLETRANSLATE(A25, ""it"", ""en"")"),"24")</f>
        <v>24</v>
      </c>
      <c r="H25" s="3" t="str">
        <f>IFERROR(__xludf.DUMMYFUNCTION("GOOGLETRANSLATE(B25, ""it"", ""en"")"),"What is forbidden to jockeys during the race?")</f>
        <v>What is forbidden to jockeys during the race?</v>
      </c>
      <c r="I25" s="3" t="str">
        <f>IFERROR(__xludf.DUMMYFUNCTION("GOOGLETRANSLATE(C25, ""it"", ""en"")"),"A. Using whips B. Talking to each other C. Falling intentionally D. Blocking other horses")</f>
        <v>A. Using whips B. Talking to each other C. Falling intentionally D. Blocking other horses</v>
      </c>
      <c r="J25" s="3" t="str">
        <f>IFERROR(__xludf.DUMMYFUNCTION("GOOGLETRANSLATE(D25, ""it"", ""en"")"),"Block other horses")</f>
        <v>Block other horses</v>
      </c>
      <c r="K25" s="3" t="str">
        <f>IFERROR(__xludf.DUMMYFUNCTION("GOOGLETRANSLATE(E25, ""it"", ""en"")"),"Intentionally blocking or obstructing is prohibited.")</f>
        <v>Intentionally blocking or obstructing is prohibited.</v>
      </c>
      <c r="L25" s="2"/>
      <c r="M25" s="2"/>
      <c r="N25" s="2"/>
      <c r="O25" s="2"/>
      <c r="P25" s="2"/>
      <c r="Q25" s="2"/>
      <c r="R25" s="2"/>
      <c r="S25" s="2"/>
      <c r="T25" s="2"/>
      <c r="U25" s="2"/>
      <c r="V25" s="2"/>
      <c r="W25" s="2"/>
    </row>
    <row r="26" ht="22.5" customHeight="1">
      <c r="A26" s="3">
        <v>25.0</v>
      </c>
      <c r="B26" s="3" t="s">
        <v>1797</v>
      </c>
      <c r="C26" s="3" t="s">
        <v>1798</v>
      </c>
      <c r="D26" s="3" t="s">
        <v>1799</v>
      </c>
      <c r="E26" s="3" t="s">
        <v>1800</v>
      </c>
      <c r="F26" s="2"/>
      <c r="G26" s="3" t="str">
        <f>IFERROR(__xludf.DUMMYFUNCTION("GOOGLETRANSLATE(A26, ""it"", ""en"")"),"25")</f>
        <v>25</v>
      </c>
      <c r="H26" s="3" t="str">
        <f>IFERROR(__xludf.DUMMYFUNCTION("GOOGLETRANSLATE(B26, ""it"", ""en"")"),"What happens to the banner after the victory?")</f>
        <v>What happens to the banner after the victory?</v>
      </c>
      <c r="I26" s="3" t="str">
        <f>IFERROR(__xludf.DUMMYFUNCTION("GOOGLETRANSLATE(C26, ""it"", ""en"")"),"A. It is displayed in the winning contrada B. It is destroyed C. It is returned D. It is kept by the starter")</f>
        <v>A. It is displayed in the winning contrada B. It is destroyed C. It is returned D. It is kept by the starter</v>
      </c>
      <c r="J26" s="3" t="str">
        <f>IFERROR(__xludf.DUMMYFUNCTION("GOOGLETRANSLATE(D26, ""it"", ""en"")"),"It is displayed in the winning contrada")</f>
        <v>It is displayed in the winning contrada</v>
      </c>
      <c r="K26" s="3" t="str">
        <f>IFERROR(__xludf.DUMMYFUNCTION("GOOGLETRANSLATE(E26, ""it"", ""en"")"),"The banner is kept as a symbol of victory.")</f>
        <v>The banner is kept as a symbol of victory.</v>
      </c>
      <c r="L26" s="2"/>
      <c r="M26" s="2"/>
      <c r="N26" s="2"/>
      <c r="O26" s="2"/>
      <c r="P26" s="2"/>
      <c r="Q26" s="2"/>
      <c r="R26" s="2"/>
      <c r="S26" s="2"/>
      <c r="T26" s="2"/>
      <c r="U26" s="2"/>
      <c r="V26" s="2"/>
      <c r="W26" s="2"/>
    </row>
    <row r="27" ht="22.5" customHeight="1">
      <c r="A27" s="3">
        <v>26.0</v>
      </c>
      <c r="B27" s="3" t="s">
        <v>1801</v>
      </c>
      <c r="C27" s="3" t="s">
        <v>1802</v>
      </c>
      <c r="D27" s="3" t="s">
        <v>1803</v>
      </c>
      <c r="E27" s="3" t="s">
        <v>1804</v>
      </c>
      <c r="F27" s="2"/>
      <c r="G27" s="3" t="str">
        <f>IFERROR(__xludf.DUMMYFUNCTION("GOOGLETRANSLATE(A27, ""it"", ""en"")"),"26")</f>
        <v>26</v>
      </c>
      <c r="H27" s="3" t="str">
        <f>IFERROR(__xludf.DUMMYFUNCTION("GOOGLETRANSLATE(B27, ""it"", ""en"")"),"What is the symbol of the districts?")</f>
        <v>What is the symbol of the districts?</v>
      </c>
      <c r="I27" s="3" t="str">
        <f>IFERROR(__xludf.DUMMYFUNCTION("GOOGLETRANSLATE(C27, ""it"", ""en"")"),"A. Coat of Arms B. Horse C. Jockey D. Shield")</f>
        <v>A. Coat of Arms B. Horse C. Jockey D. Shield</v>
      </c>
      <c r="J27" s="3" t="str">
        <f>IFERROR(__xludf.DUMMYFUNCTION("GOOGLETRANSLATE(D27, ""it"", ""en"")"),"Coat of arms")</f>
        <v>Coat of arms</v>
      </c>
      <c r="K27" s="3" t="str">
        <f>IFERROR(__xludf.DUMMYFUNCTION("GOOGLETRANSLATE(E27, ""it"", ""en"")"),"Each contrada has its own unique coat of arms.")</f>
        <v>Each contrada has its own unique coat of arms.</v>
      </c>
      <c r="L27" s="2"/>
      <c r="M27" s="2"/>
      <c r="N27" s="2"/>
      <c r="O27" s="2"/>
      <c r="P27" s="2"/>
      <c r="Q27" s="2"/>
      <c r="R27" s="2"/>
      <c r="S27" s="2"/>
      <c r="T27" s="2"/>
      <c r="U27" s="2"/>
      <c r="V27" s="2"/>
      <c r="W27" s="2"/>
    </row>
    <row r="28" ht="22.5" customHeight="1">
      <c r="A28" s="3">
        <v>27.0</v>
      </c>
      <c r="B28" s="3" t="s">
        <v>1805</v>
      </c>
      <c r="C28" s="3" t="s">
        <v>1806</v>
      </c>
      <c r="D28" s="3" t="s">
        <v>1807</v>
      </c>
      <c r="E28" s="3" t="s">
        <v>1808</v>
      </c>
      <c r="F28" s="2"/>
      <c r="G28" s="3" t="str">
        <f>IFERROR(__xludf.DUMMYFUNCTION("GOOGLETRANSLATE(A28, ""it"", ""en"")"),"27")</f>
        <v>27</v>
      </c>
      <c r="H28" s="3" t="str">
        <f>IFERROR(__xludf.DUMMYFUNCTION("GOOGLETRANSLATE(B28, ""it"", ""en"")"),"What happens to the horses after the Palio?")</f>
        <v>What happens to the horses after the Palio?</v>
      </c>
      <c r="I28" s="3" t="str">
        <f>IFERROR(__xludf.DUMMYFUNCTION("GOOGLETRANSLATE(C28, ""it"", ""en"")"),"A. They return to their owners B. They remain with the district C. They retire from racing D. They participate in another race")</f>
        <v>A. They return to their owners B. They remain with the district C. They retire from racing D. They participate in another race</v>
      </c>
      <c r="J28" s="3" t="str">
        <f>IFERROR(__xludf.DUMMYFUNCTION("GOOGLETRANSLATE(D28, ""it"", ""en"")"),"They return to their owners")</f>
        <v>They return to their owners</v>
      </c>
      <c r="K28" s="3" t="str">
        <f>IFERROR(__xludf.DUMMYFUNCTION("GOOGLETRANSLATE(E28, ""it"", ""en"")"),"The horses are returned to their owners after the Palio.")</f>
        <v>The horses are returned to their owners after the Palio.</v>
      </c>
      <c r="L28" s="2"/>
      <c r="M28" s="2"/>
      <c r="N28" s="2"/>
      <c r="O28" s="2"/>
      <c r="P28" s="2"/>
      <c r="Q28" s="2"/>
      <c r="R28" s="2"/>
      <c r="S28" s="2"/>
      <c r="T28" s="2"/>
      <c r="U28" s="2"/>
      <c r="V28" s="2"/>
      <c r="W28" s="2"/>
    </row>
    <row r="29" ht="22.5" customHeight="1">
      <c r="A29" s="3">
        <v>28.0</v>
      </c>
      <c r="B29" s="3" t="s">
        <v>1809</v>
      </c>
      <c r="C29" s="3" t="s">
        <v>1810</v>
      </c>
      <c r="D29" s="3" t="s">
        <v>1811</v>
      </c>
      <c r="E29" s="3" t="s">
        <v>1812</v>
      </c>
      <c r="F29" s="2"/>
      <c r="G29" s="3" t="str">
        <f>IFERROR(__xludf.DUMMYFUNCTION("GOOGLETRANSLATE(A29, ""it"", ""en"")"),"28")</f>
        <v>28</v>
      </c>
      <c r="H29" s="3" t="str">
        <f>IFERROR(__xludf.DUMMYFUNCTION("GOOGLETRANSLATE(B29, ""it"", ""en"")"),"What is the historical origin of the Palio?")</f>
        <v>What is the historical origin of the Palio?</v>
      </c>
      <c r="I29" s="3" t="str">
        <f>IFERROR(__xludf.DUMMYFUNCTION("GOOGLETRANSLATE(C29, ""it"", ""en"")"),"A. Medieval competitions B. Roman festivals C. Renaissance competitions D. Napoleonic events")</f>
        <v>A. Medieval competitions B. Roman festivals C. Renaissance competitions D. Napoleonic events</v>
      </c>
      <c r="J29" s="3" t="str">
        <f>IFERROR(__xludf.DUMMYFUNCTION("GOOGLETRANSLATE(D29, ""it"", ""en"")"),"Medieval competitions")</f>
        <v>Medieval competitions</v>
      </c>
      <c r="K29" s="3" t="str">
        <f>IFERROR(__xludf.DUMMYFUNCTION("GOOGLETRANSLATE(E29, ""it"", ""en"")"),"The Palio has its origins in medieval competitions.")</f>
        <v>The Palio has its origins in medieval competitions.</v>
      </c>
      <c r="L29" s="2"/>
      <c r="M29" s="2"/>
      <c r="N29" s="2"/>
      <c r="O29" s="2"/>
      <c r="P29" s="2"/>
      <c r="Q29" s="2"/>
      <c r="R29" s="2"/>
      <c r="S29" s="2"/>
      <c r="T29" s="2"/>
      <c r="U29" s="2"/>
      <c r="V29" s="2"/>
      <c r="W29" s="2"/>
    </row>
    <row r="30" ht="22.5" customHeight="1">
      <c r="A30" s="3">
        <v>29.0</v>
      </c>
      <c r="B30" s="3" t="s">
        <v>1813</v>
      </c>
      <c r="C30" s="3" t="s">
        <v>1814</v>
      </c>
      <c r="D30" s="3" t="s">
        <v>1815</v>
      </c>
      <c r="E30" s="3" t="s">
        <v>1816</v>
      </c>
      <c r="F30" s="2"/>
      <c r="G30" s="3" t="str">
        <f>IFERROR(__xludf.DUMMYFUNCTION("GOOGLETRANSLATE(A30, ""it"", ""en"")"),"29")</f>
        <v>29</v>
      </c>
      <c r="H30" s="3" t="str">
        <f>IFERROR(__xludf.DUMMYFUNCTION("GOOGLETRANSLATE(B30, ""it"", ""en"")"),"What is the Palio celebration dinner called?")</f>
        <v>What is the Palio celebration dinner called?</v>
      </c>
      <c r="I30" s="3" t="str">
        <f>IFERROR(__xludf.DUMMYFUNCTION("GOOGLETRANSLATE(C30, ""it"", ""en"")"),"A. Victory Dinner B. Race Dinner C. Camp Dinner D. Jockey Dinner")</f>
        <v>A. Victory Dinner B. Race Dinner C. Camp Dinner D. Jockey Dinner</v>
      </c>
      <c r="J30" s="3" t="str">
        <f>IFERROR(__xludf.DUMMYFUNCTION("GOOGLETRANSLATE(D30, ""it"", ""en"")"),"Victory Dinner")</f>
        <v>Victory Dinner</v>
      </c>
      <c r="K30" s="3" t="str">
        <f>IFERROR(__xludf.DUMMYFUNCTION("GOOGLETRANSLATE(E30, ""it"", ""en"")"),"The winning contrada organizes a dinner to celebrate.")</f>
        <v>The winning contrada organizes a dinner to celebrate.</v>
      </c>
      <c r="L30" s="2"/>
      <c r="M30" s="2"/>
      <c r="N30" s="2"/>
      <c r="O30" s="2"/>
      <c r="P30" s="2"/>
      <c r="Q30" s="2"/>
      <c r="R30" s="2"/>
      <c r="S30" s="2"/>
      <c r="T30" s="2"/>
      <c r="U30" s="2"/>
      <c r="V30" s="2"/>
      <c r="W30" s="2"/>
    </row>
    <row r="31" ht="22.5" customHeight="1">
      <c r="A31" s="3">
        <v>30.0</v>
      </c>
      <c r="B31" s="3" t="s">
        <v>1817</v>
      </c>
      <c r="C31" s="3" t="s">
        <v>1818</v>
      </c>
      <c r="D31" s="3" t="s">
        <v>1819</v>
      </c>
      <c r="E31" s="3" t="s">
        <v>1820</v>
      </c>
      <c r="F31" s="2"/>
      <c r="G31" s="3" t="str">
        <f>IFERROR(__xludf.DUMMYFUNCTION("GOOGLETRANSLATE(A31, ""it"", ""en"")"),"30")</f>
        <v>30</v>
      </c>
      <c r="H31" s="3" t="str">
        <f>IFERROR(__xludf.DUMMYFUNCTION("GOOGLETRANSLATE(B31, ""it"", ""en"")"),"What is the role of the contrada captain?")</f>
        <v>What is the role of the contrada captain?</v>
      </c>
      <c r="I31" s="3" t="str">
        <f>IFERROR(__xludf.DUMMYFUNCTION("GOOGLETRANSLATE(C31, ""it"", ""en"")"),"A. Organize strategies for victory B. Lead the horse C. Create the team D. Be the starter")</f>
        <v>A. Organize strategies for victory B. Lead the horse C. Create the team D. Be the starter</v>
      </c>
      <c r="J31" s="3" t="str">
        <f>IFERROR(__xludf.DUMMYFUNCTION("GOOGLETRANSLATE(D31, ""it"", ""en"")"),"Organizing strategies for victory")</f>
        <v>Organizing strategies for victory</v>
      </c>
      <c r="K31" s="3" t="str">
        <f>IFERROR(__xludf.DUMMYFUNCTION("GOOGLETRANSLATE(E31, ""it"", ""en"")"),"The captain coordinates the contrada to achieve success.")</f>
        <v>The captain coordinates the contrada to achieve success.</v>
      </c>
      <c r="L31" s="2"/>
      <c r="M31" s="2"/>
      <c r="N31" s="2"/>
      <c r="O31" s="2"/>
      <c r="P31" s="2"/>
      <c r="Q31" s="2"/>
      <c r="R31" s="2"/>
      <c r="S31" s="2"/>
      <c r="T31" s="2"/>
      <c r="U31" s="2"/>
      <c r="V31" s="2"/>
      <c r="W31" s="2"/>
    </row>
    <row r="32" ht="22.5" customHeight="1">
      <c r="A32" s="3">
        <v>31.0</v>
      </c>
      <c r="B32" s="3" t="s">
        <v>1821</v>
      </c>
      <c r="C32" s="3" t="s">
        <v>1822</v>
      </c>
      <c r="D32" s="3" t="s">
        <v>1823</v>
      </c>
      <c r="E32" s="3" t="s">
        <v>1824</v>
      </c>
      <c r="F32" s="2"/>
      <c r="G32" s="3" t="str">
        <f>IFERROR(__xludf.DUMMYFUNCTION("GOOGLETRANSLATE(A32, ""it"", ""en"")"),"31")</f>
        <v>31</v>
      </c>
      <c r="H32" s="3" t="str">
        <f>IFERROR(__xludf.DUMMYFUNCTION("GOOGLETRANSLATE(B32, ""it"", ""en"")"),"What do the colors of a contrada represent?")</f>
        <v>What do the colors of a contrada represent?</v>
      </c>
      <c r="I32" s="3" t="str">
        <f>IFERROR(__xludf.DUMMYFUNCTION("GOOGLETRANSLATE(C32, ""it"", ""en"")"),"A. The contrada's horse B. The contrada's values ​​and history C. The year's banner D. The traditions of the mossiere")</f>
        <v>A. The contrada's horse B. The contrada's values ​​and history C. The year's banner D. The traditions of the mossiere</v>
      </c>
      <c r="J32" s="3" t="str">
        <f>IFERROR(__xludf.DUMMYFUNCTION("GOOGLETRANSLATE(D32, ""it"", ""en"")"),"The values ​​and history of the contrada")</f>
        <v>The values ​​and history of the contrada</v>
      </c>
      <c r="K32" s="3" t="str">
        <f>IFERROR(__xludf.DUMMYFUNCTION("GOOGLETRANSLATE(E32, ""it"", ""en"")"),"The colors symbolize the historical and cultural identity of each contrada.")</f>
        <v>The colors symbolize the historical and cultural identity of each contrada.</v>
      </c>
      <c r="L32" s="2"/>
      <c r="M32" s="2"/>
      <c r="N32" s="2"/>
      <c r="O32" s="2"/>
      <c r="P32" s="2"/>
      <c r="Q32" s="2"/>
      <c r="R32" s="2"/>
      <c r="S32" s="2"/>
      <c r="T32" s="2"/>
      <c r="U32" s="2"/>
      <c r="V32" s="2"/>
      <c r="W32" s="2"/>
    </row>
    <row r="33" ht="22.5" customHeight="1">
      <c r="A33" s="3">
        <v>32.0</v>
      </c>
      <c r="B33" s="3" t="s">
        <v>1825</v>
      </c>
      <c r="C33" s="3" t="s">
        <v>1826</v>
      </c>
      <c r="D33" s="3" t="s">
        <v>1827</v>
      </c>
      <c r="E33" s="3" t="s">
        <v>1828</v>
      </c>
      <c r="F33" s="2"/>
      <c r="G33" s="3" t="str">
        <f>IFERROR(__xludf.DUMMYFUNCTION("GOOGLETRANSLATE(A33, ""it"", ""en"")"),"32")</f>
        <v>32</v>
      </c>
      <c r="H33" s="3" t="str">
        <f>IFERROR(__xludf.DUMMYFUNCTION("GOOGLETRANSLATE(B33, ""it"", ""en"")"),"What happens if a horse gets injured while racing?")</f>
        <v>What happens if a horse gets injured while racing?</v>
      </c>
      <c r="I33" s="3" t="str">
        <f>IFERROR(__xludf.DUMMYFUNCTION("GOOGLETRANSLATE(C33, ""it"", ""en"")"),"A. He is treated immediately B. He is withdrawn C. He is replaced D. He is allowed to continue the race")</f>
        <v>A. He is treated immediately B. He is withdrawn C. He is replaced D. He is allowed to continue the race</v>
      </c>
      <c r="J33" s="3" t="str">
        <f>IFERROR(__xludf.DUMMYFUNCTION("GOOGLETRANSLATE(D33, ""it"", ""en"")"),"It is withdrawn")</f>
        <v>It is withdrawn</v>
      </c>
      <c r="K33" s="3" t="str">
        <f>IFERROR(__xludf.DUMMYFUNCTION("GOOGLETRANSLATE(E33, ""it"", ""en"")"),"An injured horse is quickly withdrawn for safety.")</f>
        <v>An injured horse is quickly withdrawn for safety.</v>
      </c>
      <c r="L33" s="2"/>
      <c r="M33" s="2"/>
      <c r="N33" s="2"/>
      <c r="O33" s="2"/>
      <c r="P33" s="2"/>
      <c r="Q33" s="2"/>
      <c r="R33" s="2"/>
      <c r="S33" s="2"/>
      <c r="T33" s="2"/>
      <c r="U33" s="2"/>
      <c r="V33" s="2"/>
      <c r="W33" s="2"/>
    </row>
    <row r="34" ht="22.5" customHeight="1">
      <c r="A34" s="3">
        <v>33.0</v>
      </c>
      <c r="B34" s="3" t="s">
        <v>1829</v>
      </c>
      <c r="C34" s="3" t="s">
        <v>1830</v>
      </c>
      <c r="D34" s="3" t="s">
        <v>1831</v>
      </c>
      <c r="E34" s="3" t="s">
        <v>1832</v>
      </c>
      <c r="F34" s="2"/>
      <c r="G34" s="3" t="str">
        <f>IFERROR(__xludf.DUMMYFUNCTION("GOOGLETRANSLATE(A34, ""it"", ""en"")"),"33")</f>
        <v>33</v>
      </c>
      <c r="H34" s="3" t="str">
        <f>IFERROR(__xludf.DUMMYFUNCTION("GOOGLETRANSLATE(B34, ""it"", ""en"")"),"Which district is nicknamed ""grandmother""?")</f>
        <v>Which district is nicknamed "grandmother"?</v>
      </c>
      <c r="I34" s="3" t="str">
        <f>IFERROR(__xludf.DUMMYFUNCTION("GOOGLETRANSLATE(C34, ""it"", ""en"")"),"A. Eagle B. Tower C. Niche D. Snail")</f>
        <v>A. Eagle B. Tower C. Niche D. Snail</v>
      </c>
      <c r="J34" s="3" t="str">
        <f>IFERROR(__xludf.DUMMYFUNCTION("GOOGLETRANSLATE(D34, ""it"", ""en"")"),"Niche")</f>
        <v>Niche</v>
      </c>
      <c r="K34" s="3" t="str">
        <f>IFERROR(__xludf.DUMMYFUNCTION("GOOGLETRANSLATE(E34, ""it"", ""en"")"),"The ""grandmother"" contrada is the one that hasn't won for the longest time.")</f>
        <v>The "grandmother" contrada is the one that hasn't won for the longest time.</v>
      </c>
      <c r="L34" s="2"/>
      <c r="M34" s="2"/>
      <c r="N34" s="2"/>
      <c r="O34" s="2"/>
      <c r="P34" s="2"/>
      <c r="Q34" s="2"/>
      <c r="R34" s="2"/>
      <c r="S34" s="2"/>
      <c r="T34" s="2"/>
      <c r="U34" s="2"/>
      <c r="V34" s="2"/>
      <c r="W34" s="2"/>
    </row>
    <row r="35" ht="22.5" customHeight="1">
      <c r="A35" s="3">
        <v>34.0</v>
      </c>
      <c r="B35" s="3" t="s">
        <v>1833</v>
      </c>
      <c r="C35" s="3" t="s">
        <v>1834</v>
      </c>
      <c r="D35" s="3" t="s">
        <v>1835</v>
      </c>
      <c r="E35" s="3" t="s">
        <v>1836</v>
      </c>
      <c r="F35" s="2"/>
      <c r="G35" s="3" t="str">
        <f>IFERROR(__xludf.DUMMYFUNCTION("GOOGLETRANSLATE(A35, ""it"", ""en"")"),"34")</f>
        <v>34</v>
      </c>
      <c r="H35" s="3" t="str">
        <f>IFERROR(__xludf.DUMMYFUNCTION("GOOGLETRANSLATE(B35, ""it"", ""en"")"),"What is the meaning of the contrada flag?")</f>
        <v>What is the meaning of the contrada flag?</v>
      </c>
      <c r="I35" s="3" t="str">
        <f>IFERROR(__xludf.DUMMYFUNCTION("GOOGLETRANSLATE(C35, ""it"", ""en"")"),"A. Symbolizes victory B. Identifies the contrada C. Indicates the starter D. Decorates the banner")</f>
        <v>A. Symbolizes victory B. Identifies the contrada C. Indicates the starter D. Decorates the banner</v>
      </c>
      <c r="J35" s="3" t="str">
        <f>IFERROR(__xludf.DUMMYFUNCTION("GOOGLETRANSLATE(D35, ""it"", ""en"")"),"Identify the district")</f>
        <v>Identify the district</v>
      </c>
      <c r="K35" s="3" t="str">
        <f>IFERROR(__xludf.DUMMYFUNCTION("GOOGLETRANSLATE(E35, ""it"", ""en"")"),"The flag is a distinctive symbol of the contrada.")</f>
        <v>The flag is a distinctive symbol of the contrada.</v>
      </c>
      <c r="L35" s="2"/>
      <c r="M35" s="2"/>
      <c r="N35" s="2"/>
      <c r="O35" s="2"/>
      <c r="P35" s="2"/>
      <c r="Q35" s="2"/>
      <c r="R35" s="2"/>
      <c r="S35" s="2"/>
      <c r="T35" s="2"/>
      <c r="U35" s="2"/>
      <c r="V35" s="2"/>
      <c r="W35" s="2"/>
    </row>
    <row r="36" ht="22.5" customHeight="1">
      <c r="A36" s="3">
        <v>35.0</v>
      </c>
      <c r="B36" s="3" t="s">
        <v>1837</v>
      </c>
      <c r="C36" s="3" t="s">
        <v>1838</v>
      </c>
      <c r="D36" s="3" t="s">
        <v>1839</v>
      </c>
      <c r="E36" s="3" t="s">
        <v>1840</v>
      </c>
      <c r="F36" s="2"/>
      <c r="G36" s="3" t="str">
        <f>IFERROR(__xludf.DUMMYFUNCTION("GOOGLETRANSLATE(A36, ""it"", ""en"")"),"35")</f>
        <v>35</v>
      </c>
      <c r="H36" s="3" t="str">
        <f>IFERROR(__xludf.DUMMYFUNCTION("GOOGLETRANSLATE(B36, ""it"", ""en"")"),"What is the name of the religious ritual before the Palio?")</f>
        <v>What is the name of the religious ritual before the Palio?</v>
      </c>
      <c r="I36" s="3" t="str">
        <f>IFERROR(__xludf.DUMMYFUNCTION("GOOGLETRANSLATE(C36, ""it"", ""en"")"),"A. Jockey's Mass B. Blessing of the Horse C. Starter's Prayer D. Offering of the Banner")</f>
        <v>A. Jockey's Mass B. Blessing of the Horse C. Starter's Prayer D. Offering of the Banner</v>
      </c>
      <c r="J36" s="3" t="str">
        <f>IFERROR(__xludf.DUMMYFUNCTION("GOOGLETRANSLATE(D36, ""it"", ""en"")"),"Blessing of the Horse")</f>
        <v>Blessing of the Horse</v>
      </c>
      <c r="K36" s="3" t="str">
        <f>IFERROR(__xludf.DUMMYFUNCTION("GOOGLETRANSLATE(E36, ""it"", ""en"")"),"Each horse is blessed before the race.")</f>
        <v>Each horse is blessed before the race.</v>
      </c>
      <c r="L36" s="2"/>
      <c r="M36" s="2"/>
      <c r="N36" s="2"/>
      <c r="O36" s="2"/>
      <c r="P36" s="2"/>
      <c r="Q36" s="2"/>
      <c r="R36" s="2"/>
      <c r="S36" s="2"/>
      <c r="T36" s="2"/>
      <c r="U36" s="2"/>
      <c r="V36" s="2"/>
      <c r="W36" s="2"/>
    </row>
    <row r="37" ht="22.5" customHeight="1">
      <c r="A37" s="3">
        <v>36.0</v>
      </c>
      <c r="B37" s="3" t="s">
        <v>1841</v>
      </c>
      <c r="C37" s="3" t="s">
        <v>1842</v>
      </c>
      <c r="D37" s="3">
        <v>10.0</v>
      </c>
      <c r="E37" s="3" t="s">
        <v>1843</v>
      </c>
      <c r="F37" s="2"/>
      <c r="G37" s="3" t="str">
        <f>IFERROR(__xludf.DUMMYFUNCTION("GOOGLETRANSLATE(A37, ""it"", ""en"")"),"36")</f>
        <v>36</v>
      </c>
      <c r="H37" s="3" t="str">
        <f>IFERROR(__xludf.DUMMYFUNCTION("GOOGLETRANSLATE(B37, ""it"", ""en"")"),"How many horses are taking part in the race?")</f>
        <v>How many horses are taking part in the race?</v>
      </c>
      <c r="I37" s="3" t="str">
        <f>IFERROR(__xludf.DUMMYFUNCTION("GOOGLETRANSLATE(C37, ""it"", ""en"")"),"A. 7 B. 10 C. 15 D. 17")</f>
        <v>A. 7 B. 10 C. 15 D. 17</v>
      </c>
      <c r="J37" s="3" t="str">
        <f>IFERROR(__xludf.DUMMYFUNCTION("GOOGLETRANSLATE(D37, ""it"", ""en"")"),"10")</f>
        <v>10</v>
      </c>
      <c r="K37" s="3" t="str">
        <f>IFERROR(__xludf.DUMMYFUNCTION("GOOGLETRANSLATE(E37, ""it"", ""en"")"),"Ten horses compete in the race.")</f>
        <v>Ten horses compete in the race.</v>
      </c>
      <c r="L37" s="2"/>
      <c r="M37" s="2"/>
      <c r="N37" s="2"/>
      <c r="O37" s="2"/>
      <c r="P37" s="2"/>
      <c r="Q37" s="2"/>
      <c r="R37" s="2"/>
      <c r="S37" s="2"/>
      <c r="T37" s="2"/>
      <c r="U37" s="2"/>
      <c r="V37" s="2"/>
      <c r="W37" s="2"/>
    </row>
    <row r="38" ht="22.5" customHeight="1">
      <c r="A38" s="3">
        <v>37.0</v>
      </c>
      <c r="B38" s="3" t="s">
        <v>1844</v>
      </c>
      <c r="C38" s="3" t="s">
        <v>1845</v>
      </c>
      <c r="D38" s="3" t="s">
        <v>1846</v>
      </c>
      <c r="E38" s="3" t="s">
        <v>1847</v>
      </c>
      <c r="F38" s="2"/>
      <c r="G38" s="3" t="str">
        <f>IFERROR(__xludf.DUMMYFUNCTION("GOOGLETRANSLATE(A38, ""it"", ""en"")"),"37")</f>
        <v>37</v>
      </c>
      <c r="H38" s="3" t="str">
        <f>IFERROR(__xludf.DUMMYFUNCTION("GOOGLETRANSLATE(B38, ""it"", ""en"")"),"What is celebrated on July 2nd during the Palio?")</f>
        <v>What is celebrated on July 2nd during the Palio?</v>
      </c>
      <c r="I38" s="3" t="str">
        <f>IFERROR(__xludf.DUMMYFUNCTION("GOOGLETRANSLATE(C38, ""it"", ""en"")"),"A. The Madonna of Provenzano B. The birth of Siena C. The glory of the districts D. The end of the wars")</f>
        <v>A. The Madonna of Provenzano B. The birth of Siena C. The glory of the districts D. The end of the wars</v>
      </c>
      <c r="J38" s="3" t="str">
        <f>IFERROR(__xludf.DUMMYFUNCTION("GOOGLETRANSLATE(D38, ""it"", ""en"")"),"The Madonna of Provenzano")</f>
        <v>The Madonna of Provenzano</v>
      </c>
      <c r="K38" s="3" t="str">
        <f>IFERROR(__xludf.DUMMYFUNCTION("GOOGLETRANSLATE(E38, ""it"", ""en"")"),"The Palio of July 2nd is dedicated to the Madonna of Provenzano.")</f>
        <v>The Palio of July 2nd is dedicated to the Madonna of Provenzano.</v>
      </c>
      <c r="L38" s="2"/>
      <c r="M38" s="2"/>
      <c r="N38" s="2"/>
      <c r="O38" s="2"/>
      <c r="P38" s="2"/>
      <c r="Q38" s="2"/>
      <c r="R38" s="2"/>
      <c r="S38" s="2"/>
      <c r="T38" s="2"/>
      <c r="U38" s="2"/>
      <c r="V38" s="2"/>
      <c r="W38" s="2"/>
    </row>
    <row r="39" ht="22.5" customHeight="1">
      <c r="A39" s="3">
        <v>38.0</v>
      </c>
      <c r="B39" s="3" t="s">
        <v>1848</v>
      </c>
      <c r="C39" s="3" t="s">
        <v>1849</v>
      </c>
      <c r="D39" s="3" t="s">
        <v>1850</v>
      </c>
      <c r="E39" s="3" t="s">
        <v>1851</v>
      </c>
      <c r="F39" s="2"/>
      <c r="G39" s="3" t="str">
        <f>IFERROR(__xludf.DUMMYFUNCTION("GOOGLETRANSLATE(A39, ""it"", ""en"")"),"38")</f>
        <v>38</v>
      </c>
      <c r="H39" s="3" t="str">
        <f>IFERROR(__xludf.DUMMYFUNCTION("GOOGLETRANSLATE(B39, ""it"", ""en"")"),"What is celebrated on August 16th during the Palio?")</f>
        <v>What is celebrated on August 16th during the Palio?</v>
      </c>
      <c r="I39" s="3" t="str">
        <f>IFERROR(__xludf.DUMMYFUNCTION("GOOGLETRANSLATE(C39, ""it"", ""en"")"),"A. The Assumption of the Virgin B. Peace between the districts C. Siena's victory D. The jockey's celebration")</f>
        <v>A. The Assumption of the Virgin B. Peace between the districts C. Siena's victory D. The jockey's celebration</v>
      </c>
      <c r="J39" s="3" t="str">
        <f>IFERROR(__xludf.DUMMYFUNCTION("GOOGLETRANSLATE(D39, ""it"", ""en"")"),"Our Lady of the Assumption")</f>
        <v>Our Lady of the Assumption</v>
      </c>
      <c r="K39" s="3" t="str">
        <f>IFERROR(__xludf.DUMMYFUNCTION("GOOGLETRANSLATE(E39, ""it"", ""en"")"),"The Palio of August 16th is dedicated to the Madonna Assunta.")</f>
        <v>The Palio of August 16th is dedicated to the Madonna Assunta.</v>
      </c>
      <c r="L39" s="2"/>
      <c r="M39" s="2"/>
      <c r="N39" s="2"/>
      <c r="O39" s="2"/>
      <c r="P39" s="2"/>
      <c r="Q39" s="2"/>
      <c r="R39" s="2"/>
      <c r="S39" s="2"/>
      <c r="T39" s="2"/>
      <c r="U39" s="2"/>
      <c r="V39" s="2"/>
      <c r="W39" s="2"/>
    </row>
    <row r="40" ht="22.5" customHeight="1">
      <c r="A40" s="3">
        <v>39.0</v>
      </c>
      <c r="B40" s="3" t="s">
        <v>1852</v>
      </c>
      <c r="C40" s="3" t="s">
        <v>1853</v>
      </c>
      <c r="D40" s="3" t="s">
        <v>1854</v>
      </c>
      <c r="E40" s="3" t="s">
        <v>1855</v>
      </c>
      <c r="F40" s="2"/>
      <c r="G40" s="3" t="str">
        <f>IFERROR(__xludf.DUMMYFUNCTION("GOOGLETRANSLATE(A40, ""it"", ""en"")"),"39")</f>
        <v>39</v>
      </c>
      <c r="H40" s="3" t="str">
        <f>IFERROR(__xludf.DUMMYFUNCTION("GOOGLETRANSLATE(B40, ""it"", ""en"")"),"What role does the appearance of a contrada have?")</f>
        <v>What role does the appearance of a contrada have?</v>
      </c>
      <c r="I40" s="3" t="str">
        <f>IFERROR(__xludf.DUMMYFUNCTION("GOOGLETRANSLATE(C40, ""it"", ""en"")"),"A. Represent the contrada during the parade B. Guide the horse C. Mark the route D. Conduct the awards ceremony")</f>
        <v>A. Represent the contrada during the parade B. Guide the horse C. Mark the route D. Conduct the awards ceremony</v>
      </c>
      <c r="J40" s="3" t="str">
        <f>IFERROR(__xludf.DUMMYFUNCTION("GOOGLETRANSLATE(D40, ""it"", ""en"")"),"Represent the contrada during the parade")</f>
        <v>Represent the contrada during the parade</v>
      </c>
      <c r="K40" s="3" t="str">
        <f>IFERROR(__xludf.DUMMYFUNCTION("GOOGLETRANSLATE(E40, ""it"", ""en"")"),"The comparsa is made up of extras who represent the contrada.")</f>
        <v>The comparsa is made up of extras who represent the contrada.</v>
      </c>
      <c r="L40" s="2"/>
      <c r="M40" s="2"/>
      <c r="N40" s="2"/>
      <c r="O40" s="2"/>
      <c r="P40" s="2"/>
      <c r="Q40" s="2"/>
      <c r="R40" s="2"/>
      <c r="S40" s="2"/>
      <c r="T40" s="2"/>
      <c r="U40" s="2"/>
      <c r="V40" s="2"/>
      <c r="W40" s="2"/>
    </row>
    <row r="41" ht="22.5" customHeight="1">
      <c r="A41" s="3">
        <v>40.0</v>
      </c>
      <c r="B41" s="3" t="s">
        <v>1856</v>
      </c>
      <c r="C41" s="3" t="s">
        <v>1857</v>
      </c>
      <c r="D41" s="3" t="s">
        <v>1858</v>
      </c>
      <c r="E41" s="3" t="s">
        <v>1859</v>
      </c>
      <c r="F41" s="2"/>
      <c r="G41" s="3" t="str">
        <f>IFERROR(__xludf.DUMMYFUNCTION("GOOGLETRANSLATE(A41, ""it"", ""en"")"),"40")</f>
        <v>40</v>
      </c>
      <c r="H41" s="3" t="str">
        <f>IFERROR(__xludf.DUMMYFUNCTION("GOOGLETRANSLATE(B41, ""it"", ""en"")"),"What is the role of the prior of a contrada?")</f>
        <v>What is the role of the prior of a contrada?</v>
      </c>
      <c r="I41" s="3" t="str">
        <f>IFERROR(__xludf.DUMMYFUNCTION("GOOGLETRANSLATE(C41, ""it"", ""en"")"),"A. Manage the internal affairs of the contrada B. Lead the horse C. Trace the route D. Create the banner")</f>
        <v>A. Manage the internal affairs of the contrada B. Lead the horse C. Trace the route D. Create the banner</v>
      </c>
      <c r="J41" s="3" t="str">
        <f>IFERROR(__xludf.DUMMYFUNCTION("GOOGLETRANSLATE(D41, ""it"", ""en"")"),"Manage the internal affairs of the district")</f>
        <v>Manage the internal affairs of the district</v>
      </c>
      <c r="K41" s="3" t="str">
        <f>IFERROR(__xludf.DUMMYFUNCTION("GOOGLETRANSLATE(E41, ""it"", ""en"")"),"The prior is responsible for the management of the district.")</f>
        <v>The prior is responsible for the management of the district.</v>
      </c>
      <c r="L41" s="2"/>
      <c r="M41" s="2"/>
      <c r="N41" s="2"/>
      <c r="O41" s="2"/>
      <c r="P41" s="2"/>
      <c r="Q41" s="2"/>
      <c r="R41" s="2"/>
      <c r="S41" s="2"/>
      <c r="T41" s="2"/>
      <c r="U41" s="2"/>
      <c r="V41" s="2"/>
      <c r="W41" s="2"/>
    </row>
    <row r="42" ht="22.5" customHeight="1">
      <c r="A42" s="3">
        <v>41.0</v>
      </c>
      <c r="B42" s="3" t="s">
        <v>1860</v>
      </c>
      <c r="C42" s="3" t="s">
        <v>1861</v>
      </c>
      <c r="D42" s="3" t="s">
        <v>1862</v>
      </c>
      <c r="E42" s="3" t="s">
        <v>1863</v>
      </c>
      <c r="F42" s="2"/>
      <c r="G42" s="3" t="str">
        <f>IFERROR(__xludf.DUMMYFUNCTION("GOOGLETRANSLATE(A42, ""it"", ""en"")"),"41")</f>
        <v>41</v>
      </c>
      <c r="H42" s="3" t="str">
        <f>IFERROR(__xludf.DUMMYFUNCTION("GOOGLETRANSLATE(B42, ""it"", ""en"")"),"What happens if two horses cross the finish line together?")</f>
        <v>What happens if two horses cross the finish line together?</v>
      </c>
      <c r="I42" s="3" t="str">
        <f>IFERROR(__xludf.DUMMYFUNCTION("GOOGLETRANSLATE(C42, ""it"", ""en"")"),"A. Another race is held B. The shaken horse wins C. The horse closest to the starter wins D. A tie is declared")</f>
        <v>A. Another race is held B. The shaken horse wins C. The horse closest to the starter wins D. A tie is declared</v>
      </c>
      <c r="J42" s="3" t="str">
        <f>IFERROR(__xludf.DUMMYFUNCTION("GOOGLETRANSLATE(D42, ""it"", ""en"")"),"A tie is declared")</f>
        <v>A tie is declared</v>
      </c>
      <c r="K42" s="3" t="str">
        <f>IFERROR(__xludf.DUMMYFUNCTION("GOOGLETRANSLATE(E42, ""it"", ""en"")"),"A tie is accepted if the horses finish together.")</f>
        <v>A tie is accepted if the horses finish together.</v>
      </c>
      <c r="L42" s="2"/>
      <c r="M42" s="2"/>
      <c r="N42" s="2"/>
      <c r="O42" s="2"/>
      <c r="P42" s="2"/>
      <c r="Q42" s="2"/>
      <c r="R42" s="2"/>
      <c r="S42" s="2"/>
      <c r="T42" s="2"/>
      <c r="U42" s="2"/>
      <c r="V42" s="2"/>
      <c r="W42" s="2"/>
    </row>
    <row r="43" ht="22.5" customHeight="1">
      <c r="A43" s="3">
        <v>42.0</v>
      </c>
      <c r="B43" s="3" t="s">
        <v>1864</v>
      </c>
      <c r="C43" s="3" t="s">
        <v>1865</v>
      </c>
      <c r="D43" s="3" t="s">
        <v>1866</v>
      </c>
      <c r="E43" s="3" t="s">
        <v>1867</v>
      </c>
      <c r="F43" s="2"/>
      <c r="G43" s="3" t="str">
        <f>IFERROR(__xludf.DUMMYFUNCTION("GOOGLETRANSLATE(A43, ""it"", ""en"")"),"42")</f>
        <v>42</v>
      </c>
      <c r="H43" s="3" t="str">
        <f>IFERROR(__xludf.DUMMYFUNCTION("GOOGLETRANSLATE(B43, ""it"", ""en"")"),"Who can participate as a jockey?")</f>
        <v>Who can participate as a jockey?</v>
      </c>
      <c r="I43" s="3" t="str">
        <f>IFERROR(__xludf.DUMMYFUNCTION("GOOGLETRANSLATE(C43, ""it"", ""en"")"),"A. Only citizens of Siena B. Only members of the contradas C. Anyone hired by the contrada D. Jockeys chosen by the State")</f>
        <v>A. Only citizens of Siena B. Only members of the contradas C. Anyone hired by the contrada D. Jockeys chosen by the State</v>
      </c>
      <c r="J43" s="3" t="str">
        <f>IFERROR(__xludf.DUMMYFUNCTION("GOOGLETRANSLATE(D43, ""it"", ""en"")"),"Anyone hired by the contrada")</f>
        <v>Anyone hired by the contrada</v>
      </c>
      <c r="K43" s="3" t="str">
        <f>IFERROR(__xludf.DUMMYFUNCTION("GOOGLETRANSLATE(E43, ""it"", ""en"")"),"The districts can choose external jockeys.")</f>
        <v>The districts can choose external jockeys.</v>
      </c>
      <c r="L43" s="2"/>
      <c r="M43" s="2"/>
      <c r="N43" s="2"/>
      <c r="O43" s="2"/>
      <c r="P43" s="2"/>
      <c r="Q43" s="2"/>
      <c r="R43" s="2"/>
      <c r="S43" s="2"/>
      <c r="T43" s="2"/>
      <c r="U43" s="2"/>
      <c r="V43" s="2"/>
      <c r="W43" s="2"/>
    </row>
    <row r="44" ht="22.5" customHeight="1">
      <c r="A44" s="3">
        <v>43.0</v>
      </c>
      <c r="B44" s="3" t="s">
        <v>1868</v>
      </c>
      <c r="C44" s="3" t="s">
        <v>1869</v>
      </c>
      <c r="D44" s="3" t="s">
        <v>290</v>
      </c>
      <c r="E44" s="3" t="s">
        <v>1870</v>
      </c>
      <c r="F44" s="2"/>
      <c r="G44" s="3" t="str">
        <f>IFERROR(__xludf.DUMMYFUNCTION("GOOGLETRANSLATE(A44, ""it"", ""en"")"),"43")</f>
        <v>43</v>
      </c>
      <c r="H44" s="3" t="str">
        <f>IFERROR(__xludf.DUMMYFUNCTION("GOOGLETRANSLATE(B44, ""it"", ""en"")"),"How are the horses chosen for the Palio?")</f>
        <v>How are the horses chosen for the Palio?</v>
      </c>
      <c r="I44" s="3" t="str">
        <f>IFERROR(__xludf.DUMMYFUNCTION("GOOGLETRANSLATE(C44, ""it"", ""en"")"),"A. Lottery B. Selection by speed C. Selection by experience D. Public competition")</f>
        <v>A. Lottery B. Selection by speed C. Selection by experience D. Public competition</v>
      </c>
      <c r="J44" s="3" t="str">
        <f>IFERROR(__xludf.DUMMYFUNCTION("GOOGLETRANSLATE(D44, ""it"", ""en"")"),"Draw")</f>
        <v>Draw</v>
      </c>
      <c r="K44" s="3" t="str">
        <f>IFERROR(__xludf.DUMMYFUNCTION("GOOGLETRANSLATE(E44, ""it"", ""en"")"),"The horses are assigned by official drawing.")</f>
        <v>The horses are assigned by official drawing.</v>
      </c>
      <c r="L44" s="2"/>
      <c r="M44" s="2"/>
      <c r="N44" s="2"/>
      <c r="O44" s="2"/>
      <c r="P44" s="2"/>
      <c r="Q44" s="2"/>
      <c r="R44" s="2"/>
      <c r="S44" s="2"/>
      <c r="T44" s="2"/>
      <c r="U44" s="2"/>
      <c r="V44" s="2"/>
      <c r="W44" s="2"/>
    </row>
    <row r="45" ht="22.5" customHeight="1">
      <c r="A45" s="3">
        <v>44.0</v>
      </c>
      <c r="B45" s="3" t="s">
        <v>1871</v>
      </c>
      <c r="C45" s="3" t="s">
        <v>1872</v>
      </c>
      <c r="D45" s="3" t="s">
        <v>1873</v>
      </c>
      <c r="E45" s="3" t="s">
        <v>1874</v>
      </c>
      <c r="F45" s="2"/>
      <c r="G45" s="3" t="str">
        <f>IFERROR(__xludf.DUMMYFUNCTION("GOOGLETRANSLATE(A45, ""it"", ""en"")"),"44")</f>
        <v>44</v>
      </c>
      <c r="H45" s="3" t="str">
        <f>IFERROR(__xludf.DUMMYFUNCTION("GOOGLETRANSLATE(B45, ""it"", ""en"")"),"What does it mean to ""make the move""?")</f>
        <v>What does it mean to "make the move"?</v>
      </c>
      <c r="I45" s="3" t="str">
        <f>IFERROR(__xludf.DUMMYFUNCTION("GOOGLETRANSLATE(C45, ""it"", ""en"")"),"A. Prepare the banner B. Approach the start C. Position yourself at the starting line D. Stop after the first lap")</f>
        <v>A. Prepare the banner B. Approach the start C. Position yourself at the starting line D. Stop after the first lap</v>
      </c>
      <c r="J45" s="3" t="str">
        <f>IFERROR(__xludf.DUMMYFUNCTION("GOOGLETRANSLATE(D45, ""it"", ""en"")"),"Position yourself at the canape")</f>
        <v>Position yourself at the canape</v>
      </c>
      <c r="K45" s="3" t="str">
        <f>IFERROR(__xludf.DUMMYFUNCTION("GOOGLETRANSLATE(E45, ""it"", ""en"")"),"Making the move means positioning yourself for the start.")</f>
        <v>Making the move means positioning yourself for the start.</v>
      </c>
      <c r="L45" s="2"/>
      <c r="M45" s="2"/>
      <c r="N45" s="2"/>
      <c r="O45" s="2"/>
      <c r="P45" s="2"/>
      <c r="Q45" s="2"/>
      <c r="R45" s="2"/>
      <c r="S45" s="2"/>
      <c r="T45" s="2"/>
      <c r="U45" s="2"/>
      <c r="V45" s="2"/>
      <c r="W45" s="2"/>
    </row>
    <row r="46" ht="22.5" customHeight="1">
      <c r="A46" s="3">
        <v>45.0</v>
      </c>
      <c r="B46" s="3" t="s">
        <v>1875</v>
      </c>
      <c r="C46" s="3" t="s">
        <v>1876</v>
      </c>
      <c r="D46" s="3" t="s">
        <v>1877</v>
      </c>
      <c r="E46" s="3" t="s">
        <v>1878</v>
      </c>
      <c r="F46" s="2"/>
      <c r="G46" s="3" t="str">
        <f>IFERROR(__xludf.DUMMYFUNCTION("GOOGLETRANSLATE(A46, ""it"", ""en"")"),"45")</f>
        <v>45</v>
      </c>
      <c r="H46" s="3" t="str">
        <f>IFERROR(__xludf.DUMMYFUNCTION("GOOGLETRANSLATE(B46, ""it"", ""en"")"),"Which district has a giraffe as its symbol?")</f>
        <v>Which district has a giraffe as its symbol?</v>
      </c>
      <c r="I46" s="3" t="str">
        <f>IFERROR(__xludf.DUMMYFUNCTION("GOOGLETRANSLATE(C46, ""it"", ""en"")"),"A. Goose B. Giraffe C. Dragon D. Snail")</f>
        <v>A. Goose B. Giraffe C. Dragon D. Snail</v>
      </c>
      <c r="J46" s="3" t="str">
        <f>IFERROR(__xludf.DUMMYFUNCTION("GOOGLETRANSLATE(D46, ""it"", ""en"")"),"Giraffe")</f>
        <v>Giraffe</v>
      </c>
      <c r="K46" s="3" t="str">
        <f>IFERROR(__xludf.DUMMYFUNCTION("GOOGLETRANSLATE(E46, ""it"", ""en"")"),"The Giraffa district has a giraffe as its symbol.")</f>
        <v>The Giraffa district has a giraffe as its symbol.</v>
      </c>
      <c r="L46" s="2"/>
      <c r="M46" s="2"/>
      <c r="N46" s="2"/>
      <c r="O46" s="2"/>
      <c r="P46" s="2"/>
      <c r="Q46" s="2"/>
      <c r="R46" s="2"/>
      <c r="S46" s="2"/>
      <c r="T46" s="2"/>
      <c r="U46" s="2"/>
      <c r="V46" s="2"/>
      <c r="W46" s="2"/>
    </row>
    <row r="47" ht="22.5" customHeight="1">
      <c r="A47" s="3">
        <v>46.0</v>
      </c>
      <c r="B47" s="3" t="s">
        <v>1879</v>
      </c>
      <c r="C47" s="3" t="s">
        <v>1880</v>
      </c>
      <c r="D47" s="3" t="s">
        <v>1881</v>
      </c>
      <c r="E47" s="3" t="s">
        <v>1882</v>
      </c>
      <c r="F47" s="2"/>
      <c r="G47" s="3" t="str">
        <f>IFERROR(__xludf.DUMMYFUNCTION("GOOGLETRANSLATE(A47, ""it"", ""en"")"),"46")</f>
        <v>46</v>
      </c>
      <c r="H47" s="3" t="str">
        <f>IFERROR(__xludf.DUMMYFUNCTION("GOOGLETRANSLATE(B47, ""it"", ""en"")"),"What is the deadline for a repeat victory by the same contrada?")</f>
        <v>What is the deadline for a repeat victory by the same contrada?</v>
      </c>
      <c r="I47" s="3" t="str">
        <f>IFERROR(__xludf.DUMMYFUNCTION("GOOGLETRANSLATE(C47, ""it"", ""en"")"),"A. Double B. Three of a Kind C. Rematch D. Conquest")</f>
        <v>A. Double B. Three of a Kind C. Rematch D. Conquest</v>
      </c>
      <c r="J47" s="3" t="str">
        <f>IFERROR(__xludf.DUMMYFUNCTION("GOOGLETRANSLATE(D47, ""it"", ""en"")"),"Double")</f>
        <v>Double</v>
      </c>
      <c r="K47" s="3" t="str">
        <f>IFERROR(__xludf.DUMMYFUNCTION("GOOGLETRANSLATE(E47, ""it"", ""en"")"),"A double occurs when a contrada wins two consecutive Palios.")</f>
        <v>A double occurs when a contrada wins two consecutive Palios.</v>
      </c>
      <c r="L47" s="2"/>
      <c r="M47" s="2"/>
      <c r="N47" s="2"/>
      <c r="O47" s="2"/>
      <c r="P47" s="2"/>
      <c r="Q47" s="2"/>
      <c r="R47" s="2"/>
      <c r="S47" s="2"/>
      <c r="T47" s="2"/>
      <c r="U47" s="2"/>
      <c r="V47" s="2"/>
      <c r="W47" s="2"/>
    </row>
    <row r="48" ht="22.5" customHeight="1">
      <c r="A48" s="3">
        <v>47.0</v>
      </c>
      <c r="B48" s="3" t="s">
        <v>1883</v>
      </c>
      <c r="C48" s="3" t="s">
        <v>1884</v>
      </c>
      <c r="D48" s="3" t="s">
        <v>1885</v>
      </c>
      <c r="E48" s="3" t="s">
        <v>1886</v>
      </c>
      <c r="F48" s="2"/>
      <c r="G48" s="3" t="str">
        <f>IFERROR(__xludf.DUMMYFUNCTION("GOOGLETRANSLATE(A48, ""it"", ""en"")"),"47")</f>
        <v>47</v>
      </c>
      <c r="H48" s="3" t="str">
        <f>IFERROR(__xludf.DUMMYFUNCTION("GOOGLETRANSLATE(B48, ""it"", ""en"")"),"What does ""drawing lots"" mean?")</f>
        <v>What does "drawing lots" mean?</v>
      </c>
      <c r="I48" s="3" t="str">
        <f>IFERROR(__xludf.DUMMYFUNCTION("GOOGLETRANSLATE(C48, ""it"", ""en"")"),"A. Selection of the starter B. Choice of horses C. Choice of participating districts D. Distribution of the banner")</f>
        <v>A. Selection of the starter B. Choice of horses C. Choice of participating districts D. Distribution of the banner</v>
      </c>
      <c r="J48" s="3" t="str">
        <f>IFERROR(__xludf.DUMMYFUNCTION("GOOGLETRANSLATE(D48, ""it"", ""en"")"),"Choice of participating districts")</f>
        <v>Choice of participating districts</v>
      </c>
      <c r="K48" s="3" t="str">
        <f>IFERROR(__xludf.DUMMYFUNCTION("GOOGLETRANSLATE(E48, ""it"", ""en"")"),"Seven districts are drawn by lot to participate in the Palio.")</f>
        <v>Seven districts are drawn by lot to participate in the Palio.</v>
      </c>
      <c r="L48" s="2"/>
      <c r="M48" s="2"/>
      <c r="N48" s="2"/>
      <c r="O48" s="2"/>
      <c r="P48" s="2"/>
      <c r="Q48" s="2"/>
      <c r="R48" s="2"/>
      <c r="S48" s="2"/>
      <c r="T48" s="2"/>
      <c r="U48" s="2"/>
      <c r="V48" s="2"/>
      <c r="W48" s="2"/>
    </row>
    <row r="49" ht="22.5" customHeight="1">
      <c r="A49" s="3">
        <v>48.0</v>
      </c>
      <c r="B49" s="3" t="s">
        <v>1887</v>
      </c>
      <c r="C49" s="3" t="s">
        <v>1888</v>
      </c>
      <c r="D49" s="3" t="s">
        <v>1889</v>
      </c>
      <c r="E49" s="3" t="s">
        <v>1890</v>
      </c>
      <c r="F49" s="2"/>
      <c r="G49" s="3" t="str">
        <f>IFERROR(__xludf.DUMMYFUNCTION("GOOGLETRANSLATE(A49, ""it"", ""en"")"),"48")</f>
        <v>48</v>
      </c>
      <c r="H49" s="3" t="str">
        <f>IFERROR(__xludf.DUMMYFUNCTION("GOOGLETRANSLATE(B49, ""it"", ""en"")"),"What is the main rule for horses?")</f>
        <v>What is the main rule for horses?</v>
      </c>
      <c r="I49" s="3" t="str">
        <f>IFERROR(__xludf.DUMMYFUNCTION("GOOGLETRANSLATE(C49, ""it"", ""en"")"),"A. They must be purebred B. They must come from Siena C. They must be half-blood D. They must be white")</f>
        <v>A. They must be purebred B. They must come from Siena C. They must be half-blood D. They must be white</v>
      </c>
      <c r="J49" s="3" t="str">
        <f>IFERROR(__xludf.DUMMYFUNCTION("GOOGLETRANSLATE(D49, ""it"", ""en"")"),"They must be half-bloods")</f>
        <v>They must be half-bloods</v>
      </c>
      <c r="K49" s="3" t="str">
        <f>IFERROR(__xludf.DUMMYFUNCTION("GOOGLETRANSLATE(E49, ""it"", ""en"")"),"For safety and tradition, half-blood horses are used.")</f>
        <v>For safety and tradition, half-blood horses are used.</v>
      </c>
      <c r="L49" s="2"/>
      <c r="M49" s="2"/>
      <c r="N49" s="2"/>
      <c r="O49" s="2"/>
      <c r="P49" s="2"/>
      <c r="Q49" s="2"/>
      <c r="R49" s="2"/>
      <c r="S49" s="2"/>
      <c r="T49" s="2"/>
      <c r="U49" s="2"/>
      <c r="V49" s="2"/>
      <c r="W49" s="2"/>
    </row>
    <row r="50" ht="22.5" customHeight="1">
      <c r="A50" s="3">
        <v>49.0</v>
      </c>
      <c r="B50" s="3" t="s">
        <v>1891</v>
      </c>
      <c r="C50" s="3" t="s">
        <v>1892</v>
      </c>
      <c r="D50" s="3" t="s">
        <v>1893</v>
      </c>
      <c r="E50" s="3" t="s">
        <v>1894</v>
      </c>
      <c r="F50" s="2"/>
      <c r="G50" s="3" t="str">
        <f>IFERROR(__xludf.DUMMYFUNCTION("GOOGLETRANSLATE(A50, ""it"", ""en"")"),"49")</f>
        <v>49</v>
      </c>
      <c r="H50" s="3" t="str">
        <f>IFERROR(__xludf.DUMMYFUNCTION("GOOGLETRANSLATE(B50, ""it"", ""en"")"),"What do the drums represent during the parade?")</f>
        <v>What do the drums represent during the parade?</v>
      </c>
      <c r="I50" s="3" t="str">
        <f>IFERROR(__xludf.DUMMYFUNCTION("GOOGLETRANSLATE(C50, ""it"", ""en"")"),"A. The pace of the race B. The call to the competition C. The history of the contrada D. The glory of the winner")</f>
        <v>A. The pace of the race B. The call to the competition C. The history of the contrada D. The glory of the winner</v>
      </c>
      <c r="J50" s="3" t="str">
        <f>IFERROR(__xludf.DUMMYFUNCTION("GOOGLETRANSLATE(D50, ""it"", ""en"")"),"The call to competition")</f>
        <v>The call to competition</v>
      </c>
      <c r="K50" s="3" t="str">
        <f>IFERROR(__xludf.DUMMYFUNCTION("GOOGLETRANSLATE(E50, ""it"", ""en"")"),"The drums mark the rhythm and draw attention.")</f>
        <v>The drums mark the rhythm and draw attention.</v>
      </c>
      <c r="L50" s="2"/>
      <c r="M50" s="2"/>
      <c r="N50" s="2"/>
      <c r="O50" s="2"/>
      <c r="P50" s="2"/>
      <c r="Q50" s="2"/>
      <c r="R50" s="2"/>
      <c r="S50" s="2"/>
      <c r="T50" s="2"/>
      <c r="U50" s="2"/>
      <c r="V50" s="2"/>
      <c r="W50" s="2"/>
    </row>
    <row r="51" ht="22.5" customHeight="1">
      <c r="A51" s="3">
        <v>50.0</v>
      </c>
      <c r="B51" s="3" t="s">
        <v>1895</v>
      </c>
      <c r="C51" s="3" t="s">
        <v>1715</v>
      </c>
      <c r="D51" s="3" t="s">
        <v>434</v>
      </c>
      <c r="E51" s="3" t="s">
        <v>1896</v>
      </c>
      <c r="F51" s="2"/>
      <c r="G51" s="3" t="str">
        <f>IFERROR(__xludf.DUMMYFUNCTION("GOOGLETRANSLATE(A51, ""it"", ""en"")"),"50")</f>
        <v>50</v>
      </c>
      <c r="H51" s="3" t="str">
        <f>IFERROR(__xludf.DUMMYFUNCTION("GOOGLETRANSLATE(B51, ""it"", ""en"")"),"How many days before does the journey begin?")</f>
        <v>How many days before does the journey begin?</v>
      </c>
      <c r="I51" s="3" t="str">
        <f>IFERROR(__xludf.DUMMYFUNCTION("GOOGLETRANSLATE(C51, ""it"", ""en"")"),"A. One B. Two C. Three D. Four")</f>
        <v>A. One B. Two C. Three D. Four</v>
      </c>
      <c r="J51" s="3" t="str">
        <f>IFERROR(__xludf.DUMMYFUNCTION("GOOGLETRANSLATE(D51, ""it"", ""en"")"),"Three")</f>
        <v>Three</v>
      </c>
      <c r="K51" s="3" t="str">
        <f>IFERROR(__xludf.DUMMYFUNCTION("GOOGLETRANSLATE(E51, ""it"", ""en"")"),"The Tratta takes place three days before the race.")</f>
        <v>The Tratta takes place three days before the race.</v>
      </c>
      <c r="L51" s="2"/>
      <c r="M51" s="2"/>
      <c r="N51" s="2"/>
      <c r="O51" s="2"/>
      <c r="P51" s="2"/>
      <c r="Q51" s="2"/>
      <c r="R51" s="2"/>
      <c r="S51" s="2"/>
      <c r="T51" s="2"/>
      <c r="U51" s="2"/>
      <c r="V51" s="2"/>
      <c r="W51" s="2"/>
    </row>
    <row r="52" ht="22.5" customHeight="1">
      <c r="A52" s="3">
        <v>51.0</v>
      </c>
      <c r="B52" s="3" t="s">
        <v>1897</v>
      </c>
      <c r="C52" s="3" t="s">
        <v>1898</v>
      </c>
      <c r="D52" s="3" t="s">
        <v>1899</v>
      </c>
      <c r="E52" s="3" t="s">
        <v>1900</v>
      </c>
      <c r="F52" s="2"/>
      <c r="G52" s="3" t="str">
        <f>IFERROR(__xludf.DUMMYFUNCTION("GOOGLETRANSLATE(A52, ""it"", ""en"")"),"51")</f>
        <v>51</v>
      </c>
      <c r="H52" s="3" t="str">
        <f>IFERROR(__xludf.DUMMYFUNCTION("GOOGLETRANSLATE(B52, ""it"", ""en"")"),"What does the jockey's jacket symbolize?")</f>
        <v>What does the jockey's jacket symbolize?</v>
      </c>
      <c r="I52" s="3" t="str">
        <f>IFERROR(__xludf.DUMMYFUNCTION("GOOGLETRANSLATE(C52, ""it"", ""en"")"),"A. The contrada flag B. The banner C. The history of Siena D. The contrada colors")</f>
        <v>A. The contrada flag B. The banner C. The history of Siena D. The contrada colors</v>
      </c>
      <c r="J52" s="3" t="str">
        <f>IFERROR(__xludf.DUMMYFUNCTION("GOOGLETRANSLATE(D52, ""it"", ""en"")"),"The colors of the contrada")</f>
        <v>The colors of the contrada</v>
      </c>
      <c r="K52" s="3" t="str">
        <f>IFERROR(__xludf.DUMMYFUNCTION("GOOGLETRANSLATE(E52, ""it"", ""en"")"),"The jacket features the distinctive colours of the contrada.")</f>
        <v>The jacket features the distinctive colours of the contrada.</v>
      </c>
      <c r="L52" s="2"/>
      <c r="M52" s="2"/>
      <c r="N52" s="2"/>
      <c r="O52" s="2"/>
      <c r="P52" s="2"/>
      <c r="Q52" s="2"/>
      <c r="R52" s="2"/>
      <c r="S52" s="2"/>
      <c r="T52" s="2"/>
      <c r="U52" s="2"/>
      <c r="V52" s="2"/>
      <c r="W52" s="2"/>
    </row>
    <row r="53" ht="22.5" customHeight="1">
      <c r="A53" s="3">
        <v>52.0</v>
      </c>
      <c r="B53" s="3" t="s">
        <v>1901</v>
      </c>
      <c r="C53" s="3" t="s">
        <v>1902</v>
      </c>
      <c r="D53" s="3" t="s">
        <v>1903</v>
      </c>
      <c r="E53" s="3" t="s">
        <v>1904</v>
      </c>
      <c r="F53" s="2"/>
      <c r="G53" s="3" t="str">
        <f>IFERROR(__xludf.DUMMYFUNCTION("GOOGLETRANSLATE(A53, ""it"", ""en"")"),"52")</f>
        <v>52</v>
      </c>
      <c r="H53" s="3" t="str">
        <f>IFERROR(__xludf.DUMMYFUNCTION("GOOGLETRANSLATE(B53, ""it"", ""en"")"),"What is the name of the test where the jockeys practice the start?")</f>
        <v>What is the name of the test where the jockeys practice the start?</v>
      </c>
      <c r="I53" s="3" t="str">
        <f>IFERROR(__xludf.DUMMYFUNCTION("GOOGLETRANSLATE(C53, ""it"", ""en"")"),"A. Move rehearsal B. Dress rehearsal C. Starter rehearsal D. Night rehearsal")</f>
        <v>A. Move rehearsal B. Dress rehearsal C. Starter rehearsal D. Night rehearsal</v>
      </c>
      <c r="J53" s="3" t="str">
        <f>IFERROR(__xludf.DUMMYFUNCTION("GOOGLETRANSLATE(D53, ""it"", ""en"")"),"Proof of the move")</f>
        <v>Proof of the move</v>
      </c>
      <c r="K53" s="3" t="str">
        <f>IFERROR(__xludf.DUMMYFUNCTION("GOOGLETRANSLATE(E53, ""it"", ""en"")"),"The move test is dedicated to the start.")</f>
        <v>The move test is dedicated to the start.</v>
      </c>
      <c r="L53" s="2"/>
      <c r="M53" s="2"/>
      <c r="N53" s="2"/>
      <c r="O53" s="2"/>
      <c r="P53" s="2"/>
      <c r="Q53" s="2"/>
      <c r="R53" s="2"/>
      <c r="S53" s="2"/>
      <c r="T53" s="2"/>
      <c r="U53" s="2"/>
      <c r="V53" s="2"/>
      <c r="W53" s="2"/>
    </row>
    <row r="54" ht="22.5" customHeight="1">
      <c r="A54" s="3">
        <v>53.0</v>
      </c>
      <c r="B54" s="3" t="s">
        <v>1905</v>
      </c>
      <c r="C54" s="3" t="s">
        <v>1906</v>
      </c>
      <c r="D54" s="3" t="s">
        <v>1907</v>
      </c>
      <c r="E54" s="3" t="s">
        <v>1908</v>
      </c>
      <c r="F54" s="2"/>
      <c r="G54" s="3" t="str">
        <f>IFERROR(__xludf.DUMMYFUNCTION("GOOGLETRANSLATE(A54, ""it"", ""en"")"),"53")</f>
        <v>53</v>
      </c>
      <c r="H54" s="3" t="str">
        <f>IFERROR(__xludf.DUMMYFUNCTION("GOOGLETRANSLATE(B54, ""it"", ""en"")"),"Who celebrates the mass before the Palio?")</f>
        <v>Who celebrates the mass before the Palio?</v>
      </c>
      <c r="I54" s="3" t="str">
        <f>IFERROR(__xludf.DUMMYFUNCTION("GOOGLETRANSLATE(C54, ""it"", ""en"")"),"A. The prior B. The mayor C. The bishop D. A jockey")</f>
        <v>A. The prior B. The mayor C. The bishop D. A jockey</v>
      </c>
      <c r="J54" s="3" t="str">
        <f>IFERROR(__xludf.DUMMYFUNCTION("GOOGLETRANSLATE(D54, ""it"", ""en"")"),"The bishop")</f>
        <v>The bishop</v>
      </c>
      <c r="K54" s="3" t="str">
        <f>IFERROR(__xludf.DUMMYFUNCTION("GOOGLETRANSLATE(E54, ""it"", ""en"")"),"The mass is celebrated by the bishop of Siena.")</f>
        <v>The mass is celebrated by the bishop of Siena.</v>
      </c>
      <c r="L54" s="2"/>
      <c r="M54" s="2"/>
      <c r="N54" s="2"/>
      <c r="O54" s="2"/>
      <c r="P54" s="2"/>
      <c r="Q54" s="2"/>
      <c r="R54" s="2"/>
      <c r="S54" s="2"/>
      <c r="T54" s="2"/>
      <c r="U54" s="2"/>
      <c r="V54" s="2"/>
      <c r="W54" s="2"/>
    </row>
    <row r="55" ht="22.5" customHeight="1">
      <c r="A55" s="3">
        <v>54.0</v>
      </c>
      <c r="B55" s="3" t="s">
        <v>1909</v>
      </c>
      <c r="C55" s="3" t="s">
        <v>1910</v>
      </c>
      <c r="D55" s="3" t="s">
        <v>1911</v>
      </c>
      <c r="E55" s="3" t="s">
        <v>1912</v>
      </c>
      <c r="F55" s="2"/>
      <c r="G55" s="3" t="str">
        <f>IFERROR(__xludf.DUMMYFUNCTION("GOOGLETRANSLATE(A55, ""it"", ""en"")"),"54")</f>
        <v>54</v>
      </c>
      <c r="H55" s="3" t="str">
        <f>IFERROR(__xludf.DUMMYFUNCTION("GOOGLETRANSLATE(B55, ""it"", ""en"")"),"What happens at the victory dinner?")</f>
        <v>What happens at the victory dinner?</v>
      </c>
      <c r="I55" s="3" t="str">
        <f>IFERROR(__xludf.DUMMYFUNCTION("GOOGLETRANSLATE(C55, ""it"", ""en"")"),"A. The banner is handed out B. The horse is prepared C. The winning contrada is celebrated D. The starter is chosen")</f>
        <v>A. The banner is handed out B. The horse is prepared C. The winning contrada is celebrated D. The starter is chosen</v>
      </c>
      <c r="J55" s="3" t="str">
        <f>IFERROR(__xludf.DUMMYFUNCTION("GOOGLETRANSLATE(D55, ""it"", ""en"")"),"The winning contrada is celebrated")</f>
        <v>The winning contrada is celebrated</v>
      </c>
      <c r="K55" s="3" t="str">
        <f>IFERROR(__xludf.DUMMYFUNCTION("GOOGLETRANSLATE(E55, ""it"", ""en"")"),"It's a moment of celebration for the winning contrada.")</f>
        <v>It's a moment of celebration for the winning contrada.</v>
      </c>
      <c r="L55" s="2"/>
      <c r="M55" s="2"/>
      <c r="N55" s="2"/>
      <c r="O55" s="2"/>
      <c r="P55" s="2"/>
      <c r="Q55" s="2"/>
      <c r="R55" s="2"/>
      <c r="S55" s="2"/>
      <c r="T55" s="2"/>
      <c r="U55" s="2"/>
      <c r="V55" s="2"/>
      <c r="W55" s="2"/>
    </row>
    <row r="56" ht="22.5" customHeight="1">
      <c r="A56" s="3">
        <v>55.0</v>
      </c>
      <c r="B56" s="3" t="s">
        <v>1913</v>
      </c>
      <c r="C56" s="3" t="s">
        <v>1914</v>
      </c>
      <c r="D56" s="3" t="s">
        <v>1915</v>
      </c>
      <c r="E56" s="3" t="s">
        <v>1916</v>
      </c>
      <c r="F56" s="2"/>
      <c r="G56" s="3" t="str">
        <f>IFERROR(__xludf.DUMMYFUNCTION("GOOGLETRANSLATE(A56, ""it"", ""en"")"),"55")</f>
        <v>55</v>
      </c>
      <c r="H56" s="3" t="str">
        <f>IFERROR(__xludf.DUMMYFUNCTION("GOOGLETRANSLATE(B56, ""it"", ""en"")"),"What is the preliminary race called?")</f>
        <v>What is the preliminary race called?</v>
      </c>
      <c r="I56" s="3" t="str">
        <f>IFERROR(__xludf.DUMMYFUNCTION("GOOGLETRANSLATE(C56, ""it"", ""en"")"),"A. Test run B. Night test C. Route D. Joust")</f>
        <v>A. Test run B. Night test C. Route D. Joust</v>
      </c>
      <c r="J56" s="3" t="str">
        <f>IFERROR(__xludf.DUMMYFUNCTION("GOOGLETRANSLATE(D56, ""it"", ""en"")"),"Test")</f>
        <v>Test</v>
      </c>
      <c r="K56" s="3" t="str">
        <f>IFERROR(__xludf.DUMMYFUNCTION("GOOGLETRANSLATE(E56, ""it"", ""en"")"),"The provaccia is a preliminary race before the Palio.")</f>
        <v>The provaccia is a preliminary race before the Palio.</v>
      </c>
      <c r="L56" s="2"/>
      <c r="M56" s="2"/>
      <c r="N56" s="2"/>
      <c r="O56" s="2"/>
      <c r="P56" s="2"/>
      <c r="Q56" s="2"/>
      <c r="R56" s="2"/>
      <c r="S56" s="2"/>
      <c r="T56" s="2"/>
      <c r="U56" s="2"/>
      <c r="V56" s="2"/>
      <c r="W56" s="2"/>
    </row>
    <row r="57" ht="22.5" customHeight="1">
      <c r="A57" s="3">
        <v>56.0</v>
      </c>
      <c r="B57" s="3" t="s">
        <v>1917</v>
      </c>
      <c r="C57" s="3" t="s">
        <v>1918</v>
      </c>
      <c r="D57" s="3" t="s">
        <v>1919</v>
      </c>
      <c r="E57" s="3" t="s">
        <v>1920</v>
      </c>
      <c r="F57" s="2"/>
      <c r="G57" s="3" t="str">
        <f>IFERROR(__xludf.DUMMYFUNCTION("GOOGLETRANSLATE(A57, ""it"", ""en"")"),"56")</f>
        <v>56</v>
      </c>
      <c r="H57" s="3" t="str">
        <f>IFERROR(__xludf.DUMMYFUNCTION("GOOGLETRANSLATE(B57, ""it"", ""en"")"),"What happens if a shaken horse crosses the finish line first?")</f>
        <v>What happens if a shaken horse crosses the finish line first?</v>
      </c>
      <c r="I57" s="3" t="str">
        <f>IFERROR(__xludf.DUMMYFUNCTION("GOOGLETRANSLATE(C57, ""it"", ""en"")"),"A. He wins the race B. He is eliminated C. The banner is reassigned D. Another race is run")</f>
        <v>A. He wins the race B. He is eliminated C. The banner is reassigned D. Another race is run</v>
      </c>
      <c r="J57" s="3" t="str">
        <f>IFERROR(__xludf.DUMMYFUNCTION("GOOGLETRANSLATE(D57, ""it"", ""en"")"),"He wins the race")</f>
        <v>He wins the race</v>
      </c>
      <c r="K57" s="3" t="str">
        <f>IFERROR(__xludf.DUMMYFUNCTION("GOOGLETRANSLATE(E57, ""it"", ""en"")"),"Even a horse without a jockey can win the Palio.")</f>
        <v>Even a horse without a jockey can win the Palio.</v>
      </c>
      <c r="L57" s="2"/>
      <c r="M57" s="2"/>
      <c r="N57" s="2"/>
      <c r="O57" s="2"/>
      <c r="P57" s="2"/>
      <c r="Q57" s="2"/>
      <c r="R57" s="2"/>
      <c r="S57" s="2"/>
      <c r="T57" s="2"/>
      <c r="U57" s="2"/>
      <c r="V57" s="2"/>
      <c r="W57" s="2"/>
    </row>
    <row r="58" ht="22.5" customHeight="1">
      <c r="A58" s="3">
        <v>57.0</v>
      </c>
      <c r="B58" s="3" t="s">
        <v>1921</v>
      </c>
      <c r="C58" s="3" t="s">
        <v>1922</v>
      </c>
      <c r="D58" s="3" t="s">
        <v>1923</v>
      </c>
      <c r="E58" s="3" t="s">
        <v>1924</v>
      </c>
      <c r="F58" s="2"/>
      <c r="G58" s="3" t="str">
        <f>IFERROR(__xludf.DUMMYFUNCTION("GOOGLETRANSLATE(A58, ""it"", ""en"")"),"57")</f>
        <v>57</v>
      </c>
      <c r="H58" s="3" t="str">
        <f>IFERROR(__xludf.DUMMYFUNCTION("GOOGLETRANSLATE(B58, ""it"", ""en"")"),"Who coordinates security in the square during the Palio?")</f>
        <v>Who coordinates security in the square during the Palio?</v>
      </c>
      <c r="I58" s="3" t="str">
        <f>IFERROR(__xludf.DUMMYFUNCTION("GOOGLETRANSLATE(C58, ""it"", ""en"")"),"A. The prior B. The starter C. The police D. The captain of the contrada")</f>
        <v>A. The prior B. The starter C. The police D. The captain of the contrada</v>
      </c>
      <c r="J58" s="3" t="str">
        <f>IFERROR(__xludf.DUMMYFUNCTION("GOOGLETRANSLATE(D58, ""it"", ""en"")"),"The police forces")</f>
        <v>The police forces</v>
      </c>
      <c r="K58" s="3" t="str">
        <f>IFERROR(__xludf.DUMMYFUNCTION("GOOGLETRANSLATE(E58, ""it"", ""en"")"),"Security is handled by law enforcement.")</f>
        <v>Security is handled by law enforcement.</v>
      </c>
      <c r="L58" s="2"/>
      <c r="M58" s="2"/>
      <c r="N58" s="2"/>
      <c r="O58" s="2"/>
      <c r="P58" s="2"/>
      <c r="Q58" s="2"/>
      <c r="R58" s="2"/>
      <c r="S58" s="2"/>
      <c r="T58" s="2"/>
      <c r="U58" s="2"/>
      <c r="V58" s="2"/>
      <c r="W58" s="2"/>
    </row>
    <row r="59" ht="22.5" customHeight="1">
      <c r="A59" s="3">
        <v>58.0</v>
      </c>
      <c r="B59" s="3" t="s">
        <v>1925</v>
      </c>
      <c r="C59" s="3" t="s">
        <v>1926</v>
      </c>
      <c r="D59" s="3" t="s">
        <v>1927</v>
      </c>
      <c r="E59" s="3" t="s">
        <v>1928</v>
      </c>
      <c r="F59" s="2"/>
      <c r="G59" s="3" t="str">
        <f>IFERROR(__xludf.DUMMYFUNCTION("GOOGLETRANSLATE(A59, ""it"", ""en"")"),"58")</f>
        <v>58</v>
      </c>
      <c r="H59" s="3" t="str">
        <f>IFERROR(__xludf.DUMMYFUNCTION("GOOGLETRANSLATE(B59, ""it"", ""en"")"),"How many times can a contrada participate in the Palio in a year?")</f>
        <v>How many times can a contrada participate in the Palio in a year?</v>
      </c>
      <c r="I59" s="3" t="str">
        <f>IFERROR(__xludf.DUMMYFUNCTION("GOOGLETRANSLATE(C59, ""it"", ""en"")"),"A. Once B. Twice C. Three times D. Unlimited")</f>
        <v>A. Once B. Twice C. Three times D. Unlimited</v>
      </c>
      <c r="J59" s="3" t="str">
        <f>IFERROR(__xludf.DUMMYFUNCTION("GOOGLETRANSLATE(D59, ""it"", ""en"")"),"Twice")</f>
        <v>Twice</v>
      </c>
      <c r="K59" s="3" t="str">
        <f>IFERROR(__xludf.DUMMYFUNCTION("GOOGLETRANSLATE(E59, ""it"", ""en"")"),"Each contrada can participate in the two Palios of the year.")</f>
        <v>Each contrada can participate in the two Palios of the year.</v>
      </c>
      <c r="L59" s="2"/>
      <c r="M59" s="2"/>
      <c r="N59" s="2"/>
      <c r="O59" s="2"/>
      <c r="P59" s="2"/>
      <c r="Q59" s="2"/>
      <c r="R59" s="2"/>
      <c r="S59" s="2"/>
      <c r="T59" s="2"/>
      <c r="U59" s="2"/>
      <c r="V59" s="2"/>
      <c r="W59" s="2"/>
    </row>
    <row r="60" ht="22.5" customHeight="1">
      <c r="A60" s="3">
        <v>59.0</v>
      </c>
      <c r="B60" s="3" t="s">
        <v>1929</v>
      </c>
      <c r="C60" s="3" t="s">
        <v>1930</v>
      </c>
      <c r="D60" s="3" t="s">
        <v>1931</v>
      </c>
      <c r="E60" s="3" t="s">
        <v>1932</v>
      </c>
      <c r="F60" s="2"/>
      <c r="G60" s="3" t="str">
        <f>IFERROR(__xludf.DUMMYFUNCTION("GOOGLETRANSLATE(A60, ""it"", ""en"")"),"59")</f>
        <v>59</v>
      </c>
      <c r="H60" s="3" t="str">
        <f>IFERROR(__xludf.DUMMYFUNCTION("GOOGLETRANSLATE(B60, ""it"", ""en"")"),"Which district has a dragon as its symbol?")</f>
        <v>Which district has a dragon as its symbol?</v>
      </c>
      <c r="I60" s="3" t="str">
        <f>IFERROR(__xludf.DUMMYFUNCTION("GOOGLETRANSLATE(C60, ""it"", ""en"")"),"A. Giraffe B. Tower C. Goose D. Dragon")</f>
        <v>A. Giraffe B. Tower C. Goose D. Dragon</v>
      </c>
      <c r="J60" s="3" t="str">
        <f>IFERROR(__xludf.DUMMYFUNCTION("GOOGLETRANSLATE(D60, ""it"", ""en"")"),"Dragon")</f>
        <v>Dragon</v>
      </c>
      <c r="K60" s="3" t="str">
        <f>IFERROR(__xludf.DUMMYFUNCTION("GOOGLETRANSLATE(E60, ""it"", ""en"")"),"The Drago district has a dragon as its symbol.")</f>
        <v>The Drago district has a dragon as its symbol.</v>
      </c>
      <c r="L60" s="2"/>
      <c r="M60" s="2"/>
      <c r="N60" s="2"/>
      <c r="O60" s="2"/>
      <c r="P60" s="2"/>
      <c r="Q60" s="2"/>
      <c r="R60" s="2"/>
      <c r="S60" s="2"/>
      <c r="T60" s="2"/>
      <c r="U60" s="2"/>
      <c r="V60" s="2"/>
      <c r="W60" s="2"/>
    </row>
    <row r="61" ht="22.5" customHeight="1">
      <c r="A61" s="3">
        <v>60.0</v>
      </c>
      <c r="B61" s="3" t="s">
        <v>1933</v>
      </c>
      <c r="C61" s="3" t="s">
        <v>1934</v>
      </c>
      <c r="D61" s="3" t="s">
        <v>1935</v>
      </c>
      <c r="E61" s="3" t="s">
        <v>1936</v>
      </c>
      <c r="F61" s="2"/>
      <c r="G61" s="3" t="str">
        <f>IFERROR(__xludf.DUMMYFUNCTION("GOOGLETRANSLATE(A61, ""it"", ""en"")"),"60")</f>
        <v>60</v>
      </c>
      <c r="H61" s="3" t="str">
        <f>IFERROR(__xludf.DUMMYFUNCTION("GOOGLETRANSLATE(B61, ""it"", ""en"")"),"Who decides the winners in case of disputes?")</f>
        <v>Who decides the winners in case of disputes?</v>
      </c>
      <c r="I61" s="3" t="str">
        <f>IFERROR(__xludf.DUMMYFUNCTION("GOOGLETRANSLATE(C61, ""it"", ""en"")"),"A. The starter B. The prior C. The judge of the Palio D. The mayor")</f>
        <v>A. The starter B. The prior C. The judge of the Palio D. The mayor</v>
      </c>
      <c r="J61" s="3" t="str">
        <f>IFERROR(__xludf.DUMMYFUNCTION("GOOGLETRANSLATE(D61, ""it"", ""en"")"),"The judge of the Palio")</f>
        <v>The judge of the Palio</v>
      </c>
      <c r="K61" s="3" t="str">
        <f>IFERROR(__xludf.DUMMYFUNCTION("GOOGLETRANSLATE(E61, ""it"", ""en"")"),"The Palio judge intervenes in case of disputes.")</f>
        <v>The Palio judge intervenes in case of disputes.</v>
      </c>
      <c r="L61" s="2"/>
      <c r="M61" s="2"/>
      <c r="N61" s="2"/>
      <c r="O61" s="2"/>
      <c r="P61" s="2"/>
      <c r="Q61" s="2"/>
      <c r="R61" s="2"/>
      <c r="S61" s="2"/>
      <c r="T61" s="2"/>
      <c r="U61" s="2"/>
      <c r="V61" s="2"/>
      <c r="W61" s="2"/>
    </row>
    <row r="62" ht="22.5" customHeight="1">
      <c r="A62" s="3">
        <v>61.0</v>
      </c>
      <c r="B62" s="3" t="s">
        <v>1937</v>
      </c>
      <c r="C62" s="3" t="s">
        <v>1938</v>
      </c>
      <c r="D62" s="3" t="s">
        <v>1939</v>
      </c>
      <c r="E62" s="3" t="s">
        <v>1940</v>
      </c>
      <c r="F62" s="2"/>
      <c r="G62" s="3" t="str">
        <f>IFERROR(__xludf.DUMMYFUNCTION("GOOGLETRANSLATE(A62, ""it"", ""en"")"),"61")</f>
        <v>61</v>
      </c>
      <c r="H62" s="3" t="str">
        <f>IFERROR(__xludf.DUMMYFUNCTION("GOOGLETRANSLATE(B62, ""it"", ""en"")"),"What is celebrated during the historical Palio procession?")</f>
        <v>What is celebrated during the historical Palio procession?</v>
      </c>
      <c r="I62" s="3" t="str">
        <f>IFERROR(__xludf.DUMMYFUNCTION("GOOGLETRANSLATE(C62, ""it"", ""en"")"),"A. The origins of Siena B. The glory of the districts C. The ancient medieval traditions D. The victory of the district")</f>
        <v>A. The origins of Siena B. The glory of the districts C. The ancient medieval traditions D. The victory of the district</v>
      </c>
      <c r="J62" s="3" t="str">
        <f>IFERROR(__xludf.DUMMYFUNCTION("GOOGLETRANSLATE(D62, ""it"", ""en"")"),"The ancient medieval traditions")</f>
        <v>The ancient medieval traditions</v>
      </c>
      <c r="K62" s="3" t="str">
        <f>IFERROR(__xludf.DUMMYFUNCTION("GOOGLETRANSLATE(E62, ""it"", ""en"")"),"The historical procession recalls the city's medieval traditions.")</f>
        <v>The historical procession recalls the city's medieval traditions.</v>
      </c>
      <c r="L62" s="2"/>
      <c r="M62" s="2"/>
      <c r="N62" s="2"/>
      <c r="O62" s="2"/>
      <c r="P62" s="2"/>
      <c r="Q62" s="2"/>
      <c r="R62" s="2"/>
      <c r="S62" s="2"/>
      <c r="T62" s="2"/>
      <c r="U62" s="2"/>
      <c r="V62" s="2"/>
      <c r="W62" s="2"/>
    </row>
    <row r="63" ht="22.5" customHeight="1">
      <c r="A63" s="3">
        <v>62.0</v>
      </c>
      <c r="B63" s="3" t="s">
        <v>1941</v>
      </c>
      <c r="C63" s="3" t="s">
        <v>1942</v>
      </c>
      <c r="D63" s="3" t="s">
        <v>1943</v>
      </c>
      <c r="E63" s="3" t="s">
        <v>1944</v>
      </c>
      <c r="F63" s="2"/>
      <c r="G63" s="3" t="str">
        <f>IFERROR(__xludf.DUMMYFUNCTION("GOOGLETRANSLATE(A63, ""it"", ""en"")"),"62")</f>
        <v>62</v>
      </c>
      <c r="H63" s="3" t="str">
        <f>IFERROR(__xludf.DUMMYFUNCTION("GOOGLETRANSLATE(B63, ""it"", ""en"")"),"What is the function of the canape during the Palio?")</f>
        <v>What is the function of the canape during the Palio?</v>
      </c>
      <c r="I63" s="3" t="str">
        <f>IFERROR(__xludf.DUMMYFUNCTION("GOOGLETRANSLATE(C63, ""it"", ""en"")"),"A. Mark the finish line B. Separate the districts C. Indicate the starting point D. Delimit the square")</f>
        <v>A. Mark the finish line B. Separate the districts C. Indicate the starting point D. Delimit the square</v>
      </c>
      <c r="J63" s="3" t="str">
        <f>IFERROR(__xludf.DUMMYFUNCTION("GOOGLETRANSLATE(D63, ""it"", ""en"")"),"Indicate the departure")</f>
        <v>Indicate the departure</v>
      </c>
      <c r="K63" s="3" t="str">
        <f>IFERROR(__xludf.DUMMYFUNCTION("GOOGLETRANSLATE(E63, ""it"", ""en"")"),"The hemp is the rope that marks the starting line.")</f>
        <v>The hemp is the rope that marks the starting line.</v>
      </c>
      <c r="L63" s="2"/>
      <c r="M63" s="2"/>
      <c r="N63" s="2"/>
      <c r="O63" s="2"/>
      <c r="P63" s="2"/>
      <c r="Q63" s="2"/>
      <c r="R63" s="2"/>
      <c r="S63" s="2"/>
      <c r="T63" s="2"/>
      <c r="U63" s="2"/>
      <c r="V63" s="2"/>
      <c r="W63" s="2"/>
    </row>
    <row r="64" ht="22.5" customHeight="1">
      <c r="A64" s="3">
        <v>63.0</v>
      </c>
      <c r="B64" s="3" t="s">
        <v>1945</v>
      </c>
      <c r="C64" s="3" t="s">
        <v>1946</v>
      </c>
      <c r="D64" s="3" t="s">
        <v>1947</v>
      </c>
      <c r="E64" s="3" t="s">
        <v>1948</v>
      </c>
      <c r="F64" s="2"/>
      <c r="G64" s="3" t="str">
        <f>IFERROR(__xludf.DUMMYFUNCTION("GOOGLETRANSLATE(A64, ""it"", ""en"")"),"63")</f>
        <v>63</v>
      </c>
      <c r="H64" s="3" t="str">
        <f>IFERROR(__xludf.DUMMYFUNCTION("GOOGLETRANSLATE(B64, ""it"", ""en"")"),"What is the role of the horse in the Palio tradition?")</f>
        <v>What is the role of the horse in the Palio tradition?</v>
      </c>
      <c r="I64" s="3" t="str">
        <f>IFERROR(__xludf.DUMMYFUNCTION("GOOGLETRANSLATE(C64, ""it"", ""en"")"),"A. Be a symbol of strength B. Be a purely decorative element C. Be the true protagonist D. Be a tribute to the Madonna")</f>
        <v>A. Be a symbol of strength B. Be a purely decorative element C. Be the true protagonist D. Be a tribute to the Madonna</v>
      </c>
      <c r="J64" s="3" t="str">
        <f>IFERROR(__xludf.DUMMYFUNCTION("GOOGLETRANSLATE(D64, ""it"", ""en"")"),"Being the real protagonist")</f>
        <v>Being the real protagonist</v>
      </c>
      <c r="K64" s="3" t="str">
        <f>IFERROR(__xludf.DUMMYFUNCTION("GOOGLETRANSLATE(E64, ""it"", ""en"")"),"The horse is the true protagonist of the race.")</f>
        <v>The horse is the true protagonist of the race.</v>
      </c>
      <c r="L64" s="2"/>
      <c r="M64" s="2"/>
      <c r="N64" s="2"/>
      <c r="O64" s="2"/>
      <c r="P64" s="2"/>
      <c r="Q64" s="2"/>
      <c r="R64" s="2"/>
      <c r="S64" s="2"/>
      <c r="T64" s="2"/>
      <c r="U64" s="2"/>
      <c r="V64" s="2"/>
      <c r="W64" s="2"/>
    </row>
    <row r="65" ht="22.5" customHeight="1">
      <c r="A65" s="3">
        <v>64.0</v>
      </c>
      <c r="B65" s="3" t="s">
        <v>1949</v>
      </c>
      <c r="C65" s="3" t="s">
        <v>1950</v>
      </c>
      <c r="D65" s="3">
        <v>7.0</v>
      </c>
      <c r="E65" s="3" t="s">
        <v>1951</v>
      </c>
      <c r="F65" s="2"/>
      <c r="G65" s="3" t="str">
        <f>IFERROR(__xludf.DUMMYFUNCTION("GOOGLETRANSLATE(A65, ""it"", ""en"")"),"64")</f>
        <v>64</v>
      </c>
      <c r="H65" s="3" t="str">
        <f>IFERROR(__xludf.DUMMYFUNCTION("GOOGLETRANSLATE(B65, ""it"", ""en"")"),"How many districts are excluded from the Palio each year?")</f>
        <v>How many districts are excluded from the Palio each year?</v>
      </c>
      <c r="I65" s="3" t="str">
        <f>IFERROR(__xludf.DUMMYFUNCTION("GOOGLETRANSLATE(C65, ""it"", ""en"")"),"A. 1 B. 3 C. 5 D. 7")</f>
        <v>A. 1 B. 3 C. 5 D. 7</v>
      </c>
      <c r="J65" s="3" t="str">
        <f>IFERROR(__xludf.DUMMYFUNCTION("GOOGLETRANSLATE(D65, ""it"", ""en"")"),"7")</f>
        <v>7</v>
      </c>
      <c r="K65" s="3" t="str">
        <f>IFERROR(__xludf.DUMMYFUNCTION("GOOGLETRANSLATE(E65, ""it"", ""en"")"),"Seven districts are excluded on a rotating basis each year.")</f>
        <v>Seven districts are excluded on a rotating basis each year.</v>
      </c>
      <c r="L65" s="2"/>
      <c r="M65" s="2"/>
      <c r="N65" s="2"/>
      <c r="O65" s="2"/>
      <c r="P65" s="2"/>
      <c r="Q65" s="2"/>
      <c r="R65" s="2"/>
      <c r="S65" s="2"/>
      <c r="T65" s="2"/>
      <c r="U65" s="2"/>
      <c r="V65" s="2"/>
      <c r="W65" s="2"/>
    </row>
    <row r="66" ht="22.5" customHeight="1">
      <c r="A66" s="3">
        <v>65.0</v>
      </c>
      <c r="B66" s="3" t="s">
        <v>1952</v>
      </c>
      <c r="C66" s="3" t="s">
        <v>1953</v>
      </c>
      <c r="D66" s="3" t="s">
        <v>1954</v>
      </c>
      <c r="E66" s="3" t="s">
        <v>1955</v>
      </c>
      <c r="F66" s="2"/>
      <c r="G66" s="3" t="str">
        <f>IFERROR(__xludf.DUMMYFUNCTION("GOOGLETRANSLATE(A66, ""it"", ""en"")"),"65")</f>
        <v>65</v>
      </c>
      <c r="H66" s="3" t="str">
        <f>IFERROR(__xludf.DUMMYFUNCTION("GOOGLETRANSLATE(B66, ""it"", ""en"")"),"Who decides the design of the banner?")</f>
        <v>Who decides the design of the banner?</v>
      </c>
      <c r="I66" s="3" t="str">
        <f>IFERROR(__xludf.DUMMYFUNCTION("GOOGLETRANSLATE(C66, ""it"", ""en"")"),"A. The municipality of Siena B. The starter C. The prior of the winning contrada D. The bishop")</f>
        <v>A. The municipality of Siena B. The starter C. The prior of the winning contrada D. The bishop</v>
      </c>
      <c r="J66" s="3" t="str">
        <f>IFERROR(__xludf.DUMMYFUNCTION("GOOGLETRANSLATE(D66, ""it"", ""en"")"),"The municipality of Siena")</f>
        <v>The municipality of Siena</v>
      </c>
      <c r="K66" s="3" t="str">
        <f>IFERROR(__xludf.DUMMYFUNCTION("GOOGLETRANSLATE(E66, ""it"", ""en"")"),"The municipality selects an artist to create it.")</f>
        <v>The municipality selects an artist to create it.</v>
      </c>
      <c r="L66" s="2"/>
      <c r="M66" s="2"/>
      <c r="N66" s="2"/>
      <c r="O66" s="2"/>
      <c r="P66" s="2"/>
      <c r="Q66" s="2"/>
      <c r="R66" s="2"/>
      <c r="S66" s="2"/>
      <c r="T66" s="2"/>
      <c r="U66" s="2"/>
      <c r="V66" s="2"/>
      <c r="W66" s="2"/>
    </row>
    <row r="67" ht="22.5" customHeight="1">
      <c r="A67" s="3">
        <v>66.0</v>
      </c>
      <c r="B67" s="3" t="s">
        <v>1956</v>
      </c>
      <c r="C67" s="3" t="s">
        <v>1957</v>
      </c>
      <c r="D67" s="3" t="s">
        <v>1958</v>
      </c>
      <c r="E67" s="3" t="s">
        <v>1959</v>
      </c>
      <c r="F67" s="2"/>
      <c r="G67" s="3" t="str">
        <f>IFERROR(__xludf.DUMMYFUNCTION("GOOGLETRANSLATE(A67, ""it"", ""en"")"),"66")</f>
        <v>66</v>
      </c>
      <c r="H67" s="3" t="str">
        <f>IFERROR(__xludf.DUMMYFUNCTION("GOOGLETRANSLATE(B67, ""it"", ""en"")"),"What do the banners carried during the procession represent?")</f>
        <v>What do the banners carried during the procession represent?</v>
      </c>
      <c r="I67" s="3" t="str">
        <f>IFERROR(__xludf.DUMMYFUNCTION("GOOGLETRANSLATE(C67, ""it"", ""en"")"),"A. The alliances between the districts B. The medieval wars C. The history and identity of the districts D. The Peace of Siena")</f>
        <v>A. The alliances between the districts B. The medieval wars C. The history and identity of the districts D. The Peace of Siena</v>
      </c>
      <c r="J67" s="3" t="str">
        <f>IFERROR(__xludf.DUMMYFUNCTION("GOOGLETRANSLATE(D67, ""it"", ""en"")"),"The history and identity of the districts")</f>
        <v>The history and identity of the districts</v>
      </c>
      <c r="K67" s="3" t="str">
        <f>IFERROR(__xludf.DUMMYFUNCTION("GOOGLETRANSLATE(E67, ""it"", ""en"")"),"The banners tell the story and identity of each contrada.")</f>
        <v>The banners tell the story and identity of each contrada.</v>
      </c>
      <c r="L67" s="2"/>
      <c r="M67" s="2"/>
      <c r="N67" s="2"/>
      <c r="O67" s="2"/>
      <c r="P67" s="2"/>
      <c r="Q67" s="2"/>
      <c r="R67" s="2"/>
      <c r="S67" s="2"/>
      <c r="T67" s="2"/>
      <c r="U67" s="2"/>
      <c r="V67" s="2"/>
      <c r="W67" s="2"/>
    </row>
    <row r="68" ht="22.5" customHeight="1">
      <c r="A68" s="3">
        <v>67.0</v>
      </c>
      <c r="B68" s="3" t="s">
        <v>1960</v>
      </c>
      <c r="C68" s="3" t="s">
        <v>1961</v>
      </c>
      <c r="D68" s="3" t="s">
        <v>1962</v>
      </c>
      <c r="E68" s="3" t="s">
        <v>1963</v>
      </c>
      <c r="F68" s="2"/>
      <c r="G68" s="3" t="str">
        <f>IFERROR(__xludf.DUMMYFUNCTION("GOOGLETRANSLATE(A68, ""it"", ""en"")"),"67")</f>
        <v>67</v>
      </c>
      <c r="H68" s="3" t="str">
        <f>IFERROR(__xludf.DUMMYFUNCTION("GOOGLETRANSLATE(B68, ""it"", ""en"")"),"Who can participate in the historical parade?")</f>
        <v>Who can participate in the historical parade?</v>
      </c>
      <c r="I68" s="3" t="str">
        <f>IFERROR(__xludf.DUMMYFUNCTION("GOOGLETRANSLATE(C68, ""it"", ""en"")"),"A. Only citizens of Siena B. All members of the districts C. People chosen by the municipality D. Anyone who wishes")</f>
        <v>A. Only citizens of Siena B. All members of the districts C. People chosen by the municipality D. Anyone who wishes</v>
      </c>
      <c r="J68" s="3" t="str">
        <f>IFERROR(__xludf.DUMMYFUNCTION("GOOGLETRANSLATE(D68, ""it"", ""en"")"),"All members of the districts")</f>
        <v>All members of the districts</v>
      </c>
      <c r="K68" s="3" t="str">
        <f>IFERROR(__xludf.DUMMYFUNCTION("GOOGLETRANSLATE(E68, ""it"", ""en"")"),"The procession is made up of members of the contrade.")</f>
        <v>The procession is made up of members of the contrade.</v>
      </c>
      <c r="L68" s="2"/>
      <c r="M68" s="2"/>
      <c r="N68" s="2"/>
      <c r="O68" s="2"/>
      <c r="P68" s="2"/>
      <c r="Q68" s="2"/>
      <c r="R68" s="2"/>
      <c r="S68" s="2"/>
      <c r="T68" s="2"/>
      <c r="U68" s="2"/>
      <c r="V68" s="2"/>
      <c r="W68" s="2"/>
    </row>
    <row r="69" ht="22.5" customHeight="1">
      <c r="A69" s="3">
        <v>68.0</v>
      </c>
      <c r="B69" s="3" t="s">
        <v>1964</v>
      </c>
      <c r="C69" s="3" t="s">
        <v>1965</v>
      </c>
      <c r="D69" s="3" t="s">
        <v>1966</v>
      </c>
      <c r="E69" s="3" t="s">
        <v>1967</v>
      </c>
      <c r="F69" s="2"/>
      <c r="G69" s="3" t="str">
        <f>IFERROR(__xludf.DUMMYFUNCTION("GOOGLETRANSLATE(A69, ""it"", ""en"")"),"68")</f>
        <v>68</v>
      </c>
      <c r="H69" s="3" t="str">
        <f>IFERROR(__xludf.DUMMYFUNCTION("GOOGLETRANSLATE(B69, ""it"", ""en"")"),"What happens during the ""flag in the wind""?")</f>
        <v>What happens during the "flag in the wind"?</v>
      </c>
      <c r="I69" s="3" t="str">
        <f>IFERROR(__xludf.DUMMYFUNCTION("GOOGLETRANSLATE(C69, ""it"", ""en"")"),"A. The banner is awarded B. The victory is celebrated C. The standard-bearers of the districts are displayed D. The starter is announced")</f>
        <v>A. The banner is awarded B. The victory is celebrated C. The standard-bearers of the districts are displayed D. The starter is announced</v>
      </c>
      <c r="J69" s="3" t="str">
        <f>IFERROR(__xludf.DUMMYFUNCTION("GOOGLETRANSLATE(D69, ""it"", ""en"")"),"The standard-bearers of the districts perform")</f>
        <v>The standard-bearers of the districts perform</v>
      </c>
      <c r="K69" s="3" t="str">
        <f>IFERROR(__xludf.DUMMYFUNCTION("GOOGLETRANSLATE(E69, ""it"", ""en"")"),"The flag wavers perform choreographies with the flags.")</f>
        <v>The flag wavers perform choreographies with the flags.</v>
      </c>
      <c r="L69" s="2"/>
      <c r="M69" s="2"/>
      <c r="N69" s="2"/>
      <c r="O69" s="2"/>
      <c r="P69" s="2"/>
      <c r="Q69" s="2"/>
      <c r="R69" s="2"/>
      <c r="S69" s="2"/>
      <c r="T69" s="2"/>
      <c r="U69" s="2"/>
      <c r="V69" s="2"/>
      <c r="W69" s="2"/>
    </row>
    <row r="70" ht="22.5" customHeight="1">
      <c r="A70" s="3">
        <v>69.0</v>
      </c>
      <c r="B70" s="3" t="s">
        <v>1968</v>
      </c>
      <c r="C70" s="3" t="s">
        <v>1969</v>
      </c>
      <c r="D70" s="3" t="s">
        <v>1970</v>
      </c>
      <c r="E70" s="3" t="s">
        <v>1971</v>
      </c>
      <c r="F70" s="2"/>
      <c r="G70" s="3" t="str">
        <f>IFERROR(__xludf.DUMMYFUNCTION("GOOGLETRANSLATE(A70, ""it"", ""en"")"),"69")</f>
        <v>69</v>
      </c>
      <c r="H70" s="3" t="str">
        <f>IFERROR(__xludf.DUMMYFUNCTION("GOOGLETRANSLATE(B70, ""it"", ""en"")"),"What is the traditional material of the banner?")</f>
        <v>What is the traditional material of the banner?</v>
      </c>
      <c r="I70" s="3" t="str">
        <f>IFERROR(__xludf.DUMMYFUNCTION("GOOGLETRANSLATE(C70, ""it"", ""en"")"),"A. Silk B. Linen C. Cotton D. Velvet")</f>
        <v>A. Silk B. Linen C. Cotton D. Velvet</v>
      </c>
      <c r="J70" s="3" t="str">
        <f>IFERROR(__xludf.DUMMYFUNCTION("GOOGLETRANSLATE(D70, ""it"", ""en"")"),"Silk")</f>
        <v>Silk</v>
      </c>
      <c r="K70" s="3" t="str">
        <f>IFERROR(__xludf.DUMMYFUNCTION("GOOGLETRANSLATE(E70, ""it"", ""en"")"),"The banner is traditionally painted on silk.")</f>
        <v>The banner is traditionally painted on silk.</v>
      </c>
      <c r="L70" s="2"/>
      <c r="M70" s="2"/>
      <c r="N70" s="2"/>
      <c r="O70" s="2"/>
      <c r="P70" s="2"/>
      <c r="Q70" s="2"/>
      <c r="R70" s="2"/>
      <c r="S70" s="2"/>
      <c r="T70" s="2"/>
      <c r="U70" s="2"/>
      <c r="V70" s="2"/>
      <c r="W70" s="2"/>
    </row>
    <row r="71" ht="22.5" customHeight="1">
      <c r="A71" s="3">
        <v>70.0</v>
      </c>
      <c r="B71" s="3" t="s">
        <v>1972</v>
      </c>
      <c r="C71" s="3" t="s">
        <v>1973</v>
      </c>
      <c r="D71" s="3" t="s">
        <v>1974</v>
      </c>
      <c r="E71" s="3" t="s">
        <v>1975</v>
      </c>
      <c r="F71" s="2"/>
      <c r="G71" s="3" t="str">
        <f>IFERROR(__xludf.DUMMYFUNCTION("GOOGLETRANSLATE(A71, ""it"", ""en"")"),"70")</f>
        <v>70</v>
      </c>
      <c r="H71" s="3" t="str">
        <f>IFERROR(__xludf.DUMMYFUNCTION("GOOGLETRANSLATE(B71, ""it"", ""en"")"),"What is the name of the access road to Piazza del Campo?")</f>
        <v>What is the name of the access road to Piazza del Campo?</v>
      </c>
      <c r="I71" s="3" t="str">
        <f>IFERROR(__xludf.DUMMYFUNCTION("GOOGLETRANSLATE(C71, ""it"", ""en"")"),"A. Drappellone Street B. Victory Street C. Casato Street D. Contrade Street")</f>
        <v>A. Drappellone Street B. Victory Street C. Casato Street D. Contrade Street</v>
      </c>
      <c r="J71" s="3" t="str">
        <f>IFERROR(__xludf.DUMMYFUNCTION("GOOGLETRANSLATE(D71, ""it"", ""en"")"),"Casato Street")</f>
        <v>Casato Street</v>
      </c>
      <c r="K71" s="3" t="str">
        <f>IFERROR(__xludf.DUMMYFUNCTION("GOOGLETRANSLATE(E71, ""it"", ""en"")"),"Via del Casato is one of the main entrances to the square.")</f>
        <v>Via del Casato is one of the main entrances to the square.</v>
      </c>
      <c r="L71" s="2"/>
      <c r="M71" s="2"/>
      <c r="N71" s="2"/>
      <c r="O71" s="2"/>
      <c r="P71" s="2"/>
      <c r="Q71" s="2"/>
      <c r="R71" s="2"/>
      <c r="S71" s="2"/>
      <c r="T71" s="2"/>
      <c r="U71" s="2"/>
      <c r="V71" s="2"/>
      <c r="W71" s="2"/>
    </row>
    <row r="72" ht="22.5" customHeight="1">
      <c r="A72" s="3">
        <v>71.0</v>
      </c>
      <c r="B72" s="3" t="s">
        <v>1976</v>
      </c>
      <c r="C72" s="3" t="s">
        <v>1977</v>
      </c>
      <c r="D72" s="3" t="s">
        <v>1978</v>
      </c>
      <c r="E72" s="3" t="s">
        <v>1979</v>
      </c>
      <c r="F72" s="2"/>
      <c r="G72" s="3" t="str">
        <f>IFERROR(__xludf.DUMMYFUNCTION("GOOGLETRANSLATE(A72, ""it"", ""en"")"),"71")</f>
        <v>71</v>
      </c>
      <c r="H72" s="3" t="str">
        <f>IFERROR(__xludf.DUMMYFUNCTION("GOOGLETRANSLATE(B72, ""it"", ""en"")"),"What does ""Palio alla lunga"" mean?")</f>
        <v>What does "Palio alla lunga" mean?</v>
      </c>
      <c r="I72" s="3" t="str">
        <f>IFERROR(__xludf.DUMMYFUNCTION("GOOGLETRANSLATE(C72, ""it"", ""en"")"),"A. A longer than usual race B. A competition outside Siena C. A Palio held on a straight course D. A Palio with more than 10 contrade")</f>
        <v>A. A longer than usual race B. A competition outside Siena C. A Palio held on a straight course D. A Palio with more than 10 contrade</v>
      </c>
      <c r="J72" s="3" t="str">
        <f>IFERROR(__xludf.DUMMYFUNCTION("GOOGLETRANSLATE(D72, ""it"", ""en"")"),"A Palio contested on a straight course")</f>
        <v>A Palio contested on a straight course</v>
      </c>
      <c r="K72" s="3" t="str">
        <f>IFERROR(__xludf.DUMMYFUNCTION("GOOGLETRANSLATE(E72, ""it"", ""en"")"),"The ""Palio alla lunga"" was run on straight courses outside the city.")</f>
        <v>The "Palio alla lunga" was run on straight courses outside the city.</v>
      </c>
      <c r="L72" s="2"/>
      <c r="M72" s="2"/>
      <c r="N72" s="2"/>
      <c r="O72" s="2"/>
      <c r="P72" s="2"/>
      <c r="Q72" s="2"/>
      <c r="R72" s="2"/>
      <c r="S72" s="2"/>
      <c r="T72" s="2"/>
      <c r="U72" s="2"/>
      <c r="V72" s="2"/>
      <c r="W72" s="2"/>
    </row>
    <row r="73" ht="22.5" customHeight="1">
      <c r="A73" s="3">
        <v>72.0</v>
      </c>
      <c r="B73" s="3" t="s">
        <v>1980</v>
      </c>
      <c r="C73" s="3" t="s">
        <v>1981</v>
      </c>
      <c r="D73" s="3" t="s">
        <v>1982</v>
      </c>
      <c r="E73" s="3" t="s">
        <v>1983</v>
      </c>
      <c r="F73" s="2"/>
      <c r="G73" s="3" t="str">
        <f>IFERROR(__xludf.DUMMYFUNCTION("GOOGLETRANSLATE(A73, ""it"", ""en"")"),"72")</f>
        <v>72</v>
      </c>
      <c r="H73" s="3" t="str">
        <f>IFERROR(__xludf.DUMMYFUNCTION("GOOGLETRANSLATE(B73, ""it"", ""en"")"),"What does the presence of a white horse in the historical procession indicate?")</f>
        <v>What does the presence of a white horse in the historical procession indicate?</v>
      </c>
      <c r="I73" s="3" t="str">
        <f>IFERROR(__xludf.DUMMYFUNCTION("GOOGLETRANSLATE(C73, ""it"", ""en"")"),"A. A guest district B. A symbol of purity C. The Madonna D. A tribute to the banner")</f>
        <v>A. A guest district B. A symbol of purity C. The Madonna D. A tribute to the banner</v>
      </c>
      <c r="J73" s="3" t="str">
        <f>IFERROR(__xludf.DUMMYFUNCTION("GOOGLETRANSLATE(D73, ""it"", ""en"")"),"A symbol of purity")</f>
        <v>A symbol of purity</v>
      </c>
      <c r="K73" s="3" t="str">
        <f>IFERROR(__xludf.DUMMYFUNCTION("GOOGLETRANSLATE(E73, ""it"", ""en"")"),"The white horse represents purity and devotion.")</f>
        <v>The white horse represents purity and devotion.</v>
      </c>
      <c r="L73" s="2"/>
      <c r="M73" s="2"/>
      <c r="N73" s="2"/>
      <c r="O73" s="2"/>
      <c r="P73" s="2"/>
      <c r="Q73" s="2"/>
      <c r="R73" s="2"/>
      <c r="S73" s="2"/>
      <c r="T73" s="2"/>
      <c r="U73" s="2"/>
      <c r="V73" s="2"/>
      <c r="W73" s="2"/>
    </row>
    <row r="74" ht="22.5" customHeight="1">
      <c r="A74" s="3">
        <v>73.0</v>
      </c>
      <c r="B74" s="3" t="s">
        <v>1984</v>
      </c>
      <c r="C74" s="3" t="s">
        <v>1985</v>
      </c>
      <c r="D74" s="3" t="s">
        <v>1986</v>
      </c>
      <c r="E74" s="3" t="s">
        <v>1987</v>
      </c>
      <c r="F74" s="2"/>
      <c r="G74" s="3" t="str">
        <f>IFERROR(__xludf.DUMMYFUNCTION("GOOGLETRANSLATE(A74, ""it"", ""en"")"),"73")</f>
        <v>73</v>
      </c>
      <c r="H74" s="3" t="str">
        <f>IFERROR(__xludf.DUMMYFUNCTION("GOOGLETRANSLATE(B74, ""it"", ""en"")"),"What happens if the rope breaks during departure?")</f>
        <v>What happens if the rope breaks during departure?</v>
      </c>
      <c r="I74" s="3" t="str">
        <f>IFERROR(__xludf.DUMMYFUNCTION("GOOGLETRANSLATE(C74, ""it"", ""en"")"),"A. The race is postponed B. The race continues C. The Palio is cancelled D. A new move is made")</f>
        <v>A. The race is postponed B. The race continues C. The Palio is cancelled D. A new move is made</v>
      </c>
      <c r="J74" s="3" t="str">
        <f>IFERROR(__xludf.DUMMYFUNCTION("GOOGLETRANSLATE(D74, ""it"", ""en"")"),"A new move is underway")</f>
        <v>A new move is underway</v>
      </c>
      <c r="K74" s="3" t="str">
        <f>IFERROR(__xludf.DUMMYFUNCTION("GOOGLETRANSLATE(E74, ""it"", ""en"")"),"A new move is needed to ensure fairness.")</f>
        <v>A new move is needed to ensure fairness.</v>
      </c>
      <c r="L74" s="2"/>
      <c r="M74" s="2"/>
      <c r="N74" s="2"/>
      <c r="O74" s="2"/>
      <c r="P74" s="2"/>
      <c r="Q74" s="2"/>
      <c r="R74" s="2"/>
      <c r="S74" s="2"/>
      <c r="T74" s="2"/>
      <c r="U74" s="2"/>
      <c r="V74" s="2"/>
      <c r="W74" s="2"/>
    </row>
    <row r="75" ht="22.5" customHeight="1">
      <c r="A75" s="3">
        <v>74.0</v>
      </c>
      <c r="B75" s="3" t="s">
        <v>1988</v>
      </c>
      <c r="C75" s="3" t="s">
        <v>1989</v>
      </c>
      <c r="D75" s="3" t="s">
        <v>1990</v>
      </c>
      <c r="E75" s="3" t="s">
        <v>1991</v>
      </c>
      <c r="F75" s="2"/>
      <c r="G75" s="3" t="str">
        <f>IFERROR(__xludf.DUMMYFUNCTION("GOOGLETRANSLATE(A75, ""it"", ""en"")"),"74")</f>
        <v>74</v>
      </c>
      <c r="H75" s="3" t="str">
        <f>IFERROR(__xludf.DUMMYFUNCTION("GOOGLETRANSLATE(B75, ""it"", ""en"")"),"How many times can a horse participate in the Palio?")</f>
        <v>How many times can a horse participate in the Palio?</v>
      </c>
      <c r="I75" s="3" t="str">
        <f>IFERROR(__xludf.DUMMYFUNCTION("GOOGLETRANSLATE(C75, ""it"", ""en"")"),"A. Only once B. As often as selected C. Up to three times D. Once every two years")</f>
        <v>A. Only once B. As often as selected C. Up to three times D. Once every two years</v>
      </c>
      <c r="J75" s="3" t="str">
        <f>IFERROR(__xludf.DUMMYFUNCTION("GOOGLETRANSLATE(D75, ""it"", ""en"")"),"Every time it is selected")</f>
        <v>Every time it is selected</v>
      </c>
      <c r="K75" s="3" t="str">
        <f>IFERROR(__xludf.DUMMYFUNCTION("GOOGLETRANSLATE(E75, ""it"", ""en"")"),"A horse can participate multiple times if deemed suitable.")</f>
        <v>A horse can participate multiple times if deemed suitable.</v>
      </c>
      <c r="L75" s="2"/>
      <c r="M75" s="2"/>
      <c r="N75" s="2"/>
      <c r="O75" s="2"/>
      <c r="P75" s="2"/>
      <c r="Q75" s="2"/>
      <c r="R75" s="2"/>
      <c r="S75" s="2"/>
      <c r="T75" s="2"/>
      <c r="U75" s="2"/>
      <c r="V75" s="2"/>
      <c r="W75" s="2"/>
    </row>
    <row r="76" ht="22.5" customHeight="1">
      <c r="A76" s="3">
        <v>75.0</v>
      </c>
      <c r="B76" s="3" t="s">
        <v>1992</v>
      </c>
      <c r="C76" s="3" t="s">
        <v>1993</v>
      </c>
      <c r="D76" s="3" t="s">
        <v>1994</v>
      </c>
      <c r="E76" s="3" t="s">
        <v>1995</v>
      </c>
      <c r="F76" s="2"/>
      <c r="G76" s="3" t="str">
        <f>IFERROR(__xludf.DUMMYFUNCTION("GOOGLETRANSLATE(A76, ""it"", ""en"")"),"75")</f>
        <v>75</v>
      </c>
      <c r="H76" s="3" t="str">
        <f>IFERROR(__xludf.DUMMYFUNCTION("GOOGLETRANSLATE(B76, ""it"", ""en"")"),"What does the figure of the drummer represent in the historical parade?")</f>
        <v>What does the figure of the drummer represent in the historical parade?</v>
      </c>
      <c r="I76" s="3" t="str">
        <f>IFERROR(__xludf.DUMMYFUNCTION("GOOGLETRANSLATE(C76, ""it"", ""en"")"),"A. The rhythm of the parade B. A symbol of battle C. The celebration of the contrada D. A tribute to the Madonna")</f>
        <v>A. The rhythm of the parade B. A symbol of battle C. The celebration of the contrada D. A tribute to the Madonna</v>
      </c>
      <c r="J76" s="3" t="str">
        <f>IFERROR(__xludf.DUMMYFUNCTION("GOOGLETRANSLATE(D76, ""it"", ""en"")"),"The rhythm of the parade")</f>
        <v>The rhythm of the parade</v>
      </c>
      <c r="K76" s="3" t="str">
        <f>IFERROR(__xludf.DUMMYFUNCTION("GOOGLETRANSLATE(E76, ""it"", ""en"")"),"The drummer marks the rhythm of the parade.")</f>
        <v>The drummer marks the rhythm of the parade.</v>
      </c>
      <c r="L76" s="2"/>
      <c r="M76" s="2"/>
      <c r="N76" s="2"/>
      <c r="O76" s="2"/>
      <c r="P76" s="2"/>
      <c r="Q76" s="2"/>
      <c r="R76" s="2"/>
      <c r="S76" s="2"/>
      <c r="T76" s="2"/>
      <c r="U76" s="2"/>
      <c r="V76" s="2"/>
      <c r="W76" s="2"/>
    </row>
    <row r="77" ht="22.5" customHeight="1">
      <c r="A77" s="3">
        <v>76.0</v>
      </c>
      <c r="B77" s="3" t="s">
        <v>1996</v>
      </c>
      <c r="C77" s="3" t="s">
        <v>1997</v>
      </c>
      <c r="D77" s="3" t="s">
        <v>1998</v>
      </c>
      <c r="E77" s="3" t="s">
        <v>1999</v>
      </c>
      <c r="F77" s="2"/>
      <c r="G77" s="3" t="str">
        <f>IFERROR(__xludf.DUMMYFUNCTION("GOOGLETRANSLATE(A77, ""it"", ""en"")"),"76")</f>
        <v>76</v>
      </c>
      <c r="H77" s="3" t="str">
        <f>IFERROR(__xludf.DUMMYFUNCTION("GOOGLETRANSLATE(B77, ""it"", ""en"")"),"Which district has an eagle as its symbol?")</f>
        <v>Which district has an eagle as its symbol?</v>
      </c>
      <c r="I77" s="3" t="str">
        <f>IFERROR(__xludf.DUMMYFUNCTION("GOOGLETRANSLATE(C77, ""it"", ""en"")"),"A. Dragon B. Goose C. Eagle D. Panther")</f>
        <v>A. Dragon B. Goose C. Eagle D. Panther</v>
      </c>
      <c r="J77" s="3" t="str">
        <f>IFERROR(__xludf.DUMMYFUNCTION("GOOGLETRANSLATE(D77, ""it"", ""en"")"),"Eagle")</f>
        <v>Eagle</v>
      </c>
      <c r="K77" s="3" t="str">
        <f>IFERROR(__xludf.DUMMYFUNCTION("GOOGLETRANSLATE(E77, ""it"", ""en"")"),"The Eagle has an eagle as its symbol.")</f>
        <v>The Eagle has an eagle as its symbol.</v>
      </c>
      <c r="L77" s="2"/>
      <c r="M77" s="2"/>
      <c r="N77" s="2"/>
      <c r="O77" s="2"/>
      <c r="P77" s="2"/>
      <c r="Q77" s="2"/>
      <c r="R77" s="2"/>
      <c r="S77" s="2"/>
      <c r="T77" s="2"/>
      <c r="U77" s="2"/>
      <c r="V77" s="2"/>
      <c r="W77" s="2"/>
    </row>
    <row r="78" ht="22.5" customHeight="1">
      <c r="A78" s="3">
        <v>77.0</v>
      </c>
      <c r="B78" s="3" t="s">
        <v>2000</v>
      </c>
      <c r="C78" s="3" t="s">
        <v>2001</v>
      </c>
      <c r="D78" s="3" t="s">
        <v>2002</v>
      </c>
      <c r="E78" s="3" t="s">
        <v>2003</v>
      </c>
      <c r="F78" s="2"/>
      <c r="G78" s="3" t="str">
        <f>IFERROR(__xludf.DUMMYFUNCTION("GOOGLETRANSLATE(A78, ""it"", ""en"")"),"77")</f>
        <v>77</v>
      </c>
      <c r="H78" s="3" t="str">
        <f>IFERROR(__xludf.DUMMYFUNCTION("GOOGLETRANSLATE(B78, ""it"", ""en"")"),"Who writes the anthem of a district?")</f>
        <v>Who writes the anthem of a district?</v>
      </c>
      <c r="I78" s="3" t="str">
        <f>IFERROR(__xludf.DUMMYFUNCTION("GOOGLETRANSLATE(C78, ""it"", ""en"")"),"A. The starter B. A member of the contrada C. A local artist D. A jockey")</f>
        <v>A. The starter B. A member of the contrada C. A local artist D. A jockey</v>
      </c>
      <c r="J78" s="3" t="str">
        <f>IFERROR(__xludf.DUMMYFUNCTION("GOOGLETRANSLATE(D78, ""it"", ""en"")"),"A member of the contrada")</f>
        <v>A member of the contrada</v>
      </c>
      <c r="K78" s="3" t="str">
        <f>IFERROR(__xludf.DUMMYFUNCTION("GOOGLETRANSLATE(E78, ""it"", ""en"")"),"The hymns are composed by members or supporters of the contrada.")</f>
        <v>The hymns are composed by members or supporters of the contrada.</v>
      </c>
      <c r="L78" s="2"/>
      <c r="M78" s="2"/>
      <c r="N78" s="2"/>
      <c r="O78" s="2"/>
      <c r="P78" s="2"/>
      <c r="Q78" s="2"/>
      <c r="R78" s="2"/>
      <c r="S78" s="2"/>
      <c r="T78" s="2"/>
      <c r="U78" s="2"/>
      <c r="V78" s="2"/>
      <c r="W78" s="2"/>
    </row>
    <row r="79" ht="22.5" customHeight="1">
      <c r="A79" s="3">
        <v>78.0</v>
      </c>
      <c r="B79" s="3" t="s">
        <v>2004</v>
      </c>
      <c r="C79" s="3" t="s">
        <v>2005</v>
      </c>
      <c r="D79" s="3" t="s">
        <v>2006</v>
      </c>
      <c r="E79" s="3" t="s">
        <v>2007</v>
      </c>
      <c r="F79" s="2"/>
      <c r="G79" s="3" t="str">
        <f>IFERROR(__xludf.DUMMYFUNCTION("GOOGLETRANSLATE(A79, ""it"", ""en"")"),"78")</f>
        <v>78</v>
      </c>
      <c r="H79" s="3" t="str">
        <f>IFERROR(__xludf.DUMMYFUNCTION("GOOGLETRANSLATE(B79, ""it"", ""en"")"),"What do the harnessed horses represent during the historical parade?")</f>
        <v>What do the harnessed horses represent during the historical parade?</v>
      </c>
      <c r="I79" s="3" t="str">
        <f>IFERROR(__xludf.DUMMYFUNCTION("GOOGLETRANSLATE(C79, ""it"", ""en"")"),"A. The ancient medieval knights B. The strength of the districts C. A tribute to the Madonna D. The glory of the Palio")</f>
        <v>A. The ancient medieval knights B. The strength of the districts C. A tribute to the Madonna D. The glory of the Palio</v>
      </c>
      <c r="J79" s="3" t="str">
        <f>IFERROR(__xludf.DUMMYFUNCTION("GOOGLETRANSLATE(D79, ""it"", ""en"")"),"The ancient medieval knights")</f>
        <v>The ancient medieval knights</v>
      </c>
      <c r="K79" s="3" t="str">
        <f>IFERROR(__xludf.DUMMYFUNCTION("GOOGLETRANSLATE(E79, ""it"", ""en"")"),"The barded horses recall medieval knights.")</f>
        <v>The barded horses recall medieval knights.</v>
      </c>
      <c r="L79" s="2"/>
      <c r="M79" s="2"/>
      <c r="N79" s="2"/>
      <c r="O79" s="2"/>
      <c r="P79" s="2"/>
      <c r="Q79" s="2"/>
      <c r="R79" s="2"/>
      <c r="S79" s="2"/>
      <c r="T79" s="2"/>
      <c r="U79" s="2"/>
      <c r="V79" s="2"/>
      <c r="W79" s="2"/>
    </row>
    <row r="80" ht="22.5" customHeight="1">
      <c r="A80" s="3">
        <v>79.0</v>
      </c>
      <c r="B80" s="3" t="s">
        <v>2008</v>
      </c>
      <c r="C80" s="3" t="s">
        <v>2009</v>
      </c>
      <c r="D80" s="3" t="s">
        <v>2010</v>
      </c>
      <c r="E80" s="3" t="s">
        <v>2011</v>
      </c>
      <c r="F80" s="2"/>
      <c r="G80" s="3" t="str">
        <f>IFERROR(__xludf.DUMMYFUNCTION("GOOGLETRANSLATE(A80, ""it"", ""en"")"),"79")</f>
        <v>79</v>
      </c>
      <c r="H80" s="3" t="str">
        <f>IFERROR(__xludf.DUMMYFUNCTION("GOOGLETRANSLATE(B80, ""it"", ""en"")"),"What is the role of the sign holder?")</f>
        <v>What is the role of the sign holder?</v>
      </c>
      <c r="I80" s="3" t="str">
        <f>IFERROR(__xludf.DUMMYFUNCTION("GOOGLETRANSLATE(C80, ""it"", ""en"")"),"A. Carry the banner B. Lead the historical procession C. Carry the contrada's banner D. Signal the start of the race")</f>
        <v>A. Carry the banner B. Lead the historical procession C. Carry the contrada's banner D. Signal the start of the race</v>
      </c>
      <c r="J80" s="3" t="str">
        <f>IFERROR(__xludf.DUMMYFUNCTION("GOOGLETRANSLATE(D80, ""it"", ""en"")"),"Carry the contrada's banner")</f>
        <v>Carry the contrada's banner</v>
      </c>
      <c r="K80" s="3" t="str">
        <f>IFERROR(__xludf.DUMMYFUNCTION("GOOGLETRANSLATE(E80, ""it"", ""en"")"),"The banner holder represents the contrada with its banner.")</f>
        <v>The banner holder represents the contrada with its banner.</v>
      </c>
      <c r="L80" s="2"/>
      <c r="M80" s="2"/>
      <c r="N80" s="2"/>
      <c r="O80" s="2"/>
      <c r="P80" s="2"/>
      <c r="Q80" s="2"/>
      <c r="R80" s="2"/>
      <c r="S80" s="2"/>
      <c r="T80" s="2"/>
      <c r="U80" s="2"/>
      <c r="V80" s="2"/>
      <c r="W80" s="2"/>
    </row>
    <row r="81" ht="22.5" customHeight="1">
      <c r="A81" s="3">
        <v>80.0</v>
      </c>
      <c r="B81" s="3" t="s">
        <v>2012</v>
      </c>
      <c r="C81" s="3" t="s">
        <v>2013</v>
      </c>
      <c r="D81" s="3" t="s">
        <v>2014</v>
      </c>
      <c r="E81" s="3" t="s">
        <v>2015</v>
      </c>
      <c r="F81" s="2"/>
      <c r="G81" s="3" t="str">
        <f>IFERROR(__xludf.DUMMYFUNCTION("GOOGLETRANSLATE(A81, ""it"", ""en"")"),"80")</f>
        <v>80</v>
      </c>
      <c r="H81" s="3" t="str">
        <f>IFERROR(__xludf.DUMMYFUNCTION("GOOGLETRANSLATE(B81, ""it"", ""en"")"),"What does ""fare cappotto"" mean?")</f>
        <v>What does "fare cappotto" mean?</v>
      </c>
      <c r="I81" s="3" t="str">
        <f>IFERROR(__xludf.DUMMYFUNCTION("GOOGLETRANSLATE(C81, ""it"", ""en"")"),"A. Win two consecutive Palios B. Win without a jockey C. Win all the trials D. Win every year")</f>
        <v>A. Win two consecutive Palios B. Win without a jockey C. Win all the trials D. Win every year</v>
      </c>
      <c r="J81" s="3" t="str">
        <f>IFERROR(__xludf.DUMMYFUNCTION("GOOGLETRANSLATE(D81, ""it"", ""en"")"),"Win two consecutive Palios")</f>
        <v>Win two consecutive Palios</v>
      </c>
      <c r="K81" s="3" t="str">
        <f>IFERROR(__xludf.DUMMYFUNCTION("GOOGLETRANSLATE(E81, ""it"", ""en"")"),"A contrada pulls off a ""landmark"" by winning both Palios of the year.")</f>
        <v>A contrada pulls off a "landmark" by winning both Palios of the year.</v>
      </c>
      <c r="L81" s="2"/>
      <c r="M81" s="2"/>
      <c r="N81" s="2"/>
      <c r="O81" s="2"/>
      <c r="P81" s="2"/>
      <c r="Q81" s="2"/>
      <c r="R81" s="2"/>
      <c r="S81" s="2"/>
      <c r="T81" s="2"/>
      <c r="U81" s="2"/>
      <c r="V81" s="2"/>
      <c r="W81" s="2"/>
    </row>
    <row r="82" ht="22.5" customHeight="1">
      <c r="A82" s="3">
        <v>81.0</v>
      </c>
      <c r="B82" s="3" t="s">
        <v>2016</v>
      </c>
      <c r="C82" s="3" t="s">
        <v>2017</v>
      </c>
      <c r="D82" s="3" t="s">
        <v>2018</v>
      </c>
      <c r="E82" s="3" t="s">
        <v>2019</v>
      </c>
      <c r="F82" s="2"/>
      <c r="G82" s="3" t="str">
        <f>IFERROR(__xludf.DUMMYFUNCTION("GOOGLETRANSLATE(A82, ""it"", ""en"")"),"81")</f>
        <v>81</v>
      </c>
      <c r="H82" s="3" t="str">
        <f>IFERROR(__xludf.DUMMYFUNCTION("GOOGLETRANSLATE(B82, ""it"", ""en"")"),"What do you call a winning horse without a jockey?")</f>
        <v>What do you call a winning horse without a jockey?</v>
      </c>
      <c r="I82" s="3" t="str">
        <f>IFERROR(__xludf.DUMMYFUNCTION("GOOGLETRANSLATE(C82, ""it"", ""en"")"),"A. Shaken B. Free C. Loose D. Abandoned")</f>
        <v>A. Shaken B. Free C. Loose D. Abandoned</v>
      </c>
      <c r="J82" s="3" t="str">
        <f>IFERROR(__xludf.DUMMYFUNCTION("GOOGLETRANSLATE(D82, ""it"", ""en"")"),"Shaken")</f>
        <v>Shaken</v>
      </c>
      <c r="K82" s="3" t="str">
        <f>IFERROR(__xludf.DUMMYFUNCTION("GOOGLETRANSLATE(E82, ""it"", ""en"")"),"The winning horse without a jockey is called ""scosso"".")</f>
        <v>The winning horse without a jockey is called "scosso".</v>
      </c>
      <c r="L82" s="2"/>
      <c r="M82" s="2"/>
      <c r="N82" s="2"/>
      <c r="O82" s="2"/>
      <c r="P82" s="2"/>
      <c r="Q82" s="2"/>
      <c r="R82" s="2"/>
      <c r="S82" s="2"/>
      <c r="T82" s="2"/>
      <c r="U82" s="2"/>
      <c r="V82" s="2"/>
      <c r="W82" s="2"/>
    </row>
    <row r="83" ht="22.5" customHeight="1">
      <c r="A83" s="3">
        <v>82.0</v>
      </c>
      <c r="B83" s="3" t="s">
        <v>2020</v>
      </c>
      <c r="C83" s="3" t="s">
        <v>2021</v>
      </c>
      <c r="D83" s="3" t="s">
        <v>2022</v>
      </c>
      <c r="E83" s="3" t="s">
        <v>2023</v>
      </c>
      <c r="F83" s="2"/>
      <c r="G83" s="3" t="str">
        <f>IFERROR(__xludf.DUMMYFUNCTION("GOOGLETRANSLATE(A83, ""it"", ""en"")"),"82")</f>
        <v>82</v>
      </c>
      <c r="H83" s="3" t="str">
        <f>IFERROR(__xludf.DUMMYFUNCTION("GOOGLETRANSLATE(B83, ""it"", ""en"")"),"Which contrada has a panther as its symbol?")</f>
        <v>Which contrada has a panther as its symbol?</v>
      </c>
      <c r="I83" s="3" t="str">
        <f>IFERROR(__xludf.DUMMYFUNCTION("GOOGLETRANSLATE(C83, ""it"", ""en"")"),"A. Goose B. Rook C. Panther D. Porcupine")</f>
        <v>A. Goose B. Rook C. Panther D. Porcupine</v>
      </c>
      <c r="J83" s="3" t="str">
        <f>IFERROR(__xludf.DUMMYFUNCTION("GOOGLETRANSLATE(D83, ""it"", ""en"")"),"Panther")</f>
        <v>Panther</v>
      </c>
      <c r="K83" s="3" t="str">
        <f>IFERROR(__xludf.DUMMYFUNCTION("GOOGLETRANSLATE(E83, ""it"", ""en"")"),"The Panther has a panther as its symbol.")</f>
        <v>The Panther has a panther as its symbol.</v>
      </c>
      <c r="L83" s="2"/>
      <c r="M83" s="2"/>
      <c r="N83" s="2"/>
      <c r="O83" s="2"/>
      <c r="P83" s="2"/>
      <c r="Q83" s="2"/>
      <c r="R83" s="2"/>
      <c r="S83" s="2"/>
      <c r="T83" s="2"/>
      <c r="U83" s="2"/>
      <c r="V83" s="2"/>
      <c r="W83" s="2"/>
    </row>
    <row r="84" ht="22.5" customHeight="1">
      <c r="A84" s="3">
        <v>83.0</v>
      </c>
      <c r="B84" s="3" t="s">
        <v>2024</v>
      </c>
      <c r="C84" s="3" t="s">
        <v>2025</v>
      </c>
      <c r="D84" s="3" t="s">
        <v>2026</v>
      </c>
      <c r="E84" s="3" t="s">
        <v>2027</v>
      </c>
      <c r="F84" s="2"/>
      <c r="G84" s="3" t="str">
        <f>IFERROR(__xludf.DUMMYFUNCTION("GOOGLETRANSLATE(A84, ""it"", ""en"")"),"83")</f>
        <v>83</v>
      </c>
      <c r="H84" s="3" t="str">
        <f>IFERROR(__xludf.DUMMYFUNCTION("GOOGLETRANSLATE(B84, ""it"", ""en"")"),"What does the crown worn during the historical parade symbolize?")</f>
        <v>What does the crown worn during the historical parade symbolize?</v>
      </c>
      <c r="I84" s="3" t="str">
        <f>IFERROR(__xludf.DUMMYFUNCTION("GOOGLETRANSLATE(C84, ""it"", ""en"")"),"A. The victory of the contrada B. The power of the prior C. The homage to the Madonna D. The glory of Siena")</f>
        <v>A. The victory of the contrada B. The power of the prior C. The homage to the Madonna D. The glory of Siena</v>
      </c>
      <c r="J84" s="3" t="str">
        <f>IFERROR(__xludf.DUMMYFUNCTION("GOOGLETRANSLATE(D84, ""it"", ""en"")"),"Homage to the Madonna")</f>
        <v>Homage to the Madonna</v>
      </c>
      <c r="K84" s="3" t="str">
        <f>IFERROR(__xludf.DUMMYFUNCTION("GOOGLETRANSLATE(E84, ""it"", ""en"")"),"The crown is a religious symbol.")</f>
        <v>The crown is a religious symbol.</v>
      </c>
      <c r="L84" s="2"/>
      <c r="M84" s="2"/>
      <c r="N84" s="2"/>
      <c r="O84" s="2"/>
      <c r="P84" s="2"/>
      <c r="Q84" s="2"/>
      <c r="R84" s="2"/>
      <c r="S84" s="2"/>
      <c r="T84" s="2"/>
      <c r="U84" s="2"/>
      <c r="V84" s="2"/>
      <c r="W84" s="2"/>
    </row>
    <row r="85" ht="22.5" customHeight="1">
      <c r="A85" s="3">
        <v>84.0</v>
      </c>
      <c r="B85" s="3" t="s">
        <v>2028</v>
      </c>
      <c r="C85" s="3" t="s">
        <v>2029</v>
      </c>
      <c r="D85" s="3" t="s">
        <v>2030</v>
      </c>
      <c r="E85" s="3" t="s">
        <v>2031</v>
      </c>
      <c r="F85" s="2"/>
      <c r="G85" s="3" t="str">
        <f>IFERROR(__xludf.DUMMYFUNCTION("GOOGLETRANSLATE(A85, ""it"", ""en"")"),"84")</f>
        <v>84</v>
      </c>
      <c r="H85" s="3" t="str">
        <f>IFERROR(__xludf.DUMMYFUNCTION("GOOGLETRANSLATE(B85, ""it"", ""en"")"),"Which district has a porcupine as its symbol?")</f>
        <v>Which district has a porcupine as its symbol?</v>
      </c>
      <c r="I85" s="3" t="str">
        <f>IFERROR(__xludf.DUMMYFUNCTION("GOOGLETRANSLATE(C85, ""it"", ""en"")"),"A. Tower B. Porcupine C. Goose D. She-wolf")</f>
        <v>A. Tower B. Porcupine C. Goose D. She-wolf</v>
      </c>
      <c r="J85" s="3" t="str">
        <f>IFERROR(__xludf.DUMMYFUNCTION("GOOGLETRANSLATE(D85, ""it"", ""en"")"),"Porcupine")</f>
        <v>Porcupine</v>
      </c>
      <c r="K85" s="3" t="str">
        <f>IFERROR(__xludf.DUMMYFUNCTION("GOOGLETRANSLATE(E85, ""it"", ""en"")"),"The Porcupine has a porcupine as its symbol.")</f>
        <v>The Porcupine has a porcupine as its symbol.</v>
      </c>
      <c r="L85" s="2"/>
      <c r="M85" s="2"/>
      <c r="N85" s="2"/>
      <c r="O85" s="2"/>
      <c r="P85" s="2"/>
      <c r="Q85" s="2"/>
      <c r="R85" s="2"/>
      <c r="S85" s="2"/>
      <c r="T85" s="2"/>
      <c r="U85" s="2"/>
      <c r="V85" s="2"/>
      <c r="W85" s="2"/>
    </row>
    <row r="86" ht="22.5" customHeight="1">
      <c r="A86" s="3">
        <v>85.0</v>
      </c>
      <c r="B86" s="3" t="s">
        <v>2032</v>
      </c>
      <c r="C86" s="3" t="s">
        <v>2033</v>
      </c>
      <c r="D86" s="3" t="s">
        <v>2034</v>
      </c>
      <c r="E86" s="3" t="s">
        <v>2035</v>
      </c>
      <c r="F86" s="2"/>
      <c r="G86" s="3" t="str">
        <f>IFERROR(__xludf.DUMMYFUNCTION("GOOGLETRANSLATE(A86, ""it"", ""en"")"),"85")</f>
        <v>85</v>
      </c>
      <c r="H86" s="3" t="str">
        <f>IFERROR(__xludf.DUMMYFUNCTION("GOOGLETRANSLATE(B86, ""it"", ""en"")"),"Who chooses the starter?")</f>
        <v>Who chooses the starter?</v>
      </c>
      <c r="I86" s="3" t="str">
        <f>IFERROR(__xludf.DUMMYFUNCTION("GOOGLETRANSLATE(C86, ""it"", ""en"")"),"A. The municipality B. The districts C. A citizens' committee D. The prior of the winning district")</f>
        <v>A. The municipality B. The districts C. A citizens' committee D. The prior of the winning district</v>
      </c>
      <c r="J86" s="3" t="str">
        <f>IFERROR(__xludf.DUMMYFUNCTION("GOOGLETRANSLATE(D86, ""it"", ""en"")"),"The municipality")</f>
        <v>The municipality</v>
      </c>
      <c r="K86" s="3" t="str">
        <f>IFERROR(__xludf.DUMMYFUNCTION("GOOGLETRANSLATE(E86, ""it"", ""en"")"),"The starter is chosen by the municipality.")</f>
        <v>The starter is chosen by the municipality.</v>
      </c>
      <c r="L86" s="2"/>
      <c r="M86" s="2"/>
      <c r="N86" s="2"/>
      <c r="O86" s="2"/>
      <c r="P86" s="2"/>
      <c r="Q86" s="2"/>
      <c r="R86" s="2"/>
      <c r="S86" s="2"/>
      <c r="T86" s="2"/>
      <c r="U86" s="2"/>
      <c r="V86" s="2"/>
      <c r="W86" s="2"/>
    </row>
    <row r="87" ht="22.5" customHeight="1">
      <c r="A87" s="3">
        <v>86.0</v>
      </c>
      <c r="B87" s="3" t="s">
        <v>2036</v>
      </c>
      <c r="C87" s="3" t="s">
        <v>2037</v>
      </c>
      <c r="D87" s="3" t="s">
        <v>2038</v>
      </c>
      <c r="E87" s="3" t="s">
        <v>2039</v>
      </c>
      <c r="F87" s="2"/>
      <c r="G87" s="3" t="str">
        <f>IFERROR(__xludf.DUMMYFUNCTION("GOOGLETRANSLATE(A87, ""it"", ""en"")"),"86")</f>
        <v>86</v>
      </c>
      <c r="H87" s="3" t="str">
        <f>IFERROR(__xludf.DUMMYFUNCTION("GOOGLETRANSLATE(B87, ""it"", ""en"")"),"What do the torches represent during the historical parade?")</f>
        <v>What do the torches represent during the historical parade?</v>
      </c>
      <c r="I87" s="3" t="str">
        <f>IFERROR(__xludf.DUMMYFUNCTION("GOOGLETRANSLATE(C87, ""it"", ""en"")"),"A. Peace B. Night celebrations C. The light of the Madonna D. The guide through the districts")</f>
        <v>A. Peace B. Night celebrations C. The light of the Madonna D. The guide through the districts</v>
      </c>
      <c r="J87" s="3" t="str">
        <f>IFERROR(__xludf.DUMMYFUNCTION("GOOGLETRANSLATE(D87, ""it"", ""en"")"),"The light of the Madonna")</f>
        <v>The light of the Madonna</v>
      </c>
      <c r="K87" s="3" t="str">
        <f>IFERROR(__xludf.DUMMYFUNCTION("GOOGLETRANSLATE(E87, ""it"", ""en"")"),"The torches symbolize devotion to the Madonna.")</f>
        <v>The torches symbolize devotion to the Madonna.</v>
      </c>
      <c r="L87" s="2"/>
      <c r="M87" s="2"/>
      <c r="N87" s="2"/>
      <c r="O87" s="2"/>
      <c r="P87" s="2"/>
      <c r="Q87" s="2"/>
      <c r="R87" s="2"/>
      <c r="S87" s="2"/>
      <c r="T87" s="2"/>
      <c r="U87" s="2"/>
      <c r="V87" s="2"/>
      <c r="W87" s="2"/>
    </row>
    <row r="88" ht="22.5" customHeight="1">
      <c r="A88" s="3">
        <v>87.0</v>
      </c>
      <c r="B88" s="3" t="s">
        <v>2040</v>
      </c>
      <c r="C88" s="3" t="s">
        <v>2041</v>
      </c>
      <c r="D88" s="3" t="s">
        <v>2042</v>
      </c>
      <c r="E88" s="3" t="s">
        <v>2043</v>
      </c>
      <c r="F88" s="2"/>
      <c r="G88" s="3" t="str">
        <f>IFERROR(__xludf.DUMMYFUNCTION("GOOGLETRANSLATE(A88, ""it"", ""en"")"),"87")</f>
        <v>87</v>
      </c>
      <c r="H88" s="3" t="str">
        <f>IFERROR(__xludf.DUMMYFUNCTION("GOOGLETRANSLATE(B88, ""it"", ""en"")"),"What happens if two contradas get in each other's way during a race?")</f>
        <v>What happens if two contradas get in each other's way during a race?</v>
      </c>
      <c r="I88" s="3" t="str">
        <f>IFERROR(__xludf.DUMMYFUNCTION("GOOGLETRANSLATE(C88, ""it"", ""en"")"),"A. Both are disqualified B. A penalty is given C. The first to arrive wins D. The starter intervenes")</f>
        <v>A. Both are disqualified B. A penalty is given C. The first to arrive wins D. The starter intervenes</v>
      </c>
      <c r="J88" s="3" t="str">
        <f>IFERROR(__xludf.DUMMYFUNCTION("GOOGLETRANSLATE(D88, ""it"", ""en"")"),"A penalty is awarded")</f>
        <v>A penalty is awarded</v>
      </c>
      <c r="K88" s="3" t="str">
        <f>IFERROR(__xludf.DUMMYFUNCTION("GOOGLETRANSLATE(E88, ""it"", ""en"")"),"Interference is punishable by penalty.")</f>
        <v>Interference is punishable by penalty.</v>
      </c>
      <c r="L88" s="2"/>
      <c r="M88" s="2"/>
      <c r="N88" s="2"/>
      <c r="O88" s="2"/>
      <c r="P88" s="2"/>
      <c r="Q88" s="2"/>
      <c r="R88" s="2"/>
      <c r="S88" s="2"/>
      <c r="T88" s="2"/>
      <c r="U88" s="2"/>
      <c r="V88" s="2"/>
      <c r="W88" s="2"/>
    </row>
    <row r="89" ht="22.5" customHeight="1">
      <c r="A89" s="3">
        <v>88.0</v>
      </c>
      <c r="B89" s="3" t="s">
        <v>2044</v>
      </c>
      <c r="C89" s="3" t="s">
        <v>2045</v>
      </c>
      <c r="D89" s="3" t="s">
        <v>2046</v>
      </c>
      <c r="E89" s="3" t="s">
        <v>2047</v>
      </c>
      <c r="F89" s="2"/>
      <c r="G89" s="3" t="str">
        <f>IFERROR(__xludf.DUMMYFUNCTION("GOOGLETRANSLATE(A89, ""it"", ""en"")"),"88")</f>
        <v>88</v>
      </c>
      <c r="H89" s="3" t="str">
        <f>IFERROR(__xludf.DUMMYFUNCTION("GOOGLETRANSLATE(B89, ""it"", ""en"")"),"What is the meaning of ""career""?")</f>
        <v>What is the meaning of "career"?</v>
      </c>
      <c r="I89" s="3" t="str">
        <f>IFERROR(__xludf.DUMMYFUNCTION("GOOGLETRANSLATE(C89, ""it"", ""en"")"),"A. The race itself B. The history of the contrada C. The banner D. The victory of the shaken horse")</f>
        <v>A. The race itself B. The history of the contrada C. The banner D. The victory of the shaken horse</v>
      </c>
      <c r="J89" s="3" t="str">
        <f>IFERROR(__xludf.DUMMYFUNCTION("GOOGLETRANSLATE(D89, ""it"", ""en"")"),"The race itself")</f>
        <v>The race itself</v>
      </c>
      <c r="K89" s="3" t="str">
        <f>IFERROR(__xludf.DUMMYFUNCTION("GOOGLETRANSLATE(E89, ""it"", ""en"")"),"The ""carriera"" is the term that indicates the Palio race.")</f>
        <v>The "carriera" is the term that indicates the Palio race.</v>
      </c>
      <c r="L89" s="2"/>
      <c r="M89" s="2"/>
      <c r="N89" s="2"/>
      <c r="O89" s="2"/>
      <c r="P89" s="2"/>
      <c r="Q89" s="2"/>
      <c r="R89" s="2"/>
      <c r="S89" s="2"/>
      <c r="T89" s="2"/>
      <c r="U89" s="2"/>
      <c r="V89" s="2"/>
      <c r="W89" s="2"/>
    </row>
    <row r="90" ht="22.5" customHeight="1">
      <c r="A90" s="3">
        <v>89.0</v>
      </c>
      <c r="B90" s="3" t="s">
        <v>2048</v>
      </c>
      <c r="C90" s="3" t="s">
        <v>2049</v>
      </c>
      <c r="D90" s="3" t="s">
        <v>2050</v>
      </c>
      <c r="E90" s="3" t="s">
        <v>2051</v>
      </c>
      <c r="F90" s="2"/>
      <c r="G90" s="3" t="str">
        <f>IFERROR(__xludf.DUMMYFUNCTION("GOOGLETRANSLATE(A90, ""it"", ""en"")"),"89")</f>
        <v>89</v>
      </c>
      <c r="H90" s="3" t="str">
        <f>IFERROR(__xludf.DUMMYFUNCTION("GOOGLETRANSLATE(B90, ""it"", ""en"")"),"Who assists the jockey during preparation?")</f>
        <v>Who assists the jockey during preparation?</v>
      </c>
      <c r="I90" s="3" t="str">
        <f>IFERROR(__xludf.DUMMYFUNCTION("GOOGLETRANSLATE(C90, ""it"", ""en"")"),"A. The prior B. The captain of the district C. The starter D. A fellow jockey")</f>
        <v>A. The prior B. The captain of the district C. The starter D. A fellow jockey</v>
      </c>
      <c r="J90" s="3" t="str">
        <f>IFERROR(__xludf.DUMMYFUNCTION("GOOGLETRANSLATE(D90, ""it"", ""en"")"),"The captain of the district")</f>
        <v>The captain of the district</v>
      </c>
      <c r="K90" s="3" t="str">
        <f>IFERROR(__xludf.DUMMYFUNCTION("GOOGLETRANSLATE(E90, ""it"", ""en"")"),"The captain provides strategic and logistical support.")</f>
        <v>The captain provides strategic and logistical support.</v>
      </c>
      <c r="L90" s="2"/>
      <c r="M90" s="2"/>
      <c r="N90" s="2"/>
      <c r="O90" s="2"/>
      <c r="P90" s="2"/>
      <c r="Q90" s="2"/>
      <c r="R90" s="2"/>
      <c r="S90" s="2"/>
      <c r="T90" s="2"/>
      <c r="U90" s="2"/>
      <c r="V90" s="2"/>
      <c r="W90" s="2"/>
    </row>
    <row r="91" ht="22.5" customHeight="1">
      <c r="A91" s="3">
        <v>90.0</v>
      </c>
      <c r="B91" s="3" t="s">
        <v>2052</v>
      </c>
      <c r="C91" s="3" t="s">
        <v>2053</v>
      </c>
      <c r="D91" s="3" t="s">
        <v>2054</v>
      </c>
      <c r="E91" s="3" t="s">
        <v>2055</v>
      </c>
      <c r="F91" s="2"/>
      <c r="G91" s="3" t="str">
        <f>IFERROR(__xludf.DUMMYFUNCTION("GOOGLETRANSLATE(A91, ""it"", ""en"")"),"90")</f>
        <v>90</v>
      </c>
      <c r="H91" s="3" t="str">
        <f>IFERROR(__xludf.DUMMYFUNCTION("GOOGLETRANSLATE(B91, ""it"", ""en"")"),"What is the name of the narrowest stretch of Piazza del Campo?")</f>
        <v>What is the name of the narrowest stretch of Piazza del Campo?</v>
      </c>
      <c r="I91" s="3" t="str">
        <f>IFERROR(__xludf.DUMMYFUNCTION("GOOGLETRANSLATE(C91, ""it"", ""en"")"),"A. San Martino B. Casato C. Mattarella D. Costarella di Fontebranda")</f>
        <v>A. San Martino B. Casato C. Mattarella D. Costarella di Fontebranda</v>
      </c>
      <c r="J91" s="3" t="str">
        <f>IFERROR(__xludf.DUMMYFUNCTION("GOOGLETRANSLATE(D91, ""it"", ""en"")"),"Saint Martin")</f>
        <v>Saint Martin</v>
      </c>
      <c r="K91" s="3" t="str">
        <f>IFERROR(__xludf.DUMMYFUNCTION("GOOGLETRANSLATE(E91, ""it"", ""en"")"),"The San Martino curve is famous for its difficulty.")</f>
        <v>The San Martino curve is famous for its difficulty.</v>
      </c>
      <c r="L91" s="2"/>
      <c r="M91" s="2"/>
      <c r="N91" s="2"/>
      <c r="O91" s="2"/>
      <c r="P91" s="2"/>
      <c r="Q91" s="2"/>
      <c r="R91" s="2"/>
      <c r="S91" s="2"/>
      <c r="T91" s="2"/>
      <c r="U91" s="2"/>
      <c r="V91" s="2"/>
      <c r="W91" s="2"/>
    </row>
    <row r="92" ht="22.5" customHeight="1">
      <c r="A92" s="3">
        <v>91.0</v>
      </c>
      <c r="B92" s="3" t="s">
        <v>2056</v>
      </c>
      <c r="C92" s="3" t="s">
        <v>2057</v>
      </c>
      <c r="D92" s="3" t="s">
        <v>2058</v>
      </c>
      <c r="E92" s="3" t="s">
        <v>2059</v>
      </c>
      <c r="F92" s="2"/>
      <c r="G92" s="3" t="str">
        <f>IFERROR(__xludf.DUMMYFUNCTION("GOOGLETRANSLATE(A92, ""it"", ""en"")"),"91")</f>
        <v>91</v>
      </c>
      <c r="H92" s="3" t="str">
        <f>IFERROR(__xludf.DUMMYFUNCTION("GOOGLETRANSLATE(B92, ""it"", ""en"")"),"What is the meaning of the term ""barbaresco""?")</f>
        <v>What is the meaning of the term "barbaresco"?</v>
      </c>
      <c r="I92" s="3" t="str">
        <f>IFERROR(__xludf.DUMMYFUNCTION("GOOGLETRANSLATE(C92, ""it"", ""en"")"),"A. The person who takes care of the horse B. A representative of the contrada C. The reserve jockey D. The starter")</f>
        <v>A. The person who takes care of the horse B. A representative of the contrada C. The reserve jockey D. The starter</v>
      </c>
      <c r="J92" s="3" t="str">
        <f>IFERROR(__xludf.DUMMYFUNCTION("GOOGLETRANSLATE(D92, ""it"", ""en"")"),"The one who takes care of the horse")</f>
        <v>The one who takes care of the horse</v>
      </c>
      <c r="K92" s="3" t="str">
        <f>IFERROR(__xludf.DUMMYFUNCTION("GOOGLETRANSLATE(E92, ""it"", ""en"")"),"The Barbaresco is the guardian of the contrada's horse.")</f>
        <v>The Barbaresco is the guardian of the contrada's horse.</v>
      </c>
      <c r="L92" s="2"/>
      <c r="M92" s="2"/>
      <c r="N92" s="2"/>
      <c r="O92" s="2"/>
      <c r="P92" s="2"/>
      <c r="Q92" s="2"/>
      <c r="R92" s="2"/>
      <c r="S92" s="2"/>
      <c r="T92" s="2"/>
      <c r="U92" s="2"/>
      <c r="V92" s="2"/>
      <c r="W92" s="2"/>
    </row>
    <row r="93" ht="22.5" customHeight="1">
      <c r="A93" s="3">
        <v>92.0</v>
      </c>
      <c r="B93" s="3" t="s">
        <v>2060</v>
      </c>
      <c r="C93" s="3" t="s">
        <v>2061</v>
      </c>
      <c r="D93" s="3" t="s">
        <v>2062</v>
      </c>
      <c r="E93" s="3" t="s">
        <v>2063</v>
      </c>
      <c r="F93" s="2"/>
      <c r="G93" s="3" t="str">
        <f>IFERROR(__xludf.DUMMYFUNCTION("GOOGLETRANSLATE(A93, ""it"", ""en"")"),"92")</f>
        <v>92</v>
      </c>
      <c r="H93" s="3" t="str">
        <f>IFERROR(__xludf.DUMMYFUNCTION("GOOGLETRANSLATE(B93, ""it"", ""en"")"),"What happens if a horse is deemed unfit?")</f>
        <v>What happens if a horse is deemed unfit?</v>
      </c>
      <c r="I93" s="3" t="str">
        <f>IFERROR(__xludf.DUMMYFUNCTION("GOOGLETRANSLATE(C93, ""it"", ""en"")"),"A. He is replaced B. He is disqualified C. He is assigned to another contrada D. He cannot participate in the Palio")</f>
        <v>A. He is replaced B. He is disqualified C. He is assigned to another contrada D. He cannot participate in the Palio</v>
      </c>
      <c r="J93" s="3" t="str">
        <f>IFERROR(__xludf.DUMMYFUNCTION("GOOGLETRANSLATE(D93, ""it"", ""en"")"),"It is replaced")</f>
        <v>It is replaced</v>
      </c>
      <c r="K93" s="3" t="str">
        <f>IFERROR(__xludf.DUMMYFUNCTION("GOOGLETRANSLATE(E93, ""it"", ""en"")"),"An unfit horse is replaced before the race.")</f>
        <v>An unfit horse is replaced before the race.</v>
      </c>
      <c r="L93" s="2"/>
      <c r="M93" s="2"/>
      <c r="N93" s="2"/>
      <c r="O93" s="2"/>
      <c r="P93" s="2"/>
      <c r="Q93" s="2"/>
      <c r="R93" s="2"/>
      <c r="S93" s="2"/>
      <c r="T93" s="2"/>
      <c r="U93" s="2"/>
      <c r="V93" s="2"/>
      <c r="W93" s="2"/>
    </row>
    <row r="94" ht="22.5" customHeight="1">
      <c r="A94" s="3">
        <v>93.0</v>
      </c>
      <c r="B94" s="3" t="s">
        <v>2064</v>
      </c>
      <c r="C94" s="3" t="s">
        <v>24</v>
      </c>
      <c r="D94" s="3">
        <v>6.0</v>
      </c>
      <c r="E94" s="3" t="s">
        <v>2065</v>
      </c>
      <c r="F94" s="2"/>
      <c r="G94" s="3" t="str">
        <f>IFERROR(__xludf.DUMMYFUNCTION("GOOGLETRANSLATE(A94, ""it"", ""en"")"),"93")</f>
        <v>93</v>
      </c>
      <c r="H94" s="3" t="str">
        <f>IFERROR(__xludf.DUMMYFUNCTION("GOOGLETRANSLATE(B94, ""it"", ""en"")"),"How many trials are held before the Palio?")</f>
        <v>How many trials are held before the Palio?</v>
      </c>
      <c r="I94" s="3" t="str">
        <f>IFERROR(__xludf.DUMMYFUNCTION("GOOGLETRANSLATE(C94, ""it"", ""en"")"),"A. 2 B. 3 C. 4 D. 6")</f>
        <v>A. 2 B. 3 C. 4 D. 6</v>
      </c>
      <c r="J94" s="3" t="str">
        <f>IFERROR(__xludf.DUMMYFUNCTION("GOOGLETRANSLATE(D94, ""it"", ""en"")"),"6")</f>
        <v>6</v>
      </c>
      <c r="K94" s="3" t="str">
        <f>IFERROR(__xludf.DUMMYFUNCTION("GOOGLETRANSLATE(E94, ""it"", ""en"")"),"Six official trials take place before the Palio.")</f>
        <v>Six official trials take place before the Palio.</v>
      </c>
      <c r="L94" s="2"/>
      <c r="M94" s="2"/>
      <c r="N94" s="2"/>
      <c r="O94" s="2"/>
      <c r="P94" s="2"/>
      <c r="Q94" s="2"/>
      <c r="R94" s="2"/>
      <c r="S94" s="2"/>
      <c r="T94" s="2"/>
      <c r="U94" s="2"/>
      <c r="V94" s="2"/>
      <c r="W94" s="2"/>
    </row>
    <row r="95" ht="22.5" customHeight="1">
      <c r="A95" s="3">
        <v>94.0</v>
      </c>
      <c r="B95" s="3" t="s">
        <v>2066</v>
      </c>
      <c r="C95" s="3" t="s">
        <v>2067</v>
      </c>
      <c r="D95" s="3" t="s">
        <v>2068</v>
      </c>
      <c r="E95" s="3" t="s">
        <v>2069</v>
      </c>
      <c r="F95" s="2"/>
      <c r="G95" s="3" t="str">
        <f>IFERROR(__xludf.DUMMYFUNCTION("GOOGLETRANSLATE(A95, ""it"", ""en"")"),"94")</f>
        <v>94</v>
      </c>
      <c r="H95" s="3" t="str">
        <f>IFERROR(__xludf.DUMMYFUNCTION("GOOGLETRANSLATE(B95, ""it"", ""en"")"),"Who delivers the banner to the winning contrada?")</f>
        <v>Who delivers the banner to the winning contrada?</v>
      </c>
      <c r="I95" s="3" t="str">
        <f>IFERROR(__xludf.DUMMYFUNCTION("GOOGLETRANSLATE(C95, ""it"", ""en"")"),"A. The mayor B. The starter C. The captain of the district D. The prior")</f>
        <v>A. The mayor B. The starter C. The captain of the district D. The prior</v>
      </c>
      <c r="J95" s="3" t="str">
        <f>IFERROR(__xludf.DUMMYFUNCTION("GOOGLETRANSLATE(D95, ""it"", ""en"")"),"The mayor")</f>
        <v>The mayor</v>
      </c>
      <c r="K95" s="3" t="str">
        <f>IFERROR(__xludf.DUMMYFUNCTION("GOOGLETRANSLATE(E95, ""it"", ""en"")"),"The mayor of Siena hands over the banner.")</f>
        <v>The mayor of Siena hands over the banner.</v>
      </c>
      <c r="L95" s="2"/>
      <c r="M95" s="2"/>
      <c r="N95" s="2"/>
      <c r="O95" s="2"/>
      <c r="P95" s="2"/>
      <c r="Q95" s="2"/>
      <c r="R95" s="2"/>
      <c r="S95" s="2"/>
      <c r="T95" s="2"/>
      <c r="U95" s="2"/>
      <c r="V95" s="2"/>
      <c r="W95" s="2"/>
    </row>
    <row r="96" ht="22.5" customHeight="1">
      <c r="A96" s="3">
        <v>95.0</v>
      </c>
      <c r="B96" s="3" t="s">
        <v>2070</v>
      </c>
      <c r="C96" s="3" t="s">
        <v>2071</v>
      </c>
      <c r="D96" s="3" t="s">
        <v>2072</v>
      </c>
      <c r="E96" s="3" t="s">
        <v>2073</v>
      </c>
      <c r="F96" s="2"/>
      <c r="G96" s="3" t="str">
        <f>IFERROR(__xludf.DUMMYFUNCTION("GOOGLETRANSLATE(A96, ""it"", ""en"")"),"95")</f>
        <v>95</v>
      </c>
      <c r="H96" s="3" t="str">
        <f>IFERROR(__xludf.DUMMYFUNCTION("GOOGLETRANSLATE(B96, ""it"", ""en"")"),"What do the colors of the banner represent?")</f>
        <v>What do the colors of the banner represent?</v>
      </c>
      <c r="I96" s="3" t="str">
        <f>IFERROR(__xludf.DUMMYFUNCTION("GOOGLETRANSLATE(C96, ""it"", ""en"")"),"A. The participating districts B. The religious celebration C. The victory of the Palio D. Local art")</f>
        <v>A. The participating districts B. The religious celebration C. The victory of the Palio D. Local art</v>
      </c>
      <c r="J96" s="3" t="str">
        <f>IFERROR(__xludf.DUMMYFUNCTION("GOOGLETRANSLATE(D96, ""it"", ""en"")"),"The religious celebration")</f>
        <v>The religious celebration</v>
      </c>
      <c r="K96" s="3" t="str">
        <f>IFERROR(__xludf.DUMMYFUNCTION("GOOGLETRANSLATE(E96, ""it"", ""en"")"),"The banner symbolizes devotion to the Madonna.")</f>
        <v>The banner symbolizes devotion to the Madonna.</v>
      </c>
      <c r="L96" s="2"/>
      <c r="M96" s="2"/>
      <c r="N96" s="2"/>
      <c r="O96" s="2"/>
      <c r="P96" s="2"/>
      <c r="Q96" s="2"/>
      <c r="R96" s="2"/>
      <c r="S96" s="2"/>
      <c r="T96" s="2"/>
      <c r="U96" s="2"/>
      <c r="V96" s="2"/>
      <c r="W96" s="2"/>
    </row>
    <row r="97" ht="22.5" customHeight="1">
      <c r="A97" s="3">
        <v>96.0</v>
      </c>
      <c r="B97" s="3" t="s">
        <v>2074</v>
      </c>
      <c r="C97" s="3" t="s">
        <v>2075</v>
      </c>
      <c r="D97" s="3" t="s">
        <v>1791</v>
      </c>
      <c r="E97" s="3" t="s">
        <v>2076</v>
      </c>
      <c r="F97" s="2"/>
      <c r="G97" s="3" t="str">
        <f>IFERROR(__xludf.DUMMYFUNCTION("GOOGLETRANSLATE(A97, ""it"", ""en"")"),"96")</f>
        <v>96</v>
      </c>
      <c r="H97" s="3" t="str">
        <f>IFERROR(__xludf.DUMMYFUNCTION("GOOGLETRANSLATE(B97, ""it"", ""en"")"),"What happens during the ""trial""?")</f>
        <v>What happens during the "trial"?</v>
      </c>
      <c r="I97" s="3" t="str">
        <f>IFERROR(__xludf.DUMMYFUNCTION("GOOGLETRANSLATE(C97, ""it"", ""en"")"),"A. The awarding of the banner B. A dress rehearsal C. The opening ceremony D. The choice of the starter")</f>
        <v>A. The awarding of the banner B. A dress rehearsal C. The opening ceremony D. The choice of the starter</v>
      </c>
      <c r="J97" s="3" t="str">
        <f>IFERROR(__xludf.DUMMYFUNCTION("GOOGLETRANSLATE(D97, ""it"", ""en"")"),"A dress rehearsal")</f>
        <v>A dress rehearsal</v>
      </c>
      <c r="K97" s="3" t="str">
        <f>IFERROR(__xludf.DUMMYFUNCTION("GOOGLETRANSLATE(E97, ""it"", ""en"")"),"The provaccia is a test before the official race.")</f>
        <v>The provaccia is a test before the official race.</v>
      </c>
      <c r="L97" s="2"/>
      <c r="M97" s="2"/>
      <c r="N97" s="2"/>
      <c r="O97" s="2"/>
      <c r="P97" s="2"/>
      <c r="Q97" s="2"/>
      <c r="R97" s="2"/>
      <c r="S97" s="2"/>
      <c r="T97" s="2"/>
      <c r="U97" s="2"/>
      <c r="V97" s="2"/>
      <c r="W97" s="2"/>
    </row>
    <row r="98" ht="22.5" customHeight="1">
      <c r="A98" s="3">
        <v>97.0</v>
      </c>
      <c r="B98" s="3" t="s">
        <v>2077</v>
      </c>
      <c r="C98" s="3" t="s">
        <v>2078</v>
      </c>
      <c r="D98" s="3" t="s">
        <v>2079</v>
      </c>
      <c r="E98" s="3" t="s">
        <v>2080</v>
      </c>
      <c r="F98" s="2"/>
      <c r="G98" s="3" t="str">
        <f>IFERROR(__xludf.DUMMYFUNCTION("GOOGLETRANSLATE(A98, ""it"", ""en"")"),"97")</f>
        <v>97</v>
      </c>
      <c r="H98" s="3" t="str">
        <f>IFERROR(__xludf.DUMMYFUNCTION("GOOGLETRANSLATE(B98, ""it"", ""en"")"),"What is the name of the youngest jockey to ever win the Palio?")</f>
        <v>What is the name of the youngest jockey to ever win the Palio?</v>
      </c>
      <c r="I98" s="3" t="str">
        <f>IFERROR(__xludf.DUMMYFUNCTION("GOOGLETRANSLATE(C98, ""it"", ""en"")"),"A. The Mossiere B. The Barbaresco C. The Virgin D. The Novice")</f>
        <v>A. The Mossiere B. The Barbaresco C. The Virgin D. The Novice</v>
      </c>
      <c r="J98" s="3" t="str">
        <f>IFERROR(__xludf.DUMMYFUNCTION("GOOGLETRANSLATE(D98, ""it"", ""en"")"),"The Novice")</f>
        <v>The Novice</v>
      </c>
      <c r="K98" s="3" t="str">
        <f>IFERROR(__xludf.DUMMYFUNCTION("GOOGLETRANSLATE(E98, ""it"", ""en"")"),"The youngest jockey is known as the ""Novice"".")</f>
        <v>The youngest jockey is known as the "Novice".</v>
      </c>
      <c r="L98" s="2"/>
      <c r="M98" s="2"/>
      <c r="N98" s="2"/>
      <c r="O98" s="2"/>
      <c r="P98" s="2"/>
      <c r="Q98" s="2"/>
      <c r="R98" s="2"/>
      <c r="S98" s="2"/>
      <c r="T98" s="2"/>
      <c r="U98" s="2"/>
      <c r="V98" s="2"/>
      <c r="W98" s="2"/>
    </row>
    <row r="99" ht="22.5" customHeight="1">
      <c r="A99" s="3">
        <v>98.0</v>
      </c>
      <c r="B99" s="3" t="s">
        <v>2081</v>
      </c>
      <c r="C99" s="3" t="s">
        <v>2082</v>
      </c>
      <c r="D99" s="3" t="s">
        <v>2083</v>
      </c>
      <c r="E99" s="3" t="s">
        <v>2084</v>
      </c>
      <c r="F99" s="2"/>
      <c r="G99" s="3" t="str">
        <f>IFERROR(__xludf.DUMMYFUNCTION("GOOGLETRANSLATE(A99, ""it"", ""en"")"),"98")</f>
        <v>98</v>
      </c>
      <c r="H99" s="3" t="str">
        <f>IFERROR(__xludf.DUMMYFUNCTION("GOOGLETRANSLATE(B99, ""it"", ""en"")"),"What is the most dangerous part of the Palio route?")</f>
        <v>What is the most dangerous part of the Palio route?</v>
      </c>
      <c r="I99" s="3" t="str">
        <f>IFERROR(__xludf.DUMMYFUNCTION("GOOGLETRANSLATE(C99, ""it"", ""en"")"),"A. The San Martino curve B. The start C. The final straight D. The Casato curve")</f>
        <v>A. The San Martino curve B. The start C. The final straight D. The Casato curve</v>
      </c>
      <c r="J99" s="3" t="str">
        <f>IFERROR(__xludf.DUMMYFUNCTION("GOOGLETRANSLATE(D99, ""it"", ""en"")"),"The San Martino curve")</f>
        <v>The San Martino curve</v>
      </c>
      <c r="K99" s="3" t="str">
        <f>IFERROR(__xludf.DUMMYFUNCTION("GOOGLETRANSLATE(E99, ""it"", ""en"")"),"The San Martino curve is known for its danger.")</f>
        <v>The San Martino curve is known for its danger.</v>
      </c>
      <c r="L99" s="2"/>
      <c r="M99" s="2"/>
      <c r="N99" s="2"/>
      <c r="O99" s="2"/>
      <c r="P99" s="2"/>
      <c r="Q99" s="2"/>
      <c r="R99" s="2"/>
      <c r="S99" s="2"/>
      <c r="T99" s="2"/>
      <c r="U99" s="2"/>
      <c r="V99" s="2"/>
      <c r="W99" s="2"/>
    </row>
    <row r="100" ht="22.5" customHeight="1">
      <c r="A100" s="3">
        <v>99.0</v>
      </c>
      <c r="B100" s="3" t="s">
        <v>2085</v>
      </c>
      <c r="C100" s="3" t="s">
        <v>2086</v>
      </c>
      <c r="D100" s="3" t="s">
        <v>2087</v>
      </c>
      <c r="E100" s="3" t="s">
        <v>2088</v>
      </c>
      <c r="F100" s="2"/>
      <c r="G100" s="3" t="str">
        <f>IFERROR(__xludf.DUMMYFUNCTION("GOOGLETRANSLATE(A100, ""it"", ""en"")"),"99")</f>
        <v>99</v>
      </c>
      <c r="H100" s="3" t="str">
        <f>IFERROR(__xludf.DUMMYFUNCTION("GOOGLETRANSLATE(B100, ""it"", ""en"")"),"What does ""fare melina"" mean during the Palio?")</f>
        <v>What does "fare melina" mean during the Palio?</v>
      </c>
      <c r="I100" s="3" t="str">
        <f>IFERROR(__xludf.DUMMYFUNCTION("GOOGLETRANSLATE(C100, ""it"", ""en"")"),"A. Obstructing opponents B. Intentionally slowing down C. Avoiding the race D. Pushing the horse to the maximum")</f>
        <v>A. Obstructing opponents B. Intentionally slowing down C. Avoiding the race D. Pushing the horse to the maximum</v>
      </c>
      <c r="J100" s="3" t="str">
        <f>IFERROR(__xludf.DUMMYFUNCTION("GOOGLETRANSLATE(D100, ""it"", ""en"")"),"Slow down intentionally")</f>
        <v>Slow down intentionally</v>
      </c>
      <c r="K100" s="3" t="str">
        <f>IFERROR(__xludf.DUMMYFUNCTION("GOOGLETRANSLATE(E100, ""it"", ""en"")"),"Playing for time means slowing down for the sake of a strategy.")</f>
        <v>Playing for time means slowing down for the sake of a strategy.</v>
      </c>
      <c r="L100" s="2"/>
      <c r="M100" s="2"/>
      <c r="N100" s="2"/>
      <c r="O100" s="2"/>
      <c r="P100" s="2"/>
      <c r="Q100" s="2"/>
      <c r="R100" s="2"/>
      <c r="S100" s="2"/>
      <c r="T100" s="2"/>
      <c r="U100" s="2"/>
      <c r="V100" s="2"/>
      <c r="W100" s="2"/>
    </row>
    <row r="101" ht="22.5" customHeight="1">
      <c r="A101" s="3">
        <v>100.0</v>
      </c>
      <c r="B101" s="3" t="s">
        <v>2089</v>
      </c>
      <c r="C101" s="3" t="s">
        <v>2090</v>
      </c>
      <c r="D101" s="3" t="s">
        <v>2091</v>
      </c>
      <c r="E101" s="3" t="s">
        <v>2092</v>
      </c>
      <c r="F101" s="2"/>
      <c r="G101" s="3" t="str">
        <f>IFERROR(__xludf.DUMMYFUNCTION("GOOGLETRANSLATE(A101, ""it"", ""en"")"),"100")</f>
        <v>100</v>
      </c>
      <c r="H101" s="3" t="str">
        <f>IFERROR(__xludf.DUMMYFUNCTION("GOOGLETRANSLATE(B101, ""it"", ""en"")"),"Which district has a she-wolf as its symbol?")</f>
        <v>Which district has a she-wolf as its symbol?</v>
      </c>
      <c r="I101" s="3" t="str">
        <f>IFERROR(__xludf.DUMMYFUNCTION("GOOGLETRANSLATE(C101, ""it"", ""en"")"),"A. Goose B. Wolf C. Dragon D. Giraffe")</f>
        <v>A. Goose B. Wolf C. Dragon D. Giraffe</v>
      </c>
      <c r="J101" s="3" t="str">
        <f>IFERROR(__xludf.DUMMYFUNCTION("GOOGLETRANSLATE(D101, ""it"", ""en"")"),"She-wolf")</f>
        <v>She-wolf</v>
      </c>
      <c r="K101" s="3" t="str">
        <f>IFERROR(__xludf.DUMMYFUNCTION("GOOGLETRANSLATE(E101, ""it"", ""en"")"),"The Wolf has a she-wolf as its symbol.")</f>
        <v>The Wolf has a she-wolf as its symbol.</v>
      </c>
      <c r="L101" s="2"/>
      <c r="M101" s="2"/>
      <c r="N101" s="2"/>
      <c r="O101" s="2"/>
      <c r="P101" s="2"/>
      <c r="Q101" s="2"/>
      <c r="R101" s="2"/>
      <c r="S101" s="2"/>
      <c r="T101" s="2"/>
      <c r="U101" s="2"/>
      <c r="V101" s="2"/>
      <c r="W101" s="2"/>
    </row>
    <row r="102" ht="22.5" customHeight="1">
      <c r="A102" s="3">
        <v>101.0</v>
      </c>
      <c r="B102" s="3" t="s">
        <v>2093</v>
      </c>
      <c r="C102" s="3" t="s">
        <v>2094</v>
      </c>
      <c r="D102" s="3" t="s">
        <v>2095</v>
      </c>
      <c r="E102" s="3" t="s">
        <v>2096</v>
      </c>
      <c r="F102" s="2"/>
      <c r="G102" s="3" t="str">
        <f>IFERROR(__xludf.DUMMYFUNCTION("GOOGLETRANSLATE(A102, ""it"", ""en"")"),"101")</f>
        <v>101</v>
      </c>
      <c r="H102" s="3" t="str">
        <f>IFERROR(__xludf.DUMMYFUNCTION("GOOGLETRANSLATE(B102, ""it"", ""en"")"),"What happens to the winning horse?")</f>
        <v>What happens to the winning horse?</v>
      </c>
      <c r="I102" s="3" t="str">
        <f>IFERROR(__xludf.DUMMYFUNCTION("GOOGLETRANSLATE(C102, ""it"", ""en"")"),"A. He is awarded with the banner B. He is celebrated in the church C. He is freed in the square D. He is hosted by the prior")</f>
        <v>A. He is awarded with the banner B. He is celebrated in the church C. He is freed in the square D. He is hosted by the prior</v>
      </c>
      <c r="J102" s="3" t="str">
        <f>IFERROR(__xludf.DUMMYFUNCTION("GOOGLETRANSLATE(D102, ""it"", ""en"")"),"It is celebrated in church")</f>
        <v>It is celebrated in church</v>
      </c>
      <c r="K102" s="3" t="str">
        <f>IFERROR(__xludf.DUMMYFUNCTION("GOOGLETRANSLATE(E102, ""it"", ""en"")"),"The winning horse is blessed in church.")</f>
        <v>The winning horse is blessed in church.</v>
      </c>
      <c r="L102" s="2"/>
      <c r="M102" s="2"/>
      <c r="N102" s="2"/>
      <c r="O102" s="2"/>
      <c r="P102" s="2"/>
      <c r="Q102" s="2"/>
      <c r="R102" s="2"/>
      <c r="S102" s="2"/>
      <c r="T102" s="2"/>
      <c r="U102" s="2"/>
      <c r="V102" s="2"/>
      <c r="W102" s="2"/>
    </row>
    <row r="103" ht="22.5" customHeight="1">
      <c r="A103" s="3">
        <v>102.0</v>
      </c>
      <c r="B103" s="3" t="s">
        <v>2097</v>
      </c>
      <c r="C103" s="3" t="s">
        <v>2098</v>
      </c>
      <c r="D103" s="3" t="s">
        <v>2099</v>
      </c>
      <c r="E103" s="3" t="s">
        <v>2100</v>
      </c>
      <c r="F103" s="2"/>
      <c r="G103" s="3" t="str">
        <f>IFERROR(__xludf.DUMMYFUNCTION("GOOGLETRANSLATE(A103, ""it"", ""en"")"),"102")</f>
        <v>102</v>
      </c>
      <c r="H103" s="3" t="str">
        <f>IFERROR(__xludf.DUMMYFUNCTION("GOOGLETRANSLATE(B103, ""it"", ""en"")"),"Who is responsible for the contrada's tactical decisions?")</f>
        <v>Who is responsible for the contrada's tactical decisions?</v>
      </c>
      <c r="I103" s="3" t="str">
        <f>IFERROR(__xludf.DUMMYFUNCTION("GOOGLETRANSLATE(C103, ""it"", ""en"")"),"A. The prior B. The captain C. The starter D. The jockey")</f>
        <v>A. The prior B. The captain C. The starter D. The jockey</v>
      </c>
      <c r="J103" s="3" t="str">
        <f>IFERROR(__xludf.DUMMYFUNCTION("GOOGLETRANSLATE(D103, ""it"", ""en"")"),"The Captain")</f>
        <v>The Captain</v>
      </c>
      <c r="K103" s="3" t="str">
        <f>IFERROR(__xludf.DUMMYFUNCTION("GOOGLETRANSLATE(E103, ""it"", ""en"")"),"The captain leads the contrada's tactical choices.")</f>
        <v>The captain leads the contrada's tactical choices.</v>
      </c>
      <c r="L103" s="2"/>
      <c r="M103" s="2"/>
      <c r="N103" s="2"/>
      <c r="O103" s="2"/>
      <c r="P103" s="2"/>
      <c r="Q103" s="2"/>
      <c r="R103" s="2"/>
      <c r="S103" s="2"/>
      <c r="T103" s="2"/>
      <c r="U103" s="2"/>
      <c r="V103" s="2"/>
      <c r="W103" s="2"/>
    </row>
    <row r="104" ht="22.5" customHeight="1">
      <c r="A104" s="3">
        <v>103.0</v>
      </c>
      <c r="B104" s="3" t="s">
        <v>2101</v>
      </c>
      <c r="C104" s="3" t="s">
        <v>2102</v>
      </c>
      <c r="D104" s="3" t="s">
        <v>2103</v>
      </c>
      <c r="E104" s="3" t="s">
        <v>2104</v>
      </c>
      <c r="F104" s="2"/>
      <c r="G104" s="3" t="str">
        <f>IFERROR(__xludf.DUMMYFUNCTION("GOOGLETRANSLATE(A104, ""it"", ""en"")"),"103")</f>
        <v>103</v>
      </c>
      <c r="H104" s="3" t="str">
        <f>IFERROR(__xludf.DUMMYFUNCTION("GOOGLETRANSLATE(B104, ""it"", ""en"")"),"What do the medieval costumes of the historical parade symbolize?")</f>
        <v>What do the medieval costumes of the historical parade symbolize?</v>
      </c>
      <c r="I104" s="3" t="str">
        <f>IFERROR(__xludf.DUMMYFUNCTION("GOOGLETRANSLATE(C104, ""it"", ""en"")"),"A. The wealth of the district B. The history of Siena C. The military tradition D. The religious faith")</f>
        <v>A. The wealth of the district B. The history of Siena C. The military tradition D. The religious faith</v>
      </c>
      <c r="J104" s="3" t="str">
        <f>IFERROR(__xludf.DUMMYFUNCTION("GOOGLETRANSLATE(D104, ""it"", ""en"")"),"The history of Siena")</f>
        <v>The history of Siena</v>
      </c>
      <c r="K104" s="3" t="str">
        <f>IFERROR(__xludf.DUMMYFUNCTION("GOOGLETRANSLATE(E104, ""it"", ""en"")"),"The medieval costumes recall the historical origins of the city.")</f>
        <v>The medieval costumes recall the historical origins of the city.</v>
      </c>
      <c r="L104" s="2"/>
      <c r="M104" s="2"/>
      <c r="N104" s="2"/>
      <c r="O104" s="2"/>
      <c r="P104" s="2"/>
      <c r="Q104" s="2"/>
      <c r="R104" s="2"/>
      <c r="S104" s="2"/>
      <c r="T104" s="2"/>
      <c r="U104" s="2"/>
      <c r="V104" s="2"/>
      <c r="W104" s="2"/>
    </row>
    <row r="105" ht="22.5" customHeight="1">
      <c r="A105" s="3">
        <v>104.0</v>
      </c>
      <c r="B105" s="3" t="s">
        <v>2105</v>
      </c>
      <c r="C105" s="3" t="s">
        <v>2106</v>
      </c>
      <c r="D105" s="3" t="s">
        <v>1776</v>
      </c>
      <c r="E105" s="3" t="s">
        <v>2107</v>
      </c>
      <c r="F105" s="2"/>
      <c r="G105" s="3" t="str">
        <f>IFERROR(__xludf.DUMMYFUNCTION("GOOGLETRANSLATE(A105, ""it"", ""en"")"),"104")</f>
        <v>104</v>
      </c>
      <c r="H105" s="3" t="str">
        <f>IFERROR(__xludf.DUMMYFUNCTION("GOOGLETRANSLATE(B105, ""it"", ""en"")"),"Which district has a goose as its symbol?")</f>
        <v>Which district has a goose as its symbol?</v>
      </c>
      <c r="I105" s="3" t="str">
        <f>IFERROR(__xludf.DUMMYFUNCTION("GOOGLETRANSLATE(C105, ""it"", ""en"")"),"A. Dragon B. Goose C. Porcupine D. She-wolf")</f>
        <v>A. Dragon B. Goose C. Porcupine D. She-wolf</v>
      </c>
      <c r="J105" s="3" t="str">
        <f>IFERROR(__xludf.DUMMYFUNCTION("GOOGLETRANSLATE(D105, ""it"", ""en"")"),"Goose")</f>
        <v>Goose</v>
      </c>
      <c r="K105" s="3" t="str">
        <f>IFERROR(__xludf.DUMMYFUNCTION("GOOGLETRANSLATE(E105, ""it"", ""en"")"),"The Goose has a goose as its symbol.")</f>
        <v>The Goose has a goose as its symbol.</v>
      </c>
      <c r="L105" s="2"/>
      <c r="M105" s="2"/>
      <c r="N105" s="2"/>
      <c r="O105" s="2"/>
      <c r="P105" s="2"/>
      <c r="Q105" s="2"/>
      <c r="R105" s="2"/>
      <c r="S105" s="2"/>
      <c r="T105" s="2"/>
      <c r="U105" s="2"/>
      <c r="V105" s="2"/>
      <c r="W105" s="2"/>
    </row>
    <row r="106" ht="22.5" customHeight="1">
      <c r="A106" s="3">
        <v>105.0</v>
      </c>
      <c r="B106" s="3" t="s">
        <v>2108</v>
      </c>
      <c r="C106" s="3" t="s">
        <v>2109</v>
      </c>
      <c r="D106" s="3" t="s">
        <v>2110</v>
      </c>
      <c r="E106" s="3" t="s">
        <v>2111</v>
      </c>
      <c r="F106" s="2"/>
      <c r="G106" s="3" t="str">
        <f>IFERROR(__xludf.DUMMYFUNCTION("GOOGLETRANSLATE(A106, ""it"", ""en"")"),"105")</f>
        <v>105</v>
      </c>
      <c r="H106" s="3" t="str">
        <f>IFERROR(__xludf.DUMMYFUNCTION("GOOGLETRANSLATE(B106, ""it"", ""en"")"),"What happens if the jockey falls during the race?")</f>
        <v>What happens if the jockey falls during the race?</v>
      </c>
      <c r="I106" s="3" t="str">
        <f>IFERROR(__xludf.DUMMYFUNCTION("GOOGLETRANSLATE(C106, ""it"", ""en"")"),"A. The contrada loses B. The horse continues to run C. It is disqualified D. The race stops")</f>
        <v>A. The contrada loses B. The horse continues to run C. It is disqualified D. The race stops</v>
      </c>
      <c r="J106" s="3" t="str">
        <f>IFERROR(__xludf.DUMMYFUNCTION("GOOGLETRANSLATE(D106, ""it"", ""en"")"),"The horse keeps running")</f>
        <v>The horse keeps running</v>
      </c>
      <c r="K106" s="3" t="str">
        <f>IFERROR(__xludf.DUMMYFUNCTION("GOOGLETRANSLATE(E106, ""it"", ""en"")"),"The horse can win even without a jockey.")</f>
        <v>The horse can win even without a jockey.</v>
      </c>
      <c r="L106" s="2"/>
      <c r="M106" s="2"/>
      <c r="N106" s="2"/>
      <c r="O106" s="2"/>
      <c r="P106" s="2"/>
      <c r="Q106" s="2"/>
      <c r="R106" s="2"/>
      <c r="S106" s="2"/>
      <c r="T106" s="2"/>
      <c r="U106" s="2"/>
      <c r="V106" s="2"/>
      <c r="W106" s="2"/>
    </row>
    <row r="107" ht="22.5" customHeight="1">
      <c r="A107" s="3">
        <v>106.0</v>
      </c>
      <c r="B107" s="3" t="s">
        <v>2112</v>
      </c>
      <c r="C107" s="3" t="s">
        <v>2113</v>
      </c>
      <c r="D107" s="3" t="s">
        <v>2114</v>
      </c>
      <c r="E107" s="3" t="s">
        <v>2115</v>
      </c>
      <c r="F107" s="2"/>
      <c r="G107" s="3" t="str">
        <f>IFERROR(__xludf.DUMMYFUNCTION("GOOGLETRANSLATE(A107, ""it"", ""en"")"),"106")</f>
        <v>106</v>
      </c>
      <c r="H107" s="3" t="str">
        <f>IFERROR(__xludf.DUMMYFUNCTION("GOOGLETRANSLATE(B107, ""it"", ""en"")"),"What does the term ""move"" mean?")</f>
        <v>What does the term "move" mean?</v>
      </c>
      <c r="I107" s="3" t="str">
        <f>IFERROR(__xludf.DUMMYFUNCTION("GOOGLETRANSLATE(C107, ""it"", ""en"")"),"A. The start of the race B. The end of the race C. The distribution of the banner D. The selection of the starter")</f>
        <v>A. The start of the race B. The end of the race C. The distribution of the banner D. The selection of the starter</v>
      </c>
      <c r="J107" s="3" t="str">
        <f>IFERROR(__xludf.DUMMYFUNCTION("GOOGLETRANSLATE(D107, ""it"", ""en"")"),"The start of the race")</f>
        <v>The start of the race</v>
      </c>
      <c r="K107" s="3" t="str">
        <f>IFERROR(__xludf.DUMMYFUNCTION("GOOGLETRANSLATE(E107, ""it"", ""en"")"),"The ""move"" is the moment of departure.")</f>
        <v>The "move" is the moment of departure.</v>
      </c>
      <c r="L107" s="2"/>
      <c r="M107" s="2"/>
      <c r="N107" s="2"/>
      <c r="O107" s="2"/>
      <c r="P107" s="2"/>
      <c r="Q107" s="2"/>
      <c r="R107" s="2"/>
      <c r="S107" s="2"/>
      <c r="T107" s="2"/>
      <c r="U107" s="2"/>
      <c r="V107" s="2"/>
      <c r="W107" s="2"/>
    </row>
    <row r="108" ht="22.5" customHeight="1">
      <c r="A108" s="3">
        <v>107.0</v>
      </c>
      <c r="B108" s="3" t="s">
        <v>2116</v>
      </c>
      <c r="C108" s="3" t="s">
        <v>2117</v>
      </c>
      <c r="D108" s="3" t="s">
        <v>2118</v>
      </c>
      <c r="E108" s="3" t="s">
        <v>2119</v>
      </c>
      <c r="F108" s="2"/>
      <c r="G108" s="3" t="str">
        <f>IFERROR(__xludf.DUMMYFUNCTION("GOOGLETRANSLATE(A108, ""it"", ""en"")"),"107")</f>
        <v>107</v>
      </c>
      <c r="H108" s="3" t="str">
        <f>IFERROR(__xludf.DUMMYFUNCTION("GOOGLETRANSLATE(B108, ""it"", ""en"")"),"What is the name of the painting that decorates the banner?")</f>
        <v>What is the name of the painting that decorates the banner?</v>
      </c>
      <c r="I108" s="3" t="str">
        <f>IFERROR(__xludf.DUMMYFUNCTION("GOOGLETRANSLATE(C108, ""it"", ""en"")"),"A. The Palio B. The Assumption C. The Rag D. The Triumph")</f>
        <v>A. The Palio B. The Assumption C. The Rag D. The Triumph</v>
      </c>
      <c r="J108" s="3" t="str">
        <f>IFERROR(__xludf.DUMMYFUNCTION("GOOGLETRANSLATE(D108, ""it"", ""en"")"),"The Rag")</f>
        <v>The Rag</v>
      </c>
      <c r="K108" s="3" t="str">
        <f>IFERROR(__xludf.DUMMYFUNCTION("GOOGLETRANSLATE(E108, ""it"", ""en"")"),"The banner is commonly called ""Cencio"".")</f>
        <v>The banner is commonly called "Cencio".</v>
      </c>
      <c r="L108" s="2"/>
      <c r="M108" s="2"/>
      <c r="N108" s="2"/>
      <c r="O108" s="2"/>
      <c r="P108" s="2"/>
      <c r="Q108" s="2"/>
      <c r="R108" s="2"/>
      <c r="S108" s="2"/>
      <c r="T108" s="2"/>
      <c r="U108" s="2"/>
      <c r="V108" s="2"/>
      <c r="W108" s="2"/>
    </row>
    <row r="109" ht="22.5" customHeight="1">
      <c r="A109" s="3">
        <v>108.0</v>
      </c>
      <c r="B109" s="3" t="s">
        <v>2120</v>
      </c>
      <c r="C109" s="3" t="s">
        <v>2121</v>
      </c>
      <c r="D109" s="3" t="s">
        <v>2122</v>
      </c>
      <c r="E109" s="3" t="s">
        <v>2123</v>
      </c>
      <c r="F109" s="2"/>
      <c r="G109" s="3" t="str">
        <f>IFERROR(__xludf.DUMMYFUNCTION("GOOGLETRANSLATE(A109, ""it"", ""en"")"),"108")</f>
        <v>108</v>
      </c>
      <c r="H109" s="3" t="str">
        <f>IFERROR(__xludf.DUMMYFUNCTION("GOOGLETRANSLATE(B109, ""it"", ""en"")"),"How are horses assigned to the contrade?")</f>
        <v>How are horses assigned to the contrade?</v>
      </c>
      <c r="I109" s="3" t="str">
        <f>IFERROR(__xludf.DUMMYFUNCTION("GOOGLETRANSLATE(C109, ""it"", ""en"")"),"A. By selection B. By vote C. By drawing lots D. By the prior's preference")</f>
        <v>A. By selection B. By vote C. By drawing lots D. By the prior's preference</v>
      </c>
      <c r="J109" s="3" t="str">
        <f>IFERROR(__xludf.DUMMYFUNCTION("GOOGLETRANSLATE(D109, ""it"", ""en"")"),"By drawing lots")</f>
        <v>By drawing lots</v>
      </c>
      <c r="K109" s="3" t="str">
        <f>IFERROR(__xludf.DUMMYFUNCTION("GOOGLETRANSLATE(E109, ""it"", ""en"")"),"The horses are assigned by drawing lots.")</f>
        <v>The horses are assigned by drawing lots.</v>
      </c>
      <c r="L109" s="2"/>
      <c r="M109" s="2"/>
      <c r="N109" s="2"/>
      <c r="O109" s="2"/>
      <c r="P109" s="2"/>
      <c r="Q109" s="2"/>
      <c r="R109" s="2"/>
      <c r="S109" s="2"/>
      <c r="T109" s="2"/>
      <c r="U109" s="2"/>
      <c r="V109" s="2"/>
      <c r="W109" s="2"/>
    </row>
    <row r="110" ht="22.5" customHeight="1">
      <c r="A110" s="3">
        <v>109.0</v>
      </c>
      <c r="B110" s="3" t="s">
        <v>2124</v>
      </c>
      <c r="C110" s="3" t="s">
        <v>2125</v>
      </c>
      <c r="D110" s="3" t="s">
        <v>2126</v>
      </c>
      <c r="E110" s="3" t="s">
        <v>2127</v>
      </c>
      <c r="F110" s="2"/>
      <c r="G110" s="3" t="str">
        <f>IFERROR(__xludf.DUMMYFUNCTION("GOOGLETRANSLATE(A110, ""it"", ""en"")"),"109")</f>
        <v>109</v>
      </c>
      <c r="H110" s="3" t="str">
        <f>IFERROR(__xludf.DUMMYFUNCTION("GOOGLETRANSLATE(B110, ""it"", ""en"")"),"What do the shields carried in the historical procession represent?")</f>
        <v>What do the shields carried in the historical procession represent?</v>
      </c>
      <c r="I110" s="3" t="str">
        <f>IFERROR(__xludf.DUMMYFUNCTION("GOOGLETRANSLATE(C110, ""it"", ""en"")"),"A. The victories of the districts B. The alliances between districts C. The medieval weapons D. The participating districts")</f>
        <v>A. The victories of the districts B. The alliances between districts C. The medieval weapons D. The participating districts</v>
      </c>
      <c r="J110" s="3" t="str">
        <f>IFERROR(__xludf.DUMMYFUNCTION("GOOGLETRANSLATE(D110, ""it"", ""en"")"),"The participating districts")</f>
        <v>The participating districts</v>
      </c>
      <c r="K110" s="3" t="str">
        <f>IFERROR(__xludf.DUMMYFUNCTION("GOOGLETRANSLATE(E110, ""it"", ""en"")"),"The shields show the symbols of the districts.")</f>
        <v>The shields show the symbols of the districts.</v>
      </c>
      <c r="L110" s="2"/>
      <c r="M110" s="2"/>
      <c r="N110" s="2"/>
      <c r="O110" s="2"/>
      <c r="P110" s="2"/>
      <c r="Q110" s="2"/>
      <c r="R110" s="2"/>
      <c r="S110" s="2"/>
      <c r="T110" s="2"/>
      <c r="U110" s="2"/>
      <c r="V110" s="2"/>
      <c r="W110" s="2"/>
    </row>
    <row r="111" ht="22.5" customHeight="1">
      <c r="A111" s="3">
        <v>110.0</v>
      </c>
      <c r="B111" s="3" t="s">
        <v>2128</v>
      </c>
      <c r="C111" s="3" t="s">
        <v>2129</v>
      </c>
      <c r="D111" s="3" t="s">
        <v>2130</v>
      </c>
      <c r="E111" s="3" t="s">
        <v>2131</v>
      </c>
      <c r="F111" s="2"/>
      <c r="G111" s="3" t="str">
        <f>IFERROR(__xludf.DUMMYFUNCTION("GOOGLETRANSLATE(A111, ""it"", ""en"")"),"110")</f>
        <v>110</v>
      </c>
      <c r="H111" s="3" t="str">
        <f>IFERROR(__xludf.DUMMYFUNCTION("GOOGLETRANSLATE(B111, ""it"", ""en"")"),"What happens if two districts end in a tie?")</f>
        <v>What happens if two districts end in a tie?</v>
      </c>
      <c r="I111" s="3" t="str">
        <f>IFERROR(__xludf.DUMMYFUNCTION("GOOGLETRANSLATE(C111, ""it"", ""en"")"),"A. The contrada with the jockey wins B. A new race is run C. The Palio is cancelled D. The victory is shared")</f>
        <v>A. The contrada with the jockey wins B. A new race is run C. The Palio is cancelled D. The victory is shared</v>
      </c>
      <c r="J111" s="3" t="str">
        <f>IFERROR(__xludf.DUMMYFUNCTION("GOOGLETRANSLATE(D111, ""it"", ""en"")"),"The victory is shared")</f>
        <v>The victory is shared</v>
      </c>
      <c r="K111" s="3" t="str">
        <f>IFERROR(__xludf.DUMMYFUNCTION("GOOGLETRANSLATE(E111, ""it"", ""en"")"),"A draw results in a shared victory.")</f>
        <v>A draw results in a shared victory.</v>
      </c>
      <c r="L111" s="2"/>
      <c r="M111" s="2"/>
      <c r="N111" s="2"/>
      <c r="O111" s="2"/>
      <c r="P111" s="2"/>
      <c r="Q111" s="2"/>
      <c r="R111" s="2"/>
      <c r="S111" s="2"/>
      <c r="T111" s="2"/>
      <c r="U111" s="2"/>
      <c r="V111" s="2"/>
      <c r="W111" s="2"/>
    </row>
    <row r="112" ht="22.5" customHeight="1">
      <c r="A112" s="3">
        <v>111.0</v>
      </c>
      <c r="B112" s="3" t="s">
        <v>2132</v>
      </c>
      <c r="C112" s="3" t="s">
        <v>2133</v>
      </c>
      <c r="D112" s="3" t="s">
        <v>2134</v>
      </c>
      <c r="E112" s="3" t="s">
        <v>2135</v>
      </c>
      <c r="F112" s="2"/>
      <c r="G112" s="3" t="str">
        <f>IFERROR(__xludf.DUMMYFUNCTION("GOOGLETRANSLATE(A112, ""it"", ""en"")"),"111")</f>
        <v>111</v>
      </c>
      <c r="H112" s="3" t="str">
        <f>IFERROR(__xludf.DUMMYFUNCTION("GOOGLETRANSLATE(B112, ""it"", ""en"")"),"What is the function of the starter?")</f>
        <v>What is the function of the starter?</v>
      </c>
      <c r="I112" s="3" t="str">
        <f>IFERROR(__xludf.DUMMYFUNCTION("GOOGLETRANSLATE(C112, ""it"", ""en"")"),"A. Manage the start B. Enforce the rules C. Reward the winner D. Choose the horses")</f>
        <v>A. Manage the start B. Enforce the rules C. Reward the winner D. Choose the horses</v>
      </c>
      <c r="J112" s="3" t="str">
        <f>IFERROR(__xludf.DUMMYFUNCTION("GOOGLETRANSLATE(D112, ""it"", ""en"")"),"Manage the departure")</f>
        <v>Manage the departure</v>
      </c>
      <c r="K112" s="3" t="str">
        <f>IFERROR(__xludf.DUMMYFUNCTION("GOOGLETRANSLATE(E112, ""it"", ""en"")"),"The starter supervises the start.")</f>
        <v>The starter supervises the start.</v>
      </c>
      <c r="L112" s="2"/>
      <c r="M112" s="2"/>
      <c r="N112" s="2"/>
      <c r="O112" s="2"/>
      <c r="P112" s="2"/>
      <c r="Q112" s="2"/>
      <c r="R112" s="2"/>
      <c r="S112" s="2"/>
      <c r="T112" s="2"/>
      <c r="U112" s="2"/>
      <c r="V112" s="2"/>
      <c r="W112" s="2"/>
    </row>
    <row r="113" ht="22.5" customHeight="1">
      <c r="A113" s="3">
        <v>112.0</v>
      </c>
      <c r="B113" s="3" t="s">
        <v>2136</v>
      </c>
      <c r="C113" s="3" t="s">
        <v>2137</v>
      </c>
      <c r="D113" s="3" t="s">
        <v>2138</v>
      </c>
      <c r="E113" s="3" t="s">
        <v>2139</v>
      </c>
      <c r="F113" s="2"/>
      <c r="G113" s="3" t="str">
        <f>IFERROR(__xludf.DUMMYFUNCTION("GOOGLETRANSLATE(A113, ""it"", ""en"")"),"112")</f>
        <v>112</v>
      </c>
      <c r="H113" s="3" t="str">
        <f>IFERROR(__xludf.DUMMYFUNCTION("GOOGLETRANSLATE(B113, ""it"", ""en"")"),"Which district has a tower as its symbol?")</f>
        <v>Which district has a tower as its symbol?</v>
      </c>
      <c r="I113" s="3" t="str">
        <f>IFERROR(__xludf.DUMMYFUNCTION("GOOGLETRANSLATE(C113, ""it"", ""en"")"),"A. Eagle B. Snail C. Goose D. Tower")</f>
        <v>A. Eagle B. Snail C. Goose D. Tower</v>
      </c>
      <c r="J113" s="3" t="str">
        <f>IFERROR(__xludf.DUMMYFUNCTION("GOOGLETRANSLATE(D113, ""it"", ""en"")"),"Tower")</f>
        <v>Tower</v>
      </c>
      <c r="K113" s="3" t="str">
        <f>IFERROR(__xludf.DUMMYFUNCTION("GOOGLETRANSLATE(E113, ""it"", ""en"")"),"The Tower has a tower as its symbol.")</f>
        <v>The Tower has a tower as its symbol.</v>
      </c>
      <c r="L113" s="2"/>
      <c r="M113" s="2"/>
      <c r="N113" s="2"/>
      <c r="O113" s="2"/>
      <c r="P113" s="2"/>
      <c r="Q113" s="2"/>
      <c r="R113" s="2"/>
      <c r="S113" s="2"/>
      <c r="T113" s="2"/>
      <c r="U113" s="2"/>
      <c r="V113" s="2"/>
      <c r="W113" s="2"/>
    </row>
    <row r="114" ht="22.5" customHeight="1">
      <c r="A114" s="3">
        <v>113.0</v>
      </c>
      <c r="B114" s="3" t="s">
        <v>2140</v>
      </c>
      <c r="C114" s="3" t="s">
        <v>2141</v>
      </c>
      <c r="D114" s="3" t="s">
        <v>2142</v>
      </c>
      <c r="E114" s="3" t="s">
        <v>2143</v>
      </c>
      <c r="F114" s="2"/>
      <c r="G114" s="3" t="str">
        <f>IFERROR(__xludf.DUMMYFUNCTION("GOOGLETRANSLATE(A114, ""it"", ""en"")"),"113")</f>
        <v>113</v>
      </c>
      <c r="H114" s="3" t="str">
        <f>IFERROR(__xludf.DUMMYFUNCTION("GOOGLETRANSLATE(B114, ""it"", ""en"")"),"What is meant by ""enemy regions""?")</f>
        <v>What is meant by "enemy regions"?</v>
      </c>
      <c r="I114" s="3" t="str">
        <f>IFERROR(__xludf.DUMMYFUNCTION("GOOGLETRANSLATE(C114, ""it"", ""en"")"),"A. Contradas with historical rivalry B. Contradas excluded from the Palio C. Contradas without alliances D. Defeated Contradas")</f>
        <v>A. Contradas with historical rivalry B. Contradas excluded from the Palio C. Contradas without alliances D. Defeated Contradas</v>
      </c>
      <c r="J114" s="3" t="str">
        <f>IFERROR(__xludf.DUMMYFUNCTION("GOOGLETRANSLATE(D114, ""it"", ""en"")"),"Districts with historical rivalry")</f>
        <v>Districts with historical rivalry</v>
      </c>
      <c r="K114" s="3" t="str">
        <f>IFERROR(__xludf.DUMMYFUNCTION("GOOGLETRANSLATE(E114, ""it"", ""en"")"),"The ""enemy districts"" have historical rivalries.")</f>
        <v>The "enemy districts" have historical rivalries.</v>
      </c>
      <c r="L114" s="2"/>
      <c r="M114" s="2"/>
      <c r="N114" s="2"/>
      <c r="O114" s="2"/>
      <c r="P114" s="2"/>
      <c r="Q114" s="2"/>
      <c r="R114" s="2"/>
      <c r="S114" s="2"/>
      <c r="T114" s="2"/>
      <c r="U114" s="2"/>
      <c r="V114" s="2"/>
      <c r="W114" s="2"/>
    </row>
    <row r="115" ht="22.5" customHeight="1">
      <c r="A115" s="3">
        <v>114.0</v>
      </c>
      <c r="B115" s="3" t="s">
        <v>2144</v>
      </c>
      <c r="C115" s="3" t="s">
        <v>2145</v>
      </c>
      <c r="D115" s="3" t="s">
        <v>2146</v>
      </c>
      <c r="E115" s="3" t="s">
        <v>2147</v>
      </c>
      <c r="F115" s="2"/>
      <c r="G115" s="3" t="str">
        <f>IFERROR(__xludf.DUMMYFUNCTION("GOOGLETRANSLATE(A115, ""it"", ""en"")"),"114")</f>
        <v>114</v>
      </c>
      <c r="H115" s="3" t="str">
        <f>IFERROR(__xludf.DUMMYFUNCTION("GOOGLETRANSLATE(B115, ""it"", ""en"")"),"What do the flags in the procession represent?")</f>
        <v>What do the flags in the procession represent?</v>
      </c>
      <c r="I115" s="3" t="str">
        <f>IFERROR(__xludf.DUMMYFUNCTION("GOOGLETRANSLATE(C115, ""it"", ""en"")"),"A. The borders of Siena B. The city's neighborhoods C. The contrade D. The victories of the Palio")</f>
        <v>A. The borders of Siena B. The city's neighborhoods C. The contrade D. The victories of the Palio</v>
      </c>
      <c r="J115" s="3" t="str">
        <f>IFERROR(__xludf.DUMMYFUNCTION("GOOGLETRANSLATE(D115, ""it"", ""en"")"),"The districts")</f>
        <v>The districts</v>
      </c>
      <c r="K115" s="3" t="str">
        <f>IFERROR(__xludf.DUMMYFUNCTION("GOOGLETRANSLATE(E115, ""it"", ""en"")"),"The flags identify the districts.")</f>
        <v>The flags identify the districts.</v>
      </c>
      <c r="L115" s="2"/>
      <c r="M115" s="2"/>
      <c r="N115" s="2"/>
      <c r="O115" s="2"/>
      <c r="P115" s="2"/>
      <c r="Q115" s="2"/>
      <c r="R115" s="2"/>
      <c r="S115" s="2"/>
      <c r="T115" s="2"/>
      <c r="U115" s="2"/>
      <c r="V115" s="2"/>
      <c r="W115" s="2"/>
    </row>
    <row r="116" ht="22.5" customHeight="1">
      <c r="A116" s="3">
        <v>115.0</v>
      </c>
      <c r="B116" s="3" t="s">
        <v>2148</v>
      </c>
      <c r="C116" s="3" t="s">
        <v>2149</v>
      </c>
      <c r="D116" s="3" t="s">
        <v>2150</v>
      </c>
      <c r="E116" s="3" t="s">
        <v>2151</v>
      </c>
      <c r="F116" s="2"/>
      <c r="G116" s="3" t="str">
        <f>IFERROR(__xludf.DUMMYFUNCTION("GOOGLETRANSLATE(A116, ""it"", ""en"")"),"115")</f>
        <v>115</v>
      </c>
      <c r="H116" s="3" t="str">
        <f>IFERROR(__xludf.DUMMYFUNCTION("GOOGLETRANSLATE(B116, ""it"", ""en"")"),"What happens during the blessing of the horse?")</f>
        <v>What happens during the blessing of the horse?</v>
      </c>
      <c r="I116" s="3" t="str">
        <f>IFERROR(__xludf.DUMMYFUNCTION("GOOGLETRANSLATE(C116, ""it"", ""en"")"),"A. The horse is decorated B. The horse is prepared for the race C. The horse is blessed with holy water D. The horse receives the banner")</f>
        <v>A. The horse is decorated B. The horse is prepared for the race C. The horse is blessed with holy water D. The horse receives the banner</v>
      </c>
      <c r="J116" s="3" t="str">
        <f>IFERROR(__xludf.DUMMYFUNCTION("GOOGLETRANSLATE(D116, ""it"", ""en"")"),"The horse is blessed with holy water")</f>
        <v>The horse is blessed with holy water</v>
      </c>
      <c r="K116" s="3" t="str">
        <f>IFERROR(__xludf.DUMMYFUNCTION("GOOGLETRANSLATE(E116, ""it"", ""en"")"),"The blessing is a traditional rite.")</f>
        <v>The blessing is a traditional rite.</v>
      </c>
      <c r="L116" s="2"/>
      <c r="M116" s="2"/>
      <c r="N116" s="2"/>
      <c r="O116" s="2"/>
      <c r="P116" s="2"/>
      <c r="Q116" s="2"/>
      <c r="R116" s="2"/>
      <c r="S116" s="2"/>
      <c r="T116" s="2"/>
      <c r="U116" s="2"/>
      <c r="V116" s="2"/>
      <c r="W116" s="2"/>
    </row>
    <row r="117" ht="22.5" customHeight="1">
      <c r="A117" s="3">
        <v>116.0</v>
      </c>
      <c r="B117" s="3" t="s">
        <v>2152</v>
      </c>
      <c r="C117" s="3" t="s">
        <v>2153</v>
      </c>
      <c r="D117" s="3" t="s">
        <v>2154</v>
      </c>
      <c r="E117" s="3" t="s">
        <v>2155</v>
      </c>
      <c r="F117" s="2"/>
      <c r="G117" s="3" t="str">
        <f>IFERROR(__xludf.DUMMYFUNCTION("GOOGLETRANSLATE(A117, ""it"", ""en"")"),"116")</f>
        <v>116</v>
      </c>
      <c r="H117" s="3" t="str">
        <f>IFERROR(__xludf.DUMMYFUNCTION("GOOGLETRANSLATE(B117, ""it"", ""en"")"),"What is the meaning of the word ""contrada""?")</f>
        <v>What is the meaning of the word "contrada"?</v>
      </c>
      <c r="I117" s="3" t="str">
        <f>IFERROR(__xludf.DUMMYFUNCTION("GOOGLETRANSLATE(C117, ""it"", ""en"")"),"A. A religious group B. A city district C. A symbol of the Palio D. A noble family")</f>
        <v>A. A religious group B. A city district C. A symbol of the Palio D. A noble family</v>
      </c>
      <c r="J117" s="3" t="str">
        <f>IFERROR(__xludf.DUMMYFUNCTION("GOOGLETRANSLATE(D117, ""it"", ""en"")"),"A city district")</f>
        <v>A city district</v>
      </c>
      <c r="K117" s="3" t="str">
        <f>IFERROR(__xludf.DUMMYFUNCTION("GOOGLETRANSLATE(E117, ""it"", ""en"")"),"The contrade are historical divisions of Siena.")</f>
        <v>The contrade are historical divisions of Siena.</v>
      </c>
      <c r="L117" s="2"/>
      <c r="M117" s="2"/>
      <c r="N117" s="2"/>
      <c r="O117" s="2"/>
      <c r="P117" s="2"/>
      <c r="Q117" s="2"/>
      <c r="R117" s="2"/>
      <c r="S117" s="2"/>
      <c r="T117" s="2"/>
      <c r="U117" s="2"/>
      <c r="V117" s="2"/>
      <c r="W117" s="2"/>
    </row>
    <row r="118" ht="22.5" customHeight="1">
      <c r="A118" s="3">
        <v>117.0</v>
      </c>
      <c r="B118" s="3" t="s">
        <v>2156</v>
      </c>
      <c r="C118" s="3" t="s">
        <v>2157</v>
      </c>
      <c r="D118" s="3" t="s">
        <v>2158</v>
      </c>
      <c r="E118" s="3" t="s">
        <v>2159</v>
      </c>
      <c r="F118" s="2"/>
      <c r="G118" s="3" t="str">
        <f>IFERROR(__xludf.DUMMYFUNCTION("GOOGLETRANSLATE(A118, ""it"", ""en"")"),"117")</f>
        <v>117</v>
      </c>
      <c r="H118" s="3" t="str">
        <f>IFERROR(__xludf.DUMMYFUNCTION("GOOGLETRANSLATE(B118, ""it"", ""en"")"),"What is the prize for the winning contrada?")</f>
        <v>What is the prize for the winning contrada?</v>
      </c>
      <c r="I118" s="3" t="str">
        <f>IFERROR(__xludf.DUMMYFUNCTION("GOOGLETRANSLATE(C118, ""it"", ""en"")"),"A. A golden trophy B. The banner C. A crown D. An honorary title")</f>
        <v>A. A golden trophy B. The banner C. A crown D. An honorary title</v>
      </c>
      <c r="J118" s="3" t="str">
        <f>IFERROR(__xludf.DUMMYFUNCTION("GOOGLETRANSLATE(D118, ""it"", ""en"")"),"The banner")</f>
        <v>The banner</v>
      </c>
      <c r="K118" s="3" t="str">
        <f>IFERROR(__xludf.DUMMYFUNCTION("GOOGLETRANSLATE(E118, ""it"", ""en"")"),"The winning contrada receives the banner.")</f>
        <v>The winning contrada receives the banner.</v>
      </c>
      <c r="L118" s="2"/>
      <c r="M118" s="2"/>
      <c r="N118" s="2"/>
      <c r="O118" s="2"/>
      <c r="P118" s="2"/>
      <c r="Q118" s="2"/>
      <c r="R118" s="2"/>
      <c r="S118" s="2"/>
      <c r="T118" s="2"/>
      <c r="U118" s="2"/>
      <c r="V118" s="2"/>
      <c r="W118" s="2"/>
    </row>
    <row r="119" ht="22.5" customHeight="1">
      <c r="A119" s="3">
        <v>118.0</v>
      </c>
      <c r="B119" s="3" t="s">
        <v>2160</v>
      </c>
      <c r="C119" s="3" t="s">
        <v>2161</v>
      </c>
      <c r="D119" s="3" t="s">
        <v>2162</v>
      </c>
      <c r="E119" s="3" t="s">
        <v>2163</v>
      </c>
      <c r="F119" s="2"/>
      <c r="G119" s="3" t="str">
        <f>IFERROR(__xludf.DUMMYFUNCTION("GOOGLETRANSLATE(A119, ""it"", ""en"")"),"118")</f>
        <v>118</v>
      </c>
      <c r="H119" s="3" t="str">
        <f>IFERROR(__xludf.DUMMYFUNCTION("GOOGLETRANSLATE(B119, ""it"", ""en"")"),"What is the name of the contrada leader?")</f>
        <v>What is the name of the contrada leader?</v>
      </c>
      <c r="I119" s="3" t="str">
        <f>IFERROR(__xludf.DUMMYFUNCTION("GOOGLETRANSLATE(C119, ""it"", ""en"")"),"A. The starter B. The captain C. The prior D. The Barbaresco")</f>
        <v>A. The starter B. The captain C. The prior D. The Barbaresco</v>
      </c>
      <c r="J119" s="3" t="str">
        <f>IFERROR(__xludf.DUMMYFUNCTION("GOOGLETRANSLATE(D119, ""it"", ""en"")"),"The prior")</f>
        <v>The prior</v>
      </c>
      <c r="K119" s="3" t="str">
        <f>IFERROR(__xludf.DUMMYFUNCTION("GOOGLETRANSLATE(E119, ""it"", ""en"")"),"The prior is the leader of the contrada.")</f>
        <v>The prior is the leader of the contrada.</v>
      </c>
      <c r="L119" s="2"/>
      <c r="M119" s="2"/>
      <c r="N119" s="2"/>
      <c r="O119" s="2"/>
      <c r="P119" s="2"/>
      <c r="Q119" s="2"/>
      <c r="R119" s="2"/>
      <c r="S119" s="2"/>
      <c r="T119" s="2"/>
      <c r="U119" s="2"/>
      <c r="V119" s="2"/>
      <c r="W119" s="2"/>
    </row>
    <row r="120" ht="22.5" customHeight="1">
      <c r="A120" s="3">
        <v>119.0</v>
      </c>
      <c r="B120" s="3" t="s">
        <v>2164</v>
      </c>
      <c r="C120" s="3" t="s">
        <v>2165</v>
      </c>
      <c r="D120" s="3" t="s">
        <v>2166</v>
      </c>
      <c r="E120" s="3" t="s">
        <v>2167</v>
      </c>
      <c r="F120" s="2"/>
      <c r="G120" s="3" t="str">
        <f>IFERROR(__xludf.DUMMYFUNCTION("GOOGLETRANSLATE(A120, ""it"", ""en"")"),"119")</f>
        <v>119</v>
      </c>
      <c r="H120" s="3" t="str">
        <f>IFERROR(__xludf.DUMMYFUNCTION("GOOGLETRANSLATE(B120, ""it"", ""en"")"),"What happens after the Palio race?")</f>
        <v>What happens after the Palio race?</v>
      </c>
      <c r="I120" s="3" t="str">
        <f>IFERROR(__xludf.DUMMYFUNCTION("GOOGLETRANSLATE(C120, ""it"", ""en"")"),"A. The distribution of prizes B. The victory dinner C. A new assignment of horses D. A religious ceremony")</f>
        <v>A. The distribution of prizes B. The victory dinner C. A new assignment of horses D. A religious ceremony</v>
      </c>
      <c r="J120" s="3" t="str">
        <f>IFERROR(__xludf.DUMMYFUNCTION("GOOGLETRANSLATE(D120, ""it"", ""en"")"),"The Victory Dinner")</f>
        <v>The Victory Dinner</v>
      </c>
      <c r="K120" s="3" t="str">
        <f>IFERROR(__xludf.DUMMYFUNCTION("GOOGLETRANSLATE(E120, ""it"", ""en"")"),"The winning contrada celebrates with a dinner.")</f>
        <v>The winning contrada celebrates with a dinner.</v>
      </c>
      <c r="L120" s="2"/>
      <c r="M120" s="2"/>
      <c r="N120" s="2"/>
      <c r="O120" s="2"/>
      <c r="P120" s="2"/>
      <c r="Q120" s="2"/>
      <c r="R120" s="2"/>
      <c r="S120" s="2"/>
      <c r="T120" s="2"/>
      <c r="U120" s="2"/>
      <c r="V120" s="2"/>
      <c r="W120" s="2"/>
    </row>
    <row r="121" ht="22.5" customHeight="1">
      <c r="A121" s="3">
        <v>120.0</v>
      </c>
      <c r="B121" s="3" t="s">
        <v>2168</v>
      </c>
      <c r="C121" s="3" t="s">
        <v>2169</v>
      </c>
      <c r="D121" s="3" t="s">
        <v>2170</v>
      </c>
      <c r="E121" s="3" t="s">
        <v>2171</v>
      </c>
      <c r="F121" s="2"/>
      <c r="G121" s="3" t="str">
        <f>IFERROR(__xludf.DUMMYFUNCTION("GOOGLETRANSLATE(A121, ""it"", ""en"")"),"120")</f>
        <v>120</v>
      </c>
      <c r="H121" s="3" t="str">
        <f>IFERROR(__xludf.DUMMYFUNCTION("GOOGLETRANSLATE(B121, ""it"", ""en"")"),"What is the role of the jockey in the contrada?")</f>
        <v>What is the role of the jockey in the contrada?</v>
      </c>
      <c r="I121" s="3" t="str">
        <f>IFERROR(__xludf.DUMMYFUNCTION("GOOGLETRANSLATE(C121, ""it"", ""en"")"),"A. Only run in the Palio B. Represent the contrada in all races C. Be an ambassador for the contrada D. Be part of the strategic decisions")</f>
        <v>A. Only run in the Palio B. Represent the contrada in all races C. Be an ambassador for the contrada D. Be part of the strategic decisions</v>
      </c>
      <c r="J121" s="3" t="str">
        <f>IFERROR(__xludf.DUMMYFUNCTION("GOOGLETRANSLATE(D121, ""it"", ""en"")"),"Be part of strategic decisions")</f>
        <v>Be part of strategic decisions</v>
      </c>
      <c r="K121" s="3" t="str">
        <f>IFERROR(__xludf.DUMMYFUNCTION("GOOGLETRANSLATE(E121, ""it"", ""en"")"),"The jockey also contributes to the race strategy.")</f>
        <v>The jockey also contributes to the race strategy.</v>
      </c>
      <c r="L121" s="2"/>
      <c r="M121" s="2"/>
      <c r="N121" s="2"/>
      <c r="O121" s="2"/>
      <c r="P121" s="2"/>
      <c r="Q121" s="2"/>
      <c r="R121" s="2"/>
      <c r="S121" s="2"/>
      <c r="T121" s="2"/>
      <c r="U121" s="2"/>
      <c r="V121" s="2"/>
      <c r="W121" s="2"/>
    </row>
    <row r="122" ht="22.5" customHeight="1">
      <c r="A122" s="3">
        <v>121.0</v>
      </c>
      <c r="B122" s="3" t="s">
        <v>2172</v>
      </c>
      <c r="C122" s="3" t="s">
        <v>2173</v>
      </c>
      <c r="D122" s="3" t="s">
        <v>2174</v>
      </c>
      <c r="E122" s="3" t="s">
        <v>2175</v>
      </c>
      <c r="F122" s="2"/>
      <c r="G122" s="3" t="str">
        <f>IFERROR(__xludf.DUMMYFUNCTION("GOOGLETRANSLATE(A122, ""it"", ""en"")"),"121")</f>
        <v>121</v>
      </c>
      <c r="H122" s="3" t="str">
        <f>IFERROR(__xludf.DUMMYFUNCTION("GOOGLETRANSLATE(B122, ""it"", ""en"")"),"What does the float carried in the historical procession symbolize?")</f>
        <v>What does the float carried in the historical procession symbolize?</v>
      </c>
      <c r="I122" s="3" t="str">
        <f>IFERROR(__xludf.DUMMYFUNCTION("GOOGLETRANSLATE(C122, ""it"", ""en"")"),"A. The victory of the Palio B. The glory of the city C. The ancient medieval festivals D. The alliances between districts")</f>
        <v>A. The victory of the Palio B. The glory of the city C. The ancient medieval festivals D. The alliances between districts</v>
      </c>
      <c r="J122" s="3" t="str">
        <f>IFERROR(__xludf.DUMMYFUNCTION("GOOGLETRANSLATE(D122, ""it"", ""en"")"),"The ancient medieval festivals")</f>
        <v>The ancient medieval festivals</v>
      </c>
      <c r="K122" s="3" t="str">
        <f>IFERROR(__xludf.DUMMYFUNCTION("GOOGLETRANSLATE(E122, ""it"", ""en"")"),"The chariot represents medieval celebrations.")</f>
        <v>The chariot represents medieval celebrations.</v>
      </c>
      <c r="L122" s="2"/>
      <c r="M122" s="2"/>
      <c r="N122" s="2"/>
      <c r="O122" s="2"/>
      <c r="P122" s="2"/>
      <c r="Q122" s="2"/>
      <c r="R122" s="2"/>
      <c r="S122" s="2"/>
      <c r="T122" s="2"/>
      <c r="U122" s="2"/>
      <c r="V122" s="2"/>
      <c r="W122" s="2"/>
    </row>
    <row r="123" ht="22.5" customHeight="1">
      <c r="A123" s="3">
        <v>122.0</v>
      </c>
      <c r="B123" s="3" t="s">
        <v>1929</v>
      </c>
      <c r="C123" s="3" t="s">
        <v>2176</v>
      </c>
      <c r="D123" s="3" t="s">
        <v>1931</v>
      </c>
      <c r="E123" s="3" t="s">
        <v>2177</v>
      </c>
      <c r="F123" s="2"/>
      <c r="G123" s="3" t="str">
        <f>IFERROR(__xludf.DUMMYFUNCTION("GOOGLETRANSLATE(A123, ""it"", ""en"")"),"122")</f>
        <v>122</v>
      </c>
      <c r="H123" s="3" t="str">
        <f>IFERROR(__xludf.DUMMYFUNCTION("GOOGLETRANSLATE(B123, ""it"", ""en"")"),"Which district has a dragon as its symbol?")</f>
        <v>Which district has a dragon as its symbol?</v>
      </c>
      <c r="I123" s="3" t="str">
        <f>IFERROR(__xludf.DUMMYFUNCTION("GOOGLETRANSLATE(C123, ""it"", ""en"")"),"A. Snail B. Dragon C. Goose D. Porcupine")</f>
        <v>A. Snail B. Dragon C. Goose D. Porcupine</v>
      </c>
      <c r="J123" s="3" t="str">
        <f>IFERROR(__xludf.DUMMYFUNCTION("GOOGLETRANSLATE(D123, ""it"", ""en"")"),"Dragon")</f>
        <v>Dragon</v>
      </c>
      <c r="K123" s="3" t="str">
        <f>IFERROR(__xludf.DUMMYFUNCTION("GOOGLETRANSLATE(E123, ""it"", ""en"")"),"The Dragon has a dragon as its symbol.")</f>
        <v>The Dragon has a dragon as its symbol.</v>
      </c>
      <c r="L123" s="2"/>
      <c r="M123" s="2"/>
      <c r="N123" s="2"/>
      <c r="O123" s="2"/>
      <c r="P123" s="2"/>
      <c r="Q123" s="2"/>
      <c r="R123" s="2"/>
      <c r="S123" s="2"/>
      <c r="T123" s="2"/>
      <c r="U123" s="2"/>
      <c r="V123" s="2"/>
      <c r="W123" s="2"/>
    </row>
    <row r="124" ht="22.5" customHeight="1">
      <c r="A124" s="3">
        <v>123.0</v>
      </c>
      <c r="B124" s="3" t="s">
        <v>2178</v>
      </c>
      <c r="C124" s="3" t="s">
        <v>2179</v>
      </c>
      <c r="D124" s="3" t="s">
        <v>2180</v>
      </c>
      <c r="E124" s="3" t="s">
        <v>2181</v>
      </c>
      <c r="F124" s="2"/>
      <c r="G124" s="3" t="str">
        <f>IFERROR(__xludf.DUMMYFUNCTION("GOOGLETRANSLATE(A124, ""it"", ""en"")"),"123")</f>
        <v>123</v>
      </c>
      <c r="H124" s="3" t="str">
        <f>IFERROR(__xludf.DUMMYFUNCTION("GOOGLETRANSLATE(B124, ""it"", ""en"")"),"What happens to the horse after the blessing?")</f>
        <v>What happens to the horse after the blessing?</v>
      </c>
      <c r="I124" s="3" t="str">
        <f>IFERROR(__xludf.DUMMYFUNCTION("GOOGLETRANSLATE(C124, ""it"", ""en"")"),"A. He returns to the stable B. The procession begins C. He is accompanied to the move D. He is decorated with the banner")</f>
        <v>A. He returns to the stable B. The procession begins C. He is accompanied to the move D. He is decorated with the banner</v>
      </c>
      <c r="J124" s="3" t="str">
        <f>IFERROR(__xludf.DUMMYFUNCTION("GOOGLETRANSLATE(D124, ""it"", ""en"")"),"It is accompanied to the move")</f>
        <v>It is accompanied to the move</v>
      </c>
      <c r="K124" s="3" t="str">
        <f>IFERROR(__xludf.DUMMYFUNCTION("GOOGLETRANSLATE(E124, ""it"", ""en"")"),"After the blessing")</f>
        <v>After the blessing</v>
      </c>
      <c r="L124" s="2"/>
      <c r="M124" s="2"/>
      <c r="N124" s="2"/>
      <c r="O124" s="2"/>
      <c r="P124" s="2"/>
      <c r="Q124" s="2"/>
      <c r="R124" s="2"/>
      <c r="S124" s="2"/>
      <c r="T124" s="2"/>
      <c r="U124" s="2"/>
      <c r="V124" s="2"/>
      <c r="W124" s="2"/>
    </row>
    <row r="125" ht="22.5" customHeight="1">
      <c r="A125" s="3">
        <v>124.0</v>
      </c>
      <c r="B125" s="3" t="s">
        <v>2182</v>
      </c>
      <c r="C125" s="3" t="s">
        <v>2183</v>
      </c>
      <c r="D125" s="3" t="s">
        <v>2068</v>
      </c>
      <c r="E125" s="3" t="s">
        <v>2184</v>
      </c>
      <c r="F125" s="2"/>
      <c r="G125" s="3" t="str">
        <f>IFERROR(__xludf.DUMMYFUNCTION("GOOGLETRANSLATE(A125, ""it"", ""en"")"),"124")</f>
        <v>124</v>
      </c>
      <c r="H125" s="3" t="str">
        <f>IFERROR(__xludf.DUMMYFUNCTION("GOOGLETRANSLATE(B125, ""it"", ""en"")"),"Who supervises the historical procession?")</f>
        <v>Who supervises the historical procession?</v>
      </c>
      <c r="I125" s="3" t="str">
        <f>IFERROR(__xludf.DUMMYFUNCTION("GOOGLETRANSLATE(C125, ""it"", ""en"")"),"A. The prior B. The starter C. The mayor D. The captain of the procession")</f>
        <v>A. The prior B. The starter C. The mayor D. The captain of the procession</v>
      </c>
      <c r="J125" s="3" t="str">
        <f>IFERROR(__xludf.DUMMYFUNCTION("GOOGLETRANSLATE(D125, ""it"", ""en"")"),"The mayor")</f>
        <v>The mayor</v>
      </c>
      <c r="K125" s="3" t="str">
        <f>IFERROR(__xludf.DUMMYFUNCTION("GOOGLETRANSLATE(E125, ""it"", ""en"")"),"The mayor of Siena supervises the historical procession.")</f>
        <v>The mayor of Siena supervises the historical procession.</v>
      </c>
      <c r="L125" s="2"/>
      <c r="M125" s="2"/>
      <c r="N125" s="2"/>
      <c r="O125" s="2"/>
      <c r="P125" s="2"/>
      <c r="Q125" s="2"/>
      <c r="R125" s="2"/>
      <c r="S125" s="2"/>
      <c r="T125" s="2"/>
      <c r="U125" s="2"/>
      <c r="V125" s="2"/>
      <c r="W125" s="2"/>
    </row>
    <row r="126" ht="22.5" customHeight="1">
      <c r="A126" s="3">
        <v>125.0</v>
      </c>
      <c r="B126" s="3" t="s">
        <v>2185</v>
      </c>
      <c r="C126" s="3" t="s">
        <v>2186</v>
      </c>
      <c r="D126" s="3" t="s">
        <v>2187</v>
      </c>
      <c r="E126" s="3" t="s">
        <v>2188</v>
      </c>
      <c r="F126" s="2"/>
      <c r="G126" s="3" t="str">
        <f>IFERROR(__xludf.DUMMYFUNCTION("GOOGLETRANSLATE(A126, ""it"", ""en"")"),"125")</f>
        <v>125</v>
      </c>
      <c r="H126" s="3" t="str">
        <f>IFERROR(__xludf.DUMMYFUNCTION("GOOGLETRANSLATE(B126, ""it"", ""en"")"),"What does the drum represent in the historical parade?")</f>
        <v>What does the drum represent in the historical parade?</v>
      </c>
      <c r="I126" s="3" t="str">
        <f>IFERROR(__xludf.DUMMYFUNCTION("GOOGLETRANSLATE(C126, ""it"", ""en"")"),"A. The voice of the districts B. The rhythm of the parade C. The strength of the district D. A religious symbol")</f>
        <v>A. The voice of the districts B. The rhythm of the parade C. The strength of the district D. A religious symbol</v>
      </c>
      <c r="J126" s="3" t="str">
        <f>IFERROR(__xludf.DUMMYFUNCTION("GOOGLETRANSLATE(D126, ""it"", ""en"")"),"The rhythm of the parade")</f>
        <v>The rhythm of the parade</v>
      </c>
      <c r="K126" s="3" t="str">
        <f>IFERROR(__xludf.DUMMYFUNCTION("GOOGLETRANSLATE(E126, ""it"", ""en"")"),"The drum gives rhythm and intensity to the parade.")</f>
        <v>The drum gives rhythm and intensity to the parade.</v>
      </c>
      <c r="L126" s="2"/>
      <c r="M126" s="2"/>
      <c r="N126" s="2"/>
      <c r="O126" s="2"/>
      <c r="P126" s="2"/>
      <c r="Q126" s="2"/>
      <c r="R126" s="2"/>
      <c r="S126" s="2"/>
      <c r="T126" s="2"/>
      <c r="U126" s="2"/>
      <c r="V126" s="2"/>
      <c r="W126" s="2"/>
    </row>
    <row r="127" ht="22.5" customHeight="1">
      <c r="A127" s="3">
        <v>126.0</v>
      </c>
      <c r="B127" s="3" t="s">
        <v>2189</v>
      </c>
      <c r="C127" s="3" t="s">
        <v>2190</v>
      </c>
      <c r="D127" s="3" t="s">
        <v>2191</v>
      </c>
      <c r="E127" s="3" t="s">
        <v>2192</v>
      </c>
      <c r="F127" s="2"/>
      <c r="G127" s="3" t="str">
        <f>IFERROR(__xludf.DUMMYFUNCTION("GOOGLETRANSLATE(A127, ""it"", ""en"")"),"126")</f>
        <v>126</v>
      </c>
      <c r="H127" s="3" t="str">
        <f>IFERROR(__xludf.DUMMYFUNCTION("GOOGLETRANSLATE(B127, ""it"", ""en"")"),"Which district has a snail as its symbol?")</f>
        <v>Which district has a snail as its symbol?</v>
      </c>
      <c r="I127" s="3" t="str">
        <f>IFERROR(__xludf.DUMMYFUNCTION("GOOGLETRANSLATE(C127, ""it"", ""en"")"),"A. Dragon B. Porcupine C. Snail D. She-wolf")</f>
        <v>A. Dragon B. Porcupine C. Snail D. She-wolf</v>
      </c>
      <c r="J127" s="3" t="str">
        <f>IFERROR(__xludf.DUMMYFUNCTION("GOOGLETRANSLATE(D127, ""it"", ""en"")"),"Snail")</f>
        <v>Snail</v>
      </c>
      <c r="K127" s="3" t="str">
        <f>IFERROR(__xludf.DUMMYFUNCTION("GOOGLETRANSLATE(E127, ""it"", ""en"")"),"The Snail has a snail as its symbol.")</f>
        <v>The Snail has a snail as its symbol.</v>
      </c>
      <c r="L127" s="2"/>
      <c r="M127" s="2"/>
      <c r="N127" s="2"/>
      <c r="O127" s="2"/>
      <c r="P127" s="2"/>
      <c r="Q127" s="2"/>
      <c r="R127" s="2"/>
      <c r="S127" s="2"/>
      <c r="T127" s="2"/>
      <c r="U127" s="2"/>
      <c r="V127" s="2"/>
      <c r="W127" s="2"/>
    </row>
    <row r="128" ht="22.5" customHeight="1">
      <c r="A128" s="3">
        <v>127.0</v>
      </c>
      <c r="B128" s="3" t="s">
        <v>2193</v>
      </c>
      <c r="C128" s="3" t="s">
        <v>2194</v>
      </c>
      <c r="D128" s="3" t="s">
        <v>2195</v>
      </c>
      <c r="E128" s="3" t="s">
        <v>2196</v>
      </c>
      <c r="F128" s="2"/>
      <c r="G128" s="3" t="str">
        <f>IFERROR(__xludf.DUMMYFUNCTION("GOOGLETRANSLATE(A128, ""it"", ""en"")"),"127")</f>
        <v>127</v>
      </c>
      <c r="H128" s="3" t="str">
        <f>IFERROR(__xludf.DUMMYFUNCTION("GOOGLETRANSLATE(B128, ""it"", ""en"")"),"What does ""provaccia"" mean?")</f>
        <v>What does "provaccia" mean?</v>
      </c>
      <c r="I128" s="3" t="str">
        <f>IFERROR(__xludf.DUMMYFUNCTION("GOOGLETRANSLATE(C128, ""it"", ""en"")"),"A. The last test before the Palio B. A performance by the contrada C. The choice of the jockey D. The blessing of the horses")</f>
        <v>A. The last test before the Palio B. A performance by the contrada C. The choice of the jockey D. The blessing of the horses</v>
      </c>
      <c r="J128" s="3" t="str">
        <f>IFERROR(__xludf.DUMMYFUNCTION("GOOGLETRANSLATE(D128, ""it"", ""en"")"),"The last test before the Palio")</f>
        <v>The last test before the Palio</v>
      </c>
      <c r="K128" s="3" t="str">
        <f>IFERROR(__xludf.DUMMYFUNCTION("GOOGLETRANSLATE(E128, ""it"", ""en"")"),"The provaccia is the final test before the race.")</f>
        <v>The provaccia is the final test before the race.</v>
      </c>
      <c r="L128" s="2"/>
      <c r="M128" s="2"/>
      <c r="N128" s="2"/>
      <c r="O128" s="2"/>
      <c r="P128" s="2"/>
      <c r="Q128" s="2"/>
      <c r="R128" s="2"/>
      <c r="S128" s="2"/>
      <c r="T128" s="2"/>
      <c r="U128" s="2"/>
      <c r="V128" s="2"/>
      <c r="W128" s="2"/>
    </row>
    <row r="129" ht="22.5" customHeight="1">
      <c r="A129" s="3">
        <v>128.0</v>
      </c>
      <c r="B129" s="3" t="s">
        <v>2197</v>
      </c>
      <c r="C129" s="3" t="s">
        <v>2198</v>
      </c>
      <c r="D129" s="3" t="s">
        <v>2199</v>
      </c>
      <c r="E129" s="3" t="s">
        <v>2200</v>
      </c>
      <c r="F129" s="2"/>
      <c r="G129" s="3" t="str">
        <f>IFERROR(__xludf.DUMMYFUNCTION("GOOGLETRANSLATE(A129, ""it"", ""en"")"),"128")</f>
        <v>128</v>
      </c>
      <c r="H129" s="3" t="str">
        <f>IFERROR(__xludf.DUMMYFUNCTION("GOOGLETRANSLATE(B129, ""it"", ""en"")"),"What is the meaning of the horse blessing?")</f>
        <v>What is the meaning of the horse blessing?</v>
      </c>
      <c r="I129" s="3" t="str">
        <f>IFERROR(__xludf.DUMMYFUNCTION("GOOGLETRANSLATE(C129, ""it"", ""en"")"),"A. To ensure divine protection B. To guarantee victory C. To prepare the horse for the race D. To celebrate its strength")</f>
        <v>A. To ensure divine protection B. To guarantee victory C. To prepare the horse for the race D. To celebrate its strength</v>
      </c>
      <c r="J129" s="3" t="str">
        <f>IFERROR(__xludf.DUMMYFUNCTION("GOOGLETRANSLATE(D129, ""it"", ""en"")"),"Ensure divine protection")</f>
        <v>Ensure divine protection</v>
      </c>
      <c r="K129" s="3" t="str">
        <f>IFERROR(__xludf.DUMMYFUNCTION("GOOGLETRANSLATE(E129, ""it"", ""en"")"),"The blessing invokes protection and success.")</f>
        <v>The blessing invokes protection and success.</v>
      </c>
      <c r="L129" s="2"/>
      <c r="M129" s="2"/>
      <c r="N129" s="2"/>
      <c r="O129" s="2"/>
      <c r="P129" s="2"/>
      <c r="Q129" s="2"/>
      <c r="R129" s="2"/>
      <c r="S129" s="2"/>
      <c r="T129" s="2"/>
      <c r="U129" s="2"/>
      <c r="V129" s="2"/>
      <c r="W129" s="2"/>
    </row>
    <row r="130" ht="22.5" customHeight="1">
      <c r="A130" s="3">
        <v>129.0</v>
      </c>
      <c r="B130" s="3" t="s">
        <v>2201</v>
      </c>
      <c r="C130" s="3" t="s">
        <v>2202</v>
      </c>
      <c r="D130" s="3" t="s">
        <v>2203</v>
      </c>
      <c r="E130" s="3" t="s">
        <v>2204</v>
      </c>
      <c r="F130" s="2"/>
      <c r="G130" s="3" t="str">
        <f>IFERROR(__xludf.DUMMYFUNCTION("GOOGLETRANSLATE(A130, ""it"", ""en"")"),"129")</f>
        <v>129</v>
      </c>
      <c r="H130" s="3" t="str">
        <f>IFERROR(__xludf.DUMMYFUNCTION("GOOGLETRANSLATE(B130, ""it"", ""en"")"),"What happens if the banner gets damaged?")</f>
        <v>What happens if the banner gets damaged?</v>
      </c>
      <c r="I130" s="3" t="str">
        <f>IFERROR(__xludf.DUMMYFUNCTION("GOOGLETRANSLATE(C130, ""it"", ""en"")"),"A. It is repaired and delivered B. It is replaced C. The race is cancelled D. The winning contrada receives a new one")</f>
        <v>A. It is repaired and delivered B. It is replaced C. The race is cancelled D. The winning contrada receives a new one</v>
      </c>
      <c r="J130" s="3" t="str">
        <f>IFERROR(__xludf.DUMMYFUNCTION("GOOGLETRANSLATE(D130, ""it"", ""en"")"),"It is repaired and delivered")</f>
        <v>It is repaired and delivered</v>
      </c>
      <c r="K130" s="3" t="str">
        <f>IFERROR(__xludf.DUMMYFUNCTION("GOOGLETRANSLATE(E130, ""it"", ""en"")"),"A damaged banner is restored.")</f>
        <v>A damaged banner is restored.</v>
      </c>
      <c r="L130" s="2"/>
      <c r="M130" s="2"/>
      <c r="N130" s="2"/>
      <c r="O130" s="2"/>
      <c r="P130" s="2"/>
      <c r="Q130" s="2"/>
      <c r="R130" s="2"/>
      <c r="S130" s="2"/>
      <c r="T130" s="2"/>
      <c r="U130" s="2"/>
      <c r="V130" s="2"/>
      <c r="W130" s="2"/>
    </row>
    <row r="131" ht="22.5" customHeight="1">
      <c r="A131" s="3">
        <v>130.0</v>
      </c>
      <c r="B131" s="3" t="s">
        <v>2205</v>
      </c>
      <c r="C131" s="3" t="s">
        <v>2206</v>
      </c>
      <c r="D131" s="3" t="s">
        <v>2207</v>
      </c>
      <c r="E131" s="3" t="s">
        <v>2208</v>
      </c>
      <c r="F131" s="2"/>
      <c r="G131" s="3" t="str">
        <f>IFERROR(__xludf.DUMMYFUNCTION("GOOGLETRANSLATE(A131, ""it"", ""en"")"),"130")</f>
        <v>130</v>
      </c>
      <c r="H131" s="3" t="str">
        <f>IFERROR(__xludf.DUMMYFUNCTION("GOOGLETRANSLATE(B131, ""it"", ""en"")"),"What is the name of the church where the horse is blessed?")</f>
        <v>What is the name of the church where the horse is blessed?</v>
      </c>
      <c r="I131" s="3" t="str">
        <f>IFERROR(__xludf.DUMMYFUNCTION("GOOGLETRANSLATE(C131, ""it"", ""en"")"),"A. Church of the Drappellone B. Siena Cathedral C. Church of the Contrada D. Church of San Martino")</f>
        <v>A. Church of the Drappellone B. Siena Cathedral C. Church of the Contrada D. Church of San Martino</v>
      </c>
      <c r="J131" s="3" t="str">
        <f>IFERROR(__xludf.DUMMYFUNCTION("GOOGLETRANSLATE(D131, ""it"", ""en"")"),"Church of the Contrada")</f>
        <v>Church of the Contrada</v>
      </c>
      <c r="K131" s="3" t="str">
        <f>IFERROR(__xludf.DUMMYFUNCTION("GOOGLETRANSLATE(E131, ""it"", ""en"")"),"Each district has a dedicated church for the blessing.")</f>
        <v>Each district has a dedicated church for the blessing.</v>
      </c>
      <c r="L131" s="2"/>
      <c r="M131" s="2"/>
      <c r="N131" s="2"/>
      <c r="O131" s="2"/>
      <c r="P131" s="2"/>
      <c r="Q131" s="2"/>
      <c r="R131" s="2"/>
      <c r="S131" s="2"/>
      <c r="T131" s="2"/>
      <c r="U131" s="2"/>
      <c r="V131" s="2"/>
      <c r="W131" s="2"/>
    </row>
    <row r="132" ht="22.5" customHeight="1">
      <c r="A132" s="3">
        <v>131.0</v>
      </c>
      <c r="B132" s="3" t="s">
        <v>2209</v>
      </c>
      <c r="C132" s="3" t="s">
        <v>2210</v>
      </c>
      <c r="D132" s="3" t="s">
        <v>2211</v>
      </c>
      <c r="E132" s="3" t="s">
        <v>2212</v>
      </c>
      <c r="F132" s="2"/>
      <c r="G132" s="3" t="str">
        <f>IFERROR(__xludf.DUMMYFUNCTION("GOOGLETRANSLATE(A132, ""it"", ""en"")"),"131")</f>
        <v>131</v>
      </c>
      <c r="H132" s="3" t="str">
        <f>IFERROR(__xludf.DUMMYFUNCTION("GOOGLETRANSLATE(B132, ""it"", ""en"")"),"What does ""career"" represent in the Palio?")</f>
        <v>What does "career" represent in the Palio?</v>
      </c>
      <c r="I132" s="3" t="str">
        <f>IFERROR(__xludf.DUMMYFUNCTION("GOOGLETRANSLATE(C132, ""it"", ""en"")"),"A. The race route B. The history of the districts C. The prize awarded D. The role of the jockey")</f>
        <v>A. The race route B. The history of the districts C. The prize awarded D. The role of the jockey</v>
      </c>
      <c r="J132" s="3" t="str">
        <f>IFERROR(__xludf.DUMMYFUNCTION("GOOGLETRANSLATE(D132, ""it"", ""en"")"),"The race route")</f>
        <v>The race route</v>
      </c>
      <c r="K132" s="3" t="str">
        <f>IFERROR(__xludf.DUMMYFUNCTION("GOOGLETRANSLATE(E132, ""it"", ""en"")"),"Career is the term that describes the course of the race.")</f>
        <v>Career is the term that describes the course of the race.</v>
      </c>
      <c r="L132" s="2"/>
      <c r="M132" s="2"/>
      <c r="N132" s="2"/>
      <c r="O132" s="2"/>
      <c r="P132" s="2"/>
      <c r="Q132" s="2"/>
      <c r="R132" s="2"/>
      <c r="S132" s="2"/>
      <c r="T132" s="2"/>
      <c r="U132" s="2"/>
      <c r="V132" s="2"/>
      <c r="W132" s="2"/>
    </row>
    <row r="133" ht="22.5" customHeight="1">
      <c r="A133" s="3">
        <v>132.0</v>
      </c>
      <c r="B133" s="3" t="s">
        <v>2213</v>
      </c>
      <c r="C133" s="3" t="s">
        <v>2214</v>
      </c>
      <c r="D133" s="3" t="s">
        <v>2215</v>
      </c>
      <c r="E133" s="3" t="s">
        <v>2216</v>
      </c>
      <c r="F133" s="2"/>
      <c r="G133" s="3" t="str">
        <f>IFERROR(__xludf.DUMMYFUNCTION("GOOGLETRANSLATE(A133, ""it"", ""en"")"),"132")</f>
        <v>132</v>
      </c>
      <c r="H133" s="3" t="str">
        <f>IFERROR(__xludf.DUMMYFUNCTION("GOOGLETRANSLATE(B133, ""it"", ""en"")"),"What does the term ""partito"" mean in the Palio?")</f>
        <v>What does the term "partito" mean in the Palio?</v>
      </c>
      <c r="I133" s="3" t="str">
        <f>IFERROR(__xludf.DUMMYFUNCTION("GOOGLETRANSLATE(C133, ""it"", ""en"")"),"A. An alliance between districts B. A celebratory event C. The distribution of horses D. The rivalry between two districts")</f>
        <v>A. An alliance between districts B. A celebratory event C. The distribution of horses D. The rivalry between two districts</v>
      </c>
      <c r="J133" s="3" t="str">
        <f>IFERROR(__xludf.DUMMYFUNCTION("GOOGLETRANSLATE(D133, ""it"", ""en"")"),"An alliance between districts")</f>
        <v>An alliance between districts</v>
      </c>
      <c r="K133" s="3" t="str">
        <f>IFERROR(__xludf.DUMMYFUNCTION("GOOGLETRANSLATE(E133, ""it"", ""en"")"),"A party indicates a tactical alliance.")</f>
        <v>A party indicates a tactical alliance.</v>
      </c>
      <c r="L133" s="2"/>
      <c r="M133" s="2"/>
      <c r="N133" s="2"/>
      <c r="O133" s="2"/>
      <c r="P133" s="2"/>
      <c r="Q133" s="2"/>
      <c r="R133" s="2"/>
      <c r="S133" s="2"/>
      <c r="T133" s="2"/>
      <c r="U133" s="2"/>
      <c r="V133" s="2"/>
      <c r="W133" s="2"/>
    </row>
    <row r="134" ht="22.5" customHeight="1">
      <c r="A134" s="3">
        <v>133.0</v>
      </c>
      <c r="B134" s="3" t="s">
        <v>1875</v>
      </c>
      <c r="C134" s="3" t="s">
        <v>2217</v>
      </c>
      <c r="D134" s="3" t="s">
        <v>1877</v>
      </c>
      <c r="E134" s="3" t="s">
        <v>2218</v>
      </c>
      <c r="F134" s="2"/>
      <c r="G134" s="3" t="str">
        <f>IFERROR(__xludf.DUMMYFUNCTION("GOOGLETRANSLATE(A134, ""it"", ""en"")"),"133")</f>
        <v>133</v>
      </c>
      <c r="H134" s="3" t="str">
        <f>IFERROR(__xludf.DUMMYFUNCTION("GOOGLETRANSLATE(B134, ""it"", ""en"")"),"Which district has a giraffe as its symbol?")</f>
        <v>Which district has a giraffe as its symbol?</v>
      </c>
      <c r="I134" s="3" t="str">
        <f>IFERROR(__xludf.DUMMYFUNCTION("GOOGLETRANSLATE(C134, ""it"", ""en"")"),"A. Goose B. Wolf C. Giraffe D. Panther")</f>
        <v>A. Goose B. Wolf C. Giraffe D. Panther</v>
      </c>
      <c r="J134" s="3" t="str">
        <f>IFERROR(__xludf.DUMMYFUNCTION("GOOGLETRANSLATE(D134, ""it"", ""en"")"),"Giraffe")</f>
        <v>Giraffe</v>
      </c>
      <c r="K134" s="3" t="str">
        <f>IFERROR(__xludf.DUMMYFUNCTION("GOOGLETRANSLATE(E134, ""it"", ""en"")"),"The Giraffe has a giraffe as its symbol.")</f>
        <v>The Giraffe has a giraffe as its symbol.</v>
      </c>
      <c r="L134" s="2"/>
      <c r="M134" s="2"/>
      <c r="N134" s="2"/>
      <c r="O134" s="2"/>
      <c r="P134" s="2"/>
      <c r="Q134" s="2"/>
      <c r="R134" s="2"/>
      <c r="S134" s="2"/>
      <c r="T134" s="2"/>
      <c r="U134" s="2"/>
      <c r="V134" s="2"/>
      <c r="W134" s="2"/>
    </row>
    <row r="135" ht="22.5" customHeight="1">
      <c r="A135" s="3">
        <v>134.0</v>
      </c>
      <c r="B135" s="3" t="s">
        <v>2219</v>
      </c>
      <c r="C135" s="3" t="s">
        <v>2220</v>
      </c>
      <c r="D135" s="3" t="s">
        <v>2221</v>
      </c>
      <c r="E135" s="3" t="s">
        <v>2222</v>
      </c>
      <c r="F135" s="2"/>
      <c r="G135" s="3" t="str">
        <f>IFERROR(__xludf.DUMMYFUNCTION("GOOGLETRANSLATE(A135, ""it"", ""en"")"),"134")</f>
        <v>134</v>
      </c>
      <c r="H135" s="3" t="str">
        <f>IFERROR(__xludf.DUMMYFUNCTION("GOOGLETRANSLATE(B135, ""it"", ""en"")"),"What happens during the ""move""?")</f>
        <v>What happens during the "move"?</v>
      </c>
      <c r="I135" s="3" t="str">
        <f>IFERROR(__xludf.DUMMYFUNCTION("GOOGLETRANSLATE(C135, ""it"", ""en"")"),"A. The beginning of the procession B. The assignment of the horses C. The start of the race D. The blessing of the horse")</f>
        <v>A. The beginning of the procession B. The assignment of the horses C. The start of the race D. The blessing of the horse</v>
      </c>
      <c r="J135" s="3" t="str">
        <f>IFERROR(__xludf.DUMMYFUNCTION("GOOGLETRANSLATE(D135, ""it"", ""en"")"),"The start of the race")</f>
        <v>The start of the race</v>
      </c>
      <c r="K135" s="3" t="str">
        <f>IFERROR(__xludf.DUMMYFUNCTION("GOOGLETRANSLATE(E135, ""it"", ""en"")"),"The move is the crucial moment of the start.")</f>
        <v>The move is the crucial moment of the start.</v>
      </c>
      <c r="L135" s="2"/>
      <c r="M135" s="2"/>
      <c r="N135" s="2"/>
      <c r="O135" s="2"/>
      <c r="P135" s="2"/>
      <c r="Q135" s="2"/>
      <c r="R135" s="2"/>
      <c r="S135" s="2"/>
      <c r="T135" s="2"/>
      <c r="U135" s="2"/>
      <c r="V135" s="2"/>
      <c r="W135" s="2"/>
    </row>
    <row r="136" ht="22.5" customHeight="1">
      <c r="A136" s="3">
        <v>135.0</v>
      </c>
      <c r="B136" s="3" t="s">
        <v>2223</v>
      </c>
      <c r="C136" s="3" t="s">
        <v>2224</v>
      </c>
      <c r="D136" s="3" t="s">
        <v>2225</v>
      </c>
      <c r="E136" s="3" t="s">
        <v>2226</v>
      </c>
      <c r="F136" s="2"/>
      <c r="G136" s="3" t="str">
        <f>IFERROR(__xludf.DUMMYFUNCTION("GOOGLETRANSLATE(A136, ""it"", ""en"")"),"135")</f>
        <v>135</v>
      </c>
      <c r="H136" s="3" t="str">
        <f>IFERROR(__xludf.DUMMYFUNCTION("GOOGLETRANSLATE(B136, ""it"", ""en"")"),"What does the Piazza del Campo symbolize during the Palio?")</f>
        <v>What does the Piazza del Campo symbolize during the Palio?</v>
      </c>
      <c r="I136" s="3" t="str">
        <f>IFERROR(__xludf.DUMMYFUNCTION("GOOGLETRANSLATE(C136, ""it"", ""en"")"),"A. The strength of the districts B. The history of Siena C. Religious devotion D. The centrality of the city")</f>
        <v>A. The strength of the districts B. The history of Siena C. Religious devotion D. The centrality of the city</v>
      </c>
      <c r="J136" s="3" t="str">
        <f>IFERROR(__xludf.DUMMYFUNCTION("GOOGLETRANSLATE(D136, ""it"", ""en"")"),"The centrality of the city")</f>
        <v>The centrality of the city</v>
      </c>
      <c r="K136" s="3" t="str">
        <f>IFERROR(__xludf.DUMMYFUNCTION("GOOGLETRANSLATE(E136, ""it"", ""en"")"),"The Piazza del Campo is the symbolic heart of the city.")</f>
        <v>The Piazza del Campo is the symbolic heart of the city.</v>
      </c>
      <c r="L136" s="2"/>
      <c r="M136" s="2"/>
      <c r="N136" s="2"/>
      <c r="O136" s="2"/>
      <c r="P136" s="2"/>
      <c r="Q136" s="2"/>
      <c r="R136" s="2"/>
      <c r="S136" s="2"/>
      <c r="T136" s="2"/>
      <c r="U136" s="2"/>
      <c r="V136" s="2"/>
      <c r="W136" s="2"/>
    </row>
    <row r="137" ht="22.5" customHeight="1">
      <c r="A137" s="3">
        <v>136.0</v>
      </c>
      <c r="B137" s="3" t="s">
        <v>2227</v>
      </c>
      <c r="C137" s="3" t="s">
        <v>2228</v>
      </c>
      <c r="D137" s="3" t="s">
        <v>2229</v>
      </c>
      <c r="E137" s="3" t="s">
        <v>2230</v>
      </c>
      <c r="F137" s="2"/>
      <c r="G137" s="3" t="str">
        <f>IFERROR(__xludf.DUMMYFUNCTION("GOOGLETRANSLATE(A137, ""it"", ""en"")"),"136")</f>
        <v>136</v>
      </c>
      <c r="H137" s="3" t="str">
        <f>IFERROR(__xludf.DUMMYFUNCTION("GOOGLETRANSLATE(B137, ""it"", ""en"")"),"Which district has a lion as its symbol?")</f>
        <v>Which district has a lion as its symbol?</v>
      </c>
      <c r="I137" s="3" t="str">
        <f>IFERROR(__xludf.DUMMYFUNCTION("GOOGLETRANSLATE(C137, ""it"", ""en"")"),"A. Eagle B. Unicorn C. Panther D. Wave")</f>
        <v>A. Eagle B. Unicorn C. Panther D. Wave</v>
      </c>
      <c r="J137" s="3" t="str">
        <f>IFERROR(__xludf.DUMMYFUNCTION("GOOGLETRANSLATE(D137, ""it"", ""en"")"),"Unicorn")</f>
        <v>Unicorn</v>
      </c>
      <c r="K137" s="3" t="str">
        <f>IFERROR(__xludf.DUMMYFUNCTION("GOOGLETRANSLATE(E137, ""it"", ""en"")"),"The Leocorno has a lion as its symbol.")</f>
        <v>The Leocorno has a lion as its symbol.</v>
      </c>
      <c r="L137" s="2"/>
      <c r="M137" s="2"/>
      <c r="N137" s="2"/>
      <c r="O137" s="2"/>
      <c r="P137" s="2"/>
      <c r="Q137" s="2"/>
      <c r="R137" s="2"/>
      <c r="S137" s="2"/>
      <c r="T137" s="2"/>
      <c r="U137" s="2"/>
      <c r="V137" s="2"/>
      <c r="W137" s="2"/>
    </row>
    <row r="138" ht="22.5" customHeight="1">
      <c r="A138" s="3">
        <v>137.0</v>
      </c>
      <c r="B138" s="3" t="s">
        <v>2231</v>
      </c>
      <c r="C138" s="3" t="s">
        <v>2232</v>
      </c>
      <c r="D138" s="3" t="s">
        <v>2233</v>
      </c>
      <c r="E138" s="3" t="s">
        <v>2234</v>
      </c>
      <c r="F138" s="2"/>
      <c r="G138" s="3" t="str">
        <f>IFERROR(__xludf.DUMMYFUNCTION("GOOGLETRANSLATE(A138, ""it"", ""en"")"),"137")</f>
        <v>137</v>
      </c>
      <c r="H138" s="3" t="str">
        <f>IFERROR(__xludf.DUMMYFUNCTION("GOOGLETRANSLATE(B138, ""it"", ""en"")"),"What does the wave represent in the symbol of the homonymous district?")</f>
        <v>What does the wave represent in the symbol of the homonymous district?</v>
      </c>
      <c r="I138" s="3" t="str">
        <f>IFERROR(__xludf.DUMMYFUNCTION("GOOGLETRANSLATE(C138, ""it"", ""en"")"),"A. The power of the waters B. Maritime trade C. The defense of Siena D. The purity of the Madonna")</f>
        <v>A. The power of the waters B. Maritime trade C. The defense of Siena D. The purity of the Madonna</v>
      </c>
      <c r="J138" s="3" t="str">
        <f>IFERROR(__xludf.DUMMYFUNCTION("GOOGLETRANSLATE(D138, ""it"", ""en"")"),"Maritime trade")</f>
        <v>Maritime trade</v>
      </c>
      <c r="K138" s="3" t="str">
        <f>IFERROR(__xludf.DUMMYFUNCTION("GOOGLETRANSLATE(E138, ""it"", ""en"")"),"The Wave represents the link with maritime trade.")</f>
        <v>The Wave represents the link with maritime trade.</v>
      </c>
      <c r="L138" s="2"/>
      <c r="M138" s="2"/>
      <c r="N138" s="2"/>
      <c r="O138" s="2"/>
      <c r="P138" s="2"/>
      <c r="Q138" s="2"/>
      <c r="R138" s="2"/>
      <c r="S138" s="2"/>
      <c r="T138" s="2"/>
      <c r="U138" s="2"/>
      <c r="V138" s="2"/>
      <c r="W138" s="2"/>
    </row>
    <row r="139" ht="22.5" customHeight="1">
      <c r="A139" s="3">
        <v>138.0</v>
      </c>
      <c r="B139" s="3" t="s">
        <v>2235</v>
      </c>
      <c r="C139" s="3" t="s">
        <v>2236</v>
      </c>
      <c r="D139" s="3" t="s">
        <v>1831</v>
      </c>
      <c r="E139" s="3" t="s">
        <v>2237</v>
      </c>
      <c r="F139" s="2"/>
      <c r="G139" s="3" t="str">
        <f>IFERROR(__xludf.DUMMYFUNCTION("GOOGLETRANSLATE(A139, ""it"", ""en"")"),"138")</f>
        <v>138</v>
      </c>
      <c r="H139" s="3" t="str">
        <f>IFERROR(__xludf.DUMMYFUNCTION("GOOGLETRANSLATE(B139, ""it"", ""en"")"),"Which contrada has a horse as its symbol?")</f>
        <v>Which contrada has a horse as its symbol?</v>
      </c>
      <c r="I139" s="3" t="str">
        <f>IFERROR(__xludf.DUMMYFUNCTION("GOOGLETRANSLATE(C139, ""it"", ""en"")"),"A. Goose B. Nicchio C. Wave D. Owl")</f>
        <v>A. Goose B. Nicchio C. Wave D. Owl</v>
      </c>
      <c r="J139" s="3" t="str">
        <f>IFERROR(__xludf.DUMMYFUNCTION("GOOGLETRANSLATE(D139, ""it"", ""en"")"),"Niche")</f>
        <v>Niche</v>
      </c>
      <c r="K139" s="3" t="str">
        <f>IFERROR(__xludf.DUMMYFUNCTION("GOOGLETRANSLATE(E139, ""it"", ""en"")"),"The Nicchio has a horse as its symbol.")</f>
        <v>The Nicchio has a horse as its symbol.</v>
      </c>
      <c r="L139" s="2"/>
      <c r="M139" s="2"/>
      <c r="N139" s="2"/>
      <c r="O139" s="2"/>
      <c r="P139" s="2"/>
      <c r="Q139" s="2"/>
      <c r="R139" s="2"/>
      <c r="S139" s="2"/>
      <c r="T139" s="2"/>
      <c r="U139" s="2"/>
      <c r="V139" s="2"/>
      <c r="W139" s="2"/>
    </row>
    <row r="140" ht="22.5" customHeight="1">
      <c r="A140" s="3">
        <v>139.0</v>
      </c>
      <c r="B140" s="3" t="s">
        <v>2238</v>
      </c>
      <c r="C140" s="3" t="s">
        <v>2239</v>
      </c>
      <c r="D140" s="3" t="s">
        <v>2240</v>
      </c>
      <c r="E140" s="3" t="s">
        <v>2241</v>
      </c>
      <c r="F140" s="2"/>
      <c r="G140" s="3" t="str">
        <f>IFERROR(__xludf.DUMMYFUNCTION("GOOGLETRANSLATE(A140, ""it"", ""en"")"),"139")</f>
        <v>139</v>
      </c>
      <c r="H140" s="3" t="str">
        <f>IFERROR(__xludf.DUMMYFUNCTION("GOOGLETRANSLATE(B140, ""it"", ""en"")"),"What is the meaning of the ""tratta"" in the Palio?")</f>
        <v>What is the meaning of the "tratta" in the Palio?</v>
      </c>
      <c r="I140" s="3" t="str">
        <f>IFERROR(__xludf.DUMMYFUNCTION("GOOGLETRANSLATE(C140, ""it"", ""en"")"),"A. The distribution of the horses B. The blessing of the horses C. The historical procession D. The selection of the starter")</f>
        <v>A. The distribution of the horses B. The blessing of the horses C. The historical procession D. The selection of the starter</v>
      </c>
      <c r="J140" s="3" t="str">
        <f>IFERROR(__xludf.DUMMYFUNCTION("GOOGLETRANSLATE(D140, ""it"", ""en"")"),"The distribution of horses")</f>
        <v>The distribution of horses</v>
      </c>
      <c r="K140" s="3" t="str">
        <f>IFERROR(__xludf.DUMMYFUNCTION("GOOGLETRANSLATE(E140, ""it"", ""en"")"),"The tratta is the drawing of lots for horses between the districts.")</f>
        <v>The tratta is the drawing of lots for horses between the districts.</v>
      </c>
      <c r="L140" s="2"/>
      <c r="M140" s="2"/>
      <c r="N140" s="2"/>
      <c r="O140" s="2"/>
      <c r="P140" s="2"/>
      <c r="Q140" s="2"/>
      <c r="R140" s="2"/>
      <c r="S140" s="2"/>
      <c r="T140" s="2"/>
      <c r="U140" s="2"/>
      <c r="V140" s="2"/>
      <c r="W140" s="2"/>
    </row>
    <row r="141" ht="22.5" customHeight="1">
      <c r="A141" s="3">
        <v>140.0</v>
      </c>
      <c r="B141" s="3" t="s">
        <v>2242</v>
      </c>
      <c r="C141" s="3" t="s">
        <v>2243</v>
      </c>
      <c r="D141" s="3" t="s">
        <v>2244</v>
      </c>
      <c r="E141" s="3" t="s">
        <v>2245</v>
      </c>
      <c r="F141" s="2"/>
      <c r="G141" s="3" t="str">
        <f>IFERROR(__xludf.DUMMYFUNCTION("GOOGLETRANSLATE(A141, ""it"", ""en"")"),"140")</f>
        <v>140</v>
      </c>
      <c r="H141" s="3" t="str">
        <f>IFERROR(__xludf.DUMMYFUNCTION("GOOGLETRANSLATE(B141, ""it"", ""en"")"),"What does ""shaken jockey"" mean?")</f>
        <v>What does "shaken jockey" mean?</v>
      </c>
      <c r="I141" s="3" t="str">
        <f>IFERROR(__xludf.DUMMYFUNCTION("GOOGLETRANSLATE(C141, ""it"", ""en"")"),"A. A jockey who does not participate B. A jockey in difficulty C. A horse that runs without a jockey D. A replaced jockey")</f>
        <v>A. A jockey who does not participate B. A jockey in difficulty C. A horse that runs without a jockey D. A replaced jockey</v>
      </c>
      <c r="J141" s="3" t="str">
        <f>IFERROR(__xludf.DUMMYFUNCTION("GOOGLETRANSLATE(D141, ""it"", ""en"")"),"A horse that runs without a rider")</f>
        <v>A horse that runs without a rider</v>
      </c>
      <c r="K141" s="3" t="str">
        <f>IFERROR(__xludf.DUMMYFUNCTION("GOOGLETRANSLATE(E141, ""it"", ""en"")"),"The jockey who was shaken is the one who fell during the race.")</f>
        <v>The jockey who was shaken is the one who fell during the race.</v>
      </c>
      <c r="L141" s="2"/>
      <c r="M141" s="2"/>
      <c r="N141" s="2"/>
      <c r="O141" s="2"/>
      <c r="P141" s="2"/>
      <c r="Q141" s="2"/>
      <c r="R141" s="2"/>
      <c r="S141" s="2"/>
      <c r="T141" s="2"/>
      <c r="U141" s="2"/>
      <c r="V141" s="2"/>
      <c r="W141" s="2"/>
    </row>
    <row r="142" ht="22.5" customHeight="1">
      <c r="A142" s="3">
        <v>141.0</v>
      </c>
      <c r="B142" s="3" t="s">
        <v>2246</v>
      </c>
      <c r="C142" s="3" t="s">
        <v>2247</v>
      </c>
      <c r="D142" s="3" t="s">
        <v>2248</v>
      </c>
      <c r="E142" s="3" t="s">
        <v>2249</v>
      </c>
      <c r="F142" s="2"/>
      <c r="G142" s="3" t="str">
        <f>IFERROR(__xludf.DUMMYFUNCTION("GOOGLETRANSLATE(A142, ""it"", ""en"")"),"141")</f>
        <v>141</v>
      </c>
      <c r="H142" s="3" t="str">
        <f>IFERROR(__xludf.DUMMYFUNCTION("GOOGLETRANSLATE(B142, ""it"", ""en"")"),"What happens if a horse is injured during the Palio?")</f>
        <v>What happens if a horse is injured during the Palio?</v>
      </c>
      <c r="I142" s="3" t="str">
        <f>IFERROR(__xludf.DUMMYFUNCTION("GOOGLETRANSLATE(C142, ""it"", ""en"")"),"A. He is excluded from the race B. He is immediately assisted C. The contrada is disqualified D. The race is suspended")</f>
        <v>A. He is excluded from the race B. He is immediately assisted C. The contrada is disqualified D. The race is suspended</v>
      </c>
      <c r="J142" s="3" t="str">
        <f>IFERROR(__xludf.DUMMYFUNCTION("GOOGLETRANSLATE(D142, ""it"", ""en"")"),"He is assisted immediately")</f>
        <v>He is assisted immediately</v>
      </c>
      <c r="K142" s="3" t="str">
        <f>IFERROR(__xludf.DUMMYFUNCTION("GOOGLETRANSLATE(E142, ""it"", ""en"")"),"The horse receives immediate treatment.")</f>
        <v>The horse receives immediate treatment.</v>
      </c>
      <c r="L142" s="2"/>
      <c r="M142" s="2"/>
      <c r="N142" s="2"/>
      <c r="O142" s="2"/>
      <c r="P142" s="2"/>
      <c r="Q142" s="2"/>
      <c r="R142" s="2"/>
      <c r="S142" s="2"/>
      <c r="T142" s="2"/>
      <c r="U142" s="2"/>
      <c r="V142" s="2"/>
      <c r="W142" s="2"/>
    </row>
    <row r="143" ht="22.5" customHeight="1">
      <c r="A143" s="3">
        <v>142.0</v>
      </c>
      <c r="B143" s="3" t="s">
        <v>2056</v>
      </c>
      <c r="C143" s="3" t="s">
        <v>2250</v>
      </c>
      <c r="D143" s="3" t="s">
        <v>2251</v>
      </c>
      <c r="E143" s="3" t="s">
        <v>2252</v>
      </c>
      <c r="F143" s="2"/>
      <c r="G143" s="3" t="str">
        <f>IFERROR(__xludf.DUMMYFUNCTION("GOOGLETRANSLATE(A143, ""it"", ""en"")"),"142")</f>
        <v>142</v>
      </c>
      <c r="H143" s="3" t="str">
        <f>IFERROR(__xludf.DUMMYFUNCTION("GOOGLETRANSLATE(B143, ""it"", ""en"")"),"What is the meaning of the term ""barbaresco""?")</f>
        <v>What is the meaning of the term "barbaresco"?</v>
      </c>
      <c r="I143" s="3" t="str">
        <f>IFERROR(__xludf.DUMMYFUNCTION("GOOGLETRANSLATE(C143, ""it"", ""en"")"),"A. The horse keeper B. A role in the historical parade C. A judge of the Palio D. A term for the starter")</f>
        <v>A. The horse keeper B. A role in the historical parade C. A judge of the Palio D. A term for the starter</v>
      </c>
      <c r="J143" s="3" t="str">
        <f>IFERROR(__xludf.DUMMYFUNCTION("GOOGLETRANSLATE(D143, ""it"", ""en"")"),"The horse keeper")</f>
        <v>The horse keeper</v>
      </c>
      <c r="K143" s="3" t="str">
        <f>IFERROR(__xludf.DUMMYFUNCTION("GOOGLETRANSLATE(E143, ""it"", ""en"")"),"The Barbaresco takes care of the contrada's horse.")</f>
        <v>The Barbaresco takes care of the contrada's horse.</v>
      </c>
      <c r="L143" s="2"/>
      <c r="M143" s="2"/>
      <c r="N143" s="2"/>
      <c r="O143" s="2"/>
      <c r="P143" s="2"/>
      <c r="Q143" s="2"/>
      <c r="R143" s="2"/>
      <c r="S143" s="2"/>
      <c r="T143" s="2"/>
      <c r="U143" s="2"/>
      <c r="V143" s="2"/>
      <c r="W143" s="2"/>
    </row>
    <row r="144" ht="22.5" customHeight="1">
      <c r="A144" s="3">
        <v>143.0</v>
      </c>
      <c r="B144" s="3" t="s">
        <v>2253</v>
      </c>
      <c r="C144" s="3" t="s">
        <v>2254</v>
      </c>
      <c r="D144" s="3" t="s">
        <v>2255</v>
      </c>
      <c r="E144" s="3" t="s">
        <v>2256</v>
      </c>
      <c r="F144" s="2"/>
      <c r="G144" s="3" t="str">
        <f>IFERROR(__xludf.DUMMYFUNCTION("GOOGLETRANSLATE(A144, ""it"", ""en"")"),"143")</f>
        <v>143</v>
      </c>
      <c r="H144" s="3" t="str">
        <f>IFERROR(__xludf.DUMMYFUNCTION("GOOGLETRANSLATE(B144, ""it"", ""en"")"),"What is the average length of the Palio race?")</f>
        <v>What is the average length of the Palio race?</v>
      </c>
      <c r="I144" s="3" t="str">
        <f>IFERROR(__xludf.DUMMYFUNCTION("GOOGLETRANSLATE(C144, ""it"", ""en"")"),"A. 30 seconds B. 1 minute C. 90 seconds D. 2 minutes")</f>
        <v>A. 30 seconds B. 1 minute C. 90 seconds D. 2 minutes</v>
      </c>
      <c r="J144" s="3" t="str">
        <f>IFERROR(__xludf.DUMMYFUNCTION("GOOGLETRANSLATE(D144, ""it"", ""en"")"),"90 seconds")</f>
        <v>90 seconds</v>
      </c>
      <c r="K144" s="3" t="str">
        <f>IFERROR(__xludf.DUMMYFUNCTION("GOOGLETRANSLATE(E144, ""it"", ""en"")"),"The Palio race lasts approximately 90 seconds.")</f>
        <v>The Palio race lasts approximately 90 seconds.</v>
      </c>
      <c r="L144" s="2"/>
      <c r="M144" s="2"/>
      <c r="N144" s="2"/>
      <c r="O144" s="2"/>
      <c r="P144" s="2"/>
      <c r="Q144" s="2"/>
      <c r="R144" s="2"/>
      <c r="S144" s="2"/>
      <c r="T144" s="2"/>
      <c r="U144" s="2"/>
      <c r="V144" s="2"/>
      <c r="W144" s="2"/>
    </row>
    <row r="145" ht="22.5" customHeight="1">
      <c r="A145" s="3">
        <v>144.0</v>
      </c>
      <c r="B145" s="3" t="s">
        <v>2257</v>
      </c>
      <c r="C145" s="3" t="s">
        <v>2258</v>
      </c>
      <c r="D145" s="3" t="s">
        <v>2259</v>
      </c>
      <c r="E145" s="3" t="s">
        <v>2260</v>
      </c>
      <c r="F145" s="2"/>
      <c r="G145" s="3" t="str">
        <f>IFERROR(__xludf.DUMMYFUNCTION("GOOGLETRANSLATE(A145, ""it"", ""en"")"),"144")</f>
        <v>144</v>
      </c>
      <c r="H145" s="3" t="str">
        <f>IFERROR(__xludf.DUMMYFUNCTION("GOOGLETRANSLATE(B145, ""it"", ""en"")"),"Which district has an elephant as its symbol?")</f>
        <v>Which district has an elephant as its symbol?</v>
      </c>
      <c r="I145" s="3" t="str">
        <f>IFERROR(__xludf.DUMMYFUNCTION("GOOGLETRANSLATE(C145, ""it"", ""en"")"),"A. Eagle B. Turtle C. Dragon D. Wave")</f>
        <v>A. Eagle B. Turtle C. Dragon D. Wave</v>
      </c>
      <c r="J145" s="3" t="str">
        <f>IFERROR(__xludf.DUMMYFUNCTION("GOOGLETRANSLATE(D145, ""it"", ""en"")"),"Turtle")</f>
        <v>Turtle</v>
      </c>
      <c r="K145" s="3" t="str">
        <f>IFERROR(__xludf.DUMMYFUNCTION("GOOGLETRANSLATE(E145, ""it"", ""en"")"),"The Tartuca has an elephant as its symbol.")</f>
        <v>The Tartuca has an elephant as its symbol.</v>
      </c>
      <c r="L145" s="2"/>
      <c r="M145" s="2"/>
      <c r="N145" s="2"/>
      <c r="O145" s="2"/>
      <c r="P145" s="2"/>
      <c r="Q145" s="2"/>
      <c r="R145" s="2"/>
      <c r="S145" s="2"/>
      <c r="T145" s="2"/>
      <c r="U145" s="2"/>
      <c r="V145" s="2"/>
      <c r="W145" s="2"/>
    </row>
    <row r="146" ht="22.5" customHeight="1">
      <c r="A146" s="3">
        <v>145.0</v>
      </c>
      <c r="B146" s="3" t="s">
        <v>2261</v>
      </c>
      <c r="C146" s="3" t="s">
        <v>2262</v>
      </c>
      <c r="D146" s="3" t="s">
        <v>2263</v>
      </c>
      <c r="E146" s="3" t="s">
        <v>2264</v>
      </c>
      <c r="F146" s="2"/>
      <c r="G146" s="3" t="str">
        <f>IFERROR(__xludf.DUMMYFUNCTION("GOOGLETRANSLATE(A146, ""it"", ""en"")"),"145")</f>
        <v>145</v>
      </c>
      <c r="H146" s="3" t="str">
        <f>IFERROR(__xludf.DUMMYFUNCTION("GOOGLETRANSLATE(B146, ""it"", ""en"")"),"What does the symbol of the Oca contrada represent?")</f>
        <v>What does the symbol of the Oca contrada represent?</v>
      </c>
      <c r="I146" s="3" t="str">
        <f>IFERROR(__xludf.DUMMYFUNCTION("GOOGLETRANSLATE(C146, ""it"", ""en"")"),"A. Devotion to the Madonna B. The purity of water C. The connection with nature D. Luck and success")</f>
        <v>A. Devotion to the Madonna B. The purity of water C. The connection with nature D. Luck and success</v>
      </c>
      <c r="J146" s="3" t="str">
        <f>IFERROR(__xludf.DUMMYFUNCTION("GOOGLETRANSLATE(D146, ""it"", ""en"")"),"Devotion to Our Lady")</f>
        <v>Devotion to Our Lady</v>
      </c>
      <c r="K146" s="3" t="str">
        <f>IFERROR(__xludf.DUMMYFUNCTION("GOOGLETRANSLATE(E146, ""it"", ""en"")"),"The Goose symbolizes devotion to the Madonna.")</f>
        <v>The Goose symbolizes devotion to the Madonna.</v>
      </c>
      <c r="L146" s="2"/>
      <c r="M146" s="2"/>
      <c r="N146" s="2"/>
      <c r="O146" s="2"/>
      <c r="P146" s="2"/>
      <c r="Q146" s="2"/>
      <c r="R146" s="2"/>
      <c r="S146" s="2"/>
      <c r="T146" s="2"/>
      <c r="U146" s="2"/>
      <c r="V146" s="2"/>
      <c r="W146" s="2"/>
    </row>
    <row r="147" ht="22.5" customHeight="1">
      <c r="A147" s="3">
        <v>146.0</v>
      </c>
      <c r="B147" s="3" t="s">
        <v>2265</v>
      </c>
      <c r="C147" s="3" t="s">
        <v>2266</v>
      </c>
      <c r="D147" s="3" t="s">
        <v>2267</v>
      </c>
      <c r="E147" s="3" t="s">
        <v>2268</v>
      </c>
      <c r="F147" s="2"/>
      <c r="G147" s="3" t="str">
        <f>IFERROR(__xludf.DUMMYFUNCTION("GOOGLETRANSLATE(A147, ""it"", ""en"")"),"146")</f>
        <v>146</v>
      </c>
      <c r="H147" s="3" t="str">
        <f>IFERROR(__xludf.DUMMYFUNCTION("GOOGLETRANSLATE(B147, ""it"", ""en"")"),"What happens if a horse completes the race without a jockey?")</f>
        <v>What happens if a horse completes the race without a jockey?</v>
      </c>
      <c r="I147" s="3" t="str">
        <f>IFERROR(__xludf.DUMMYFUNCTION("GOOGLETRANSLATE(C147, ""it"", ""en"")"),"A. He is disqualified B. The contrada loses C. He can win the Palio D. The race is cancelled")</f>
        <v>A. He is disqualified B. The contrada loses C. He can win the Palio D. The race is cancelled</v>
      </c>
      <c r="J147" s="3" t="str">
        <f>IFERROR(__xludf.DUMMYFUNCTION("GOOGLETRANSLATE(D147, ""it"", ""en"")"),"He can win the Palio")</f>
        <v>He can win the Palio</v>
      </c>
      <c r="K147" s="3" t="str">
        <f>IFERROR(__xludf.DUMMYFUNCTION("GOOGLETRANSLATE(E147, ""it"", ""en"")"),"A shaken horse can still win.")</f>
        <v>A shaken horse can still win.</v>
      </c>
      <c r="L147" s="2"/>
      <c r="M147" s="2"/>
      <c r="N147" s="2"/>
      <c r="O147" s="2"/>
      <c r="P147" s="2"/>
      <c r="Q147" s="2"/>
      <c r="R147" s="2"/>
      <c r="S147" s="2"/>
      <c r="T147" s="2"/>
      <c r="U147" s="2"/>
      <c r="V147" s="2"/>
      <c r="W147" s="2"/>
    </row>
    <row r="148" ht="22.5" customHeight="1">
      <c r="A148" s="3">
        <v>147.0</v>
      </c>
      <c r="B148" s="3" t="s">
        <v>2269</v>
      </c>
      <c r="C148" s="3" t="s">
        <v>2270</v>
      </c>
      <c r="D148" s="3" t="s">
        <v>1776</v>
      </c>
      <c r="E148" s="3" t="s">
        <v>2271</v>
      </c>
      <c r="F148" s="2"/>
      <c r="G148" s="3" t="str">
        <f>IFERROR(__xludf.DUMMYFUNCTION("GOOGLETRANSLATE(A148, ""it"", ""en"")"),"147")</f>
        <v>147</v>
      </c>
      <c r="H148" s="3" t="str">
        <f>IFERROR(__xludf.DUMMYFUNCTION("GOOGLETRANSLATE(B148, ""it"", ""en"")"),"Which contrada has won the most victories in the history of the Palio?")</f>
        <v>Which contrada has won the most victories in the history of the Palio?</v>
      </c>
      <c r="I148" s="3" t="str">
        <f>IFERROR(__xludf.DUMMYFUNCTION("GOOGLETRANSLATE(C148, ""it"", ""en"")"),"A. Goose B. Giraffe C. Wolf D. Tower")</f>
        <v>A. Goose B. Giraffe C. Wolf D. Tower</v>
      </c>
      <c r="J148" s="3" t="str">
        <f>IFERROR(__xludf.DUMMYFUNCTION("GOOGLETRANSLATE(D148, ""it"", ""en"")"),"Goose")</f>
        <v>Goose</v>
      </c>
      <c r="K148" s="3" t="str">
        <f>IFERROR(__xludf.DUMMYFUNCTION("GOOGLETRANSLATE(E148, ""it"", ""en"")"),"The Goose is known for having the most victories.")</f>
        <v>The Goose is known for having the most victories.</v>
      </c>
      <c r="L148" s="2"/>
      <c r="M148" s="2"/>
      <c r="N148" s="2"/>
      <c r="O148" s="2"/>
      <c r="P148" s="2"/>
      <c r="Q148" s="2"/>
      <c r="R148" s="2"/>
      <c r="S148" s="2"/>
      <c r="T148" s="2"/>
      <c r="U148" s="2"/>
      <c r="V148" s="2"/>
      <c r="W148" s="2"/>
    </row>
    <row r="149" ht="22.5" customHeight="1">
      <c r="A149" s="3">
        <v>148.0</v>
      </c>
      <c r="B149" s="3" t="s">
        <v>2272</v>
      </c>
      <c r="C149" s="3" t="s">
        <v>2273</v>
      </c>
      <c r="D149" s="3" t="s">
        <v>2158</v>
      </c>
      <c r="E149" s="3" t="s">
        <v>2274</v>
      </c>
      <c r="F149" s="2"/>
      <c r="G149" s="3" t="str">
        <f>IFERROR(__xludf.DUMMYFUNCTION("GOOGLETRANSLATE(A149, ""it"", ""en"")"),"148")</f>
        <v>148</v>
      </c>
      <c r="H149" s="3" t="str">
        <f>IFERROR(__xludf.DUMMYFUNCTION("GOOGLETRANSLATE(B149, ""it"", ""en"")"),"What does the term ""cencio"" mean?")</f>
        <v>What does the term "cencio" mean?</v>
      </c>
      <c r="I149" s="3" t="str">
        <f>IFERROR(__xludf.DUMMYFUNCTION("GOOGLETRANSLATE(C149, ""it"", ""en"")"),"A. The banner B. The symbol of the contrada C. A shaken horse D. The historical procession")</f>
        <v>A. The banner B. The symbol of the contrada C. A shaken horse D. The historical procession</v>
      </c>
      <c r="J149" s="3" t="str">
        <f>IFERROR(__xludf.DUMMYFUNCTION("GOOGLETRANSLATE(D149, ""it"", ""en"")"),"The banner")</f>
        <v>The banner</v>
      </c>
      <c r="K149" s="3" t="str">
        <f>IFERROR(__xludf.DUMMYFUNCTION("GOOGLETRANSLATE(E149, ""it"", ""en"")"),"The ""cencio"" is the nickname of the banner.")</f>
        <v>The "cencio" is the nickname of the banner.</v>
      </c>
      <c r="L149" s="2"/>
      <c r="M149" s="2"/>
      <c r="N149" s="2"/>
      <c r="O149" s="2"/>
      <c r="P149" s="2"/>
      <c r="Q149" s="2"/>
      <c r="R149" s="2"/>
      <c r="S149" s="2"/>
      <c r="T149" s="2"/>
      <c r="U149" s="2"/>
      <c r="V149" s="2"/>
      <c r="W149" s="2"/>
    </row>
    <row r="150" ht="22.5" customHeight="1">
      <c r="A150" s="3">
        <v>149.0</v>
      </c>
      <c r="B150" s="3" t="s">
        <v>2275</v>
      </c>
      <c r="C150" s="3" t="s">
        <v>2276</v>
      </c>
      <c r="D150" s="3" t="s">
        <v>2277</v>
      </c>
      <c r="E150" s="3" t="s">
        <v>2278</v>
      </c>
      <c r="F150" s="2"/>
      <c r="G150" s="3" t="str">
        <f>IFERROR(__xludf.DUMMYFUNCTION("GOOGLETRANSLATE(A150, ""it"", ""en"")"),"149")</f>
        <v>149</v>
      </c>
      <c r="H150" s="3" t="str">
        <f>IFERROR(__xludf.DUMMYFUNCTION("GOOGLETRANSLATE(B150, ""it"", ""en"")"),"What happens if a contrada doesn't present a horse?")</f>
        <v>What happens if a contrada doesn't present a horse?</v>
      </c>
      <c r="I150" s="3" t="str">
        <f>IFERROR(__xludf.DUMMYFUNCTION("GOOGLETRANSLATE(C150, ""it"", ""en"")"),"A. She is disqualified B. She participates with a horse drawn by lot C. She is excluded from the Palio D. She is penalized")</f>
        <v>A. She is disqualified B. She participates with a horse drawn by lot C. She is excluded from the Palio D. She is penalized</v>
      </c>
      <c r="J150" s="3" t="str">
        <f>IFERROR(__xludf.DUMMYFUNCTION("GOOGLETRANSLATE(D150, ""it"", ""en"")"),"Participate with a horse drawn by lot")</f>
        <v>Participate with a horse drawn by lot</v>
      </c>
      <c r="K150" s="3" t="str">
        <f>IFERROR(__xludf.DUMMYFUNCTION("GOOGLETRANSLATE(E150, ""it"", ""en"")"),"The contrada can use a horse drawn by lot.")</f>
        <v>The contrada can use a horse drawn by lot.</v>
      </c>
      <c r="L150" s="2"/>
      <c r="M150" s="2"/>
      <c r="N150" s="2"/>
      <c r="O150" s="2"/>
      <c r="P150" s="2"/>
      <c r="Q150" s="2"/>
      <c r="R150" s="2"/>
      <c r="S150" s="2"/>
      <c r="T150" s="2"/>
      <c r="U150" s="2"/>
      <c r="V150" s="2"/>
      <c r="W150" s="2"/>
    </row>
    <row r="151" ht="22.5" customHeight="1">
      <c r="A151" s="3">
        <v>150.0</v>
      </c>
      <c r="B151" s="3" t="s">
        <v>2279</v>
      </c>
      <c r="C151" s="3" t="s">
        <v>2280</v>
      </c>
      <c r="D151" s="3" t="s">
        <v>2281</v>
      </c>
      <c r="E151" s="3" t="s">
        <v>2282</v>
      </c>
      <c r="F151" s="2"/>
      <c r="G151" s="3" t="str">
        <f>IFERROR(__xludf.DUMMYFUNCTION("GOOGLETRANSLATE(A151, ""it"", ""en"")"),"150")</f>
        <v>150</v>
      </c>
      <c r="H151" s="3" t="str">
        <f>IFERROR(__xludf.DUMMYFUNCTION("GOOGLETRANSLATE(B151, ""it"", ""en"")"),"How is the jockey of each contrada decided?")</f>
        <v>How is the jockey of each contrada decided?</v>
      </c>
      <c r="I151" s="3" t="str">
        <f>IFERROR(__xludf.DUMMYFUNCTION("GOOGLETRANSLATE(C151, ""it"", ""en"")"),"A. By vote B. By drawing lots C. By decision of the captain D. By invitation of the starter")</f>
        <v>A. By vote B. By drawing lots C. By decision of the captain D. By invitation of the starter</v>
      </c>
      <c r="J151" s="3" t="str">
        <f>IFERROR(__xludf.DUMMYFUNCTION("GOOGLETRANSLATE(D151, ""it"", ""en"")"),"At the captain's decision")</f>
        <v>At the captain's decision</v>
      </c>
      <c r="K151" s="3" t="str">
        <f>IFERROR(__xludf.DUMMYFUNCTION("GOOGLETRANSLATE(E151, ""it"", ""en"")"),"The captain decides which jockey will represent the contrada.")</f>
        <v>The captain decides which jockey will represent the contrada.</v>
      </c>
      <c r="L151" s="2"/>
      <c r="M151" s="2"/>
      <c r="N151" s="2"/>
      <c r="O151" s="2"/>
      <c r="P151" s="2"/>
      <c r="Q151" s="2"/>
      <c r="R151" s="2"/>
      <c r="S151" s="2"/>
      <c r="T151" s="2"/>
      <c r="U151" s="2"/>
      <c r="V151" s="2"/>
      <c r="W151" s="2"/>
    </row>
    <row r="152">
      <c r="A152" s="2"/>
      <c r="B152" s="2"/>
      <c r="C152" s="2"/>
      <c r="D152" s="2"/>
      <c r="E152" s="2"/>
      <c r="F152" s="2"/>
      <c r="G152" s="2"/>
      <c r="H152" s="2"/>
      <c r="I152" s="2"/>
      <c r="J152" s="2"/>
      <c r="K152" s="2"/>
      <c r="L152" s="2"/>
      <c r="M152" s="2"/>
      <c r="N152" s="2"/>
      <c r="O152" s="2"/>
      <c r="P152" s="2"/>
      <c r="Q152" s="2"/>
      <c r="R152" s="2"/>
      <c r="S152" s="2"/>
      <c r="T152" s="2"/>
      <c r="U152" s="2"/>
      <c r="V152" s="2"/>
      <c r="W152" s="2"/>
    </row>
    <row r="153">
      <c r="A153" s="2"/>
      <c r="B153" s="2"/>
      <c r="C153" s="2"/>
      <c r="D153" s="2"/>
      <c r="E153" s="2"/>
      <c r="F153" s="2"/>
      <c r="G153" s="2"/>
      <c r="H153" s="2"/>
      <c r="I153" s="2"/>
      <c r="J153" s="2"/>
      <c r="K153" s="2"/>
      <c r="L153" s="2"/>
      <c r="M153" s="2"/>
      <c r="N153" s="2"/>
      <c r="O153" s="2"/>
      <c r="P153" s="2"/>
      <c r="Q153" s="2"/>
      <c r="R153" s="2"/>
      <c r="S153" s="2"/>
      <c r="T153" s="2"/>
      <c r="U153" s="2"/>
      <c r="V153" s="2"/>
      <c r="W153" s="2"/>
    </row>
    <row r="154">
      <c r="A154" s="2"/>
      <c r="B154" s="2"/>
      <c r="C154" s="2"/>
      <c r="D154" s="2"/>
      <c r="E154" s="2"/>
      <c r="F154" s="2"/>
      <c r="G154" s="2"/>
      <c r="H154" s="2"/>
      <c r="I154" s="2"/>
      <c r="J154" s="2"/>
      <c r="K154" s="2"/>
      <c r="L154" s="2"/>
      <c r="M154" s="2"/>
      <c r="N154" s="2"/>
      <c r="O154" s="2"/>
      <c r="P154" s="2"/>
      <c r="Q154" s="2"/>
      <c r="R154" s="2"/>
      <c r="S154" s="2"/>
      <c r="T154" s="2"/>
      <c r="U154" s="2"/>
      <c r="V154" s="2"/>
      <c r="W154" s="2"/>
    </row>
    <row r="155">
      <c r="A155" s="2"/>
      <c r="B155" s="2"/>
      <c r="C155" s="2"/>
      <c r="D155" s="2"/>
      <c r="E155" s="2"/>
      <c r="F155" s="2"/>
      <c r="G155" s="2"/>
      <c r="H155" s="2"/>
      <c r="I155" s="2"/>
      <c r="J155" s="2"/>
      <c r="K155" s="2"/>
      <c r="L155" s="2"/>
      <c r="M155" s="2"/>
      <c r="N155" s="2"/>
      <c r="O155" s="2"/>
      <c r="P155" s="2"/>
      <c r="Q155" s="2"/>
      <c r="R155" s="2"/>
      <c r="S155" s="2"/>
      <c r="T155" s="2"/>
      <c r="U155" s="2"/>
      <c r="V155" s="2"/>
      <c r="W155" s="2"/>
    </row>
    <row r="156">
      <c r="A156" s="2"/>
      <c r="B156" s="2"/>
      <c r="C156" s="2"/>
      <c r="D156" s="2"/>
      <c r="E156" s="2"/>
      <c r="F156" s="2"/>
      <c r="G156" s="2"/>
      <c r="H156" s="2"/>
      <c r="I156" s="2"/>
      <c r="J156" s="2"/>
      <c r="K156" s="2"/>
      <c r="L156" s="2"/>
      <c r="M156" s="2"/>
      <c r="N156" s="2"/>
      <c r="O156" s="2"/>
      <c r="P156" s="2"/>
      <c r="Q156" s="2"/>
      <c r="R156" s="2"/>
      <c r="S156" s="2"/>
      <c r="T156" s="2"/>
      <c r="U156" s="2"/>
      <c r="V156" s="2"/>
      <c r="W156" s="2"/>
    </row>
    <row r="157">
      <c r="A157" s="2"/>
      <c r="B157" s="2"/>
      <c r="C157" s="2"/>
      <c r="D157" s="2"/>
      <c r="E157" s="2"/>
      <c r="F157" s="2"/>
      <c r="G157" s="2"/>
      <c r="H157" s="2"/>
      <c r="I157" s="2"/>
      <c r="J157" s="2"/>
      <c r="K157" s="2"/>
      <c r="L157" s="2"/>
      <c r="M157" s="2"/>
      <c r="N157" s="2"/>
      <c r="O157" s="2"/>
      <c r="P157" s="2"/>
      <c r="Q157" s="2"/>
      <c r="R157" s="2"/>
      <c r="S157" s="2"/>
      <c r="T157" s="2"/>
      <c r="U157" s="2"/>
      <c r="V157" s="2"/>
      <c r="W157" s="2"/>
    </row>
    <row r="158">
      <c r="A158" s="2"/>
      <c r="B158" s="2"/>
      <c r="C158" s="2"/>
      <c r="D158" s="2"/>
      <c r="E158" s="2"/>
      <c r="F158" s="2"/>
      <c r="G158" s="2"/>
      <c r="H158" s="2"/>
      <c r="I158" s="2"/>
      <c r="J158" s="2"/>
      <c r="K158" s="2"/>
      <c r="L158" s="2"/>
      <c r="M158" s="2"/>
      <c r="N158" s="2"/>
      <c r="O158" s="2"/>
      <c r="P158" s="2"/>
      <c r="Q158" s="2"/>
      <c r="R158" s="2"/>
      <c r="S158" s="2"/>
      <c r="T158" s="2"/>
      <c r="U158" s="2"/>
      <c r="V158" s="2"/>
      <c r="W158" s="2"/>
    </row>
    <row r="159">
      <c r="A159" s="2"/>
      <c r="B159" s="2"/>
      <c r="C159" s="2"/>
      <c r="D159" s="2"/>
      <c r="E159" s="2"/>
      <c r="F159" s="2"/>
      <c r="G159" s="2"/>
      <c r="H159" s="2"/>
      <c r="I159" s="2"/>
      <c r="J159" s="2"/>
      <c r="K159" s="2"/>
      <c r="L159" s="2"/>
      <c r="M159" s="2"/>
      <c r="N159" s="2"/>
      <c r="O159" s="2"/>
      <c r="P159" s="2"/>
      <c r="Q159" s="2"/>
      <c r="R159" s="2"/>
      <c r="S159" s="2"/>
      <c r="T159" s="2"/>
      <c r="U159" s="2"/>
      <c r="V159" s="2"/>
      <c r="W159" s="2"/>
    </row>
    <row r="160">
      <c r="A160" s="2"/>
      <c r="B160" s="2"/>
      <c r="C160" s="2"/>
      <c r="D160" s="2"/>
      <c r="E160" s="2"/>
      <c r="F160" s="2"/>
      <c r="G160" s="2"/>
      <c r="H160" s="2"/>
      <c r="I160" s="2"/>
      <c r="J160" s="2"/>
      <c r="K160" s="2"/>
      <c r="L160" s="2"/>
      <c r="M160" s="2"/>
      <c r="N160" s="2"/>
      <c r="O160" s="2"/>
      <c r="P160" s="2"/>
      <c r="Q160" s="2"/>
      <c r="R160" s="2"/>
      <c r="S160" s="2"/>
      <c r="T160" s="2"/>
      <c r="U160" s="2"/>
      <c r="V160" s="2"/>
      <c r="W160" s="2"/>
    </row>
    <row r="161">
      <c r="A161" s="2"/>
      <c r="B161" s="2"/>
      <c r="C161" s="2"/>
      <c r="D161" s="2"/>
      <c r="E161" s="2"/>
      <c r="F161" s="2"/>
      <c r="G161" s="2"/>
      <c r="H161" s="2"/>
      <c r="I161" s="2"/>
      <c r="J161" s="2"/>
      <c r="K161" s="2"/>
      <c r="L161" s="2"/>
      <c r="M161" s="2"/>
      <c r="N161" s="2"/>
      <c r="O161" s="2"/>
      <c r="P161" s="2"/>
      <c r="Q161" s="2"/>
      <c r="R161" s="2"/>
      <c r="S161" s="2"/>
      <c r="T161" s="2"/>
      <c r="U161" s="2"/>
      <c r="V161" s="2"/>
      <c r="W161" s="2"/>
    </row>
    <row r="162">
      <c r="A162" s="2"/>
      <c r="B162" s="2"/>
      <c r="C162" s="2"/>
      <c r="D162" s="2"/>
      <c r="E162" s="2"/>
      <c r="F162" s="2"/>
      <c r="G162" s="2"/>
      <c r="H162" s="2"/>
      <c r="I162" s="2"/>
      <c r="J162" s="2"/>
      <c r="K162" s="2"/>
      <c r="L162" s="2"/>
      <c r="M162" s="2"/>
      <c r="N162" s="2"/>
      <c r="O162" s="2"/>
      <c r="P162" s="2"/>
      <c r="Q162" s="2"/>
      <c r="R162" s="2"/>
      <c r="S162" s="2"/>
      <c r="T162" s="2"/>
      <c r="U162" s="2"/>
      <c r="V162" s="2"/>
      <c r="W162" s="2"/>
    </row>
    <row r="163">
      <c r="A163" s="2"/>
      <c r="B163" s="2"/>
      <c r="C163" s="2"/>
      <c r="D163" s="2"/>
      <c r="E163" s="2"/>
      <c r="F163" s="2"/>
      <c r="G163" s="2"/>
      <c r="H163" s="2"/>
      <c r="I163" s="2"/>
      <c r="J163" s="2"/>
      <c r="K163" s="2"/>
      <c r="L163" s="2"/>
      <c r="M163" s="2"/>
      <c r="N163" s="2"/>
      <c r="O163" s="2"/>
      <c r="P163" s="2"/>
      <c r="Q163" s="2"/>
      <c r="R163" s="2"/>
      <c r="S163" s="2"/>
      <c r="T163" s="2"/>
      <c r="U163" s="2"/>
      <c r="V163" s="2"/>
      <c r="W163" s="2"/>
    </row>
    <row r="164">
      <c r="A164" s="2"/>
      <c r="B164" s="2"/>
      <c r="C164" s="2"/>
      <c r="D164" s="2"/>
      <c r="E164" s="2"/>
      <c r="F164" s="2"/>
      <c r="G164" s="2"/>
      <c r="H164" s="2"/>
      <c r="I164" s="2"/>
      <c r="J164" s="2"/>
      <c r="K164" s="2"/>
      <c r="L164" s="2"/>
      <c r="M164" s="2"/>
      <c r="N164" s="2"/>
      <c r="O164" s="2"/>
      <c r="P164" s="2"/>
      <c r="Q164" s="2"/>
      <c r="R164" s="2"/>
      <c r="S164" s="2"/>
      <c r="T164" s="2"/>
      <c r="U164" s="2"/>
      <c r="V164" s="2"/>
      <c r="W164" s="2"/>
    </row>
    <row r="165">
      <c r="A165" s="2"/>
      <c r="B165" s="2"/>
      <c r="C165" s="2"/>
      <c r="D165" s="2"/>
      <c r="E165" s="2"/>
      <c r="F165" s="2"/>
      <c r="G165" s="2"/>
      <c r="H165" s="2"/>
      <c r="I165" s="2"/>
      <c r="J165" s="2"/>
      <c r="K165" s="2"/>
      <c r="L165" s="2"/>
      <c r="M165" s="2"/>
      <c r="N165" s="2"/>
      <c r="O165" s="2"/>
      <c r="P165" s="2"/>
      <c r="Q165" s="2"/>
      <c r="R165" s="2"/>
      <c r="S165" s="2"/>
      <c r="T165" s="2"/>
      <c r="U165" s="2"/>
      <c r="V165" s="2"/>
      <c r="W165" s="2"/>
    </row>
    <row r="166">
      <c r="A166" s="2"/>
      <c r="B166" s="2"/>
      <c r="C166" s="2"/>
      <c r="D166" s="2"/>
      <c r="E166" s="2"/>
      <c r="F166" s="2"/>
      <c r="G166" s="2"/>
      <c r="H166" s="2"/>
      <c r="I166" s="2"/>
      <c r="J166" s="2"/>
      <c r="K166" s="2"/>
      <c r="L166" s="2"/>
      <c r="M166" s="2"/>
      <c r="N166" s="2"/>
      <c r="O166" s="2"/>
      <c r="P166" s="2"/>
      <c r="Q166" s="2"/>
      <c r="R166" s="2"/>
      <c r="S166" s="2"/>
      <c r="T166" s="2"/>
      <c r="U166" s="2"/>
      <c r="V166" s="2"/>
      <c r="W166" s="2"/>
    </row>
    <row r="167">
      <c r="A167" s="2"/>
      <c r="B167" s="2"/>
      <c r="C167" s="2"/>
      <c r="D167" s="2"/>
      <c r="E167" s="2"/>
      <c r="F167" s="2"/>
      <c r="G167" s="2"/>
      <c r="H167" s="2"/>
      <c r="I167" s="2"/>
      <c r="J167" s="2"/>
      <c r="K167" s="2"/>
      <c r="L167" s="2"/>
      <c r="M167" s="2"/>
      <c r="N167" s="2"/>
      <c r="O167" s="2"/>
      <c r="P167" s="2"/>
      <c r="Q167" s="2"/>
      <c r="R167" s="2"/>
      <c r="S167" s="2"/>
      <c r="T167" s="2"/>
      <c r="U167" s="2"/>
      <c r="V167" s="2"/>
      <c r="W167" s="2"/>
    </row>
    <row r="168">
      <c r="A168" s="2"/>
      <c r="B168" s="2"/>
      <c r="C168" s="2"/>
      <c r="D168" s="2"/>
      <c r="E168" s="2"/>
      <c r="F168" s="2"/>
      <c r="G168" s="2"/>
      <c r="H168" s="2"/>
      <c r="I168" s="2"/>
      <c r="J168" s="2"/>
      <c r="K168" s="2"/>
      <c r="L168" s="2"/>
      <c r="M168" s="2"/>
      <c r="N168" s="2"/>
      <c r="O168" s="2"/>
      <c r="P168" s="2"/>
      <c r="Q168" s="2"/>
      <c r="R168" s="2"/>
      <c r="S168" s="2"/>
      <c r="T168" s="2"/>
      <c r="U168" s="2"/>
      <c r="V168" s="2"/>
      <c r="W168" s="2"/>
    </row>
    <row r="169">
      <c r="A169" s="2"/>
      <c r="B169" s="2"/>
      <c r="C169" s="2"/>
      <c r="D169" s="2"/>
      <c r="E169" s="2"/>
      <c r="F169" s="2"/>
      <c r="G169" s="2"/>
      <c r="H169" s="2"/>
      <c r="I169" s="2"/>
      <c r="J169" s="2"/>
      <c r="K169" s="2"/>
      <c r="L169" s="2"/>
      <c r="M169" s="2"/>
      <c r="N169" s="2"/>
      <c r="O169" s="2"/>
      <c r="P169" s="2"/>
      <c r="Q169" s="2"/>
      <c r="R169" s="2"/>
      <c r="S169" s="2"/>
      <c r="T169" s="2"/>
      <c r="U169" s="2"/>
      <c r="V169" s="2"/>
      <c r="W169" s="2"/>
    </row>
    <row r="170">
      <c r="A170" s="2"/>
      <c r="B170" s="2"/>
      <c r="C170" s="2"/>
      <c r="D170" s="2"/>
      <c r="E170" s="2"/>
      <c r="F170" s="2"/>
      <c r="G170" s="2"/>
      <c r="H170" s="2"/>
      <c r="I170" s="2"/>
      <c r="J170" s="2"/>
      <c r="K170" s="2"/>
      <c r="L170" s="2"/>
      <c r="M170" s="2"/>
      <c r="N170" s="2"/>
      <c r="O170" s="2"/>
      <c r="P170" s="2"/>
      <c r="Q170" s="2"/>
      <c r="R170" s="2"/>
      <c r="S170" s="2"/>
      <c r="T170" s="2"/>
      <c r="U170" s="2"/>
      <c r="V170" s="2"/>
      <c r="W170" s="2"/>
    </row>
    <row r="171">
      <c r="A171" s="2"/>
      <c r="B171" s="2"/>
      <c r="C171" s="2"/>
      <c r="D171" s="2"/>
      <c r="E171" s="2"/>
      <c r="F171" s="2"/>
      <c r="G171" s="2"/>
      <c r="H171" s="2"/>
      <c r="I171" s="2"/>
      <c r="J171" s="2"/>
      <c r="K171" s="2"/>
      <c r="L171" s="2"/>
      <c r="M171" s="2"/>
      <c r="N171" s="2"/>
      <c r="O171" s="2"/>
      <c r="P171" s="2"/>
      <c r="Q171" s="2"/>
      <c r="R171" s="2"/>
      <c r="S171" s="2"/>
      <c r="T171" s="2"/>
      <c r="U171" s="2"/>
      <c r="V171" s="2"/>
      <c r="W171" s="2"/>
    </row>
    <row r="172">
      <c r="A172" s="2"/>
      <c r="B172" s="2"/>
      <c r="C172" s="2"/>
      <c r="D172" s="2"/>
      <c r="E172" s="2"/>
      <c r="F172" s="2"/>
      <c r="G172" s="2"/>
      <c r="H172" s="2"/>
      <c r="I172" s="2"/>
      <c r="J172" s="2"/>
      <c r="K172" s="2"/>
      <c r="L172" s="2"/>
      <c r="M172" s="2"/>
      <c r="N172" s="2"/>
      <c r="O172" s="2"/>
      <c r="P172" s="2"/>
      <c r="Q172" s="2"/>
      <c r="R172" s="2"/>
      <c r="S172" s="2"/>
      <c r="T172" s="2"/>
      <c r="U172" s="2"/>
      <c r="V172" s="2"/>
      <c r="W172" s="2"/>
    </row>
    <row r="173">
      <c r="A173" s="2"/>
      <c r="B173" s="2"/>
      <c r="C173" s="2"/>
      <c r="D173" s="2"/>
      <c r="E173" s="2"/>
      <c r="F173" s="2"/>
      <c r="G173" s="2"/>
      <c r="H173" s="2"/>
      <c r="I173" s="2"/>
      <c r="J173" s="2"/>
      <c r="K173" s="2"/>
      <c r="L173" s="2"/>
      <c r="M173" s="2"/>
      <c r="N173" s="2"/>
      <c r="O173" s="2"/>
      <c r="P173" s="2"/>
      <c r="Q173" s="2"/>
      <c r="R173" s="2"/>
      <c r="S173" s="2"/>
      <c r="T173" s="2"/>
      <c r="U173" s="2"/>
      <c r="V173" s="2"/>
      <c r="W173" s="2"/>
    </row>
    <row r="174">
      <c r="A174" s="2"/>
      <c r="B174" s="2"/>
      <c r="C174" s="2"/>
      <c r="D174" s="2"/>
      <c r="E174" s="2"/>
      <c r="F174" s="2"/>
      <c r="G174" s="2"/>
      <c r="H174" s="2"/>
      <c r="I174" s="2"/>
      <c r="J174" s="2"/>
      <c r="K174" s="2"/>
      <c r="L174" s="2"/>
      <c r="M174" s="2"/>
      <c r="N174" s="2"/>
      <c r="O174" s="2"/>
      <c r="P174" s="2"/>
      <c r="Q174" s="2"/>
      <c r="R174" s="2"/>
      <c r="S174" s="2"/>
      <c r="T174" s="2"/>
      <c r="U174" s="2"/>
      <c r="V174" s="2"/>
      <c r="W174" s="2"/>
    </row>
    <row r="175">
      <c r="A175" s="2"/>
      <c r="B175" s="2"/>
      <c r="C175" s="2"/>
      <c r="D175" s="2"/>
      <c r="E175" s="2"/>
      <c r="F175" s="2"/>
      <c r="G175" s="2"/>
      <c r="H175" s="2"/>
      <c r="I175" s="2"/>
      <c r="J175" s="2"/>
      <c r="K175" s="2"/>
      <c r="L175" s="2"/>
      <c r="M175" s="2"/>
      <c r="N175" s="2"/>
      <c r="O175" s="2"/>
      <c r="P175" s="2"/>
      <c r="Q175" s="2"/>
      <c r="R175" s="2"/>
      <c r="S175" s="2"/>
      <c r="T175" s="2"/>
      <c r="U175" s="2"/>
      <c r="V175" s="2"/>
      <c r="W175" s="2"/>
    </row>
    <row r="176">
      <c r="A176" s="2"/>
      <c r="B176" s="2"/>
      <c r="C176" s="2"/>
      <c r="D176" s="2"/>
      <c r="E176" s="2"/>
      <c r="F176" s="2"/>
      <c r="G176" s="2"/>
      <c r="H176" s="2"/>
      <c r="I176" s="2"/>
      <c r="J176" s="2"/>
      <c r="K176" s="2"/>
      <c r="L176" s="2"/>
      <c r="M176" s="2"/>
      <c r="N176" s="2"/>
      <c r="O176" s="2"/>
      <c r="P176" s="2"/>
      <c r="Q176" s="2"/>
      <c r="R176" s="2"/>
      <c r="S176" s="2"/>
      <c r="T176" s="2"/>
      <c r="U176" s="2"/>
      <c r="V176" s="2"/>
      <c r="W176" s="2"/>
    </row>
    <row r="177">
      <c r="A177" s="2"/>
      <c r="B177" s="2"/>
      <c r="C177" s="2"/>
      <c r="D177" s="2"/>
      <c r="E177" s="2"/>
      <c r="F177" s="2"/>
      <c r="G177" s="2"/>
      <c r="H177" s="2"/>
      <c r="I177" s="2"/>
      <c r="J177" s="2"/>
      <c r="K177" s="2"/>
      <c r="L177" s="2"/>
      <c r="M177" s="2"/>
      <c r="N177" s="2"/>
      <c r="O177" s="2"/>
      <c r="P177" s="2"/>
      <c r="Q177" s="2"/>
      <c r="R177" s="2"/>
      <c r="S177" s="2"/>
      <c r="T177" s="2"/>
      <c r="U177" s="2"/>
      <c r="V177" s="2"/>
      <c r="W177" s="2"/>
    </row>
    <row r="178">
      <c r="A178" s="2"/>
      <c r="B178" s="2"/>
      <c r="C178" s="2"/>
      <c r="D178" s="2"/>
      <c r="E178" s="2"/>
      <c r="F178" s="2"/>
      <c r="G178" s="2"/>
      <c r="H178" s="2"/>
      <c r="I178" s="2"/>
      <c r="J178" s="2"/>
      <c r="K178" s="2"/>
      <c r="L178" s="2"/>
      <c r="M178" s="2"/>
      <c r="N178" s="2"/>
      <c r="O178" s="2"/>
      <c r="P178" s="2"/>
      <c r="Q178" s="2"/>
      <c r="R178" s="2"/>
      <c r="S178" s="2"/>
      <c r="T178" s="2"/>
      <c r="U178" s="2"/>
      <c r="V178" s="2"/>
      <c r="W178" s="2"/>
    </row>
    <row r="179">
      <c r="A179" s="2"/>
      <c r="B179" s="2"/>
      <c r="C179" s="2"/>
      <c r="D179" s="2"/>
      <c r="E179" s="2"/>
      <c r="F179" s="2"/>
      <c r="G179" s="2"/>
      <c r="H179" s="2"/>
      <c r="I179" s="2"/>
      <c r="J179" s="2"/>
      <c r="K179" s="2"/>
      <c r="L179" s="2"/>
      <c r="M179" s="2"/>
      <c r="N179" s="2"/>
      <c r="O179" s="2"/>
      <c r="P179" s="2"/>
      <c r="Q179" s="2"/>
      <c r="R179" s="2"/>
      <c r="S179" s="2"/>
      <c r="T179" s="2"/>
      <c r="U179" s="2"/>
      <c r="V179" s="2"/>
      <c r="W179" s="2"/>
    </row>
    <row r="180">
      <c r="A180" s="2"/>
      <c r="B180" s="2"/>
      <c r="C180" s="2"/>
      <c r="D180" s="2"/>
      <c r="E180" s="2"/>
      <c r="F180" s="2"/>
      <c r="G180" s="2"/>
      <c r="H180" s="2"/>
      <c r="I180" s="2"/>
      <c r="J180" s="2"/>
      <c r="K180" s="2"/>
      <c r="L180" s="2"/>
      <c r="M180" s="2"/>
      <c r="N180" s="2"/>
      <c r="O180" s="2"/>
      <c r="P180" s="2"/>
      <c r="Q180" s="2"/>
      <c r="R180" s="2"/>
      <c r="S180" s="2"/>
      <c r="T180" s="2"/>
      <c r="U180" s="2"/>
      <c r="V180" s="2"/>
      <c r="W180" s="2"/>
    </row>
    <row r="181">
      <c r="A181" s="2"/>
      <c r="B181" s="2"/>
      <c r="C181" s="2"/>
      <c r="D181" s="2"/>
      <c r="E181" s="2"/>
      <c r="F181" s="2"/>
      <c r="G181" s="2"/>
      <c r="H181" s="2"/>
      <c r="I181" s="2"/>
      <c r="J181" s="2"/>
      <c r="K181" s="2"/>
      <c r="L181" s="2"/>
      <c r="M181" s="2"/>
      <c r="N181" s="2"/>
      <c r="O181" s="2"/>
      <c r="P181" s="2"/>
      <c r="Q181" s="2"/>
      <c r="R181" s="2"/>
      <c r="S181" s="2"/>
      <c r="T181" s="2"/>
      <c r="U181" s="2"/>
      <c r="V181" s="2"/>
      <c r="W181" s="2"/>
    </row>
    <row r="182">
      <c r="A182" s="2"/>
      <c r="B182" s="2"/>
      <c r="C182" s="2"/>
      <c r="D182" s="2"/>
      <c r="E182" s="2"/>
      <c r="F182" s="2"/>
      <c r="G182" s="2"/>
      <c r="H182" s="2"/>
      <c r="I182" s="2"/>
      <c r="J182" s="2"/>
      <c r="K182" s="2"/>
      <c r="L182" s="2"/>
      <c r="M182" s="2"/>
      <c r="N182" s="2"/>
      <c r="O182" s="2"/>
      <c r="P182" s="2"/>
      <c r="Q182" s="2"/>
      <c r="R182" s="2"/>
      <c r="S182" s="2"/>
      <c r="T182" s="2"/>
      <c r="U182" s="2"/>
      <c r="V182" s="2"/>
      <c r="W182" s="2"/>
    </row>
    <row r="183">
      <c r="A183" s="2"/>
      <c r="B183" s="2"/>
      <c r="C183" s="2"/>
      <c r="D183" s="2"/>
      <c r="E183" s="2"/>
      <c r="F183" s="2"/>
      <c r="G183" s="2"/>
      <c r="H183" s="2"/>
      <c r="I183" s="2"/>
      <c r="J183" s="2"/>
      <c r="K183" s="2"/>
      <c r="L183" s="2"/>
      <c r="M183" s="2"/>
      <c r="N183" s="2"/>
      <c r="O183" s="2"/>
      <c r="P183" s="2"/>
      <c r="Q183" s="2"/>
      <c r="R183" s="2"/>
      <c r="S183" s="2"/>
      <c r="T183" s="2"/>
      <c r="U183" s="2"/>
      <c r="V183" s="2"/>
      <c r="W183" s="2"/>
    </row>
    <row r="184">
      <c r="A184" s="2"/>
      <c r="B184" s="2"/>
      <c r="C184" s="2"/>
      <c r="D184" s="2"/>
      <c r="E184" s="2"/>
      <c r="F184" s="2"/>
      <c r="G184" s="2"/>
      <c r="H184" s="2"/>
      <c r="I184" s="2"/>
      <c r="J184" s="2"/>
      <c r="K184" s="2"/>
      <c r="L184" s="2"/>
      <c r="M184" s="2"/>
      <c r="N184" s="2"/>
      <c r="O184" s="2"/>
      <c r="P184" s="2"/>
      <c r="Q184" s="2"/>
      <c r="R184" s="2"/>
      <c r="S184" s="2"/>
      <c r="T184" s="2"/>
      <c r="U184" s="2"/>
      <c r="V184" s="2"/>
      <c r="W184" s="2"/>
    </row>
    <row r="185">
      <c r="A185" s="2"/>
      <c r="B185" s="2"/>
      <c r="C185" s="2"/>
      <c r="D185" s="2"/>
      <c r="E185" s="2"/>
      <c r="F185" s="2"/>
      <c r="G185" s="2"/>
      <c r="H185" s="2"/>
      <c r="I185" s="2"/>
      <c r="J185" s="2"/>
      <c r="K185" s="2"/>
      <c r="L185" s="2"/>
      <c r="M185" s="2"/>
      <c r="N185" s="2"/>
      <c r="O185" s="2"/>
      <c r="P185" s="2"/>
      <c r="Q185" s="2"/>
      <c r="R185" s="2"/>
      <c r="S185" s="2"/>
      <c r="T185" s="2"/>
      <c r="U185" s="2"/>
      <c r="V185" s="2"/>
      <c r="W185" s="2"/>
    </row>
    <row r="186">
      <c r="A186" s="2"/>
      <c r="B186" s="2"/>
      <c r="C186" s="2"/>
      <c r="D186" s="2"/>
      <c r="E186" s="2"/>
      <c r="F186" s="2"/>
      <c r="G186" s="2"/>
      <c r="H186" s="2"/>
      <c r="I186" s="2"/>
      <c r="J186" s="2"/>
      <c r="K186" s="2"/>
      <c r="L186" s="2"/>
      <c r="M186" s="2"/>
      <c r="N186" s="2"/>
      <c r="O186" s="2"/>
      <c r="P186" s="2"/>
      <c r="Q186" s="2"/>
      <c r="R186" s="2"/>
      <c r="S186" s="2"/>
      <c r="T186" s="2"/>
      <c r="U186" s="2"/>
      <c r="V186" s="2"/>
      <c r="W186" s="2"/>
    </row>
    <row r="187">
      <c r="A187" s="2"/>
      <c r="B187" s="2"/>
      <c r="C187" s="2"/>
      <c r="D187" s="2"/>
      <c r="E187" s="2"/>
      <c r="F187" s="2"/>
      <c r="G187" s="2"/>
      <c r="H187" s="2"/>
      <c r="I187" s="2"/>
      <c r="J187" s="2"/>
      <c r="K187" s="2"/>
      <c r="L187" s="2"/>
      <c r="M187" s="2"/>
      <c r="N187" s="2"/>
      <c r="O187" s="2"/>
      <c r="P187" s="2"/>
      <c r="Q187" s="2"/>
      <c r="R187" s="2"/>
      <c r="S187" s="2"/>
      <c r="T187" s="2"/>
      <c r="U187" s="2"/>
      <c r="V187" s="2"/>
      <c r="W187" s="2"/>
    </row>
    <row r="188">
      <c r="A188" s="2"/>
      <c r="B188" s="2"/>
      <c r="C188" s="2"/>
      <c r="D188" s="2"/>
      <c r="E188" s="2"/>
      <c r="F188" s="2"/>
      <c r="G188" s="2"/>
      <c r="H188" s="2"/>
      <c r="I188" s="2"/>
      <c r="J188" s="2"/>
      <c r="K188" s="2"/>
      <c r="L188" s="2"/>
      <c r="M188" s="2"/>
      <c r="N188" s="2"/>
      <c r="O188" s="2"/>
      <c r="P188" s="2"/>
      <c r="Q188" s="2"/>
      <c r="R188" s="2"/>
      <c r="S188" s="2"/>
      <c r="T188" s="2"/>
      <c r="U188" s="2"/>
      <c r="V188" s="2"/>
      <c r="W188" s="2"/>
    </row>
    <row r="189">
      <c r="A189" s="2"/>
      <c r="B189" s="2"/>
      <c r="C189" s="2"/>
      <c r="D189" s="2"/>
      <c r="E189" s="2"/>
      <c r="F189" s="2"/>
      <c r="G189" s="2"/>
      <c r="H189" s="2"/>
      <c r="I189" s="2"/>
      <c r="J189" s="2"/>
      <c r="K189" s="2"/>
      <c r="L189" s="2"/>
      <c r="M189" s="2"/>
      <c r="N189" s="2"/>
      <c r="O189" s="2"/>
      <c r="P189" s="2"/>
      <c r="Q189" s="2"/>
      <c r="R189" s="2"/>
      <c r="S189" s="2"/>
      <c r="T189" s="2"/>
      <c r="U189" s="2"/>
      <c r="V189" s="2"/>
      <c r="W189" s="2"/>
    </row>
    <row r="190">
      <c r="A190" s="2"/>
      <c r="B190" s="2"/>
      <c r="C190" s="2"/>
      <c r="D190" s="2"/>
      <c r="E190" s="2"/>
      <c r="F190" s="2"/>
      <c r="G190" s="2"/>
      <c r="H190" s="2"/>
      <c r="I190" s="2"/>
      <c r="J190" s="2"/>
      <c r="K190" s="2"/>
      <c r="L190" s="2"/>
      <c r="M190" s="2"/>
      <c r="N190" s="2"/>
      <c r="O190" s="2"/>
      <c r="P190" s="2"/>
      <c r="Q190" s="2"/>
      <c r="R190" s="2"/>
      <c r="S190" s="2"/>
      <c r="T190" s="2"/>
      <c r="U190" s="2"/>
      <c r="V190" s="2"/>
      <c r="W190" s="2"/>
    </row>
    <row r="191">
      <c r="A191" s="2"/>
      <c r="B191" s="2"/>
      <c r="C191" s="2"/>
      <c r="D191" s="2"/>
      <c r="E191" s="2"/>
      <c r="F191" s="2"/>
      <c r="G191" s="2"/>
      <c r="H191" s="2"/>
      <c r="I191" s="2"/>
      <c r="J191" s="2"/>
      <c r="K191" s="2"/>
      <c r="L191" s="2"/>
      <c r="M191" s="2"/>
      <c r="N191" s="2"/>
      <c r="O191" s="2"/>
      <c r="P191" s="2"/>
      <c r="Q191" s="2"/>
      <c r="R191" s="2"/>
      <c r="S191" s="2"/>
      <c r="T191" s="2"/>
      <c r="U191" s="2"/>
      <c r="V191" s="2"/>
      <c r="W191" s="2"/>
    </row>
    <row r="192">
      <c r="A192" s="2"/>
      <c r="B192" s="2"/>
      <c r="C192" s="2"/>
      <c r="D192" s="2"/>
      <c r="E192" s="2"/>
      <c r="F192" s="2"/>
      <c r="G192" s="2"/>
      <c r="H192" s="2"/>
      <c r="I192" s="2"/>
      <c r="J192" s="2"/>
      <c r="K192" s="2"/>
      <c r="L192" s="2"/>
      <c r="M192" s="2"/>
      <c r="N192" s="2"/>
      <c r="O192" s="2"/>
      <c r="P192" s="2"/>
      <c r="Q192" s="2"/>
      <c r="R192" s="2"/>
      <c r="S192" s="2"/>
      <c r="T192" s="2"/>
      <c r="U192" s="2"/>
      <c r="V192" s="2"/>
      <c r="W192" s="2"/>
    </row>
    <row r="193">
      <c r="A193" s="2"/>
      <c r="B193" s="2"/>
      <c r="C193" s="2"/>
      <c r="D193" s="2"/>
      <c r="E193" s="2"/>
      <c r="F193" s="2"/>
      <c r="G193" s="2"/>
      <c r="H193" s="2"/>
      <c r="I193" s="2"/>
      <c r="J193" s="2"/>
      <c r="K193" s="2"/>
      <c r="L193" s="2"/>
      <c r="M193" s="2"/>
      <c r="N193" s="2"/>
      <c r="O193" s="2"/>
      <c r="P193" s="2"/>
      <c r="Q193" s="2"/>
      <c r="R193" s="2"/>
      <c r="S193" s="2"/>
      <c r="T193" s="2"/>
      <c r="U193" s="2"/>
      <c r="V193" s="2"/>
      <c r="W193" s="2"/>
    </row>
    <row r="194">
      <c r="A194" s="2"/>
      <c r="B194" s="2"/>
      <c r="C194" s="2"/>
      <c r="D194" s="2"/>
      <c r="E194" s="2"/>
      <c r="F194" s="2"/>
      <c r="G194" s="2"/>
      <c r="H194" s="2"/>
      <c r="I194" s="2"/>
      <c r="J194" s="2"/>
      <c r="K194" s="2"/>
      <c r="L194" s="2"/>
      <c r="M194" s="2"/>
      <c r="N194" s="2"/>
      <c r="O194" s="2"/>
      <c r="P194" s="2"/>
      <c r="Q194" s="2"/>
      <c r="R194" s="2"/>
      <c r="S194" s="2"/>
      <c r="T194" s="2"/>
      <c r="U194" s="2"/>
      <c r="V194" s="2"/>
      <c r="W194" s="2"/>
    </row>
    <row r="195">
      <c r="A195" s="2"/>
      <c r="B195" s="2"/>
      <c r="C195" s="2"/>
      <c r="D195" s="2"/>
      <c r="E195" s="2"/>
      <c r="F195" s="2"/>
      <c r="G195" s="2"/>
      <c r="H195" s="2"/>
      <c r="I195" s="2"/>
      <c r="J195" s="2"/>
      <c r="K195" s="2"/>
      <c r="L195" s="2"/>
      <c r="M195" s="2"/>
      <c r="N195" s="2"/>
      <c r="O195" s="2"/>
      <c r="P195" s="2"/>
      <c r="Q195" s="2"/>
      <c r="R195" s="2"/>
      <c r="S195" s="2"/>
      <c r="T195" s="2"/>
      <c r="U195" s="2"/>
      <c r="V195" s="2"/>
      <c r="W195" s="2"/>
    </row>
    <row r="196">
      <c r="A196" s="2"/>
      <c r="B196" s="2"/>
      <c r="C196" s="2"/>
      <c r="D196" s="2"/>
      <c r="E196" s="2"/>
      <c r="F196" s="2"/>
      <c r="G196" s="2"/>
      <c r="H196" s="2"/>
      <c r="I196" s="2"/>
      <c r="J196" s="2"/>
      <c r="K196" s="2"/>
      <c r="L196" s="2"/>
      <c r="M196" s="2"/>
      <c r="N196" s="2"/>
      <c r="O196" s="2"/>
      <c r="P196" s="2"/>
      <c r="Q196" s="2"/>
      <c r="R196" s="2"/>
      <c r="S196" s="2"/>
      <c r="T196" s="2"/>
      <c r="U196" s="2"/>
      <c r="V196" s="2"/>
      <c r="W196" s="2"/>
    </row>
    <row r="197">
      <c r="A197" s="2"/>
      <c r="B197" s="2"/>
      <c r="C197" s="2"/>
      <c r="D197" s="2"/>
      <c r="E197" s="2"/>
      <c r="F197" s="2"/>
      <c r="G197" s="2"/>
      <c r="H197" s="2"/>
      <c r="I197" s="2"/>
      <c r="J197" s="2"/>
      <c r="K197" s="2"/>
      <c r="L197" s="2"/>
      <c r="M197" s="2"/>
      <c r="N197" s="2"/>
      <c r="O197" s="2"/>
      <c r="P197" s="2"/>
      <c r="Q197" s="2"/>
      <c r="R197" s="2"/>
      <c r="S197" s="2"/>
      <c r="T197" s="2"/>
      <c r="U197" s="2"/>
      <c r="V197" s="2"/>
      <c r="W197" s="2"/>
    </row>
    <row r="198">
      <c r="A198" s="2"/>
      <c r="B198" s="2"/>
      <c r="C198" s="2"/>
      <c r="D198" s="2"/>
      <c r="E198" s="2"/>
      <c r="F198" s="2"/>
      <c r="G198" s="2"/>
      <c r="H198" s="2"/>
      <c r="I198" s="2"/>
      <c r="J198" s="2"/>
      <c r="K198" s="2"/>
      <c r="L198" s="2"/>
      <c r="M198" s="2"/>
      <c r="N198" s="2"/>
      <c r="O198" s="2"/>
      <c r="P198" s="2"/>
      <c r="Q198" s="2"/>
      <c r="R198" s="2"/>
      <c r="S198" s="2"/>
      <c r="T198" s="2"/>
      <c r="U198" s="2"/>
      <c r="V198" s="2"/>
      <c r="W198" s="2"/>
    </row>
    <row r="199">
      <c r="A199" s="2"/>
      <c r="B199" s="2"/>
      <c r="C199" s="2"/>
      <c r="D199" s="2"/>
      <c r="E199" s="2"/>
      <c r="F199" s="2"/>
      <c r="G199" s="2"/>
      <c r="H199" s="2"/>
      <c r="I199" s="2"/>
      <c r="J199" s="2"/>
      <c r="K199" s="2"/>
      <c r="L199" s="2"/>
      <c r="M199" s="2"/>
      <c r="N199" s="2"/>
      <c r="O199" s="2"/>
      <c r="P199" s="2"/>
      <c r="Q199" s="2"/>
      <c r="R199" s="2"/>
      <c r="S199" s="2"/>
      <c r="T199" s="2"/>
      <c r="U199" s="2"/>
      <c r="V199" s="2"/>
      <c r="W199" s="2"/>
    </row>
    <row r="200">
      <c r="A200" s="2"/>
      <c r="B200" s="2"/>
      <c r="C200" s="2"/>
      <c r="D200" s="2"/>
      <c r="E200" s="2"/>
      <c r="F200" s="2"/>
      <c r="G200" s="2"/>
      <c r="H200" s="2"/>
      <c r="I200" s="2"/>
      <c r="J200" s="2"/>
      <c r="K200" s="2"/>
      <c r="L200" s="2"/>
      <c r="M200" s="2"/>
      <c r="N200" s="2"/>
      <c r="O200" s="2"/>
      <c r="P200" s="2"/>
      <c r="Q200" s="2"/>
      <c r="R200" s="2"/>
      <c r="S200" s="2"/>
      <c r="T200" s="2"/>
      <c r="U200" s="2"/>
      <c r="V200" s="2"/>
      <c r="W200" s="2"/>
    </row>
    <row r="201">
      <c r="A201" s="2"/>
      <c r="B201" s="2"/>
      <c r="C201" s="2"/>
      <c r="D201" s="2"/>
      <c r="E201" s="2"/>
      <c r="F201" s="2"/>
      <c r="G201" s="2"/>
      <c r="H201" s="2"/>
      <c r="I201" s="2"/>
      <c r="J201" s="2"/>
      <c r="K201" s="2"/>
      <c r="L201" s="2"/>
      <c r="M201" s="2"/>
      <c r="N201" s="2"/>
      <c r="O201" s="2"/>
      <c r="P201" s="2"/>
      <c r="Q201" s="2"/>
      <c r="R201" s="2"/>
      <c r="S201" s="2"/>
      <c r="T201" s="2"/>
      <c r="U201" s="2"/>
      <c r="V201" s="2"/>
      <c r="W201" s="2"/>
    </row>
    <row r="202">
      <c r="A202" s="2"/>
      <c r="B202" s="2"/>
      <c r="C202" s="2"/>
      <c r="D202" s="2"/>
      <c r="E202" s="2"/>
      <c r="F202" s="2"/>
      <c r="G202" s="2"/>
      <c r="H202" s="2"/>
      <c r="I202" s="2"/>
      <c r="J202" s="2"/>
      <c r="K202" s="2"/>
      <c r="L202" s="2"/>
      <c r="M202" s="2"/>
      <c r="N202" s="2"/>
      <c r="O202" s="2"/>
      <c r="P202" s="2"/>
      <c r="Q202" s="2"/>
      <c r="R202" s="2"/>
      <c r="S202" s="2"/>
      <c r="T202" s="2"/>
      <c r="U202" s="2"/>
      <c r="V202" s="2"/>
      <c r="W202" s="2"/>
    </row>
    <row r="203">
      <c r="A203" s="2"/>
      <c r="B203" s="2"/>
      <c r="C203" s="2"/>
      <c r="D203" s="2"/>
      <c r="E203" s="2"/>
      <c r="F203" s="2"/>
      <c r="G203" s="2"/>
      <c r="H203" s="2"/>
      <c r="I203" s="2"/>
      <c r="J203" s="2"/>
      <c r="K203" s="2"/>
      <c r="L203" s="2"/>
      <c r="M203" s="2"/>
      <c r="N203" s="2"/>
      <c r="O203" s="2"/>
      <c r="P203" s="2"/>
      <c r="Q203" s="2"/>
      <c r="R203" s="2"/>
      <c r="S203" s="2"/>
      <c r="T203" s="2"/>
      <c r="U203" s="2"/>
      <c r="V203" s="2"/>
      <c r="W203" s="2"/>
    </row>
    <row r="204">
      <c r="A204" s="2"/>
      <c r="B204" s="2"/>
      <c r="C204" s="2"/>
      <c r="D204" s="2"/>
      <c r="E204" s="2"/>
      <c r="F204" s="2"/>
      <c r="G204" s="2"/>
      <c r="H204" s="2"/>
      <c r="I204" s="2"/>
      <c r="J204" s="2"/>
      <c r="K204" s="2"/>
      <c r="L204" s="2"/>
      <c r="M204" s="2"/>
      <c r="N204" s="2"/>
      <c r="O204" s="2"/>
      <c r="P204" s="2"/>
      <c r="Q204" s="2"/>
      <c r="R204" s="2"/>
      <c r="S204" s="2"/>
      <c r="T204" s="2"/>
      <c r="U204" s="2"/>
      <c r="V204" s="2"/>
      <c r="W204" s="2"/>
    </row>
    <row r="205">
      <c r="A205" s="2"/>
      <c r="B205" s="2"/>
      <c r="C205" s="2"/>
      <c r="D205" s="2"/>
      <c r="E205" s="2"/>
      <c r="F205" s="2"/>
      <c r="G205" s="2"/>
      <c r="H205" s="2"/>
      <c r="I205" s="2"/>
      <c r="J205" s="2"/>
      <c r="K205" s="2"/>
      <c r="L205" s="2"/>
      <c r="M205" s="2"/>
      <c r="N205" s="2"/>
      <c r="O205" s="2"/>
      <c r="P205" s="2"/>
      <c r="Q205" s="2"/>
      <c r="R205" s="2"/>
      <c r="S205" s="2"/>
      <c r="T205" s="2"/>
      <c r="U205" s="2"/>
      <c r="V205" s="2"/>
      <c r="W205" s="2"/>
    </row>
    <row r="206">
      <c r="A206" s="2"/>
      <c r="B206" s="2"/>
      <c r="C206" s="2"/>
      <c r="D206" s="2"/>
      <c r="E206" s="2"/>
      <c r="F206" s="2"/>
      <c r="G206" s="2"/>
      <c r="H206" s="2"/>
      <c r="I206" s="2"/>
      <c r="J206" s="2"/>
      <c r="K206" s="2"/>
      <c r="L206" s="2"/>
      <c r="M206" s="2"/>
      <c r="N206" s="2"/>
      <c r="O206" s="2"/>
      <c r="P206" s="2"/>
      <c r="Q206" s="2"/>
      <c r="R206" s="2"/>
      <c r="S206" s="2"/>
      <c r="T206" s="2"/>
      <c r="U206" s="2"/>
      <c r="V206" s="2"/>
      <c r="W206" s="2"/>
    </row>
    <row r="207">
      <c r="A207" s="2"/>
      <c r="B207" s="2"/>
      <c r="C207" s="2"/>
      <c r="D207" s="2"/>
      <c r="E207" s="2"/>
      <c r="F207" s="2"/>
      <c r="G207" s="2"/>
      <c r="H207" s="2"/>
      <c r="I207" s="2"/>
      <c r="J207" s="2"/>
      <c r="K207" s="2"/>
      <c r="L207" s="2"/>
      <c r="M207" s="2"/>
      <c r="N207" s="2"/>
      <c r="O207" s="2"/>
      <c r="P207" s="2"/>
      <c r="Q207" s="2"/>
      <c r="R207" s="2"/>
      <c r="S207" s="2"/>
      <c r="T207" s="2"/>
      <c r="U207" s="2"/>
      <c r="V207" s="2"/>
      <c r="W207" s="2"/>
    </row>
    <row r="208">
      <c r="A208" s="2"/>
      <c r="B208" s="2"/>
      <c r="C208" s="2"/>
      <c r="D208" s="2"/>
      <c r="E208" s="2"/>
      <c r="F208" s="2"/>
      <c r="G208" s="2"/>
      <c r="H208" s="2"/>
      <c r="I208" s="2"/>
      <c r="J208" s="2"/>
      <c r="K208" s="2"/>
      <c r="L208" s="2"/>
      <c r="M208" s="2"/>
      <c r="N208" s="2"/>
      <c r="O208" s="2"/>
      <c r="P208" s="2"/>
      <c r="Q208" s="2"/>
      <c r="R208" s="2"/>
      <c r="S208" s="2"/>
      <c r="T208" s="2"/>
      <c r="U208" s="2"/>
      <c r="V208" s="2"/>
      <c r="W208" s="2"/>
    </row>
    <row r="209">
      <c r="A209" s="2"/>
      <c r="B209" s="2"/>
      <c r="C209" s="2"/>
      <c r="D209" s="2"/>
      <c r="E209" s="2"/>
      <c r="F209" s="2"/>
      <c r="G209" s="2"/>
      <c r="H209" s="2"/>
      <c r="I209" s="2"/>
      <c r="J209" s="2"/>
      <c r="K209" s="2"/>
      <c r="L209" s="2"/>
      <c r="M209" s="2"/>
      <c r="N209" s="2"/>
      <c r="O209" s="2"/>
      <c r="P209" s="2"/>
      <c r="Q209" s="2"/>
      <c r="R209" s="2"/>
      <c r="S209" s="2"/>
      <c r="T209" s="2"/>
      <c r="U209" s="2"/>
      <c r="V209" s="2"/>
      <c r="W209" s="2"/>
    </row>
    <row r="210">
      <c r="A210" s="2"/>
      <c r="B210" s="2"/>
      <c r="C210" s="2"/>
      <c r="D210" s="2"/>
      <c r="E210" s="2"/>
      <c r="F210" s="2"/>
      <c r="G210" s="2"/>
      <c r="H210" s="2"/>
      <c r="I210" s="2"/>
      <c r="J210" s="2"/>
      <c r="K210" s="2"/>
      <c r="L210" s="2"/>
      <c r="M210" s="2"/>
      <c r="N210" s="2"/>
      <c r="O210" s="2"/>
      <c r="P210" s="2"/>
      <c r="Q210" s="2"/>
      <c r="R210" s="2"/>
      <c r="S210" s="2"/>
      <c r="T210" s="2"/>
      <c r="U210" s="2"/>
      <c r="V210" s="2"/>
      <c r="W210" s="2"/>
    </row>
    <row r="211">
      <c r="A211" s="2"/>
      <c r="B211" s="2"/>
      <c r="C211" s="2"/>
      <c r="D211" s="2"/>
      <c r="E211" s="2"/>
      <c r="F211" s="2"/>
      <c r="G211" s="2"/>
      <c r="H211" s="2"/>
      <c r="I211" s="2"/>
      <c r="J211" s="2"/>
      <c r="K211" s="2"/>
      <c r="L211" s="2"/>
      <c r="M211" s="2"/>
      <c r="N211" s="2"/>
      <c r="O211" s="2"/>
      <c r="P211" s="2"/>
      <c r="Q211" s="2"/>
      <c r="R211" s="2"/>
      <c r="S211" s="2"/>
      <c r="T211" s="2"/>
      <c r="U211" s="2"/>
      <c r="V211" s="2"/>
      <c r="W211" s="2"/>
    </row>
    <row r="212">
      <c r="A212" s="2"/>
      <c r="B212" s="2"/>
      <c r="C212" s="2"/>
      <c r="D212" s="2"/>
      <c r="E212" s="2"/>
      <c r="F212" s="2"/>
      <c r="G212" s="2"/>
      <c r="H212" s="2"/>
      <c r="I212" s="2"/>
      <c r="J212" s="2"/>
      <c r="K212" s="2"/>
      <c r="L212" s="2"/>
      <c r="M212" s="2"/>
      <c r="N212" s="2"/>
      <c r="O212" s="2"/>
      <c r="P212" s="2"/>
      <c r="Q212" s="2"/>
      <c r="R212" s="2"/>
      <c r="S212" s="2"/>
      <c r="T212" s="2"/>
      <c r="U212" s="2"/>
      <c r="V212" s="2"/>
      <c r="W212" s="2"/>
    </row>
    <row r="213">
      <c r="A213" s="2"/>
      <c r="B213" s="2"/>
      <c r="C213" s="2"/>
      <c r="D213" s="2"/>
      <c r="E213" s="2"/>
      <c r="F213" s="2"/>
      <c r="G213" s="2"/>
      <c r="H213" s="2"/>
      <c r="I213" s="2"/>
      <c r="J213" s="2"/>
      <c r="K213" s="2"/>
      <c r="L213" s="2"/>
      <c r="M213" s="2"/>
      <c r="N213" s="2"/>
      <c r="O213" s="2"/>
      <c r="P213" s="2"/>
      <c r="Q213" s="2"/>
      <c r="R213" s="2"/>
      <c r="S213" s="2"/>
      <c r="T213" s="2"/>
      <c r="U213" s="2"/>
      <c r="V213" s="2"/>
      <c r="W213" s="2"/>
    </row>
    <row r="214">
      <c r="A214" s="2"/>
      <c r="B214" s="2"/>
      <c r="C214" s="2"/>
      <c r="D214" s="2"/>
      <c r="E214" s="2"/>
      <c r="F214" s="2"/>
      <c r="G214" s="2"/>
      <c r="H214" s="2"/>
      <c r="I214" s="2"/>
      <c r="J214" s="2"/>
      <c r="K214" s="2"/>
      <c r="L214" s="2"/>
      <c r="M214" s="2"/>
      <c r="N214" s="2"/>
      <c r="O214" s="2"/>
      <c r="P214" s="2"/>
      <c r="Q214" s="2"/>
      <c r="R214" s="2"/>
      <c r="S214" s="2"/>
      <c r="T214" s="2"/>
      <c r="U214" s="2"/>
      <c r="V214" s="2"/>
      <c r="W214" s="2"/>
    </row>
    <row r="215">
      <c r="A215" s="2"/>
      <c r="B215" s="2"/>
      <c r="C215" s="2"/>
      <c r="D215" s="2"/>
      <c r="E215" s="2"/>
      <c r="F215" s="2"/>
      <c r="G215" s="2"/>
      <c r="H215" s="2"/>
      <c r="I215" s="2"/>
      <c r="J215" s="2"/>
      <c r="K215" s="2"/>
      <c r="L215" s="2"/>
      <c r="M215" s="2"/>
      <c r="N215" s="2"/>
      <c r="O215" s="2"/>
      <c r="P215" s="2"/>
      <c r="Q215" s="2"/>
      <c r="R215" s="2"/>
      <c r="S215" s="2"/>
      <c r="T215" s="2"/>
      <c r="U215" s="2"/>
      <c r="V215" s="2"/>
      <c r="W215" s="2"/>
    </row>
    <row r="216">
      <c r="A216" s="2"/>
      <c r="B216" s="2"/>
      <c r="C216" s="2"/>
      <c r="D216" s="2"/>
      <c r="E216" s="2"/>
      <c r="F216" s="2"/>
      <c r="G216" s="2"/>
      <c r="H216" s="2"/>
      <c r="I216" s="2"/>
      <c r="J216" s="2"/>
      <c r="K216" s="2"/>
      <c r="L216" s="2"/>
      <c r="M216" s="2"/>
      <c r="N216" s="2"/>
      <c r="O216" s="2"/>
      <c r="P216" s="2"/>
      <c r="Q216" s="2"/>
      <c r="R216" s="2"/>
      <c r="S216" s="2"/>
      <c r="T216" s="2"/>
      <c r="U216" s="2"/>
      <c r="V216" s="2"/>
      <c r="W216" s="2"/>
    </row>
    <row r="217">
      <c r="A217" s="2"/>
      <c r="B217" s="2"/>
      <c r="C217" s="2"/>
      <c r="D217" s="2"/>
      <c r="E217" s="2"/>
      <c r="F217" s="2"/>
      <c r="G217" s="2"/>
      <c r="H217" s="2"/>
      <c r="I217" s="2"/>
      <c r="J217" s="2"/>
      <c r="K217" s="2"/>
      <c r="L217" s="2"/>
      <c r="M217" s="2"/>
      <c r="N217" s="2"/>
      <c r="O217" s="2"/>
      <c r="P217" s="2"/>
      <c r="Q217" s="2"/>
      <c r="R217" s="2"/>
      <c r="S217" s="2"/>
      <c r="T217" s="2"/>
      <c r="U217" s="2"/>
      <c r="V217" s="2"/>
      <c r="W217" s="2"/>
    </row>
    <row r="218">
      <c r="A218" s="2"/>
      <c r="B218" s="2"/>
      <c r="C218" s="2"/>
      <c r="D218" s="2"/>
      <c r="E218" s="2"/>
      <c r="F218" s="2"/>
      <c r="G218" s="2"/>
      <c r="H218" s="2"/>
      <c r="I218" s="2"/>
      <c r="J218" s="2"/>
      <c r="K218" s="2"/>
      <c r="L218" s="2"/>
      <c r="M218" s="2"/>
      <c r="N218" s="2"/>
      <c r="O218" s="2"/>
      <c r="P218" s="2"/>
      <c r="Q218" s="2"/>
      <c r="R218" s="2"/>
      <c r="S218" s="2"/>
      <c r="T218" s="2"/>
      <c r="U218" s="2"/>
      <c r="V218" s="2"/>
      <c r="W218" s="2"/>
    </row>
    <row r="219">
      <c r="A219" s="2"/>
      <c r="B219" s="2"/>
      <c r="C219" s="2"/>
      <c r="D219" s="2"/>
      <c r="E219" s="2"/>
      <c r="F219" s="2"/>
      <c r="G219" s="2"/>
      <c r="H219" s="2"/>
      <c r="I219" s="2"/>
      <c r="J219" s="2"/>
      <c r="K219" s="2"/>
      <c r="L219" s="2"/>
      <c r="M219" s="2"/>
      <c r="N219" s="2"/>
      <c r="O219" s="2"/>
      <c r="P219" s="2"/>
      <c r="Q219" s="2"/>
      <c r="R219" s="2"/>
      <c r="S219" s="2"/>
      <c r="T219" s="2"/>
      <c r="U219" s="2"/>
      <c r="V219" s="2"/>
      <c r="W219" s="2"/>
    </row>
    <row r="220">
      <c r="A220" s="2"/>
      <c r="B220" s="2"/>
      <c r="C220" s="2"/>
      <c r="D220" s="2"/>
      <c r="E220" s="2"/>
      <c r="F220" s="2"/>
      <c r="G220" s="2"/>
      <c r="H220" s="2"/>
      <c r="I220" s="2"/>
      <c r="J220" s="2"/>
      <c r="K220" s="2"/>
      <c r="L220" s="2"/>
      <c r="M220" s="2"/>
      <c r="N220" s="2"/>
      <c r="O220" s="2"/>
      <c r="P220" s="2"/>
      <c r="Q220" s="2"/>
      <c r="R220" s="2"/>
      <c r="S220" s="2"/>
      <c r="T220" s="2"/>
      <c r="U220" s="2"/>
      <c r="V220" s="2"/>
      <c r="W220" s="2"/>
    </row>
    <row r="221">
      <c r="A221" s="2"/>
      <c r="B221" s="2"/>
      <c r="C221" s="2"/>
      <c r="D221" s="2"/>
      <c r="E221" s="2"/>
      <c r="F221" s="2"/>
      <c r="G221" s="2"/>
      <c r="H221" s="2"/>
      <c r="I221" s="2"/>
      <c r="J221" s="2"/>
      <c r="K221" s="2"/>
      <c r="L221" s="2"/>
      <c r="M221" s="2"/>
      <c r="N221" s="2"/>
      <c r="O221" s="2"/>
      <c r="P221" s="2"/>
      <c r="Q221" s="2"/>
      <c r="R221" s="2"/>
      <c r="S221" s="2"/>
      <c r="T221" s="2"/>
      <c r="U221" s="2"/>
      <c r="V221" s="2"/>
      <c r="W221" s="2"/>
    </row>
    <row r="222">
      <c r="A222" s="2"/>
      <c r="B222" s="2"/>
      <c r="C222" s="2"/>
      <c r="D222" s="2"/>
      <c r="E222" s="2"/>
      <c r="F222" s="2"/>
      <c r="G222" s="2"/>
      <c r="H222" s="2"/>
      <c r="I222" s="2"/>
      <c r="J222" s="2"/>
      <c r="K222" s="2"/>
      <c r="L222" s="2"/>
      <c r="M222" s="2"/>
      <c r="N222" s="2"/>
      <c r="O222" s="2"/>
      <c r="P222" s="2"/>
      <c r="Q222" s="2"/>
      <c r="R222" s="2"/>
      <c r="S222" s="2"/>
      <c r="T222" s="2"/>
      <c r="U222" s="2"/>
      <c r="V222" s="2"/>
      <c r="W222" s="2"/>
    </row>
    <row r="223">
      <c r="A223" s="2"/>
      <c r="B223" s="2"/>
      <c r="C223" s="2"/>
      <c r="D223" s="2"/>
      <c r="E223" s="2"/>
      <c r="F223" s="2"/>
      <c r="G223" s="2"/>
      <c r="H223" s="2"/>
      <c r="I223" s="2"/>
      <c r="J223" s="2"/>
      <c r="K223" s="2"/>
      <c r="L223" s="2"/>
      <c r="M223" s="2"/>
      <c r="N223" s="2"/>
      <c r="O223" s="2"/>
      <c r="P223" s="2"/>
      <c r="Q223" s="2"/>
      <c r="R223" s="2"/>
      <c r="S223" s="2"/>
      <c r="T223" s="2"/>
      <c r="U223" s="2"/>
      <c r="V223" s="2"/>
      <c r="W223" s="2"/>
    </row>
    <row r="224">
      <c r="A224" s="2"/>
      <c r="B224" s="2"/>
      <c r="C224" s="2"/>
      <c r="D224" s="2"/>
      <c r="E224" s="2"/>
      <c r="F224" s="2"/>
      <c r="G224" s="2"/>
      <c r="H224" s="2"/>
      <c r="I224" s="2"/>
      <c r="J224" s="2"/>
      <c r="K224" s="2"/>
      <c r="L224" s="2"/>
      <c r="M224" s="2"/>
      <c r="N224" s="2"/>
      <c r="O224" s="2"/>
      <c r="P224" s="2"/>
      <c r="Q224" s="2"/>
      <c r="R224" s="2"/>
      <c r="S224" s="2"/>
      <c r="T224" s="2"/>
      <c r="U224" s="2"/>
      <c r="V224" s="2"/>
      <c r="W224" s="2"/>
    </row>
    <row r="225">
      <c r="A225" s="2"/>
      <c r="B225" s="2"/>
      <c r="C225" s="2"/>
      <c r="D225" s="2"/>
      <c r="E225" s="2"/>
      <c r="F225" s="2"/>
      <c r="G225" s="2"/>
      <c r="H225" s="2"/>
      <c r="I225" s="2"/>
      <c r="J225" s="2"/>
      <c r="K225" s="2"/>
      <c r="L225" s="2"/>
      <c r="M225" s="2"/>
      <c r="N225" s="2"/>
      <c r="O225" s="2"/>
      <c r="P225" s="2"/>
      <c r="Q225" s="2"/>
      <c r="R225" s="2"/>
      <c r="S225" s="2"/>
      <c r="T225" s="2"/>
      <c r="U225" s="2"/>
      <c r="V225" s="2"/>
      <c r="W225" s="2"/>
    </row>
    <row r="226">
      <c r="A226" s="2"/>
      <c r="B226" s="2"/>
      <c r="C226" s="2"/>
      <c r="D226" s="2"/>
      <c r="E226" s="2"/>
      <c r="F226" s="2"/>
      <c r="G226" s="2"/>
      <c r="H226" s="2"/>
      <c r="I226" s="2"/>
      <c r="J226" s="2"/>
      <c r="K226" s="2"/>
      <c r="L226" s="2"/>
      <c r="M226" s="2"/>
      <c r="N226" s="2"/>
      <c r="O226" s="2"/>
      <c r="P226" s="2"/>
      <c r="Q226" s="2"/>
      <c r="R226" s="2"/>
      <c r="S226" s="2"/>
      <c r="T226" s="2"/>
      <c r="U226" s="2"/>
      <c r="V226" s="2"/>
      <c r="W226" s="2"/>
    </row>
    <row r="227">
      <c r="A227" s="2"/>
      <c r="B227" s="2"/>
      <c r="C227" s="2"/>
      <c r="D227" s="2"/>
      <c r="E227" s="2"/>
      <c r="F227" s="2"/>
      <c r="G227" s="2"/>
      <c r="H227" s="2"/>
      <c r="I227" s="2"/>
      <c r="J227" s="2"/>
      <c r="K227" s="2"/>
      <c r="L227" s="2"/>
      <c r="M227" s="2"/>
      <c r="N227" s="2"/>
      <c r="O227" s="2"/>
      <c r="P227" s="2"/>
      <c r="Q227" s="2"/>
      <c r="R227" s="2"/>
      <c r="S227" s="2"/>
      <c r="T227" s="2"/>
      <c r="U227" s="2"/>
      <c r="V227" s="2"/>
      <c r="W227" s="2"/>
    </row>
    <row r="228">
      <c r="A228" s="2"/>
      <c r="B228" s="2"/>
      <c r="C228" s="2"/>
      <c r="D228" s="2"/>
      <c r="E228" s="2"/>
      <c r="F228" s="2"/>
      <c r="G228" s="2"/>
      <c r="H228" s="2"/>
      <c r="I228" s="2"/>
      <c r="J228" s="2"/>
      <c r="K228" s="2"/>
      <c r="L228" s="2"/>
      <c r="M228" s="2"/>
      <c r="N228" s="2"/>
      <c r="O228" s="2"/>
      <c r="P228" s="2"/>
      <c r="Q228" s="2"/>
      <c r="R228" s="2"/>
      <c r="S228" s="2"/>
      <c r="T228" s="2"/>
      <c r="U228" s="2"/>
      <c r="V228" s="2"/>
      <c r="W228" s="2"/>
    </row>
    <row r="229">
      <c r="A229" s="2"/>
      <c r="B229" s="2"/>
      <c r="C229" s="2"/>
      <c r="D229" s="2"/>
      <c r="E229" s="2"/>
      <c r="F229" s="2"/>
      <c r="G229" s="2"/>
      <c r="H229" s="2"/>
      <c r="I229" s="2"/>
      <c r="J229" s="2"/>
      <c r="K229" s="2"/>
      <c r="L229" s="2"/>
      <c r="M229" s="2"/>
      <c r="N229" s="2"/>
      <c r="O229" s="2"/>
      <c r="P229" s="2"/>
      <c r="Q229" s="2"/>
      <c r="R229" s="2"/>
      <c r="S229" s="2"/>
      <c r="T229" s="2"/>
      <c r="U229" s="2"/>
      <c r="V229" s="2"/>
      <c r="W229" s="2"/>
    </row>
    <row r="230">
      <c r="A230" s="2"/>
      <c r="B230" s="2"/>
      <c r="C230" s="2"/>
      <c r="D230" s="2"/>
      <c r="E230" s="2"/>
      <c r="F230" s="2"/>
      <c r="G230" s="2"/>
      <c r="H230" s="2"/>
      <c r="I230" s="2"/>
      <c r="J230" s="2"/>
      <c r="K230" s="2"/>
      <c r="L230" s="2"/>
      <c r="M230" s="2"/>
      <c r="N230" s="2"/>
      <c r="O230" s="2"/>
      <c r="P230" s="2"/>
      <c r="Q230" s="2"/>
      <c r="R230" s="2"/>
      <c r="S230" s="2"/>
      <c r="T230" s="2"/>
      <c r="U230" s="2"/>
      <c r="V230" s="2"/>
      <c r="W230" s="2"/>
    </row>
    <row r="231">
      <c r="A231" s="2"/>
      <c r="B231" s="2"/>
      <c r="C231" s="2"/>
      <c r="D231" s="2"/>
      <c r="E231" s="2"/>
      <c r="F231" s="2"/>
      <c r="G231" s="2"/>
      <c r="H231" s="2"/>
      <c r="I231" s="2"/>
      <c r="J231" s="2"/>
      <c r="K231" s="2"/>
      <c r="L231" s="2"/>
      <c r="M231" s="2"/>
      <c r="N231" s="2"/>
      <c r="O231" s="2"/>
      <c r="P231" s="2"/>
      <c r="Q231" s="2"/>
      <c r="R231" s="2"/>
      <c r="S231" s="2"/>
      <c r="T231" s="2"/>
      <c r="U231" s="2"/>
      <c r="V231" s="2"/>
      <c r="W231" s="2"/>
    </row>
    <row r="232">
      <c r="A232" s="2"/>
      <c r="B232" s="2"/>
      <c r="C232" s="2"/>
      <c r="D232" s="2"/>
      <c r="E232" s="2"/>
      <c r="F232" s="2"/>
      <c r="G232" s="2"/>
      <c r="H232" s="2"/>
      <c r="I232" s="2"/>
      <c r="J232" s="2"/>
      <c r="K232" s="2"/>
      <c r="L232" s="2"/>
      <c r="M232" s="2"/>
      <c r="N232" s="2"/>
      <c r="O232" s="2"/>
      <c r="P232" s="2"/>
      <c r="Q232" s="2"/>
      <c r="R232" s="2"/>
      <c r="S232" s="2"/>
      <c r="T232" s="2"/>
      <c r="U232" s="2"/>
      <c r="V232" s="2"/>
      <c r="W232" s="2"/>
    </row>
    <row r="233">
      <c r="A233" s="2"/>
      <c r="B233" s="2"/>
      <c r="C233" s="2"/>
      <c r="D233" s="2"/>
      <c r="E233" s="2"/>
      <c r="F233" s="2"/>
      <c r="G233" s="2"/>
      <c r="H233" s="2"/>
      <c r="I233" s="2"/>
      <c r="J233" s="2"/>
      <c r="K233" s="2"/>
      <c r="L233" s="2"/>
      <c r="M233" s="2"/>
      <c r="N233" s="2"/>
      <c r="O233" s="2"/>
      <c r="P233" s="2"/>
      <c r="Q233" s="2"/>
      <c r="R233" s="2"/>
      <c r="S233" s="2"/>
      <c r="T233" s="2"/>
      <c r="U233" s="2"/>
      <c r="V233" s="2"/>
      <c r="W233" s="2"/>
    </row>
    <row r="234">
      <c r="A234" s="2"/>
      <c r="B234" s="2"/>
      <c r="C234" s="2"/>
      <c r="D234" s="2"/>
      <c r="E234" s="2"/>
      <c r="F234" s="2"/>
      <c r="G234" s="2"/>
      <c r="H234" s="2"/>
      <c r="I234" s="2"/>
      <c r="J234" s="2"/>
      <c r="K234" s="2"/>
      <c r="L234" s="2"/>
      <c r="M234" s="2"/>
      <c r="N234" s="2"/>
      <c r="O234" s="2"/>
      <c r="P234" s="2"/>
      <c r="Q234" s="2"/>
      <c r="R234" s="2"/>
      <c r="S234" s="2"/>
      <c r="T234" s="2"/>
      <c r="U234" s="2"/>
      <c r="V234" s="2"/>
      <c r="W234" s="2"/>
    </row>
    <row r="235">
      <c r="A235" s="2"/>
      <c r="B235" s="2"/>
      <c r="C235" s="2"/>
      <c r="D235" s="2"/>
      <c r="E235" s="2"/>
      <c r="F235" s="2"/>
      <c r="G235" s="2"/>
      <c r="H235" s="2"/>
      <c r="I235" s="2"/>
      <c r="J235" s="2"/>
      <c r="K235" s="2"/>
      <c r="L235" s="2"/>
      <c r="M235" s="2"/>
      <c r="N235" s="2"/>
      <c r="O235" s="2"/>
      <c r="P235" s="2"/>
      <c r="Q235" s="2"/>
      <c r="R235" s="2"/>
      <c r="S235" s="2"/>
      <c r="T235" s="2"/>
      <c r="U235" s="2"/>
      <c r="V235" s="2"/>
      <c r="W235" s="2"/>
    </row>
    <row r="236">
      <c r="A236" s="2"/>
      <c r="B236" s="2"/>
      <c r="C236" s="2"/>
      <c r="D236" s="2"/>
      <c r="E236" s="2"/>
      <c r="F236" s="2"/>
      <c r="G236" s="2"/>
      <c r="H236" s="2"/>
      <c r="I236" s="2"/>
      <c r="J236" s="2"/>
      <c r="K236" s="2"/>
      <c r="L236" s="2"/>
      <c r="M236" s="2"/>
      <c r="N236" s="2"/>
      <c r="O236" s="2"/>
      <c r="P236" s="2"/>
      <c r="Q236" s="2"/>
      <c r="R236" s="2"/>
      <c r="S236" s="2"/>
      <c r="T236" s="2"/>
      <c r="U236" s="2"/>
      <c r="V236" s="2"/>
      <c r="W236" s="2"/>
    </row>
    <row r="237">
      <c r="A237" s="2"/>
      <c r="B237" s="2"/>
      <c r="C237" s="2"/>
      <c r="D237" s="2"/>
      <c r="E237" s="2"/>
      <c r="F237" s="2"/>
      <c r="G237" s="2"/>
      <c r="H237" s="2"/>
      <c r="I237" s="2"/>
      <c r="J237" s="2"/>
      <c r="K237" s="2"/>
      <c r="L237" s="2"/>
      <c r="M237" s="2"/>
      <c r="N237" s="2"/>
      <c r="O237" s="2"/>
      <c r="P237" s="2"/>
      <c r="Q237" s="2"/>
      <c r="R237" s="2"/>
      <c r="S237" s="2"/>
      <c r="T237" s="2"/>
      <c r="U237" s="2"/>
      <c r="V237" s="2"/>
      <c r="W237" s="2"/>
    </row>
    <row r="238">
      <c r="A238" s="2"/>
      <c r="B238" s="2"/>
      <c r="C238" s="2"/>
      <c r="D238" s="2"/>
      <c r="E238" s="2"/>
      <c r="F238" s="2"/>
      <c r="G238" s="2"/>
      <c r="H238" s="2"/>
      <c r="I238" s="2"/>
      <c r="J238" s="2"/>
      <c r="K238" s="2"/>
      <c r="L238" s="2"/>
      <c r="M238" s="2"/>
      <c r="N238" s="2"/>
      <c r="O238" s="2"/>
      <c r="P238" s="2"/>
      <c r="Q238" s="2"/>
      <c r="R238" s="2"/>
      <c r="S238" s="2"/>
      <c r="T238" s="2"/>
      <c r="U238" s="2"/>
      <c r="V238" s="2"/>
      <c r="W238" s="2"/>
    </row>
    <row r="239">
      <c r="A239" s="2"/>
      <c r="B239" s="2"/>
      <c r="C239" s="2"/>
      <c r="D239" s="2"/>
      <c r="E239" s="2"/>
      <c r="F239" s="2"/>
      <c r="G239" s="2"/>
      <c r="H239" s="2"/>
      <c r="I239" s="2"/>
      <c r="J239" s="2"/>
      <c r="K239" s="2"/>
      <c r="L239" s="2"/>
      <c r="M239" s="2"/>
      <c r="N239" s="2"/>
      <c r="O239" s="2"/>
      <c r="P239" s="2"/>
      <c r="Q239" s="2"/>
      <c r="R239" s="2"/>
      <c r="S239" s="2"/>
      <c r="T239" s="2"/>
      <c r="U239" s="2"/>
      <c r="V239" s="2"/>
      <c r="W239" s="2"/>
    </row>
    <row r="240">
      <c r="A240" s="2"/>
      <c r="B240" s="2"/>
      <c r="C240" s="2"/>
      <c r="D240" s="2"/>
      <c r="E240" s="2"/>
      <c r="F240" s="2"/>
      <c r="G240" s="2"/>
      <c r="H240" s="2"/>
      <c r="I240" s="2"/>
      <c r="J240" s="2"/>
      <c r="K240" s="2"/>
      <c r="L240" s="2"/>
      <c r="M240" s="2"/>
      <c r="N240" s="2"/>
      <c r="O240" s="2"/>
      <c r="P240" s="2"/>
      <c r="Q240" s="2"/>
      <c r="R240" s="2"/>
      <c r="S240" s="2"/>
      <c r="T240" s="2"/>
      <c r="U240" s="2"/>
      <c r="V240" s="2"/>
      <c r="W240" s="2"/>
    </row>
    <row r="241">
      <c r="A241" s="2"/>
      <c r="B241" s="2"/>
      <c r="C241" s="2"/>
      <c r="D241" s="2"/>
      <c r="E241" s="2"/>
      <c r="F241" s="2"/>
      <c r="G241" s="2"/>
      <c r="H241" s="2"/>
      <c r="I241" s="2"/>
      <c r="J241" s="2"/>
      <c r="K241" s="2"/>
      <c r="L241" s="2"/>
      <c r="M241" s="2"/>
      <c r="N241" s="2"/>
      <c r="O241" s="2"/>
      <c r="P241" s="2"/>
      <c r="Q241" s="2"/>
      <c r="R241" s="2"/>
      <c r="S241" s="2"/>
      <c r="T241" s="2"/>
      <c r="U241" s="2"/>
      <c r="V241" s="2"/>
      <c r="W241" s="2"/>
    </row>
    <row r="242">
      <c r="A242" s="2"/>
      <c r="B242" s="2"/>
      <c r="C242" s="2"/>
      <c r="D242" s="2"/>
      <c r="E242" s="2"/>
      <c r="F242" s="2"/>
      <c r="G242" s="2"/>
      <c r="H242" s="2"/>
      <c r="I242" s="2"/>
      <c r="J242" s="2"/>
      <c r="K242" s="2"/>
      <c r="L242" s="2"/>
      <c r="M242" s="2"/>
      <c r="N242" s="2"/>
      <c r="O242" s="2"/>
      <c r="P242" s="2"/>
      <c r="Q242" s="2"/>
      <c r="R242" s="2"/>
      <c r="S242" s="2"/>
      <c r="T242" s="2"/>
      <c r="U242" s="2"/>
      <c r="V242" s="2"/>
      <c r="W242" s="2"/>
    </row>
    <row r="243">
      <c r="A243" s="2"/>
      <c r="B243" s="2"/>
      <c r="C243" s="2"/>
      <c r="D243" s="2"/>
      <c r="E243" s="2"/>
      <c r="F243" s="2"/>
      <c r="G243" s="2"/>
      <c r="H243" s="2"/>
      <c r="I243" s="2"/>
      <c r="J243" s="2"/>
      <c r="K243" s="2"/>
      <c r="L243" s="2"/>
      <c r="M243" s="2"/>
      <c r="N243" s="2"/>
      <c r="O243" s="2"/>
      <c r="P243" s="2"/>
      <c r="Q243" s="2"/>
      <c r="R243" s="2"/>
      <c r="S243" s="2"/>
      <c r="T243" s="2"/>
      <c r="U243" s="2"/>
      <c r="V243" s="2"/>
      <c r="W243" s="2"/>
    </row>
    <row r="244">
      <c r="A244" s="2"/>
      <c r="B244" s="2"/>
      <c r="C244" s="2"/>
      <c r="D244" s="2"/>
      <c r="E244" s="2"/>
      <c r="F244" s="2"/>
      <c r="G244" s="2"/>
      <c r="H244" s="2"/>
      <c r="I244" s="2"/>
      <c r="J244" s="2"/>
      <c r="K244" s="2"/>
      <c r="L244" s="2"/>
      <c r="M244" s="2"/>
      <c r="N244" s="2"/>
      <c r="O244" s="2"/>
      <c r="P244" s="2"/>
      <c r="Q244" s="2"/>
      <c r="R244" s="2"/>
      <c r="S244" s="2"/>
      <c r="T244" s="2"/>
      <c r="U244" s="2"/>
      <c r="V244" s="2"/>
      <c r="W244" s="2"/>
    </row>
    <row r="245">
      <c r="A245" s="2"/>
      <c r="B245" s="2"/>
      <c r="C245" s="2"/>
      <c r="D245" s="2"/>
      <c r="E245" s="2"/>
      <c r="F245" s="2"/>
      <c r="G245" s="2"/>
      <c r="H245" s="2"/>
      <c r="I245" s="2"/>
      <c r="J245" s="2"/>
      <c r="K245" s="2"/>
      <c r="L245" s="2"/>
      <c r="M245" s="2"/>
      <c r="N245" s="2"/>
      <c r="O245" s="2"/>
      <c r="P245" s="2"/>
      <c r="Q245" s="2"/>
      <c r="R245" s="2"/>
      <c r="S245" s="2"/>
      <c r="T245" s="2"/>
      <c r="U245" s="2"/>
      <c r="V245" s="2"/>
      <c r="W245" s="2"/>
    </row>
    <row r="246">
      <c r="A246" s="2"/>
      <c r="B246" s="2"/>
      <c r="C246" s="2"/>
      <c r="D246" s="2"/>
      <c r="E246" s="2"/>
      <c r="F246" s="2"/>
      <c r="G246" s="2"/>
      <c r="H246" s="2"/>
      <c r="I246" s="2"/>
      <c r="J246" s="2"/>
      <c r="K246" s="2"/>
      <c r="L246" s="2"/>
      <c r="M246" s="2"/>
      <c r="N246" s="2"/>
      <c r="O246" s="2"/>
      <c r="P246" s="2"/>
      <c r="Q246" s="2"/>
      <c r="R246" s="2"/>
      <c r="S246" s="2"/>
      <c r="T246" s="2"/>
      <c r="U246" s="2"/>
      <c r="V246" s="2"/>
      <c r="W246" s="2"/>
    </row>
    <row r="247">
      <c r="A247" s="2"/>
      <c r="B247" s="2"/>
      <c r="C247" s="2"/>
      <c r="D247" s="2"/>
      <c r="E247" s="2"/>
      <c r="F247" s="2"/>
      <c r="G247" s="2"/>
      <c r="H247" s="2"/>
      <c r="I247" s="2"/>
      <c r="J247" s="2"/>
      <c r="K247" s="2"/>
      <c r="L247" s="2"/>
      <c r="M247" s="2"/>
      <c r="N247" s="2"/>
      <c r="O247" s="2"/>
      <c r="P247" s="2"/>
      <c r="Q247" s="2"/>
      <c r="R247" s="2"/>
      <c r="S247" s="2"/>
      <c r="T247" s="2"/>
      <c r="U247" s="2"/>
      <c r="V247" s="2"/>
      <c r="W247" s="2"/>
    </row>
    <row r="248">
      <c r="A248" s="2"/>
      <c r="B248" s="2"/>
      <c r="C248" s="2"/>
      <c r="D248" s="2"/>
      <c r="E248" s="2"/>
      <c r="F248" s="2"/>
      <c r="G248" s="2"/>
      <c r="H248" s="2"/>
      <c r="I248" s="2"/>
      <c r="J248" s="2"/>
      <c r="K248" s="2"/>
      <c r="L248" s="2"/>
      <c r="M248" s="2"/>
      <c r="N248" s="2"/>
      <c r="O248" s="2"/>
      <c r="P248" s="2"/>
      <c r="Q248" s="2"/>
      <c r="R248" s="2"/>
      <c r="S248" s="2"/>
      <c r="T248" s="2"/>
      <c r="U248" s="2"/>
      <c r="V248" s="2"/>
      <c r="W248" s="2"/>
    </row>
    <row r="249">
      <c r="A249" s="2"/>
      <c r="B249" s="2"/>
      <c r="C249" s="2"/>
      <c r="D249" s="2"/>
      <c r="E249" s="2"/>
      <c r="F249" s="2"/>
      <c r="G249" s="2"/>
      <c r="H249" s="2"/>
      <c r="I249" s="2"/>
      <c r="J249" s="2"/>
      <c r="K249" s="2"/>
      <c r="L249" s="2"/>
      <c r="M249" s="2"/>
      <c r="N249" s="2"/>
      <c r="O249" s="2"/>
      <c r="P249" s="2"/>
      <c r="Q249" s="2"/>
      <c r="R249" s="2"/>
      <c r="S249" s="2"/>
      <c r="T249" s="2"/>
      <c r="U249" s="2"/>
      <c r="V249" s="2"/>
      <c r="W249" s="2"/>
    </row>
    <row r="250">
      <c r="A250" s="2"/>
      <c r="B250" s="2"/>
      <c r="C250" s="2"/>
      <c r="D250" s="2"/>
      <c r="E250" s="2"/>
      <c r="F250" s="2"/>
      <c r="G250" s="2"/>
      <c r="H250" s="2"/>
      <c r="I250" s="2"/>
      <c r="J250" s="2"/>
      <c r="K250" s="2"/>
      <c r="L250" s="2"/>
      <c r="M250" s="2"/>
      <c r="N250" s="2"/>
      <c r="O250" s="2"/>
      <c r="P250" s="2"/>
      <c r="Q250" s="2"/>
      <c r="R250" s="2"/>
      <c r="S250" s="2"/>
      <c r="T250" s="2"/>
      <c r="U250" s="2"/>
      <c r="V250" s="2"/>
      <c r="W250" s="2"/>
    </row>
    <row r="251">
      <c r="A251" s="2"/>
      <c r="B251" s="2"/>
      <c r="C251" s="2"/>
      <c r="D251" s="2"/>
      <c r="E251" s="2"/>
      <c r="F251" s="2"/>
      <c r="G251" s="2"/>
      <c r="H251" s="2"/>
      <c r="I251" s="2"/>
      <c r="J251" s="2"/>
      <c r="K251" s="2"/>
      <c r="L251" s="2"/>
      <c r="M251" s="2"/>
      <c r="N251" s="2"/>
      <c r="O251" s="2"/>
      <c r="P251" s="2"/>
      <c r="Q251" s="2"/>
      <c r="R251" s="2"/>
      <c r="S251" s="2"/>
      <c r="T251" s="2"/>
      <c r="U251" s="2"/>
      <c r="V251" s="2"/>
      <c r="W251" s="2"/>
    </row>
    <row r="252">
      <c r="A252" s="2"/>
      <c r="B252" s="2"/>
      <c r="C252" s="2"/>
      <c r="D252" s="2"/>
      <c r="E252" s="2"/>
      <c r="F252" s="2"/>
      <c r="G252" s="2"/>
      <c r="H252" s="2"/>
      <c r="I252" s="2"/>
      <c r="J252" s="2"/>
      <c r="K252" s="2"/>
      <c r="L252" s="2"/>
      <c r="M252" s="2"/>
      <c r="N252" s="2"/>
      <c r="O252" s="2"/>
      <c r="P252" s="2"/>
      <c r="Q252" s="2"/>
      <c r="R252" s="2"/>
      <c r="S252" s="2"/>
      <c r="T252" s="2"/>
      <c r="U252" s="2"/>
      <c r="V252" s="2"/>
      <c r="W252" s="2"/>
    </row>
    <row r="253">
      <c r="A253" s="2"/>
      <c r="B253" s="2"/>
      <c r="C253" s="2"/>
      <c r="D253" s="2"/>
      <c r="E253" s="2"/>
      <c r="F253" s="2"/>
      <c r="G253" s="2"/>
      <c r="H253" s="2"/>
      <c r="I253" s="2"/>
      <c r="J253" s="2"/>
      <c r="K253" s="2"/>
      <c r="L253" s="2"/>
      <c r="M253" s="2"/>
      <c r="N253" s="2"/>
      <c r="O253" s="2"/>
      <c r="P253" s="2"/>
      <c r="Q253" s="2"/>
      <c r="R253" s="2"/>
      <c r="S253" s="2"/>
      <c r="T253" s="2"/>
      <c r="U253" s="2"/>
      <c r="V253" s="2"/>
      <c r="W253" s="2"/>
    </row>
    <row r="254">
      <c r="A254" s="2"/>
      <c r="B254" s="2"/>
      <c r="C254" s="2"/>
      <c r="D254" s="2"/>
      <c r="E254" s="2"/>
      <c r="F254" s="2"/>
      <c r="G254" s="2"/>
      <c r="H254" s="2"/>
      <c r="I254" s="2"/>
      <c r="J254" s="2"/>
      <c r="K254" s="2"/>
      <c r="L254" s="2"/>
      <c r="M254" s="2"/>
      <c r="N254" s="2"/>
      <c r="O254" s="2"/>
      <c r="P254" s="2"/>
      <c r="Q254" s="2"/>
      <c r="R254" s="2"/>
      <c r="S254" s="2"/>
      <c r="T254" s="2"/>
      <c r="U254" s="2"/>
      <c r="V254" s="2"/>
      <c r="W254" s="2"/>
    </row>
    <row r="255">
      <c r="A255" s="2"/>
      <c r="B255" s="2"/>
      <c r="C255" s="2"/>
      <c r="D255" s="2"/>
      <c r="E255" s="2"/>
      <c r="F255" s="2"/>
      <c r="G255" s="2"/>
      <c r="H255" s="2"/>
      <c r="I255" s="2"/>
      <c r="J255" s="2"/>
      <c r="K255" s="2"/>
      <c r="L255" s="2"/>
      <c r="M255" s="2"/>
      <c r="N255" s="2"/>
      <c r="O255" s="2"/>
      <c r="P255" s="2"/>
      <c r="Q255" s="2"/>
      <c r="R255" s="2"/>
      <c r="S255" s="2"/>
      <c r="T255" s="2"/>
      <c r="U255" s="2"/>
      <c r="V255" s="2"/>
      <c r="W255" s="2"/>
    </row>
    <row r="256">
      <c r="A256" s="2"/>
      <c r="B256" s="2"/>
      <c r="C256" s="2"/>
      <c r="D256" s="2"/>
      <c r="E256" s="2"/>
      <c r="F256" s="2"/>
      <c r="G256" s="2"/>
      <c r="H256" s="2"/>
      <c r="I256" s="2"/>
      <c r="J256" s="2"/>
      <c r="K256" s="2"/>
      <c r="L256" s="2"/>
      <c r="M256" s="2"/>
      <c r="N256" s="2"/>
      <c r="O256" s="2"/>
      <c r="P256" s="2"/>
      <c r="Q256" s="2"/>
      <c r="R256" s="2"/>
      <c r="S256" s="2"/>
      <c r="T256" s="2"/>
      <c r="U256" s="2"/>
      <c r="V256" s="2"/>
      <c r="W256" s="2"/>
    </row>
    <row r="257">
      <c r="A257" s="2"/>
      <c r="B257" s="2"/>
      <c r="C257" s="2"/>
      <c r="D257" s="2"/>
      <c r="E257" s="2"/>
      <c r="F257" s="2"/>
      <c r="G257" s="2"/>
      <c r="H257" s="2"/>
      <c r="I257" s="2"/>
      <c r="J257" s="2"/>
      <c r="K257" s="2"/>
      <c r="L257" s="2"/>
      <c r="M257" s="2"/>
      <c r="N257" s="2"/>
      <c r="O257" s="2"/>
      <c r="P257" s="2"/>
      <c r="Q257" s="2"/>
      <c r="R257" s="2"/>
      <c r="S257" s="2"/>
      <c r="T257" s="2"/>
      <c r="U257" s="2"/>
      <c r="V257" s="2"/>
      <c r="W257" s="2"/>
    </row>
    <row r="258">
      <c r="A258" s="2"/>
      <c r="B258" s="2"/>
      <c r="C258" s="2"/>
      <c r="D258" s="2"/>
      <c r="E258" s="2"/>
      <c r="F258" s="2"/>
      <c r="G258" s="2"/>
      <c r="H258" s="2"/>
      <c r="I258" s="2"/>
      <c r="J258" s="2"/>
      <c r="K258" s="2"/>
      <c r="L258" s="2"/>
      <c r="M258" s="2"/>
      <c r="N258" s="2"/>
      <c r="O258" s="2"/>
      <c r="P258" s="2"/>
      <c r="Q258" s="2"/>
      <c r="R258" s="2"/>
      <c r="S258" s="2"/>
      <c r="T258" s="2"/>
      <c r="U258" s="2"/>
      <c r="V258" s="2"/>
      <c r="W258" s="2"/>
    </row>
    <row r="259">
      <c r="A259" s="2"/>
      <c r="B259" s="2"/>
      <c r="C259" s="2"/>
      <c r="D259" s="2"/>
      <c r="E259" s="2"/>
      <c r="F259" s="2"/>
      <c r="G259" s="2"/>
      <c r="H259" s="2"/>
      <c r="I259" s="2"/>
      <c r="J259" s="2"/>
      <c r="K259" s="2"/>
      <c r="L259" s="2"/>
      <c r="M259" s="2"/>
      <c r="N259" s="2"/>
      <c r="O259" s="2"/>
      <c r="P259" s="2"/>
      <c r="Q259" s="2"/>
      <c r="R259" s="2"/>
      <c r="S259" s="2"/>
      <c r="T259" s="2"/>
      <c r="U259" s="2"/>
      <c r="V259" s="2"/>
      <c r="W259" s="2"/>
    </row>
    <row r="260">
      <c r="A260" s="2"/>
      <c r="B260" s="2"/>
      <c r="C260" s="2"/>
      <c r="D260" s="2"/>
      <c r="E260" s="2"/>
      <c r="F260" s="2"/>
      <c r="G260" s="2"/>
      <c r="H260" s="2"/>
      <c r="I260" s="2"/>
      <c r="J260" s="2"/>
      <c r="K260" s="2"/>
      <c r="L260" s="2"/>
      <c r="M260" s="2"/>
      <c r="N260" s="2"/>
      <c r="O260" s="2"/>
      <c r="P260" s="2"/>
      <c r="Q260" s="2"/>
      <c r="R260" s="2"/>
      <c r="S260" s="2"/>
      <c r="T260" s="2"/>
      <c r="U260" s="2"/>
      <c r="V260" s="2"/>
      <c r="W260" s="2"/>
    </row>
    <row r="261">
      <c r="A261" s="2"/>
      <c r="B261" s="2"/>
      <c r="C261" s="2"/>
      <c r="D261" s="2"/>
      <c r="E261" s="2"/>
      <c r="F261" s="2"/>
      <c r="G261" s="2"/>
      <c r="H261" s="2"/>
      <c r="I261" s="2"/>
      <c r="J261" s="2"/>
      <c r="K261" s="2"/>
      <c r="L261" s="2"/>
      <c r="M261" s="2"/>
      <c r="N261" s="2"/>
      <c r="O261" s="2"/>
      <c r="P261" s="2"/>
      <c r="Q261" s="2"/>
      <c r="R261" s="2"/>
      <c r="S261" s="2"/>
      <c r="T261" s="2"/>
      <c r="U261" s="2"/>
      <c r="V261" s="2"/>
      <c r="W261" s="2"/>
    </row>
    <row r="262">
      <c r="A262" s="2"/>
      <c r="B262" s="2"/>
      <c r="C262" s="2"/>
      <c r="D262" s="2"/>
      <c r="E262" s="2"/>
      <c r="F262" s="2"/>
      <c r="G262" s="2"/>
      <c r="H262" s="2"/>
      <c r="I262" s="2"/>
      <c r="J262" s="2"/>
      <c r="K262" s="2"/>
      <c r="L262" s="2"/>
      <c r="M262" s="2"/>
      <c r="N262" s="2"/>
      <c r="O262" s="2"/>
      <c r="P262" s="2"/>
      <c r="Q262" s="2"/>
      <c r="R262" s="2"/>
      <c r="S262" s="2"/>
      <c r="T262" s="2"/>
      <c r="U262" s="2"/>
      <c r="V262" s="2"/>
      <c r="W262" s="2"/>
    </row>
    <row r="263">
      <c r="A263" s="2"/>
      <c r="B263" s="2"/>
      <c r="C263" s="2"/>
      <c r="D263" s="2"/>
      <c r="E263" s="2"/>
      <c r="F263" s="2"/>
      <c r="G263" s="2"/>
      <c r="H263" s="2"/>
      <c r="I263" s="2"/>
      <c r="J263" s="2"/>
      <c r="K263" s="2"/>
      <c r="L263" s="2"/>
      <c r="M263" s="2"/>
      <c r="N263" s="2"/>
      <c r="O263" s="2"/>
      <c r="P263" s="2"/>
      <c r="Q263" s="2"/>
      <c r="R263" s="2"/>
      <c r="S263" s="2"/>
      <c r="T263" s="2"/>
      <c r="U263" s="2"/>
      <c r="V263" s="2"/>
      <c r="W263" s="2"/>
    </row>
    <row r="264">
      <c r="A264" s="2"/>
      <c r="B264" s="2"/>
      <c r="C264" s="2"/>
      <c r="D264" s="2"/>
      <c r="E264" s="2"/>
      <c r="F264" s="2"/>
      <c r="G264" s="2"/>
      <c r="H264" s="2"/>
      <c r="I264" s="2"/>
      <c r="J264" s="2"/>
      <c r="K264" s="2"/>
      <c r="L264" s="2"/>
      <c r="M264" s="2"/>
      <c r="N264" s="2"/>
      <c r="O264" s="2"/>
      <c r="P264" s="2"/>
      <c r="Q264" s="2"/>
      <c r="R264" s="2"/>
      <c r="S264" s="2"/>
      <c r="T264" s="2"/>
      <c r="U264" s="2"/>
      <c r="V264" s="2"/>
      <c r="W264" s="2"/>
    </row>
    <row r="265">
      <c r="A265" s="2"/>
      <c r="B265" s="2"/>
      <c r="C265" s="2"/>
      <c r="D265" s="2"/>
      <c r="E265" s="2"/>
      <c r="F265" s="2"/>
      <c r="G265" s="2"/>
      <c r="H265" s="2"/>
      <c r="I265" s="2"/>
      <c r="J265" s="2"/>
      <c r="K265" s="2"/>
      <c r="L265" s="2"/>
      <c r="M265" s="2"/>
      <c r="N265" s="2"/>
      <c r="O265" s="2"/>
      <c r="P265" s="2"/>
      <c r="Q265" s="2"/>
      <c r="R265" s="2"/>
      <c r="S265" s="2"/>
      <c r="T265" s="2"/>
      <c r="U265" s="2"/>
      <c r="V265" s="2"/>
      <c r="W265" s="2"/>
    </row>
    <row r="266">
      <c r="A266" s="2"/>
      <c r="B266" s="2"/>
      <c r="C266" s="2"/>
      <c r="D266" s="2"/>
      <c r="E266" s="2"/>
      <c r="F266" s="2"/>
      <c r="G266" s="2"/>
      <c r="H266" s="2"/>
      <c r="I266" s="2"/>
      <c r="J266" s="2"/>
      <c r="K266" s="2"/>
      <c r="L266" s="2"/>
      <c r="M266" s="2"/>
      <c r="N266" s="2"/>
      <c r="O266" s="2"/>
      <c r="P266" s="2"/>
      <c r="Q266" s="2"/>
      <c r="R266" s="2"/>
      <c r="S266" s="2"/>
      <c r="T266" s="2"/>
      <c r="U266" s="2"/>
      <c r="V266" s="2"/>
      <c r="W266" s="2"/>
    </row>
    <row r="267">
      <c r="A267" s="2"/>
      <c r="B267" s="2"/>
      <c r="C267" s="2"/>
      <c r="D267" s="2"/>
      <c r="E267" s="2"/>
      <c r="F267" s="2"/>
      <c r="G267" s="2"/>
      <c r="H267" s="2"/>
      <c r="I267" s="2"/>
      <c r="J267" s="2"/>
      <c r="K267" s="2"/>
      <c r="L267" s="2"/>
      <c r="M267" s="2"/>
      <c r="N267" s="2"/>
      <c r="O267" s="2"/>
      <c r="P267" s="2"/>
      <c r="Q267" s="2"/>
      <c r="R267" s="2"/>
      <c r="S267" s="2"/>
      <c r="T267" s="2"/>
      <c r="U267" s="2"/>
      <c r="V267" s="2"/>
      <c r="W267" s="2"/>
    </row>
    <row r="268">
      <c r="A268" s="2"/>
      <c r="B268" s="2"/>
      <c r="C268" s="2"/>
      <c r="D268" s="2"/>
      <c r="E268" s="2"/>
      <c r="F268" s="2"/>
      <c r="G268" s="2"/>
      <c r="H268" s="2"/>
      <c r="I268" s="2"/>
      <c r="J268" s="2"/>
      <c r="K268" s="2"/>
      <c r="L268" s="2"/>
      <c r="M268" s="2"/>
      <c r="N268" s="2"/>
      <c r="O268" s="2"/>
      <c r="P268" s="2"/>
      <c r="Q268" s="2"/>
      <c r="R268" s="2"/>
      <c r="S268" s="2"/>
      <c r="T268" s="2"/>
      <c r="U268" s="2"/>
      <c r="V268" s="2"/>
      <c r="W268" s="2"/>
    </row>
    <row r="269">
      <c r="A269" s="2"/>
      <c r="B269" s="2"/>
      <c r="C269" s="2"/>
      <c r="D269" s="2"/>
      <c r="E269" s="2"/>
      <c r="F269" s="2"/>
      <c r="G269" s="2"/>
      <c r="H269" s="2"/>
      <c r="I269" s="2"/>
      <c r="J269" s="2"/>
      <c r="K269" s="2"/>
      <c r="L269" s="2"/>
      <c r="M269" s="2"/>
      <c r="N269" s="2"/>
      <c r="O269" s="2"/>
      <c r="P269" s="2"/>
      <c r="Q269" s="2"/>
      <c r="R269" s="2"/>
      <c r="S269" s="2"/>
      <c r="T269" s="2"/>
      <c r="U269" s="2"/>
      <c r="V269" s="2"/>
      <c r="W269" s="2"/>
    </row>
    <row r="270">
      <c r="A270" s="2"/>
      <c r="B270" s="2"/>
      <c r="C270" s="2"/>
      <c r="D270" s="2"/>
      <c r="E270" s="2"/>
      <c r="F270" s="2"/>
      <c r="G270" s="2"/>
      <c r="H270" s="2"/>
      <c r="I270" s="2"/>
      <c r="J270" s="2"/>
      <c r="K270" s="2"/>
      <c r="L270" s="2"/>
      <c r="M270" s="2"/>
      <c r="N270" s="2"/>
      <c r="O270" s="2"/>
      <c r="P270" s="2"/>
      <c r="Q270" s="2"/>
      <c r="R270" s="2"/>
      <c r="S270" s="2"/>
      <c r="T270" s="2"/>
      <c r="U270" s="2"/>
      <c r="V270" s="2"/>
      <c r="W270" s="2"/>
    </row>
    <row r="271">
      <c r="A271" s="2"/>
      <c r="B271" s="2"/>
      <c r="C271" s="2"/>
      <c r="D271" s="2"/>
      <c r="E271" s="2"/>
      <c r="F271" s="2"/>
      <c r="G271" s="2"/>
      <c r="H271" s="2"/>
      <c r="I271" s="2"/>
      <c r="J271" s="2"/>
      <c r="K271" s="2"/>
      <c r="L271" s="2"/>
      <c r="M271" s="2"/>
      <c r="N271" s="2"/>
      <c r="O271" s="2"/>
      <c r="P271" s="2"/>
      <c r="Q271" s="2"/>
      <c r="R271" s="2"/>
      <c r="S271" s="2"/>
      <c r="T271" s="2"/>
      <c r="U271" s="2"/>
      <c r="V271" s="2"/>
      <c r="W271" s="2"/>
    </row>
    <row r="272">
      <c r="A272" s="2"/>
      <c r="B272" s="2"/>
      <c r="C272" s="2"/>
      <c r="D272" s="2"/>
      <c r="E272" s="2"/>
      <c r="F272" s="2"/>
      <c r="G272" s="2"/>
      <c r="H272" s="2"/>
      <c r="I272" s="2"/>
      <c r="J272" s="2"/>
      <c r="K272" s="2"/>
      <c r="L272" s="2"/>
      <c r="M272" s="2"/>
      <c r="N272" s="2"/>
      <c r="O272" s="2"/>
      <c r="P272" s="2"/>
      <c r="Q272" s="2"/>
      <c r="R272" s="2"/>
      <c r="S272" s="2"/>
      <c r="T272" s="2"/>
      <c r="U272" s="2"/>
      <c r="V272" s="2"/>
      <c r="W272" s="2"/>
    </row>
    <row r="273">
      <c r="A273" s="2"/>
      <c r="B273" s="2"/>
      <c r="C273" s="2"/>
      <c r="D273" s="2"/>
      <c r="E273" s="2"/>
      <c r="F273" s="2"/>
      <c r="G273" s="2"/>
      <c r="H273" s="2"/>
      <c r="I273" s="2"/>
      <c r="J273" s="2"/>
      <c r="K273" s="2"/>
      <c r="L273" s="2"/>
      <c r="M273" s="2"/>
      <c r="N273" s="2"/>
      <c r="O273" s="2"/>
      <c r="P273" s="2"/>
      <c r="Q273" s="2"/>
      <c r="R273" s="2"/>
      <c r="S273" s="2"/>
      <c r="T273" s="2"/>
      <c r="U273" s="2"/>
      <c r="V273" s="2"/>
      <c r="W273" s="2"/>
    </row>
    <row r="274">
      <c r="A274" s="2"/>
      <c r="B274" s="2"/>
      <c r="C274" s="2"/>
      <c r="D274" s="2"/>
      <c r="E274" s="2"/>
      <c r="F274" s="2"/>
      <c r="G274" s="2"/>
      <c r="H274" s="2"/>
      <c r="I274" s="2"/>
      <c r="J274" s="2"/>
      <c r="K274" s="2"/>
      <c r="L274" s="2"/>
      <c r="M274" s="2"/>
      <c r="N274" s="2"/>
      <c r="O274" s="2"/>
      <c r="P274" s="2"/>
      <c r="Q274" s="2"/>
      <c r="R274" s="2"/>
      <c r="S274" s="2"/>
      <c r="T274" s="2"/>
      <c r="U274" s="2"/>
      <c r="V274" s="2"/>
      <c r="W274" s="2"/>
    </row>
    <row r="275">
      <c r="A275" s="2"/>
      <c r="B275" s="2"/>
      <c r="C275" s="2"/>
      <c r="D275" s="2"/>
      <c r="E275" s="2"/>
      <c r="F275" s="2"/>
      <c r="G275" s="2"/>
      <c r="H275" s="2"/>
      <c r="I275" s="2"/>
      <c r="J275" s="2"/>
      <c r="K275" s="2"/>
      <c r="L275" s="2"/>
      <c r="M275" s="2"/>
      <c r="N275" s="2"/>
      <c r="O275" s="2"/>
      <c r="P275" s="2"/>
      <c r="Q275" s="2"/>
      <c r="R275" s="2"/>
      <c r="S275" s="2"/>
      <c r="T275" s="2"/>
      <c r="U275" s="2"/>
      <c r="V275" s="2"/>
      <c r="W275" s="2"/>
    </row>
    <row r="276">
      <c r="A276" s="2"/>
      <c r="B276" s="2"/>
      <c r="C276" s="2"/>
      <c r="D276" s="2"/>
      <c r="E276" s="2"/>
      <c r="F276" s="2"/>
      <c r="G276" s="2"/>
      <c r="H276" s="2"/>
      <c r="I276" s="2"/>
      <c r="J276" s="2"/>
      <c r="K276" s="2"/>
      <c r="L276" s="2"/>
      <c r="M276" s="2"/>
      <c r="N276" s="2"/>
      <c r="O276" s="2"/>
      <c r="P276" s="2"/>
      <c r="Q276" s="2"/>
      <c r="R276" s="2"/>
      <c r="S276" s="2"/>
      <c r="T276" s="2"/>
      <c r="U276" s="2"/>
      <c r="V276" s="2"/>
      <c r="W276" s="2"/>
    </row>
    <row r="277">
      <c r="A277" s="2"/>
      <c r="B277" s="2"/>
      <c r="C277" s="2"/>
      <c r="D277" s="2"/>
      <c r="E277" s="2"/>
      <c r="F277" s="2"/>
      <c r="G277" s="2"/>
      <c r="H277" s="2"/>
      <c r="I277" s="2"/>
      <c r="J277" s="2"/>
      <c r="K277" s="2"/>
      <c r="L277" s="2"/>
      <c r="M277" s="2"/>
      <c r="N277" s="2"/>
      <c r="O277" s="2"/>
      <c r="P277" s="2"/>
      <c r="Q277" s="2"/>
      <c r="R277" s="2"/>
      <c r="S277" s="2"/>
      <c r="T277" s="2"/>
      <c r="U277" s="2"/>
      <c r="V277" s="2"/>
      <c r="W277" s="2"/>
    </row>
    <row r="278">
      <c r="A278" s="2"/>
      <c r="B278" s="2"/>
      <c r="C278" s="2"/>
      <c r="D278" s="2"/>
      <c r="E278" s="2"/>
      <c r="F278" s="2"/>
      <c r="G278" s="2"/>
      <c r="H278" s="2"/>
      <c r="I278" s="2"/>
      <c r="J278" s="2"/>
      <c r="K278" s="2"/>
      <c r="L278" s="2"/>
      <c r="M278" s="2"/>
      <c r="N278" s="2"/>
      <c r="O278" s="2"/>
      <c r="P278" s="2"/>
      <c r="Q278" s="2"/>
      <c r="R278" s="2"/>
      <c r="S278" s="2"/>
      <c r="T278" s="2"/>
      <c r="U278" s="2"/>
      <c r="V278" s="2"/>
      <c r="W278" s="2"/>
    </row>
    <row r="279">
      <c r="A279" s="2"/>
      <c r="B279" s="2"/>
      <c r="C279" s="2"/>
      <c r="D279" s="2"/>
      <c r="E279" s="2"/>
      <c r="F279" s="2"/>
      <c r="G279" s="2"/>
      <c r="H279" s="2"/>
      <c r="I279" s="2"/>
      <c r="J279" s="2"/>
      <c r="K279" s="2"/>
      <c r="L279" s="2"/>
      <c r="M279" s="2"/>
      <c r="N279" s="2"/>
      <c r="O279" s="2"/>
      <c r="P279" s="2"/>
      <c r="Q279" s="2"/>
      <c r="R279" s="2"/>
      <c r="S279" s="2"/>
      <c r="T279" s="2"/>
      <c r="U279" s="2"/>
      <c r="V279" s="2"/>
      <c r="W279" s="2"/>
    </row>
    <row r="280">
      <c r="A280" s="2"/>
      <c r="B280" s="2"/>
      <c r="C280" s="2"/>
      <c r="D280" s="2"/>
      <c r="E280" s="2"/>
      <c r="F280" s="2"/>
      <c r="G280" s="2"/>
      <c r="H280" s="2"/>
      <c r="I280" s="2"/>
      <c r="J280" s="2"/>
      <c r="K280" s="2"/>
      <c r="L280" s="2"/>
      <c r="M280" s="2"/>
      <c r="N280" s="2"/>
      <c r="O280" s="2"/>
      <c r="P280" s="2"/>
      <c r="Q280" s="2"/>
      <c r="R280" s="2"/>
      <c r="S280" s="2"/>
      <c r="T280" s="2"/>
      <c r="U280" s="2"/>
      <c r="V280" s="2"/>
      <c r="W280" s="2"/>
    </row>
    <row r="281">
      <c r="A281" s="2"/>
      <c r="B281" s="2"/>
      <c r="C281" s="2"/>
      <c r="D281" s="2"/>
      <c r="E281" s="2"/>
      <c r="F281" s="2"/>
      <c r="G281" s="2"/>
      <c r="H281" s="2"/>
      <c r="I281" s="2"/>
      <c r="J281" s="2"/>
      <c r="K281" s="2"/>
      <c r="L281" s="2"/>
      <c r="M281" s="2"/>
      <c r="N281" s="2"/>
      <c r="O281" s="2"/>
      <c r="P281" s="2"/>
      <c r="Q281" s="2"/>
      <c r="R281" s="2"/>
      <c r="S281" s="2"/>
      <c r="T281" s="2"/>
      <c r="U281" s="2"/>
      <c r="V281" s="2"/>
      <c r="W281" s="2"/>
    </row>
    <row r="282">
      <c r="A282" s="2"/>
      <c r="B282" s="2"/>
      <c r="C282" s="2"/>
      <c r="D282" s="2"/>
      <c r="E282" s="2"/>
      <c r="F282" s="2"/>
      <c r="G282" s="2"/>
      <c r="H282" s="2"/>
      <c r="I282" s="2"/>
      <c r="J282" s="2"/>
      <c r="K282" s="2"/>
      <c r="L282" s="2"/>
      <c r="M282" s="2"/>
      <c r="N282" s="2"/>
      <c r="O282" s="2"/>
      <c r="P282" s="2"/>
      <c r="Q282" s="2"/>
      <c r="R282" s="2"/>
      <c r="S282" s="2"/>
      <c r="T282" s="2"/>
      <c r="U282" s="2"/>
      <c r="V282" s="2"/>
      <c r="W282" s="2"/>
    </row>
    <row r="283">
      <c r="A283" s="2"/>
      <c r="B283" s="2"/>
      <c r="C283" s="2"/>
      <c r="D283" s="2"/>
      <c r="E283" s="2"/>
      <c r="F283" s="2"/>
      <c r="G283" s="2"/>
      <c r="H283" s="2"/>
      <c r="I283" s="2"/>
      <c r="J283" s="2"/>
      <c r="K283" s="2"/>
      <c r="L283" s="2"/>
      <c r="M283" s="2"/>
      <c r="N283" s="2"/>
      <c r="O283" s="2"/>
      <c r="P283" s="2"/>
      <c r="Q283" s="2"/>
      <c r="R283" s="2"/>
      <c r="S283" s="2"/>
      <c r="T283" s="2"/>
      <c r="U283" s="2"/>
      <c r="V283" s="2"/>
      <c r="W283" s="2"/>
    </row>
    <row r="284">
      <c r="A284" s="2"/>
      <c r="B284" s="2"/>
      <c r="C284" s="2"/>
      <c r="D284" s="2"/>
      <c r="E284" s="2"/>
      <c r="F284" s="2"/>
      <c r="G284" s="2"/>
      <c r="H284" s="2"/>
      <c r="I284" s="2"/>
      <c r="J284" s="2"/>
      <c r="K284" s="2"/>
      <c r="L284" s="2"/>
      <c r="M284" s="2"/>
      <c r="N284" s="2"/>
      <c r="O284" s="2"/>
      <c r="P284" s="2"/>
      <c r="Q284" s="2"/>
      <c r="R284" s="2"/>
      <c r="S284" s="2"/>
      <c r="T284" s="2"/>
      <c r="U284" s="2"/>
      <c r="V284" s="2"/>
      <c r="W284" s="2"/>
    </row>
    <row r="285">
      <c r="A285" s="2"/>
      <c r="B285" s="2"/>
      <c r="C285" s="2"/>
      <c r="D285" s="2"/>
      <c r="E285" s="2"/>
      <c r="F285" s="2"/>
      <c r="G285" s="2"/>
      <c r="H285" s="2"/>
      <c r="I285" s="2"/>
      <c r="J285" s="2"/>
      <c r="K285" s="2"/>
      <c r="L285" s="2"/>
      <c r="M285" s="2"/>
      <c r="N285" s="2"/>
      <c r="O285" s="2"/>
      <c r="P285" s="2"/>
      <c r="Q285" s="2"/>
      <c r="R285" s="2"/>
      <c r="S285" s="2"/>
      <c r="T285" s="2"/>
      <c r="U285" s="2"/>
      <c r="V285" s="2"/>
      <c r="W285" s="2"/>
    </row>
    <row r="286">
      <c r="A286" s="2"/>
      <c r="B286" s="2"/>
      <c r="C286" s="2"/>
      <c r="D286" s="2"/>
      <c r="E286" s="2"/>
      <c r="F286" s="2"/>
      <c r="G286" s="2"/>
      <c r="H286" s="2"/>
      <c r="I286" s="2"/>
      <c r="J286" s="2"/>
      <c r="K286" s="2"/>
      <c r="L286" s="2"/>
      <c r="M286" s="2"/>
      <c r="N286" s="2"/>
      <c r="O286" s="2"/>
      <c r="P286" s="2"/>
      <c r="Q286" s="2"/>
      <c r="R286" s="2"/>
      <c r="S286" s="2"/>
      <c r="T286" s="2"/>
      <c r="U286" s="2"/>
      <c r="V286" s="2"/>
      <c r="W286" s="2"/>
    </row>
    <row r="287">
      <c r="A287" s="2"/>
      <c r="B287" s="2"/>
      <c r="C287" s="2"/>
      <c r="D287" s="2"/>
      <c r="E287" s="2"/>
      <c r="F287" s="2"/>
      <c r="G287" s="2"/>
      <c r="H287" s="2"/>
      <c r="I287" s="2"/>
      <c r="J287" s="2"/>
      <c r="K287" s="2"/>
      <c r="L287" s="2"/>
      <c r="M287" s="2"/>
      <c r="N287" s="2"/>
      <c r="O287" s="2"/>
      <c r="P287" s="2"/>
      <c r="Q287" s="2"/>
      <c r="R287" s="2"/>
      <c r="S287" s="2"/>
      <c r="T287" s="2"/>
      <c r="U287" s="2"/>
      <c r="V287" s="2"/>
      <c r="W287" s="2"/>
    </row>
    <row r="288">
      <c r="A288" s="2"/>
      <c r="B288" s="2"/>
      <c r="C288" s="2"/>
      <c r="D288" s="2"/>
      <c r="E288" s="2"/>
      <c r="F288" s="2"/>
      <c r="G288" s="2"/>
      <c r="H288" s="2"/>
      <c r="I288" s="2"/>
      <c r="J288" s="2"/>
      <c r="K288" s="2"/>
      <c r="L288" s="2"/>
      <c r="M288" s="2"/>
      <c r="N288" s="2"/>
      <c r="O288" s="2"/>
      <c r="P288" s="2"/>
      <c r="Q288" s="2"/>
      <c r="R288" s="2"/>
      <c r="S288" s="2"/>
      <c r="T288" s="2"/>
      <c r="U288" s="2"/>
      <c r="V288" s="2"/>
      <c r="W288" s="2"/>
    </row>
    <row r="289">
      <c r="A289" s="2"/>
      <c r="B289" s="2"/>
      <c r="C289" s="2"/>
      <c r="D289" s="2"/>
      <c r="E289" s="2"/>
      <c r="F289" s="2"/>
      <c r="G289" s="2"/>
      <c r="H289" s="2"/>
      <c r="I289" s="2"/>
      <c r="J289" s="2"/>
      <c r="K289" s="2"/>
      <c r="L289" s="2"/>
      <c r="M289" s="2"/>
      <c r="N289" s="2"/>
      <c r="O289" s="2"/>
      <c r="P289" s="2"/>
      <c r="Q289" s="2"/>
      <c r="R289" s="2"/>
      <c r="S289" s="2"/>
      <c r="T289" s="2"/>
      <c r="U289" s="2"/>
      <c r="V289" s="2"/>
      <c r="W289" s="2"/>
    </row>
    <row r="290">
      <c r="A290" s="2"/>
      <c r="B290" s="2"/>
      <c r="C290" s="2"/>
      <c r="D290" s="2"/>
      <c r="E290" s="2"/>
      <c r="F290" s="2"/>
      <c r="G290" s="2"/>
      <c r="H290" s="2"/>
      <c r="I290" s="2"/>
      <c r="J290" s="2"/>
      <c r="K290" s="2"/>
      <c r="L290" s="2"/>
      <c r="M290" s="2"/>
      <c r="N290" s="2"/>
      <c r="O290" s="2"/>
      <c r="P290" s="2"/>
      <c r="Q290" s="2"/>
      <c r="R290" s="2"/>
      <c r="S290" s="2"/>
      <c r="T290" s="2"/>
      <c r="U290" s="2"/>
      <c r="V290" s="2"/>
      <c r="W290" s="2"/>
    </row>
    <row r="291">
      <c r="A291" s="2"/>
      <c r="B291" s="2"/>
      <c r="C291" s="2"/>
      <c r="D291" s="2"/>
      <c r="E291" s="2"/>
      <c r="F291" s="2"/>
      <c r="G291" s="2"/>
      <c r="H291" s="2"/>
      <c r="I291" s="2"/>
      <c r="J291" s="2"/>
      <c r="K291" s="2"/>
      <c r="L291" s="2"/>
      <c r="M291" s="2"/>
      <c r="N291" s="2"/>
      <c r="O291" s="2"/>
      <c r="P291" s="2"/>
      <c r="Q291" s="2"/>
      <c r="R291" s="2"/>
      <c r="S291" s="2"/>
      <c r="T291" s="2"/>
      <c r="U291" s="2"/>
      <c r="V291" s="2"/>
      <c r="W291" s="2"/>
    </row>
    <row r="292">
      <c r="A292" s="2"/>
      <c r="B292" s="2"/>
      <c r="C292" s="2"/>
      <c r="D292" s="2"/>
      <c r="E292" s="2"/>
      <c r="F292" s="2"/>
      <c r="G292" s="2"/>
      <c r="H292" s="2"/>
      <c r="I292" s="2"/>
      <c r="J292" s="2"/>
      <c r="K292" s="2"/>
      <c r="L292" s="2"/>
      <c r="M292" s="2"/>
      <c r="N292" s="2"/>
      <c r="O292" s="2"/>
      <c r="P292" s="2"/>
      <c r="Q292" s="2"/>
      <c r="R292" s="2"/>
      <c r="S292" s="2"/>
      <c r="T292" s="2"/>
      <c r="U292" s="2"/>
      <c r="V292" s="2"/>
      <c r="W292" s="2"/>
    </row>
    <row r="293">
      <c r="A293" s="2"/>
      <c r="B293" s="2"/>
      <c r="C293" s="2"/>
      <c r="D293" s="2"/>
      <c r="E293" s="2"/>
      <c r="F293" s="2"/>
      <c r="G293" s="2"/>
      <c r="H293" s="2"/>
      <c r="I293" s="2"/>
      <c r="J293" s="2"/>
      <c r="K293" s="2"/>
      <c r="L293" s="2"/>
      <c r="M293" s="2"/>
      <c r="N293" s="2"/>
      <c r="O293" s="2"/>
      <c r="P293" s="2"/>
      <c r="Q293" s="2"/>
      <c r="R293" s="2"/>
      <c r="S293" s="2"/>
      <c r="T293" s="2"/>
      <c r="U293" s="2"/>
      <c r="V293" s="2"/>
      <c r="W293" s="2"/>
    </row>
    <row r="294">
      <c r="A294" s="2"/>
      <c r="B294" s="2"/>
      <c r="C294" s="2"/>
      <c r="D294" s="2"/>
      <c r="E294" s="2"/>
      <c r="F294" s="2"/>
      <c r="G294" s="2"/>
      <c r="H294" s="2"/>
      <c r="I294" s="2"/>
      <c r="J294" s="2"/>
      <c r="K294" s="2"/>
      <c r="L294" s="2"/>
      <c r="M294" s="2"/>
      <c r="N294" s="2"/>
      <c r="O294" s="2"/>
      <c r="P294" s="2"/>
      <c r="Q294" s="2"/>
      <c r="R294" s="2"/>
      <c r="S294" s="2"/>
      <c r="T294" s="2"/>
      <c r="U294" s="2"/>
      <c r="V294" s="2"/>
      <c r="W294" s="2"/>
    </row>
    <row r="295">
      <c r="A295" s="2"/>
      <c r="B295" s="2"/>
      <c r="C295" s="2"/>
      <c r="D295" s="2"/>
      <c r="E295" s="2"/>
      <c r="F295" s="2"/>
      <c r="G295" s="2"/>
      <c r="H295" s="2"/>
      <c r="I295" s="2"/>
      <c r="J295" s="2"/>
      <c r="K295" s="2"/>
      <c r="L295" s="2"/>
      <c r="M295" s="2"/>
      <c r="N295" s="2"/>
      <c r="O295" s="2"/>
      <c r="P295" s="2"/>
      <c r="Q295" s="2"/>
      <c r="R295" s="2"/>
      <c r="S295" s="2"/>
      <c r="T295" s="2"/>
      <c r="U295" s="2"/>
      <c r="V295" s="2"/>
      <c r="W295" s="2"/>
    </row>
    <row r="296">
      <c r="A296" s="2"/>
      <c r="B296" s="2"/>
      <c r="C296" s="2"/>
      <c r="D296" s="2"/>
      <c r="E296" s="2"/>
      <c r="F296" s="2"/>
      <c r="G296" s="2"/>
      <c r="H296" s="2"/>
      <c r="I296" s="2"/>
      <c r="J296" s="2"/>
      <c r="K296" s="2"/>
      <c r="L296" s="2"/>
      <c r="M296" s="2"/>
      <c r="N296" s="2"/>
      <c r="O296" s="2"/>
      <c r="P296" s="2"/>
      <c r="Q296" s="2"/>
      <c r="R296" s="2"/>
      <c r="S296" s="2"/>
      <c r="T296" s="2"/>
      <c r="U296" s="2"/>
      <c r="V296" s="2"/>
      <c r="W296" s="2"/>
    </row>
    <row r="297">
      <c r="A297" s="2"/>
      <c r="B297" s="2"/>
      <c r="C297" s="2"/>
      <c r="D297" s="2"/>
      <c r="E297" s="2"/>
      <c r="F297" s="2"/>
      <c r="G297" s="2"/>
      <c r="H297" s="2"/>
      <c r="I297" s="2"/>
      <c r="J297" s="2"/>
      <c r="K297" s="2"/>
      <c r="L297" s="2"/>
      <c r="M297" s="2"/>
      <c r="N297" s="2"/>
      <c r="O297" s="2"/>
      <c r="P297" s="2"/>
      <c r="Q297" s="2"/>
      <c r="R297" s="2"/>
      <c r="S297" s="2"/>
      <c r="T297" s="2"/>
      <c r="U297" s="2"/>
      <c r="V297" s="2"/>
      <c r="W297" s="2"/>
    </row>
    <row r="298">
      <c r="A298" s="2"/>
      <c r="B298" s="2"/>
      <c r="C298" s="2"/>
      <c r="D298" s="2"/>
      <c r="E298" s="2"/>
      <c r="F298" s="2"/>
      <c r="G298" s="2"/>
      <c r="H298" s="2"/>
      <c r="I298" s="2"/>
      <c r="J298" s="2"/>
      <c r="K298" s="2"/>
      <c r="L298" s="2"/>
      <c r="M298" s="2"/>
      <c r="N298" s="2"/>
      <c r="O298" s="2"/>
      <c r="P298" s="2"/>
      <c r="Q298" s="2"/>
      <c r="R298" s="2"/>
      <c r="S298" s="2"/>
      <c r="T298" s="2"/>
      <c r="U298" s="2"/>
      <c r="V298" s="2"/>
      <c r="W298" s="2"/>
    </row>
    <row r="299">
      <c r="A299" s="2"/>
      <c r="B299" s="2"/>
      <c r="C299" s="2"/>
      <c r="D299" s="2"/>
      <c r="E299" s="2"/>
      <c r="F299" s="2"/>
      <c r="G299" s="2"/>
      <c r="H299" s="2"/>
      <c r="I299" s="2"/>
      <c r="J299" s="2"/>
      <c r="K299" s="2"/>
      <c r="L299" s="2"/>
      <c r="M299" s="2"/>
      <c r="N299" s="2"/>
      <c r="O299" s="2"/>
      <c r="P299" s="2"/>
      <c r="Q299" s="2"/>
      <c r="R299" s="2"/>
      <c r="S299" s="2"/>
      <c r="T299" s="2"/>
      <c r="U299" s="2"/>
      <c r="V299" s="2"/>
      <c r="W299" s="2"/>
    </row>
    <row r="300">
      <c r="A300" s="2"/>
      <c r="B300" s="2"/>
      <c r="C300" s="2"/>
      <c r="D300" s="2"/>
      <c r="E300" s="2"/>
      <c r="F300" s="2"/>
      <c r="G300" s="2"/>
      <c r="H300" s="2"/>
      <c r="I300" s="2"/>
      <c r="J300" s="2"/>
      <c r="K300" s="2"/>
      <c r="L300" s="2"/>
      <c r="M300" s="2"/>
      <c r="N300" s="2"/>
      <c r="O300" s="2"/>
      <c r="P300" s="2"/>
      <c r="Q300" s="2"/>
      <c r="R300" s="2"/>
      <c r="S300" s="2"/>
      <c r="T300" s="2"/>
      <c r="U300" s="2"/>
      <c r="V300" s="2"/>
      <c r="W300" s="2"/>
    </row>
    <row r="301">
      <c r="A301" s="2"/>
      <c r="B301" s="2"/>
      <c r="C301" s="2"/>
      <c r="D301" s="2"/>
      <c r="E301" s="2"/>
      <c r="F301" s="2"/>
      <c r="G301" s="2"/>
      <c r="H301" s="2"/>
      <c r="I301" s="2"/>
      <c r="J301" s="2"/>
      <c r="K301" s="2"/>
      <c r="L301" s="2"/>
      <c r="M301" s="2"/>
      <c r="N301" s="2"/>
      <c r="O301" s="2"/>
      <c r="P301" s="2"/>
      <c r="Q301" s="2"/>
      <c r="R301" s="2"/>
      <c r="S301" s="2"/>
      <c r="T301" s="2"/>
      <c r="U301" s="2"/>
      <c r="V301" s="2"/>
      <c r="W301" s="2"/>
    </row>
    <row r="302">
      <c r="A302" s="2"/>
      <c r="B302" s="2"/>
      <c r="C302" s="2"/>
      <c r="D302" s="2"/>
      <c r="E302" s="2"/>
      <c r="F302" s="2"/>
      <c r="G302" s="2"/>
      <c r="H302" s="2"/>
      <c r="I302" s="2"/>
      <c r="J302" s="2"/>
      <c r="K302" s="2"/>
      <c r="L302" s="2"/>
      <c r="M302" s="2"/>
      <c r="N302" s="2"/>
      <c r="O302" s="2"/>
      <c r="P302" s="2"/>
      <c r="Q302" s="2"/>
      <c r="R302" s="2"/>
      <c r="S302" s="2"/>
      <c r="T302" s="2"/>
      <c r="U302" s="2"/>
      <c r="V302" s="2"/>
      <c r="W302" s="2"/>
    </row>
    <row r="303">
      <c r="A303" s="2"/>
      <c r="B303" s="2"/>
      <c r="C303" s="2"/>
      <c r="D303" s="2"/>
      <c r="E303" s="2"/>
      <c r="F303" s="2"/>
      <c r="G303" s="2"/>
      <c r="H303" s="2"/>
      <c r="I303" s="2"/>
      <c r="J303" s="2"/>
      <c r="K303" s="2"/>
      <c r="L303" s="2"/>
      <c r="M303" s="2"/>
      <c r="N303" s="2"/>
      <c r="O303" s="2"/>
      <c r="P303" s="2"/>
      <c r="Q303" s="2"/>
      <c r="R303" s="2"/>
      <c r="S303" s="2"/>
      <c r="T303" s="2"/>
      <c r="U303" s="2"/>
      <c r="V303" s="2"/>
      <c r="W303" s="2"/>
    </row>
    <row r="304">
      <c r="A304" s="2"/>
      <c r="B304" s="2"/>
      <c r="C304" s="2"/>
      <c r="D304" s="2"/>
      <c r="E304" s="2"/>
      <c r="F304" s="2"/>
      <c r="G304" s="2"/>
      <c r="H304" s="2"/>
      <c r="I304" s="2"/>
      <c r="J304" s="2"/>
      <c r="K304" s="2"/>
      <c r="L304" s="2"/>
      <c r="M304" s="2"/>
      <c r="N304" s="2"/>
      <c r="O304" s="2"/>
      <c r="P304" s="2"/>
      <c r="Q304" s="2"/>
      <c r="R304" s="2"/>
      <c r="S304" s="2"/>
      <c r="T304" s="2"/>
      <c r="U304" s="2"/>
      <c r="V304" s="2"/>
      <c r="W304" s="2"/>
    </row>
    <row r="305">
      <c r="A305" s="2"/>
      <c r="B305" s="2"/>
      <c r="C305" s="2"/>
      <c r="D305" s="2"/>
      <c r="E305" s="2"/>
      <c r="F305" s="2"/>
      <c r="G305" s="2"/>
      <c r="H305" s="2"/>
      <c r="I305" s="2"/>
      <c r="J305" s="2"/>
      <c r="K305" s="2"/>
      <c r="L305" s="2"/>
      <c r="M305" s="2"/>
      <c r="N305" s="2"/>
      <c r="O305" s="2"/>
      <c r="P305" s="2"/>
      <c r="Q305" s="2"/>
      <c r="R305" s="2"/>
      <c r="S305" s="2"/>
      <c r="T305" s="2"/>
      <c r="U305" s="2"/>
      <c r="V305" s="2"/>
      <c r="W305" s="2"/>
    </row>
    <row r="306">
      <c r="A306" s="2"/>
      <c r="B306" s="2"/>
      <c r="C306" s="2"/>
      <c r="D306" s="2"/>
      <c r="E306" s="2"/>
      <c r="F306" s="2"/>
      <c r="G306" s="2"/>
      <c r="H306" s="2"/>
      <c r="I306" s="2"/>
      <c r="J306" s="2"/>
      <c r="K306" s="2"/>
      <c r="L306" s="2"/>
      <c r="M306" s="2"/>
      <c r="N306" s="2"/>
      <c r="O306" s="2"/>
      <c r="P306" s="2"/>
      <c r="Q306" s="2"/>
      <c r="R306" s="2"/>
      <c r="S306" s="2"/>
      <c r="T306" s="2"/>
      <c r="U306" s="2"/>
      <c r="V306" s="2"/>
      <c r="W306" s="2"/>
    </row>
    <row r="307">
      <c r="A307" s="2"/>
      <c r="B307" s="2"/>
      <c r="C307" s="2"/>
      <c r="D307" s="2"/>
      <c r="E307" s="2"/>
      <c r="F307" s="2"/>
      <c r="G307" s="2"/>
      <c r="H307" s="2"/>
      <c r="I307" s="2"/>
      <c r="J307" s="2"/>
      <c r="K307" s="2"/>
      <c r="L307" s="2"/>
      <c r="M307" s="2"/>
      <c r="N307" s="2"/>
      <c r="O307" s="2"/>
      <c r="P307" s="2"/>
      <c r="Q307" s="2"/>
      <c r="R307" s="2"/>
      <c r="S307" s="2"/>
      <c r="T307" s="2"/>
      <c r="U307" s="2"/>
      <c r="V307" s="2"/>
      <c r="W307" s="2"/>
    </row>
    <row r="308">
      <c r="A308" s="2"/>
      <c r="B308" s="2"/>
      <c r="C308" s="2"/>
      <c r="D308" s="2"/>
      <c r="E308" s="2"/>
      <c r="F308" s="2"/>
      <c r="G308" s="2"/>
      <c r="H308" s="2"/>
      <c r="I308" s="2"/>
      <c r="J308" s="2"/>
      <c r="K308" s="2"/>
      <c r="L308" s="2"/>
      <c r="M308" s="2"/>
      <c r="N308" s="2"/>
      <c r="O308" s="2"/>
      <c r="P308" s="2"/>
      <c r="Q308" s="2"/>
      <c r="R308" s="2"/>
      <c r="S308" s="2"/>
      <c r="T308" s="2"/>
      <c r="U308" s="2"/>
      <c r="V308" s="2"/>
      <c r="W308" s="2"/>
    </row>
    <row r="309">
      <c r="A309" s="2"/>
      <c r="B309" s="2"/>
      <c r="C309" s="2"/>
      <c r="D309" s="2"/>
      <c r="E309" s="2"/>
      <c r="F309" s="2"/>
      <c r="G309" s="2"/>
      <c r="H309" s="2"/>
      <c r="I309" s="2"/>
      <c r="J309" s="2"/>
      <c r="K309" s="2"/>
      <c r="L309" s="2"/>
      <c r="M309" s="2"/>
      <c r="N309" s="2"/>
      <c r="O309" s="2"/>
      <c r="P309" s="2"/>
      <c r="Q309" s="2"/>
      <c r="R309" s="2"/>
      <c r="S309" s="2"/>
      <c r="T309" s="2"/>
      <c r="U309" s="2"/>
      <c r="V309" s="2"/>
      <c r="W309" s="2"/>
    </row>
    <row r="310">
      <c r="A310" s="2"/>
      <c r="B310" s="2"/>
      <c r="C310" s="2"/>
      <c r="D310" s="2"/>
      <c r="E310" s="2"/>
      <c r="F310" s="2"/>
      <c r="G310" s="2"/>
      <c r="H310" s="2"/>
      <c r="I310" s="2"/>
      <c r="J310" s="2"/>
      <c r="K310" s="2"/>
      <c r="L310" s="2"/>
      <c r="M310" s="2"/>
      <c r="N310" s="2"/>
      <c r="O310" s="2"/>
      <c r="P310" s="2"/>
      <c r="Q310" s="2"/>
      <c r="R310" s="2"/>
      <c r="S310" s="2"/>
      <c r="T310" s="2"/>
      <c r="U310" s="2"/>
      <c r="V310" s="2"/>
      <c r="W310" s="2"/>
    </row>
    <row r="311">
      <c r="A311" s="2"/>
      <c r="B311" s="2"/>
      <c r="C311" s="2"/>
      <c r="D311" s="2"/>
      <c r="E311" s="2"/>
      <c r="F311" s="2"/>
      <c r="G311" s="2"/>
      <c r="H311" s="2"/>
      <c r="I311" s="2"/>
      <c r="J311" s="2"/>
      <c r="K311" s="2"/>
      <c r="L311" s="2"/>
      <c r="M311" s="2"/>
      <c r="N311" s="2"/>
      <c r="O311" s="2"/>
      <c r="P311" s="2"/>
      <c r="Q311" s="2"/>
      <c r="R311" s="2"/>
      <c r="S311" s="2"/>
      <c r="T311" s="2"/>
      <c r="U311" s="2"/>
      <c r="V311" s="2"/>
      <c r="W311" s="2"/>
    </row>
    <row r="312">
      <c r="A312" s="2"/>
      <c r="B312" s="2"/>
      <c r="C312" s="2"/>
      <c r="D312" s="2"/>
      <c r="E312" s="2"/>
      <c r="F312" s="2"/>
      <c r="G312" s="2"/>
      <c r="H312" s="2"/>
      <c r="I312" s="2"/>
      <c r="J312" s="2"/>
      <c r="K312" s="2"/>
      <c r="L312" s="2"/>
      <c r="M312" s="2"/>
      <c r="N312" s="2"/>
      <c r="O312" s="2"/>
      <c r="P312" s="2"/>
      <c r="Q312" s="2"/>
      <c r="R312" s="2"/>
      <c r="S312" s="2"/>
      <c r="T312" s="2"/>
      <c r="U312" s="2"/>
      <c r="V312" s="2"/>
      <c r="W312" s="2"/>
    </row>
    <row r="313">
      <c r="A313" s="2"/>
      <c r="B313" s="2"/>
      <c r="C313" s="2"/>
      <c r="D313" s="2"/>
      <c r="E313" s="2"/>
      <c r="F313" s="2"/>
      <c r="G313" s="2"/>
      <c r="H313" s="2"/>
      <c r="I313" s="2"/>
      <c r="J313" s="2"/>
      <c r="K313" s="2"/>
      <c r="L313" s="2"/>
      <c r="M313" s="2"/>
      <c r="N313" s="2"/>
      <c r="O313" s="2"/>
      <c r="P313" s="2"/>
      <c r="Q313" s="2"/>
      <c r="R313" s="2"/>
      <c r="S313" s="2"/>
      <c r="T313" s="2"/>
      <c r="U313" s="2"/>
      <c r="V313" s="2"/>
      <c r="W313" s="2"/>
    </row>
    <row r="314">
      <c r="A314" s="2"/>
      <c r="B314" s="2"/>
      <c r="C314" s="2"/>
      <c r="D314" s="2"/>
      <c r="E314" s="2"/>
      <c r="F314" s="2"/>
      <c r="G314" s="2"/>
      <c r="H314" s="2"/>
      <c r="I314" s="2"/>
      <c r="J314" s="2"/>
      <c r="K314" s="2"/>
      <c r="L314" s="2"/>
      <c r="M314" s="2"/>
      <c r="N314" s="2"/>
      <c r="O314" s="2"/>
      <c r="P314" s="2"/>
      <c r="Q314" s="2"/>
      <c r="R314" s="2"/>
      <c r="S314" s="2"/>
      <c r="T314" s="2"/>
      <c r="U314" s="2"/>
      <c r="V314" s="2"/>
      <c r="W314" s="2"/>
    </row>
    <row r="315">
      <c r="A315" s="2"/>
      <c r="B315" s="2"/>
      <c r="C315" s="2"/>
      <c r="D315" s="2"/>
      <c r="E315" s="2"/>
      <c r="F315" s="2"/>
      <c r="G315" s="2"/>
      <c r="H315" s="2"/>
      <c r="I315" s="2"/>
      <c r="J315" s="2"/>
      <c r="K315" s="2"/>
      <c r="L315" s="2"/>
      <c r="M315" s="2"/>
      <c r="N315" s="2"/>
      <c r="O315" s="2"/>
      <c r="P315" s="2"/>
      <c r="Q315" s="2"/>
      <c r="R315" s="2"/>
      <c r="S315" s="2"/>
      <c r="T315" s="2"/>
      <c r="U315" s="2"/>
      <c r="V315" s="2"/>
      <c r="W315" s="2"/>
    </row>
    <row r="316">
      <c r="A316" s="2"/>
      <c r="B316" s="2"/>
      <c r="C316" s="2"/>
      <c r="D316" s="2"/>
      <c r="E316" s="2"/>
      <c r="F316" s="2"/>
      <c r="G316" s="2"/>
      <c r="H316" s="2"/>
      <c r="I316" s="2"/>
      <c r="J316" s="2"/>
      <c r="K316" s="2"/>
      <c r="L316" s="2"/>
      <c r="M316" s="2"/>
      <c r="N316" s="2"/>
      <c r="O316" s="2"/>
      <c r="P316" s="2"/>
      <c r="Q316" s="2"/>
      <c r="R316" s="2"/>
      <c r="S316" s="2"/>
      <c r="T316" s="2"/>
      <c r="U316" s="2"/>
      <c r="V316" s="2"/>
      <c r="W316" s="2"/>
    </row>
    <row r="317">
      <c r="A317" s="2"/>
      <c r="B317" s="2"/>
      <c r="C317" s="2"/>
      <c r="D317" s="2"/>
      <c r="E317" s="2"/>
      <c r="F317" s="2"/>
      <c r="G317" s="2"/>
      <c r="H317" s="2"/>
      <c r="I317" s="2"/>
      <c r="J317" s="2"/>
      <c r="K317" s="2"/>
      <c r="L317" s="2"/>
      <c r="M317" s="2"/>
      <c r="N317" s="2"/>
      <c r="O317" s="2"/>
      <c r="P317" s="2"/>
      <c r="Q317" s="2"/>
      <c r="R317" s="2"/>
      <c r="S317" s="2"/>
      <c r="T317" s="2"/>
      <c r="U317" s="2"/>
      <c r="V317" s="2"/>
      <c r="W317" s="2"/>
    </row>
    <row r="318">
      <c r="A318" s="2"/>
      <c r="B318" s="2"/>
      <c r="C318" s="2"/>
      <c r="D318" s="2"/>
      <c r="E318" s="2"/>
      <c r="F318" s="2"/>
      <c r="G318" s="2"/>
      <c r="H318" s="2"/>
      <c r="I318" s="2"/>
      <c r="J318" s="2"/>
      <c r="K318" s="2"/>
      <c r="L318" s="2"/>
      <c r="M318" s="2"/>
      <c r="N318" s="2"/>
      <c r="O318" s="2"/>
      <c r="P318" s="2"/>
      <c r="Q318" s="2"/>
      <c r="R318" s="2"/>
      <c r="S318" s="2"/>
      <c r="T318" s="2"/>
      <c r="U318" s="2"/>
      <c r="V318" s="2"/>
      <c r="W318" s="2"/>
    </row>
    <row r="319">
      <c r="A319" s="2"/>
      <c r="B319" s="2"/>
      <c r="C319" s="2"/>
      <c r="D319" s="2"/>
      <c r="E319" s="2"/>
      <c r="F319" s="2"/>
      <c r="G319" s="2"/>
      <c r="H319" s="2"/>
      <c r="I319" s="2"/>
      <c r="J319" s="2"/>
      <c r="K319" s="2"/>
      <c r="L319" s="2"/>
      <c r="M319" s="2"/>
      <c r="N319" s="2"/>
      <c r="O319" s="2"/>
      <c r="P319" s="2"/>
      <c r="Q319" s="2"/>
      <c r="R319" s="2"/>
      <c r="S319" s="2"/>
      <c r="T319" s="2"/>
      <c r="U319" s="2"/>
      <c r="V319" s="2"/>
      <c r="W319" s="2"/>
    </row>
    <row r="320">
      <c r="A320" s="2"/>
      <c r="B320" s="2"/>
      <c r="C320" s="2"/>
      <c r="D320" s="2"/>
      <c r="E320" s="2"/>
      <c r="F320" s="2"/>
      <c r="G320" s="2"/>
      <c r="H320" s="2"/>
      <c r="I320" s="2"/>
      <c r="J320" s="2"/>
      <c r="K320" s="2"/>
      <c r="L320" s="2"/>
      <c r="M320" s="2"/>
      <c r="N320" s="2"/>
      <c r="O320" s="2"/>
      <c r="P320" s="2"/>
      <c r="Q320" s="2"/>
      <c r="R320" s="2"/>
      <c r="S320" s="2"/>
      <c r="T320" s="2"/>
      <c r="U320" s="2"/>
      <c r="V320" s="2"/>
      <c r="W320" s="2"/>
    </row>
    <row r="321">
      <c r="A321" s="2"/>
      <c r="B321" s="2"/>
      <c r="C321" s="2"/>
      <c r="D321" s="2"/>
      <c r="E321" s="2"/>
      <c r="F321" s="2"/>
      <c r="G321" s="2"/>
      <c r="H321" s="2"/>
      <c r="I321" s="2"/>
      <c r="J321" s="2"/>
      <c r="K321" s="2"/>
      <c r="L321" s="2"/>
      <c r="M321" s="2"/>
      <c r="N321" s="2"/>
      <c r="O321" s="2"/>
      <c r="P321" s="2"/>
      <c r="Q321" s="2"/>
      <c r="R321" s="2"/>
      <c r="S321" s="2"/>
      <c r="T321" s="2"/>
      <c r="U321" s="2"/>
      <c r="V321" s="2"/>
      <c r="W321" s="2"/>
    </row>
    <row r="322">
      <c r="A322" s="2"/>
      <c r="B322" s="2"/>
      <c r="C322" s="2"/>
      <c r="D322" s="2"/>
      <c r="E322" s="2"/>
      <c r="F322" s="2"/>
      <c r="G322" s="2"/>
      <c r="H322" s="2"/>
      <c r="I322" s="2"/>
      <c r="J322" s="2"/>
      <c r="K322" s="2"/>
      <c r="L322" s="2"/>
      <c r="M322" s="2"/>
      <c r="N322" s="2"/>
      <c r="O322" s="2"/>
      <c r="P322" s="2"/>
      <c r="Q322" s="2"/>
      <c r="R322" s="2"/>
      <c r="S322" s="2"/>
      <c r="T322" s="2"/>
      <c r="U322" s="2"/>
      <c r="V322" s="2"/>
      <c r="W322" s="2"/>
    </row>
    <row r="323">
      <c r="A323" s="2"/>
      <c r="B323" s="2"/>
      <c r="C323" s="2"/>
      <c r="D323" s="2"/>
      <c r="E323" s="2"/>
      <c r="F323" s="2"/>
      <c r="G323" s="2"/>
      <c r="H323" s="2"/>
      <c r="I323" s="2"/>
      <c r="J323" s="2"/>
      <c r="K323" s="2"/>
      <c r="L323" s="2"/>
      <c r="M323" s="2"/>
      <c r="N323" s="2"/>
      <c r="O323" s="2"/>
      <c r="P323" s="2"/>
      <c r="Q323" s="2"/>
      <c r="R323" s="2"/>
      <c r="S323" s="2"/>
      <c r="T323" s="2"/>
      <c r="U323" s="2"/>
      <c r="V323" s="2"/>
      <c r="W323" s="2"/>
    </row>
    <row r="324">
      <c r="A324" s="2"/>
      <c r="B324" s="2"/>
      <c r="C324" s="2"/>
      <c r="D324" s="2"/>
      <c r="E324" s="2"/>
      <c r="F324" s="2"/>
      <c r="G324" s="2"/>
      <c r="H324" s="2"/>
      <c r="I324" s="2"/>
      <c r="J324" s="2"/>
      <c r="K324" s="2"/>
      <c r="L324" s="2"/>
      <c r="M324" s="2"/>
      <c r="N324" s="2"/>
      <c r="O324" s="2"/>
      <c r="P324" s="2"/>
      <c r="Q324" s="2"/>
      <c r="R324" s="2"/>
      <c r="S324" s="2"/>
      <c r="T324" s="2"/>
      <c r="U324" s="2"/>
      <c r="V324" s="2"/>
      <c r="W324" s="2"/>
    </row>
    <row r="325">
      <c r="A325" s="2"/>
      <c r="B325" s="2"/>
      <c r="C325" s="2"/>
      <c r="D325" s="2"/>
      <c r="E325" s="2"/>
      <c r="F325" s="2"/>
      <c r="G325" s="2"/>
      <c r="H325" s="2"/>
      <c r="I325" s="2"/>
      <c r="J325" s="2"/>
      <c r="K325" s="2"/>
      <c r="L325" s="2"/>
      <c r="M325" s="2"/>
      <c r="N325" s="2"/>
      <c r="O325" s="2"/>
      <c r="P325" s="2"/>
      <c r="Q325" s="2"/>
      <c r="R325" s="2"/>
      <c r="S325" s="2"/>
      <c r="T325" s="2"/>
      <c r="U325" s="2"/>
      <c r="V325" s="2"/>
      <c r="W325" s="2"/>
    </row>
    <row r="326">
      <c r="A326" s="2"/>
      <c r="B326" s="2"/>
      <c r="C326" s="2"/>
      <c r="D326" s="2"/>
      <c r="E326" s="2"/>
      <c r="F326" s="2"/>
      <c r="G326" s="2"/>
      <c r="H326" s="2"/>
      <c r="I326" s="2"/>
      <c r="J326" s="2"/>
      <c r="K326" s="2"/>
      <c r="L326" s="2"/>
      <c r="M326" s="2"/>
      <c r="N326" s="2"/>
      <c r="O326" s="2"/>
      <c r="P326" s="2"/>
      <c r="Q326" s="2"/>
      <c r="R326" s="2"/>
      <c r="S326" s="2"/>
      <c r="T326" s="2"/>
      <c r="U326" s="2"/>
      <c r="V326" s="2"/>
      <c r="W326" s="2"/>
    </row>
    <row r="327">
      <c r="A327" s="2"/>
      <c r="B327" s="2"/>
      <c r="C327" s="2"/>
      <c r="D327" s="2"/>
      <c r="E327" s="2"/>
      <c r="F327" s="2"/>
      <c r="G327" s="2"/>
      <c r="H327" s="2"/>
      <c r="I327" s="2"/>
      <c r="J327" s="2"/>
      <c r="K327" s="2"/>
      <c r="L327" s="2"/>
      <c r="M327" s="2"/>
      <c r="N327" s="2"/>
      <c r="O327" s="2"/>
      <c r="P327" s="2"/>
      <c r="Q327" s="2"/>
      <c r="R327" s="2"/>
      <c r="S327" s="2"/>
      <c r="T327" s="2"/>
      <c r="U327" s="2"/>
      <c r="V327" s="2"/>
      <c r="W327" s="2"/>
    </row>
    <row r="328">
      <c r="A328" s="2"/>
      <c r="B328" s="2"/>
      <c r="C328" s="2"/>
      <c r="D328" s="2"/>
      <c r="E328" s="2"/>
      <c r="F328" s="2"/>
      <c r="G328" s="2"/>
      <c r="H328" s="2"/>
      <c r="I328" s="2"/>
      <c r="J328" s="2"/>
      <c r="K328" s="2"/>
      <c r="L328" s="2"/>
      <c r="M328" s="2"/>
      <c r="N328" s="2"/>
      <c r="O328" s="2"/>
      <c r="P328" s="2"/>
      <c r="Q328" s="2"/>
      <c r="R328" s="2"/>
      <c r="S328" s="2"/>
      <c r="T328" s="2"/>
      <c r="U328" s="2"/>
      <c r="V328" s="2"/>
      <c r="W328" s="2"/>
    </row>
    <row r="329">
      <c r="A329" s="2"/>
      <c r="B329" s="2"/>
      <c r="C329" s="2"/>
      <c r="D329" s="2"/>
      <c r="E329" s="2"/>
      <c r="F329" s="2"/>
      <c r="G329" s="2"/>
      <c r="H329" s="2"/>
      <c r="I329" s="2"/>
      <c r="J329" s="2"/>
      <c r="K329" s="2"/>
      <c r="L329" s="2"/>
      <c r="M329" s="2"/>
      <c r="N329" s="2"/>
      <c r="O329" s="2"/>
      <c r="P329" s="2"/>
      <c r="Q329" s="2"/>
      <c r="R329" s="2"/>
      <c r="S329" s="2"/>
      <c r="T329" s="2"/>
      <c r="U329" s="2"/>
      <c r="V329" s="2"/>
      <c r="W329" s="2"/>
    </row>
    <row r="330">
      <c r="A330" s="2"/>
      <c r="B330" s="2"/>
      <c r="C330" s="2"/>
      <c r="D330" s="2"/>
      <c r="E330" s="2"/>
      <c r="F330" s="2"/>
      <c r="G330" s="2"/>
      <c r="H330" s="2"/>
      <c r="I330" s="2"/>
      <c r="J330" s="2"/>
      <c r="K330" s="2"/>
      <c r="L330" s="2"/>
      <c r="M330" s="2"/>
      <c r="N330" s="2"/>
      <c r="O330" s="2"/>
      <c r="P330" s="2"/>
      <c r="Q330" s="2"/>
      <c r="R330" s="2"/>
      <c r="S330" s="2"/>
      <c r="T330" s="2"/>
      <c r="U330" s="2"/>
      <c r="V330" s="2"/>
      <c r="W330" s="2"/>
    </row>
    <row r="331">
      <c r="A331" s="2"/>
      <c r="B331" s="2"/>
      <c r="C331" s="2"/>
      <c r="D331" s="2"/>
      <c r="E331" s="2"/>
      <c r="F331" s="2"/>
      <c r="G331" s="2"/>
      <c r="H331" s="2"/>
      <c r="I331" s="2"/>
      <c r="J331" s="2"/>
      <c r="K331" s="2"/>
      <c r="L331" s="2"/>
      <c r="M331" s="2"/>
      <c r="N331" s="2"/>
      <c r="O331" s="2"/>
      <c r="P331" s="2"/>
      <c r="Q331" s="2"/>
      <c r="R331" s="2"/>
      <c r="S331" s="2"/>
      <c r="T331" s="2"/>
      <c r="U331" s="2"/>
      <c r="V331" s="2"/>
      <c r="W331" s="2"/>
    </row>
    <row r="332">
      <c r="A332" s="2"/>
      <c r="B332" s="2"/>
      <c r="C332" s="2"/>
      <c r="D332" s="2"/>
      <c r="E332" s="2"/>
      <c r="F332" s="2"/>
      <c r="G332" s="2"/>
      <c r="H332" s="2"/>
      <c r="I332" s="2"/>
      <c r="J332" s="2"/>
      <c r="K332" s="2"/>
      <c r="L332" s="2"/>
      <c r="M332" s="2"/>
      <c r="N332" s="2"/>
      <c r="O332" s="2"/>
      <c r="P332" s="2"/>
      <c r="Q332" s="2"/>
      <c r="R332" s="2"/>
      <c r="S332" s="2"/>
      <c r="T332" s="2"/>
      <c r="U332" s="2"/>
      <c r="V332" s="2"/>
      <c r="W332" s="2"/>
    </row>
    <row r="333">
      <c r="A333" s="2"/>
      <c r="B333" s="2"/>
      <c r="C333" s="2"/>
      <c r="D333" s="2"/>
      <c r="E333" s="2"/>
      <c r="F333" s="2"/>
      <c r="G333" s="2"/>
      <c r="H333" s="2"/>
      <c r="I333" s="2"/>
      <c r="J333" s="2"/>
      <c r="K333" s="2"/>
      <c r="L333" s="2"/>
      <c r="M333" s="2"/>
      <c r="N333" s="2"/>
      <c r="O333" s="2"/>
      <c r="P333" s="2"/>
      <c r="Q333" s="2"/>
      <c r="R333" s="2"/>
      <c r="S333" s="2"/>
      <c r="T333" s="2"/>
      <c r="U333" s="2"/>
      <c r="V333" s="2"/>
      <c r="W333" s="2"/>
    </row>
    <row r="334">
      <c r="A334" s="2"/>
      <c r="B334" s="2"/>
      <c r="C334" s="2"/>
      <c r="D334" s="2"/>
      <c r="E334" s="2"/>
      <c r="F334" s="2"/>
      <c r="G334" s="2"/>
      <c r="H334" s="2"/>
      <c r="I334" s="2"/>
      <c r="J334" s="2"/>
      <c r="K334" s="2"/>
      <c r="L334" s="2"/>
      <c r="M334" s="2"/>
      <c r="N334" s="2"/>
      <c r="O334" s="2"/>
      <c r="P334" s="2"/>
      <c r="Q334" s="2"/>
      <c r="R334" s="2"/>
      <c r="S334" s="2"/>
      <c r="T334" s="2"/>
      <c r="U334" s="2"/>
      <c r="V334" s="2"/>
      <c r="W334" s="2"/>
    </row>
    <row r="335">
      <c r="A335" s="2"/>
      <c r="B335" s="2"/>
      <c r="C335" s="2"/>
      <c r="D335" s="2"/>
      <c r="E335" s="2"/>
      <c r="F335" s="2"/>
      <c r="G335" s="2"/>
      <c r="H335" s="2"/>
      <c r="I335" s="2"/>
      <c r="J335" s="2"/>
      <c r="K335" s="2"/>
      <c r="L335" s="2"/>
      <c r="M335" s="2"/>
      <c r="N335" s="2"/>
      <c r="O335" s="2"/>
      <c r="P335" s="2"/>
      <c r="Q335" s="2"/>
      <c r="R335" s="2"/>
      <c r="S335" s="2"/>
      <c r="T335" s="2"/>
      <c r="U335" s="2"/>
      <c r="V335" s="2"/>
      <c r="W335" s="2"/>
    </row>
    <row r="336">
      <c r="A336" s="2"/>
      <c r="B336" s="2"/>
      <c r="C336" s="2"/>
      <c r="D336" s="2"/>
      <c r="E336" s="2"/>
      <c r="F336" s="2"/>
      <c r="G336" s="2"/>
      <c r="H336" s="2"/>
      <c r="I336" s="2"/>
      <c r="J336" s="2"/>
      <c r="K336" s="2"/>
      <c r="L336" s="2"/>
      <c r="M336" s="2"/>
      <c r="N336" s="2"/>
      <c r="O336" s="2"/>
      <c r="P336" s="2"/>
      <c r="Q336" s="2"/>
      <c r="R336" s="2"/>
      <c r="S336" s="2"/>
      <c r="T336" s="2"/>
      <c r="U336" s="2"/>
      <c r="V336" s="2"/>
      <c r="W336" s="2"/>
    </row>
    <row r="337">
      <c r="A337" s="2"/>
      <c r="B337" s="2"/>
      <c r="C337" s="2"/>
      <c r="D337" s="2"/>
      <c r="E337" s="2"/>
      <c r="F337" s="2"/>
      <c r="G337" s="2"/>
      <c r="H337" s="2"/>
      <c r="I337" s="2"/>
      <c r="J337" s="2"/>
      <c r="K337" s="2"/>
      <c r="L337" s="2"/>
      <c r="M337" s="2"/>
      <c r="N337" s="2"/>
      <c r="O337" s="2"/>
      <c r="P337" s="2"/>
      <c r="Q337" s="2"/>
      <c r="R337" s="2"/>
      <c r="S337" s="2"/>
      <c r="T337" s="2"/>
      <c r="U337" s="2"/>
      <c r="V337" s="2"/>
      <c r="W337" s="2"/>
    </row>
    <row r="338">
      <c r="A338" s="2"/>
      <c r="B338" s="2"/>
      <c r="C338" s="2"/>
      <c r="D338" s="2"/>
      <c r="E338" s="2"/>
      <c r="F338" s="2"/>
      <c r="G338" s="2"/>
      <c r="H338" s="2"/>
      <c r="I338" s="2"/>
      <c r="J338" s="2"/>
      <c r="K338" s="2"/>
      <c r="L338" s="2"/>
      <c r="M338" s="2"/>
      <c r="N338" s="2"/>
      <c r="O338" s="2"/>
      <c r="P338" s="2"/>
      <c r="Q338" s="2"/>
      <c r="R338" s="2"/>
      <c r="S338" s="2"/>
      <c r="T338" s="2"/>
      <c r="U338" s="2"/>
      <c r="V338" s="2"/>
      <c r="W338" s="2"/>
    </row>
    <row r="339">
      <c r="A339" s="2"/>
      <c r="B339" s="2"/>
      <c r="C339" s="2"/>
      <c r="D339" s="2"/>
      <c r="E339" s="2"/>
      <c r="F339" s="2"/>
      <c r="G339" s="2"/>
      <c r="H339" s="2"/>
      <c r="I339" s="2"/>
      <c r="J339" s="2"/>
      <c r="K339" s="2"/>
      <c r="L339" s="2"/>
      <c r="M339" s="2"/>
      <c r="N339" s="2"/>
      <c r="O339" s="2"/>
      <c r="P339" s="2"/>
      <c r="Q339" s="2"/>
      <c r="R339" s="2"/>
      <c r="S339" s="2"/>
      <c r="T339" s="2"/>
      <c r="U339" s="2"/>
      <c r="V339" s="2"/>
      <c r="W339" s="2"/>
    </row>
    <row r="340">
      <c r="A340" s="2"/>
      <c r="B340" s="2"/>
      <c r="C340" s="2"/>
      <c r="D340" s="2"/>
      <c r="E340" s="2"/>
      <c r="F340" s="2"/>
      <c r="G340" s="2"/>
      <c r="H340" s="2"/>
      <c r="I340" s="2"/>
      <c r="J340" s="2"/>
      <c r="K340" s="2"/>
      <c r="L340" s="2"/>
      <c r="M340" s="2"/>
      <c r="N340" s="2"/>
      <c r="O340" s="2"/>
      <c r="P340" s="2"/>
      <c r="Q340" s="2"/>
      <c r="R340" s="2"/>
      <c r="S340" s="2"/>
      <c r="T340" s="2"/>
      <c r="U340" s="2"/>
      <c r="V340" s="2"/>
      <c r="W340" s="2"/>
    </row>
    <row r="341">
      <c r="A341" s="2"/>
      <c r="B341" s="2"/>
      <c r="C341" s="2"/>
      <c r="D341" s="2"/>
      <c r="E341" s="2"/>
      <c r="F341" s="2"/>
      <c r="G341" s="2"/>
      <c r="H341" s="2"/>
      <c r="I341" s="2"/>
      <c r="J341" s="2"/>
      <c r="K341" s="2"/>
      <c r="L341" s="2"/>
      <c r="M341" s="2"/>
      <c r="N341" s="2"/>
      <c r="O341" s="2"/>
      <c r="P341" s="2"/>
      <c r="Q341" s="2"/>
      <c r="R341" s="2"/>
      <c r="S341" s="2"/>
      <c r="T341" s="2"/>
      <c r="U341" s="2"/>
      <c r="V341" s="2"/>
      <c r="W341" s="2"/>
    </row>
    <row r="342">
      <c r="A342" s="2"/>
      <c r="B342" s="2"/>
      <c r="C342" s="2"/>
      <c r="D342" s="2"/>
      <c r="E342" s="2"/>
      <c r="F342" s="2"/>
      <c r="G342" s="2"/>
      <c r="H342" s="2"/>
      <c r="I342" s="2"/>
      <c r="J342" s="2"/>
      <c r="K342" s="2"/>
      <c r="L342" s="2"/>
      <c r="M342" s="2"/>
      <c r="N342" s="2"/>
      <c r="O342" s="2"/>
      <c r="P342" s="2"/>
      <c r="Q342" s="2"/>
      <c r="R342" s="2"/>
      <c r="S342" s="2"/>
      <c r="T342" s="2"/>
      <c r="U342" s="2"/>
      <c r="V342" s="2"/>
      <c r="W342" s="2"/>
    </row>
    <row r="343">
      <c r="A343" s="2"/>
      <c r="B343" s="2"/>
      <c r="C343" s="2"/>
      <c r="D343" s="2"/>
      <c r="E343" s="2"/>
      <c r="F343" s="2"/>
      <c r="G343" s="2"/>
      <c r="H343" s="2"/>
      <c r="I343" s="2"/>
      <c r="J343" s="2"/>
      <c r="K343" s="2"/>
      <c r="L343" s="2"/>
      <c r="M343" s="2"/>
      <c r="N343" s="2"/>
      <c r="O343" s="2"/>
      <c r="P343" s="2"/>
      <c r="Q343" s="2"/>
      <c r="R343" s="2"/>
      <c r="S343" s="2"/>
      <c r="T343" s="2"/>
      <c r="U343" s="2"/>
      <c r="V343" s="2"/>
      <c r="W343" s="2"/>
    </row>
    <row r="344">
      <c r="A344" s="2"/>
      <c r="B344" s="2"/>
      <c r="C344" s="2"/>
      <c r="D344" s="2"/>
      <c r="E344" s="2"/>
      <c r="F344" s="2"/>
      <c r="G344" s="2"/>
      <c r="H344" s="2"/>
      <c r="I344" s="2"/>
      <c r="J344" s="2"/>
      <c r="K344" s="2"/>
      <c r="L344" s="2"/>
      <c r="M344" s="2"/>
      <c r="N344" s="2"/>
      <c r="O344" s="2"/>
      <c r="P344" s="2"/>
      <c r="Q344" s="2"/>
      <c r="R344" s="2"/>
      <c r="S344" s="2"/>
      <c r="T344" s="2"/>
      <c r="U344" s="2"/>
      <c r="V344" s="2"/>
      <c r="W344" s="2"/>
    </row>
    <row r="345">
      <c r="A345" s="2"/>
      <c r="B345" s="2"/>
      <c r="C345" s="2"/>
      <c r="D345" s="2"/>
      <c r="E345" s="2"/>
      <c r="F345" s="2"/>
      <c r="G345" s="2"/>
      <c r="H345" s="2"/>
      <c r="I345" s="2"/>
      <c r="J345" s="2"/>
      <c r="K345" s="2"/>
      <c r="L345" s="2"/>
      <c r="M345" s="2"/>
      <c r="N345" s="2"/>
      <c r="O345" s="2"/>
      <c r="P345" s="2"/>
      <c r="Q345" s="2"/>
      <c r="R345" s="2"/>
      <c r="S345" s="2"/>
      <c r="T345" s="2"/>
      <c r="U345" s="2"/>
      <c r="V345" s="2"/>
      <c r="W345" s="2"/>
    </row>
    <row r="346">
      <c r="A346" s="2"/>
      <c r="B346" s="2"/>
      <c r="C346" s="2"/>
      <c r="D346" s="2"/>
      <c r="E346" s="2"/>
      <c r="F346" s="2"/>
      <c r="G346" s="2"/>
      <c r="H346" s="2"/>
      <c r="I346" s="2"/>
      <c r="J346" s="2"/>
      <c r="K346" s="2"/>
      <c r="L346" s="2"/>
      <c r="M346" s="2"/>
      <c r="N346" s="2"/>
      <c r="O346" s="2"/>
      <c r="P346" s="2"/>
      <c r="Q346" s="2"/>
      <c r="R346" s="2"/>
      <c r="S346" s="2"/>
      <c r="T346" s="2"/>
      <c r="U346" s="2"/>
      <c r="V346" s="2"/>
      <c r="W346" s="2"/>
    </row>
    <row r="347">
      <c r="A347" s="2"/>
      <c r="B347" s="2"/>
      <c r="C347" s="2"/>
      <c r="D347" s="2"/>
      <c r="E347" s="2"/>
      <c r="F347" s="2"/>
      <c r="G347" s="2"/>
      <c r="H347" s="2"/>
      <c r="I347" s="2"/>
      <c r="J347" s="2"/>
      <c r="K347" s="2"/>
      <c r="L347" s="2"/>
      <c r="M347" s="2"/>
      <c r="N347" s="2"/>
      <c r="O347" s="2"/>
      <c r="P347" s="2"/>
      <c r="Q347" s="2"/>
      <c r="R347" s="2"/>
      <c r="S347" s="2"/>
      <c r="T347" s="2"/>
      <c r="U347" s="2"/>
      <c r="V347" s="2"/>
      <c r="W347" s="2"/>
    </row>
    <row r="348">
      <c r="A348" s="2"/>
      <c r="B348" s="2"/>
      <c r="C348" s="2"/>
      <c r="D348" s="2"/>
      <c r="E348" s="2"/>
      <c r="F348" s="2"/>
      <c r="G348" s="2"/>
      <c r="H348" s="2"/>
      <c r="I348" s="2"/>
      <c r="J348" s="2"/>
      <c r="K348" s="2"/>
      <c r="L348" s="2"/>
      <c r="M348" s="2"/>
      <c r="N348" s="2"/>
      <c r="O348" s="2"/>
      <c r="P348" s="2"/>
      <c r="Q348" s="2"/>
      <c r="R348" s="2"/>
      <c r="S348" s="2"/>
      <c r="T348" s="2"/>
      <c r="U348" s="2"/>
      <c r="V348" s="2"/>
      <c r="W348" s="2"/>
    </row>
    <row r="349">
      <c r="A349" s="2"/>
      <c r="B349" s="2"/>
      <c r="C349" s="2"/>
      <c r="D349" s="2"/>
      <c r="E349" s="2"/>
      <c r="F349" s="2"/>
      <c r="G349" s="2"/>
      <c r="H349" s="2"/>
      <c r="I349" s="2"/>
      <c r="J349" s="2"/>
      <c r="K349" s="2"/>
      <c r="L349" s="2"/>
      <c r="M349" s="2"/>
      <c r="N349" s="2"/>
      <c r="O349" s="2"/>
      <c r="P349" s="2"/>
      <c r="Q349" s="2"/>
      <c r="R349" s="2"/>
      <c r="S349" s="2"/>
      <c r="T349" s="2"/>
      <c r="U349" s="2"/>
      <c r="V349" s="2"/>
      <c r="W349" s="2"/>
    </row>
    <row r="350">
      <c r="A350" s="2"/>
      <c r="B350" s="2"/>
      <c r="C350" s="2"/>
      <c r="D350" s="2"/>
      <c r="E350" s="2"/>
      <c r="F350" s="2"/>
      <c r="G350" s="2"/>
      <c r="H350" s="2"/>
      <c r="I350" s="2"/>
      <c r="J350" s="2"/>
      <c r="K350" s="2"/>
      <c r="L350" s="2"/>
      <c r="M350" s="2"/>
      <c r="N350" s="2"/>
      <c r="O350" s="2"/>
      <c r="P350" s="2"/>
      <c r="Q350" s="2"/>
      <c r="R350" s="2"/>
      <c r="S350" s="2"/>
      <c r="T350" s="2"/>
      <c r="U350" s="2"/>
      <c r="V350" s="2"/>
      <c r="W350" s="2"/>
    </row>
    <row r="351">
      <c r="A351" s="2"/>
      <c r="B351" s="2"/>
      <c r="C351" s="2"/>
      <c r="D351" s="2"/>
      <c r="E351" s="2"/>
      <c r="F351" s="2"/>
      <c r="G351" s="2"/>
      <c r="H351" s="2"/>
      <c r="I351" s="2"/>
      <c r="J351" s="2"/>
      <c r="K351" s="2"/>
      <c r="L351" s="2"/>
      <c r="M351" s="2"/>
      <c r="N351" s="2"/>
      <c r="O351" s="2"/>
      <c r="P351" s="2"/>
      <c r="Q351" s="2"/>
      <c r="R351" s="2"/>
      <c r="S351" s="2"/>
      <c r="T351" s="2"/>
      <c r="U351" s="2"/>
      <c r="V351" s="2"/>
      <c r="W351" s="2"/>
    </row>
    <row r="352">
      <c r="A352" s="2"/>
      <c r="B352" s="2"/>
      <c r="C352" s="2"/>
      <c r="D352" s="2"/>
      <c r="E352" s="2"/>
      <c r="F352" s="2"/>
      <c r="G352" s="2"/>
      <c r="H352" s="2"/>
      <c r="I352" s="2"/>
      <c r="J352" s="2"/>
      <c r="K352" s="2"/>
      <c r="L352" s="2"/>
      <c r="M352" s="2"/>
      <c r="N352" s="2"/>
      <c r="O352" s="2"/>
      <c r="P352" s="2"/>
      <c r="Q352" s="2"/>
      <c r="R352" s="2"/>
      <c r="S352" s="2"/>
      <c r="T352" s="2"/>
      <c r="U352" s="2"/>
      <c r="V352" s="2"/>
      <c r="W352" s="2"/>
    </row>
    <row r="353">
      <c r="A353" s="2"/>
      <c r="B353" s="2"/>
      <c r="C353" s="2"/>
      <c r="D353" s="2"/>
      <c r="E353" s="2"/>
      <c r="F353" s="2"/>
      <c r="G353" s="2"/>
      <c r="H353" s="2"/>
      <c r="I353" s="2"/>
      <c r="J353" s="2"/>
      <c r="K353" s="2"/>
      <c r="L353" s="2"/>
      <c r="M353" s="2"/>
      <c r="N353" s="2"/>
      <c r="O353" s="2"/>
      <c r="P353" s="2"/>
      <c r="Q353" s="2"/>
      <c r="R353" s="2"/>
      <c r="S353" s="2"/>
      <c r="T353" s="2"/>
      <c r="U353" s="2"/>
      <c r="V353" s="2"/>
      <c r="W353" s="2"/>
    </row>
    <row r="354">
      <c r="A354" s="2"/>
      <c r="B354" s="2"/>
      <c r="C354" s="2"/>
      <c r="D354" s="2"/>
      <c r="E354" s="2"/>
      <c r="F354" s="2"/>
      <c r="G354" s="2"/>
      <c r="H354" s="2"/>
      <c r="I354" s="2"/>
      <c r="J354" s="2"/>
      <c r="K354" s="2"/>
      <c r="L354" s="2"/>
      <c r="M354" s="2"/>
      <c r="N354" s="2"/>
      <c r="O354" s="2"/>
      <c r="P354" s="2"/>
      <c r="Q354" s="2"/>
      <c r="R354" s="2"/>
      <c r="S354" s="2"/>
      <c r="T354" s="2"/>
      <c r="U354" s="2"/>
      <c r="V354" s="2"/>
      <c r="W354" s="2"/>
    </row>
    <row r="355">
      <c r="A355" s="2"/>
      <c r="B355" s="2"/>
      <c r="C355" s="2"/>
      <c r="D355" s="2"/>
      <c r="E355" s="2"/>
      <c r="F355" s="2"/>
      <c r="G355" s="2"/>
      <c r="H355" s="2"/>
      <c r="I355" s="2"/>
      <c r="J355" s="2"/>
      <c r="K355" s="2"/>
      <c r="L355" s="2"/>
      <c r="M355" s="2"/>
      <c r="N355" s="2"/>
      <c r="O355" s="2"/>
      <c r="P355" s="2"/>
      <c r="Q355" s="2"/>
      <c r="R355" s="2"/>
      <c r="S355" s="2"/>
      <c r="T355" s="2"/>
      <c r="U355" s="2"/>
      <c r="V355" s="2"/>
      <c r="W355" s="2"/>
    </row>
    <row r="356">
      <c r="A356" s="2"/>
      <c r="B356" s="2"/>
      <c r="C356" s="2"/>
      <c r="D356" s="2"/>
      <c r="E356" s="2"/>
      <c r="F356" s="2"/>
      <c r="G356" s="2"/>
      <c r="H356" s="2"/>
      <c r="I356" s="2"/>
      <c r="J356" s="2"/>
      <c r="K356" s="2"/>
      <c r="L356" s="2"/>
      <c r="M356" s="2"/>
      <c r="N356" s="2"/>
      <c r="O356" s="2"/>
      <c r="P356" s="2"/>
      <c r="Q356" s="2"/>
      <c r="R356" s="2"/>
      <c r="S356" s="2"/>
      <c r="T356" s="2"/>
      <c r="U356" s="2"/>
      <c r="V356" s="2"/>
      <c r="W356" s="2"/>
    </row>
    <row r="357">
      <c r="A357" s="2"/>
      <c r="B357" s="2"/>
      <c r="C357" s="2"/>
      <c r="D357" s="2"/>
      <c r="E357" s="2"/>
      <c r="F357" s="2"/>
      <c r="G357" s="2"/>
      <c r="H357" s="2"/>
      <c r="I357" s="2"/>
      <c r="J357" s="2"/>
      <c r="K357" s="2"/>
      <c r="L357" s="2"/>
      <c r="M357" s="2"/>
      <c r="N357" s="2"/>
      <c r="O357" s="2"/>
      <c r="P357" s="2"/>
      <c r="Q357" s="2"/>
      <c r="R357" s="2"/>
      <c r="S357" s="2"/>
      <c r="T357" s="2"/>
      <c r="U357" s="2"/>
      <c r="V357" s="2"/>
      <c r="W357" s="2"/>
    </row>
    <row r="358">
      <c r="A358" s="2"/>
      <c r="B358" s="2"/>
      <c r="C358" s="2"/>
      <c r="D358" s="2"/>
      <c r="E358" s="2"/>
      <c r="F358" s="2"/>
      <c r="G358" s="2"/>
      <c r="H358" s="2"/>
      <c r="I358" s="2"/>
      <c r="J358" s="2"/>
      <c r="K358" s="2"/>
      <c r="L358" s="2"/>
      <c r="M358" s="2"/>
      <c r="N358" s="2"/>
      <c r="O358" s="2"/>
      <c r="P358" s="2"/>
      <c r="Q358" s="2"/>
      <c r="R358" s="2"/>
      <c r="S358" s="2"/>
      <c r="T358" s="2"/>
      <c r="U358" s="2"/>
      <c r="V358" s="2"/>
      <c r="W358" s="2"/>
    </row>
    <row r="359">
      <c r="A359" s="2"/>
      <c r="B359" s="2"/>
      <c r="C359" s="2"/>
      <c r="D359" s="2"/>
      <c r="E359" s="2"/>
      <c r="F359" s="2"/>
      <c r="G359" s="2"/>
      <c r="H359" s="2"/>
      <c r="I359" s="2"/>
      <c r="J359" s="2"/>
      <c r="K359" s="2"/>
      <c r="L359" s="2"/>
      <c r="M359" s="2"/>
      <c r="N359" s="2"/>
      <c r="O359" s="2"/>
      <c r="P359" s="2"/>
      <c r="Q359" s="2"/>
      <c r="R359" s="2"/>
      <c r="S359" s="2"/>
      <c r="T359" s="2"/>
      <c r="U359" s="2"/>
      <c r="V359" s="2"/>
      <c r="W359" s="2"/>
    </row>
    <row r="360">
      <c r="A360" s="2"/>
      <c r="B360" s="2"/>
      <c r="C360" s="2"/>
      <c r="D360" s="2"/>
      <c r="E360" s="2"/>
      <c r="F360" s="2"/>
      <c r="G360" s="2"/>
      <c r="H360" s="2"/>
      <c r="I360" s="2"/>
      <c r="J360" s="2"/>
      <c r="K360" s="2"/>
      <c r="L360" s="2"/>
      <c r="M360" s="2"/>
      <c r="N360" s="2"/>
      <c r="O360" s="2"/>
      <c r="P360" s="2"/>
      <c r="Q360" s="2"/>
      <c r="R360" s="2"/>
      <c r="S360" s="2"/>
      <c r="T360" s="2"/>
      <c r="U360" s="2"/>
      <c r="V360" s="2"/>
      <c r="W360" s="2"/>
    </row>
    <row r="361">
      <c r="A361" s="2"/>
      <c r="B361" s="2"/>
      <c r="C361" s="2"/>
      <c r="D361" s="2"/>
      <c r="E361" s="2"/>
      <c r="F361" s="2"/>
      <c r="G361" s="2"/>
      <c r="H361" s="2"/>
      <c r="I361" s="2"/>
      <c r="J361" s="2"/>
      <c r="K361" s="2"/>
      <c r="L361" s="2"/>
      <c r="M361" s="2"/>
      <c r="N361" s="2"/>
      <c r="O361" s="2"/>
      <c r="P361" s="2"/>
      <c r="Q361" s="2"/>
      <c r="R361" s="2"/>
      <c r="S361" s="2"/>
      <c r="T361" s="2"/>
      <c r="U361" s="2"/>
      <c r="V361" s="2"/>
      <c r="W361" s="2"/>
    </row>
    <row r="362">
      <c r="A362" s="2"/>
      <c r="B362" s="2"/>
      <c r="C362" s="2"/>
      <c r="D362" s="2"/>
      <c r="E362" s="2"/>
      <c r="F362" s="2"/>
      <c r="G362" s="2"/>
      <c r="H362" s="2"/>
      <c r="I362" s="2"/>
      <c r="J362" s="2"/>
      <c r="K362" s="2"/>
      <c r="L362" s="2"/>
      <c r="M362" s="2"/>
      <c r="N362" s="2"/>
      <c r="O362" s="2"/>
      <c r="P362" s="2"/>
      <c r="Q362" s="2"/>
      <c r="R362" s="2"/>
      <c r="S362" s="2"/>
      <c r="T362" s="2"/>
      <c r="U362" s="2"/>
      <c r="V362" s="2"/>
      <c r="W362" s="2"/>
    </row>
    <row r="363">
      <c r="A363" s="2"/>
      <c r="B363" s="2"/>
      <c r="C363" s="2"/>
      <c r="D363" s="2"/>
      <c r="E363" s="2"/>
      <c r="F363" s="2"/>
      <c r="G363" s="2"/>
      <c r="H363" s="2"/>
      <c r="I363" s="2"/>
      <c r="J363" s="2"/>
      <c r="K363" s="2"/>
      <c r="L363" s="2"/>
      <c r="M363" s="2"/>
      <c r="N363" s="2"/>
      <c r="O363" s="2"/>
      <c r="P363" s="2"/>
      <c r="Q363" s="2"/>
      <c r="R363" s="2"/>
      <c r="S363" s="2"/>
      <c r="T363" s="2"/>
      <c r="U363" s="2"/>
      <c r="V363" s="2"/>
      <c r="W363" s="2"/>
    </row>
    <row r="364">
      <c r="A364" s="2"/>
      <c r="B364" s="2"/>
      <c r="C364" s="2"/>
      <c r="D364" s="2"/>
      <c r="E364" s="2"/>
      <c r="F364" s="2"/>
      <c r="G364" s="2"/>
      <c r="H364" s="2"/>
      <c r="I364" s="2"/>
      <c r="J364" s="2"/>
      <c r="K364" s="2"/>
      <c r="L364" s="2"/>
      <c r="M364" s="2"/>
      <c r="N364" s="2"/>
      <c r="O364" s="2"/>
      <c r="P364" s="2"/>
      <c r="Q364" s="2"/>
      <c r="R364" s="2"/>
      <c r="S364" s="2"/>
      <c r="T364" s="2"/>
      <c r="U364" s="2"/>
      <c r="V364" s="2"/>
      <c r="W364" s="2"/>
    </row>
    <row r="365">
      <c r="A365" s="2"/>
      <c r="B365" s="2"/>
      <c r="C365" s="2"/>
      <c r="D365" s="2"/>
      <c r="E365" s="2"/>
      <c r="F365" s="2"/>
      <c r="G365" s="2"/>
      <c r="H365" s="2"/>
      <c r="I365" s="2"/>
      <c r="J365" s="2"/>
      <c r="K365" s="2"/>
      <c r="L365" s="2"/>
      <c r="M365" s="2"/>
      <c r="N365" s="2"/>
      <c r="O365" s="2"/>
      <c r="P365" s="2"/>
      <c r="Q365" s="2"/>
      <c r="R365" s="2"/>
      <c r="S365" s="2"/>
      <c r="T365" s="2"/>
      <c r="U365" s="2"/>
      <c r="V365" s="2"/>
      <c r="W365" s="2"/>
    </row>
    <row r="366">
      <c r="A366" s="2"/>
      <c r="B366" s="2"/>
      <c r="C366" s="2"/>
      <c r="D366" s="2"/>
      <c r="E366" s="2"/>
      <c r="F366" s="2"/>
      <c r="G366" s="2"/>
      <c r="H366" s="2"/>
      <c r="I366" s="2"/>
      <c r="J366" s="2"/>
      <c r="K366" s="2"/>
      <c r="L366" s="2"/>
      <c r="M366" s="2"/>
      <c r="N366" s="2"/>
      <c r="O366" s="2"/>
      <c r="P366" s="2"/>
      <c r="Q366" s="2"/>
      <c r="R366" s="2"/>
      <c r="S366" s="2"/>
      <c r="T366" s="2"/>
      <c r="U366" s="2"/>
      <c r="V366" s="2"/>
      <c r="W366" s="2"/>
    </row>
    <row r="367">
      <c r="A367" s="2"/>
      <c r="B367" s="2"/>
      <c r="C367" s="2"/>
      <c r="D367" s="2"/>
      <c r="E367" s="2"/>
      <c r="F367" s="2"/>
      <c r="G367" s="2"/>
      <c r="H367" s="2"/>
      <c r="I367" s="2"/>
      <c r="J367" s="2"/>
      <c r="K367" s="2"/>
      <c r="L367" s="2"/>
      <c r="M367" s="2"/>
      <c r="N367" s="2"/>
      <c r="O367" s="2"/>
      <c r="P367" s="2"/>
      <c r="Q367" s="2"/>
      <c r="R367" s="2"/>
      <c r="S367" s="2"/>
      <c r="T367" s="2"/>
      <c r="U367" s="2"/>
      <c r="V367" s="2"/>
      <c r="W367" s="2"/>
    </row>
    <row r="368">
      <c r="A368" s="2"/>
      <c r="B368" s="2"/>
      <c r="C368" s="2"/>
      <c r="D368" s="2"/>
      <c r="E368" s="2"/>
      <c r="F368" s="2"/>
      <c r="G368" s="2"/>
      <c r="H368" s="2"/>
      <c r="I368" s="2"/>
      <c r="J368" s="2"/>
      <c r="K368" s="2"/>
      <c r="L368" s="2"/>
      <c r="M368" s="2"/>
      <c r="N368" s="2"/>
      <c r="O368" s="2"/>
      <c r="P368" s="2"/>
      <c r="Q368" s="2"/>
      <c r="R368" s="2"/>
      <c r="S368" s="2"/>
      <c r="T368" s="2"/>
      <c r="U368" s="2"/>
      <c r="V368" s="2"/>
      <c r="W368" s="2"/>
    </row>
    <row r="369">
      <c r="A369" s="2"/>
      <c r="B369" s="2"/>
      <c r="C369" s="2"/>
      <c r="D369" s="2"/>
      <c r="E369" s="2"/>
      <c r="F369" s="2"/>
      <c r="G369" s="2"/>
      <c r="H369" s="2"/>
      <c r="I369" s="2"/>
      <c r="J369" s="2"/>
      <c r="K369" s="2"/>
      <c r="L369" s="2"/>
      <c r="M369" s="2"/>
      <c r="N369" s="2"/>
      <c r="O369" s="2"/>
      <c r="P369" s="2"/>
      <c r="Q369" s="2"/>
      <c r="R369" s="2"/>
      <c r="S369" s="2"/>
      <c r="T369" s="2"/>
      <c r="U369" s="2"/>
      <c r="V369" s="2"/>
      <c r="W369" s="2"/>
    </row>
    <row r="370">
      <c r="A370" s="2"/>
      <c r="B370" s="2"/>
      <c r="C370" s="2"/>
      <c r="D370" s="2"/>
      <c r="E370" s="2"/>
      <c r="F370" s="2"/>
      <c r="G370" s="2"/>
      <c r="H370" s="2"/>
      <c r="I370" s="2"/>
      <c r="J370" s="2"/>
      <c r="K370" s="2"/>
      <c r="L370" s="2"/>
      <c r="M370" s="2"/>
      <c r="N370" s="2"/>
      <c r="O370" s="2"/>
      <c r="P370" s="2"/>
      <c r="Q370" s="2"/>
      <c r="R370" s="2"/>
      <c r="S370" s="2"/>
      <c r="T370" s="2"/>
      <c r="U370" s="2"/>
      <c r="V370" s="2"/>
      <c r="W370" s="2"/>
    </row>
    <row r="371">
      <c r="A371" s="2"/>
      <c r="B371" s="2"/>
      <c r="C371" s="2"/>
      <c r="D371" s="2"/>
      <c r="E371" s="2"/>
      <c r="F371" s="2"/>
      <c r="G371" s="2"/>
      <c r="H371" s="2"/>
      <c r="I371" s="2"/>
      <c r="J371" s="2"/>
      <c r="K371" s="2"/>
      <c r="L371" s="2"/>
      <c r="M371" s="2"/>
      <c r="N371" s="2"/>
      <c r="O371" s="2"/>
      <c r="P371" s="2"/>
      <c r="Q371" s="2"/>
      <c r="R371" s="2"/>
      <c r="S371" s="2"/>
      <c r="T371" s="2"/>
      <c r="U371" s="2"/>
      <c r="V371" s="2"/>
      <c r="W371" s="2"/>
    </row>
    <row r="372">
      <c r="A372" s="2"/>
      <c r="B372" s="2"/>
      <c r="C372" s="2"/>
      <c r="D372" s="2"/>
      <c r="E372" s="2"/>
      <c r="F372" s="2"/>
      <c r="G372" s="2"/>
      <c r="H372" s="2"/>
      <c r="I372" s="2"/>
      <c r="J372" s="2"/>
      <c r="K372" s="2"/>
      <c r="L372" s="2"/>
      <c r="M372" s="2"/>
      <c r="N372" s="2"/>
      <c r="O372" s="2"/>
      <c r="P372" s="2"/>
      <c r="Q372" s="2"/>
      <c r="R372" s="2"/>
      <c r="S372" s="2"/>
      <c r="T372" s="2"/>
      <c r="U372" s="2"/>
      <c r="V372" s="2"/>
      <c r="W372" s="2"/>
    </row>
    <row r="373">
      <c r="A373" s="2"/>
      <c r="B373" s="2"/>
      <c r="C373" s="2"/>
      <c r="D373" s="2"/>
      <c r="E373" s="2"/>
      <c r="F373" s="2"/>
      <c r="G373" s="2"/>
      <c r="H373" s="2"/>
      <c r="I373" s="2"/>
      <c r="J373" s="2"/>
      <c r="K373" s="2"/>
      <c r="L373" s="2"/>
      <c r="M373" s="2"/>
      <c r="N373" s="2"/>
      <c r="O373" s="2"/>
      <c r="P373" s="2"/>
      <c r="Q373" s="2"/>
      <c r="R373" s="2"/>
      <c r="S373" s="2"/>
      <c r="T373" s="2"/>
      <c r="U373" s="2"/>
      <c r="V373" s="2"/>
      <c r="W373" s="2"/>
    </row>
    <row r="374">
      <c r="A374" s="2"/>
      <c r="B374" s="2"/>
      <c r="C374" s="2"/>
      <c r="D374" s="2"/>
      <c r="E374" s="2"/>
      <c r="F374" s="2"/>
      <c r="G374" s="2"/>
      <c r="H374" s="2"/>
      <c r="I374" s="2"/>
      <c r="J374" s="2"/>
      <c r="K374" s="2"/>
      <c r="L374" s="2"/>
      <c r="M374" s="2"/>
      <c r="N374" s="2"/>
      <c r="O374" s="2"/>
      <c r="P374" s="2"/>
      <c r="Q374" s="2"/>
      <c r="R374" s="2"/>
      <c r="S374" s="2"/>
      <c r="T374" s="2"/>
      <c r="U374" s="2"/>
      <c r="V374" s="2"/>
      <c r="W374" s="2"/>
    </row>
    <row r="375">
      <c r="A375" s="2"/>
      <c r="B375" s="2"/>
      <c r="C375" s="2"/>
      <c r="D375" s="2"/>
      <c r="E375" s="2"/>
      <c r="F375" s="2"/>
      <c r="G375" s="2"/>
      <c r="H375" s="2"/>
      <c r="I375" s="2"/>
      <c r="J375" s="2"/>
      <c r="K375" s="2"/>
      <c r="L375" s="2"/>
      <c r="M375" s="2"/>
      <c r="N375" s="2"/>
      <c r="O375" s="2"/>
      <c r="P375" s="2"/>
      <c r="Q375" s="2"/>
      <c r="R375" s="2"/>
      <c r="S375" s="2"/>
      <c r="T375" s="2"/>
      <c r="U375" s="2"/>
      <c r="V375" s="2"/>
      <c r="W375" s="2"/>
    </row>
    <row r="376">
      <c r="A376" s="2"/>
      <c r="B376" s="2"/>
      <c r="C376" s="2"/>
      <c r="D376" s="2"/>
      <c r="E376" s="2"/>
      <c r="F376" s="2"/>
      <c r="G376" s="2"/>
      <c r="H376" s="2"/>
      <c r="I376" s="2"/>
      <c r="J376" s="2"/>
      <c r="K376" s="2"/>
      <c r="L376" s="2"/>
      <c r="M376" s="2"/>
      <c r="N376" s="2"/>
      <c r="O376" s="2"/>
      <c r="P376" s="2"/>
      <c r="Q376" s="2"/>
      <c r="R376" s="2"/>
      <c r="S376" s="2"/>
      <c r="T376" s="2"/>
      <c r="U376" s="2"/>
      <c r="V376" s="2"/>
      <c r="W376" s="2"/>
    </row>
    <row r="377">
      <c r="A377" s="2"/>
      <c r="B377" s="2"/>
      <c r="C377" s="2"/>
      <c r="D377" s="2"/>
      <c r="E377" s="2"/>
      <c r="F377" s="2"/>
      <c r="G377" s="2"/>
      <c r="H377" s="2"/>
      <c r="I377" s="2"/>
      <c r="J377" s="2"/>
      <c r="K377" s="2"/>
      <c r="L377" s="2"/>
      <c r="M377" s="2"/>
      <c r="N377" s="2"/>
      <c r="O377" s="2"/>
      <c r="P377" s="2"/>
      <c r="Q377" s="2"/>
      <c r="R377" s="2"/>
      <c r="S377" s="2"/>
      <c r="T377" s="2"/>
      <c r="U377" s="2"/>
      <c r="V377" s="2"/>
      <c r="W377" s="2"/>
    </row>
    <row r="378">
      <c r="A378" s="2"/>
      <c r="B378" s="2"/>
      <c r="C378" s="2"/>
      <c r="D378" s="2"/>
      <c r="E378" s="2"/>
      <c r="F378" s="2"/>
      <c r="G378" s="2"/>
      <c r="H378" s="2"/>
      <c r="I378" s="2"/>
      <c r="J378" s="2"/>
      <c r="K378" s="2"/>
      <c r="L378" s="2"/>
      <c r="M378" s="2"/>
      <c r="N378" s="2"/>
      <c r="O378" s="2"/>
      <c r="P378" s="2"/>
      <c r="Q378" s="2"/>
      <c r="R378" s="2"/>
      <c r="S378" s="2"/>
      <c r="T378" s="2"/>
      <c r="U378" s="2"/>
      <c r="V378" s="2"/>
      <c r="W378" s="2"/>
    </row>
    <row r="379">
      <c r="A379" s="2"/>
      <c r="B379" s="2"/>
      <c r="C379" s="2"/>
      <c r="D379" s="2"/>
      <c r="E379" s="2"/>
      <c r="F379" s="2"/>
      <c r="G379" s="2"/>
      <c r="H379" s="2"/>
      <c r="I379" s="2"/>
      <c r="J379" s="2"/>
      <c r="K379" s="2"/>
      <c r="L379" s="2"/>
      <c r="M379" s="2"/>
      <c r="N379" s="2"/>
      <c r="O379" s="2"/>
      <c r="P379" s="2"/>
      <c r="Q379" s="2"/>
      <c r="R379" s="2"/>
      <c r="S379" s="2"/>
      <c r="T379" s="2"/>
      <c r="U379" s="2"/>
      <c r="V379" s="2"/>
      <c r="W379" s="2"/>
    </row>
    <row r="380">
      <c r="A380" s="2"/>
      <c r="B380" s="2"/>
      <c r="C380" s="2"/>
      <c r="D380" s="2"/>
      <c r="E380" s="2"/>
      <c r="F380" s="2"/>
      <c r="G380" s="2"/>
      <c r="H380" s="2"/>
      <c r="I380" s="2"/>
      <c r="J380" s="2"/>
      <c r="K380" s="2"/>
      <c r="L380" s="2"/>
      <c r="M380" s="2"/>
      <c r="N380" s="2"/>
      <c r="O380" s="2"/>
      <c r="P380" s="2"/>
      <c r="Q380" s="2"/>
      <c r="R380" s="2"/>
      <c r="S380" s="2"/>
      <c r="T380" s="2"/>
      <c r="U380" s="2"/>
      <c r="V380" s="2"/>
      <c r="W380" s="2"/>
    </row>
    <row r="381">
      <c r="A381" s="2"/>
      <c r="B381" s="2"/>
      <c r="C381" s="2"/>
      <c r="D381" s="2"/>
      <c r="E381" s="2"/>
      <c r="F381" s="2"/>
      <c r="G381" s="2"/>
      <c r="H381" s="2"/>
      <c r="I381" s="2"/>
      <c r="J381" s="2"/>
      <c r="K381" s="2"/>
      <c r="L381" s="2"/>
      <c r="M381" s="2"/>
      <c r="N381" s="2"/>
      <c r="O381" s="2"/>
      <c r="P381" s="2"/>
      <c r="Q381" s="2"/>
      <c r="R381" s="2"/>
      <c r="S381" s="2"/>
      <c r="T381" s="2"/>
      <c r="U381" s="2"/>
      <c r="V381" s="2"/>
      <c r="W381" s="2"/>
    </row>
    <row r="382">
      <c r="A382" s="2"/>
      <c r="B382" s="2"/>
      <c r="C382" s="2"/>
      <c r="D382" s="2"/>
      <c r="E382" s="2"/>
      <c r="F382" s="2"/>
      <c r="G382" s="2"/>
      <c r="H382" s="2"/>
      <c r="I382" s="2"/>
      <c r="J382" s="2"/>
      <c r="K382" s="2"/>
      <c r="L382" s="2"/>
      <c r="M382" s="2"/>
      <c r="N382" s="2"/>
      <c r="O382" s="2"/>
      <c r="P382" s="2"/>
      <c r="Q382" s="2"/>
      <c r="R382" s="2"/>
      <c r="S382" s="2"/>
      <c r="T382" s="2"/>
      <c r="U382" s="2"/>
      <c r="V382" s="2"/>
      <c r="W382" s="2"/>
    </row>
    <row r="383">
      <c r="A383" s="2"/>
      <c r="B383" s="2"/>
      <c r="C383" s="2"/>
      <c r="D383" s="2"/>
      <c r="E383" s="2"/>
      <c r="F383" s="2"/>
      <c r="G383" s="2"/>
      <c r="H383" s="2"/>
      <c r="I383" s="2"/>
      <c r="J383" s="2"/>
      <c r="K383" s="2"/>
      <c r="L383" s="2"/>
      <c r="M383" s="2"/>
      <c r="N383" s="2"/>
      <c r="O383" s="2"/>
      <c r="P383" s="2"/>
      <c r="Q383" s="2"/>
      <c r="R383" s="2"/>
      <c r="S383" s="2"/>
      <c r="T383" s="2"/>
      <c r="U383" s="2"/>
      <c r="V383" s="2"/>
      <c r="W383" s="2"/>
    </row>
    <row r="384">
      <c r="A384" s="2"/>
      <c r="B384" s="2"/>
      <c r="C384" s="2"/>
      <c r="D384" s="2"/>
      <c r="E384" s="2"/>
      <c r="F384" s="2"/>
      <c r="G384" s="2"/>
      <c r="H384" s="2"/>
      <c r="I384" s="2"/>
      <c r="J384" s="2"/>
      <c r="K384" s="2"/>
      <c r="L384" s="2"/>
      <c r="M384" s="2"/>
      <c r="N384" s="2"/>
      <c r="O384" s="2"/>
      <c r="P384" s="2"/>
      <c r="Q384" s="2"/>
      <c r="R384" s="2"/>
      <c r="S384" s="2"/>
      <c r="T384" s="2"/>
      <c r="U384" s="2"/>
      <c r="V384" s="2"/>
      <c r="W384" s="2"/>
    </row>
    <row r="385">
      <c r="A385" s="2"/>
      <c r="B385" s="2"/>
      <c r="C385" s="2"/>
      <c r="D385" s="2"/>
      <c r="E385" s="2"/>
      <c r="F385" s="2"/>
      <c r="G385" s="2"/>
      <c r="H385" s="2"/>
      <c r="I385" s="2"/>
      <c r="J385" s="2"/>
      <c r="K385" s="2"/>
      <c r="L385" s="2"/>
      <c r="M385" s="2"/>
      <c r="N385" s="2"/>
      <c r="O385" s="2"/>
      <c r="P385" s="2"/>
      <c r="Q385" s="2"/>
      <c r="R385" s="2"/>
      <c r="S385" s="2"/>
      <c r="T385" s="2"/>
      <c r="U385" s="2"/>
      <c r="V385" s="2"/>
      <c r="W385" s="2"/>
    </row>
    <row r="386">
      <c r="A386" s="2"/>
      <c r="B386" s="2"/>
      <c r="C386" s="2"/>
      <c r="D386" s="2"/>
      <c r="E386" s="2"/>
      <c r="F386" s="2"/>
      <c r="G386" s="2"/>
      <c r="H386" s="2"/>
      <c r="I386" s="2"/>
      <c r="J386" s="2"/>
      <c r="K386" s="2"/>
      <c r="L386" s="2"/>
      <c r="M386" s="2"/>
      <c r="N386" s="2"/>
      <c r="O386" s="2"/>
      <c r="P386" s="2"/>
      <c r="Q386" s="2"/>
      <c r="R386" s="2"/>
      <c r="S386" s="2"/>
      <c r="T386" s="2"/>
      <c r="U386" s="2"/>
      <c r="V386" s="2"/>
      <c r="W386" s="2"/>
    </row>
    <row r="387">
      <c r="A387" s="2"/>
      <c r="B387" s="2"/>
      <c r="C387" s="2"/>
      <c r="D387" s="2"/>
      <c r="E387" s="2"/>
      <c r="F387" s="2"/>
      <c r="G387" s="2"/>
      <c r="H387" s="2"/>
      <c r="I387" s="2"/>
      <c r="J387" s="2"/>
      <c r="K387" s="2"/>
      <c r="L387" s="2"/>
      <c r="M387" s="2"/>
      <c r="N387" s="2"/>
      <c r="O387" s="2"/>
      <c r="P387" s="2"/>
      <c r="Q387" s="2"/>
      <c r="R387" s="2"/>
      <c r="S387" s="2"/>
      <c r="T387" s="2"/>
      <c r="U387" s="2"/>
      <c r="V387" s="2"/>
      <c r="W387" s="2"/>
    </row>
    <row r="388">
      <c r="A388" s="2"/>
      <c r="B388" s="2"/>
      <c r="C388" s="2"/>
      <c r="D388" s="2"/>
      <c r="E388" s="2"/>
      <c r="F388" s="2"/>
      <c r="G388" s="2"/>
      <c r="H388" s="2"/>
      <c r="I388" s="2"/>
      <c r="J388" s="2"/>
      <c r="K388" s="2"/>
      <c r="L388" s="2"/>
      <c r="M388" s="2"/>
      <c r="N388" s="2"/>
      <c r="O388" s="2"/>
      <c r="P388" s="2"/>
      <c r="Q388" s="2"/>
      <c r="R388" s="2"/>
      <c r="S388" s="2"/>
      <c r="T388" s="2"/>
      <c r="U388" s="2"/>
      <c r="V388" s="2"/>
      <c r="W388" s="2"/>
    </row>
    <row r="389">
      <c r="A389" s="2"/>
      <c r="B389" s="2"/>
      <c r="C389" s="2"/>
      <c r="D389" s="2"/>
      <c r="E389" s="2"/>
      <c r="F389" s="2"/>
      <c r="G389" s="2"/>
      <c r="H389" s="2"/>
      <c r="I389" s="2"/>
      <c r="J389" s="2"/>
      <c r="K389" s="2"/>
      <c r="L389" s="2"/>
      <c r="M389" s="2"/>
      <c r="N389" s="2"/>
      <c r="O389" s="2"/>
      <c r="P389" s="2"/>
      <c r="Q389" s="2"/>
      <c r="R389" s="2"/>
      <c r="S389" s="2"/>
      <c r="T389" s="2"/>
      <c r="U389" s="2"/>
      <c r="V389" s="2"/>
      <c r="W389" s="2"/>
    </row>
    <row r="390">
      <c r="A390" s="2"/>
      <c r="B390" s="2"/>
      <c r="C390" s="2"/>
      <c r="D390" s="2"/>
      <c r="E390" s="2"/>
      <c r="F390" s="2"/>
      <c r="G390" s="2"/>
      <c r="H390" s="2"/>
      <c r="I390" s="2"/>
      <c r="J390" s="2"/>
      <c r="K390" s="2"/>
      <c r="L390" s="2"/>
      <c r="M390" s="2"/>
      <c r="N390" s="2"/>
      <c r="O390" s="2"/>
      <c r="P390" s="2"/>
      <c r="Q390" s="2"/>
      <c r="R390" s="2"/>
      <c r="S390" s="2"/>
      <c r="T390" s="2"/>
      <c r="U390" s="2"/>
      <c r="V390" s="2"/>
      <c r="W390" s="2"/>
    </row>
    <row r="391">
      <c r="A391" s="2"/>
      <c r="B391" s="2"/>
      <c r="C391" s="2"/>
      <c r="D391" s="2"/>
      <c r="E391" s="2"/>
      <c r="F391" s="2"/>
      <c r="G391" s="2"/>
      <c r="H391" s="2"/>
      <c r="I391" s="2"/>
      <c r="J391" s="2"/>
      <c r="K391" s="2"/>
      <c r="L391" s="2"/>
      <c r="M391" s="2"/>
      <c r="N391" s="2"/>
      <c r="O391" s="2"/>
      <c r="P391" s="2"/>
      <c r="Q391" s="2"/>
      <c r="R391" s="2"/>
      <c r="S391" s="2"/>
      <c r="T391" s="2"/>
      <c r="U391" s="2"/>
      <c r="V391" s="2"/>
      <c r="W391" s="2"/>
    </row>
    <row r="392">
      <c r="A392" s="2"/>
      <c r="B392" s="2"/>
      <c r="C392" s="2"/>
      <c r="D392" s="2"/>
      <c r="E392" s="2"/>
      <c r="F392" s="2"/>
      <c r="G392" s="2"/>
      <c r="H392" s="2"/>
      <c r="I392" s="2"/>
      <c r="J392" s="2"/>
      <c r="K392" s="2"/>
      <c r="L392" s="2"/>
      <c r="M392" s="2"/>
      <c r="N392" s="2"/>
      <c r="O392" s="2"/>
      <c r="P392" s="2"/>
      <c r="Q392" s="2"/>
      <c r="R392" s="2"/>
      <c r="S392" s="2"/>
      <c r="T392" s="2"/>
      <c r="U392" s="2"/>
      <c r="V392" s="2"/>
      <c r="W392" s="2"/>
    </row>
    <row r="393">
      <c r="A393" s="2"/>
      <c r="B393" s="2"/>
      <c r="C393" s="2"/>
      <c r="D393" s="2"/>
      <c r="E393" s="2"/>
      <c r="F393" s="2"/>
      <c r="G393" s="2"/>
      <c r="H393" s="2"/>
      <c r="I393" s="2"/>
      <c r="J393" s="2"/>
      <c r="K393" s="2"/>
      <c r="L393" s="2"/>
      <c r="M393" s="2"/>
      <c r="N393" s="2"/>
      <c r="O393" s="2"/>
      <c r="P393" s="2"/>
      <c r="Q393" s="2"/>
      <c r="R393" s="2"/>
      <c r="S393" s="2"/>
      <c r="T393" s="2"/>
      <c r="U393" s="2"/>
      <c r="V393" s="2"/>
      <c r="W393" s="2"/>
    </row>
    <row r="394">
      <c r="A394" s="2"/>
      <c r="B394" s="2"/>
      <c r="C394" s="2"/>
      <c r="D394" s="2"/>
      <c r="E394" s="2"/>
      <c r="F394" s="2"/>
      <c r="G394" s="2"/>
      <c r="H394" s="2"/>
      <c r="I394" s="2"/>
      <c r="J394" s="2"/>
      <c r="K394" s="2"/>
      <c r="L394" s="2"/>
      <c r="M394" s="2"/>
      <c r="N394" s="2"/>
      <c r="O394" s="2"/>
      <c r="P394" s="2"/>
      <c r="Q394" s="2"/>
      <c r="R394" s="2"/>
      <c r="S394" s="2"/>
      <c r="T394" s="2"/>
      <c r="U394" s="2"/>
      <c r="V394" s="2"/>
      <c r="W394" s="2"/>
    </row>
    <row r="395">
      <c r="A395" s="2"/>
      <c r="B395" s="2"/>
      <c r="C395" s="2"/>
      <c r="D395" s="2"/>
      <c r="E395" s="2"/>
      <c r="F395" s="2"/>
      <c r="G395" s="2"/>
      <c r="H395" s="2"/>
      <c r="I395" s="2"/>
      <c r="J395" s="2"/>
      <c r="K395" s="2"/>
      <c r="L395" s="2"/>
      <c r="M395" s="2"/>
      <c r="N395" s="2"/>
      <c r="O395" s="2"/>
      <c r="P395" s="2"/>
      <c r="Q395" s="2"/>
      <c r="R395" s="2"/>
      <c r="S395" s="2"/>
      <c r="T395" s="2"/>
      <c r="U395" s="2"/>
      <c r="V395" s="2"/>
      <c r="W395" s="2"/>
    </row>
    <row r="396">
      <c r="A396" s="2"/>
      <c r="B396" s="2"/>
      <c r="C396" s="2"/>
      <c r="D396" s="2"/>
      <c r="E396" s="2"/>
      <c r="F396" s="2"/>
      <c r="G396" s="2"/>
      <c r="H396" s="2"/>
      <c r="I396" s="2"/>
      <c r="J396" s="2"/>
      <c r="K396" s="2"/>
      <c r="L396" s="2"/>
      <c r="M396" s="2"/>
      <c r="N396" s="2"/>
      <c r="O396" s="2"/>
      <c r="P396" s="2"/>
      <c r="Q396" s="2"/>
      <c r="R396" s="2"/>
      <c r="S396" s="2"/>
      <c r="T396" s="2"/>
      <c r="U396" s="2"/>
      <c r="V396" s="2"/>
      <c r="W396" s="2"/>
    </row>
    <row r="397">
      <c r="A397" s="2"/>
      <c r="B397" s="2"/>
      <c r="C397" s="2"/>
      <c r="D397" s="2"/>
      <c r="E397" s="2"/>
      <c r="F397" s="2"/>
      <c r="G397" s="2"/>
      <c r="H397" s="2"/>
      <c r="I397" s="2"/>
      <c r="J397" s="2"/>
      <c r="K397" s="2"/>
      <c r="L397" s="2"/>
      <c r="M397" s="2"/>
      <c r="N397" s="2"/>
      <c r="O397" s="2"/>
      <c r="P397" s="2"/>
      <c r="Q397" s="2"/>
      <c r="R397" s="2"/>
      <c r="S397" s="2"/>
      <c r="T397" s="2"/>
      <c r="U397" s="2"/>
      <c r="V397" s="2"/>
      <c r="W397" s="2"/>
    </row>
    <row r="398">
      <c r="A398" s="2"/>
      <c r="B398" s="2"/>
      <c r="C398" s="2"/>
      <c r="D398" s="2"/>
      <c r="E398" s="2"/>
      <c r="F398" s="2"/>
      <c r="G398" s="2"/>
      <c r="H398" s="2"/>
      <c r="I398" s="2"/>
      <c r="J398" s="2"/>
      <c r="K398" s="2"/>
      <c r="L398" s="2"/>
      <c r="M398" s="2"/>
      <c r="N398" s="2"/>
      <c r="O398" s="2"/>
      <c r="P398" s="2"/>
      <c r="Q398" s="2"/>
      <c r="R398" s="2"/>
      <c r="S398" s="2"/>
      <c r="T398" s="2"/>
      <c r="U398" s="2"/>
      <c r="V398" s="2"/>
      <c r="W398" s="2"/>
    </row>
    <row r="399">
      <c r="A399" s="2"/>
      <c r="B399" s="2"/>
      <c r="C399" s="2"/>
      <c r="D399" s="2"/>
      <c r="E399" s="2"/>
      <c r="F399" s="2"/>
      <c r="G399" s="2"/>
      <c r="H399" s="2"/>
      <c r="I399" s="2"/>
      <c r="J399" s="2"/>
      <c r="K399" s="2"/>
      <c r="L399" s="2"/>
      <c r="M399" s="2"/>
      <c r="N399" s="2"/>
      <c r="O399" s="2"/>
      <c r="P399" s="2"/>
      <c r="Q399" s="2"/>
      <c r="R399" s="2"/>
      <c r="S399" s="2"/>
      <c r="T399" s="2"/>
      <c r="U399" s="2"/>
      <c r="V399" s="2"/>
      <c r="W399" s="2"/>
    </row>
    <row r="400">
      <c r="A400" s="2"/>
      <c r="B400" s="2"/>
      <c r="C400" s="2"/>
      <c r="D400" s="2"/>
      <c r="E400" s="2"/>
      <c r="F400" s="2"/>
      <c r="G400" s="2"/>
      <c r="H400" s="2"/>
      <c r="I400" s="2"/>
      <c r="J400" s="2"/>
      <c r="K400" s="2"/>
      <c r="L400" s="2"/>
      <c r="M400" s="2"/>
      <c r="N400" s="2"/>
      <c r="O400" s="2"/>
      <c r="P400" s="2"/>
      <c r="Q400" s="2"/>
      <c r="R400" s="2"/>
      <c r="S400" s="2"/>
      <c r="T400" s="2"/>
      <c r="U400" s="2"/>
      <c r="V400" s="2"/>
      <c r="W400" s="2"/>
    </row>
    <row r="401">
      <c r="A401" s="2"/>
      <c r="B401" s="2"/>
      <c r="C401" s="2"/>
      <c r="D401" s="2"/>
      <c r="E401" s="2"/>
      <c r="F401" s="2"/>
      <c r="G401" s="2"/>
      <c r="H401" s="2"/>
      <c r="I401" s="2"/>
      <c r="J401" s="2"/>
      <c r="K401" s="2"/>
      <c r="L401" s="2"/>
      <c r="M401" s="2"/>
      <c r="N401" s="2"/>
      <c r="O401" s="2"/>
      <c r="P401" s="2"/>
      <c r="Q401" s="2"/>
      <c r="R401" s="2"/>
      <c r="S401" s="2"/>
      <c r="T401" s="2"/>
      <c r="U401" s="2"/>
      <c r="V401" s="2"/>
      <c r="W401" s="2"/>
    </row>
    <row r="402">
      <c r="A402" s="2"/>
      <c r="B402" s="2"/>
      <c r="C402" s="2"/>
      <c r="D402" s="2"/>
      <c r="E402" s="2"/>
      <c r="F402" s="2"/>
      <c r="G402" s="2"/>
      <c r="H402" s="2"/>
      <c r="I402" s="2"/>
      <c r="J402" s="2"/>
      <c r="K402" s="2"/>
      <c r="L402" s="2"/>
      <c r="M402" s="2"/>
      <c r="N402" s="2"/>
      <c r="O402" s="2"/>
      <c r="P402" s="2"/>
      <c r="Q402" s="2"/>
      <c r="R402" s="2"/>
      <c r="S402" s="2"/>
      <c r="T402" s="2"/>
      <c r="U402" s="2"/>
      <c r="V402" s="2"/>
      <c r="W402" s="2"/>
    </row>
    <row r="403">
      <c r="A403" s="2"/>
      <c r="B403" s="2"/>
      <c r="C403" s="2"/>
      <c r="D403" s="2"/>
      <c r="E403" s="2"/>
      <c r="F403" s="2"/>
      <c r="G403" s="2"/>
      <c r="H403" s="2"/>
      <c r="I403" s="2"/>
      <c r="J403" s="2"/>
      <c r="K403" s="2"/>
      <c r="L403" s="2"/>
      <c r="M403" s="2"/>
      <c r="N403" s="2"/>
      <c r="O403" s="2"/>
      <c r="P403" s="2"/>
      <c r="Q403" s="2"/>
      <c r="R403" s="2"/>
      <c r="S403" s="2"/>
      <c r="T403" s="2"/>
      <c r="U403" s="2"/>
      <c r="V403" s="2"/>
      <c r="W403" s="2"/>
    </row>
    <row r="404">
      <c r="A404" s="2"/>
      <c r="B404" s="2"/>
      <c r="C404" s="2"/>
      <c r="D404" s="2"/>
      <c r="E404" s="2"/>
      <c r="F404" s="2"/>
      <c r="G404" s="2"/>
      <c r="H404" s="2"/>
      <c r="I404" s="2"/>
      <c r="J404" s="2"/>
      <c r="K404" s="2"/>
      <c r="L404" s="2"/>
      <c r="M404" s="2"/>
      <c r="N404" s="2"/>
      <c r="O404" s="2"/>
      <c r="P404" s="2"/>
      <c r="Q404" s="2"/>
      <c r="R404" s="2"/>
      <c r="S404" s="2"/>
      <c r="T404" s="2"/>
      <c r="U404" s="2"/>
      <c r="V404" s="2"/>
      <c r="W404" s="2"/>
    </row>
    <row r="405">
      <c r="A405" s="2"/>
      <c r="B405" s="2"/>
      <c r="C405" s="2"/>
      <c r="D405" s="2"/>
      <c r="E405" s="2"/>
      <c r="F405" s="2"/>
      <c r="G405" s="2"/>
      <c r="H405" s="2"/>
      <c r="I405" s="2"/>
      <c r="J405" s="2"/>
      <c r="K405" s="2"/>
      <c r="L405" s="2"/>
      <c r="M405" s="2"/>
      <c r="N405" s="2"/>
      <c r="O405" s="2"/>
      <c r="P405" s="2"/>
      <c r="Q405" s="2"/>
      <c r="R405" s="2"/>
      <c r="S405" s="2"/>
      <c r="T405" s="2"/>
      <c r="U405" s="2"/>
      <c r="V405" s="2"/>
      <c r="W405" s="2"/>
    </row>
    <row r="406">
      <c r="A406" s="2"/>
      <c r="B406" s="2"/>
      <c r="C406" s="2"/>
      <c r="D406" s="2"/>
      <c r="E406" s="2"/>
      <c r="F406" s="2"/>
      <c r="G406" s="2"/>
      <c r="H406" s="2"/>
      <c r="I406" s="2"/>
      <c r="J406" s="2"/>
      <c r="K406" s="2"/>
      <c r="L406" s="2"/>
      <c r="M406" s="2"/>
      <c r="N406" s="2"/>
      <c r="O406" s="2"/>
      <c r="P406" s="2"/>
      <c r="Q406" s="2"/>
      <c r="R406" s="2"/>
      <c r="S406" s="2"/>
      <c r="T406" s="2"/>
      <c r="U406" s="2"/>
      <c r="V406" s="2"/>
      <c r="W406" s="2"/>
    </row>
    <row r="407">
      <c r="A407" s="2"/>
      <c r="B407" s="2"/>
      <c r="C407" s="2"/>
      <c r="D407" s="2"/>
      <c r="E407" s="2"/>
      <c r="F407" s="2"/>
      <c r="G407" s="2"/>
      <c r="H407" s="2"/>
      <c r="I407" s="2"/>
      <c r="J407" s="2"/>
      <c r="K407" s="2"/>
      <c r="L407" s="2"/>
      <c r="M407" s="2"/>
      <c r="N407" s="2"/>
      <c r="O407" s="2"/>
      <c r="P407" s="2"/>
      <c r="Q407" s="2"/>
      <c r="R407" s="2"/>
      <c r="S407" s="2"/>
      <c r="T407" s="2"/>
      <c r="U407" s="2"/>
      <c r="V407" s="2"/>
      <c r="W407" s="2"/>
    </row>
    <row r="408">
      <c r="A408" s="2"/>
      <c r="B408" s="2"/>
      <c r="C408" s="2"/>
      <c r="D408" s="2"/>
      <c r="E408" s="2"/>
      <c r="F408" s="2"/>
      <c r="G408" s="2"/>
      <c r="H408" s="2"/>
      <c r="I408" s="2"/>
      <c r="J408" s="2"/>
      <c r="K408" s="2"/>
      <c r="L408" s="2"/>
      <c r="M408" s="2"/>
      <c r="N408" s="2"/>
      <c r="O408" s="2"/>
      <c r="P408" s="2"/>
      <c r="Q408" s="2"/>
      <c r="R408" s="2"/>
      <c r="S408" s="2"/>
      <c r="T408" s="2"/>
      <c r="U408" s="2"/>
      <c r="V408" s="2"/>
      <c r="W408" s="2"/>
    </row>
    <row r="409">
      <c r="A409" s="2"/>
      <c r="B409" s="2"/>
      <c r="C409" s="2"/>
      <c r="D409" s="2"/>
      <c r="E409" s="2"/>
      <c r="F409" s="2"/>
      <c r="G409" s="2"/>
      <c r="H409" s="2"/>
      <c r="I409" s="2"/>
      <c r="J409" s="2"/>
      <c r="K409" s="2"/>
      <c r="L409" s="2"/>
      <c r="M409" s="2"/>
      <c r="N409" s="2"/>
      <c r="O409" s="2"/>
      <c r="P409" s="2"/>
      <c r="Q409" s="2"/>
      <c r="R409" s="2"/>
      <c r="S409" s="2"/>
      <c r="T409" s="2"/>
      <c r="U409" s="2"/>
      <c r="V409" s="2"/>
      <c r="W409" s="2"/>
    </row>
    <row r="410">
      <c r="A410" s="2"/>
      <c r="B410" s="2"/>
      <c r="C410" s="2"/>
      <c r="D410" s="2"/>
      <c r="E410" s="2"/>
      <c r="F410" s="2"/>
      <c r="G410" s="2"/>
      <c r="H410" s="2"/>
      <c r="I410" s="2"/>
      <c r="J410" s="2"/>
      <c r="K410" s="2"/>
      <c r="L410" s="2"/>
      <c r="M410" s="2"/>
      <c r="N410" s="2"/>
      <c r="O410" s="2"/>
      <c r="P410" s="2"/>
      <c r="Q410" s="2"/>
      <c r="R410" s="2"/>
      <c r="S410" s="2"/>
      <c r="T410" s="2"/>
      <c r="U410" s="2"/>
      <c r="V410" s="2"/>
      <c r="W410" s="2"/>
    </row>
    <row r="411">
      <c r="A411" s="2"/>
      <c r="B411" s="2"/>
      <c r="C411" s="2"/>
      <c r="D411" s="2"/>
      <c r="E411" s="2"/>
      <c r="F411" s="2"/>
      <c r="G411" s="2"/>
      <c r="H411" s="2"/>
      <c r="I411" s="2"/>
      <c r="J411" s="2"/>
      <c r="K411" s="2"/>
      <c r="L411" s="2"/>
      <c r="M411" s="2"/>
      <c r="N411" s="2"/>
      <c r="O411" s="2"/>
      <c r="P411" s="2"/>
      <c r="Q411" s="2"/>
      <c r="R411" s="2"/>
      <c r="S411" s="2"/>
      <c r="T411" s="2"/>
      <c r="U411" s="2"/>
      <c r="V411" s="2"/>
      <c r="W411" s="2"/>
    </row>
    <row r="412">
      <c r="A412" s="2"/>
      <c r="B412" s="2"/>
      <c r="C412" s="2"/>
      <c r="D412" s="2"/>
      <c r="E412" s="2"/>
      <c r="F412" s="2"/>
      <c r="G412" s="2"/>
      <c r="H412" s="2"/>
      <c r="I412" s="2"/>
      <c r="J412" s="2"/>
      <c r="K412" s="2"/>
      <c r="L412" s="2"/>
      <c r="M412" s="2"/>
      <c r="N412" s="2"/>
      <c r="O412" s="2"/>
      <c r="P412" s="2"/>
      <c r="Q412" s="2"/>
      <c r="R412" s="2"/>
      <c r="S412" s="2"/>
      <c r="T412" s="2"/>
      <c r="U412" s="2"/>
      <c r="V412" s="2"/>
      <c r="W412" s="2"/>
    </row>
    <row r="413">
      <c r="A413" s="2"/>
      <c r="B413" s="2"/>
      <c r="C413" s="2"/>
      <c r="D413" s="2"/>
      <c r="E413" s="2"/>
      <c r="F413" s="2"/>
      <c r="G413" s="2"/>
      <c r="H413" s="2"/>
      <c r="I413" s="2"/>
      <c r="J413" s="2"/>
      <c r="K413" s="2"/>
      <c r="L413" s="2"/>
      <c r="M413" s="2"/>
      <c r="N413" s="2"/>
      <c r="O413" s="2"/>
      <c r="P413" s="2"/>
      <c r="Q413" s="2"/>
      <c r="R413" s="2"/>
      <c r="S413" s="2"/>
      <c r="T413" s="2"/>
      <c r="U413" s="2"/>
      <c r="V413" s="2"/>
      <c r="W413" s="2"/>
    </row>
    <row r="414">
      <c r="A414" s="2"/>
      <c r="B414" s="2"/>
      <c r="C414" s="2"/>
      <c r="D414" s="2"/>
      <c r="E414" s="2"/>
      <c r="F414" s="2"/>
      <c r="G414" s="2"/>
      <c r="H414" s="2"/>
      <c r="I414" s="2"/>
      <c r="J414" s="2"/>
      <c r="K414" s="2"/>
      <c r="L414" s="2"/>
      <c r="M414" s="2"/>
      <c r="N414" s="2"/>
      <c r="O414" s="2"/>
      <c r="P414" s="2"/>
      <c r="Q414" s="2"/>
      <c r="R414" s="2"/>
      <c r="S414" s="2"/>
      <c r="T414" s="2"/>
      <c r="U414" s="2"/>
      <c r="V414" s="2"/>
      <c r="W414" s="2"/>
    </row>
    <row r="415">
      <c r="A415" s="2"/>
      <c r="B415" s="2"/>
      <c r="C415" s="2"/>
      <c r="D415" s="2"/>
      <c r="E415" s="2"/>
      <c r="F415" s="2"/>
      <c r="G415" s="2"/>
      <c r="H415" s="2"/>
      <c r="I415" s="2"/>
      <c r="J415" s="2"/>
      <c r="K415" s="2"/>
      <c r="L415" s="2"/>
      <c r="M415" s="2"/>
      <c r="N415" s="2"/>
      <c r="O415" s="2"/>
      <c r="P415" s="2"/>
      <c r="Q415" s="2"/>
      <c r="R415" s="2"/>
      <c r="S415" s="2"/>
      <c r="T415" s="2"/>
      <c r="U415" s="2"/>
      <c r="V415" s="2"/>
      <c r="W415" s="2"/>
    </row>
    <row r="416">
      <c r="A416" s="2"/>
      <c r="B416" s="2"/>
      <c r="C416" s="2"/>
      <c r="D416" s="2"/>
      <c r="E416" s="2"/>
      <c r="F416" s="2"/>
      <c r="G416" s="2"/>
      <c r="H416" s="2"/>
      <c r="I416" s="2"/>
      <c r="J416" s="2"/>
      <c r="K416" s="2"/>
      <c r="L416" s="2"/>
      <c r="M416" s="2"/>
      <c r="N416" s="2"/>
      <c r="O416" s="2"/>
      <c r="P416" s="2"/>
      <c r="Q416" s="2"/>
      <c r="R416" s="2"/>
      <c r="S416" s="2"/>
      <c r="T416" s="2"/>
      <c r="U416" s="2"/>
      <c r="V416" s="2"/>
      <c r="W416" s="2"/>
    </row>
    <row r="417">
      <c r="A417" s="2"/>
      <c r="B417" s="2"/>
      <c r="C417" s="2"/>
      <c r="D417" s="2"/>
      <c r="E417" s="2"/>
      <c r="F417" s="2"/>
      <c r="G417" s="2"/>
      <c r="H417" s="2"/>
      <c r="I417" s="2"/>
      <c r="J417" s="2"/>
      <c r="K417" s="2"/>
      <c r="L417" s="2"/>
      <c r="M417" s="2"/>
      <c r="N417" s="2"/>
      <c r="O417" s="2"/>
      <c r="P417" s="2"/>
      <c r="Q417" s="2"/>
      <c r="R417" s="2"/>
      <c r="S417" s="2"/>
      <c r="T417" s="2"/>
      <c r="U417" s="2"/>
      <c r="V417" s="2"/>
      <c r="W417" s="2"/>
    </row>
    <row r="418">
      <c r="A418" s="2"/>
      <c r="B418" s="2"/>
      <c r="C418" s="2"/>
      <c r="D418" s="2"/>
      <c r="E418" s="2"/>
      <c r="F418" s="2"/>
      <c r="G418" s="2"/>
      <c r="H418" s="2"/>
      <c r="I418" s="2"/>
      <c r="J418" s="2"/>
      <c r="K418" s="2"/>
      <c r="L418" s="2"/>
      <c r="M418" s="2"/>
      <c r="N418" s="2"/>
      <c r="O418" s="2"/>
      <c r="P418" s="2"/>
      <c r="Q418" s="2"/>
      <c r="R418" s="2"/>
      <c r="S418" s="2"/>
      <c r="T418" s="2"/>
      <c r="U418" s="2"/>
      <c r="V418" s="2"/>
      <c r="W418" s="2"/>
    </row>
    <row r="419">
      <c r="A419" s="2"/>
      <c r="B419" s="2"/>
      <c r="C419" s="2"/>
      <c r="D419" s="2"/>
      <c r="E419" s="2"/>
      <c r="F419" s="2"/>
      <c r="G419" s="2"/>
      <c r="H419" s="2"/>
      <c r="I419" s="2"/>
      <c r="J419" s="2"/>
      <c r="K419" s="2"/>
      <c r="L419" s="2"/>
      <c r="M419" s="2"/>
      <c r="N419" s="2"/>
      <c r="O419" s="2"/>
      <c r="P419" s="2"/>
      <c r="Q419" s="2"/>
      <c r="R419" s="2"/>
      <c r="S419" s="2"/>
      <c r="T419" s="2"/>
      <c r="U419" s="2"/>
      <c r="V419" s="2"/>
      <c r="W419" s="2"/>
    </row>
    <row r="420">
      <c r="A420" s="2"/>
      <c r="B420" s="2"/>
      <c r="C420" s="2"/>
      <c r="D420" s="2"/>
      <c r="E420" s="2"/>
      <c r="F420" s="2"/>
      <c r="G420" s="2"/>
      <c r="H420" s="2"/>
      <c r="I420" s="2"/>
      <c r="J420" s="2"/>
      <c r="K420" s="2"/>
      <c r="L420" s="2"/>
      <c r="M420" s="2"/>
      <c r="N420" s="2"/>
      <c r="O420" s="2"/>
      <c r="P420" s="2"/>
      <c r="Q420" s="2"/>
      <c r="R420" s="2"/>
      <c r="S420" s="2"/>
      <c r="T420" s="2"/>
      <c r="U420" s="2"/>
      <c r="V420" s="2"/>
      <c r="W420" s="2"/>
    </row>
    <row r="421">
      <c r="A421" s="2"/>
      <c r="B421" s="2"/>
      <c r="C421" s="2"/>
      <c r="D421" s="2"/>
      <c r="E421" s="2"/>
      <c r="F421" s="2"/>
      <c r="G421" s="2"/>
      <c r="H421" s="2"/>
      <c r="I421" s="2"/>
      <c r="J421" s="2"/>
      <c r="K421" s="2"/>
      <c r="L421" s="2"/>
      <c r="M421" s="2"/>
      <c r="N421" s="2"/>
      <c r="O421" s="2"/>
      <c r="P421" s="2"/>
      <c r="Q421" s="2"/>
      <c r="R421" s="2"/>
      <c r="S421" s="2"/>
      <c r="T421" s="2"/>
      <c r="U421" s="2"/>
      <c r="V421" s="2"/>
      <c r="W421" s="2"/>
    </row>
    <row r="422">
      <c r="A422" s="2"/>
      <c r="B422" s="2"/>
      <c r="C422" s="2"/>
      <c r="D422" s="2"/>
      <c r="E422" s="2"/>
      <c r="F422" s="2"/>
      <c r="G422" s="2"/>
      <c r="H422" s="2"/>
      <c r="I422" s="2"/>
      <c r="J422" s="2"/>
      <c r="K422" s="2"/>
      <c r="L422" s="2"/>
      <c r="M422" s="2"/>
      <c r="N422" s="2"/>
      <c r="O422" s="2"/>
      <c r="P422" s="2"/>
      <c r="Q422" s="2"/>
      <c r="R422" s="2"/>
      <c r="S422" s="2"/>
      <c r="T422" s="2"/>
      <c r="U422" s="2"/>
      <c r="V422" s="2"/>
      <c r="W422" s="2"/>
    </row>
    <row r="423">
      <c r="A423" s="2"/>
      <c r="B423" s="2"/>
      <c r="C423" s="2"/>
      <c r="D423" s="2"/>
      <c r="E423" s="2"/>
      <c r="F423" s="2"/>
      <c r="G423" s="2"/>
      <c r="H423" s="2"/>
      <c r="I423" s="2"/>
      <c r="J423" s="2"/>
      <c r="K423" s="2"/>
      <c r="L423" s="2"/>
      <c r="M423" s="2"/>
      <c r="N423" s="2"/>
      <c r="O423" s="2"/>
      <c r="P423" s="2"/>
      <c r="Q423" s="2"/>
      <c r="R423" s="2"/>
      <c r="S423" s="2"/>
      <c r="T423" s="2"/>
      <c r="U423" s="2"/>
      <c r="V423" s="2"/>
      <c r="W423" s="2"/>
    </row>
    <row r="424">
      <c r="A424" s="2"/>
      <c r="B424" s="2"/>
      <c r="C424" s="2"/>
      <c r="D424" s="2"/>
      <c r="E424" s="2"/>
      <c r="F424" s="2"/>
      <c r="G424" s="2"/>
      <c r="H424" s="2"/>
      <c r="I424" s="2"/>
      <c r="J424" s="2"/>
      <c r="K424" s="2"/>
      <c r="L424" s="2"/>
      <c r="M424" s="2"/>
      <c r="N424" s="2"/>
      <c r="O424" s="2"/>
      <c r="P424" s="2"/>
      <c r="Q424" s="2"/>
      <c r="R424" s="2"/>
      <c r="S424" s="2"/>
      <c r="T424" s="2"/>
      <c r="U424" s="2"/>
      <c r="V424" s="2"/>
      <c r="W424" s="2"/>
    </row>
    <row r="425">
      <c r="A425" s="2"/>
      <c r="B425" s="2"/>
      <c r="C425" s="2"/>
      <c r="D425" s="2"/>
      <c r="E425" s="2"/>
      <c r="F425" s="2"/>
      <c r="G425" s="2"/>
      <c r="H425" s="2"/>
      <c r="I425" s="2"/>
      <c r="J425" s="2"/>
      <c r="K425" s="2"/>
      <c r="L425" s="2"/>
      <c r="M425" s="2"/>
      <c r="N425" s="2"/>
      <c r="O425" s="2"/>
      <c r="P425" s="2"/>
      <c r="Q425" s="2"/>
      <c r="R425" s="2"/>
      <c r="S425" s="2"/>
      <c r="T425" s="2"/>
      <c r="U425" s="2"/>
      <c r="V425" s="2"/>
      <c r="W425" s="2"/>
    </row>
    <row r="426">
      <c r="A426" s="2"/>
      <c r="B426" s="2"/>
      <c r="C426" s="2"/>
      <c r="D426" s="2"/>
      <c r="E426" s="2"/>
      <c r="F426" s="2"/>
      <c r="G426" s="2"/>
      <c r="H426" s="2"/>
      <c r="I426" s="2"/>
      <c r="J426" s="2"/>
      <c r="K426" s="2"/>
      <c r="L426" s="2"/>
      <c r="M426" s="2"/>
      <c r="N426" s="2"/>
      <c r="O426" s="2"/>
      <c r="P426" s="2"/>
      <c r="Q426" s="2"/>
      <c r="R426" s="2"/>
      <c r="S426" s="2"/>
      <c r="T426" s="2"/>
      <c r="U426" s="2"/>
      <c r="V426" s="2"/>
      <c r="W426" s="2"/>
    </row>
    <row r="427">
      <c r="A427" s="2"/>
      <c r="B427" s="2"/>
      <c r="C427" s="2"/>
      <c r="D427" s="2"/>
      <c r="E427" s="2"/>
      <c r="F427" s="2"/>
      <c r="G427" s="2"/>
      <c r="H427" s="2"/>
      <c r="I427" s="2"/>
      <c r="J427" s="2"/>
      <c r="K427" s="2"/>
      <c r="L427" s="2"/>
      <c r="M427" s="2"/>
      <c r="N427" s="2"/>
      <c r="O427" s="2"/>
      <c r="P427" s="2"/>
      <c r="Q427" s="2"/>
      <c r="R427" s="2"/>
      <c r="S427" s="2"/>
      <c r="T427" s="2"/>
      <c r="U427" s="2"/>
      <c r="V427" s="2"/>
      <c r="W427" s="2"/>
    </row>
    <row r="428">
      <c r="A428" s="2"/>
      <c r="B428" s="2"/>
      <c r="C428" s="2"/>
      <c r="D428" s="2"/>
      <c r="E428" s="2"/>
      <c r="F428" s="2"/>
      <c r="G428" s="2"/>
      <c r="H428" s="2"/>
      <c r="I428" s="2"/>
      <c r="J428" s="2"/>
      <c r="K428" s="2"/>
      <c r="L428" s="2"/>
      <c r="M428" s="2"/>
      <c r="N428" s="2"/>
      <c r="O428" s="2"/>
      <c r="P428" s="2"/>
      <c r="Q428" s="2"/>
      <c r="R428" s="2"/>
      <c r="S428" s="2"/>
      <c r="T428" s="2"/>
      <c r="U428" s="2"/>
      <c r="V428" s="2"/>
      <c r="W428" s="2"/>
    </row>
    <row r="429">
      <c r="A429" s="2"/>
      <c r="B429" s="2"/>
      <c r="C429" s="2"/>
      <c r="D429" s="2"/>
      <c r="E429" s="2"/>
      <c r="F429" s="2"/>
      <c r="G429" s="2"/>
      <c r="H429" s="2"/>
      <c r="I429" s="2"/>
      <c r="J429" s="2"/>
      <c r="K429" s="2"/>
      <c r="L429" s="2"/>
      <c r="M429" s="2"/>
      <c r="N429" s="2"/>
      <c r="O429" s="2"/>
      <c r="P429" s="2"/>
      <c r="Q429" s="2"/>
      <c r="R429" s="2"/>
      <c r="S429" s="2"/>
      <c r="T429" s="2"/>
      <c r="U429" s="2"/>
      <c r="V429" s="2"/>
      <c r="W429" s="2"/>
    </row>
    <row r="430">
      <c r="A430" s="2"/>
      <c r="B430" s="2"/>
      <c r="C430" s="2"/>
      <c r="D430" s="2"/>
      <c r="E430" s="2"/>
      <c r="F430" s="2"/>
      <c r="G430" s="2"/>
      <c r="H430" s="2"/>
      <c r="I430" s="2"/>
      <c r="J430" s="2"/>
      <c r="K430" s="2"/>
      <c r="L430" s="2"/>
      <c r="M430" s="2"/>
      <c r="N430" s="2"/>
      <c r="O430" s="2"/>
      <c r="P430" s="2"/>
      <c r="Q430" s="2"/>
      <c r="R430" s="2"/>
      <c r="S430" s="2"/>
      <c r="T430" s="2"/>
      <c r="U430" s="2"/>
      <c r="V430" s="2"/>
      <c r="W430" s="2"/>
    </row>
    <row r="431">
      <c r="A431" s="2"/>
      <c r="B431" s="2"/>
      <c r="C431" s="2"/>
      <c r="D431" s="2"/>
      <c r="E431" s="2"/>
      <c r="F431" s="2"/>
      <c r="G431" s="2"/>
      <c r="H431" s="2"/>
      <c r="I431" s="2"/>
      <c r="J431" s="2"/>
      <c r="K431" s="2"/>
      <c r="L431" s="2"/>
      <c r="M431" s="2"/>
      <c r="N431" s="2"/>
      <c r="O431" s="2"/>
      <c r="P431" s="2"/>
      <c r="Q431" s="2"/>
      <c r="R431" s="2"/>
      <c r="S431" s="2"/>
      <c r="T431" s="2"/>
      <c r="U431" s="2"/>
      <c r="V431" s="2"/>
      <c r="W431" s="2"/>
    </row>
    <row r="432">
      <c r="A432" s="2"/>
      <c r="B432" s="2"/>
      <c r="C432" s="2"/>
      <c r="D432" s="2"/>
      <c r="E432" s="2"/>
      <c r="F432" s="2"/>
      <c r="G432" s="2"/>
      <c r="H432" s="2"/>
      <c r="I432" s="2"/>
      <c r="J432" s="2"/>
      <c r="K432" s="2"/>
      <c r="L432" s="2"/>
      <c r="M432" s="2"/>
      <c r="N432" s="2"/>
      <c r="O432" s="2"/>
      <c r="P432" s="2"/>
      <c r="Q432" s="2"/>
      <c r="R432" s="2"/>
      <c r="S432" s="2"/>
      <c r="T432" s="2"/>
      <c r="U432" s="2"/>
      <c r="V432" s="2"/>
      <c r="W432" s="2"/>
    </row>
    <row r="433">
      <c r="A433" s="2"/>
      <c r="B433" s="2"/>
      <c r="C433" s="2"/>
      <c r="D433" s="2"/>
      <c r="E433" s="2"/>
      <c r="F433" s="2"/>
      <c r="G433" s="2"/>
      <c r="H433" s="2"/>
      <c r="I433" s="2"/>
      <c r="J433" s="2"/>
      <c r="K433" s="2"/>
      <c r="L433" s="2"/>
      <c r="M433" s="2"/>
      <c r="N433" s="2"/>
      <c r="O433" s="2"/>
      <c r="P433" s="2"/>
      <c r="Q433" s="2"/>
      <c r="R433" s="2"/>
      <c r="S433" s="2"/>
      <c r="T433" s="2"/>
      <c r="U433" s="2"/>
      <c r="V433" s="2"/>
      <c r="W433" s="2"/>
    </row>
    <row r="434">
      <c r="A434" s="2"/>
      <c r="B434" s="2"/>
      <c r="C434" s="2"/>
      <c r="D434" s="2"/>
      <c r="E434" s="2"/>
      <c r="F434" s="2"/>
      <c r="G434" s="2"/>
      <c r="H434" s="2"/>
      <c r="I434" s="2"/>
      <c r="J434" s="2"/>
      <c r="K434" s="2"/>
      <c r="L434" s="2"/>
      <c r="M434" s="2"/>
      <c r="N434" s="2"/>
      <c r="O434" s="2"/>
      <c r="P434" s="2"/>
      <c r="Q434" s="2"/>
      <c r="R434" s="2"/>
      <c r="S434" s="2"/>
      <c r="T434" s="2"/>
      <c r="U434" s="2"/>
      <c r="V434" s="2"/>
      <c r="W434" s="2"/>
    </row>
    <row r="435">
      <c r="A435" s="2"/>
      <c r="B435" s="2"/>
      <c r="C435" s="2"/>
      <c r="D435" s="2"/>
      <c r="E435" s="2"/>
      <c r="F435" s="2"/>
      <c r="G435" s="2"/>
      <c r="H435" s="2"/>
      <c r="I435" s="2"/>
      <c r="J435" s="2"/>
      <c r="K435" s="2"/>
      <c r="L435" s="2"/>
      <c r="M435" s="2"/>
      <c r="N435" s="2"/>
      <c r="O435" s="2"/>
      <c r="P435" s="2"/>
      <c r="Q435" s="2"/>
      <c r="R435" s="2"/>
      <c r="S435" s="2"/>
      <c r="T435" s="2"/>
      <c r="U435" s="2"/>
      <c r="V435" s="2"/>
      <c r="W435" s="2"/>
    </row>
    <row r="436">
      <c r="A436" s="2"/>
      <c r="B436" s="2"/>
      <c r="C436" s="2"/>
      <c r="D436" s="2"/>
      <c r="E436" s="2"/>
      <c r="F436" s="2"/>
      <c r="G436" s="2"/>
      <c r="H436" s="2"/>
      <c r="I436" s="2"/>
      <c r="J436" s="2"/>
      <c r="K436" s="2"/>
      <c r="L436" s="2"/>
      <c r="M436" s="2"/>
      <c r="N436" s="2"/>
      <c r="O436" s="2"/>
      <c r="P436" s="2"/>
      <c r="Q436" s="2"/>
      <c r="R436" s="2"/>
      <c r="S436" s="2"/>
      <c r="T436" s="2"/>
      <c r="U436" s="2"/>
      <c r="V436" s="2"/>
      <c r="W436" s="2"/>
    </row>
    <row r="437">
      <c r="A437" s="2"/>
      <c r="B437" s="2"/>
      <c r="C437" s="2"/>
      <c r="D437" s="2"/>
      <c r="E437" s="2"/>
      <c r="F437" s="2"/>
      <c r="G437" s="2"/>
      <c r="H437" s="2"/>
      <c r="I437" s="2"/>
      <c r="J437" s="2"/>
      <c r="K437" s="2"/>
      <c r="L437" s="2"/>
      <c r="M437" s="2"/>
      <c r="N437" s="2"/>
      <c r="O437" s="2"/>
      <c r="P437" s="2"/>
      <c r="Q437" s="2"/>
      <c r="R437" s="2"/>
      <c r="S437" s="2"/>
      <c r="T437" s="2"/>
      <c r="U437" s="2"/>
      <c r="V437" s="2"/>
      <c r="W437" s="2"/>
    </row>
    <row r="438">
      <c r="A438" s="2"/>
      <c r="B438" s="2"/>
      <c r="C438" s="2"/>
      <c r="D438" s="2"/>
      <c r="E438" s="2"/>
      <c r="F438" s="2"/>
      <c r="G438" s="2"/>
      <c r="H438" s="2"/>
      <c r="I438" s="2"/>
      <c r="J438" s="2"/>
      <c r="K438" s="2"/>
      <c r="L438" s="2"/>
      <c r="M438" s="2"/>
      <c r="N438" s="2"/>
      <c r="O438" s="2"/>
      <c r="P438" s="2"/>
      <c r="Q438" s="2"/>
      <c r="R438" s="2"/>
      <c r="S438" s="2"/>
      <c r="T438" s="2"/>
      <c r="U438" s="2"/>
      <c r="V438" s="2"/>
      <c r="W438" s="2"/>
    </row>
    <row r="439">
      <c r="A439" s="2"/>
      <c r="B439" s="2"/>
      <c r="C439" s="2"/>
      <c r="D439" s="2"/>
      <c r="E439" s="2"/>
      <c r="F439" s="2"/>
      <c r="G439" s="2"/>
      <c r="H439" s="2"/>
      <c r="I439" s="2"/>
      <c r="J439" s="2"/>
      <c r="K439" s="2"/>
      <c r="L439" s="2"/>
      <c r="M439" s="2"/>
      <c r="N439" s="2"/>
      <c r="O439" s="2"/>
      <c r="P439" s="2"/>
      <c r="Q439" s="2"/>
      <c r="R439" s="2"/>
      <c r="S439" s="2"/>
      <c r="T439" s="2"/>
      <c r="U439" s="2"/>
      <c r="V439" s="2"/>
      <c r="W439" s="2"/>
    </row>
    <row r="440">
      <c r="A440" s="2"/>
      <c r="B440" s="2"/>
      <c r="C440" s="2"/>
      <c r="D440" s="2"/>
      <c r="E440" s="2"/>
      <c r="F440" s="2"/>
      <c r="G440" s="2"/>
      <c r="H440" s="2"/>
      <c r="I440" s="2"/>
      <c r="J440" s="2"/>
      <c r="K440" s="2"/>
      <c r="L440" s="2"/>
      <c r="M440" s="2"/>
      <c r="N440" s="2"/>
      <c r="O440" s="2"/>
      <c r="P440" s="2"/>
      <c r="Q440" s="2"/>
      <c r="R440" s="2"/>
      <c r="S440" s="2"/>
      <c r="T440" s="2"/>
      <c r="U440" s="2"/>
      <c r="V440" s="2"/>
      <c r="W440" s="2"/>
    </row>
    <row r="441">
      <c r="A441" s="2"/>
      <c r="B441" s="2"/>
      <c r="C441" s="2"/>
      <c r="D441" s="2"/>
      <c r="E441" s="2"/>
      <c r="F441" s="2"/>
      <c r="G441" s="2"/>
      <c r="H441" s="2"/>
      <c r="I441" s="2"/>
      <c r="J441" s="2"/>
      <c r="K441" s="2"/>
      <c r="L441" s="2"/>
      <c r="M441" s="2"/>
      <c r="N441" s="2"/>
      <c r="O441" s="2"/>
      <c r="P441" s="2"/>
      <c r="Q441" s="2"/>
      <c r="R441" s="2"/>
      <c r="S441" s="2"/>
      <c r="T441" s="2"/>
      <c r="U441" s="2"/>
      <c r="V441" s="2"/>
      <c r="W441" s="2"/>
    </row>
    <row r="442">
      <c r="A442" s="2"/>
      <c r="B442" s="2"/>
      <c r="C442" s="2"/>
      <c r="D442" s="2"/>
      <c r="E442" s="2"/>
      <c r="F442" s="2"/>
      <c r="G442" s="2"/>
      <c r="H442" s="2"/>
      <c r="I442" s="2"/>
      <c r="J442" s="2"/>
      <c r="K442" s="2"/>
      <c r="L442" s="2"/>
      <c r="M442" s="2"/>
      <c r="N442" s="2"/>
      <c r="O442" s="2"/>
      <c r="P442" s="2"/>
      <c r="Q442" s="2"/>
      <c r="R442" s="2"/>
      <c r="S442" s="2"/>
      <c r="T442" s="2"/>
      <c r="U442" s="2"/>
      <c r="V442" s="2"/>
      <c r="W442" s="2"/>
    </row>
    <row r="443">
      <c r="A443" s="2"/>
      <c r="B443" s="2"/>
      <c r="C443" s="2"/>
      <c r="D443" s="2"/>
      <c r="E443" s="2"/>
      <c r="F443" s="2"/>
      <c r="G443" s="2"/>
      <c r="H443" s="2"/>
      <c r="I443" s="2"/>
      <c r="J443" s="2"/>
      <c r="K443" s="2"/>
      <c r="L443" s="2"/>
      <c r="M443" s="2"/>
      <c r="N443" s="2"/>
      <c r="O443" s="2"/>
      <c r="P443" s="2"/>
      <c r="Q443" s="2"/>
      <c r="R443" s="2"/>
      <c r="S443" s="2"/>
      <c r="T443" s="2"/>
      <c r="U443" s="2"/>
      <c r="V443" s="2"/>
      <c r="W443" s="2"/>
    </row>
    <row r="444">
      <c r="A444" s="2"/>
      <c r="B444" s="2"/>
      <c r="C444" s="2"/>
      <c r="D444" s="2"/>
      <c r="E444" s="2"/>
      <c r="F444" s="2"/>
      <c r="G444" s="2"/>
      <c r="H444" s="2"/>
      <c r="I444" s="2"/>
      <c r="J444" s="2"/>
      <c r="K444" s="2"/>
      <c r="L444" s="2"/>
      <c r="M444" s="2"/>
      <c r="N444" s="2"/>
      <c r="O444" s="2"/>
      <c r="P444" s="2"/>
      <c r="Q444" s="2"/>
      <c r="R444" s="2"/>
      <c r="S444" s="2"/>
      <c r="T444" s="2"/>
      <c r="U444" s="2"/>
      <c r="V444" s="2"/>
      <c r="W444" s="2"/>
    </row>
    <row r="445">
      <c r="A445" s="2"/>
      <c r="B445" s="2"/>
      <c r="C445" s="2"/>
      <c r="D445" s="2"/>
      <c r="E445" s="2"/>
      <c r="F445" s="2"/>
      <c r="G445" s="2"/>
      <c r="H445" s="2"/>
      <c r="I445" s="2"/>
      <c r="J445" s="2"/>
      <c r="K445" s="2"/>
      <c r="L445" s="2"/>
      <c r="M445" s="2"/>
      <c r="N445" s="2"/>
      <c r="O445" s="2"/>
      <c r="P445" s="2"/>
      <c r="Q445" s="2"/>
      <c r="R445" s="2"/>
      <c r="S445" s="2"/>
      <c r="T445" s="2"/>
      <c r="U445" s="2"/>
      <c r="V445" s="2"/>
      <c r="W445" s="2"/>
    </row>
    <row r="446">
      <c r="A446" s="2"/>
      <c r="B446" s="2"/>
      <c r="C446" s="2"/>
      <c r="D446" s="2"/>
      <c r="E446" s="2"/>
      <c r="F446" s="2"/>
      <c r="G446" s="2"/>
      <c r="H446" s="2"/>
      <c r="I446" s="2"/>
      <c r="J446" s="2"/>
      <c r="K446" s="2"/>
      <c r="L446" s="2"/>
      <c r="M446" s="2"/>
      <c r="N446" s="2"/>
      <c r="O446" s="2"/>
      <c r="P446" s="2"/>
      <c r="Q446" s="2"/>
      <c r="R446" s="2"/>
      <c r="S446" s="2"/>
      <c r="T446" s="2"/>
      <c r="U446" s="2"/>
      <c r="V446" s="2"/>
      <c r="W446" s="2"/>
    </row>
    <row r="447">
      <c r="A447" s="2"/>
      <c r="B447" s="2"/>
      <c r="C447" s="2"/>
      <c r="D447" s="2"/>
      <c r="E447" s="2"/>
      <c r="F447" s="2"/>
      <c r="G447" s="2"/>
      <c r="H447" s="2"/>
      <c r="I447" s="2"/>
      <c r="J447" s="2"/>
      <c r="K447" s="2"/>
      <c r="L447" s="2"/>
      <c r="M447" s="2"/>
      <c r="N447" s="2"/>
      <c r="O447" s="2"/>
      <c r="P447" s="2"/>
      <c r="Q447" s="2"/>
      <c r="R447" s="2"/>
      <c r="S447" s="2"/>
      <c r="T447" s="2"/>
      <c r="U447" s="2"/>
      <c r="V447" s="2"/>
      <c r="W447" s="2"/>
    </row>
    <row r="448">
      <c r="A448" s="2"/>
      <c r="B448" s="2"/>
      <c r="C448" s="2"/>
      <c r="D448" s="2"/>
      <c r="E448" s="2"/>
      <c r="F448" s="2"/>
      <c r="G448" s="2"/>
      <c r="H448" s="2"/>
      <c r="I448" s="2"/>
      <c r="J448" s="2"/>
      <c r="K448" s="2"/>
      <c r="L448" s="2"/>
      <c r="M448" s="2"/>
      <c r="N448" s="2"/>
      <c r="O448" s="2"/>
      <c r="P448" s="2"/>
      <c r="Q448" s="2"/>
      <c r="R448" s="2"/>
      <c r="S448" s="2"/>
      <c r="T448" s="2"/>
      <c r="U448" s="2"/>
      <c r="V448" s="2"/>
      <c r="W448" s="2"/>
    </row>
    <row r="449">
      <c r="A449" s="2"/>
      <c r="B449" s="2"/>
      <c r="C449" s="2"/>
      <c r="D449" s="2"/>
      <c r="E449" s="2"/>
      <c r="F449" s="2"/>
      <c r="G449" s="2"/>
      <c r="H449" s="2"/>
      <c r="I449" s="2"/>
      <c r="J449" s="2"/>
      <c r="K449" s="2"/>
      <c r="L449" s="2"/>
      <c r="M449" s="2"/>
      <c r="N449" s="2"/>
      <c r="O449" s="2"/>
      <c r="P449" s="2"/>
      <c r="Q449" s="2"/>
      <c r="R449" s="2"/>
      <c r="S449" s="2"/>
      <c r="T449" s="2"/>
      <c r="U449" s="2"/>
      <c r="V449" s="2"/>
      <c r="W449" s="2"/>
    </row>
    <row r="450">
      <c r="A450" s="2"/>
      <c r="B450" s="2"/>
      <c r="C450" s="2"/>
      <c r="D450" s="2"/>
      <c r="E450" s="2"/>
      <c r="F450" s="2"/>
      <c r="G450" s="2"/>
      <c r="H450" s="2"/>
      <c r="I450" s="2"/>
      <c r="J450" s="2"/>
      <c r="K450" s="2"/>
      <c r="L450" s="2"/>
      <c r="M450" s="2"/>
      <c r="N450" s="2"/>
      <c r="O450" s="2"/>
      <c r="P450" s="2"/>
      <c r="Q450" s="2"/>
      <c r="R450" s="2"/>
      <c r="S450" s="2"/>
      <c r="T450" s="2"/>
      <c r="U450" s="2"/>
      <c r="V450" s="2"/>
      <c r="W450" s="2"/>
    </row>
    <row r="451">
      <c r="A451" s="2"/>
      <c r="B451" s="2"/>
      <c r="C451" s="2"/>
      <c r="D451" s="2"/>
      <c r="E451" s="2"/>
      <c r="F451" s="2"/>
      <c r="G451" s="2"/>
      <c r="H451" s="2"/>
      <c r="I451" s="2"/>
      <c r="J451" s="2"/>
      <c r="K451" s="2"/>
      <c r="L451" s="2"/>
      <c r="M451" s="2"/>
      <c r="N451" s="2"/>
      <c r="O451" s="2"/>
      <c r="P451" s="2"/>
      <c r="Q451" s="2"/>
      <c r="R451" s="2"/>
      <c r="S451" s="2"/>
      <c r="T451" s="2"/>
      <c r="U451" s="2"/>
      <c r="V451" s="2"/>
      <c r="W451" s="2"/>
    </row>
    <row r="452">
      <c r="A452" s="2"/>
      <c r="B452" s="2"/>
      <c r="C452" s="2"/>
      <c r="D452" s="2"/>
      <c r="E452" s="2"/>
      <c r="F452" s="2"/>
      <c r="G452" s="2"/>
      <c r="H452" s="2"/>
      <c r="I452" s="2"/>
      <c r="J452" s="2"/>
      <c r="K452" s="2"/>
      <c r="L452" s="2"/>
      <c r="M452" s="2"/>
      <c r="N452" s="2"/>
      <c r="O452" s="2"/>
      <c r="P452" s="2"/>
      <c r="Q452" s="2"/>
      <c r="R452" s="2"/>
      <c r="S452" s="2"/>
      <c r="T452" s="2"/>
      <c r="U452" s="2"/>
      <c r="V452" s="2"/>
      <c r="W452" s="2"/>
    </row>
    <row r="453">
      <c r="A453" s="2"/>
      <c r="B453" s="2"/>
      <c r="C453" s="2"/>
      <c r="D453" s="2"/>
      <c r="E453" s="2"/>
      <c r="F453" s="2"/>
      <c r="G453" s="2"/>
      <c r="H453" s="2"/>
      <c r="I453" s="2"/>
      <c r="J453" s="2"/>
      <c r="K453" s="2"/>
      <c r="L453" s="2"/>
      <c r="M453" s="2"/>
      <c r="N453" s="2"/>
      <c r="O453" s="2"/>
      <c r="P453" s="2"/>
      <c r="Q453" s="2"/>
      <c r="R453" s="2"/>
      <c r="S453" s="2"/>
      <c r="T453" s="2"/>
      <c r="U453" s="2"/>
      <c r="V453" s="2"/>
      <c r="W453" s="2"/>
    </row>
    <row r="454">
      <c r="A454" s="2"/>
      <c r="B454" s="2"/>
      <c r="C454" s="2"/>
      <c r="D454" s="2"/>
      <c r="E454" s="2"/>
      <c r="F454" s="2"/>
      <c r="G454" s="2"/>
      <c r="H454" s="2"/>
      <c r="I454" s="2"/>
      <c r="J454" s="2"/>
      <c r="K454" s="2"/>
      <c r="L454" s="2"/>
      <c r="M454" s="2"/>
      <c r="N454" s="2"/>
      <c r="O454" s="2"/>
      <c r="P454" s="2"/>
      <c r="Q454" s="2"/>
      <c r="R454" s="2"/>
      <c r="S454" s="2"/>
      <c r="T454" s="2"/>
      <c r="U454" s="2"/>
      <c r="V454" s="2"/>
      <c r="W454" s="2"/>
    </row>
    <row r="455">
      <c r="A455" s="2"/>
      <c r="B455" s="2"/>
      <c r="C455" s="2"/>
      <c r="D455" s="2"/>
      <c r="E455" s="2"/>
      <c r="F455" s="2"/>
      <c r="G455" s="2"/>
      <c r="H455" s="2"/>
      <c r="I455" s="2"/>
      <c r="J455" s="2"/>
      <c r="K455" s="2"/>
      <c r="L455" s="2"/>
      <c r="M455" s="2"/>
      <c r="N455" s="2"/>
      <c r="O455" s="2"/>
      <c r="P455" s="2"/>
      <c r="Q455" s="2"/>
      <c r="R455" s="2"/>
      <c r="S455" s="2"/>
      <c r="T455" s="2"/>
      <c r="U455" s="2"/>
      <c r="V455" s="2"/>
      <c r="W455" s="2"/>
    </row>
    <row r="456">
      <c r="A456" s="2"/>
      <c r="B456" s="2"/>
      <c r="C456" s="2"/>
      <c r="D456" s="2"/>
      <c r="E456" s="2"/>
      <c r="F456" s="2"/>
      <c r="G456" s="2"/>
      <c r="H456" s="2"/>
      <c r="I456" s="2"/>
      <c r="J456" s="2"/>
      <c r="K456" s="2"/>
      <c r="L456" s="2"/>
      <c r="M456" s="2"/>
      <c r="N456" s="2"/>
      <c r="O456" s="2"/>
      <c r="P456" s="2"/>
      <c r="Q456" s="2"/>
      <c r="R456" s="2"/>
      <c r="S456" s="2"/>
      <c r="T456" s="2"/>
      <c r="U456" s="2"/>
      <c r="V456" s="2"/>
      <c r="W456" s="2"/>
    </row>
    <row r="457">
      <c r="A457" s="2"/>
      <c r="B457" s="2"/>
      <c r="C457" s="2"/>
      <c r="D457" s="2"/>
      <c r="E457" s="2"/>
      <c r="F457" s="2"/>
      <c r="G457" s="2"/>
      <c r="H457" s="2"/>
      <c r="I457" s="2"/>
      <c r="J457" s="2"/>
      <c r="K457" s="2"/>
      <c r="L457" s="2"/>
      <c r="M457" s="2"/>
      <c r="N457" s="2"/>
      <c r="O457" s="2"/>
      <c r="P457" s="2"/>
      <c r="Q457" s="2"/>
      <c r="R457" s="2"/>
      <c r="S457" s="2"/>
      <c r="T457" s="2"/>
      <c r="U457" s="2"/>
      <c r="V457" s="2"/>
      <c r="W457" s="2"/>
    </row>
    <row r="458">
      <c r="A458" s="2"/>
      <c r="B458" s="2"/>
      <c r="C458" s="2"/>
      <c r="D458" s="2"/>
      <c r="E458" s="2"/>
      <c r="F458" s="2"/>
      <c r="G458" s="2"/>
      <c r="H458" s="2"/>
      <c r="I458" s="2"/>
      <c r="J458" s="2"/>
      <c r="K458" s="2"/>
      <c r="L458" s="2"/>
      <c r="M458" s="2"/>
      <c r="N458" s="2"/>
      <c r="O458" s="2"/>
      <c r="P458" s="2"/>
      <c r="Q458" s="2"/>
      <c r="R458" s="2"/>
      <c r="S458" s="2"/>
      <c r="T458" s="2"/>
      <c r="U458" s="2"/>
      <c r="V458" s="2"/>
      <c r="W458" s="2"/>
    </row>
    <row r="459">
      <c r="A459" s="2"/>
      <c r="B459" s="2"/>
      <c r="C459" s="2"/>
      <c r="D459" s="2"/>
      <c r="E459" s="2"/>
      <c r="F459" s="2"/>
      <c r="G459" s="2"/>
      <c r="H459" s="2"/>
      <c r="I459" s="2"/>
      <c r="J459" s="2"/>
      <c r="K459" s="2"/>
      <c r="L459" s="2"/>
      <c r="M459" s="2"/>
      <c r="N459" s="2"/>
      <c r="O459" s="2"/>
      <c r="P459" s="2"/>
      <c r="Q459" s="2"/>
      <c r="R459" s="2"/>
      <c r="S459" s="2"/>
      <c r="T459" s="2"/>
      <c r="U459" s="2"/>
      <c r="V459" s="2"/>
      <c r="W459" s="2"/>
    </row>
    <row r="460">
      <c r="A460" s="2"/>
      <c r="B460" s="2"/>
      <c r="C460" s="2"/>
      <c r="D460" s="2"/>
      <c r="E460" s="2"/>
      <c r="F460" s="2"/>
      <c r="G460" s="2"/>
      <c r="H460" s="2"/>
      <c r="I460" s="2"/>
      <c r="J460" s="2"/>
      <c r="K460" s="2"/>
      <c r="L460" s="2"/>
      <c r="M460" s="2"/>
      <c r="N460" s="2"/>
      <c r="O460" s="2"/>
      <c r="P460" s="2"/>
      <c r="Q460" s="2"/>
      <c r="R460" s="2"/>
      <c r="S460" s="2"/>
      <c r="T460" s="2"/>
      <c r="U460" s="2"/>
      <c r="V460" s="2"/>
      <c r="W460" s="2"/>
    </row>
    <row r="461">
      <c r="A461" s="2"/>
      <c r="B461" s="2"/>
      <c r="C461" s="2"/>
      <c r="D461" s="2"/>
      <c r="E461" s="2"/>
      <c r="F461" s="2"/>
      <c r="G461" s="2"/>
      <c r="H461" s="2"/>
      <c r="I461" s="2"/>
      <c r="J461" s="2"/>
      <c r="K461" s="2"/>
      <c r="L461" s="2"/>
      <c r="M461" s="2"/>
      <c r="N461" s="2"/>
      <c r="O461" s="2"/>
      <c r="P461" s="2"/>
      <c r="Q461" s="2"/>
      <c r="R461" s="2"/>
      <c r="S461" s="2"/>
      <c r="T461" s="2"/>
      <c r="U461" s="2"/>
      <c r="V461" s="2"/>
      <c r="W461" s="2"/>
    </row>
    <row r="462">
      <c r="A462" s="2"/>
      <c r="B462" s="2"/>
      <c r="C462" s="2"/>
      <c r="D462" s="2"/>
      <c r="E462" s="2"/>
      <c r="F462" s="2"/>
      <c r="G462" s="2"/>
      <c r="H462" s="2"/>
      <c r="I462" s="2"/>
      <c r="J462" s="2"/>
      <c r="K462" s="2"/>
      <c r="L462" s="2"/>
      <c r="M462" s="2"/>
      <c r="N462" s="2"/>
      <c r="O462" s="2"/>
      <c r="P462" s="2"/>
      <c r="Q462" s="2"/>
      <c r="R462" s="2"/>
      <c r="S462" s="2"/>
      <c r="T462" s="2"/>
      <c r="U462" s="2"/>
      <c r="V462" s="2"/>
      <c r="W462" s="2"/>
    </row>
    <row r="463">
      <c r="A463" s="2"/>
      <c r="B463" s="2"/>
      <c r="C463" s="2"/>
      <c r="D463" s="2"/>
      <c r="E463" s="2"/>
      <c r="F463" s="2"/>
      <c r="G463" s="2"/>
      <c r="H463" s="2"/>
      <c r="I463" s="2"/>
      <c r="J463" s="2"/>
      <c r="K463" s="2"/>
      <c r="L463" s="2"/>
      <c r="M463" s="2"/>
      <c r="N463" s="2"/>
      <c r="O463" s="2"/>
      <c r="P463" s="2"/>
      <c r="Q463" s="2"/>
      <c r="R463" s="2"/>
      <c r="S463" s="2"/>
      <c r="T463" s="2"/>
      <c r="U463" s="2"/>
      <c r="V463" s="2"/>
      <c r="W463" s="2"/>
    </row>
    <row r="464">
      <c r="A464" s="2"/>
      <c r="B464" s="2"/>
      <c r="C464" s="2"/>
      <c r="D464" s="2"/>
      <c r="E464" s="2"/>
      <c r="F464" s="2"/>
      <c r="G464" s="2"/>
      <c r="H464" s="2"/>
      <c r="I464" s="2"/>
      <c r="J464" s="2"/>
      <c r="K464" s="2"/>
      <c r="L464" s="2"/>
      <c r="M464" s="2"/>
      <c r="N464" s="2"/>
      <c r="O464" s="2"/>
      <c r="P464" s="2"/>
      <c r="Q464" s="2"/>
      <c r="R464" s="2"/>
      <c r="S464" s="2"/>
      <c r="T464" s="2"/>
      <c r="U464" s="2"/>
      <c r="V464" s="2"/>
      <c r="W464" s="2"/>
    </row>
    <row r="465">
      <c r="A465" s="2"/>
      <c r="B465" s="2"/>
      <c r="C465" s="2"/>
      <c r="D465" s="2"/>
      <c r="E465" s="2"/>
      <c r="F465" s="2"/>
      <c r="G465" s="2"/>
      <c r="H465" s="2"/>
      <c r="I465" s="2"/>
      <c r="J465" s="2"/>
      <c r="K465" s="2"/>
      <c r="L465" s="2"/>
      <c r="M465" s="2"/>
      <c r="N465" s="2"/>
      <c r="O465" s="2"/>
      <c r="P465" s="2"/>
      <c r="Q465" s="2"/>
      <c r="R465" s="2"/>
      <c r="S465" s="2"/>
      <c r="T465" s="2"/>
      <c r="U465" s="2"/>
      <c r="V465" s="2"/>
      <c r="W465" s="2"/>
    </row>
    <row r="466">
      <c r="A466" s="2"/>
      <c r="B466" s="2"/>
      <c r="C466" s="2"/>
      <c r="D466" s="2"/>
      <c r="E466" s="2"/>
      <c r="F466" s="2"/>
      <c r="G466" s="2"/>
      <c r="H466" s="2"/>
      <c r="I466" s="2"/>
      <c r="J466" s="2"/>
      <c r="K466" s="2"/>
      <c r="L466" s="2"/>
      <c r="M466" s="2"/>
      <c r="N466" s="2"/>
      <c r="O466" s="2"/>
      <c r="P466" s="2"/>
      <c r="Q466" s="2"/>
      <c r="R466" s="2"/>
      <c r="S466" s="2"/>
      <c r="T466" s="2"/>
      <c r="U466" s="2"/>
      <c r="V466" s="2"/>
      <c r="W466" s="2"/>
    </row>
    <row r="467">
      <c r="A467" s="2"/>
      <c r="B467" s="2"/>
      <c r="C467" s="2"/>
      <c r="D467" s="2"/>
      <c r="E467" s="2"/>
      <c r="F467" s="2"/>
      <c r="G467" s="2"/>
      <c r="H467" s="2"/>
      <c r="I467" s="2"/>
      <c r="J467" s="2"/>
      <c r="K467" s="2"/>
      <c r="L467" s="2"/>
      <c r="M467" s="2"/>
      <c r="N467" s="2"/>
      <c r="O467" s="2"/>
      <c r="P467" s="2"/>
      <c r="Q467" s="2"/>
      <c r="R467" s="2"/>
      <c r="S467" s="2"/>
      <c r="T467" s="2"/>
      <c r="U467" s="2"/>
      <c r="V467" s="2"/>
      <c r="W467" s="2"/>
    </row>
    <row r="468">
      <c r="A468" s="2"/>
      <c r="B468" s="2"/>
      <c r="C468" s="2"/>
      <c r="D468" s="2"/>
      <c r="E468" s="2"/>
      <c r="F468" s="2"/>
      <c r="G468" s="2"/>
      <c r="H468" s="2"/>
      <c r="I468" s="2"/>
      <c r="J468" s="2"/>
      <c r="K468" s="2"/>
      <c r="L468" s="2"/>
      <c r="M468" s="2"/>
      <c r="N468" s="2"/>
      <c r="O468" s="2"/>
      <c r="P468" s="2"/>
      <c r="Q468" s="2"/>
      <c r="R468" s="2"/>
      <c r="S468" s="2"/>
      <c r="T468" s="2"/>
      <c r="U468" s="2"/>
      <c r="V468" s="2"/>
      <c r="W468" s="2"/>
    </row>
    <row r="469">
      <c r="A469" s="2"/>
      <c r="B469" s="2"/>
      <c r="C469" s="2"/>
      <c r="D469" s="2"/>
      <c r="E469" s="2"/>
      <c r="F469" s="2"/>
      <c r="G469" s="2"/>
      <c r="H469" s="2"/>
      <c r="I469" s="2"/>
      <c r="J469" s="2"/>
      <c r="K469" s="2"/>
      <c r="L469" s="2"/>
      <c r="M469" s="2"/>
      <c r="N469" s="2"/>
      <c r="O469" s="2"/>
      <c r="P469" s="2"/>
      <c r="Q469" s="2"/>
      <c r="R469" s="2"/>
      <c r="S469" s="2"/>
      <c r="T469" s="2"/>
      <c r="U469" s="2"/>
      <c r="V469" s="2"/>
      <c r="W469" s="2"/>
    </row>
    <row r="470">
      <c r="A470" s="2"/>
      <c r="B470" s="2"/>
      <c r="C470" s="2"/>
      <c r="D470" s="2"/>
      <c r="E470" s="2"/>
      <c r="F470" s="2"/>
      <c r="G470" s="2"/>
      <c r="H470" s="2"/>
      <c r="I470" s="2"/>
      <c r="J470" s="2"/>
      <c r="K470" s="2"/>
      <c r="L470" s="2"/>
      <c r="M470" s="2"/>
      <c r="N470" s="2"/>
      <c r="O470" s="2"/>
      <c r="P470" s="2"/>
      <c r="Q470" s="2"/>
      <c r="R470" s="2"/>
      <c r="S470" s="2"/>
      <c r="T470" s="2"/>
      <c r="U470" s="2"/>
      <c r="V470" s="2"/>
      <c r="W470" s="2"/>
    </row>
    <row r="471">
      <c r="A471" s="2"/>
      <c r="B471" s="2"/>
      <c r="C471" s="2"/>
      <c r="D471" s="2"/>
      <c r="E471" s="2"/>
      <c r="F471" s="2"/>
      <c r="G471" s="2"/>
      <c r="H471" s="2"/>
      <c r="I471" s="2"/>
      <c r="J471" s="2"/>
      <c r="K471" s="2"/>
      <c r="L471" s="2"/>
      <c r="M471" s="2"/>
      <c r="N471" s="2"/>
      <c r="O471" s="2"/>
      <c r="P471" s="2"/>
      <c r="Q471" s="2"/>
      <c r="R471" s="2"/>
      <c r="S471" s="2"/>
      <c r="T471" s="2"/>
      <c r="U471" s="2"/>
      <c r="V471" s="2"/>
      <c r="W471" s="2"/>
    </row>
    <row r="472">
      <c r="A472" s="2"/>
      <c r="B472" s="2"/>
      <c r="C472" s="2"/>
      <c r="D472" s="2"/>
      <c r="E472" s="2"/>
      <c r="F472" s="2"/>
      <c r="G472" s="2"/>
      <c r="H472" s="2"/>
      <c r="I472" s="2"/>
      <c r="J472" s="2"/>
      <c r="K472" s="2"/>
      <c r="L472" s="2"/>
      <c r="M472" s="2"/>
      <c r="N472" s="2"/>
      <c r="O472" s="2"/>
      <c r="P472" s="2"/>
      <c r="Q472" s="2"/>
      <c r="R472" s="2"/>
      <c r="S472" s="2"/>
      <c r="T472" s="2"/>
      <c r="U472" s="2"/>
      <c r="V472" s="2"/>
      <c r="W472" s="2"/>
    </row>
    <row r="473">
      <c r="A473" s="2"/>
      <c r="B473" s="2"/>
      <c r="C473" s="2"/>
      <c r="D473" s="2"/>
      <c r="E473" s="2"/>
      <c r="F473" s="2"/>
      <c r="G473" s="2"/>
      <c r="H473" s="2"/>
      <c r="I473" s="2"/>
      <c r="J473" s="2"/>
      <c r="K473" s="2"/>
      <c r="L473" s="2"/>
      <c r="M473" s="2"/>
      <c r="N473" s="2"/>
      <c r="O473" s="2"/>
      <c r="P473" s="2"/>
      <c r="Q473" s="2"/>
      <c r="R473" s="2"/>
      <c r="S473" s="2"/>
      <c r="T473" s="2"/>
      <c r="U473" s="2"/>
      <c r="V473" s="2"/>
      <c r="W473" s="2"/>
    </row>
    <row r="474">
      <c r="A474" s="2"/>
      <c r="B474" s="2"/>
      <c r="C474" s="2"/>
      <c r="D474" s="2"/>
      <c r="E474" s="2"/>
      <c r="F474" s="2"/>
      <c r="G474" s="2"/>
      <c r="H474" s="2"/>
      <c r="I474" s="2"/>
      <c r="J474" s="2"/>
      <c r="K474" s="2"/>
      <c r="L474" s="2"/>
      <c r="M474" s="2"/>
      <c r="N474" s="2"/>
      <c r="O474" s="2"/>
      <c r="P474" s="2"/>
      <c r="Q474" s="2"/>
      <c r="R474" s="2"/>
      <c r="S474" s="2"/>
      <c r="T474" s="2"/>
      <c r="U474" s="2"/>
      <c r="V474" s="2"/>
      <c r="W474" s="2"/>
    </row>
    <row r="475">
      <c r="A475" s="2"/>
      <c r="B475" s="2"/>
      <c r="C475" s="2"/>
      <c r="D475" s="2"/>
      <c r="E475" s="2"/>
      <c r="F475" s="2"/>
      <c r="G475" s="2"/>
      <c r="H475" s="2"/>
      <c r="I475" s="2"/>
      <c r="J475" s="2"/>
      <c r="K475" s="2"/>
      <c r="L475" s="2"/>
      <c r="M475" s="2"/>
      <c r="N475" s="2"/>
      <c r="O475" s="2"/>
      <c r="P475" s="2"/>
      <c r="Q475" s="2"/>
      <c r="R475" s="2"/>
      <c r="S475" s="2"/>
      <c r="T475" s="2"/>
      <c r="U475" s="2"/>
      <c r="V475" s="2"/>
      <c r="W475" s="2"/>
    </row>
    <row r="476">
      <c r="A476" s="2"/>
      <c r="B476" s="2"/>
      <c r="C476" s="2"/>
      <c r="D476" s="2"/>
      <c r="E476" s="2"/>
      <c r="F476" s="2"/>
      <c r="G476" s="2"/>
      <c r="H476" s="2"/>
      <c r="I476" s="2"/>
      <c r="J476" s="2"/>
      <c r="K476" s="2"/>
      <c r="L476" s="2"/>
      <c r="M476" s="2"/>
      <c r="N476" s="2"/>
      <c r="O476" s="2"/>
      <c r="P476" s="2"/>
      <c r="Q476" s="2"/>
      <c r="R476" s="2"/>
      <c r="S476" s="2"/>
      <c r="T476" s="2"/>
      <c r="U476" s="2"/>
      <c r="V476" s="2"/>
      <c r="W476" s="2"/>
    </row>
    <row r="477">
      <c r="A477" s="2"/>
      <c r="B477" s="2"/>
      <c r="C477" s="2"/>
      <c r="D477" s="2"/>
      <c r="E477" s="2"/>
      <c r="F477" s="2"/>
      <c r="G477" s="2"/>
      <c r="H477" s="2"/>
      <c r="I477" s="2"/>
      <c r="J477" s="2"/>
      <c r="K477" s="2"/>
      <c r="L477" s="2"/>
      <c r="M477" s="2"/>
      <c r="N477" s="2"/>
      <c r="O477" s="2"/>
      <c r="P477" s="2"/>
      <c r="Q477" s="2"/>
      <c r="R477" s="2"/>
      <c r="S477" s="2"/>
      <c r="T477" s="2"/>
      <c r="U477" s="2"/>
      <c r="V477" s="2"/>
      <c r="W477" s="2"/>
    </row>
    <row r="478">
      <c r="A478" s="2"/>
      <c r="B478" s="2"/>
      <c r="C478" s="2"/>
      <c r="D478" s="2"/>
      <c r="E478" s="2"/>
      <c r="F478" s="2"/>
      <c r="G478" s="2"/>
      <c r="H478" s="2"/>
      <c r="I478" s="2"/>
      <c r="J478" s="2"/>
      <c r="K478" s="2"/>
      <c r="L478" s="2"/>
      <c r="M478" s="2"/>
      <c r="N478" s="2"/>
      <c r="O478" s="2"/>
      <c r="P478" s="2"/>
      <c r="Q478" s="2"/>
      <c r="R478" s="2"/>
      <c r="S478" s="2"/>
      <c r="T478" s="2"/>
      <c r="U478" s="2"/>
      <c r="V478" s="2"/>
      <c r="W478" s="2"/>
    </row>
    <row r="479">
      <c r="A479" s="2"/>
      <c r="B479" s="2"/>
      <c r="C479" s="2"/>
      <c r="D479" s="2"/>
      <c r="E479" s="2"/>
      <c r="F479" s="2"/>
      <c r="G479" s="2"/>
      <c r="H479" s="2"/>
      <c r="I479" s="2"/>
      <c r="J479" s="2"/>
      <c r="K479" s="2"/>
      <c r="L479" s="2"/>
      <c r="M479" s="2"/>
      <c r="N479" s="2"/>
      <c r="O479" s="2"/>
      <c r="P479" s="2"/>
      <c r="Q479" s="2"/>
      <c r="R479" s="2"/>
      <c r="S479" s="2"/>
      <c r="T479" s="2"/>
      <c r="U479" s="2"/>
      <c r="V479" s="2"/>
      <c r="W479" s="2"/>
    </row>
    <row r="480">
      <c r="A480" s="2"/>
      <c r="B480" s="2"/>
      <c r="C480" s="2"/>
      <c r="D480" s="2"/>
      <c r="E480" s="2"/>
      <c r="F480" s="2"/>
      <c r="G480" s="2"/>
      <c r="H480" s="2"/>
      <c r="I480" s="2"/>
      <c r="J480" s="2"/>
      <c r="K480" s="2"/>
      <c r="L480" s="2"/>
      <c r="M480" s="2"/>
      <c r="N480" s="2"/>
      <c r="O480" s="2"/>
      <c r="P480" s="2"/>
      <c r="Q480" s="2"/>
      <c r="R480" s="2"/>
      <c r="S480" s="2"/>
      <c r="T480" s="2"/>
      <c r="U480" s="2"/>
      <c r="V480" s="2"/>
      <c r="W480" s="2"/>
    </row>
    <row r="481">
      <c r="A481" s="2"/>
      <c r="B481" s="2"/>
      <c r="C481" s="2"/>
      <c r="D481" s="2"/>
      <c r="E481" s="2"/>
      <c r="F481" s="2"/>
      <c r="G481" s="2"/>
      <c r="H481" s="2"/>
      <c r="I481" s="2"/>
      <c r="J481" s="2"/>
      <c r="K481" s="2"/>
      <c r="L481" s="2"/>
      <c r="M481" s="2"/>
      <c r="N481" s="2"/>
      <c r="O481" s="2"/>
      <c r="P481" s="2"/>
      <c r="Q481" s="2"/>
      <c r="R481" s="2"/>
      <c r="S481" s="2"/>
      <c r="T481" s="2"/>
      <c r="U481" s="2"/>
      <c r="V481" s="2"/>
      <c r="W481" s="2"/>
    </row>
    <row r="482">
      <c r="A482" s="2"/>
      <c r="B482" s="2"/>
      <c r="C482" s="2"/>
      <c r="D482" s="2"/>
      <c r="E482" s="2"/>
      <c r="F482" s="2"/>
      <c r="G482" s="2"/>
      <c r="H482" s="2"/>
      <c r="I482" s="2"/>
      <c r="J482" s="2"/>
      <c r="K482" s="2"/>
      <c r="L482" s="2"/>
      <c r="M482" s="2"/>
      <c r="N482" s="2"/>
      <c r="O482" s="2"/>
      <c r="P482" s="2"/>
      <c r="Q482" s="2"/>
      <c r="R482" s="2"/>
      <c r="S482" s="2"/>
      <c r="T482" s="2"/>
      <c r="U482" s="2"/>
      <c r="V482" s="2"/>
      <c r="W482" s="2"/>
    </row>
    <row r="483">
      <c r="A483" s="2"/>
      <c r="B483" s="2"/>
      <c r="C483" s="2"/>
      <c r="D483" s="2"/>
      <c r="E483" s="2"/>
      <c r="F483" s="2"/>
      <c r="G483" s="2"/>
      <c r="H483" s="2"/>
      <c r="I483" s="2"/>
      <c r="J483" s="2"/>
      <c r="K483" s="2"/>
      <c r="L483" s="2"/>
      <c r="M483" s="2"/>
      <c r="N483" s="2"/>
      <c r="O483" s="2"/>
      <c r="P483" s="2"/>
      <c r="Q483" s="2"/>
      <c r="R483" s="2"/>
      <c r="S483" s="2"/>
      <c r="T483" s="2"/>
      <c r="U483" s="2"/>
      <c r="V483" s="2"/>
      <c r="W483" s="2"/>
    </row>
    <row r="484">
      <c r="A484" s="2"/>
      <c r="B484" s="2"/>
      <c r="C484" s="2"/>
      <c r="D484" s="2"/>
      <c r="E484" s="2"/>
      <c r="F484" s="2"/>
      <c r="G484" s="2"/>
      <c r="H484" s="2"/>
      <c r="I484" s="2"/>
      <c r="J484" s="2"/>
      <c r="K484" s="2"/>
      <c r="L484" s="2"/>
      <c r="M484" s="2"/>
      <c r="N484" s="2"/>
      <c r="O484" s="2"/>
      <c r="P484" s="2"/>
      <c r="Q484" s="2"/>
      <c r="R484" s="2"/>
      <c r="S484" s="2"/>
      <c r="T484" s="2"/>
      <c r="U484" s="2"/>
      <c r="V484" s="2"/>
      <c r="W484" s="2"/>
    </row>
    <row r="485">
      <c r="A485" s="2"/>
      <c r="B485" s="2"/>
      <c r="C485" s="2"/>
      <c r="D485" s="2"/>
      <c r="E485" s="2"/>
      <c r="F485" s="2"/>
      <c r="G485" s="2"/>
      <c r="H485" s="2"/>
      <c r="I485" s="2"/>
      <c r="J485" s="2"/>
      <c r="K485" s="2"/>
      <c r="L485" s="2"/>
      <c r="M485" s="2"/>
      <c r="N485" s="2"/>
      <c r="O485" s="2"/>
      <c r="P485" s="2"/>
      <c r="Q485" s="2"/>
      <c r="R485" s="2"/>
      <c r="S485" s="2"/>
      <c r="T485" s="2"/>
      <c r="U485" s="2"/>
      <c r="V485" s="2"/>
      <c r="W485" s="2"/>
    </row>
    <row r="486">
      <c r="A486" s="2"/>
      <c r="B486" s="2"/>
      <c r="C486" s="2"/>
      <c r="D486" s="2"/>
      <c r="E486" s="2"/>
      <c r="F486" s="2"/>
      <c r="G486" s="2"/>
      <c r="H486" s="2"/>
      <c r="I486" s="2"/>
      <c r="J486" s="2"/>
      <c r="K486" s="2"/>
      <c r="L486" s="2"/>
      <c r="M486" s="2"/>
      <c r="N486" s="2"/>
      <c r="O486" s="2"/>
      <c r="P486" s="2"/>
      <c r="Q486" s="2"/>
      <c r="R486" s="2"/>
      <c r="S486" s="2"/>
      <c r="T486" s="2"/>
      <c r="U486" s="2"/>
      <c r="V486" s="2"/>
      <c r="W486" s="2"/>
    </row>
    <row r="487">
      <c r="A487" s="2"/>
      <c r="B487" s="2"/>
      <c r="C487" s="2"/>
      <c r="D487" s="2"/>
      <c r="E487" s="2"/>
      <c r="F487" s="2"/>
      <c r="G487" s="2"/>
      <c r="H487" s="2"/>
      <c r="I487" s="2"/>
      <c r="J487" s="2"/>
      <c r="K487" s="2"/>
      <c r="L487" s="2"/>
      <c r="M487" s="2"/>
      <c r="N487" s="2"/>
      <c r="O487" s="2"/>
      <c r="P487" s="2"/>
      <c r="Q487" s="2"/>
      <c r="R487" s="2"/>
      <c r="S487" s="2"/>
      <c r="T487" s="2"/>
      <c r="U487" s="2"/>
      <c r="V487" s="2"/>
      <c r="W487" s="2"/>
    </row>
    <row r="488">
      <c r="A488" s="2"/>
      <c r="B488" s="2"/>
      <c r="C488" s="2"/>
      <c r="D488" s="2"/>
      <c r="E488" s="2"/>
      <c r="F488" s="2"/>
      <c r="G488" s="2"/>
      <c r="H488" s="2"/>
      <c r="I488" s="2"/>
      <c r="J488" s="2"/>
      <c r="K488" s="2"/>
      <c r="L488" s="2"/>
      <c r="M488" s="2"/>
      <c r="N488" s="2"/>
      <c r="O488" s="2"/>
      <c r="P488" s="2"/>
      <c r="Q488" s="2"/>
      <c r="R488" s="2"/>
      <c r="S488" s="2"/>
      <c r="T488" s="2"/>
      <c r="U488" s="2"/>
      <c r="V488" s="2"/>
      <c r="W488" s="2"/>
    </row>
    <row r="489">
      <c r="A489" s="2"/>
      <c r="B489" s="2"/>
      <c r="C489" s="2"/>
      <c r="D489" s="2"/>
      <c r="E489" s="2"/>
      <c r="F489" s="2"/>
      <c r="G489" s="2"/>
      <c r="H489" s="2"/>
      <c r="I489" s="2"/>
      <c r="J489" s="2"/>
      <c r="K489" s="2"/>
      <c r="L489" s="2"/>
      <c r="M489" s="2"/>
      <c r="N489" s="2"/>
      <c r="O489" s="2"/>
      <c r="P489" s="2"/>
      <c r="Q489" s="2"/>
      <c r="R489" s="2"/>
      <c r="S489" s="2"/>
      <c r="T489" s="2"/>
      <c r="U489" s="2"/>
      <c r="V489" s="2"/>
      <c r="W489" s="2"/>
    </row>
    <row r="490">
      <c r="A490" s="2"/>
      <c r="B490" s="2"/>
      <c r="C490" s="2"/>
      <c r="D490" s="2"/>
      <c r="E490" s="2"/>
      <c r="F490" s="2"/>
      <c r="G490" s="2"/>
      <c r="H490" s="2"/>
      <c r="I490" s="2"/>
      <c r="J490" s="2"/>
      <c r="K490" s="2"/>
      <c r="L490" s="2"/>
      <c r="M490" s="2"/>
      <c r="N490" s="2"/>
      <c r="O490" s="2"/>
      <c r="P490" s="2"/>
      <c r="Q490" s="2"/>
      <c r="R490" s="2"/>
      <c r="S490" s="2"/>
      <c r="T490" s="2"/>
      <c r="U490" s="2"/>
      <c r="V490" s="2"/>
      <c r="W490" s="2"/>
    </row>
    <row r="491">
      <c r="A491" s="2"/>
      <c r="B491" s="2"/>
      <c r="C491" s="2"/>
      <c r="D491" s="2"/>
      <c r="E491" s="2"/>
      <c r="F491" s="2"/>
      <c r="G491" s="2"/>
      <c r="H491" s="2"/>
      <c r="I491" s="2"/>
      <c r="J491" s="2"/>
      <c r="K491" s="2"/>
      <c r="L491" s="2"/>
      <c r="M491" s="2"/>
      <c r="N491" s="2"/>
      <c r="O491" s="2"/>
      <c r="P491" s="2"/>
      <c r="Q491" s="2"/>
      <c r="R491" s="2"/>
      <c r="S491" s="2"/>
      <c r="T491" s="2"/>
      <c r="U491" s="2"/>
      <c r="V491" s="2"/>
      <c r="W491" s="2"/>
    </row>
    <row r="492">
      <c r="A492" s="2"/>
      <c r="B492" s="2"/>
      <c r="C492" s="2"/>
      <c r="D492" s="2"/>
      <c r="E492" s="2"/>
      <c r="F492" s="2"/>
      <c r="G492" s="2"/>
      <c r="H492" s="2"/>
      <c r="I492" s="2"/>
      <c r="J492" s="2"/>
      <c r="K492" s="2"/>
      <c r="L492" s="2"/>
      <c r="M492" s="2"/>
      <c r="N492" s="2"/>
      <c r="O492" s="2"/>
      <c r="P492" s="2"/>
      <c r="Q492" s="2"/>
      <c r="R492" s="2"/>
      <c r="S492" s="2"/>
      <c r="T492" s="2"/>
      <c r="U492" s="2"/>
      <c r="V492" s="2"/>
      <c r="W492" s="2"/>
    </row>
    <row r="493">
      <c r="A493" s="2"/>
      <c r="B493" s="2"/>
      <c r="C493" s="2"/>
      <c r="D493" s="2"/>
      <c r="E493" s="2"/>
      <c r="F493" s="2"/>
      <c r="G493" s="2"/>
      <c r="H493" s="2"/>
      <c r="I493" s="2"/>
      <c r="J493" s="2"/>
      <c r="K493" s="2"/>
      <c r="L493" s="2"/>
      <c r="M493" s="2"/>
      <c r="N493" s="2"/>
      <c r="O493" s="2"/>
      <c r="P493" s="2"/>
      <c r="Q493" s="2"/>
      <c r="R493" s="2"/>
      <c r="S493" s="2"/>
      <c r="T493" s="2"/>
      <c r="U493" s="2"/>
      <c r="V493" s="2"/>
      <c r="W493" s="2"/>
    </row>
    <row r="494">
      <c r="A494" s="2"/>
      <c r="B494" s="2"/>
      <c r="C494" s="2"/>
      <c r="D494" s="2"/>
      <c r="E494" s="2"/>
      <c r="F494" s="2"/>
      <c r="G494" s="2"/>
      <c r="H494" s="2"/>
      <c r="I494" s="2"/>
      <c r="J494" s="2"/>
      <c r="K494" s="2"/>
      <c r="L494" s="2"/>
      <c r="M494" s="2"/>
      <c r="N494" s="2"/>
      <c r="O494" s="2"/>
      <c r="P494" s="2"/>
      <c r="Q494" s="2"/>
      <c r="R494" s="2"/>
      <c r="S494" s="2"/>
      <c r="T494" s="2"/>
      <c r="U494" s="2"/>
      <c r="V494" s="2"/>
      <c r="W494" s="2"/>
    </row>
    <row r="495">
      <c r="A495" s="2"/>
      <c r="B495" s="2"/>
      <c r="C495" s="2"/>
      <c r="D495" s="2"/>
      <c r="E495" s="2"/>
      <c r="F495" s="2"/>
      <c r="G495" s="2"/>
      <c r="H495" s="2"/>
      <c r="I495" s="2"/>
      <c r="J495" s="2"/>
      <c r="K495" s="2"/>
      <c r="L495" s="2"/>
      <c r="M495" s="2"/>
      <c r="N495" s="2"/>
      <c r="O495" s="2"/>
      <c r="P495" s="2"/>
      <c r="Q495" s="2"/>
      <c r="R495" s="2"/>
      <c r="S495" s="2"/>
      <c r="T495" s="2"/>
      <c r="U495" s="2"/>
      <c r="V495" s="2"/>
      <c r="W495" s="2"/>
    </row>
    <row r="496">
      <c r="A496" s="2"/>
      <c r="B496" s="2"/>
      <c r="C496" s="2"/>
      <c r="D496" s="2"/>
      <c r="E496" s="2"/>
      <c r="F496" s="2"/>
      <c r="G496" s="2"/>
      <c r="H496" s="2"/>
      <c r="I496" s="2"/>
      <c r="J496" s="2"/>
      <c r="K496" s="2"/>
      <c r="L496" s="2"/>
      <c r="M496" s="2"/>
      <c r="N496" s="2"/>
      <c r="O496" s="2"/>
      <c r="P496" s="2"/>
      <c r="Q496" s="2"/>
      <c r="R496" s="2"/>
      <c r="S496" s="2"/>
      <c r="T496" s="2"/>
      <c r="U496" s="2"/>
      <c r="V496" s="2"/>
      <c r="W496" s="2"/>
    </row>
    <row r="497">
      <c r="A497" s="2"/>
      <c r="B497" s="2"/>
      <c r="C497" s="2"/>
      <c r="D497" s="2"/>
      <c r="E497" s="2"/>
      <c r="F497" s="2"/>
      <c r="G497" s="2"/>
      <c r="H497" s="2"/>
      <c r="I497" s="2"/>
      <c r="J497" s="2"/>
      <c r="K497" s="2"/>
      <c r="L497" s="2"/>
      <c r="M497" s="2"/>
      <c r="N497" s="2"/>
      <c r="O497" s="2"/>
      <c r="P497" s="2"/>
      <c r="Q497" s="2"/>
      <c r="R497" s="2"/>
      <c r="S497" s="2"/>
      <c r="T497" s="2"/>
      <c r="U497" s="2"/>
      <c r="V497" s="2"/>
      <c r="W497" s="2"/>
    </row>
    <row r="498">
      <c r="A498" s="2"/>
      <c r="B498" s="2"/>
      <c r="C498" s="2"/>
      <c r="D498" s="2"/>
      <c r="E498" s="2"/>
      <c r="F498" s="2"/>
      <c r="G498" s="2"/>
      <c r="H498" s="2"/>
      <c r="I498" s="2"/>
      <c r="J498" s="2"/>
      <c r="K498" s="2"/>
      <c r="L498" s="2"/>
      <c r="M498" s="2"/>
      <c r="N498" s="2"/>
      <c r="O498" s="2"/>
      <c r="P498" s="2"/>
      <c r="Q498" s="2"/>
      <c r="R498" s="2"/>
      <c r="S498" s="2"/>
      <c r="T498" s="2"/>
      <c r="U498" s="2"/>
      <c r="V498" s="2"/>
      <c r="W498" s="2"/>
    </row>
    <row r="499">
      <c r="A499" s="2"/>
      <c r="B499" s="2"/>
      <c r="C499" s="2"/>
      <c r="D499" s="2"/>
      <c r="E499" s="2"/>
      <c r="F499" s="2"/>
      <c r="G499" s="2"/>
      <c r="H499" s="2"/>
      <c r="I499" s="2"/>
      <c r="J499" s="2"/>
      <c r="K499" s="2"/>
      <c r="L499" s="2"/>
      <c r="M499" s="2"/>
      <c r="N499" s="2"/>
      <c r="O499" s="2"/>
      <c r="P499" s="2"/>
      <c r="Q499" s="2"/>
      <c r="R499" s="2"/>
      <c r="S499" s="2"/>
      <c r="T499" s="2"/>
      <c r="U499" s="2"/>
      <c r="V499" s="2"/>
      <c r="W499" s="2"/>
    </row>
    <row r="500">
      <c r="A500" s="2"/>
      <c r="B500" s="2"/>
      <c r="C500" s="2"/>
      <c r="D500" s="2"/>
      <c r="E500" s="2"/>
      <c r="F500" s="2"/>
      <c r="G500" s="2"/>
      <c r="H500" s="2"/>
      <c r="I500" s="2"/>
      <c r="J500" s="2"/>
      <c r="K500" s="2"/>
      <c r="L500" s="2"/>
      <c r="M500" s="2"/>
      <c r="N500" s="2"/>
      <c r="O500" s="2"/>
      <c r="P500" s="2"/>
      <c r="Q500" s="2"/>
      <c r="R500" s="2"/>
      <c r="S500" s="2"/>
      <c r="T500" s="2"/>
      <c r="U500" s="2"/>
      <c r="V500" s="2"/>
      <c r="W500" s="2"/>
    </row>
    <row r="501">
      <c r="A501" s="2"/>
      <c r="B501" s="2"/>
      <c r="C501" s="2"/>
      <c r="D501" s="2"/>
      <c r="E501" s="2"/>
      <c r="F501" s="2"/>
      <c r="G501" s="2"/>
      <c r="H501" s="2"/>
      <c r="I501" s="2"/>
      <c r="J501" s="2"/>
      <c r="K501" s="2"/>
      <c r="L501" s="2"/>
      <c r="M501" s="2"/>
      <c r="N501" s="2"/>
      <c r="O501" s="2"/>
      <c r="P501" s="2"/>
      <c r="Q501" s="2"/>
      <c r="R501" s="2"/>
      <c r="S501" s="2"/>
      <c r="T501" s="2"/>
      <c r="U501" s="2"/>
      <c r="V501" s="2"/>
      <c r="W501" s="2"/>
    </row>
    <row r="502">
      <c r="A502" s="2"/>
      <c r="B502" s="2"/>
      <c r="C502" s="2"/>
      <c r="D502" s="2"/>
      <c r="E502" s="2"/>
      <c r="F502" s="2"/>
      <c r="G502" s="2"/>
      <c r="H502" s="2"/>
      <c r="I502" s="2"/>
      <c r="J502" s="2"/>
      <c r="K502" s="2"/>
      <c r="L502" s="2"/>
      <c r="M502" s="2"/>
      <c r="N502" s="2"/>
      <c r="O502" s="2"/>
      <c r="P502" s="2"/>
      <c r="Q502" s="2"/>
      <c r="R502" s="2"/>
      <c r="S502" s="2"/>
      <c r="T502" s="2"/>
      <c r="U502" s="2"/>
      <c r="V502" s="2"/>
      <c r="W502" s="2"/>
    </row>
    <row r="503">
      <c r="A503" s="2"/>
      <c r="B503" s="2"/>
      <c r="C503" s="2"/>
      <c r="D503" s="2"/>
      <c r="E503" s="2"/>
      <c r="F503" s="2"/>
      <c r="G503" s="2"/>
      <c r="H503" s="2"/>
      <c r="I503" s="2"/>
      <c r="J503" s="2"/>
      <c r="K503" s="2"/>
      <c r="L503" s="2"/>
      <c r="M503" s="2"/>
      <c r="N503" s="2"/>
      <c r="O503" s="2"/>
      <c r="P503" s="2"/>
      <c r="Q503" s="2"/>
      <c r="R503" s="2"/>
      <c r="S503" s="2"/>
      <c r="T503" s="2"/>
      <c r="U503" s="2"/>
      <c r="V503" s="2"/>
      <c r="W503" s="2"/>
    </row>
    <row r="504">
      <c r="A504" s="2"/>
      <c r="B504" s="2"/>
      <c r="C504" s="2"/>
      <c r="D504" s="2"/>
      <c r="E504" s="2"/>
      <c r="F504" s="2"/>
      <c r="G504" s="2"/>
      <c r="H504" s="2"/>
      <c r="I504" s="2"/>
      <c r="J504" s="2"/>
      <c r="K504" s="2"/>
      <c r="L504" s="2"/>
      <c r="M504" s="2"/>
      <c r="N504" s="2"/>
      <c r="O504" s="2"/>
      <c r="P504" s="2"/>
      <c r="Q504" s="2"/>
      <c r="R504" s="2"/>
      <c r="S504" s="2"/>
      <c r="T504" s="2"/>
      <c r="U504" s="2"/>
      <c r="V504" s="2"/>
      <c r="W504" s="2"/>
    </row>
    <row r="505">
      <c r="A505" s="2"/>
      <c r="B505" s="2"/>
      <c r="C505" s="2"/>
      <c r="D505" s="2"/>
      <c r="E505" s="2"/>
      <c r="F505" s="2"/>
      <c r="G505" s="2"/>
      <c r="H505" s="2"/>
      <c r="I505" s="2"/>
      <c r="J505" s="2"/>
      <c r="K505" s="2"/>
      <c r="L505" s="2"/>
      <c r="M505" s="2"/>
      <c r="N505" s="2"/>
      <c r="O505" s="2"/>
      <c r="P505" s="2"/>
      <c r="Q505" s="2"/>
      <c r="R505" s="2"/>
      <c r="S505" s="2"/>
      <c r="T505" s="2"/>
      <c r="U505" s="2"/>
      <c r="V505" s="2"/>
      <c r="W505" s="2"/>
    </row>
    <row r="506">
      <c r="A506" s="2"/>
      <c r="B506" s="2"/>
      <c r="C506" s="2"/>
      <c r="D506" s="2"/>
      <c r="E506" s="2"/>
      <c r="F506" s="2"/>
      <c r="G506" s="2"/>
      <c r="H506" s="2"/>
      <c r="I506" s="2"/>
      <c r="J506" s="2"/>
      <c r="K506" s="2"/>
      <c r="L506" s="2"/>
      <c r="M506" s="2"/>
      <c r="N506" s="2"/>
      <c r="O506" s="2"/>
      <c r="P506" s="2"/>
      <c r="Q506" s="2"/>
      <c r="R506" s="2"/>
      <c r="S506" s="2"/>
      <c r="T506" s="2"/>
      <c r="U506" s="2"/>
      <c r="V506" s="2"/>
      <c r="W506" s="2"/>
    </row>
    <row r="507">
      <c r="A507" s="2"/>
      <c r="B507" s="2"/>
      <c r="C507" s="2"/>
      <c r="D507" s="2"/>
      <c r="E507" s="2"/>
      <c r="F507" s="2"/>
      <c r="G507" s="2"/>
      <c r="H507" s="2"/>
      <c r="I507" s="2"/>
      <c r="J507" s="2"/>
      <c r="K507" s="2"/>
      <c r="L507" s="2"/>
      <c r="M507" s="2"/>
      <c r="N507" s="2"/>
      <c r="O507" s="2"/>
      <c r="P507" s="2"/>
      <c r="Q507" s="2"/>
      <c r="R507" s="2"/>
      <c r="S507" s="2"/>
      <c r="T507" s="2"/>
      <c r="U507" s="2"/>
      <c r="V507" s="2"/>
      <c r="W507" s="2"/>
    </row>
    <row r="508">
      <c r="A508" s="2"/>
      <c r="B508" s="2"/>
      <c r="C508" s="2"/>
      <c r="D508" s="2"/>
      <c r="E508" s="2"/>
      <c r="F508" s="2"/>
      <c r="G508" s="2"/>
      <c r="H508" s="2"/>
      <c r="I508" s="2"/>
      <c r="J508" s="2"/>
      <c r="K508" s="2"/>
      <c r="L508" s="2"/>
      <c r="M508" s="2"/>
      <c r="N508" s="2"/>
      <c r="O508" s="2"/>
      <c r="P508" s="2"/>
      <c r="Q508" s="2"/>
      <c r="R508" s="2"/>
      <c r="S508" s="2"/>
      <c r="T508" s="2"/>
      <c r="U508" s="2"/>
      <c r="V508" s="2"/>
      <c r="W508" s="2"/>
    </row>
    <row r="509">
      <c r="A509" s="2"/>
      <c r="B509" s="2"/>
      <c r="C509" s="2"/>
      <c r="D509" s="2"/>
      <c r="E509" s="2"/>
      <c r="F509" s="2"/>
      <c r="G509" s="2"/>
      <c r="H509" s="2"/>
      <c r="I509" s="2"/>
      <c r="J509" s="2"/>
      <c r="K509" s="2"/>
      <c r="L509" s="2"/>
      <c r="M509" s="2"/>
      <c r="N509" s="2"/>
      <c r="O509" s="2"/>
      <c r="P509" s="2"/>
      <c r="Q509" s="2"/>
      <c r="R509" s="2"/>
      <c r="S509" s="2"/>
      <c r="T509" s="2"/>
      <c r="U509" s="2"/>
      <c r="V509" s="2"/>
      <c r="W509" s="2"/>
    </row>
    <row r="510">
      <c r="A510" s="2"/>
      <c r="B510" s="2"/>
      <c r="C510" s="2"/>
      <c r="D510" s="2"/>
      <c r="E510" s="2"/>
      <c r="F510" s="2"/>
      <c r="G510" s="2"/>
      <c r="H510" s="2"/>
      <c r="I510" s="2"/>
      <c r="J510" s="2"/>
      <c r="K510" s="2"/>
      <c r="L510" s="2"/>
      <c r="M510" s="2"/>
      <c r="N510" s="2"/>
      <c r="O510" s="2"/>
      <c r="P510" s="2"/>
      <c r="Q510" s="2"/>
      <c r="R510" s="2"/>
      <c r="S510" s="2"/>
      <c r="T510" s="2"/>
      <c r="U510" s="2"/>
      <c r="V510" s="2"/>
      <c r="W510" s="2"/>
    </row>
    <row r="511">
      <c r="A511" s="2"/>
      <c r="B511" s="2"/>
      <c r="C511" s="2"/>
      <c r="D511" s="2"/>
      <c r="E511" s="2"/>
      <c r="F511" s="2"/>
      <c r="G511" s="2"/>
      <c r="H511" s="2"/>
      <c r="I511" s="2"/>
      <c r="J511" s="2"/>
      <c r="K511" s="2"/>
      <c r="L511" s="2"/>
      <c r="M511" s="2"/>
      <c r="N511" s="2"/>
      <c r="O511" s="2"/>
      <c r="P511" s="2"/>
      <c r="Q511" s="2"/>
      <c r="R511" s="2"/>
      <c r="S511" s="2"/>
      <c r="T511" s="2"/>
      <c r="U511" s="2"/>
      <c r="V511" s="2"/>
      <c r="W511" s="2"/>
    </row>
    <row r="512">
      <c r="A512" s="2"/>
      <c r="B512" s="2"/>
      <c r="C512" s="2"/>
      <c r="D512" s="2"/>
      <c r="E512" s="2"/>
      <c r="F512" s="2"/>
      <c r="G512" s="2"/>
      <c r="H512" s="2"/>
      <c r="I512" s="2"/>
      <c r="J512" s="2"/>
      <c r="K512" s="2"/>
      <c r="L512" s="2"/>
      <c r="M512" s="2"/>
      <c r="N512" s="2"/>
      <c r="O512" s="2"/>
      <c r="P512" s="2"/>
      <c r="Q512" s="2"/>
      <c r="R512" s="2"/>
      <c r="S512" s="2"/>
      <c r="T512" s="2"/>
      <c r="U512" s="2"/>
      <c r="V512" s="2"/>
      <c r="W512" s="2"/>
    </row>
    <row r="513">
      <c r="A513" s="2"/>
      <c r="B513" s="2"/>
      <c r="C513" s="2"/>
      <c r="D513" s="2"/>
      <c r="E513" s="2"/>
      <c r="F513" s="2"/>
      <c r="G513" s="2"/>
      <c r="H513" s="2"/>
      <c r="I513" s="2"/>
      <c r="J513" s="2"/>
      <c r="K513" s="2"/>
      <c r="L513" s="2"/>
      <c r="M513" s="2"/>
      <c r="N513" s="2"/>
      <c r="O513" s="2"/>
      <c r="P513" s="2"/>
      <c r="Q513" s="2"/>
      <c r="R513" s="2"/>
      <c r="S513" s="2"/>
      <c r="T513" s="2"/>
      <c r="U513" s="2"/>
      <c r="V513" s="2"/>
      <c r="W513" s="2"/>
    </row>
    <row r="514">
      <c r="A514" s="2"/>
      <c r="B514" s="2"/>
      <c r="C514" s="2"/>
      <c r="D514" s="2"/>
      <c r="E514" s="2"/>
      <c r="F514" s="2"/>
      <c r="G514" s="2"/>
      <c r="H514" s="2"/>
      <c r="I514" s="2"/>
      <c r="J514" s="2"/>
      <c r="K514" s="2"/>
      <c r="L514" s="2"/>
      <c r="M514" s="2"/>
      <c r="N514" s="2"/>
      <c r="O514" s="2"/>
      <c r="P514" s="2"/>
      <c r="Q514" s="2"/>
      <c r="R514" s="2"/>
      <c r="S514" s="2"/>
      <c r="T514" s="2"/>
      <c r="U514" s="2"/>
      <c r="V514" s="2"/>
      <c r="W514" s="2"/>
    </row>
    <row r="515">
      <c r="A515" s="2"/>
      <c r="B515" s="2"/>
      <c r="C515" s="2"/>
      <c r="D515" s="2"/>
      <c r="E515" s="2"/>
      <c r="F515" s="2"/>
      <c r="G515" s="2"/>
      <c r="H515" s="2"/>
      <c r="I515" s="2"/>
      <c r="J515" s="2"/>
      <c r="K515" s="2"/>
      <c r="L515" s="2"/>
      <c r="M515" s="2"/>
      <c r="N515" s="2"/>
      <c r="O515" s="2"/>
      <c r="P515" s="2"/>
      <c r="Q515" s="2"/>
      <c r="R515" s="2"/>
      <c r="S515" s="2"/>
      <c r="T515" s="2"/>
      <c r="U515" s="2"/>
      <c r="V515" s="2"/>
      <c r="W515" s="2"/>
    </row>
    <row r="516">
      <c r="A516" s="2"/>
      <c r="B516" s="2"/>
      <c r="C516" s="2"/>
      <c r="D516" s="2"/>
      <c r="E516" s="2"/>
      <c r="F516" s="2"/>
      <c r="G516" s="2"/>
      <c r="H516" s="2"/>
      <c r="I516" s="2"/>
      <c r="J516" s="2"/>
      <c r="K516" s="2"/>
      <c r="L516" s="2"/>
      <c r="M516" s="2"/>
      <c r="N516" s="2"/>
      <c r="O516" s="2"/>
      <c r="P516" s="2"/>
      <c r="Q516" s="2"/>
      <c r="R516" s="2"/>
      <c r="S516" s="2"/>
      <c r="T516" s="2"/>
      <c r="U516" s="2"/>
      <c r="V516" s="2"/>
      <c r="W516" s="2"/>
    </row>
    <row r="517">
      <c r="A517" s="2"/>
      <c r="B517" s="2"/>
      <c r="C517" s="2"/>
      <c r="D517" s="2"/>
      <c r="E517" s="2"/>
      <c r="F517" s="2"/>
      <c r="G517" s="2"/>
      <c r="H517" s="2"/>
      <c r="I517" s="2"/>
      <c r="J517" s="2"/>
      <c r="K517" s="2"/>
      <c r="L517" s="2"/>
      <c r="M517" s="2"/>
      <c r="N517" s="2"/>
      <c r="O517" s="2"/>
      <c r="P517" s="2"/>
      <c r="Q517" s="2"/>
      <c r="R517" s="2"/>
      <c r="S517" s="2"/>
      <c r="T517" s="2"/>
      <c r="U517" s="2"/>
      <c r="V517" s="2"/>
      <c r="W517" s="2"/>
    </row>
    <row r="518">
      <c r="A518" s="2"/>
      <c r="B518" s="2"/>
      <c r="C518" s="2"/>
      <c r="D518" s="2"/>
      <c r="E518" s="2"/>
      <c r="F518" s="2"/>
      <c r="G518" s="2"/>
      <c r="H518" s="2"/>
      <c r="I518" s="2"/>
      <c r="J518" s="2"/>
      <c r="K518" s="2"/>
      <c r="L518" s="2"/>
      <c r="M518" s="2"/>
      <c r="N518" s="2"/>
      <c r="O518" s="2"/>
      <c r="P518" s="2"/>
      <c r="Q518" s="2"/>
      <c r="R518" s="2"/>
      <c r="S518" s="2"/>
      <c r="T518" s="2"/>
      <c r="U518" s="2"/>
      <c r="V518" s="2"/>
      <c r="W518" s="2"/>
    </row>
    <row r="519">
      <c r="A519" s="2"/>
      <c r="B519" s="2"/>
      <c r="C519" s="2"/>
      <c r="D519" s="2"/>
      <c r="E519" s="2"/>
      <c r="F519" s="2"/>
      <c r="G519" s="2"/>
      <c r="H519" s="2"/>
      <c r="I519" s="2"/>
      <c r="J519" s="2"/>
      <c r="K519" s="2"/>
      <c r="L519" s="2"/>
      <c r="M519" s="2"/>
      <c r="N519" s="2"/>
      <c r="O519" s="2"/>
      <c r="P519" s="2"/>
      <c r="Q519" s="2"/>
      <c r="R519" s="2"/>
      <c r="S519" s="2"/>
      <c r="T519" s="2"/>
      <c r="U519" s="2"/>
      <c r="V519" s="2"/>
      <c r="W519" s="2"/>
    </row>
    <row r="520">
      <c r="A520" s="2"/>
      <c r="B520" s="2"/>
      <c r="C520" s="2"/>
      <c r="D520" s="2"/>
      <c r="E520" s="2"/>
      <c r="F520" s="2"/>
      <c r="G520" s="2"/>
      <c r="H520" s="2"/>
      <c r="I520" s="2"/>
      <c r="J520" s="2"/>
      <c r="K520" s="2"/>
      <c r="L520" s="2"/>
      <c r="M520" s="2"/>
      <c r="N520" s="2"/>
      <c r="O520" s="2"/>
      <c r="P520" s="2"/>
      <c r="Q520" s="2"/>
      <c r="R520" s="2"/>
      <c r="S520" s="2"/>
      <c r="T520" s="2"/>
      <c r="U520" s="2"/>
      <c r="V520" s="2"/>
      <c r="W520" s="2"/>
    </row>
    <row r="521">
      <c r="A521" s="2"/>
      <c r="B521" s="2"/>
      <c r="C521" s="2"/>
      <c r="D521" s="2"/>
      <c r="E521" s="2"/>
      <c r="F521" s="2"/>
      <c r="G521" s="2"/>
      <c r="H521" s="2"/>
      <c r="I521" s="2"/>
      <c r="J521" s="2"/>
      <c r="K521" s="2"/>
      <c r="L521" s="2"/>
      <c r="M521" s="2"/>
      <c r="N521" s="2"/>
      <c r="O521" s="2"/>
      <c r="P521" s="2"/>
      <c r="Q521" s="2"/>
      <c r="R521" s="2"/>
      <c r="S521" s="2"/>
      <c r="T521" s="2"/>
      <c r="U521" s="2"/>
      <c r="V521" s="2"/>
      <c r="W521" s="2"/>
    </row>
    <row r="522">
      <c r="A522" s="2"/>
      <c r="B522" s="2"/>
      <c r="C522" s="2"/>
      <c r="D522" s="2"/>
      <c r="E522" s="2"/>
      <c r="F522" s="2"/>
      <c r="G522" s="2"/>
      <c r="H522" s="2"/>
      <c r="I522" s="2"/>
      <c r="J522" s="2"/>
      <c r="K522" s="2"/>
      <c r="L522" s="2"/>
      <c r="M522" s="2"/>
      <c r="N522" s="2"/>
      <c r="O522" s="2"/>
      <c r="P522" s="2"/>
      <c r="Q522" s="2"/>
      <c r="R522" s="2"/>
      <c r="S522" s="2"/>
      <c r="T522" s="2"/>
      <c r="U522" s="2"/>
      <c r="V522" s="2"/>
      <c r="W522" s="2"/>
    </row>
    <row r="523">
      <c r="A523" s="2"/>
      <c r="B523" s="2"/>
      <c r="C523" s="2"/>
      <c r="D523" s="2"/>
      <c r="E523" s="2"/>
      <c r="F523" s="2"/>
      <c r="G523" s="2"/>
      <c r="H523" s="2"/>
      <c r="I523" s="2"/>
      <c r="J523" s="2"/>
      <c r="K523" s="2"/>
      <c r="L523" s="2"/>
      <c r="M523" s="2"/>
      <c r="N523" s="2"/>
      <c r="O523" s="2"/>
      <c r="P523" s="2"/>
      <c r="Q523" s="2"/>
      <c r="R523" s="2"/>
      <c r="S523" s="2"/>
      <c r="T523" s="2"/>
      <c r="U523" s="2"/>
      <c r="V523" s="2"/>
      <c r="W523" s="2"/>
    </row>
    <row r="524">
      <c r="A524" s="2"/>
      <c r="B524" s="2"/>
      <c r="C524" s="2"/>
      <c r="D524" s="2"/>
      <c r="E524" s="2"/>
      <c r="F524" s="2"/>
      <c r="G524" s="2"/>
      <c r="H524" s="2"/>
      <c r="I524" s="2"/>
      <c r="J524" s="2"/>
      <c r="K524" s="2"/>
      <c r="L524" s="2"/>
      <c r="M524" s="2"/>
      <c r="N524" s="2"/>
      <c r="O524" s="2"/>
      <c r="P524" s="2"/>
      <c r="Q524" s="2"/>
      <c r="R524" s="2"/>
      <c r="S524" s="2"/>
      <c r="T524" s="2"/>
      <c r="U524" s="2"/>
      <c r="V524" s="2"/>
      <c r="W524" s="2"/>
    </row>
    <row r="525">
      <c r="A525" s="2"/>
      <c r="B525" s="2"/>
      <c r="C525" s="2"/>
      <c r="D525" s="2"/>
      <c r="E525" s="2"/>
      <c r="F525" s="2"/>
      <c r="G525" s="2"/>
      <c r="H525" s="2"/>
      <c r="I525" s="2"/>
      <c r="J525" s="2"/>
      <c r="K525" s="2"/>
      <c r="L525" s="2"/>
      <c r="M525" s="2"/>
      <c r="N525" s="2"/>
      <c r="O525" s="2"/>
      <c r="P525" s="2"/>
      <c r="Q525" s="2"/>
      <c r="R525" s="2"/>
      <c r="S525" s="2"/>
      <c r="T525" s="2"/>
      <c r="U525" s="2"/>
      <c r="V525" s="2"/>
      <c r="W525" s="2"/>
    </row>
    <row r="526">
      <c r="A526" s="2"/>
      <c r="B526" s="2"/>
      <c r="C526" s="2"/>
      <c r="D526" s="2"/>
      <c r="E526" s="2"/>
      <c r="F526" s="2"/>
      <c r="G526" s="2"/>
      <c r="H526" s="2"/>
      <c r="I526" s="2"/>
      <c r="J526" s="2"/>
      <c r="K526" s="2"/>
      <c r="L526" s="2"/>
      <c r="M526" s="2"/>
      <c r="N526" s="2"/>
      <c r="O526" s="2"/>
      <c r="P526" s="2"/>
      <c r="Q526" s="2"/>
      <c r="R526" s="2"/>
      <c r="S526" s="2"/>
      <c r="T526" s="2"/>
      <c r="U526" s="2"/>
      <c r="V526" s="2"/>
      <c r="W526" s="2"/>
    </row>
    <row r="527">
      <c r="A527" s="2"/>
      <c r="B527" s="2"/>
      <c r="C527" s="2"/>
      <c r="D527" s="2"/>
      <c r="E527" s="2"/>
      <c r="F527" s="2"/>
      <c r="G527" s="2"/>
      <c r="H527" s="2"/>
      <c r="I527" s="2"/>
      <c r="J527" s="2"/>
      <c r="K527" s="2"/>
      <c r="L527" s="2"/>
      <c r="M527" s="2"/>
      <c r="N527" s="2"/>
      <c r="O527" s="2"/>
      <c r="P527" s="2"/>
      <c r="Q527" s="2"/>
      <c r="R527" s="2"/>
      <c r="S527" s="2"/>
      <c r="T527" s="2"/>
      <c r="U527" s="2"/>
      <c r="V527" s="2"/>
      <c r="W527" s="2"/>
    </row>
    <row r="528">
      <c r="A528" s="2"/>
      <c r="B528" s="2"/>
      <c r="C528" s="2"/>
      <c r="D528" s="2"/>
      <c r="E528" s="2"/>
      <c r="F528" s="2"/>
      <c r="G528" s="2"/>
      <c r="H528" s="2"/>
      <c r="I528" s="2"/>
      <c r="J528" s="2"/>
      <c r="K528" s="2"/>
      <c r="L528" s="2"/>
      <c r="M528" s="2"/>
      <c r="N528" s="2"/>
      <c r="O528" s="2"/>
      <c r="P528" s="2"/>
      <c r="Q528" s="2"/>
      <c r="R528" s="2"/>
      <c r="S528" s="2"/>
      <c r="T528" s="2"/>
      <c r="U528" s="2"/>
      <c r="V528" s="2"/>
      <c r="W528" s="2"/>
    </row>
    <row r="529">
      <c r="A529" s="2"/>
      <c r="B529" s="2"/>
      <c r="C529" s="2"/>
      <c r="D529" s="2"/>
      <c r="E529" s="2"/>
      <c r="F529" s="2"/>
      <c r="G529" s="2"/>
      <c r="H529" s="2"/>
      <c r="I529" s="2"/>
      <c r="J529" s="2"/>
      <c r="K529" s="2"/>
      <c r="L529" s="2"/>
      <c r="M529" s="2"/>
      <c r="N529" s="2"/>
      <c r="O529" s="2"/>
      <c r="P529" s="2"/>
      <c r="Q529" s="2"/>
      <c r="R529" s="2"/>
      <c r="S529" s="2"/>
      <c r="T529" s="2"/>
      <c r="U529" s="2"/>
      <c r="V529" s="2"/>
      <c r="W529" s="2"/>
    </row>
    <row r="530">
      <c r="A530" s="2"/>
      <c r="B530" s="2"/>
      <c r="C530" s="2"/>
      <c r="D530" s="2"/>
      <c r="E530" s="2"/>
      <c r="F530" s="2"/>
      <c r="G530" s="2"/>
      <c r="H530" s="2"/>
      <c r="I530" s="2"/>
      <c r="J530" s="2"/>
      <c r="K530" s="2"/>
      <c r="L530" s="2"/>
      <c r="M530" s="2"/>
      <c r="N530" s="2"/>
      <c r="O530" s="2"/>
      <c r="P530" s="2"/>
      <c r="Q530" s="2"/>
      <c r="R530" s="2"/>
      <c r="S530" s="2"/>
      <c r="T530" s="2"/>
      <c r="U530" s="2"/>
      <c r="V530" s="2"/>
      <c r="W530" s="2"/>
    </row>
    <row r="531">
      <c r="A531" s="2"/>
      <c r="B531" s="2"/>
      <c r="C531" s="2"/>
      <c r="D531" s="2"/>
      <c r="E531" s="2"/>
      <c r="F531" s="2"/>
      <c r="G531" s="2"/>
      <c r="H531" s="2"/>
      <c r="I531" s="2"/>
      <c r="J531" s="2"/>
      <c r="K531" s="2"/>
      <c r="L531" s="2"/>
      <c r="M531" s="2"/>
      <c r="N531" s="2"/>
      <c r="O531" s="2"/>
      <c r="P531" s="2"/>
      <c r="Q531" s="2"/>
      <c r="R531" s="2"/>
      <c r="S531" s="2"/>
      <c r="T531" s="2"/>
      <c r="U531" s="2"/>
      <c r="V531" s="2"/>
      <c r="W531" s="2"/>
    </row>
    <row r="532">
      <c r="A532" s="2"/>
      <c r="B532" s="2"/>
      <c r="C532" s="2"/>
      <c r="D532" s="2"/>
      <c r="E532" s="2"/>
      <c r="F532" s="2"/>
      <c r="G532" s="2"/>
      <c r="H532" s="2"/>
      <c r="I532" s="2"/>
      <c r="J532" s="2"/>
      <c r="K532" s="2"/>
      <c r="L532" s="2"/>
      <c r="M532" s="2"/>
      <c r="N532" s="2"/>
      <c r="O532" s="2"/>
      <c r="P532" s="2"/>
      <c r="Q532" s="2"/>
      <c r="R532" s="2"/>
      <c r="S532" s="2"/>
      <c r="T532" s="2"/>
      <c r="U532" s="2"/>
      <c r="V532" s="2"/>
      <c r="W532" s="2"/>
    </row>
    <row r="533">
      <c r="A533" s="2"/>
      <c r="B533" s="2"/>
      <c r="C533" s="2"/>
      <c r="D533" s="2"/>
      <c r="E533" s="2"/>
      <c r="F533" s="2"/>
      <c r="G533" s="2"/>
      <c r="H533" s="2"/>
      <c r="I533" s="2"/>
      <c r="J533" s="2"/>
      <c r="K533" s="2"/>
      <c r="L533" s="2"/>
      <c r="M533" s="2"/>
      <c r="N533" s="2"/>
      <c r="O533" s="2"/>
      <c r="P533" s="2"/>
      <c r="Q533" s="2"/>
      <c r="R533" s="2"/>
      <c r="S533" s="2"/>
      <c r="T533" s="2"/>
      <c r="U533" s="2"/>
      <c r="V533" s="2"/>
      <c r="W533" s="2"/>
    </row>
    <row r="534">
      <c r="A534" s="2"/>
      <c r="B534" s="2"/>
      <c r="C534" s="2"/>
      <c r="D534" s="2"/>
      <c r="E534" s="2"/>
      <c r="F534" s="2"/>
      <c r="G534" s="2"/>
      <c r="H534" s="2"/>
      <c r="I534" s="2"/>
      <c r="J534" s="2"/>
      <c r="K534" s="2"/>
      <c r="L534" s="2"/>
      <c r="M534" s="2"/>
      <c r="N534" s="2"/>
      <c r="O534" s="2"/>
      <c r="P534" s="2"/>
      <c r="Q534" s="2"/>
      <c r="R534" s="2"/>
      <c r="S534" s="2"/>
      <c r="T534" s="2"/>
      <c r="U534" s="2"/>
      <c r="V534" s="2"/>
      <c r="W534" s="2"/>
    </row>
    <row r="535">
      <c r="A535" s="2"/>
      <c r="B535" s="2"/>
      <c r="C535" s="2"/>
      <c r="D535" s="2"/>
      <c r="E535" s="2"/>
      <c r="F535" s="2"/>
      <c r="G535" s="2"/>
      <c r="H535" s="2"/>
      <c r="I535" s="2"/>
      <c r="J535" s="2"/>
      <c r="K535" s="2"/>
      <c r="L535" s="2"/>
      <c r="M535" s="2"/>
      <c r="N535" s="2"/>
      <c r="O535" s="2"/>
      <c r="P535" s="2"/>
      <c r="Q535" s="2"/>
      <c r="R535" s="2"/>
      <c r="S535" s="2"/>
      <c r="T535" s="2"/>
      <c r="U535" s="2"/>
      <c r="V535" s="2"/>
      <c r="W535" s="2"/>
    </row>
    <row r="536">
      <c r="A536" s="2"/>
      <c r="B536" s="2"/>
      <c r="C536" s="2"/>
      <c r="D536" s="2"/>
      <c r="E536" s="2"/>
      <c r="F536" s="2"/>
      <c r="G536" s="2"/>
      <c r="H536" s="2"/>
      <c r="I536" s="2"/>
      <c r="J536" s="2"/>
      <c r="K536" s="2"/>
      <c r="L536" s="2"/>
      <c r="M536" s="2"/>
      <c r="N536" s="2"/>
      <c r="O536" s="2"/>
      <c r="P536" s="2"/>
      <c r="Q536" s="2"/>
      <c r="R536" s="2"/>
      <c r="S536" s="2"/>
      <c r="T536" s="2"/>
      <c r="U536" s="2"/>
      <c r="V536" s="2"/>
      <c r="W536" s="2"/>
    </row>
    <row r="537">
      <c r="A537" s="2"/>
      <c r="B537" s="2"/>
      <c r="C537" s="2"/>
      <c r="D537" s="2"/>
      <c r="E537" s="2"/>
      <c r="F537" s="2"/>
      <c r="G537" s="2"/>
      <c r="H537" s="2"/>
      <c r="I537" s="2"/>
      <c r="J537" s="2"/>
      <c r="K537" s="2"/>
      <c r="L537" s="2"/>
      <c r="M537" s="2"/>
      <c r="N537" s="2"/>
      <c r="O537" s="2"/>
      <c r="P537" s="2"/>
      <c r="Q537" s="2"/>
      <c r="R537" s="2"/>
      <c r="S537" s="2"/>
      <c r="T537" s="2"/>
      <c r="U537" s="2"/>
      <c r="V537" s="2"/>
      <c r="W537" s="2"/>
    </row>
    <row r="538">
      <c r="A538" s="2"/>
      <c r="B538" s="2"/>
      <c r="C538" s="2"/>
      <c r="D538" s="2"/>
      <c r="E538" s="2"/>
      <c r="F538" s="2"/>
      <c r="G538" s="2"/>
      <c r="H538" s="2"/>
      <c r="I538" s="2"/>
      <c r="J538" s="2"/>
      <c r="K538" s="2"/>
      <c r="L538" s="2"/>
      <c r="M538" s="2"/>
      <c r="N538" s="2"/>
      <c r="O538" s="2"/>
      <c r="P538" s="2"/>
      <c r="Q538" s="2"/>
      <c r="R538" s="2"/>
      <c r="S538" s="2"/>
      <c r="T538" s="2"/>
      <c r="U538" s="2"/>
      <c r="V538" s="2"/>
      <c r="W538" s="2"/>
    </row>
    <row r="539">
      <c r="A539" s="2"/>
      <c r="B539" s="2"/>
      <c r="C539" s="2"/>
      <c r="D539" s="2"/>
      <c r="E539" s="2"/>
      <c r="F539" s="2"/>
      <c r="G539" s="2"/>
      <c r="H539" s="2"/>
      <c r="I539" s="2"/>
      <c r="J539" s="2"/>
      <c r="K539" s="2"/>
      <c r="L539" s="2"/>
      <c r="M539" s="2"/>
      <c r="N539" s="2"/>
      <c r="O539" s="2"/>
      <c r="P539" s="2"/>
      <c r="Q539" s="2"/>
      <c r="R539" s="2"/>
      <c r="S539" s="2"/>
      <c r="T539" s="2"/>
      <c r="U539" s="2"/>
      <c r="V539" s="2"/>
      <c r="W539" s="2"/>
    </row>
    <row r="540">
      <c r="A540" s="2"/>
      <c r="B540" s="2"/>
      <c r="C540" s="2"/>
      <c r="D540" s="2"/>
      <c r="E540" s="2"/>
      <c r="F540" s="2"/>
      <c r="G540" s="2"/>
      <c r="H540" s="2"/>
      <c r="I540" s="2"/>
      <c r="J540" s="2"/>
      <c r="K540" s="2"/>
      <c r="L540" s="2"/>
      <c r="M540" s="2"/>
      <c r="N540" s="2"/>
      <c r="O540" s="2"/>
      <c r="P540" s="2"/>
      <c r="Q540" s="2"/>
      <c r="R540" s="2"/>
      <c r="S540" s="2"/>
      <c r="T540" s="2"/>
      <c r="U540" s="2"/>
      <c r="V540" s="2"/>
      <c r="W540" s="2"/>
    </row>
    <row r="541">
      <c r="A541" s="2"/>
      <c r="B541" s="2"/>
      <c r="C541" s="2"/>
      <c r="D541" s="2"/>
      <c r="E541" s="2"/>
      <c r="F541" s="2"/>
      <c r="G541" s="2"/>
      <c r="H541" s="2"/>
      <c r="I541" s="2"/>
      <c r="J541" s="2"/>
      <c r="K541" s="2"/>
      <c r="L541" s="2"/>
      <c r="M541" s="2"/>
      <c r="N541" s="2"/>
      <c r="O541" s="2"/>
      <c r="P541" s="2"/>
      <c r="Q541" s="2"/>
      <c r="R541" s="2"/>
      <c r="S541" s="2"/>
      <c r="T541" s="2"/>
      <c r="U541" s="2"/>
      <c r="V541" s="2"/>
      <c r="W541" s="2"/>
    </row>
    <row r="542">
      <c r="A542" s="2"/>
      <c r="B542" s="2"/>
      <c r="C542" s="2"/>
      <c r="D542" s="2"/>
      <c r="E542" s="2"/>
      <c r="F542" s="2"/>
      <c r="G542" s="2"/>
      <c r="H542" s="2"/>
      <c r="I542" s="2"/>
      <c r="J542" s="2"/>
      <c r="K542" s="2"/>
      <c r="L542" s="2"/>
      <c r="M542" s="2"/>
      <c r="N542" s="2"/>
      <c r="O542" s="2"/>
      <c r="P542" s="2"/>
      <c r="Q542" s="2"/>
      <c r="R542" s="2"/>
      <c r="S542" s="2"/>
      <c r="T542" s="2"/>
      <c r="U542" s="2"/>
      <c r="V542" s="2"/>
      <c r="W542" s="2"/>
    </row>
    <row r="543">
      <c r="A543" s="2"/>
      <c r="B543" s="2"/>
      <c r="C543" s="2"/>
      <c r="D543" s="2"/>
      <c r="E543" s="2"/>
      <c r="F543" s="2"/>
      <c r="G543" s="2"/>
      <c r="H543" s="2"/>
      <c r="I543" s="2"/>
      <c r="J543" s="2"/>
      <c r="K543" s="2"/>
      <c r="L543" s="2"/>
      <c r="M543" s="2"/>
      <c r="N543" s="2"/>
      <c r="O543" s="2"/>
      <c r="P543" s="2"/>
      <c r="Q543" s="2"/>
      <c r="R543" s="2"/>
      <c r="S543" s="2"/>
      <c r="T543" s="2"/>
      <c r="U543" s="2"/>
      <c r="V543" s="2"/>
      <c r="W543" s="2"/>
    </row>
    <row r="544">
      <c r="A544" s="2"/>
      <c r="B544" s="2"/>
      <c r="C544" s="2"/>
      <c r="D544" s="2"/>
      <c r="E544" s="2"/>
      <c r="F544" s="2"/>
      <c r="G544" s="2"/>
      <c r="H544" s="2"/>
      <c r="I544" s="2"/>
      <c r="J544" s="2"/>
      <c r="K544" s="2"/>
      <c r="L544" s="2"/>
      <c r="M544" s="2"/>
      <c r="N544" s="2"/>
      <c r="O544" s="2"/>
      <c r="P544" s="2"/>
      <c r="Q544" s="2"/>
      <c r="R544" s="2"/>
      <c r="S544" s="2"/>
      <c r="T544" s="2"/>
      <c r="U544" s="2"/>
      <c r="V544" s="2"/>
      <c r="W544" s="2"/>
    </row>
    <row r="545">
      <c r="A545" s="2"/>
      <c r="B545" s="2"/>
      <c r="C545" s="2"/>
      <c r="D545" s="2"/>
      <c r="E545" s="2"/>
      <c r="F545" s="2"/>
      <c r="G545" s="2"/>
      <c r="H545" s="2"/>
      <c r="I545" s="2"/>
      <c r="J545" s="2"/>
      <c r="K545" s="2"/>
      <c r="L545" s="2"/>
      <c r="M545" s="2"/>
      <c r="N545" s="2"/>
      <c r="O545" s="2"/>
      <c r="P545" s="2"/>
      <c r="Q545" s="2"/>
      <c r="R545" s="2"/>
      <c r="S545" s="2"/>
      <c r="T545" s="2"/>
      <c r="U545" s="2"/>
      <c r="V545" s="2"/>
      <c r="W545" s="2"/>
    </row>
    <row r="546">
      <c r="A546" s="2"/>
      <c r="B546" s="2"/>
      <c r="C546" s="2"/>
      <c r="D546" s="2"/>
      <c r="E546" s="2"/>
      <c r="F546" s="2"/>
      <c r="G546" s="2"/>
      <c r="H546" s="2"/>
      <c r="I546" s="2"/>
      <c r="J546" s="2"/>
      <c r="K546" s="2"/>
      <c r="L546" s="2"/>
      <c r="M546" s="2"/>
      <c r="N546" s="2"/>
      <c r="O546" s="2"/>
      <c r="P546" s="2"/>
      <c r="Q546" s="2"/>
      <c r="R546" s="2"/>
      <c r="S546" s="2"/>
      <c r="T546" s="2"/>
      <c r="U546" s="2"/>
      <c r="V546" s="2"/>
      <c r="W546" s="2"/>
    </row>
    <row r="547">
      <c r="A547" s="2"/>
      <c r="B547" s="2"/>
      <c r="C547" s="2"/>
      <c r="D547" s="2"/>
      <c r="E547" s="2"/>
      <c r="F547" s="2"/>
      <c r="G547" s="2"/>
      <c r="H547" s="2"/>
      <c r="I547" s="2"/>
      <c r="J547" s="2"/>
      <c r="K547" s="2"/>
      <c r="L547" s="2"/>
      <c r="M547" s="2"/>
      <c r="N547" s="2"/>
      <c r="O547" s="2"/>
      <c r="P547" s="2"/>
      <c r="Q547" s="2"/>
      <c r="R547" s="2"/>
      <c r="S547" s="2"/>
      <c r="T547" s="2"/>
      <c r="U547" s="2"/>
      <c r="V547" s="2"/>
      <c r="W547" s="2"/>
    </row>
    <row r="548">
      <c r="A548" s="2"/>
      <c r="B548" s="2"/>
      <c r="C548" s="2"/>
      <c r="D548" s="2"/>
      <c r="E548" s="2"/>
      <c r="F548" s="2"/>
      <c r="G548" s="2"/>
      <c r="H548" s="2"/>
      <c r="I548" s="2"/>
      <c r="J548" s="2"/>
      <c r="K548" s="2"/>
      <c r="L548" s="2"/>
      <c r="M548" s="2"/>
      <c r="N548" s="2"/>
      <c r="O548" s="2"/>
      <c r="P548" s="2"/>
      <c r="Q548" s="2"/>
      <c r="R548" s="2"/>
      <c r="S548" s="2"/>
      <c r="T548" s="2"/>
      <c r="U548" s="2"/>
      <c r="V548" s="2"/>
      <c r="W548" s="2"/>
    </row>
    <row r="549">
      <c r="A549" s="2"/>
      <c r="B549" s="2"/>
      <c r="C549" s="2"/>
      <c r="D549" s="2"/>
      <c r="E549" s="2"/>
      <c r="F549" s="2"/>
      <c r="G549" s="2"/>
      <c r="H549" s="2"/>
      <c r="I549" s="2"/>
      <c r="J549" s="2"/>
      <c r="K549" s="2"/>
      <c r="L549" s="2"/>
      <c r="M549" s="2"/>
      <c r="N549" s="2"/>
      <c r="O549" s="2"/>
      <c r="P549" s="2"/>
      <c r="Q549" s="2"/>
      <c r="R549" s="2"/>
      <c r="S549" s="2"/>
      <c r="T549" s="2"/>
      <c r="U549" s="2"/>
      <c r="V549" s="2"/>
      <c r="W549" s="2"/>
    </row>
    <row r="550">
      <c r="A550" s="2"/>
      <c r="B550" s="2"/>
      <c r="C550" s="2"/>
      <c r="D550" s="2"/>
      <c r="E550" s="2"/>
      <c r="F550" s="2"/>
      <c r="G550" s="2"/>
      <c r="H550" s="2"/>
      <c r="I550" s="2"/>
      <c r="J550" s="2"/>
      <c r="K550" s="2"/>
      <c r="L550" s="2"/>
      <c r="M550" s="2"/>
      <c r="N550" s="2"/>
      <c r="O550" s="2"/>
      <c r="P550" s="2"/>
      <c r="Q550" s="2"/>
      <c r="R550" s="2"/>
      <c r="S550" s="2"/>
      <c r="T550" s="2"/>
      <c r="U550" s="2"/>
      <c r="V550" s="2"/>
      <c r="W550" s="2"/>
    </row>
    <row r="551">
      <c r="A551" s="2"/>
      <c r="B551" s="2"/>
      <c r="C551" s="2"/>
      <c r="D551" s="2"/>
      <c r="E551" s="2"/>
      <c r="F551" s="2"/>
      <c r="G551" s="2"/>
      <c r="H551" s="2"/>
      <c r="I551" s="2"/>
      <c r="J551" s="2"/>
      <c r="K551" s="2"/>
      <c r="L551" s="2"/>
      <c r="M551" s="2"/>
      <c r="N551" s="2"/>
      <c r="O551" s="2"/>
      <c r="P551" s="2"/>
      <c r="Q551" s="2"/>
      <c r="R551" s="2"/>
      <c r="S551" s="2"/>
      <c r="T551" s="2"/>
      <c r="U551" s="2"/>
      <c r="V551" s="2"/>
      <c r="W551" s="2"/>
    </row>
    <row r="552">
      <c r="A552" s="2"/>
      <c r="B552" s="2"/>
      <c r="C552" s="2"/>
      <c r="D552" s="2"/>
      <c r="E552" s="2"/>
      <c r="F552" s="2"/>
      <c r="G552" s="2"/>
      <c r="H552" s="2"/>
      <c r="I552" s="2"/>
      <c r="J552" s="2"/>
      <c r="K552" s="2"/>
      <c r="L552" s="2"/>
      <c r="M552" s="2"/>
      <c r="N552" s="2"/>
      <c r="O552" s="2"/>
      <c r="P552" s="2"/>
      <c r="Q552" s="2"/>
      <c r="R552" s="2"/>
      <c r="S552" s="2"/>
      <c r="T552" s="2"/>
      <c r="U552" s="2"/>
      <c r="V552" s="2"/>
      <c r="W552" s="2"/>
    </row>
    <row r="553">
      <c r="A553" s="2"/>
      <c r="B553" s="2"/>
      <c r="C553" s="2"/>
      <c r="D553" s="2"/>
      <c r="E553" s="2"/>
      <c r="F553" s="2"/>
      <c r="G553" s="2"/>
      <c r="H553" s="2"/>
      <c r="I553" s="2"/>
      <c r="J553" s="2"/>
      <c r="K553" s="2"/>
      <c r="L553" s="2"/>
      <c r="M553" s="2"/>
      <c r="N553" s="2"/>
      <c r="O553" s="2"/>
      <c r="P553" s="2"/>
      <c r="Q553" s="2"/>
      <c r="R553" s="2"/>
      <c r="S553" s="2"/>
      <c r="T553" s="2"/>
      <c r="U553" s="2"/>
      <c r="V553" s="2"/>
      <c r="W553" s="2"/>
    </row>
    <row r="554">
      <c r="A554" s="2"/>
      <c r="B554" s="2"/>
      <c r="C554" s="2"/>
      <c r="D554" s="2"/>
      <c r="E554" s="2"/>
      <c r="F554" s="2"/>
      <c r="G554" s="2"/>
      <c r="H554" s="2"/>
      <c r="I554" s="2"/>
      <c r="J554" s="2"/>
      <c r="K554" s="2"/>
      <c r="L554" s="2"/>
      <c r="M554" s="2"/>
      <c r="N554" s="2"/>
      <c r="O554" s="2"/>
      <c r="P554" s="2"/>
      <c r="Q554" s="2"/>
      <c r="R554" s="2"/>
      <c r="S554" s="2"/>
      <c r="T554" s="2"/>
      <c r="U554" s="2"/>
      <c r="V554" s="2"/>
      <c r="W554" s="2"/>
    </row>
    <row r="555">
      <c r="A555" s="2"/>
      <c r="B555" s="2"/>
      <c r="C555" s="2"/>
      <c r="D555" s="2"/>
      <c r="E555" s="2"/>
      <c r="F555" s="2"/>
      <c r="G555" s="2"/>
      <c r="H555" s="2"/>
      <c r="I555" s="2"/>
      <c r="J555" s="2"/>
      <c r="K555" s="2"/>
      <c r="L555" s="2"/>
      <c r="M555" s="2"/>
      <c r="N555" s="2"/>
      <c r="O555" s="2"/>
      <c r="P555" s="2"/>
      <c r="Q555" s="2"/>
      <c r="R555" s="2"/>
      <c r="S555" s="2"/>
      <c r="T555" s="2"/>
      <c r="U555" s="2"/>
      <c r="V555" s="2"/>
      <c r="W555" s="2"/>
    </row>
    <row r="556">
      <c r="A556" s="2"/>
      <c r="B556" s="2"/>
      <c r="C556" s="2"/>
      <c r="D556" s="2"/>
      <c r="E556" s="2"/>
      <c r="F556" s="2"/>
      <c r="G556" s="2"/>
      <c r="H556" s="2"/>
      <c r="I556" s="2"/>
      <c r="J556" s="2"/>
      <c r="K556" s="2"/>
      <c r="L556" s="2"/>
      <c r="M556" s="2"/>
      <c r="N556" s="2"/>
      <c r="O556" s="2"/>
      <c r="P556" s="2"/>
      <c r="Q556" s="2"/>
      <c r="R556" s="2"/>
      <c r="S556" s="2"/>
      <c r="T556" s="2"/>
      <c r="U556" s="2"/>
      <c r="V556" s="2"/>
      <c r="W556" s="2"/>
    </row>
    <row r="557">
      <c r="A557" s="2"/>
      <c r="B557" s="2"/>
      <c r="C557" s="2"/>
      <c r="D557" s="2"/>
      <c r="E557" s="2"/>
      <c r="F557" s="2"/>
      <c r="G557" s="2"/>
      <c r="H557" s="2"/>
      <c r="I557" s="2"/>
      <c r="J557" s="2"/>
      <c r="K557" s="2"/>
      <c r="L557" s="2"/>
      <c r="M557" s="2"/>
      <c r="N557" s="2"/>
      <c r="O557" s="2"/>
      <c r="P557" s="2"/>
      <c r="Q557" s="2"/>
      <c r="R557" s="2"/>
      <c r="S557" s="2"/>
      <c r="T557" s="2"/>
      <c r="U557" s="2"/>
      <c r="V557" s="2"/>
      <c r="W557" s="2"/>
    </row>
    <row r="558">
      <c r="A558" s="2"/>
      <c r="B558" s="2"/>
      <c r="C558" s="2"/>
      <c r="D558" s="2"/>
      <c r="E558" s="2"/>
      <c r="F558" s="2"/>
      <c r="G558" s="2"/>
      <c r="H558" s="2"/>
      <c r="I558" s="2"/>
      <c r="J558" s="2"/>
      <c r="K558" s="2"/>
      <c r="L558" s="2"/>
      <c r="M558" s="2"/>
      <c r="N558" s="2"/>
      <c r="O558" s="2"/>
      <c r="P558" s="2"/>
      <c r="Q558" s="2"/>
      <c r="R558" s="2"/>
      <c r="S558" s="2"/>
      <c r="T558" s="2"/>
      <c r="U558" s="2"/>
      <c r="V558" s="2"/>
      <c r="W558" s="2"/>
    </row>
    <row r="559">
      <c r="A559" s="2"/>
      <c r="B559" s="2"/>
      <c r="C559" s="2"/>
      <c r="D559" s="2"/>
      <c r="E559" s="2"/>
      <c r="F559" s="2"/>
      <c r="G559" s="2"/>
      <c r="H559" s="2"/>
      <c r="I559" s="2"/>
      <c r="J559" s="2"/>
      <c r="K559" s="2"/>
      <c r="L559" s="2"/>
      <c r="M559" s="2"/>
      <c r="N559" s="2"/>
      <c r="O559" s="2"/>
      <c r="P559" s="2"/>
      <c r="Q559" s="2"/>
      <c r="R559" s="2"/>
      <c r="S559" s="2"/>
      <c r="T559" s="2"/>
      <c r="U559" s="2"/>
      <c r="V559" s="2"/>
      <c r="W559" s="2"/>
    </row>
    <row r="560">
      <c r="A560" s="2"/>
      <c r="B560" s="2"/>
      <c r="C560" s="2"/>
      <c r="D560" s="2"/>
      <c r="E560" s="2"/>
      <c r="F560" s="2"/>
      <c r="G560" s="2"/>
      <c r="H560" s="2"/>
      <c r="I560" s="2"/>
      <c r="J560" s="2"/>
      <c r="K560" s="2"/>
      <c r="L560" s="2"/>
      <c r="M560" s="2"/>
      <c r="N560" s="2"/>
      <c r="O560" s="2"/>
      <c r="P560" s="2"/>
      <c r="Q560" s="2"/>
      <c r="R560" s="2"/>
      <c r="S560" s="2"/>
      <c r="T560" s="2"/>
      <c r="U560" s="2"/>
      <c r="V560" s="2"/>
      <c r="W560" s="2"/>
    </row>
    <row r="561">
      <c r="A561" s="2"/>
      <c r="B561" s="2"/>
      <c r="C561" s="2"/>
      <c r="D561" s="2"/>
      <c r="E561" s="2"/>
      <c r="F561" s="2"/>
      <c r="G561" s="2"/>
      <c r="H561" s="2"/>
      <c r="I561" s="2"/>
      <c r="J561" s="2"/>
      <c r="K561" s="2"/>
      <c r="L561" s="2"/>
      <c r="M561" s="2"/>
      <c r="N561" s="2"/>
      <c r="O561" s="2"/>
      <c r="P561" s="2"/>
      <c r="Q561" s="2"/>
      <c r="R561" s="2"/>
      <c r="S561" s="2"/>
      <c r="T561" s="2"/>
      <c r="U561" s="2"/>
      <c r="V561" s="2"/>
      <c r="W561" s="2"/>
    </row>
    <row r="562">
      <c r="A562" s="2"/>
      <c r="B562" s="2"/>
      <c r="C562" s="2"/>
      <c r="D562" s="2"/>
      <c r="E562" s="2"/>
      <c r="F562" s="2"/>
      <c r="G562" s="2"/>
      <c r="H562" s="2"/>
      <c r="I562" s="2"/>
      <c r="J562" s="2"/>
      <c r="K562" s="2"/>
      <c r="L562" s="2"/>
      <c r="M562" s="2"/>
      <c r="N562" s="2"/>
      <c r="O562" s="2"/>
      <c r="P562" s="2"/>
      <c r="Q562" s="2"/>
      <c r="R562" s="2"/>
      <c r="S562" s="2"/>
      <c r="T562" s="2"/>
      <c r="U562" s="2"/>
      <c r="V562" s="2"/>
      <c r="W562" s="2"/>
    </row>
    <row r="563">
      <c r="A563" s="2"/>
      <c r="B563" s="2"/>
      <c r="C563" s="2"/>
      <c r="D563" s="2"/>
      <c r="E563" s="2"/>
      <c r="F563" s="2"/>
      <c r="G563" s="2"/>
      <c r="H563" s="2"/>
      <c r="I563" s="2"/>
      <c r="J563" s="2"/>
      <c r="K563" s="2"/>
      <c r="L563" s="2"/>
      <c r="M563" s="2"/>
      <c r="N563" s="2"/>
      <c r="O563" s="2"/>
      <c r="P563" s="2"/>
      <c r="Q563" s="2"/>
      <c r="R563" s="2"/>
      <c r="S563" s="2"/>
      <c r="T563" s="2"/>
      <c r="U563" s="2"/>
      <c r="V563" s="2"/>
      <c r="W563" s="2"/>
    </row>
    <row r="564">
      <c r="A564" s="2"/>
      <c r="B564" s="2"/>
      <c r="C564" s="2"/>
      <c r="D564" s="2"/>
      <c r="E564" s="2"/>
      <c r="F564" s="2"/>
      <c r="G564" s="2"/>
      <c r="H564" s="2"/>
      <c r="I564" s="2"/>
      <c r="J564" s="2"/>
      <c r="K564" s="2"/>
      <c r="L564" s="2"/>
      <c r="M564" s="2"/>
      <c r="N564" s="2"/>
      <c r="O564" s="2"/>
      <c r="P564" s="2"/>
      <c r="Q564" s="2"/>
      <c r="R564" s="2"/>
      <c r="S564" s="2"/>
      <c r="T564" s="2"/>
      <c r="U564" s="2"/>
      <c r="V564" s="2"/>
      <c r="W564" s="2"/>
    </row>
    <row r="565">
      <c r="A565" s="2"/>
      <c r="B565" s="2"/>
      <c r="C565" s="2"/>
      <c r="D565" s="2"/>
      <c r="E565" s="2"/>
      <c r="F565" s="2"/>
      <c r="G565" s="2"/>
      <c r="H565" s="2"/>
      <c r="I565" s="2"/>
      <c r="J565" s="2"/>
      <c r="K565" s="2"/>
      <c r="L565" s="2"/>
      <c r="M565" s="2"/>
      <c r="N565" s="2"/>
      <c r="O565" s="2"/>
      <c r="P565" s="2"/>
      <c r="Q565" s="2"/>
      <c r="R565" s="2"/>
      <c r="S565" s="2"/>
      <c r="T565" s="2"/>
      <c r="U565" s="2"/>
      <c r="V565" s="2"/>
      <c r="W565" s="2"/>
    </row>
    <row r="566">
      <c r="A566" s="2"/>
      <c r="B566" s="2"/>
      <c r="C566" s="2"/>
      <c r="D566" s="2"/>
      <c r="E566" s="2"/>
      <c r="F566" s="2"/>
      <c r="G566" s="2"/>
      <c r="H566" s="2"/>
      <c r="I566" s="2"/>
      <c r="J566" s="2"/>
      <c r="K566" s="2"/>
      <c r="L566" s="2"/>
      <c r="M566" s="2"/>
      <c r="N566" s="2"/>
      <c r="O566" s="2"/>
      <c r="P566" s="2"/>
      <c r="Q566" s="2"/>
      <c r="R566" s="2"/>
      <c r="S566" s="2"/>
      <c r="T566" s="2"/>
      <c r="U566" s="2"/>
      <c r="V566" s="2"/>
      <c r="W566" s="2"/>
    </row>
    <row r="567">
      <c r="A567" s="2"/>
      <c r="B567" s="2"/>
      <c r="C567" s="2"/>
      <c r="D567" s="2"/>
      <c r="E567" s="2"/>
      <c r="F567" s="2"/>
      <c r="G567" s="2"/>
      <c r="H567" s="2"/>
      <c r="I567" s="2"/>
      <c r="J567" s="2"/>
      <c r="K567" s="2"/>
      <c r="L567" s="2"/>
      <c r="M567" s="2"/>
      <c r="N567" s="2"/>
      <c r="O567" s="2"/>
      <c r="P567" s="2"/>
      <c r="Q567" s="2"/>
      <c r="R567" s="2"/>
      <c r="S567" s="2"/>
      <c r="T567" s="2"/>
      <c r="U567" s="2"/>
      <c r="V567" s="2"/>
      <c r="W567" s="2"/>
    </row>
    <row r="568">
      <c r="A568" s="2"/>
      <c r="B568" s="2"/>
      <c r="C568" s="2"/>
      <c r="D568" s="2"/>
      <c r="E568" s="2"/>
      <c r="F568" s="2"/>
      <c r="G568" s="2"/>
      <c r="H568" s="2"/>
      <c r="I568" s="2"/>
      <c r="J568" s="2"/>
      <c r="K568" s="2"/>
      <c r="L568" s="2"/>
      <c r="M568" s="2"/>
      <c r="N568" s="2"/>
      <c r="O568" s="2"/>
      <c r="P568" s="2"/>
      <c r="Q568" s="2"/>
      <c r="R568" s="2"/>
      <c r="S568" s="2"/>
      <c r="T568" s="2"/>
      <c r="U568" s="2"/>
      <c r="V568" s="2"/>
      <c r="W568" s="2"/>
    </row>
    <row r="569">
      <c r="A569" s="2"/>
      <c r="B569" s="2"/>
      <c r="C569" s="2"/>
      <c r="D569" s="2"/>
      <c r="E569" s="2"/>
      <c r="F569" s="2"/>
      <c r="G569" s="2"/>
      <c r="H569" s="2"/>
      <c r="I569" s="2"/>
      <c r="J569" s="2"/>
      <c r="K569" s="2"/>
      <c r="L569" s="2"/>
      <c r="M569" s="2"/>
      <c r="N569" s="2"/>
      <c r="O569" s="2"/>
      <c r="P569" s="2"/>
      <c r="Q569" s="2"/>
      <c r="R569" s="2"/>
      <c r="S569" s="2"/>
      <c r="T569" s="2"/>
      <c r="U569" s="2"/>
      <c r="V569" s="2"/>
      <c r="W569" s="2"/>
    </row>
    <row r="570">
      <c r="A570" s="2"/>
      <c r="B570" s="2"/>
      <c r="C570" s="2"/>
      <c r="D570" s="2"/>
      <c r="E570" s="2"/>
      <c r="F570" s="2"/>
      <c r="G570" s="2"/>
      <c r="H570" s="2"/>
      <c r="I570" s="2"/>
      <c r="J570" s="2"/>
      <c r="K570" s="2"/>
      <c r="L570" s="2"/>
      <c r="M570" s="2"/>
      <c r="N570" s="2"/>
      <c r="O570" s="2"/>
      <c r="P570" s="2"/>
      <c r="Q570" s="2"/>
      <c r="R570" s="2"/>
      <c r="S570" s="2"/>
      <c r="T570" s="2"/>
      <c r="U570" s="2"/>
      <c r="V570" s="2"/>
      <c r="W570" s="2"/>
    </row>
    <row r="571">
      <c r="A571" s="2"/>
      <c r="B571" s="2"/>
      <c r="C571" s="2"/>
      <c r="D571" s="2"/>
      <c r="E571" s="2"/>
      <c r="F571" s="2"/>
      <c r="G571" s="2"/>
      <c r="H571" s="2"/>
      <c r="I571" s="2"/>
      <c r="J571" s="2"/>
      <c r="K571" s="2"/>
      <c r="L571" s="2"/>
      <c r="M571" s="2"/>
      <c r="N571" s="2"/>
      <c r="O571" s="2"/>
      <c r="P571" s="2"/>
      <c r="Q571" s="2"/>
      <c r="R571" s="2"/>
      <c r="S571" s="2"/>
      <c r="T571" s="2"/>
      <c r="U571" s="2"/>
      <c r="V571" s="2"/>
      <c r="W571" s="2"/>
    </row>
    <row r="572">
      <c r="A572" s="2"/>
      <c r="B572" s="2"/>
      <c r="C572" s="2"/>
      <c r="D572" s="2"/>
      <c r="E572" s="2"/>
      <c r="F572" s="2"/>
      <c r="G572" s="2"/>
      <c r="H572" s="2"/>
      <c r="I572" s="2"/>
      <c r="J572" s="2"/>
      <c r="K572" s="2"/>
      <c r="L572" s="2"/>
      <c r="M572" s="2"/>
      <c r="N572" s="2"/>
      <c r="O572" s="2"/>
      <c r="P572" s="2"/>
      <c r="Q572" s="2"/>
      <c r="R572" s="2"/>
      <c r="S572" s="2"/>
      <c r="T572" s="2"/>
      <c r="U572" s="2"/>
      <c r="V572" s="2"/>
      <c r="W572" s="2"/>
    </row>
    <row r="573">
      <c r="A573" s="2"/>
      <c r="B573" s="2"/>
      <c r="C573" s="2"/>
      <c r="D573" s="2"/>
      <c r="E573" s="2"/>
      <c r="F573" s="2"/>
      <c r="G573" s="2"/>
      <c r="H573" s="2"/>
      <c r="I573" s="2"/>
      <c r="J573" s="2"/>
      <c r="K573" s="2"/>
      <c r="L573" s="2"/>
      <c r="M573" s="2"/>
      <c r="N573" s="2"/>
      <c r="O573" s="2"/>
      <c r="P573" s="2"/>
      <c r="Q573" s="2"/>
      <c r="R573" s="2"/>
      <c r="S573" s="2"/>
      <c r="T573" s="2"/>
      <c r="U573" s="2"/>
      <c r="V573" s="2"/>
      <c r="W573" s="2"/>
    </row>
    <row r="574">
      <c r="A574" s="2"/>
      <c r="B574" s="2"/>
      <c r="C574" s="2"/>
      <c r="D574" s="2"/>
      <c r="E574" s="2"/>
      <c r="F574" s="2"/>
      <c r="G574" s="2"/>
      <c r="H574" s="2"/>
      <c r="I574" s="2"/>
      <c r="J574" s="2"/>
      <c r="K574" s="2"/>
      <c r="L574" s="2"/>
      <c r="M574" s="2"/>
      <c r="N574" s="2"/>
      <c r="O574" s="2"/>
      <c r="P574" s="2"/>
      <c r="Q574" s="2"/>
      <c r="R574" s="2"/>
      <c r="S574" s="2"/>
      <c r="T574" s="2"/>
      <c r="U574" s="2"/>
      <c r="V574" s="2"/>
      <c r="W574" s="2"/>
    </row>
    <row r="575">
      <c r="A575" s="2"/>
      <c r="B575" s="2"/>
      <c r="C575" s="2"/>
      <c r="D575" s="2"/>
      <c r="E575" s="2"/>
      <c r="F575" s="2"/>
      <c r="G575" s="2"/>
      <c r="H575" s="2"/>
      <c r="I575" s="2"/>
      <c r="J575" s="2"/>
      <c r="K575" s="2"/>
      <c r="L575" s="2"/>
      <c r="M575" s="2"/>
      <c r="N575" s="2"/>
      <c r="O575" s="2"/>
      <c r="P575" s="2"/>
      <c r="Q575" s="2"/>
      <c r="R575" s="2"/>
      <c r="S575" s="2"/>
      <c r="T575" s="2"/>
      <c r="U575" s="2"/>
      <c r="V575" s="2"/>
      <c r="W575" s="2"/>
    </row>
    <row r="576">
      <c r="A576" s="2"/>
      <c r="B576" s="2"/>
      <c r="C576" s="2"/>
      <c r="D576" s="2"/>
      <c r="E576" s="2"/>
      <c r="F576" s="2"/>
      <c r="G576" s="2"/>
      <c r="H576" s="2"/>
      <c r="I576" s="2"/>
      <c r="J576" s="2"/>
      <c r="K576" s="2"/>
      <c r="L576" s="2"/>
      <c r="M576" s="2"/>
      <c r="N576" s="2"/>
      <c r="O576" s="2"/>
      <c r="P576" s="2"/>
      <c r="Q576" s="2"/>
      <c r="R576" s="2"/>
      <c r="S576" s="2"/>
      <c r="T576" s="2"/>
      <c r="U576" s="2"/>
      <c r="V576" s="2"/>
      <c r="W576" s="2"/>
    </row>
    <row r="577">
      <c r="A577" s="2"/>
      <c r="B577" s="2"/>
      <c r="C577" s="2"/>
      <c r="D577" s="2"/>
      <c r="E577" s="2"/>
      <c r="F577" s="2"/>
      <c r="G577" s="2"/>
      <c r="H577" s="2"/>
      <c r="I577" s="2"/>
      <c r="J577" s="2"/>
      <c r="K577" s="2"/>
      <c r="L577" s="2"/>
      <c r="M577" s="2"/>
      <c r="N577" s="2"/>
      <c r="O577" s="2"/>
      <c r="P577" s="2"/>
      <c r="Q577" s="2"/>
      <c r="R577" s="2"/>
      <c r="S577" s="2"/>
      <c r="T577" s="2"/>
      <c r="U577" s="2"/>
      <c r="V577" s="2"/>
      <c r="W577" s="2"/>
    </row>
    <row r="578">
      <c r="A578" s="2"/>
      <c r="B578" s="2"/>
      <c r="C578" s="2"/>
      <c r="D578" s="2"/>
      <c r="E578" s="2"/>
      <c r="F578" s="2"/>
      <c r="G578" s="2"/>
      <c r="H578" s="2"/>
      <c r="I578" s="2"/>
      <c r="J578" s="2"/>
      <c r="K578" s="2"/>
      <c r="L578" s="2"/>
      <c r="M578" s="2"/>
      <c r="N578" s="2"/>
      <c r="O578" s="2"/>
      <c r="P578" s="2"/>
      <c r="Q578" s="2"/>
      <c r="R578" s="2"/>
      <c r="S578" s="2"/>
      <c r="T578" s="2"/>
      <c r="U578" s="2"/>
      <c r="V578" s="2"/>
      <c r="W578" s="2"/>
    </row>
    <row r="579">
      <c r="A579" s="2"/>
      <c r="B579" s="2"/>
      <c r="C579" s="2"/>
      <c r="D579" s="2"/>
      <c r="E579" s="2"/>
      <c r="F579" s="2"/>
      <c r="G579" s="2"/>
      <c r="H579" s="2"/>
      <c r="I579" s="2"/>
      <c r="J579" s="2"/>
      <c r="K579" s="2"/>
      <c r="L579" s="2"/>
      <c r="M579" s="2"/>
      <c r="N579" s="2"/>
      <c r="O579" s="2"/>
      <c r="P579" s="2"/>
      <c r="Q579" s="2"/>
      <c r="R579" s="2"/>
      <c r="S579" s="2"/>
      <c r="T579" s="2"/>
      <c r="U579" s="2"/>
      <c r="V579" s="2"/>
      <c r="W579" s="2"/>
    </row>
    <row r="580">
      <c r="A580" s="2"/>
      <c r="B580" s="2"/>
      <c r="C580" s="2"/>
      <c r="D580" s="2"/>
      <c r="E580" s="2"/>
      <c r="F580" s="2"/>
      <c r="G580" s="2"/>
      <c r="H580" s="2"/>
      <c r="I580" s="2"/>
      <c r="J580" s="2"/>
      <c r="K580" s="2"/>
      <c r="L580" s="2"/>
      <c r="M580" s="2"/>
      <c r="N580" s="2"/>
      <c r="O580" s="2"/>
      <c r="P580" s="2"/>
      <c r="Q580" s="2"/>
      <c r="R580" s="2"/>
      <c r="S580" s="2"/>
      <c r="T580" s="2"/>
      <c r="U580" s="2"/>
      <c r="V580" s="2"/>
      <c r="W580" s="2"/>
    </row>
    <row r="581">
      <c r="A581" s="2"/>
      <c r="B581" s="2"/>
      <c r="C581" s="2"/>
      <c r="D581" s="2"/>
      <c r="E581" s="2"/>
      <c r="F581" s="2"/>
      <c r="G581" s="2"/>
      <c r="H581" s="2"/>
      <c r="I581" s="2"/>
      <c r="J581" s="2"/>
      <c r="K581" s="2"/>
      <c r="L581" s="2"/>
      <c r="M581" s="2"/>
      <c r="N581" s="2"/>
      <c r="O581" s="2"/>
      <c r="P581" s="2"/>
      <c r="Q581" s="2"/>
      <c r="R581" s="2"/>
      <c r="S581" s="2"/>
      <c r="T581" s="2"/>
      <c r="U581" s="2"/>
      <c r="V581" s="2"/>
      <c r="W581" s="2"/>
    </row>
    <row r="582">
      <c r="A582" s="2"/>
      <c r="B582" s="2"/>
      <c r="C582" s="2"/>
      <c r="D582" s="2"/>
      <c r="E582" s="2"/>
      <c r="F582" s="2"/>
      <c r="G582" s="2"/>
      <c r="H582" s="2"/>
      <c r="I582" s="2"/>
      <c r="J582" s="2"/>
      <c r="K582" s="2"/>
      <c r="L582" s="2"/>
      <c r="M582" s="2"/>
      <c r="N582" s="2"/>
      <c r="O582" s="2"/>
      <c r="P582" s="2"/>
      <c r="Q582" s="2"/>
      <c r="R582" s="2"/>
      <c r="S582" s="2"/>
      <c r="T582" s="2"/>
      <c r="U582" s="2"/>
      <c r="V582" s="2"/>
      <c r="W582" s="2"/>
    </row>
    <row r="583">
      <c r="A583" s="2"/>
      <c r="B583" s="2"/>
      <c r="C583" s="2"/>
      <c r="D583" s="2"/>
      <c r="E583" s="2"/>
      <c r="F583" s="2"/>
      <c r="G583" s="2"/>
      <c r="H583" s="2"/>
      <c r="I583" s="2"/>
      <c r="J583" s="2"/>
      <c r="K583" s="2"/>
      <c r="L583" s="2"/>
      <c r="M583" s="2"/>
      <c r="N583" s="2"/>
      <c r="O583" s="2"/>
      <c r="P583" s="2"/>
      <c r="Q583" s="2"/>
      <c r="R583" s="2"/>
      <c r="S583" s="2"/>
      <c r="T583" s="2"/>
      <c r="U583" s="2"/>
      <c r="V583" s="2"/>
      <c r="W583" s="2"/>
    </row>
    <row r="584">
      <c r="A584" s="2"/>
      <c r="B584" s="2"/>
      <c r="C584" s="2"/>
      <c r="D584" s="2"/>
      <c r="E584" s="2"/>
      <c r="F584" s="2"/>
      <c r="G584" s="2"/>
      <c r="H584" s="2"/>
      <c r="I584" s="2"/>
      <c r="J584" s="2"/>
      <c r="K584" s="2"/>
      <c r="L584" s="2"/>
      <c r="M584" s="2"/>
      <c r="N584" s="2"/>
      <c r="O584" s="2"/>
      <c r="P584" s="2"/>
      <c r="Q584" s="2"/>
      <c r="R584" s="2"/>
      <c r="S584" s="2"/>
      <c r="T584" s="2"/>
      <c r="U584" s="2"/>
      <c r="V584" s="2"/>
      <c r="W584" s="2"/>
    </row>
    <row r="585">
      <c r="A585" s="2"/>
      <c r="B585" s="2"/>
      <c r="C585" s="2"/>
      <c r="D585" s="2"/>
      <c r="E585" s="2"/>
      <c r="F585" s="2"/>
      <c r="G585" s="2"/>
      <c r="H585" s="2"/>
      <c r="I585" s="2"/>
      <c r="J585" s="2"/>
      <c r="K585" s="2"/>
      <c r="L585" s="2"/>
      <c r="M585" s="2"/>
      <c r="N585" s="2"/>
      <c r="O585" s="2"/>
      <c r="P585" s="2"/>
      <c r="Q585" s="2"/>
      <c r="R585" s="2"/>
      <c r="S585" s="2"/>
      <c r="T585" s="2"/>
      <c r="U585" s="2"/>
      <c r="V585" s="2"/>
      <c r="W585" s="2"/>
    </row>
    <row r="586">
      <c r="A586" s="2"/>
      <c r="B586" s="2"/>
      <c r="C586" s="2"/>
      <c r="D586" s="2"/>
      <c r="E586" s="2"/>
      <c r="F586" s="2"/>
      <c r="G586" s="2"/>
      <c r="H586" s="2"/>
      <c r="I586" s="2"/>
      <c r="J586" s="2"/>
      <c r="K586" s="2"/>
      <c r="L586" s="2"/>
      <c r="M586" s="2"/>
      <c r="N586" s="2"/>
      <c r="O586" s="2"/>
      <c r="P586" s="2"/>
      <c r="Q586" s="2"/>
      <c r="R586" s="2"/>
      <c r="S586" s="2"/>
      <c r="T586" s="2"/>
      <c r="U586" s="2"/>
      <c r="V586" s="2"/>
      <c r="W586" s="2"/>
    </row>
    <row r="587">
      <c r="A587" s="2"/>
      <c r="B587" s="2"/>
      <c r="C587" s="2"/>
      <c r="D587" s="2"/>
      <c r="E587" s="2"/>
      <c r="F587" s="2"/>
      <c r="G587" s="2"/>
      <c r="H587" s="2"/>
      <c r="I587" s="2"/>
      <c r="J587" s="2"/>
      <c r="K587" s="2"/>
      <c r="L587" s="2"/>
      <c r="M587" s="2"/>
      <c r="N587" s="2"/>
      <c r="O587" s="2"/>
      <c r="P587" s="2"/>
      <c r="Q587" s="2"/>
      <c r="R587" s="2"/>
      <c r="S587" s="2"/>
      <c r="T587" s="2"/>
      <c r="U587" s="2"/>
      <c r="V587" s="2"/>
      <c r="W587" s="2"/>
    </row>
    <row r="588">
      <c r="A588" s="2"/>
      <c r="B588" s="2"/>
      <c r="C588" s="2"/>
      <c r="D588" s="2"/>
      <c r="E588" s="2"/>
      <c r="F588" s="2"/>
      <c r="G588" s="2"/>
      <c r="H588" s="2"/>
      <c r="I588" s="2"/>
      <c r="J588" s="2"/>
      <c r="K588" s="2"/>
      <c r="L588" s="2"/>
      <c r="M588" s="2"/>
      <c r="N588" s="2"/>
      <c r="O588" s="2"/>
      <c r="P588" s="2"/>
      <c r="Q588" s="2"/>
      <c r="R588" s="2"/>
      <c r="S588" s="2"/>
      <c r="T588" s="2"/>
      <c r="U588" s="2"/>
      <c r="V588" s="2"/>
      <c r="W588" s="2"/>
    </row>
    <row r="589">
      <c r="A589" s="2"/>
      <c r="B589" s="2"/>
      <c r="C589" s="2"/>
      <c r="D589" s="2"/>
      <c r="E589" s="2"/>
      <c r="F589" s="2"/>
      <c r="G589" s="2"/>
      <c r="H589" s="2"/>
      <c r="I589" s="2"/>
      <c r="J589" s="2"/>
      <c r="K589" s="2"/>
      <c r="L589" s="2"/>
      <c r="M589" s="2"/>
      <c r="N589" s="2"/>
      <c r="O589" s="2"/>
      <c r="P589" s="2"/>
      <c r="Q589" s="2"/>
      <c r="R589" s="2"/>
      <c r="S589" s="2"/>
      <c r="T589" s="2"/>
      <c r="U589" s="2"/>
      <c r="V589" s="2"/>
      <c r="W589" s="2"/>
    </row>
    <row r="590">
      <c r="A590" s="2"/>
      <c r="B590" s="2"/>
      <c r="C590" s="2"/>
      <c r="D590" s="2"/>
      <c r="E590" s="2"/>
      <c r="F590" s="2"/>
      <c r="G590" s="2"/>
      <c r="H590" s="2"/>
      <c r="I590" s="2"/>
      <c r="J590" s="2"/>
      <c r="K590" s="2"/>
      <c r="L590" s="2"/>
      <c r="M590" s="2"/>
      <c r="N590" s="2"/>
      <c r="O590" s="2"/>
      <c r="P590" s="2"/>
      <c r="Q590" s="2"/>
      <c r="R590" s="2"/>
      <c r="S590" s="2"/>
      <c r="T590" s="2"/>
      <c r="U590" s="2"/>
      <c r="V590" s="2"/>
      <c r="W590" s="2"/>
    </row>
    <row r="591">
      <c r="A591" s="2"/>
      <c r="B591" s="2"/>
      <c r="C591" s="2"/>
      <c r="D591" s="2"/>
      <c r="E591" s="2"/>
      <c r="F591" s="2"/>
      <c r="G591" s="2"/>
      <c r="H591" s="2"/>
      <c r="I591" s="2"/>
      <c r="J591" s="2"/>
      <c r="K591" s="2"/>
      <c r="L591" s="2"/>
      <c r="M591" s="2"/>
      <c r="N591" s="2"/>
      <c r="O591" s="2"/>
      <c r="P591" s="2"/>
      <c r="Q591" s="2"/>
      <c r="R591" s="2"/>
      <c r="S591" s="2"/>
      <c r="T591" s="2"/>
      <c r="U591" s="2"/>
      <c r="V591" s="2"/>
      <c r="W591" s="2"/>
    </row>
    <row r="592">
      <c r="A592" s="2"/>
      <c r="B592" s="2"/>
      <c r="C592" s="2"/>
      <c r="D592" s="2"/>
      <c r="E592" s="2"/>
      <c r="F592" s="2"/>
      <c r="G592" s="2"/>
      <c r="H592" s="2"/>
      <c r="I592" s="2"/>
      <c r="J592" s="2"/>
      <c r="K592" s="2"/>
      <c r="L592" s="2"/>
      <c r="M592" s="2"/>
      <c r="N592" s="2"/>
      <c r="O592" s="2"/>
      <c r="P592" s="2"/>
      <c r="Q592" s="2"/>
      <c r="R592" s="2"/>
      <c r="S592" s="2"/>
      <c r="T592" s="2"/>
      <c r="U592" s="2"/>
      <c r="V592" s="2"/>
      <c r="W592" s="2"/>
    </row>
    <row r="593">
      <c r="A593" s="2"/>
      <c r="B593" s="2"/>
      <c r="C593" s="2"/>
      <c r="D593" s="2"/>
      <c r="E593" s="2"/>
      <c r="F593" s="2"/>
      <c r="G593" s="2"/>
      <c r="H593" s="2"/>
      <c r="I593" s="2"/>
      <c r="J593" s="2"/>
      <c r="K593" s="2"/>
      <c r="L593" s="2"/>
      <c r="M593" s="2"/>
      <c r="N593" s="2"/>
      <c r="O593" s="2"/>
      <c r="P593" s="2"/>
      <c r="Q593" s="2"/>
      <c r="R593" s="2"/>
      <c r="S593" s="2"/>
      <c r="T593" s="2"/>
      <c r="U593" s="2"/>
      <c r="V593" s="2"/>
      <c r="W593" s="2"/>
    </row>
    <row r="594">
      <c r="A594" s="2"/>
      <c r="B594" s="2"/>
      <c r="C594" s="2"/>
      <c r="D594" s="2"/>
      <c r="E594" s="2"/>
      <c r="F594" s="2"/>
      <c r="G594" s="2"/>
      <c r="H594" s="2"/>
      <c r="I594" s="2"/>
      <c r="J594" s="2"/>
      <c r="K594" s="2"/>
      <c r="L594" s="2"/>
      <c r="M594" s="2"/>
      <c r="N594" s="2"/>
      <c r="O594" s="2"/>
      <c r="P594" s="2"/>
      <c r="Q594" s="2"/>
      <c r="R594" s="2"/>
      <c r="S594" s="2"/>
      <c r="T594" s="2"/>
      <c r="U594" s="2"/>
      <c r="V594" s="2"/>
      <c r="W594" s="2"/>
    </row>
    <row r="595">
      <c r="A595" s="2"/>
      <c r="B595" s="2"/>
      <c r="C595" s="2"/>
      <c r="D595" s="2"/>
      <c r="E595" s="2"/>
      <c r="F595" s="2"/>
      <c r="G595" s="2"/>
      <c r="H595" s="2"/>
      <c r="I595" s="2"/>
      <c r="J595" s="2"/>
      <c r="K595" s="2"/>
      <c r="L595" s="2"/>
      <c r="M595" s="2"/>
      <c r="N595" s="2"/>
      <c r="O595" s="2"/>
      <c r="P595" s="2"/>
      <c r="Q595" s="2"/>
      <c r="R595" s="2"/>
      <c r="S595" s="2"/>
      <c r="T595" s="2"/>
      <c r="U595" s="2"/>
      <c r="V595" s="2"/>
      <c r="W595" s="2"/>
    </row>
    <row r="596">
      <c r="A596" s="2"/>
      <c r="B596" s="2"/>
      <c r="C596" s="2"/>
      <c r="D596" s="2"/>
      <c r="E596" s="2"/>
      <c r="F596" s="2"/>
      <c r="G596" s="2"/>
      <c r="H596" s="2"/>
      <c r="I596" s="2"/>
      <c r="J596" s="2"/>
      <c r="K596" s="2"/>
      <c r="L596" s="2"/>
      <c r="M596" s="2"/>
      <c r="N596" s="2"/>
      <c r="O596" s="2"/>
      <c r="P596" s="2"/>
      <c r="Q596" s="2"/>
      <c r="R596" s="2"/>
      <c r="S596" s="2"/>
      <c r="T596" s="2"/>
      <c r="U596" s="2"/>
      <c r="V596" s="2"/>
      <c r="W596" s="2"/>
    </row>
    <row r="597">
      <c r="A597" s="2"/>
      <c r="B597" s="2"/>
      <c r="C597" s="2"/>
      <c r="D597" s="2"/>
      <c r="E597" s="2"/>
      <c r="F597" s="2"/>
      <c r="G597" s="2"/>
      <c r="H597" s="2"/>
      <c r="I597" s="2"/>
      <c r="J597" s="2"/>
      <c r="K597" s="2"/>
      <c r="L597" s="2"/>
      <c r="M597" s="2"/>
      <c r="N597" s="2"/>
      <c r="O597" s="2"/>
      <c r="P597" s="2"/>
      <c r="Q597" s="2"/>
      <c r="R597" s="2"/>
      <c r="S597" s="2"/>
      <c r="T597" s="2"/>
      <c r="U597" s="2"/>
      <c r="V597" s="2"/>
      <c r="W597" s="2"/>
    </row>
    <row r="598">
      <c r="A598" s="2"/>
      <c r="B598" s="2"/>
      <c r="C598" s="2"/>
      <c r="D598" s="2"/>
      <c r="E598" s="2"/>
      <c r="F598" s="2"/>
      <c r="G598" s="2"/>
      <c r="H598" s="2"/>
      <c r="I598" s="2"/>
      <c r="J598" s="2"/>
      <c r="K598" s="2"/>
      <c r="L598" s="2"/>
      <c r="M598" s="2"/>
      <c r="N598" s="2"/>
      <c r="O598" s="2"/>
      <c r="P598" s="2"/>
      <c r="Q598" s="2"/>
      <c r="R598" s="2"/>
      <c r="S598" s="2"/>
      <c r="T598" s="2"/>
      <c r="U598" s="2"/>
      <c r="V598" s="2"/>
      <c r="W598" s="2"/>
    </row>
    <row r="599">
      <c r="A599" s="2"/>
      <c r="B599" s="2"/>
      <c r="C599" s="2"/>
      <c r="D599" s="2"/>
      <c r="E599" s="2"/>
      <c r="F599" s="2"/>
      <c r="G599" s="2"/>
      <c r="H599" s="2"/>
      <c r="I599" s="2"/>
      <c r="J599" s="2"/>
      <c r="K599" s="2"/>
      <c r="L599" s="2"/>
      <c r="M599" s="2"/>
      <c r="N599" s="2"/>
      <c r="O599" s="2"/>
      <c r="P599" s="2"/>
      <c r="Q599" s="2"/>
      <c r="R599" s="2"/>
      <c r="S599" s="2"/>
      <c r="T599" s="2"/>
      <c r="U599" s="2"/>
      <c r="V599" s="2"/>
      <c r="W599" s="2"/>
    </row>
    <row r="600">
      <c r="A600" s="2"/>
      <c r="B600" s="2"/>
      <c r="C600" s="2"/>
      <c r="D600" s="2"/>
      <c r="E600" s="2"/>
      <c r="F600" s="2"/>
      <c r="G600" s="2"/>
      <c r="H600" s="2"/>
      <c r="I600" s="2"/>
      <c r="J600" s="2"/>
      <c r="K600" s="2"/>
      <c r="L600" s="2"/>
      <c r="M600" s="2"/>
      <c r="N600" s="2"/>
      <c r="O600" s="2"/>
      <c r="P600" s="2"/>
      <c r="Q600" s="2"/>
      <c r="R600" s="2"/>
      <c r="S600" s="2"/>
      <c r="T600" s="2"/>
      <c r="U600" s="2"/>
      <c r="V600" s="2"/>
      <c r="W600" s="2"/>
    </row>
    <row r="601">
      <c r="A601" s="2"/>
      <c r="B601" s="2"/>
      <c r="C601" s="2"/>
      <c r="D601" s="2"/>
      <c r="E601" s="2"/>
      <c r="F601" s="2"/>
      <c r="G601" s="2"/>
      <c r="H601" s="2"/>
      <c r="I601" s="2"/>
      <c r="J601" s="2"/>
      <c r="K601" s="2"/>
      <c r="L601" s="2"/>
      <c r="M601" s="2"/>
      <c r="N601" s="2"/>
      <c r="O601" s="2"/>
      <c r="P601" s="2"/>
      <c r="Q601" s="2"/>
      <c r="R601" s="2"/>
      <c r="S601" s="2"/>
      <c r="T601" s="2"/>
      <c r="U601" s="2"/>
      <c r="V601" s="2"/>
      <c r="W601" s="2"/>
    </row>
    <row r="602">
      <c r="A602" s="2"/>
      <c r="B602" s="2"/>
      <c r="C602" s="2"/>
      <c r="D602" s="2"/>
      <c r="E602" s="2"/>
      <c r="F602" s="2"/>
      <c r="G602" s="2"/>
      <c r="H602" s="2"/>
      <c r="I602" s="2"/>
      <c r="J602" s="2"/>
      <c r="K602" s="2"/>
      <c r="L602" s="2"/>
      <c r="M602" s="2"/>
      <c r="N602" s="2"/>
      <c r="O602" s="2"/>
      <c r="P602" s="2"/>
      <c r="Q602" s="2"/>
      <c r="R602" s="2"/>
      <c r="S602" s="2"/>
      <c r="T602" s="2"/>
      <c r="U602" s="2"/>
      <c r="V602" s="2"/>
      <c r="W602" s="2"/>
    </row>
    <row r="603">
      <c r="A603" s="2"/>
      <c r="B603" s="2"/>
      <c r="C603" s="2"/>
      <c r="D603" s="2"/>
      <c r="E603" s="2"/>
      <c r="F603" s="2"/>
      <c r="G603" s="2"/>
      <c r="H603" s="2"/>
      <c r="I603" s="2"/>
      <c r="J603" s="2"/>
      <c r="K603" s="2"/>
      <c r="L603" s="2"/>
      <c r="M603" s="2"/>
      <c r="N603" s="2"/>
      <c r="O603" s="2"/>
      <c r="P603" s="2"/>
      <c r="Q603" s="2"/>
      <c r="R603" s="2"/>
      <c r="S603" s="2"/>
      <c r="T603" s="2"/>
      <c r="U603" s="2"/>
      <c r="V603" s="2"/>
      <c r="W603" s="2"/>
    </row>
    <row r="604">
      <c r="A604" s="2"/>
      <c r="B604" s="2"/>
      <c r="C604" s="2"/>
      <c r="D604" s="2"/>
      <c r="E604" s="2"/>
      <c r="F604" s="2"/>
      <c r="G604" s="2"/>
      <c r="H604" s="2"/>
      <c r="I604" s="2"/>
      <c r="J604" s="2"/>
      <c r="K604" s="2"/>
      <c r="L604" s="2"/>
      <c r="M604" s="2"/>
      <c r="N604" s="2"/>
      <c r="O604" s="2"/>
      <c r="P604" s="2"/>
      <c r="Q604" s="2"/>
      <c r="R604" s="2"/>
      <c r="S604" s="2"/>
      <c r="T604" s="2"/>
      <c r="U604" s="2"/>
      <c r="V604" s="2"/>
      <c r="W604" s="2"/>
    </row>
    <row r="605">
      <c r="A605" s="2"/>
      <c r="B605" s="2"/>
      <c r="C605" s="2"/>
      <c r="D605" s="2"/>
      <c r="E605" s="2"/>
      <c r="F605" s="2"/>
      <c r="G605" s="2"/>
      <c r="H605" s="2"/>
      <c r="I605" s="2"/>
      <c r="J605" s="2"/>
      <c r="K605" s="2"/>
      <c r="L605" s="2"/>
      <c r="M605" s="2"/>
      <c r="N605" s="2"/>
      <c r="O605" s="2"/>
      <c r="P605" s="2"/>
      <c r="Q605" s="2"/>
      <c r="R605" s="2"/>
      <c r="S605" s="2"/>
      <c r="T605" s="2"/>
      <c r="U605" s="2"/>
      <c r="V605" s="2"/>
      <c r="W605" s="2"/>
    </row>
    <row r="606">
      <c r="A606" s="2"/>
      <c r="B606" s="2"/>
      <c r="C606" s="2"/>
      <c r="D606" s="2"/>
      <c r="E606" s="2"/>
      <c r="F606" s="2"/>
      <c r="G606" s="2"/>
      <c r="H606" s="2"/>
      <c r="I606" s="2"/>
      <c r="J606" s="2"/>
      <c r="K606" s="2"/>
      <c r="L606" s="2"/>
      <c r="M606" s="2"/>
      <c r="N606" s="2"/>
      <c r="O606" s="2"/>
      <c r="P606" s="2"/>
      <c r="Q606" s="2"/>
      <c r="R606" s="2"/>
      <c r="S606" s="2"/>
      <c r="T606" s="2"/>
      <c r="U606" s="2"/>
      <c r="V606" s="2"/>
      <c r="W606" s="2"/>
    </row>
    <row r="607">
      <c r="A607" s="2"/>
      <c r="B607" s="2"/>
      <c r="C607" s="2"/>
      <c r="D607" s="2"/>
      <c r="E607" s="2"/>
      <c r="F607" s="2"/>
      <c r="G607" s="2"/>
      <c r="H607" s="2"/>
      <c r="I607" s="2"/>
      <c r="J607" s="2"/>
      <c r="K607" s="2"/>
      <c r="L607" s="2"/>
      <c r="M607" s="2"/>
      <c r="N607" s="2"/>
      <c r="O607" s="2"/>
      <c r="P607" s="2"/>
      <c r="Q607" s="2"/>
      <c r="R607" s="2"/>
      <c r="S607" s="2"/>
      <c r="T607" s="2"/>
      <c r="U607" s="2"/>
      <c r="V607" s="2"/>
      <c r="W607" s="2"/>
    </row>
    <row r="608">
      <c r="A608" s="2"/>
      <c r="B608" s="2"/>
      <c r="C608" s="2"/>
      <c r="D608" s="2"/>
      <c r="E608" s="2"/>
      <c r="F608" s="2"/>
      <c r="G608" s="2"/>
      <c r="H608" s="2"/>
      <c r="I608" s="2"/>
      <c r="J608" s="2"/>
      <c r="K608" s="2"/>
      <c r="L608" s="2"/>
      <c r="M608" s="2"/>
      <c r="N608" s="2"/>
      <c r="O608" s="2"/>
      <c r="P608" s="2"/>
      <c r="Q608" s="2"/>
      <c r="R608" s="2"/>
      <c r="S608" s="2"/>
      <c r="T608" s="2"/>
      <c r="U608" s="2"/>
      <c r="V608" s="2"/>
      <c r="W608" s="2"/>
    </row>
    <row r="609">
      <c r="A609" s="2"/>
      <c r="B609" s="2"/>
      <c r="C609" s="2"/>
      <c r="D609" s="2"/>
      <c r="E609" s="2"/>
      <c r="F609" s="2"/>
      <c r="G609" s="2"/>
      <c r="H609" s="2"/>
      <c r="I609" s="2"/>
      <c r="J609" s="2"/>
      <c r="K609" s="2"/>
      <c r="L609" s="2"/>
      <c r="M609" s="2"/>
      <c r="N609" s="2"/>
      <c r="O609" s="2"/>
      <c r="P609" s="2"/>
      <c r="Q609" s="2"/>
      <c r="R609" s="2"/>
      <c r="S609" s="2"/>
      <c r="T609" s="2"/>
      <c r="U609" s="2"/>
      <c r="V609" s="2"/>
      <c r="W609" s="2"/>
    </row>
    <row r="610">
      <c r="A610" s="2"/>
      <c r="B610" s="2"/>
      <c r="C610" s="2"/>
      <c r="D610" s="2"/>
      <c r="E610" s="2"/>
      <c r="F610" s="2"/>
      <c r="G610" s="2"/>
      <c r="H610" s="2"/>
      <c r="I610" s="2"/>
      <c r="J610" s="2"/>
      <c r="K610" s="2"/>
      <c r="L610" s="2"/>
      <c r="M610" s="2"/>
      <c r="N610" s="2"/>
      <c r="O610" s="2"/>
      <c r="P610" s="2"/>
      <c r="Q610" s="2"/>
      <c r="R610" s="2"/>
      <c r="S610" s="2"/>
      <c r="T610" s="2"/>
      <c r="U610" s="2"/>
      <c r="V610" s="2"/>
      <c r="W610" s="2"/>
    </row>
    <row r="611">
      <c r="A611" s="2"/>
      <c r="B611" s="2"/>
      <c r="C611" s="2"/>
      <c r="D611" s="2"/>
      <c r="E611" s="2"/>
      <c r="F611" s="2"/>
      <c r="G611" s="2"/>
      <c r="H611" s="2"/>
      <c r="I611" s="2"/>
      <c r="J611" s="2"/>
      <c r="K611" s="2"/>
      <c r="L611" s="2"/>
      <c r="M611" s="2"/>
      <c r="N611" s="2"/>
      <c r="O611" s="2"/>
      <c r="P611" s="2"/>
      <c r="Q611" s="2"/>
      <c r="R611" s="2"/>
      <c r="S611" s="2"/>
      <c r="T611" s="2"/>
      <c r="U611" s="2"/>
      <c r="V611" s="2"/>
      <c r="W611" s="2"/>
    </row>
    <row r="612">
      <c r="A612" s="2"/>
      <c r="B612" s="2"/>
      <c r="C612" s="2"/>
      <c r="D612" s="2"/>
      <c r="E612" s="2"/>
      <c r="F612" s="2"/>
      <c r="G612" s="2"/>
      <c r="H612" s="2"/>
      <c r="I612" s="2"/>
      <c r="J612" s="2"/>
      <c r="K612" s="2"/>
      <c r="L612" s="2"/>
      <c r="M612" s="2"/>
      <c r="N612" s="2"/>
      <c r="O612" s="2"/>
      <c r="P612" s="2"/>
      <c r="Q612" s="2"/>
      <c r="R612" s="2"/>
      <c r="S612" s="2"/>
      <c r="T612" s="2"/>
      <c r="U612" s="2"/>
      <c r="V612" s="2"/>
      <c r="W612" s="2"/>
    </row>
    <row r="613">
      <c r="A613" s="2"/>
      <c r="B613" s="2"/>
      <c r="C613" s="2"/>
      <c r="D613" s="2"/>
      <c r="E613" s="2"/>
      <c r="F613" s="2"/>
      <c r="G613" s="2"/>
      <c r="H613" s="2"/>
      <c r="I613" s="2"/>
      <c r="J613" s="2"/>
      <c r="K613" s="2"/>
      <c r="L613" s="2"/>
      <c r="M613" s="2"/>
      <c r="N613" s="2"/>
      <c r="O613" s="2"/>
      <c r="P613" s="2"/>
      <c r="Q613" s="2"/>
      <c r="R613" s="2"/>
      <c r="S613" s="2"/>
      <c r="T613" s="2"/>
      <c r="U613" s="2"/>
      <c r="V613" s="2"/>
      <c r="W613" s="2"/>
    </row>
    <row r="614">
      <c r="A614" s="2"/>
      <c r="B614" s="2"/>
      <c r="C614" s="2"/>
      <c r="D614" s="2"/>
      <c r="E614" s="2"/>
      <c r="F614" s="2"/>
      <c r="G614" s="2"/>
      <c r="H614" s="2"/>
      <c r="I614" s="2"/>
      <c r="J614" s="2"/>
      <c r="K614" s="2"/>
      <c r="L614" s="2"/>
      <c r="M614" s="2"/>
      <c r="N614" s="2"/>
      <c r="O614" s="2"/>
      <c r="P614" s="2"/>
      <c r="Q614" s="2"/>
      <c r="R614" s="2"/>
      <c r="S614" s="2"/>
      <c r="T614" s="2"/>
      <c r="U614" s="2"/>
      <c r="V614" s="2"/>
      <c r="W614" s="2"/>
    </row>
    <row r="615">
      <c r="A615" s="2"/>
      <c r="B615" s="2"/>
      <c r="C615" s="2"/>
      <c r="D615" s="2"/>
      <c r="E615" s="2"/>
      <c r="F615" s="2"/>
      <c r="G615" s="2"/>
      <c r="H615" s="2"/>
      <c r="I615" s="2"/>
      <c r="J615" s="2"/>
      <c r="K615" s="2"/>
      <c r="L615" s="2"/>
      <c r="M615" s="2"/>
      <c r="N615" s="2"/>
      <c r="O615" s="2"/>
      <c r="P615" s="2"/>
      <c r="Q615" s="2"/>
      <c r="R615" s="2"/>
      <c r="S615" s="2"/>
      <c r="T615" s="2"/>
      <c r="U615" s="2"/>
      <c r="V615" s="2"/>
      <c r="W615" s="2"/>
    </row>
    <row r="616">
      <c r="A616" s="2"/>
      <c r="B616" s="2"/>
      <c r="C616" s="2"/>
      <c r="D616" s="2"/>
      <c r="E616" s="2"/>
      <c r="F616" s="2"/>
      <c r="G616" s="2"/>
      <c r="H616" s="2"/>
      <c r="I616" s="2"/>
      <c r="J616" s="2"/>
      <c r="K616" s="2"/>
      <c r="L616" s="2"/>
      <c r="M616" s="2"/>
      <c r="N616" s="2"/>
      <c r="O616" s="2"/>
      <c r="P616" s="2"/>
      <c r="Q616" s="2"/>
      <c r="R616" s="2"/>
      <c r="S616" s="2"/>
      <c r="T616" s="2"/>
      <c r="U616" s="2"/>
      <c r="V616" s="2"/>
      <c r="W616" s="2"/>
    </row>
    <row r="617">
      <c r="A617" s="2"/>
      <c r="B617" s="2"/>
      <c r="C617" s="2"/>
      <c r="D617" s="2"/>
      <c r="E617" s="2"/>
      <c r="F617" s="2"/>
      <c r="G617" s="2"/>
      <c r="H617" s="2"/>
      <c r="I617" s="2"/>
      <c r="J617" s="2"/>
      <c r="K617" s="2"/>
      <c r="L617" s="2"/>
      <c r="M617" s="2"/>
      <c r="N617" s="2"/>
      <c r="O617" s="2"/>
      <c r="P617" s="2"/>
      <c r="Q617" s="2"/>
      <c r="R617" s="2"/>
      <c r="S617" s="2"/>
      <c r="T617" s="2"/>
      <c r="U617" s="2"/>
      <c r="V617" s="2"/>
      <c r="W617" s="2"/>
    </row>
    <row r="618">
      <c r="A618" s="2"/>
      <c r="B618" s="2"/>
      <c r="C618" s="2"/>
      <c r="D618" s="2"/>
      <c r="E618" s="2"/>
      <c r="F618" s="2"/>
      <c r="G618" s="2"/>
      <c r="H618" s="2"/>
      <c r="I618" s="2"/>
      <c r="J618" s="2"/>
      <c r="K618" s="2"/>
      <c r="L618" s="2"/>
      <c r="M618" s="2"/>
      <c r="N618" s="2"/>
      <c r="O618" s="2"/>
      <c r="P618" s="2"/>
      <c r="Q618" s="2"/>
      <c r="R618" s="2"/>
      <c r="S618" s="2"/>
      <c r="T618" s="2"/>
      <c r="U618" s="2"/>
      <c r="V618" s="2"/>
      <c r="W618" s="2"/>
    </row>
    <row r="619">
      <c r="A619" s="2"/>
      <c r="B619" s="2"/>
      <c r="C619" s="2"/>
      <c r="D619" s="2"/>
      <c r="E619" s="2"/>
      <c r="F619" s="2"/>
      <c r="G619" s="2"/>
      <c r="H619" s="2"/>
      <c r="I619" s="2"/>
      <c r="J619" s="2"/>
      <c r="K619" s="2"/>
      <c r="L619" s="2"/>
      <c r="M619" s="2"/>
      <c r="N619" s="2"/>
      <c r="O619" s="2"/>
      <c r="P619" s="2"/>
      <c r="Q619" s="2"/>
      <c r="R619" s="2"/>
      <c r="S619" s="2"/>
      <c r="T619" s="2"/>
      <c r="U619" s="2"/>
      <c r="V619" s="2"/>
      <c r="W619" s="2"/>
    </row>
    <row r="620">
      <c r="A620" s="2"/>
      <c r="B620" s="2"/>
      <c r="C620" s="2"/>
      <c r="D620" s="2"/>
      <c r="E620" s="2"/>
      <c r="F620" s="2"/>
      <c r="G620" s="2"/>
      <c r="H620" s="2"/>
      <c r="I620" s="2"/>
      <c r="J620" s="2"/>
      <c r="K620" s="2"/>
      <c r="L620" s="2"/>
      <c r="M620" s="2"/>
      <c r="N620" s="2"/>
      <c r="O620" s="2"/>
      <c r="P620" s="2"/>
      <c r="Q620" s="2"/>
      <c r="R620" s="2"/>
      <c r="S620" s="2"/>
      <c r="T620" s="2"/>
      <c r="U620" s="2"/>
      <c r="V620" s="2"/>
      <c r="W620" s="2"/>
    </row>
    <row r="621">
      <c r="A621" s="2"/>
      <c r="B621" s="2"/>
      <c r="C621" s="2"/>
      <c r="D621" s="2"/>
      <c r="E621" s="2"/>
      <c r="F621" s="2"/>
      <c r="G621" s="2"/>
      <c r="H621" s="2"/>
      <c r="I621" s="2"/>
      <c r="J621" s="2"/>
      <c r="K621" s="2"/>
      <c r="L621" s="2"/>
      <c r="M621" s="2"/>
      <c r="N621" s="2"/>
      <c r="O621" s="2"/>
      <c r="P621" s="2"/>
      <c r="Q621" s="2"/>
      <c r="R621" s="2"/>
      <c r="S621" s="2"/>
      <c r="T621" s="2"/>
      <c r="U621" s="2"/>
      <c r="V621" s="2"/>
      <c r="W621" s="2"/>
    </row>
    <row r="622">
      <c r="A622" s="2"/>
      <c r="B622" s="2"/>
      <c r="C622" s="2"/>
      <c r="D622" s="2"/>
      <c r="E622" s="2"/>
      <c r="F622" s="2"/>
      <c r="G622" s="2"/>
      <c r="H622" s="2"/>
      <c r="I622" s="2"/>
      <c r="J622" s="2"/>
      <c r="K622" s="2"/>
      <c r="L622" s="2"/>
      <c r="M622" s="2"/>
      <c r="N622" s="2"/>
      <c r="O622" s="2"/>
      <c r="P622" s="2"/>
      <c r="Q622" s="2"/>
      <c r="R622" s="2"/>
      <c r="S622" s="2"/>
      <c r="T622" s="2"/>
      <c r="U622" s="2"/>
      <c r="V622" s="2"/>
      <c r="W622" s="2"/>
    </row>
    <row r="623">
      <c r="A623" s="2"/>
      <c r="B623" s="2"/>
      <c r="C623" s="2"/>
      <c r="D623" s="2"/>
      <c r="E623" s="2"/>
      <c r="F623" s="2"/>
      <c r="G623" s="2"/>
      <c r="H623" s="2"/>
      <c r="I623" s="2"/>
      <c r="J623" s="2"/>
      <c r="K623" s="2"/>
      <c r="L623" s="2"/>
      <c r="M623" s="2"/>
      <c r="N623" s="2"/>
      <c r="O623" s="2"/>
      <c r="P623" s="2"/>
      <c r="Q623" s="2"/>
      <c r="R623" s="2"/>
      <c r="S623" s="2"/>
      <c r="T623" s="2"/>
      <c r="U623" s="2"/>
      <c r="V623" s="2"/>
      <c r="W623" s="2"/>
    </row>
    <row r="624">
      <c r="A624" s="2"/>
      <c r="B624" s="2"/>
      <c r="C624" s="2"/>
      <c r="D624" s="2"/>
      <c r="E624" s="2"/>
      <c r="F624" s="2"/>
      <c r="G624" s="2"/>
      <c r="H624" s="2"/>
      <c r="I624" s="2"/>
      <c r="J624" s="2"/>
      <c r="K624" s="2"/>
      <c r="L624" s="2"/>
      <c r="M624" s="2"/>
      <c r="N624" s="2"/>
      <c r="O624" s="2"/>
      <c r="P624" s="2"/>
      <c r="Q624" s="2"/>
      <c r="R624" s="2"/>
      <c r="S624" s="2"/>
      <c r="T624" s="2"/>
      <c r="U624" s="2"/>
      <c r="V624" s="2"/>
      <c r="W624" s="2"/>
    </row>
    <row r="625">
      <c r="A625" s="2"/>
      <c r="B625" s="2"/>
      <c r="C625" s="2"/>
      <c r="D625" s="2"/>
      <c r="E625" s="2"/>
      <c r="F625" s="2"/>
      <c r="G625" s="2"/>
      <c r="H625" s="2"/>
      <c r="I625" s="2"/>
      <c r="J625" s="2"/>
      <c r="K625" s="2"/>
      <c r="L625" s="2"/>
      <c r="M625" s="2"/>
      <c r="N625" s="2"/>
      <c r="O625" s="2"/>
      <c r="P625" s="2"/>
      <c r="Q625" s="2"/>
      <c r="R625" s="2"/>
      <c r="S625" s="2"/>
      <c r="T625" s="2"/>
      <c r="U625" s="2"/>
      <c r="V625" s="2"/>
      <c r="W625" s="2"/>
    </row>
    <row r="626">
      <c r="A626" s="2"/>
      <c r="B626" s="2"/>
      <c r="C626" s="2"/>
      <c r="D626" s="2"/>
      <c r="E626" s="2"/>
      <c r="F626" s="2"/>
      <c r="G626" s="2"/>
      <c r="H626" s="2"/>
      <c r="I626" s="2"/>
      <c r="J626" s="2"/>
      <c r="K626" s="2"/>
      <c r="L626" s="2"/>
      <c r="M626" s="2"/>
      <c r="N626" s="2"/>
      <c r="O626" s="2"/>
      <c r="P626" s="2"/>
      <c r="Q626" s="2"/>
      <c r="R626" s="2"/>
      <c r="S626" s="2"/>
      <c r="T626" s="2"/>
      <c r="U626" s="2"/>
      <c r="V626" s="2"/>
      <c r="W626" s="2"/>
    </row>
    <row r="627">
      <c r="A627" s="2"/>
      <c r="B627" s="2"/>
      <c r="C627" s="2"/>
      <c r="D627" s="2"/>
      <c r="E627" s="2"/>
      <c r="F627" s="2"/>
      <c r="G627" s="2"/>
      <c r="H627" s="2"/>
      <c r="I627" s="2"/>
      <c r="J627" s="2"/>
      <c r="K627" s="2"/>
      <c r="L627" s="2"/>
      <c r="M627" s="2"/>
      <c r="N627" s="2"/>
      <c r="O627" s="2"/>
      <c r="P627" s="2"/>
      <c r="Q627" s="2"/>
      <c r="R627" s="2"/>
      <c r="S627" s="2"/>
      <c r="T627" s="2"/>
      <c r="U627" s="2"/>
      <c r="V627" s="2"/>
      <c r="W627" s="2"/>
    </row>
    <row r="628">
      <c r="A628" s="2"/>
      <c r="B628" s="2"/>
      <c r="C628" s="2"/>
      <c r="D628" s="2"/>
      <c r="E628" s="2"/>
      <c r="F628" s="2"/>
      <c r="G628" s="2"/>
      <c r="H628" s="2"/>
      <c r="I628" s="2"/>
      <c r="J628" s="2"/>
      <c r="K628" s="2"/>
      <c r="L628" s="2"/>
      <c r="M628" s="2"/>
      <c r="N628" s="2"/>
      <c r="O628" s="2"/>
      <c r="P628" s="2"/>
      <c r="Q628" s="2"/>
      <c r="R628" s="2"/>
      <c r="S628" s="2"/>
      <c r="T628" s="2"/>
      <c r="U628" s="2"/>
      <c r="V628" s="2"/>
      <c r="W628" s="2"/>
    </row>
    <row r="629">
      <c r="A629" s="2"/>
      <c r="B629" s="2"/>
      <c r="C629" s="2"/>
      <c r="D629" s="2"/>
      <c r="E629" s="2"/>
      <c r="F629" s="2"/>
      <c r="G629" s="2"/>
      <c r="H629" s="2"/>
      <c r="I629" s="2"/>
      <c r="J629" s="2"/>
      <c r="K629" s="2"/>
      <c r="L629" s="2"/>
      <c r="M629" s="2"/>
      <c r="N629" s="2"/>
      <c r="O629" s="2"/>
      <c r="P629" s="2"/>
      <c r="Q629" s="2"/>
      <c r="R629" s="2"/>
      <c r="S629" s="2"/>
      <c r="T629" s="2"/>
      <c r="U629" s="2"/>
      <c r="V629" s="2"/>
      <c r="W629" s="2"/>
    </row>
    <row r="630">
      <c r="A630" s="2"/>
      <c r="B630" s="2"/>
      <c r="C630" s="2"/>
      <c r="D630" s="2"/>
      <c r="E630" s="2"/>
      <c r="F630" s="2"/>
      <c r="G630" s="2"/>
      <c r="H630" s="2"/>
      <c r="I630" s="2"/>
      <c r="J630" s="2"/>
      <c r="K630" s="2"/>
      <c r="L630" s="2"/>
      <c r="M630" s="2"/>
      <c r="N630" s="2"/>
      <c r="O630" s="2"/>
      <c r="P630" s="2"/>
      <c r="Q630" s="2"/>
      <c r="R630" s="2"/>
      <c r="S630" s="2"/>
      <c r="T630" s="2"/>
      <c r="U630" s="2"/>
      <c r="V630" s="2"/>
      <c r="W630" s="2"/>
    </row>
    <row r="631">
      <c r="A631" s="2"/>
      <c r="B631" s="2"/>
      <c r="C631" s="2"/>
      <c r="D631" s="2"/>
      <c r="E631" s="2"/>
      <c r="F631" s="2"/>
      <c r="G631" s="2"/>
      <c r="H631" s="2"/>
      <c r="I631" s="2"/>
      <c r="J631" s="2"/>
      <c r="K631" s="2"/>
      <c r="L631" s="2"/>
      <c r="M631" s="2"/>
      <c r="N631" s="2"/>
      <c r="O631" s="2"/>
      <c r="P631" s="2"/>
      <c r="Q631" s="2"/>
      <c r="R631" s="2"/>
      <c r="S631" s="2"/>
      <c r="T631" s="2"/>
      <c r="U631" s="2"/>
      <c r="V631" s="2"/>
      <c r="W631" s="2"/>
    </row>
    <row r="632">
      <c r="A632" s="2"/>
      <c r="B632" s="2"/>
      <c r="C632" s="2"/>
      <c r="D632" s="2"/>
      <c r="E632" s="2"/>
      <c r="F632" s="2"/>
      <c r="G632" s="2"/>
      <c r="H632" s="2"/>
      <c r="I632" s="2"/>
      <c r="J632" s="2"/>
      <c r="K632" s="2"/>
      <c r="L632" s="2"/>
      <c r="M632" s="2"/>
      <c r="N632" s="2"/>
      <c r="O632" s="2"/>
      <c r="P632" s="2"/>
      <c r="Q632" s="2"/>
      <c r="R632" s="2"/>
      <c r="S632" s="2"/>
      <c r="T632" s="2"/>
      <c r="U632" s="2"/>
      <c r="V632" s="2"/>
      <c r="W632" s="2"/>
    </row>
    <row r="633">
      <c r="A633" s="2"/>
      <c r="B633" s="2"/>
      <c r="C633" s="2"/>
      <c r="D633" s="2"/>
      <c r="E633" s="2"/>
      <c r="F633" s="2"/>
      <c r="G633" s="2"/>
      <c r="H633" s="2"/>
      <c r="I633" s="2"/>
      <c r="J633" s="2"/>
      <c r="K633" s="2"/>
      <c r="L633" s="2"/>
      <c r="M633" s="2"/>
      <c r="N633" s="2"/>
      <c r="O633" s="2"/>
      <c r="P633" s="2"/>
      <c r="Q633" s="2"/>
      <c r="R633" s="2"/>
      <c r="S633" s="2"/>
      <c r="T633" s="2"/>
      <c r="U633" s="2"/>
      <c r="V633" s="2"/>
      <c r="W633" s="2"/>
    </row>
    <row r="634">
      <c r="A634" s="2"/>
      <c r="B634" s="2"/>
      <c r="C634" s="2"/>
      <c r="D634" s="2"/>
      <c r="E634" s="2"/>
      <c r="F634" s="2"/>
      <c r="G634" s="2"/>
      <c r="H634" s="2"/>
      <c r="I634" s="2"/>
      <c r="J634" s="2"/>
      <c r="K634" s="2"/>
      <c r="L634" s="2"/>
      <c r="M634" s="2"/>
      <c r="N634" s="2"/>
      <c r="O634" s="2"/>
      <c r="P634" s="2"/>
      <c r="Q634" s="2"/>
      <c r="R634" s="2"/>
      <c r="S634" s="2"/>
      <c r="T634" s="2"/>
      <c r="U634" s="2"/>
      <c r="V634" s="2"/>
      <c r="W634" s="2"/>
    </row>
    <row r="635">
      <c r="A635" s="2"/>
      <c r="B635" s="2"/>
      <c r="C635" s="2"/>
      <c r="D635" s="2"/>
      <c r="E635" s="2"/>
      <c r="F635" s="2"/>
      <c r="G635" s="2"/>
      <c r="H635" s="2"/>
      <c r="I635" s="2"/>
      <c r="J635" s="2"/>
      <c r="K635" s="2"/>
      <c r="L635" s="2"/>
      <c r="M635" s="2"/>
      <c r="N635" s="2"/>
      <c r="O635" s="2"/>
      <c r="P635" s="2"/>
      <c r="Q635" s="2"/>
      <c r="R635" s="2"/>
      <c r="S635" s="2"/>
      <c r="T635" s="2"/>
      <c r="U635" s="2"/>
      <c r="V635" s="2"/>
      <c r="W635" s="2"/>
    </row>
    <row r="636">
      <c r="A636" s="2"/>
      <c r="B636" s="2"/>
      <c r="C636" s="2"/>
      <c r="D636" s="2"/>
      <c r="E636" s="2"/>
      <c r="F636" s="2"/>
      <c r="G636" s="2"/>
      <c r="H636" s="2"/>
      <c r="I636" s="2"/>
      <c r="J636" s="2"/>
      <c r="K636" s="2"/>
      <c r="L636" s="2"/>
      <c r="M636" s="2"/>
      <c r="N636" s="2"/>
      <c r="O636" s="2"/>
      <c r="P636" s="2"/>
      <c r="Q636" s="2"/>
      <c r="R636" s="2"/>
      <c r="S636" s="2"/>
      <c r="T636" s="2"/>
      <c r="U636" s="2"/>
      <c r="V636" s="2"/>
      <c r="W636" s="2"/>
    </row>
    <row r="637">
      <c r="A637" s="2"/>
      <c r="B637" s="2"/>
      <c r="C637" s="2"/>
      <c r="D637" s="2"/>
      <c r="E637" s="2"/>
      <c r="F637" s="2"/>
      <c r="G637" s="2"/>
      <c r="H637" s="2"/>
      <c r="I637" s="2"/>
      <c r="J637" s="2"/>
      <c r="K637" s="2"/>
      <c r="L637" s="2"/>
      <c r="M637" s="2"/>
      <c r="N637" s="2"/>
      <c r="O637" s="2"/>
      <c r="P637" s="2"/>
      <c r="Q637" s="2"/>
      <c r="R637" s="2"/>
      <c r="S637" s="2"/>
      <c r="T637" s="2"/>
      <c r="U637" s="2"/>
      <c r="V637" s="2"/>
      <c r="W637" s="2"/>
    </row>
    <row r="638">
      <c r="A638" s="2"/>
      <c r="B638" s="2"/>
      <c r="C638" s="2"/>
      <c r="D638" s="2"/>
      <c r="E638" s="2"/>
      <c r="F638" s="2"/>
      <c r="G638" s="2"/>
      <c r="H638" s="2"/>
      <c r="I638" s="2"/>
      <c r="J638" s="2"/>
      <c r="K638" s="2"/>
      <c r="L638" s="2"/>
      <c r="M638" s="2"/>
      <c r="N638" s="2"/>
      <c r="O638" s="2"/>
      <c r="P638" s="2"/>
      <c r="Q638" s="2"/>
      <c r="R638" s="2"/>
      <c r="S638" s="2"/>
      <c r="T638" s="2"/>
      <c r="U638" s="2"/>
      <c r="V638" s="2"/>
      <c r="W638" s="2"/>
    </row>
    <row r="639">
      <c r="A639" s="2"/>
      <c r="B639" s="2"/>
      <c r="C639" s="2"/>
      <c r="D639" s="2"/>
      <c r="E639" s="2"/>
      <c r="F639" s="2"/>
      <c r="G639" s="2"/>
      <c r="H639" s="2"/>
      <c r="I639" s="2"/>
      <c r="J639" s="2"/>
      <c r="K639" s="2"/>
      <c r="L639" s="2"/>
      <c r="M639" s="2"/>
      <c r="N639" s="2"/>
      <c r="O639" s="2"/>
      <c r="P639" s="2"/>
      <c r="Q639" s="2"/>
      <c r="R639" s="2"/>
      <c r="S639" s="2"/>
      <c r="T639" s="2"/>
      <c r="U639" s="2"/>
      <c r="V639" s="2"/>
      <c r="W639" s="2"/>
    </row>
    <row r="640">
      <c r="A640" s="2"/>
      <c r="B640" s="2"/>
      <c r="C640" s="2"/>
      <c r="D640" s="2"/>
      <c r="E640" s="2"/>
      <c r="F640" s="2"/>
      <c r="G640" s="2"/>
      <c r="H640" s="2"/>
      <c r="I640" s="2"/>
      <c r="J640" s="2"/>
      <c r="K640" s="2"/>
      <c r="L640" s="2"/>
      <c r="M640" s="2"/>
      <c r="N640" s="2"/>
      <c r="O640" s="2"/>
      <c r="P640" s="2"/>
      <c r="Q640" s="2"/>
      <c r="R640" s="2"/>
      <c r="S640" s="2"/>
      <c r="T640" s="2"/>
      <c r="U640" s="2"/>
      <c r="V640" s="2"/>
      <c r="W640" s="2"/>
    </row>
    <row r="641">
      <c r="A641" s="2"/>
      <c r="B641" s="2"/>
      <c r="C641" s="2"/>
      <c r="D641" s="2"/>
      <c r="E641" s="2"/>
      <c r="F641" s="2"/>
      <c r="G641" s="2"/>
      <c r="H641" s="2"/>
      <c r="I641" s="2"/>
      <c r="J641" s="2"/>
      <c r="K641" s="2"/>
      <c r="L641" s="2"/>
      <c r="M641" s="2"/>
      <c r="N641" s="2"/>
      <c r="O641" s="2"/>
      <c r="P641" s="2"/>
      <c r="Q641" s="2"/>
      <c r="R641" s="2"/>
      <c r="S641" s="2"/>
      <c r="T641" s="2"/>
      <c r="U641" s="2"/>
      <c r="V641" s="2"/>
      <c r="W641" s="2"/>
    </row>
    <row r="642">
      <c r="A642" s="2"/>
      <c r="B642" s="2"/>
      <c r="C642" s="2"/>
      <c r="D642" s="2"/>
      <c r="E642" s="2"/>
      <c r="F642" s="2"/>
      <c r="G642" s="2"/>
      <c r="H642" s="2"/>
      <c r="I642" s="2"/>
      <c r="J642" s="2"/>
      <c r="K642" s="2"/>
      <c r="L642" s="2"/>
      <c r="M642" s="2"/>
      <c r="N642" s="2"/>
      <c r="O642" s="2"/>
      <c r="P642" s="2"/>
      <c r="Q642" s="2"/>
      <c r="R642" s="2"/>
      <c r="S642" s="2"/>
      <c r="T642" s="2"/>
      <c r="U642" s="2"/>
      <c r="V642" s="2"/>
      <c r="W642" s="2"/>
    </row>
    <row r="643">
      <c r="A643" s="2"/>
      <c r="B643" s="2"/>
      <c r="C643" s="2"/>
      <c r="D643" s="2"/>
      <c r="E643" s="2"/>
      <c r="F643" s="2"/>
      <c r="G643" s="2"/>
      <c r="H643" s="2"/>
      <c r="I643" s="2"/>
      <c r="J643" s="2"/>
      <c r="K643" s="2"/>
      <c r="L643" s="2"/>
      <c r="M643" s="2"/>
      <c r="N643" s="2"/>
      <c r="O643" s="2"/>
      <c r="P643" s="2"/>
      <c r="Q643" s="2"/>
      <c r="R643" s="2"/>
      <c r="S643" s="2"/>
      <c r="T643" s="2"/>
      <c r="U643" s="2"/>
      <c r="V643" s="2"/>
      <c r="W643" s="2"/>
    </row>
    <row r="644">
      <c r="A644" s="2"/>
      <c r="B644" s="2"/>
      <c r="C644" s="2"/>
      <c r="D644" s="2"/>
      <c r="E644" s="2"/>
      <c r="F644" s="2"/>
      <c r="G644" s="2"/>
      <c r="H644" s="2"/>
      <c r="I644" s="2"/>
      <c r="J644" s="2"/>
      <c r="K644" s="2"/>
      <c r="L644" s="2"/>
      <c r="M644" s="2"/>
      <c r="N644" s="2"/>
      <c r="O644" s="2"/>
      <c r="P644" s="2"/>
      <c r="Q644" s="2"/>
      <c r="R644" s="2"/>
      <c r="S644" s="2"/>
      <c r="T644" s="2"/>
      <c r="U644" s="2"/>
      <c r="V644" s="2"/>
      <c r="W644" s="2"/>
    </row>
    <row r="645">
      <c r="A645" s="2"/>
      <c r="B645" s="2"/>
      <c r="C645" s="2"/>
      <c r="D645" s="2"/>
      <c r="E645" s="2"/>
      <c r="F645" s="2"/>
      <c r="G645" s="2"/>
      <c r="H645" s="2"/>
      <c r="I645" s="2"/>
      <c r="J645" s="2"/>
      <c r="K645" s="2"/>
      <c r="L645" s="2"/>
      <c r="M645" s="2"/>
      <c r="N645" s="2"/>
      <c r="O645" s="2"/>
      <c r="P645" s="2"/>
      <c r="Q645" s="2"/>
      <c r="R645" s="2"/>
      <c r="S645" s="2"/>
      <c r="T645" s="2"/>
      <c r="U645" s="2"/>
      <c r="V645" s="2"/>
      <c r="W645" s="2"/>
    </row>
    <row r="646">
      <c r="A646" s="2"/>
      <c r="B646" s="2"/>
      <c r="C646" s="2"/>
      <c r="D646" s="2"/>
      <c r="E646" s="2"/>
      <c r="F646" s="2"/>
      <c r="G646" s="2"/>
      <c r="H646" s="2"/>
      <c r="I646" s="2"/>
      <c r="J646" s="2"/>
      <c r="K646" s="2"/>
      <c r="L646" s="2"/>
      <c r="M646" s="2"/>
      <c r="N646" s="2"/>
      <c r="O646" s="2"/>
      <c r="P646" s="2"/>
      <c r="Q646" s="2"/>
      <c r="R646" s="2"/>
      <c r="S646" s="2"/>
      <c r="T646" s="2"/>
      <c r="U646" s="2"/>
      <c r="V646" s="2"/>
      <c r="W646" s="2"/>
    </row>
    <row r="647">
      <c r="A647" s="2"/>
      <c r="B647" s="2"/>
      <c r="C647" s="2"/>
      <c r="D647" s="2"/>
      <c r="E647" s="2"/>
      <c r="F647" s="2"/>
      <c r="G647" s="2"/>
      <c r="H647" s="2"/>
      <c r="I647" s="2"/>
      <c r="J647" s="2"/>
      <c r="K647" s="2"/>
      <c r="L647" s="2"/>
      <c r="M647" s="2"/>
      <c r="N647" s="2"/>
      <c r="O647" s="2"/>
      <c r="P647" s="2"/>
      <c r="Q647" s="2"/>
      <c r="R647" s="2"/>
      <c r="S647" s="2"/>
      <c r="T647" s="2"/>
      <c r="U647" s="2"/>
      <c r="V647" s="2"/>
      <c r="W647" s="2"/>
    </row>
    <row r="648">
      <c r="A648" s="2"/>
      <c r="B648" s="2"/>
      <c r="C648" s="2"/>
      <c r="D648" s="2"/>
      <c r="E648" s="2"/>
      <c r="F648" s="2"/>
      <c r="G648" s="2"/>
      <c r="H648" s="2"/>
      <c r="I648" s="2"/>
      <c r="J648" s="2"/>
      <c r="K648" s="2"/>
      <c r="L648" s="2"/>
      <c r="M648" s="2"/>
      <c r="N648" s="2"/>
      <c r="O648" s="2"/>
      <c r="P648" s="2"/>
      <c r="Q648" s="2"/>
      <c r="R648" s="2"/>
      <c r="S648" s="2"/>
      <c r="T648" s="2"/>
      <c r="U648" s="2"/>
      <c r="V648" s="2"/>
      <c r="W648" s="2"/>
    </row>
    <row r="649">
      <c r="A649" s="2"/>
      <c r="B649" s="2"/>
      <c r="C649" s="2"/>
      <c r="D649" s="2"/>
      <c r="E649" s="2"/>
      <c r="F649" s="2"/>
      <c r="G649" s="2"/>
      <c r="H649" s="2"/>
      <c r="I649" s="2"/>
      <c r="J649" s="2"/>
      <c r="K649" s="2"/>
      <c r="L649" s="2"/>
      <c r="M649" s="2"/>
      <c r="N649" s="2"/>
      <c r="O649" s="2"/>
      <c r="P649" s="2"/>
      <c r="Q649" s="2"/>
      <c r="R649" s="2"/>
      <c r="S649" s="2"/>
      <c r="T649" s="2"/>
      <c r="U649" s="2"/>
      <c r="V649" s="2"/>
      <c r="W649" s="2"/>
    </row>
    <row r="650">
      <c r="A650" s="2"/>
      <c r="B650" s="2"/>
      <c r="C650" s="2"/>
      <c r="D650" s="2"/>
      <c r="E650" s="2"/>
      <c r="F650" s="2"/>
      <c r="G650" s="2"/>
      <c r="H650" s="2"/>
      <c r="I650" s="2"/>
      <c r="J650" s="2"/>
      <c r="K650" s="2"/>
      <c r="L650" s="2"/>
      <c r="M650" s="2"/>
      <c r="N650" s="2"/>
      <c r="O650" s="2"/>
      <c r="P650" s="2"/>
      <c r="Q650" s="2"/>
      <c r="R650" s="2"/>
      <c r="S650" s="2"/>
      <c r="T650" s="2"/>
      <c r="U650" s="2"/>
      <c r="V650" s="2"/>
      <c r="W650" s="2"/>
    </row>
    <row r="651">
      <c r="A651" s="2"/>
      <c r="B651" s="2"/>
      <c r="C651" s="2"/>
      <c r="D651" s="2"/>
      <c r="E651" s="2"/>
      <c r="F651" s="2"/>
      <c r="G651" s="2"/>
      <c r="H651" s="2"/>
      <c r="I651" s="2"/>
      <c r="J651" s="2"/>
      <c r="K651" s="2"/>
      <c r="L651" s="2"/>
      <c r="M651" s="2"/>
      <c r="N651" s="2"/>
      <c r="O651" s="2"/>
      <c r="P651" s="2"/>
      <c r="Q651" s="2"/>
      <c r="R651" s="2"/>
      <c r="S651" s="2"/>
      <c r="T651" s="2"/>
      <c r="U651" s="2"/>
      <c r="V651" s="2"/>
      <c r="W651" s="2"/>
    </row>
    <row r="652">
      <c r="A652" s="2"/>
      <c r="B652" s="2"/>
      <c r="C652" s="2"/>
      <c r="D652" s="2"/>
      <c r="E652" s="2"/>
      <c r="F652" s="2"/>
      <c r="G652" s="2"/>
      <c r="H652" s="2"/>
      <c r="I652" s="2"/>
      <c r="J652" s="2"/>
      <c r="K652" s="2"/>
      <c r="L652" s="2"/>
      <c r="M652" s="2"/>
      <c r="N652" s="2"/>
      <c r="O652" s="2"/>
      <c r="P652" s="2"/>
      <c r="Q652" s="2"/>
      <c r="R652" s="2"/>
      <c r="S652" s="2"/>
      <c r="T652" s="2"/>
      <c r="U652" s="2"/>
      <c r="V652" s="2"/>
      <c r="W652" s="2"/>
    </row>
    <row r="653">
      <c r="A653" s="2"/>
      <c r="B653" s="2"/>
      <c r="C653" s="2"/>
      <c r="D653" s="2"/>
      <c r="E653" s="2"/>
      <c r="F653" s="2"/>
      <c r="G653" s="2"/>
      <c r="H653" s="2"/>
      <c r="I653" s="2"/>
      <c r="J653" s="2"/>
      <c r="K653" s="2"/>
      <c r="L653" s="2"/>
      <c r="M653" s="2"/>
      <c r="N653" s="2"/>
      <c r="O653" s="2"/>
      <c r="P653" s="2"/>
      <c r="Q653" s="2"/>
      <c r="R653" s="2"/>
      <c r="S653" s="2"/>
      <c r="T653" s="2"/>
      <c r="U653" s="2"/>
      <c r="V653" s="2"/>
      <c r="W653" s="2"/>
    </row>
    <row r="654">
      <c r="A654" s="2"/>
      <c r="B654" s="2"/>
      <c r="C654" s="2"/>
      <c r="D654" s="2"/>
      <c r="E654" s="2"/>
      <c r="F654" s="2"/>
      <c r="G654" s="2"/>
      <c r="H654" s="2"/>
      <c r="I654" s="2"/>
      <c r="J654" s="2"/>
      <c r="K654" s="2"/>
      <c r="L654" s="2"/>
      <c r="M654" s="2"/>
      <c r="N654" s="2"/>
      <c r="O654" s="2"/>
      <c r="P654" s="2"/>
      <c r="Q654" s="2"/>
      <c r="R654" s="2"/>
      <c r="S654" s="2"/>
      <c r="T654" s="2"/>
      <c r="U654" s="2"/>
      <c r="V654" s="2"/>
      <c r="W654" s="2"/>
    </row>
    <row r="655">
      <c r="A655" s="2"/>
      <c r="B655" s="2"/>
      <c r="C655" s="2"/>
      <c r="D655" s="2"/>
      <c r="E655" s="2"/>
      <c r="F655" s="2"/>
      <c r="G655" s="2"/>
      <c r="H655" s="2"/>
      <c r="I655" s="2"/>
      <c r="J655" s="2"/>
      <c r="K655" s="2"/>
      <c r="L655" s="2"/>
      <c r="M655" s="2"/>
      <c r="N655" s="2"/>
      <c r="O655" s="2"/>
      <c r="P655" s="2"/>
      <c r="Q655" s="2"/>
      <c r="R655" s="2"/>
      <c r="S655" s="2"/>
      <c r="T655" s="2"/>
      <c r="U655" s="2"/>
      <c r="V655" s="2"/>
      <c r="W655" s="2"/>
    </row>
    <row r="656">
      <c r="A656" s="2"/>
      <c r="B656" s="2"/>
      <c r="C656" s="2"/>
      <c r="D656" s="2"/>
      <c r="E656" s="2"/>
      <c r="F656" s="2"/>
      <c r="G656" s="2"/>
      <c r="H656" s="2"/>
      <c r="I656" s="2"/>
      <c r="J656" s="2"/>
      <c r="K656" s="2"/>
      <c r="L656" s="2"/>
      <c r="M656" s="2"/>
      <c r="N656" s="2"/>
      <c r="O656" s="2"/>
      <c r="P656" s="2"/>
      <c r="Q656" s="2"/>
      <c r="R656" s="2"/>
      <c r="S656" s="2"/>
      <c r="T656" s="2"/>
      <c r="U656" s="2"/>
      <c r="V656" s="2"/>
      <c r="W656" s="2"/>
    </row>
    <row r="657">
      <c r="A657" s="2"/>
      <c r="B657" s="2"/>
      <c r="C657" s="2"/>
      <c r="D657" s="2"/>
      <c r="E657" s="2"/>
      <c r="F657" s="2"/>
      <c r="G657" s="2"/>
      <c r="H657" s="2"/>
      <c r="I657" s="2"/>
      <c r="J657" s="2"/>
      <c r="K657" s="2"/>
      <c r="L657" s="2"/>
      <c r="M657" s="2"/>
      <c r="N657" s="2"/>
      <c r="O657" s="2"/>
      <c r="P657" s="2"/>
      <c r="Q657" s="2"/>
      <c r="R657" s="2"/>
      <c r="S657" s="2"/>
      <c r="T657" s="2"/>
      <c r="U657" s="2"/>
      <c r="V657" s="2"/>
      <c r="W657" s="2"/>
    </row>
    <row r="658">
      <c r="A658" s="2"/>
      <c r="B658" s="2"/>
      <c r="C658" s="2"/>
      <c r="D658" s="2"/>
      <c r="E658" s="2"/>
      <c r="F658" s="2"/>
      <c r="G658" s="2"/>
      <c r="H658" s="2"/>
      <c r="I658" s="2"/>
      <c r="J658" s="2"/>
      <c r="K658" s="2"/>
      <c r="L658" s="2"/>
      <c r="M658" s="2"/>
      <c r="N658" s="2"/>
      <c r="O658" s="2"/>
      <c r="P658" s="2"/>
      <c r="Q658" s="2"/>
      <c r="R658" s="2"/>
      <c r="S658" s="2"/>
      <c r="T658" s="2"/>
      <c r="U658" s="2"/>
      <c r="V658" s="2"/>
      <c r="W658" s="2"/>
    </row>
    <row r="659">
      <c r="A659" s="2"/>
      <c r="B659" s="2"/>
      <c r="C659" s="2"/>
      <c r="D659" s="2"/>
      <c r="E659" s="2"/>
      <c r="F659" s="2"/>
      <c r="G659" s="2"/>
      <c r="H659" s="2"/>
      <c r="I659" s="2"/>
      <c r="J659" s="2"/>
      <c r="K659" s="2"/>
      <c r="L659" s="2"/>
      <c r="M659" s="2"/>
      <c r="N659" s="2"/>
      <c r="O659" s="2"/>
      <c r="P659" s="2"/>
      <c r="Q659" s="2"/>
      <c r="R659" s="2"/>
      <c r="S659" s="2"/>
      <c r="T659" s="2"/>
      <c r="U659" s="2"/>
      <c r="V659" s="2"/>
      <c r="W659" s="2"/>
    </row>
    <row r="660">
      <c r="A660" s="2"/>
      <c r="B660" s="2"/>
      <c r="C660" s="2"/>
      <c r="D660" s="2"/>
      <c r="E660" s="2"/>
      <c r="F660" s="2"/>
      <c r="G660" s="2"/>
      <c r="H660" s="2"/>
      <c r="I660" s="2"/>
      <c r="J660" s="2"/>
      <c r="K660" s="2"/>
      <c r="L660" s="2"/>
      <c r="M660" s="2"/>
      <c r="N660" s="2"/>
      <c r="O660" s="2"/>
      <c r="P660" s="2"/>
      <c r="Q660" s="2"/>
      <c r="R660" s="2"/>
      <c r="S660" s="2"/>
      <c r="T660" s="2"/>
      <c r="U660" s="2"/>
      <c r="V660" s="2"/>
      <c r="W660" s="2"/>
    </row>
    <row r="661">
      <c r="A661" s="2"/>
      <c r="B661" s="2"/>
      <c r="C661" s="2"/>
      <c r="D661" s="2"/>
      <c r="E661" s="2"/>
      <c r="F661" s="2"/>
      <c r="G661" s="2"/>
      <c r="H661" s="2"/>
      <c r="I661" s="2"/>
      <c r="J661" s="2"/>
      <c r="K661" s="2"/>
      <c r="L661" s="2"/>
      <c r="M661" s="2"/>
      <c r="N661" s="2"/>
      <c r="O661" s="2"/>
      <c r="P661" s="2"/>
      <c r="Q661" s="2"/>
      <c r="R661" s="2"/>
      <c r="S661" s="2"/>
      <c r="T661" s="2"/>
      <c r="U661" s="2"/>
      <c r="V661" s="2"/>
      <c r="W661" s="2"/>
    </row>
    <row r="662">
      <c r="A662" s="2"/>
      <c r="B662" s="2"/>
      <c r="C662" s="2"/>
      <c r="D662" s="2"/>
      <c r="E662" s="2"/>
      <c r="F662" s="2"/>
      <c r="G662" s="2"/>
      <c r="H662" s="2"/>
      <c r="I662" s="2"/>
      <c r="J662" s="2"/>
      <c r="K662" s="2"/>
      <c r="L662" s="2"/>
      <c r="M662" s="2"/>
      <c r="N662" s="2"/>
      <c r="O662" s="2"/>
      <c r="P662" s="2"/>
      <c r="Q662" s="2"/>
      <c r="R662" s="2"/>
      <c r="S662" s="2"/>
      <c r="T662" s="2"/>
      <c r="U662" s="2"/>
      <c r="V662" s="2"/>
      <c r="W662" s="2"/>
    </row>
    <row r="663">
      <c r="A663" s="2"/>
      <c r="B663" s="2"/>
      <c r="C663" s="2"/>
      <c r="D663" s="2"/>
      <c r="E663" s="2"/>
      <c r="F663" s="2"/>
      <c r="G663" s="2"/>
      <c r="H663" s="2"/>
      <c r="I663" s="2"/>
      <c r="J663" s="2"/>
      <c r="K663" s="2"/>
      <c r="L663" s="2"/>
      <c r="M663" s="2"/>
      <c r="N663" s="2"/>
      <c r="O663" s="2"/>
      <c r="P663" s="2"/>
      <c r="Q663" s="2"/>
      <c r="R663" s="2"/>
      <c r="S663" s="2"/>
      <c r="T663" s="2"/>
      <c r="U663" s="2"/>
      <c r="V663" s="2"/>
      <c r="W663" s="2"/>
    </row>
    <row r="664">
      <c r="A664" s="2"/>
      <c r="B664" s="2"/>
      <c r="C664" s="2"/>
      <c r="D664" s="2"/>
      <c r="E664" s="2"/>
      <c r="F664" s="2"/>
      <c r="G664" s="2"/>
      <c r="H664" s="2"/>
      <c r="I664" s="2"/>
      <c r="J664" s="2"/>
      <c r="K664" s="2"/>
      <c r="L664" s="2"/>
      <c r="M664" s="2"/>
      <c r="N664" s="2"/>
      <c r="O664" s="2"/>
      <c r="P664" s="2"/>
      <c r="Q664" s="2"/>
      <c r="R664" s="2"/>
      <c r="S664" s="2"/>
      <c r="T664" s="2"/>
      <c r="U664" s="2"/>
      <c r="V664" s="2"/>
      <c r="W664" s="2"/>
    </row>
    <row r="665">
      <c r="A665" s="2"/>
      <c r="B665" s="2"/>
      <c r="C665" s="2"/>
      <c r="D665" s="2"/>
      <c r="E665" s="2"/>
      <c r="F665" s="2"/>
      <c r="G665" s="2"/>
      <c r="H665" s="2"/>
      <c r="I665" s="2"/>
      <c r="J665" s="2"/>
      <c r="K665" s="2"/>
      <c r="L665" s="2"/>
      <c r="M665" s="2"/>
      <c r="N665" s="2"/>
      <c r="O665" s="2"/>
      <c r="P665" s="2"/>
      <c r="Q665" s="2"/>
      <c r="R665" s="2"/>
      <c r="S665" s="2"/>
      <c r="T665" s="2"/>
      <c r="U665" s="2"/>
      <c r="V665" s="2"/>
      <c r="W665" s="2"/>
    </row>
    <row r="666">
      <c r="A666" s="2"/>
      <c r="B666" s="2"/>
      <c r="C666" s="2"/>
      <c r="D666" s="2"/>
      <c r="E666" s="2"/>
      <c r="F666" s="2"/>
      <c r="G666" s="2"/>
      <c r="H666" s="2"/>
      <c r="I666" s="2"/>
      <c r="J666" s="2"/>
      <c r="K666" s="2"/>
      <c r="L666" s="2"/>
      <c r="M666" s="2"/>
      <c r="N666" s="2"/>
      <c r="O666" s="2"/>
      <c r="P666" s="2"/>
      <c r="Q666" s="2"/>
      <c r="R666" s="2"/>
      <c r="S666" s="2"/>
      <c r="T666" s="2"/>
      <c r="U666" s="2"/>
      <c r="V666" s="2"/>
      <c r="W666" s="2"/>
    </row>
    <row r="667">
      <c r="A667" s="2"/>
      <c r="B667" s="2"/>
      <c r="C667" s="2"/>
      <c r="D667" s="2"/>
      <c r="E667" s="2"/>
      <c r="F667" s="2"/>
      <c r="G667" s="2"/>
      <c r="H667" s="2"/>
      <c r="I667" s="2"/>
      <c r="J667" s="2"/>
      <c r="K667" s="2"/>
      <c r="L667" s="2"/>
      <c r="M667" s="2"/>
      <c r="N667" s="2"/>
      <c r="O667" s="2"/>
      <c r="P667" s="2"/>
      <c r="Q667" s="2"/>
      <c r="R667" s="2"/>
      <c r="S667" s="2"/>
      <c r="T667" s="2"/>
      <c r="U667" s="2"/>
      <c r="V667" s="2"/>
      <c r="W667" s="2"/>
    </row>
    <row r="668">
      <c r="A668" s="2"/>
      <c r="B668" s="2"/>
      <c r="C668" s="2"/>
      <c r="D668" s="2"/>
      <c r="E668" s="2"/>
      <c r="F668" s="2"/>
      <c r="G668" s="2"/>
      <c r="H668" s="2"/>
      <c r="I668" s="2"/>
      <c r="J668" s="2"/>
      <c r="K668" s="2"/>
      <c r="L668" s="2"/>
      <c r="M668" s="2"/>
      <c r="N668" s="2"/>
      <c r="O668" s="2"/>
      <c r="P668" s="2"/>
      <c r="Q668" s="2"/>
      <c r="R668" s="2"/>
      <c r="S668" s="2"/>
      <c r="T668" s="2"/>
      <c r="U668" s="2"/>
      <c r="V668" s="2"/>
      <c r="W668" s="2"/>
    </row>
    <row r="669">
      <c r="A669" s="2"/>
      <c r="B669" s="2"/>
      <c r="C669" s="2"/>
      <c r="D669" s="2"/>
      <c r="E669" s="2"/>
      <c r="F669" s="2"/>
      <c r="G669" s="2"/>
      <c r="H669" s="2"/>
      <c r="I669" s="2"/>
      <c r="J669" s="2"/>
      <c r="K669" s="2"/>
      <c r="L669" s="2"/>
      <c r="M669" s="2"/>
      <c r="N669" s="2"/>
      <c r="O669" s="2"/>
      <c r="P669" s="2"/>
      <c r="Q669" s="2"/>
      <c r="R669" s="2"/>
      <c r="S669" s="2"/>
      <c r="T669" s="2"/>
      <c r="U669" s="2"/>
      <c r="V669" s="2"/>
      <c r="W669" s="2"/>
    </row>
    <row r="670">
      <c r="A670" s="2"/>
      <c r="B670" s="2"/>
      <c r="C670" s="2"/>
      <c r="D670" s="2"/>
      <c r="E670" s="2"/>
      <c r="F670" s="2"/>
      <c r="G670" s="2"/>
      <c r="H670" s="2"/>
      <c r="I670" s="2"/>
      <c r="J670" s="2"/>
      <c r="K670" s="2"/>
      <c r="L670" s="2"/>
      <c r="M670" s="2"/>
      <c r="N670" s="2"/>
      <c r="O670" s="2"/>
      <c r="P670" s="2"/>
      <c r="Q670" s="2"/>
      <c r="R670" s="2"/>
      <c r="S670" s="2"/>
      <c r="T670" s="2"/>
      <c r="U670" s="2"/>
      <c r="V670" s="2"/>
      <c r="W670" s="2"/>
    </row>
    <row r="671">
      <c r="A671" s="2"/>
      <c r="B671" s="2"/>
      <c r="C671" s="2"/>
      <c r="D671" s="2"/>
      <c r="E671" s="2"/>
      <c r="F671" s="2"/>
      <c r="G671" s="2"/>
      <c r="H671" s="2"/>
      <c r="I671" s="2"/>
      <c r="J671" s="2"/>
      <c r="K671" s="2"/>
      <c r="L671" s="2"/>
      <c r="M671" s="2"/>
      <c r="N671" s="2"/>
      <c r="O671" s="2"/>
      <c r="P671" s="2"/>
      <c r="Q671" s="2"/>
      <c r="R671" s="2"/>
      <c r="S671" s="2"/>
      <c r="T671" s="2"/>
      <c r="U671" s="2"/>
      <c r="V671" s="2"/>
      <c r="W671" s="2"/>
    </row>
    <row r="672">
      <c r="A672" s="2"/>
      <c r="B672" s="2"/>
      <c r="C672" s="2"/>
      <c r="D672" s="2"/>
      <c r="E672" s="2"/>
      <c r="F672" s="2"/>
      <c r="G672" s="2"/>
      <c r="H672" s="2"/>
      <c r="I672" s="2"/>
      <c r="J672" s="2"/>
      <c r="K672" s="2"/>
      <c r="L672" s="2"/>
      <c r="M672" s="2"/>
      <c r="N672" s="2"/>
      <c r="O672" s="2"/>
      <c r="P672" s="2"/>
      <c r="Q672" s="2"/>
      <c r="R672" s="2"/>
      <c r="S672" s="2"/>
      <c r="T672" s="2"/>
      <c r="U672" s="2"/>
      <c r="V672" s="2"/>
      <c r="W672" s="2"/>
    </row>
    <row r="673">
      <c r="A673" s="2"/>
      <c r="B673" s="2"/>
      <c r="C673" s="2"/>
      <c r="D673" s="2"/>
      <c r="E673" s="2"/>
      <c r="F673" s="2"/>
      <c r="G673" s="2"/>
      <c r="H673" s="2"/>
      <c r="I673" s="2"/>
      <c r="J673" s="2"/>
      <c r="K673" s="2"/>
      <c r="L673" s="2"/>
      <c r="M673" s="2"/>
      <c r="N673" s="2"/>
      <c r="O673" s="2"/>
      <c r="P673" s="2"/>
      <c r="Q673" s="2"/>
      <c r="R673" s="2"/>
      <c r="S673" s="2"/>
      <c r="T673" s="2"/>
      <c r="U673" s="2"/>
      <c r="V673" s="2"/>
      <c r="W673" s="2"/>
    </row>
    <row r="674">
      <c r="A674" s="2"/>
      <c r="B674" s="2"/>
      <c r="C674" s="2"/>
      <c r="D674" s="2"/>
      <c r="E674" s="2"/>
      <c r="F674" s="2"/>
      <c r="G674" s="2"/>
      <c r="H674" s="2"/>
      <c r="I674" s="2"/>
      <c r="J674" s="2"/>
      <c r="K674" s="2"/>
      <c r="L674" s="2"/>
      <c r="M674" s="2"/>
      <c r="N674" s="2"/>
      <c r="O674" s="2"/>
      <c r="P674" s="2"/>
      <c r="Q674" s="2"/>
      <c r="R674" s="2"/>
      <c r="S674" s="2"/>
      <c r="T674" s="2"/>
      <c r="U674" s="2"/>
      <c r="V674" s="2"/>
      <c r="W674" s="2"/>
    </row>
    <row r="675">
      <c r="A675" s="2"/>
      <c r="B675" s="2"/>
      <c r="C675" s="2"/>
      <c r="D675" s="2"/>
      <c r="E675" s="2"/>
      <c r="F675" s="2"/>
      <c r="G675" s="2"/>
      <c r="H675" s="2"/>
      <c r="I675" s="2"/>
      <c r="J675" s="2"/>
      <c r="K675" s="2"/>
      <c r="L675" s="2"/>
      <c r="M675" s="2"/>
      <c r="N675" s="2"/>
      <c r="O675" s="2"/>
      <c r="P675" s="2"/>
      <c r="Q675" s="2"/>
      <c r="R675" s="2"/>
      <c r="S675" s="2"/>
      <c r="T675" s="2"/>
      <c r="U675" s="2"/>
      <c r="V675" s="2"/>
      <c r="W675" s="2"/>
    </row>
    <row r="676">
      <c r="A676" s="2"/>
      <c r="B676" s="2"/>
      <c r="C676" s="2"/>
      <c r="D676" s="2"/>
      <c r="E676" s="2"/>
      <c r="F676" s="2"/>
      <c r="G676" s="2"/>
      <c r="H676" s="2"/>
      <c r="I676" s="2"/>
      <c r="J676" s="2"/>
      <c r="K676" s="2"/>
      <c r="L676" s="2"/>
      <c r="M676" s="2"/>
      <c r="N676" s="2"/>
      <c r="O676" s="2"/>
      <c r="P676" s="2"/>
      <c r="Q676" s="2"/>
      <c r="R676" s="2"/>
      <c r="S676" s="2"/>
      <c r="T676" s="2"/>
      <c r="U676" s="2"/>
      <c r="V676" s="2"/>
      <c r="W676" s="2"/>
    </row>
    <row r="677">
      <c r="A677" s="2"/>
      <c r="B677" s="2"/>
      <c r="C677" s="2"/>
      <c r="D677" s="2"/>
      <c r="E677" s="2"/>
      <c r="F677" s="2"/>
      <c r="G677" s="2"/>
      <c r="H677" s="2"/>
      <c r="I677" s="2"/>
      <c r="J677" s="2"/>
      <c r="K677" s="2"/>
      <c r="L677" s="2"/>
      <c r="M677" s="2"/>
      <c r="N677" s="2"/>
      <c r="O677" s="2"/>
      <c r="P677" s="2"/>
      <c r="Q677" s="2"/>
      <c r="R677" s="2"/>
      <c r="S677" s="2"/>
      <c r="T677" s="2"/>
      <c r="U677" s="2"/>
      <c r="V677" s="2"/>
      <c r="W677" s="2"/>
    </row>
    <row r="678">
      <c r="A678" s="2"/>
      <c r="B678" s="2"/>
      <c r="C678" s="2"/>
      <c r="D678" s="2"/>
      <c r="E678" s="2"/>
      <c r="F678" s="2"/>
      <c r="G678" s="2"/>
      <c r="H678" s="2"/>
      <c r="I678" s="2"/>
      <c r="J678" s="2"/>
      <c r="K678" s="2"/>
      <c r="L678" s="2"/>
      <c r="M678" s="2"/>
      <c r="N678" s="2"/>
      <c r="O678" s="2"/>
      <c r="P678" s="2"/>
      <c r="Q678" s="2"/>
      <c r="R678" s="2"/>
      <c r="S678" s="2"/>
      <c r="T678" s="2"/>
      <c r="U678" s="2"/>
      <c r="V678" s="2"/>
      <c r="W678" s="2"/>
    </row>
    <row r="679">
      <c r="A679" s="2"/>
      <c r="B679" s="2"/>
      <c r="C679" s="2"/>
      <c r="D679" s="2"/>
      <c r="E679" s="2"/>
      <c r="F679" s="2"/>
      <c r="G679" s="2"/>
      <c r="H679" s="2"/>
      <c r="I679" s="2"/>
      <c r="J679" s="2"/>
      <c r="K679" s="2"/>
      <c r="L679" s="2"/>
      <c r="M679" s="2"/>
      <c r="N679" s="2"/>
      <c r="O679" s="2"/>
      <c r="P679" s="2"/>
      <c r="Q679" s="2"/>
      <c r="R679" s="2"/>
      <c r="S679" s="2"/>
      <c r="T679" s="2"/>
      <c r="U679" s="2"/>
      <c r="V679" s="2"/>
      <c r="W679" s="2"/>
    </row>
    <row r="680">
      <c r="A680" s="2"/>
      <c r="B680" s="2"/>
      <c r="C680" s="2"/>
      <c r="D680" s="2"/>
      <c r="E680" s="2"/>
      <c r="F680" s="2"/>
      <c r="G680" s="2"/>
      <c r="H680" s="2"/>
      <c r="I680" s="2"/>
      <c r="J680" s="2"/>
      <c r="K680" s="2"/>
      <c r="L680" s="2"/>
      <c r="M680" s="2"/>
      <c r="N680" s="2"/>
      <c r="O680" s="2"/>
      <c r="P680" s="2"/>
      <c r="Q680" s="2"/>
      <c r="R680" s="2"/>
      <c r="S680" s="2"/>
      <c r="T680" s="2"/>
      <c r="U680" s="2"/>
      <c r="V680" s="2"/>
      <c r="W680" s="2"/>
    </row>
    <row r="681">
      <c r="A681" s="2"/>
      <c r="B681" s="2"/>
      <c r="C681" s="2"/>
      <c r="D681" s="2"/>
      <c r="E681" s="2"/>
      <c r="F681" s="2"/>
      <c r="G681" s="2"/>
      <c r="H681" s="2"/>
      <c r="I681" s="2"/>
      <c r="J681" s="2"/>
      <c r="K681" s="2"/>
      <c r="L681" s="2"/>
      <c r="M681" s="2"/>
      <c r="N681" s="2"/>
      <c r="O681" s="2"/>
      <c r="P681" s="2"/>
      <c r="Q681" s="2"/>
      <c r="R681" s="2"/>
      <c r="S681" s="2"/>
      <c r="T681" s="2"/>
      <c r="U681" s="2"/>
      <c r="V681" s="2"/>
      <c r="W681" s="2"/>
    </row>
    <row r="682">
      <c r="A682" s="2"/>
      <c r="B682" s="2"/>
      <c r="C682" s="2"/>
      <c r="D682" s="2"/>
      <c r="E682" s="2"/>
      <c r="F682" s="2"/>
      <c r="G682" s="2"/>
      <c r="H682" s="2"/>
      <c r="I682" s="2"/>
      <c r="J682" s="2"/>
      <c r="K682" s="2"/>
      <c r="L682" s="2"/>
      <c r="M682" s="2"/>
      <c r="N682" s="2"/>
      <c r="O682" s="2"/>
      <c r="P682" s="2"/>
      <c r="Q682" s="2"/>
      <c r="R682" s="2"/>
      <c r="S682" s="2"/>
      <c r="T682" s="2"/>
      <c r="U682" s="2"/>
      <c r="V682" s="2"/>
      <c r="W682" s="2"/>
    </row>
    <row r="683">
      <c r="A683" s="2"/>
      <c r="B683" s="2"/>
      <c r="C683" s="2"/>
      <c r="D683" s="2"/>
      <c r="E683" s="2"/>
      <c r="F683" s="2"/>
      <c r="G683" s="2"/>
      <c r="H683" s="2"/>
      <c r="I683" s="2"/>
      <c r="J683" s="2"/>
      <c r="K683" s="2"/>
      <c r="L683" s="2"/>
      <c r="M683" s="2"/>
      <c r="N683" s="2"/>
      <c r="O683" s="2"/>
      <c r="P683" s="2"/>
      <c r="Q683" s="2"/>
      <c r="R683" s="2"/>
      <c r="S683" s="2"/>
      <c r="T683" s="2"/>
      <c r="U683" s="2"/>
      <c r="V683" s="2"/>
      <c r="W683" s="2"/>
    </row>
    <row r="684">
      <c r="A684" s="2"/>
      <c r="B684" s="2"/>
      <c r="C684" s="2"/>
      <c r="D684" s="2"/>
      <c r="E684" s="2"/>
      <c r="F684" s="2"/>
      <c r="G684" s="2"/>
      <c r="H684" s="2"/>
      <c r="I684" s="2"/>
      <c r="J684" s="2"/>
      <c r="K684" s="2"/>
      <c r="L684" s="2"/>
      <c r="M684" s="2"/>
      <c r="N684" s="2"/>
      <c r="O684" s="2"/>
      <c r="P684" s="2"/>
      <c r="Q684" s="2"/>
      <c r="R684" s="2"/>
      <c r="S684" s="2"/>
      <c r="T684" s="2"/>
      <c r="U684" s="2"/>
      <c r="V684" s="2"/>
      <c r="W684" s="2"/>
    </row>
    <row r="685">
      <c r="A685" s="2"/>
      <c r="B685" s="2"/>
      <c r="C685" s="2"/>
      <c r="D685" s="2"/>
      <c r="E685" s="2"/>
      <c r="F685" s="2"/>
      <c r="G685" s="2"/>
      <c r="H685" s="2"/>
      <c r="I685" s="2"/>
      <c r="J685" s="2"/>
      <c r="K685" s="2"/>
      <c r="L685" s="2"/>
      <c r="M685" s="2"/>
      <c r="N685" s="2"/>
      <c r="O685" s="2"/>
      <c r="P685" s="2"/>
      <c r="Q685" s="2"/>
      <c r="R685" s="2"/>
      <c r="S685" s="2"/>
      <c r="T685" s="2"/>
      <c r="U685" s="2"/>
      <c r="V685" s="2"/>
      <c r="W685" s="2"/>
    </row>
    <row r="686">
      <c r="A686" s="2"/>
      <c r="B686" s="2"/>
      <c r="C686" s="2"/>
      <c r="D686" s="2"/>
      <c r="E686" s="2"/>
      <c r="F686" s="2"/>
      <c r="G686" s="2"/>
      <c r="H686" s="2"/>
      <c r="I686" s="2"/>
      <c r="J686" s="2"/>
      <c r="K686" s="2"/>
      <c r="L686" s="2"/>
      <c r="M686" s="2"/>
      <c r="N686" s="2"/>
      <c r="O686" s="2"/>
      <c r="P686" s="2"/>
      <c r="Q686" s="2"/>
      <c r="R686" s="2"/>
      <c r="S686" s="2"/>
      <c r="T686" s="2"/>
      <c r="U686" s="2"/>
      <c r="V686" s="2"/>
      <c r="W686" s="2"/>
    </row>
    <row r="687">
      <c r="A687" s="2"/>
      <c r="B687" s="2"/>
      <c r="C687" s="2"/>
      <c r="D687" s="2"/>
      <c r="E687" s="2"/>
      <c r="F687" s="2"/>
      <c r="G687" s="2"/>
      <c r="H687" s="2"/>
      <c r="I687" s="2"/>
      <c r="J687" s="2"/>
      <c r="K687" s="2"/>
      <c r="L687" s="2"/>
      <c r="M687" s="2"/>
      <c r="N687" s="2"/>
      <c r="O687" s="2"/>
      <c r="P687" s="2"/>
      <c r="Q687" s="2"/>
      <c r="R687" s="2"/>
      <c r="S687" s="2"/>
      <c r="T687" s="2"/>
      <c r="U687" s="2"/>
      <c r="V687" s="2"/>
      <c r="W687" s="2"/>
    </row>
    <row r="688">
      <c r="A688" s="2"/>
      <c r="B688" s="2"/>
      <c r="C688" s="2"/>
      <c r="D688" s="2"/>
      <c r="E688" s="2"/>
      <c r="F688" s="2"/>
      <c r="G688" s="2"/>
      <c r="H688" s="2"/>
      <c r="I688" s="2"/>
      <c r="J688" s="2"/>
      <c r="K688" s="2"/>
      <c r="L688" s="2"/>
      <c r="M688" s="2"/>
      <c r="N688" s="2"/>
      <c r="O688" s="2"/>
      <c r="P688" s="2"/>
      <c r="Q688" s="2"/>
      <c r="R688" s="2"/>
      <c r="S688" s="2"/>
      <c r="T688" s="2"/>
      <c r="U688" s="2"/>
      <c r="V688" s="2"/>
      <c r="W688" s="2"/>
    </row>
    <row r="689">
      <c r="A689" s="2"/>
      <c r="B689" s="2"/>
      <c r="C689" s="2"/>
      <c r="D689" s="2"/>
      <c r="E689" s="2"/>
      <c r="F689" s="2"/>
      <c r="G689" s="2"/>
      <c r="H689" s="2"/>
      <c r="I689" s="2"/>
      <c r="J689" s="2"/>
      <c r="K689" s="2"/>
      <c r="L689" s="2"/>
      <c r="M689" s="2"/>
      <c r="N689" s="2"/>
      <c r="O689" s="2"/>
      <c r="P689" s="2"/>
      <c r="Q689" s="2"/>
      <c r="R689" s="2"/>
      <c r="S689" s="2"/>
      <c r="T689" s="2"/>
      <c r="U689" s="2"/>
      <c r="V689" s="2"/>
      <c r="W689" s="2"/>
    </row>
    <row r="690">
      <c r="A690" s="2"/>
      <c r="B690" s="2"/>
      <c r="C690" s="2"/>
      <c r="D690" s="2"/>
      <c r="E690" s="2"/>
      <c r="F690" s="2"/>
      <c r="G690" s="2"/>
      <c r="H690" s="2"/>
      <c r="I690" s="2"/>
      <c r="J690" s="2"/>
      <c r="K690" s="2"/>
      <c r="L690" s="2"/>
      <c r="M690" s="2"/>
      <c r="N690" s="2"/>
      <c r="O690" s="2"/>
      <c r="P690" s="2"/>
      <c r="Q690" s="2"/>
      <c r="R690" s="2"/>
      <c r="S690" s="2"/>
      <c r="T690" s="2"/>
      <c r="U690" s="2"/>
      <c r="V690" s="2"/>
      <c r="W690" s="2"/>
    </row>
    <row r="691">
      <c r="A691" s="2"/>
      <c r="B691" s="2"/>
      <c r="C691" s="2"/>
      <c r="D691" s="2"/>
      <c r="E691" s="2"/>
      <c r="F691" s="2"/>
      <c r="G691" s="2"/>
      <c r="H691" s="2"/>
      <c r="I691" s="2"/>
      <c r="J691" s="2"/>
      <c r="K691" s="2"/>
      <c r="L691" s="2"/>
      <c r="M691" s="2"/>
      <c r="N691" s="2"/>
      <c r="O691" s="2"/>
      <c r="P691" s="2"/>
      <c r="Q691" s="2"/>
      <c r="R691" s="2"/>
      <c r="S691" s="2"/>
      <c r="T691" s="2"/>
      <c r="U691" s="2"/>
      <c r="V691" s="2"/>
      <c r="W691" s="2"/>
    </row>
    <row r="692">
      <c r="A692" s="2"/>
      <c r="B692" s="2"/>
      <c r="C692" s="2"/>
      <c r="D692" s="2"/>
      <c r="E692" s="2"/>
      <c r="F692" s="2"/>
      <c r="G692" s="2"/>
      <c r="H692" s="2"/>
      <c r="I692" s="2"/>
      <c r="J692" s="2"/>
      <c r="K692" s="2"/>
      <c r="L692" s="2"/>
      <c r="M692" s="2"/>
      <c r="N692" s="2"/>
      <c r="O692" s="2"/>
      <c r="P692" s="2"/>
      <c r="Q692" s="2"/>
      <c r="R692" s="2"/>
      <c r="S692" s="2"/>
      <c r="T692" s="2"/>
      <c r="U692" s="2"/>
      <c r="V692" s="2"/>
      <c r="W692" s="2"/>
    </row>
    <row r="693">
      <c r="A693" s="2"/>
      <c r="B693" s="2"/>
      <c r="C693" s="2"/>
      <c r="D693" s="2"/>
      <c r="E693" s="2"/>
      <c r="F693" s="2"/>
      <c r="G693" s="2"/>
      <c r="H693" s="2"/>
      <c r="I693" s="2"/>
      <c r="J693" s="2"/>
      <c r="K693" s="2"/>
      <c r="L693" s="2"/>
      <c r="M693" s="2"/>
      <c r="N693" s="2"/>
      <c r="O693" s="2"/>
      <c r="P693" s="2"/>
      <c r="Q693" s="2"/>
      <c r="R693" s="2"/>
      <c r="S693" s="2"/>
      <c r="T693" s="2"/>
      <c r="U693" s="2"/>
      <c r="V693" s="2"/>
      <c r="W693" s="2"/>
    </row>
    <row r="694">
      <c r="A694" s="2"/>
      <c r="B694" s="2"/>
      <c r="C694" s="2"/>
      <c r="D694" s="2"/>
      <c r="E694" s="2"/>
      <c r="F694" s="2"/>
      <c r="G694" s="2"/>
      <c r="H694" s="2"/>
      <c r="I694" s="2"/>
      <c r="J694" s="2"/>
      <c r="K694" s="2"/>
      <c r="L694" s="2"/>
      <c r="M694" s="2"/>
      <c r="N694" s="2"/>
      <c r="O694" s="2"/>
      <c r="P694" s="2"/>
      <c r="Q694" s="2"/>
      <c r="R694" s="2"/>
      <c r="S694" s="2"/>
      <c r="T694" s="2"/>
      <c r="U694" s="2"/>
      <c r="V694" s="2"/>
      <c r="W694" s="2"/>
    </row>
    <row r="695">
      <c r="A695" s="2"/>
      <c r="B695" s="2"/>
      <c r="C695" s="2"/>
      <c r="D695" s="2"/>
      <c r="E695" s="2"/>
      <c r="F695" s="2"/>
      <c r="G695" s="2"/>
      <c r="H695" s="2"/>
      <c r="I695" s="2"/>
      <c r="J695" s="2"/>
      <c r="K695" s="2"/>
      <c r="L695" s="2"/>
      <c r="M695" s="2"/>
      <c r="N695" s="2"/>
      <c r="O695" s="2"/>
      <c r="P695" s="2"/>
      <c r="Q695" s="2"/>
      <c r="R695" s="2"/>
      <c r="S695" s="2"/>
      <c r="T695" s="2"/>
      <c r="U695" s="2"/>
      <c r="V695" s="2"/>
      <c r="W695" s="2"/>
    </row>
    <row r="696">
      <c r="A696" s="2"/>
      <c r="B696" s="2"/>
      <c r="C696" s="2"/>
      <c r="D696" s="2"/>
      <c r="E696" s="2"/>
      <c r="F696" s="2"/>
      <c r="G696" s="2"/>
      <c r="H696" s="2"/>
      <c r="I696" s="2"/>
      <c r="J696" s="2"/>
      <c r="K696" s="2"/>
      <c r="L696" s="2"/>
      <c r="M696" s="2"/>
      <c r="N696" s="2"/>
      <c r="O696" s="2"/>
      <c r="P696" s="2"/>
      <c r="Q696" s="2"/>
      <c r="R696" s="2"/>
      <c r="S696" s="2"/>
      <c r="T696" s="2"/>
      <c r="U696" s="2"/>
      <c r="V696" s="2"/>
      <c r="W696" s="2"/>
    </row>
    <row r="697">
      <c r="A697" s="2"/>
      <c r="B697" s="2"/>
      <c r="C697" s="2"/>
      <c r="D697" s="2"/>
      <c r="E697" s="2"/>
      <c r="F697" s="2"/>
      <c r="G697" s="2"/>
      <c r="H697" s="2"/>
      <c r="I697" s="2"/>
      <c r="J697" s="2"/>
      <c r="K697" s="2"/>
      <c r="L697" s="2"/>
      <c r="M697" s="2"/>
      <c r="N697" s="2"/>
      <c r="O697" s="2"/>
      <c r="P697" s="2"/>
      <c r="Q697" s="2"/>
      <c r="R697" s="2"/>
      <c r="S697" s="2"/>
      <c r="T697" s="2"/>
      <c r="U697" s="2"/>
      <c r="V697" s="2"/>
      <c r="W697" s="2"/>
    </row>
    <row r="698">
      <c r="A698" s="2"/>
      <c r="B698" s="2"/>
      <c r="C698" s="2"/>
      <c r="D698" s="2"/>
      <c r="E698" s="2"/>
      <c r="F698" s="2"/>
      <c r="G698" s="2"/>
      <c r="H698" s="2"/>
      <c r="I698" s="2"/>
      <c r="J698" s="2"/>
      <c r="K698" s="2"/>
      <c r="L698" s="2"/>
      <c r="M698" s="2"/>
      <c r="N698" s="2"/>
      <c r="O698" s="2"/>
      <c r="P698" s="2"/>
      <c r="Q698" s="2"/>
      <c r="R698" s="2"/>
      <c r="S698" s="2"/>
      <c r="T698" s="2"/>
      <c r="U698" s="2"/>
      <c r="V698" s="2"/>
      <c r="W698" s="2"/>
    </row>
    <row r="699">
      <c r="A699" s="2"/>
      <c r="B699" s="2"/>
      <c r="C699" s="2"/>
      <c r="D699" s="2"/>
      <c r="E699" s="2"/>
      <c r="F699" s="2"/>
      <c r="G699" s="2"/>
      <c r="H699" s="2"/>
      <c r="I699" s="2"/>
      <c r="J699" s="2"/>
      <c r="K699" s="2"/>
      <c r="L699" s="2"/>
      <c r="M699" s="2"/>
      <c r="N699" s="2"/>
      <c r="O699" s="2"/>
      <c r="P699" s="2"/>
      <c r="Q699" s="2"/>
      <c r="R699" s="2"/>
      <c r="S699" s="2"/>
      <c r="T699" s="2"/>
      <c r="U699" s="2"/>
      <c r="V699" s="2"/>
      <c r="W699" s="2"/>
    </row>
    <row r="700">
      <c r="A700" s="2"/>
      <c r="B700" s="2"/>
      <c r="C700" s="2"/>
      <c r="D700" s="2"/>
      <c r="E700" s="2"/>
      <c r="F700" s="2"/>
      <c r="G700" s="2"/>
      <c r="H700" s="2"/>
      <c r="I700" s="2"/>
      <c r="J700" s="2"/>
      <c r="K700" s="2"/>
      <c r="L700" s="2"/>
      <c r="M700" s="2"/>
      <c r="N700" s="2"/>
      <c r="O700" s="2"/>
      <c r="P700" s="2"/>
      <c r="Q700" s="2"/>
      <c r="R700" s="2"/>
      <c r="S700" s="2"/>
      <c r="T700" s="2"/>
      <c r="U700" s="2"/>
      <c r="V700" s="2"/>
      <c r="W700" s="2"/>
    </row>
    <row r="701">
      <c r="A701" s="2"/>
      <c r="B701" s="2"/>
      <c r="C701" s="2"/>
      <c r="D701" s="2"/>
      <c r="E701" s="2"/>
      <c r="F701" s="2"/>
      <c r="G701" s="2"/>
      <c r="H701" s="2"/>
      <c r="I701" s="2"/>
      <c r="J701" s="2"/>
      <c r="K701" s="2"/>
      <c r="L701" s="2"/>
      <c r="M701" s="2"/>
      <c r="N701" s="2"/>
      <c r="O701" s="2"/>
      <c r="P701" s="2"/>
      <c r="Q701" s="2"/>
      <c r="R701" s="2"/>
      <c r="S701" s="2"/>
      <c r="T701" s="2"/>
      <c r="U701" s="2"/>
      <c r="V701" s="2"/>
      <c r="W701" s="2"/>
    </row>
    <row r="702">
      <c r="A702" s="2"/>
      <c r="B702" s="2"/>
      <c r="C702" s="2"/>
      <c r="D702" s="2"/>
      <c r="E702" s="2"/>
      <c r="F702" s="2"/>
      <c r="G702" s="2"/>
      <c r="H702" s="2"/>
      <c r="I702" s="2"/>
      <c r="J702" s="2"/>
      <c r="K702" s="2"/>
      <c r="L702" s="2"/>
      <c r="M702" s="2"/>
      <c r="N702" s="2"/>
      <c r="O702" s="2"/>
      <c r="P702" s="2"/>
      <c r="Q702" s="2"/>
      <c r="R702" s="2"/>
      <c r="S702" s="2"/>
      <c r="T702" s="2"/>
      <c r="U702" s="2"/>
      <c r="V702" s="2"/>
      <c r="W702" s="2"/>
    </row>
    <row r="703">
      <c r="A703" s="2"/>
      <c r="B703" s="2"/>
      <c r="C703" s="2"/>
      <c r="D703" s="2"/>
      <c r="E703" s="2"/>
      <c r="F703" s="2"/>
      <c r="G703" s="2"/>
      <c r="H703" s="2"/>
      <c r="I703" s="2"/>
      <c r="J703" s="2"/>
      <c r="K703" s="2"/>
      <c r="L703" s="2"/>
      <c r="M703" s="2"/>
      <c r="N703" s="2"/>
      <c r="O703" s="2"/>
      <c r="P703" s="2"/>
      <c r="Q703" s="2"/>
      <c r="R703" s="2"/>
      <c r="S703" s="2"/>
      <c r="T703" s="2"/>
      <c r="U703" s="2"/>
      <c r="V703" s="2"/>
      <c r="W703" s="2"/>
    </row>
    <row r="704">
      <c r="A704" s="2"/>
      <c r="B704" s="2"/>
      <c r="C704" s="2"/>
      <c r="D704" s="2"/>
      <c r="E704" s="2"/>
      <c r="F704" s="2"/>
      <c r="G704" s="2"/>
      <c r="H704" s="2"/>
      <c r="I704" s="2"/>
      <c r="J704" s="2"/>
      <c r="K704" s="2"/>
      <c r="L704" s="2"/>
      <c r="M704" s="2"/>
      <c r="N704" s="2"/>
      <c r="O704" s="2"/>
      <c r="P704" s="2"/>
      <c r="Q704" s="2"/>
      <c r="R704" s="2"/>
      <c r="S704" s="2"/>
      <c r="T704" s="2"/>
      <c r="U704" s="2"/>
      <c r="V704" s="2"/>
      <c r="W704" s="2"/>
    </row>
    <row r="705">
      <c r="A705" s="2"/>
      <c r="B705" s="2"/>
      <c r="C705" s="2"/>
      <c r="D705" s="2"/>
      <c r="E705" s="2"/>
      <c r="F705" s="2"/>
      <c r="G705" s="2"/>
      <c r="H705" s="2"/>
      <c r="I705" s="2"/>
      <c r="J705" s="2"/>
      <c r="K705" s="2"/>
      <c r="L705" s="2"/>
      <c r="M705" s="2"/>
      <c r="N705" s="2"/>
      <c r="O705" s="2"/>
      <c r="P705" s="2"/>
      <c r="Q705" s="2"/>
      <c r="R705" s="2"/>
      <c r="S705" s="2"/>
      <c r="T705" s="2"/>
      <c r="U705" s="2"/>
      <c r="V705" s="2"/>
      <c r="W705" s="2"/>
    </row>
    <row r="706">
      <c r="A706" s="2"/>
      <c r="B706" s="2"/>
      <c r="C706" s="2"/>
      <c r="D706" s="2"/>
      <c r="E706" s="2"/>
      <c r="F706" s="2"/>
      <c r="G706" s="2"/>
      <c r="H706" s="2"/>
      <c r="I706" s="2"/>
      <c r="J706" s="2"/>
      <c r="K706" s="2"/>
      <c r="L706" s="2"/>
      <c r="M706" s="2"/>
      <c r="N706" s="2"/>
      <c r="O706" s="2"/>
      <c r="P706" s="2"/>
      <c r="Q706" s="2"/>
      <c r="R706" s="2"/>
      <c r="S706" s="2"/>
      <c r="T706" s="2"/>
      <c r="U706" s="2"/>
      <c r="V706" s="2"/>
      <c r="W706" s="2"/>
    </row>
    <row r="707">
      <c r="A707" s="2"/>
      <c r="B707" s="2"/>
      <c r="C707" s="2"/>
      <c r="D707" s="2"/>
      <c r="E707" s="2"/>
      <c r="F707" s="2"/>
      <c r="G707" s="2"/>
      <c r="H707" s="2"/>
      <c r="I707" s="2"/>
      <c r="J707" s="2"/>
      <c r="K707" s="2"/>
      <c r="L707" s="2"/>
      <c r="M707" s="2"/>
      <c r="N707" s="2"/>
      <c r="O707" s="2"/>
      <c r="P707" s="2"/>
      <c r="Q707" s="2"/>
      <c r="R707" s="2"/>
      <c r="S707" s="2"/>
      <c r="T707" s="2"/>
      <c r="U707" s="2"/>
      <c r="V707" s="2"/>
      <c r="W707" s="2"/>
    </row>
    <row r="708">
      <c r="A708" s="2"/>
      <c r="B708" s="2"/>
      <c r="C708" s="2"/>
      <c r="D708" s="2"/>
      <c r="E708" s="2"/>
      <c r="F708" s="2"/>
      <c r="G708" s="2"/>
      <c r="H708" s="2"/>
      <c r="I708" s="2"/>
      <c r="J708" s="2"/>
      <c r="K708" s="2"/>
      <c r="L708" s="2"/>
      <c r="M708" s="2"/>
      <c r="N708" s="2"/>
      <c r="O708" s="2"/>
      <c r="P708" s="2"/>
      <c r="Q708" s="2"/>
      <c r="R708" s="2"/>
      <c r="S708" s="2"/>
      <c r="T708" s="2"/>
      <c r="U708" s="2"/>
      <c r="V708" s="2"/>
      <c r="W708" s="2"/>
    </row>
    <row r="709">
      <c r="A709" s="2"/>
      <c r="B709" s="2"/>
      <c r="C709" s="2"/>
      <c r="D709" s="2"/>
      <c r="E709" s="2"/>
      <c r="F709" s="2"/>
      <c r="G709" s="2"/>
      <c r="H709" s="2"/>
      <c r="I709" s="2"/>
      <c r="J709" s="2"/>
      <c r="K709" s="2"/>
      <c r="L709" s="2"/>
      <c r="M709" s="2"/>
      <c r="N709" s="2"/>
      <c r="O709" s="2"/>
      <c r="P709" s="2"/>
      <c r="Q709" s="2"/>
      <c r="R709" s="2"/>
      <c r="S709" s="2"/>
      <c r="T709" s="2"/>
      <c r="U709" s="2"/>
      <c r="V709" s="2"/>
      <c r="W709" s="2"/>
    </row>
    <row r="710">
      <c r="A710" s="2"/>
      <c r="B710" s="2"/>
      <c r="C710" s="2"/>
      <c r="D710" s="2"/>
      <c r="E710" s="2"/>
      <c r="F710" s="2"/>
      <c r="G710" s="2"/>
      <c r="H710" s="2"/>
      <c r="I710" s="2"/>
      <c r="J710" s="2"/>
      <c r="K710" s="2"/>
      <c r="L710" s="2"/>
      <c r="M710" s="2"/>
      <c r="N710" s="2"/>
      <c r="O710" s="2"/>
      <c r="P710" s="2"/>
      <c r="Q710" s="2"/>
      <c r="R710" s="2"/>
      <c r="S710" s="2"/>
      <c r="T710" s="2"/>
      <c r="U710" s="2"/>
      <c r="V710" s="2"/>
      <c r="W710" s="2"/>
    </row>
    <row r="711">
      <c r="A711" s="2"/>
      <c r="B711" s="2"/>
      <c r="C711" s="2"/>
      <c r="D711" s="2"/>
      <c r="E711" s="2"/>
      <c r="F711" s="2"/>
      <c r="G711" s="2"/>
      <c r="H711" s="2"/>
      <c r="I711" s="2"/>
      <c r="J711" s="2"/>
      <c r="K711" s="2"/>
      <c r="L711" s="2"/>
      <c r="M711" s="2"/>
      <c r="N711" s="2"/>
      <c r="O711" s="2"/>
      <c r="P711" s="2"/>
      <c r="Q711" s="2"/>
      <c r="R711" s="2"/>
      <c r="S711" s="2"/>
      <c r="T711" s="2"/>
      <c r="U711" s="2"/>
      <c r="V711" s="2"/>
      <c r="W711" s="2"/>
    </row>
    <row r="712">
      <c r="A712" s="2"/>
      <c r="B712" s="2"/>
      <c r="C712" s="2"/>
      <c r="D712" s="2"/>
      <c r="E712" s="2"/>
      <c r="F712" s="2"/>
      <c r="G712" s="2"/>
      <c r="H712" s="2"/>
      <c r="I712" s="2"/>
      <c r="J712" s="2"/>
      <c r="K712" s="2"/>
      <c r="L712" s="2"/>
      <c r="M712" s="2"/>
      <c r="N712" s="2"/>
      <c r="O712" s="2"/>
      <c r="P712" s="2"/>
      <c r="Q712" s="2"/>
      <c r="R712" s="2"/>
      <c r="S712" s="2"/>
      <c r="T712" s="2"/>
      <c r="U712" s="2"/>
      <c r="V712" s="2"/>
      <c r="W712" s="2"/>
    </row>
    <row r="713">
      <c r="A713" s="2"/>
      <c r="B713" s="2"/>
      <c r="C713" s="2"/>
      <c r="D713" s="2"/>
      <c r="E713" s="2"/>
      <c r="F713" s="2"/>
      <c r="G713" s="2"/>
      <c r="H713" s="2"/>
      <c r="I713" s="2"/>
      <c r="J713" s="2"/>
      <c r="K713" s="2"/>
      <c r="L713" s="2"/>
      <c r="M713" s="2"/>
      <c r="N713" s="2"/>
      <c r="O713" s="2"/>
      <c r="P713" s="2"/>
      <c r="Q713" s="2"/>
      <c r="R713" s="2"/>
      <c r="S713" s="2"/>
      <c r="T713" s="2"/>
      <c r="U713" s="2"/>
      <c r="V713" s="2"/>
      <c r="W713" s="2"/>
    </row>
    <row r="714">
      <c r="A714" s="2"/>
      <c r="B714" s="2"/>
      <c r="C714" s="2"/>
      <c r="D714" s="2"/>
      <c r="E714" s="2"/>
      <c r="F714" s="2"/>
      <c r="G714" s="2"/>
      <c r="H714" s="2"/>
      <c r="I714" s="2"/>
      <c r="J714" s="2"/>
      <c r="K714" s="2"/>
      <c r="L714" s="2"/>
      <c r="M714" s="2"/>
      <c r="N714" s="2"/>
      <c r="O714" s="2"/>
      <c r="P714" s="2"/>
      <c r="Q714" s="2"/>
      <c r="R714" s="2"/>
      <c r="S714" s="2"/>
      <c r="T714" s="2"/>
      <c r="U714" s="2"/>
      <c r="V714" s="2"/>
      <c r="W714" s="2"/>
    </row>
    <row r="715">
      <c r="A715" s="2"/>
      <c r="B715" s="2"/>
      <c r="C715" s="2"/>
      <c r="D715" s="2"/>
      <c r="E715" s="2"/>
      <c r="F715" s="2"/>
      <c r="G715" s="2"/>
      <c r="H715" s="2"/>
      <c r="I715" s="2"/>
      <c r="J715" s="2"/>
      <c r="K715" s="2"/>
      <c r="L715" s="2"/>
      <c r="M715" s="2"/>
      <c r="N715" s="2"/>
      <c r="O715" s="2"/>
      <c r="P715" s="2"/>
      <c r="Q715" s="2"/>
      <c r="R715" s="2"/>
      <c r="S715" s="2"/>
      <c r="T715" s="2"/>
      <c r="U715" s="2"/>
      <c r="V715" s="2"/>
      <c r="W715" s="2"/>
    </row>
    <row r="716">
      <c r="A716" s="2"/>
      <c r="B716" s="2"/>
      <c r="C716" s="2"/>
      <c r="D716" s="2"/>
      <c r="E716" s="2"/>
      <c r="F716" s="2"/>
      <c r="G716" s="2"/>
      <c r="H716" s="2"/>
      <c r="I716" s="2"/>
      <c r="J716" s="2"/>
      <c r="K716" s="2"/>
      <c r="L716" s="2"/>
      <c r="M716" s="2"/>
      <c r="N716" s="2"/>
      <c r="O716" s="2"/>
      <c r="P716" s="2"/>
      <c r="Q716" s="2"/>
      <c r="R716" s="2"/>
      <c r="S716" s="2"/>
      <c r="T716" s="2"/>
      <c r="U716" s="2"/>
      <c r="V716" s="2"/>
      <c r="W716" s="2"/>
    </row>
    <row r="717">
      <c r="A717" s="2"/>
      <c r="B717" s="2"/>
      <c r="C717" s="2"/>
      <c r="D717" s="2"/>
      <c r="E717" s="2"/>
      <c r="F717" s="2"/>
      <c r="G717" s="2"/>
      <c r="H717" s="2"/>
      <c r="I717" s="2"/>
      <c r="J717" s="2"/>
      <c r="K717" s="2"/>
      <c r="L717" s="2"/>
      <c r="M717" s="2"/>
      <c r="N717" s="2"/>
      <c r="O717" s="2"/>
      <c r="P717" s="2"/>
      <c r="Q717" s="2"/>
      <c r="R717" s="2"/>
      <c r="S717" s="2"/>
      <c r="T717" s="2"/>
      <c r="U717" s="2"/>
      <c r="V717" s="2"/>
      <c r="W717" s="2"/>
    </row>
    <row r="718">
      <c r="A718" s="2"/>
      <c r="B718" s="2"/>
      <c r="C718" s="2"/>
      <c r="D718" s="2"/>
      <c r="E718" s="2"/>
      <c r="F718" s="2"/>
      <c r="G718" s="2"/>
      <c r="H718" s="2"/>
      <c r="I718" s="2"/>
      <c r="J718" s="2"/>
      <c r="K718" s="2"/>
      <c r="L718" s="2"/>
      <c r="M718" s="2"/>
      <c r="N718" s="2"/>
      <c r="O718" s="2"/>
      <c r="P718" s="2"/>
      <c r="Q718" s="2"/>
      <c r="R718" s="2"/>
      <c r="S718" s="2"/>
      <c r="T718" s="2"/>
      <c r="U718" s="2"/>
      <c r="V718" s="2"/>
      <c r="W718" s="2"/>
    </row>
    <row r="719">
      <c r="A719" s="2"/>
      <c r="B719" s="2"/>
      <c r="C719" s="2"/>
      <c r="D719" s="2"/>
      <c r="E719" s="2"/>
      <c r="F719" s="2"/>
      <c r="G719" s="2"/>
      <c r="H719" s="2"/>
      <c r="I719" s="2"/>
      <c r="J719" s="2"/>
      <c r="K719" s="2"/>
      <c r="L719" s="2"/>
      <c r="M719" s="2"/>
      <c r="N719" s="2"/>
      <c r="O719" s="2"/>
      <c r="P719" s="2"/>
      <c r="Q719" s="2"/>
      <c r="R719" s="2"/>
      <c r="S719" s="2"/>
      <c r="T719" s="2"/>
      <c r="U719" s="2"/>
      <c r="V719" s="2"/>
      <c r="W719" s="2"/>
    </row>
    <row r="720">
      <c r="A720" s="2"/>
      <c r="B720" s="2"/>
      <c r="C720" s="2"/>
      <c r="D720" s="2"/>
      <c r="E720" s="2"/>
      <c r="F720" s="2"/>
      <c r="G720" s="2"/>
      <c r="H720" s="2"/>
      <c r="I720" s="2"/>
      <c r="J720" s="2"/>
      <c r="K720" s="2"/>
      <c r="L720" s="2"/>
      <c r="M720" s="2"/>
      <c r="N720" s="2"/>
      <c r="O720" s="2"/>
      <c r="P720" s="2"/>
      <c r="Q720" s="2"/>
      <c r="R720" s="2"/>
      <c r="S720" s="2"/>
      <c r="T720" s="2"/>
      <c r="U720" s="2"/>
      <c r="V720" s="2"/>
      <c r="W720" s="2"/>
    </row>
    <row r="721">
      <c r="A721" s="2"/>
      <c r="B721" s="2"/>
      <c r="C721" s="2"/>
      <c r="D721" s="2"/>
      <c r="E721" s="2"/>
      <c r="F721" s="2"/>
      <c r="G721" s="2"/>
      <c r="H721" s="2"/>
      <c r="I721" s="2"/>
      <c r="J721" s="2"/>
      <c r="K721" s="2"/>
      <c r="L721" s="2"/>
      <c r="M721" s="2"/>
      <c r="N721" s="2"/>
      <c r="O721" s="2"/>
      <c r="P721" s="2"/>
      <c r="Q721" s="2"/>
      <c r="R721" s="2"/>
      <c r="S721" s="2"/>
      <c r="T721" s="2"/>
      <c r="U721" s="2"/>
      <c r="V721" s="2"/>
      <c r="W721" s="2"/>
    </row>
    <row r="722">
      <c r="A722" s="2"/>
      <c r="B722" s="2"/>
      <c r="C722" s="2"/>
      <c r="D722" s="2"/>
      <c r="E722" s="2"/>
      <c r="F722" s="2"/>
      <c r="G722" s="2"/>
      <c r="H722" s="2"/>
      <c r="I722" s="2"/>
      <c r="J722" s="2"/>
      <c r="K722" s="2"/>
      <c r="L722" s="2"/>
      <c r="M722" s="2"/>
      <c r="N722" s="2"/>
      <c r="O722" s="2"/>
      <c r="P722" s="2"/>
      <c r="Q722" s="2"/>
      <c r="R722" s="2"/>
      <c r="S722" s="2"/>
      <c r="T722" s="2"/>
      <c r="U722" s="2"/>
      <c r="V722" s="2"/>
      <c r="W722" s="2"/>
    </row>
    <row r="723">
      <c r="A723" s="2"/>
      <c r="B723" s="2"/>
      <c r="C723" s="2"/>
      <c r="D723" s="2"/>
      <c r="E723" s="2"/>
      <c r="F723" s="2"/>
      <c r="G723" s="2"/>
      <c r="H723" s="2"/>
      <c r="I723" s="2"/>
      <c r="J723" s="2"/>
      <c r="K723" s="2"/>
      <c r="L723" s="2"/>
      <c r="M723" s="2"/>
      <c r="N723" s="2"/>
      <c r="O723" s="2"/>
      <c r="P723" s="2"/>
      <c r="Q723" s="2"/>
      <c r="R723" s="2"/>
      <c r="S723" s="2"/>
      <c r="T723" s="2"/>
      <c r="U723" s="2"/>
      <c r="V723" s="2"/>
      <c r="W723" s="2"/>
    </row>
    <row r="724">
      <c r="A724" s="2"/>
      <c r="B724" s="2"/>
      <c r="C724" s="2"/>
      <c r="D724" s="2"/>
      <c r="E724" s="2"/>
      <c r="F724" s="2"/>
      <c r="G724" s="2"/>
      <c r="H724" s="2"/>
      <c r="I724" s="2"/>
      <c r="J724" s="2"/>
      <c r="K724" s="2"/>
      <c r="L724" s="2"/>
      <c r="M724" s="2"/>
      <c r="N724" s="2"/>
      <c r="O724" s="2"/>
      <c r="P724" s="2"/>
      <c r="Q724" s="2"/>
      <c r="R724" s="2"/>
      <c r="S724" s="2"/>
      <c r="T724" s="2"/>
      <c r="U724" s="2"/>
      <c r="V724" s="2"/>
      <c r="W724" s="2"/>
    </row>
    <row r="725">
      <c r="A725" s="2"/>
      <c r="B725" s="2"/>
      <c r="C725" s="2"/>
      <c r="D725" s="2"/>
      <c r="E725" s="2"/>
      <c r="F725" s="2"/>
      <c r="G725" s="2"/>
      <c r="H725" s="2"/>
      <c r="I725" s="2"/>
      <c r="J725" s="2"/>
      <c r="K725" s="2"/>
      <c r="L725" s="2"/>
      <c r="M725" s="2"/>
      <c r="N725" s="2"/>
      <c r="O725" s="2"/>
      <c r="P725" s="2"/>
      <c r="Q725" s="2"/>
      <c r="R725" s="2"/>
      <c r="S725" s="2"/>
      <c r="T725" s="2"/>
      <c r="U725" s="2"/>
      <c r="V725" s="2"/>
      <c r="W725" s="2"/>
    </row>
    <row r="726">
      <c r="A726" s="2"/>
      <c r="B726" s="2"/>
      <c r="C726" s="2"/>
      <c r="D726" s="2"/>
      <c r="E726" s="2"/>
      <c r="F726" s="2"/>
      <c r="G726" s="2"/>
      <c r="H726" s="2"/>
      <c r="I726" s="2"/>
      <c r="J726" s="2"/>
      <c r="K726" s="2"/>
      <c r="L726" s="2"/>
      <c r="M726" s="2"/>
      <c r="N726" s="2"/>
      <c r="O726" s="2"/>
      <c r="P726" s="2"/>
      <c r="Q726" s="2"/>
      <c r="R726" s="2"/>
      <c r="S726" s="2"/>
      <c r="T726" s="2"/>
      <c r="U726" s="2"/>
      <c r="V726" s="2"/>
      <c r="W726" s="2"/>
    </row>
    <row r="727">
      <c r="A727" s="2"/>
      <c r="B727" s="2"/>
      <c r="C727" s="2"/>
      <c r="D727" s="2"/>
      <c r="E727" s="2"/>
      <c r="F727" s="2"/>
      <c r="G727" s="2"/>
      <c r="H727" s="2"/>
      <c r="I727" s="2"/>
      <c r="J727" s="2"/>
      <c r="K727" s="2"/>
      <c r="L727" s="2"/>
      <c r="M727" s="2"/>
      <c r="N727" s="2"/>
      <c r="O727" s="2"/>
      <c r="P727" s="2"/>
      <c r="Q727" s="2"/>
      <c r="R727" s="2"/>
      <c r="S727" s="2"/>
      <c r="T727" s="2"/>
      <c r="U727" s="2"/>
      <c r="V727" s="2"/>
      <c r="W727" s="2"/>
    </row>
    <row r="728">
      <c r="A728" s="2"/>
      <c r="B728" s="2"/>
      <c r="C728" s="2"/>
      <c r="D728" s="2"/>
      <c r="E728" s="2"/>
      <c r="F728" s="2"/>
      <c r="G728" s="2"/>
      <c r="H728" s="2"/>
      <c r="I728" s="2"/>
      <c r="J728" s="2"/>
      <c r="K728" s="2"/>
      <c r="L728" s="2"/>
      <c r="M728" s="2"/>
      <c r="N728" s="2"/>
      <c r="O728" s="2"/>
      <c r="P728" s="2"/>
      <c r="Q728" s="2"/>
      <c r="R728" s="2"/>
      <c r="S728" s="2"/>
      <c r="T728" s="2"/>
      <c r="U728" s="2"/>
      <c r="V728" s="2"/>
      <c r="W728" s="2"/>
    </row>
    <row r="729">
      <c r="A729" s="2"/>
      <c r="B729" s="2"/>
      <c r="C729" s="2"/>
      <c r="D729" s="2"/>
      <c r="E729" s="2"/>
      <c r="F729" s="2"/>
      <c r="G729" s="2"/>
      <c r="H729" s="2"/>
      <c r="I729" s="2"/>
      <c r="J729" s="2"/>
      <c r="K729" s="2"/>
      <c r="L729" s="2"/>
      <c r="M729" s="2"/>
      <c r="N729" s="2"/>
      <c r="O729" s="2"/>
      <c r="P729" s="2"/>
      <c r="Q729" s="2"/>
      <c r="R729" s="2"/>
      <c r="S729" s="2"/>
      <c r="T729" s="2"/>
      <c r="U729" s="2"/>
      <c r="V729" s="2"/>
      <c r="W729" s="2"/>
    </row>
    <row r="730">
      <c r="A730" s="2"/>
      <c r="B730" s="2"/>
      <c r="C730" s="2"/>
      <c r="D730" s="2"/>
      <c r="E730" s="2"/>
      <c r="F730" s="2"/>
      <c r="G730" s="2"/>
      <c r="H730" s="2"/>
      <c r="I730" s="2"/>
      <c r="J730" s="2"/>
      <c r="K730" s="2"/>
      <c r="L730" s="2"/>
      <c r="M730" s="2"/>
      <c r="N730" s="2"/>
      <c r="O730" s="2"/>
      <c r="P730" s="2"/>
      <c r="Q730" s="2"/>
      <c r="R730" s="2"/>
      <c r="S730" s="2"/>
      <c r="T730" s="2"/>
      <c r="U730" s="2"/>
      <c r="V730" s="2"/>
      <c r="W730" s="2"/>
    </row>
    <row r="731">
      <c r="A731" s="2"/>
      <c r="B731" s="2"/>
      <c r="C731" s="2"/>
      <c r="D731" s="2"/>
      <c r="E731" s="2"/>
      <c r="F731" s="2"/>
      <c r="G731" s="2"/>
      <c r="H731" s="2"/>
      <c r="I731" s="2"/>
      <c r="J731" s="2"/>
      <c r="K731" s="2"/>
      <c r="L731" s="2"/>
      <c r="M731" s="2"/>
      <c r="N731" s="2"/>
      <c r="O731" s="2"/>
      <c r="P731" s="2"/>
      <c r="Q731" s="2"/>
      <c r="R731" s="2"/>
      <c r="S731" s="2"/>
      <c r="T731" s="2"/>
      <c r="U731" s="2"/>
      <c r="V731" s="2"/>
      <c r="W731" s="2"/>
    </row>
    <row r="732">
      <c r="A732" s="2"/>
      <c r="B732" s="2"/>
      <c r="C732" s="2"/>
      <c r="D732" s="2"/>
      <c r="E732" s="2"/>
      <c r="F732" s="2"/>
      <c r="G732" s="2"/>
      <c r="H732" s="2"/>
      <c r="I732" s="2"/>
      <c r="J732" s="2"/>
      <c r="K732" s="2"/>
      <c r="L732" s="2"/>
      <c r="M732" s="2"/>
      <c r="N732" s="2"/>
      <c r="O732" s="2"/>
      <c r="P732" s="2"/>
      <c r="Q732" s="2"/>
      <c r="R732" s="2"/>
      <c r="S732" s="2"/>
      <c r="T732" s="2"/>
      <c r="U732" s="2"/>
      <c r="V732" s="2"/>
      <c r="W732" s="2"/>
    </row>
    <row r="733">
      <c r="A733" s="2"/>
      <c r="B733" s="2"/>
      <c r="C733" s="2"/>
      <c r="D733" s="2"/>
      <c r="E733" s="2"/>
      <c r="F733" s="2"/>
      <c r="G733" s="2"/>
      <c r="H733" s="2"/>
      <c r="I733" s="2"/>
      <c r="J733" s="2"/>
      <c r="K733" s="2"/>
      <c r="L733" s="2"/>
      <c r="M733" s="2"/>
      <c r="N733" s="2"/>
      <c r="O733" s="2"/>
      <c r="P733" s="2"/>
      <c r="Q733" s="2"/>
      <c r="R733" s="2"/>
      <c r="S733" s="2"/>
      <c r="T733" s="2"/>
      <c r="U733" s="2"/>
      <c r="V733" s="2"/>
      <c r="W733" s="2"/>
    </row>
    <row r="734">
      <c r="A734" s="2"/>
      <c r="B734" s="2"/>
      <c r="C734" s="2"/>
      <c r="D734" s="2"/>
      <c r="E734" s="2"/>
      <c r="F734" s="2"/>
      <c r="G734" s="2"/>
      <c r="H734" s="2"/>
      <c r="I734" s="2"/>
      <c r="J734" s="2"/>
      <c r="K734" s="2"/>
      <c r="L734" s="2"/>
      <c r="M734" s="2"/>
      <c r="N734" s="2"/>
      <c r="O734" s="2"/>
      <c r="P734" s="2"/>
      <c r="Q734" s="2"/>
      <c r="R734" s="2"/>
      <c r="S734" s="2"/>
      <c r="T734" s="2"/>
      <c r="U734" s="2"/>
      <c r="V734" s="2"/>
      <c r="W734" s="2"/>
    </row>
    <row r="735">
      <c r="A735" s="2"/>
      <c r="B735" s="2"/>
      <c r="C735" s="2"/>
      <c r="D735" s="2"/>
      <c r="E735" s="2"/>
      <c r="F735" s="2"/>
      <c r="G735" s="2"/>
      <c r="H735" s="2"/>
      <c r="I735" s="2"/>
      <c r="J735" s="2"/>
      <c r="K735" s="2"/>
      <c r="L735" s="2"/>
      <c r="M735" s="2"/>
      <c r="N735" s="2"/>
      <c r="O735" s="2"/>
      <c r="P735" s="2"/>
      <c r="Q735" s="2"/>
      <c r="R735" s="2"/>
      <c r="S735" s="2"/>
      <c r="T735" s="2"/>
      <c r="U735" s="2"/>
      <c r="V735" s="2"/>
      <c r="W735" s="2"/>
    </row>
    <row r="736">
      <c r="A736" s="2"/>
      <c r="B736" s="2"/>
      <c r="C736" s="2"/>
      <c r="D736" s="2"/>
      <c r="E736" s="2"/>
      <c r="F736" s="2"/>
      <c r="G736" s="2"/>
      <c r="H736" s="2"/>
      <c r="I736" s="2"/>
      <c r="J736" s="2"/>
      <c r="K736" s="2"/>
      <c r="L736" s="2"/>
      <c r="M736" s="2"/>
      <c r="N736" s="2"/>
      <c r="O736" s="2"/>
      <c r="P736" s="2"/>
      <c r="Q736" s="2"/>
      <c r="R736" s="2"/>
      <c r="S736" s="2"/>
      <c r="T736" s="2"/>
      <c r="U736" s="2"/>
      <c r="V736" s="2"/>
      <c r="W736" s="2"/>
    </row>
    <row r="737">
      <c r="A737" s="2"/>
      <c r="B737" s="2"/>
      <c r="C737" s="2"/>
      <c r="D737" s="2"/>
      <c r="E737" s="2"/>
      <c r="F737" s="2"/>
      <c r="G737" s="2"/>
      <c r="H737" s="2"/>
      <c r="I737" s="2"/>
      <c r="J737" s="2"/>
      <c r="K737" s="2"/>
      <c r="L737" s="2"/>
      <c r="M737" s="2"/>
      <c r="N737" s="2"/>
      <c r="O737" s="2"/>
      <c r="P737" s="2"/>
      <c r="Q737" s="2"/>
      <c r="R737" s="2"/>
      <c r="S737" s="2"/>
      <c r="T737" s="2"/>
      <c r="U737" s="2"/>
      <c r="V737" s="2"/>
      <c r="W737" s="2"/>
    </row>
    <row r="738">
      <c r="A738" s="2"/>
      <c r="B738" s="2"/>
      <c r="C738" s="2"/>
      <c r="D738" s="2"/>
      <c r="E738" s="2"/>
      <c r="F738" s="2"/>
      <c r="G738" s="2"/>
      <c r="H738" s="2"/>
      <c r="I738" s="2"/>
      <c r="J738" s="2"/>
      <c r="K738" s="2"/>
      <c r="L738" s="2"/>
      <c r="M738" s="2"/>
      <c r="N738" s="2"/>
      <c r="O738" s="2"/>
      <c r="P738" s="2"/>
      <c r="Q738" s="2"/>
      <c r="R738" s="2"/>
      <c r="S738" s="2"/>
      <c r="T738" s="2"/>
      <c r="U738" s="2"/>
      <c r="V738" s="2"/>
      <c r="W738" s="2"/>
    </row>
    <row r="739">
      <c r="A739" s="2"/>
      <c r="B739" s="2"/>
      <c r="C739" s="2"/>
      <c r="D739" s="2"/>
      <c r="E739" s="2"/>
      <c r="F739" s="2"/>
      <c r="G739" s="2"/>
      <c r="H739" s="2"/>
      <c r="I739" s="2"/>
      <c r="J739" s="2"/>
      <c r="K739" s="2"/>
      <c r="L739" s="2"/>
      <c r="M739" s="2"/>
      <c r="N739" s="2"/>
      <c r="O739" s="2"/>
      <c r="P739" s="2"/>
      <c r="Q739" s="2"/>
      <c r="R739" s="2"/>
      <c r="S739" s="2"/>
      <c r="T739" s="2"/>
      <c r="U739" s="2"/>
      <c r="V739" s="2"/>
      <c r="W739" s="2"/>
    </row>
    <row r="740">
      <c r="A740" s="2"/>
      <c r="B740" s="2"/>
      <c r="C740" s="2"/>
      <c r="D740" s="2"/>
      <c r="E740" s="2"/>
      <c r="F740" s="2"/>
      <c r="G740" s="2"/>
      <c r="H740" s="2"/>
      <c r="I740" s="2"/>
      <c r="J740" s="2"/>
      <c r="K740" s="2"/>
      <c r="L740" s="2"/>
      <c r="M740" s="2"/>
      <c r="N740" s="2"/>
      <c r="O740" s="2"/>
      <c r="P740" s="2"/>
      <c r="Q740" s="2"/>
      <c r="R740" s="2"/>
      <c r="S740" s="2"/>
      <c r="T740" s="2"/>
      <c r="U740" s="2"/>
      <c r="V740" s="2"/>
      <c r="W740" s="2"/>
    </row>
    <row r="741">
      <c r="A741" s="2"/>
      <c r="B741" s="2"/>
      <c r="C741" s="2"/>
      <c r="D741" s="2"/>
      <c r="E741" s="2"/>
      <c r="F741" s="2"/>
      <c r="G741" s="2"/>
      <c r="H741" s="2"/>
      <c r="I741" s="2"/>
      <c r="J741" s="2"/>
      <c r="K741" s="2"/>
      <c r="L741" s="2"/>
      <c r="M741" s="2"/>
      <c r="N741" s="2"/>
      <c r="O741" s="2"/>
      <c r="P741" s="2"/>
      <c r="Q741" s="2"/>
      <c r="R741" s="2"/>
      <c r="S741" s="2"/>
      <c r="T741" s="2"/>
      <c r="U741" s="2"/>
      <c r="V741" s="2"/>
      <c r="W741" s="2"/>
    </row>
    <row r="742">
      <c r="A742" s="2"/>
      <c r="B742" s="2"/>
      <c r="C742" s="2"/>
      <c r="D742" s="2"/>
      <c r="E742" s="2"/>
      <c r="F742" s="2"/>
      <c r="G742" s="2"/>
      <c r="H742" s="2"/>
      <c r="I742" s="2"/>
      <c r="J742" s="2"/>
      <c r="K742" s="2"/>
      <c r="L742" s="2"/>
      <c r="M742" s="2"/>
      <c r="N742" s="2"/>
      <c r="O742" s="2"/>
      <c r="P742" s="2"/>
      <c r="Q742" s="2"/>
      <c r="R742" s="2"/>
      <c r="S742" s="2"/>
      <c r="T742" s="2"/>
      <c r="U742" s="2"/>
      <c r="V742" s="2"/>
      <c r="W742" s="2"/>
    </row>
    <row r="743">
      <c r="A743" s="2"/>
      <c r="B743" s="2"/>
      <c r="C743" s="2"/>
      <c r="D743" s="2"/>
      <c r="E743" s="2"/>
      <c r="F743" s="2"/>
      <c r="G743" s="2"/>
      <c r="H743" s="2"/>
      <c r="I743" s="2"/>
      <c r="J743" s="2"/>
      <c r="K743" s="2"/>
      <c r="L743" s="2"/>
      <c r="M743" s="2"/>
      <c r="N743" s="2"/>
      <c r="O743" s="2"/>
      <c r="P743" s="2"/>
      <c r="Q743" s="2"/>
      <c r="R743" s="2"/>
      <c r="S743" s="2"/>
      <c r="T743" s="2"/>
      <c r="U743" s="2"/>
      <c r="V743" s="2"/>
      <c r="W743" s="2"/>
    </row>
    <row r="744">
      <c r="A744" s="2"/>
      <c r="B744" s="2"/>
      <c r="C744" s="2"/>
      <c r="D744" s="2"/>
      <c r="E744" s="2"/>
      <c r="F744" s="2"/>
      <c r="G744" s="2"/>
      <c r="H744" s="2"/>
      <c r="I744" s="2"/>
      <c r="J744" s="2"/>
      <c r="K744" s="2"/>
      <c r="L744" s="2"/>
      <c r="M744" s="2"/>
      <c r="N744" s="2"/>
      <c r="O744" s="2"/>
      <c r="P744" s="2"/>
      <c r="Q744" s="2"/>
      <c r="R744" s="2"/>
      <c r="S744" s="2"/>
      <c r="T744" s="2"/>
      <c r="U744" s="2"/>
      <c r="V744" s="2"/>
      <c r="W744" s="2"/>
    </row>
    <row r="745">
      <c r="A745" s="2"/>
      <c r="B745" s="2"/>
      <c r="C745" s="2"/>
      <c r="D745" s="2"/>
      <c r="E745" s="2"/>
      <c r="F745" s="2"/>
      <c r="G745" s="2"/>
      <c r="H745" s="2"/>
      <c r="I745" s="2"/>
      <c r="J745" s="2"/>
      <c r="K745" s="2"/>
      <c r="L745" s="2"/>
      <c r="M745" s="2"/>
      <c r="N745" s="2"/>
      <c r="O745" s="2"/>
      <c r="P745" s="2"/>
      <c r="Q745" s="2"/>
      <c r="R745" s="2"/>
      <c r="S745" s="2"/>
      <c r="T745" s="2"/>
      <c r="U745" s="2"/>
      <c r="V745" s="2"/>
      <c r="W745" s="2"/>
    </row>
    <row r="746">
      <c r="A746" s="2"/>
      <c r="B746" s="2"/>
      <c r="C746" s="2"/>
      <c r="D746" s="2"/>
      <c r="E746" s="2"/>
      <c r="F746" s="2"/>
      <c r="G746" s="2"/>
      <c r="H746" s="2"/>
      <c r="I746" s="2"/>
      <c r="J746" s="2"/>
      <c r="K746" s="2"/>
      <c r="L746" s="2"/>
      <c r="M746" s="2"/>
      <c r="N746" s="2"/>
      <c r="O746" s="2"/>
      <c r="P746" s="2"/>
      <c r="Q746" s="2"/>
      <c r="R746" s="2"/>
      <c r="S746" s="2"/>
      <c r="T746" s="2"/>
      <c r="U746" s="2"/>
      <c r="V746" s="2"/>
      <c r="W746" s="2"/>
    </row>
    <row r="747">
      <c r="A747" s="2"/>
      <c r="B747" s="2"/>
      <c r="C747" s="2"/>
      <c r="D747" s="2"/>
      <c r="E747" s="2"/>
      <c r="F747" s="2"/>
      <c r="G747" s="2"/>
      <c r="H747" s="2"/>
      <c r="I747" s="2"/>
      <c r="J747" s="2"/>
      <c r="K747" s="2"/>
      <c r="L747" s="2"/>
      <c r="M747" s="2"/>
      <c r="N747" s="2"/>
      <c r="O747" s="2"/>
      <c r="P747" s="2"/>
      <c r="Q747" s="2"/>
      <c r="R747" s="2"/>
      <c r="S747" s="2"/>
      <c r="T747" s="2"/>
      <c r="U747" s="2"/>
      <c r="V747" s="2"/>
      <c r="W747" s="2"/>
    </row>
    <row r="748">
      <c r="A748" s="2"/>
      <c r="B748" s="2"/>
      <c r="C748" s="2"/>
      <c r="D748" s="2"/>
      <c r="E748" s="2"/>
      <c r="F748" s="2"/>
      <c r="G748" s="2"/>
      <c r="H748" s="2"/>
      <c r="I748" s="2"/>
      <c r="J748" s="2"/>
      <c r="K748" s="2"/>
      <c r="L748" s="2"/>
      <c r="M748" s="2"/>
      <c r="N748" s="2"/>
      <c r="O748" s="2"/>
      <c r="P748" s="2"/>
      <c r="Q748" s="2"/>
      <c r="R748" s="2"/>
      <c r="S748" s="2"/>
      <c r="T748" s="2"/>
      <c r="U748" s="2"/>
      <c r="V748" s="2"/>
      <c r="W748" s="2"/>
    </row>
    <row r="749">
      <c r="A749" s="2"/>
      <c r="B749" s="2"/>
      <c r="C749" s="2"/>
      <c r="D749" s="2"/>
      <c r="E749" s="2"/>
      <c r="F749" s="2"/>
      <c r="G749" s="2"/>
      <c r="H749" s="2"/>
      <c r="I749" s="2"/>
      <c r="J749" s="2"/>
      <c r="K749" s="2"/>
      <c r="L749" s="2"/>
      <c r="M749" s="2"/>
      <c r="N749" s="2"/>
      <c r="O749" s="2"/>
      <c r="P749" s="2"/>
      <c r="Q749" s="2"/>
      <c r="R749" s="2"/>
      <c r="S749" s="2"/>
      <c r="T749" s="2"/>
      <c r="U749" s="2"/>
      <c r="V749" s="2"/>
      <c r="W749" s="2"/>
    </row>
    <row r="750">
      <c r="A750" s="2"/>
      <c r="B750" s="2"/>
      <c r="C750" s="2"/>
      <c r="D750" s="2"/>
      <c r="E750" s="2"/>
      <c r="F750" s="2"/>
      <c r="G750" s="2"/>
      <c r="H750" s="2"/>
      <c r="I750" s="2"/>
      <c r="J750" s="2"/>
      <c r="K750" s="2"/>
      <c r="L750" s="2"/>
      <c r="M750" s="2"/>
      <c r="N750" s="2"/>
      <c r="O750" s="2"/>
      <c r="P750" s="2"/>
      <c r="Q750" s="2"/>
      <c r="R750" s="2"/>
      <c r="S750" s="2"/>
      <c r="T750" s="2"/>
      <c r="U750" s="2"/>
      <c r="V750" s="2"/>
      <c r="W750" s="2"/>
    </row>
    <row r="751">
      <c r="A751" s="2"/>
      <c r="B751" s="2"/>
      <c r="C751" s="2"/>
      <c r="D751" s="2"/>
      <c r="E751" s="2"/>
      <c r="F751" s="2"/>
      <c r="G751" s="2"/>
      <c r="H751" s="2"/>
      <c r="I751" s="2"/>
      <c r="J751" s="2"/>
      <c r="K751" s="2"/>
      <c r="L751" s="2"/>
      <c r="M751" s="2"/>
      <c r="N751" s="2"/>
      <c r="O751" s="2"/>
      <c r="P751" s="2"/>
      <c r="Q751" s="2"/>
      <c r="R751" s="2"/>
      <c r="S751" s="2"/>
      <c r="T751" s="2"/>
      <c r="U751" s="2"/>
      <c r="V751" s="2"/>
      <c r="W751" s="2"/>
    </row>
    <row r="752">
      <c r="A752" s="2"/>
      <c r="B752" s="2"/>
      <c r="C752" s="2"/>
      <c r="D752" s="2"/>
      <c r="E752" s="2"/>
      <c r="F752" s="2"/>
      <c r="G752" s="2"/>
      <c r="H752" s="2"/>
      <c r="I752" s="2"/>
      <c r="J752" s="2"/>
      <c r="K752" s="2"/>
      <c r="L752" s="2"/>
      <c r="M752" s="2"/>
      <c r="N752" s="2"/>
      <c r="O752" s="2"/>
      <c r="P752" s="2"/>
      <c r="Q752" s="2"/>
      <c r="R752" s="2"/>
      <c r="S752" s="2"/>
      <c r="T752" s="2"/>
      <c r="U752" s="2"/>
      <c r="V752" s="2"/>
      <c r="W752" s="2"/>
    </row>
    <row r="753">
      <c r="A753" s="2"/>
      <c r="B753" s="2"/>
      <c r="C753" s="2"/>
      <c r="D753" s="2"/>
      <c r="E753" s="2"/>
      <c r="F753" s="2"/>
      <c r="G753" s="2"/>
      <c r="H753" s="2"/>
      <c r="I753" s="2"/>
      <c r="J753" s="2"/>
      <c r="K753" s="2"/>
      <c r="L753" s="2"/>
      <c r="M753" s="2"/>
      <c r="N753" s="2"/>
      <c r="O753" s="2"/>
      <c r="P753" s="2"/>
      <c r="Q753" s="2"/>
      <c r="R753" s="2"/>
      <c r="S753" s="2"/>
      <c r="T753" s="2"/>
      <c r="U753" s="2"/>
      <c r="V753" s="2"/>
      <c r="W753" s="2"/>
    </row>
    <row r="754">
      <c r="A754" s="2"/>
      <c r="B754" s="2"/>
      <c r="C754" s="2"/>
      <c r="D754" s="2"/>
      <c r="E754" s="2"/>
      <c r="F754" s="2"/>
      <c r="G754" s="2"/>
      <c r="H754" s="2"/>
      <c r="I754" s="2"/>
      <c r="J754" s="2"/>
      <c r="K754" s="2"/>
      <c r="L754" s="2"/>
      <c r="M754" s="2"/>
      <c r="N754" s="2"/>
      <c r="O754" s="2"/>
      <c r="P754" s="2"/>
      <c r="Q754" s="2"/>
      <c r="R754" s="2"/>
      <c r="S754" s="2"/>
      <c r="T754" s="2"/>
      <c r="U754" s="2"/>
      <c r="V754" s="2"/>
      <c r="W754" s="2"/>
    </row>
    <row r="755">
      <c r="A755" s="2"/>
      <c r="B755" s="2"/>
      <c r="C755" s="2"/>
      <c r="D755" s="2"/>
      <c r="E755" s="2"/>
      <c r="F755" s="2"/>
      <c r="G755" s="2"/>
      <c r="H755" s="2"/>
      <c r="I755" s="2"/>
      <c r="J755" s="2"/>
      <c r="K755" s="2"/>
      <c r="L755" s="2"/>
      <c r="M755" s="2"/>
      <c r="N755" s="2"/>
      <c r="O755" s="2"/>
      <c r="P755" s="2"/>
      <c r="Q755" s="2"/>
      <c r="R755" s="2"/>
      <c r="S755" s="2"/>
      <c r="T755" s="2"/>
      <c r="U755" s="2"/>
      <c r="V755" s="2"/>
      <c r="W755" s="2"/>
    </row>
    <row r="756">
      <c r="A756" s="2"/>
      <c r="B756" s="2"/>
      <c r="C756" s="2"/>
      <c r="D756" s="2"/>
      <c r="E756" s="2"/>
      <c r="F756" s="2"/>
      <c r="G756" s="2"/>
      <c r="H756" s="2"/>
      <c r="I756" s="2"/>
      <c r="J756" s="2"/>
      <c r="K756" s="2"/>
      <c r="L756" s="2"/>
      <c r="M756" s="2"/>
      <c r="N756" s="2"/>
      <c r="O756" s="2"/>
      <c r="P756" s="2"/>
      <c r="Q756" s="2"/>
      <c r="R756" s="2"/>
      <c r="S756" s="2"/>
      <c r="T756" s="2"/>
      <c r="U756" s="2"/>
      <c r="V756" s="2"/>
      <c r="W756" s="2"/>
    </row>
    <row r="757">
      <c r="A757" s="2"/>
      <c r="B757" s="2"/>
      <c r="C757" s="2"/>
      <c r="D757" s="2"/>
      <c r="E757" s="2"/>
      <c r="F757" s="2"/>
      <c r="G757" s="2"/>
      <c r="H757" s="2"/>
      <c r="I757" s="2"/>
      <c r="J757" s="2"/>
      <c r="K757" s="2"/>
      <c r="L757" s="2"/>
      <c r="M757" s="2"/>
      <c r="N757" s="2"/>
      <c r="O757" s="2"/>
      <c r="P757" s="2"/>
      <c r="Q757" s="2"/>
      <c r="R757" s="2"/>
      <c r="S757" s="2"/>
      <c r="T757" s="2"/>
      <c r="U757" s="2"/>
      <c r="V757" s="2"/>
      <c r="W757" s="2"/>
    </row>
    <row r="758">
      <c r="A758" s="2"/>
      <c r="B758" s="2"/>
      <c r="C758" s="2"/>
      <c r="D758" s="2"/>
      <c r="E758" s="2"/>
      <c r="F758" s="2"/>
      <c r="G758" s="2"/>
      <c r="H758" s="2"/>
      <c r="I758" s="2"/>
      <c r="J758" s="2"/>
      <c r="K758" s="2"/>
      <c r="L758" s="2"/>
      <c r="M758" s="2"/>
      <c r="N758" s="2"/>
      <c r="O758" s="2"/>
      <c r="P758" s="2"/>
      <c r="Q758" s="2"/>
      <c r="R758" s="2"/>
      <c r="S758" s="2"/>
      <c r="T758" s="2"/>
      <c r="U758" s="2"/>
      <c r="V758" s="2"/>
      <c r="W758" s="2"/>
    </row>
    <row r="759">
      <c r="A759" s="2"/>
      <c r="B759" s="2"/>
      <c r="C759" s="2"/>
      <c r="D759" s="2"/>
      <c r="E759" s="2"/>
      <c r="F759" s="2"/>
      <c r="G759" s="2"/>
      <c r="H759" s="2"/>
      <c r="I759" s="2"/>
      <c r="J759" s="2"/>
      <c r="K759" s="2"/>
      <c r="L759" s="2"/>
      <c r="M759" s="2"/>
      <c r="N759" s="2"/>
      <c r="O759" s="2"/>
      <c r="P759" s="2"/>
      <c r="Q759" s="2"/>
      <c r="R759" s="2"/>
      <c r="S759" s="2"/>
      <c r="T759" s="2"/>
      <c r="U759" s="2"/>
      <c r="V759" s="2"/>
      <c r="W759" s="2"/>
    </row>
    <row r="760">
      <c r="A760" s="2"/>
      <c r="B760" s="2"/>
      <c r="C760" s="2"/>
      <c r="D760" s="2"/>
      <c r="E760" s="2"/>
      <c r="F760" s="2"/>
      <c r="G760" s="2"/>
      <c r="H760" s="2"/>
      <c r="I760" s="2"/>
      <c r="J760" s="2"/>
      <c r="K760" s="2"/>
      <c r="L760" s="2"/>
      <c r="M760" s="2"/>
      <c r="N760" s="2"/>
      <c r="O760" s="2"/>
      <c r="P760" s="2"/>
      <c r="Q760" s="2"/>
      <c r="R760" s="2"/>
      <c r="S760" s="2"/>
      <c r="T760" s="2"/>
      <c r="U760" s="2"/>
      <c r="V760" s="2"/>
      <c r="W760" s="2"/>
    </row>
    <row r="761">
      <c r="A761" s="2"/>
      <c r="B761" s="2"/>
      <c r="C761" s="2"/>
      <c r="D761" s="2"/>
      <c r="E761" s="2"/>
      <c r="F761" s="2"/>
      <c r="G761" s="2"/>
      <c r="H761" s="2"/>
      <c r="I761" s="2"/>
      <c r="J761" s="2"/>
      <c r="K761" s="2"/>
      <c r="L761" s="2"/>
      <c r="M761" s="2"/>
      <c r="N761" s="2"/>
      <c r="O761" s="2"/>
      <c r="P761" s="2"/>
      <c r="Q761" s="2"/>
      <c r="R761" s="2"/>
      <c r="S761" s="2"/>
      <c r="T761" s="2"/>
      <c r="U761" s="2"/>
      <c r="V761" s="2"/>
      <c r="W761" s="2"/>
    </row>
    <row r="762">
      <c r="A762" s="2"/>
      <c r="B762" s="2"/>
      <c r="C762" s="2"/>
      <c r="D762" s="2"/>
      <c r="E762" s="2"/>
      <c r="F762" s="2"/>
      <c r="G762" s="2"/>
      <c r="H762" s="2"/>
      <c r="I762" s="2"/>
      <c r="J762" s="2"/>
      <c r="K762" s="2"/>
      <c r="L762" s="2"/>
      <c r="M762" s="2"/>
      <c r="N762" s="2"/>
      <c r="O762" s="2"/>
      <c r="P762" s="2"/>
      <c r="Q762" s="2"/>
      <c r="R762" s="2"/>
      <c r="S762" s="2"/>
      <c r="T762" s="2"/>
      <c r="U762" s="2"/>
      <c r="V762" s="2"/>
      <c r="W762" s="2"/>
    </row>
    <row r="763">
      <c r="A763" s="2"/>
      <c r="B763" s="2"/>
      <c r="C763" s="2"/>
      <c r="D763" s="2"/>
      <c r="E763" s="2"/>
      <c r="F763" s="2"/>
      <c r="G763" s="2"/>
      <c r="H763" s="2"/>
      <c r="I763" s="2"/>
      <c r="J763" s="2"/>
      <c r="K763" s="2"/>
      <c r="L763" s="2"/>
      <c r="M763" s="2"/>
      <c r="N763" s="2"/>
      <c r="O763" s="2"/>
      <c r="P763" s="2"/>
      <c r="Q763" s="2"/>
      <c r="R763" s="2"/>
      <c r="S763" s="2"/>
      <c r="T763" s="2"/>
      <c r="U763" s="2"/>
      <c r="V763" s="2"/>
      <c r="W763" s="2"/>
    </row>
    <row r="764">
      <c r="A764" s="2"/>
      <c r="B764" s="2"/>
      <c r="C764" s="2"/>
      <c r="D764" s="2"/>
      <c r="E764" s="2"/>
      <c r="F764" s="2"/>
      <c r="G764" s="2"/>
      <c r="H764" s="2"/>
      <c r="I764" s="2"/>
      <c r="J764" s="2"/>
      <c r="K764" s="2"/>
      <c r="L764" s="2"/>
      <c r="M764" s="2"/>
      <c r="N764" s="2"/>
      <c r="O764" s="2"/>
      <c r="P764" s="2"/>
      <c r="Q764" s="2"/>
      <c r="R764" s="2"/>
      <c r="S764" s="2"/>
      <c r="T764" s="2"/>
      <c r="U764" s="2"/>
      <c r="V764" s="2"/>
      <c r="W764" s="2"/>
    </row>
    <row r="765">
      <c r="A765" s="2"/>
      <c r="B765" s="2"/>
      <c r="C765" s="2"/>
      <c r="D765" s="2"/>
      <c r="E765" s="2"/>
      <c r="F765" s="2"/>
      <c r="G765" s="2"/>
      <c r="H765" s="2"/>
      <c r="I765" s="2"/>
      <c r="J765" s="2"/>
      <c r="K765" s="2"/>
      <c r="L765" s="2"/>
      <c r="M765" s="2"/>
      <c r="N765" s="2"/>
      <c r="O765" s="2"/>
      <c r="P765" s="2"/>
      <c r="Q765" s="2"/>
      <c r="R765" s="2"/>
      <c r="S765" s="2"/>
      <c r="T765" s="2"/>
      <c r="U765" s="2"/>
      <c r="V765" s="2"/>
      <c r="W765" s="2"/>
    </row>
    <row r="766">
      <c r="A766" s="2"/>
      <c r="B766" s="2"/>
      <c r="C766" s="2"/>
      <c r="D766" s="2"/>
      <c r="E766" s="2"/>
      <c r="F766" s="2"/>
      <c r="G766" s="2"/>
      <c r="H766" s="2"/>
      <c r="I766" s="2"/>
      <c r="J766" s="2"/>
      <c r="K766" s="2"/>
      <c r="L766" s="2"/>
      <c r="M766" s="2"/>
      <c r="N766" s="2"/>
      <c r="O766" s="2"/>
      <c r="P766" s="2"/>
      <c r="Q766" s="2"/>
      <c r="R766" s="2"/>
      <c r="S766" s="2"/>
      <c r="T766" s="2"/>
      <c r="U766" s="2"/>
      <c r="V766" s="2"/>
      <c r="W766" s="2"/>
    </row>
    <row r="767">
      <c r="A767" s="2"/>
      <c r="B767" s="2"/>
      <c r="C767" s="2"/>
      <c r="D767" s="2"/>
      <c r="E767" s="2"/>
      <c r="F767" s="2"/>
      <c r="G767" s="2"/>
      <c r="H767" s="2"/>
      <c r="I767" s="2"/>
      <c r="J767" s="2"/>
      <c r="K767" s="2"/>
      <c r="L767" s="2"/>
      <c r="M767" s="2"/>
      <c r="N767" s="2"/>
      <c r="O767" s="2"/>
      <c r="P767" s="2"/>
      <c r="Q767" s="2"/>
      <c r="R767" s="2"/>
      <c r="S767" s="2"/>
      <c r="T767" s="2"/>
      <c r="U767" s="2"/>
      <c r="V767" s="2"/>
      <c r="W767" s="2"/>
    </row>
    <row r="768">
      <c r="A768" s="2"/>
      <c r="B768" s="2"/>
      <c r="C768" s="2"/>
      <c r="D768" s="2"/>
      <c r="E768" s="2"/>
      <c r="F768" s="2"/>
      <c r="G768" s="2"/>
      <c r="H768" s="2"/>
      <c r="I768" s="2"/>
      <c r="J768" s="2"/>
      <c r="K768" s="2"/>
      <c r="L768" s="2"/>
      <c r="M768" s="2"/>
      <c r="N768" s="2"/>
      <c r="O768" s="2"/>
      <c r="P768" s="2"/>
      <c r="Q768" s="2"/>
      <c r="R768" s="2"/>
      <c r="S768" s="2"/>
      <c r="T768" s="2"/>
      <c r="U768" s="2"/>
      <c r="V768" s="2"/>
      <c r="W768" s="2"/>
    </row>
    <row r="769">
      <c r="A769" s="2"/>
      <c r="B769" s="2"/>
      <c r="C769" s="2"/>
      <c r="D769" s="2"/>
      <c r="E769" s="2"/>
      <c r="F769" s="2"/>
      <c r="G769" s="2"/>
      <c r="H769" s="2"/>
      <c r="I769" s="2"/>
      <c r="J769" s="2"/>
      <c r="K769" s="2"/>
      <c r="L769" s="2"/>
      <c r="M769" s="2"/>
      <c r="N769" s="2"/>
      <c r="O769" s="2"/>
      <c r="P769" s="2"/>
      <c r="Q769" s="2"/>
      <c r="R769" s="2"/>
      <c r="S769" s="2"/>
      <c r="T769" s="2"/>
      <c r="U769" s="2"/>
      <c r="V769" s="2"/>
      <c r="W769" s="2"/>
    </row>
    <row r="770">
      <c r="A770" s="2"/>
      <c r="B770" s="2"/>
      <c r="C770" s="2"/>
      <c r="D770" s="2"/>
      <c r="E770" s="2"/>
      <c r="F770" s="2"/>
      <c r="G770" s="2"/>
      <c r="H770" s="2"/>
      <c r="I770" s="2"/>
      <c r="J770" s="2"/>
      <c r="K770" s="2"/>
      <c r="L770" s="2"/>
      <c r="M770" s="2"/>
      <c r="N770" s="2"/>
      <c r="O770" s="2"/>
      <c r="P770" s="2"/>
      <c r="Q770" s="2"/>
      <c r="R770" s="2"/>
      <c r="S770" s="2"/>
      <c r="T770" s="2"/>
      <c r="U770" s="2"/>
      <c r="V770" s="2"/>
      <c r="W770" s="2"/>
    </row>
    <row r="771">
      <c r="A771" s="2"/>
      <c r="B771" s="2"/>
      <c r="C771" s="2"/>
      <c r="D771" s="2"/>
      <c r="E771" s="2"/>
      <c r="F771" s="2"/>
      <c r="G771" s="2"/>
      <c r="H771" s="2"/>
      <c r="I771" s="2"/>
      <c r="J771" s="2"/>
      <c r="K771" s="2"/>
      <c r="L771" s="2"/>
      <c r="M771" s="2"/>
      <c r="N771" s="2"/>
      <c r="O771" s="2"/>
      <c r="P771" s="2"/>
      <c r="Q771" s="2"/>
      <c r="R771" s="2"/>
      <c r="S771" s="2"/>
      <c r="T771" s="2"/>
      <c r="U771" s="2"/>
      <c r="V771" s="2"/>
      <c r="W771" s="2"/>
    </row>
    <row r="772">
      <c r="A772" s="2"/>
      <c r="B772" s="2"/>
      <c r="C772" s="2"/>
      <c r="D772" s="2"/>
      <c r="E772" s="2"/>
      <c r="F772" s="2"/>
      <c r="G772" s="2"/>
      <c r="H772" s="2"/>
      <c r="I772" s="2"/>
      <c r="J772" s="2"/>
      <c r="K772" s="2"/>
      <c r="L772" s="2"/>
      <c r="M772" s="2"/>
      <c r="N772" s="2"/>
      <c r="O772" s="2"/>
      <c r="P772" s="2"/>
      <c r="Q772" s="2"/>
      <c r="R772" s="2"/>
      <c r="S772" s="2"/>
      <c r="T772" s="2"/>
      <c r="U772" s="2"/>
      <c r="V772" s="2"/>
      <c r="W772" s="2"/>
    </row>
    <row r="773">
      <c r="A773" s="2"/>
      <c r="B773" s="2"/>
      <c r="C773" s="2"/>
      <c r="D773" s="2"/>
      <c r="E773" s="2"/>
      <c r="F773" s="2"/>
      <c r="G773" s="2"/>
      <c r="H773" s="2"/>
      <c r="I773" s="2"/>
      <c r="J773" s="2"/>
      <c r="K773" s="2"/>
      <c r="L773" s="2"/>
      <c r="M773" s="2"/>
      <c r="N773" s="2"/>
      <c r="O773" s="2"/>
      <c r="P773" s="2"/>
      <c r="Q773" s="2"/>
      <c r="R773" s="2"/>
      <c r="S773" s="2"/>
      <c r="T773" s="2"/>
      <c r="U773" s="2"/>
      <c r="V773" s="2"/>
      <c r="W773" s="2"/>
    </row>
    <row r="774">
      <c r="A774" s="2"/>
      <c r="B774" s="2"/>
      <c r="C774" s="2"/>
      <c r="D774" s="2"/>
      <c r="E774" s="2"/>
      <c r="F774" s="2"/>
      <c r="G774" s="2"/>
      <c r="H774" s="2"/>
      <c r="I774" s="2"/>
      <c r="J774" s="2"/>
      <c r="K774" s="2"/>
      <c r="L774" s="2"/>
      <c r="M774" s="2"/>
      <c r="N774" s="2"/>
      <c r="O774" s="2"/>
      <c r="P774" s="2"/>
      <c r="Q774" s="2"/>
      <c r="R774" s="2"/>
      <c r="S774" s="2"/>
      <c r="T774" s="2"/>
      <c r="U774" s="2"/>
      <c r="V774" s="2"/>
      <c r="W774" s="2"/>
    </row>
    <row r="775">
      <c r="A775" s="2"/>
      <c r="B775" s="2"/>
      <c r="C775" s="2"/>
      <c r="D775" s="2"/>
      <c r="E775" s="2"/>
      <c r="F775" s="2"/>
      <c r="G775" s="2"/>
      <c r="H775" s="2"/>
      <c r="I775" s="2"/>
      <c r="J775" s="2"/>
      <c r="K775" s="2"/>
      <c r="L775" s="2"/>
      <c r="M775" s="2"/>
      <c r="N775" s="2"/>
      <c r="O775" s="2"/>
      <c r="P775" s="2"/>
      <c r="Q775" s="2"/>
      <c r="R775" s="2"/>
      <c r="S775" s="2"/>
      <c r="T775" s="2"/>
      <c r="U775" s="2"/>
      <c r="V775" s="2"/>
      <c r="W775" s="2"/>
    </row>
    <row r="776">
      <c r="A776" s="2"/>
      <c r="B776" s="2"/>
      <c r="C776" s="2"/>
      <c r="D776" s="2"/>
      <c r="E776" s="2"/>
      <c r="F776" s="2"/>
      <c r="G776" s="2"/>
      <c r="H776" s="2"/>
      <c r="I776" s="2"/>
      <c r="J776" s="2"/>
      <c r="K776" s="2"/>
      <c r="L776" s="2"/>
      <c r="M776" s="2"/>
      <c r="N776" s="2"/>
      <c r="O776" s="2"/>
      <c r="P776" s="2"/>
      <c r="Q776" s="2"/>
      <c r="R776" s="2"/>
      <c r="S776" s="2"/>
      <c r="T776" s="2"/>
      <c r="U776" s="2"/>
      <c r="V776" s="2"/>
      <c r="W776" s="2"/>
    </row>
    <row r="777">
      <c r="A777" s="2"/>
      <c r="B777" s="2"/>
      <c r="C777" s="2"/>
      <c r="D777" s="2"/>
      <c r="E777" s="2"/>
      <c r="F777" s="2"/>
      <c r="G777" s="2"/>
      <c r="H777" s="2"/>
      <c r="I777" s="2"/>
      <c r="J777" s="2"/>
      <c r="K777" s="2"/>
      <c r="L777" s="2"/>
      <c r="M777" s="2"/>
      <c r="N777" s="2"/>
      <c r="O777" s="2"/>
      <c r="P777" s="2"/>
      <c r="Q777" s="2"/>
      <c r="R777" s="2"/>
      <c r="S777" s="2"/>
      <c r="T777" s="2"/>
      <c r="U777" s="2"/>
      <c r="V777" s="2"/>
      <c r="W777" s="2"/>
    </row>
    <row r="778">
      <c r="A778" s="2"/>
      <c r="B778" s="2"/>
      <c r="C778" s="2"/>
      <c r="D778" s="2"/>
      <c r="E778" s="2"/>
      <c r="F778" s="2"/>
      <c r="G778" s="2"/>
      <c r="H778" s="2"/>
      <c r="I778" s="2"/>
      <c r="J778" s="2"/>
      <c r="K778" s="2"/>
      <c r="L778" s="2"/>
      <c r="M778" s="2"/>
      <c r="N778" s="2"/>
      <c r="O778" s="2"/>
      <c r="P778" s="2"/>
      <c r="Q778" s="2"/>
      <c r="R778" s="2"/>
      <c r="S778" s="2"/>
      <c r="T778" s="2"/>
      <c r="U778" s="2"/>
      <c r="V778" s="2"/>
      <c r="W778" s="2"/>
    </row>
    <row r="779">
      <c r="A779" s="2"/>
      <c r="B779" s="2"/>
      <c r="C779" s="2"/>
      <c r="D779" s="2"/>
      <c r="E779" s="2"/>
      <c r="F779" s="2"/>
      <c r="G779" s="2"/>
      <c r="H779" s="2"/>
      <c r="I779" s="2"/>
      <c r="J779" s="2"/>
      <c r="K779" s="2"/>
      <c r="L779" s="2"/>
      <c r="M779" s="2"/>
      <c r="N779" s="2"/>
      <c r="O779" s="2"/>
      <c r="P779" s="2"/>
      <c r="Q779" s="2"/>
      <c r="R779" s="2"/>
      <c r="S779" s="2"/>
      <c r="T779" s="2"/>
      <c r="U779" s="2"/>
      <c r="V779" s="2"/>
      <c r="W779" s="2"/>
    </row>
    <row r="780">
      <c r="A780" s="2"/>
      <c r="B780" s="2"/>
      <c r="C780" s="2"/>
      <c r="D780" s="2"/>
      <c r="E780" s="2"/>
      <c r="F780" s="2"/>
      <c r="G780" s="2"/>
      <c r="H780" s="2"/>
      <c r="I780" s="2"/>
      <c r="J780" s="2"/>
      <c r="K780" s="2"/>
      <c r="L780" s="2"/>
      <c r="M780" s="2"/>
      <c r="N780" s="2"/>
      <c r="O780" s="2"/>
      <c r="P780" s="2"/>
      <c r="Q780" s="2"/>
      <c r="R780" s="2"/>
      <c r="S780" s="2"/>
      <c r="T780" s="2"/>
      <c r="U780" s="2"/>
      <c r="V780" s="2"/>
      <c r="W780" s="2"/>
    </row>
    <row r="781">
      <c r="A781" s="2"/>
      <c r="B781" s="2"/>
      <c r="C781" s="2"/>
      <c r="D781" s="2"/>
      <c r="E781" s="2"/>
      <c r="F781" s="2"/>
      <c r="G781" s="2"/>
      <c r="H781" s="2"/>
      <c r="I781" s="2"/>
      <c r="J781" s="2"/>
      <c r="K781" s="2"/>
      <c r="L781" s="2"/>
      <c r="M781" s="2"/>
      <c r="N781" s="2"/>
      <c r="O781" s="2"/>
      <c r="P781" s="2"/>
      <c r="Q781" s="2"/>
      <c r="R781" s="2"/>
      <c r="S781" s="2"/>
      <c r="T781" s="2"/>
      <c r="U781" s="2"/>
      <c r="V781" s="2"/>
      <c r="W781" s="2"/>
    </row>
    <row r="782">
      <c r="A782" s="2"/>
      <c r="B782" s="2"/>
      <c r="C782" s="2"/>
      <c r="D782" s="2"/>
      <c r="E782" s="2"/>
      <c r="F782" s="2"/>
      <c r="G782" s="2"/>
      <c r="H782" s="2"/>
      <c r="I782" s="2"/>
      <c r="J782" s="2"/>
      <c r="K782" s="2"/>
      <c r="L782" s="2"/>
      <c r="M782" s="2"/>
      <c r="N782" s="2"/>
      <c r="O782" s="2"/>
      <c r="P782" s="2"/>
      <c r="Q782" s="2"/>
      <c r="R782" s="2"/>
      <c r="S782" s="2"/>
      <c r="T782" s="2"/>
      <c r="U782" s="2"/>
      <c r="V782" s="2"/>
      <c r="W782" s="2"/>
    </row>
    <row r="783">
      <c r="A783" s="2"/>
      <c r="B783" s="2"/>
      <c r="C783" s="2"/>
      <c r="D783" s="2"/>
      <c r="E783" s="2"/>
      <c r="F783" s="2"/>
      <c r="G783" s="2"/>
      <c r="H783" s="2"/>
      <c r="I783" s="2"/>
      <c r="J783" s="2"/>
      <c r="K783" s="2"/>
      <c r="L783" s="2"/>
      <c r="M783" s="2"/>
      <c r="N783" s="2"/>
      <c r="O783" s="2"/>
      <c r="P783" s="2"/>
      <c r="Q783" s="2"/>
      <c r="R783" s="2"/>
      <c r="S783" s="2"/>
      <c r="T783" s="2"/>
      <c r="U783" s="2"/>
      <c r="V783" s="2"/>
      <c r="W783" s="2"/>
    </row>
    <row r="784">
      <c r="A784" s="2"/>
      <c r="B784" s="2"/>
      <c r="C784" s="2"/>
      <c r="D784" s="2"/>
      <c r="E784" s="2"/>
      <c r="F784" s="2"/>
      <c r="G784" s="2"/>
      <c r="H784" s="2"/>
      <c r="I784" s="2"/>
      <c r="J784" s="2"/>
      <c r="K784" s="2"/>
      <c r="L784" s="2"/>
      <c r="M784" s="2"/>
      <c r="N784" s="2"/>
      <c r="O784" s="2"/>
      <c r="P784" s="2"/>
      <c r="Q784" s="2"/>
      <c r="R784" s="2"/>
      <c r="S784" s="2"/>
      <c r="T784" s="2"/>
      <c r="U784" s="2"/>
      <c r="V784" s="2"/>
      <c r="W784" s="2"/>
    </row>
    <row r="785">
      <c r="A785" s="2"/>
      <c r="B785" s="2"/>
      <c r="C785" s="2"/>
      <c r="D785" s="2"/>
      <c r="E785" s="2"/>
      <c r="F785" s="2"/>
      <c r="G785" s="2"/>
      <c r="H785" s="2"/>
      <c r="I785" s="2"/>
      <c r="J785" s="2"/>
      <c r="K785" s="2"/>
      <c r="L785" s="2"/>
      <c r="M785" s="2"/>
      <c r="N785" s="2"/>
      <c r="O785" s="2"/>
      <c r="P785" s="2"/>
      <c r="Q785" s="2"/>
      <c r="R785" s="2"/>
      <c r="S785" s="2"/>
      <c r="T785" s="2"/>
      <c r="U785" s="2"/>
      <c r="V785" s="2"/>
      <c r="W785" s="2"/>
    </row>
    <row r="786">
      <c r="A786" s="2"/>
      <c r="B786" s="2"/>
      <c r="C786" s="2"/>
      <c r="D786" s="2"/>
      <c r="E786" s="2"/>
      <c r="F786" s="2"/>
      <c r="G786" s="2"/>
      <c r="H786" s="2"/>
      <c r="I786" s="2"/>
      <c r="J786" s="2"/>
      <c r="K786" s="2"/>
      <c r="L786" s="2"/>
      <c r="M786" s="2"/>
      <c r="N786" s="2"/>
      <c r="O786" s="2"/>
      <c r="P786" s="2"/>
      <c r="Q786" s="2"/>
      <c r="R786" s="2"/>
      <c r="S786" s="2"/>
      <c r="T786" s="2"/>
      <c r="U786" s="2"/>
      <c r="V786" s="2"/>
      <c r="W786" s="2"/>
    </row>
    <row r="787">
      <c r="A787" s="2"/>
      <c r="B787" s="2"/>
      <c r="C787" s="2"/>
      <c r="D787" s="2"/>
      <c r="E787" s="2"/>
      <c r="F787" s="2"/>
      <c r="G787" s="2"/>
      <c r="H787" s="2"/>
      <c r="I787" s="2"/>
      <c r="J787" s="2"/>
      <c r="K787" s="2"/>
      <c r="L787" s="2"/>
      <c r="M787" s="2"/>
      <c r="N787" s="2"/>
      <c r="O787" s="2"/>
      <c r="P787" s="2"/>
      <c r="Q787" s="2"/>
      <c r="R787" s="2"/>
      <c r="S787" s="2"/>
      <c r="T787" s="2"/>
      <c r="U787" s="2"/>
      <c r="V787" s="2"/>
      <c r="W787" s="2"/>
    </row>
    <row r="788">
      <c r="A788" s="2"/>
      <c r="B788" s="2"/>
      <c r="C788" s="2"/>
      <c r="D788" s="2"/>
      <c r="E788" s="2"/>
      <c r="F788" s="2"/>
      <c r="G788" s="2"/>
      <c r="H788" s="2"/>
      <c r="I788" s="2"/>
      <c r="J788" s="2"/>
      <c r="K788" s="2"/>
      <c r="L788" s="2"/>
      <c r="M788" s="2"/>
      <c r="N788" s="2"/>
      <c r="O788" s="2"/>
      <c r="P788" s="2"/>
      <c r="Q788" s="2"/>
      <c r="R788" s="2"/>
      <c r="S788" s="2"/>
      <c r="T788" s="2"/>
      <c r="U788" s="2"/>
      <c r="V788" s="2"/>
      <c r="W788" s="2"/>
    </row>
    <row r="789">
      <c r="A789" s="2"/>
      <c r="B789" s="2"/>
      <c r="C789" s="2"/>
      <c r="D789" s="2"/>
      <c r="E789" s="2"/>
      <c r="F789" s="2"/>
      <c r="G789" s="2"/>
      <c r="H789" s="2"/>
      <c r="I789" s="2"/>
      <c r="J789" s="2"/>
      <c r="K789" s="2"/>
      <c r="L789" s="2"/>
      <c r="M789" s="2"/>
      <c r="N789" s="2"/>
      <c r="O789" s="2"/>
      <c r="P789" s="2"/>
      <c r="Q789" s="2"/>
      <c r="R789" s="2"/>
      <c r="S789" s="2"/>
      <c r="T789" s="2"/>
      <c r="U789" s="2"/>
      <c r="V789" s="2"/>
      <c r="W789" s="2"/>
    </row>
    <row r="790">
      <c r="A790" s="2"/>
      <c r="B790" s="2"/>
      <c r="C790" s="2"/>
      <c r="D790" s="2"/>
      <c r="E790" s="2"/>
      <c r="F790" s="2"/>
      <c r="G790" s="2"/>
      <c r="H790" s="2"/>
      <c r="I790" s="2"/>
      <c r="J790" s="2"/>
      <c r="K790" s="2"/>
      <c r="L790" s="2"/>
      <c r="M790" s="2"/>
      <c r="N790" s="2"/>
      <c r="O790" s="2"/>
      <c r="P790" s="2"/>
      <c r="Q790" s="2"/>
      <c r="R790" s="2"/>
      <c r="S790" s="2"/>
      <c r="T790" s="2"/>
      <c r="U790" s="2"/>
      <c r="V790" s="2"/>
      <c r="W790" s="2"/>
    </row>
    <row r="791">
      <c r="A791" s="2"/>
      <c r="B791" s="2"/>
      <c r="C791" s="2"/>
      <c r="D791" s="2"/>
      <c r="E791" s="2"/>
      <c r="F791" s="2"/>
      <c r="G791" s="2"/>
      <c r="H791" s="2"/>
      <c r="I791" s="2"/>
      <c r="J791" s="2"/>
      <c r="K791" s="2"/>
      <c r="L791" s="2"/>
      <c r="M791" s="2"/>
      <c r="N791" s="2"/>
      <c r="O791" s="2"/>
      <c r="P791" s="2"/>
      <c r="Q791" s="2"/>
      <c r="R791" s="2"/>
      <c r="S791" s="2"/>
      <c r="T791" s="2"/>
      <c r="U791" s="2"/>
      <c r="V791" s="2"/>
      <c r="W791" s="2"/>
    </row>
    <row r="792">
      <c r="A792" s="2"/>
      <c r="B792" s="2"/>
      <c r="C792" s="2"/>
      <c r="D792" s="2"/>
      <c r="E792" s="2"/>
      <c r="F792" s="2"/>
      <c r="G792" s="2"/>
      <c r="H792" s="2"/>
      <c r="I792" s="2"/>
      <c r="J792" s="2"/>
      <c r="K792" s="2"/>
      <c r="L792" s="2"/>
      <c r="M792" s="2"/>
      <c r="N792" s="2"/>
      <c r="O792" s="2"/>
      <c r="P792" s="2"/>
      <c r="Q792" s="2"/>
      <c r="R792" s="2"/>
      <c r="S792" s="2"/>
      <c r="T792" s="2"/>
      <c r="U792" s="2"/>
      <c r="V792" s="2"/>
      <c r="W792" s="2"/>
    </row>
    <row r="793">
      <c r="A793" s="2"/>
      <c r="B793" s="2"/>
      <c r="C793" s="2"/>
      <c r="D793" s="2"/>
      <c r="E793" s="2"/>
      <c r="F793" s="2"/>
      <c r="G793" s="2"/>
      <c r="H793" s="2"/>
      <c r="I793" s="2"/>
      <c r="J793" s="2"/>
      <c r="K793" s="2"/>
      <c r="L793" s="2"/>
      <c r="M793" s="2"/>
      <c r="N793" s="2"/>
      <c r="O793" s="2"/>
      <c r="P793" s="2"/>
      <c r="Q793" s="2"/>
      <c r="R793" s="2"/>
      <c r="S793" s="2"/>
      <c r="T793" s="2"/>
      <c r="U793" s="2"/>
      <c r="V793" s="2"/>
      <c r="W793" s="2"/>
    </row>
    <row r="794">
      <c r="A794" s="2"/>
      <c r="B794" s="2"/>
      <c r="C794" s="2"/>
      <c r="D794" s="2"/>
      <c r="E794" s="2"/>
      <c r="F794" s="2"/>
      <c r="G794" s="2"/>
      <c r="H794" s="2"/>
      <c r="I794" s="2"/>
      <c r="J794" s="2"/>
      <c r="K794" s="2"/>
      <c r="L794" s="2"/>
      <c r="M794" s="2"/>
      <c r="N794" s="2"/>
      <c r="O794" s="2"/>
      <c r="P794" s="2"/>
      <c r="Q794" s="2"/>
      <c r="R794" s="2"/>
      <c r="S794" s="2"/>
      <c r="T794" s="2"/>
      <c r="U794" s="2"/>
      <c r="V794" s="2"/>
      <c r="W794" s="2"/>
    </row>
    <row r="795">
      <c r="A795" s="2"/>
      <c r="B795" s="2"/>
      <c r="C795" s="2"/>
      <c r="D795" s="2"/>
      <c r="E795" s="2"/>
      <c r="F795" s="2"/>
      <c r="G795" s="2"/>
      <c r="H795" s="2"/>
      <c r="I795" s="2"/>
      <c r="J795" s="2"/>
      <c r="K795" s="2"/>
      <c r="L795" s="2"/>
      <c r="M795" s="2"/>
      <c r="N795" s="2"/>
      <c r="O795" s="2"/>
      <c r="P795" s="2"/>
      <c r="Q795" s="2"/>
      <c r="R795" s="2"/>
      <c r="S795" s="2"/>
      <c r="T795" s="2"/>
      <c r="U795" s="2"/>
      <c r="V795" s="2"/>
      <c r="W795" s="2"/>
    </row>
    <row r="796">
      <c r="A796" s="2"/>
      <c r="B796" s="2"/>
      <c r="C796" s="2"/>
      <c r="D796" s="2"/>
      <c r="E796" s="2"/>
      <c r="F796" s="2"/>
      <c r="G796" s="2"/>
      <c r="H796" s="2"/>
      <c r="I796" s="2"/>
      <c r="J796" s="2"/>
      <c r="K796" s="2"/>
      <c r="L796" s="2"/>
      <c r="M796" s="2"/>
      <c r="N796" s="2"/>
      <c r="O796" s="2"/>
      <c r="P796" s="2"/>
      <c r="Q796" s="2"/>
      <c r="R796" s="2"/>
      <c r="S796" s="2"/>
      <c r="T796" s="2"/>
      <c r="U796" s="2"/>
      <c r="V796" s="2"/>
      <c r="W796" s="2"/>
    </row>
    <row r="797">
      <c r="A797" s="2"/>
      <c r="B797" s="2"/>
      <c r="C797" s="2"/>
      <c r="D797" s="2"/>
      <c r="E797" s="2"/>
      <c r="F797" s="2"/>
      <c r="G797" s="2"/>
      <c r="H797" s="2"/>
      <c r="I797" s="2"/>
      <c r="J797" s="2"/>
      <c r="K797" s="2"/>
      <c r="L797" s="2"/>
      <c r="M797" s="2"/>
      <c r="N797" s="2"/>
      <c r="O797" s="2"/>
      <c r="P797" s="2"/>
      <c r="Q797" s="2"/>
      <c r="R797" s="2"/>
      <c r="S797" s="2"/>
      <c r="T797" s="2"/>
      <c r="U797" s="2"/>
      <c r="V797" s="2"/>
      <c r="W797" s="2"/>
    </row>
    <row r="798">
      <c r="A798" s="2"/>
      <c r="B798" s="2"/>
      <c r="C798" s="2"/>
      <c r="D798" s="2"/>
      <c r="E798" s="2"/>
      <c r="F798" s="2"/>
      <c r="G798" s="2"/>
      <c r="H798" s="2"/>
      <c r="I798" s="2"/>
      <c r="J798" s="2"/>
      <c r="K798" s="2"/>
      <c r="L798" s="2"/>
      <c r="M798" s="2"/>
      <c r="N798" s="2"/>
      <c r="O798" s="2"/>
      <c r="P798" s="2"/>
      <c r="Q798" s="2"/>
      <c r="R798" s="2"/>
      <c r="S798" s="2"/>
      <c r="T798" s="2"/>
      <c r="U798" s="2"/>
      <c r="V798" s="2"/>
      <c r="W798" s="2"/>
    </row>
    <row r="799">
      <c r="A799" s="2"/>
      <c r="B799" s="2"/>
      <c r="C799" s="2"/>
      <c r="D799" s="2"/>
      <c r="E799" s="2"/>
      <c r="F799" s="2"/>
      <c r="G799" s="2"/>
      <c r="H799" s="2"/>
      <c r="I799" s="2"/>
      <c r="J799" s="2"/>
      <c r="K799" s="2"/>
      <c r="L799" s="2"/>
      <c r="M799" s="2"/>
      <c r="N799" s="2"/>
      <c r="O799" s="2"/>
      <c r="P799" s="2"/>
      <c r="Q799" s="2"/>
      <c r="R799" s="2"/>
      <c r="S799" s="2"/>
      <c r="T799" s="2"/>
      <c r="U799" s="2"/>
      <c r="V799" s="2"/>
      <c r="W799" s="2"/>
    </row>
    <row r="800">
      <c r="A800" s="2"/>
      <c r="B800" s="2"/>
      <c r="C800" s="2"/>
      <c r="D800" s="2"/>
      <c r="E800" s="2"/>
      <c r="F800" s="2"/>
      <c r="G800" s="2"/>
      <c r="H800" s="2"/>
      <c r="I800" s="2"/>
      <c r="J800" s="2"/>
      <c r="K800" s="2"/>
      <c r="L800" s="2"/>
      <c r="M800" s="2"/>
      <c r="N800" s="2"/>
      <c r="O800" s="2"/>
      <c r="P800" s="2"/>
      <c r="Q800" s="2"/>
      <c r="R800" s="2"/>
      <c r="S800" s="2"/>
      <c r="T800" s="2"/>
      <c r="U800" s="2"/>
      <c r="V800" s="2"/>
      <c r="W800" s="2"/>
    </row>
    <row r="801">
      <c r="A801" s="2"/>
      <c r="B801" s="2"/>
      <c r="C801" s="2"/>
      <c r="D801" s="2"/>
      <c r="E801" s="2"/>
      <c r="F801" s="2"/>
      <c r="G801" s="2"/>
      <c r="H801" s="2"/>
      <c r="I801" s="2"/>
      <c r="J801" s="2"/>
      <c r="K801" s="2"/>
      <c r="L801" s="2"/>
      <c r="M801" s="2"/>
      <c r="N801" s="2"/>
      <c r="O801" s="2"/>
      <c r="P801" s="2"/>
      <c r="Q801" s="2"/>
      <c r="R801" s="2"/>
      <c r="S801" s="2"/>
      <c r="T801" s="2"/>
      <c r="U801" s="2"/>
      <c r="V801" s="2"/>
      <c r="W801" s="2"/>
    </row>
    <row r="802">
      <c r="A802" s="2"/>
      <c r="B802" s="2"/>
      <c r="C802" s="2"/>
      <c r="D802" s="2"/>
      <c r="E802" s="2"/>
      <c r="F802" s="2"/>
      <c r="G802" s="2"/>
      <c r="H802" s="2"/>
      <c r="I802" s="2"/>
      <c r="J802" s="2"/>
      <c r="K802" s="2"/>
      <c r="L802" s="2"/>
      <c r="M802" s="2"/>
      <c r="N802" s="2"/>
      <c r="O802" s="2"/>
      <c r="P802" s="2"/>
      <c r="Q802" s="2"/>
      <c r="R802" s="2"/>
      <c r="S802" s="2"/>
      <c r="T802" s="2"/>
      <c r="U802" s="2"/>
      <c r="V802" s="2"/>
      <c r="W802" s="2"/>
    </row>
    <row r="803">
      <c r="A803" s="2"/>
      <c r="B803" s="2"/>
      <c r="C803" s="2"/>
      <c r="D803" s="2"/>
      <c r="E803" s="2"/>
      <c r="F803" s="2"/>
      <c r="G803" s="2"/>
      <c r="H803" s="2"/>
      <c r="I803" s="2"/>
      <c r="J803" s="2"/>
      <c r="K803" s="2"/>
      <c r="L803" s="2"/>
      <c r="M803" s="2"/>
      <c r="N803" s="2"/>
      <c r="O803" s="2"/>
      <c r="P803" s="2"/>
      <c r="Q803" s="2"/>
      <c r="R803" s="2"/>
      <c r="S803" s="2"/>
      <c r="T803" s="2"/>
      <c r="U803" s="2"/>
      <c r="V803" s="2"/>
      <c r="W803" s="2"/>
    </row>
    <row r="804">
      <c r="A804" s="2"/>
      <c r="B804" s="2"/>
      <c r="C804" s="2"/>
      <c r="D804" s="2"/>
      <c r="E804" s="2"/>
      <c r="F804" s="2"/>
      <c r="G804" s="2"/>
      <c r="H804" s="2"/>
      <c r="I804" s="2"/>
      <c r="J804" s="2"/>
      <c r="K804" s="2"/>
      <c r="L804" s="2"/>
      <c r="M804" s="2"/>
      <c r="N804" s="2"/>
      <c r="O804" s="2"/>
      <c r="P804" s="2"/>
      <c r="Q804" s="2"/>
      <c r="R804" s="2"/>
      <c r="S804" s="2"/>
      <c r="T804" s="2"/>
      <c r="U804" s="2"/>
      <c r="V804" s="2"/>
      <c r="W804" s="2"/>
    </row>
    <row r="805">
      <c r="A805" s="2"/>
      <c r="B805" s="2"/>
      <c r="C805" s="2"/>
      <c r="D805" s="2"/>
      <c r="E805" s="2"/>
      <c r="F805" s="2"/>
      <c r="G805" s="2"/>
      <c r="H805" s="2"/>
      <c r="I805" s="2"/>
      <c r="J805" s="2"/>
      <c r="K805" s="2"/>
      <c r="L805" s="2"/>
      <c r="M805" s="2"/>
      <c r="N805" s="2"/>
      <c r="O805" s="2"/>
      <c r="P805" s="2"/>
      <c r="Q805" s="2"/>
      <c r="R805" s="2"/>
      <c r="S805" s="2"/>
      <c r="T805" s="2"/>
      <c r="U805" s="2"/>
      <c r="V805" s="2"/>
      <c r="W805" s="2"/>
    </row>
    <row r="806">
      <c r="A806" s="2"/>
      <c r="B806" s="2"/>
      <c r="C806" s="2"/>
      <c r="D806" s="2"/>
      <c r="E806" s="2"/>
      <c r="F806" s="2"/>
      <c r="G806" s="2"/>
      <c r="H806" s="2"/>
      <c r="I806" s="2"/>
      <c r="J806" s="2"/>
      <c r="K806" s="2"/>
      <c r="L806" s="2"/>
      <c r="M806" s="2"/>
      <c r="N806" s="2"/>
      <c r="O806" s="2"/>
      <c r="P806" s="2"/>
      <c r="Q806" s="2"/>
      <c r="R806" s="2"/>
      <c r="S806" s="2"/>
      <c r="T806" s="2"/>
      <c r="U806" s="2"/>
      <c r="V806" s="2"/>
      <c r="W806" s="2"/>
    </row>
    <row r="807">
      <c r="A807" s="2"/>
      <c r="B807" s="2"/>
      <c r="C807" s="2"/>
      <c r="D807" s="2"/>
      <c r="E807" s="2"/>
      <c r="F807" s="2"/>
      <c r="G807" s="2"/>
      <c r="H807" s="2"/>
      <c r="I807" s="2"/>
      <c r="J807" s="2"/>
      <c r="K807" s="2"/>
      <c r="L807" s="2"/>
      <c r="M807" s="2"/>
      <c r="N807" s="2"/>
      <c r="O807" s="2"/>
      <c r="P807" s="2"/>
      <c r="Q807" s="2"/>
      <c r="R807" s="2"/>
      <c r="S807" s="2"/>
      <c r="T807" s="2"/>
      <c r="U807" s="2"/>
      <c r="V807" s="2"/>
      <c r="W807" s="2"/>
    </row>
    <row r="808">
      <c r="A808" s="2"/>
      <c r="B808" s="2"/>
      <c r="C808" s="2"/>
      <c r="D808" s="2"/>
      <c r="E808" s="2"/>
      <c r="F808" s="2"/>
      <c r="G808" s="2"/>
      <c r="H808" s="2"/>
      <c r="I808" s="2"/>
      <c r="J808" s="2"/>
      <c r="K808" s="2"/>
      <c r="L808" s="2"/>
      <c r="M808" s="2"/>
      <c r="N808" s="2"/>
      <c r="O808" s="2"/>
      <c r="P808" s="2"/>
      <c r="Q808" s="2"/>
      <c r="R808" s="2"/>
      <c r="S808" s="2"/>
      <c r="T808" s="2"/>
      <c r="U808" s="2"/>
      <c r="V808" s="2"/>
      <c r="W808" s="2"/>
    </row>
    <row r="809">
      <c r="A809" s="2"/>
      <c r="B809" s="2"/>
      <c r="C809" s="2"/>
      <c r="D809" s="2"/>
      <c r="E809" s="2"/>
      <c r="F809" s="2"/>
      <c r="G809" s="2"/>
      <c r="H809" s="2"/>
      <c r="I809" s="2"/>
      <c r="J809" s="2"/>
      <c r="K809" s="2"/>
      <c r="L809" s="2"/>
      <c r="M809" s="2"/>
      <c r="N809" s="2"/>
      <c r="O809" s="2"/>
      <c r="P809" s="2"/>
      <c r="Q809" s="2"/>
      <c r="R809" s="2"/>
      <c r="S809" s="2"/>
      <c r="T809" s="2"/>
      <c r="U809" s="2"/>
      <c r="V809" s="2"/>
      <c r="W809" s="2"/>
    </row>
    <row r="810">
      <c r="A810" s="2"/>
      <c r="B810" s="2"/>
      <c r="C810" s="2"/>
      <c r="D810" s="2"/>
      <c r="E810" s="2"/>
      <c r="F810" s="2"/>
      <c r="G810" s="2"/>
      <c r="H810" s="2"/>
      <c r="I810" s="2"/>
      <c r="J810" s="2"/>
      <c r="K810" s="2"/>
      <c r="L810" s="2"/>
      <c r="M810" s="2"/>
      <c r="N810" s="2"/>
      <c r="O810" s="2"/>
      <c r="P810" s="2"/>
      <c r="Q810" s="2"/>
      <c r="R810" s="2"/>
      <c r="S810" s="2"/>
      <c r="T810" s="2"/>
      <c r="U810" s="2"/>
      <c r="V810" s="2"/>
      <c r="W810" s="2"/>
    </row>
    <row r="811">
      <c r="A811" s="2"/>
      <c r="B811" s="2"/>
      <c r="C811" s="2"/>
      <c r="D811" s="2"/>
      <c r="E811" s="2"/>
      <c r="F811" s="2"/>
      <c r="G811" s="2"/>
      <c r="H811" s="2"/>
      <c r="I811" s="2"/>
      <c r="J811" s="2"/>
      <c r="K811" s="2"/>
      <c r="L811" s="2"/>
      <c r="M811" s="2"/>
      <c r="N811" s="2"/>
      <c r="O811" s="2"/>
      <c r="P811" s="2"/>
      <c r="Q811" s="2"/>
      <c r="R811" s="2"/>
      <c r="S811" s="2"/>
      <c r="T811" s="2"/>
      <c r="U811" s="2"/>
      <c r="V811" s="2"/>
      <c r="W811" s="2"/>
    </row>
    <row r="812">
      <c r="A812" s="2"/>
      <c r="B812" s="2"/>
      <c r="C812" s="2"/>
      <c r="D812" s="2"/>
      <c r="E812" s="2"/>
      <c r="F812" s="2"/>
      <c r="G812" s="2"/>
      <c r="H812" s="2"/>
      <c r="I812" s="2"/>
      <c r="J812" s="2"/>
      <c r="K812" s="2"/>
      <c r="L812" s="2"/>
      <c r="M812" s="2"/>
      <c r="N812" s="2"/>
      <c r="O812" s="2"/>
      <c r="P812" s="2"/>
      <c r="Q812" s="2"/>
      <c r="R812" s="2"/>
      <c r="S812" s="2"/>
      <c r="T812" s="2"/>
      <c r="U812" s="2"/>
      <c r="V812" s="2"/>
      <c r="W812" s="2"/>
    </row>
    <row r="813">
      <c r="A813" s="2"/>
      <c r="B813" s="2"/>
      <c r="C813" s="2"/>
      <c r="D813" s="2"/>
      <c r="E813" s="2"/>
      <c r="F813" s="2"/>
      <c r="G813" s="2"/>
      <c r="H813" s="2"/>
      <c r="I813" s="2"/>
      <c r="J813" s="2"/>
      <c r="K813" s="2"/>
      <c r="L813" s="2"/>
      <c r="M813" s="2"/>
      <c r="N813" s="2"/>
      <c r="O813" s="2"/>
      <c r="P813" s="2"/>
      <c r="Q813" s="2"/>
      <c r="R813" s="2"/>
      <c r="S813" s="2"/>
      <c r="T813" s="2"/>
      <c r="U813" s="2"/>
      <c r="V813" s="2"/>
      <c r="W813" s="2"/>
    </row>
    <row r="814">
      <c r="A814" s="2"/>
      <c r="B814" s="2"/>
      <c r="C814" s="2"/>
      <c r="D814" s="2"/>
      <c r="E814" s="2"/>
      <c r="F814" s="2"/>
      <c r="G814" s="2"/>
      <c r="H814" s="2"/>
      <c r="I814" s="2"/>
      <c r="J814" s="2"/>
      <c r="K814" s="2"/>
      <c r="L814" s="2"/>
      <c r="M814" s="2"/>
      <c r="N814" s="2"/>
      <c r="O814" s="2"/>
      <c r="P814" s="2"/>
      <c r="Q814" s="2"/>
      <c r="R814" s="2"/>
      <c r="S814" s="2"/>
      <c r="T814" s="2"/>
      <c r="U814" s="2"/>
      <c r="V814" s="2"/>
      <c r="W814" s="2"/>
    </row>
    <row r="815">
      <c r="A815" s="2"/>
      <c r="B815" s="2"/>
      <c r="C815" s="2"/>
      <c r="D815" s="2"/>
      <c r="E815" s="2"/>
      <c r="F815" s="2"/>
      <c r="G815" s="2"/>
      <c r="H815" s="2"/>
      <c r="I815" s="2"/>
      <c r="J815" s="2"/>
      <c r="K815" s="2"/>
      <c r="L815" s="2"/>
      <c r="M815" s="2"/>
      <c r="N815" s="2"/>
      <c r="O815" s="2"/>
      <c r="P815" s="2"/>
      <c r="Q815" s="2"/>
      <c r="R815" s="2"/>
      <c r="S815" s="2"/>
      <c r="T815" s="2"/>
      <c r="U815" s="2"/>
      <c r="V815" s="2"/>
      <c r="W815" s="2"/>
    </row>
    <row r="816">
      <c r="A816" s="2"/>
      <c r="B816" s="2"/>
      <c r="C816" s="2"/>
      <c r="D816" s="2"/>
      <c r="E816" s="2"/>
      <c r="F816" s="2"/>
      <c r="G816" s="2"/>
      <c r="H816" s="2"/>
      <c r="I816" s="2"/>
      <c r="J816" s="2"/>
      <c r="K816" s="2"/>
      <c r="L816" s="2"/>
      <c r="M816" s="2"/>
      <c r="N816" s="2"/>
      <c r="O816" s="2"/>
      <c r="P816" s="2"/>
      <c r="Q816" s="2"/>
      <c r="R816" s="2"/>
      <c r="S816" s="2"/>
      <c r="T816" s="2"/>
      <c r="U816" s="2"/>
      <c r="V816" s="2"/>
      <c r="W816" s="2"/>
    </row>
    <row r="817">
      <c r="A817" s="2"/>
      <c r="B817" s="2"/>
      <c r="C817" s="2"/>
      <c r="D817" s="2"/>
      <c r="E817" s="2"/>
      <c r="F817" s="2"/>
      <c r="G817" s="2"/>
      <c r="H817" s="2"/>
      <c r="I817" s="2"/>
      <c r="J817" s="2"/>
      <c r="K817" s="2"/>
      <c r="L817" s="2"/>
      <c r="M817" s="2"/>
      <c r="N817" s="2"/>
      <c r="O817" s="2"/>
      <c r="P817" s="2"/>
      <c r="Q817" s="2"/>
      <c r="R817" s="2"/>
      <c r="S817" s="2"/>
      <c r="T817" s="2"/>
      <c r="U817" s="2"/>
      <c r="V817" s="2"/>
      <c r="W817" s="2"/>
    </row>
    <row r="818">
      <c r="A818" s="2"/>
      <c r="B818" s="2"/>
      <c r="C818" s="2"/>
      <c r="D818" s="2"/>
      <c r="E818" s="2"/>
      <c r="F818" s="2"/>
      <c r="G818" s="2"/>
      <c r="H818" s="2"/>
      <c r="I818" s="2"/>
      <c r="J818" s="2"/>
      <c r="K818" s="2"/>
      <c r="L818" s="2"/>
      <c r="M818" s="2"/>
      <c r="N818" s="2"/>
      <c r="O818" s="2"/>
      <c r="P818" s="2"/>
      <c r="Q818" s="2"/>
      <c r="R818" s="2"/>
      <c r="S818" s="2"/>
      <c r="T818" s="2"/>
      <c r="U818" s="2"/>
      <c r="V818" s="2"/>
      <c r="W818" s="2"/>
    </row>
    <row r="819">
      <c r="A819" s="2"/>
      <c r="B819" s="2"/>
      <c r="C819" s="2"/>
      <c r="D819" s="2"/>
      <c r="E819" s="2"/>
      <c r="F819" s="2"/>
      <c r="G819" s="2"/>
      <c r="H819" s="2"/>
      <c r="I819" s="2"/>
      <c r="J819" s="2"/>
      <c r="K819" s="2"/>
      <c r="L819" s="2"/>
      <c r="M819" s="2"/>
      <c r="N819" s="2"/>
      <c r="O819" s="2"/>
      <c r="P819" s="2"/>
      <c r="Q819" s="2"/>
      <c r="R819" s="2"/>
      <c r="S819" s="2"/>
      <c r="T819" s="2"/>
      <c r="U819" s="2"/>
      <c r="V819" s="2"/>
      <c r="W819" s="2"/>
    </row>
    <row r="820">
      <c r="A820" s="2"/>
      <c r="B820" s="2"/>
      <c r="C820" s="2"/>
      <c r="D820" s="2"/>
      <c r="E820" s="2"/>
      <c r="F820" s="2"/>
      <c r="G820" s="2"/>
      <c r="H820" s="2"/>
      <c r="I820" s="2"/>
      <c r="J820" s="2"/>
      <c r="K820" s="2"/>
      <c r="L820" s="2"/>
      <c r="M820" s="2"/>
      <c r="N820" s="2"/>
      <c r="O820" s="2"/>
      <c r="P820" s="2"/>
      <c r="Q820" s="2"/>
      <c r="R820" s="2"/>
      <c r="S820" s="2"/>
      <c r="T820" s="2"/>
      <c r="U820" s="2"/>
      <c r="V820" s="2"/>
      <c r="W820" s="2"/>
    </row>
    <row r="821">
      <c r="A821" s="2"/>
      <c r="B821" s="2"/>
      <c r="C821" s="2"/>
      <c r="D821" s="2"/>
      <c r="E821" s="2"/>
      <c r="F821" s="2"/>
      <c r="G821" s="2"/>
      <c r="H821" s="2"/>
      <c r="I821" s="2"/>
      <c r="J821" s="2"/>
      <c r="K821" s="2"/>
      <c r="L821" s="2"/>
      <c r="M821" s="2"/>
      <c r="N821" s="2"/>
      <c r="O821" s="2"/>
      <c r="P821" s="2"/>
      <c r="Q821" s="2"/>
      <c r="R821" s="2"/>
      <c r="S821" s="2"/>
      <c r="T821" s="2"/>
      <c r="U821" s="2"/>
      <c r="V821" s="2"/>
      <c r="W821" s="2"/>
    </row>
    <row r="822">
      <c r="A822" s="2"/>
      <c r="B822" s="2"/>
      <c r="C822" s="2"/>
      <c r="D822" s="2"/>
      <c r="E822" s="2"/>
      <c r="F822" s="2"/>
      <c r="G822" s="2"/>
      <c r="H822" s="2"/>
      <c r="I822" s="2"/>
      <c r="J822" s="2"/>
      <c r="K822" s="2"/>
      <c r="L822" s="2"/>
      <c r="M822" s="2"/>
      <c r="N822" s="2"/>
      <c r="O822" s="2"/>
      <c r="P822" s="2"/>
      <c r="Q822" s="2"/>
      <c r="R822" s="2"/>
      <c r="S822" s="2"/>
      <c r="T822" s="2"/>
      <c r="U822" s="2"/>
      <c r="V822" s="2"/>
      <c r="W822" s="2"/>
    </row>
    <row r="823">
      <c r="A823" s="2"/>
      <c r="B823" s="2"/>
      <c r="C823" s="2"/>
      <c r="D823" s="2"/>
      <c r="E823" s="2"/>
      <c r="F823" s="2"/>
      <c r="G823" s="2"/>
      <c r="H823" s="2"/>
      <c r="I823" s="2"/>
      <c r="J823" s="2"/>
      <c r="K823" s="2"/>
      <c r="L823" s="2"/>
      <c r="M823" s="2"/>
      <c r="N823" s="2"/>
      <c r="O823" s="2"/>
      <c r="P823" s="2"/>
      <c r="Q823" s="2"/>
      <c r="R823" s="2"/>
      <c r="S823" s="2"/>
      <c r="T823" s="2"/>
      <c r="U823" s="2"/>
      <c r="V823" s="2"/>
      <c r="W823" s="2"/>
    </row>
    <row r="824">
      <c r="A824" s="2"/>
      <c r="B824" s="2"/>
      <c r="C824" s="2"/>
      <c r="D824" s="2"/>
      <c r="E824" s="2"/>
      <c r="F824" s="2"/>
      <c r="G824" s="2"/>
      <c r="H824" s="2"/>
      <c r="I824" s="2"/>
      <c r="J824" s="2"/>
      <c r="K824" s="2"/>
      <c r="L824" s="2"/>
      <c r="M824" s="2"/>
      <c r="N824" s="2"/>
      <c r="O824" s="2"/>
      <c r="P824" s="2"/>
      <c r="Q824" s="2"/>
      <c r="R824" s="2"/>
      <c r="S824" s="2"/>
      <c r="T824" s="2"/>
      <c r="U824" s="2"/>
      <c r="V824" s="2"/>
      <c r="W824" s="2"/>
    </row>
    <row r="825">
      <c r="A825" s="2"/>
      <c r="B825" s="2"/>
      <c r="C825" s="2"/>
      <c r="D825" s="2"/>
      <c r="E825" s="2"/>
      <c r="F825" s="2"/>
      <c r="G825" s="2"/>
      <c r="H825" s="2"/>
      <c r="I825" s="2"/>
      <c r="J825" s="2"/>
      <c r="K825" s="2"/>
      <c r="L825" s="2"/>
      <c r="M825" s="2"/>
      <c r="N825" s="2"/>
      <c r="O825" s="2"/>
      <c r="P825" s="2"/>
      <c r="Q825" s="2"/>
      <c r="R825" s="2"/>
      <c r="S825" s="2"/>
      <c r="T825" s="2"/>
      <c r="U825" s="2"/>
      <c r="V825" s="2"/>
      <c r="W825" s="2"/>
    </row>
    <row r="826">
      <c r="A826" s="2"/>
      <c r="B826" s="2"/>
      <c r="C826" s="2"/>
      <c r="D826" s="2"/>
      <c r="E826" s="2"/>
      <c r="F826" s="2"/>
      <c r="G826" s="2"/>
      <c r="H826" s="2"/>
      <c r="I826" s="2"/>
      <c r="J826" s="2"/>
      <c r="K826" s="2"/>
      <c r="L826" s="2"/>
      <c r="M826" s="2"/>
      <c r="N826" s="2"/>
      <c r="O826" s="2"/>
      <c r="P826" s="2"/>
      <c r="Q826" s="2"/>
      <c r="R826" s="2"/>
      <c r="S826" s="2"/>
      <c r="T826" s="2"/>
      <c r="U826" s="2"/>
      <c r="V826" s="2"/>
      <c r="W826" s="2"/>
    </row>
    <row r="827">
      <c r="A827" s="2"/>
      <c r="B827" s="2"/>
      <c r="C827" s="2"/>
      <c r="D827" s="2"/>
      <c r="E827" s="2"/>
      <c r="F827" s="2"/>
      <c r="G827" s="2"/>
      <c r="H827" s="2"/>
      <c r="I827" s="2"/>
      <c r="J827" s="2"/>
      <c r="K827" s="2"/>
      <c r="L827" s="2"/>
      <c r="M827" s="2"/>
      <c r="N827" s="2"/>
      <c r="O827" s="2"/>
      <c r="P827" s="2"/>
      <c r="Q827" s="2"/>
      <c r="R827" s="2"/>
      <c r="S827" s="2"/>
      <c r="T827" s="2"/>
      <c r="U827" s="2"/>
      <c r="V827" s="2"/>
      <c r="W827" s="2"/>
    </row>
    <row r="828">
      <c r="A828" s="2"/>
      <c r="B828" s="2"/>
      <c r="C828" s="2"/>
      <c r="D828" s="2"/>
      <c r="E828" s="2"/>
      <c r="F828" s="2"/>
      <c r="G828" s="2"/>
      <c r="H828" s="2"/>
      <c r="I828" s="2"/>
      <c r="J828" s="2"/>
      <c r="K828" s="2"/>
      <c r="L828" s="2"/>
      <c r="M828" s="2"/>
      <c r="N828" s="2"/>
      <c r="O828" s="2"/>
      <c r="P828" s="2"/>
      <c r="Q828" s="2"/>
      <c r="R828" s="2"/>
      <c r="S828" s="2"/>
      <c r="T828" s="2"/>
      <c r="U828" s="2"/>
      <c r="V828" s="2"/>
      <c r="W828" s="2"/>
    </row>
    <row r="829">
      <c r="A829" s="2"/>
      <c r="B829" s="2"/>
      <c r="C829" s="2"/>
      <c r="D829" s="2"/>
      <c r="E829" s="2"/>
      <c r="F829" s="2"/>
      <c r="G829" s="2"/>
      <c r="H829" s="2"/>
      <c r="I829" s="2"/>
      <c r="J829" s="2"/>
      <c r="K829" s="2"/>
      <c r="L829" s="2"/>
      <c r="M829" s="2"/>
      <c r="N829" s="2"/>
      <c r="O829" s="2"/>
      <c r="P829" s="2"/>
      <c r="Q829" s="2"/>
      <c r="R829" s="2"/>
      <c r="S829" s="2"/>
      <c r="T829" s="2"/>
      <c r="U829" s="2"/>
      <c r="V829" s="2"/>
      <c r="W829" s="2"/>
    </row>
    <row r="830">
      <c r="A830" s="2"/>
      <c r="B830" s="2"/>
      <c r="C830" s="2"/>
      <c r="D830" s="2"/>
      <c r="E830" s="2"/>
      <c r="F830" s="2"/>
      <c r="G830" s="2"/>
      <c r="H830" s="2"/>
      <c r="I830" s="2"/>
      <c r="J830" s="2"/>
      <c r="K830" s="2"/>
      <c r="L830" s="2"/>
      <c r="M830" s="2"/>
      <c r="N830" s="2"/>
      <c r="O830" s="2"/>
      <c r="P830" s="2"/>
      <c r="Q830" s="2"/>
      <c r="R830" s="2"/>
      <c r="S830" s="2"/>
      <c r="T830" s="2"/>
      <c r="U830" s="2"/>
      <c r="V830" s="2"/>
      <c r="W830" s="2"/>
    </row>
    <row r="831">
      <c r="A831" s="2"/>
      <c r="B831" s="2"/>
      <c r="C831" s="2"/>
      <c r="D831" s="2"/>
      <c r="E831" s="2"/>
      <c r="F831" s="2"/>
      <c r="G831" s="2"/>
      <c r="H831" s="2"/>
      <c r="I831" s="2"/>
      <c r="J831" s="2"/>
      <c r="K831" s="2"/>
      <c r="L831" s="2"/>
      <c r="M831" s="2"/>
      <c r="N831" s="2"/>
      <c r="O831" s="2"/>
      <c r="P831" s="2"/>
      <c r="Q831" s="2"/>
      <c r="R831" s="2"/>
      <c r="S831" s="2"/>
      <c r="T831" s="2"/>
      <c r="U831" s="2"/>
      <c r="V831" s="2"/>
      <c r="W831" s="2"/>
    </row>
    <row r="832">
      <c r="A832" s="2"/>
      <c r="B832" s="2"/>
      <c r="C832" s="2"/>
      <c r="D832" s="2"/>
      <c r="E832" s="2"/>
      <c r="F832" s="2"/>
      <c r="G832" s="2"/>
      <c r="H832" s="2"/>
      <c r="I832" s="2"/>
      <c r="J832" s="2"/>
      <c r="K832" s="2"/>
      <c r="L832" s="2"/>
      <c r="M832" s="2"/>
      <c r="N832" s="2"/>
      <c r="O832" s="2"/>
      <c r="P832" s="2"/>
      <c r="Q832" s="2"/>
      <c r="R832" s="2"/>
      <c r="S832" s="2"/>
      <c r="T832" s="2"/>
      <c r="U832" s="2"/>
      <c r="V832" s="2"/>
      <c r="W832" s="2"/>
    </row>
    <row r="833">
      <c r="A833" s="2"/>
      <c r="B833" s="2"/>
      <c r="C833" s="2"/>
      <c r="D833" s="2"/>
      <c r="E833" s="2"/>
      <c r="F833" s="2"/>
      <c r="G833" s="2"/>
      <c r="H833" s="2"/>
      <c r="I833" s="2"/>
      <c r="J833" s="2"/>
      <c r="K833" s="2"/>
      <c r="L833" s="2"/>
      <c r="M833" s="2"/>
      <c r="N833" s="2"/>
      <c r="O833" s="2"/>
      <c r="P833" s="2"/>
      <c r="Q833" s="2"/>
      <c r="R833" s="2"/>
      <c r="S833" s="2"/>
      <c r="T833" s="2"/>
      <c r="U833" s="2"/>
      <c r="V833" s="2"/>
      <c r="W833" s="2"/>
    </row>
    <row r="834">
      <c r="A834" s="2"/>
      <c r="B834" s="2"/>
      <c r="C834" s="2"/>
      <c r="D834" s="2"/>
      <c r="E834" s="2"/>
      <c r="F834" s="2"/>
      <c r="G834" s="2"/>
      <c r="H834" s="2"/>
      <c r="I834" s="2"/>
      <c r="J834" s="2"/>
      <c r="K834" s="2"/>
      <c r="L834" s="2"/>
      <c r="M834" s="2"/>
      <c r="N834" s="2"/>
      <c r="O834" s="2"/>
      <c r="P834" s="2"/>
      <c r="Q834" s="2"/>
      <c r="R834" s="2"/>
      <c r="S834" s="2"/>
      <c r="T834" s="2"/>
      <c r="U834" s="2"/>
      <c r="V834" s="2"/>
      <c r="W834" s="2"/>
    </row>
    <row r="835">
      <c r="A835" s="2"/>
      <c r="B835" s="2"/>
      <c r="C835" s="2"/>
      <c r="D835" s="2"/>
      <c r="E835" s="2"/>
      <c r="F835" s="2"/>
      <c r="G835" s="2"/>
      <c r="H835" s="2"/>
      <c r="I835" s="2"/>
      <c r="J835" s="2"/>
      <c r="K835" s="2"/>
      <c r="L835" s="2"/>
      <c r="M835" s="2"/>
      <c r="N835" s="2"/>
      <c r="O835" s="2"/>
      <c r="P835" s="2"/>
      <c r="Q835" s="2"/>
      <c r="R835" s="2"/>
      <c r="S835" s="2"/>
      <c r="T835" s="2"/>
      <c r="U835" s="2"/>
      <c r="V835" s="2"/>
      <c r="W835" s="2"/>
    </row>
    <row r="836">
      <c r="A836" s="2"/>
      <c r="B836" s="2"/>
      <c r="C836" s="2"/>
      <c r="D836" s="2"/>
      <c r="E836" s="2"/>
      <c r="F836" s="2"/>
      <c r="G836" s="2"/>
      <c r="H836" s="2"/>
      <c r="I836" s="2"/>
      <c r="J836" s="2"/>
      <c r="K836" s="2"/>
      <c r="L836" s="2"/>
      <c r="M836" s="2"/>
      <c r="N836" s="2"/>
      <c r="O836" s="2"/>
      <c r="P836" s="2"/>
      <c r="Q836" s="2"/>
      <c r="R836" s="2"/>
      <c r="S836" s="2"/>
      <c r="T836" s="2"/>
      <c r="U836" s="2"/>
      <c r="V836" s="2"/>
      <c r="W836" s="2"/>
    </row>
    <row r="837">
      <c r="A837" s="2"/>
      <c r="B837" s="2"/>
      <c r="C837" s="2"/>
      <c r="D837" s="2"/>
      <c r="E837" s="2"/>
      <c r="F837" s="2"/>
      <c r="G837" s="2"/>
      <c r="H837" s="2"/>
      <c r="I837" s="2"/>
      <c r="J837" s="2"/>
      <c r="K837" s="2"/>
      <c r="L837" s="2"/>
      <c r="M837" s="2"/>
      <c r="N837" s="2"/>
      <c r="O837" s="2"/>
      <c r="P837" s="2"/>
      <c r="Q837" s="2"/>
      <c r="R837" s="2"/>
      <c r="S837" s="2"/>
      <c r="T837" s="2"/>
      <c r="U837" s="2"/>
      <c r="V837" s="2"/>
      <c r="W837" s="2"/>
    </row>
    <row r="838">
      <c r="A838" s="2"/>
      <c r="B838" s="2"/>
      <c r="C838" s="2"/>
      <c r="D838" s="2"/>
      <c r="E838" s="2"/>
      <c r="F838" s="2"/>
      <c r="G838" s="2"/>
      <c r="H838" s="2"/>
      <c r="I838" s="2"/>
      <c r="J838" s="2"/>
      <c r="K838" s="2"/>
      <c r="L838" s="2"/>
      <c r="M838" s="2"/>
      <c r="N838" s="2"/>
      <c r="O838" s="2"/>
      <c r="P838" s="2"/>
      <c r="Q838" s="2"/>
      <c r="R838" s="2"/>
      <c r="S838" s="2"/>
      <c r="T838" s="2"/>
      <c r="U838" s="2"/>
      <c r="V838" s="2"/>
      <c r="W838" s="2"/>
    </row>
    <row r="839">
      <c r="A839" s="2"/>
      <c r="B839" s="2"/>
      <c r="C839" s="2"/>
      <c r="D839" s="2"/>
      <c r="E839" s="2"/>
      <c r="F839" s="2"/>
      <c r="G839" s="2"/>
      <c r="H839" s="2"/>
      <c r="I839" s="2"/>
      <c r="J839" s="2"/>
      <c r="K839" s="2"/>
      <c r="L839" s="2"/>
      <c r="M839" s="2"/>
      <c r="N839" s="2"/>
      <c r="O839" s="2"/>
      <c r="P839" s="2"/>
      <c r="Q839" s="2"/>
      <c r="R839" s="2"/>
      <c r="S839" s="2"/>
      <c r="T839" s="2"/>
      <c r="U839" s="2"/>
      <c r="V839" s="2"/>
      <c r="W839" s="2"/>
    </row>
    <row r="840">
      <c r="A840" s="2"/>
      <c r="B840" s="2"/>
      <c r="C840" s="2"/>
      <c r="D840" s="2"/>
      <c r="E840" s="2"/>
      <c r="F840" s="2"/>
      <c r="G840" s="2"/>
      <c r="H840" s="2"/>
      <c r="I840" s="2"/>
      <c r="J840" s="2"/>
      <c r="K840" s="2"/>
      <c r="L840" s="2"/>
      <c r="M840" s="2"/>
      <c r="N840" s="2"/>
      <c r="O840" s="2"/>
      <c r="P840" s="2"/>
      <c r="Q840" s="2"/>
      <c r="R840" s="2"/>
      <c r="S840" s="2"/>
      <c r="T840" s="2"/>
      <c r="U840" s="2"/>
      <c r="V840" s="2"/>
      <c r="W840" s="2"/>
    </row>
    <row r="841">
      <c r="A841" s="2"/>
      <c r="B841" s="2"/>
      <c r="C841" s="2"/>
      <c r="D841" s="2"/>
      <c r="E841" s="2"/>
      <c r="F841" s="2"/>
      <c r="G841" s="2"/>
      <c r="H841" s="2"/>
      <c r="I841" s="2"/>
      <c r="J841" s="2"/>
      <c r="K841" s="2"/>
      <c r="L841" s="2"/>
      <c r="M841" s="2"/>
      <c r="N841" s="2"/>
      <c r="O841" s="2"/>
      <c r="P841" s="2"/>
      <c r="Q841" s="2"/>
      <c r="R841" s="2"/>
      <c r="S841" s="2"/>
      <c r="T841" s="2"/>
      <c r="U841" s="2"/>
      <c r="V841" s="2"/>
      <c r="W841" s="2"/>
    </row>
    <row r="842">
      <c r="A842" s="2"/>
      <c r="B842" s="2"/>
      <c r="C842" s="2"/>
      <c r="D842" s="2"/>
      <c r="E842" s="2"/>
      <c r="F842" s="2"/>
      <c r="G842" s="2"/>
      <c r="H842" s="2"/>
      <c r="I842" s="2"/>
      <c r="J842" s="2"/>
      <c r="K842" s="2"/>
      <c r="L842" s="2"/>
      <c r="M842" s="2"/>
      <c r="N842" s="2"/>
      <c r="O842" s="2"/>
      <c r="P842" s="2"/>
      <c r="Q842" s="2"/>
      <c r="R842" s="2"/>
      <c r="S842" s="2"/>
      <c r="T842" s="2"/>
      <c r="U842" s="2"/>
      <c r="V842" s="2"/>
      <c r="W842" s="2"/>
    </row>
    <row r="843">
      <c r="A843" s="2"/>
      <c r="B843" s="2"/>
      <c r="C843" s="2"/>
      <c r="D843" s="2"/>
      <c r="E843" s="2"/>
      <c r="F843" s="2"/>
      <c r="G843" s="2"/>
      <c r="H843" s="2"/>
      <c r="I843" s="2"/>
      <c r="J843" s="2"/>
      <c r="K843" s="2"/>
      <c r="L843" s="2"/>
      <c r="M843" s="2"/>
      <c r="N843" s="2"/>
      <c r="O843" s="2"/>
      <c r="P843" s="2"/>
      <c r="Q843" s="2"/>
      <c r="R843" s="2"/>
      <c r="S843" s="2"/>
      <c r="T843" s="2"/>
      <c r="U843" s="2"/>
      <c r="V843" s="2"/>
      <c r="W843" s="2"/>
    </row>
    <row r="844">
      <c r="A844" s="2"/>
      <c r="B844" s="2"/>
      <c r="C844" s="2"/>
      <c r="D844" s="2"/>
      <c r="E844" s="2"/>
      <c r="F844" s="2"/>
      <c r="G844" s="2"/>
      <c r="H844" s="2"/>
      <c r="I844" s="2"/>
      <c r="J844" s="2"/>
      <c r="K844" s="2"/>
      <c r="L844" s="2"/>
      <c r="M844" s="2"/>
      <c r="N844" s="2"/>
      <c r="O844" s="2"/>
      <c r="P844" s="2"/>
      <c r="Q844" s="2"/>
      <c r="R844" s="2"/>
      <c r="S844" s="2"/>
      <c r="T844" s="2"/>
      <c r="U844" s="2"/>
      <c r="V844" s="2"/>
      <c r="W844" s="2"/>
    </row>
    <row r="845">
      <c r="A845" s="2"/>
      <c r="B845" s="2"/>
      <c r="C845" s="2"/>
      <c r="D845" s="2"/>
      <c r="E845" s="2"/>
      <c r="F845" s="2"/>
      <c r="G845" s="2"/>
      <c r="H845" s="2"/>
      <c r="I845" s="2"/>
      <c r="J845" s="2"/>
      <c r="K845" s="2"/>
      <c r="L845" s="2"/>
      <c r="M845" s="2"/>
      <c r="N845" s="2"/>
      <c r="O845" s="2"/>
      <c r="P845" s="2"/>
      <c r="Q845" s="2"/>
      <c r="R845" s="2"/>
      <c r="S845" s="2"/>
      <c r="T845" s="2"/>
      <c r="U845" s="2"/>
      <c r="V845" s="2"/>
      <c r="W845" s="2"/>
    </row>
    <row r="846">
      <c r="A846" s="2"/>
      <c r="B846" s="2"/>
      <c r="C846" s="2"/>
      <c r="D846" s="2"/>
      <c r="E846" s="2"/>
      <c r="F846" s="2"/>
      <c r="G846" s="2"/>
      <c r="H846" s="2"/>
      <c r="I846" s="2"/>
      <c r="J846" s="2"/>
      <c r="K846" s="2"/>
      <c r="L846" s="2"/>
      <c r="M846" s="2"/>
      <c r="N846" s="2"/>
      <c r="O846" s="2"/>
      <c r="P846" s="2"/>
      <c r="Q846" s="2"/>
      <c r="R846" s="2"/>
      <c r="S846" s="2"/>
      <c r="T846" s="2"/>
      <c r="U846" s="2"/>
      <c r="V846" s="2"/>
      <c r="W846" s="2"/>
    </row>
    <row r="847">
      <c r="A847" s="2"/>
      <c r="B847" s="2"/>
      <c r="C847" s="2"/>
      <c r="D847" s="2"/>
      <c r="E847" s="2"/>
      <c r="F847" s="2"/>
      <c r="G847" s="2"/>
      <c r="H847" s="2"/>
      <c r="I847" s="2"/>
      <c r="J847" s="2"/>
      <c r="K847" s="2"/>
      <c r="L847" s="2"/>
      <c r="M847" s="2"/>
      <c r="N847" s="2"/>
      <c r="O847" s="2"/>
      <c r="P847" s="2"/>
      <c r="Q847" s="2"/>
      <c r="R847" s="2"/>
      <c r="S847" s="2"/>
      <c r="T847" s="2"/>
      <c r="U847" s="2"/>
      <c r="V847" s="2"/>
      <c r="W847" s="2"/>
    </row>
    <row r="848">
      <c r="A848" s="2"/>
      <c r="B848" s="2"/>
      <c r="C848" s="2"/>
      <c r="D848" s="2"/>
      <c r="E848" s="2"/>
      <c r="F848" s="2"/>
      <c r="G848" s="2"/>
      <c r="H848" s="2"/>
      <c r="I848" s="2"/>
      <c r="J848" s="2"/>
      <c r="K848" s="2"/>
      <c r="L848" s="2"/>
      <c r="M848" s="2"/>
      <c r="N848" s="2"/>
      <c r="O848" s="2"/>
      <c r="P848" s="2"/>
      <c r="Q848" s="2"/>
      <c r="R848" s="2"/>
      <c r="S848" s="2"/>
      <c r="T848" s="2"/>
      <c r="U848" s="2"/>
      <c r="V848" s="2"/>
      <c r="W848" s="2"/>
    </row>
    <row r="849">
      <c r="A849" s="2"/>
      <c r="B849" s="2"/>
      <c r="C849" s="2"/>
      <c r="D849" s="2"/>
      <c r="E849" s="2"/>
      <c r="F849" s="2"/>
      <c r="G849" s="2"/>
      <c r="H849" s="2"/>
      <c r="I849" s="2"/>
      <c r="J849" s="2"/>
      <c r="K849" s="2"/>
      <c r="L849" s="2"/>
      <c r="M849" s="2"/>
      <c r="N849" s="2"/>
      <c r="O849" s="2"/>
      <c r="P849" s="2"/>
      <c r="Q849" s="2"/>
      <c r="R849" s="2"/>
      <c r="S849" s="2"/>
      <c r="T849" s="2"/>
      <c r="U849" s="2"/>
      <c r="V849" s="2"/>
      <c r="W849" s="2"/>
    </row>
    <row r="850">
      <c r="A850" s="2"/>
      <c r="B850" s="2"/>
      <c r="C850" s="2"/>
      <c r="D850" s="2"/>
      <c r="E850" s="2"/>
      <c r="F850" s="2"/>
      <c r="G850" s="2"/>
      <c r="H850" s="2"/>
      <c r="I850" s="2"/>
      <c r="J850" s="2"/>
      <c r="K850" s="2"/>
      <c r="L850" s="2"/>
      <c r="M850" s="2"/>
      <c r="N850" s="2"/>
      <c r="O850" s="2"/>
      <c r="P850" s="2"/>
      <c r="Q850" s="2"/>
      <c r="R850" s="2"/>
      <c r="S850" s="2"/>
      <c r="T850" s="2"/>
      <c r="U850" s="2"/>
      <c r="V850" s="2"/>
      <c r="W850" s="2"/>
    </row>
    <row r="851">
      <c r="A851" s="2"/>
      <c r="B851" s="2"/>
      <c r="C851" s="2"/>
      <c r="D851" s="2"/>
      <c r="E851" s="2"/>
      <c r="F851" s="2"/>
      <c r="G851" s="2"/>
      <c r="H851" s="2"/>
      <c r="I851" s="2"/>
      <c r="J851" s="2"/>
      <c r="K851" s="2"/>
      <c r="L851" s="2"/>
      <c r="M851" s="2"/>
      <c r="N851" s="2"/>
      <c r="O851" s="2"/>
      <c r="P851" s="2"/>
      <c r="Q851" s="2"/>
      <c r="R851" s="2"/>
      <c r="S851" s="2"/>
      <c r="T851" s="2"/>
      <c r="U851" s="2"/>
      <c r="V851" s="2"/>
      <c r="W851" s="2"/>
    </row>
    <row r="852">
      <c r="A852" s="2"/>
      <c r="B852" s="2"/>
      <c r="C852" s="2"/>
      <c r="D852" s="2"/>
      <c r="E852" s="2"/>
      <c r="F852" s="2"/>
      <c r="G852" s="2"/>
      <c r="H852" s="2"/>
      <c r="I852" s="2"/>
      <c r="J852" s="2"/>
      <c r="K852" s="2"/>
      <c r="L852" s="2"/>
      <c r="M852" s="2"/>
      <c r="N852" s="2"/>
      <c r="O852" s="2"/>
      <c r="P852" s="2"/>
      <c r="Q852" s="2"/>
      <c r="R852" s="2"/>
      <c r="S852" s="2"/>
      <c r="T852" s="2"/>
      <c r="U852" s="2"/>
      <c r="V852" s="2"/>
      <c r="W852" s="2"/>
    </row>
    <row r="853">
      <c r="A853" s="2"/>
      <c r="B853" s="2"/>
      <c r="C853" s="2"/>
      <c r="D853" s="2"/>
      <c r="E853" s="2"/>
      <c r="F853" s="2"/>
      <c r="G853" s="2"/>
      <c r="H853" s="2"/>
      <c r="I853" s="2"/>
      <c r="J853" s="2"/>
      <c r="K853" s="2"/>
      <c r="L853" s="2"/>
      <c r="M853" s="2"/>
      <c r="N853" s="2"/>
      <c r="O853" s="2"/>
      <c r="P853" s="2"/>
      <c r="Q853" s="2"/>
      <c r="R853" s="2"/>
      <c r="S853" s="2"/>
      <c r="T853" s="2"/>
      <c r="U853" s="2"/>
      <c r="V853" s="2"/>
      <c r="W853" s="2"/>
    </row>
    <row r="854">
      <c r="A854" s="2"/>
      <c r="B854" s="2"/>
      <c r="C854" s="2"/>
      <c r="D854" s="2"/>
      <c r="E854" s="2"/>
      <c r="F854" s="2"/>
      <c r="G854" s="2"/>
      <c r="H854" s="2"/>
      <c r="I854" s="2"/>
      <c r="J854" s="2"/>
      <c r="K854" s="2"/>
      <c r="L854" s="2"/>
      <c r="M854" s="2"/>
      <c r="N854" s="2"/>
      <c r="O854" s="2"/>
      <c r="P854" s="2"/>
      <c r="Q854" s="2"/>
      <c r="R854" s="2"/>
      <c r="S854" s="2"/>
      <c r="T854" s="2"/>
      <c r="U854" s="2"/>
      <c r="V854" s="2"/>
      <c r="W854" s="2"/>
    </row>
    <row r="855">
      <c r="A855" s="2"/>
      <c r="B855" s="2"/>
      <c r="C855" s="2"/>
      <c r="D855" s="2"/>
      <c r="E855" s="2"/>
      <c r="F855" s="2"/>
      <c r="G855" s="2"/>
      <c r="H855" s="2"/>
      <c r="I855" s="2"/>
      <c r="J855" s="2"/>
      <c r="K855" s="2"/>
      <c r="L855" s="2"/>
      <c r="M855" s="2"/>
      <c r="N855" s="2"/>
      <c r="O855" s="2"/>
      <c r="P855" s="2"/>
      <c r="Q855" s="2"/>
      <c r="R855" s="2"/>
      <c r="S855" s="2"/>
      <c r="T855" s="2"/>
      <c r="U855" s="2"/>
      <c r="V855" s="2"/>
      <c r="W855" s="2"/>
    </row>
    <row r="856">
      <c r="A856" s="2"/>
      <c r="B856" s="2"/>
      <c r="C856" s="2"/>
      <c r="D856" s="2"/>
      <c r="E856" s="2"/>
      <c r="F856" s="2"/>
      <c r="G856" s="2"/>
      <c r="H856" s="2"/>
      <c r="I856" s="2"/>
      <c r="J856" s="2"/>
      <c r="K856" s="2"/>
      <c r="L856" s="2"/>
      <c r="M856" s="2"/>
      <c r="N856" s="2"/>
      <c r="O856" s="2"/>
      <c r="P856" s="2"/>
      <c r="Q856" s="2"/>
      <c r="R856" s="2"/>
      <c r="S856" s="2"/>
      <c r="T856" s="2"/>
      <c r="U856" s="2"/>
      <c r="V856" s="2"/>
      <c r="W856" s="2"/>
    </row>
    <row r="857">
      <c r="A857" s="2"/>
      <c r="B857" s="2"/>
      <c r="C857" s="2"/>
      <c r="D857" s="2"/>
      <c r="E857" s="2"/>
      <c r="F857" s="2"/>
      <c r="G857" s="2"/>
      <c r="H857" s="2"/>
      <c r="I857" s="2"/>
      <c r="J857" s="2"/>
      <c r="K857" s="2"/>
      <c r="L857" s="2"/>
      <c r="M857" s="2"/>
      <c r="N857" s="2"/>
      <c r="O857" s="2"/>
      <c r="P857" s="2"/>
      <c r="Q857" s="2"/>
      <c r="R857" s="2"/>
      <c r="S857" s="2"/>
      <c r="T857" s="2"/>
      <c r="U857" s="2"/>
      <c r="V857" s="2"/>
      <c r="W857" s="2"/>
    </row>
    <row r="858">
      <c r="A858" s="2"/>
      <c r="B858" s="2"/>
      <c r="C858" s="2"/>
      <c r="D858" s="2"/>
      <c r="E858" s="2"/>
      <c r="F858" s="2"/>
      <c r="G858" s="2"/>
      <c r="H858" s="2"/>
      <c r="I858" s="2"/>
      <c r="J858" s="2"/>
      <c r="K858" s="2"/>
      <c r="L858" s="2"/>
      <c r="M858" s="2"/>
      <c r="N858" s="2"/>
      <c r="O858" s="2"/>
      <c r="P858" s="2"/>
      <c r="Q858" s="2"/>
      <c r="R858" s="2"/>
      <c r="S858" s="2"/>
      <c r="T858" s="2"/>
      <c r="U858" s="2"/>
      <c r="V858" s="2"/>
      <c r="W858" s="2"/>
    </row>
    <row r="859">
      <c r="A859" s="2"/>
      <c r="B859" s="2"/>
      <c r="C859" s="2"/>
      <c r="D859" s="2"/>
      <c r="E859" s="2"/>
      <c r="F859" s="2"/>
      <c r="G859" s="2"/>
      <c r="H859" s="2"/>
      <c r="I859" s="2"/>
      <c r="J859" s="2"/>
      <c r="K859" s="2"/>
      <c r="L859" s="2"/>
      <c r="M859" s="2"/>
      <c r="N859" s="2"/>
      <c r="O859" s="2"/>
      <c r="P859" s="2"/>
      <c r="Q859" s="2"/>
      <c r="R859" s="2"/>
      <c r="S859" s="2"/>
      <c r="T859" s="2"/>
      <c r="U859" s="2"/>
      <c r="V859" s="2"/>
      <c r="W859" s="2"/>
    </row>
    <row r="860">
      <c r="A860" s="2"/>
      <c r="B860" s="2"/>
      <c r="C860" s="2"/>
      <c r="D860" s="2"/>
      <c r="E860" s="2"/>
      <c r="F860" s="2"/>
      <c r="G860" s="2"/>
      <c r="H860" s="2"/>
      <c r="I860" s="2"/>
      <c r="J860" s="2"/>
      <c r="K860" s="2"/>
      <c r="L860" s="2"/>
      <c r="M860" s="2"/>
      <c r="N860" s="2"/>
      <c r="O860" s="2"/>
      <c r="P860" s="2"/>
      <c r="Q860" s="2"/>
      <c r="R860" s="2"/>
      <c r="S860" s="2"/>
      <c r="T860" s="2"/>
      <c r="U860" s="2"/>
      <c r="V860" s="2"/>
      <c r="W860" s="2"/>
    </row>
    <row r="861">
      <c r="A861" s="2"/>
      <c r="B861" s="2"/>
      <c r="C861" s="2"/>
      <c r="D861" s="2"/>
      <c r="E861" s="2"/>
      <c r="F861" s="2"/>
      <c r="G861" s="2"/>
      <c r="H861" s="2"/>
      <c r="I861" s="2"/>
      <c r="J861" s="2"/>
      <c r="K861" s="2"/>
      <c r="L861" s="2"/>
      <c r="M861" s="2"/>
      <c r="N861" s="2"/>
      <c r="O861" s="2"/>
      <c r="P861" s="2"/>
      <c r="Q861" s="2"/>
      <c r="R861" s="2"/>
      <c r="S861" s="2"/>
      <c r="T861" s="2"/>
      <c r="U861" s="2"/>
      <c r="V861" s="2"/>
      <c r="W861" s="2"/>
    </row>
    <row r="862">
      <c r="A862" s="2"/>
      <c r="B862" s="2"/>
      <c r="C862" s="2"/>
      <c r="D862" s="2"/>
      <c r="E862" s="2"/>
      <c r="F862" s="2"/>
      <c r="G862" s="2"/>
      <c r="H862" s="2"/>
      <c r="I862" s="2"/>
      <c r="J862" s="2"/>
      <c r="K862" s="2"/>
      <c r="L862" s="2"/>
      <c r="M862" s="2"/>
      <c r="N862" s="2"/>
      <c r="O862" s="2"/>
      <c r="P862" s="2"/>
      <c r="Q862" s="2"/>
      <c r="R862" s="2"/>
      <c r="S862" s="2"/>
      <c r="T862" s="2"/>
      <c r="U862" s="2"/>
      <c r="V862" s="2"/>
      <c r="W862" s="2"/>
    </row>
    <row r="863">
      <c r="A863" s="2"/>
      <c r="B863" s="2"/>
      <c r="C863" s="2"/>
      <c r="D863" s="2"/>
      <c r="E863" s="2"/>
      <c r="F863" s="2"/>
      <c r="G863" s="2"/>
      <c r="H863" s="2"/>
      <c r="I863" s="2"/>
      <c r="J863" s="2"/>
      <c r="K863" s="2"/>
      <c r="L863" s="2"/>
      <c r="M863" s="2"/>
      <c r="N863" s="2"/>
      <c r="O863" s="2"/>
      <c r="P863" s="2"/>
      <c r="Q863" s="2"/>
      <c r="R863" s="2"/>
      <c r="S863" s="2"/>
      <c r="T863" s="2"/>
      <c r="U863" s="2"/>
      <c r="V863" s="2"/>
      <c r="W863" s="2"/>
    </row>
    <row r="864">
      <c r="A864" s="2"/>
      <c r="B864" s="2"/>
      <c r="C864" s="2"/>
      <c r="D864" s="2"/>
      <c r="E864" s="2"/>
      <c r="F864" s="2"/>
      <c r="G864" s="2"/>
      <c r="H864" s="2"/>
      <c r="I864" s="2"/>
      <c r="J864" s="2"/>
      <c r="K864" s="2"/>
      <c r="L864" s="2"/>
      <c r="M864" s="2"/>
      <c r="N864" s="2"/>
      <c r="O864" s="2"/>
      <c r="P864" s="2"/>
      <c r="Q864" s="2"/>
      <c r="R864" s="2"/>
      <c r="S864" s="2"/>
      <c r="T864" s="2"/>
      <c r="U864" s="2"/>
      <c r="V864" s="2"/>
      <c r="W864" s="2"/>
    </row>
    <row r="865">
      <c r="A865" s="2"/>
      <c r="B865" s="2"/>
      <c r="C865" s="2"/>
      <c r="D865" s="2"/>
      <c r="E865" s="2"/>
      <c r="F865" s="2"/>
      <c r="G865" s="2"/>
      <c r="H865" s="2"/>
      <c r="I865" s="2"/>
      <c r="J865" s="2"/>
      <c r="K865" s="2"/>
      <c r="L865" s="2"/>
      <c r="M865" s="2"/>
      <c r="N865" s="2"/>
      <c r="O865" s="2"/>
      <c r="P865" s="2"/>
      <c r="Q865" s="2"/>
      <c r="R865" s="2"/>
      <c r="S865" s="2"/>
      <c r="T865" s="2"/>
      <c r="U865" s="2"/>
      <c r="V865" s="2"/>
      <c r="W865" s="2"/>
    </row>
    <row r="866">
      <c r="A866" s="2"/>
      <c r="B866" s="2"/>
      <c r="C866" s="2"/>
      <c r="D866" s="2"/>
      <c r="E866" s="2"/>
      <c r="F866" s="2"/>
      <c r="G866" s="2"/>
      <c r="H866" s="2"/>
      <c r="I866" s="2"/>
      <c r="J866" s="2"/>
      <c r="K866" s="2"/>
      <c r="L866" s="2"/>
      <c r="M866" s="2"/>
      <c r="N866" s="2"/>
      <c r="O866" s="2"/>
      <c r="P866" s="2"/>
      <c r="Q866" s="2"/>
      <c r="R866" s="2"/>
      <c r="S866" s="2"/>
      <c r="T866" s="2"/>
      <c r="U866" s="2"/>
      <c r="V866" s="2"/>
      <c r="W866" s="2"/>
    </row>
    <row r="867">
      <c r="A867" s="2"/>
      <c r="B867" s="2"/>
      <c r="C867" s="2"/>
      <c r="D867" s="2"/>
      <c r="E867" s="2"/>
      <c r="F867" s="2"/>
      <c r="G867" s="2"/>
      <c r="H867" s="2"/>
      <c r="I867" s="2"/>
      <c r="J867" s="2"/>
      <c r="K867" s="2"/>
      <c r="L867" s="2"/>
      <c r="M867" s="2"/>
      <c r="N867" s="2"/>
      <c r="O867" s="2"/>
      <c r="P867" s="2"/>
      <c r="Q867" s="2"/>
      <c r="R867" s="2"/>
      <c r="S867" s="2"/>
      <c r="T867" s="2"/>
      <c r="U867" s="2"/>
      <c r="V867" s="2"/>
      <c r="W867" s="2"/>
    </row>
    <row r="868">
      <c r="A868" s="2"/>
      <c r="B868" s="2"/>
      <c r="C868" s="2"/>
      <c r="D868" s="2"/>
      <c r="E868" s="2"/>
      <c r="F868" s="2"/>
      <c r="G868" s="2"/>
      <c r="H868" s="2"/>
      <c r="I868" s="2"/>
      <c r="J868" s="2"/>
      <c r="K868" s="2"/>
      <c r="L868" s="2"/>
      <c r="M868" s="2"/>
      <c r="N868" s="2"/>
      <c r="O868" s="2"/>
      <c r="P868" s="2"/>
      <c r="Q868" s="2"/>
      <c r="R868" s="2"/>
      <c r="S868" s="2"/>
      <c r="T868" s="2"/>
      <c r="U868" s="2"/>
      <c r="V868" s="2"/>
      <c r="W868" s="2"/>
    </row>
    <row r="869">
      <c r="A869" s="2"/>
      <c r="B869" s="2"/>
      <c r="C869" s="2"/>
      <c r="D869" s="2"/>
      <c r="E869" s="2"/>
      <c r="F869" s="2"/>
      <c r="G869" s="2"/>
      <c r="H869" s="2"/>
      <c r="I869" s="2"/>
      <c r="J869" s="2"/>
      <c r="K869" s="2"/>
      <c r="L869" s="2"/>
      <c r="M869" s="2"/>
      <c r="N869" s="2"/>
      <c r="O869" s="2"/>
      <c r="P869" s="2"/>
      <c r="Q869" s="2"/>
      <c r="R869" s="2"/>
      <c r="S869" s="2"/>
      <c r="T869" s="2"/>
      <c r="U869" s="2"/>
      <c r="V869" s="2"/>
      <c r="W869" s="2"/>
    </row>
    <row r="870">
      <c r="A870" s="2"/>
      <c r="B870" s="2"/>
      <c r="C870" s="2"/>
      <c r="D870" s="2"/>
      <c r="E870" s="2"/>
      <c r="F870" s="2"/>
      <c r="G870" s="2"/>
      <c r="H870" s="2"/>
      <c r="I870" s="2"/>
      <c r="J870" s="2"/>
      <c r="K870" s="2"/>
      <c r="L870" s="2"/>
      <c r="M870" s="2"/>
      <c r="N870" s="2"/>
      <c r="O870" s="2"/>
      <c r="P870" s="2"/>
      <c r="Q870" s="2"/>
      <c r="R870" s="2"/>
      <c r="S870" s="2"/>
      <c r="T870" s="2"/>
      <c r="U870" s="2"/>
      <c r="V870" s="2"/>
      <c r="W870" s="2"/>
    </row>
    <row r="871">
      <c r="A871" s="2"/>
      <c r="B871" s="2"/>
      <c r="C871" s="2"/>
      <c r="D871" s="2"/>
      <c r="E871" s="2"/>
      <c r="F871" s="2"/>
      <c r="G871" s="2"/>
      <c r="H871" s="2"/>
      <c r="I871" s="2"/>
      <c r="J871" s="2"/>
      <c r="K871" s="2"/>
      <c r="L871" s="2"/>
      <c r="M871" s="2"/>
      <c r="N871" s="2"/>
      <c r="O871" s="2"/>
      <c r="P871" s="2"/>
      <c r="Q871" s="2"/>
      <c r="R871" s="2"/>
      <c r="S871" s="2"/>
      <c r="T871" s="2"/>
      <c r="U871" s="2"/>
      <c r="V871" s="2"/>
      <c r="W871" s="2"/>
    </row>
    <row r="872">
      <c r="A872" s="2"/>
      <c r="B872" s="2"/>
      <c r="C872" s="2"/>
      <c r="D872" s="2"/>
      <c r="E872" s="2"/>
      <c r="F872" s="2"/>
      <c r="G872" s="2"/>
      <c r="H872" s="2"/>
      <c r="I872" s="2"/>
      <c r="J872" s="2"/>
      <c r="K872" s="2"/>
      <c r="L872" s="2"/>
      <c r="M872" s="2"/>
      <c r="N872" s="2"/>
      <c r="O872" s="2"/>
      <c r="P872" s="2"/>
      <c r="Q872" s="2"/>
      <c r="R872" s="2"/>
      <c r="S872" s="2"/>
      <c r="T872" s="2"/>
      <c r="U872" s="2"/>
      <c r="V872" s="2"/>
      <c r="W872" s="2"/>
    </row>
    <row r="873">
      <c r="A873" s="2"/>
      <c r="B873" s="2"/>
      <c r="C873" s="2"/>
      <c r="D873" s="2"/>
      <c r="E873" s="2"/>
      <c r="F873" s="2"/>
      <c r="G873" s="2"/>
      <c r="H873" s="2"/>
      <c r="I873" s="2"/>
      <c r="J873" s="2"/>
      <c r="K873" s="2"/>
      <c r="L873" s="2"/>
      <c r="M873" s="2"/>
      <c r="N873" s="2"/>
      <c r="O873" s="2"/>
      <c r="P873" s="2"/>
      <c r="Q873" s="2"/>
      <c r="R873" s="2"/>
      <c r="S873" s="2"/>
      <c r="T873" s="2"/>
      <c r="U873" s="2"/>
      <c r="V873" s="2"/>
      <c r="W873" s="2"/>
    </row>
    <row r="874">
      <c r="A874" s="2"/>
      <c r="B874" s="2"/>
      <c r="C874" s="2"/>
      <c r="D874" s="2"/>
      <c r="E874" s="2"/>
      <c r="F874" s="2"/>
      <c r="G874" s="2"/>
      <c r="H874" s="2"/>
      <c r="I874" s="2"/>
      <c r="J874" s="2"/>
      <c r="K874" s="2"/>
      <c r="L874" s="2"/>
      <c r="M874" s="2"/>
      <c r="N874" s="2"/>
      <c r="O874" s="2"/>
      <c r="P874" s="2"/>
      <c r="Q874" s="2"/>
      <c r="R874" s="2"/>
      <c r="S874" s="2"/>
      <c r="T874" s="2"/>
      <c r="U874" s="2"/>
      <c r="V874" s="2"/>
      <c r="W874" s="2"/>
    </row>
    <row r="875">
      <c r="A875" s="2"/>
      <c r="B875" s="2"/>
      <c r="C875" s="2"/>
      <c r="D875" s="2"/>
      <c r="E875" s="2"/>
      <c r="F875" s="2"/>
      <c r="G875" s="2"/>
      <c r="H875" s="2"/>
      <c r="I875" s="2"/>
      <c r="J875" s="2"/>
      <c r="K875" s="2"/>
      <c r="L875" s="2"/>
      <c r="M875" s="2"/>
      <c r="N875" s="2"/>
      <c r="O875" s="2"/>
      <c r="P875" s="2"/>
      <c r="Q875" s="2"/>
      <c r="R875" s="2"/>
      <c r="S875" s="2"/>
      <c r="T875" s="2"/>
      <c r="U875" s="2"/>
      <c r="V875" s="2"/>
      <c r="W875" s="2"/>
    </row>
    <row r="876">
      <c r="A876" s="2"/>
      <c r="B876" s="2"/>
      <c r="C876" s="2"/>
      <c r="D876" s="2"/>
      <c r="E876" s="2"/>
      <c r="F876" s="2"/>
      <c r="G876" s="2"/>
      <c r="H876" s="2"/>
      <c r="I876" s="2"/>
      <c r="J876" s="2"/>
      <c r="K876" s="2"/>
      <c r="L876" s="2"/>
      <c r="M876" s="2"/>
      <c r="N876" s="2"/>
      <c r="O876" s="2"/>
      <c r="P876" s="2"/>
      <c r="Q876" s="2"/>
      <c r="R876" s="2"/>
      <c r="S876" s="2"/>
      <c r="T876" s="2"/>
      <c r="U876" s="2"/>
      <c r="V876" s="2"/>
      <c r="W876" s="2"/>
    </row>
    <row r="877">
      <c r="A877" s="2"/>
      <c r="B877" s="2"/>
      <c r="C877" s="2"/>
      <c r="D877" s="2"/>
      <c r="E877" s="2"/>
      <c r="F877" s="2"/>
      <c r="G877" s="2"/>
      <c r="H877" s="2"/>
      <c r="I877" s="2"/>
      <c r="J877" s="2"/>
      <c r="K877" s="2"/>
      <c r="L877" s="2"/>
      <c r="M877" s="2"/>
      <c r="N877" s="2"/>
      <c r="O877" s="2"/>
      <c r="P877" s="2"/>
      <c r="Q877" s="2"/>
      <c r="R877" s="2"/>
      <c r="S877" s="2"/>
      <c r="T877" s="2"/>
      <c r="U877" s="2"/>
      <c r="V877" s="2"/>
      <c r="W877" s="2"/>
    </row>
    <row r="878">
      <c r="A878" s="2"/>
      <c r="B878" s="2"/>
      <c r="C878" s="2"/>
      <c r="D878" s="2"/>
      <c r="E878" s="2"/>
      <c r="F878" s="2"/>
      <c r="G878" s="2"/>
      <c r="H878" s="2"/>
      <c r="I878" s="2"/>
      <c r="J878" s="2"/>
      <c r="K878" s="2"/>
      <c r="L878" s="2"/>
      <c r="M878" s="2"/>
      <c r="N878" s="2"/>
      <c r="O878" s="2"/>
      <c r="P878" s="2"/>
      <c r="Q878" s="2"/>
      <c r="R878" s="2"/>
      <c r="S878" s="2"/>
      <c r="T878" s="2"/>
      <c r="U878" s="2"/>
      <c r="V878" s="2"/>
      <c r="W878" s="2"/>
    </row>
    <row r="879">
      <c r="A879" s="2"/>
      <c r="B879" s="2"/>
      <c r="C879" s="2"/>
      <c r="D879" s="2"/>
      <c r="E879" s="2"/>
      <c r="F879" s="2"/>
      <c r="G879" s="2"/>
      <c r="H879" s="2"/>
      <c r="I879" s="2"/>
      <c r="J879" s="2"/>
      <c r="K879" s="2"/>
      <c r="L879" s="2"/>
      <c r="M879" s="2"/>
      <c r="N879" s="2"/>
      <c r="O879" s="2"/>
      <c r="P879" s="2"/>
      <c r="Q879" s="2"/>
      <c r="R879" s="2"/>
      <c r="S879" s="2"/>
      <c r="T879" s="2"/>
      <c r="U879" s="2"/>
      <c r="V879" s="2"/>
      <c r="W879" s="2"/>
    </row>
    <row r="880">
      <c r="A880" s="2"/>
      <c r="B880" s="2"/>
      <c r="C880" s="2"/>
      <c r="D880" s="2"/>
      <c r="E880" s="2"/>
      <c r="F880" s="2"/>
      <c r="G880" s="2"/>
      <c r="H880" s="2"/>
      <c r="I880" s="2"/>
      <c r="J880" s="2"/>
      <c r="K880" s="2"/>
      <c r="L880" s="2"/>
      <c r="M880" s="2"/>
      <c r="N880" s="2"/>
      <c r="O880" s="2"/>
      <c r="P880" s="2"/>
      <c r="Q880" s="2"/>
      <c r="R880" s="2"/>
      <c r="S880" s="2"/>
      <c r="T880" s="2"/>
      <c r="U880" s="2"/>
      <c r="V880" s="2"/>
      <c r="W880" s="2"/>
    </row>
    <row r="881">
      <c r="A881" s="2"/>
      <c r="B881" s="2"/>
      <c r="C881" s="2"/>
      <c r="D881" s="2"/>
      <c r="E881" s="2"/>
      <c r="F881" s="2"/>
      <c r="G881" s="2"/>
      <c r="H881" s="2"/>
      <c r="I881" s="2"/>
      <c r="J881" s="2"/>
      <c r="K881" s="2"/>
      <c r="L881" s="2"/>
      <c r="M881" s="2"/>
      <c r="N881" s="2"/>
      <c r="O881" s="2"/>
      <c r="P881" s="2"/>
      <c r="Q881" s="2"/>
      <c r="R881" s="2"/>
      <c r="S881" s="2"/>
      <c r="T881" s="2"/>
      <c r="U881" s="2"/>
      <c r="V881" s="2"/>
      <c r="W881" s="2"/>
    </row>
    <row r="882">
      <c r="A882" s="2"/>
      <c r="B882" s="2"/>
      <c r="C882" s="2"/>
      <c r="D882" s="2"/>
      <c r="E882" s="2"/>
      <c r="F882" s="2"/>
      <c r="G882" s="2"/>
      <c r="H882" s="2"/>
      <c r="I882" s="2"/>
      <c r="J882" s="2"/>
      <c r="K882" s="2"/>
      <c r="L882" s="2"/>
      <c r="M882" s="2"/>
      <c r="N882" s="2"/>
      <c r="O882" s="2"/>
      <c r="P882" s="2"/>
      <c r="Q882" s="2"/>
      <c r="R882" s="2"/>
      <c r="S882" s="2"/>
      <c r="T882" s="2"/>
      <c r="U882" s="2"/>
      <c r="V882" s="2"/>
      <c r="W882" s="2"/>
    </row>
    <row r="883">
      <c r="A883" s="2"/>
      <c r="B883" s="2"/>
      <c r="C883" s="2"/>
      <c r="D883" s="2"/>
      <c r="E883" s="2"/>
      <c r="F883" s="2"/>
      <c r="G883" s="2"/>
      <c r="H883" s="2"/>
      <c r="I883" s="2"/>
      <c r="J883" s="2"/>
      <c r="K883" s="2"/>
      <c r="L883" s="2"/>
      <c r="M883" s="2"/>
      <c r="N883" s="2"/>
      <c r="O883" s="2"/>
      <c r="P883" s="2"/>
      <c r="Q883" s="2"/>
      <c r="R883" s="2"/>
      <c r="S883" s="2"/>
      <c r="T883" s="2"/>
      <c r="U883" s="2"/>
      <c r="V883" s="2"/>
      <c r="W883" s="2"/>
    </row>
    <row r="884">
      <c r="A884" s="2"/>
      <c r="B884" s="2"/>
      <c r="C884" s="2"/>
      <c r="D884" s="2"/>
      <c r="E884" s="2"/>
      <c r="F884" s="2"/>
      <c r="G884" s="2"/>
      <c r="H884" s="2"/>
      <c r="I884" s="2"/>
      <c r="J884" s="2"/>
      <c r="K884" s="2"/>
      <c r="L884" s="2"/>
      <c r="M884" s="2"/>
      <c r="N884" s="2"/>
      <c r="O884" s="2"/>
      <c r="P884" s="2"/>
      <c r="Q884" s="2"/>
      <c r="R884" s="2"/>
      <c r="S884" s="2"/>
      <c r="T884" s="2"/>
      <c r="U884" s="2"/>
      <c r="V884" s="2"/>
      <c r="W884" s="2"/>
    </row>
    <row r="885">
      <c r="A885" s="2"/>
      <c r="B885" s="2"/>
      <c r="C885" s="2"/>
      <c r="D885" s="2"/>
      <c r="E885" s="2"/>
      <c r="F885" s="2"/>
      <c r="G885" s="2"/>
      <c r="H885" s="2"/>
      <c r="I885" s="2"/>
      <c r="J885" s="2"/>
      <c r="K885" s="2"/>
      <c r="L885" s="2"/>
      <c r="M885" s="2"/>
      <c r="N885" s="2"/>
      <c r="O885" s="2"/>
      <c r="P885" s="2"/>
      <c r="Q885" s="2"/>
      <c r="R885" s="2"/>
      <c r="S885" s="2"/>
      <c r="T885" s="2"/>
      <c r="U885" s="2"/>
      <c r="V885" s="2"/>
      <c r="W885" s="2"/>
    </row>
    <row r="886">
      <c r="A886" s="2"/>
      <c r="B886" s="2"/>
      <c r="C886" s="2"/>
      <c r="D886" s="2"/>
      <c r="E886" s="2"/>
      <c r="F886" s="2"/>
      <c r="G886" s="2"/>
      <c r="H886" s="2"/>
      <c r="I886" s="2"/>
      <c r="J886" s="2"/>
      <c r="K886" s="2"/>
      <c r="L886" s="2"/>
      <c r="M886" s="2"/>
      <c r="N886" s="2"/>
      <c r="O886" s="2"/>
      <c r="P886" s="2"/>
      <c r="Q886" s="2"/>
      <c r="R886" s="2"/>
      <c r="S886" s="2"/>
      <c r="T886" s="2"/>
      <c r="U886" s="2"/>
      <c r="V886" s="2"/>
      <c r="W886" s="2"/>
    </row>
    <row r="887">
      <c r="A887" s="2"/>
      <c r="B887" s="2"/>
      <c r="C887" s="2"/>
      <c r="D887" s="2"/>
      <c r="E887" s="2"/>
      <c r="F887" s="2"/>
      <c r="G887" s="2"/>
      <c r="H887" s="2"/>
      <c r="I887" s="2"/>
      <c r="J887" s="2"/>
      <c r="K887" s="2"/>
      <c r="L887" s="2"/>
      <c r="M887" s="2"/>
      <c r="N887" s="2"/>
      <c r="O887" s="2"/>
      <c r="P887" s="2"/>
      <c r="Q887" s="2"/>
      <c r="R887" s="2"/>
      <c r="S887" s="2"/>
      <c r="T887" s="2"/>
      <c r="U887" s="2"/>
      <c r="V887" s="2"/>
      <c r="W887" s="2"/>
    </row>
    <row r="888">
      <c r="A888" s="2"/>
      <c r="B888" s="2"/>
      <c r="C888" s="2"/>
      <c r="D888" s="2"/>
      <c r="E888" s="2"/>
      <c r="F888" s="2"/>
      <c r="G888" s="2"/>
      <c r="H888" s="2"/>
      <c r="I888" s="2"/>
      <c r="J888" s="2"/>
      <c r="K888" s="2"/>
      <c r="L888" s="2"/>
      <c r="M888" s="2"/>
      <c r="N888" s="2"/>
      <c r="O888" s="2"/>
      <c r="P888" s="2"/>
      <c r="Q888" s="2"/>
      <c r="R888" s="2"/>
      <c r="S888" s="2"/>
      <c r="T888" s="2"/>
      <c r="U888" s="2"/>
      <c r="V888" s="2"/>
      <c r="W888" s="2"/>
    </row>
    <row r="889">
      <c r="A889" s="2"/>
      <c r="B889" s="2"/>
      <c r="C889" s="2"/>
      <c r="D889" s="2"/>
      <c r="E889" s="2"/>
      <c r="F889" s="2"/>
      <c r="G889" s="2"/>
      <c r="H889" s="2"/>
      <c r="I889" s="2"/>
      <c r="J889" s="2"/>
      <c r="K889" s="2"/>
      <c r="L889" s="2"/>
      <c r="M889" s="2"/>
      <c r="N889" s="2"/>
      <c r="O889" s="2"/>
      <c r="P889" s="2"/>
      <c r="Q889" s="2"/>
      <c r="R889" s="2"/>
      <c r="S889" s="2"/>
      <c r="T889" s="2"/>
      <c r="U889" s="2"/>
      <c r="V889" s="2"/>
      <c r="W889" s="2"/>
    </row>
    <row r="890">
      <c r="A890" s="2"/>
      <c r="B890" s="2"/>
      <c r="C890" s="2"/>
      <c r="D890" s="2"/>
      <c r="E890" s="2"/>
      <c r="F890" s="2"/>
      <c r="G890" s="2"/>
      <c r="H890" s="2"/>
      <c r="I890" s="2"/>
      <c r="J890" s="2"/>
      <c r="K890" s="2"/>
      <c r="L890" s="2"/>
      <c r="M890" s="2"/>
      <c r="N890" s="2"/>
      <c r="O890" s="2"/>
      <c r="P890" s="2"/>
      <c r="Q890" s="2"/>
      <c r="R890" s="2"/>
      <c r="S890" s="2"/>
      <c r="T890" s="2"/>
      <c r="U890" s="2"/>
      <c r="V890" s="2"/>
      <c r="W890" s="2"/>
    </row>
    <row r="891">
      <c r="A891" s="2"/>
      <c r="B891" s="2"/>
      <c r="C891" s="2"/>
      <c r="D891" s="2"/>
      <c r="E891" s="2"/>
      <c r="F891" s="2"/>
      <c r="G891" s="2"/>
      <c r="H891" s="2"/>
      <c r="I891" s="2"/>
      <c r="J891" s="2"/>
      <c r="K891" s="2"/>
      <c r="L891" s="2"/>
      <c r="M891" s="2"/>
      <c r="N891" s="2"/>
      <c r="O891" s="2"/>
      <c r="P891" s="2"/>
      <c r="Q891" s="2"/>
      <c r="R891" s="2"/>
      <c r="S891" s="2"/>
      <c r="T891" s="2"/>
      <c r="U891" s="2"/>
      <c r="V891" s="2"/>
      <c r="W891" s="2"/>
    </row>
    <row r="892">
      <c r="A892" s="2"/>
      <c r="B892" s="2"/>
      <c r="C892" s="2"/>
      <c r="D892" s="2"/>
      <c r="E892" s="2"/>
      <c r="F892" s="2"/>
      <c r="G892" s="2"/>
      <c r="H892" s="2"/>
      <c r="I892" s="2"/>
      <c r="J892" s="2"/>
      <c r="K892" s="2"/>
      <c r="L892" s="2"/>
      <c r="M892" s="2"/>
      <c r="N892" s="2"/>
      <c r="O892" s="2"/>
      <c r="P892" s="2"/>
      <c r="Q892" s="2"/>
      <c r="R892" s="2"/>
      <c r="S892" s="2"/>
      <c r="T892" s="2"/>
      <c r="U892" s="2"/>
      <c r="V892" s="2"/>
      <c r="W892" s="2"/>
    </row>
    <row r="893">
      <c r="A893" s="2"/>
      <c r="B893" s="2"/>
      <c r="C893" s="2"/>
      <c r="D893" s="2"/>
      <c r="E893" s="2"/>
      <c r="F893" s="2"/>
      <c r="G893" s="2"/>
      <c r="H893" s="2"/>
      <c r="I893" s="2"/>
      <c r="J893" s="2"/>
      <c r="K893" s="2"/>
      <c r="L893" s="2"/>
      <c r="M893" s="2"/>
      <c r="N893" s="2"/>
      <c r="O893" s="2"/>
      <c r="P893" s="2"/>
      <c r="Q893" s="2"/>
      <c r="R893" s="2"/>
      <c r="S893" s="2"/>
      <c r="T893" s="2"/>
      <c r="U893" s="2"/>
      <c r="V893" s="2"/>
      <c r="W893" s="2"/>
    </row>
    <row r="894">
      <c r="A894" s="2"/>
      <c r="B894" s="2"/>
      <c r="C894" s="2"/>
      <c r="D894" s="2"/>
      <c r="E894" s="2"/>
      <c r="F894" s="2"/>
      <c r="G894" s="2"/>
      <c r="H894" s="2"/>
      <c r="I894" s="2"/>
      <c r="J894" s="2"/>
      <c r="K894" s="2"/>
      <c r="L894" s="2"/>
      <c r="M894" s="2"/>
      <c r="N894" s="2"/>
      <c r="O894" s="2"/>
      <c r="P894" s="2"/>
      <c r="Q894" s="2"/>
      <c r="R894" s="2"/>
      <c r="S894" s="2"/>
      <c r="T894" s="2"/>
      <c r="U894" s="2"/>
      <c r="V894" s="2"/>
      <c r="W894" s="2"/>
    </row>
    <row r="895">
      <c r="A895" s="2"/>
      <c r="B895" s="2"/>
      <c r="C895" s="2"/>
      <c r="D895" s="2"/>
      <c r="E895" s="2"/>
      <c r="F895" s="2"/>
      <c r="G895" s="2"/>
      <c r="H895" s="2"/>
      <c r="I895" s="2"/>
      <c r="J895" s="2"/>
      <c r="K895" s="2"/>
      <c r="L895" s="2"/>
      <c r="M895" s="2"/>
      <c r="N895" s="2"/>
      <c r="O895" s="2"/>
      <c r="P895" s="2"/>
      <c r="Q895" s="2"/>
      <c r="R895" s="2"/>
      <c r="S895" s="2"/>
      <c r="T895" s="2"/>
      <c r="U895" s="2"/>
      <c r="V895" s="2"/>
      <c r="W895" s="2"/>
    </row>
    <row r="896">
      <c r="A896" s="2"/>
      <c r="B896" s="2"/>
      <c r="C896" s="2"/>
      <c r="D896" s="2"/>
      <c r="E896" s="2"/>
      <c r="F896" s="2"/>
      <c r="G896" s="2"/>
      <c r="H896" s="2"/>
      <c r="I896" s="2"/>
      <c r="J896" s="2"/>
      <c r="K896" s="2"/>
      <c r="L896" s="2"/>
      <c r="M896" s="2"/>
      <c r="N896" s="2"/>
      <c r="O896" s="2"/>
      <c r="P896" s="2"/>
      <c r="Q896" s="2"/>
      <c r="R896" s="2"/>
      <c r="S896" s="2"/>
      <c r="T896" s="2"/>
      <c r="U896" s="2"/>
      <c r="V896" s="2"/>
      <c r="W896" s="2"/>
    </row>
    <row r="897">
      <c r="A897" s="2"/>
      <c r="B897" s="2"/>
      <c r="C897" s="2"/>
      <c r="D897" s="2"/>
      <c r="E897" s="2"/>
      <c r="F897" s="2"/>
      <c r="G897" s="2"/>
      <c r="H897" s="2"/>
      <c r="I897" s="2"/>
      <c r="J897" s="2"/>
      <c r="K897" s="2"/>
      <c r="L897" s="2"/>
      <c r="M897" s="2"/>
      <c r="N897" s="2"/>
      <c r="O897" s="2"/>
      <c r="P897" s="2"/>
      <c r="Q897" s="2"/>
      <c r="R897" s="2"/>
      <c r="S897" s="2"/>
      <c r="T897" s="2"/>
      <c r="U897" s="2"/>
      <c r="V897" s="2"/>
      <c r="W897" s="2"/>
    </row>
    <row r="898">
      <c r="A898" s="2"/>
      <c r="B898" s="2"/>
      <c r="C898" s="2"/>
      <c r="D898" s="2"/>
      <c r="E898" s="2"/>
      <c r="F898" s="2"/>
      <c r="G898" s="2"/>
      <c r="H898" s="2"/>
      <c r="I898" s="2"/>
      <c r="J898" s="2"/>
      <c r="K898" s="2"/>
      <c r="L898" s="2"/>
      <c r="M898" s="2"/>
      <c r="N898" s="2"/>
      <c r="O898" s="2"/>
      <c r="P898" s="2"/>
      <c r="Q898" s="2"/>
      <c r="R898" s="2"/>
      <c r="S898" s="2"/>
      <c r="T898" s="2"/>
      <c r="U898" s="2"/>
      <c r="V898" s="2"/>
      <c r="W898" s="2"/>
    </row>
    <row r="899">
      <c r="A899" s="2"/>
      <c r="B899" s="2"/>
      <c r="C899" s="2"/>
      <c r="D899" s="2"/>
      <c r="E899" s="2"/>
      <c r="F899" s="2"/>
      <c r="G899" s="2"/>
      <c r="H899" s="2"/>
      <c r="I899" s="2"/>
      <c r="J899" s="2"/>
      <c r="K899" s="2"/>
      <c r="L899" s="2"/>
      <c r="M899" s="2"/>
      <c r="N899" s="2"/>
      <c r="O899" s="2"/>
      <c r="P899" s="2"/>
      <c r="Q899" s="2"/>
      <c r="R899" s="2"/>
      <c r="S899" s="2"/>
      <c r="T899" s="2"/>
      <c r="U899" s="2"/>
      <c r="V899" s="2"/>
      <c r="W899" s="2"/>
    </row>
    <row r="900">
      <c r="A900" s="2"/>
      <c r="B900" s="2"/>
      <c r="C900" s="2"/>
      <c r="D900" s="2"/>
      <c r="E900" s="2"/>
      <c r="F900" s="2"/>
      <c r="G900" s="2"/>
      <c r="H900" s="2"/>
      <c r="I900" s="2"/>
      <c r="J900" s="2"/>
      <c r="K900" s="2"/>
      <c r="L900" s="2"/>
      <c r="M900" s="2"/>
      <c r="N900" s="2"/>
      <c r="O900" s="2"/>
      <c r="P900" s="2"/>
      <c r="Q900" s="2"/>
      <c r="R900" s="2"/>
      <c r="S900" s="2"/>
      <c r="T900" s="2"/>
      <c r="U900" s="2"/>
      <c r="V900" s="2"/>
      <c r="W900" s="2"/>
    </row>
    <row r="901">
      <c r="A901" s="2"/>
      <c r="B901" s="2"/>
      <c r="C901" s="2"/>
      <c r="D901" s="2"/>
      <c r="E901" s="2"/>
      <c r="F901" s="2"/>
      <c r="G901" s="2"/>
      <c r="H901" s="2"/>
      <c r="I901" s="2"/>
      <c r="J901" s="2"/>
      <c r="K901" s="2"/>
      <c r="L901" s="2"/>
      <c r="M901" s="2"/>
      <c r="N901" s="2"/>
      <c r="O901" s="2"/>
      <c r="P901" s="2"/>
      <c r="Q901" s="2"/>
      <c r="R901" s="2"/>
      <c r="S901" s="2"/>
      <c r="T901" s="2"/>
      <c r="U901" s="2"/>
      <c r="V901" s="2"/>
      <c r="W901" s="2"/>
    </row>
    <row r="902">
      <c r="A902" s="2"/>
      <c r="B902" s="2"/>
      <c r="C902" s="2"/>
      <c r="D902" s="2"/>
      <c r="E902" s="2"/>
      <c r="F902" s="2"/>
      <c r="G902" s="2"/>
      <c r="H902" s="2"/>
      <c r="I902" s="2"/>
      <c r="J902" s="2"/>
      <c r="K902" s="2"/>
      <c r="L902" s="2"/>
      <c r="M902" s="2"/>
      <c r="N902" s="2"/>
      <c r="O902" s="2"/>
      <c r="P902" s="2"/>
      <c r="Q902" s="2"/>
      <c r="R902" s="2"/>
      <c r="S902" s="2"/>
      <c r="T902" s="2"/>
      <c r="U902" s="2"/>
      <c r="V902" s="2"/>
      <c r="W902" s="2"/>
    </row>
    <row r="903">
      <c r="A903" s="2"/>
      <c r="B903" s="2"/>
      <c r="C903" s="2"/>
      <c r="D903" s="2"/>
      <c r="E903" s="2"/>
      <c r="F903" s="2"/>
      <c r="G903" s="2"/>
      <c r="H903" s="2"/>
      <c r="I903" s="2"/>
      <c r="J903" s="2"/>
      <c r="K903" s="2"/>
      <c r="L903" s="2"/>
      <c r="M903" s="2"/>
      <c r="N903" s="2"/>
      <c r="O903" s="2"/>
      <c r="P903" s="2"/>
      <c r="Q903" s="2"/>
      <c r="R903" s="2"/>
      <c r="S903" s="2"/>
      <c r="T903" s="2"/>
      <c r="U903" s="2"/>
      <c r="V903" s="2"/>
      <c r="W903" s="2"/>
    </row>
    <row r="904">
      <c r="A904" s="2"/>
      <c r="B904" s="2"/>
      <c r="C904" s="2"/>
      <c r="D904" s="2"/>
      <c r="E904" s="2"/>
      <c r="F904" s="2"/>
      <c r="G904" s="2"/>
      <c r="H904" s="2"/>
      <c r="I904" s="2"/>
      <c r="J904" s="2"/>
      <c r="K904" s="2"/>
      <c r="L904" s="2"/>
      <c r="M904" s="2"/>
      <c r="N904" s="2"/>
      <c r="O904" s="2"/>
      <c r="P904" s="2"/>
      <c r="Q904" s="2"/>
      <c r="R904" s="2"/>
      <c r="S904" s="2"/>
      <c r="T904" s="2"/>
      <c r="U904" s="2"/>
      <c r="V904" s="2"/>
      <c r="W904" s="2"/>
    </row>
    <row r="905">
      <c r="A905" s="2"/>
      <c r="B905" s="2"/>
      <c r="C905" s="2"/>
      <c r="D905" s="2"/>
      <c r="E905" s="2"/>
      <c r="F905" s="2"/>
      <c r="G905" s="2"/>
      <c r="H905" s="2"/>
      <c r="I905" s="2"/>
      <c r="J905" s="2"/>
      <c r="K905" s="2"/>
      <c r="L905" s="2"/>
      <c r="M905" s="2"/>
      <c r="N905" s="2"/>
      <c r="O905" s="2"/>
      <c r="P905" s="2"/>
      <c r="Q905" s="2"/>
      <c r="R905" s="2"/>
      <c r="S905" s="2"/>
      <c r="T905" s="2"/>
      <c r="U905" s="2"/>
      <c r="V905" s="2"/>
      <c r="W905" s="2"/>
    </row>
    <row r="906">
      <c r="A906" s="2"/>
      <c r="B906" s="2"/>
      <c r="C906" s="2"/>
      <c r="D906" s="2"/>
      <c r="E906" s="2"/>
      <c r="F906" s="2"/>
      <c r="G906" s="2"/>
      <c r="H906" s="2"/>
      <c r="I906" s="2"/>
      <c r="J906" s="2"/>
      <c r="K906" s="2"/>
      <c r="L906" s="2"/>
      <c r="M906" s="2"/>
      <c r="N906" s="2"/>
      <c r="O906" s="2"/>
      <c r="P906" s="2"/>
      <c r="Q906" s="2"/>
      <c r="R906" s="2"/>
      <c r="S906" s="2"/>
      <c r="T906" s="2"/>
      <c r="U906" s="2"/>
      <c r="V906" s="2"/>
      <c r="W906" s="2"/>
    </row>
    <row r="907">
      <c r="A907" s="2"/>
      <c r="B907" s="2"/>
      <c r="C907" s="2"/>
      <c r="D907" s="2"/>
      <c r="E907" s="2"/>
      <c r="F907" s="2"/>
      <c r="G907" s="2"/>
      <c r="H907" s="2"/>
      <c r="I907" s="2"/>
      <c r="J907" s="2"/>
      <c r="K907" s="2"/>
      <c r="L907" s="2"/>
      <c r="M907" s="2"/>
      <c r="N907" s="2"/>
      <c r="O907" s="2"/>
      <c r="P907" s="2"/>
      <c r="Q907" s="2"/>
      <c r="R907" s="2"/>
      <c r="S907" s="2"/>
      <c r="T907" s="2"/>
      <c r="U907" s="2"/>
      <c r="V907" s="2"/>
      <c r="W907" s="2"/>
    </row>
    <row r="908">
      <c r="A908" s="2"/>
      <c r="B908" s="2"/>
      <c r="C908" s="2"/>
      <c r="D908" s="2"/>
      <c r="E908" s="2"/>
      <c r="F908" s="2"/>
      <c r="G908" s="2"/>
      <c r="H908" s="2"/>
      <c r="I908" s="2"/>
      <c r="J908" s="2"/>
      <c r="K908" s="2"/>
      <c r="L908" s="2"/>
      <c r="M908" s="2"/>
      <c r="N908" s="2"/>
      <c r="O908" s="2"/>
      <c r="P908" s="2"/>
      <c r="Q908" s="2"/>
      <c r="R908" s="2"/>
      <c r="S908" s="2"/>
      <c r="T908" s="2"/>
      <c r="U908" s="2"/>
      <c r="V908" s="2"/>
      <c r="W908" s="2"/>
    </row>
    <row r="909">
      <c r="A909" s="2"/>
      <c r="B909" s="2"/>
      <c r="C909" s="2"/>
      <c r="D909" s="2"/>
      <c r="E909" s="2"/>
      <c r="F909" s="2"/>
      <c r="G909" s="2"/>
      <c r="H909" s="2"/>
      <c r="I909" s="2"/>
      <c r="J909" s="2"/>
      <c r="K909" s="2"/>
      <c r="L909" s="2"/>
      <c r="M909" s="2"/>
      <c r="N909" s="2"/>
      <c r="O909" s="2"/>
      <c r="P909" s="2"/>
      <c r="Q909" s="2"/>
      <c r="R909" s="2"/>
      <c r="S909" s="2"/>
      <c r="T909" s="2"/>
      <c r="U909" s="2"/>
      <c r="V909" s="2"/>
      <c r="W909" s="2"/>
    </row>
    <row r="910">
      <c r="A910" s="2"/>
      <c r="B910" s="2"/>
      <c r="C910" s="2"/>
      <c r="D910" s="2"/>
      <c r="E910" s="2"/>
      <c r="F910" s="2"/>
      <c r="G910" s="2"/>
      <c r="H910" s="2"/>
      <c r="I910" s="2"/>
      <c r="J910" s="2"/>
      <c r="K910" s="2"/>
      <c r="L910" s="2"/>
      <c r="M910" s="2"/>
      <c r="N910" s="2"/>
      <c r="O910" s="2"/>
      <c r="P910" s="2"/>
      <c r="Q910" s="2"/>
      <c r="R910" s="2"/>
      <c r="S910" s="2"/>
      <c r="T910" s="2"/>
      <c r="U910" s="2"/>
      <c r="V910" s="2"/>
      <c r="W910" s="2"/>
    </row>
    <row r="911">
      <c r="A911" s="2"/>
      <c r="B911" s="2"/>
      <c r="C911" s="2"/>
      <c r="D911" s="2"/>
      <c r="E911" s="2"/>
      <c r="F911" s="2"/>
      <c r="G911" s="2"/>
      <c r="H911" s="2"/>
      <c r="I911" s="2"/>
      <c r="J911" s="2"/>
      <c r="K911" s="2"/>
      <c r="L911" s="2"/>
      <c r="M911" s="2"/>
      <c r="N911" s="2"/>
      <c r="O911" s="2"/>
      <c r="P911" s="2"/>
      <c r="Q911" s="2"/>
      <c r="R911" s="2"/>
      <c r="S911" s="2"/>
      <c r="T911" s="2"/>
      <c r="U911" s="2"/>
      <c r="V911" s="2"/>
      <c r="W911" s="2"/>
    </row>
    <row r="912">
      <c r="A912" s="2"/>
      <c r="B912" s="2"/>
      <c r="C912" s="2"/>
      <c r="D912" s="2"/>
      <c r="E912" s="2"/>
      <c r="F912" s="2"/>
      <c r="G912" s="2"/>
      <c r="H912" s="2"/>
      <c r="I912" s="2"/>
      <c r="J912" s="2"/>
      <c r="K912" s="2"/>
      <c r="L912" s="2"/>
      <c r="M912" s="2"/>
      <c r="N912" s="2"/>
      <c r="O912" s="2"/>
      <c r="P912" s="2"/>
      <c r="Q912" s="2"/>
      <c r="R912" s="2"/>
      <c r="S912" s="2"/>
      <c r="T912" s="2"/>
      <c r="U912" s="2"/>
      <c r="V912" s="2"/>
      <c r="W912" s="2"/>
    </row>
    <row r="913">
      <c r="A913" s="2"/>
      <c r="B913" s="2"/>
      <c r="C913" s="2"/>
      <c r="D913" s="2"/>
      <c r="E913" s="2"/>
      <c r="F913" s="2"/>
      <c r="G913" s="2"/>
      <c r="H913" s="2"/>
      <c r="I913" s="2"/>
      <c r="J913" s="2"/>
      <c r="K913" s="2"/>
      <c r="L913" s="2"/>
      <c r="M913" s="2"/>
      <c r="N913" s="2"/>
      <c r="O913" s="2"/>
      <c r="P913" s="2"/>
      <c r="Q913" s="2"/>
      <c r="R913" s="2"/>
      <c r="S913" s="2"/>
      <c r="T913" s="2"/>
      <c r="U913" s="2"/>
      <c r="V913" s="2"/>
      <c r="W913" s="2"/>
    </row>
    <row r="914">
      <c r="A914" s="2"/>
      <c r="B914" s="2"/>
      <c r="C914" s="2"/>
      <c r="D914" s="2"/>
      <c r="E914" s="2"/>
      <c r="F914" s="2"/>
      <c r="G914" s="2"/>
      <c r="H914" s="2"/>
      <c r="I914" s="2"/>
      <c r="J914" s="2"/>
      <c r="K914" s="2"/>
      <c r="L914" s="2"/>
      <c r="M914" s="2"/>
      <c r="N914" s="2"/>
      <c r="O914" s="2"/>
      <c r="P914" s="2"/>
      <c r="Q914" s="2"/>
      <c r="R914" s="2"/>
      <c r="S914" s="2"/>
      <c r="T914" s="2"/>
      <c r="U914" s="2"/>
      <c r="V914" s="2"/>
      <c r="W914" s="2"/>
    </row>
    <row r="915">
      <c r="A915" s="2"/>
      <c r="B915" s="2"/>
      <c r="C915" s="2"/>
      <c r="D915" s="2"/>
      <c r="E915" s="2"/>
      <c r="F915" s="2"/>
      <c r="G915" s="2"/>
      <c r="H915" s="2"/>
      <c r="I915" s="2"/>
      <c r="J915" s="2"/>
      <c r="K915" s="2"/>
      <c r="L915" s="2"/>
      <c r="M915" s="2"/>
      <c r="N915" s="2"/>
      <c r="O915" s="2"/>
      <c r="P915" s="2"/>
      <c r="Q915" s="2"/>
      <c r="R915" s="2"/>
      <c r="S915" s="2"/>
      <c r="T915" s="2"/>
      <c r="U915" s="2"/>
      <c r="V915" s="2"/>
      <c r="W915" s="2"/>
    </row>
    <row r="916">
      <c r="A916" s="2"/>
      <c r="B916" s="2"/>
      <c r="C916" s="2"/>
      <c r="D916" s="2"/>
      <c r="E916" s="2"/>
      <c r="F916" s="2"/>
      <c r="G916" s="2"/>
      <c r="H916" s="2"/>
      <c r="I916" s="2"/>
      <c r="J916" s="2"/>
      <c r="K916" s="2"/>
      <c r="L916" s="2"/>
      <c r="M916" s="2"/>
      <c r="N916" s="2"/>
      <c r="O916" s="2"/>
      <c r="P916" s="2"/>
      <c r="Q916" s="2"/>
      <c r="R916" s="2"/>
      <c r="S916" s="2"/>
      <c r="T916" s="2"/>
      <c r="U916" s="2"/>
      <c r="V916" s="2"/>
      <c r="W916" s="2"/>
    </row>
    <row r="917">
      <c r="A917" s="2"/>
      <c r="B917" s="2"/>
      <c r="C917" s="2"/>
      <c r="D917" s="2"/>
      <c r="E917" s="2"/>
      <c r="F917" s="2"/>
      <c r="G917" s="2"/>
      <c r="H917" s="2"/>
      <c r="I917" s="2"/>
      <c r="J917" s="2"/>
      <c r="K917" s="2"/>
      <c r="L917" s="2"/>
      <c r="M917" s="2"/>
      <c r="N917" s="2"/>
      <c r="O917" s="2"/>
      <c r="P917" s="2"/>
      <c r="Q917" s="2"/>
      <c r="R917" s="2"/>
      <c r="S917" s="2"/>
      <c r="T917" s="2"/>
      <c r="U917" s="2"/>
      <c r="V917" s="2"/>
      <c r="W917" s="2"/>
    </row>
    <row r="918">
      <c r="A918" s="2"/>
      <c r="B918" s="2"/>
      <c r="C918" s="2"/>
      <c r="D918" s="2"/>
      <c r="E918" s="2"/>
      <c r="F918" s="2"/>
      <c r="G918" s="2"/>
      <c r="H918" s="2"/>
      <c r="I918" s="2"/>
      <c r="J918" s="2"/>
      <c r="K918" s="2"/>
      <c r="L918" s="2"/>
      <c r="M918" s="2"/>
      <c r="N918" s="2"/>
      <c r="O918" s="2"/>
      <c r="P918" s="2"/>
      <c r="Q918" s="2"/>
      <c r="R918" s="2"/>
      <c r="S918" s="2"/>
      <c r="T918" s="2"/>
      <c r="U918" s="2"/>
      <c r="V918" s="2"/>
      <c r="W918" s="2"/>
    </row>
    <row r="919">
      <c r="A919" s="2"/>
      <c r="B919" s="2"/>
      <c r="C919" s="2"/>
      <c r="D919" s="2"/>
      <c r="E919" s="2"/>
      <c r="F919" s="2"/>
      <c r="G919" s="2"/>
      <c r="H919" s="2"/>
      <c r="I919" s="2"/>
      <c r="J919" s="2"/>
      <c r="K919" s="2"/>
      <c r="L919" s="2"/>
      <c r="M919" s="2"/>
      <c r="N919" s="2"/>
      <c r="O919" s="2"/>
      <c r="P919" s="2"/>
      <c r="Q919" s="2"/>
      <c r="R919" s="2"/>
      <c r="S919" s="2"/>
      <c r="T919" s="2"/>
      <c r="U919" s="2"/>
      <c r="V919" s="2"/>
      <c r="W919" s="2"/>
    </row>
    <row r="920">
      <c r="A920" s="2"/>
      <c r="B920" s="2"/>
      <c r="C920" s="2"/>
      <c r="D920" s="2"/>
      <c r="E920" s="2"/>
      <c r="F920" s="2"/>
      <c r="G920" s="2"/>
      <c r="H920" s="2"/>
      <c r="I920" s="2"/>
      <c r="J920" s="2"/>
      <c r="K920" s="2"/>
      <c r="L920" s="2"/>
      <c r="M920" s="2"/>
      <c r="N920" s="2"/>
      <c r="O920" s="2"/>
      <c r="P920" s="2"/>
      <c r="Q920" s="2"/>
      <c r="R920" s="2"/>
      <c r="S920" s="2"/>
      <c r="T920" s="2"/>
      <c r="U920" s="2"/>
      <c r="V920" s="2"/>
      <c r="W920" s="2"/>
    </row>
    <row r="921">
      <c r="A921" s="2"/>
      <c r="B921" s="2"/>
      <c r="C921" s="2"/>
      <c r="D921" s="2"/>
      <c r="E921" s="2"/>
      <c r="F921" s="2"/>
      <c r="G921" s="2"/>
      <c r="H921" s="2"/>
      <c r="I921" s="2"/>
      <c r="J921" s="2"/>
      <c r="K921" s="2"/>
      <c r="L921" s="2"/>
      <c r="M921" s="2"/>
      <c r="N921" s="2"/>
      <c r="O921" s="2"/>
      <c r="P921" s="2"/>
      <c r="Q921" s="2"/>
      <c r="R921" s="2"/>
      <c r="S921" s="2"/>
      <c r="T921" s="2"/>
      <c r="U921" s="2"/>
      <c r="V921" s="2"/>
      <c r="W921" s="2"/>
    </row>
    <row r="922">
      <c r="A922" s="2"/>
      <c r="B922" s="2"/>
      <c r="C922" s="2"/>
      <c r="D922" s="2"/>
      <c r="E922" s="2"/>
      <c r="F922" s="2"/>
      <c r="G922" s="2"/>
      <c r="H922" s="2"/>
      <c r="I922" s="2"/>
      <c r="J922" s="2"/>
      <c r="K922" s="2"/>
      <c r="L922" s="2"/>
      <c r="M922" s="2"/>
      <c r="N922" s="2"/>
      <c r="O922" s="2"/>
      <c r="P922" s="2"/>
      <c r="Q922" s="2"/>
      <c r="R922" s="2"/>
      <c r="S922" s="2"/>
      <c r="T922" s="2"/>
      <c r="U922" s="2"/>
      <c r="V922" s="2"/>
      <c r="W922" s="2"/>
    </row>
    <row r="923">
      <c r="A923" s="2"/>
      <c r="B923" s="2"/>
      <c r="C923" s="2"/>
      <c r="D923" s="2"/>
      <c r="E923" s="2"/>
      <c r="F923" s="2"/>
      <c r="G923" s="2"/>
      <c r="H923" s="2"/>
      <c r="I923" s="2"/>
      <c r="J923" s="2"/>
      <c r="K923" s="2"/>
      <c r="L923" s="2"/>
      <c r="M923" s="2"/>
      <c r="N923" s="2"/>
      <c r="O923" s="2"/>
      <c r="P923" s="2"/>
      <c r="Q923" s="2"/>
      <c r="R923" s="2"/>
      <c r="S923" s="2"/>
      <c r="T923" s="2"/>
      <c r="U923" s="2"/>
      <c r="V923" s="2"/>
      <c r="W923" s="2"/>
    </row>
    <row r="924">
      <c r="A924" s="2"/>
      <c r="B924" s="2"/>
      <c r="C924" s="2"/>
      <c r="D924" s="2"/>
      <c r="E924" s="2"/>
      <c r="F924" s="2"/>
      <c r="G924" s="2"/>
      <c r="H924" s="2"/>
      <c r="I924" s="2"/>
      <c r="J924" s="2"/>
      <c r="K924" s="2"/>
      <c r="L924" s="2"/>
      <c r="M924" s="2"/>
      <c r="N924" s="2"/>
      <c r="O924" s="2"/>
      <c r="P924" s="2"/>
      <c r="Q924" s="2"/>
      <c r="R924" s="2"/>
      <c r="S924" s="2"/>
      <c r="T924" s="2"/>
      <c r="U924" s="2"/>
      <c r="V924" s="2"/>
      <c r="W924" s="2"/>
    </row>
    <row r="925">
      <c r="A925" s="2"/>
      <c r="B925" s="2"/>
      <c r="C925" s="2"/>
      <c r="D925" s="2"/>
      <c r="E925" s="2"/>
      <c r="F925" s="2"/>
      <c r="G925" s="2"/>
      <c r="H925" s="2"/>
      <c r="I925" s="2"/>
      <c r="J925" s="2"/>
      <c r="K925" s="2"/>
      <c r="L925" s="2"/>
      <c r="M925" s="2"/>
      <c r="N925" s="2"/>
      <c r="O925" s="2"/>
      <c r="P925" s="2"/>
      <c r="Q925" s="2"/>
      <c r="R925" s="2"/>
      <c r="S925" s="2"/>
      <c r="T925" s="2"/>
      <c r="U925" s="2"/>
      <c r="V925" s="2"/>
      <c r="W925" s="2"/>
    </row>
    <row r="926">
      <c r="A926" s="2"/>
      <c r="B926" s="2"/>
      <c r="C926" s="2"/>
      <c r="D926" s="2"/>
      <c r="E926" s="2"/>
      <c r="F926" s="2"/>
      <c r="G926" s="2"/>
      <c r="H926" s="2"/>
      <c r="I926" s="2"/>
      <c r="J926" s="2"/>
      <c r="K926" s="2"/>
      <c r="L926" s="2"/>
      <c r="M926" s="2"/>
      <c r="N926" s="2"/>
      <c r="O926" s="2"/>
      <c r="P926" s="2"/>
      <c r="Q926" s="2"/>
      <c r="R926" s="2"/>
      <c r="S926" s="2"/>
      <c r="T926" s="2"/>
      <c r="U926" s="2"/>
      <c r="V926" s="2"/>
      <c r="W926" s="2"/>
    </row>
    <row r="927">
      <c r="A927" s="2"/>
      <c r="B927" s="2"/>
      <c r="C927" s="2"/>
      <c r="D927" s="2"/>
      <c r="E927" s="2"/>
      <c r="F927" s="2"/>
      <c r="G927" s="2"/>
      <c r="H927" s="2"/>
      <c r="I927" s="2"/>
      <c r="J927" s="2"/>
      <c r="K927" s="2"/>
      <c r="L927" s="2"/>
      <c r="M927" s="2"/>
      <c r="N927" s="2"/>
      <c r="O927" s="2"/>
      <c r="P927" s="2"/>
      <c r="Q927" s="2"/>
      <c r="R927" s="2"/>
      <c r="S927" s="2"/>
      <c r="T927" s="2"/>
      <c r="U927" s="2"/>
      <c r="V927" s="2"/>
      <c r="W927" s="2"/>
    </row>
    <row r="928">
      <c r="A928" s="2"/>
      <c r="B928" s="2"/>
      <c r="C928" s="2"/>
      <c r="D928" s="2"/>
      <c r="E928" s="2"/>
      <c r="F928" s="2"/>
      <c r="G928" s="2"/>
      <c r="H928" s="2"/>
      <c r="I928" s="2"/>
      <c r="J928" s="2"/>
      <c r="K928" s="2"/>
      <c r="L928" s="2"/>
      <c r="M928" s="2"/>
      <c r="N928" s="2"/>
      <c r="O928" s="2"/>
      <c r="P928" s="2"/>
      <c r="Q928" s="2"/>
      <c r="R928" s="2"/>
      <c r="S928" s="2"/>
      <c r="T928" s="2"/>
      <c r="U928" s="2"/>
      <c r="V928" s="2"/>
      <c r="W928" s="2"/>
    </row>
    <row r="929">
      <c r="A929" s="2"/>
      <c r="B929" s="2"/>
      <c r="C929" s="2"/>
      <c r="D929" s="2"/>
      <c r="E929" s="2"/>
      <c r="F929" s="2"/>
      <c r="G929" s="2"/>
      <c r="H929" s="2"/>
      <c r="I929" s="2"/>
      <c r="J929" s="2"/>
      <c r="K929" s="2"/>
      <c r="L929" s="2"/>
      <c r="M929" s="2"/>
      <c r="N929" s="2"/>
      <c r="O929" s="2"/>
      <c r="P929" s="2"/>
      <c r="Q929" s="2"/>
      <c r="R929" s="2"/>
      <c r="S929" s="2"/>
      <c r="T929" s="2"/>
      <c r="U929" s="2"/>
      <c r="V929" s="2"/>
      <c r="W929" s="2"/>
    </row>
    <row r="930">
      <c r="A930" s="2"/>
      <c r="B930" s="2"/>
      <c r="C930" s="2"/>
      <c r="D930" s="2"/>
      <c r="E930" s="2"/>
      <c r="F930" s="2"/>
      <c r="G930" s="2"/>
      <c r="H930" s="2"/>
      <c r="I930" s="2"/>
      <c r="J930" s="2"/>
      <c r="K930" s="2"/>
      <c r="L930" s="2"/>
      <c r="M930" s="2"/>
      <c r="N930" s="2"/>
      <c r="O930" s="2"/>
      <c r="P930" s="2"/>
      <c r="Q930" s="2"/>
      <c r="R930" s="2"/>
      <c r="S930" s="2"/>
      <c r="T930" s="2"/>
      <c r="U930" s="2"/>
      <c r="V930" s="2"/>
      <c r="W930" s="2"/>
    </row>
    <row r="931">
      <c r="A931" s="2"/>
      <c r="B931" s="2"/>
      <c r="C931" s="2"/>
      <c r="D931" s="2"/>
      <c r="E931" s="2"/>
      <c r="F931" s="2"/>
      <c r="G931" s="2"/>
      <c r="H931" s="2"/>
      <c r="I931" s="2"/>
      <c r="J931" s="2"/>
      <c r="K931" s="2"/>
      <c r="L931" s="2"/>
      <c r="M931" s="2"/>
      <c r="N931" s="2"/>
      <c r="O931" s="2"/>
      <c r="P931" s="2"/>
      <c r="Q931" s="2"/>
      <c r="R931" s="2"/>
      <c r="S931" s="2"/>
      <c r="T931" s="2"/>
      <c r="U931" s="2"/>
      <c r="V931" s="2"/>
      <c r="W931" s="2"/>
    </row>
    <row r="932">
      <c r="A932" s="2"/>
      <c r="B932" s="2"/>
      <c r="C932" s="2"/>
      <c r="D932" s="2"/>
      <c r="E932" s="2"/>
      <c r="F932" s="2"/>
      <c r="G932" s="2"/>
      <c r="H932" s="2"/>
      <c r="I932" s="2"/>
      <c r="J932" s="2"/>
      <c r="K932" s="2"/>
      <c r="L932" s="2"/>
      <c r="M932" s="2"/>
      <c r="N932" s="2"/>
      <c r="O932" s="2"/>
      <c r="P932" s="2"/>
      <c r="Q932" s="2"/>
      <c r="R932" s="2"/>
      <c r="S932" s="2"/>
      <c r="T932" s="2"/>
      <c r="U932" s="2"/>
      <c r="V932" s="2"/>
      <c r="W932" s="2"/>
    </row>
    <row r="933">
      <c r="A933" s="2"/>
      <c r="B933" s="2"/>
      <c r="C933" s="2"/>
      <c r="D933" s="2"/>
      <c r="E933" s="2"/>
      <c r="F933" s="2"/>
      <c r="G933" s="2"/>
      <c r="H933" s="2"/>
      <c r="I933" s="2"/>
      <c r="J933" s="2"/>
      <c r="K933" s="2"/>
      <c r="L933" s="2"/>
      <c r="M933" s="2"/>
      <c r="N933" s="2"/>
      <c r="O933" s="2"/>
      <c r="P933" s="2"/>
      <c r="Q933" s="2"/>
      <c r="R933" s="2"/>
      <c r="S933" s="2"/>
      <c r="T933" s="2"/>
      <c r="U933" s="2"/>
      <c r="V933" s="2"/>
      <c r="W933" s="2"/>
    </row>
    <row r="934">
      <c r="A934" s="2"/>
      <c r="B934" s="2"/>
      <c r="C934" s="2"/>
      <c r="D934" s="2"/>
      <c r="E934" s="2"/>
      <c r="F934" s="2"/>
      <c r="G934" s="2"/>
      <c r="H934" s="2"/>
      <c r="I934" s="2"/>
      <c r="J934" s="2"/>
      <c r="K934" s="2"/>
      <c r="L934" s="2"/>
      <c r="M934" s="2"/>
      <c r="N934" s="2"/>
      <c r="O934" s="2"/>
      <c r="P934" s="2"/>
      <c r="Q934" s="2"/>
      <c r="R934" s="2"/>
      <c r="S934" s="2"/>
      <c r="T934" s="2"/>
      <c r="U934" s="2"/>
      <c r="V934" s="2"/>
      <c r="W934" s="2"/>
    </row>
    <row r="935">
      <c r="A935" s="2"/>
      <c r="B935" s="2"/>
      <c r="C935" s="2"/>
      <c r="D935" s="2"/>
      <c r="E935" s="2"/>
      <c r="F935" s="2"/>
      <c r="G935" s="2"/>
      <c r="H935" s="2"/>
      <c r="I935" s="2"/>
      <c r="J935" s="2"/>
      <c r="K935" s="2"/>
      <c r="L935" s="2"/>
      <c r="M935" s="2"/>
      <c r="N935" s="2"/>
      <c r="O935" s="2"/>
      <c r="P935" s="2"/>
      <c r="Q935" s="2"/>
      <c r="R935" s="2"/>
      <c r="S935" s="2"/>
      <c r="T935" s="2"/>
      <c r="U935" s="2"/>
      <c r="V935" s="2"/>
      <c r="W935" s="2"/>
    </row>
    <row r="936">
      <c r="A936" s="2"/>
      <c r="B936" s="2"/>
      <c r="C936" s="2"/>
      <c r="D936" s="2"/>
      <c r="E936" s="2"/>
      <c r="F936" s="2"/>
      <c r="G936" s="2"/>
      <c r="H936" s="2"/>
      <c r="I936" s="2"/>
      <c r="J936" s="2"/>
      <c r="K936" s="2"/>
      <c r="L936" s="2"/>
      <c r="M936" s="2"/>
      <c r="N936" s="2"/>
      <c r="O936" s="2"/>
      <c r="P936" s="2"/>
      <c r="Q936" s="2"/>
      <c r="R936" s="2"/>
      <c r="S936" s="2"/>
      <c r="T936" s="2"/>
      <c r="U936" s="2"/>
      <c r="V936" s="2"/>
      <c r="W936" s="2"/>
    </row>
    <row r="937">
      <c r="A937" s="2"/>
      <c r="B937" s="2"/>
      <c r="C937" s="2"/>
      <c r="D937" s="2"/>
      <c r="E937" s="2"/>
      <c r="F937" s="2"/>
      <c r="G937" s="2"/>
      <c r="H937" s="2"/>
      <c r="I937" s="2"/>
      <c r="J937" s="2"/>
      <c r="K937" s="2"/>
      <c r="L937" s="2"/>
      <c r="M937" s="2"/>
      <c r="N937" s="2"/>
      <c r="O937" s="2"/>
      <c r="P937" s="2"/>
      <c r="Q937" s="2"/>
      <c r="R937" s="2"/>
      <c r="S937" s="2"/>
      <c r="T937" s="2"/>
      <c r="U937" s="2"/>
      <c r="V937" s="2"/>
      <c r="W937" s="2"/>
    </row>
    <row r="938">
      <c r="A938" s="2"/>
      <c r="B938" s="2"/>
      <c r="C938" s="2"/>
      <c r="D938" s="2"/>
      <c r="E938" s="2"/>
      <c r="F938" s="2"/>
      <c r="G938" s="2"/>
      <c r="H938" s="2"/>
      <c r="I938" s="2"/>
      <c r="J938" s="2"/>
      <c r="K938" s="2"/>
      <c r="L938" s="2"/>
      <c r="M938" s="2"/>
      <c r="N938" s="2"/>
      <c r="O938" s="2"/>
      <c r="P938" s="2"/>
      <c r="Q938" s="2"/>
      <c r="R938" s="2"/>
      <c r="S938" s="2"/>
      <c r="T938" s="2"/>
      <c r="U938" s="2"/>
      <c r="V938" s="2"/>
      <c r="W938" s="2"/>
    </row>
    <row r="939">
      <c r="A939" s="2"/>
      <c r="B939" s="2"/>
      <c r="C939" s="2"/>
      <c r="D939" s="2"/>
      <c r="E939" s="2"/>
      <c r="F939" s="2"/>
      <c r="G939" s="2"/>
      <c r="H939" s="2"/>
      <c r="I939" s="2"/>
      <c r="J939" s="2"/>
      <c r="K939" s="2"/>
      <c r="L939" s="2"/>
      <c r="M939" s="2"/>
      <c r="N939" s="2"/>
      <c r="O939" s="2"/>
      <c r="P939" s="2"/>
      <c r="Q939" s="2"/>
      <c r="R939" s="2"/>
      <c r="S939" s="2"/>
      <c r="T939" s="2"/>
      <c r="U939" s="2"/>
      <c r="V939" s="2"/>
      <c r="W939" s="2"/>
    </row>
    <row r="940">
      <c r="A940" s="2"/>
      <c r="B940" s="2"/>
      <c r="C940" s="2"/>
      <c r="D940" s="2"/>
      <c r="E940" s="2"/>
      <c r="F940" s="2"/>
      <c r="G940" s="2"/>
      <c r="H940" s="2"/>
      <c r="I940" s="2"/>
      <c r="J940" s="2"/>
      <c r="K940" s="2"/>
      <c r="L940" s="2"/>
      <c r="M940" s="2"/>
      <c r="N940" s="2"/>
      <c r="O940" s="2"/>
      <c r="P940" s="2"/>
      <c r="Q940" s="2"/>
      <c r="R940" s="2"/>
      <c r="S940" s="2"/>
      <c r="T940" s="2"/>
      <c r="U940" s="2"/>
      <c r="V940" s="2"/>
      <c r="W940" s="2"/>
    </row>
    <row r="941">
      <c r="A941" s="2"/>
      <c r="B941" s="2"/>
      <c r="C941" s="2"/>
      <c r="D941" s="2"/>
      <c r="E941" s="2"/>
      <c r="F941" s="2"/>
      <c r="G941" s="2"/>
      <c r="H941" s="2"/>
      <c r="I941" s="2"/>
      <c r="J941" s="2"/>
      <c r="K941" s="2"/>
      <c r="L941" s="2"/>
      <c r="M941" s="2"/>
      <c r="N941" s="2"/>
      <c r="O941" s="2"/>
      <c r="P941" s="2"/>
      <c r="Q941" s="2"/>
      <c r="R941" s="2"/>
      <c r="S941" s="2"/>
      <c r="T941" s="2"/>
      <c r="U941" s="2"/>
      <c r="V941" s="2"/>
      <c r="W941" s="2"/>
    </row>
    <row r="942">
      <c r="A942" s="2"/>
      <c r="B942" s="2"/>
      <c r="C942" s="2"/>
      <c r="D942" s="2"/>
      <c r="E942" s="2"/>
      <c r="F942" s="2"/>
      <c r="G942" s="2"/>
      <c r="H942" s="2"/>
      <c r="I942" s="2"/>
      <c r="J942" s="2"/>
      <c r="K942" s="2"/>
      <c r="L942" s="2"/>
      <c r="M942" s="2"/>
      <c r="N942" s="2"/>
      <c r="O942" s="2"/>
      <c r="P942" s="2"/>
      <c r="Q942" s="2"/>
      <c r="R942" s="2"/>
      <c r="S942" s="2"/>
      <c r="T942" s="2"/>
      <c r="U942" s="2"/>
      <c r="V942" s="2"/>
      <c r="W942" s="2"/>
    </row>
    <row r="943">
      <c r="A943" s="2"/>
      <c r="B943" s="2"/>
      <c r="C943" s="2"/>
      <c r="D943" s="2"/>
      <c r="E943" s="2"/>
      <c r="F943" s="2"/>
      <c r="G943" s="2"/>
      <c r="H943" s="2"/>
      <c r="I943" s="2"/>
      <c r="J943" s="2"/>
      <c r="K943" s="2"/>
      <c r="L943" s="2"/>
      <c r="M943" s="2"/>
      <c r="N943" s="2"/>
      <c r="O943" s="2"/>
      <c r="P943" s="2"/>
      <c r="Q943" s="2"/>
      <c r="R943" s="2"/>
      <c r="S943" s="2"/>
      <c r="T943" s="2"/>
      <c r="U943" s="2"/>
      <c r="V943" s="2"/>
      <c r="W943" s="2"/>
    </row>
    <row r="944">
      <c r="A944" s="2"/>
      <c r="B944" s="2"/>
      <c r="C944" s="2"/>
      <c r="D944" s="2"/>
      <c r="E944" s="2"/>
      <c r="F944" s="2"/>
      <c r="G944" s="2"/>
      <c r="H944" s="2"/>
      <c r="I944" s="2"/>
      <c r="J944" s="2"/>
      <c r="K944" s="2"/>
      <c r="L944" s="2"/>
      <c r="M944" s="2"/>
      <c r="N944" s="2"/>
      <c r="O944" s="2"/>
      <c r="P944" s="2"/>
      <c r="Q944" s="2"/>
      <c r="R944" s="2"/>
      <c r="S944" s="2"/>
      <c r="T944" s="2"/>
      <c r="U944" s="2"/>
      <c r="V944" s="2"/>
      <c r="W944" s="2"/>
    </row>
    <row r="945">
      <c r="A945" s="2"/>
      <c r="B945" s="2"/>
      <c r="C945" s="2"/>
      <c r="D945" s="2"/>
      <c r="E945" s="2"/>
      <c r="F945" s="2"/>
      <c r="G945" s="2"/>
      <c r="H945" s="2"/>
      <c r="I945" s="2"/>
      <c r="J945" s="2"/>
      <c r="K945" s="2"/>
      <c r="L945" s="2"/>
      <c r="M945" s="2"/>
      <c r="N945" s="2"/>
      <c r="O945" s="2"/>
      <c r="P945" s="2"/>
      <c r="Q945" s="2"/>
      <c r="R945" s="2"/>
      <c r="S945" s="2"/>
      <c r="T945" s="2"/>
      <c r="U945" s="2"/>
      <c r="V945" s="2"/>
      <c r="W945" s="2"/>
    </row>
    <row r="946">
      <c r="A946" s="2"/>
      <c r="B946" s="2"/>
      <c r="C946" s="2"/>
      <c r="D946" s="2"/>
      <c r="E946" s="2"/>
      <c r="F946" s="2"/>
      <c r="G946" s="2"/>
      <c r="H946" s="2"/>
      <c r="I946" s="2"/>
      <c r="J946" s="2"/>
      <c r="K946" s="2"/>
      <c r="L946" s="2"/>
      <c r="M946" s="2"/>
      <c r="N946" s="2"/>
      <c r="O946" s="2"/>
      <c r="P946" s="2"/>
      <c r="Q946" s="2"/>
      <c r="R946" s="2"/>
      <c r="S946" s="2"/>
      <c r="T946" s="2"/>
      <c r="U946" s="2"/>
      <c r="V946" s="2"/>
      <c r="W946" s="2"/>
    </row>
    <row r="947">
      <c r="A947" s="2"/>
      <c r="B947" s="2"/>
      <c r="C947" s="2"/>
      <c r="D947" s="2"/>
      <c r="E947" s="2"/>
      <c r="F947" s="2"/>
      <c r="G947" s="2"/>
      <c r="H947" s="2"/>
      <c r="I947" s="2"/>
      <c r="J947" s="2"/>
      <c r="K947" s="2"/>
      <c r="L947" s="2"/>
      <c r="M947" s="2"/>
      <c r="N947" s="2"/>
      <c r="O947" s="2"/>
      <c r="P947" s="2"/>
      <c r="Q947" s="2"/>
      <c r="R947" s="2"/>
      <c r="S947" s="2"/>
      <c r="T947" s="2"/>
      <c r="U947" s="2"/>
      <c r="V947" s="2"/>
      <c r="W947" s="2"/>
    </row>
    <row r="948">
      <c r="A948" s="2"/>
      <c r="B948" s="2"/>
      <c r="C948" s="2"/>
      <c r="D948" s="2"/>
      <c r="E948" s="2"/>
      <c r="F948" s="2"/>
      <c r="G948" s="2"/>
      <c r="H948" s="2"/>
      <c r="I948" s="2"/>
      <c r="J948" s="2"/>
      <c r="K948" s="2"/>
      <c r="L948" s="2"/>
      <c r="M948" s="2"/>
      <c r="N948" s="2"/>
      <c r="O948" s="2"/>
      <c r="P948" s="2"/>
      <c r="Q948" s="2"/>
      <c r="R948" s="2"/>
      <c r="S948" s="2"/>
      <c r="T948" s="2"/>
      <c r="U948" s="2"/>
      <c r="V948" s="2"/>
      <c r="W948" s="2"/>
    </row>
    <row r="949">
      <c r="A949" s="2"/>
      <c r="B949" s="2"/>
      <c r="C949" s="2"/>
      <c r="D949" s="2"/>
      <c r="E949" s="2"/>
      <c r="F949" s="2"/>
      <c r="G949" s="2"/>
      <c r="H949" s="2"/>
      <c r="I949" s="2"/>
      <c r="J949" s="2"/>
      <c r="K949" s="2"/>
      <c r="L949" s="2"/>
      <c r="M949" s="2"/>
      <c r="N949" s="2"/>
      <c r="O949" s="2"/>
      <c r="P949" s="2"/>
      <c r="Q949" s="2"/>
      <c r="R949" s="2"/>
      <c r="S949" s="2"/>
      <c r="T949" s="2"/>
      <c r="U949" s="2"/>
      <c r="V949" s="2"/>
      <c r="W949" s="2"/>
    </row>
    <row r="950">
      <c r="A950" s="2"/>
      <c r="B950" s="2"/>
      <c r="C950" s="2"/>
      <c r="D950" s="2"/>
      <c r="E950" s="2"/>
      <c r="F950" s="2"/>
      <c r="G950" s="2"/>
      <c r="H950" s="2"/>
      <c r="I950" s="2"/>
      <c r="J950" s="2"/>
      <c r="K950" s="2"/>
      <c r="L950" s="2"/>
      <c r="M950" s="2"/>
      <c r="N950" s="2"/>
      <c r="O950" s="2"/>
      <c r="P950" s="2"/>
      <c r="Q950" s="2"/>
      <c r="R950" s="2"/>
      <c r="S950" s="2"/>
      <c r="T950" s="2"/>
      <c r="U950" s="2"/>
      <c r="V950" s="2"/>
      <c r="W950" s="2"/>
    </row>
    <row r="951">
      <c r="A951" s="2"/>
      <c r="B951" s="2"/>
      <c r="C951" s="2"/>
      <c r="D951" s="2"/>
      <c r="E951" s="2"/>
      <c r="F951" s="2"/>
      <c r="G951" s="2"/>
      <c r="H951" s="2"/>
      <c r="I951" s="2"/>
      <c r="J951" s="2"/>
      <c r="K951" s="2"/>
      <c r="L951" s="2"/>
      <c r="M951" s="2"/>
      <c r="N951" s="2"/>
      <c r="O951" s="2"/>
      <c r="P951" s="2"/>
      <c r="Q951" s="2"/>
      <c r="R951" s="2"/>
      <c r="S951" s="2"/>
      <c r="T951" s="2"/>
      <c r="U951" s="2"/>
      <c r="V951" s="2"/>
      <c r="W951" s="2"/>
    </row>
    <row r="952">
      <c r="A952" s="2"/>
      <c r="B952" s="2"/>
      <c r="C952" s="2"/>
      <c r="D952" s="2"/>
      <c r="E952" s="2"/>
      <c r="F952" s="2"/>
      <c r="G952" s="2"/>
      <c r="H952" s="2"/>
      <c r="I952" s="2"/>
      <c r="J952" s="2"/>
      <c r="K952" s="2"/>
      <c r="L952" s="2"/>
      <c r="M952" s="2"/>
      <c r="N952" s="2"/>
      <c r="O952" s="2"/>
      <c r="P952" s="2"/>
      <c r="Q952" s="2"/>
      <c r="R952" s="2"/>
      <c r="S952" s="2"/>
      <c r="T952" s="2"/>
      <c r="U952" s="2"/>
      <c r="V952" s="2"/>
      <c r="W952" s="2"/>
    </row>
    <row r="953">
      <c r="A953" s="2"/>
      <c r="B953" s="2"/>
      <c r="C953" s="2"/>
      <c r="D953" s="2"/>
      <c r="E953" s="2"/>
      <c r="F953" s="2"/>
      <c r="G953" s="2"/>
      <c r="H953" s="2"/>
      <c r="I953" s="2"/>
      <c r="J953" s="2"/>
      <c r="K953" s="2"/>
      <c r="L953" s="2"/>
      <c r="M953" s="2"/>
      <c r="N953" s="2"/>
      <c r="O953" s="2"/>
      <c r="P953" s="2"/>
      <c r="Q953" s="2"/>
      <c r="R953" s="2"/>
      <c r="S953" s="2"/>
      <c r="T953" s="2"/>
      <c r="U953" s="2"/>
      <c r="V953" s="2"/>
      <c r="W953" s="2"/>
    </row>
    <row r="954">
      <c r="A954" s="2"/>
      <c r="B954" s="2"/>
      <c r="C954" s="2"/>
      <c r="D954" s="2"/>
      <c r="E954" s="2"/>
      <c r="F954" s="2"/>
      <c r="G954" s="2"/>
      <c r="H954" s="2"/>
      <c r="I954" s="2"/>
      <c r="J954" s="2"/>
      <c r="K954" s="2"/>
      <c r="L954" s="2"/>
      <c r="M954" s="2"/>
      <c r="N954" s="2"/>
      <c r="O954" s="2"/>
      <c r="P954" s="2"/>
      <c r="Q954" s="2"/>
      <c r="R954" s="2"/>
      <c r="S954" s="2"/>
      <c r="T954" s="2"/>
      <c r="U954" s="2"/>
      <c r="V954" s="2"/>
      <c r="W954" s="2"/>
    </row>
    <row r="955">
      <c r="A955" s="2"/>
      <c r="B955" s="2"/>
      <c r="C955" s="2"/>
      <c r="D955" s="2"/>
      <c r="E955" s="2"/>
      <c r="F955" s="2"/>
      <c r="G955" s="2"/>
      <c r="H955" s="2"/>
      <c r="I955" s="2"/>
      <c r="J955" s="2"/>
      <c r="K955" s="2"/>
      <c r="L955" s="2"/>
      <c r="M955" s="2"/>
      <c r="N955" s="2"/>
      <c r="O955" s="2"/>
      <c r="P955" s="2"/>
      <c r="Q955" s="2"/>
      <c r="R955" s="2"/>
      <c r="S955" s="2"/>
      <c r="T955" s="2"/>
      <c r="U955" s="2"/>
      <c r="V955" s="2"/>
      <c r="W955" s="2"/>
    </row>
    <row r="956">
      <c r="A956" s="2"/>
      <c r="B956" s="2"/>
      <c r="C956" s="2"/>
      <c r="D956" s="2"/>
      <c r="E956" s="2"/>
      <c r="F956" s="2"/>
      <c r="G956" s="2"/>
      <c r="H956" s="2"/>
      <c r="I956" s="2"/>
      <c r="J956" s="2"/>
      <c r="K956" s="2"/>
      <c r="L956" s="2"/>
      <c r="M956" s="2"/>
      <c r="N956" s="2"/>
      <c r="O956" s="2"/>
      <c r="P956" s="2"/>
      <c r="Q956" s="2"/>
      <c r="R956" s="2"/>
      <c r="S956" s="2"/>
      <c r="T956" s="2"/>
      <c r="U956" s="2"/>
      <c r="V956" s="2"/>
      <c r="W956" s="2"/>
    </row>
    <row r="957">
      <c r="A957" s="2"/>
      <c r="B957" s="2"/>
      <c r="C957" s="2"/>
      <c r="D957" s="2"/>
      <c r="E957" s="2"/>
      <c r="F957" s="2"/>
      <c r="G957" s="2"/>
      <c r="H957" s="2"/>
      <c r="I957" s="2"/>
      <c r="J957" s="2"/>
      <c r="K957" s="2"/>
      <c r="L957" s="2"/>
      <c r="M957" s="2"/>
      <c r="N957" s="2"/>
      <c r="O957" s="2"/>
      <c r="P957" s="2"/>
      <c r="Q957" s="2"/>
      <c r="R957" s="2"/>
      <c r="S957" s="2"/>
      <c r="T957" s="2"/>
      <c r="U957" s="2"/>
      <c r="V957" s="2"/>
      <c r="W957" s="2"/>
    </row>
    <row r="958">
      <c r="A958" s="2"/>
      <c r="B958" s="2"/>
      <c r="C958" s="2"/>
      <c r="D958" s="2"/>
      <c r="E958" s="2"/>
      <c r="F958" s="2"/>
      <c r="G958" s="2"/>
      <c r="H958" s="2"/>
      <c r="I958" s="2"/>
      <c r="J958" s="2"/>
      <c r="K958" s="2"/>
      <c r="L958" s="2"/>
      <c r="M958" s="2"/>
      <c r="N958" s="2"/>
      <c r="O958" s="2"/>
      <c r="P958" s="2"/>
      <c r="Q958" s="2"/>
      <c r="R958" s="2"/>
      <c r="S958" s="2"/>
      <c r="T958" s="2"/>
      <c r="U958" s="2"/>
      <c r="V958" s="2"/>
      <c r="W958" s="2"/>
    </row>
    <row r="959">
      <c r="A959" s="2"/>
      <c r="B959" s="2"/>
      <c r="C959" s="2"/>
      <c r="D959" s="2"/>
      <c r="E959" s="2"/>
      <c r="F959" s="2"/>
      <c r="G959" s="2"/>
      <c r="H959" s="2"/>
      <c r="I959" s="2"/>
      <c r="J959" s="2"/>
      <c r="K959" s="2"/>
      <c r="L959" s="2"/>
      <c r="M959" s="2"/>
      <c r="N959" s="2"/>
      <c r="O959" s="2"/>
      <c r="P959" s="2"/>
      <c r="Q959" s="2"/>
      <c r="R959" s="2"/>
      <c r="S959" s="2"/>
      <c r="T959" s="2"/>
      <c r="U959" s="2"/>
      <c r="V959" s="2"/>
      <c r="W959" s="2"/>
    </row>
    <row r="960">
      <c r="A960" s="2"/>
      <c r="B960" s="2"/>
      <c r="C960" s="2"/>
      <c r="D960" s="2"/>
      <c r="E960" s="2"/>
      <c r="F960" s="2"/>
      <c r="G960" s="2"/>
      <c r="H960" s="2"/>
      <c r="I960" s="2"/>
      <c r="J960" s="2"/>
      <c r="K960" s="2"/>
      <c r="L960" s="2"/>
      <c r="M960" s="2"/>
      <c r="N960" s="2"/>
      <c r="O960" s="2"/>
      <c r="P960" s="2"/>
      <c r="Q960" s="2"/>
      <c r="R960" s="2"/>
      <c r="S960" s="2"/>
      <c r="T960" s="2"/>
      <c r="U960" s="2"/>
      <c r="V960" s="2"/>
      <c r="W960" s="2"/>
    </row>
    <row r="961">
      <c r="A961" s="2"/>
      <c r="B961" s="2"/>
      <c r="C961" s="2"/>
      <c r="D961" s="2"/>
      <c r="E961" s="2"/>
      <c r="F961" s="2"/>
      <c r="G961" s="2"/>
      <c r="H961" s="2"/>
      <c r="I961" s="2"/>
      <c r="J961" s="2"/>
      <c r="K961" s="2"/>
      <c r="L961" s="2"/>
      <c r="M961" s="2"/>
      <c r="N961" s="2"/>
      <c r="O961" s="2"/>
      <c r="P961" s="2"/>
      <c r="Q961" s="2"/>
      <c r="R961" s="2"/>
      <c r="S961" s="2"/>
      <c r="T961" s="2"/>
      <c r="U961" s="2"/>
      <c r="V961" s="2"/>
      <c r="W961" s="2"/>
    </row>
    <row r="962">
      <c r="A962" s="2"/>
      <c r="B962" s="2"/>
      <c r="C962" s="2"/>
      <c r="D962" s="2"/>
      <c r="E962" s="2"/>
      <c r="F962" s="2"/>
      <c r="G962" s="2"/>
      <c r="H962" s="2"/>
      <c r="I962" s="2"/>
      <c r="J962" s="2"/>
      <c r="K962" s="2"/>
      <c r="L962" s="2"/>
      <c r="M962" s="2"/>
      <c r="N962" s="2"/>
      <c r="O962" s="2"/>
      <c r="P962" s="2"/>
      <c r="Q962" s="2"/>
      <c r="R962" s="2"/>
      <c r="S962" s="2"/>
      <c r="T962" s="2"/>
      <c r="U962" s="2"/>
      <c r="V962" s="2"/>
      <c r="W962" s="2"/>
    </row>
    <row r="963">
      <c r="A963" s="2"/>
      <c r="B963" s="2"/>
      <c r="C963" s="2"/>
      <c r="D963" s="2"/>
      <c r="E963" s="2"/>
      <c r="F963" s="2"/>
      <c r="G963" s="2"/>
      <c r="H963" s="2"/>
      <c r="I963" s="2"/>
      <c r="J963" s="2"/>
      <c r="K963" s="2"/>
      <c r="L963" s="2"/>
      <c r="M963" s="2"/>
      <c r="N963" s="2"/>
      <c r="O963" s="2"/>
      <c r="P963" s="2"/>
      <c r="Q963" s="2"/>
      <c r="R963" s="2"/>
      <c r="S963" s="2"/>
      <c r="T963" s="2"/>
      <c r="U963" s="2"/>
      <c r="V963" s="2"/>
      <c r="W963" s="2"/>
    </row>
    <row r="964">
      <c r="A964" s="2"/>
      <c r="B964" s="2"/>
      <c r="C964" s="2"/>
      <c r="D964" s="2"/>
      <c r="E964" s="2"/>
      <c r="F964" s="2"/>
      <c r="G964" s="2"/>
      <c r="H964" s="2"/>
      <c r="I964" s="2"/>
      <c r="J964" s="2"/>
      <c r="K964" s="2"/>
      <c r="L964" s="2"/>
      <c r="M964" s="2"/>
      <c r="N964" s="2"/>
      <c r="O964" s="2"/>
      <c r="P964" s="2"/>
      <c r="Q964" s="2"/>
      <c r="R964" s="2"/>
      <c r="S964" s="2"/>
      <c r="T964" s="2"/>
      <c r="U964" s="2"/>
      <c r="V964" s="2"/>
      <c r="W964" s="2"/>
    </row>
    <row r="965">
      <c r="A965" s="2"/>
      <c r="B965" s="2"/>
      <c r="C965" s="2"/>
      <c r="D965" s="2"/>
      <c r="E965" s="2"/>
      <c r="F965" s="2"/>
      <c r="G965" s="2"/>
      <c r="H965" s="2"/>
      <c r="I965" s="2"/>
      <c r="J965" s="2"/>
      <c r="K965" s="2"/>
      <c r="L965" s="2"/>
      <c r="M965" s="2"/>
      <c r="N965" s="2"/>
      <c r="O965" s="2"/>
      <c r="P965" s="2"/>
      <c r="Q965" s="2"/>
      <c r="R965" s="2"/>
      <c r="S965" s="2"/>
      <c r="T965" s="2"/>
      <c r="U965" s="2"/>
      <c r="V965" s="2"/>
      <c r="W965" s="2"/>
    </row>
    <row r="966">
      <c r="A966" s="2"/>
      <c r="B966" s="2"/>
      <c r="C966" s="2"/>
      <c r="D966" s="2"/>
      <c r="E966" s="2"/>
      <c r="F966" s="2"/>
      <c r="G966" s="2"/>
      <c r="H966" s="2"/>
      <c r="I966" s="2"/>
      <c r="J966" s="2"/>
      <c r="K966" s="2"/>
      <c r="L966" s="2"/>
      <c r="M966" s="2"/>
      <c r="N966" s="2"/>
      <c r="O966" s="2"/>
      <c r="P966" s="2"/>
      <c r="Q966" s="2"/>
      <c r="R966" s="2"/>
      <c r="S966" s="2"/>
      <c r="T966" s="2"/>
      <c r="U966" s="2"/>
      <c r="V966" s="2"/>
      <c r="W966" s="2"/>
    </row>
    <row r="967">
      <c r="A967" s="2"/>
      <c r="B967" s="2"/>
      <c r="C967" s="2"/>
      <c r="D967" s="2"/>
      <c r="E967" s="2"/>
      <c r="F967" s="2"/>
      <c r="G967" s="2"/>
      <c r="H967" s="2"/>
      <c r="I967" s="2"/>
      <c r="J967" s="2"/>
      <c r="K967" s="2"/>
      <c r="L967" s="2"/>
      <c r="M967" s="2"/>
      <c r="N967" s="2"/>
      <c r="O967" s="2"/>
      <c r="P967" s="2"/>
      <c r="Q967" s="2"/>
      <c r="R967" s="2"/>
      <c r="S967" s="2"/>
      <c r="T967" s="2"/>
      <c r="U967" s="2"/>
      <c r="V967" s="2"/>
      <c r="W967" s="2"/>
    </row>
    <row r="968">
      <c r="A968" s="2"/>
      <c r="B968" s="2"/>
      <c r="C968" s="2"/>
      <c r="D968" s="2"/>
      <c r="E968" s="2"/>
      <c r="F968" s="2"/>
      <c r="G968" s="2"/>
      <c r="H968" s="2"/>
      <c r="I968" s="2"/>
      <c r="J968" s="2"/>
      <c r="K968" s="2"/>
      <c r="L968" s="2"/>
      <c r="M968" s="2"/>
      <c r="N968" s="2"/>
      <c r="O968" s="2"/>
      <c r="P968" s="2"/>
      <c r="Q968" s="2"/>
      <c r="R968" s="2"/>
      <c r="S968" s="2"/>
      <c r="T968" s="2"/>
      <c r="U968" s="2"/>
      <c r="V968" s="2"/>
      <c r="W968" s="2"/>
    </row>
    <row r="969">
      <c r="A969" s="2"/>
      <c r="B969" s="2"/>
      <c r="C969" s="2"/>
      <c r="D969" s="2"/>
      <c r="E969" s="2"/>
      <c r="F969" s="2"/>
      <c r="G969" s="2"/>
      <c r="H969" s="2"/>
      <c r="I969" s="2"/>
      <c r="J969" s="2"/>
      <c r="K969" s="2"/>
      <c r="L969" s="2"/>
      <c r="M969" s="2"/>
      <c r="N969" s="2"/>
      <c r="O969" s="2"/>
      <c r="P969" s="2"/>
      <c r="Q969" s="2"/>
      <c r="R969" s="2"/>
      <c r="S969" s="2"/>
      <c r="T969" s="2"/>
      <c r="U969" s="2"/>
      <c r="V969" s="2"/>
      <c r="W969" s="2"/>
    </row>
    <row r="970">
      <c r="A970" s="2"/>
      <c r="B970" s="2"/>
      <c r="C970" s="2"/>
      <c r="D970" s="2"/>
      <c r="E970" s="2"/>
      <c r="F970" s="2"/>
      <c r="G970" s="2"/>
      <c r="H970" s="2"/>
      <c r="I970" s="2"/>
      <c r="J970" s="2"/>
      <c r="K970" s="2"/>
      <c r="L970" s="2"/>
      <c r="M970" s="2"/>
      <c r="N970" s="2"/>
      <c r="O970" s="2"/>
      <c r="P970" s="2"/>
      <c r="Q970" s="2"/>
      <c r="R970" s="2"/>
      <c r="S970" s="2"/>
      <c r="T970" s="2"/>
      <c r="U970" s="2"/>
      <c r="V970" s="2"/>
      <c r="W970" s="2"/>
    </row>
    <row r="971">
      <c r="A971" s="2"/>
      <c r="B971" s="2"/>
      <c r="C971" s="2"/>
      <c r="D971" s="2"/>
      <c r="E971" s="2"/>
      <c r="F971" s="2"/>
      <c r="G971" s="2"/>
      <c r="H971" s="2"/>
      <c r="I971" s="2"/>
      <c r="J971" s="2"/>
      <c r="K971" s="2"/>
      <c r="L971" s="2"/>
      <c r="M971" s="2"/>
      <c r="N971" s="2"/>
      <c r="O971" s="2"/>
      <c r="P971" s="2"/>
      <c r="Q971" s="2"/>
      <c r="R971" s="2"/>
      <c r="S971" s="2"/>
      <c r="T971" s="2"/>
      <c r="U971" s="2"/>
      <c r="V971" s="2"/>
      <c r="W971" s="2"/>
    </row>
    <row r="972">
      <c r="A972" s="2"/>
      <c r="B972" s="2"/>
      <c r="C972" s="2"/>
      <c r="D972" s="2"/>
      <c r="E972" s="2"/>
      <c r="F972" s="2"/>
      <c r="G972" s="2"/>
      <c r="H972" s="2"/>
      <c r="I972" s="2"/>
      <c r="J972" s="2"/>
      <c r="K972" s="2"/>
      <c r="L972" s="2"/>
      <c r="M972" s="2"/>
      <c r="N972" s="2"/>
      <c r="O972" s="2"/>
      <c r="P972" s="2"/>
      <c r="Q972" s="2"/>
      <c r="R972" s="2"/>
      <c r="S972" s="2"/>
      <c r="T972" s="2"/>
      <c r="U972" s="2"/>
      <c r="V972" s="2"/>
      <c r="W972" s="2"/>
    </row>
    <row r="973">
      <c r="A973" s="2"/>
      <c r="B973" s="2"/>
      <c r="C973" s="2"/>
      <c r="D973" s="2"/>
      <c r="E973" s="2"/>
      <c r="F973" s="2"/>
      <c r="G973" s="2"/>
      <c r="H973" s="2"/>
      <c r="I973" s="2"/>
      <c r="J973" s="2"/>
      <c r="K973" s="2"/>
      <c r="L973" s="2"/>
      <c r="M973" s="2"/>
      <c r="N973" s="2"/>
      <c r="O973" s="2"/>
      <c r="P973" s="2"/>
      <c r="Q973" s="2"/>
      <c r="R973" s="2"/>
      <c r="S973" s="2"/>
      <c r="T973" s="2"/>
      <c r="U973" s="2"/>
      <c r="V973" s="2"/>
      <c r="W973" s="2"/>
    </row>
    <row r="974">
      <c r="A974" s="2"/>
      <c r="B974" s="2"/>
      <c r="C974" s="2"/>
      <c r="D974" s="2"/>
      <c r="E974" s="2"/>
      <c r="F974" s="2"/>
      <c r="G974" s="2"/>
      <c r="H974" s="2"/>
      <c r="I974" s="2"/>
      <c r="J974" s="2"/>
      <c r="K974" s="2"/>
      <c r="L974" s="2"/>
      <c r="M974" s="2"/>
      <c r="N974" s="2"/>
      <c r="O974" s="2"/>
      <c r="P974" s="2"/>
      <c r="Q974" s="2"/>
      <c r="R974" s="2"/>
      <c r="S974" s="2"/>
      <c r="T974" s="2"/>
      <c r="U974" s="2"/>
      <c r="V974" s="2"/>
      <c r="W974" s="2"/>
    </row>
    <row r="975">
      <c r="A975" s="2"/>
      <c r="B975" s="2"/>
      <c r="C975" s="2"/>
      <c r="D975" s="2"/>
      <c r="E975" s="2"/>
      <c r="F975" s="2"/>
      <c r="G975" s="2"/>
      <c r="H975" s="2"/>
      <c r="I975" s="2"/>
      <c r="J975" s="2"/>
      <c r="K975" s="2"/>
      <c r="L975" s="2"/>
      <c r="M975" s="2"/>
      <c r="N975" s="2"/>
      <c r="O975" s="2"/>
      <c r="P975" s="2"/>
      <c r="Q975" s="2"/>
      <c r="R975" s="2"/>
      <c r="S975" s="2"/>
      <c r="T975" s="2"/>
      <c r="U975" s="2"/>
      <c r="V975" s="2"/>
      <c r="W975" s="2"/>
    </row>
    <row r="976">
      <c r="A976" s="2"/>
      <c r="B976" s="2"/>
      <c r="C976" s="2"/>
      <c r="D976" s="2"/>
      <c r="E976" s="2"/>
      <c r="F976" s="2"/>
      <c r="G976" s="2"/>
      <c r="H976" s="2"/>
      <c r="I976" s="2"/>
      <c r="J976" s="2"/>
      <c r="K976" s="2"/>
      <c r="L976" s="2"/>
      <c r="M976" s="2"/>
      <c r="N976" s="2"/>
      <c r="O976" s="2"/>
      <c r="P976" s="2"/>
      <c r="Q976" s="2"/>
      <c r="R976" s="2"/>
      <c r="S976" s="2"/>
      <c r="T976" s="2"/>
      <c r="U976" s="2"/>
      <c r="V976" s="2"/>
      <c r="W976" s="2"/>
    </row>
    <row r="977">
      <c r="A977" s="2"/>
      <c r="B977" s="2"/>
      <c r="C977" s="2"/>
      <c r="D977" s="2"/>
      <c r="E977" s="2"/>
      <c r="F977" s="2"/>
      <c r="G977" s="2"/>
      <c r="H977" s="2"/>
      <c r="I977" s="2"/>
      <c r="J977" s="2"/>
      <c r="K977" s="2"/>
      <c r="L977" s="2"/>
      <c r="M977" s="2"/>
      <c r="N977" s="2"/>
      <c r="O977" s="2"/>
      <c r="P977" s="2"/>
      <c r="Q977" s="2"/>
      <c r="R977" s="2"/>
      <c r="S977" s="2"/>
      <c r="T977" s="2"/>
      <c r="U977" s="2"/>
      <c r="V977" s="2"/>
      <c r="W977" s="2"/>
    </row>
    <row r="978">
      <c r="A978" s="2"/>
      <c r="B978" s="2"/>
      <c r="C978" s="2"/>
      <c r="D978" s="2"/>
      <c r="E978" s="2"/>
      <c r="F978" s="2"/>
      <c r="G978" s="2"/>
      <c r="H978" s="2"/>
      <c r="I978" s="2"/>
      <c r="J978" s="2"/>
      <c r="K978" s="2"/>
      <c r="L978" s="2"/>
      <c r="M978" s="2"/>
      <c r="N978" s="2"/>
      <c r="O978" s="2"/>
      <c r="P978" s="2"/>
      <c r="Q978" s="2"/>
      <c r="R978" s="2"/>
      <c r="S978" s="2"/>
      <c r="T978" s="2"/>
      <c r="U978" s="2"/>
      <c r="V978" s="2"/>
      <c r="W978" s="2"/>
    </row>
    <row r="979">
      <c r="A979" s="2"/>
      <c r="B979" s="2"/>
      <c r="C979" s="2"/>
      <c r="D979" s="2"/>
      <c r="E979" s="2"/>
      <c r="F979" s="2"/>
      <c r="G979" s="2"/>
      <c r="H979" s="2"/>
      <c r="I979" s="2"/>
      <c r="J979" s="2"/>
      <c r="K979" s="2"/>
      <c r="L979" s="2"/>
      <c r="M979" s="2"/>
      <c r="N979" s="2"/>
      <c r="O979" s="2"/>
      <c r="P979" s="2"/>
      <c r="Q979" s="2"/>
      <c r="R979" s="2"/>
      <c r="S979" s="2"/>
      <c r="T979" s="2"/>
      <c r="U979" s="2"/>
      <c r="V979" s="2"/>
      <c r="W979" s="2"/>
    </row>
    <row r="980">
      <c r="A980" s="2"/>
      <c r="B980" s="2"/>
      <c r="C980" s="2"/>
      <c r="D980" s="2"/>
      <c r="E980" s="2"/>
      <c r="F980" s="2"/>
      <c r="G980" s="2"/>
      <c r="H980" s="2"/>
      <c r="I980" s="2"/>
      <c r="J980" s="2"/>
      <c r="K980" s="2"/>
      <c r="L980" s="2"/>
      <c r="M980" s="2"/>
      <c r="N980" s="2"/>
      <c r="O980" s="2"/>
      <c r="P980" s="2"/>
      <c r="Q980" s="2"/>
      <c r="R980" s="2"/>
      <c r="S980" s="2"/>
      <c r="T980" s="2"/>
      <c r="U980" s="2"/>
      <c r="V980" s="2"/>
      <c r="W980" s="2"/>
    </row>
    <row r="981">
      <c r="A981" s="2"/>
      <c r="B981" s="2"/>
      <c r="C981" s="2"/>
      <c r="D981" s="2"/>
      <c r="E981" s="2"/>
      <c r="F981" s="2"/>
      <c r="G981" s="2"/>
      <c r="H981" s="2"/>
      <c r="I981" s="2"/>
      <c r="J981" s="2"/>
      <c r="K981" s="2"/>
      <c r="L981" s="2"/>
      <c r="M981" s="2"/>
      <c r="N981" s="2"/>
      <c r="O981" s="2"/>
      <c r="P981" s="2"/>
      <c r="Q981" s="2"/>
      <c r="R981" s="2"/>
      <c r="S981" s="2"/>
      <c r="T981" s="2"/>
      <c r="U981" s="2"/>
      <c r="V981" s="2"/>
      <c r="W981" s="2"/>
    </row>
    <row r="982">
      <c r="A982" s="2"/>
      <c r="B982" s="2"/>
      <c r="C982" s="2"/>
      <c r="D982" s="2"/>
      <c r="E982" s="2"/>
      <c r="F982" s="2"/>
      <c r="G982" s="2"/>
      <c r="H982" s="2"/>
      <c r="I982" s="2"/>
      <c r="J982" s="2"/>
      <c r="K982" s="2"/>
      <c r="L982" s="2"/>
      <c r="M982" s="2"/>
      <c r="N982" s="2"/>
      <c r="O982" s="2"/>
      <c r="P982" s="2"/>
      <c r="Q982" s="2"/>
      <c r="R982" s="2"/>
      <c r="S982" s="2"/>
      <c r="T982" s="2"/>
      <c r="U982" s="2"/>
      <c r="V982" s="2"/>
      <c r="W982" s="2"/>
    </row>
    <row r="983">
      <c r="A983" s="2"/>
      <c r="B983" s="2"/>
      <c r="C983" s="2"/>
      <c r="D983" s="2"/>
      <c r="E983" s="2"/>
      <c r="F983" s="2"/>
      <c r="G983" s="2"/>
      <c r="H983" s="2"/>
      <c r="I983" s="2"/>
      <c r="J983" s="2"/>
      <c r="K983" s="2"/>
      <c r="L983" s="2"/>
      <c r="M983" s="2"/>
      <c r="N983" s="2"/>
      <c r="O983" s="2"/>
      <c r="P983" s="2"/>
      <c r="Q983" s="2"/>
      <c r="R983" s="2"/>
      <c r="S983" s="2"/>
      <c r="T983" s="2"/>
      <c r="U983" s="2"/>
      <c r="V983" s="2"/>
      <c r="W983" s="2"/>
    </row>
    <row r="984">
      <c r="A984" s="2"/>
      <c r="B984" s="2"/>
      <c r="C984" s="2"/>
      <c r="D984" s="2"/>
      <c r="E984" s="2"/>
      <c r="F984" s="2"/>
      <c r="G984" s="2"/>
      <c r="H984" s="2"/>
      <c r="I984" s="2"/>
      <c r="J984" s="2"/>
      <c r="K984" s="2"/>
      <c r="L984" s="2"/>
      <c r="M984" s="2"/>
      <c r="N984" s="2"/>
      <c r="O984" s="2"/>
      <c r="P984" s="2"/>
      <c r="Q984" s="2"/>
      <c r="R984" s="2"/>
      <c r="S984" s="2"/>
      <c r="T984" s="2"/>
      <c r="U984" s="2"/>
      <c r="V984" s="2"/>
      <c r="W984" s="2"/>
    </row>
    <row r="985">
      <c r="A985" s="2"/>
      <c r="B985" s="2"/>
      <c r="C985" s="2"/>
      <c r="D985" s="2"/>
      <c r="E985" s="2"/>
      <c r="F985" s="2"/>
      <c r="G985" s="2"/>
      <c r="H985" s="2"/>
      <c r="I985" s="2"/>
      <c r="J985" s="2"/>
      <c r="K985" s="2"/>
      <c r="L985" s="2"/>
      <c r="M985" s="2"/>
      <c r="N985" s="2"/>
      <c r="O985" s="2"/>
      <c r="P985" s="2"/>
      <c r="Q985" s="2"/>
      <c r="R985" s="2"/>
      <c r="S985" s="2"/>
      <c r="T985" s="2"/>
      <c r="U985" s="2"/>
      <c r="V985" s="2"/>
      <c r="W985" s="2"/>
    </row>
    <row r="986">
      <c r="A986" s="2"/>
      <c r="B986" s="2"/>
      <c r="C986" s="2"/>
      <c r="D986" s="2"/>
      <c r="E986" s="2"/>
      <c r="F986" s="2"/>
      <c r="G986" s="2"/>
      <c r="H986" s="2"/>
      <c r="I986" s="2"/>
      <c r="J986" s="2"/>
      <c r="K986" s="2"/>
      <c r="L986" s="2"/>
      <c r="M986" s="2"/>
      <c r="N986" s="2"/>
      <c r="O986" s="2"/>
      <c r="P986" s="2"/>
      <c r="Q986" s="2"/>
      <c r="R986" s="2"/>
      <c r="S986" s="2"/>
      <c r="T986" s="2"/>
      <c r="U986" s="2"/>
      <c r="V986" s="2"/>
      <c r="W986" s="2"/>
    </row>
    <row r="987">
      <c r="A987" s="2"/>
      <c r="B987" s="2"/>
      <c r="C987" s="2"/>
      <c r="D987" s="2"/>
      <c r="E987" s="2"/>
      <c r="F987" s="2"/>
      <c r="G987" s="2"/>
      <c r="H987" s="2"/>
      <c r="I987" s="2"/>
      <c r="J987" s="2"/>
      <c r="K987" s="2"/>
      <c r="L987" s="2"/>
      <c r="M987" s="2"/>
      <c r="N987" s="2"/>
      <c r="O987" s="2"/>
      <c r="P987" s="2"/>
      <c r="Q987" s="2"/>
      <c r="R987" s="2"/>
      <c r="S987" s="2"/>
      <c r="T987" s="2"/>
      <c r="U987" s="2"/>
      <c r="V987" s="2"/>
      <c r="W987" s="2"/>
    </row>
    <row r="988">
      <c r="A988" s="2"/>
      <c r="B988" s="2"/>
      <c r="C988" s="2"/>
      <c r="D988" s="2"/>
      <c r="E988" s="2"/>
      <c r="F988" s="2"/>
      <c r="G988" s="2"/>
      <c r="H988" s="2"/>
      <c r="I988" s="2"/>
      <c r="J988" s="2"/>
      <c r="K988" s="2"/>
      <c r="L988" s="2"/>
      <c r="M988" s="2"/>
      <c r="N988" s="2"/>
      <c r="O988" s="2"/>
      <c r="P988" s="2"/>
      <c r="Q988" s="2"/>
      <c r="R988" s="2"/>
      <c r="S988" s="2"/>
      <c r="T988" s="2"/>
      <c r="U988" s="2"/>
      <c r="V988" s="2"/>
      <c r="W988" s="2"/>
    </row>
    <row r="989">
      <c r="A989" s="2"/>
      <c r="B989" s="2"/>
      <c r="C989" s="2"/>
      <c r="D989" s="2"/>
      <c r="E989" s="2"/>
      <c r="F989" s="2"/>
      <c r="G989" s="2"/>
      <c r="H989" s="2"/>
      <c r="I989" s="2"/>
      <c r="J989" s="2"/>
      <c r="K989" s="2"/>
      <c r="L989" s="2"/>
      <c r="M989" s="2"/>
      <c r="N989" s="2"/>
      <c r="O989" s="2"/>
      <c r="P989" s="2"/>
      <c r="Q989" s="2"/>
      <c r="R989" s="2"/>
      <c r="S989" s="2"/>
      <c r="T989" s="2"/>
      <c r="U989" s="2"/>
      <c r="V989" s="2"/>
      <c r="W989" s="2"/>
    </row>
    <row r="990">
      <c r="A990" s="2"/>
      <c r="B990" s="2"/>
      <c r="C990" s="2"/>
      <c r="D990" s="2"/>
      <c r="E990" s="2"/>
      <c r="F990" s="2"/>
      <c r="G990" s="2"/>
      <c r="H990" s="2"/>
      <c r="I990" s="2"/>
      <c r="J990" s="2"/>
      <c r="K990" s="2"/>
      <c r="L990" s="2"/>
      <c r="M990" s="2"/>
      <c r="N990" s="2"/>
      <c r="O990" s="2"/>
      <c r="P990" s="2"/>
      <c r="Q990" s="2"/>
      <c r="R990" s="2"/>
      <c r="S990" s="2"/>
      <c r="T990" s="2"/>
      <c r="U990" s="2"/>
      <c r="V990" s="2"/>
      <c r="W990" s="2"/>
    </row>
    <row r="991">
      <c r="A991" s="2"/>
      <c r="B991" s="2"/>
      <c r="C991" s="2"/>
      <c r="D991" s="2"/>
      <c r="E991" s="2"/>
      <c r="F991" s="2"/>
      <c r="G991" s="2"/>
      <c r="H991" s="2"/>
      <c r="I991" s="2"/>
      <c r="J991" s="2"/>
      <c r="K991" s="2"/>
      <c r="L991" s="2"/>
      <c r="M991" s="2"/>
      <c r="N991" s="2"/>
      <c r="O991" s="2"/>
      <c r="P991" s="2"/>
      <c r="Q991" s="2"/>
      <c r="R991" s="2"/>
      <c r="S991" s="2"/>
      <c r="T991" s="2"/>
      <c r="U991" s="2"/>
      <c r="V991" s="2"/>
      <c r="W991" s="2"/>
    </row>
    <row r="992">
      <c r="A992" s="2"/>
      <c r="B992" s="2"/>
      <c r="C992" s="2"/>
      <c r="D992" s="2"/>
      <c r="E992" s="2"/>
      <c r="F992" s="2"/>
      <c r="G992" s="2"/>
      <c r="H992" s="2"/>
      <c r="I992" s="2"/>
      <c r="J992" s="2"/>
      <c r="K992" s="2"/>
      <c r="L992" s="2"/>
      <c r="M992" s="2"/>
      <c r="N992" s="2"/>
      <c r="O992" s="2"/>
      <c r="P992" s="2"/>
      <c r="Q992" s="2"/>
      <c r="R992" s="2"/>
      <c r="S992" s="2"/>
      <c r="T992" s="2"/>
      <c r="U992" s="2"/>
      <c r="V992" s="2"/>
      <c r="W992" s="2"/>
    </row>
    <row r="993">
      <c r="A993" s="2"/>
      <c r="B993" s="2"/>
      <c r="C993" s="2"/>
      <c r="D993" s="2"/>
      <c r="E993" s="2"/>
      <c r="F993" s="2"/>
      <c r="G993" s="2"/>
      <c r="H993" s="2"/>
      <c r="I993" s="2"/>
      <c r="J993" s="2"/>
      <c r="K993" s="2"/>
      <c r="L993" s="2"/>
      <c r="M993" s="2"/>
      <c r="N993" s="2"/>
      <c r="O993" s="2"/>
      <c r="P993" s="2"/>
      <c r="Q993" s="2"/>
      <c r="R993" s="2"/>
      <c r="S993" s="2"/>
      <c r="T993" s="2"/>
      <c r="U993" s="2"/>
      <c r="V993" s="2"/>
      <c r="W993" s="2"/>
    </row>
    <row r="994">
      <c r="A994" s="2"/>
      <c r="B994" s="2"/>
      <c r="C994" s="2"/>
      <c r="D994" s="2"/>
      <c r="E994" s="2"/>
      <c r="F994" s="2"/>
      <c r="G994" s="2"/>
      <c r="H994" s="2"/>
      <c r="I994" s="2"/>
      <c r="J994" s="2"/>
      <c r="K994" s="2"/>
      <c r="L994" s="2"/>
      <c r="M994" s="2"/>
      <c r="N994" s="2"/>
      <c r="O994" s="2"/>
      <c r="P994" s="2"/>
      <c r="Q994" s="2"/>
      <c r="R994" s="2"/>
      <c r="S994" s="2"/>
      <c r="T994" s="2"/>
      <c r="U994" s="2"/>
      <c r="V994" s="2"/>
      <c r="W994" s="2"/>
    </row>
    <row r="995">
      <c r="A995" s="2"/>
      <c r="B995" s="2"/>
      <c r="C995" s="2"/>
      <c r="D995" s="2"/>
      <c r="E995" s="2"/>
      <c r="F995" s="2"/>
      <c r="G995" s="2"/>
      <c r="H995" s="2"/>
      <c r="I995" s="2"/>
      <c r="J995" s="2"/>
      <c r="K995" s="2"/>
      <c r="L995" s="2"/>
      <c r="M995" s="2"/>
      <c r="N995" s="2"/>
      <c r="O995" s="2"/>
      <c r="P995" s="2"/>
      <c r="Q995" s="2"/>
      <c r="R995" s="2"/>
      <c r="S995" s="2"/>
      <c r="T995" s="2"/>
      <c r="U995" s="2"/>
      <c r="V995" s="2"/>
      <c r="W995" s="2"/>
    </row>
    <row r="996">
      <c r="A996" s="2"/>
      <c r="B996" s="2"/>
      <c r="C996" s="2"/>
      <c r="D996" s="2"/>
      <c r="E996" s="2"/>
      <c r="F996" s="2"/>
      <c r="G996" s="2"/>
      <c r="H996" s="2"/>
      <c r="I996" s="2"/>
      <c r="J996" s="2"/>
      <c r="K996" s="2"/>
      <c r="L996" s="2"/>
      <c r="M996" s="2"/>
      <c r="N996" s="2"/>
      <c r="O996" s="2"/>
      <c r="P996" s="2"/>
      <c r="Q996" s="2"/>
      <c r="R996" s="2"/>
      <c r="S996" s="2"/>
      <c r="T996" s="2"/>
      <c r="U996" s="2"/>
      <c r="V996" s="2"/>
      <c r="W996" s="2"/>
    </row>
    <row r="997">
      <c r="A997" s="2"/>
      <c r="B997" s="2"/>
      <c r="C997" s="2"/>
      <c r="D997" s="2"/>
      <c r="E997" s="2"/>
      <c r="F997" s="2"/>
      <c r="G997" s="2"/>
      <c r="H997" s="2"/>
      <c r="I997" s="2"/>
      <c r="J997" s="2"/>
      <c r="K997" s="2"/>
      <c r="L997" s="2"/>
      <c r="M997" s="2"/>
      <c r="N997" s="2"/>
      <c r="O997" s="2"/>
      <c r="P997" s="2"/>
      <c r="Q997" s="2"/>
      <c r="R997" s="2"/>
      <c r="S997" s="2"/>
      <c r="T997" s="2"/>
      <c r="U997" s="2"/>
      <c r="V997" s="2"/>
      <c r="W997" s="2"/>
    </row>
    <row r="998">
      <c r="A998" s="2"/>
      <c r="B998" s="2"/>
      <c r="C998" s="2"/>
      <c r="D998" s="2"/>
      <c r="E998" s="2"/>
      <c r="F998" s="2"/>
      <c r="G998" s="2"/>
      <c r="H998" s="2"/>
      <c r="I998" s="2"/>
      <c r="J998" s="2"/>
      <c r="K998" s="2"/>
      <c r="L998" s="2"/>
      <c r="M998" s="2"/>
      <c r="N998" s="2"/>
      <c r="O998" s="2"/>
      <c r="P998" s="2"/>
      <c r="Q998" s="2"/>
      <c r="R998" s="2"/>
      <c r="S998" s="2"/>
      <c r="T998" s="2"/>
      <c r="U998" s="2"/>
      <c r="V998" s="2"/>
      <c r="W998" s="2"/>
    </row>
    <row r="999">
      <c r="A999" s="2"/>
      <c r="B999" s="2"/>
      <c r="C999" s="2"/>
      <c r="D999" s="2"/>
      <c r="E999" s="2"/>
      <c r="F999" s="2"/>
      <c r="G999" s="2"/>
      <c r="H999" s="2"/>
      <c r="I999" s="2"/>
      <c r="J999" s="2"/>
      <c r="K999" s="2"/>
      <c r="L999" s="2"/>
      <c r="M999" s="2"/>
      <c r="N999" s="2"/>
      <c r="O999" s="2"/>
      <c r="P999" s="2"/>
      <c r="Q999" s="2"/>
      <c r="R999" s="2"/>
      <c r="S999" s="2"/>
      <c r="T999" s="2"/>
      <c r="U999" s="2"/>
      <c r="V999" s="2"/>
      <c r="W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row>
  </sheetData>
  <drawing r:id="rId1"/>
  <tableParts count="2">
    <tablePart r:id="rId4"/>
    <tablePart r:id="rId5"/>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ht="22.5" customHeight="1">
      <c r="A1" s="1" t="s">
        <v>0</v>
      </c>
      <c r="B1" s="1" t="s">
        <v>1</v>
      </c>
      <c r="C1" s="1" t="s">
        <v>2</v>
      </c>
      <c r="D1" s="1" t="s">
        <v>3</v>
      </c>
      <c r="E1" s="1" t="s">
        <v>577</v>
      </c>
      <c r="F1" s="2"/>
      <c r="G1" s="1" t="s">
        <v>0</v>
      </c>
      <c r="H1" s="1" t="s">
        <v>5</v>
      </c>
      <c r="I1" s="1" t="s">
        <v>6</v>
      </c>
      <c r="J1" s="1" t="s">
        <v>7</v>
      </c>
      <c r="K1" s="1" t="s">
        <v>4</v>
      </c>
      <c r="L1" s="2"/>
      <c r="M1" s="2"/>
      <c r="N1" s="2"/>
      <c r="O1" s="2"/>
      <c r="P1" s="2"/>
      <c r="Q1" s="2"/>
      <c r="R1" s="2"/>
      <c r="S1" s="2"/>
    </row>
    <row r="2" ht="22.5" customHeight="1">
      <c r="A2" s="3">
        <v>1.0</v>
      </c>
      <c r="B2" s="3" t="s">
        <v>2283</v>
      </c>
      <c r="C2" s="3" t="s">
        <v>2284</v>
      </c>
      <c r="D2" s="3">
        <v>7.0</v>
      </c>
      <c r="E2" s="3" t="s">
        <v>2285</v>
      </c>
      <c r="F2" s="2"/>
      <c r="G2" s="3" t="str">
        <f>IFERROR(__xludf.DUMMYFUNCTION("GOOGLETRANSLATE(A2, ""it"", ""en"")"),"1")</f>
        <v>1</v>
      </c>
      <c r="H2" s="3" t="str">
        <f>IFERROR(__xludf.DUMMYFUNCTION("GOOGLETRANSLATE(B2, ""it"", ""en"")"),"How many players are on a water polo team?")</f>
        <v>How many players are on a water polo team?</v>
      </c>
      <c r="I2" s="3" t="str">
        <f>IFERROR(__xludf.DUMMYFUNCTION("GOOGLETRANSLATE(C2, ""it"", ""en"")"),"A. 6 B. 7 C. 11 D. 9")</f>
        <v>A. 6 B. 7 C. 11 D. 9</v>
      </c>
      <c r="J2" s="3" t="str">
        <f>IFERROR(__xludf.DUMMYFUNCTION("GOOGLETRANSLATE(D2, ""it"", ""en"")"),"7")</f>
        <v>7</v>
      </c>
      <c r="K2" s="3" t="str">
        <f>IFERROR(__xludf.DUMMYFUNCTION("GOOGLETRANSLATE(E2, ""it"", ""en"")"),"A water polo team consists of 7 players: 6 field players and 1 goalkeeper.")</f>
        <v>A water polo team consists of 7 players: 6 field players and 1 goalkeeper.</v>
      </c>
      <c r="L2" s="2"/>
      <c r="M2" s="2"/>
      <c r="N2" s="2"/>
      <c r="O2" s="2"/>
      <c r="P2" s="2"/>
      <c r="Q2" s="2"/>
      <c r="R2" s="2"/>
      <c r="S2" s="2"/>
    </row>
    <row r="3" ht="22.5" customHeight="1">
      <c r="A3" s="3">
        <v>2.0</v>
      </c>
      <c r="B3" s="3" t="s">
        <v>2286</v>
      </c>
      <c r="C3" s="3" t="s">
        <v>2287</v>
      </c>
      <c r="D3" s="3" t="s">
        <v>2288</v>
      </c>
      <c r="E3" s="3" t="s">
        <v>2289</v>
      </c>
      <c r="F3" s="2"/>
      <c r="G3" s="3" t="str">
        <f>IFERROR(__xludf.DUMMYFUNCTION("GOOGLETRANSLATE(A3, ""it"", ""en"")"),"2")</f>
        <v>2</v>
      </c>
      <c r="H3" s="3" t="str">
        <f>IFERROR(__xludf.DUMMYFUNCTION("GOOGLETRANSLATE(B3, ""it"", ""en"")"),"How long is a half of a game in a water polo match?")</f>
        <v>How long is a half of a game in a water polo match?</v>
      </c>
      <c r="I3" s="3" t="str">
        <f>IFERROR(__xludf.DUMMYFUNCTION("GOOGLETRANSLATE(C3, ""it"", ""en"")"),"A. 6 minutes B. 8 minutes C. 10 minutes D. 12 minutes")</f>
        <v>A. 6 minutes B. 8 minutes C. 10 minutes D. 12 minutes</v>
      </c>
      <c r="J3" s="3" t="str">
        <f>IFERROR(__xludf.DUMMYFUNCTION("GOOGLETRANSLATE(D3, ""it"", ""en"")"),"8 minutes")</f>
        <v>8 minutes</v>
      </c>
      <c r="K3" s="3" t="str">
        <f>IFERROR(__xludf.DUMMYFUNCTION("GOOGLETRANSLATE(E3, ""it"", ""en"")"),"Each half of a water polo game lasts 8 actual minutes.")</f>
        <v>Each half of a water polo game lasts 8 actual minutes.</v>
      </c>
      <c r="L3" s="2"/>
      <c r="M3" s="2"/>
      <c r="N3" s="2"/>
      <c r="O3" s="2"/>
      <c r="P3" s="2"/>
      <c r="Q3" s="2"/>
      <c r="R3" s="2"/>
      <c r="S3" s="2"/>
    </row>
    <row r="4" ht="22.5" customHeight="1">
      <c r="A4" s="3">
        <v>3.0</v>
      </c>
      <c r="B4" s="3" t="s">
        <v>2290</v>
      </c>
      <c r="C4" s="3" t="s">
        <v>2291</v>
      </c>
      <c r="D4" s="3">
        <v>2.0</v>
      </c>
      <c r="E4" s="3" t="s">
        <v>2292</v>
      </c>
      <c r="F4" s="2"/>
      <c r="G4" s="3" t="str">
        <f>IFERROR(__xludf.DUMMYFUNCTION("GOOGLETRANSLATE(A4, ""it"", ""en"")"),"3")</f>
        <v>3</v>
      </c>
      <c r="H4" s="3" t="str">
        <f>IFERROR(__xludf.DUMMYFUNCTION("GOOGLETRANSLATE(B4, ""it"", ""en"")"),"How many time-outs can a team require in a water polo game?")</f>
        <v>How many time-outs can a team require in a water polo game?</v>
      </c>
      <c r="I4" s="3" t="str">
        <f>IFERROR(__xludf.DUMMYFUNCTION("GOOGLETRANSLATE(C4, ""it"", ""en"")"),"A. 2 B. 3 C. 4 D. 1")</f>
        <v>A. 2 B. 3 C. 4 D. 1</v>
      </c>
      <c r="J4" s="3" t="str">
        <f>IFERROR(__xludf.DUMMYFUNCTION("GOOGLETRANSLATE(D4, ""it"", ""en"")"),"2")</f>
        <v>2</v>
      </c>
      <c r="K4" s="3" t="str">
        <f>IFERROR(__xludf.DUMMYFUNCTION("GOOGLETRANSLATE(E4, ""it"", ""en"")"),"Each team may request two time-outs per game.")</f>
        <v>Each team may request two time-outs per game.</v>
      </c>
      <c r="L4" s="2"/>
      <c r="M4" s="2"/>
      <c r="N4" s="2"/>
      <c r="O4" s="2"/>
      <c r="P4" s="2"/>
      <c r="Q4" s="2"/>
      <c r="R4" s="2"/>
      <c r="S4" s="2"/>
    </row>
    <row r="5" ht="22.5" customHeight="1">
      <c r="A5" s="3">
        <v>4.0</v>
      </c>
      <c r="B5" s="3" t="s">
        <v>2293</v>
      </c>
      <c r="C5" s="3" t="s">
        <v>2294</v>
      </c>
      <c r="D5" s="3" t="s">
        <v>2295</v>
      </c>
      <c r="E5" s="3" t="s">
        <v>2296</v>
      </c>
      <c r="F5" s="2"/>
      <c r="G5" s="3" t="str">
        <f>IFERROR(__xludf.DUMMYFUNCTION("GOOGLETRANSLATE(A5, ""it"", ""en"")"),"4")</f>
        <v>4</v>
      </c>
      <c r="H5" s="3" t="str">
        <f>IFERROR(__xludf.DUMMYFUNCTION("GOOGLETRANSLATE(B5, ""it"", ""en"")"),"What is the regulation diameter of the ball used in men's water polo?")</f>
        <v>What is the regulation diameter of the ball used in men's water polo?</v>
      </c>
      <c r="I5" s="3" t="str">
        <f>IFERROR(__xludf.DUMMYFUNCTION("GOOGLETRANSLATE(C5, ""it"", ""en"")"),"A. 65-67 cm B. 68-70 cm C. 60-62 cm D. 72-74 cm")</f>
        <v>A. 65-67 cm B. 68-70 cm C. 60-62 cm D. 72-74 cm</v>
      </c>
      <c r="J5" s="3" t="str">
        <f>IFERROR(__xludf.DUMMYFUNCTION("GOOGLETRANSLATE(D5, ""it"", ""en"")"),"68-70 cm")</f>
        <v>68-70 cm</v>
      </c>
      <c r="K5" s="3" t="str">
        <f>IFERROR(__xludf.DUMMYFUNCTION("GOOGLETRANSLATE(E5, ""it"", ""en"")"),"The men's ball has a regulation diameter of 68-70 cm.")</f>
        <v>The men's ball has a regulation diameter of 68-70 cm.</v>
      </c>
      <c r="L5" s="2"/>
      <c r="M5" s="2"/>
      <c r="N5" s="2"/>
      <c r="O5" s="2"/>
      <c r="P5" s="2"/>
      <c r="Q5" s="2"/>
      <c r="R5" s="2"/>
      <c r="S5" s="2"/>
    </row>
    <row r="6" ht="22.5" customHeight="1">
      <c r="A6" s="3">
        <v>5.0</v>
      </c>
      <c r="B6" s="3" t="s">
        <v>2297</v>
      </c>
      <c r="C6" s="3" t="s">
        <v>2291</v>
      </c>
      <c r="D6" s="3">
        <v>3.0</v>
      </c>
      <c r="E6" s="3" t="s">
        <v>2298</v>
      </c>
      <c r="F6" s="2"/>
      <c r="G6" s="3" t="str">
        <f>IFERROR(__xludf.DUMMYFUNCTION("GOOGLETRANSLATE(A6, ""it"", ""en"")"),"5")</f>
        <v>5</v>
      </c>
      <c r="H6" s="3" t="str">
        <f>IFERROR(__xludf.DUMMYFUNCTION("GOOGLETRANSLATE(B6, ""it"", ""en"")"),"How many temporary red cards can a player receive before being suspended?")</f>
        <v>How many temporary red cards can a player receive before being suspended?</v>
      </c>
      <c r="I6" s="3" t="str">
        <f>IFERROR(__xludf.DUMMYFUNCTION("GOOGLETRANSLATE(C6, ""it"", ""en"")"),"A. 2 B. 3 C. 4 D. 1")</f>
        <v>A. 2 B. 3 C. 4 D. 1</v>
      </c>
      <c r="J6" s="3" t="str">
        <f>IFERROR(__xludf.DUMMYFUNCTION("GOOGLETRANSLATE(D6, ""it"", ""en"")"),"3")</f>
        <v>3</v>
      </c>
      <c r="K6" s="3" t="str">
        <f>IFERROR(__xludf.DUMMYFUNCTION("GOOGLETRANSLATE(E6, ""it"", ""en"")"),"A player is suspended after three temporary red cards.")</f>
        <v>A player is suspended after three temporary red cards.</v>
      </c>
      <c r="L6" s="2"/>
      <c r="M6" s="2"/>
      <c r="N6" s="2"/>
      <c r="O6" s="2"/>
      <c r="P6" s="2"/>
      <c r="Q6" s="2"/>
      <c r="R6" s="2"/>
      <c r="S6" s="2"/>
    </row>
    <row r="7" ht="22.5" customHeight="1">
      <c r="A7" s="3">
        <v>6.0</v>
      </c>
      <c r="B7" s="3" t="s">
        <v>2299</v>
      </c>
      <c r="C7" s="3" t="s">
        <v>2300</v>
      </c>
      <c r="D7" s="3" t="s">
        <v>2301</v>
      </c>
      <c r="E7" s="3" t="s">
        <v>2302</v>
      </c>
      <c r="F7" s="2"/>
      <c r="G7" s="3" t="str">
        <f>IFERROR(__xludf.DUMMYFUNCTION("GOOGLETRANSLATE(A7, ""it"", ""en"")"),"6")</f>
        <v>6</v>
      </c>
      <c r="H7" s="3" t="str">
        <f>IFERROR(__xludf.DUMMYFUNCTION("GOOGLETRANSLATE(B7, ""it"", ""en"")"),"How do you start a water polo game?")</f>
        <v>How do you start a water polo game?</v>
      </c>
      <c r="I7" s="3" t="str">
        <f>IFERROR(__xludf.DUMMYFUNCTION("GOOGLETRANSLATE(C7, ""it"", ""en"")"),"A. With a throw-in at center field B. With the ball thrown to the center C. With a penalty shootout D. With a free throw")</f>
        <v>A. With a throw-in at center field B. With the ball thrown to the center C. With a penalty shootout D. With a free throw</v>
      </c>
      <c r="J7" s="3" t="str">
        <f>IFERROR(__xludf.DUMMYFUNCTION("GOOGLETRANSLATE(D7, ""it"", ""en"")"),"With the ball thrown to the center")</f>
        <v>With the ball thrown to the center</v>
      </c>
      <c r="K7" s="3" t="str">
        <f>IFERROR(__xludf.DUMMYFUNCTION("GOOGLETRANSLATE(E7, ""it"", ""en"")"),"The game begins with the ball being thrown into the center and the players swimming to reach it.")</f>
        <v>The game begins with the ball being thrown into the center and the players swimming to reach it.</v>
      </c>
      <c r="L7" s="2"/>
      <c r="M7" s="2"/>
      <c r="N7" s="2"/>
      <c r="O7" s="2"/>
      <c r="P7" s="2"/>
      <c r="Q7" s="2"/>
      <c r="R7" s="2"/>
      <c r="S7" s="2"/>
    </row>
    <row r="8" ht="22.5" customHeight="1">
      <c r="A8" s="3">
        <v>7.0</v>
      </c>
      <c r="B8" s="3" t="s">
        <v>2303</v>
      </c>
      <c r="C8" s="3" t="s">
        <v>2304</v>
      </c>
      <c r="D8" s="3" t="s">
        <v>768</v>
      </c>
      <c r="E8" s="3" t="s">
        <v>2305</v>
      </c>
      <c r="F8" s="2"/>
      <c r="G8" s="3" t="str">
        <f>IFERROR(__xludf.DUMMYFUNCTION("GOOGLETRANSLATE(A8, ""it"", ""en"")"),"7")</f>
        <v>7</v>
      </c>
      <c r="H8" s="3" t="str">
        <f>IFERROR(__xludf.DUMMYFUNCTION("GOOGLETRANSLATE(B8, ""it"", ""en"")"),"How much time does a team have to complete an offensive play?")</f>
        <v>How much time does a team have to complete an offensive play?</v>
      </c>
      <c r="I8" s="3" t="str">
        <f>IFERROR(__xludf.DUMMYFUNCTION("GOOGLETRANSLATE(C8, ""it"", ""en"")"),"A. 20 seconds B. 24 seconds C. 30 seconds D. 35 seconds")</f>
        <v>A. 20 seconds B. 24 seconds C. 30 seconds D. 35 seconds</v>
      </c>
      <c r="J8" s="3" t="str">
        <f>IFERROR(__xludf.DUMMYFUNCTION("GOOGLETRANSLATE(D8, ""it"", ""en"")"),"30 seconds")</f>
        <v>30 seconds</v>
      </c>
      <c r="K8" s="3" t="str">
        <f>IFERROR(__xludf.DUMMYFUNCTION("GOOGLETRANSLATE(E8, ""it"", ""en"")"),"A team has 30 seconds to complete an offensive play.")</f>
        <v>A team has 30 seconds to complete an offensive play.</v>
      </c>
      <c r="L8" s="2"/>
      <c r="M8" s="2"/>
      <c r="N8" s="2"/>
      <c r="O8" s="2"/>
      <c r="P8" s="2"/>
      <c r="Q8" s="2"/>
      <c r="R8" s="2"/>
      <c r="S8" s="2"/>
    </row>
    <row r="9" ht="22.5" customHeight="1">
      <c r="A9" s="3">
        <v>8.0</v>
      </c>
      <c r="B9" s="3" t="s">
        <v>2306</v>
      </c>
      <c r="C9" s="3" t="s">
        <v>2307</v>
      </c>
      <c r="D9" s="3" t="s">
        <v>2308</v>
      </c>
      <c r="E9" s="3" t="s">
        <v>2309</v>
      </c>
      <c r="F9" s="2"/>
      <c r="G9" s="3" t="str">
        <f>IFERROR(__xludf.DUMMYFUNCTION("GOOGLETRANSLATE(A9, ""it"", ""en"")"),"8")</f>
        <v>8</v>
      </c>
      <c r="H9" s="3" t="str">
        <f>IFERROR(__xludf.DUMMYFUNCTION("GOOGLETRANSLATE(B9, ""it"", ""en"")"),"What happens if a player intentionally holds the ball underwater?")</f>
        <v>What happens if a player intentionally holds the ball underwater?</v>
      </c>
      <c r="I9" s="3" t="str">
        <f>IFERROR(__xludf.DUMMYFUNCTION("GOOGLETRANSLATE(C9, ""it"", ""en"")"),"A. It is allowed B. A foul is called C. He is temporarily sent off D. He is cautioned")</f>
        <v>A. It is allowed B. A foul is called C. He is temporarily sent off D. He is cautioned</v>
      </c>
      <c r="J9" s="3" t="str">
        <f>IFERROR(__xludf.DUMMYFUNCTION("GOOGLETRANSLATE(D9, ""it"", ""en"")"),"A foul is called")</f>
        <v>A foul is called</v>
      </c>
      <c r="K9" s="3" t="str">
        <f>IFERROR(__xludf.DUMMYFUNCTION("GOOGLETRANSLATE(E9, ""it"", ""en"")"),"Intentionally holding the ball under water for defense is not allowed.")</f>
        <v>Intentionally holding the ball under water for defense is not allowed.</v>
      </c>
      <c r="L9" s="2"/>
      <c r="M9" s="2"/>
      <c r="N9" s="2"/>
      <c r="O9" s="2"/>
      <c r="P9" s="2"/>
      <c r="Q9" s="2"/>
      <c r="R9" s="2"/>
      <c r="S9" s="2"/>
    </row>
    <row r="10" ht="22.5" customHeight="1">
      <c r="A10" s="3">
        <v>9.0</v>
      </c>
      <c r="B10" s="3" t="s">
        <v>2310</v>
      </c>
      <c r="C10" s="3" t="s">
        <v>2311</v>
      </c>
      <c r="D10" s="3" t="s">
        <v>656</v>
      </c>
      <c r="E10" s="3" t="s">
        <v>2312</v>
      </c>
      <c r="F10" s="2"/>
      <c r="G10" s="3" t="str">
        <f>IFERROR(__xludf.DUMMYFUNCTION("GOOGLETRANSLATE(A10, ""it"", ""en"")"),"9")</f>
        <v>9</v>
      </c>
      <c r="H10" s="3" t="str">
        <f>IFERROR(__xludf.DUMMYFUNCTION("GOOGLETRANSLATE(B10, ""it"", ""en"")"),"How many meters is the penalty spot from the goal?")</f>
        <v>How many meters is the penalty spot from the goal?</v>
      </c>
      <c r="I10" s="3" t="str">
        <f>IFERROR(__xludf.DUMMYFUNCTION("GOOGLETRANSLATE(C10, ""it"", ""en"")"),"A. 4 meters B. 5 meters C. 6 meters D. 7 meters")</f>
        <v>A. 4 meters B. 5 meters C. 6 meters D. 7 meters</v>
      </c>
      <c r="J10" s="3" t="str">
        <f>IFERROR(__xludf.DUMMYFUNCTION("GOOGLETRANSLATE(D10, ""it"", ""en"")"),"5 meters")</f>
        <v>5 meters</v>
      </c>
      <c r="K10" s="3" t="str">
        <f>IFERROR(__xludf.DUMMYFUNCTION("GOOGLETRANSLATE(E10, ""it"", ""en"")"),"The penalty spot is located 5 meters from the goal.")</f>
        <v>The penalty spot is located 5 meters from the goal.</v>
      </c>
      <c r="L10" s="2"/>
      <c r="M10" s="2"/>
      <c r="N10" s="2"/>
      <c r="O10" s="2"/>
      <c r="P10" s="2"/>
      <c r="Q10" s="2"/>
      <c r="R10" s="2"/>
      <c r="S10" s="2"/>
    </row>
    <row r="11" ht="22.5" customHeight="1">
      <c r="A11" s="3">
        <v>10.0</v>
      </c>
      <c r="B11" s="3" t="s">
        <v>2313</v>
      </c>
      <c r="C11" s="3" t="s">
        <v>2314</v>
      </c>
      <c r="D11" s="3" t="s">
        <v>2315</v>
      </c>
      <c r="E11" s="3" t="s">
        <v>2316</v>
      </c>
      <c r="F11" s="2"/>
      <c r="G11" s="3" t="str">
        <f>IFERROR(__xludf.DUMMYFUNCTION("GOOGLETRANSLATE(A11, ""it"", ""en"")"),"10")</f>
        <v>10</v>
      </c>
      <c r="H11" s="3" t="str">
        <f>IFERROR(__xludf.DUMMYFUNCTION("GOOGLETRANSLATE(B11, ""it"", ""en"")"),"Who can touch the bottom of the pool during a game?")</f>
        <v>Who can touch the bottom of the pool during a game?</v>
      </c>
      <c r="I11" s="3" t="str">
        <f>IFERROR(__xludf.DUMMYFUNCTION("GOOGLETRANSLATE(C11, ""it"", ""en"")"),"A. All players B. No players C. The goalkeeper D. The captain")</f>
        <v>A. All players B. No players C. The goalkeeper D. The captain</v>
      </c>
      <c r="J11" s="3" t="str">
        <f>IFERROR(__xludf.DUMMYFUNCTION("GOOGLETRANSLATE(D11, ""it"", ""en"")"),"No player")</f>
        <v>No player</v>
      </c>
      <c r="K11" s="3" t="str">
        <f>IFERROR(__xludf.DUMMYFUNCTION("GOOGLETRANSLATE(E11, ""it"", ""en"")"),"It is forbidden to touch the bottom of the pool while playing.")</f>
        <v>It is forbidden to touch the bottom of the pool while playing.</v>
      </c>
      <c r="L11" s="2"/>
      <c r="M11" s="2"/>
      <c r="N11" s="2"/>
      <c r="O11" s="2"/>
      <c r="P11" s="2"/>
      <c r="Q11" s="2"/>
      <c r="R11" s="2"/>
      <c r="S11" s="2"/>
    </row>
    <row r="12" ht="22.5" customHeight="1">
      <c r="A12" s="3">
        <v>11.0</v>
      </c>
      <c r="B12" s="3" t="s">
        <v>2317</v>
      </c>
      <c r="C12" s="3" t="s">
        <v>2318</v>
      </c>
      <c r="D12" s="3" t="s">
        <v>2319</v>
      </c>
      <c r="E12" s="3" t="s">
        <v>2320</v>
      </c>
      <c r="F12" s="2"/>
      <c r="G12" s="3" t="str">
        <f>IFERROR(__xludf.DUMMYFUNCTION("GOOGLETRANSLATE(A12, ""it"", ""en"")"),"11")</f>
        <v>11</v>
      </c>
      <c r="H12" s="3" t="str">
        <f>IFERROR(__xludf.DUMMYFUNCTION("GOOGLETRANSLATE(B12, ""it"", ""en"")"),"What does a white flag raised by the referee represent?")</f>
        <v>What does a white flag raised by the referee represent?</v>
      </c>
      <c r="I12" s="3" t="str">
        <f>IFERROR(__xludf.DUMMYFUNCTION("GOOGLETRANSLATE(C12, ""it"", ""en"")"),"A. A valid goal B. A foul C. A penalty D. A time-out")</f>
        <v>A. A valid goal B. A foul C. A penalty D. A time-out</v>
      </c>
      <c r="J12" s="3" t="str">
        <f>IFERROR(__xludf.DUMMYFUNCTION("GOOGLETRANSLATE(D12, ""it"", ""en"")"),"A valid goal")</f>
        <v>A valid goal</v>
      </c>
      <c r="K12" s="3" t="str">
        <f>IFERROR(__xludf.DUMMYFUNCTION("GOOGLETRANSLATE(E12, ""it"", ""en"")"),"The white flag indicates that a goal has been validated.")</f>
        <v>The white flag indicates that a goal has been validated.</v>
      </c>
      <c r="L12" s="2"/>
      <c r="M12" s="2"/>
      <c r="N12" s="2"/>
      <c r="O12" s="2"/>
      <c r="P12" s="2"/>
      <c r="Q12" s="2"/>
      <c r="R12" s="2"/>
      <c r="S12" s="2"/>
    </row>
    <row r="13" ht="22.5" customHeight="1">
      <c r="A13" s="3">
        <v>12.0</v>
      </c>
      <c r="B13" s="3" t="s">
        <v>2321</v>
      </c>
      <c r="C13" s="3" t="s">
        <v>101</v>
      </c>
      <c r="D13" s="3">
        <v>2.0</v>
      </c>
      <c r="E13" s="3" t="s">
        <v>2322</v>
      </c>
      <c r="F13" s="2"/>
      <c r="G13" s="3" t="str">
        <f>IFERROR(__xludf.DUMMYFUNCTION("GOOGLETRANSLATE(A13, ""it"", ""en"")"),"12")</f>
        <v>12</v>
      </c>
      <c r="H13" s="3" t="str">
        <f>IFERROR(__xludf.DUMMYFUNCTION("GOOGLETRANSLATE(B13, ""it"", ""en"")"),"How many referees officiate at an official water polo match?")</f>
        <v>How many referees officiate at an official water polo match?</v>
      </c>
      <c r="I13" s="3" t="str">
        <f>IFERROR(__xludf.DUMMYFUNCTION("GOOGLETRANSLATE(C13, ""it"", ""en"")"),"A. 1 B. 2 C. 3 D. 4")</f>
        <v>A. 1 B. 2 C. 3 D. 4</v>
      </c>
      <c r="J13" s="3" t="str">
        <f>IFERROR(__xludf.DUMMYFUNCTION("GOOGLETRANSLATE(D13, ""it"", ""en"")"),"2")</f>
        <v>2</v>
      </c>
      <c r="K13" s="3" t="str">
        <f>IFERROR(__xludf.DUMMYFUNCTION("GOOGLETRANSLATE(E13, ""it"", ""en"")"),"Official water polo matches are refereed by two referees.")</f>
        <v>Official water polo matches are refereed by two referees.</v>
      </c>
      <c r="L13" s="2"/>
      <c r="M13" s="2"/>
      <c r="N13" s="2"/>
      <c r="O13" s="2"/>
      <c r="P13" s="2"/>
      <c r="Q13" s="2"/>
      <c r="R13" s="2"/>
      <c r="S13" s="2"/>
    </row>
    <row r="14" ht="22.5" customHeight="1">
      <c r="A14" s="3">
        <v>13.0</v>
      </c>
      <c r="B14" s="3" t="s">
        <v>2323</v>
      </c>
      <c r="C14" s="3" t="s">
        <v>2324</v>
      </c>
      <c r="D14" s="3">
        <v>6.0</v>
      </c>
      <c r="E14" s="3" t="s">
        <v>2325</v>
      </c>
      <c r="F14" s="2"/>
      <c r="G14" s="3" t="str">
        <f>IFERROR(__xludf.DUMMYFUNCTION("GOOGLETRANSLATE(A14, ""it"", ""en"")"),"13")</f>
        <v>13</v>
      </c>
      <c r="H14" s="3" t="str">
        <f>IFERROR(__xludf.DUMMYFUNCTION("GOOGLETRANSLATE(B14, ""it"", ""en"")"),"What is the maximum number of players on the bench for a team?")</f>
        <v>What is the maximum number of players on the bench for a team?</v>
      </c>
      <c r="I14" s="3" t="str">
        <f>IFERROR(__xludf.DUMMYFUNCTION("GOOGLETRANSLATE(C14, ""it"", ""en"")"),"A. 6 B. 7 C. 9 D. 5")</f>
        <v>A. 6 B. 7 C. 9 D. 5</v>
      </c>
      <c r="J14" s="3" t="str">
        <f>IFERROR(__xludf.DUMMYFUNCTION("GOOGLETRANSLATE(D14, ""it"", ""en"")"),"6")</f>
        <v>6</v>
      </c>
      <c r="K14" s="3" t="str">
        <f>IFERROR(__xludf.DUMMYFUNCTION("GOOGLETRANSLATE(E14, ""it"", ""en"")"),"Each team can have a maximum of 6 players on the bench.")</f>
        <v>Each team can have a maximum of 6 players on the bench.</v>
      </c>
      <c r="L14" s="2"/>
      <c r="M14" s="2"/>
      <c r="N14" s="2"/>
      <c r="O14" s="2"/>
      <c r="P14" s="2"/>
      <c r="Q14" s="2"/>
      <c r="R14" s="2"/>
      <c r="S14" s="2"/>
    </row>
    <row r="15" ht="22.5" customHeight="1">
      <c r="A15" s="3">
        <v>14.0</v>
      </c>
      <c r="B15" s="3" t="s">
        <v>2326</v>
      </c>
      <c r="C15" s="3" t="s">
        <v>2327</v>
      </c>
      <c r="D15" s="3" t="s">
        <v>1294</v>
      </c>
      <c r="E15" s="3" t="s">
        <v>2328</v>
      </c>
      <c r="F15" s="2"/>
      <c r="G15" s="3" t="str">
        <f>IFERROR(__xludf.DUMMYFUNCTION("GOOGLETRANSLATE(A15, ""it"", ""en"")"),"14")</f>
        <v>14</v>
      </c>
      <c r="H15" s="3" t="str">
        <f>IFERROR(__xludf.DUMMYFUNCTION("GOOGLETRANSLATE(B15, ""it"", ""en"")"),"How long is a regulation water polo pool?")</f>
        <v>How long is a regulation water polo pool?</v>
      </c>
      <c r="I15" s="3" t="str">
        <f>IFERROR(__xludf.DUMMYFUNCTION("GOOGLETRANSLATE(C15, ""it"", ""en"")"),"A. 20 meters B. 25 meters C. 30 meters D. 35 meters")</f>
        <v>A. 20 meters B. 25 meters C. 30 meters D. 35 meters</v>
      </c>
      <c r="J15" s="3" t="str">
        <f>IFERROR(__xludf.DUMMYFUNCTION("GOOGLETRANSLATE(D15, ""it"", ""en"")"),"30 meters")</f>
        <v>30 meters</v>
      </c>
      <c r="K15" s="3" t="str">
        <f>IFERROR(__xludf.DUMMYFUNCTION("GOOGLETRANSLATE(E15, ""it"", ""en"")"),"The regulation length of a water polo pool is 30 meters.")</f>
        <v>The regulation length of a water polo pool is 30 meters.</v>
      </c>
      <c r="L15" s="2"/>
      <c r="M15" s="2"/>
      <c r="N15" s="2"/>
      <c r="O15" s="2"/>
      <c r="P15" s="2"/>
      <c r="Q15" s="2"/>
      <c r="R15" s="2"/>
      <c r="S15" s="2"/>
    </row>
    <row r="16" ht="22.5" customHeight="1">
      <c r="A16" s="3">
        <v>15.0</v>
      </c>
      <c r="B16" s="3" t="s">
        <v>2329</v>
      </c>
      <c r="C16" s="3" t="s">
        <v>2330</v>
      </c>
      <c r="D16" s="3" t="s">
        <v>2331</v>
      </c>
      <c r="E16" s="3" t="s">
        <v>2332</v>
      </c>
      <c r="F16" s="2"/>
      <c r="G16" s="3" t="str">
        <f>IFERROR(__xludf.DUMMYFUNCTION("GOOGLETRANSLATE(A16, ""it"", ""en"")"),"15")</f>
        <v>15</v>
      </c>
      <c r="H16" s="3" t="str">
        <f>IFERROR(__xludf.DUMMYFUNCTION("GOOGLETRANSLATE(B16, ""it"", ""en"")"),"What color are goalkeeper headphones?")</f>
        <v>What color are goalkeeper headphones?</v>
      </c>
      <c r="I16" s="3" t="str">
        <f>IFERROR(__xludf.DUMMYFUNCTION("GOOGLETRANSLATE(C16, ""it"", ""en"")"),"A. Blue B. Red C. White D. Black")</f>
        <v>A. Blue B. Red C. White D. Black</v>
      </c>
      <c r="J16" s="3" t="str">
        <f>IFERROR(__xludf.DUMMYFUNCTION("GOOGLETRANSLATE(D16, ""it"", ""en"")"),"Red")</f>
        <v>Red</v>
      </c>
      <c r="K16" s="3" t="str">
        <f>IFERROR(__xludf.DUMMYFUNCTION("GOOGLETRANSLATE(E16, ""it"", ""en"")"),"Goalkeepers wear red caps to distinguish them from other players.")</f>
        <v>Goalkeepers wear red caps to distinguish them from other players.</v>
      </c>
      <c r="L16" s="2"/>
      <c r="M16" s="2"/>
      <c r="N16" s="2"/>
      <c r="O16" s="2"/>
      <c r="P16" s="2"/>
      <c r="Q16" s="2"/>
      <c r="R16" s="2"/>
      <c r="S16" s="2"/>
    </row>
    <row r="17" ht="22.5" customHeight="1">
      <c r="A17" s="3">
        <v>16.0</v>
      </c>
      <c r="B17" s="3" t="s">
        <v>2333</v>
      </c>
      <c r="C17" s="3" t="s">
        <v>108</v>
      </c>
      <c r="D17" s="3">
        <v>1.0</v>
      </c>
      <c r="E17" s="3" t="s">
        <v>2334</v>
      </c>
      <c r="F17" s="2"/>
      <c r="G17" s="3" t="str">
        <f>IFERROR(__xludf.DUMMYFUNCTION("GOOGLETRANSLATE(A17, ""it"", ""en"")"),"16")</f>
        <v>16</v>
      </c>
      <c r="H17" s="3" t="str">
        <f>IFERROR(__xludf.DUMMYFUNCTION("GOOGLETRANSLATE(B17, ""it"", ""en"")"),"How many goals are goals scored from midfield worth?")</f>
        <v>How many goals are goals scored from midfield worth?</v>
      </c>
      <c r="I17" s="3" t="str">
        <f>IFERROR(__xludf.DUMMYFUNCTION("GOOGLETRANSLATE(C17, ""it"", ""en"")"),"A. 1 B. 2 C. 3 D. 0")</f>
        <v>A. 1 B. 2 C. 3 D. 0</v>
      </c>
      <c r="J17" s="3" t="str">
        <f>IFERROR(__xludf.DUMMYFUNCTION("GOOGLETRANSLATE(D17, ""it"", ""en"")"),"1")</f>
        <v>1</v>
      </c>
      <c r="K17" s="3" t="str">
        <f>IFERROR(__xludf.DUMMYFUNCTION("GOOGLETRANSLATE(E17, ""it"", ""en"")"),"Every network")</f>
        <v>Every network</v>
      </c>
      <c r="L17" s="2"/>
      <c r="M17" s="2"/>
      <c r="N17" s="2"/>
      <c r="O17" s="2"/>
      <c r="P17" s="2"/>
      <c r="Q17" s="2"/>
      <c r="R17" s="2"/>
      <c r="S17" s="2"/>
    </row>
    <row r="18" ht="22.5" customHeight="1">
      <c r="A18" s="3">
        <v>17.0</v>
      </c>
      <c r="B18" s="3" t="s">
        <v>2335</v>
      </c>
      <c r="C18" s="3" t="s">
        <v>2336</v>
      </c>
      <c r="D18" s="3" t="s">
        <v>2337</v>
      </c>
      <c r="E18" s="3" t="s">
        <v>2338</v>
      </c>
      <c r="F18" s="2"/>
      <c r="G18" s="3" t="str">
        <f>IFERROR(__xludf.DUMMYFUNCTION("GOOGLETRANSLATE(A18, ""it"", ""en"")"),"17")</f>
        <v>17</v>
      </c>
      <c r="H18" s="3" t="str">
        <f>IFERROR(__xludf.DUMMYFUNCTION("GOOGLETRANSLATE(B18, ""it"", ""en"")"),"What happens if a goalkeeper leaves the 5-meter area with the ball?")</f>
        <v>What happens if a goalkeeper leaves the 5-meter area with the ball?</v>
      </c>
      <c r="I18" s="3" t="str">
        <f>IFERROR(__xludf.DUMMYFUNCTION("GOOGLETRANSLATE(C18, ""it"", ""en"")"),"A. Nothing B. He loses possession of the ball C. He is cautioned D. He is temporarily sent off")</f>
        <v>A. Nothing B. He loses possession of the ball C. He is cautioned D. He is temporarily sent off</v>
      </c>
      <c r="J18" s="3" t="str">
        <f>IFERROR(__xludf.DUMMYFUNCTION("GOOGLETRANSLATE(D18, ""it"", ""en"")"),"He loses possession of the ball")</f>
        <v>He loses possession of the ball</v>
      </c>
      <c r="K18" s="3" t="str">
        <f>IFERROR(__xludf.DUMMYFUNCTION("GOOGLETRANSLATE(E18, ""it"", ""en"")"),"The goalkeeper cannot leave the 5-meter area with the ball.")</f>
        <v>The goalkeeper cannot leave the 5-meter area with the ball.</v>
      </c>
      <c r="L18" s="2"/>
      <c r="M18" s="2"/>
      <c r="N18" s="2"/>
      <c r="O18" s="2"/>
      <c r="P18" s="2"/>
      <c r="Q18" s="2"/>
      <c r="R18" s="2"/>
      <c r="S18" s="2"/>
    </row>
    <row r="19" ht="22.5" customHeight="1">
      <c r="A19" s="3">
        <v>18.0</v>
      </c>
      <c r="B19" s="3" t="s">
        <v>2339</v>
      </c>
      <c r="C19" s="3" t="s">
        <v>2340</v>
      </c>
      <c r="D19" s="3" t="s">
        <v>2341</v>
      </c>
      <c r="E19" s="3" t="s">
        <v>2342</v>
      </c>
      <c r="F19" s="2"/>
      <c r="G19" s="3" t="str">
        <f>IFERROR(__xludf.DUMMYFUNCTION("GOOGLETRANSLATE(A19, ""it"", ""en"")"),"18")</f>
        <v>18</v>
      </c>
      <c r="H19" s="3" t="str">
        <f>IFERROR(__xludf.DUMMYFUNCTION("GOOGLETRANSLATE(B19, ""it"", ""en"")"),"How wide is a regulation water polo goal?")</f>
        <v>How wide is a regulation water polo goal?</v>
      </c>
      <c r="I19" s="3" t="str">
        <f>IFERROR(__xludf.DUMMYFUNCTION("GOOGLETRANSLATE(C19, ""it"", ""en"")"),"A. 2 meters B. 2.5 meters C. 3 meters D. 3.5 meters")</f>
        <v>A. 2 meters B. 2.5 meters C. 3 meters D. 3.5 meters</v>
      </c>
      <c r="J19" s="3" t="str">
        <f>IFERROR(__xludf.DUMMYFUNCTION("GOOGLETRANSLATE(D19, ""it"", ""en"")"),"10 foot")</f>
        <v>10 foot</v>
      </c>
      <c r="K19" s="3" t="str">
        <f>IFERROR(__xludf.DUMMYFUNCTION("GOOGLETRANSLATE(E19, ""it"", ""en"")"),"The width of a regulation goal is 3 meters.")</f>
        <v>The width of a regulation goal is 3 meters.</v>
      </c>
      <c r="L19" s="2"/>
      <c r="M19" s="2"/>
      <c r="N19" s="2"/>
      <c r="O19" s="2"/>
      <c r="P19" s="2"/>
      <c r="Q19" s="2"/>
      <c r="R19" s="2"/>
      <c r="S19" s="2"/>
    </row>
    <row r="20" ht="22.5" customHeight="1">
      <c r="A20" s="3">
        <v>19.0</v>
      </c>
      <c r="B20" s="3" t="s">
        <v>2343</v>
      </c>
      <c r="C20" s="3" t="s">
        <v>2344</v>
      </c>
      <c r="D20" s="3" t="s">
        <v>2345</v>
      </c>
      <c r="E20" s="3" t="s">
        <v>2346</v>
      </c>
      <c r="F20" s="2"/>
      <c r="G20" s="3" t="str">
        <f>IFERROR(__xludf.DUMMYFUNCTION("GOOGLETRANSLATE(A20, ""it"", ""en"")"),"19")</f>
        <v>19</v>
      </c>
      <c r="H20" s="3" t="str">
        <f>IFERROR(__xludf.DUMMYFUNCTION("GOOGLETRANSLATE(B20, ""it"", ""en"")"),"What happens when a serious foul is committed?")</f>
        <v>What happens when a serious foul is committed?</v>
      </c>
      <c r="I20" s="3" t="str">
        <f>IFERROR(__xludf.DUMMYFUNCTION("GOOGLETRANSLATE(C20, ""it"", ""en"")"),"A. A free throw is awarded B. A penalty is awarded C. The player is sent off D. A free throw is awarded")</f>
        <v>A. A free throw is awarded B. A penalty is awarded C. The player is sent off D. A free throw is awarded</v>
      </c>
      <c r="J20" s="3" t="str">
        <f>IFERROR(__xludf.DUMMYFUNCTION("GOOGLETRANSLATE(D20, ""it"", ""en"")"),"A penalty is awarded")</f>
        <v>A penalty is awarded</v>
      </c>
      <c r="K20" s="3" t="str">
        <f>IFERROR(__xludf.DUMMYFUNCTION("GOOGLETRANSLATE(E20, ""it"", ""en"")"),"A serious foul may result in a penalty being awarded.")</f>
        <v>A serious foul may result in a penalty being awarded.</v>
      </c>
      <c r="L20" s="2"/>
      <c r="M20" s="2"/>
      <c r="N20" s="2"/>
      <c r="O20" s="2"/>
      <c r="P20" s="2"/>
      <c r="Q20" s="2"/>
      <c r="R20" s="2"/>
      <c r="S20" s="2"/>
    </row>
    <row r="21" ht="22.5" customHeight="1">
      <c r="A21" s="3">
        <v>20.0</v>
      </c>
      <c r="B21" s="3" t="s">
        <v>2347</v>
      </c>
      <c r="C21" s="3" t="s">
        <v>2348</v>
      </c>
      <c r="D21" s="3" t="s">
        <v>2349</v>
      </c>
      <c r="E21" s="3" t="s">
        <v>2350</v>
      </c>
      <c r="F21" s="2"/>
      <c r="G21" s="3" t="str">
        <f>IFERROR(__xludf.DUMMYFUNCTION("GOOGLETRANSLATE(A21, ""it"", ""en"")"),"20")</f>
        <v>20</v>
      </c>
      <c r="H21" s="3" t="str">
        <f>IFERROR(__xludf.DUMMYFUNCTION("GOOGLETRANSLATE(B21, ""it"", ""en"")"),"What does a yellow flag raised by the referee indicate?")</f>
        <v>What does a yellow flag raised by the referee indicate?</v>
      </c>
      <c r="I21" s="3" t="str">
        <f>IFERROR(__xludf.DUMMYFUNCTION("GOOGLETRANSLATE(C21, ""it"", ""en"")"),"A. A technical time-out B. A penalty C. A player substitution D. A technical foul")</f>
        <v>A. A technical time-out B. A penalty C. A player substitution D. A technical foul</v>
      </c>
      <c r="J21" s="3" t="str">
        <f>IFERROR(__xludf.DUMMYFUNCTION("GOOGLETRANSLATE(D21, ""it"", ""en"")"),"A technical time-out")</f>
        <v>A technical time-out</v>
      </c>
      <c r="K21" s="3" t="str">
        <f>IFERROR(__xludf.DUMMYFUNCTION("GOOGLETRANSLATE(E21, ""it"", ""en"")"),"The yellow flag signals a technical time-out.")</f>
        <v>The yellow flag signals a technical time-out.</v>
      </c>
      <c r="L21" s="2"/>
      <c r="M21" s="2"/>
      <c r="N21" s="2"/>
      <c r="O21" s="2"/>
      <c r="P21" s="2"/>
      <c r="Q21" s="2"/>
      <c r="R21" s="2"/>
      <c r="S21" s="2"/>
    </row>
    <row r="22" ht="22.5" customHeight="1">
      <c r="A22" s="3">
        <v>21.0</v>
      </c>
      <c r="B22" s="3" t="s">
        <v>2351</v>
      </c>
      <c r="C22" s="3" t="s">
        <v>2352</v>
      </c>
      <c r="D22" s="3" t="s">
        <v>2353</v>
      </c>
      <c r="E22" s="3" t="s">
        <v>2354</v>
      </c>
      <c r="F22" s="2"/>
      <c r="G22" s="3" t="str">
        <f>IFERROR(__xludf.DUMMYFUNCTION("GOOGLETRANSLATE(A22, ""it"", ""en"")"),"21")</f>
        <v>21</v>
      </c>
      <c r="H22" s="3" t="str">
        <f>IFERROR(__xludf.DUMMYFUNCTION("GOOGLETRANSLATE(B22, ""it"", ""en"")"),"What is the maximum time a player can remain on temporary suspension?")</f>
        <v>What is the maximum time a player can remain on temporary suspension?</v>
      </c>
      <c r="I22" s="3" t="str">
        <f>IFERROR(__xludf.DUMMYFUNCTION("GOOGLETRANSLATE(C22, ""it"", ""en"")"),"A. 15 seconds B. 20 seconds C. 30 seconds D. 45 seconds")</f>
        <v>A. 15 seconds B. 20 seconds C. 30 seconds D. 45 seconds</v>
      </c>
      <c r="J22" s="3" t="str">
        <f>IFERROR(__xludf.DUMMYFUNCTION("GOOGLETRANSLATE(D22, ""it"", ""en"")"),"20 seconds")</f>
        <v>20 seconds</v>
      </c>
      <c r="K22" s="3" t="str">
        <f>IFERROR(__xludf.DUMMYFUNCTION("GOOGLETRANSLATE(E22, ""it"", ""en"")"),"A player temporarily suspended may return after 20 seconds or after a goal.")</f>
        <v>A player temporarily suspended may return after 20 seconds or after a goal.</v>
      </c>
      <c r="L22" s="2"/>
      <c r="M22" s="2"/>
      <c r="N22" s="2"/>
      <c r="O22" s="2"/>
      <c r="P22" s="2"/>
      <c r="Q22" s="2"/>
      <c r="R22" s="2"/>
      <c r="S22" s="2"/>
    </row>
    <row r="23" ht="22.5" customHeight="1">
      <c r="A23" s="3">
        <v>22.0</v>
      </c>
      <c r="B23" s="3" t="s">
        <v>2355</v>
      </c>
      <c r="C23" s="3" t="s">
        <v>2356</v>
      </c>
      <c r="D23" s="3" t="s">
        <v>2357</v>
      </c>
      <c r="E23" s="3" t="s">
        <v>2358</v>
      </c>
      <c r="F23" s="2"/>
      <c r="G23" s="3" t="str">
        <f>IFERROR(__xludf.DUMMYFUNCTION("GOOGLETRANSLATE(A23, ""it"", ""en"")"),"22")</f>
        <v>22</v>
      </c>
      <c r="H23" s="3" t="str">
        <f>IFERROR(__xludf.DUMMYFUNCTION("GOOGLETRANSLATE(B23, ""it"", ""en"")"),"What happens if the ball hits the ceiling of the indoor pool?")</f>
        <v>What happens if the ball hits the ceiling of the indoor pool?</v>
      </c>
      <c r="I23" s="3" t="str">
        <f>IFERROR(__xludf.DUMMYFUNCTION("GOOGLETRANSLATE(C23, ""it"", ""en"")"),"A. Play continues B. A foul is called C. A throw-in is given to the other team D. The ball is contested")</f>
        <v>A. Play continues B. A foul is called C. A throw-in is given to the other team D. The ball is contested</v>
      </c>
      <c r="J23" s="3" t="str">
        <f>IFERROR(__xludf.DUMMYFUNCTION("GOOGLETRANSLATE(D23, ""it"", ""en"")"),"The throw-in is given to the other team")</f>
        <v>The throw-in is given to the other team</v>
      </c>
      <c r="K23" s="3" t="str">
        <f>IFERROR(__xludf.DUMMYFUNCTION("GOOGLETRANSLATE(E23, ""it"", ""en"")"),"If the ball touches the ceiling")</f>
        <v>If the ball touches the ceiling</v>
      </c>
      <c r="L23" s="2"/>
      <c r="M23" s="2"/>
      <c r="N23" s="2"/>
      <c r="O23" s="2"/>
      <c r="P23" s="2"/>
      <c r="Q23" s="2"/>
      <c r="R23" s="2"/>
      <c r="S23" s="2"/>
    </row>
    <row r="24" ht="22.5" customHeight="1">
      <c r="A24" s="3">
        <v>23.0</v>
      </c>
      <c r="B24" s="3" t="s">
        <v>2359</v>
      </c>
      <c r="C24" s="3" t="s">
        <v>2360</v>
      </c>
      <c r="D24" s="3" t="s">
        <v>2361</v>
      </c>
      <c r="E24" s="3" t="s">
        <v>2362</v>
      </c>
      <c r="F24" s="2"/>
      <c r="G24" s="3" t="str">
        <f>IFERROR(__xludf.DUMMYFUNCTION("GOOGLETRANSLATE(A24, ""it"", ""en"")"),"23")</f>
        <v>23</v>
      </c>
      <c r="H24" s="3" t="str">
        <f>IFERROR(__xludf.DUMMYFUNCTION("GOOGLETRANSLATE(B24, ""it"", ""en"")"),"What do the red lines 2 meters from the goal represent?")</f>
        <v>What do the red lines 2 meters from the goal represent?</v>
      </c>
      <c r="I24" s="3" t="str">
        <f>IFERROR(__xludf.DUMMYFUNCTION("GOOGLETRANSLATE(C24, ""it"", ""en"")"),"A. The free-throw area B. The penalty area C. The goalkeeper's area D. The offside area")</f>
        <v>A. The free-throw area B. The penalty area C. The goalkeeper's area D. The offside area</v>
      </c>
      <c r="J24" s="3" t="str">
        <f>IFERROR(__xludf.DUMMYFUNCTION("GOOGLETRANSLATE(D24, ""it"", ""en"")"),"The offside area")</f>
        <v>The offside area</v>
      </c>
      <c r="K24" s="3" t="str">
        <f>IFERROR(__xludf.DUMMYFUNCTION("GOOGLETRANSLATE(E24, ""it"", ""en"")"),"Players cannot receive the ball in this area if they are already inside it.")</f>
        <v>Players cannot receive the ball in this area if they are already inside it.</v>
      </c>
      <c r="L24" s="2"/>
      <c r="M24" s="2"/>
      <c r="N24" s="2"/>
      <c r="O24" s="2"/>
      <c r="P24" s="2"/>
      <c r="Q24" s="2"/>
      <c r="R24" s="2"/>
      <c r="S24" s="2"/>
    </row>
    <row r="25" ht="22.5" customHeight="1">
      <c r="A25" s="3">
        <v>24.0</v>
      </c>
      <c r="B25" s="3" t="s">
        <v>2363</v>
      </c>
      <c r="C25" s="3" t="s">
        <v>2364</v>
      </c>
      <c r="D25" s="3" t="s">
        <v>2365</v>
      </c>
      <c r="E25" s="3" t="s">
        <v>2366</v>
      </c>
      <c r="F25" s="2"/>
      <c r="G25" s="3" t="str">
        <f>IFERROR(__xludf.DUMMYFUNCTION("GOOGLETRANSLATE(A25, ""it"", ""en"")"),"24")</f>
        <v>24</v>
      </c>
      <c r="H25" s="3" t="str">
        <f>IFERROR(__xludf.DUMMYFUNCTION("GOOGLETRANSLATE(B25, ""it"", ""en"")"),"How long is the interval between halves?")</f>
        <v>How long is the interval between halves?</v>
      </c>
      <c r="I25" s="3" t="str">
        <f>IFERROR(__xludf.DUMMYFUNCTION("GOOGLETRANSLATE(C25, ""it"", ""en"")"),"A. 1 minute B. 2 minutes C. 3 minutes D. 5 minutes")</f>
        <v>A. 1 minute B. 2 minutes C. 3 minutes D. 5 minutes</v>
      </c>
      <c r="J25" s="3" t="str">
        <f>IFERROR(__xludf.DUMMYFUNCTION("GOOGLETRANSLATE(D25, ""it"", ""en"")"),"2 minutes")</f>
        <v>2 minutes</v>
      </c>
      <c r="K25" s="3" t="str">
        <f>IFERROR(__xludf.DUMMYFUNCTION("GOOGLETRANSLATE(E25, ""it"", ""en"")"),"There is a 2 minute interval between halves.")</f>
        <v>There is a 2 minute interval between halves.</v>
      </c>
      <c r="L25" s="2"/>
      <c r="M25" s="2"/>
      <c r="N25" s="2"/>
      <c r="O25" s="2"/>
      <c r="P25" s="2"/>
      <c r="Q25" s="2"/>
      <c r="R25" s="2"/>
      <c r="S25" s="2"/>
    </row>
    <row r="26" ht="22.5" customHeight="1">
      <c r="A26" s="3">
        <v>25.0</v>
      </c>
      <c r="B26" s="3" t="s">
        <v>2367</v>
      </c>
      <c r="C26" s="3" t="s">
        <v>2368</v>
      </c>
      <c r="D26" s="3" t="s">
        <v>2369</v>
      </c>
      <c r="E26" s="3" t="s">
        <v>2370</v>
      </c>
      <c r="F26" s="2"/>
      <c r="G26" s="3" t="str">
        <f>IFERROR(__xludf.DUMMYFUNCTION("GOOGLETRANSLATE(A26, ""it"", ""en"")"),"25")</f>
        <v>25</v>
      </c>
      <c r="H26" s="3" t="str">
        <f>IFERROR(__xludf.DUMMYFUNCTION("GOOGLETRANSLATE(B26, ""it"", ""en"")"),"What does a red card shown by the referee indicate?")</f>
        <v>What does a red card shown by the referee indicate?</v>
      </c>
      <c r="I26" s="3" t="str">
        <f>IFERROR(__xludf.DUMMYFUNCTION("GOOGLETRANSLATE(C26, ""it"", ""en"")"),"A. A permanent expulsion B. A warning C. A forced substitution D. A penalty")</f>
        <v>A. A permanent expulsion B. A warning C. A forced substitution D. A penalty</v>
      </c>
      <c r="J26" s="3" t="str">
        <f>IFERROR(__xludf.DUMMYFUNCTION("GOOGLETRANSLATE(D26, ""it"", ""en"")"),"A final expulsion")</f>
        <v>A final expulsion</v>
      </c>
      <c r="K26" s="3" t="str">
        <f>IFERROR(__xludf.DUMMYFUNCTION("GOOGLETRANSLATE(E26, ""it"", ""en"")"),"The red card indicates the definitive expulsion of a player or coach.")</f>
        <v>The red card indicates the definitive expulsion of a player or coach.</v>
      </c>
      <c r="L26" s="2"/>
      <c r="M26" s="2"/>
      <c r="N26" s="2"/>
      <c r="O26" s="2"/>
      <c r="P26" s="2"/>
      <c r="Q26" s="2"/>
      <c r="R26" s="2"/>
      <c r="S26" s="2"/>
    </row>
    <row r="27" ht="22.5" customHeight="1">
      <c r="A27" s="3">
        <v>26.0</v>
      </c>
      <c r="B27" s="3" t="s">
        <v>2371</v>
      </c>
      <c r="C27" s="3" t="s">
        <v>2372</v>
      </c>
      <c r="D27" s="3" t="s">
        <v>2373</v>
      </c>
      <c r="E27" s="3" t="s">
        <v>2374</v>
      </c>
      <c r="F27" s="2"/>
      <c r="G27" s="3" t="str">
        <f>IFERROR(__xludf.DUMMYFUNCTION("GOOGLETRANSLATE(A27, ""it"", ""en"")"),"26")</f>
        <v>26</v>
      </c>
      <c r="H27" s="3" t="str">
        <f>IFERROR(__xludf.DUMMYFUNCTION("GOOGLETRANSLATE(B27, ""it"", ""en"")"),"Who can shoot a free throw in water polo?")</f>
        <v>Who can shoot a free throw in water polo?</v>
      </c>
      <c r="I27" s="3" t="str">
        <f>IFERROR(__xludf.DUMMYFUNCTION("GOOGLETRANSLATE(C27, ""it"", ""en"")"),"A. Only the goalkeeper B. Anyone on the defensive team C. Anyone on the offensive team D. Any player on the field")</f>
        <v>A. Only the goalkeeper B. Anyone on the defensive team C. Anyone on the offensive team D. Any player on the field</v>
      </c>
      <c r="J27" s="3" t="str">
        <f>IFERROR(__xludf.DUMMYFUNCTION("GOOGLETRANSLATE(D27, ""it"", ""en"")"),"Anyone on the offensive team")</f>
        <v>Anyone on the offensive team</v>
      </c>
      <c r="K27" s="3" t="str">
        <f>IFERROR(__xludf.DUMMYFUNCTION("GOOGLETRANSLATE(E27, ""it"", ""en"")"),"The free throw is taken by the team that is fouled.")</f>
        <v>The free throw is taken by the team that is fouled.</v>
      </c>
      <c r="L27" s="2"/>
      <c r="M27" s="2"/>
      <c r="N27" s="2"/>
      <c r="O27" s="2"/>
      <c r="P27" s="2"/>
      <c r="Q27" s="2"/>
      <c r="R27" s="2"/>
      <c r="S27" s="2"/>
    </row>
    <row r="28" ht="22.5" customHeight="1">
      <c r="A28" s="3">
        <v>27.0</v>
      </c>
      <c r="B28" s="3" t="s">
        <v>2375</v>
      </c>
      <c r="C28" s="3" t="s">
        <v>2376</v>
      </c>
      <c r="D28" s="3" t="s">
        <v>657</v>
      </c>
      <c r="E28" s="3" t="s">
        <v>2377</v>
      </c>
      <c r="F28" s="2"/>
      <c r="G28" s="3" t="str">
        <f>IFERROR(__xludf.DUMMYFUNCTION("GOOGLETRANSLATE(A28, ""it"", ""en"")"),"27")</f>
        <v>27</v>
      </c>
      <c r="H28" s="3" t="str">
        <f>IFERROR(__xludf.DUMMYFUNCTION("GOOGLETRANSLATE(B28, ""it"", ""en"")"),"What is the minimum height of the pool in a regulation match?")</f>
        <v>What is the minimum height of the pool in a regulation match?</v>
      </c>
      <c r="I28" s="3" t="str">
        <f>IFERROR(__xludf.DUMMYFUNCTION("GOOGLETRANSLATE(C28, ""it"", ""en"")"),"A. 1 meter B. 1.5 meters C. 2 meters D. 2.5 meters")</f>
        <v>A. 1 meter B. 1.5 meters C. 2 meters D. 2.5 meters</v>
      </c>
      <c r="J28" s="3" t="str">
        <f>IFERROR(__xludf.DUMMYFUNCTION("GOOGLETRANSLATE(D28, ""it"", ""en"")"),"2 meters")</f>
        <v>2 meters</v>
      </c>
      <c r="K28" s="3" t="str">
        <f>IFERROR(__xludf.DUMMYFUNCTION("GOOGLETRANSLATE(E28, ""it"", ""en"")"),"The minimum height of the pool must be 2 meters.")</f>
        <v>The minimum height of the pool must be 2 meters.</v>
      </c>
      <c r="L28" s="2"/>
      <c r="M28" s="2"/>
      <c r="N28" s="2"/>
      <c r="O28" s="2"/>
      <c r="P28" s="2"/>
      <c r="Q28" s="2"/>
      <c r="R28" s="2"/>
      <c r="S28" s="2"/>
    </row>
    <row r="29" ht="22.5" customHeight="1">
      <c r="A29" s="3">
        <v>28.0</v>
      </c>
      <c r="B29" s="3" t="s">
        <v>2378</v>
      </c>
      <c r="C29" s="3" t="s">
        <v>2379</v>
      </c>
      <c r="D29" s="3" t="s">
        <v>2380</v>
      </c>
      <c r="E29" s="3" t="s">
        <v>2381</v>
      </c>
      <c r="F29" s="2"/>
      <c r="G29" s="3" t="str">
        <f>IFERROR(__xludf.DUMMYFUNCTION("GOOGLETRANSLATE(A29, ""it"", ""en"")"),"28")</f>
        <v>28</v>
      </c>
      <c r="H29" s="3" t="str">
        <f>IFERROR(__xludf.DUMMYFUNCTION("GOOGLETRANSLATE(B29, ""it"", ""en"")"),"What happens when a team runs out of possession?")</f>
        <v>What happens when a team runs out of possession?</v>
      </c>
      <c r="I29" s="3" t="str">
        <f>IFERROR(__xludf.DUMMYFUNCTION("GOOGLETRANSLATE(C29, ""it"", ""en"")"),"A. Nothing B. He loses the ball C. A penalty is awarded D. A free kick is awarded")</f>
        <v>A. Nothing B. He loses the ball C. A penalty is awarded D. A free kick is awarded</v>
      </c>
      <c r="J29" s="3" t="str">
        <f>IFERROR(__xludf.DUMMYFUNCTION("GOOGLETRANSLATE(D29, ""it"", ""en"")"),"He loses the ball")</f>
        <v>He loses the ball</v>
      </c>
      <c r="K29" s="3" t="str">
        <f>IFERROR(__xludf.DUMMYFUNCTION("GOOGLETRANSLATE(E29, ""it"", ""en"")"),"The team loses possession of the ball.")</f>
        <v>The team loses possession of the ball.</v>
      </c>
      <c r="L29" s="2"/>
      <c r="M29" s="2"/>
      <c r="N29" s="2"/>
      <c r="O29" s="2"/>
      <c r="P29" s="2"/>
      <c r="Q29" s="2"/>
      <c r="R29" s="2"/>
      <c r="S29" s="2"/>
    </row>
    <row r="30" ht="22.5" customHeight="1">
      <c r="A30" s="3">
        <v>29.0</v>
      </c>
      <c r="B30" s="3" t="s">
        <v>2382</v>
      </c>
      <c r="C30" s="3" t="s">
        <v>2383</v>
      </c>
      <c r="D30" s="3" t="s">
        <v>2384</v>
      </c>
      <c r="E30" s="3" t="s">
        <v>2385</v>
      </c>
      <c r="F30" s="2"/>
      <c r="G30" s="3" t="str">
        <f>IFERROR(__xludf.DUMMYFUNCTION("GOOGLETRANSLATE(A30, ""it"", ""en"")"),"29")</f>
        <v>29</v>
      </c>
      <c r="H30" s="3" t="str">
        <f>IFERROR(__xludf.DUMMYFUNCTION("GOOGLETRANSLATE(B30, ""it"", ""en"")"),"What do the yellow lines 5 meters from the goal represent?")</f>
        <v>What do the yellow lines 5 meters from the goal represent?</v>
      </c>
      <c r="I30" s="3" t="str">
        <f>IFERROR(__xludf.DUMMYFUNCTION("GOOGLETRANSLATE(C30, ""it"", ""en"")"),"A. The goalkeeper's area B. The penalty area C. The free-throw area D. The expulsion area")</f>
        <v>A. The goalkeeper's area B. The penalty area C. The free-throw area D. The expulsion area</v>
      </c>
      <c r="J30" s="3" t="str">
        <f>IFERROR(__xludf.DUMMYFUNCTION("GOOGLETRANSLATE(D30, ""it"", ""en"")"),"The penalty area")</f>
        <v>The penalty area</v>
      </c>
      <c r="K30" s="3" t="str">
        <f>IFERROR(__xludf.DUMMYFUNCTION("GOOGLETRANSLATE(E30, ""it"", ""en"")"),"The yellow lines 5 meters away mark the penalty area.")</f>
        <v>The yellow lines 5 meters away mark the penalty area.</v>
      </c>
      <c r="L30" s="2"/>
      <c r="M30" s="2"/>
      <c r="N30" s="2"/>
      <c r="O30" s="2"/>
      <c r="P30" s="2"/>
      <c r="Q30" s="2"/>
      <c r="R30" s="2"/>
      <c r="S30" s="2"/>
    </row>
    <row r="31" ht="22.5" customHeight="1">
      <c r="A31" s="3">
        <v>30.0</v>
      </c>
      <c r="B31" s="3" t="s">
        <v>2386</v>
      </c>
      <c r="C31" s="3" t="s">
        <v>2387</v>
      </c>
      <c r="D31" s="3" t="s">
        <v>2388</v>
      </c>
      <c r="E31" s="3" t="s">
        <v>2389</v>
      </c>
      <c r="F31" s="2"/>
      <c r="G31" s="3" t="str">
        <f>IFERROR(__xludf.DUMMYFUNCTION("GOOGLETRANSLATE(A31, ""it"", ""en"")"),"30")</f>
        <v>30</v>
      </c>
      <c r="H31" s="3" t="str">
        <f>IFERROR(__xludf.DUMMYFUNCTION("GOOGLETRANSLATE(B31, ""it"", ""en"")"),"How is a winner decided in the event of a tie after regulation time?")</f>
        <v>How is a winner decided in the event of a tie after regulation time?</v>
      </c>
      <c r="I31" s="3" t="str">
        <f>IFERROR(__xludf.DUMMYFUNCTION("GOOGLETRANSLATE(C31, ""it"", ""en"")"),"A. With a draw B. With a coin toss C. With penalty kicks D. With extra time")</f>
        <v>A. With a draw B. With a coin toss C. With penalty kicks D. With extra time</v>
      </c>
      <c r="J31" s="3" t="str">
        <f>IFERROR(__xludf.DUMMYFUNCTION("GOOGLETRANSLATE(D31, ""it"", ""en"")"),"With penalty kicks")</f>
        <v>With penalty kicks</v>
      </c>
      <c r="K31" s="3" t="str">
        <f>IFERROR(__xludf.DUMMYFUNCTION("GOOGLETRANSLATE(E31, ""it"", ""en"")"),"In case of a draw, the score will go to penalties.")</f>
        <v>In case of a draw, the score will go to penalties.</v>
      </c>
      <c r="L31" s="2"/>
      <c r="M31" s="2"/>
      <c r="N31" s="2"/>
      <c r="O31" s="2"/>
      <c r="P31" s="2"/>
      <c r="Q31" s="2"/>
      <c r="R31" s="2"/>
      <c r="S31" s="2"/>
    </row>
    <row r="32" ht="22.5" customHeight="1">
      <c r="A32" s="3">
        <v>31.0</v>
      </c>
      <c r="B32" s="3" t="s">
        <v>2390</v>
      </c>
      <c r="C32" s="3" t="s">
        <v>101</v>
      </c>
      <c r="D32" s="3">
        <v>2.0</v>
      </c>
      <c r="E32" s="3" t="s">
        <v>2391</v>
      </c>
      <c r="F32" s="2"/>
      <c r="G32" s="3" t="str">
        <f>IFERROR(__xludf.DUMMYFUNCTION("GOOGLETRANSLATE(A32, ""it"", ""en"")"),"31")</f>
        <v>31</v>
      </c>
      <c r="H32" s="3" t="str">
        <f>IFERROR(__xludf.DUMMYFUNCTION("GOOGLETRANSLATE(B32, ""it"", ""en"")"),"How many overtime periods are played in case of a draw?")</f>
        <v>How many overtime periods are played in case of a draw?</v>
      </c>
      <c r="I32" s="3" t="str">
        <f>IFERROR(__xludf.DUMMYFUNCTION("GOOGLETRANSLATE(C32, ""it"", ""en"")"),"A. 1 B. 2 C. 3 D. 4")</f>
        <v>A. 1 B. 2 C. 3 D. 4</v>
      </c>
      <c r="J32" s="3" t="str">
        <f>IFERROR(__xludf.DUMMYFUNCTION("GOOGLETRANSLATE(D32, ""it"", ""en"")"),"2")</f>
        <v>2</v>
      </c>
      <c r="K32" s="3" t="str">
        <f>IFERROR(__xludf.DUMMYFUNCTION("GOOGLETRANSLATE(E32, ""it"", ""en"")"),"In case of a draw, two periods of extra time of 3 minutes each will be played.")</f>
        <v>In case of a draw, two periods of extra time of 3 minutes each will be played.</v>
      </c>
      <c r="L32" s="2"/>
      <c r="M32" s="2"/>
      <c r="N32" s="2"/>
      <c r="O32" s="2"/>
      <c r="P32" s="2"/>
      <c r="Q32" s="2"/>
      <c r="R32" s="2"/>
      <c r="S32" s="2"/>
    </row>
    <row r="33" ht="22.5" customHeight="1">
      <c r="A33" s="3">
        <v>32.0</v>
      </c>
      <c r="B33" s="3" t="s">
        <v>2392</v>
      </c>
      <c r="C33" s="3" t="s">
        <v>101</v>
      </c>
      <c r="D33" s="3">
        <v>2.0</v>
      </c>
      <c r="E33" s="3" t="s">
        <v>2393</v>
      </c>
      <c r="F33" s="2"/>
      <c r="G33" s="3" t="str">
        <f>IFERROR(__xludf.DUMMYFUNCTION("GOOGLETRANSLATE(A33, ""it"", ""en"")"),"32")</f>
        <v>32</v>
      </c>
      <c r="H33" s="3" t="str">
        <f>IFERROR(__xludf.DUMMYFUNCTION("GOOGLETRANSLATE(B33, ""it"", ""en"")"),"How many referees monitor the playing time in a water polo game?")</f>
        <v>How many referees monitor the playing time in a water polo game?</v>
      </c>
      <c r="I33" s="3" t="str">
        <f>IFERROR(__xludf.DUMMYFUNCTION("GOOGLETRANSLATE(C33, ""it"", ""en"")"),"A. 1 B. 2 C. 3 D. 4")</f>
        <v>A. 1 B. 2 C. 3 D. 4</v>
      </c>
      <c r="J33" s="3" t="str">
        <f>IFERROR(__xludf.DUMMYFUNCTION("GOOGLETRANSLATE(D33, ""it"", ""en"")"),"2")</f>
        <v>2</v>
      </c>
      <c r="K33" s="3" t="str">
        <f>IFERROR(__xludf.DUMMYFUNCTION("GOOGLETRANSLATE(E33, ""it"", ""en"")"),"Two referees are responsible for the official timekeeping.")</f>
        <v>Two referees are responsible for the official timekeeping.</v>
      </c>
      <c r="L33" s="2"/>
      <c r="M33" s="2"/>
      <c r="N33" s="2"/>
      <c r="O33" s="2"/>
      <c r="P33" s="2"/>
      <c r="Q33" s="2"/>
      <c r="R33" s="2"/>
      <c r="S33" s="2"/>
    </row>
    <row r="34" ht="22.5" customHeight="1">
      <c r="A34" s="3">
        <v>33.0</v>
      </c>
      <c r="B34" s="3" t="s">
        <v>2394</v>
      </c>
      <c r="C34" s="3" t="s">
        <v>2395</v>
      </c>
      <c r="D34" s="3" t="s">
        <v>2396</v>
      </c>
      <c r="E34" s="3" t="s">
        <v>2397</v>
      </c>
      <c r="F34" s="2"/>
      <c r="G34" s="3" t="str">
        <f>IFERROR(__xludf.DUMMYFUNCTION("GOOGLETRANSLATE(A34, ""it"", ""en"")"),"33")</f>
        <v>33</v>
      </c>
      <c r="H34" s="3" t="str">
        <f>IFERROR(__xludf.DUMMYFUNCTION("GOOGLETRANSLATE(B34, ""it"", ""en"")"),"What type of foul is committed if a player intentionally hits an opponent?")</f>
        <v>What type of foul is committed if a player intentionally hits an opponent?</v>
      </c>
      <c r="I34" s="3" t="str">
        <f>IFERROR(__xludf.DUMMYFUNCTION("GOOGLETRANSLATE(C34, ""it"", ""en"")"),"A. Minor foul B. Serious foul C. Expulsion D. Technical foul")</f>
        <v>A. Minor foul B. Serious foul C. Expulsion D. Technical foul</v>
      </c>
      <c r="J34" s="3" t="str">
        <f>IFERROR(__xludf.DUMMYFUNCTION("GOOGLETRANSLATE(D34, ""it"", ""en"")"),"Serious foul")</f>
        <v>Serious foul</v>
      </c>
      <c r="K34" s="3" t="str">
        <f>IFERROR(__xludf.DUMMYFUNCTION("GOOGLETRANSLATE(E34, ""it"", ""en"")"),"Intentional violent contact is classified as a serious foul.")</f>
        <v>Intentional violent contact is classified as a serious foul.</v>
      </c>
      <c r="L34" s="2"/>
      <c r="M34" s="2"/>
      <c r="N34" s="2"/>
      <c r="O34" s="2"/>
      <c r="P34" s="2"/>
      <c r="Q34" s="2"/>
      <c r="R34" s="2"/>
      <c r="S34" s="2"/>
    </row>
    <row r="35" ht="22.5" customHeight="1">
      <c r="A35" s="3">
        <v>34.0</v>
      </c>
      <c r="B35" s="3" t="s">
        <v>2398</v>
      </c>
      <c r="C35" s="3" t="s">
        <v>1094</v>
      </c>
      <c r="D35" s="3" t="s">
        <v>657</v>
      </c>
      <c r="E35" s="3" t="s">
        <v>2399</v>
      </c>
      <c r="F35" s="2"/>
      <c r="G35" s="3" t="str">
        <f>IFERROR(__xludf.DUMMYFUNCTION("GOOGLETRANSLATE(A35, ""it"", ""en"")"),"34")</f>
        <v>34</v>
      </c>
      <c r="H35" s="3" t="str">
        <f>IFERROR(__xludf.DUMMYFUNCTION("GOOGLETRANSLATE(B35, ""it"", ""en"")"),"How many meters is the goalkeeper's area from the edge of the pool?")</f>
        <v>How many meters is the goalkeeper's area from the edge of the pool?</v>
      </c>
      <c r="I35" s="3" t="str">
        <f>IFERROR(__xludf.DUMMYFUNCTION("GOOGLETRANSLATE(C35, ""it"", ""en"")"),"A. 1 meter B. 2 meters C. 3 meters D. 4 meters")</f>
        <v>A. 1 meter B. 2 meters C. 3 meters D. 4 meters</v>
      </c>
      <c r="J35" s="3" t="str">
        <f>IFERROR(__xludf.DUMMYFUNCTION("GOOGLETRANSLATE(D35, ""it"", ""en"")"),"2 meters")</f>
        <v>2 meters</v>
      </c>
      <c r="K35" s="3" t="str">
        <f>IFERROR(__xludf.DUMMYFUNCTION("GOOGLETRANSLATE(E35, ""it"", ""en"")"),"The goalkeeper's area is limited to 2 metres from the goal.")</f>
        <v>The goalkeeper's area is limited to 2 metres from the goal.</v>
      </c>
      <c r="L35" s="2"/>
      <c r="M35" s="2"/>
      <c r="N35" s="2"/>
      <c r="O35" s="2"/>
      <c r="P35" s="2"/>
      <c r="Q35" s="2"/>
      <c r="R35" s="2"/>
      <c r="S35" s="2"/>
    </row>
    <row r="36" ht="22.5" customHeight="1">
      <c r="A36" s="3">
        <v>35.0</v>
      </c>
      <c r="B36" s="3" t="s">
        <v>2400</v>
      </c>
      <c r="C36" s="3" t="s">
        <v>2401</v>
      </c>
      <c r="D36" s="3" t="s">
        <v>2345</v>
      </c>
      <c r="E36" s="3" t="s">
        <v>2402</v>
      </c>
      <c r="F36" s="2"/>
      <c r="G36" s="3" t="str">
        <f>IFERROR(__xludf.DUMMYFUNCTION("GOOGLETRANSLATE(A36, ""it"", ""en"")"),"35")</f>
        <v>35</v>
      </c>
      <c r="H36" s="3" t="str">
        <f>IFERROR(__xludf.DUMMYFUNCTION("GOOGLETRANSLATE(B36, ""it"", ""en"")"),"What happens if a player enters the water before getting the referee's permission?")</f>
        <v>What happens if a player enters the water before getting the referee's permission?</v>
      </c>
      <c r="I36" s="3" t="str">
        <f>IFERROR(__xludf.DUMMYFUNCTION("GOOGLETRANSLATE(C36, ""it"", ""en"")"),"A. Nothing B. The team receives a penalty C. A penalty is awarded D. The team is sent off")</f>
        <v>A. Nothing B. The team receives a penalty C. A penalty is awarded D. The team is sent off</v>
      </c>
      <c r="J36" s="3" t="str">
        <f>IFERROR(__xludf.DUMMYFUNCTION("GOOGLETRANSLATE(D36, ""it"", ""en"")"),"A penalty is awarded")</f>
        <v>A penalty is awarded</v>
      </c>
      <c r="K36" s="3" t="str">
        <f>IFERROR(__xludf.DUMMYFUNCTION("GOOGLETRANSLATE(E36, ""it"", ""en"")"),"Entering without permission may result in a penalty being awarded.")</f>
        <v>Entering without permission may result in a penalty being awarded.</v>
      </c>
      <c r="L36" s="2"/>
      <c r="M36" s="2"/>
      <c r="N36" s="2"/>
      <c r="O36" s="2"/>
      <c r="P36" s="2"/>
      <c r="Q36" s="2"/>
      <c r="R36" s="2"/>
      <c r="S36" s="2"/>
    </row>
    <row r="37" ht="22.5" customHeight="1">
      <c r="A37" s="3">
        <v>36.0</v>
      </c>
      <c r="B37" s="3" t="s">
        <v>2403</v>
      </c>
      <c r="C37" s="3" t="s">
        <v>2404</v>
      </c>
      <c r="D37" s="3" t="s">
        <v>2405</v>
      </c>
      <c r="E37" s="3" t="s">
        <v>2406</v>
      </c>
      <c r="F37" s="2"/>
      <c r="G37" s="3" t="str">
        <f>IFERROR(__xludf.DUMMYFUNCTION("GOOGLETRANSLATE(A37, ""it"", ""en"")"),"36")</f>
        <v>36</v>
      </c>
      <c r="H37" s="3" t="str">
        <f>IFERROR(__xludf.DUMMYFUNCTION("GOOGLETRANSLATE(B37, ""it"", ""en"")"),"How high is the top edge of a water polo goal?")</f>
        <v>How high is the top edge of a water polo goal?</v>
      </c>
      <c r="I37" s="3" t="str">
        <f>IFERROR(__xludf.DUMMYFUNCTION("GOOGLETRANSLATE(C37, ""it"", ""en"")"),"A. 1.5 meters B. 2 meters C. 0.9 meters D. 1 meter")</f>
        <v>A. 1.5 meters B. 2 meters C. 0.9 meters D. 1 meter</v>
      </c>
      <c r="J37" s="3" t="str">
        <f>IFERROR(__xludf.DUMMYFUNCTION("GOOGLETRANSLATE(D37, ""it"", ""en"")"),"0.9 meters")</f>
        <v>0.9 meters</v>
      </c>
      <c r="K37" s="3" t="str">
        <f>IFERROR(__xludf.DUMMYFUNCTION("GOOGLETRANSLATE(E37, ""it"", ""en"")"),"The top edge of a regulation goal is 0.9 metres high.")</f>
        <v>The top edge of a regulation goal is 0.9 metres high.</v>
      </c>
      <c r="L37" s="2"/>
      <c r="M37" s="2"/>
      <c r="N37" s="2"/>
      <c r="O37" s="2"/>
      <c r="P37" s="2"/>
      <c r="Q37" s="2"/>
      <c r="R37" s="2"/>
      <c r="S37" s="2"/>
    </row>
    <row r="38" ht="22.5" customHeight="1">
      <c r="A38" s="3">
        <v>37.0</v>
      </c>
      <c r="B38" s="3" t="s">
        <v>2407</v>
      </c>
      <c r="C38" s="3" t="s">
        <v>2408</v>
      </c>
      <c r="D38" s="3" t="s">
        <v>2409</v>
      </c>
      <c r="E38" s="3" t="s">
        <v>2410</v>
      </c>
      <c r="F38" s="2"/>
      <c r="G38" s="3" t="str">
        <f>IFERROR(__xludf.DUMMYFUNCTION("GOOGLETRANSLATE(A38, ""it"", ""en"")"),"37")</f>
        <v>37</v>
      </c>
      <c r="H38" s="3" t="str">
        <f>IFERROR(__xludf.DUMMYFUNCTION("GOOGLETRANSLATE(B38, ""it"", ""en"")"),"What color is the ball used in women's water polo matches?")</f>
        <v>What color is the ball used in women's water polo matches?</v>
      </c>
      <c r="I38" s="3" t="str">
        <f>IFERROR(__xludf.DUMMYFUNCTION("GOOGLETRANSLATE(C38, ""it"", ""en"")"),"A. Blue B. Yellow C. Red D. Green")</f>
        <v>A. Blue B. Yellow C. Red D. Green</v>
      </c>
      <c r="J38" s="3" t="str">
        <f>IFERROR(__xludf.DUMMYFUNCTION("GOOGLETRANSLATE(D38, ""it"", ""en"")"),"Yellow")</f>
        <v>Yellow</v>
      </c>
      <c r="K38" s="3" t="str">
        <f>IFERROR(__xludf.DUMMYFUNCTION("GOOGLETRANSLATE(E38, ""it"", ""en"")"),"The ball used in women's matches is yellow.")</f>
        <v>The ball used in women's matches is yellow.</v>
      </c>
      <c r="L38" s="2"/>
      <c r="M38" s="2"/>
      <c r="N38" s="2"/>
      <c r="O38" s="2"/>
      <c r="P38" s="2"/>
      <c r="Q38" s="2"/>
      <c r="R38" s="2"/>
      <c r="S38" s="2"/>
    </row>
    <row r="39" ht="22.5" customHeight="1">
      <c r="A39" s="3">
        <v>38.0</v>
      </c>
      <c r="B39" s="3" t="s">
        <v>2411</v>
      </c>
      <c r="C39" s="3" t="s">
        <v>1094</v>
      </c>
      <c r="D39" s="3" t="s">
        <v>657</v>
      </c>
      <c r="E39" s="3" t="s">
        <v>2412</v>
      </c>
      <c r="F39" s="2"/>
      <c r="G39" s="3" t="str">
        <f>IFERROR(__xludf.DUMMYFUNCTION("GOOGLETRANSLATE(A39, ""it"", ""en"")"),"38")</f>
        <v>38</v>
      </c>
      <c r="H39" s="3" t="str">
        <f>IFERROR(__xludf.DUMMYFUNCTION("GOOGLETRANSLATE(B39, ""it"", ""en"")"),"What distance should defenders maintain during a free throw?")</f>
        <v>What distance should defenders maintain during a free throw?</v>
      </c>
      <c r="I39" s="3" t="str">
        <f>IFERROR(__xludf.DUMMYFUNCTION("GOOGLETRANSLATE(C39, ""it"", ""en"")"),"A. 1 meter B. 2 meters C. 3 meters D. 4 meters")</f>
        <v>A. 1 meter B. 2 meters C. 3 meters D. 4 meters</v>
      </c>
      <c r="J39" s="3" t="str">
        <f>IFERROR(__xludf.DUMMYFUNCTION("GOOGLETRANSLATE(D39, ""it"", ""en"")"),"2 meters")</f>
        <v>2 meters</v>
      </c>
      <c r="K39" s="3" t="str">
        <f>IFERROR(__xludf.DUMMYFUNCTION("GOOGLETRANSLATE(E39, ""it"", ""en"")"),"Defenders must maintain a distance of at least 2 meters during a free throw.")</f>
        <v>Defenders must maintain a distance of at least 2 meters during a free throw.</v>
      </c>
      <c r="L39" s="2"/>
      <c r="M39" s="2"/>
      <c r="N39" s="2"/>
      <c r="O39" s="2"/>
      <c r="P39" s="2"/>
      <c r="Q39" s="2"/>
      <c r="R39" s="2"/>
      <c r="S39" s="2"/>
    </row>
    <row r="40" ht="22.5" customHeight="1">
      <c r="A40" s="3">
        <v>39.0</v>
      </c>
      <c r="B40" s="3" t="s">
        <v>2413</v>
      </c>
      <c r="C40" s="3" t="s">
        <v>2414</v>
      </c>
      <c r="D40" s="3" t="s">
        <v>2308</v>
      </c>
      <c r="E40" s="3" t="s">
        <v>2415</v>
      </c>
      <c r="F40" s="2"/>
      <c r="G40" s="3" t="str">
        <f>IFERROR(__xludf.DUMMYFUNCTION("GOOGLETRANSLATE(A40, ""it"", ""en"")"),"39")</f>
        <v>39</v>
      </c>
      <c r="H40" s="3" t="str">
        <f>IFERROR(__xludf.DUMMYFUNCTION("GOOGLETRANSLATE(B40, ""it"", ""en"")"),"What happens if the ball is held out of the water for more than 5 seconds?")</f>
        <v>What happens if the ball is held out of the water for more than 5 seconds?</v>
      </c>
      <c r="I40" s="3" t="str">
        <f>IFERROR(__xludf.DUMMYFUNCTION("GOOGLETRANSLATE(C40, ""it"", ""en"")"),"A. Nothing B. A foul is called C. A penalty is awarded D. Possession changes")</f>
        <v>A. Nothing B. A foul is called C. A penalty is awarded D. Possession changes</v>
      </c>
      <c r="J40" s="3" t="str">
        <f>IFERROR(__xludf.DUMMYFUNCTION("GOOGLETRANSLATE(D40, ""it"", ""en"")"),"A foul is called")</f>
        <v>A foul is called</v>
      </c>
      <c r="K40" s="3" t="str">
        <f>IFERROR(__xludf.DUMMYFUNCTION("GOOGLETRANSLATE(E40, ""it"", ""en"")"),"It is not allowed to hold the ball out of the water for too long.")</f>
        <v>It is not allowed to hold the ball out of the water for too long.</v>
      </c>
      <c r="L40" s="2"/>
      <c r="M40" s="2"/>
      <c r="N40" s="2"/>
      <c r="O40" s="2"/>
      <c r="P40" s="2"/>
      <c r="Q40" s="2"/>
      <c r="R40" s="2"/>
      <c r="S40" s="2"/>
    </row>
    <row r="41" ht="22.5" customHeight="1">
      <c r="A41" s="3">
        <v>40.0</v>
      </c>
      <c r="B41" s="3" t="s">
        <v>2416</v>
      </c>
      <c r="C41" s="3" t="s">
        <v>2417</v>
      </c>
      <c r="D41" s="3" t="s">
        <v>2418</v>
      </c>
      <c r="E41" s="3" t="s">
        <v>2419</v>
      </c>
      <c r="F41" s="2"/>
      <c r="G41" s="3" t="str">
        <f>IFERROR(__xludf.DUMMYFUNCTION("GOOGLETRANSLATE(A41, ""it"", ""en"")"),"40")</f>
        <v>40</v>
      </c>
      <c r="H41" s="3" t="str">
        <f>IFERROR(__xludf.DUMMYFUNCTION("GOOGLETRANSLATE(B41, ""it"", ""en"")"),"What does a yellow card shown to a coach mean?")</f>
        <v>What does a yellow card shown to a coach mean?</v>
      </c>
      <c r="I41" s="3" t="str">
        <f>IFERROR(__xludf.DUMMYFUNCTION("GOOGLETRANSLATE(C41, ""it"", ""en"")"),"A. Official warning B. Immediate expulsion C. Permission to substitute D. Disciplinary warning")</f>
        <v>A. Official warning B. Immediate expulsion C. Permission to substitute D. Disciplinary warning</v>
      </c>
      <c r="J41" s="3" t="str">
        <f>IFERROR(__xludf.DUMMYFUNCTION("GOOGLETRANSLATE(D41, ""it"", ""en"")"),"Official warning")</f>
        <v>Official warning</v>
      </c>
      <c r="K41" s="3" t="str">
        <f>IFERROR(__xludf.DUMMYFUNCTION("GOOGLETRANSLATE(E41, ""it"", ""en"")"),"A yellow card is an official warning to the coach.")</f>
        <v>A yellow card is an official warning to the coach.</v>
      </c>
      <c r="L41" s="2"/>
      <c r="M41" s="2"/>
      <c r="N41" s="2"/>
      <c r="O41" s="2"/>
      <c r="P41" s="2"/>
      <c r="Q41" s="2"/>
      <c r="R41" s="2"/>
      <c r="S41" s="2"/>
    </row>
    <row r="42" ht="22.5" customHeight="1">
      <c r="A42" s="3">
        <v>41.0</v>
      </c>
      <c r="B42" s="3" t="s">
        <v>2420</v>
      </c>
      <c r="C42" s="3" t="s">
        <v>2294</v>
      </c>
      <c r="D42" s="3" t="s">
        <v>2421</v>
      </c>
      <c r="E42" s="3" t="s">
        <v>2422</v>
      </c>
      <c r="F42" s="2"/>
      <c r="G42" s="3" t="str">
        <f>IFERROR(__xludf.DUMMYFUNCTION("GOOGLETRANSLATE(A42, ""it"", ""en"")"),"41")</f>
        <v>41</v>
      </c>
      <c r="H42" s="3" t="str">
        <f>IFERROR(__xludf.DUMMYFUNCTION("GOOGLETRANSLATE(B42, ""it"", ""en"")"),"What is the diameter of the ball used in women's water polo?")</f>
        <v>What is the diameter of the ball used in women's water polo?</v>
      </c>
      <c r="I42" s="3" t="str">
        <f>IFERROR(__xludf.DUMMYFUNCTION("GOOGLETRANSLATE(C42, ""it"", ""en"")"),"A. 65-67 cm B. 68-70 cm C. 60-62 cm D. 72-74 cm")</f>
        <v>A. 65-67 cm B. 68-70 cm C. 60-62 cm D. 72-74 cm</v>
      </c>
      <c r="J42" s="3" t="str">
        <f>IFERROR(__xludf.DUMMYFUNCTION("GOOGLETRANSLATE(D42, ""it"", ""en"")"),"65-67 cm")</f>
        <v>65-67 cm</v>
      </c>
      <c r="K42" s="3" t="str">
        <f>IFERROR(__xludf.DUMMYFUNCTION("GOOGLETRANSLATE(E42, ""it"", ""en"")"),"The women's ball has a diameter of 65-67 cm.")</f>
        <v>The women's ball has a diameter of 65-67 cm.</v>
      </c>
      <c r="L42" s="2"/>
      <c r="M42" s="2"/>
      <c r="N42" s="2"/>
      <c r="O42" s="2"/>
      <c r="P42" s="2"/>
      <c r="Q42" s="2"/>
      <c r="R42" s="2"/>
      <c r="S42" s="2"/>
    </row>
    <row r="43" ht="22.5" customHeight="1">
      <c r="A43" s="3">
        <v>42.0</v>
      </c>
      <c r="B43" s="3" t="s">
        <v>2423</v>
      </c>
      <c r="C43" s="3" t="s">
        <v>2424</v>
      </c>
      <c r="D43" s="3" t="s">
        <v>2425</v>
      </c>
      <c r="E43" s="3" t="s">
        <v>2426</v>
      </c>
      <c r="F43" s="2"/>
      <c r="G43" s="3" t="str">
        <f>IFERROR(__xludf.DUMMYFUNCTION("GOOGLETRANSLATE(A43, ""it"", ""en"")"),"42")</f>
        <v>42</v>
      </c>
      <c r="H43" s="3" t="str">
        <f>IFERROR(__xludf.DUMMYFUNCTION("GOOGLETRANSLATE(B43, ""it"", ""en"")"),"What happens if a team fields more players than allowed in the water?")</f>
        <v>What happens if a team fields more players than allowed in the water?</v>
      </c>
      <c r="I43" s="3" t="str">
        <f>IFERROR(__xludf.DUMMYFUNCTION("GOOGLETRANSLATE(C43, ""it"", ""en"")"),"A. Nothing B. The opposing team receives a penalty C. A player is temporarily sent off D. Possession of the ball changes")</f>
        <v>A. Nothing B. The opposing team receives a penalty C. A player is temporarily sent off D. Possession of the ball changes</v>
      </c>
      <c r="J43" s="3" t="str">
        <f>IFERROR(__xludf.DUMMYFUNCTION("GOOGLETRANSLATE(D43, ""it"", ""en"")"),"A player is temporarily suspended")</f>
        <v>A player is temporarily suspended</v>
      </c>
      <c r="K43" s="3" t="str">
        <f>IFERROR(__xludf.DUMMYFUNCTION("GOOGLETRANSLATE(E43, ""it"", ""en"")"),"Fielding too many players will result in a temporary suspension.")</f>
        <v>Fielding too many players will result in a temporary suspension.</v>
      </c>
      <c r="L43" s="2"/>
      <c r="M43" s="2"/>
      <c r="N43" s="2"/>
      <c r="O43" s="2"/>
      <c r="P43" s="2"/>
      <c r="Q43" s="2"/>
      <c r="R43" s="2"/>
      <c r="S43" s="2"/>
    </row>
    <row r="44" ht="22.5" customHeight="1">
      <c r="A44" s="3">
        <v>43.0</v>
      </c>
      <c r="B44" s="3" t="s">
        <v>2427</v>
      </c>
      <c r="C44" s="3" t="s">
        <v>2428</v>
      </c>
      <c r="D44" s="3" t="s">
        <v>2429</v>
      </c>
      <c r="E44" s="3" t="s">
        <v>2430</v>
      </c>
      <c r="F44" s="2"/>
      <c r="G44" s="3" t="str">
        <f>IFERROR(__xludf.DUMMYFUNCTION("GOOGLETRANSLATE(A44, ""it"", ""en"")"),"43")</f>
        <v>43</v>
      </c>
      <c r="H44" s="3" t="str">
        <f>IFERROR(__xludf.DUMMYFUNCTION("GOOGLETRANSLATE(B44, ""it"", ""en"")"),"What do the white lines 5 meters from the goal represent?")</f>
        <v>What do the white lines 5 meters from the goal represent?</v>
      </c>
      <c r="I44" s="3" t="str">
        <f>IFERROR(__xludf.DUMMYFUNCTION("GOOGLETRANSLATE(C44, ""it"", ""en"")"),"A. Goalkeeper's area B. Penalty area C. Direct kick area D. Throw-in area")</f>
        <v>A. Goalkeeper's area B. Penalty area C. Direct kick area D. Throw-in area</v>
      </c>
      <c r="J44" s="3" t="str">
        <f>IFERROR(__xludf.DUMMYFUNCTION("GOOGLETRANSLATE(D44, ""it"", ""en"")"),"Direct shooting area")</f>
        <v>Direct shooting area</v>
      </c>
      <c r="K44" s="3" t="str">
        <f>IFERROR(__xludf.DUMMYFUNCTION("GOOGLETRANSLATE(E44, ""it"", ""en"")"),"The white lines at 5 meters indicate the distance for direct shots.")</f>
        <v>The white lines at 5 meters indicate the distance for direct shots.</v>
      </c>
      <c r="L44" s="2"/>
      <c r="M44" s="2"/>
      <c r="N44" s="2"/>
      <c r="O44" s="2"/>
      <c r="P44" s="2"/>
      <c r="Q44" s="2"/>
      <c r="R44" s="2"/>
      <c r="S44" s="2"/>
    </row>
    <row r="45" ht="22.5" customHeight="1">
      <c r="A45" s="3">
        <v>44.0</v>
      </c>
      <c r="B45" s="3" t="s">
        <v>2431</v>
      </c>
      <c r="C45" s="3" t="s">
        <v>2432</v>
      </c>
      <c r="D45" s="3" t="s">
        <v>82</v>
      </c>
      <c r="E45" s="3" t="s">
        <v>2433</v>
      </c>
      <c r="F45" s="2"/>
      <c r="G45" s="3" t="str">
        <f>IFERROR(__xludf.DUMMYFUNCTION("GOOGLETRANSLATE(A45, ""it"", ""en"")"),"44")</f>
        <v>44</v>
      </c>
      <c r="H45" s="3" t="str">
        <f>IFERROR(__xludf.DUMMYFUNCTION("GOOGLETRANSLATE(B45, ""it"", ""en"")"),"How many free substitutions can a team make during a match?")</f>
        <v>How many free substitutions can a team make during a match?</v>
      </c>
      <c r="I45" s="3" t="str">
        <f>IFERROR(__xludf.DUMMYFUNCTION("GOOGLETRANSLATE(C45, ""it"", ""en"")"),"A. 5 B. 7 C. Unlimited D. 10")</f>
        <v>A. 5 B. 7 C. Unlimited D. 10</v>
      </c>
      <c r="J45" s="3" t="str">
        <f>IFERROR(__xludf.DUMMYFUNCTION("GOOGLETRANSLATE(D45, ""it"", ""en"")"),"Unlimited")</f>
        <v>Unlimited</v>
      </c>
      <c r="K45" s="3" t="str">
        <f>IFERROR(__xludf.DUMMYFUNCTION("GOOGLETRANSLATE(E45, ""it"", ""en"")"),"Teams can make an unlimited number of substitutions during the game.")</f>
        <v>Teams can make an unlimited number of substitutions during the game.</v>
      </c>
      <c r="L45" s="2"/>
      <c r="M45" s="2"/>
      <c r="N45" s="2"/>
      <c r="O45" s="2"/>
      <c r="P45" s="2"/>
      <c r="Q45" s="2"/>
      <c r="R45" s="2"/>
      <c r="S45" s="2"/>
    </row>
    <row r="46" ht="22.5" customHeight="1">
      <c r="A46" s="3">
        <v>45.0</v>
      </c>
      <c r="B46" s="3" t="s">
        <v>2434</v>
      </c>
      <c r="C46" s="3" t="s">
        <v>2435</v>
      </c>
      <c r="D46" s="3" t="s">
        <v>2436</v>
      </c>
      <c r="E46" s="3" t="s">
        <v>2437</v>
      </c>
      <c r="F46" s="2"/>
      <c r="G46" s="3" t="str">
        <f>IFERROR(__xludf.DUMMYFUNCTION("GOOGLETRANSLATE(A46, ""it"", ""en"")"),"45")</f>
        <v>45</v>
      </c>
      <c r="H46" s="3" t="str">
        <f>IFERROR(__xludf.DUMMYFUNCTION("GOOGLETRANSLATE(B46, ""it"", ""en"")"),"What is the signal used to indicate the end of a period of play?")</f>
        <v>What is the signal used to indicate the end of a period of play?</v>
      </c>
      <c r="I46" s="3" t="str">
        <f>IFERROR(__xludf.DUMMYFUNCTION("GOOGLETRANSLATE(C46, ""it"", ""en"")"),"A. A whistle B. A siren C. A drumbeat D. A sign")</f>
        <v>A. A whistle B. A siren C. A drumbeat D. A sign</v>
      </c>
      <c r="J46" s="3" t="str">
        <f>IFERROR(__xludf.DUMMYFUNCTION("GOOGLETRANSLATE(D46, ""it"", ""en"")"),"A mermaid")</f>
        <v>A mermaid</v>
      </c>
      <c r="K46" s="3" t="str">
        <f>IFERROR(__xludf.DUMMYFUNCTION("GOOGLETRANSLATE(E46, ""it"", ""en"")"),"A siren indicates the end of a period of play.")</f>
        <v>A siren indicates the end of a period of play.</v>
      </c>
      <c r="L46" s="2"/>
      <c r="M46" s="2"/>
      <c r="N46" s="2"/>
      <c r="O46" s="2"/>
      <c r="P46" s="2"/>
      <c r="Q46" s="2"/>
      <c r="R46" s="2"/>
      <c r="S46" s="2"/>
    </row>
    <row r="47" ht="22.5" customHeight="1">
      <c r="A47" s="3">
        <v>46.0</v>
      </c>
      <c r="B47" s="3" t="s">
        <v>2438</v>
      </c>
      <c r="C47" s="3" t="s">
        <v>2439</v>
      </c>
      <c r="D47" s="3" t="s">
        <v>2440</v>
      </c>
      <c r="E47" s="3" t="s">
        <v>2441</v>
      </c>
      <c r="F47" s="2"/>
      <c r="G47" s="3" t="str">
        <f>IFERROR(__xludf.DUMMYFUNCTION("GOOGLETRANSLATE(A47, ""it"", ""en"")"),"46")</f>
        <v>46</v>
      </c>
      <c r="H47" s="3" t="str">
        <f>IFERROR(__xludf.DUMMYFUNCTION("GOOGLETRANSLATE(B47, ""it"", ""en"")"),"What happens if a player shoots the ball with both hands?")</f>
        <v>What happens if a player shoots the ball with both hands?</v>
      </c>
      <c r="I47" s="3" t="str">
        <f>IFERROR(__xludf.DUMMYFUNCTION("GOOGLETRANSLATE(C47, ""it"", ""en"")"),"A. Nothing B. A foul is awarded C. A caution is given D. The shot is disallowed")</f>
        <v>A. Nothing B. A foul is awarded C. A caution is given D. The shot is disallowed</v>
      </c>
      <c r="J47" s="3" t="str">
        <f>IFERROR(__xludf.DUMMYFUNCTION("GOOGLETRANSLATE(D47, ""it"", ""en"")"),"A foul is awarded")</f>
        <v>A foul is awarded</v>
      </c>
      <c r="K47" s="3" t="str">
        <f>IFERROR(__xludf.DUMMYFUNCTION("GOOGLETRANSLATE(E47, ""it"", ""en"")"),"It is not permitted to use both hands to shoot.")</f>
        <v>It is not permitted to use both hands to shoot.</v>
      </c>
      <c r="L47" s="2"/>
      <c r="M47" s="2"/>
      <c r="N47" s="2"/>
      <c r="O47" s="2"/>
      <c r="P47" s="2"/>
      <c r="Q47" s="2"/>
      <c r="R47" s="2"/>
      <c r="S47" s="2"/>
    </row>
    <row r="48" ht="22.5" customHeight="1">
      <c r="A48" s="3">
        <v>47.0</v>
      </c>
      <c r="B48" s="3" t="s">
        <v>2442</v>
      </c>
      <c r="C48" s="3" t="s">
        <v>2443</v>
      </c>
      <c r="D48" s="3" t="s">
        <v>2444</v>
      </c>
      <c r="E48" s="3" t="s">
        <v>2445</v>
      </c>
      <c r="F48" s="2"/>
      <c r="G48" s="3" t="str">
        <f>IFERROR(__xludf.DUMMYFUNCTION("GOOGLETRANSLATE(A48, ""it"", ""en"")"),"47")</f>
        <v>47</v>
      </c>
      <c r="H48" s="3" t="str">
        <f>IFERROR(__xludf.DUMMYFUNCTION("GOOGLETRANSLATE(B48, ""it"", ""en"")"),"What does a 2-meter line from the goal indicate?")</f>
        <v>What does a 2-meter line from the goal indicate?</v>
      </c>
      <c r="I48" s="3" t="str">
        <f>IFERROR(__xludf.DUMMYFUNCTION("GOOGLETRANSLATE(C48, ""it"", ""en"")"),"A. Goalkeeper's area B. Offside area C. Penalty area D. Expulsion area")</f>
        <v>A. Goalkeeper's area B. Offside area C. Penalty area D. Expulsion area</v>
      </c>
      <c r="J48" s="3" t="str">
        <f>IFERROR(__xludf.DUMMYFUNCTION("GOOGLETRANSLATE(D48, ""it"", ""en"")"),"Offside area")</f>
        <v>Offside area</v>
      </c>
      <c r="K48" s="3" t="str">
        <f>IFERROR(__xludf.DUMMYFUNCTION("GOOGLETRANSLATE(E48, ""it"", ""en"")"),"The 2-metre line indicates the offside area for attacking players.")</f>
        <v>The 2-metre line indicates the offside area for attacking players.</v>
      </c>
      <c r="L48" s="2"/>
      <c r="M48" s="2"/>
      <c r="N48" s="2"/>
      <c r="O48" s="2"/>
      <c r="P48" s="2"/>
      <c r="Q48" s="2"/>
      <c r="R48" s="2"/>
      <c r="S48" s="2"/>
    </row>
    <row r="49" ht="22.5" customHeight="1">
      <c r="A49" s="3">
        <v>48.0</v>
      </c>
      <c r="B49" s="3" t="s">
        <v>2446</v>
      </c>
      <c r="C49" s="3" t="s">
        <v>2447</v>
      </c>
      <c r="D49" s="3" t="s">
        <v>2448</v>
      </c>
      <c r="E49" s="3" t="s">
        <v>2449</v>
      </c>
      <c r="F49" s="2"/>
      <c r="G49" s="3" t="str">
        <f>IFERROR(__xludf.DUMMYFUNCTION("GOOGLETRANSLATE(A49, ""it"", ""en"")"),"48")</f>
        <v>48</v>
      </c>
      <c r="H49" s="3" t="str">
        <f>IFERROR(__xludf.DUMMYFUNCTION("GOOGLETRANSLATE(B49, ""it"", ""en"")"),"Who can call a timeout during the game?")</f>
        <v>Who can call a timeout during the game?</v>
      </c>
      <c r="I49" s="3" t="str">
        <f>IFERROR(__xludf.DUMMYFUNCTION("GOOGLETRANSLATE(C49, ""it"", ""en"")"),"A. A player B. The goalkeeper C. A coach D. The referee")</f>
        <v>A. A player B. The goalkeeper C. A coach D. The referee</v>
      </c>
      <c r="J49" s="3" t="str">
        <f>IFERROR(__xludf.DUMMYFUNCTION("GOOGLETRANSLATE(D49, ""it"", ""en"")"),"A coach")</f>
        <v>A coach</v>
      </c>
      <c r="K49" s="3" t="str">
        <f>IFERROR(__xludf.DUMMYFUNCTION("GOOGLETRANSLATE(E49, ""it"", ""en"")"),"Only coaches can call a time-out.")</f>
        <v>Only coaches can call a time-out.</v>
      </c>
      <c r="L49" s="2"/>
      <c r="M49" s="2"/>
      <c r="N49" s="2"/>
      <c r="O49" s="2"/>
      <c r="P49" s="2"/>
      <c r="Q49" s="2"/>
      <c r="R49" s="2"/>
      <c r="S49" s="2"/>
    </row>
    <row r="50" ht="22.5" customHeight="1">
      <c r="A50" s="3">
        <v>49.0</v>
      </c>
      <c r="B50" s="3" t="s">
        <v>2450</v>
      </c>
      <c r="C50" s="3" t="s">
        <v>2451</v>
      </c>
      <c r="D50" s="3" t="s">
        <v>2452</v>
      </c>
      <c r="E50" s="3" t="s">
        <v>2453</v>
      </c>
      <c r="F50" s="2"/>
      <c r="G50" s="3" t="str">
        <f>IFERROR(__xludf.DUMMYFUNCTION("GOOGLETRANSLATE(A50, ""it"", ""en"")"),"49")</f>
        <v>49</v>
      </c>
      <c r="H50" s="3" t="str">
        <f>IFERROR(__xludf.DUMMYFUNCTION("GOOGLETRANSLATE(B50, ""it"", ""en"")"),"How much time does a player have to take a penalty shot?")</f>
        <v>How much time does a player have to take a penalty shot?</v>
      </c>
      <c r="I50" s="3" t="str">
        <f>IFERROR(__xludf.DUMMYFUNCTION("GOOGLETRANSLATE(C50, ""it"", ""en"")"),"A. 5 seconds B. 6 seconds C. 8 seconds D. 10 seconds")</f>
        <v>A. 5 seconds B. 6 seconds C. 8 seconds D. 10 seconds</v>
      </c>
      <c r="J50" s="3" t="str">
        <f>IFERROR(__xludf.DUMMYFUNCTION("GOOGLETRANSLATE(D50, ""it"", ""en"")"),"5 seconds")</f>
        <v>5 seconds</v>
      </c>
      <c r="K50" s="3" t="str">
        <f>IFERROR(__xludf.DUMMYFUNCTION("GOOGLETRANSLATE(E50, ""it"", ""en"")"),"A player has 5 seconds to take a penalty.")</f>
        <v>A player has 5 seconds to take a penalty.</v>
      </c>
      <c r="L50" s="2"/>
      <c r="M50" s="2"/>
      <c r="N50" s="2"/>
      <c r="O50" s="2"/>
      <c r="P50" s="2"/>
      <c r="Q50" s="2"/>
      <c r="R50" s="2"/>
      <c r="S50" s="2"/>
    </row>
    <row r="51" ht="22.5" customHeight="1">
      <c r="A51" s="3">
        <v>50.0</v>
      </c>
      <c r="B51" s="3" t="s">
        <v>2454</v>
      </c>
      <c r="C51" s="3" t="s">
        <v>2455</v>
      </c>
      <c r="D51" s="3" t="s">
        <v>2456</v>
      </c>
      <c r="E51" s="3" t="s">
        <v>2457</v>
      </c>
      <c r="F51" s="2"/>
      <c r="G51" s="3" t="str">
        <f>IFERROR(__xludf.DUMMYFUNCTION("GOOGLETRANSLATE(A51, ""it"", ""en"")"),"50")</f>
        <v>50</v>
      </c>
      <c r="H51" s="3" t="str">
        <f>IFERROR(__xludf.DUMMYFUNCTION("GOOGLETRANSLATE(B51, ""it"", ""en"")"),"What happens if a goalkeeper touches the ball beyond the halfway line?")</f>
        <v>What happens if a goalkeeper touches the ball beyond the halfway line?</v>
      </c>
      <c r="I51" s="3" t="str">
        <f>IFERROR(__xludf.DUMMYFUNCTION("GOOGLETRANSLATE(C51, ""it"", ""en"")"),"A. Nothing B. A foul is called C. Possession changes D. The goalkeeper is cautioned")</f>
        <v>A. Nothing B. A foul is called C. Possession changes D. The goalkeeper is cautioned</v>
      </c>
      <c r="J51" s="3" t="str">
        <f>IFERROR(__xludf.DUMMYFUNCTION("GOOGLETRANSLATE(D51, ""it"", ""en"")"),"Possession changes")</f>
        <v>Possession changes</v>
      </c>
      <c r="K51" s="3" t="str">
        <f>IFERROR(__xludf.DUMMYFUNCTION("GOOGLETRANSLATE(E51, ""it"", ""en"")"),"The goalkeeper cannot touch the ball beyond the halfway line.")</f>
        <v>The goalkeeper cannot touch the ball beyond the halfway line.</v>
      </c>
      <c r="L51" s="2"/>
      <c r="M51" s="2"/>
      <c r="N51" s="2"/>
      <c r="O51" s="2"/>
      <c r="P51" s="2"/>
      <c r="Q51" s="2"/>
      <c r="R51" s="2"/>
      <c r="S51" s="2"/>
    </row>
    <row r="52" ht="22.5" customHeight="1">
      <c r="A52" s="3">
        <v>51.0</v>
      </c>
      <c r="B52" s="3" t="s">
        <v>2458</v>
      </c>
      <c r="C52" s="3" t="s">
        <v>2459</v>
      </c>
      <c r="D52" s="3" t="s">
        <v>2460</v>
      </c>
      <c r="E52" s="3" t="s">
        <v>2461</v>
      </c>
      <c r="F52" s="2"/>
      <c r="G52" s="3" t="str">
        <f>IFERROR(__xludf.DUMMYFUNCTION("GOOGLETRANSLATE(A52, ""it"", ""en"")"),"51")</f>
        <v>51</v>
      </c>
      <c r="H52" s="3" t="str">
        <f>IFERROR(__xludf.DUMMYFUNCTION("GOOGLETRANSLATE(B52, ""it"", ""en"")"),"How wide should a regulation water polo pool be?")</f>
        <v>How wide should a regulation water polo pool be?</v>
      </c>
      <c r="I52" s="3" t="str">
        <f>IFERROR(__xludf.DUMMYFUNCTION("GOOGLETRANSLATE(C52, ""it"", ""en"")"),"A. 15 meters B. 20 meters C. 25 meters D. 30 meters")</f>
        <v>A. 15 meters B. 20 meters C. 25 meters D. 30 meters</v>
      </c>
      <c r="J52" s="3" t="str">
        <f>IFERROR(__xludf.DUMMYFUNCTION("GOOGLETRANSLATE(D52, ""it"", ""en"")"),"20 meters")</f>
        <v>20 meters</v>
      </c>
      <c r="K52" s="3" t="str">
        <f>IFERROR(__xludf.DUMMYFUNCTION("GOOGLETRANSLATE(E52, ""it"", ""en"")"),"The regulation width is 20 metres.")</f>
        <v>The regulation width is 20 metres.</v>
      </c>
      <c r="L52" s="2"/>
      <c r="M52" s="2"/>
      <c r="N52" s="2"/>
      <c r="O52" s="2"/>
      <c r="P52" s="2"/>
      <c r="Q52" s="2"/>
      <c r="R52" s="2"/>
      <c r="S52" s="2"/>
    </row>
    <row r="53" ht="22.5" customHeight="1">
      <c r="A53" s="3">
        <v>52.0</v>
      </c>
      <c r="B53" s="3" t="s">
        <v>2462</v>
      </c>
      <c r="C53" s="3" t="s">
        <v>2463</v>
      </c>
      <c r="D53" s="3" t="s">
        <v>2464</v>
      </c>
      <c r="E53" s="3" t="s">
        <v>2465</v>
      </c>
      <c r="F53" s="2"/>
      <c r="G53" s="3" t="str">
        <f>IFERROR(__xludf.DUMMYFUNCTION("GOOGLETRANSLATE(A53, ""it"", ""en"")"),"52")</f>
        <v>52</v>
      </c>
      <c r="H53" s="3" t="str">
        <f>IFERROR(__xludf.DUMMYFUNCTION("GOOGLETRANSLATE(B53, ""it"", ""en"")"),"What is the penalty for a brutality foul?")</f>
        <v>What is the penalty for a brutality foul?</v>
      </c>
      <c r="I53" s="3" t="str">
        <f>IFERROR(__xludf.DUMMYFUNCTION("GOOGLETRANSLATE(C53, ""it"", ""en"")"),"A. Permanent expulsion B. Temporary expulsion C. Awarding of a penalty D. Warning")</f>
        <v>A. Permanent expulsion B. Temporary expulsion C. Awarding of a penalty D. Warning</v>
      </c>
      <c r="J53" s="3" t="str">
        <f>IFERROR(__xludf.DUMMYFUNCTION("GOOGLETRANSLATE(D53, ""it"", ""en"")"),"Permanent expulsion")</f>
        <v>Permanent expulsion</v>
      </c>
      <c r="K53" s="3" t="str">
        <f>IFERROR(__xludf.DUMMYFUNCTION("GOOGLETRANSLATE(E53, ""it"", ""en"")"),"A brutal foul leads to a permanent expulsion.")</f>
        <v>A brutal foul leads to a permanent expulsion.</v>
      </c>
      <c r="L53" s="2"/>
      <c r="M53" s="2"/>
      <c r="N53" s="2"/>
      <c r="O53" s="2"/>
      <c r="P53" s="2"/>
      <c r="Q53" s="2"/>
      <c r="R53" s="2"/>
      <c r="S53" s="2"/>
    </row>
    <row r="54" ht="22.5" customHeight="1">
      <c r="A54" s="3">
        <v>53.0</v>
      </c>
      <c r="B54" s="3" t="s">
        <v>2466</v>
      </c>
      <c r="C54" s="3" t="s">
        <v>2467</v>
      </c>
      <c r="D54" s="3" t="s">
        <v>2341</v>
      </c>
      <c r="E54" s="3" t="s">
        <v>2468</v>
      </c>
      <c r="F54" s="2"/>
      <c r="G54" s="3" t="str">
        <f>IFERROR(__xludf.DUMMYFUNCTION("GOOGLETRANSLATE(A54, ""it"", ""en"")"),"53")</f>
        <v>53</v>
      </c>
      <c r="H54" s="3" t="str">
        <f>IFERROR(__xludf.DUMMYFUNCTION("GOOGLETRANSLATE(B54, ""it"", ""en"")"),"How many meters must a player swim for a free exchange?")</f>
        <v>How many meters must a player swim for a free exchange?</v>
      </c>
      <c r="I54" s="3" t="str">
        <f>IFERROR(__xludf.DUMMYFUNCTION("GOOGLETRANSLATE(C54, ""it"", ""en"")"),"A. 2 meters B. 3 meters C. 5 meters D. 7 meters")</f>
        <v>A. 2 meters B. 3 meters C. 5 meters D. 7 meters</v>
      </c>
      <c r="J54" s="3" t="str">
        <f>IFERROR(__xludf.DUMMYFUNCTION("GOOGLETRANSLATE(D54, ""it"", ""en"")"),"10 foot")</f>
        <v>10 foot</v>
      </c>
      <c r="K54" s="3" t="str">
        <f>IFERROR(__xludf.DUMMYFUNCTION("GOOGLETRANSLATE(E54, ""it"", ""en"")"),"A player must swim to the 3-meter line to make a free change.")</f>
        <v>A player must swim to the 3-meter line to make a free change.</v>
      </c>
      <c r="L54" s="2"/>
      <c r="M54" s="2"/>
      <c r="N54" s="2"/>
      <c r="O54" s="2"/>
      <c r="P54" s="2"/>
      <c r="Q54" s="2"/>
      <c r="R54" s="2"/>
      <c r="S54" s="2"/>
    </row>
    <row r="55" ht="22.5" customHeight="1">
      <c r="A55" s="3">
        <v>54.0</v>
      </c>
      <c r="B55" s="3" t="s">
        <v>2469</v>
      </c>
      <c r="C55" s="3" t="s">
        <v>2470</v>
      </c>
      <c r="D55" s="3" t="s">
        <v>2471</v>
      </c>
      <c r="E55" s="3" t="s">
        <v>2472</v>
      </c>
      <c r="F55" s="2"/>
      <c r="G55" s="3" t="str">
        <f>IFERROR(__xludf.DUMMYFUNCTION("GOOGLETRANSLATE(A55, ""it"", ""en"")"),"54")</f>
        <v>54</v>
      </c>
      <c r="H55" s="3" t="str">
        <f>IFERROR(__xludf.DUMMYFUNCTION("GOOGLETRANSLATE(B55, ""it"", ""en"")"),"What happens if the ball hits the edge of the pool?")</f>
        <v>What happens if the ball hits the edge of the pool?</v>
      </c>
      <c r="I55" s="3" t="str">
        <f>IFERROR(__xludf.DUMMYFUNCTION("GOOGLETRANSLATE(C55, ""it"", ""en"")"),"A. Nothing B. A foul is called C. Possession changes D. A throw-in is awarded")</f>
        <v>A. Nothing B. A foul is called C. Possession changes D. A throw-in is awarded</v>
      </c>
      <c r="J55" s="3" t="str">
        <f>IFERROR(__xludf.DUMMYFUNCTION("GOOGLETRANSLATE(D55, ""it"", ""en"")"),"A throw-in is awarded")</f>
        <v>A throw-in is awarded</v>
      </c>
      <c r="K55" s="3" t="str">
        <f>IFERROR(__xludf.DUMMYFUNCTION("GOOGLETRANSLATE(E55, ""it"", ""en"")"),"If the ball touches the edge")</f>
        <v>If the ball touches the edge</v>
      </c>
      <c r="L55" s="2"/>
      <c r="M55" s="2"/>
      <c r="N55" s="2"/>
      <c r="O55" s="2"/>
      <c r="P55" s="2"/>
      <c r="Q55" s="2"/>
      <c r="R55" s="2"/>
      <c r="S55" s="2"/>
    </row>
    <row r="56" ht="22.5" customHeight="1">
      <c r="A56" s="3">
        <v>55.0</v>
      </c>
      <c r="B56" s="3" t="s">
        <v>2359</v>
      </c>
      <c r="C56" s="3" t="s">
        <v>2473</v>
      </c>
      <c r="D56" s="3" t="s">
        <v>2444</v>
      </c>
      <c r="E56" s="3" t="s">
        <v>2474</v>
      </c>
      <c r="F56" s="2"/>
      <c r="G56" s="3" t="str">
        <f>IFERROR(__xludf.DUMMYFUNCTION("GOOGLETRANSLATE(A56, ""it"", ""en"")"),"55")</f>
        <v>55</v>
      </c>
      <c r="H56" s="3" t="str">
        <f>IFERROR(__xludf.DUMMYFUNCTION("GOOGLETRANSLATE(B56, ""it"", ""en"")"),"What do the red lines 2 meters from the goal represent?")</f>
        <v>What do the red lines 2 meters from the goal represent?</v>
      </c>
      <c r="I56" s="3" t="str">
        <f>IFERROR(__xludf.DUMMYFUNCTION("GOOGLETRANSLATE(C56, ""it"", ""en"")"),"A. Penalty area B. Offside area C. Goalkeeper's area D. Free throw area")</f>
        <v>A. Penalty area B. Offside area C. Goalkeeper's area D. Free throw area</v>
      </c>
      <c r="J56" s="3" t="str">
        <f>IFERROR(__xludf.DUMMYFUNCTION("GOOGLETRANSLATE(D56, ""it"", ""en"")"),"Offside area")</f>
        <v>Offside area</v>
      </c>
      <c r="K56" s="3" t="str">
        <f>IFERROR(__xludf.DUMMYFUNCTION("GOOGLETRANSLATE(E56, ""it"", ""en"")"),"Players cannot receive passes inside the 2-metre area if they are already positioned there.")</f>
        <v>Players cannot receive passes inside the 2-metre area if they are already positioned there.</v>
      </c>
      <c r="L56" s="2"/>
      <c r="M56" s="2"/>
      <c r="N56" s="2"/>
      <c r="O56" s="2"/>
      <c r="P56" s="2"/>
      <c r="Q56" s="2"/>
      <c r="R56" s="2"/>
      <c r="S56" s="2"/>
    </row>
    <row r="57" ht="22.5" customHeight="1">
      <c r="A57" s="3">
        <v>56.0</v>
      </c>
      <c r="B57" s="3" t="s">
        <v>2475</v>
      </c>
      <c r="C57" s="3" t="s">
        <v>2476</v>
      </c>
      <c r="D57" s="3" t="s">
        <v>2477</v>
      </c>
      <c r="E57" s="3" t="s">
        <v>2478</v>
      </c>
      <c r="F57" s="2"/>
      <c r="G57" s="3" t="str">
        <f>IFERROR(__xludf.DUMMYFUNCTION("GOOGLETRANSLATE(A57, ""it"", ""en"")"),"56")</f>
        <v>56</v>
      </c>
      <c r="H57" s="3" t="str">
        <f>IFERROR(__xludf.DUMMYFUNCTION("GOOGLETRANSLATE(B57, ""it"", ""en"")"),"What does it mean if a referee raises both arms?")</f>
        <v>What does it mean if a referee raises both arms?</v>
      </c>
      <c r="I57" s="3" t="str">
        <f>IFERROR(__xludf.DUMMYFUNCTION("GOOGLETRANSLATE(C57, ""it"", ""en"")"),"A. Indicates a valid goal B. Indicates a foul C. Signals the end of possession D. Awards a penalty")</f>
        <v>A. Indicates a valid goal B. Indicates a foul C. Signals the end of possession D. Awards a penalty</v>
      </c>
      <c r="J57" s="3" t="str">
        <f>IFERROR(__xludf.DUMMYFUNCTION("GOOGLETRANSLATE(D57, ""it"", ""en"")"),"Report the end of possession")</f>
        <v>Report the end of possession</v>
      </c>
      <c r="K57" s="3" t="str">
        <f>IFERROR(__xludf.DUMMYFUNCTION("GOOGLETRANSLATE(E57, ""it"", ""en"")"),"The referee raises both arms to indicate the end of possession.")</f>
        <v>The referee raises both arms to indicate the end of possession.</v>
      </c>
      <c r="L57" s="2"/>
      <c r="M57" s="2"/>
      <c r="N57" s="2"/>
      <c r="O57" s="2"/>
      <c r="P57" s="2"/>
      <c r="Q57" s="2"/>
      <c r="R57" s="2"/>
      <c r="S57" s="2"/>
    </row>
    <row r="58" ht="22.5" customHeight="1">
      <c r="A58" s="3">
        <v>57.0</v>
      </c>
      <c r="B58" s="3" t="s">
        <v>2479</v>
      </c>
      <c r="C58" s="3" t="s">
        <v>2480</v>
      </c>
      <c r="D58" s="3" t="s">
        <v>2481</v>
      </c>
      <c r="E58" s="3" t="s">
        <v>2482</v>
      </c>
      <c r="F58" s="2"/>
      <c r="G58" s="3" t="str">
        <f>IFERROR(__xludf.DUMMYFUNCTION("GOOGLETRANSLATE(A58, ""it"", ""en"")"),"57")</f>
        <v>57</v>
      </c>
      <c r="H58" s="3" t="str">
        <f>IFERROR(__xludf.DUMMYFUNCTION("GOOGLETRANSLATE(B58, ""it"", ""en"")"),"What happens if a goalkeeper hits an opponent?")</f>
        <v>What happens if a goalkeeper hits an opponent?</v>
      </c>
      <c r="I58" s="3" t="str">
        <f>IFERROR(__xludf.DUMMYFUNCTION("GOOGLETRANSLATE(C58, ""it"", ""en"")"),"A. Nothing B. He is cautioned C. He is sent off D. He is replaced")</f>
        <v>A. Nothing B. He is cautioned C. He is sent off D. He is replaced</v>
      </c>
      <c r="J58" s="3" t="str">
        <f>IFERROR(__xludf.DUMMYFUNCTION("GOOGLETRANSLATE(D58, ""it"", ""en"")"),"He is expelled")</f>
        <v>He is expelled</v>
      </c>
      <c r="K58" s="3" t="str">
        <f>IFERROR(__xludf.DUMMYFUNCTION("GOOGLETRANSLATE(E58, ""it"", ""en"")"),"A goalkeeper who hits an opponent is subject to a red card.")</f>
        <v>A goalkeeper who hits an opponent is subject to a red card.</v>
      </c>
      <c r="L58" s="2"/>
      <c r="M58" s="2"/>
      <c r="N58" s="2"/>
      <c r="O58" s="2"/>
      <c r="P58" s="2"/>
      <c r="Q58" s="2"/>
      <c r="R58" s="2"/>
      <c r="S58" s="2"/>
    </row>
    <row r="59" ht="22.5" customHeight="1">
      <c r="A59" s="3">
        <v>58.0</v>
      </c>
      <c r="B59" s="3" t="s">
        <v>2483</v>
      </c>
      <c r="C59" s="3" t="s">
        <v>2484</v>
      </c>
      <c r="D59" s="3" t="s">
        <v>2485</v>
      </c>
      <c r="E59" s="3" t="s">
        <v>2486</v>
      </c>
      <c r="F59" s="2"/>
      <c r="G59" s="3" t="str">
        <f>IFERROR(__xludf.DUMMYFUNCTION("GOOGLETRANSLATE(A59, ""it"", ""en"")"),"58")</f>
        <v>58</v>
      </c>
      <c r="H59" s="3" t="str">
        <f>IFERROR(__xludf.DUMMYFUNCTION("GOOGLETRANSLATE(B59, ""it"", ""en"")"),"What happens if the ball doesn't quite go into the goal?")</f>
        <v>What happens if the ball doesn't quite go into the goal?</v>
      </c>
      <c r="I59" s="3" t="str">
        <f>IFERROR(__xludf.DUMMYFUNCTION("GOOGLETRANSLATE(C59, ""it"", ""en"")"),"A. Nothing B. It is considered a goal C. A foul is called D. Possession changes")</f>
        <v>A. Nothing B. It is considered a goal C. A foul is called D. Possession changes</v>
      </c>
      <c r="J59" s="3" t="str">
        <f>IFERROR(__xludf.DUMMYFUNCTION("GOOGLETRANSLATE(D59, ""it"", ""en"")"),"Nothing")</f>
        <v>Nothing</v>
      </c>
      <c r="K59" s="3" t="str">
        <f>IFERROR(__xludf.DUMMYFUNCTION("GOOGLETRANSLATE(E59, ""it"", ""en"")"),"A goal is only valid if the ball completely crosses the goal line.")</f>
        <v>A goal is only valid if the ball completely crosses the goal line.</v>
      </c>
      <c r="L59" s="2"/>
      <c r="M59" s="2"/>
      <c r="N59" s="2"/>
      <c r="O59" s="2"/>
      <c r="P59" s="2"/>
      <c r="Q59" s="2"/>
      <c r="R59" s="2"/>
      <c r="S59" s="2"/>
    </row>
    <row r="60" ht="22.5" customHeight="1">
      <c r="A60" s="3">
        <v>59.0</v>
      </c>
      <c r="B60" s="3" t="s">
        <v>2487</v>
      </c>
      <c r="C60" s="3" t="s">
        <v>2488</v>
      </c>
      <c r="D60" s="3" t="s">
        <v>2489</v>
      </c>
      <c r="E60" s="3" t="s">
        <v>2490</v>
      </c>
      <c r="F60" s="2"/>
      <c r="G60" s="3" t="str">
        <f>IFERROR(__xludf.DUMMYFUNCTION("GOOGLETRANSLATE(A60, ""it"", ""en"")"),"59")</f>
        <v>59</v>
      </c>
      <c r="H60" s="3" t="str">
        <f>IFERROR(__xludf.DUMMYFUNCTION("GOOGLETRANSLATE(B60, ""it"", ""en"")"),"What is the maximum height of a regulation water polo pool?")</f>
        <v>What is the maximum height of a regulation water polo pool?</v>
      </c>
      <c r="I60" s="3" t="str">
        <f>IFERROR(__xludf.DUMMYFUNCTION("GOOGLETRANSLATE(C60, ""it"", ""en"")"),"A. 2 meters B. 2.5 meters C. 3 meters D. There is no limit")</f>
        <v>A. 2 meters B. 2.5 meters C. 3 meters D. There is no limit</v>
      </c>
      <c r="J60" s="3" t="str">
        <f>IFERROR(__xludf.DUMMYFUNCTION("GOOGLETRANSLATE(D60, ""it"", ""en"")"),"There is no limit")</f>
        <v>There is no limit</v>
      </c>
      <c r="K60" s="3" t="str">
        <f>IFERROR(__xludf.DUMMYFUNCTION("GOOGLETRANSLATE(E60, ""it"", ""en"")"),"The pool has no set maximum height limit.")</f>
        <v>The pool has no set maximum height limit.</v>
      </c>
      <c r="L60" s="2"/>
      <c r="M60" s="2"/>
      <c r="N60" s="2"/>
      <c r="O60" s="2"/>
      <c r="P60" s="2"/>
      <c r="Q60" s="2"/>
      <c r="R60" s="2"/>
      <c r="S60" s="2"/>
    </row>
    <row r="61" ht="22.5" customHeight="1">
      <c r="A61" s="3">
        <v>60.0</v>
      </c>
      <c r="B61" s="3" t="s">
        <v>2491</v>
      </c>
      <c r="C61" s="3" t="s">
        <v>2492</v>
      </c>
      <c r="D61" s="3" t="s">
        <v>2493</v>
      </c>
      <c r="E61" s="3" t="s">
        <v>2494</v>
      </c>
      <c r="F61" s="2"/>
      <c r="G61" s="3" t="str">
        <f>IFERROR(__xludf.DUMMYFUNCTION("GOOGLETRANSLATE(A61, ""it"", ""en"")"),"60")</f>
        <v>60</v>
      </c>
      <c r="H61" s="3" t="str">
        <f>IFERROR(__xludf.DUMMYFUNCTION("GOOGLETRANSLATE(B61, ""it"", ""en"")"),"How do you score a valid goal in water polo?")</f>
        <v>How do you score a valid goal in water polo?</v>
      </c>
      <c r="I61" s="3" t="str">
        <f>IFERROR(__xludf.DUMMYFUNCTION("GOOGLETRANSLATE(C61, ""it"", ""en"")"),"A. Shooting with two hands B. Shooting with one hand C. Pushing the ball D. Shooting the ball over the goal line with the whole ball")</f>
        <v>A. Shooting with two hands B. Shooting with one hand C. Pushing the ball D. Shooting the ball over the goal line with the whole ball</v>
      </c>
      <c r="J61" s="3" t="str">
        <f>IFERROR(__xludf.DUMMYFUNCTION("GOOGLETRANSLATE(D61, ""it"", ""en"")"),"Kicking the ball over the goal line with the whole sphere")</f>
        <v>Kicking the ball over the goal line with the whole sphere</v>
      </c>
      <c r="K61" s="3" t="str">
        <f>IFERROR(__xludf.DUMMYFUNCTION("GOOGLETRANSLATE(E61, ""it"", ""en"")"),"A goal is only valid if the entire ball crosses the goal line.")</f>
        <v>A goal is only valid if the entire ball crosses the goal line.</v>
      </c>
      <c r="L61" s="2"/>
      <c r="M61" s="2"/>
      <c r="N61" s="2"/>
      <c r="O61" s="2"/>
      <c r="P61" s="2"/>
      <c r="Q61" s="2"/>
      <c r="R61" s="2"/>
      <c r="S61" s="2"/>
    </row>
    <row r="62" ht="22.5" customHeight="1">
      <c r="A62" s="3">
        <v>61.0</v>
      </c>
      <c r="B62" s="3" t="s">
        <v>2495</v>
      </c>
      <c r="C62" s="3" t="s">
        <v>2496</v>
      </c>
      <c r="D62" s="3">
        <v>6.0</v>
      </c>
      <c r="E62" s="3" t="s">
        <v>2497</v>
      </c>
      <c r="F62" s="2"/>
      <c r="G62" s="3" t="str">
        <f>IFERROR(__xludf.DUMMYFUNCTION("GOOGLETRANSLATE(A62, ""it"", ""en"")"),"61")</f>
        <v>61</v>
      </c>
      <c r="H62" s="3" t="str">
        <f>IFERROR(__xludf.DUMMYFUNCTION("GOOGLETRANSLATE(B62, ""it"", ""en"")"),"What is the minimum number of players needed to start a water polo game?")</f>
        <v>What is the minimum number of players needed to start a water polo game?</v>
      </c>
      <c r="I62" s="3" t="str">
        <f>IFERROR(__xludf.DUMMYFUNCTION("GOOGLETRANSLATE(C62, ""it"", ""en"")"),"A. 5 B. 6 C. 7 D. 8")</f>
        <v>A. 5 B. 6 C. 7 D. 8</v>
      </c>
      <c r="J62" s="3" t="str">
        <f>IFERROR(__xludf.DUMMYFUNCTION("GOOGLETRANSLATE(D62, ""it"", ""en"")"),"6")</f>
        <v>6</v>
      </c>
      <c r="K62" s="3" t="str">
        <f>IFERROR(__xludf.DUMMYFUNCTION("GOOGLETRANSLATE(E62, ""it"", ""en"")"),"To start a game")</f>
        <v>To start a game</v>
      </c>
      <c r="L62" s="2"/>
      <c r="M62" s="2"/>
      <c r="N62" s="2"/>
      <c r="O62" s="2"/>
      <c r="P62" s="2"/>
      <c r="Q62" s="2"/>
      <c r="R62" s="2"/>
      <c r="S62" s="2"/>
    </row>
    <row r="63" ht="22.5" customHeight="1">
      <c r="A63" s="3">
        <v>62.0</v>
      </c>
      <c r="B63" s="3" t="s">
        <v>2498</v>
      </c>
      <c r="C63" s="3" t="s">
        <v>2499</v>
      </c>
      <c r="D63" s="3" t="s">
        <v>2500</v>
      </c>
      <c r="E63" s="3" t="s">
        <v>2501</v>
      </c>
      <c r="F63" s="2"/>
      <c r="G63" s="3" t="str">
        <f>IFERROR(__xludf.DUMMYFUNCTION("GOOGLETRANSLATE(A63, ""it"", ""en"")"),"62")</f>
        <v>62</v>
      </c>
      <c r="H63" s="3" t="str">
        <f>IFERROR(__xludf.DUMMYFUNCTION("GOOGLETRANSLATE(B63, ""it"", ""en"")"),"What type of foul is committed when a player impedes an opponent's movement with his body?")</f>
        <v>What type of foul is committed when a player impedes an opponent's movement with his body?</v>
      </c>
      <c r="I63" s="3" t="str">
        <f>IFERROR(__xludf.DUMMYFUNCTION("GOOGLETRANSLATE(C63, ""it"", ""en"")"),"A. Technical foul B. Serious foul C. Minor foul D. Playing foul")</f>
        <v>A. Technical foul B. Serious foul C. Minor foul D. Playing foul</v>
      </c>
      <c r="J63" s="3" t="str">
        <f>IFERROR(__xludf.DUMMYFUNCTION("GOOGLETRANSLATE(D63, ""it"", ""en"")"),"Minor foul")</f>
        <v>Minor foul</v>
      </c>
      <c r="K63" s="3" t="str">
        <f>IFERROR(__xludf.DUMMYFUNCTION("GOOGLETRANSLATE(E63, ""it"", ""en"")"),"Light physical contact that is not intentional is a minor foul.")</f>
        <v>Light physical contact that is not intentional is a minor foul.</v>
      </c>
      <c r="L63" s="2"/>
      <c r="M63" s="2"/>
      <c r="N63" s="2"/>
      <c r="O63" s="2"/>
      <c r="P63" s="2"/>
      <c r="Q63" s="2"/>
      <c r="R63" s="2"/>
      <c r="S63" s="2"/>
    </row>
    <row r="64" ht="22.5" customHeight="1">
      <c r="A64" s="3">
        <v>63.0</v>
      </c>
      <c r="B64" s="3" t="s">
        <v>2502</v>
      </c>
      <c r="C64" s="3" t="s">
        <v>2503</v>
      </c>
      <c r="D64" s="3" t="s">
        <v>2504</v>
      </c>
      <c r="E64" s="3" t="s">
        <v>2505</v>
      </c>
      <c r="F64" s="2"/>
      <c r="G64" s="3" t="str">
        <f>IFERROR(__xludf.DUMMYFUNCTION("GOOGLETRANSLATE(A64, ""it"", ""en"")"),"63")</f>
        <v>63</v>
      </c>
      <c r="H64" s="3" t="str">
        <f>IFERROR(__xludf.DUMMYFUNCTION("GOOGLETRANSLATE(B64, ""it"", ""en"")"),"What happens if the ball is thrown out of the pool during a game?")</f>
        <v>What happens if the ball is thrown out of the pool during a game?</v>
      </c>
      <c r="I64" s="3" t="str">
        <f>IFERROR(__xludf.DUMMYFUNCTION("GOOGLETRANSLATE(C64, ""it"", ""en"")"),"A. The opposing team is awarded a throw-in B. A penalty is awarded C. The ball is contested D. A foul is awarded")</f>
        <v>A. The opposing team is awarded a throw-in B. A penalty is awarded C. The ball is contested D. A foul is awarded</v>
      </c>
      <c r="J64" s="3" t="str">
        <f>IFERROR(__xludf.DUMMYFUNCTION("GOOGLETRANSLATE(D64, ""it"", ""en"")"),"The opposing team gets a throw-in")</f>
        <v>The opposing team gets a throw-in</v>
      </c>
      <c r="K64" s="3" t="str">
        <f>IFERROR(__xludf.DUMMYFUNCTION("GOOGLETRANSLATE(E64, ""it"", ""en"")"),"The team that knocks the ball out loses possession.")</f>
        <v>The team that knocks the ball out loses possession.</v>
      </c>
      <c r="L64" s="2"/>
      <c r="M64" s="2"/>
      <c r="N64" s="2"/>
      <c r="O64" s="2"/>
      <c r="P64" s="2"/>
      <c r="Q64" s="2"/>
      <c r="R64" s="2"/>
      <c r="S64" s="2"/>
    </row>
    <row r="65" ht="22.5" customHeight="1">
      <c r="A65" s="3">
        <v>64.0</v>
      </c>
      <c r="B65" s="3" t="s">
        <v>2506</v>
      </c>
      <c r="C65" s="3" t="s">
        <v>2507</v>
      </c>
      <c r="D65" s="3" t="s">
        <v>710</v>
      </c>
      <c r="E65" s="3" t="s">
        <v>2508</v>
      </c>
      <c r="F65" s="2"/>
      <c r="G65" s="3" t="str">
        <f>IFERROR(__xludf.DUMMYFUNCTION("GOOGLETRANSLATE(A65, ""it"", ""en"")"),"64")</f>
        <v>64</v>
      </c>
      <c r="H65" s="3" t="str">
        <f>IFERROR(__xludf.DUMMYFUNCTION("GOOGLETRANSLATE(B65, ""it"", ""en"")"),"Who is responsible for determining whether a goal is a valid goal?")</f>
        <v>Who is responsible for determining whether a goal is a valid goal?</v>
      </c>
      <c r="I65" s="3" t="str">
        <f>IFERROR(__xludf.DUMMYFUNCTION("GOOGLETRANSLATE(C65, ""it"", ""en"")"),"A. The referee B. The goalkeeper C. The team captain D. The match official")</f>
        <v>A. The referee B. The goalkeeper C. The team captain D. The match official</v>
      </c>
      <c r="J65" s="3" t="str">
        <f>IFERROR(__xludf.DUMMYFUNCTION("GOOGLETRANSLATE(D65, ""it"", ""en"")"),"The referee")</f>
        <v>The referee</v>
      </c>
      <c r="K65" s="3" t="str">
        <f>IFERROR(__xludf.DUMMYFUNCTION("GOOGLETRANSLATE(E65, ""it"", ""en"")"),"It is the referee's job to decide whether the goal is valid or not.")</f>
        <v>It is the referee's job to decide whether the goal is valid or not.</v>
      </c>
      <c r="L65" s="2"/>
      <c r="M65" s="2"/>
      <c r="N65" s="2"/>
      <c r="O65" s="2"/>
      <c r="P65" s="2"/>
      <c r="Q65" s="2"/>
      <c r="R65" s="2"/>
      <c r="S65" s="2"/>
    </row>
    <row r="66" ht="22.5" customHeight="1">
      <c r="A66" s="3">
        <v>65.0</v>
      </c>
      <c r="B66" s="3" t="s">
        <v>2509</v>
      </c>
      <c r="C66" s="3" t="s">
        <v>2510</v>
      </c>
      <c r="D66" s="3" t="s">
        <v>2511</v>
      </c>
      <c r="E66" s="3" t="s">
        <v>2512</v>
      </c>
      <c r="F66" s="2"/>
      <c r="G66" s="3" t="str">
        <f>IFERROR(__xludf.DUMMYFUNCTION("GOOGLETRANSLATE(A66, ""it"", ""en"")"),"65")</f>
        <v>65</v>
      </c>
      <c r="H66" s="3" t="str">
        <f>IFERROR(__xludf.DUMMYFUNCTION("GOOGLETRANSLATE(B66, ""it"", ""en"")"),"What does a line 1 meter from the goal indicate?")</f>
        <v>What does a line 1 meter from the goal indicate?</v>
      </c>
      <c r="I66" s="3" t="str">
        <f>IFERROR(__xludf.DUMMYFUNCTION("GOOGLETRANSLATE(C66, ""it"", ""en"")"),"A. The distance for free throws B. The exclusion zone C. The penalty zone D. The edge of the goalkeeper's crease")</f>
        <v>A. The distance for free throws B. The exclusion zone C. The penalty zone D. The edge of the goalkeeper's crease</v>
      </c>
      <c r="J66" s="3" t="str">
        <f>IFERROR(__xludf.DUMMYFUNCTION("GOOGLETRANSLATE(D66, ""it"", ""en"")"),"The exclusion zone")</f>
        <v>The exclusion zone</v>
      </c>
      <c r="K66" s="3" t="str">
        <f>IFERROR(__xludf.DUMMYFUNCTION("GOOGLETRANSLATE(E66, ""it"", ""en"")"),"The 1-meter line marks the exclusion zone for attacking players.")</f>
        <v>The 1-meter line marks the exclusion zone for attacking players.</v>
      </c>
      <c r="L66" s="2"/>
      <c r="M66" s="2"/>
      <c r="N66" s="2"/>
      <c r="O66" s="2"/>
      <c r="P66" s="2"/>
      <c r="Q66" s="2"/>
      <c r="R66" s="2"/>
      <c r="S66" s="2"/>
    </row>
    <row r="67" ht="22.5" customHeight="1">
      <c r="A67" s="3">
        <v>66.0</v>
      </c>
      <c r="B67" s="3" t="s">
        <v>2513</v>
      </c>
      <c r="C67" s="3" t="s">
        <v>1339</v>
      </c>
      <c r="D67" s="3" t="s">
        <v>2353</v>
      </c>
      <c r="E67" s="3" t="s">
        <v>2514</v>
      </c>
      <c r="F67" s="2"/>
      <c r="G67" s="3" t="str">
        <f>IFERROR(__xludf.DUMMYFUNCTION("GOOGLETRANSLATE(A67, ""it"", ""en"")"),"66")</f>
        <v>66</v>
      </c>
      <c r="H67" s="3" t="str">
        <f>IFERROR(__xludf.DUMMYFUNCTION("GOOGLETRANSLATE(B67, ""it"", ""en"")"),"How long does a player's temporary suspension last in water polo?")</f>
        <v>How long does a player's temporary suspension last in water polo?</v>
      </c>
      <c r="I67" s="3" t="str">
        <f>IFERROR(__xludf.DUMMYFUNCTION("GOOGLETRANSLATE(C67, ""it"", ""en"")"),"A. 10 seconds B. 20 seconds C. 30 seconds D. 1 minute")</f>
        <v>A. 10 seconds B. 20 seconds C. 30 seconds D. 1 minute</v>
      </c>
      <c r="J67" s="3" t="str">
        <f>IFERROR(__xludf.DUMMYFUNCTION("GOOGLETRANSLATE(D67, ""it"", ""en"")"),"20 seconds")</f>
        <v>20 seconds</v>
      </c>
      <c r="K67" s="3" t="str">
        <f>IFERROR(__xludf.DUMMYFUNCTION("GOOGLETRANSLATE(E67, ""it"", ""en"")"),"Temporary ejection lasts 20 seconds.")</f>
        <v>Temporary ejection lasts 20 seconds.</v>
      </c>
      <c r="L67" s="2"/>
      <c r="M67" s="2"/>
      <c r="N67" s="2"/>
      <c r="O67" s="2"/>
      <c r="P67" s="2"/>
      <c r="Q67" s="2"/>
      <c r="R67" s="2"/>
      <c r="S67" s="2"/>
    </row>
    <row r="68" ht="22.5" customHeight="1">
      <c r="A68" s="3">
        <v>67.0</v>
      </c>
      <c r="B68" s="3" t="s">
        <v>2515</v>
      </c>
      <c r="C68" s="3" t="s">
        <v>2516</v>
      </c>
      <c r="D68" s="3" t="s">
        <v>2517</v>
      </c>
      <c r="E68" s="3" t="s">
        <v>2518</v>
      </c>
      <c r="F68" s="2"/>
      <c r="G68" s="3" t="str">
        <f>IFERROR(__xludf.DUMMYFUNCTION("GOOGLETRANSLATE(A68, ""it"", ""en"")"),"67")</f>
        <v>67</v>
      </c>
      <c r="H68" s="3" t="str">
        <f>IFERROR(__xludf.DUMMYFUNCTION("GOOGLETRANSLATE(B68, ""it"", ""en"")"),"Who can score a goal in water polo?")</f>
        <v>Who can score a goal in water polo?</v>
      </c>
      <c r="I68" s="3" t="str">
        <f>IFERROR(__xludf.DUMMYFUNCTION("GOOGLETRANSLATE(C68, ""it"", ""en"")"),"A. Only the goalkeeper B. Any field player C. Only the captain D. Only the defenders")</f>
        <v>A. Only the goalkeeper B. Any field player C. Only the captain D. Only the defenders</v>
      </c>
      <c r="J68" s="3" t="str">
        <f>IFERROR(__xludf.DUMMYFUNCTION("GOOGLETRANSLATE(D68, ""it"", ""en"")"),"Any outfield player")</f>
        <v>Any outfield player</v>
      </c>
      <c r="K68" s="3" t="str">
        <f>IFERROR(__xludf.DUMMYFUNCTION("GOOGLETRANSLATE(E68, ""it"", ""en"")"),"All field players can score a goal.")</f>
        <v>All field players can score a goal.</v>
      </c>
      <c r="L68" s="2"/>
      <c r="M68" s="2"/>
      <c r="N68" s="2"/>
      <c r="O68" s="2"/>
      <c r="P68" s="2"/>
      <c r="Q68" s="2"/>
      <c r="R68" s="2"/>
      <c r="S68" s="2"/>
    </row>
    <row r="69" ht="22.5" customHeight="1">
      <c r="A69" s="3">
        <v>68.0</v>
      </c>
      <c r="B69" s="3" t="s">
        <v>2519</v>
      </c>
      <c r="C69" s="3" t="s">
        <v>2520</v>
      </c>
      <c r="D69" s="3">
        <v>5.0</v>
      </c>
      <c r="E69" s="3" t="s">
        <v>2521</v>
      </c>
      <c r="F69" s="2"/>
      <c r="G69" s="3" t="str">
        <f>IFERROR(__xludf.DUMMYFUNCTION("GOOGLETRANSLATE(A69, ""it"", ""en"")"),"68")</f>
        <v>68</v>
      </c>
      <c r="H69" s="3" t="str">
        <f>IFERROR(__xludf.DUMMYFUNCTION("GOOGLETRANSLATE(B69, ""it"", ""en"")"),"How many penalty shots are taken in a shootout?")</f>
        <v>How many penalty shots are taken in a shootout?</v>
      </c>
      <c r="I69" s="3" t="str">
        <f>IFERROR(__xludf.DUMMYFUNCTION("GOOGLETRANSLATE(C69, ""it"", ""en"")"),"A. 5 B. 7 C. 3 D. 9")</f>
        <v>A. 5 B. 7 C. 3 D. 9</v>
      </c>
      <c r="J69" s="3" t="str">
        <f>IFERROR(__xludf.DUMMYFUNCTION("GOOGLETRANSLATE(D69, ""it"", ""en"")"),"5")</f>
        <v>5</v>
      </c>
      <c r="K69" s="3" t="str">
        <f>IFERROR(__xludf.DUMMYFUNCTION("GOOGLETRANSLATE(E69, ""it"", ""en"")"),"In a series of penalties")</f>
        <v>In a series of penalties</v>
      </c>
      <c r="L69" s="2"/>
      <c r="M69" s="2"/>
      <c r="N69" s="2"/>
      <c r="O69" s="2"/>
      <c r="P69" s="2"/>
      <c r="Q69" s="2"/>
      <c r="R69" s="2"/>
      <c r="S69" s="2"/>
    </row>
    <row r="70" ht="22.5" customHeight="1">
      <c r="A70" s="3">
        <v>69.0</v>
      </c>
      <c r="B70" s="3" t="s">
        <v>2522</v>
      </c>
      <c r="C70" s="3" t="s">
        <v>2523</v>
      </c>
      <c r="D70" s="3" t="s">
        <v>2308</v>
      </c>
      <c r="E70" s="3" t="s">
        <v>2524</v>
      </c>
      <c r="F70" s="2"/>
      <c r="G70" s="3" t="str">
        <f>IFERROR(__xludf.DUMMYFUNCTION("GOOGLETRANSLATE(A70, ""it"", ""en"")"),"69")</f>
        <v>69</v>
      </c>
      <c r="H70" s="3" t="str">
        <f>IFERROR(__xludf.DUMMYFUNCTION("GOOGLETRANSLATE(B70, ""it"", ""en"")"),"What happens if a player intentionally hits the ball with his foot?")</f>
        <v>What happens if a player intentionally hits the ball with his foot?</v>
      </c>
      <c r="I70" s="3" t="str">
        <f>IFERROR(__xludf.DUMMYFUNCTION("GOOGLETRANSLATE(C70, ""it"", ""en"")"),"A. A foul is called B. Nothing happens C. The player is cautioned D. The ball is given to the opposing team")</f>
        <v>A. A foul is called B. Nothing happens C. The player is cautioned D. The ball is given to the opposing team</v>
      </c>
      <c r="J70" s="3" t="str">
        <f>IFERROR(__xludf.DUMMYFUNCTION("GOOGLETRANSLATE(D70, ""it"", ""en"")"),"A foul is called")</f>
        <v>A foul is called</v>
      </c>
      <c r="K70" s="3" t="str">
        <f>IFERROR(__xludf.DUMMYFUNCTION("GOOGLETRANSLATE(E70, ""it"", ""en"")"),"Hitting the ball with your foot is prohibited and is a foul.")</f>
        <v>Hitting the ball with your foot is prohibited and is a foul.</v>
      </c>
      <c r="L70" s="2"/>
      <c r="M70" s="2"/>
      <c r="N70" s="2"/>
      <c r="O70" s="2"/>
      <c r="P70" s="2"/>
      <c r="Q70" s="2"/>
      <c r="R70" s="2"/>
      <c r="S70" s="2"/>
    </row>
    <row r="71" ht="22.5" customHeight="1">
      <c r="A71" s="3">
        <v>70.0</v>
      </c>
      <c r="B71" s="3" t="s">
        <v>2525</v>
      </c>
      <c r="C71" s="3" t="s">
        <v>2364</v>
      </c>
      <c r="D71" s="3" t="s">
        <v>2365</v>
      </c>
      <c r="E71" s="3" t="s">
        <v>2526</v>
      </c>
      <c r="F71" s="2"/>
      <c r="G71" s="3" t="str">
        <f>IFERROR(__xludf.DUMMYFUNCTION("GOOGLETRANSLATE(A71, ""it"", ""en"")"),"70")</f>
        <v>70</v>
      </c>
      <c r="H71" s="3" t="str">
        <f>IFERROR(__xludf.DUMMYFUNCTION("GOOGLETRANSLATE(B71, ""it"", ""en"")"),"How long should an interval between overtimes be?")</f>
        <v>How long should an interval between overtimes be?</v>
      </c>
      <c r="I71" s="3" t="str">
        <f>IFERROR(__xludf.DUMMYFUNCTION("GOOGLETRANSLATE(C71, ""it"", ""en"")"),"A. 1 minute B. 2 minutes C. 3 minutes D. 5 minutes")</f>
        <v>A. 1 minute B. 2 minutes C. 3 minutes D. 5 minutes</v>
      </c>
      <c r="J71" s="3" t="str">
        <f>IFERROR(__xludf.DUMMYFUNCTION("GOOGLETRANSLATE(D71, ""it"", ""en"")"),"2 minutes")</f>
        <v>2 minutes</v>
      </c>
      <c r="K71" s="3" t="str">
        <f>IFERROR(__xludf.DUMMYFUNCTION("GOOGLETRANSLATE(E71, ""it"", ""en"")"),"Each interval between overtime periods lasts 2 minutes.")</f>
        <v>Each interval between overtime periods lasts 2 minutes.</v>
      </c>
      <c r="L71" s="2"/>
      <c r="M71" s="2"/>
      <c r="N71" s="2"/>
      <c r="O71" s="2"/>
      <c r="P71" s="2"/>
      <c r="Q71" s="2"/>
      <c r="R71" s="2"/>
      <c r="S71" s="2"/>
    </row>
    <row r="72" ht="22.5" customHeight="1">
      <c r="A72" s="3">
        <v>71.0</v>
      </c>
      <c r="B72" s="3" t="s">
        <v>2527</v>
      </c>
      <c r="C72" s="3" t="s">
        <v>2528</v>
      </c>
      <c r="D72" s="3" t="s">
        <v>2529</v>
      </c>
      <c r="E72" s="3" t="s">
        <v>2530</v>
      </c>
      <c r="F72" s="2"/>
      <c r="G72" s="3" t="str">
        <f>IFERROR(__xludf.DUMMYFUNCTION("GOOGLETRANSLATE(A72, ""it"", ""en"")"),"71")</f>
        <v>71</v>
      </c>
      <c r="H72" s="3" t="str">
        <f>IFERROR(__xludf.DUMMYFUNCTION("GOOGLETRANSLATE(B72, ""it"", ""en"")"),"What happens if a goalkeeper is unable to play during a match?")</f>
        <v>What happens if a goalkeeper is unable to play during a match?</v>
      </c>
      <c r="I72" s="3" t="str">
        <f>IFERROR(__xludf.DUMMYFUNCTION("GOOGLETRANSLATE(C72, ""it"", ""en"")"),"A. Another player can replace him B. The team automatically loses C. A substitute enters the field D. The team plays without a goalkeeper")</f>
        <v>A. Another player can replace him B. The team automatically loses C. A substitute enters the field D. The team plays without a goalkeeper</v>
      </c>
      <c r="J72" s="3" t="str">
        <f>IFERROR(__xludf.DUMMYFUNCTION("GOOGLETRANSLATE(D72, ""it"", ""en"")"),"Another player can replace him")</f>
        <v>Another player can replace him</v>
      </c>
      <c r="K72" s="3" t="str">
        <f>IFERROR(__xludf.DUMMYFUNCTION("GOOGLETRANSLATE(E72, ""it"", ""en"")"),"Another player on the team can act as goalkeeper.")</f>
        <v>Another player on the team can act as goalkeeper.</v>
      </c>
      <c r="L72" s="2"/>
      <c r="M72" s="2"/>
      <c r="N72" s="2"/>
      <c r="O72" s="2"/>
      <c r="P72" s="2"/>
      <c r="Q72" s="2"/>
      <c r="R72" s="2"/>
      <c r="S72" s="2"/>
    </row>
    <row r="73" ht="22.5" customHeight="1">
      <c r="A73" s="3">
        <v>72.0</v>
      </c>
      <c r="B73" s="3" t="s">
        <v>2531</v>
      </c>
      <c r="C73" s="3" t="s">
        <v>2532</v>
      </c>
      <c r="D73" s="3">
        <v>5.0</v>
      </c>
      <c r="E73" s="3" t="s">
        <v>2533</v>
      </c>
      <c r="F73" s="2"/>
      <c r="G73" s="3" t="str">
        <f>IFERROR(__xludf.DUMMYFUNCTION("GOOGLETRANSLATE(A73, ""it"", ""en"")"),"72")</f>
        <v>72</v>
      </c>
      <c r="H73" s="3" t="str">
        <f>IFERROR(__xludf.DUMMYFUNCTION("GOOGLETRANSLATE(B73, ""it"", ""en"")"),"How many penalties are awarded if a water polo match ends in a draw after extra time?")</f>
        <v>How many penalties are awarded if a water polo match ends in a draw after extra time?</v>
      </c>
      <c r="I73" s="3" t="str">
        <f>IFERROR(__xludf.DUMMYFUNCTION("GOOGLETRANSLATE(C73, ""it"", ""en"")"),"A. 3 B. 5 C. 7 D. 9")</f>
        <v>A. 3 B. 5 C. 7 D. 9</v>
      </c>
      <c r="J73" s="3" t="str">
        <f>IFERROR(__xludf.DUMMYFUNCTION("GOOGLETRANSLATE(D73, ""it"", ""en"")"),"5")</f>
        <v>5</v>
      </c>
      <c r="K73" s="3" t="str">
        <f>IFERROR(__xludf.DUMMYFUNCTION("GOOGLETRANSLATE(E73, ""it"", ""en"")"),"In case of a draw after extra time")</f>
        <v>In case of a draw after extra time</v>
      </c>
      <c r="L73" s="2"/>
      <c r="M73" s="2"/>
      <c r="N73" s="2"/>
      <c r="O73" s="2"/>
      <c r="P73" s="2"/>
      <c r="Q73" s="2"/>
      <c r="R73" s="2"/>
      <c r="S73" s="2"/>
    </row>
    <row r="74" ht="22.5" customHeight="1">
      <c r="A74" s="3">
        <v>73.0</v>
      </c>
      <c r="B74" s="3" t="s">
        <v>2534</v>
      </c>
      <c r="C74" s="3" t="s">
        <v>2535</v>
      </c>
      <c r="D74" s="3" t="s">
        <v>2536</v>
      </c>
      <c r="E74" s="3" t="s">
        <v>2537</v>
      </c>
      <c r="F74" s="2"/>
      <c r="G74" s="3" t="str">
        <f>IFERROR(__xludf.DUMMYFUNCTION("GOOGLETRANSLATE(A74, ""it"", ""en"")"),"73")</f>
        <v>73</v>
      </c>
      <c r="H74" s="3" t="str">
        <f>IFERROR(__xludf.DUMMYFUNCTION("GOOGLETRANSLATE(B74, ""it"", ""en"")"),"What happens when a player commits an offensive foul?")</f>
        <v>What happens when a player commits an offensive foul?</v>
      </c>
      <c r="I74" s="3" t="str">
        <f>IFERROR(__xludf.DUMMYFUNCTION("GOOGLETRANSLATE(C74, ""it"", ""en"")"),"A. The ball goes to the opposing team B. The player is temporarily sent off C. A penalty is awarded D. He is cautioned")</f>
        <v>A. The ball goes to the opposing team B. The player is temporarily sent off C. A penalty is awarded D. He is cautioned</v>
      </c>
      <c r="J74" s="3" t="str">
        <f>IFERROR(__xludf.DUMMYFUNCTION("GOOGLETRANSLATE(D74, ""it"", ""en"")"),"The ball passes to the opposing team")</f>
        <v>The ball passes to the opposing team</v>
      </c>
      <c r="K74" s="3" t="str">
        <f>IFERROR(__xludf.DUMMYFUNCTION("GOOGLETRANSLATE(E74, ""it"", ""en"")"),"An offensive foul results in a change of possession.")</f>
        <v>An offensive foul results in a change of possession.</v>
      </c>
      <c r="L74" s="2"/>
      <c r="M74" s="2"/>
      <c r="N74" s="2"/>
      <c r="O74" s="2"/>
      <c r="P74" s="2"/>
      <c r="Q74" s="2"/>
      <c r="R74" s="2"/>
      <c r="S74" s="2"/>
    </row>
    <row r="75" ht="22.5" customHeight="1">
      <c r="A75" s="3">
        <v>74.0</v>
      </c>
      <c r="B75" s="3" t="s">
        <v>2538</v>
      </c>
      <c r="C75" s="3" t="s">
        <v>2539</v>
      </c>
      <c r="D75" s="3" t="s">
        <v>2540</v>
      </c>
      <c r="E75" s="3"/>
      <c r="F75" s="2"/>
      <c r="G75" s="3" t="str">
        <f>IFERROR(__xludf.DUMMYFUNCTION("GOOGLETRANSLATE(A75, ""it"", ""en"")"),"74")</f>
        <v>74</v>
      </c>
      <c r="H75" s="3" t="str">
        <f>IFERROR(__xludf.DUMMYFUNCTION("GOOGLETRANSLATE(B75, ""it"", ""en"")"),"In what situation is a penalty awarded?")</f>
        <v>In what situation is a penalty awarded?</v>
      </c>
      <c r="I75" s="3" t="str">
        <f>IFERROR(__xludf.DUMMYFUNCTION("GOOGLETRANSLATE(C75, ""it"", ""en"")"),"A. When a player commits a serious defensive foul B. When a player scores a goal C. When the ball goes out of the pool D. When the team is called for a technical foul")</f>
        <v>A. When a player commits a serious defensive foul B. When a player scores a goal C. When the ball goes out of the pool D. When the team is called for a technical foul</v>
      </c>
      <c r="J75" s="3" t="str">
        <f>IFERROR(__xludf.DUMMYFUNCTION("GOOGLETRANSLATE(D75, ""it"", ""en"")"),"When a player commits a serious defensive foul.")</f>
        <v>When a player commits a serious defensive foul.</v>
      </c>
      <c r="K75" s="3" t="str">
        <f>IFERROR(__xludf.DUMMYFUNCTION("GOOGLETRANSLATE(E75, ""it"", ""en"")"),"#VALUE!")</f>
        <v>#VALUE!</v>
      </c>
      <c r="L75" s="2"/>
      <c r="M75" s="2"/>
      <c r="N75" s="2"/>
      <c r="O75" s="2"/>
      <c r="P75" s="2"/>
      <c r="Q75" s="2"/>
      <c r="R75" s="2"/>
      <c r="S75" s="2"/>
    </row>
    <row r="76" ht="22.5" customHeight="1">
      <c r="A76" s="3">
        <v>75.0</v>
      </c>
      <c r="B76" s="3" t="s">
        <v>2541</v>
      </c>
      <c r="C76" s="3" t="s">
        <v>2542</v>
      </c>
      <c r="D76" s="3" t="s">
        <v>82</v>
      </c>
      <c r="E76" s="3" t="s">
        <v>2543</v>
      </c>
      <c r="F76" s="2"/>
      <c r="G76" s="3" t="str">
        <f>IFERROR(__xludf.DUMMYFUNCTION("GOOGLETRANSLATE(A76, ""it"", ""en"")"),"75")</f>
        <v>75</v>
      </c>
      <c r="H76" s="3" t="str">
        <f>IFERROR(__xludf.DUMMYFUNCTION("GOOGLETRANSLATE(B76, ""it"", ""en"")"),"How many substitutions can be made in a match without penalties?")</f>
        <v>How many substitutions can be made in a match without penalties?</v>
      </c>
      <c r="I76" s="3" t="str">
        <f>IFERROR(__xludf.DUMMYFUNCTION("GOOGLETRANSLATE(C76, ""it"", ""en"")"),"A. Unlimited B. 2 C. 4 D. 3")</f>
        <v>A. Unlimited B. 2 C. 4 D. 3</v>
      </c>
      <c r="J76" s="3" t="str">
        <f>IFERROR(__xludf.DUMMYFUNCTION("GOOGLETRANSLATE(D76, ""it"", ""en"")"),"Unlimited")</f>
        <v>Unlimited</v>
      </c>
      <c r="K76" s="3" t="str">
        <f>IFERROR(__xludf.DUMMYFUNCTION("GOOGLETRANSLATE(E76, ""it"", ""en"")"),"There is no limit to the number of substitutions during a water polo game.")</f>
        <v>There is no limit to the number of substitutions during a water polo game.</v>
      </c>
      <c r="L76" s="2"/>
      <c r="M76" s="2"/>
      <c r="N76" s="2"/>
      <c r="O76" s="2"/>
      <c r="P76" s="2"/>
      <c r="Q76" s="2"/>
      <c r="R76" s="2"/>
      <c r="S76" s="2"/>
    </row>
    <row r="77" ht="22.5" customHeight="1">
      <c r="A77" s="3">
        <v>76.0</v>
      </c>
      <c r="B77" s="3" t="s">
        <v>2544</v>
      </c>
      <c r="C77" s="3" t="s">
        <v>2545</v>
      </c>
      <c r="D77" s="3" t="s">
        <v>2485</v>
      </c>
      <c r="E77" s="3" t="s">
        <v>2546</v>
      </c>
      <c r="F77" s="2"/>
      <c r="G77" s="3" t="str">
        <f>IFERROR(__xludf.DUMMYFUNCTION("GOOGLETRANSLATE(A77, ""it"", ""en"")"),"76")</f>
        <v>76</v>
      </c>
      <c r="H77" s="3" t="str">
        <f>IFERROR(__xludf.DUMMYFUNCTION("GOOGLETRANSLATE(B77, ""it"", ""en"")"),"What happens if the ball touches an ejected player?")</f>
        <v>What happens if the ball touches an ejected player?</v>
      </c>
      <c r="I77" s="3" t="str">
        <f>IFERROR(__xludf.DUMMYFUNCTION("GOOGLETRANSLATE(C77, ""it"", ""en"")"),"A. Nothing B. Possession changes C. A penalty is awarded D. The game is stopped")</f>
        <v>A. Nothing B. Possession changes C. A penalty is awarded D. The game is stopped</v>
      </c>
      <c r="J77" s="3" t="str">
        <f>IFERROR(__xludf.DUMMYFUNCTION("GOOGLETRANSLATE(D77, ""it"", ""en"")"),"Nothing")</f>
        <v>Nothing</v>
      </c>
      <c r="K77" s="3" t="str">
        <f>IFERROR(__xludf.DUMMYFUNCTION("GOOGLETRANSLATE(E77, ""it"", ""en"")"),"The ball can touch any player")</f>
        <v>The ball can touch any player</v>
      </c>
      <c r="L77" s="2"/>
      <c r="M77" s="2"/>
      <c r="N77" s="2"/>
      <c r="O77" s="2"/>
      <c r="P77" s="2"/>
      <c r="Q77" s="2"/>
      <c r="R77" s="2"/>
      <c r="S77" s="2"/>
    </row>
    <row r="78" ht="22.5" customHeight="1">
      <c r="A78" s="3">
        <v>77.0</v>
      </c>
      <c r="B78" s="3" t="s">
        <v>2547</v>
      </c>
      <c r="C78" s="3" t="s">
        <v>2548</v>
      </c>
      <c r="D78" s="3" t="s">
        <v>2549</v>
      </c>
      <c r="E78" s="3" t="s">
        <v>2550</v>
      </c>
      <c r="F78" s="2"/>
      <c r="G78" s="3" t="str">
        <f>IFERROR(__xludf.DUMMYFUNCTION("GOOGLETRANSLATE(A78, ""it"", ""en"")"),"77")</f>
        <v>77</v>
      </c>
      <c r="H78" s="3" t="str">
        <f>IFERROR(__xludf.DUMMYFUNCTION("GOOGLETRANSLATE(B78, ""it"", ""en"")"),"What must a player do to receive a pass from a teammate?")</f>
        <v>What must a player do to receive a pass from a teammate?</v>
      </c>
      <c r="I78" s="3" t="str">
        <f>IFERROR(__xludf.DUMMYFUNCTION("GOOGLETRANSLATE(C78, ""it"", ""en"")"),"A. Being in the field of play B. Being out of the field of play C. Being in the offside zone D. Being in the goalkeeper's area")</f>
        <v>A. Being in the field of play B. Being out of the field of play C. Being in the offside zone D. Being in the goalkeeper's area</v>
      </c>
      <c r="J78" s="3" t="str">
        <f>IFERROR(__xludf.DUMMYFUNCTION("GOOGLETRANSLATE(D78, ""it"", ""en"")"),"Being on the playing field")</f>
        <v>Being on the playing field</v>
      </c>
      <c r="K78" s="3" t="str">
        <f>IFERROR(__xludf.DUMMYFUNCTION("GOOGLETRANSLATE(E78, ""it"", ""en"")"),"A player must be in the field to receive a pass.")</f>
        <v>A player must be in the field to receive a pass.</v>
      </c>
      <c r="L78" s="2"/>
      <c r="M78" s="2"/>
      <c r="N78" s="2"/>
      <c r="O78" s="2"/>
      <c r="P78" s="2"/>
      <c r="Q78" s="2"/>
      <c r="R78" s="2"/>
      <c r="S78" s="2"/>
    </row>
    <row r="79" ht="22.5" customHeight="1">
      <c r="A79" s="3">
        <v>78.0</v>
      </c>
      <c r="B79" s="3" t="s">
        <v>2551</v>
      </c>
      <c r="C79" s="3" t="s">
        <v>2552</v>
      </c>
      <c r="D79" s="3" t="s">
        <v>2553</v>
      </c>
      <c r="E79" s="3" t="s">
        <v>2554</v>
      </c>
      <c r="F79" s="2"/>
      <c r="G79" s="3" t="str">
        <f>IFERROR(__xludf.DUMMYFUNCTION("GOOGLETRANSLATE(A79, ""it"", ""en"")"),"78")</f>
        <v>78</v>
      </c>
      <c r="H79" s="3" t="str">
        <f>IFERROR(__xludf.DUMMYFUNCTION("GOOGLETRANSLATE(B79, ""it"", ""en"")"),"What do the lines 3 meters from the goal represent?")</f>
        <v>What do the lines 3 meters from the goal represent?</v>
      </c>
      <c r="I79" s="3" t="str">
        <f>IFERROR(__xludf.DUMMYFUNCTION("GOOGLETRANSLATE(C79, ""it"", ""en"")"),"A. Offside area B. Goalkeeper's area C. Penalty area D. Attacking area")</f>
        <v>A. Offside area B. Goalkeeper's area C. Penalty area D. Attacking area</v>
      </c>
      <c r="J79" s="3" t="str">
        <f>IFERROR(__xludf.DUMMYFUNCTION("GOOGLETRANSLATE(D79, ""it"", ""en"")"),"Attack area")</f>
        <v>Attack area</v>
      </c>
      <c r="K79" s="3" t="str">
        <f>IFERROR(__xludf.DUMMYFUNCTION("GOOGLETRANSLATE(E79, ""it"", ""en"")"),"The 3-meter lines define the attack zone for the players.")</f>
        <v>The 3-meter lines define the attack zone for the players.</v>
      </c>
      <c r="L79" s="2"/>
      <c r="M79" s="2"/>
      <c r="N79" s="2"/>
      <c r="O79" s="2"/>
      <c r="P79" s="2"/>
      <c r="Q79" s="2"/>
      <c r="R79" s="2"/>
      <c r="S79" s="2"/>
    </row>
    <row r="80" ht="22.5" customHeight="1">
      <c r="A80" s="3">
        <v>79.0</v>
      </c>
      <c r="B80" s="3" t="s">
        <v>2555</v>
      </c>
      <c r="C80" s="3" t="s">
        <v>2556</v>
      </c>
      <c r="D80" s="3" t="s">
        <v>2557</v>
      </c>
      <c r="E80" s="3" t="s">
        <v>2558</v>
      </c>
      <c r="F80" s="2"/>
      <c r="G80" s="3" t="str">
        <f>IFERROR(__xludf.DUMMYFUNCTION("GOOGLETRANSLATE(A80, ""it"", ""en"")"),"79")</f>
        <v>79</v>
      </c>
      <c r="H80" s="3" t="str">
        <f>IFERROR(__xludf.DUMMYFUNCTION("GOOGLETRANSLATE(B80, ""it"", ""en"")"),"In what situation can the goalkeeper not touch the ball?")</f>
        <v>In what situation can the goalkeeper not touch the ball?</v>
      </c>
      <c r="I80" s="3" t="str">
        <f>IFERROR(__xludf.DUMMYFUNCTION("GOOGLETRANSLATE(C80, ""it"", ""en"")"),"A. When he is outside his own penalty area B. When he is in possession of the ball C. When he is under attack D. When he has the ball in his hands")</f>
        <v>A. When he is outside his own penalty area B. When he is in possession of the ball C. When he is under attack D. When he has the ball in his hands</v>
      </c>
      <c r="J80" s="3" t="str">
        <f>IFERROR(__xludf.DUMMYFUNCTION("GOOGLETRANSLATE(D80, ""it"", ""en"")"),"When he is out of his area")</f>
        <v>When he is out of his area</v>
      </c>
      <c r="K80" s="3" t="str">
        <f>IFERROR(__xludf.DUMMYFUNCTION("GOOGLETRANSLATE(E80, ""it"", ""en"")"),"The goalkeeper cannot touch the ball if it leaves his own penalty area.")</f>
        <v>The goalkeeper cannot touch the ball if it leaves his own penalty area.</v>
      </c>
      <c r="L80" s="2"/>
      <c r="M80" s="2"/>
      <c r="N80" s="2"/>
      <c r="O80" s="2"/>
      <c r="P80" s="2"/>
      <c r="Q80" s="2"/>
      <c r="R80" s="2"/>
      <c r="S80" s="2"/>
    </row>
    <row r="81" ht="22.5" customHeight="1">
      <c r="A81" s="3">
        <v>80.0</v>
      </c>
      <c r="B81" s="3" t="s">
        <v>2559</v>
      </c>
      <c r="C81" s="3" t="s">
        <v>2364</v>
      </c>
      <c r="D81" s="3" t="s">
        <v>2365</v>
      </c>
      <c r="E81" s="3" t="s">
        <v>2560</v>
      </c>
      <c r="F81" s="2"/>
      <c r="G81" s="3" t="str">
        <f>IFERROR(__xludf.DUMMYFUNCTION("GOOGLETRANSLATE(A81, ""it"", ""en"")"),"80")</f>
        <v>80</v>
      </c>
      <c r="H81" s="3" t="str">
        <f>IFERROR(__xludf.DUMMYFUNCTION("GOOGLETRANSLATE(B81, ""it"", ""en"")"),"What is the minimum length of a pause between beats?")</f>
        <v>What is the minimum length of a pause between beats?</v>
      </c>
      <c r="I81" s="3" t="str">
        <f>IFERROR(__xludf.DUMMYFUNCTION("GOOGLETRANSLATE(C81, ""it"", ""en"")"),"A. 1 minute B. 2 minutes C. 3 minutes D. 5 minutes")</f>
        <v>A. 1 minute B. 2 minutes C. 3 minutes D. 5 minutes</v>
      </c>
      <c r="J81" s="3" t="str">
        <f>IFERROR(__xludf.DUMMYFUNCTION("GOOGLETRANSLATE(D81, ""it"", ""en"")"),"2 minutes")</f>
        <v>2 minutes</v>
      </c>
      <c r="K81" s="3" t="str">
        <f>IFERROR(__xludf.DUMMYFUNCTION("GOOGLETRANSLATE(E81, ""it"", ""en"")"),"Each break between periods lasts at least 2 minutes.")</f>
        <v>Each break between periods lasts at least 2 minutes.</v>
      </c>
      <c r="L81" s="2"/>
      <c r="M81" s="2"/>
      <c r="N81" s="2"/>
      <c r="O81" s="2"/>
      <c r="P81" s="2"/>
      <c r="Q81" s="2"/>
      <c r="R81" s="2"/>
      <c r="S81" s="2"/>
    </row>
    <row r="82" ht="22.5" customHeight="1">
      <c r="A82" s="3">
        <v>81.0</v>
      </c>
      <c r="B82" s="3" t="s">
        <v>2561</v>
      </c>
      <c r="C82" s="3" t="s">
        <v>2562</v>
      </c>
      <c r="D82" s="3" t="s">
        <v>2452</v>
      </c>
      <c r="E82" s="3" t="s">
        <v>2563</v>
      </c>
      <c r="F82" s="2"/>
      <c r="G82" s="3" t="str">
        <f>IFERROR(__xludf.DUMMYFUNCTION("GOOGLETRANSLATE(A82, ""it"", ""en"")"),"81")</f>
        <v>81</v>
      </c>
      <c r="H82" s="3" t="str">
        <f>IFERROR(__xludf.DUMMYFUNCTION("GOOGLETRANSLATE(B82, ""it"", ""en"")"),"How long does a player have to pass the ball after receiving it?")</f>
        <v>How long does a player have to pass the ball after receiving it?</v>
      </c>
      <c r="I82" s="3" t="str">
        <f>IFERROR(__xludf.DUMMYFUNCTION("GOOGLETRANSLATE(C82, ""it"", ""en"")"),"A. 5 seconds B. 10 seconds C. 15 seconds D. 30 seconds")</f>
        <v>A. 5 seconds B. 10 seconds C. 15 seconds D. 30 seconds</v>
      </c>
      <c r="J82" s="3" t="str">
        <f>IFERROR(__xludf.DUMMYFUNCTION("GOOGLETRANSLATE(D82, ""it"", ""en"")"),"5 seconds")</f>
        <v>5 seconds</v>
      </c>
      <c r="K82" s="3" t="str">
        <f>IFERROR(__xludf.DUMMYFUNCTION("GOOGLETRANSLATE(E82, ""it"", ""en"")"),"A player has 5 seconds to pass the ball after receiving it.")</f>
        <v>A player has 5 seconds to pass the ball after receiving it.</v>
      </c>
      <c r="L82" s="2"/>
      <c r="M82" s="2"/>
      <c r="N82" s="2"/>
      <c r="O82" s="2"/>
      <c r="P82" s="2"/>
      <c r="Q82" s="2"/>
      <c r="R82" s="2"/>
      <c r="S82" s="2"/>
    </row>
    <row r="83" ht="22.5" customHeight="1">
      <c r="A83" s="3">
        <v>82.0</v>
      </c>
      <c r="B83" s="3" t="s">
        <v>2564</v>
      </c>
      <c r="C83" s="3" t="s">
        <v>2565</v>
      </c>
      <c r="D83" s="3" t="s">
        <v>2471</v>
      </c>
      <c r="E83" s="3" t="s">
        <v>2566</v>
      </c>
      <c r="F83" s="2"/>
      <c r="G83" s="3" t="str">
        <f>IFERROR(__xludf.DUMMYFUNCTION("GOOGLETRANSLATE(A83, ""it"", ""en"")"),"82")</f>
        <v>82</v>
      </c>
      <c r="H83" s="3" t="str">
        <f>IFERROR(__xludf.DUMMYFUNCTION("GOOGLETRANSLATE(B83, ""it"", ""en"")"),"What happens if a player touches the ball out of bounds?")</f>
        <v>What happens if a player touches the ball out of bounds?</v>
      </c>
      <c r="I83" s="3" t="str">
        <f>IFERROR(__xludf.DUMMYFUNCTION("GOOGLETRANSLATE(C83, ""it"", ""en"")"),"A. A foul is called B. A penalty is awarded C. The ball is contested D. A throw-in is awarded")</f>
        <v>A. A foul is called B. A penalty is awarded C. The ball is contested D. A throw-in is awarded</v>
      </c>
      <c r="J83" s="3" t="str">
        <f>IFERROR(__xludf.DUMMYFUNCTION("GOOGLETRANSLATE(D83, ""it"", ""en"")"),"A throw-in is awarded")</f>
        <v>A throw-in is awarded</v>
      </c>
      <c r="K83" s="3" t="str">
        <f>IFERROR(__xludf.DUMMYFUNCTION("GOOGLETRANSLATE(E83, ""it"", ""en"")"),"If the ball goes out of bounds")</f>
        <v>If the ball goes out of bounds</v>
      </c>
      <c r="L83" s="2"/>
      <c r="M83" s="2"/>
      <c r="N83" s="2"/>
      <c r="O83" s="2"/>
      <c r="P83" s="2"/>
      <c r="Q83" s="2"/>
      <c r="R83" s="2"/>
      <c r="S83" s="2"/>
    </row>
    <row r="84" ht="22.5" customHeight="1">
      <c r="A84" s="3">
        <v>83.0</v>
      </c>
      <c r="B84" s="3" t="s">
        <v>2567</v>
      </c>
      <c r="C84" s="3" t="s">
        <v>2568</v>
      </c>
      <c r="D84" s="3" t="s">
        <v>2308</v>
      </c>
      <c r="E84" s="3" t="s">
        <v>2569</v>
      </c>
      <c r="F84" s="2"/>
      <c r="G84" s="3" t="str">
        <f>IFERROR(__xludf.DUMMYFUNCTION("GOOGLETRANSLATE(A84, ""it"", ""en"")"),"83")</f>
        <v>83</v>
      </c>
      <c r="H84" s="3" t="str">
        <f>IFERROR(__xludf.DUMMYFUNCTION("GOOGLETRANSLATE(B84, ""it"", ""en"")"),"What happens if a player commits a foul out of the water?")</f>
        <v>What happens if a player commits a foul out of the water?</v>
      </c>
      <c r="I84" s="3" t="str">
        <f>IFERROR(__xludf.DUMMYFUNCTION("GOOGLETRANSLATE(C84, ""it"", ""en"")"),"A. Nothing B. A foul is called C. The opposing team receives the ball D. He is temporarily ejected")</f>
        <v>A. Nothing B. A foul is called C. The opposing team receives the ball D. He is temporarily ejected</v>
      </c>
      <c r="J84" s="3" t="str">
        <f>IFERROR(__xludf.DUMMYFUNCTION("GOOGLETRANSLATE(D84, ""it"", ""en"")"),"A foul is called")</f>
        <v>A foul is called</v>
      </c>
      <c r="K84" s="3" t="str">
        <f>IFERROR(__xludf.DUMMYFUNCTION("GOOGLETRANSLATE(E84, ""it"", ""en"")"),"A foul committed out of the water results in loss of possession.")</f>
        <v>A foul committed out of the water results in loss of possession.</v>
      </c>
      <c r="L84" s="2"/>
      <c r="M84" s="2"/>
      <c r="N84" s="2"/>
      <c r="O84" s="2"/>
      <c r="P84" s="2"/>
      <c r="Q84" s="2"/>
      <c r="R84" s="2"/>
      <c r="S84" s="2"/>
    </row>
    <row r="85" ht="22.5" customHeight="1">
      <c r="A85" s="3">
        <v>84.0</v>
      </c>
      <c r="B85" s="3" t="s">
        <v>2570</v>
      </c>
      <c r="C85" s="3" t="s">
        <v>2571</v>
      </c>
      <c r="D85" s="3" t="s">
        <v>2572</v>
      </c>
      <c r="E85" s="3" t="s">
        <v>2573</v>
      </c>
      <c r="F85" s="2"/>
      <c r="G85" s="3" t="str">
        <f>IFERROR(__xludf.DUMMYFUNCTION("GOOGLETRANSLATE(A85, ""it"", ""en"")"),"84")</f>
        <v>84</v>
      </c>
      <c r="H85" s="3" t="str">
        <f>IFERROR(__xludf.DUMMYFUNCTION("GOOGLETRANSLATE(B85, ""it"", ""en"")"),"What happens if a team misses the time limit for offensive action?")</f>
        <v>What happens if a team misses the time limit for offensive action?</v>
      </c>
      <c r="I85" s="3" t="str">
        <f>IFERROR(__xludf.DUMMYFUNCTION("GOOGLETRANSLATE(C85, ""it"", ""en"")"),"A. The team loses the ball B. The team gets a penalty C. The game is stopped D. The team suffers a penalty")</f>
        <v>A. The team loses the ball B. The team gets a penalty C. The game is stopped D. The team suffers a penalty</v>
      </c>
      <c r="J85" s="3" t="str">
        <f>IFERROR(__xludf.DUMMYFUNCTION("GOOGLETRANSLATE(D85, ""it"", ""en"")"),"The team loses the ball")</f>
        <v>The team loses the ball</v>
      </c>
      <c r="K85" s="3" t="str">
        <f>IFERROR(__xludf.DUMMYFUNCTION("GOOGLETRANSLATE(E85, ""it"", ""en"")"),"Possession time is limited to 30 seconds.")</f>
        <v>Possession time is limited to 30 seconds.</v>
      </c>
      <c r="L85" s="2"/>
      <c r="M85" s="2"/>
      <c r="N85" s="2"/>
      <c r="O85" s="2"/>
      <c r="P85" s="2"/>
      <c r="Q85" s="2"/>
      <c r="R85" s="2"/>
      <c r="S85" s="2"/>
    </row>
    <row r="86" ht="22.5" customHeight="1">
      <c r="A86" s="3">
        <v>85.0</v>
      </c>
      <c r="B86" s="3" t="s">
        <v>2574</v>
      </c>
      <c r="C86" s="3" t="s">
        <v>2575</v>
      </c>
      <c r="D86" s="3" t="s">
        <v>2489</v>
      </c>
      <c r="E86" s="3" t="s">
        <v>2576</v>
      </c>
      <c r="F86" s="2"/>
      <c r="G86" s="3" t="str">
        <f>IFERROR(__xludf.DUMMYFUNCTION("GOOGLETRANSLATE(A86, ""it"", ""en"")"),"85")</f>
        <v>85</v>
      </c>
      <c r="H86" s="3" t="str">
        <f>IFERROR(__xludf.DUMMYFUNCTION("GOOGLETRANSLATE(B86, ""it"", ""en"")"),"What is the maximum length of a passage?")</f>
        <v>What is the maximum length of a passage?</v>
      </c>
      <c r="I86" s="3" t="str">
        <f>IFERROR(__xludf.DUMMYFUNCTION("GOOGLETRANSLATE(C86, ""it"", ""en"")"),"A. There is no limit B. 5 meters C. 10 meters D. 15 meters")</f>
        <v>A. There is no limit B. 5 meters C. 10 meters D. 15 meters</v>
      </c>
      <c r="J86" s="3" t="str">
        <f>IFERROR(__xludf.DUMMYFUNCTION("GOOGLETRANSLATE(D86, ""it"", ""en"")"),"There is no limit")</f>
        <v>There is no limit</v>
      </c>
      <c r="K86" s="3" t="str">
        <f>IFERROR(__xludf.DUMMYFUNCTION("GOOGLETRANSLATE(E86, ""it"", ""en"")"),"There is no maximum limit to the length of a passage.")</f>
        <v>There is no maximum limit to the length of a passage.</v>
      </c>
      <c r="L86" s="2"/>
      <c r="M86" s="2"/>
      <c r="N86" s="2"/>
      <c r="O86" s="2"/>
      <c r="P86" s="2"/>
      <c r="Q86" s="2"/>
      <c r="R86" s="2"/>
      <c r="S86" s="2"/>
    </row>
    <row r="87" ht="22.5" customHeight="1">
      <c r="A87" s="3">
        <v>86.0</v>
      </c>
      <c r="B87" s="3" t="s">
        <v>2577</v>
      </c>
      <c r="C87" s="3" t="s">
        <v>2578</v>
      </c>
      <c r="D87" s="3" t="s">
        <v>2536</v>
      </c>
      <c r="E87" s="3" t="s">
        <v>2579</v>
      </c>
      <c r="F87" s="2"/>
      <c r="G87" s="3" t="str">
        <f>IFERROR(__xludf.DUMMYFUNCTION("GOOGLETRANSLATE(A87, ""it"", ""en"")"),"86")</f>
        <v>86</v>
      </c>
      <c r="H87" s="3" t="str">
        <f>IFERROR(__xludf.DUMMYFUNCTION("GOOGLETRANSLATE(B87, ""it"", ""en"")"),"What happens if a player has the ball in his hands during a foul?")</f>
        <v>What happens if a player has the ball in his hands during a foul?</v>
      </c>
      <c r="I87" s="3" t="str">
        <f>IFERROR(__xludf.DUMMYFUNCTION("GOOGLETRANSLATE(C87, ""it"", ""en"")"),"A. The ball goes to the opposing team B. He is cautioned C. A penalty is awarded D. He is temporarily sent off")</f>
        <v>A. The ball goes to the opposing team B. He is cautioned C. A penalty is awarded D. He is temporarily sent off</v>
      </c>
      <c r="J87" s="3" t="str">
        <f>IFERROR(__xludf.DUMMYFUNCTION("GOOGLETRANSLATE(D87, ""it"", ""en"")"),"The ball passes to the opposing team")</f>
        <v>The ball passes to the opposing team</v>
      </c>
      <c r="K87" s="3" t="str">
        <f>IFERROR(__xludf.DUMMYFUNCTION("GOOGLETRANSLATE(E87, ""it"", ""en"")"),"The foul leads to the loss of possession.")</f>
        <v>The foul leads to the loss of possession.</v>
      </c>
      <c r="L87" s="2"/>
      <c r="M87" s="2"/>
      <c r="N87" s="2"/>
      <c r="O87" s="2"/>
      <c r="P87" s="2"/>
      <c r="Q87" s="2"/>
      <c r="R87" s="2"/>
      <c r="S87" s="2"/>
    </row>
    <row r="88" ht="22.5" customHeight="1">
      <c r="A88" s="3">
        <v>87.0</v>
      </c>
      <c r="B88" s="3" t="s">
        <v>2580</v>
      </c>
      <c r="C88" s="3" t="s">
        <v>2364</v>
      </c>
      <c r="D88" s="3" t="s">
        <v>2581</v>
      </c>
      <c r="E88" s="3" t="s">
        <v>2582</v>
      </c>
      <c r="F88" s="2"/>
      <c r="G88" s="3" t="str">
        <f>IFERROR(__xludf.DUMMYFUNCTION("GOOGLETRANSLATE(A88, ""it"", ""en"")"),"87")</f>
        <v>87</v>
      </c>
      <c r="H88" s="3" t="str">
        <f>IFERROR(__xludf.DUMMYFUNCTION("GOOGLETRANSLATE(B88, ""it"", ""en"")"),"How long is the break between two periods of extra time?")</f>
        <v>How long is the break between two periods of extra time?</v>
      </c>
      <c r="I88" s="3" t="str">
        <f>IFERROR(__xludf.DUMMYFUNCTION("GOOGLETRANSLATE(C88, ""it"", ""en"")"),"A. 1 minute B. 2 minutes C. 3 minutes D. 5 minutes")</f>
        <v>A. 1 minute B. 2 minutes C. 3 minutes D. 5 minutes</v>
      </c>
      <c r="J88" s="3" t="str">
        <f>IFERROR(__xludf.DUMMYFUNCTION("GOOGLETRANSLATE(D88, ""it"", ""en"")"),"1 minute")</f>
        <v>1 minute</v>
      </c>
      <c r="K88" s="3" t="str">
        <f>IFERROR(__xludf.DUMMYFUNCTION("GOOGLETRANSLATE(E88, ""it"", ""en"")"),"The break between the two extra periods lasts 1 minute.")</f>
        <v>The break between the two extra periods lasts 1 minute.</v>
      </c>
      <c r="L88" s="2"/>
      <c r="M88" s="2"/>
      <c r="N88" s="2"/>
      <c r="O88" s="2"/>
      <c r="P88" s="2"/>
      <c r="Q88" s="2"/>
      <c r="R88" s="2"/>
      <c r="S88" s="2"/>
    </row>
    <row r="89" ht="22.5" customHeight="1">
      <c r="A89" s="3">
        <v>88.0</v>
      </c>
      <c r="B89" s="3" t="s">
        <v>2583</v>
      </c>
      <c r="C89" s="3" t="s">
        <v>2584</v>
      </c>
      <c r="D89" s="3" t="s">
        <v>2585</v>
      </c>
      <c r="E89" s="3" t="s">
        <v>2586</v>
      </c>
      <c r="F89" s="2"/>
      <c r="G89" s="3" t="str">
        <f>IFERROR(__xludf.DUMMYFUNCTION("GOOGLETRANSLATE(A89, ""it"", ""en"")"),"88")</f>
        <v>88</v>
      </c>
      <c r="H89" s="3" t="str">
        <f>IFERROR(__xludf.DUMMYFUNCTION("GOOGLETRANSLATE(B89, ""it"", ""en"")"),"What happens if a player doesn't follow the referee's instructions?")</f>
        <v>What happens if a player doesn't follow the referee's instructions?</v>
      </c>
      <c r="I89" s="3" t="str">
        <f>IFERROR(__xludf.DUMMYFUNCTION("GOOGLETRANSLATE(C89, ""it"", ""en"")"),"A. Receives a penalty B. Receives a warning C. Receives a sanction D. The team loses a player")</f>
        <v>A. Receives a penalty B. Receives a warning C. Receives a sanction D. The team loses a player</v>
      </c>
      <c r="J89" s="3" t="str">
        <f>IFERROR(__xludf.DUMMYFUNCTION("GOOGLETRANSLATE(D89, ""it"", ""en"")"),"He is subjected to a sanction")</f>
        <v>He is subjected to a sanction</v>
      </c>
      <c r="K89" s="3" t="str">
        <f>IFERROR(__xludf.DUMMYFUNCTION("GOOGLETRANSLATE(E89, ""it"", ""en"")"),"A player who does not follow instructions receives a disciplinary sanction.")</f>
        <v>A player who does not follow instructions receives a disciplinary sanction.</v>
      </c>
      <c r="L89" s="2"/>
      <c r="M89" s="2"/>
      <c r="N89" s="2"/>
      <c r="O89" s="2"/>
      <c r="P89" s="2"/>
      <c r="Q89" s="2"/>
      <c r="R89" s="2"/>
      <c r="S89" s="2"/>
    </row>
    <row r="90" ht="22.5" customHeight="1">
      <c r="A90" s="3">
        <v>89.0</v>
      </c>
      <c r="B90" s="3" t="s">
        <v>2587</v>
      </c>
      <c r="C90" s="3" t="s">
        <v>2496</v>
      </c>
      <c r="D90" s="3">
        <v>6.0</v>
      </c>
      <c r="E90" s="3" t="s">
        <v>2588</v>
      </c>
      <c r="F90" s="2"/>
      <c r="G90" s="3" t="str">
        <f>IFERROR(__xludf.DUMMYFUNCTION("GOOGLETRANSLATE(A90, ""it"", ""en"")"),"89")</f>
        <v>89</v>
      </c>
      <c r="H90" s="3" t="str">
        <f>IFERROR(__xludf.DUMMYFUNCTION("GOOGLETRANSLATE(B90, ""it"", ""en"")"),"How many players must be in the water for a team to be considered valid in a match?")</f>
        <v>How many players must be in the water for a team to be considered valid in a match?</v>
      </c>
      <c r="I90" s="3" t="str">
        <f>IFERROR(__xludf.DUMMYFUNCTION("GOOGLETRANSLATE(C90, ""it"", ""en"")"),"A. 5 B. 6 C. 7 D. 8")</f>
        <v>A. 5 B. 6 C. 7 D. 8</v>
      </c>
      <c r="J90" s="3" t="str">
        <f>IFERROR(__xludf.DUMMYFUNCTION("GOOGLETRANSLATE(D90, ""it"", ""en"")"),"6")</f>
        <v>6</v>
      </c>
      <c r="K90" s="3" t="str">
        <f>IFERROR(__xludf.DUMMYFUNCTION("GOOGLETRANSLATE(E90, ""it"", ""en"")"),"Each team must have at least 6 players in the water during a game.")</f>
        <v>Each team must have at least 6 players in the water during a game.</v>
      </c>
      <c r="L90" s="2"/>
      <c r="M90" s="2"/>
      <c r="N90" s="2"/>
      <c r="O90" s="2"/>
      <c r="P90" s="2"/>
      <c r="Q90" s="2"/>
      <c r="R90" s="2"/>
      <c r="S90" s="2"/>
    </row>
    <row r="91" ht="22.5" customHeight="1">
      <c r="A91" s="3">
        <v>90.0</v>
      </c>
      <c r="B91" s="3" t="s">
        <v>2589</v>
      </c>
      <c r="C91" s="3" t="s">
        <v>2590</v>
      </c>
      <c r="D91" s="3" t="s">
        <v>2591</v>
      </c>
      <c r="E91" s="3" t="s">
        <v>2592</v>
      </c>
      <c r="F91" s="2"/>
      <c r="G91" s="3" t="str">
        <f>IFERROR(__xludf.DUMMYFUNCTION("GOOGLETRANSLATE(A91, ""it"", ""en"")"),"90")</f>
        <v>90</v>
      </c>
      <c r="H91" s="3" t="str">
        <f>IFERROR(__xludf.DUMMYFUNCTION("GOOGLETRANSLATE(B91, ""it"", ""en"")"),"Who can intervene during a technical break?")</f>
        <v>Who can intervene during a technical break?</v>
      </c>
      <c r="I91" s="3" t="str">
        <f>IFERROR(__xludf.DUMMYFUNCTION("GOOGLETRANSLATE(C91, ""it"", ""en"")"),"A. Only the coach B. The captain and the coach C. All players D. The referee")</f>
        <v>A. Only the coach B. The captain and the coach C. All players D. The referee</v>
      </c>
      <c r="J91" s="3" t="str">
        <f>IFERROR(__xludf.DUMMYFUNCTION("GOOGLETRANSLATE(D91, ""it"", ""en"")"),"The captain and the coach")</f>
        <v>The captain and the coach</v>
      </c>
      <c r="K91" s="3" t="str">
        <f>IFERROR(__xludf.DUMMYFUNCTION("GOOGLETRANSLATE(E91, ""it"", ""en"")"),"During a technical break, only the coach and the captain can intervene.")</f>
        <v>During a technical break, only the coach and the captain can intervene.</v>
      </c>
      <c r="L91" s="2"/>
      <c r="M91" s="2"/>
      <c r="N91" s="2"/>
      <c r="O91" s="2"/>
      <c r="P91" s="2"/>
      <c r="Q91" s="2"/>
      <c r="R91" s="2"/>
      <c r="S91" s="2"/>
    </row>
    <row r="92" ht="22.5" customHeight="1">
      <c r="A92" s="3">
        <v>91.0</v>
      </c>
      <c r="B92" s="3" t="s">
        <v>2593</v>
      </c>
      <c r="C92" s="3" t="s">
        <v>2594</v>
      </c>
      <c r="D92" s="3" t="s">
        <v>2288</v>
      </c>
      <c r="E92" s="3" t="s">
        <v>2595</v>
      </c>
      <c r="F92" s="2"/>
      <c r="G92" s="3" t="str">
        <f>IFERROR(__xludf.DUMMYFUNCTION("GOOGLETRANSLATE(A92, ""it"", ""en"")"),"91")</f>
        <v>91</v>
      </c>
      <c r="H92" s="3" t="str">
        <f>IFERROR(__xludf.DUMMYFUNCTION("GOOGLETRANSLATE(B92, ""it"", ""en"")"),"How many minutes does a half of a water polo game last?")</f>
        <v>How many minutes does a half of a water polo game last?</v>
      </c>
      <c r="I92" s="3" t="str">
        <f>IFERROR(__xludf.DUMMYFUNCTION("GOOGLETRANSLATE(C92, ""it"", ""en"")"),"A. 4 minutes B. 5 minutes C. 6 minutes D. 7 minutes")</f>
        <v>A. 4 minutes B. 5 minutes C. 6 minutes D. 7 minutes</v>
      </c>
      <c r="J92" s="3" t="str">
        <f>IFERROR(__xludf.DUMMYFUNCTION("GOOGLETRANSLATE(D92, ""it"", ""en"")"),"8 minutes")</f>
        <v>8 minutes</v>
      </c>
      <c r="K92" s="3" t="str">
        <f>IFERROR(__xludf.DUMMYFUNCTION("GOOGLETRANSLATE(E92, ""it"", ""en"")"),"One game period lasts 8 minutes.")</f>
        <v>One game period lasts 8 minutes.</v>
      </c>
      <c r="L92" s="2"/>
      <c r="M92" s="2"/>
      <c r="N92" s="2"/>
      <c r="O92" s="2"/>
      <c r="P92" s="2"/>
      <c r="Q92" s="2"/>
      <c r="R92" s="2"/>
      <c r="S92" s="2"/>
    </row>
    <row r="93" ht="22.5" customHeight="1">
      <c r="A93" s="3">
        <v>92.0</v>
      </c>
      <c r="B93" s="3" t="s">
        <v>2596</v>
      </c>
      <c r="C93" s="3" t="s">
        <v>2597</v>
      </c>
      <c r="D93" s="3" t="s">
        <v>2598</v>
      </c>
      <c r="E93" s="3" t="s">
        <v>2599</v>
      </c>
      <c r="F93" s="2"/>
      <c r="G93" s="3" t="str">
        <f>IFERROR(__xludf.DUMMYFUNCTION("GOOGLETRANSLATE(A93, ""it"", ""en"")"),"92")</f>
        <v>92</v>
      </c>
      <c r="H93" s="3" t="str">
        <f>IFERROR(__xludf.DUMMYFUNCTION("GOOGLETRANSLATE(B93, ""it"", ""en"")"),"In what situation does a player receive a permanent red card?")</f>
        <v>In what situation does a player receive a permanent red card?</v>
      </c>
      <c r="I93" s="3" t="str">
        <f>IFERROR(__xludf.DUMMYFUNCTION("GOOGLETRANSLATE(C93, ""it"", ""en"")"),"A. When he commits a serious foul B. When he makes an unsportsmanlike gesture C. When he touches the ball out of play D. When he stops the game")</f>
        <v>A. When he commits a serious foul B. When he makes an unsportsmanlike gesture C. When he touches the ball out of play D. When he stops the game</v>
      </c>
      <c r="J93" s="3" t="str">
        <f>IFERROR(__xludf.DUMMYFUNCTION("GOOGLETRANSLATE(D93, ""it"", ""en"")"),"When he commits a serious foul")</f>
        <v>When he commits a serious foul</v>
      </c>
      <c r="K93" s="3" t="str">
        <f>IFERROR(__xludf.DUMMYFUNCTION("GOOGLETRANSLATE(E93, ""it"", ""en"")"),"A serious or unsportsmanlike foul will result in permanent ejection.")</f>
        <v>A serious or unsportsmanlike foul will result in permanent ejection.</v>
      </c>
      <c r="L93" s="2"/>
      <c r="M93" s="2"/>
      <c r="N93" s="2"/>
      <c r="O93" s="2"/>
      <c r="P93" s="2"/>
      <c r="Q93" s="2"/>
      <c r="R93" s="2"/>
      <c r="S93" s="2"/>
    </row>
    <row r="94" ht="22.5" customHeight="1">
      <c r="A94" s="3">
        <v>93.0</v>
      </c>
      <c r="B94" s="3" t="s">
        <v>2600</v>
      </c>
      <c r="C94" s="3" t="s">
        <v>2601</v>
      </c>
      <c r="D94" s="3" t="s">
        <v>2448</v>
      </c>
      <c r="E94" s="3" t="s">
        <v>2602</v>
      </c>
      <c r="F94" s="2"/>
      <c r="G94" s="3" t="str">
        <f>IFERROR(__xludf.DUMMYFUNCTION("GOOGLETRANSLATE(A94, ""it"", ""en"")"),"93")</f>
        <v>93</v>
      </c>
      <c r="H94" s="3" t="str">
        <f>IFERROR(__xludf.DUMMYFUNCTION("GOOGLETRANSLATE(B94, ""it"", ""en"")"),"Who is responsible for calling a time-out?")</f>
        <v>Who is responsible for calling a time-out?</v>
      </c>
      <c r="I94" s="3" t="str">
        <f>IFERROR(__xludf.DUMMYFUNCTION("GOOGLETRANSLATE(C94, ""it"", ""en"")"),"A. The referee B. The goalkeeper C. The captain D. A coach")</f>
        <v>A. The referee B. The goalkeeper C. The captain D. A coach</v>
      </c>
      <c r="J94" s="3" t="str">
        <f>IFERROR(__xludf.DUMMYFUNCTION("GOOGLETRANSLATE(D94, ""it"", ""en"")"),"A coach")</f>
        <v>A coach</v>
      </c>
      <c r="K94" s="3" t="str">
        <f>IFERROR(__xludf.DUMMYFUNCTION("GOOGLETRANSLATE(E94, ""it"", ""en"")"),"Only the coach can call a timeout.")</f>
        <v>Only the coach can call a timeout.</v>
      </c>
      <c r="L94" s="2"/>
      <c r="M94" s="2"/>
      <c r="N94" s="2"/>
      <c r="O94" s="2"/>
      <c r="P94" s="2"/>
      <c r="Q94" s="2"/>
      <c r="R94" s="2"/>
      <c r="S94" s="2"/>
    </row>
    <row r="95" ht="22.5" customHeight="1">
      <c r="A95" s="3">
        <v>94.0</v>
      </c>
      <c r="B95" s="3" t="s">
        <v>2603</v>
      </c>
      <c r="C95" s="3" t="s">
        <v>2604</v>
      </c>
      <c r="D95" s="3" t="s">
        <v>2605</v>
      </c>
      <c r="E95" s="3" t="s">
        <v>2606</v>
      </c>
      <c r="F95" s="2"/>
      <c r="G95" s="3" t="str">
        <f>IFERROR(__xludf.DUMMYFUNCTION("GOOGLETRANSLATE(A95, ""it"", ""en"")"),"94")</f>
        <v>94</v>
      </c>
      <c r="H95" s="3" t="str">
        <f>IFERROR(__xludf.DUMMYFUNCTION("GOOGLETRANSLATE(B95, ""it"", ""en"")"),"If a player is temporarily suspended")</f>
        <v>If a player is temporarily suspended</v>
      </c>
      <c r="I95" s="3" t="str">
        <f>IFERROR(__xludf.DUMMYFUNCTION("GOOGLETRANSLATE(C95, ""it"", ""en"")"),"A. Where is he? B. On the bench C. Out of the water D. He is being substituted")</f>
        <v>A. Where is he? B. On the bench C. Out of the water D. He is being substituted</v>
      </c>
      <c r="J95" s="3" t="str">
        <f>IFERROR(__xludf.DUMMYFUNCTION("GOOGLETRANSLATE(D95, ""it"", ""en"")"),"In the water with another role")</f>
        <v>In the water with another role</v>
      </c>
      <c r="K95" s="3" t="str">
        <f>IFERROR(__xludf.DUMMYFUNCTION("GOOGLETRANSLATE(E95, ""it"", ""en"")"),"On the bench")</f>
        <v>On the bench</v>
      </c>
      <c r="L95" s="2"/>
      <c r="M95" s="2"/>
      <c r="N95" s="2"/>
      <c r="O95" s="2"/>
      <c r="P95" s="2"/>
      <c r="Q95" s="2"/>
      <c r="R95" s="2"/>
      <c r="S95" s="2"/>
    </row>
    <row r="96" ht="22.5" customHeight="1">
      <c r="A96" s="3">
        <v>95.0</v>
      </c>
      <c r="B96" s="3" t="s">
        <v>2607</v>
      </c>
      <c r="C96" s="3" t="s">
        <v>2608</v>
      </c>
      <c r="D96" s="3" t="s">
        <v>2609</v>
      </c>
      <c r="E96" s="3" t="s">
        <v>2610</v>
      </c>
      <c r="F96" s="2"/>
      <c r="G96" s="3" t="str">
        <f>IFERROR(__xludf.DUMMYFUNCTION("GOOGLETRANSLATE(A96, ""it"", ""en"")"),"95")</f>
        <v>95</v>
      </c>
      <c r="H96" s="3" t="str">
        <f>IFERROR(__xludf.DUMMYFUNCTION("GOOGLETRANSLATE(B96, ""it"", ""en"")"),"When can a goalkeeper leave his penalty area?")</f>
        <v>When can a goalkeeper leave his penalty area?</v>
      </c>
      <c r="I96" s="3" t="str">
        <f>IFERROR(__xludf.DUMMYFUNCTION("GOOGLETRANSLATE(C96, ""it"", ""en"")"),"A. Never B. When there is an offensive action C. When the opponent is far away D. When the team is winning")</f>
        <v>A. Never B. When there is an offensive action C. When the opponent is far away D. When the team is winning</v>
      </c>
      <c r="J96" s="3" t="str">
        <f>IFERROR(__xludf.DUMMYFUNCTION("GOOGLETRANSLATE(D96, ""it"", ""en"")"),"When there is an offensive action")</f>
        <v>When there is an offensive action</v>
      </c>
      <c r="K96" s="3" t="str">
        <f>IFERROR(__xludf.DUMMYFUNCTION("GOOGLETRANSLATE(E96, ""it"", ""en"")"),"A goalkeeper may only leave his penalty area during an attack.")</f>
        <v>A goalkeeper may only leave his penalty area during an attack.</v>
      </c>
      <c r="L96" s="2"/>
      <c r="M96" s="2"/>
      <c r="N96" s="2"/>
      <c r="O96" s="2"/>
      <c r="P96" s="2"/>
      <c r="Q96" s="2"/>
      <c r="R96" s="2"/>
      <c r="S96" s="2"/>
    </row>
    <row r="97" ht="22.5" customHeight="1">
      <c r="A97" s="3">
        <v>96.0</v>
      </c>
      <c r="B97" s="3" t="s">
        <v>2611</v>
      </c>
      <c r="C97" s="3" t="s">
        <v>101</v>
      </c>
      <c r="D97" s="3">
        <v>1.0</v>
      </c>
      <c r="E97" s="3" t="s">
        <v>2612</v>
      </c>
      <c r="F97" s="2"/>
      <c r="G97" s="3" t="str">
        <f>IFERROR(__xludf.DUMMYFUNCTION("GOOGLETRANSLATE(A97, ""it"", ""en"")"),"96")</f>
        <v>96</v>
      </c>
      <c r="H97" s="3" t="str">
        <f>IFERROR(__xludf.DUMMYFUNCTION("GOOGLETRANSLATE(B97, ""it"", ""en"")"),"How many goals are needed to win a penalty?")</f>
        <v>How many goals are needed to win a penalty?</v>
      </c>
      <c r="I97" s="3" t="str">
        <f>IFERROR(__xludf.DUMMYFUNCTION("GOOGLETRANSLATE(C97, ""it"", ""en"")"),"A. 1 B. 2 C. 3 D. 4")</f>
        <v>A. 1 B. 2 C. 3 D. 4</v>
      </c>
      <c r="J97" s="3" t="str">
        <f>IFERROR(__xludf.DUMMYFUNCTION("GOOGLETRANSLATE(D97, ""it"", ""en"")"),"1")</f>
        <v>1</v>
      </c>
      <c r="K97" s="3" t="str">
        <f>IFERROR(__xludf.DUMMYFUNCTION("GOOGLETRANSLATE(E97, ""it"", ""en"")"),"Only one goal is needed to win a penalty.")</f>
        <v>Only one goal is needed to win a penalty.</v>
      </c>
      <c r="L97" s="2"/>
      <c r="M97" s="2"/>
      <c r="N97" s="2"/>
      <c r="O97" s="2"/>
      <c r="P97" s="2"/>
      <c r="Q97" s="2"/>
      <c r="R97" s="2"/>
      <c r="S97" s="2"/>
    </row>
    <row r="98" ht="22.5" customHeight="1">
      <c r="A98" s="3">
        <v>97.0</v>
      </c>
      <c r="B98" s="3" t="s">
        <v>2613</v>
      </c>
      <c r="C98" s="3" t="s">
        <v>2532</v>
      </c>
      <c r="D98" s="3">
        <v>3.0</v>
      </c>
      <c r="E98" s="3" t="s">
        <v>2614</v>
      </c>
      <c r="F98" s="2"/>
      <c r="G98" s="3" t="str">
        <f>IFERROR(__xludf.DUMMYFUNCTION("GOOGLETRANSLATE(A98, ""it"", ""en"")"),"97")</f>
        <v>97</v>
      </c>
      <c r="H98" s="3" t="str">
        <f>IFERROR(__xludf.DUMMYFUNCTION("GOOGLETRANSLATE(B98, ""it"", ""en"")"),"How many shots can be taken in penalty shootouts?")</f>
        <v>How many shots can be taken in penalty shootouts?</v>
      </c>
      <c r="I98" s="3" t="str">
        <f>IFERROR(__xludf.DUMMYFUNCTION("GOOGLETRANSLATE(C98, ""it"", ""en"")"),"A. 3 B. 5 C. 7 D. 9")</f>
        <v>A. 3 B. 5 C. 7 D. 9</v>
      </c>
      <c r="J98" s="3" t="str">
        <f>IFERROR(__xludf.DUMMYFUNCTION("GOOGLETRANSLATE(D98, ""it"", ""en"")"),"3")</f>
        <v>3</v>
      </c>
      <c r="K98" s="3" t="str">
        <f>IFERROR(__xludf.DUMMYFUNCTION("GOOGLETRANSLATE(E98, ""it"", ""en"")"),"Each team can take 3 penalty kicks in case of a tie.")</f>
        <v>Each team can take 3 penalty kicks in case of a tie.</v>
      </c>
      <c r="L98" s="2"/>
      <c r="M98" s="2"/>
      <c r="N98" s="2"/>
      <c r="O98" s="2"/>
      <c r="P98" s="2"/>
      <c r="Q98" s="2"/>
      <c r="R98" s="2"/>
      <c r="S98" s="2"/>
    </row>
    <row r="99" ht="22.5" customHeight="1">
      <c r="A99" s="3">
        <v>98.0</v>
      </c>
      <c r="B99" s="3" t="s">
        <v>2615</v>
      </c>
      <c r="C99" s="3" t="s">
        <v>2616</v>
      </c>
      <c r="D99" s="3" t="s">
        <v>2617</v>
      </c>
      <c r="E99" s="3" t="s">
        <v>2618</v>
      </c>
      <c r="F99" s="2"/>
      <c r="G99" s="3" t="str">
        <f>IFERROR(__xludf.DUMMYFUNCTION("GOOGLETRANSLATE(A99, ""it"", ""en"")"),"98")</f>
        <v>98</v>
      </c>
      <c r="H99" s="3" t="str">
        <f>IFERROR(__xludf.DUMMYFUNCTION("GOOGLETRANSLATE(B99, ""it"", ""en"")"),"How many substitutions can be made during the match?")</f>
        <v>How many substitutions can be made during the match?</v>
      </c>
      <c r="I99" s="3" t="str">
        <f>IFERROR(__xludf.DUMMYFUNCTION("GOOGLETRANSLATE(C99, ""it"", ""en"")"),"A. Unlimited B. 2 C. 5 D. 3")</f>
        <v>A. Unlimited B. 2 C. 5 D. 3</v>
      </c>
      <c r="J99" s="3" t="str">
        <f>IFERROR(__xludf.DUMMYFUNCTION("GOOGLETRANSLATE(D99, ""it"", ""en"")"),"Unlimited")</f>
        <v>Unlimited</v>
      </c>
      <c r="K99" s="3" t="str">
        <f>IFERROR(__xludf.DUMMYFUNCTION("GOOGLETRANSLATE(E99, ""it"", ""en"")"),"Substitutions are unlimited during a match.")</f>
        <v>Substitutions are unlimited during a match.</v>
      </c>
      <c r="L99" s="2"/>
      <c r="M99" s="2"/>
      <c r="N99" s="2"/>
      <c r="O99" s="2"/>
      <c r="P99" s="2"/>
      <c r="Q99" s="2"/>
      <c r="R99" s="2"/>
      <c r="S99" s="2"/>
    </row>
    <row r="100" ht="22.5" customHeight="1">
      <c r="A100" s="3">
        <v>99.0</v>
      </c>
      <c r="B100" s="3" t="s">
        <v>2619</v>
      </c>
      <c r="C100" s="3" t="s">
        <v>2620</v>
      </c>
      <c r="D100" s="3" t="s">
        <v>2621</v>
      </c>
      <c r="E100" s="3" t="s">
        <v>2622</v>
      </c>
      <c r="F100" s="2"/>
      <c r="G100" s="3" t="str">
        <f>IFERROR(__xludf.DUMMYFUNCTION("GOOGLETRANSLATE(A100, ""it"", ""en"")"),"99")</f>
        <v>99</v>
      </c>
      <c r="H100" s="3" t="str">
        <f>IFERROR(__xludf.DUMMYFUNCTION("GOOGLETRANSLATE(B100, ""it"", ""en"")"),"When a player takes a penalty shot")</f>
        <v>When a player takes a penalty shot</v>
      </c>
      <c r="I100" s="3" t="str">
        <f>IFERROR(__xludf.DUMMYFUNCTION("GOOGLETRANSLATE(C100, ""it"", ""en"")"),"A. How should he behave? B. He must shoot within 5 seconds C. He must make a pass D. He must shoot without stopping")</f>
        <v>A. How should he behave? B. He must shoot within 5 seconds C. He must make a pass D. He must shoot without stopping</v>
      </c>
      <c r="J100" s="3" t="str">
        <f>IFERROR(__xludf.DUMMYFUNCTION("GOOGLETRANSLATE(D100, ""it"", ""en"")"),"He must dribble before shooting")</f>
        <v>He must dribble before shooting</v>
      </c>
      <c r="K100" s="3" t="str">
        <f>IFERROR(__xludf.DUMMYFUNCTION("GOOGLETRANSLATE(E100, ""it"", ""en"")"),"Must shoot within 5 seconds")</f>
        <v>Must shoot within 5 seconds</v>
      </c>
      <c r="L100" s="2"/>
      <c r="M100" s="2"/>
      <c r="N100" s="2"/>
      <c r="O100" s="2"/>
      <c r="P100" s="2"/>
      <c r="Q100" s="2"/>
      <c r="R100" s="2"/>
      <c r="S100" s="2"/>
    </row>
    <row r="101" ht="22.5" customHeight="1">
      <c r="A101" s="3">
        <v>100.0</v>
      </c>
      <c r="B101" s="3" t="s">
        <v>2623</v>
      </c>
      <c r="C101" s="3" t="s">
        <v>2624</v>
      </c>
      <c r="D101" s="3" t="s">
        <v>2625</v>
      </c>
      <c r="E101" s="3" t="s">
        <v>2626</v>
      </c>
      <c r="F101" s="2"/>
      <c r="G101" s="3" t="str">
        <f>IFERROR(__xludf.DUMMYFUNCTION("GOOGLETRANSLATE(A101, ""it"", ""en"")"),"100")</f>
        <v>100</v>
      </c>
      <c r="H101" s="3" t="str">
        <f>IFERROR(__xludf.DUMMYFUNCTION("GOOGLETRANSLATE(B101, ""it"", ""en"")"),"What happens if a player leaves the area during an attack?")</f>
        <v>What happens if a player leaves the area during an attack?</v>
      </c>
      <c r="I101" s="3" t="str">
        <f>IFERROR(__xludf.DUMMYFUNCTION("GOOGLETRANSLATE(C101, ""it"", ""en"")"),"A. Nothing happens B. A foul is called C. The game is stopped D. A penalty is awarded")</f>
        <v>A. Nothing happens B. A foul is called C. The game is stopped D. A penalty is awarded</v>
      </c>
      <c r="J101" s="3" t="str">
        <f>IFERROR(__xludf.DUMMYFUNCTION("GOOGLETRANSLATE(D101, ""it"", ""en"")"),"A foul is called")</f>
        <v>A foul is called</v>
      </c>
      <c r="K101" s="3" t="str">
        <f>IFERROR(__xludf.DUMMYFUNCTION("GOOGLETRANSLATE(E101, ""it"", ""en"")"),"The player cannot leave the attacking area.")</f>
        <v>The player cannot leave the attacking area.</v>
      </c>
      <c r="L101" s="2"/>
      <c r="M101" s="2"/>
      <c r="N101" s="2"/>
      <c r="O101" s="2"/>
      <c r="P101" s="2"/>
      <c r="Q101" s="2"/>
      <c r="R101" s="2"/>
      <c r="S101" s="2"/>
    </row>
    <row r="102" ht="22.5" customHeight="1">
      <c r="A102" s="3">
        <v>101.0</v>
      </c>
      <c r="B102" s="3" t="s">
        <v>2627</v>
      </c>
      <c r="C102" s="3" t="s">
        <v>2628</v>
      </c>
      <c r="D102" s="3" t="s">
        <v>2629</v>
      </c>
      <c r="E102" s="3" t="s">
        <v>2630</v>
      </c>
      <c r="F102" s="2"/>
      <c r="G102" s="3" t="str">
        <f>IFERROR(__xludf.DUMMYFUNCTION("GOOGLETRANSLATE(A102, ""it"", ""en"")"),"101")</f>
        <v>101</v>
      </c>
      <c r="H102" s="3" t="str">
        <f>IFERROR(__xludf.DUMMYFUNCTION("GOOGLETRANSLATE(B102, ""it"", ""en"")"),"When should a goalkeeper make a throw?")</f>
        <v>When should a goalkeeper make a throw?</v>
      </c>
      <c r="I102" s="3" t="str">
        <f>IFERROR(__xludf.DUMMYFUNCTION("GOOGLETRANSLATE(C102, ""it"", ""en"")"),"A. When the ball leaves his penalty area B. When play is stopped C. When the referee orders it D. When the goalkeeper has the ball in his hand")</f>
        <v>A. When the ball leaves his penalty area B. When play is stopped C. When the referee orders it D. When the goalkeeper has the ball in his hand</v>
      </c>
      <c r="J102" s="3" t="str">
        <f>IFERROR(__xludf.DUMMYFUNCTION("GOOGLETRANSLATE(D102, ""it"", ""en"")"),"When the ball goes out of his area")</f>
        <v>When the ball goes out of his area</v>
      </c>
      <c r="K102" s="3" t="str">
        <f>IFERROR(__xludf.DUMMYFUNCTION("GOOGLETRANSLATE(E102, ""it"", ""en"")"),"The throw-in occurs when the ball leaves the goalkeeper's defensive area.")</f>
        <v>The throw-in occurs when the ball leaves the goalkeeper's defensive area.</v>
      </c>
      <c r="L102" s="2"/>
      <c r="M102" s="2"/>
      <c r="N102" s="2"/>
      <c r="O102" s="2"/>
      <c r="P102" s="2"/>
      <c r="Q102" s="2"/>
      <c r="R102" s="2"/>
      <c r="S102" s="2"/>
    </row>
    <row r="103" ht="22.5" customHeight="1">
      <c r="A103" s="3">
        <v>102.0</v>
      </c>
      <c r="B103" s="3" t="s">
        <v>2631</v>
      </c>
      <c r="C103" s="3" t="s">
        <v>101</v>
      </c>
      <c r="D103" s="3">
        <v>2.0</v>
      </c>
      <c r="E103" s="3" t="s">
        <v>2632</v>
      </c>
      <c r="F103" s="2"/>
      <c r="G103" s="3" t="str">
        <f>IFERROR(__xludf.DUMMYFUNCTION("GOOGLETRANSLATE(A103, ""it"", ""en"")"),"102")</f>
        <v>102</v>
      </c>
      <c r="H103" s="3" t="str">
        <f>IFERROR(__xludf.DUMMYFUNCTION("GOOGLETRANSLATE(B103, ""it"", ""en"")"),"How many temporary red cards can a player receive?")</f>
        <v>How many temporary red cards can a player receive?</v>
      </c>
      <c r="I103" s="3" t="str">
        <f>IFERROR(__xludf.DUMMYFUNCTION("GOOGLETRANSLATE(C103, ""it"", ""en"")"),"A. 1 B. 2 C. 3 D. 4")</f>
        <v>A. 1 B. 2 C. 3 D. 4</v>
      </c>
      <c r="J103" s="3" t="str">
        <f>IFERROR(__xludf.DUMMYFUNCTION("GOOGLETRANSLATE(D103, ""it"", ""en"")"),"2")</f>
        <v>2</v>
      </c>
      <c r="K103" s="3" t="str">
        <f>IFERROR(__xludf.DUMMYFUNCTION("GOOGLETRANSLATE(E103, ""it"", ""en"")"),"A player can receive a maximum of 2 temporary red cards during a match.")</f>
        <v>A player can receive a maximum of 2 temporary red cards during a match.</v>
      </c>
      <c r="L103" s="2"/>
      <c r="M103" s="2"/>
      <c r="N103" s="2"/>
      <c r="O103" s="2"/>
      <c r="P103" s="2"/>
      <c r="Q103" s="2"/>
      <c r="R103" s="2"/>
      <c r="S103" s="2"/>
    </row>
    <row r="104" ht="22.5" customHeight="1">
      <c r="A104" s="3">
        <v>103.0</v>
      </c>
      <c r="B104" s="3" t="s">
        <v>2633</v>
      </c>
      <c r="C104" s="3" t="s">
        <v>2634</v>
      </c>
      <c r="D104" s="3" t="s">
        <v>2635</v>
      </c>
      <c r="E104" s="3" t="s">
        <v>2636</v>
      </c>
      <c r="F104" s="2"/>
      <c r="G104" s="3" t="str">
        <f>IFERROR(__xludf.DUMMYFUNCTION("GOOGLETRANSLATE(A104, ""it"", ""en"")"),"103")</f>
        <v>103</v>
      </c>
      <c r="H104" s="3" t="str">
        <f>IFERROR(__xludf.DUMMYFUNCTION("GOOGLETRANSLATE(B104, ""it"", ""en"")"),"What happens if a team commits a technical foul?")</f>
        <v>What happens if a team commits a technical foul?</v>
      </c>
      <c r="I104" s="3" t="str">
        <f>IFERROR(__xludf.DUMMYFUNCTION("GOOGLETRANSLATE(C104, ""it"", ""en"")"),"A. The ball is given to the opposing team B. A penalty is awarded C. The team is sent off D. The game is stopped")</f>
        <v>A. The ball is given to the opposing team B. A penalty is awarded C. The team is sent off D. The game is stopped</v>
      </c>
      <c r="J104" s="3" t="str">
        <f>IFERROR(__xludf.DUMMYFUNCTION("GOOGLETRANSLATE(D104, ""it"", ""en"")"),"The ball is given to the opposing team")</f>
        <v>The ball is given to the opposing team</v>
      </c>
      <c r="K104" s="3" t="str">
        <f>IFERROR(__xludf.DUMMYFUNCTION("GOOGLETRANSLATE(E104, ""it"", ""en"")"),"The technical foul leads to a change of possession.")</f>
        <v>The technical foul leads to a change of possession.</v>
      </c>
      <c r="L104" s="2"/>
      <c r="M104" s="2"/>
      <c r="N104" s="2"/>
      <c r="O104" s="2"/>
      <c r="P104" s="2"/>
      <c r="Q104" s="2"/>
      <c r="R104" s="2"/>
      <c r="S104" s="2"/>
    </row>
    <row r="105" ht="22.5" customHeight="1">
      <c r="A105" s="3">
        <v>104.0</v>
      </c>
      <c r="B105" s="3" t="s">
        <v>2637</v>
      </c>
      <c r="C105" s="3" t="s">
        <v>2638</v>
      </c>
      <c r="D105" s="3" t="s">
        <v>2639</v>
      </c>
      <c r="E105" s="3" t="s">
        <v>2640</v>
      </c>
      <c r="F105" s="2"/>
      <c r="G105" s="3" t="str">
        <f>IFERROR(__xludf.DUMMYFUNCTION("GOOGLETRANSLATE(A105, ""it"", ""en"")"),"104")</f>
        <v>104</v>
      </c>
      <c r="H105" s="3" t="str">
        <f>IFERROR(__xludf.DUMMYFUNCTION("GOOGLETRANSLATE(B105, ""it"", ""en"")"),"In which area of ​​the pool is the goalkeeper not allowed to touch the ball?")</f>
        <v>In which area of ​​the pool is the goalkeeper not allowed to touch the ball?</v>
      </c>
      <c r="I105" s="3" t="str">
        <f>IFERROR(__xludf.DUMMYFUNCTION("GOOGLETRANSLATE(C105, ""it"", ""en"")"),"A. Inside the attacking area B. Outside your own area C. Inside the defending area D. In any part of the pool")</f>
        <v>A. Inside the attacking area B. Outside your own area C. Inside the defending area D. In any part of the pool</v>
      </c>
      <c r="J105" s="3" t="str">
        <f>IFERROR(__xludf.DUMMYFUNCTION("GOOGLETRANSLATE(D105, ""it"", ""en"")"),"Out of your own area")</f>
        <v>Out of your own area</v>
      </c>
      <c r="K105" s="3" t="str">
        <f>IFERROR(__xludf.DUMMYFUNCTION("GOOGLETRANSLATE(E105, ""it"", ""en"")"),"The goalkeeper cannot touch the ball outside his penalty area.")</f>
        <v>The goalkeeper cannot touch the ball outside his penalty area.</v>
      </c>
      <c r="L105" s="2"/>
      <c r="M105" s="2"/>
      <c r="N105" s="2"/>
      <c r="O105" s="2"/>
      <c r="P105" s="2"/>
      <c r="Q105" s="2"/>
      <c r="R105" s="2"/>
      <c r="S105" s="2"/>
    </row>
    <row r="106" ht="22.5" customHeight="1">
      <c r="A106" s="3">
        <v>105.0</v>
      </c>
      <c r="B106" s="3" t="s">
        <v>2641</v>
      </c>
      <c r="C106" s="3" t="s">
        <v>2642</v>
      </c>
      <c r="D106" s="3" t="s">
        <v>2643</v>
      </c>
      <c r="E106" s="3" t="s">
        <v>2644</v>
      </c>
      <c r="F106" s="2"/>
      <c r="G106" s="3" t="str">
        <f>IFERROR(__xludf.DUMMYFUNCTION("GOOGLETRANSLATE(A106, ""it"", ""en"")"),"105")</f>
        <v>105</v>
      </c>
      <c r="H106" s="3" t="str">
        <f>IFERROR(__xludf.DUMMYFUNCTION("GOOGLETRANSLATE(B106, ""it"", ""en"")"),"How long does a water polo game last?")</f>
        <v>How long does a water polo game last?</v>
      </c>
      <c r="I106" s="3" t="str">
        <f>IFERROR(__xludf.DUMMYFUNCTION("GOOGLETRANSLATE(C106, ""it"", ""en"")"),"A. 60 minutes B. 80 minutes C. 90 minutes D. 70 minutes")</f>
        <v>A. 60 minutes B. 80 minutes C. 90 minutes D. 70 minutes</v>
      </c>
      <c r="J106" s="3" t="str">
        <f>IFERROR(__xludf.DUMMYFUNCTION("GOOGLETRANSLATE(D106, ""it"", ""en"")"),"60 minutes")</f>
        <v>60 minutes</v>
      </c>
      <c r="K106" s="3" t="str">
        <f>IFERROR(__xludf.DUMMYFUNCTION("GOOGLETRANSLATE(E106, ""it"", ""en"")"),"A water polo match lasts 60 minutes divided into 4 periods.")</f>
        <v>A water polo match lasts 60 minutes divided into 4 periods.</v>
      </c>
      <c r="L106" s="2"/>
      <c r="M106" s="2"/>
      <c r="N106" s="2"/>
      <c r="O106" s="2"/>
      <c r="P106" s="2"/>
      <c r="Q106" s="2"/>
      <c r="R106" s="2"/>
      <c r="S106" s="2"/>
    </row>
    <row r="107" ht="22.5" customHeight="1">
      <c r="A107" s="3">
        <v>106.0</v>
      </c>
      <c r="B107" s="3" t="s">
        <v>2645</v>
      </c>
      <c r="C107" s="3" t="s">
        <v>2646</v>
      </c>
      <c r="D107" s="3" t="s">
        <v>632</v>
      </c>
      <c r="E107" s="3" t="s">
        <v>2647</v>
      </c>
      <c r="F107" s="2"/>
      <c r="G107" s="3" t="str">
        <f>IFERROR(__xludf.DUMMYFUNCTION("GOOGLETRANSLATE(A107, ""it"", ""en"")"),"106")</f>
        <v>106</v>
      </c>
      <c r="H107" s="3" t="str">
        <f>IFERROR(__xludf.DUMMYFUNCTION("GOOGLETRANSLATE(B107, ""it"", ""en"")"),"What happens if the goalkeeper passes a pass to his teammate?")</f>
        <v>What happens if the goalkeeper passes a pass to his teammate?</v>
      </c>
      <c r="I107" s="3" t="str">
        <f>IFERROR(__xludf.DUMMYFUNCTION("GOOGLETRANSLATE(C107, ""it"", ""en"")"),"A. The game continues B. The ball passes to the opposing team C. The team is fouled D. The goalkeeper is cautioned")</f>
        <v>A. The game continues B. The ball passes to the opposing team C. The team is fouled D. The goalkeeper is cautioned</v>
      </c>
      <c r="J107" s="3" t="str">
        <f>IFERROR(__xludf.DUMMYFUNCTION("GOOGLETRANSLATE(D107, ""it"", ""en"")"),"The game continues")</f>
        <v>The game continues</v>
      </c>
      <c r="K107" s="3" t="str">
        <f>IFERROR(__xludf.DUMMYFUNCTION("GOOGLETRANSLATE(E107, ""it"", ""en"")"),"The goalkeeper's pass to his teammate is a normal part of the game.")</f>
        <v>The goalkeeper's pass to his teammate is a normal part of the game.</v>
      </c>
      <c r="L107" s="2"/>
      <c r="M107" s="2"/>
      <c r="N107" s="2"/>
      <c r="O107" s="2"/>
      <c r="P107" s="2"/>
      <c r="Q107" s="2"/>
      <c r="R107" s="2"/>
      <c r="S107" s="2"/>
    </row>
    <row r="108" ht="22.5" customHeight="1">
      <c r="A108" s="3">
        <v>107.0</v>
      </c>
      <c r="B108" s="3" t="s">
        <v>2648</v>
      </c>
      <c r="C108" s="3" t="s">
        <v>2649</v>
      </c>
      <c r="D108" s="3" t="s">
        <v>2650</v>
      </c>
      <c r="E108" s="3" t="s">
        <v>2651</v>
      </c>
      <c r="F108" s="2"/>
      <c r="G108" s="3" t="str">
        <f>IFERROR(__xludf.DUMMYFUNCTION("GOOGLETRANSLATE(A108, ""it"", ""en"")"),"107")</f>
        <v>107</v>
      </c>
      <c r="H108" s="3" t="str">
        <f>IFERROR(__xludf.DUMMYFUNCTION("GOOGLETRANSLATE(B108, ""it"", ""en"")"),"When is a role change allowed during the game?")</f>
        <v>When is a role change allowed during the game?</v>
      </c>
      <c r="I108" s="3" t="str">
        <f>IFERROR(__xludf.DUMMYFUNCTION("GOOGLETRANSLATE(C108, ""it"", ""en"")"),"A. When the game is stopped B. When the referee allows it C. When the team is attacking D. When a player is sent off")</f>
        <v>A. When the game is stopped B. When the referee allows it C. When the team is attacking D. When a player is sent off</v>
      </c>
      <c r="J108" s="3" t="str">
        <f>IFERROR(__xludf.DUMMYFUNCTION("GOOGLETRANSLATE(D108, ""it"", ""en"")"),"When the game is stopped")</f>
        <v>When the game is stopped</v>
      </c>
      <c r="K108" s="3" t="str">
        <f>IFERROR(__xludf.DUMMYFUNCTION("GOOGLETRANSLATE(E108, ""it"", ""en"")"),"Role switching is only permitted during breaks.")</f>
        <v>Role switching is only permitted during breaks.</v>
      </c>
      <c r="L108" s="2"/>
      <c r="M108" s="2"/>
      <c r="N108" s="2"/>
      <c r="O108" s="2"/>
      <c r="P108" s="2"/>
      <c r="Q108" s="2"/>
      <c r="R108" s="2"/>
      <c r="S108" s="2"/>
    </row>
    <row r="109" ht="22.5" customHeight="1">
      <c r="A109" s="3">
        <v>108.0</v>
      </c>
      <c r="B109" s="3" t="s">
        <v>2652</v>
      </c>
      <c r="C109" s="3" t="s">
        <v>2653</v>
      </c>
      <c r="D109" s="3" t="s">
        <v>2654</v>
      </c>
      <c r="E109" s="3" t="s">
        <v>2655</v>
      </c>
      <c r="F109" s="2"/>
      <c r="G109" s="3" t="str">
        <f>IFERROR(__xludf.DUMMYFUNCTION("GOOGLETRANSLATE(A109, ""it"", ""en"")"),"108")</f>
        <v>108</v>
      </c>
      <c r="H109" s="3" t="str">
        <f>IFERROR(__xludf.DUMMYFUNCTION("GOOGLETRANSLATE(B109, ""it"", ""en"")"),"What must a player do to score a valid goal?")</f>
        <v>What must a player do to score a valid goal?</v>
      </c>
      <c r="I109" s="3" t="str">
        <f>IFERROR(__xludf.DUMMYFUNCTION("GOOGLETRANSLATE(C109, ""it"", ""en"")"),"A. Shooting inside the goalkeeper's area B. Shooting outside the area C. Heading the ball D. Shooting over the goal line")</f>
        <v>A. Shooting inside the goalkeeper's area B. Shooting outside the area C. Heading the ball D. Shooting over the goal line</v>
      </c>
      <c r="J109" s="3" t="str">
        <f>IFERROR(__xludf.DUMMYFUNCTION("GOOGLETRANSLATE(D109, ""it"", ""en"")"),"Shooting over the goal line")</f>
        <v>Shooting over the goal line</v>
      </c>
      <c r="K109" s="3" t="str">
        <f>IFERROR(__xludf.DUMMYFUNCTION("GOOGLETRANSLATE(E109, ""it"", ""en"")"),"A goal is scored if the ball completely crosses the goal line.")</f>
        <v>A goal is scored if the ball completely crosses the goal line.</v>
      </c>
      <c r="L109" s="2"/>
      <c r="M109" s="2"/>
      <c r="N109" s="2"/>
      <c r="O109" s="2"/>
      <c r="P109" s="2"/>
      <c r="Q109" s="2"/>
      <c r="R109" s="2"/>
      <c r="S109" s="2"/>
    </row>
    <row r="110" ht="22.5" customHeight="1">
      <c r="A110" s="3">
        <v>109.0</v>
      </c>
      <c r="B110" s="3" t="s">
        <v>2656</v>
      </c>
      <c r="C110" s="3" t="s">
        <v>2657</v>
      </c>
      <c r="D110" s="3" t="s">
        <v>2658</v>
      </c>
      <c r="E110" s="3" t="s">
        <v>2659</v>
      </c>
      <c r="F110" s="2"/>
      <c r="G110" s="3" t="str">
        <f>IFERROR(__xludf.DUMMYFUNCTION("GOOGLETRANSLATE(A110, ""it"", ""en"")"),"109")</f>
        <v>109</v>
      </c>
      <c r="H110" s="3" t="str">
        <f>IFERROR(__xludf.DUMMYFUNCTION("GOOGLETRANSLATE(B110, ""it"", ""en"")"),"If a player commits a serious foul in defense")</f>
        <v>If a player commits a serious foul in defense</v>
      </c>
      <c r="I110" s="3" t="str">
        <f>IFERROR(__xludf.DUMMYFUNCTION("GOOGLETRANSLATE(C110, ""it"", ""en"")"),"A. What happens? B. He is temporarily sent off C. He receives a penalty D. The opposing team gets a penalty")</f>
        <v>A. What happens? B. He is temporarily sent off C. He receives a penalty D. The opposing team gets a penalty</v>
      </c>
      <c r="J110" s="3" t="str">
        <f>IFERROR(__xludf.DUMMYFUNCTION("GOOGLETRANSLATE(D110, ""it"", ""en"")"),"He is warned")</f>
        <v>He is warned</v>
      </c>
      <c r="K110" s="3" t="str">
        <f>IFERROR(__xludf.DUMMYFUNCTION("GOOGLETRANSLATE(E110, ""it"", ""en"")"),"The opposing team gets a penalty")</f>
        <v>The opposing team gets a penalty</v>
      </c>
      <c r="L110" s="2"/>
      <c r="M110" s="2"/>
      <c r="N110" s="2"/>
      <c r="O110" s="2"/>
      <c r="P110" s="2"/>
      <c r="Q110" s="2"/>
      <c r="R110" s="2"/>
      <c r="S110" s="2"/>
    </row>
    <row r="111" ht="22.5" customHeight="1">
      <c r="A111" s="3">
        <v>110.0</v>
      </c>
      <c r="B111" s="3" t="s">
        <v>2660</v>
      </c>
      <c r="C111" s="3" t="s">
        <v>186</v>
      </c>
      <c r="D111" s="3">
        <v>2.0</v>
      </c>
      <c r="E111" s="3" t="s">
        <v>2661</v>
      </c>
      <c r="F111" s="2"/>
      <c r="G111" s="3" t="str">
        <f>IFERROR(__xludf.DUMMYFUNCTION("GOOGLETRANSLATE(A111, ""it"", ""en"")"),"110")</f>
        <v>110</v>
      </c>
      <c r="H111" s="3" t="str">
        <f>IFERROR(__xludf.DUMMYFUNCTION("GOOGLETRANSLATE(B111, ""it"", ""en"")"),"How many referees are there during a water polo game?")</f>
        <v>How many referees are there during a water polo game?</v>
      </c>
      <c r="I111" s="3" t="str">
        <f>IFERROR(__xludf.DUMMYFUNCTION("GOOGLETRANSLATE(C111, ""it"", ""en"")"),"A. 2 B. 3 C. 4 D. 5")</f>
        <v>A. 2 B. 3 C. 4 D. 5</v>
      </c>
      <c r="J111" s="3" t="str">
        <f>IFERROR(__xludf.DUMMYFUNCTION("GOOGLETRANSLATE(D111, ""it"", ""en"")"),"2")</f>
        <v>2</v>
      </c>
      <c r="K111" s="3" t="str">
        <f>IFERROR(__xludf.DUMMYFUNCTION("GOOGLETRANSLATE(E111, ""it"", ""en"")"),"Each match is controlled by 2 referees.")</f>
        <v>Each match is controlled by 2 referees.</v>
      </c>
      <c r="L111" s="2"/>
      <c r="M111" s="2"/>
      <c r="N111" s="2"/>
      <c r="O111" s="2"/>
      <c r="P111" s="2"/>
      <c r="Q111" s="2"/>
      <c r="R111" s="2"/>
      <c r="S111" s="2"/>
    </row>
    <row r="112" ht="22.5" customHeight="1">
      <c r="A112" s="3">
        <v>111.0</v>
      </c>
      <c r="B112" s="3" t="s">
        <v>2662</v>
      </c>
      <c r="C112" s="3" t="s">
        <v>2663</v>
      </c>
      <c r="D112" s="3" t="s">
        <v>2664</v>
      </c>
      <c r="E112" s="3" t="s">
        <v>2665</v>
      </c>
      <c r="F112" s="2"/>
      <c r="G112" s="3" t="str">
        <f>IFERROR(__xludf.DUMMYFUNCTION("GOOGLETRANSLATE(A112, ""it"", ""en"")"),"111")</f>
        <v>111</v>
      </c>
      <c r="H112" s="3" t="str">
        <f>IFERROR(__xludf.DUMMYFUNCTION("GOOGLETRANSLATE(B112, ""it"", ""en"")"),"What type of pass is prohibited in a water polo game?")</f>
        <v>What type of pass is prohibited in a water polo game?</v>
      </c>
      <c r="I112" s="3" t="str">
        <f>IFERROR(__xludf.DUMMYFUNCTION("GOOGLETRANSLATE(C112, ""it"", ""en"")"),"A. Two-handed pass B. One-handed pass C. Underwater pass D. Pass towards the opponent's goal")</f>
        <v>A. Two-handed pass B. One-handed pass C. Underwater pass D. Pass towards the opponent's goal</v>
      </c>
      <c r="J112" s="3" t="str">
        <f>IFERROR(__xludf.DUMMYFUNCTION("GOOGLETRANSLATE(D112, ""it"", ""en"")"),"Two-handed pass")</f>
        <v>Two-handed pass</v>
      </c>
      <c r="K112" s="3" t="str">
        <f>IFERROR(__xludf.DUMMYFUNCTION("GOOGLETRANSLATE(E112, ""it"", ""en"")"),"It is forbidden to make passes with both hands at the same time.")</f>
        <v>It is forbidden to make passes with both hands at the same time.</v>
      </c>
      <c r="L112" s="2"/>
      <c r="M112" s="2"/>
      <c r="N112" s="2"/>
      <c r="O112" s="2"/>
      <c r="P112" s="2"/>
      <c r="Q112" s="2"/>
      <c r="R112" s="2"/>
      <c r="S112" s="2"/>
    </row>
    <row r="113" ht="22.5" customHeight="1">
      <c r="A113" s="3">
        <v>112.0</v>
      </c>
      <c r="B113" s="3" t="s">
        <v>2666</v>
      </c>
      <c r="C113" s="3" t="s">
        <v>2667</v>
      </c>
      <c r="D113" s="3" t="s">
        <v>2668</v>
      </c>
      <c r="E113" s="3" t="s">
        <v>2669</v>
      </c>
      <c r="F113" s="2"/>
      <c r="G113" s="3" t="str">
        <f>IFERROR(__xludf.DUMMYFUNCTION("GOOGLETRANSLATE(A113, ""it"", ""en"")"),"112")</f>
        <v>112</v>
      </c>
      <c r="H113" s="3" t="str">
        <f>IFERROR(__xludf.DUMMYFUNCTION("GOOGLETRANSLATE(B113, ""it"", ""en"")"),"What happens when a player commits a foul?")</f>
        <v>What happens when a player commits a foul?</v>
      </c>
      <c r="I113" s="3" t="str">
        <f>IFERROR(__xludf.DUMMYFUNCTION("GOOGLETRANSLATE(C113, ""it"", ""en"")"),"A. The team receives a temporary expulsion B. The team loses possession of the ball C. A penalty is awarded D. The game stops")</f>
        <v>A. The team receives a temporary expulsion B. The team loses possession of the ball C. A penalty is awarded D. The game stops</v>
      </c>
      <c r="J113" s="3" t="str">
        <f>IFERROR(__xludf.DUMMYFUNCTION("GOOGLETRANSLATE(D113, ""it"", ""en"")"),"The team loses possession of the ball")</f>
        <v>The team loses possession of the ball</v>
      </c>
      <c r="K113" s="3" t="str">
        <f>IFERROR(__xludf.DUMMYFUNCTION("GOOGLETRANSLATE(E113, ""it"", ""en"")"),"A foul on the ball results in a change of possession.")</f>
        <v>A foul on the ball results in a change of possession.</v>
      </c>
      <c r="L113" s="2"/>
      <c r="M113" s="2"/>
      <c r="N113" s="2"/>
      <c r="O113" s="2"/>
      <c r="P113" s="2"/>
      <c r="Q113" s="2"/>
      <c r="R113" s="2"/>
      <c r="S113" s="2"/>
    </row>
    <row r="114" ht="22.5" customHeight="1">
      <c r="A114" s="3">
        <v>113.0</v>
      </c>
      <c r="B114" s="3" t="s">
        <v>2670</v>
      </c>
      <c r="C114" s="3" t="s">
        <v>2671</v>
      </c>
      <c r="D114" s="3" t="s">
        <v>2365</v>
      </c>
      <c r="E114" s="3" t="s">
        <v>2672</v>
      </c>
      <c r="F114" s="2"/>
      <c r="G114" s="3" t="str">
        <f>IFERROR(__xludf.DUMMYFUNCTION("GOOGLETRANSLATE(A114, ""it"", ""en"")"),"113")</f>
        <v>113</v>
      </c>
      <c r="H114" s="3" t="str">
        <f>IFERROR(__xludf.DUMMYFUNCTION("GOOGLETRANSLATE(B114, ""it"", ""en"")"),"How long is a break between two halves of play?")</f>
        <v>How long is a break between two halves of play?</v>
      </c>
      <c r="I114" s="3" t="str">
        <f>IFERROR(__xludf.DUMMYFUNCTION("GOOGLETRANSLATE(C114, ""it"", ""en"")"),"A. 1 minute B. 2 minutes C. 5 minutes D. 10 minutes")</f>
        <v>A. 1 minute B. 2 minutes C. 5 minutes D. 10 minutes</v>
      </c>
      <c r="J114" s="3" t="str">
        <f>IFERROR(__xludf.DUMMYFUNCTION("GOOGLETRANSLATE(D114, ""it"", ""en"")"),"2 minutes")</f>
        <v>2 minutes</v>
      </c>
      <c r="K114" s="3" t="str">
        <f>IFERROR(__xludf.DUMMYFUNCTION("GOOGLETRANSLATE(E114, ""it"", ""en"")"),"The break between two halves lasts 2 minutes.")</f>
        <v>The break between two halves lasts 2 minutes.</v>
      </c>
      <c r="L114" s="2"/>
      <c r="M114" s="2"/>
      <c r="N114" s="2"/>
      <c r="O114" s="2"/>
      <c r="P114" s="2"/>
      <c r="Q114" s="2"/>
      <c r="R114" s="2"/>
      <c r="S114" s="2"/>
    </row>
    <row r="115" ht="22.5" customHeight="1">
      <c r="A115" s="3">
        <v>114.0</v>
      </c>
      <c r="B115" s="3" t="s">
        <v>2673</v>
      </c>
      <c r="C115" s="3" t="s">
        <v>2674</v>
      </c>
      <c r="D115" s="3" t="s">
        <v>2675</v>
      </c>
      <c r="E115" s="3"/>
      <c r="F115" s="2"/>
      <c r="G115" s="3" t="str">
        <f>IFERROR(__xludf.DUMMYFUNCTION("GOOGLETRANSLATE(A115, ""it"", ""en"")"),"114")</f>
        <v>114</v>
      </c>
      <c r="H115" s="3" t="str">
        <f>IFERROR(__xludf.DUMMYFUNCTION("GOOGLETRANSLATE(B115, ""it"", ""en"")"),"What happens if the defending team commits a foul in the penalty area?")</f>
        <v>What happens if the defending team commits a foul in the penalty area?</v>
      </c>
      <c r="I115" s="3" t="str">
        <f>IFERROR(__xludf.DUMMYFUNCTION("GOOGLETRANSLATE(C115, ""it"", ""en"")"),"A. The player is temporarily sent off B. The opposing team receives a penalty C. The team loses the ball D. The game stops")</f>
        <v>A. The player is temporarily sent off B. The opposing team receives a penalty C. The team loses the ball D. The game stops</v>
      </c>
      <c r="J115" s="3" t="str">
        <f>IFERROR(__xludf.DUMMYFUNCTION("GOOGLETRANSLATE(D115, ""it"", ""en"")"),"The opposing team receives a penalty.")</f>
        <v>The opposing team receives a penalty.</v>
      </c>
      <c r="K115" s="3" t="str">
        <f>IFERROR(__xludf.DUMMYFUNCTION("GOOGLETRANSLATE(E115, ""it"", ""en"")"),"#VALUE!")</f>
        <v>#VALUE!</v>
      </c>
      <c r="L115" s="2"/>
      <c r="M115" s="2"/>
      <c r="N115" s="2"/>
      <c r="O115" s="2"/>
      <c r="P115" s="2"/>
      <c r="Q115" s="2"/>
      <c r="R115" s="2"/>
      <c r="S115" s="2"/>
    </row>
    <row r="116" ht="22.5" customHeight="1">
      <c r="A116" s="3">
        <v>115.0</v>
      </c>
      <c r="B116" s="3" t="s">
        <v>2676</v>
      </c>
      <c r="C116" s="3" t="s">
        <v>2677</v>
      </c>
      <c r="D116" s="3" t="s">
        <v>2678</v>
      </c>
      <c r="E116" s="3" t="s">
        <v>2679</v>
      </c>
      <c r="F116" s="2"/>
      <c r="G116" s="3" t="str">
        <f>IFERROR(__xludf.DUMMYFUNCTION("GOOGLETRANSLATE(A116, ""it"", ""en"")"),"115")</f>
        <v>115</v>
      </c>
      <c r="H116" s="3" t="str">
        <f>IFERROR(__xludf.DUMMYFUNCTION("GOOGLETRANSLATE(B116, ""it"", ""en"")"),"When can a player use the ball to make a pass?")</f>
        <v>When can a player use the ball to make a pass?</v>
      </c>
      <c r="I116" s="3" t="str">
        <f>IFERROR(__xludf.DUMMYFUNCTION("GOOGLETRANSLATE(C116, ""it"", ""en"")"),"A. Only when the ball is stationary B. When he is in possession of the ball C. When he is out of the water D. When the ball is above the surface")</f>
        <v>A. Only when the ball is stationary B. When he is in possession of the ball C. When he is out of the water D. When the ball is above the surface</v>
      </c>
      <c r="J116" s="3" t="str">
        <f>IFERROR(__xludf.DUMMYFUNCTION("GOOGLETRANSLATE(D116, ""it"", ""en"")"),"When he is in possession of the ball")</f>
        <v>When he is in possession of the ball</v>
      </c>
      <c r="K116" s="3" t="str">
        <f>IFERROR(__xludf.DUMMYFUNCTION("GOOGLETRANSLATE(E116, ""it"", ""en"")"),"A pass can only be made when the player has possession of the ball.")</f>
        <v>A pass can only be made when the player has possession of the ball.</v>
      </c>
      <c r="L116" s="2"/>
      <c r="M116" s="2"/>
      <c r="N116" s="2"/>
      <c r="O116" s="2"/>
      <c r="P116" s="2"/>
      <c r="Q116" s="2"/>
      <c r="R116" s="2"/>
      <c r="S116" s="2"/>
    </row>
    <row r="117" ht="22.5" customHeight="1">
      <c r="A117" s="3">
        <v>116.0</v>
      </c>
      <c r="B117" s="3" t="s">
        <v>2680</v>
      </c>
      <c r="C117" s="3" t="s">
        <v>2681</v>
      </c>
      <c r="D117" s="3" t="s">
        <v>2682</v>
      </c>
      <c r="E117" s="3" t="s">
        <v>2683</v>
      </c>
      <c r="F117" s="2"/>
      <c r="G117" s="3" t="str">
        <f>IFERROR(__xludf.DUMMYFUNCTION("GOOGLETRANSLATE(A117, ""it"", ""en"")"),"116")</f>
        <v>116</v>
      </c>
      <c r="H117" s="3" t="str">
        <f>IFERROR(__xludf.DUMMYFUNCTION("GOOGLETRANSLATE(B117, ""it"", ""en"")"),"What should a goalkeeper do when the opposing team scores a goal?")</f>
        <v>What should a goalkeeper do when the opposing team scores a goal?</v>
      </c>
      <c r="I117" s="3" t="str">
        <f>IFERROR(__xludf.DUMMYFUNCTION("GOOGLETRANSLATE(C117, ""it"", ""en"")"),"A. Resume play from your own area B. Request a time-out C. Award a new penalty D. Start with the throw-in")</f>
        <v>A. Resume play from your own area B. Request a time-out C. Award a new penalty D. Start with the throw-in</v>
      </c>
      <c r="J117" s="3" t="str">
        <f>IFERROR(__xludf.DUMMYFUNCTION("GOOGLETRANSLATE(D117, ""it"", ""en"")"),"Resume play from your own area")</f>
        <v>Resume play from your own area</v>
      </c>
      <c r="K117" s="3" t="str">
        <f>IFERROR(__xludf.DUMMYFUNCTION("GOOGLETRANSLATE(E117, ""it"", ""en"")"),"The goalkeeper must throw the ball from his side of the pool.")</f>
        <v>The goalkeeper must throw the ball from his side of the pool.</v>
      </c>
      <c r="L117" s="2"/>
      <c r="M117" s="2"/>
      <c r="N117" s="2"/>
      <c r="O117" s="2"/>
      <c r="P117" s="2"/>
      <c r="Q117" s="2"/>
      <c r="R117" s="2"/>
      <c r="S117" s="2"/>
    </row>
    <row r="118" ht="22.5" customHeight="1">
      <c r="A118" s="3">
        <v>117.0</v>
      </c>
      <c r="B118" s="3" t="s">
        <v>2684</v>
      </c>
      <c r="C118" s="3" t="s">
        <v>101</v>
      </c>
      <c r="D118" s="3">
        <v>1.0</v>
      </c>
      <c r="E118" s="3" t="s">
        <v>2685</v>
      </c>
      <c r="F118" s="2"/>
      <c r="G118" s="3" t="str">
        <f>IFERROR(__xludf.DUMMYFUNCTION("GOOGLETRANSLATE(A118, ""it"", ""en"")"),"117")</f>
        <v>117</v>
      </c>
      <c r="H118" s="3" t="str">
        <f>IFERROR(__xludf.DUMMYFUNCTION("GOOGLETRANSLATE(B118, ""it"", ""en"")"),"How many red cards can a player receive during a match?")</f>
        <v>How many red cards can a player receive during a match?</v>
      </c>
      <c r="I118" s="3" t="str">
        <f>IFERROR(__xludf.DUMMYFUNCTION("GOOGLETRANSLATE(C118, ""it"", ""en"")"),"A. 1 B. 2 C. 3 D. 4")</f>
        <v>A. 1 B. 2 C. 3 D. 4</v>
      </c>
      <c r="J118" s="3" t="str">
        <f>IFERROR(__xludf.DUMMYFUNCTION("GOOGLETRANSLATE(D118, ""it"", ""en"")"),"1")</f>
        <v>1</v>
      </c>
      <c r="K118" s="3" t="str">
        <f>IFERROR(__xludf.DUMMYFUNCTION("GOOGLETRANSLATE(E118, ""it"", ""en"")"),"A player can receive a permanent red card only once in a match.")</f>
        <v>A player can receive a permanent red card only once in a match.</v>
      </c>
      <c r="L118" s="2"/>
      <c r="M118" s="2"/>
      <c r="N118" s="2"/>
      <c r="O118" s="2"/>
      <c r="P118" s="2"/>
      <c r="Q118" s="2"/>
      <c r="R118" s="2"/>
      <c r="S118" s="2"/>
    </row>
    <row r="119" ht="22.5" customHeight="1">
      <c r="A119" s="3">
        <v>118.0</v>
      </c>
      <c r="B119" s="3" t="s">
        <v>2686</v>
      </c>
      <c r="C119" s="3" t="s">
        <v>2687</v>
      </c>
      <c r="D119" s="3" t="s">
        <v>2481</v>
      </c>
      <c r="E119" s="3" t="s">
        <v>2688</v>
      </c>
      <c r="F119" s="2"/>
      <c r="G119" s="3" t="str">
        <f>IFERROR(__xludf.DUMMYFUNCTION("GOOGLETRANSLATE(A119, ""it"", ""en"")"),"118")</f>
        <v>118</v>
      </c>
      <c r="H119" s="3" t="str">
        <f>IFERROR(__xludf.DUMMYFUNCTION("GOOGLETRANSLATE(B119, ""it"", ""en"")"),"What happens if a player intentionally hits an opponent?")</f>
        <v>What happens if a player intentionally hits an opponent?</v>
      </c>
      <c r="I119" s="3" t="str">
        <f>IFERROR(__xludf.DUMMYFUNCTION("GOOGLETRANSLATE(C119, ""it"", ""en"")"),"A. He is cautioned B. The game continues C. He is sent off D. The opposing team gets a penalty")</f>
        <v>A. He is cautioned B. The game continues C. He is sent off D. The opposing team gets a penalty</v>
      </c>
      <c r="J119" s="3" t="str">
        <f>IFERROR(__xludf.DUMMYFUNCTION("GOOGLETRANSLATE(D119, ""it"", ""en"")"),"He is expelled")</f>
        <v>He is expelled</v>
      </c>
      <c r="K119" s="3" t="str">
        <f>IFERROR(__xludf.DUMMYFUNCTION("GOOGLETRANSLATE(E119, ""it"", ""en"")"),"Intentionally hitting an opponent will result in the player being ejected.")</f>
        <v>Intentionally hitting an opponent will result in the player being ejected.</v>
      </c>
      <c r="L119" s="2"/>
      <c r="M119" s="2"/>
      <c r="N119" s="2"/>
      <c r="O119" s="2"/>
      <c r="P119" s="2"/>
      <c r="Q119" s="2"/>
      <c r="R119" s="2"/>
      <c r="S119" s="2"/>
    </row>
    <row r="120" ht="22.5" customHeight="1">
      <c r="A120" s="3">
        <v>119.0</v>
      </c>
      <c r="B120" s="3" t="s">
        <v>2689</v>
      </c>
      <c r="C120" s="3" t="s">
        <v>2562</v>
      </c>
      <c r="D120" s="3" t="s">
        <v>2452</v>
      </c>
      <c r="E120" s="3" t="s">
        <v>2690</v>
      </c>
      <c r="F120" s="2"/>
      <c r="G120" s="3" t="str">
        <f>IFERROR(__xludf.DUMMYFUNCTION("GOOGLETRANSLATE(A120, ""it"", ""en"")"),"119")</f>
        <v>119</v>
      </c>
      <c r="H120" s="3" t="str">
        <f>IFERROR(__xludf.DUMMYFUNCTION("GOOGLETRANSLATE(B120, ""it"", ""en"")"),"How long must pass before a player can enter the water after a substitution?")</f>
        <v>How long must pass before a player can enter the water after a substitution?</v>
      </c>
      <c r="I120" s="3" t="str">
        <f>IFERROR(__xludf.DUMMYFUNCTION("GOOGLETRANSLATE(C120, ""it"", ""en"")"),"A. 5 seconds B. 10 seconds C. 15 seconds D. 30 seconds")</f>
        <v>A. 5 seconds B. 10 seconds C. 15 seconds D. 30 seconds</v>
      </c>
      <c r="J120" s="3" t="str">
        <f>IFERROR(__xludf.DUMMYFUNCTION("GOOGLETRANSLATE(D120, ""it"", ""en"")"),"5 seconds")</f>
        <v>5 seconds</v>
      </c>
      <c r="K120" s="3" t="str">
        <f>IFERROR(__xludf.DUMMYFUNCTION("GOOGLETRANSLATE(E120, ""it"", ""en"")"),"A player may enter the water within 5 seconds of being substituted.")</f>
        <v>A player may enter the water within 5 seconds of being substituted.</v>
      </c>
      <c r="L120" s="2"/>
      <c r="M120" s="2"/>
      <c r="N120" s="2"/>
      <c r="O120" s="2"/>
      <c r="P120" s="2"/>
      <c r="Q120" s="2"/>
      <c r="R120" s="2"/>
      <c r="S120" s="2"/>
    </row>
    <row r="121" ht="22.5" customHeight="1">
      <c r="A121" s="3">
        <v>120.0</v>
      </c>
      <c r="B121" s="3" t="s">
        <v>2691</v>
      </c>
      <c r="C121" s="3" t="s">
        <v>2692</v>
      </c>
      <c r="D121" s="3" t="s">
        <v>2658</v>
      </c>
      <c r="E121" s="3" t="s">
        <v>2693</v>
      </c>
      <c r="F121" s="2"/>
      <c r="G121" s="3" t="str">
        <f>IFERROR(__xludf.DUMMYFUNCTION("GOOGLETRANSLATE(A121, ""it"", ""en"")"),"120")</f>
        <v>120</v>
      </c>
      <c r="H121" s="3" t="str">
        <f>IFERROR(__xludf.DUMMYFUNCTION("GOOGLETRANSLATE(B121, ""it"", ""en"")"),"What happens if the goalkeeper leaves his penalty area during an attacking move?")</f>
        <v>What happens if the goalkeeper leaves his penalty area during an attacking move?</v>
      </c>
      <c r="I121" s="3" t="str">
        <f>IFERROR(__xludf.DUMMYFUNCTION("GOOGLETRANSLATE(C121, ""it"", ""en"")"),"A. He is cautioned B. The game continues C. He is sent off D. A foul is called")</f>
        <v>A. He is cautioned B. The game continues C. He is sent off D. A foul is called</v>
      </c>
      <c r="J121" s="3" t="str">
        <f>IFERROR(__xludf.DUMMYFUNCTION("GOOGLETRANSLATE(D121, ""it"", ""en"")"),"He is warned")</f>
        <v>He is warned</v>
      </c>
      <c r="K121" s="3" t="str">
        <f>IFERROR(__xludf.DUMMYFUNCTION("GOOGLETRANSLATE(E121, ""it"", ""en"")"),"The goalkeeper is subject to a caution if he leaves his penalty area during an attack.")</f>
        <v>The goalkeeper is subject to a caution if he leaves his penalty area during an attack.</v>
      </c>
      <c r="L121" s="2"/>
      <c r="M121" s="2"/>
      <c r="N121" s="2"/>
      <c r="O121" s="2"/>
      <c r="P121" s="2"/>
      <c r="Q121" s="2"/>
      <c r="R121" s="2"/>
      <c r="S121" s="2"/>
    </row>
    <row r="122" ht="22.5" customHeight="1">
      <c r="A122" s="3">
        <v>121.0</v>
      </c>
      <c r="B122" s="3" t="s">
        <v>2694</v>
      </c>
      <c r="C122" s="3" t="s">
        <v>2695</v>
      </c>
      <c r="D122" s="3" t="s">
        <v>2659</v>
      </c>
      <c r="E122" s="3" t="s">
        <v>2696</v>
      </c>
      <c r="F122" s="2"/>
      <c r="G122" s="3" t="str">
        <f>IFERROR(__xludf.DUMMYFUNCTION("GOOGLETRANSLATE(A122, ""it"", ""en"")"),"121")</f>
        <v>121</v>
      </c>
      <c r="H122" s="3" t="str">
        <f>IFERROR(__xludf.DUMMYFUNCTION("GOOGLETRANSLATE(B122, ""it"", ""en"")"),"What happens if a player commits a foul while shooting on goal?")</f>
        <v>What happens if a player commits a foul while shooting on goal?</v>
      </c>
      <c r="I122" s="3" t="str">
        <f>IFERROR(__xludf.DUMMYFUNCTION("GOOGLETRANSLATE(C122, ""it"", ""en"")"),"A. The shot is disallowed B. The player is sent off C. The opposing team gets a penalty D. The team gets a throw-in")</f>
        <v>A. The shot is disallowed B. The player is sent off C. The opposing team gets a penalty D. The team gets a throw-in</v>
      </c>
      <c r="J122" s="3" t="str">
        <f>IFERROR(__xludf.DUMMYFUNCTION("GOOGLETRANSLATE(D122, ""it"", ""en"")"),"The opposing team gets a penalty")</f>
        <v>The opposing team gets a penalty</v>
      </c>
      <c r="K122" s="3" t="str">
        <f>IFERROR(__xludf.DUMMYFUNCTION("GOOGLETRANSLATE(E122, ""it"", ""en"")"),"A foul during a shot on goal results in a penalty.")</f>
        <v>A foul during a shot on goal results in a penalty.</v>
      </c>
      <c r="L122" s="2"/>
      <c r="M122" s="2"/>
      <c r="N122" s="2"/>
      <c r="O122" s="2"/>
      <c r="P122" s="2"/>
      <c r="Q122" s="2"/>
      <c r="R122" s="2"/>
      <c r="S122" s="2"/>
    </row>
    <row r="123" ht="22.5" customHeight="1">
      <c r="A123" s="3">
        <v>122.0</v>
      </c>
      <c r="B123" s="3" t="s">
        <v>2697</v>
      </c>
      <c r="C123" s="3" t="s">
        <v>2698</v>
      </c>
      <c r="D123" s="3" t="s">
        <v>2345</v>
      </c>
      <c r="E123" s="3" t="s">
        <v>2699</v>
      </c>
      <c r="F123" s="2"/>
      <c r="G123" s="3" t="str">
        <f>IFERROR(__xludf.DUMMYFUNCTION("GOOGLETRANSLATE(A123, ""it"", ""en"")"),"122")</f>
        <v>122</v>
      </c>
      <c r="H123" s="3" t="str">
        <f>IFERROR(__xludf.DUMMYFUNCTION("GOOGLETRANSLATE(B123, ""it"", ""en"")"),"What happens if a goalkeeper touches the ball with his hand outside his penalty area?")</f>
        <v>What happens if a goalkeeper touches the ball with his hand outside his penalty area?</v>
      </c>
      <c r="I123" s="3" t="str">
        <f>IFERROR(__xludf.DUMMYFUNCTION("GOOGLETRANSLATE(C123, ""it"", ""en"")"),"A. A penalty is awarded B. The game is stopped C. The goalkeeper is cautioned D. The team loses possession")</f>
        <v>A. A penalty is awarded B. The game is stopped C. The goalkeeper is cautioned D. The team loses possession</v>
      </c>
      <c r="J123" s="3" t="str">
        <f>IFERROR(__xludf.DUMMYFUNCTION("GOOGLETRANSLATE(D123, ""it"", ""en"")"),"A penalty is awarded")</f>
        <v>A penalty is awarded</v>
      </c>
      <c r="K123" s="3" t="str">
        <f>IFERROR(__xludf.DUMMYFUNCTION("GOOGLETRANSLATE(E123, ""it"", ""en"")"),"The goalkeeper cannot touch the ball outside his own penalty area.")</f>
        <v>The goalkeeper cannot touch the ball outside his own penalty area.</v>
      </c>
      <c r="L123" s="2"/>
      <c r="M123" s="2"/>
      <c r="N123" s="2"/>
      <c r="O123" s="2"/>
      <c r="P123" s="2"/>
      <c r="Q123" s="2"/>
      <c r="R123" s="2"/>
      <c r="S123" s="2"/>
    </row>
    <row r="124" ht="22.5" customHeight="1">
      <c r="A124" s="3">
        <v>123.0</v>
      </c>
      <c r="B124" s="3" t="s">
        <v>2700</v>
      </c>
      <c r="C124" s="3" t="s">
        <v>2701</v>
      </c>
      <c r="D124" s="3" t="s">
        <v>2452</v>
      </c>
      <c r="E124" s="3" t="s">
        <v>2702</v>
      </c>
      <c r="F124" s="2"/>
      <c r="G124" s="3" t="str">
        <f>IFERROR(__xludf.DUMMYFUNCTION("GOOGLETRANSLATE(A124, ""it"", ""en"")"),"123")</f>
        <v>123</v>
      </c>
      <c r="H124" s="3" t="str">
        <f>IFERROR(__xludf.DUMMYFUNCTION("GOOGLETRANSLATE(B124, ""it"", ""en"")"),"How long does a team have to get the ball rolling after a foul?")</f>
        <v>How long does a team have to get the ball rolling after a foul?</v>
      </c>
      <c r="I124" s="3" t="str">
        <f>IFERROR(__xludf.DUMMYFUNCTION("GOOGLETRANSLATE(C124, ""it"", ""en"")"),"A. 5 seconds B. 10 seconds C. 15 seconds D. 20 seconds")</f>
        <v>A. 5 seconds B. 10 seconds C. 15 seconds D. 20 seconds</v>
      </c>
      <c r="J124" s="3" t="str">
        <f>IFERROR(__xludf.DUMMYFUNCTION("GOOGLETRANSLATE(D124, ""it"", ""en"")"),"5 seconds")</f>
        <v>5 seconds</v>
      </c>
      <c r="K124" s="3" t="str">
        <f>IFERROR(__xludf.DUMMYFUNCTION("GOOGLETRANSLATE(E124, ""it"", ""en"")"),"A team has 5 seconds to start the play after a foul.")</f>
        <v>A team has 5 seconds to start the play after a foul.</v>
      </c>
      <c r="L124" s="2"/>
      <c r="M124" s="2"/>
      <c r="N124" s="2"/>
      <c r="O124" s="2"/>
      <c r="P124" s="2"/>
      <c r="Q124" s="2"/>
      <c r="R124" s="2"/>
      <c r="S124" s="2"/>
    </row>
    <row r="125" ht="22.5" customHeight="1">
      <c r="A125" s="3">
        <v>124.0</v>
      </c>
      <c r="B125" s="3" t="s">
        <v>2703</v>
      </c>
      <c r="C125" s="3" t="s">
        <v>101</v>
      </c>
      <c r="D125" s="3">
        <v>2.0</v>
      </c>
      <c r="E125" s="3" t="s">
        <v>2704</v>
      </c>
      <c r="F125" s="2"/>
      <c r="G125" s="3" t="str">
        <f>IFERROR(__xludf.DUMMYFUNCTION("GOOGLETRANSLATE(A125, ""it"", ""en"")"),"124")</f>
        <v>124</v>
      </c>
      <c r="H125" s="3" t="str">
        <f>IFERROR(__xludf.DUMMYFUNCTION("GOOGLETRANSLATE(B125, ""it"", ""en"")"),"How many overtime periods are played if the score is tied after the end of regulation time?")</f>
        <v>How many overtime periods are played if the score is tied after the end of regulation time?</v>
      </c>
      <c r="I125" s="3" t="str">
        <f>IFERROR(__xludf.DUMMYFUNCTION("GOOGLETRANSLATE(C125, ""it"", ""en"")"),"A. 1 B. 2 C. 3 D. 4")</f>
        <v>A. 1 B. 2 C. 3 D. 4</v>
      </c>
      <c r="J125" s="3" t="str">
        <f>IFERROR(__xludf.DUMMYFUNCTION("GOOGLETRANSLATE(D125, ""it"", ""en"")"),"2")</f>
        <v>2</v>
      </c>
      <c r="K125" s="3" t="str">
        <f>IFERROR(__xludf.DUMMYFUNCTION("GOOGLETRANSLATE(E125, ""it"", ""en"")"),"If the match ends in a draw")</f>
        <v>If the match ends in a draw</v>
      </c>
      <c r="L125" s="2"/>
      <c r="M125" s="2"/>
      <c r="N125" s="2"/>
      <c r="O125" s="2"/>
      <c r="P125" s="2"/>
      <c r="Q125" s="2"/>
      <c r="R125" s="2"/>
      <c r="S125" s="2"/>
    </row>
    <row r="126" ht="22.5" customHeight="1">
      <c r="A126" s="3">
        <v>125.0</v>
      </c>
      <c r="B126" s="3" t="s">
        <v>2705</v>
      </c>
      <c r="C126" s="3" t="s">
        <v>2706</v>
      </c>
      <c r="D126" s="3" t="s">
        <v>2536</v>
      </c>
      <c r="E126" s="3" t="s">
        <v>2707</v>
      </c>
      <c r="F126" s="2"/>
      <c r="G126" s="3" t="str">
        <f>IFERROR(__xludf.DUMMYFUNCTION("GOOGLETRANSLATE(A126, ""it"", ""en"")"),"125")</f>
        <v>125</v>
      </c>
      <c r="H126" s="3" t="str">
        <f>IFERROR(__xludf.DUMMYFUNCTION("GOOGLETRANSLATE(B126, ""it"", ""en"")"),"What happens if a player commits an offensive foul?")</f>
        <v>What happens if a player commits an offensive foul?</v>
      </c>
      <c r="I126" s="3" t="str">
        <f>IFERROR(__xludf.DUMMYFUNCTION("GOOGLETRANSLATE(C126, ""it"", ""en"")"),"A. The ball goes to the opposing team B. The player is temporarily suspended C. The team receives a penalty D. The team earns a penalty")</f>
        <v>A. The ball goes to the opposing team B. The player is temporarily suspended C. The team receives a penalty D. The team earns a penalty</v>
      </c>
      <c r="J126" s="3" t="str">
        <f>IFERROR(__xludf.DUMMYFUNCTION("GOOGLETRANSLATE(D126, ""it"", ""en"")"),"The ball passes to the opposing team")</f>
        <v>The ball passes to the opposing team</v>
      </c>
      <c r="K126" s="3" t="str">
        <f>IFERROR(__xludf.DUMMYFUNCTION("GOOGLETRANSLATE(E126, ""it"", ""en"")"),"An offensive foul results in a change of possession.")</f>
        <v>An offensive foul results in a change of possession.</v>
      </c>
      <c r="L126" s="2"/>
      <c r="M126" s="2"/>
      <c r="N126" s="2"/>
      <c r="O126" s="2"/>
      <c r="P126" s="2"/>
      <c r="Q126" s="2"/>
      <c r="R126" s="2"/>
      <c r="S126" s="2"/>
    </row>
    <row r="127" ht="22.5" customHeight="1">
      <c r="A127" s="3">
        <v>126.0</v>
      </c>
      <c r="B127" s="3" t="s">
        <v>2708</v>
      </c>
      <c r="C127" s="3" t="s">
        <v>2709</v>
      </c>
      <c r="D127" s="3" t="s">
        <v>2710</v>
      </c>
      <c r="E127" s="3" t="s">
        <v>2711</v>
      </c>
      <c r="F127" s="2"/>
      <c r="G127" s="3" t="str">
        <f>IFERROR(__xludf.DUMMYFUNCTION("GOOGLETRANSLATE(A127, ""it"", ""en"")"),"126")</f>
        <v>126</v>
      </c>
      <c r="H127" s="3" t="str">
        <f>IFERROR(__xludf.DUMMYFUNCTION("GOOGLETRANSLATE(B127, ""it"", ""en"")"),"In which part of the pool does the offensive play mainly take place?")</f>
        <v>In which part of the pool does the offensive play mainly take place?</v>
      </c>
      <c r="I127" s="3" t="str">
        <f>IFERROR(__xludf.DUMMYFUNCTION("GOOGLETRANSLATE(C127, ""it"", ""en"")"),"A. In the goalkeeper's area B. Outside the pool C. In the center of the pool D. In the attacking zone")</f>
        <v>A. In the goalkeeper's area B. Outside the pool C. In the center of the pool D. In the attacking zone</v>
      </c>
      <c r="J127" s="3" t="str">
        <f>IFERROR(__xludf.DUMMYFUNCTION("GOOGLETRANSLATE(D127, ""it"", ""en"")"),"In the attack zone")</f>
        <v>In the attack zone</v>
      </c>
      <c r="K127" s="3" t="str">
        <f>IFERROR(__xludf.DUMMYFUNCTION("GOOGLETRANSLATE(E127, ""it"", ""en"")"),"Offensive play takes place mainly in the attacking zone.")</f>
        <v>Offensive play takes place mainly in the attacking zone.</v>
      </c>
      <c r="L127" s="2"/>
      <c r="M127" s="2"/>
      <c r="N127" s="2"/>
      <c r="O127" s="2"/>
      <c r="P127" s="2"/>
      <c r="Q127" s="2"/>
      <c r="R127" s="2"/>
      <c r="S127" s="2"/>
    </row>
    <row r="128" ht="22.5" customHeight="1">
      <c r="A128" s="3">
        <v>127.0</v>
      </c>
      <c r="B128" s="3" t="s">
        <v>2712</v>
      </c>
      <c r="C128" s="3" t="s">
        <v>2713</v>
      </c>
      <c r="D128" s="3" t="s">
        <v>2625</v>
      </c>
      <c r="E128" s="3" t="s">
        <v>2714</v>
      </c>
      <c r="F128" s="2"/>
      <c r="G128" s="3" t="str">
        <f>IFERROR(__xludf.DUMMYFUNCTION("GOOGLETRANSLATE(A128, ""it"", ""en"")"),"127")</f>
        <v>127</v>
      </c>
      <c r="H128" s="3" t="str">
        <f>IFERROR(__xludf.DUMMYFUNCTION("GOOGLETRANSLATE(B128, ""it"", ""en"")"),"What happens if a player accidentally hits an opponent?")</f>
        <v>What happens if a player accidentally hits an opponent?</v>
      </c>
      <c r="I128" s="3" t="str">
        <f>IFERROR(__xludf.DUMMYFUNCTION("GOOGLETRANSLATE(C128, ""it"", ""en"")"),"A. The game continues B. A foul is called C. The player is ejected D. The team earns a penalty")</f>
        <v>A. The game continues B. A foul is called C. The player is ejected D. The team earns a penalty</v>
      </c>
      <c r="J128" s="3" t="str">
        <f>IFERROR(__xludf.DUMMYFUNCTION("GOOGLETRANSLATE(D128, ""it"", ""en"")"),"A foul is called")</f>
        <v>A foul is called</v>
      </c>
      <c r="K128" s="3" t="str">
        <f>IFERROR(__xludf.DUMMYFUNCTION("GOOGLETRANSLATE(E128, ""it"", ""en"")"),"The game restarts after a foul.")</f>
        <v>The game restarts after a foul.</v>
      </c>
      <c r="L128" s="2"/>
      <c r="M128" s="2"/>
      <c r="N128" s="2"/>
      <c r="O128" s="2"/>
      <c r="P128" s="2"/>
      <c r="Q128" s="2"/>
      <c r="R128" s="2"/>
      <c r="S128" s="2"/>
    </row>
    <row r="129" ht="22.5" customHeight="1">
      <c r="A129" s="3">
        <v>128.0</v>
      </c>
      <c r="B129" s="3" t="s">
        <v>2715</v>
      </c>
      <c r="C129" s="3" t="s">
        <v>2716</v>
      </c>
      <c r="D129" s="3" t="s">
        <v>2717</v>
      </c>
      <c r="E129" s="3" t="s">
        <v>2718</v>
      </c>
      <c r="F129" s="2"/>
      <c r="G129" s="3" t="str">
        <f>IFERROR(__xludf.DUMMYFUNCTION("GOOGLETRANSLATE(A129, ""it"", ""en"")"),"128")</f>
        <v>128</v>
      </c>
      <c r="H129" s="3" t="str">
        <f>IFERROR(__xludf.DUMMYFUNCTION("GOOGLETRANSLATE(B129, ""it"", ""en"")"),"When the goalkeeper makes a throw")</f>
        <v>When the goalkeeper makes a throw</v>
      </c>
      <c r="I129" s="3" t="str">
        <f>IFERROR(__xludf.DUMMYFUNCTION("GOOGLETRANSLATE(C129, ""it"", ""en"")"),"A. How should he do it? B. Throwing the ball directly into the goal C. Passing the ball to his teammates D. Making a direct pass")</f>
        <v>A. How should he do it? B. Throwing the ball directly into the goal C. Passing the ball to his teammates D. Making a direct pass</v>
      </c>
      <c r="J129" s="3" t="str">
        <f>IFERROR(__xludf.DUMMYFUNCTION("GOOGLETRANSLATE(D129, ""it"", ""en"")"),"Passing the ball to a defender")</f>
        <v>Passing the ball to a defender</v>
      </c>
      <c r="K129" s="3" t="str">
        <f>IFERROR(__xludf.DUMMYFUNCTION("GOOGLETRANSLATE(E129, ""it"", ""en"")"),"Passing the ball to teammates")</f>
        <v>Passing the ball to teammates</v>
      </c>
      <c r="L129" s="2"/>
      <c r="M129" s="2"/>
      <c r="N129" s="2"/>
      <c r="O129" s="2"/>
      <c r="P129" s="2"/>
      <c r="Q129" s="2"/>
      <c r="R129" s="2"/>
      <c r="S129" s="2"/>
    </row>
    <row r="130" ht="22.5" customHeight="1">
      <c r="A130" s="3">
        <v>129.0</v>
      </c>
      <c r="B130" s="3" t="s">
        <v>2719</v>
      </c>
      <c r="C130" s="3" t="s">
        <v>2720</v>
      </c>
      <c r="D130" s="3" t="s">
        <v>2668</v>
      </c>
      <c r="E130" s="3" t="s">
        <v>2721</v>
      </c>
      <c r="F130" s="2"/>
      <c r="G130" s="3" t="str">
        <f>IFERROR(__xludf.DUMMYFUNCTION("GOOGLETRANSLATE(A130, ""it"", ""en"")"),"129")</f>
        <v>129</v>
      </c>
      <c r="H130" s="3" t="str">
        <f>IFERROR(__xludf.DUMMYFUNCTION("GOOGLETRANSLATE(B130, ""it"", ""en"")"),"What happens if a player commits a technical foul?")</f>
        <v>What happens if a player commits a technical foul?</v>
      </c>
      <c r="I130" s="3" t="str">
        <f>IFERROR(__xludf.DUMMYFUNCTION("GOOGLETRANSLATE(C130, ""it"", ""en"")"),"A. A penalty is awarded B. The team loses possession of the ball C. The game is stopped D. A free kick is awarded")</f>
        <v>A. A penalty is awarded B. The team loses possession of the ball C. The game is stopped D. A free kick is awarded</v>
      </c>
      <c r="J130" s="3" t="str">
        <f>IFERROR(__xludf.DUMMYFUNCTION("GOOGLETRANSLATE(D130, ""it"", ""en"")"),"The team loses possession of the ball")</f>
        <v>The team loses possession of the ball</v>
      </c>
      <c r="K130" s="3" t="str">
        <f>IFERROR(__xludf.DUMMYFUNCTION("GOOGLETRANSLATE(E130, ""it"", ""en"")"),"A technical foul results in a change of possession.")</f>
        <v>A technical foul results in a change of possession.</v>
      </c>
      <c r="L130" s="2"/>
      <c r="M130" s="2"/>
      <c r="N130" s="2"/>
      <c r="O130" s="2"/>
      <c r="P130" s="2"/>
      <c r="Q130" s="2"/>
      <c r="R130" s="2"/>
      <c r="S130" s="2"/>
    </row>
    <row r="131" ht="22.5" customHeight="1">
      <c r="A131" s="3">
        <v>130.0</v>
      </c>
      <c r="B131" s="3" t="s">
        <v>2722</v>
      </c>
      <c r="C131" s="3" t="s">
        <v>2723</v>
      </c>
      <c r="D131" s="3" t="s">
        <v>632</v>
      </c>
      <c r="E131" s="3" t="s">
        <v>2724</v>
      </c>
      <c r="F131" s="2"/>
      <c r="G131" s="3" t="str">
        <f>IFERROR(__xludf.DUMMYFUNCTION("GOOGLETRANSLATE(A131, ""it"", ""en"")"),"130")</f>
        <v>130</v>
      </c>
      <c r="H131" s="3" t="str">
        <f>IFERROR(__xludf.DUMMYFUNCTION("GOOGLETRANSLATE(B131, ""it"", ""en"")"),"What happens if the ball hits the top of the pool?")</f>
        <v>What happens if the ball hits the top of the pool?</v>
      </c>
      <c r="I131" s="3" t="str">
        <f>IFERROR(__xludf.DUMMYFUNCTION("GOOGLETRANSLATE(C131, ""it"", ""en"")"),"A. The team earns a penalty B. The game continues C. The ball is put back into play by the opposing team D. The ball is contested")</f>
        <v>A. The team earns a penalty B. The game continues C. The ball is put back into play by the opposing team D. The ball is contested</v>
      </c>
      <c r="J131" s="3" t="str">
        <f>IFERROR(__xludf.DUMMYFUNCTION("GOOGLETRANSLATE(D131, ""it"", ""en"")"),"The game continues")</f>
        <v>The game continues</v>
      </c>
      <c r="K131" s="3" t="str">
        <f>IFERROR(__xludf.DUMMYFUNCTION("GOOGLETRANSLATE(E131, ""it"", ""en"")"),"If the ball touches the top of the pool")</f>
        <v>If the ball touches the top of the pool</v>
      </c>
      <c r="L131" s="2"/>
      <c r="M131" s="2"/>
      <c r="N131" s="2"/>
      <c r="O131" s="2"/>
      <c r="P131" s="2"/>
      <c r="Q131" s="2"/>
      <c r="R131" s="2"/>
      <c r="S131" s="2"/>
    </row>
    <row r="132" ht="22.5" customHeight="1">
      <c r="A132" s="3">
        <v>131.0</v>
      </c>
      <c r="B132" s="3" t="s">
        <v>2725</v>
      </c>
      <c r="C132" s="3" t="s">
        <v>2726</v>
      </c>
      <c r="D132" s="3" t="s">
        <v>2581</v>
      </c>
      <c r="E132" s="3" t="s">
        <v>2727</v>
      </c>
      <c r="F132" s="2"/>
      <c r="G132" s="3" t="str">
        <f>IFERROR(__xludf.DUMMYFUNCTION("GOOGLETRANSLATE(A132, ""it"", ""en"")"),"131")</f>
        <v>131</v>
      </c>
      <c r="H132" s="3" t="str">
        <f>IFERROR(__xludf.DUMMYFUNCTION("GOOGLETRANSLATE(B132, ""it"", ""en"")"),"How long is a timeout during a water polo game?")</f>
        <v>How long is a timeout during a water polo game?</v>
      </c>
      <c r="I132" s="3" t="str">
        <f>IFERROR(__xludf.DUMMYFUNCTION("GOOGLETRANSLATE(C132, ""it"", ""en"")"),"A. 1 minute B. 2 minutes C. 3 minutes D. 4 minutes")</f>
        <v>A. 1 minute B. 2 minutes C. 3 minutes D. 4 minutes</v>
      </c>
      <c r="J132" s="3" t="str">
        <f>IFERROR(__xludf.DUMMYFUNCTION("GOOGLETRANSLATE(D132, ""it"", ""en"")"),"1 minute")</f>
        <v>1 minute</v>
      </c>
      <c r="K132" s="3" t="str">
        <f>IFERROR(__xludf.DUMMYFUNCTION("GOOGLETRANSLATE(E132, ""it"", ""en"")"),"Each timeout during a game lasts 1 minute.")</f>
        <v>Each timeout during a game lasts 1 minute.</v>
      </c>
      <c r="L132" s="2"/>
      <c r="M132" s="2"/>
      <c r="N132" s="2"/>
      <c r="O132" s="2"/>
      <c r="P132" s="2"/>
      <c r="Q132" s="2"/>
      <c r="R132" s="2"/>
      <c r="S132" s="2"/>
    </row>
    <row r="133" ht="22.5" customHeight="1">
      <c r="A133" s="3">
        <v>132.0</v>
      </c>
      <c r="B133" s="3" t="s">
        <v>2728</v>
      </c>
      <c r="C133" s="3" t="s">
        <v>2729</v>
      </c>
      <c r="D133" s="3" t="s">
        <v>2730</v>
      </c>
      <c r="E133" s="3"/>
      <c r="F133" s="2"/>
      <c r="G133" s="3" t="str">
        <f>IFERROR(__xludf.DUMMYFUNCTION("GOOGLETRANSLATE(A133, ""it"", ""en"")"),"132")</f>
        <v>132</v>
      </c>
      <c r="H133" s="3" t="str">
        <f>IFERROR(__xludf.DUMMYFUNCTION("GOOGLETRANSLATE(B133, ""it"", ""en"")"),"When does a temporary expulsion sanction apply?")</f>
        <v>When does a temporary expulsion sanction apply?</v>
      </c>
      <c r="I133" s="3" t="str">
        <f>IFERROR(__xludf.DUMMYFUNCTION("GOOGLETRANSLATE(C133, ""it"", ""en"")"),"A. When a player commits a serious foul B. When the goalkeeper leaves his penalty area C. When play is stopped D. When a player touches the ball with his feet")</f>
        <v>A. When a player commits a serious foul B. When the goalkeeper leaves his penalty area C. When play is stopped D. When a player touches the ball with his feet</v>
      </c>
      <c r="J133" s="3" t="str">
        <f>IFERROR(__xludf.DUMMYFUNCTION("GOOGLETRANSLATE(D133, ""it"", ""en"")"),"When a player commits a serious foul.")</f>
        <v>When a player commits a serious foul.</v>
      </c>
      <c r="K133" s="3" t="str">
        <f>IFERROR(__xludf.DUMMYFUNCTION("GOOGLETRANSLATE(E133, ""it"", ""en"")"),"#VALUE!")</f>
        <v>#VALUE!</v>
      </c>
      <c r="L133" s="2"/>
      <c r="M133" s="2"/>
      <c r="N133" s="2"/>
      <c r="O133" s="2"/>
      <c r="P133" s="2"/>
      <c r="Q133" s="2"/>
      <c r="R133" s="2"/>
      <c r="S133" s="2"/>
    </row>
    <row r="134" ht="22.5" customHeight="1">
      <c r="A134" s="3">
        <v>133.0</v>
      </c>
      <c r="B134" s="3" t="s">
        <v>2731</v>
      </c>
      <c r="C134" s="3" t="s">
        <v>2732</v>
      </c>
      <c r="D134" s="3" t="s">
        <v>2733</v>
      </c>
      <c r="E134" s="3" t="s">
        <v>2734</v>
      </c>
      <c r="F134" s="2"/>
      <c r="G134" s="3" t="str">
        <f>IFERROR(__xludf.DUMMYFUNCTION("GOOGLETRANSLATE(A134, ""it"", ""en"")"),"133")</f>
        <v>133</v>
      </c>
      <c r="H134" s="3" t="str">
        <f>IFERROR(__xludf.DUMMYFUNCTION("GOOGLETRANSLATE(B134, ""it"", ""en"")"),"What happens if a goalkeeper fails to stop a shot on goal?")</f>
        <v>What happens if a goalkeeper fails to stop a shot on goal?</v>
      </c>
      <c r="I134" s="3" t="str">
        <f>IFERROR(__xludf.DUMMYFUNCTION("GOOGLETRANSLATE(C134, ""it"", ""en"")"),"A. The goal is validated B. The game continues C. The opposing team gets a penalty D. The goalkeeper is cautioned")</f>
        <v>A. The goal is validated B. The game continues C. The opposing team gets a penalty D. The goalkeeper is cautioned</v>
      </c>
      <c r="J134" s="3" t="str">
        <f>IFERROR(__xludf.DUMMYFUNCTION("GOOGLETRANSLATE(D134, ""it"", ""en"")"),"The goal is validated")</f>
        <v>The goal is validated</v>
      </c>
      <c r="K134" s="3" t="str">
        <f>IFERROR(__xludf.DUMMYFUNCTION("GOOGLETRANSLATE(E134, ""it"", ""en"")"),"If the goalkeeper fails to stop a shot")</f>
        <v>If the goalkeeper fails to stop a shot</v>
      </c>
      <c r="L134" s="2"/>
      <c r="M134" s="2"/>
      <c r="N134" s="2"/>
      <c r="O134" s="2"/>
      <c r="P134" s="2"/>
      <c r="Q134" s="2"/>
      <c r="R134" s="2"/>
      <c r="S134" s="2"/>
    </row>
    <row r="135" ht="22.5" customHeight="1">
      <c r="A135" s="3">
        <v>134.0</v>
      </c>
      <c r="B135" s="3" t="s">
        <v>2735</v>
      </c>
      <c r="C135" s="3" t="s">
        <v>1339</v>
      </c>
      <c r="D135" s="3" t="s">
        <v>2353</v>
      </c>
      <c r="E135" s="3" t="s">
        <v>2736</v>
      </c>
      <c r="F135" s="2"/>
      <c r="G135" s="3" t="str">
        <f>IFERROR(__xludf.DUMMYFUNCTION("GOOGLETRANSLATE(A135, ""it"", ""en"")"),"134")</f>
        <v>134</v>
      </c>
      <c r="H135" s="3" t="str">
        <f>IFERROR(__xludf.DUMMYFUNCTION("GOOGLETRANSLATE(B135, ""it"", ""en"")"),"How long does a player's temporary suspension last?")</f>
        <v>How long does a player's temporary suspension last?</v>
      </c>
      <c r="I135" s="3" t="str">
        <f>IFERROR(__xludf.DUMMYFUNCTION("GOOGLETRANSLATE(C135, ""it"", ""en"")"),"A. 10 seconds B. 20 seconds C. 30 seconds D. 1 minute")</f>
        <v>A. 10 seconds B. 20 seconds C. 30 seconds D. 1 minute</v>
      </c>
      <c r="J135" s="3" t="str">
        <f>IFERROR(__xludf.DUMMYFUNCTION("GOOGLETRANSLATE(D135, ""it"", ""en"")"),"20 seconds")</f>
        <v>20 seconds</v>
      </c>
      <c r="K135" s="3" t="str">
        <f>IFERROR(__xludf.DUMMYFUNCTION("GOOGLETRANSLATE(E135, ""it"", ""en"")"),"Temporary ejection lasts 20 seconds.")</f>
        <v>Temporary ejection lasts 20 seconds.</v>
      </c>
      <c r="L135" s="2"/>
      <c r="M135" s="2"/>
      <c r="N135" s="2"/>
      <c r="O135" s="2"/>
      <c r="P135" s="2"/>
      <c r="Q135" s="2"/>
      <c r="R135" s="2"/>
      <c r="S135" s="2"/>
    </row>
    <row r="136" ht="22.5" customHeight="1">
      <c r="A136" s="3">
        <v>135.0</v>
      </c>
      <c r="B136" s="3" t="s">
        <v>2737</v>
      </c>
      <c r="C136" s="3" t="s">
        <v>2738</v>
      </c>
      <c r="D136" s="3" t="s">
        <v>2739</v>
      </c>
      <c r="E136" s="3" t="s">
        <v>2740</v>
      </c>
      <c r="F136" s="2"/>
      <c r="G136" s="3" t="str">
        <f>IFERROR(__xludf.DUMMYFUNCTION("GOOGLETRANSLATE(A136, ""it"", ""en"")"),"135")</f>
        <v>135</v>
      </c>
      <c r="H136" s="3" t="str">
        <f>IFERROR(__xludf.DUMMYFUNCTION("GOOGLETRANSLATE(B136, ""it"", ""en"")"),"What happens if a player commits a foul while attacking?")</f>
        <v>What happens if a player commits a foul while attacking?</v>
      </c>
      <c r="I136" s="3" t="str">
        <f>IFERROR(__xludf.DUMMYFUNCTION("GOOGLETRANSLATE(C136, ""it"", ""en"")"),"A. The player is ejected B. The game continues C. The team earns a penalty D. Possession passes to the opposing team")</f>
        <v>A. The player is ejected B. The game continues C. The team earns a penalty D. Possession passes to the opposing team</v>
      </c>
      <c r="J136" s="3" t="str">
        <f>IFERROR(__xludf.DUMMYFUNCTION("GOOGLETRANSLATE(D136, ""it"", ""en"")"),"Possession passes to the opposing team")</f>
        <v>Possession passes to the opposing team</v>
      </c>
      <c r="K136" s="3" t="str">
        <f>IFERROR(__xludf.DUMMYFUNCTION("GOOGLETRANSLATE(E136, ""it"", ""en"")"),"A foul during the attack results in a change of possession.")</f>
        <v>A foul during the attack results in a change of possession.</v>
      </c>
      <c r="L136" s="2"/>
      <c r="M136" s="2"/>
      <c r="N136" s="2"/>
      <c r="O136" s="2"/>
      <c r="P136" s="2"/>
      <c r="Q136" s="2"/>
      <c r="R136" s="2"/>
      <c r="S136" s="2"/>
    </row>
    <row r="137" ht="22.5" customHeight="1">
      <c r="A137" s="3">
        <v>136.0</v>
      </c>
      <c r="B137" s="3" t="s">
        <v>2741</v>
      </c>
      <c r="C137" s="3" t="s">
        <v>2742</v>
      </c>
      <c r="D137" s="3" t="s">
        <v>2743</v>
      </c>
      <c r="E137" s="3" t="s">
        <v>2744</v>
      </c>
      <c r="F137" s="2"/>
      <c r="G137" s="3" t="str">
        <f>IFERROR(__xludf.DUMMYFUNCTION("GOOGLETRANSLATE(A137, ""it"", ""en"")"),"136")</f>
        <v>136</v>
      </c>
      <c r="H137" s="3" t="str">
        <f>IFERROR(__xludf.DUMMYFUNCTION("GOOGLETRANSLATE(B137, ""it"", ""en"")"),"When is a goalkeeper change possible?")</f>
        <v>When is a goalkeeper change possible?</v>
      </c>
      <c r="I137" s="3" t="str">
        <f>IFERROR(__xludf.DUMMYFUNCTION("GOOGLETRANSLATE(C137, ""it"", ""en"")"),"A. Only at the end of the half B. At any time during the game C. Only during the time-out D. When the goalkeeper is ejected")</f>
        <v>A. Only at the end of the half B. At any time during the game C. Only during the time-out D. When the goalkeeper is ejected</v>
      </c>
      <c r="J137" s="3" t="str">
        <f>IFERROR(__xludf.DUMMYFUNCTION("GOOGLETRANSLATE(D137, ""it"", ""en"")"),"At any time during the game")</f>
        <v>At any time during the game</v>
      </c>
      <c r="K137" s="3" t="str">
        <f>IFERROR(__xludf.DUMMYFUNCTION("GOOGLETRANSLATE(E137, ""it"", ""en"")"),"The goalkeeper can be changed at any time.")</f>
        <v>The goalkeeper can be changed at any time.</v>
      </c>
      <c r="L137" s="2"/>
      <c r="M137" s="2"/>
      <c r="N137" s="2"/>
      <c r="O137" s="2"/>
      <c r="P137" s="2"/>
      <c r="Q137" s="2"/>
      <c r="R137" s="2"/>
      <c r="S137" s="2"/>
    </row>
    <row r="138" ht="22.5" customHeight="1">
      <c r="A138" s="3">
        <v>137.0</v>
      </c>
      <c r="B138" s="3" t="s">
        <v>2515</v>
      </c>
      <c r="C138" s="3" t="s">
        <v>2745</v>
      </c>
      <c r="D138" s="3" t="s">
        <v>2517</v>
      </c>
      <c r="E138" s="3" t="s">
        <v>2746</v>
      </c>
      <c r="F138" s="2"/>
      <c r="G138" s="3" t="str">
        <f>IFERROR(__xludf.DUMMYFUNCTION("GOOGLETRANSLATE(A138, ""it"", ""en"")"),"137")</f>
        <v>137</v>
      </c>
      <c r="H138" s="3" t="str">
        <f>IFERROR(__xludf.DUMMYFUNCTION("GOOGLETRANSLATE(B138, ""it"", ""en"")"),"Who can score a goal in water polo?")</f>
        <v>Who can score a goal in water polo?</v>
      </c>
      <c r="I138" s="3" t="str">
        <f>IFERROR(__xludf.DUMMYFUNCTION("GOOGLETRANSLATE(C138, ""it"", ""en"")"),"A. The goalkeeper and the defenders B. Only the attackers C. Any field player D. The captain and the goalkeeper")</f>
        <v>A. The goalkeeper and the defenders B. Only the attackers C. Any field player D. The captain and the goalkeeper</v>
      </c>
      <c r="J138" s="3" t="str">
        <f>IFERROR(__xludf.DUMMYFUNCTION("GOOGLETRANSLATE(D138, ""it"", ""en"")"),"Any outfield player")</f>
        <v>Any outfield player</v>
      </c>
      <c r="K138" s="3" t="str">
        <f>IFERROR(__xludf.DUMMYFUNCTION("GOOGLETRANSLATE(E138, ""it"", ""en"")"),"Any player on the pitch can score a goal.")</f>
        <v>Any player on the pitch can score a goal.</v>
      </c>
      <c r="L138" s="2"/>
      <c r="M138" s="2"/>
      <c r="N138" s="2"/>
      <c r="O138" s="2"/>
      <c r="P138" s="2"/>
      <c r="Q138" s="2"/>
      <c r="R138" s="2"/>
      <c r="S138" s="2"/>
    </row>
    <row r="139" ht="22.5" customHeight="1">
      <c r="A139" s="3">
        <v>138.0</v>
      </c>
      <c r="B139" s="3" t="s">
        <v>2641</v>
      </c>
      <c r="C139" s="3" t="s">
        <v>2747</v>
      </c>
      <c r="D139" s="3" t="s">
        <v>2643</v>
      </c>
      <c r="E139" s="3" t="s">
        <v>2748</v>
      </c>
      <c r="F139" s="2"/>
      <c r="G139" s="3" t="str">
        <f>IFERROR(__xludf.DUMMYFUNCTION("GOOGLETRANSLATE(A139, ""it"", ""en"")"),"138")</f>
        <v>138</v>
      </c>
      <c r="H139" s="3" t="str">
        <f>IFERROR(__xludf.DUMMYFUNCTION("GOOGLETRANSLATE(B139, ""it"", ""en"")"),"How long does a water polo game last?")</f>
        <v>How long does a water polo game last?</v>
      </c>
      <c r="I139" s="3" t="str">
        <f>IFERROR(__xludf.DUMMYFUNCTION("GOOGLETRANSLATE(C139, ""it"", ""en"")"),"A. 60 minutes B. 70 minutes C. 80 minutes D. 90 minutes")</f>
        <v>A. 60 minutes B. 70 minutes C. 80 minutes D. 90 minutes</v>
      </c>
      <c r="J139" s="3" t="str">
        <f>IFERROR(__xludf.DUMMYFUNCTION("GOOGLETRANSLATE(D139, ""it"", ""en"")"),"60 minutes")</f>
        <v>60 minutes</v>
      </c>
      <c r="K139" s="3" t="str">
        <f>IFERROR(__xludf.DUMMYFUNCTION("GOOGLETRANSLATE(E139, ""it"", ""en"")"),"A water polo match is divided into 4 15-minute periods for a total of 60 minutes.")</f>
        <v>A water polo match is divided into 4 15-minute periods for a total of 60 minutes.</v>
      </c>
      <c r="L139" s="2"/>
      <c r="M139" s="2"/>
      <c r="N139" s="2"/>
      <c r="O139" s="2"/>
      <c r="P139" s="2"/>
      <c r="Q139" s="2"/>
      <c r="R139" s="2"/>
      <c r="S139" s="2"/>
    </row>
    <row r="140" ht="22.5" customHeight="1">
      <c r="A140" s="3">
        <v>139.0</v>
      </c>
      <c r="B140" s="3" t="s">
        <v>2749</v>
      </c>
      <c r="C140" s="3" t="s">
        <v>2750</v>
      </c>
      <c r="D140" s="3" t="s">
        <v>2751</v>
      </c>
      <c r="E140" s="3"/>
      <c r="F140" s="2"/>
      <c r="G140" s="3" t="str">
        <f>IFERROR(__xludf.DUMMYFUNCTION("GOOGLETRANSLATE(A140, ""it"", ""en"")"),"139")</f>
        <v>139</v>
      </c>
      <c r="H140" s="3" t="str">
        <f>IFERROR(__xludf.DUMMYFUNCTION("GOOGLETRANSLATE(B140, ""it"", ""en"")"),"When is a penalty awarded?")</f>
        <v>When is a penalty awarded?</v>
      </c>
      <c r="I140" s="3" t="str">
        <f>IFERROR(__xludf.DUMMYFUNCTION("GOOGLETRANSLATE(C140, ""it"", ""en"")"),"A. When a foul is committed in the penalty area B. When a player does not have possession of the ball C. When play is stopped D. When the goalkeeper makes a mistake")</f>
        <v>A. When a foul is committed in the penalty area B. When a player does not have possession of the ball C. When play is stopped D. When the goalkeeper makes a mistake</v>
      </c>
      <c r="J140" s="3" t="str">
        <f>IFERROR(__xludf.DUMMYFUNCTION("GOOGLETRANSLATE(D140, ""it"", ""en"")"),"When a foul is committed in the penalty area.")</f>
        <v>When a foul is committed in the penalty area.</v>
      </c>
      <c r="K140" s="3" t="str">
        <f>IFERROR(__xludf.DUMMYFUNCTION("GOOGLETRANSLATE(E140, ""it"", ""en"")"),"#VALUE!")</f>
        <v>#VALUE!</v>
      </c>
      <c r="L140" s="2"/>
      <c r="M140" s="2"/>
      <c r="N140" s="2"/>
      <c r="O140" s="2"/>
      <c r="P140" s="2"/>
      <c r="Q140" s="2"/>
      <c r="R140" s="2"/>
      <c r="S140" s="2"/>
    </row>
    <row r="141" ht="22.5" customHeight="1">
      <c r="A141" s="3">
        <v>140.0</v>
      </c>
      <c r="B141" s="3" t="s">
        <v>2752</v>
      </c>
      <c r="C141" s="3" t="s">
        <v>2753</v>
      </c>
      <c r="D141" s="3" t="s">
        <v>2754</v>
      </c>
      <c r="E141" s="3" t="s">
        <v>2755</v>
      </c>
      <c r="F141" s="2"/>
      <c r="G141" s="3" t="str">
        <f>IFERROR(__xludf.DUMMYFUNCTION("GOOGLETRANSLATE(A141, ""it"", ""en"")"),"140")</f>
        <v>140</v>
      </c>
      <c r="H141" s="3" t="str">
        <f>IFERROR(__xludf.DUMMYFUNCTION("GOOGLETRANSLATE(B141, ""it"", ""en"")"),"In what situations is the ""disallowed goal"" rule used?")</f>
        <v>In what situations is the "disallowed goal" rule used?</v>
      </c>
      <c r="I141" s="3" t="str">
        <f>IFERROR(__xludf.DUMMYFUNCTION("GOOGLETRANSLATE(C141, ""it"", ""en"")"),"A. When the ball goes out before entering the goal B. When the goalkeeper commits a foul C. When the shot is not direct D. When a player touches the ball outside the penalty area")</f>
        <v>A. When the ball goes out before entering the goal B. When the goalkeeper commits a foul C. When the shot is not direct D. When a player touches the ball outside the penalty area</v>
      </c>
      <c r="J141" s="3" t="str">
        <f>IFERROR(__xludf.DUMMYFUNCTION("GOOGLETRANSLATE(D141, ""it"", ""en"")"),"When the ball goes out before entering the goal")</f>
        <v>When the ball goes out before entering the goal</v>
      </c>
      <c r="K141" s="3" t="str">
        <f>IFERROR(__xludf.DUMMYFUNCTION("GOOGLETRANSLATE(E141, ""it"", ""en"")"),"If the ball goes out before entering the goal")</f>
        <v>If the ball goes out before entering the goal</v>
      </c>
      <c r="L141" s="2"/>
      <c r="M141" s="2"/>
      <c r="N141" s="2"/>
      <c r="O141" s="2"/>
      <c r="P141" s="2"/>
      <c r="Q141" s="2"/>
      <c r="R141" s="2"/>
      <c r="S141" s="2"/>
    </row>
    <row r="142" ht="22.5" customHeight="1">
      <c r="A142" s="3">
        <v>141.0</v>
      </c>
      <c r="B142" s="3" t="s">
        <v>2756</v>
      </c>
      <c r="C142" s="3" t="s">
        <v>2757</v>
      </c>
      <c r="D142" s="3" t="s">
        <v>2758</v>
      </c>
      <c r="E142" s="3" t="s">
        <v>2759</v>
      </c>
      <c r="F142" s="2"/>
      <c r="G142" s="3" t="str">
        <f>IFERROR(__xludf.DUMMYFUNCTION("GOOGLETRANSLATE(A142, ""it"", ""en"")"),"141")</f>
        <v>141</v>
      </c>
      <c r="H142" s="3" t="str">
        <f>IFERROR(__xludf.DUMMYFUNCTION("GOOGLETRANSLATE(B142, ""it"", ""en"")"),"Who is responsible for keeping time during the game?")</f>
        <v>Who is responsible for keeping time during the game?</v>
      </c>
      <c r="I142" s="3" t="str">
        <f>IFERROR(__xludf.DUMMYFUNCTION("GOOGLETRANSLATE(C142, ""it"", ""en"")"),"A. The timekeeper B. The referee C. The captain D. The goalkeeper")</f>
        <v>A. The timekeeper B. The referee C. The captain D. The goalkeeper</v>
      </c>
      <c r="J142" s="3" t="str">
        <f>IFERROR(__xludf.DUMMYFUNCTION("GOOGLETRANSLATE(D142, ""it"", ""en"")"),"The Timekeeper")</f>
        <v>The Timekeeper</v>
      </c>
      <c r="K142" s="3" t="str">
        <f>IFERROR(__xludf.DUMMYFUNCTION("GOOGLETRANSLATE(E142, ""it"", ""en"")"),"The timekeeper is responsible for controlling the time during the game.")</f>
        <v>The timekeeper is responsible for controlling the time during the game.</v>
      </c>
      <c r="L142" s="2"/>
      <c r="M142" s="2"/>
      <c r="N142" s="2"/>
      <c r="O142" s="2"/>
      <c r="P142" s="2"/>
      <c r="Q142" s="2"/>
      <c r="R142" s="2"/>
      <c r="S142" s="2"/>
    </row>
    <row r="143" ht="22.5" customHeight="1">
      <c r="A143" s="3">
        <v>142.0</v>
      </c>
      <c r="B143" s="3" t="s">
        <v>2760</v>
      </c>
      <c r="C143" s="3" t="s">
        <v>2761</v>
      </c>
      <c r="D143" s="3" t="s">
        <v>2762</v>
      </c>
      <c r="E143" s="3" t="s">
        <v>2763</v>
      </c>
      <c r="F143" s="2"/>
      <c r="G143" s="3" t="str">
        <f>IFERROR(__xludf.DUMMYFUNCTION("GOOGLETRANSLATE(A143, ""it"", ""en"")"),"142")</f>
        <v>142</v>
      </c>
      <c r="H143" s="3" t="str">
        <f>IFERROR(__xludf.DUMMYFUNCTION("GOOGLETRANSLATE(B143, ""it"", ""en"")"),"What happens if a player hits the ball with one hand outside his penalty area?")</f>
        <v>What happens if a player hits the ball with one hand outside his penalty area?</v>
      </c>
      <c r="I143" s="3" t="str">
        <f>IFERROR(__xludf.DUMMYFUNCTION("GOOGLETRANSLATE(C143, ""it"", ""en"")"),"A. He is cautioned B. A penalty is awarded C. The game continues D. The goalkeeper is sent off")</f>
        <v>A. He is cautioned B. A penalty is awarded C. The game continues D. The goalkeeper is sent off</v>
      </c>
      <c r="J143" s="3" t="str">
        <f>IFERROR(__xludf.DUMMYFUNCTION("GOOGLETRANSLATE(D143, ""it"", ""en"")"),"A penalty is called")</f>
        <v>A penalty is called</v>
      </c>
      <c r="K143" s="3" t="str">
        <f>IFERROR(__xludf.DUMMYFUNCTION("GOOGLETRANSLATE(E143, ""it"", ""en"")"),"A foul outside the goalkeeper's area results in a penalty being awarded.")</f>
        <v>A foul outside the goalkeeper's area results in a penalty being awarded.</v>
      </c>
      <c r="L143" s="2"/>
      <c r="M143" s="2"/>
      <c r="N143" s="2"/>
      <c r="O143" s="2"/>
      <c r="P143" s="2"/>
      <c r="Q143" s="2"/>
      <c r="R143" s="2"/>
      <c r="S143" s="2"/>
    </row>
    <row r="144" ht="22.5" customHeight="1">
      <c r="A144" s="3">
        <v>143.0</v>
      </c>
      <c r="B144" s="3" t="s">
        <v>2764</v>
      </c>
      <c r="C144" s="3" t="s">
        <v>2765</v>
      </c>
      <c r="D144" s="3" t="s">
        <v>2766</v>
      </c>
      <c r="E144" s="3" t="s">
        <v>2767</v>
      </c>
      <c r="F144" s="2"/>
      <c r="G144" s="3" t="str">
        <f>IFERROR(__xludf.DUMMYFUNCTION("GOOGLETRANSLATE(A144, ""it"", ""en"")"),"143")</f>
        <v>143</v>
      </c>
      <c r="H144" s="3" t="str">
        <f>IFERROR(__xludf.DUMMYFUNCTION("GOOGLETRANSLATE(B144, ""it"", ""en"")"),"How long is overtime?")</f>
        <v>How long is overtime?</v>
      </c>
      <c r="I144" s="3" t="str">
        <f>IFERROR(__xludf.DUMMYFUNCTION("GOOGLETRANSLATE(C144, ""it"", ""en"")"),"A. 5 minutes B. 10 minutes C. 15 minutes D. 20 minutes")</f>
        <v>A. 5 minutes B. 10 minutes C. 15 minutes D. 20 minutes</v>
      </c>
      <c r="J144" s="3" t="str">
        <f>IFERROR(__xludf.DUMMYFUNCTION("GOOGLETRANSLATE(D144, ""it"", ""en"")"),"5 minutes")</f>
        <v>5 minutes</v>
      </c>
      <c r="K144" s="3" t="str">
        <f>IFERROR(__xludf.DUMMYFUNCTION("GOOGLETRANSLATE(E144, ""it"", ""en"")"),"Each overtime period lasts 5 minutes.")</f>
        <v>Each overtime period lasts 5 minutes.</v>
      </c>
      <c r="L144" s="2"/>
      <c r="M144" s="2"/>
      <c r="N144" s="2"/>
      <c r="O144" s="2"/>
      <c r="P144" s="2"/>
      <c r="Q144" s="2"/>
      <c r="R144" s="2"/>
      <c r="S144" s="2"/>
    </row>
    <row r="145" ht="22.5" customHeight="1">
      <c r="A145" s="3">
        <v>144.0</v>
      </c>
      <c r="B145" s="3" t="s">
        <v>2768</v>
      </c>
      <c r="C145" s="3" t="s">
        <v>2769</v>
      </c>
      <c r="D145" s="3" t="s">
        <v>2770</v>
      </c>
      <c r="E145" s="3" t="s">
        <v>2771</v>
      </c>
      <c r="F145" s="2"/>
      <c r="G145" s="3" t="str">
        <f>IFERROR(__xludf.DUMMYFUNCTION("GOOGLETRANSLATE(A145, ""it"", ""en"")"),"144")</f>
        <v>144</v>
      </c>
      <c r="H145" s="3" t="str">
        <f>IFERROR(__xludf.DUMMYFUNCTION("GOOGLETRANSLATE(B145, ""it"", ""en"")"),"What happens if a player commits a foul during the pass?")</f>
        <v>What happens if a player commits a foul during the pass?</v>
      </c>
      <c r="I145" s="3" t="str">
        <f>IFERROR(__xludf.DUMMYFUNCTION("GOOGLETRANSLATE(C145, ""it"", ""en"")"),"A. The opposing team gains possession B. The ball is contested C. Play stops D. The player is cautioned")</f>
        <v>A. The opposing team gains possession B. The ball is contested C. Play stops D. The player is cautioned</v>
      </c>
      <c r="J145" s="3" t="str">
        <f>IFERROR(__xludf.DUMMYFUNCTION("GOOGLETRANSLATE(D145, ""it"", ""en"")"),"The opposing team gains possession")</f>
        <v>The opposing team gains possession</v>
      </c>
      <c r="K145" s="3" t="str">
        <f>IFERROR(__xludf.DUMMYFUNCTION("GOOGLETRANSLATE(E145, ""it"", ""en"")"),"A foul during the pass results in loss of possession.")</f>
        <v>A foul during the pass results in loss of possession.</v>
      </c>
      <c r="L145" s="2"/>
      <c r="M145" s="2"/>
      <c r="N145" s="2"/>
      <c r="O145" s="2"/>
      <c r="P145" s="2"/>
      <c r="Q145" s="2"/>
      <c r="R145" s="2"/>
      <c r="S145" s="2"/>
    </row>
    <row r="146" ht="22.5" customHeight="1">
      <c r="A146" s="3">
        <v>145.0</v>
      </c>
      <c r="B146" s="3" t="s">
        <v>2772</v>
      </c>
      <c r="C146" s="3" t="s">
        <v>2773</v>
      </c>
      <c r="D146" s="3" t="s">
        <v>2774</v>
      </c>
      <c r="E146" s="3"/>
      <c r="F146" s="2"/>
      <c r="G146" s="3" t="str">
        <f>IFERROR(__xludf.DUMMYFUNCTION("GOOGLETRANSLATE(A146, ""it"", ""en"")"),"145")</f>
        <v>145</v>
      </c>
      <c r="H146" s="3" t="str">
        <f>IFERROR(__xludf.DUMMYFUNCTION("GOOGLETRANSLATE(B146, ""it"", ""en"")"),"What happens if a team commits an offensive foul?")</f>
        <v>What happens if a team commits an offensive foul?</v>
      </c>
      <c r="I146" s="3" t="str">
        <f>IFERROR(__xludf.DUMMYFUNCTION("GOOGLETRANSLATE(C146, ""it"", ""en"")"),"A. Possession passes to the opposing team B. The player is temporarily ejected C. The game stops D. The team receives a penalty")</f>
        <v>A. Possession passes to the opposing team B. The player is temporarily ejected C. The game stops D. The team receives a penalty</v>
      </c>
      <c r="J146" s="3" t="str">
        <f>IFERROR(__xludf.DUMMYFUNCTION("GOOGLETRANSLATE(D146, ""it"", ""en"")"),"Possession passes to the opposing team.")</f>
        <v>Possession passes to the opposing team.</v>
      </c>
      <c r="K146" s="3" t="str">
        <f>IFERROR(__xludf.DUMMYFUNCTION("GOOGLETRANSLATE(E146, ""it"", ""en"")"),"#VALUE!")</f>
        <v>#VALUE!</v>
      </c>
      <c r="L146" s="2"/>
      <c r="M146" s="2"/>
      <c r="N146" s="2"/>
      <c r="O146" s="2"/>
      <c r="P146" s="2"/>
      <c r="Q146" s="2"/>
      <c r="R146" s="2"/>
      <c r="S146" s="2"/>
    </row>
    <row r="147" ht="22.5" customHeight="1">
      <c r="A147" s="3">
        <v>146.0</v>
      </c>
      <c r="B147" s="3" t="s">
        <v>2775</v>
      </c>
      <c r="C147" s="3" t="s">
        <v>2364</v>
      </c>
      <c r="D147" s="3" t="s">
        <v>2581</v>
      </c>
      <c r="E147" s="3" t="s">
        <v>2582</v>
      </c>
      <c r="F147" s="2"/>
      <c r="G147" s="3" t="str">
        <f>IFERROR(__xludf.DUMMYFUNCTION("GOOGLETRANSLATE(A147, ""it"", ""en"")"),"146")</f>
        <v>146</v>
      </c>
      <c r="H147" s="3" t="str">
        <f>IFERROR(__xludf.DUMMYFUNCTION("GOOGLETRANSLATE(B147, ""it"", ""en"")"),"How many minutes is the break between the two overtime periods?")</f>
        <v>How many minutes is the break between the two overtime periods?</v>
      </c>
      <c r="I147" s="3" t="str">
        <f>IFERROR(__xludf.DUMMYFUNCTION("GOOGLETRANSLATE(C147, ""it"", ""en"")"),"A. 1 minute B. 2 minutes C. 3 minutes D. 5 minutes")</f>
        <v>A. 1 minute B. 2 minutes C. 3 minutes D. 5 minutes</v>
      </c>
      <c r="J147" s="3" t="str">
        <f>IFERROR(__xludf.DUMMYFUNCTION("GOOGLETRANSLATE(D147, ""it"", ""en"")"),"1 minute")</f>
        <v>1 minute</v>
      </c>
      <c r="K147" s="3" t="str">
        <f>IFERROR(__xludf.DUMMYFUNCTION("GOOGLETRANSLATE(E147, ""it"", ""en"")"),"The break between the two extra periods lasts 1 minute.")</f>
        <v>The break between the two extra periods lasts 1 minute.</v>
      </c>
      <c r="L147" s="2"/>
      <c r="M147" s="2"/>
      <c r="N147" s="2"/>
      <c r="O147" s="2"/>
      <c r="P147" s="2"/>
      <c r="Q147" s="2"/>
      <c r="R147" s="2"/>
      <c r="S147" s="2"/>
    </row>
    <row r="148" ht="22.5" customHeight="1">
      <c r="A148" s="3">
        <v>147.0</v>
      </c>
      <c r="B148" s="3" t="s">
        <v>2776</v>
      </c>
      <c r="C148" s="3" t="s">
        <v>2777</v>
      </c>
      <c r="D148" s="3" t="s">
        <v>632</v>
      </c>
      <c r="E148" s="3" t="s">
        <v>2778</v>
      </c>
      <c r="F148" s="2"/>
      <c r="G148" s="3" t="str">
        <f>IFERROR(__xludf.DUMMYFUNCTION("GOOGLETRANSLATE(A148, ""it"", ""en"")"),"147")</f>
        <v>147</v>
      </c>
      <c r="H148" s="3" t="str">
        <f>IFERROR(__xludf.DUMMYFUNCTION("GOOGLETRANSLATE(B148, ""it"", ""en"")"),"What happens if the ball hits the post during a shot?")</f>
        <v>What happens if the ball hits the post during a shot?</v>
      </c>
      <c r="I148" s="3" t="str">
        <f>IFERROR(__xludf.DUMMYFUNCTION("GOOGLETRANSLATE(C148, ""it"", ""en"")"),"A. The game continues B. The shot is disallowed C. The ball is put back into play by the opposing team D. The goalkeeper must throw the ball again")</f>
        <v>A. The game continues B. The shot is disallowed C. The ball is put back into play by the opposing team D. The goalkeeper must throw the ball again</v>
      </c>
      <c r="J148" s="3" t="str">
        <f>IFERROR(__xludf.DUMMYFUNCTION("GOOGLETRANSLATE(D148, ""it"", ""en"")"),"The game continues")</f>
        <v>The game continues</v>
      </c>
      <c r="K148" s="3" t="str">
        <f>IFERROR(__xludf.DUMMYFUNCTION("GOOGLETRANSLATE(E148, ""it"", ""en"")"),"If the ball touches the post")</f>
        <v>If the ball touches the post</v>
      </c>
      <c r="L148" s="2"/>
      <c r="M148" s="2"/>
      <c r="N148" s="2"/>
      <c r="O148" s="2"/>
      <c r="P148" s="2"/>
      <c r="Q148" s="2"/>
      <c r="R148" s="2"/>
      <c r="S148" s="2"/>
    </row>
    <row r="149" ht="22.5" customHeight="1">
      <c r="A149" s="3">
        <v>148.0</v>
      </c>
      <c r="B149" s="3" t="s">
        <v>2779</v>
      </c>
      <c r="C149" s="3" t="s">
        <v>2780</v>
      </c>
      <c r="D149" s="3" t="s">
        <v>2781</v>
      </c>
      <c r="E149" s="3" t="s">
        <v>2782</v>
      </c>
      <c r="F149" s="2"/>
      <c r="G149" s="3" t="str">
        <f>IFERROR(__xludf.DUMMYFUNCTION("GOOGLETRANSLATE(A149, ""it"", ""en"")"),"148")</f>
        <v>148</v>
      </c>
      <c r="H149" s="3" t="str">
        <f>IFERROR(__xludf.DUMMYFUNCTION("GOOGLETRANSLATE(B149, ""it"", ""en"")"),"What happens if a player puts the ball into the goal from out of play?")</f>
        <v>What happens if a player puts the ball into the goal from out of play?</v>
      </c>
      <c r="I149" s="3" t="str">
        <f>IFERROR(__xludf.DUMMYFUNCTION("GOOGLETRANSLATE(C149, ""it"", ""en"")"),"A. The goal is not valid B. The game continues C. The goal is validated D. The opposing team earns a penalty")</f>
        <v>A. The goal is not valid B. The game continues C. The goal is validated D. The opposing team earns a penalty</v>
      </c>
      <c r="J149" s="3" t="str">
        <f>IFERROR(__xludf.DUMMYFUNCTION("GOOGLETRANSLATE(D149, ""it"", ""en"")"),"The goal is not valid")</f>
        <v>The goal is not valid</v>
      </c>
      <c r="K149" s="3" t="str">
        <f>IFERROR(__xludf.DUMMYFUNCTION("GOOGLETRANSLATE(E149, ""it"", ""en"")"),"A goal scored by an offside player is not counted.")</f>
        <v>A goal scored by an offside player is not counted.</v>
      </c>
      <c r="L149" s="2"/>
      <c r="M149" s="2"/>
      <c r="N149" s="2"/>
      <c r="O149" s="2"/>
      <c r="P149" s="2"/>
      <c r="Q149" s="2"/>
      <c r="R149" s="2"/>
      <c r="S149" s="2"/>
    </row>
    <row r="150" ht="22.5" customHeight="1">
      <c r="A150" s="3">
        <v>149.0</v>
      </c>
      <c r="B150" s="3" t="s">
        <v>2783</v>
      </c>
      <c r="C150" s="3" t="s">
        <v>2784</v>
      </c>
      <c r="D150" s="3" t="s">
        <v>2785</v>
      </c>
      <c r="E150" s="3"/>
      <c r="F150" s="2"/>
      <c r="G150" s="3" t="str">
        <f>IFERROR(__xludf.DUMMYFUNCTION("GOOGLETRANSLATE(A150, ""it"", ""en"")"),"149")</f>
        <v>149</v>
      </c>
      <c r="H150" s="3" t="str">
        <f>IFERROR(__xludf.DUMMYFUNCTION("GOOGLETRANSLATE(B150, ""it"", ""en"")"),"What happens if a player kicks the ball out of the pool?")</f>
        <v>What happens if a player kicks the ball out of the pool?</v>
      </c>
      <c r="I150" s="3" t="str">
        <f>IFERROR(__xludf.DUMMYFUNCTION("GOOGLETRANSLATE(C150, ""it"", ""en"")"),"A. The opposing team earns a throw-in B. The game continues C. The team earns a penalty D. The game is stopped")</f>
        <v>A. The opposing team earns a throw-in B. The game continues C. The team earns a penalty D. The game is stopped</v>
      </c>
      <c r="J150" s="3" t="str">
        <f>IFERROR(__xludf.DUMMYFUNCTION("GOOGLETRANSLATE(D150, ""it"", ""en"")"),"The opposing team earns the throw-in.")</f>
        <v>The opposing team earns the throw-in.</v>
      </c>
      <c r="K150" s="3" t="str">
        <f>IFERROR(__xludf.DUMMYFUNCTION("GOOGLETRANSLATE(E150, ""it"", ""en"")"),"#VALUE!")</f>
        <v>#VALUE!</v>
      </c>
      <c r="L150" s="2"/>
      <c r="M150" s="2"/>
      <c r="N150" s="2"/>
      <c r="O150" s="2"/>
      <c r="P150" s="2"/>
      <c r="Q150" s="2"/>
      <c r="R150" s="2"/>
      <c r="S150" s="2"/>
    </row>
    <row r="151" ht="22.5" customHeight="1">
      <c r="A151" s="3">
        <v>150.0</v>
      </c>
      <c r="B151" s="3" t="s">
        <v>2786</v>
      </c>
      <c r="C151" s="3" t="s">
        <v>2787</v>
      </c>
      <c r="D151" s="3" t="s">
        <v>2617</v>
      </c>
      <c r="E151" s="3" t="s">
        <v>2788</v>
      </c>
      <c r="F151" s="2"/>
      <c r="G151" s="3" t="str">
        <f>IFERROR(__xludf.DUMMYFUNCTION("GOOGLETRANSLATE(A151, ""it"", ""en"")"),"150")</f>
        <v>150</v>
      </c>
      <c r="H151" s="3" t="str">
        <f>IFERROR(__xludf.DUMMYFUNCTION("GOOGLETRANSLATE(B151, ""it"", ""en"")"),"How many substitutions can be made in a water polo game?")</f>
        <v>How many substitutions can be made in a water polo game?</v>
      </c>
      <c r="I151" s="3" t="str">
        <f>IFERROR(__xludf.DUMMYFUNCTION("GOOGLETRANSLATE(C151, ""it"", ""en"")"),"A. Unlimited B. 2 C. 3 D. 5")</f>
        <v>A. Unlimited B. 2 C. 3 D. 5</v>
      </c>
      <c r="J151" s="3" t="str">
        <f>IFERROR(__xludf.DUMMYFUNCTION("GOOGLETRANSLATE(D151, ""it"", ""en"")"),"Unlimited")</f>
        <v>Unlimited</v>
      </c>
      <c r="K151" s="3" t="str">
        <f>IFERROR(__xludf.DUMMYFUNCTION("GOOGLETRANSLATE(E151, ""it"", ""en"")"),"Substitutions are unlimited during the match.")</f>
        <v>Substitutions are unlimited during the match.</v>
      </c>
      <c r="L151" s="2"/>
      <c r="M151" s="2"/>
      <c r="N151" s="2"/>
      <c r="O151" s="2"/>
      <c r="P151" s="2"/>
      <c r="Q151" s="2"/>
      <c r="R151" s="2"/>
      <c r="S151" s="2"/>
    </row>
    <row r="152">
      <c r="A152" s="2"/>
      <c r="B152" s="2"/>
      <c r="C152" s="2"/>
      <c r="D152" s="2"/>
      <c r="E152" s="2"/>
      <c r="F152" s="2"/>
      <c r="G152" s="2"/>
      <c r="H152" s="2"/>
      <c r="I152" s="2"/>
      <c r="J152" s="2"/>
      <c r="K152" s="2"/>
      <c r="L152" s="2"/>
      <c r="M152" s="2"/>
      <c r="N152" s="2"/>
      <c r="O152" s="2"/>
      <c r="P152" s="2"/>
      <c r="Q152" s="2"/>
      <c r="R152" s="2"/>
      <c r="S152" s="2"/>
    </row>
    <row r="153">
      <c r="A153" s="2"/>
      <c r="B153" s="2"/>
      <c r="C153" s="2"/>
      <c r="D153" s="2"/>
      <c r="E153" s="2"/>
      <c r="F153" s="2"/>
      <c r="G153" s="2"/>
      <c r="H153" s="2"/>
      <c r="I153" s="2"/>
      <c r="J153" s="2"/>
      <c r="K153" s="2"/>
      <c r="L153" s="2"/>
      <c r="M153" s="2"/>
      <c r="N153" s="2"/>
      <c r="O153" s="2"/>
      <c r="P153" s="2"/>
      <c r="Q153" s="2"/>
      <c r="R153" s="2"/>
      <c r="S153" s="2"/>
    </row>
    <row r="154">
      <c r="A154" s="2"/>
      <c r="B154" s="2"/>
      <c r="C154" s="2"/>
      <c r="D154" s="2"/>
      <c r="E154" s="2"/>
      <c r="F154" s="2"/>
      <c r="G154" s="2"/>
      <c r="H154" s="2"/>
      <c r="I154" s="2"/>
      <c r="J154" s="2"/>
      <c r="K154" s="2"/>
      <c r="L154" s="2"/>
      <c r="M154" s="2"/>
      <c r="N154" s="2"/>
      <c r="O154" s="2"/>
      <c r="P154" s="2"/>
      <c r="Q154" s="2"/>
      <c r="R154" s="2"/>
      <c r="S154" s="2"/>
    </row>
    <row r="155">
      <c r="A155" s="2"/>
      <c r="B155" s="2"/>
      <c r="C155" s="2"/>
      <c r="D155" s="2"/>
      <c r="E155" s="2"/>
      <c r="F155" s="2"/>
      <c r="G155" s="2"/>
      <c r="H155" s="2"/>
      <c r="I155" s="2"/>
      <c r="J155" s="2"/>
      <c r="K155" s="2"/>
      <c r="L155" s="2"/>
      <c r="M155" s="2"/>
      <c r="N155" s="2"/>
      <c r="O155" s="2"/>
      <c r="P155" s="2"/>
      <c r="Q155" s="2"/>
      <c r="R155" s="2"/>
      <c r="S155" s="2"/>
    </row>
    <row r="156">
      <c r="A156" s="2"/>
      <c r="B156" s="2"/>
      <c r="C156" s="2"/>
      <c r="D156" s="2"/>
      <c r="E156" s="2"/>
      <c r="F156" s="2"/>
      <c r="G156" s="2"/>
      <c r="H156" s="2"/>
      <c r="I156" s="2"/>
      <c r="J156" s="2"/>
      <c r="K156" s="2"/>
      <c r="L156" s="2"/>
      <c r="M156" s="2"/>
      <c r="N156" s="2"/>
      <c r="O156" s="2"/>
      <c r="P156" s="2"/>
      <c r="Q156" s="2"/>
      <c r="R156" s="2"/>
      <c r="S156" s="2"/>
    </row>
    <row r="157">
      <c r="A157" s="2"/>
      <c r="B157" s="2"/>
      <c r="C157" s="2"/>
      <c r="D157" s="2"/>
      <c r="E157" s="2"/>
      <c r="F157" s="2"/>
      <c r="G157" s="2"/>
      <c r="H157" s="2"/>
      <c r="I157" s="2"/>
      <c r="J157" s="2"/>
      <c r="K157" s="2"/>
      <c r="L157" s="2"/>
      <c r="M157" s="2"/>
      <c r="N157" s="2"/>
      <c r="O157" s="2"/>
      <c r="P157" s="2"/>
      <c r="Q157" s="2"/>
      <c r="R157" s="2"/>
      <c r="S157" s="2"/>
    </row>
    <row r="158">
      <c r="A158" s="2"/>
      <c r="B158" s="2"/>
      <c r="C158" s="2"/>
      <c r="D158" s="2"/>
      <c r="E158" s="2"/>
      <c r="F158" s="2"/>
      <c r="G158" s="2"/>
      <c r="H158" s="2"/>
      <c r="I158" s="2"/>
      <c r="J158" s="2"/>
      <c r="K158" s="2"/>
      <c r="L158" s="2"/>
      <c r="M158" s="2"/>
      <c r="N158" s="2"/>
      <c r="O158" s="2"/>
      <c r="P158" s="2"/>
      <c r="Q158" s="2"/>
      <c r="R158" s="2"/>
      <c r="S158" s="2"/>
    </row>
    <row r="159">
      <c r="A159" s="2"/>
      <c r="B159" s="2"/>
      <c r="C159" s="2"/>
      <c r="D159" s="2"/>
      <c r="E159" s="2"/>
      <c r="F159" s="2"/>
      <c r="G159" s="2"/>
      <c r="H159" s="2"/>
      <c r="I159" s="2"/>
      <c r="J159" s="2"/>
      <c r="K159" s="2"/>
      <c r="L159" s="2"/>
      <c r="M159" s="2"/>
      <c r="N159" s="2"/>
      <c r="O159" s="2"/>
      <c r="P159" s="2"/>
      <c r="Q159" s="2"/>
      <c r="R159" s="2"/>
      <c r="S159" s="2"/>
    </row>
    <row r="160">
      <c r="A160" s="2"/>
      <c r="B160" s="2"/>
      <c r="C160" s="2"/>
      <c r="D160" s="2"/>
      <c r="E160" s="2"/>
      <c r="F160" s="2"/>
      <c r="G160" s="2"/>
      <c r="H160" s="2"/>
      <c r="I160" s="2"/>
      <c r="J160" s="2"/>
      <c r="K160" s="2"/>
      <c r="L160" s="2"/>
      <c r="M160" s="2"/>
      <c r="N160" s="2"/>
      <c r="O160" s="2"/>
      <c r="P160" s="2"/>
      <c r="Q160" s="2"/>
      <c r="R160" s="2"/>
      <c r="S160" s="2"/>
    </row>
    <row r="161">
      <c r="A161" s="2"/>
      <c r="B161" s="2"/>
      <c r="C161" s="2"/>
      <c r="D161" s="2"/>
      <c r="E161" s="2"/>
      <c r="F161" s="2"/>
      <c r="G161" s="2"/>
      <c r="H161" s="2"/>
      <c r="I161" s="2"/>
      <c r="J161" s="2"/>
      <c r="K161" s="2"/>
      <c r="L161" s="2"/>
      <c r="M161" s="2"/>
      <c r="N161" s="2"/>
      <c r="O161" s="2"/>
      <c r="P161" s="2"/>
      <c r="Q161" s="2"/>
      <c r="R161" s="2"/>
      <c r="S161" s="2"/>
    </row>
    <row r="162">
      <c r="A162" s="2"/>
      <c r="B162" s="2"/>
      <c r="C162" s="2"/>
      <c r="D162" s="2"/>
      <c r="E162" s="2"/>
      <c r="F162" s="2"/>
      <c r="G162" s="2"/>
      <c r="H162" s="2"/>
      <c r="I162" s="2"/>
      <c r="J162" s="2"/>
      <c r="K162" s="2"/>
      <c r="L162" s="2"/>
      <c r="M162" s="2"/>
      <c r="N162" s="2"/>
      <c r="O162" s="2"/>
      <c r="P162" s="2"/>
      <c r="Q162" s="2"/>
      <c r="R162" s="2"/>
      <c r="S162" s="2"/>
    </row>
    <row r="163">
      <c r="A163" s="2"/>
      <c r="B163" s="2"/>
      <c r="C163" s="2"/>
      <c r="D163" s="2"/>
      <c r="E163" s="2"/>
      <c r="F163" s="2"/>
      <c r="G163" s="2"/>
      <c r="H163" s="2"/>
      <c r="I163" s="2"/>
      <c r="J163" s="2"/>
      <c r="K163" s="2"/>
      <c r="L163" s="2"/>
      <c r="M163" s="2"/>
      <c r="N163" s="2"/>
      <c r="O163" s="2"/>
      <c r="P163" s="2"/>
      <c r="Q163" s="2"/>
      <c r="R163" s="2"/>
      <c r="S163" s="2"/>
    </row>
    <row r="164">
      <c r="A164" s="2"/>
      <c r="B164" s="2"/>
      <c r="C164" s="2"/>
      <c r="D164" s="2"/>
      <c r="E164" s="2"/>
      <c r="F164" s="2"/>
      <c r="G164" s="2"/>
      <c r="H164" s="2"/>
      <c r="I164" s="2"/>
      <c r="J164" s="2"/>
      <c r="K164" s="2"/>
      <c r="L164" s="2"/>
      <c r="M164" s="2"/>
      <c r="N164" s="2"/>
      <c r="O164" s="2"/>
      <c r="P164" s="2"/>
      <c r="Q164" s="2"/>
      <c r="R164" s="2"/>
      <c r="S164" s="2"/>
    </row>
    <row r="165">
      <c r="A165" s="2"/>
      <c r="B165" s="2"/>
      <c r="C165" s="2"/>
      <c r="D165" s="2"/>
      <c r="E165" s="2"/>
      <c r="F165" s="2"/>
      <c r="G165" s="2"/>
      <c r="H165" s="2"/>
      <c r="I165" s="2"/>
      <c r="J165" s="2"/>
      <c r="K165" s="2"/>
      <c r="L165" s="2"/>
      <c r="M165" s="2"/>
      <c r="N165" s="2"/>
      <c r="O165" s="2"/>
      <c r="P165" s="2"/>
      <c r="Q165" s="2"/>
      <c r="R165" s="2"/>
      <c r="S165" s="2"/>
    </row>
    <row r="166">
      <c r="A166" s="2"/>
      <c r="B166" s="2"/>
      <c r="C166" s="2"/>
      <c r="D166" s="2"/>
      <c r="E166" s="2"/>
      <c r="F166" s="2"/>
      <c r="G166" s="2"/>
      <c r="H166" s="2"/>
      <c r="I166" s="2"/>
      <c r="J166" s="2"/>
      <c r="K166" s="2"/>
      <c r="L166" s="2"/>
      <c r="M166" s="2"/>
      <c r="N166" s="2"/>
      <c r="O166" s="2"/>
      <c r="P166" s="2"/>
      <c r="Q166" s="2"/>
      <c r="R166" s="2"/>
      <c r="S166" s="2"/>
    </row>
    <row r="167">
      <c r="A167" s="2"/>
      <c r="B167" s="2"/>
      <c r="C167" s="2"/>
      <c r="D167" s="2"/>
      <c r="E167" s="2"/>
      <c r="F167" s="2"/>
      <c r="G167" s="2"/>
      <c r="H167" s="2"/>
      <c r="I167" s="2"/>
      <c r="J167" s="2"/>
      <c r="K167" s="2"/>
      <c r="L167" s="2"/>
      <c r="M167" s="2"/>
      <c r="N167" s="2"/>
      <c r="O167" s="2"/>
      <c r="P167" s="2"/>
      <c r="Q167" s="2"/>
      <c r="R167" s="2"/>
      <c r="S167" s="2"/>
    </row>
    <row r="168">
      <c r="A168" s="2"/>
      <c r="B168" s="2"/>
      <c r="C168" s="2"/>
      <c r="D168" s="2"/>
      <c r="E168" s="2"/>
      <c r="F168" s="2"/>
      <c r="G168" s="2"/>
      <c r="H168" s="2"/>
      <c r="I168" s="2"/>
      <c r="J168" s="2"/>
      <c r="K168" s="2"/>
      <c r="L168" s="2"/>
      <c r="M168" s="2"/>
      <c r="N168" s="2"/>
      <c r="O168" s="2"/>
      <c r="P168" s="2"/>
      <c r="Q168" s="2"/>
      <c r="R168" s="2"/>
      <c r="S168" s="2"/>
    </row>
    <row r="169">
      <c r="A169" s="2"/>
      <c r="B169" s="2"/>
      <c r="C169" s="2"/>
      <c r="D169" s="2"/>
      <c r="E169" s="2"/>
      <c r="F169" s="2"/>
      <c r="G169" s="2"/>
      <c r="H169" s="2"/>
      <c r="I169" s="2"/>
      <c r="J169" s="2"/>
      <c r="K169" s="2"/>
      <c r="L169" s="2"/>
      <c r="M169" s="2"/>
      <c r="N169" s="2"/>
      <c r="O169" s="2"/>
      <c r="P169" s="2"/>
      <c r="Q169" s="2"/>
      <c r="R169" s="2"/>
      <c r="S169" s="2"/>
    </row>
    <row r="170">
      <c r="A170" s="2"/>
      <c r="B170" s="2"/>
      <c r="C170" s="2"/>
      <c r="D170" s="2"/>
      <c r="E170" s="2"/>
      <c r="F170" s="2"/>
      <c r="G170" s="2"/>
      <c r="H170" s="2"/>
      <c r="I170" s="2"/>
      <c r="J170" s="2"/>
      <c r="K170" s="2"/>
      <c r="L170" s="2"/>
      <c r="M170" s="2"/>
      <c r="N170" s="2"/>
      <c r="O170" s="2"/>
      <c r="P170" s="2"/>
      <c r="Q170" s="2"/>
      <c r="R170" s="2"/>
      <c r="S170" s="2"/>
    </row>
    <row r="171">
      <c r="A171" s="2"/>
      <c r="B171" s="2"/>
      <c r="C171" s="2"/>
      <c r="D171" s="2"/>
      <c r="E171" s="2"/>
      <c r="F171" s="2"/>
      <c r="G171" s="2"/>
      <c r="H171" s="2"/>
      <c r="I171" s="2"/>
      <c r="J171" s="2"/>
      <c r="K171" s="2"/>
      <c r="L171" s="2"/>
      <c r="M171" s="2"/>
      <c r="N171" s="2"/>
      <c r="O171" s="2"/>
      <c r="P171" s="2"/>
      <c r="Q171" s="2"/>
      <c r="R171" s="2"/>
      <c r="S171" s="2"/>
    </row>
    <row r="172">
      <c r="A172" s="2"/>
      <c r="B172" s="2"/>
      <c r="C172" s="2"/>
      <c r="D172" s="2"/>
      <c r="E172" s="2"/>
      <c r="F172" s="2"/>
      <c r="G172" s="2"/>
      <c r="H172" s="2"/>
      <c r="I172" s="2"/>
      <c r="J172" s="2"/>
      <c r="K172" s="2"/>
      <c r="L172" s="2"/>
      <c r="M172" s="2"/>
      <c r="N172" s="2"/>
      <c r="O172" s="2"/>
      <c r="P172" s="2"/>
      <c r="Q172" s="2"/>
      <c r="R172" s="2"/>
      <c r="S172" s="2"/>
    </row>
    <row r="173">
      <c r="A173" s="2"/>
      <c r="B173" s="2"/>
      <c r="C173" s="2"/>
      <c r="D173" s="2"/>
      <c r="E173" s="2"/>
      <c r="F173" s="2"/>
      <c r="G173" s="2"/>
      <c r="H173" s="2"/>
      <c r="I173" s="2"/>
      <c r="J173" s="2"/>
      <c r="K173" s="2"/>
      <c r="L173" s="2"/>
      <c r="M173" s="2"/>
      <c r="N173" s="2"/>
      <c r="O173" s="2"/>
      <c r="P173" s="2"/>
      <c r="Q173" s="2"/>
      <c r="R173" s="2"/>
      <c r="S173" s="2"/>
    </row>
    <row r="174">
      <c r="A174" s="2"/>
      <c r="B174" s="2"/>
      <c r="C174" s="2"/>
      <c r="D174" s="2"/>
      <c r="E174" s="2"/>
      <c r="F174" s="2"/>
      <c r="G174" s="2"/>
      <c r="H174" s="2"/>
      <c r="I174" s="2"/>
      <c r="J174" s="2"/>
      <c r="K174" s="2"/>
      <c r="L174" s="2"/>
      <c r="M174" s="2"/>
      <c r="N174" s="2"/>
      <c r="O174" s="2"/>
      <c r="P174" s="2"/>
      <c r="Q174" s="2"/>
      <c r="R174" s="2"/>
      <c r="S174" s="2"/>
    </row>
    <row r="175">
      <c r="A175" s="2"/>
      <c r="B175" s="2"/>
      <c r="C175" s="2"/>
      <c r="D175" s="2"/>
      <c r="E175" s="2"/>
      <c r="F175" s="2"/>
      <c r="G175" s="2"/>
      <c r="H175" s="2"/>
      <c r="I175" s="2"/>
      <c r="J175" s="2"/>
      <c r="K175" s="2"/>
      <c r="L175" s="2"/>
      <c r="M175" s="2"/>
      <c r="N175" s="2"/>
      <c r="O175" s="2"/>
      <c r="P175" s="2"/>
      <c r="Q175" s="2"/>
      <c r="R175" s="2"/>
      <c r="S175" s="2"/>
    </row>
    <row r="176">
      <c r="A176" s="2"/>
      <c r="B176" s="2"/>
      <c r="C176" s="2"/>
      <c r="D176" s="2"/>
      <c r="E176" s="2"/>
      <c r="F176" s="2"/>
      <c r="G176" s="2"/>
      <c r="H176" s="2"/>
      <c r="I176" s="2"/>
      <c r="J176" s="2"/>
      <c r="K176" s="2"/>
      <c r="L176" s="2"/>
      <c r="M176" s="2"/>
      <c r="N176" s="2"/>
      <c r="O176" s="2"/>
      <c r="P176" s="2"/>
      <c r="Q176" s="2"/>
      <c r="R176" s="2"/>
      <c r="S176" s="2"/>
    </row>
    <row r="177">
      <c r="A177" s="2"/>
      <c r="B177" s="2"/>
      <c r="C177" s="2"/>
      <c r="D177" s="2"/>
      <c r="E177" s="2"/>
      <c r="F177" s="2"/>
      <c r="G177" s="2"/>
      <c r="H177" s="2"/>
      <c r="I177" s="2"/>
      <c r="J177" s="2"/>
      <c r="K177" s="2"/>
      <c r="L177" s="2"/>
      <c r="M177" s="2"/>
      <c r="N177" s="2"/>
      <c r="O177" s="2"/>
      <c r="P177" s="2"/>
      <c r="Q177" s="2"/>
      <c r="R177" s="2"/>
      <c r="S177" s="2"/>
    </row>
    <row r="178">
      <c r="A178" s="2"/>
      <c r="B178" s="2"/>
      <c r="C178" s="2"/>
      <c r="D178" s="2"/>
      <c r="E178" s="2"/>
      <c r="F178" s="2"/>
      <c r="G178" s="2"/>
      <c r="H178" s="2"/>
      <c r="I178" s="2"/>
      <c r="J178" s="2"/>
      <c r="K178" s="2"/>
      <c r="L178" s="2"/>
      <c r="M178" s="2"/>
      <c r="N178" s="2"/>
      <c r="O178" s="2"/>
      <c r="P178" s="2"/>
      <c r="Q178" s="2"/>
      <c r="R178" s="2"/>
      <c r="S178" s="2"/>
    </row>
    <row r="179">
      <c r="A179" s="2"/>
      <c r="B179" s="2"/>
      <c r="C179" s="2"/>
      <c r="D179" s="2"/>
      <c r="E179" s="2"/>
      <c r="F179" s="2"/>
      <c r="G179" s="2"/>
      <c r="H179" s="2"/>
      <c r="I179" s="2"/>
      <c r="J179" s="2"/>
      <c r="K179" s="2"/>
      <c r="L179" s="2"/>
      <c r="M179" s="2"/>
      <c r="N179" s="2"/>
      <c r="O179" s="2"/>
      <c r="P179" s="2"/>
      <c r="Q179" s="2"/>
      <c r="R179" s="2"/>
      <c r="S179" s="2"/>
    </row>
    <row r="180">
      <c r="A180" s="2"/>
      <c r="B180" s="2"/>
      <c r="C180" s="2"/>
      <c r="D180" s="2"/>
      <c r="E180" s="2"/>
      <c r="F180" s="2"/>
      <c r="G180" s="2"/>
      <c r="H180" s="2"/>
      <c r="I180" s="2"/>
      <c r="J180" s="2"/>
      <c r="K180" s="2"/>
      <c r="L180" s="2"/>
      <c r="M180" s="2"/>
      <c r="N180" s="2"/>
      <c r="O180" s="2"/>
      <c r="P180" s="2"/>
      <c r="Q180" s="2"/>
      <c r="R180" s="2"/>
      <c r="S180" s="2"/>
    </row>
    <row r="181">
      <c r="A181" s="2"/>
      <c r="B181" s="2"/>
      <c r="C181" s="2"/>
      <c r="D181" s="2"/>
      <c r="E181" s="2"/>
      <c r="F181" s="2"/>
      <c r="G181" s="2"/>
      <c r="H181" s="2"/>
      <c r="I181" s="2"/>
      <c r="J181" s="2"/>
      <c r="K181" s="2"/>
      <c r="L181" s="2"/>
      <c r="M181" s="2"/>
      <c r="N181" s="2"/>
      <c r="O181" s="2"/>
      <c r="P181" s="2"/>
      <c r="Q181" s="2"/>
      <c r="R181" s="2"/>
      <c r="S181" s="2"/>
    </row>
    <row r="182">
      <c r="A182" s="2"/>
      <c r="B182" s="2"/>
      <c r="C182" s="2"/>
      <c r="D182" s="2"/>
      <c r="E182" s="2"/>
      <c r="F182" s="2"/>
      <c r="G182" s="2"/>
      <c r="H182" s="2"/>
      <c r="I182" s="2"/>
      <c r="J182" s="2"/>
      <c r="K182" s="2"/>
      <c r="L182" s="2"/>
      <c r="M182" s="2"/>
      <c r="N182" s="2"/>
      <c r="O182" s="2"/>
      <c r="P182" s="2"/>
      <c r="Q182" s="2"/>
      <c r="R182" s="2"/>
      <c r="S182" s="2"/>
    </row>
    <row r="183">
      <c r="A183" s="2"/>
      <c r="B183" s="2"/>
      <c r="C183" s="2"/>
      <c r="D183" s="2"/>
      <c r="E183" s="2"/>
      <c r="F183" s="2"/>
      <c r="G183" s="2"/>
      <c r="H183" s="2"/>
      <c r="I183" s="2"/>
      <c r="J183" s="2"/>
      <c r="K183" s="2"/>
      <c r="L183" s="2"/>
      <c r="M183" s="2"/>
      <c r="N183" s="2"/>
      <c r="O183" s="2"/>
      <c r="P183" s="2"/>
      <c r="Q183" s="2"/>
      <c r="R183" s="2"/>
      <c r="S183" s="2"/>
    </row>
    <row r="184">
      <c r="A184" s="2"/>
      <c r="B184" s="2"/>
      <c r="C184" s="2"/>
      <c r="D184" s="2"/>
      <c r="E184" s="2"/>
      <c r="F184" s="2"/>
      <c r="G184" s="2"/>
      <c r="H184" s="2"/>
      <c r="I184" s="2"/>
      <c r="J184" s="2"/>
      <c r="K184" s="2"/>
      <c r="L184" s="2"/>
      <c r="M184" s="2"/>
      <c r="N184" s="2"/>
      <c r="O184" s="2"/>
      <c r="P184" s="2"/>
      <c r="Q184" s="2"/>
      <c r="R184" s="2"/>
      <c r="S184" s="2"/>
    </row>
    <row r="185">
      <c r="A185" s="2"/>
      <c r="B185" s="2"/>
      <c r="C185" s="2"/>
      <c r="D185" s="2"/>
      <c r="E185" s="2"/>
      <c r="F185" s="2"/>
      <c r="G185" s="2"/>
      <c r="H185" s="2"/>
      <c r="I185" s="2"/>
      <c r="J185" s="2"/>
      <c r="K185" s="2"/>
      <c r="L185" s="2"/>
      <c r="M185" s="2"/>
      <c r="N185" s="2"/>
      <c r="O185" s="2"/>
      <c r="P185" s="2"/>
      <c r="Q185" s="2"/>
      <c r="R185" s="2"/>
      <c r="S185" s="2"/>
    </row>
    <row r="186">
      <c r="A186" s="2"/>
      <c r="B186" s="2"/>
      <c r="C186" s="2"/>
      <c r="D186" s="2"/>
      <c r="E186" s="2"/>
      <c r="F186" s="2"/>
      <c r="G186" s="2"/>
      <c r="H186" s="2"/>
      <c r="I186" s="2"/>
      <c r="J186" s="2"/>
      <c r="K186" s="2"/>
      <c r="L186" s="2"/>
      <c r="M186" s="2"/>
      <c r="N186" s="2"/>
      <c r="O186" s="2"/>
      <c r="P186" s="2"/>
      <c r="Q186" s="2"/>
      <c r="R186" s="2"/>
      <c r="S186" s="2"/>
    </row>
    <row r="187">
      <c r="A187" s="2"/>
      <c r="B187" s="2"/>
      <c r="C187" s="2"/>
      <c r="D187" s="2"/>
      <c r="E187" s="2"/>
      <c r="F187" s="2"/>
      <c r="G187" s="2"/>
      <c r="H187" s="2"/>
      <c r="I187" s="2"/>
      <c r="J187" s="2"/>
      <c r="K187" s="2"/>
      <c r="L187" s="2"/>
      <c r="M187" s="2"/>
      <c r="N187" s="2"/>
      <c r="O187" s="2"/>
      <c r="P187" s="2"/>
      <c r="Q187" s="2"/>
      <c r="R187" s="2"/>
      <c r="S187" s="2"/>
    </row>
    <row r="188">
      <c r="A188" s="2"/>
      <c r="B188" s="2"/>
      <c r="C188" s="2"/>
      <c r="D188" s="2"/>
      <c r="E188" s="2"/>
      <c r="F188" s="2"/>
      <c r="G188" s="2"/>
      <c r="H188" s="2"/>
      <c r="I188" s="2"/>
      <c r="J188" s="2"/>
      <c r="K188" s="2"/>
      <c r="L188" s="2"/>
      <c r="M188" s="2"/>
      <c r="N188" s="2"/>
      <c r="O188" s="2"/>
      <c r="P188" s="2"/>
      <c r="Q188" s="2"/>
      <c r="R188" s="2"/>
      <c r="S188" s="2"/>
    </row>
    <row r="189">
      <c r="A189" s="2"/>
      <c r="B189" s="2"/>
      <c r="C189" s="2"/>
      <c r="D189" s="2"/>
      <c r="E189" s="2"/>
      <c r="F189" s="2"/>
      <c r="G189" s="2"/>
      <c r="H189" s="2"/>
      <c r="I189" s="2"/>
      <c r="J189" s="2"/>
      <c r="K189" s="2"/>
      <c r="L189" s="2"/>
      <c r="M189" s="2"/>
      <c r="N189" s="2"/>
      <c r="O189" s="2"/>
      <c r="P189" s="2"/>
      <c r="Q189" s="2"/>
      <c r="R189" s="2"/>
      <c r="S189" s="2"/>
    </row>
    <row r="190">
      <c r="A190" s="2"/>
      <c r="B190" s="2"/>
      <c r="C190" s="2"/>
      <c r="D190" s="2"/>
      <c r="E190" s="2"/>
      <c r="F190" s="2"/>
      <c r="G190" s="2"/>
      <c r="H190" s="2"/>
      <c r="I190" s="2"/>
      <c r="J190" s="2"/>
      <c r="K190" s="2"/>
      <c r="L190" s="2"/>
      <c r="M190" s="2"/>
      <c r="N190" s="2"/>
      <c r="O190" s="2"/>
      <c r="P190" s="2"/>
      <c r="Q190" s="2"/>
      <c r="R190" s="2"/>
      <c r="S190" s="2"/>
    </row>
    <row r="191">
      <c r="A191" s="2"/>
      <c r="B191" s="2"/>
      <c r="C191" s="2"/>
      <c r="D191" s="2"/>
      <c r="E191" s="2"/>
      <c r="F191" s="2"/>
      <c r="G191" s="2"/>
      <c r="H191" s="2"/>
      <c r="I191" s="2"/>
      <c r="J191" s="2"/>
      <c r="K191" s="2"/>
      <c r="L191" s="2"/>
      <c r="M191" s="2"/>
      <c r="N191" s="2"/>
      <c r="O191" s="2"/>
      <c r="P191" s="2"/>
      <c r="Q191" s="2"/>
      <c r="R191" s="2"/>
      <c r="S191" s="2"/>
    </row>
    <row r="192">
      <c r="A192" s="2"/>
      <c r="B192" s="2"/>
      <c r="C192" s="2"/>
      <c r="D192" s="2"/>
      <c r="E192" s="2"/>
      <c r="F192" s="2"/>
      <c r="G192" s="2"/>
      <c r="H192" s="2"/>
      <c r="I192" s="2"/>
      <c r="J192" s="2"/>
      <c r="K192" s="2"/>
      <c r="L192" s="2"/>
      <c r="M192" s="2"/>
      <c r="N192" s="2"/>
      <c r="O192" s="2"/>
      <c r="P192" s="2"/>
      <c r="Q192" s="2"/>
      <c r="R192" s="2"/>
      <c r="S192" s="2"/>
    </row>
    <row r="193">
      <c r="A193" s="2"/>
      <c r="B193" s="2"/>
      <c r="C193" s="2"/>
      <c r="D193" s="2"/>
      <c r="E193" s="2"/>
      <c r="F193" s="2"/>
      <c r="G193" s="2"/>
      <c r="H193" s="2"/>
      <c r="I193" s="2"/>
      <c r="J193" s="2"/>
      <c r="K193" s="2"/>
      <c r="L193" s="2"/>
      <c r="M193" s="2"/>
      <c r="N193" s="2"/>
      <c r="O193" s="2"/>
      <c r="P193" s="2"/>
      <c r="Q193" s="2"/>
      <c r="R193" s="2"/>
      <c r="S193" s="2"/>
    </row>
    <row r="194">
      <c r="A194" s="2"/>
      <c r="B194" s="2"/>
      <c r="C194" s="2"/>
      <c r="D194" s="2"/>
      <c r="E194" s="2"/>
      <c r="F194" s="2"/>
      <c r="G194" s="2"/>
      <c r="H194" s="2"/>
      <c r="I194" s="2"/>
      <c r="J194" s="2"/>
      <c r="K194" s="2"/>
      <c r="L194" s="2"/>
      <c r="M194" s="2"/>
      <c r="N194" s="2"/>
      <c r="O194" s="2"/>
      <c r="P194" s="2"/>
      <c r="Q194" s="2"/>
      <c r="R194" s="2"/>
      <c r="S194" s="2"/>
    </row>
    <row r="195">
      <c r="A195" s="2"/>
      <c r="B195" s="2"/>
      <c r="C195" s="2"/>
      <c r="D195" s="2"/>
      <c r="E195" s="2"/>
      <c r="F195" s="2"/>
      <c r="G195" s="2"/>
      <c r="H195" s="2"/>
      <c r="I195" s="2"/>
      <c r="J195" s="2"/>
      <c r="K195" s="2"/>
      <c r="L195" s="2"/>
      <c r="M195" s="2"/>
      <c r="N195" s="2"/>
      <c r="O195" s="2"/>
      <c r="P195" s="2"/>
      <c r="Q195" s="2"/>
      <c r="R195" s="2"/>
      <c r="S195" s="2"/>
    </row>
    <row r="196">
      <c r="A196" s="2"/>
      <c r="B196" s="2"/>
      <c r="C196" s="2"/>
      <c r="D196" s="2"/>
      <c r="E196" s="2"/>
      <c r="F196" s="2"/>
      <c r="G196" s="2"/>
      <c r="H196" s="2"/>
      <c r="I196" s="2"/>
      <c r="J196" s="2"/>
      <c r="K196" s="2"/>
      <c r="L196" s="2"/>
      <c r="M196" s="2"/>
      <c r="N196" s="2"/>
      <c r="O196" s="2"/>
      <c r="P196" s="2"/>
      <c r="Q196" s="2"/>
      <c r="R196" s="2"/>
      <c r="S196" s="2"/>
    </row>
    <row r="197">
      <c r="A197" s="2"/>
      <c r="B197" s="2"/>
      <c r="C197" s="2"/>
      <c r="D197" s="2"/>
      <c r="E197" s="2"/>
      <c r="F197" s="2"/>
      <c r="G197" s="2"/>
      <c r="H197" s="2"/>
      <c r="I197" s="2"/>
      <c r="J197" s="2"/>
      <c r="K197" s="2"/>
      <c r="L197" s="2"/>
      <c r="M197" s="2"/>
      <c r="N197" s="2"/>
      <c r="O197" s="2"/>
      <c r="P197" s="2"/>
      <c r="Q197" s="2"/>
      <c r="R197" s="2"/>
      <c r="S197" s="2"/>
    </row>
    <row r="198">
      <c r="A198" s="2"/>
      <c r="B198" s="2"/>
      <c r="C198" s="2"/>
      <c r="D198" s="2"/>
      <c r="E198" s="2"/>
      <c r="F198" s="2"/>
      <c r="G198" s="2"/>
      <c r="H198" s="2"/>
      <c r="I198" s="2"/>
      <c r="J198" s="2"/>
      <c r="K198" s="2"/>
      <c r="L198" s="2"/>
      <c r="M198" s="2"/>
      <c r="N198" s="2"/>
      <c r="O198" s="2"/>
      <c r="P198" s="2"/>
      <c r="Q198" s="2"/>
      <c r="R198" s="2"/>
      <c r="S198" s="2"/>
    </row>
    <row r="199">
      <c r="A199" s="2"/>
      <c r="B199" s="2"/>
      <c r="C199" s="2"/>
      <c r="D199" s="2"/>
      <c r="E199" s="2"/>
      <c r="F199" s="2"/>
      <c r="G199" s="2"/>
      <c r="H199" s="2"/>
      <c r="I199" s="2"/>
      <c r="J199" s="2"/>
      <c r="K199" s="2"/>
      <c r="L199" s="2"/>
      <c r="M199" s="2"/>
      <c r="N199" s="2"/>
      <c r="O199" s="2"/>
      <c r="P199" s="2"/>
      <c r="Q199" s="2"/>
      <c r="R199" s="2"/>
      <c r="S199" s="2"/>
    </row>
    <row r="200">
      <c r="A200" s="2"/>
      <c r="B200" s="2"/>
      <c r="C200" s="2"/>
      <c r="D200" s="2"/>
      <c r="E200" s="2"/>
      <c r="F200" s="2"/>
      <c r="G200" s="2"/>
      <c r="H200" s="2"/>
      <c r="I200" s="2"/>
      <c r="J200" s="2"/>
      <c r="K200" s="2"/>
      <c r="L200" s="2"/>
      <c r="M200" s="2"/>
      <c r="N200" s="2"/>
      <c r="O200" s="2"/>
      <c r="P200" s="2"/>
      <c r="Q200" s="2"/>
      <c r="R200" s="2"/>
      <c r="S200" s="2"/>
    </row>
    <row r="201">
      <c r="A201" s="2"/>
      <c r="B201" s="2"/>
      <c r="C201" s="2"/>
      <c r="D201" s="2"/>
      <c r="E201" s="2"/>
      <c r="F201" s="2"/>
      <c r="G201" s="2"/>
      <c r="H201" s="2"/>
      <c r="I201" s="2"/>
      <c r="J201" s="2"/>
      <c r="K201" s="2"/>
      <c r="L201" s="2"/>
      <c r="M201" s="2"/>
      <c r="N201" s="2"/>
      <c r="O201" s="2"/>
      <c r="P201" s="2"/>
      <c r="Q201" s="2"/>
      <c r="R201" s="2"/>
      <c r="S201" s="2"/>
    </row>
    <row r="202">
      <c r="A202" s="2"/>
      <c r="B202" s="2"/>
      <c r="C202" s="2"/>
      <c r="D202" s="2"/>
      <c r="E202" s="2"/>
      <c r="F202" s="2"/>
      <c r="G202" s="2"/>
      <c r="H202" s="2"/>
      <c r="I202" s="2"/>
      <c r="J202" s="2"/>
      <c r="K202" s="2"/>
      <c r="L202" s="2"/>
      <c r="M202" s="2"/>
      <c r="N202" s="2"/>
      <c r="O202" s="2"/>
      <c r="P202" s="2"/>
      <c r="Q202" s="2"/>
      <c r="R202" s="2"/>
      <c r="S202" s="2"/>
    </row>
    <row r="203">
      <c r="A203" s="2"/>
      <c r="B203" s="2"/>
      <c r="C203" s="2"/>
      <c r="D203" s="2"/>
      <c r="E203" s="2"/>
      <c r="F203" s="2"/>
      <c r="G203" s="2"/>
      <c r="H203" s="2"/>
      <c r="I203" s="2"/>
      <c r="J203" s="2"/>
      <c r="K203" s="2"/>
      <c r="L203" s="2"/>
      <c r="M203" s="2"/>
      <c r="N203" s="2"/>
      <c r="O203" s="2"/>
      <c r="P203" s="2"/>
      <c r="Q203" s="2"/>
      <c r="R203" s="2"/>
      <c r="S203" s="2"/>
    </row>
    <row r="204">
      <c r="A204" s="2"/>
      <c r="B204" s="2"/>
      <c r="C204" s="2"/>
      <c r="D204" s="2"/>
      <c r="E204" s="2"/>
      <c r="F204" s="2"/>
      <c r="G204" s="2"/>
      <c r="H204" s="2"/>
      <c r="I204" s="2"/>
      <c r="J204" s="2"/>
      <c r="K204" s="2"/>
      <c r="L204" s="2"/>
      <c r="M204" s="2"/>
      <c r="N204" s="2"/>
      <c r="O204" s="2"/>
      <c r="P204" s="2"/>
      <c r="Q204" s="2"/>
      <c r="R204" s="2"/>
      <c r="S204" s="2"/>
    </row>
    <row r="205">
      <c r="A205" s="2"/>
      <c r="B205" s="2"/>
      <c r="C205" s="2"/>
      <c r="D205" s="2"/>
      <c r="E205" s="2"/>
      <c r="F205" s="2"/>
      <c r="G205" s="2"/>
      <c r="H205" s="2"/>
      <c r="I205" s="2"/>
      <c r="J205" s="2"/>
      <c r="K205" s="2"/>
      <c r="L205" s="2"/>
      <c r="M205" s="2"/>
      <c r="N205" s="2"/>
      <c r="O205" s="2"/>
      <c r="P205" s="2"/>
      <c r="Q205" s="2"/>
      <c r="R205" s="2"/>
      <c r="S205" s="2"/>
    </row>
    <row r="206">
      <c r="A206" s="2"/>
      <c r="B206" s="2"/>
      <c r="C206" s="2"/>
      <c r="D206" s="2"/>
      <c r="E206" s="2"/>
      <c r="F206" s="2"/>
      <c r="G206" s="2"/>
      <c r="H206" s="2"/>
      <c r="I206" s="2"/>
      <c r="J206" s="2"/>
      <c r="K206" s="2"/>
      <c r="L206" s="2"/>
      <c r="M206" s="2"/>
      <c r="N206" s="2"/>
      <c r="O206" s="2"/>
      <c r="P206" s="2"/>
      <c r="Q206" s="2"/>
      <c r="R206" s="2"/>
      <c r="S206" s="2"/>
    </row>
    <row r="207">
      <c r="A207" s="2"/>
      <c r="B207" s="2"/>
      <c r="C207" s="2"/>
      <c r="D207" s="2"/>
      <c r="E207" s="2"/>
      <c r="F207" s="2"/>
      <c r="G207" s="2"/>
      <c r="H207" s="2"/>
      <c r="I207" s="2"/>
      <c r="J207" s="2"/>
      <c r="K207" s="2"/>
      <c r="L207" s="2"/>
      <c r="M207" s="2"/>
      <c r="N207" s="2"/>
      <c r="O207" s="2"/>
      <c r="P207" s="2"/>
      <c r="Q207" s="2"/>
      <c r="R207" s="2"/>
      <c r="S207" s="2"/>
    </row>
    <row r="208">
      <c r="A208" s="2"/>
      <c r="B208" s="2"/>
      <c r="C208" s="2"/>
      <c r="D208" s="2"/>
      <c r="E208" s="2"/>
      <c r="F208" s="2"/>
      <c r="G208" s="2"/>
      <c r="H208" s="2"/>
      <c r="I208" s="2"/>
      <c r="J208" s="2"/>
      <c r="K208" s="2"/>
      <c r="L208" s="2"/>
      <c r="M208" s="2"/>
      <c r="N208" s="2"/>
      <c r="O208" s="2"/>
      <c r="P208" s="2"/>
      <c r="Q208" s="2"/>
      <c r="R208" s="2"/>
      <c r="S208" s="2"/>
    </row>
    <row r="209">
      <c r="A209" s="2"/>
      <c r="B209" s="2"/>
      <c r="C209" s="2"/>
      <c r="D209" s="2"/>
      <c r="E209" s="2"/>
      <c r="F209" s="2"/>
      <c r="G209" s="2"/>
      <c r="H209" s="2"/>
      <c r="I209" s="2"/>
      <c r="J209" s="2"/>
      <c r="K209" s="2"/>
      <c r="L209" s="2"/>
      <c r="M209" s="2"/>
      <c r="N209" s="2"/>
      <c r="O209" s="2"/>
      <c r="P209" s="2"/>
      <c r="Q209" s="2"/>
      <c r="R209" s="2"/>
      <c r="S209" s="2"/>
    </row>
    <row r="210">
      <c r="A210" s="2"/>
      <c r="B210" s="2"/>
      <c r="C210" s="2"/>
      <c r="D210" s="2"/>
      <c r="E210" s="2"/>
      <c r="F210" s="2"/>
      <c r="G210" s="2"/>
      <c r="H210" s="2"/>
      <c r="I210" s="2"/>
      <c r="J210" s="2"/>
      <c r="K210" s="2"/>
      <c r="L210" s="2"/>
      <c r="M210" s="2"/>
      <c r="N210" s="2"/>
      <c r="O210" s="2"/>
      <c r="P210" s="2"/>
      <c r="Q210" s="2"/>
      <c r="R210" s="2"/>
      <c r="S210" s="2"/>
    </row>
    <row r="211">
      <c r="A211" s="2"/>
      <c r="B211" s="2"/>
      <c r="C211" s="2"/>
      <c r="D211" s="2"/>
      <c r="E211" s="2"/>
      <c r="F211" s="2"/>
      <c r="G211" s="2"/>
      <c r="H211" s="2"/>
      <c r="I211" s="2"/>
      <c r="J211" s="2"/>
      <c r="K211" s="2"/>
      <c r="L211" s="2"/>
      <c r="M211" s="2"/>
      <c r="N211" s="2"/>
      <c r="O211" s="2"/>
      <c r="P211" s="2"/>
      <c r="Q211" s="2"/>
      <c r="R211" s="2"/>
      <c r="S211" s="2"/>
    </row>
    <row r="212">
      <c r="A212" s="2"/>
      <c r="B212" s="2"/>
      <c r="C212" s="2"/>
      <c r="D212" s="2"/>
      <c r="E212" s="2"/>
      <c r="F212" s="2"/>
      <c r="G212" s="2"/>
      <c r="H212" s="2"/>
      <c r="I212" s="2"/>
      <c r="J212" s="2"/>
      <c r="K212" s="2"/>
      <c r="L212" s="2"/>
      <c r="M212" s="2"/>
      <c r="N212" s="2"/>
      <c r="O212" s="2"/>
      <c r="P212" s="2"/>
      <c r="Q212" s="2"/>
      <c r="R212" s="2"/>
      <c r="S212" s="2"/>
    </row>
    <row r="213">
      <c r="A213" s="2"/>
      <c r="B213" s="2"/>
      <c r="C213" s="2"/>
      <c r="D213" s="2"/>
      <c r="E213" s="2"/>
      <c r="F213" s="2"/>
      <c r="G213" s="2"/>
      <c r="H213" s="2"/>
      <c r="I213" s="2"/>
      <c r="J213" s="2"/>
      <c r="K213" s="2"/>
      <c r="L213" s="2"/>
      <c r="M213" s="2"/>
      <c r="N213" s="2"/>
      <c r="O213" s="2"/>
      <c r="P213" s="2"/>
      <c r="Q213" s="2"/>
      <c r="R213" s="2"/>
      <c r="S213" s="2"/>
    </row>
    <row r="214">
      <c r="A214" s="2"/>
      <c r="B214" s="2"/>
      <c r="C214" s="2"/>
      <c r="D214" s="2"/>
      <c r="E214" s="2"/>
      <c r="F214" s="2"/>
      <c r="G214" s="2"/>
      <c r="H214" s="2"/>
      <c r="I214" s="2"/>
      <c r="J214" s="2"/>
      <c r="K214" s="2"/>
      <c r="L214" s="2"/>
      <c r="M214" s="2"/>
      <c r="N214" s="2"/>
      <c r="O214" s="2"/>
      <c r="P214" s="2"/>
      <c r="Q214" s="2"/>
      <c r="R214" s="2"/>
      <c r="S214" s="2"/>
    </row>
    <row r="215">
      <c r="A215" s="2"/>
      <c r="B215" s="2"/>
      <c r="C215" s="2"/>
      <c r="D215" s="2"/>
      <c r="E215" s="2"/>
      <c r="F215" s="2"/>
      <c r="G215" s="2"/>
      <c r="H215" s="2"/>
      <c r="I215" s="2"/>
      <c r="J215" s="2"/>
      <c r="K215" s="2"/>
      <c r="L215" s="2"/>
      <c r="M215" s="2"/>
      <c r="N215" s="2"/>
      <c r="O215" s="2"/>
      <c r="P215" s="2"/>
      <c r="Q215" s="2"/>
      <c r="R215" s="2"/>
      <c r="S215" s="2"/>
    </row>
    <row r="216">
      <c r="A216" s="2"/>
      <c r="B216" s="2"/>
      <c r="C216" s="2"/>
      <c r="D216" s="2"/>
      <c r="E216" s="2"/>
      <c r="F216" s="2"/>
      <c r="G216" s="2"/>
      <c r="H216" s="2"/>
      <c r="I216" s="2"/>
      <c r="J216" s="2"/>
      <c r="K216" s="2"/>
      <c r="L216" s="2"/>
      <c r="M216" s="2"/>
      <c r="N216" s="2"/>
      <c r="O216" s="2"/>
      <c r="P216" s="2"/>
      <c r="Q216" s="2"/>
      <c r="R216" s="2"/>
      <c r="S216" s="2"/>
    </row>
    <row r="217">
      <c r="A217" s="2"/>
      <c r="B217" s="2"/>
      <c r="C217" s="2"/>
      <c r="D217" s="2"/>
      <c r="E217" s="2"/>
      <c r="F217" s="2"/>
      <c r="G217" s="2"/>
      <c r="H217" s="2"/>
      <c r="I217" s="2"/>
      <c r="J217" s="2"/>
      <c r="K217" s="2"/>
      <c r="L217" s="2"/>
      <c r="M217" s="2"/>
      <c r="N217" s="2"/>
      <c r="O217" s="2"/>
      <c r="P217" s="2"/>
      <c r="Q217" s="2"/>
      <c r="R217" s="2"/>
      <c r="S217" s="2"/>
    </row>
    <row r="218">
      <c r="A218" s="2"/>
      <c r="B218" s="2"/>
      <c r="C218" s="2"/>
      <c r="D218" s="2"/>
      <c r="E218" s="2"/>
      <c r="F218" s="2"/>
      <c r="G218" s="2"/>
      <c r="H218" s="2"/>
      <c r="I218" s="2"/>
      <c r="J218" s="2"/>
      <c r="K218" s="2"/>
      <c r="L218" s="2"/>
      <c r="M218" s="2"/>
      <c r="N218" s="2"/>
      <c r="O218" s="2"/>
      <c r="P218" s="2"/>
      <c r="Q218" s="2"/>
      <c r="R218" s="2"/>
      <c r="S218" s="2"/>
    </row>
    <row r="219">
      <c r="A219" s="2"/>
      <c r="B219" s="2"/>
      <c r="C219" s="2"/>
      <c r="D219" s="2"/>
      <c r="E219" s="2"/>
      <c r="F219" s="2"/>
      <c r="G219" s="2"/>
      <c r="H219" s="2"/>
      <c r="I219" s="2"/>
      <c r="J219" s="2"/>
      <c r="K219" s="2"/>
      <c r="L219" s="2"/>
      <c r="M219" s="2"/>
      <c r="N219" s="2"/>
      <c r="O219" s="2"/>
      <c r="P219" s="2"/>
      <c r="Q219" s="2"/>
      <c r="R219" s="2"/>
      <c r="S219" s="2"/>
    </row>
    <row r="220">
      <c r="A220" s="2"/>
      <c r="B220" s="2"/>
      <c r="C220" s="2"/>
      <c r="D220" s="2"/>
      <c r="E220" s="2"/>
      <c r="F220" s="2"/>
      <c r="G220" s="2"/>
      <c r="H220" s="2"/>
      <c r="I220" s="2"/>
      <c r="J220" s="2"/>
      <c r="K220" s="2"/>
      <c r="L220" s="2"/>
      <c r="M220" s="2"/>
      <c r="N220" s="2"/>
      <c r="O220" s="2"/>
      <c r="P220" s="2"/>
      <c r="Q220" s="2"/>
      <c r="R220" s="2"/>
      <c r="S220" s="2"/>
    </row>
    <row r="221">
      <c r="A221" s="2"/>
      <c r="B221" s="2"/>
      <c r="C221" s="2"/>
      <c r="D221" s="2"/>
      <c r="E221" s="2"/>
      <c r="F221" s="2"/>
      <c r="G221" s="2"/>
      <c r="H221" s="2"/>
      <c r="I221" s="2"/>
      <c r="J221" s="2"/>
      <c r="K221" s="2"/>
      <c r="L221" s="2"/>
      <c r="M221" s="2"/>
      <c r="N221" s="2"/>
      <c r="O221" s="2"/>
      <c r="P221" s="2"/>
      <c r="Q221" s="2"/>
      <c r="R221" s="2"/>
      <c r="S221" s="2"/>
    </row>
    <row r="222">
      <c r="A222" s="2"/>
      <c r="B222" s="2"/>
      <c r="C222" s="2"/>
      <c r="D222" s="2"/>
      <c r="E222" s="2"/>
      <c r="F222" s="2"/>
      <c r="G222" s="2"/>
      <c r="H222" s="2"/>
      <c r="I222" s="2"/>
      <c r="J222" s="2"/>
      <c r="K222" s="2"/>
      <c r="L222" s="2"/>
      <c r="M222" s="2"/>
      <c r="N222" s="2"/>
      <c r="O222" s="2"/>
      <c r="P222" s="2"/>
      <c r="Q222" s="2"/>
      <c r="R222" s="2"/>
      <c r="S222" s="2"/>
    </row>
    <row r="223">
      <c r="A223" s="2"/>
      <c r="B223" s="2"/>
      <c r="C223" s="2"/>
      <c r="D223" s="2"/>
      <c r="E223" s="2"/>
      <c r="F223" s="2"/>
      <c r="G223" s="2"/>
      <c r="H223" s="2"/>
      <c r="I223" s="2"/>
      <c r="J223" s="2"/>
      <c r="K223" s="2"/>
      <c r="L223" s="2"/>
      <c r="M223" s="2"/>
      <c r="N223" s="2"/>
      <c r="O223" s="2"/>
      <c r="P223" s="2"/>
      <c r="Q223" s="2"/>
      <c r="R223" s="2"/>
      <c r="S223" s="2"/>
    </row>
    <row r="224">
      <c r="A224" s="2"/>
      <c r="B224" s="2"/>
      <c r="C224" s="2"/>
      <c r="D224" s="2"/>
      <c r="E224" s="2"/>
      <c r="F224" s="2"/>
      <c r="G224" s="2"/>
      <c r="H224" s="2"/>
      <c r="I224" s="2"/>
      <c r="J224" s="2"/>
      <c r="K224" s="2"/>
      <c r="L224" s="2"/>
      <c r="M224" s="2"/>
      <c r="N224" s="2"/>
      <c r="O224" s="2"/>
      <c r="P224" s="2"/>
      <c r="Q224" s="2"/>
      <c r="R224" s="2"/>
      <c r="S224" s="2"/>
    </row>
    <row r="225">
      <c r="A225" s="2"/>
      <c r="B225" s="2"/>
      <c r="C225" s="2"/>
      <c r="D225" s="2"/>
      <c r="E225" s="2"/>
      <c r="F225" s="2"/>
      <c r="G225" s="2"/>
      <c r="H225" s="2"/>
      <c r="I225" s="2"/>
      <c r="J225" s="2"/>
      <c r="K225" s="2"/>
      <c r="L225" s="2"/>
      <c r="M225" s="2"/>
      <c r="N225" s="2"/>
      <c r="O225" s="2"/>
      <c r="P225" s="2"/>
      <c r="Q225" s="2"/>
      <c r="R225" s="2"/>
      <c r="S225" s="2"/>
    </row>
    <row r="226">
      <c r="A226" s="2"/>
      <c r="B226" s="2"/>
      <c r="C226" s="2"/>
      <c r="D226" s="2"/>
      <c r="E226" s="2"/>
      <c r="F226" s="2"/>
      <c r="G226" s="2"/>
      <c r="H226" s="2"/>
      <c r="I226" s="2"/>
      <c r="J226" s="2"/>
      <c r="K226" s="2"/>
      <c r="L226" s="2"/>
      <c r="M226" s="2"/>
      <c r="N226" s="2"/>
      <c r="O226" s="2"/>
      <c r="P226" s="2"/>
      <c r="Q226" s="2"/>
      <c r="R226" s="2"/>
      <c r="S226" s="2"/>
    </row>
    <row r="227">
      <c r="A227" s="2"/>
      <c r="B227" s="2"/>
      <c r="C227" s="2"/>
      <c r="D227" s="2"/>
      <c r="E227" s="2"/>
      <c r="F227" s="2"/>
      <c r="G227" s="2"/>
      <c r="H227" s="2"/>
      <c r="I227" s="2"/>
      <c r="J227" s="2"/>
      <c r="K227" s="2"/>
      <c r="L227" s="2"/>
      <c r="M227" s="2"/>
      <c r="N227" s="2"/>
      <c r="O227" s="2"/>
      <c r="P227" s="2"/>
      <c r="Q227" s="2"/>
      <c r="R227" s="2"/>
      <c r="S227" s="2"/>
    </row>
    <row r="228">
      <c r="A228" s="2"/>
      <c r="B228" s="2"/>
      <c r="C228" s="2"/>
      <c r="D228" s="2"/>
      <c r="E228" s="2"/>
      <c r="F228" s="2"/>
      <c r="G228" s="2"/>
      <c r="H228" s="2"/>
      <c r="I228" s="2"/>
      <c r="J228" s="2"/>
      <c r="K228" s="2"/>
      <c r="L228" s="2"/>
      <c r="M228" s="2"/>
      <c r="N228" s="2"/>
      <c r="O228" s="2"/>
      <c r="P228" s="2"/>
      <c r="Q228" s="2"/>
      <c r="R228" s="2"/>
      <c r="S228" s="2"/>
    </row>
    <row r="229">
      <c r="A229" s="2"/>
      <c r="B229" s="2"/>
      <c r="C229" s="2"/>
      <c r="D229" s="2"/>
      <c r="E229" s="2"/>
      <c r="F229" s="2"/>
      <c r="G229" s="2"/>
      <c r="H229" s="2"/>
      <c r="I229" s="2"/>
      <c r="J229" s="2"/>
      <c r="K229" s="2"/>
      <c r="L229" s="2"/>
      <c r="M229" s="2"/>
      <c r="N229" s="2"/>
      <c r="O229" s="2"/>
      <c r="P229" s="2"/>
      <c r="Q229" s="2"/>
      <c r="R229" s="2"/>
      <c r="S229" s="2"/>
    </row>
    <row r="230">
      <c r="A230" s="2"/>
      <c r="B230" s="2"/>
      <c r="C230" s="2"/>
      <c r="D230" s="2"/>
      <c r="E230" s="2"/>
      <c r="F230" s="2"/>
      <c r="G230" s="2"/>
      <c r="H230" s="2"/>
      <c r="I230" s="2"/>
      <c r="J230" s="2"/>
      <c r="K230" s="2"/>
      <c r="L230" s="2"/>
      <c r="M230" s="2"/>
      <c r="N230" s="2"/>
      <c r="O230" s="2"/>
      <c r="P230" s="2"/>
      <c r="Q230" s="2"/>
      <c r="R230" s="2"/>
      <c r="S230" s="2"/>
    </row>
    <row r="231">
      <c r="A231" s="2"/>
      <c r="B231" s="2"/>
      <c r="C231" s="2"/>
      <c r="D231" s="2"/>
      <c r="E231" s="2"/>
      <c r="F231" s="2"/>
      <c r="G231" s="2"/>
      <c r="H231" s="2"/>
      <c r="I231" s="2"/>
      <c r="J231" s="2"/>
      <c r="K231" s="2"/>
      <c r="L231" s="2"/>
      <c r="M231" s="2"/>
      <c r="N231" s="2"/>
      <c r="O231" s="2"/>
      <c r="P231" s="2"/>
      <c r="Q231" s="2"/>
      <c r="R231" s="2"/>
      <c r="S231" s="2"/>
    </row>
    <row r="232">
      <c r="A232" s="2"/>
      <c r="B232" s="2"/>
      <c r="C232" s="2"/>
      <c r="D232" s="2"/>
      <c r="E232" s="2"/>
      <c r="F232" s="2"/>
      <c r="G232" s="2"/>
      <c r="H232" s="2"/>
      <c r="I232" s="2"/>
      <c r="J232" s="2"/>
      <c r="K232" s="2"/>
      <c r="L232" s="2"/>
      <c r="M232" s="2"/>
      <c r="N232" s="2"/>
      <c r="O232" s="2"/>
      <c r="P232" s="2"/>
      <c r="Q232" s="2"/>
      <c r="R232" s="2"/>
      <c r="S232" s="2"/>
    </row>
    <row r="233">
      <c r="A233" s="2"/>
      <c r="B233" s="2"/>
      <c r="C233" s="2"/>
      <c r="D233" s="2"/>
      <c r="E233" s="2"/>
      <c r="F233" s="2"/>
      <c r="G233" s="2"/>
      <c r="H233" s="2"/>
      <c r="I233" s="2"/>
      <c r="J233" s="2"/>
      <c r="K233" s="2"/>
      <c r="L233" s="2"/>
      <c r="M233" s="2"/>
      <c r="N233" s="2"/>
      <c r="O233" s="2"/>
      <c r="P233" s="2"/>
      <c r="Q233" s="2"/>
      <c r="R233" s="2"/>
      <c r="S233" s="2"/>
    </row>
    <row r="234">
      <c r="A234" s="2"/>
      <c r="B234" s="2"/>
      <c r="C234" s="2"/>
      <c r="D234" s="2"/>
      <c r="E234" s="2"/>
      <c r="F234" s="2"/>
      <c r="G234" s="2"/>
      <c r="H234" s="2"/>
      <c r="I234" s="2"/>
      <c r="J234" s="2"/>
      <c r="K234" s="2"/>
      <c r="L234" s="2"/>
      <c r="M234" s="2"/>
      <c r="N234" s="2"/>
      <c r="O234" s="2"/>
      <c r="P234" s="2"/>
      <c r="Q234" s="2"/>
      <c r="R234" s="2"/>
      <c r="S234" s="2"/>
    </row>
    <row r="235">
      <c r="A235" s="2"/>
      <c r="B235" s="2"/>
      <c r="C235" s="2"/>
      <c r="D235" s="2"/>
      <c r="E235" s="2"/>
      <c r="F235" s="2"/>
      <c r="G235" s="2"/>
      <c r="H235" s="2"/>
      <c r="I235" s="2"/>
      <c r="J235" s="2"/>
      <c r="K235" s="2"/>
      <c r="L235" s="2"/>
      <c r="M235" s="2"/>
      <c r="N235" s="2"/>
      <c r="O235" s="2"/>
      <c r="P235" s="2"/>
      <c r="Q235" s="2"/>
      <c r="R235" s="2"/>
      <c r="S235" s="2"/>
    </row>
    <row r="236">
      <c r="A236" s="2"/>
      <c r="B236" s="2"/>
      <c r="C236" s="2"/>
      <c r="D236" s="2"/>
      <c r="E236" s="2"/>
      <c r="F236" s="2"/>
      <c r="G236" s="2"/>
      <c r="H236" s="2"/>
      <c r="I236" s="2"/>
      <c r="J236" s="2"/>
      <c r="K236" s="2"/>
      <c r="L236" s="2"/>
      <c r="M236" s="2"/>
      <c r="N236" s="2"/>
      <c r="O236" s="2"/>
      <c r="P236" s="2"/>
      <c r="Q236" s="2"/>
      <c r="R236" s="2"/>
      <c r="S236" s="2"/>
    </row>
    <row r="237">
      <c r="A237" s="2"/>
      <c r="B237" s="2"/>
      <c r="C237" s="2"/>
      <c r="D237" s="2"/>
      <c r="E237" s="2"/>
      <c r="F237" s="2"/>
      <c r="G237" s="2"/>
      <c r="H237" s="2"/>
      <c r="I237" s="2"/>
      <c r="J237" s="2"/>
      <c r="K237" s="2"/>
      <c r="L237" s="2"/>
      <c r="M237" s="2"/>
      <c r="N237" s="2"/>
      <c r="O237" s="2"/>
      <c r="P237" s="2"/>
      <c r="Q237" s="2"/>
      <c r="R237" s="2"/>
      <c r="S237" s="2"/>
    </row>
    <row r="238">
      <c r="A238" s="2"/>
      <c r="B238" s="2"/>
      <c r="C238" s="2"/>
      <c r="D238" s="2"/>
      <c r="E238" s="2"/>
      <c r="F238" s="2"/>
      <c r="G238" s="2"/>
      <c r="H238" s="2"/>
      <c r="I238" s="2"/>
      <c r="J238" s="2"/>
      <c r="K238" s="2"/>
      <c r="L238" s="2"/>
      <c r="M238" s="2"/>
      <c r="N238" s="2"/>
      <c r="O238" s="2"/>
      <c r="P238" s="2"/>
      <c r="Q238" s="2"/>
      <c r="R238" s="2"/>
      <c r="S238" s="2"/>
    </row>
    <row r="239">
      <c r="A239" s="2"/>
      <c r="B239" s="2"/>
      <c r="C239" s="2"/>
      <c r="D239" s="2"/>
      <c r="E239" s="2"/>
      <c r="F239" s="2"/>
      <c r="G239" s="2"/>
      <c r="H239" s="2"/>
      <c r="I239" s="2"/>
      <c r="J239" s="2"/>
      <c r="K239" s="2"/>
      <c r="L239" s="2"/>
      <c r="M239" s="2"/>
      <c r="N239" s="2"/>
      <c r="O239" s="2"/>
      <c r="P239" s="2"/>
      <c r="Q239" s="2"/>
      <c r="R239" s="2"/>
      <c r="S239" s="2"/>
    </row>
    <row r="240">
      <c r="A240" s="2"/>
      <c r="B240" s="2"/>
      <c r="C240" s="2"/>
      <c r="D240" s="2"/>
      <c r="E240" s="2"/>
      <c r="F240" s="2"/>
      <c r="G240" s="2"/>
      <c r="H240" s="2"/>
      <c r="I240" s="2"/>
      <c r="J240" s="2"/>
      <c r="K240" s="2"/>
      <c r="L240" s="2"/>
      <c r="M240" s="2"/>
      <c r="N240" s="2"/>
      <c r="O240" s="2"/>
      <c r="P240" s="2"/>
      <c r="Q240" s="2"/>
      <c r="R240" s="2"/>
      <c r="S240" s="2"/>
    </row>
    <row r="241">
      <c r="A241" s="2"/>
      <c r="B241" s="2"/>
      <c r="C241" s="2"/>
      <c r="D241" s="2"/>
      <c r="E241" s="2"/>
      <c r="F241" s="2"/>
      <c r="G241" s="2"/>
      <c r="H241" s="2"/>
      <c r="I241" s="2"/>
      <c r="J241" s="2"/>
      <c r="K241" s="2"/>
      <c r="L241" s="2"/>
      <c r="M241" s="2"/>
      <c r="N241" s="2"/>
      <c r="O241" s="2"/>
      <c r="P241" s="2"/>
      <c r="Q241" s="2"/>
      <c r="R241" s="2"/>
      <c r="S241" s="2"/>
    </row>
    <row r="242">
      <c r="A242" s="2"/>
      <c r="B242" s="2"/>
      <c r="C242" s="2"/>
      <c r="D242" s="2"/>
      <c r="E242" s="2"/>
      <c r="F242" s="2"/>
      <c r="G242" s="2"/>
      <c r="H242" s="2"/>
      <c r="I242" s="2"/>
      <c r="J242" s="2"/>
      <c r="K242" s="2"/>
      <c r="L242" s="2"/>
      <c r="M242" s="2"/>
      <c r="N242" s="2"/>
      <c r="O242" s="2"/>
      <c r="P242" s="2"/>
      <c r="Q242" s="2"/>
      <c r="R242" s="2"/>
      <c r="S242" s="2"/>
    </row>
    <row r="243">
      <c r="A243" s="2"/>
      <c r="B243" s="2"/>
      <c r="C243" s="2"/>
      <c r="D243" s="2"/>
      <c r="E243" s="2"/>
      <c r="F243" s="2"/>
      <c r="G243" s="2"/>
      <c r="H243" s="2"/>
      <c r="I243" s="2"/>
      <c r="J243" s="2"/>
      <c r="K243" s="2"/>
      <c r="L243" s="2"/>
      <c r="M243" s="2"/>
      <c r="N243" s="2"/>
      <c r="O243" s="2"/>
      <c r="P243" s="2"/>
      <c r="Q243" s="2"/>
      <c r="R243" s="2"/>
      <c r="S243" s="2"/>
    </row>
    <row r="244">
      <c r="A244" s="2"/>
      <c r="B244" s="2"/>
      <c r="C244" s="2"/>
      <c r="D244" s="2"/>
      <c r="E244" s="2"/>
      <c r="F244" s="2"/>
      <c r="G244" s="2"/>
      <c r="H244" s="2"/>
      <c r="I244" s="2"/>
      <c r="J244" s="2"/>
      <c r="K244" s="2"/>
      <c r="L244" s="2"/>
      <c r="M244" s="2"/>
      <c r="N244" s="2"/>
      <c r="O244" s="2"/>
      <c r="P244" s="2"/>
      <c r="Q244" s="2"/>
      <c r="R244" s="2"/>
      <c r="S244" s="2"/>
    </row>
    <row r="245">
      <c r="A245" s="2"/>
      <c r="B245" s="2"/>
      <c r="C245" s="2"/>
      <c r="D245" s="2"/>
      <c r="E245" s="2"/>
      <c r="F245" s="2"/>
      <c r="G245" s="2"/>
      <c r="H245" s="2"/>
      <c r="I245" s="2"/>
      <c r="J245" s="2"/>
      <c r="K245" s="2"/>
      <c r="L245" s="2"/>
      <c r="M245" s="2"/>
      <c r="N245" s="2"/>
      <c r="O245" s="2"/>
      <c r="P245" s="2"/>
      <c r="Q245" s="2"/>
      <c r="R245" s="2"/>
      <c r="S245" s="2"/>
    </row>
    <row r="246">
      <c r="A246" s="2"/>
      <c r="B246" s="2"/>
      <c r="C246" s="2"/>
      <c r="D246" s="2"/>
      <c r="E246" s="2"/>
      <c r="F246" s="2"/>
      <c r="G246" s="2"/>
      <c r="H246" s="2"/>
      <c r="I246" s="2"/>
      <c r="J246" s="2"/>
      <c r="K246" s="2"/>
      <c r="L246" s="2"/>
      <c r="M246" s="2"/>
      <c r="N246" s="2"/>
      <c r="O246" s="2"/>
      <c r="P246" s="2"/>
      <c r="Q246" s="2"/>
      <c r="R246" s="2"/>
      <c r="S246" s="2"/>
    </row>
    <row r="247">
      <c r="A247" s="2"/>
      <c r="B247" s="2"/>
      <c r="C247" s="2"/>
      <c r="D247" s="2"/>
      <c r="E247" s="2"/>
      <c r="F247" s="2"/>
      <c r="G247" s="2"/>
      <c r="H247" s="2"/>
      <c r="I247" s="2"/>
      <c r="J247" s="2"/>
      <c r="K247" s="2"/>
      <c r="L247" s="2"/>
      <c r="M247" s="2"/>
      <c r="N247" s="2"/>
      <c r="O247" s="2"/>
      <c r="P247" s="2"/>
      <c r="Q247" s="2"/>
      <c r="R247" s="2"/>
      <c r="S247" s="2"/>
    </row>
    <row r="248">
      <c r="A248" s="2"/>
      <c r="B248" s="2"/>
      <c r="C248" s="2"/>
      <c r="D248" s="2"/>
      <c r="E248" s="2"/>
      <c r="F248" s="2"/>
      <c r="G248" s="2"/>
      <c r="H248" s="2"/>
      <c r="I248" s="2"/>
      <c r="J248" s="2"/>
      <c r="K248" s="2"/>
      <c r="L248" s="2"/>
      <c r="M248" s="2"/>
      <c r="N248" s="2"/>
      <c r="O248" s="2"/>
      <c r="P248" s="2"/>
      <c r="Q248" s="2"/>
      <c r="R248" s="2"/>
      <c r="S248" s="2"/>
    </row>
    <row r="249">
      <c r="A249" s="2"/>
      <c r="B249" s="2"/>
      <c r="C249" s="2"/>
      <c r="D249" s="2"/>
      <c r="E249" s="2"/>
      <c r="F249" s="2"/>
      <c r="G249" s="2"/>
      <c r="H249" s="2"/>
      <c r="I249" s="2"/>
      <c r="J249" s="2"/>
      <c r="K249" s="2"/>
      <c r="L249" s="2"/>
      <c r="M249" s="2"/>
      <c r="N249" s="2"/>
      <c r="O249" s="2"/>
      <c r="P249" s="2"/>
      <c r="Q249" s="2"/>
      <c r="R249" s="2"/>
      <c r="S249" s="2"/>
    </row>
    <row r="250">
      <c r="A250" s="2"/>
      <c r="B250" s="2"/>
      <c r="C250" s="2"/>
      <c r="D250" s="2"/>
      <c r="E250" s="2"/>
      <c r="F250" s="2"/>
      <c r="G250" s="2"/>
      <c r="H250" s="2"/>
      <c r="I250" s="2"/>
      <c r="J250" s="2"/>
      <c r="K250" s="2"/>
      <c r="L250" s="2"/>
      <c r="M250" s="2"/>
      <c r="N250" s="2"/>
      <c r="O250" s="2"/>
      <c r="P250" s="2"/>
      <c r="Q250" s="2"/>
      <c r="R250" s="2"/>
      <c r="S250" s="2"/>
    </row>
    <row r="251">
      <c r="A251" s="2"/>
      <c r="B251" s="2"/>
      <c r="C251" s="2"/>
      <c r="D251" s="2"/>
      <c r="E251" s="2"/>
      <c r="F251" s="2"/>
      <c r="G251" s="2"/>
      <c r="H251" s="2"/>
      <c r="I251" s="2"/>
      <c r="J251" s="2"/>
      <c r="K251" s="2"/>
      <c r="L251" s="2"/>
      <c r="M251" s="2"/>
      <c r="N251" s="2"/>
      <c r="O251" s="2"/>
      <c r="P251" s="2"/>
      <c r="Q251" s="2"/>
      <c r="R251" s="2"/>
      <c r="S251" s="2"/>
    </row>
    <row r="252">
      <c r="A252" s="2"/>
      <c r="B252" s="2"/>
      <c r="C252" s="2"/>
      <c r="D252" s="2"/>
      <c r="E252" s="2"/>
      <c r="F252" s="2"/>
      <c r="G252" s="2"/>
      <c r="H252" s="2"/>
      <c r="I252" s="2"/>
      <c r="J252" s="2"/>
      <c r="K252" s="2"/>
      <c r="L252" s="2"/>
      <c r="M252" s="2"/>
      <c r="N252" s="2"/>
      <c r="O252" s="2"/>
      <c r="P252" s="2"/>
      <c r="Q252" s="2"/>
      <c r="R252" s="2"/>
      <c r="S252" s="2"/>
    </row>
    <row r="253">
      <c r="A253" s="2"/>
      <c r="B253" s="2"/>
      <c r="C253" s="2"/>
      <c r="D253" s="2"/>
      <c r="E253" s="2"/>
      <c r="F253" s="2"/>
      <c r="G253" s="2"/>
      <c r="H253" s="2"/>
      <c r="I253" s="2"/>
      <c r="J253" s="2"/>
      <c r="K253" s="2"/>
      <c r="L253" s="2"/>
      <c r="M253" s="2"/>
      <c r="N253" s="2"/>
      <c r="O253" s="2"/>
      <c r="P253" s="2"/>
      <c r="Q253" s="2"/>
      <c r="R253" s="2"/>
      <c r="S253" s="2"/>
    </row>
    <row r="254">
      <c r="A254" s="2"/>
      <c r="B254" s="2"/>
      <c r="C254" s="2"/>
      <c r="D254" s="2"/>
      <c r="E254" s="2"/>
      <c r="F254" s="2"/>
      <c r="G254" s="2"/>
      <c r="H254" s="2"/>
      <c r="I254" s="2"/>
      <c r="J254" s="2"/>
      <c r="K254" s="2"/>
      <c r="L254" s="2"/>
      <c r="M254" s="2"/>
      <c r="N254" s="2"/>
      <c r="O254" s="2"/>
      <c r="P254" s="2"/>
      <c r="Q254" s="2"/>
      <c r="R254" s="2"/>
      <c r="S254" s="2"/>
    </row>
    <row r="255">
      <c r="A255" s="2"/>
      <c r="B255" s="2"/>
      <c r="C255" s="2"/>
      <c r="D255" s="2"/>
      <c r="E255" s="2"/>
      <c r="F255" s="2"/>
      <c r="G255" s="2"/>
      <c r="H255" s="2"/>
      <c r="I255" s="2"/>
      <c r="J255" s="2"/>
      <c r="K255" s="2"/>
      <c r="L255" s="2"/>
      <c r="M255" s="2"/>
      <c r="N255" s="2"/>
      <c r="O255" s="2"/>
      <c r="P255" s="2"/>
      <c r="Q255" s="2"/>
      <c r="R255" s="2"/>
      <c r="S255" s="2"/>
    </row>
    <row r="256">
      <c r="A256" s="2"/>
      <c r="B256" s="2"/>
      <c r="C256" s="2"/>
      <c r="D256" s="2"/>
      <c r="E256" s="2"/>
      <c r="F256" s="2"/>
      <c r="G256" s="2"/>
      <c r="H256" s="2"/>
      <c r="I256" s="2"/>
      <c r="J256" s="2"/>
      <c r="K256" s="2"/>
      <c r="L256" s="2"/>
      <c r="M256" s="2"/>
      <c r="N256" s="2"/>
      <c r="O256" s="2"/>
      <c r="P256" s="2"/>
      <c r="Q256" s="2"/>
      <c r="R256" s="2"/>
      <c r="S256" s="2"/>
    </row>
    <row r="257">
      <c r="A257" s="2"/>
      <c r="B257" s="2"/>
      <c r="C257" s="2"/>
      <c r="D257" s="2"/>
      <c r="E257" s="2"/>
      <c r="F257" s="2"/>
      <c r="G257" s="2"/>
      <c r="H257" s="2"/>
      <c r="I257" s="2"/>
      <c r="J257" s="2"/>
      <c r="K257" s="2"/>
      <c r="L257" s="2"/>
      <c r="M257" s="2"/>
      <c r="N257" s="2"/>
      <c r="O257" s="2"/>
      <c r="P257" s="2"/>
      <c r="Q257" s="2"/>
      <c r="R257" s="2"/>
      <c r="S257" s="2"/>
    </row>
    <row r="258">
      <c r="A258" s="2"/>
      <c r="B258" s="2"/>
      <c r="C258" s="2"/>
      <c r="D258" s="2"/>
      <c r="E258" s="2"/>
      <c r="F258" s="2"/>
      <c r="G258" s="2"/>
      <c r="H258" s="2"/>
      <c r="I258" s="2"/>
      <c r="J258" s="2"/>
      <c r="K258" s="2"/>
      <c r="L258" s="2"/>
      <c r="M258" s="2"/>
      <c r="N258" s="2"/>
      <c r="O258" s="2"/>
      <c r="P258" s="2"/>
      <c r="Q258" s="2"/>
      <c r="R258" s="2"/>
      <c r="S258" s="2"/>
    </row>
    <row r="259">
      <c r="A259" s="2"/>
      <c r="B259" s="2"/>
      <c r="C259" s="2"/>
      <c r="D259" s="2"/>
      <c r="E259" s="2"/>
      <c r="F259" s="2"/>
      <c r="G259" s="2"/>
      <c r="H259" s="2"/>
      <c r="I259" s="2"/>
      <c r="J259" s="2"/>
      <c r="K259" s="2"/>
      <c r="L259" s="2"/>
      <c r="M259" s="2"/>
      <c r="N259" s="2"/>
      <c r="O259" s="2"/>
      <c r="P259" s="2"/>
      <c r="Q259" s="2"/>
      <c r="R259" s="2"/>
      <c r="S259" s="2"/>
    </row>
    <row r="260">
      <c r="A260" s="2"/>
      <c r="B260" s="2"/>
      <c r="C260" s="2"/>
      <c r="D260" s="2"/>
      <c r="E260" s="2"/>
      <c r="F260" s="2"/>
      <c r="G260" s="2"/>
      <c r="H260" s="2"/>
      <c r="I260" s="2"/>
      <c r="J260" s="2"/>
      <c r="K260" s="2"/>
      <c r="L260" s="2"/>
      <c r="M260" s="2"/>
      <c r="N260" s="2"/>
      <c r="O260" s="2"/>
      <c r="P260" s="2"/>
      <c r="Q260" s="2"/>
      <c r="R260" s="2"/>
      <c r="S260" s="2"/>
    </row>
    <row r="261">
      <c r="A261" s="2"/>
      <c r="B261" s="2"/>
      <c r="C261" s="2"/>
      <c r="D261" s="2"/>
      <c r="E261" s="2"/>
      <c r="F261" s="2"/>
      <c r="G261" s="2"/>
      <c r="H261" s="2"/>
      <c r="I261" s="2"/>
      <c r="J261" s="2"/>
      <c r="K261" s="2"/>
      <c r="L261" s="2"/>
      <c r="M261" s="2"/>
      <c r="N261" s="2"/>
      <c r="O261" s="2"/>
      <c r="P261" s="2"/>
      <c r="Q261" s="2"/>
      <c r="R261" s="2"/>
      <c r="S261" s="2"/>
    </row>
    <row r="262">
      <c r="A262" s="2"/>
      <c r="B262" s="2"/>
      <c r="C262" s="2"/>
      <c r="D262" s="2"/>
      <c r="E262" s="2"/>
      <c r="F262" s="2"/>
      <c r="G262" s="2"/>
      <c r="H262" s="2"/>
      <c r="I262" s="2"/>
      <c r="J262" s="2"/>
      <c r="K262" s="2"/>
      <c r="L262" s="2"/>
      <c r="M262" s="2"/>
      <c r="N262" s="2"/>
      <c r="O262" s="2"/>
      <c r="P262" s="2"/>
      <c r="Q262" s="2"/>
      <c r="R262" s="2"/>
      <c r="S262" s="2"/>
    </row>
    <row r="263">
      <c r="A263" s="2"/>
      <c r="B263" s="2"/>
      <c r="C263" s="2"/>
      <c r="D263" s="2"/>
      <c r="E263" s="2"/>
      <c r="F263" s="2"/>
      <c r="G263" s="2"/>
      <c r="H263" s="2"/>
      <c r="I263" s="2"/>
      <c r="J263" s="2"/>
      <c r="K263" s="2"/>
      <c r="L263" s="2"/>
      <c r="M263" s="2"/>
      <c r="N263" s="2"/>
      <c r="O263" s="2"/>
      <c r="P263" s="2"/>
      <c r="Q263" s="2"/>
      <c r="R263" s="2"/>
      <c r="S263" s="2"/>
    </row>
    <row r="264">
      <c r="A264" s="2"/>
      <c r="B264" s="2"/>
      <c r="C264" s="2"/>
      <c r="D264" s="2"/>
      <c r="E264" s="2"/>
      <c r="F264" s="2"/>
      <c r="G264" s="2"/>
      <c r="H264" s="2"/>
      <c r="I264" s="2"/>
      <c r="J264" s="2"/>
      <c r="K264" s="2"/>
      <c r="L264" s="2"/>
      <c r="M264" s="2"/>
      <c r="N264" s="2"/>
      <c r="O264" s="2"/>
      <c r="P264" s="2"/>
      <c r="Q264" s="2"/>
      <c r="R264" s="2"/>
      <c r="S264" s="2"/>
    </row>
    <row r="265">
      <c r="A265" s="2"/>
      <c r="B265" s="2"/>
      <c r="C265" s="2"/>
      <c r="D265" s="2"/>
      <c r="E265" s="2"/>
      <c r="F265" s="2"/>
      <c r="G265" s="2"/>
      <c r="H265" s="2"/>
      <c r="I265" s="2"/>
      <c r="J265" s="2"/>
      <c r="K265" s="2"/>
      <c r="L265" s="2"/>
      <c r="M265" s="2"/>
      <c r="N265" s="2"/>
      <c r="O265" s="2"/>
      <c r="P265" s="2"/>
      <c r="Q265" s="2"/>
      <c r="R265" s="2"/>
      <c r="S265" s="2"/>
    </row>
    <row r="266">
      <c r="A266" s="2"/>
      <c r="B266" s="2"/>
      <c r="C266" s="2"/>
      <c r="D266" s="2"/>
      <c r="E266" s="2"/>
      <c r="F266" s="2"/>
      <c r="G266" s="2"/>
      <c r="H266" s="2"/>
      <c r="I266" s="2"/>
      <c r="J266" s="2"/>
      <c r="K266" s="2"/>
      <c r="L266" s="2"/>
      <c r="M266" s="2"/>
      <c r="N266" s="2"/>
      <c r="O266" s="2"/>
      <c r="P266" s="2"/>
      <c r="Q266" s="2"/>
      <c r="R266" s="2"/>
      <c r="S266" s="2"/>
    </row>
    <row r="267">
      <c r="A267" s="2"/>
      <c r="B267" s="2"/>
      <c r="C267" s="2"/>
      <c r="D267" s="2"/>
      <c r="E267" s="2"/>
      <c r="F267" s="2"/>
      <c r="G267" s="2"/>
      <c r="H267" s="2"/>
      <c r="I267" s="2"/>
      <c r="J267" s="2"/>
      <c r="K267" s="2"/>
      <c r="L267" s="2"/>
      <c r="M267" s="2"/>
      <c r="N267" s="2"/>
      <c r="O267" s="2"/>
      <c r="P267" s="2"/>
      <c r="Q267" s="2"/>
      <c r="R267" s="2"/>
      <c r="S267" s="2"/>
    </row>
    <row r="268">
      <c r="A268" s="2"/>
      <c r="B268" s="2"/>
      <c r="C268" s="2"/>
      <c r="D268" s="2"/>
      <c r="E268" s="2"/>
      <c r="F268" s="2"/>
      <c r="G268" s="2"/>
      <c r="H268" s="2"/>
      <c r="I268" s="2"/>
      <c r="J268" s="2"/>
      <c r="K268" s="2"/>
      <c r="L268" s="2"/>
      <c r="M268" s="2"/>
      <c r="N268" s="2"/>
      <c r="O268" s="2"/>
      <c r="P268" s="2"/>
      <c r="Q268" s="2"/>
      <c r="R268" s="2"/>
      <c r="S268" s="2"/>
    </row>
    <row r="269">
      <c r="A269" s="2"/>
      <c r="B269" s="2"/>
      <c r="C269" s="2"/>
      <c r="D269" s="2"/>
      <c r="E269" s="2"/>
      <c r="F269" s="2"/>
      <c r="G269" s="2"/>
      <c r="H269" s="2"/>
      <c r="I269" s="2"/>
      <c r="J269" s="2"/>
      <c r="K269" s="2"/>
      <c r="L269" s="2"/>
      <c r="M269" s="2"/>
      <c r="N269" s="2"/>
      <c r="O269" s="2"/>
      <c r="P269" s="2"/>
      <c r="Q269" s="2"/>
      <c r="R269" s="2"/>
      <c r="S269" s="2"/>
    </row>
    <row r="270">
      <c r="A270" s="2"/>
      <c r="B270" s="2"/>
      <c r="C270" s="2"/>
      <c r="D270" s="2"/>
      <c r="E270" s="2"/>
      <c r="F270" s="2"/>
      <c r="G270" s="2"/>
      <c r="H270" s="2"/>
      <c r="I270" s="2"/>
      <c r="J270" s="2"/>
      <c r="K270" s="2"/>
      <c r="L270" s="2"/>
      <c r="M270" s="2"/>
      <c r="N270" s="2"/>
      <c r="O270" s="2"/>
      <c r="P270" s="2"/>
      <c r="Q270" s="2"/>
      <c r="R270" s="2"/>
      <c r="S270" s="2"/>
    </row>
    <row r="271">
      <c r="A271" s="2"/>
      <c r="B271" s="2"/>
      <c r="C271" s="2"/>
      <c r="D271" s="2"/>
      <c r="E271" s="2"/>
      <c r="F271" s="2"/>
      <c r="G271" s="2"/>
      <c r="H271" s="2"/>
      <c r="I271" s="2"/>
      <c r="J271" s="2"/>
      <c r="K271" s="2"/>
      <c r="L271" s="2"/>
      <c r="M271" s="2"/>
      <c r="N271" s="2"/>
      <c r="O271" s="2"/>
      <c r="P271" s="2"/>
      <c r="Q271" s="2"/>
      <c r="R271" s="2"/>
      <c r="S271" s="2"/>
    </row>
    <row r="272">
      <c r="A272" s="2"/>
      <c r="B272" s="2"/>
      <c r="C272" s="2"/>
      <c r="D272" s="2"/>
      <c r="E272" s="2"/>
      <c r="F272" s="2"/>
      <c r="G272" s="2"/>
      <c r="H272" s="2"/>
      <c r="I272" s="2"/>
      <c r="J272" s="2"/>
      <c r="K272" s="2"/>
      <c r="L272" s="2"/>
      <c r="M272" s="2"/>
      <c r="N272" s="2"/>
      <c r="O272" s="2"/>
      <c r="P272" s="2"/>
      <c r="Q272" s="2"/>
      <c r="R272" s="2"/>
      <c r="S272" s="2"/>
    </row>
    <row r="273">
      <c r="A273" s="2"/>
      <c r="B273" s="2"/>
      <c r="C273" s="2"/>
      <c r="D273" s="2"/>
      <c r="E273" s="2"/>
      <c r="F273" s="2"/>
      <c r="G273" s="2"/>
      <c r="H273" s="2"/>
      <c r="I273" s="2"/>
      <c r="J273" s="2"/>
      <c r="K273" s="2"/>
      <c r="L273" s="2"/>
      <c r="M273" s="2"/>
      <c r="N273" s="2"/>
      <c r="O273" s="2"/>
      <c r="P273" s="2"/>
      <c r="Q273" s="2"/>
      <c r="R273" s="2"/>
      <c r="S273" s="2"/>
    </row>
    <row r="274">
      <c r="A274" s="2"/>
      <c r="B274" s="2"/>
      <c r="C274" s="2"/>
      <c r="D274" s="2"/>
      <c r="E274" s="2"/>
      <c r="F274" s="2"/>
      <c r="G274" s="2"/>
      <c r="H274" s="2"/>
      <c r="I274" s="2"/>
      <c r="J274" s="2"/>
      <c r="K274" s="2"/>
      <c r="L274" s="2"/>
      <c r="M274" s="2"/>
      <c r="N274" s="2"/>
      <c r="O274" s="2"/>
      <c r="P274" s="2"/>
      <c r="Q274" s="2"/>
      <c r="R274" s="2"/>
      <c r="S274" s="2"/>
    </row>
    <row r="275">
      <c r="A275" s="2"/>
      <c r="B275" s="2"/>
      <c r="C275" s="2"/>
      <c r="D275" s="2"/>
      <c r="E275" s="2"/>
      <c r="F275" s="2"/>
      <c r="G275" s="2"/>
      <c r="H275" s="2"/>
      <c r="I275" s="2"/>
      <c r="J275" s="2"/>
      <c r="K275" s="2"/>
      <c r="L275" s="2"/>
      <c r="M275" s="2"/>
      <c r="N275" s="2"/>
      <c r="O275" s="2"/>
      <c r="P275" s="2"/>
      <c r="Q275" s="2"/>
      <c r="R275" s="2"/>
      <c r="S275" s="2"/>
    </row>
    <row r="276">
      <c r="A276" s="2"/>
      <c r="B276" s="2"/>
      <c r="C276" s="2"/>
      <c r="D276" s="2"/>
      <c r="E276" s="2"/>
      <c r="F276" s="2"/>
      <c r="G276" s="2"/>
      <c r="H276" s="2"/>
      <c r="I276" s="2"/>
      <c r="J276" s="2"/>
      <c r="K276" s="2"/>
      <c r="L276" s="2"/>
      <c r="M276" s="2"/>
      <c r="N276" s="2"/>
      <c r="O276" s="2"/>
      <c r="P276" s="2"/>
      <c r="Q276" s="2"/>
      <c r="R276" s="2"/>
      <c r="S276" s="2"/>
    </row>
    <row r="277">
      <c r="A277" s="2"/>
      <c r="B277" s="2"/>
      <c r="C277" s="2"/>
      <c r="D277" s="2"/>
      <c r="E277" s="2"/>
      <c r="F277" s="2"/>
      <c r="G277" s="2"/>
      <c r="H277" s="2"/>
      <c r="I277" s="2"/>
      <c r="J277" s="2"/>
      <c r="K277" s="2"/>
      <c r="L277" s="2"/>
      <c r="M277" s="2"/>
      <c r="N277" s="2"/>
      <c r="O277" s="2"/>
      <c r="P277" s="2"/>
      <c r="Q277" s="2"/>
      <c r="R277" s="2"/>
      <c r="S277" s="2"/>
    </row>
    <row r="278">
      <c r="A278" s="2"/>
      <c r="B278" s="2"/>
      <c r="C278" s="2"/>
      <c r="D278" s="2"/>
      <c r="E278" s="2"/>
      <c r="F278" s="2"/>
      <c r="G278" s="2"/>
      <c r="H278" s="2"/>
      <c r="I278" s="2"/>
      <c r="J278" s="2"/>
      <c r="K278" s="2"/>
      <c r="L278" s="2"/>
      <c r="M278" s="2"/>
      <c r="N278" s="2"/>
      <c r="O278" s="2"/>
      <c r="P278" s="2"/>
      <c r="Q278" s="2"/>
      <c r="R278" s="2"/>
      <c r="S278" s="2"/>
    </row>
    <row r="279">
      <c r="A279" s="2"/>
      <c r="B279" s="2"/>
      <c r="C279" s="2"/>
      <c r="D279" s="2"/>
      <c r="E279" s="2"/>
      <c r="F279" s="2"/>
      <c r="G279" s="2"/>
      <c r="H279" s="2"/>
      <c r="I279" s="2"/>
      <c r="J279" s="2"/>
      <c r="K279" s="2"/>
      <c r="L279" s="2"/>
      <c r="M279" s="2"/>
      <c r="N279" s="2"/>
      <c r="O279" s="2"/>
      <c r="P279" s="2"/>
      <c r="Q279" s="2"/>
      <c r="R279" s="2"/>
      <c r="S279" s="2"/>
    </row>
    <row r="280">
      <c r="A280" s="2"/>
      <c r="B280" s="2"/>
      <c r="C280" s="2"/>
      <c r="D280" s="2"/>
      <c r="E280" s="2"/>
      <c r="F280" s="2"/>
      <c r="G280" s="2"/>
      <c r="H280" s="2"/>
      <c r="I280" s="2"/>
      <c r="J280" s="2"/>
      <c r="K280" s="2"/>
      <c r="L280" s="2"/>
      <c r="M280" s="2"/>
      <c r="N280" s="2"/>
      <c r="O280" s="2"/>
      <c r="P280" s="2"/>
      <c r="Q280" s="2"/>
      <c r="R280" s="2"/>
      <c r="S280" s="2"/>
    </row>
    <row r="281">
      <c r="A281" s="2"/>
      <c r="B281" s="2"/>
      <c r="C281" s="2"/>
      <c r="D281" s="2"/>
      <c r="E281" s="2"/>
      <c r="F281" s="2"/>
      <c r="G281" s="2"/>
      <c r="H281" s="2"/>
      <c r="I281" s="2"/>
      <c r="J281" s="2"/>
      <c r="K281" s="2"/>
      <c r="L281" s="2"/>
      <c r="M281" s="2"/>
      <c r="N281" s="2"/>
      <c r="O281" s="2"/>
      <c r="P281" s="2"/>
      <c r="Q281" s="2"/>
      <c r="R281" s="2"/>
      <c r="S281" s="2"/>
    </row>
    <row r="282">
      <c r="A282" s="2"/>
      <c r="B282" s="2"/>
      <c r="C282" s="2"/>
      <c r="D282" s="2"/>
      <c r="E282" s="2"/>
      <c r="F282" s="2"/>
      <c r="G282" s="2"/>
      <c r="H282" s="2"/>
      <c r="I282" s="2"/>
      <c r="J282" s="2"/>
      <c r="K282" s="2"/>
      <c r="L282" s="2"/>
      <c r="M282" s="2"/>
      <c r="N282" s="2"/>
      <c r="O282" s="2"/>
      <c r="P282" s="2"/>
      <c r="Q282" s="2"/>
      <c r="R282" s="2"/>
      <c r="S282" s="2"/>
    </row>
    <row r="283">
      <c r="A283" s="2"/>
      <c r="B283" s="2"/>
      <c r="C283" s="2"/>
      <c r="D283" s="2"/>
      <c r="E283" s="2"/>
      <c r="F283" s="2"/>
      <c r="G283" s="2"/>
      <c r="H283" s="2"/>
      <c r="I283" s="2"/>
      <c r="J283" s="2"/>
      <c r="K283" s="2"/>
      <c r="L283" s="2"/>
      <c r="M283" s="2"/>
      <c r="N283" s="2"/>
      <c r="O283" s="2"/>
      <c r="P283" s="2"/>
      <c r="Q283" s="2"/>
      <c r="R283" s="2"/>
      <c r="S283" s="2"/>
    </row>
    <row r="284">
      <c r="A284" s="2"/>
      <c r="B284" s="2"/>
      <c r="C284" s="2"/>
      <c r="D284" s="2"/>
      <c r="E284" s="2"/>
      <c r="F284" s="2"/>
      <c r="G284" s="2"/>
      <c r="H284" s="2"/>
      <c r="I284" s="2"/>
      <c r="J284" s="2"/>
      <c r="K284" s="2"/>
      <c r="L284" s="2"/>
      <c r="M284" s="2"/>
      <c r="N284" s="2"/>
      <c r="O284" s="2"/>
      <c r="P284" s="2"/>
      <c r="Q284" s="2"/>
      <c r="R284" s="2"/>
      <c r="S284" s="2"/>
    </row>
    <row r="285">
      <c r="A285" s="2"/>
      <c r="B285" s="2"/>
      <c r="C285" s="2"/>
      <c r="D285" s="2"/>
      <c r="E285" s="2"/>
      <c r="F285" s="2"/>
      <c r="G285" s="2"/>
      <c r="H285" s="2"/>
      <c r="I285" s="2"/>
      <c r="J285" s="2"/>
      <c r="K285" s="2"/>
      <c r="L285" s="2"/>
      <c r="M285" s="2"/>
      <c r="N285" s="2"/>
      <c r="O285" s="2"/>
      <c r="P285" s="2"/>
      <c r="Q285" s="2"/>
      <c r="R285" s="2"/>
      <c r="S285" s="2"/>
    </row>
    <row r="286">
      <c r="A286" s="2"/>
      <c r="B286" s="2"/>
      <c r="C286" s="2"/>
      <c r="D286" s="2"/>
      <c r="E286" s="2"/>
      <c r="F286" s="2"/>
      <c r="G286" s="2"/>
      <c r="H286" s="2"/>
      <c r="I286" s="2"/>
      <c r="J286" s="2"/>
      <c r="K286" s="2"/>
      <c r="L286" s="2"/>
      <c r="M286" s="2"/>
      <c r="N286" s="2"/>
      <c r="O286" s="2"/>
      <c r="P286" s="2"/>
      <c r="Q286" s="2"/>
      <c r="R286" s="2"/>
      <c r="S286" s="2"/>
    </row>
    <row r="287">
      <c r="A287" s="2"/>
      <c r="B287" s="2"/>
      <c r="C287" s="2"/>
      <c r="D287" s="2"/>
      <c r="E287" s="2"/>
      <c r="F287" s="2"/>
      <c r="G287" s="2"/>
      <c r="H287" s="2"/>
      <c r="I287" s="2"/>
      <c r="J287" s="2"/>
      <c r="K287" s="2"/>
      <c r="L287" s="2"/>
      <c r="M287" s="2"/>
      <c r="N287" s="2"/>
      <c r="O287" s="2"/>
      <c r="P287" s="2"/>
      <c r="Q287" s="2"/>
      <c r="R287" s="2"/>
      <c r="S287" s="2"/>
    </row>
    <row r="288">
      <c r="A288" s="2"/>
      <c r="B288" s="2"/>
      <c r="C288" s="2"/>
      <c r="D288" s="2"/>
      <c r="E288" s="2"/>
      <c r="F288" s="2"/>
      <c r="G288" s="2"/>
      <c r="H288" s="2"/>
      <c r="I288" s="2"/>
      <c r="J288" s="2"/>
      <c r="K288" s="2"/>
      <c r="L288" s="2"/>
      <c r="M288" s="2"/>
      <c r="N288" s="2"/>
      <c r="O288" s="2"/>
      <c r="P288" s="2"/>
      <c r="Q288" s="2"/>
      <c r="R288" s="2"/>
      <c r="S288" s="2"/>
    </row>
    <row r="289">
      <c r="A289" s="2"/>
      <c r="B289" s="2"/>
      <c r="C289" s="2"/>
      <c r="D289" s="2"/>
      <c r="E289" s="2"/>
      <c r="F289" s="2"/>
      <c r="G289" s="2"/>
      <c r="H289" s="2"/>
      <c r="I289" s="2"/>
      <c r="J289" s="2"/>
      <c r="K289" s="2"/>
      <c r="L289" s="2"/>
      <c r="M289" s="2"/>
      <c r="N289" s="2"/>
      <c r="O289" s="2"/>
      <c r="P289" s="2"/>
      <c r="Q289" s="2"/>
      <c r="R289" s="2"/>
      <c r="S289" s="2"/>
    </row>
    <row r="290">
      <c r="A290" s="2"/>
      <c r="B290" s="2"/>
      <c r="C290" s="2"/>
      <c r="D290" s="2"/>
      <c r="E290" s="2"/>
      <c r="F290" s="2"/>
      <c r="G290" s="2"/>
      <c r="H290" s="2"/>
      <c r="I290" s="2"/>
      <c r="J290" s="2"/>
      <c r="K290" s="2"/>
      <c r="L290" s="2"/>
      <c r="M290" s="2"/>
      <c r="N290" s="2"/>
      <c r="O290" s="2"/>
      <c r="P290" s="2"/>
      <c r="Q290" s="2"/>
      <c r="R290" s="2"/>
      <c r="S290" s="2"/>
    </row>
    <row r="291">
      <c r="A291" s="2"/>
      <c r="B291" s="2"/>
      <c r="C291" s="2"/>
      <c r="D291" s="2"/>
      <c r="E291" s="2"/>
      <c r="F291" s="2"/>
      <c r="G291" s="2"/>
      <c r="H291" s="2"/>
      <c r="I291" s="2"/>
      <c r="J291" s="2"/>
      <c r="K291" s="2"/>
      <c r="L291" s="2"/>
      <c r="M291" s="2"/>
      <c r="N291" s="2"/>
      <c r="O291" s="2"/>
      <c r="P291" s="2"/>
      <c r="Q291" s="2"/>
      <c r="R291" s="2"/>
      <c r="S291" s="2"/>
    </row>
    <row r="292">
      <c r="A292" s="2"/>
      <c r="B292" s="2"/>
      <c r="C292" s="2"/>
      <c r="D292" s="2"/>
      <c r="E292" s="2"/>
      <c r="F292" s="2"/>
      <c r="G292" s="2"/>
      <c r="H292" s="2"/>
      <c r="I292" s="2"/>
      <c r="J292" s="2"/>
      <c r="K292" s="2"/>
      <c r="L292" s="2"/>
      <c r="M292" s="2"/>
      <c r="N292" s="2"/>
      <c r="O292" s="2"/>
      <c r="P292" s="2"/>
      <c r="Q292" s="2"/>
      <c r="R292" s="2"/>
      <c r="S292" s="2"/>
    </row>
    <row r="293">
      <c r="A293" s="2"/>
      <c r="B293" s="2"/>
      <c r="C293" s="2"/>
      <c r="D293" s="2"/>
      <c r="E293" s="2"/>
      <c r="F293" s="2"/>
      <c r="G293" s="2"/>
      <c r="H293" s="2"/>
      <c r="I293" s="2"/>
      <c r="J293" s="2"/>
      <c r="K293" s="2"/>
      <c r="L293" s="2"/>
      <c r="M293" s="2"/>
      <c r="N293" s="2"/>
      <c r="O293" s="2"/>
      <c r="P293" s="2"/>
      <c r="Q293" s="2"/>
      <c r="R293" s="2"/>
      <c r="S293" s="2"/>
    </row>
    <row r="294">
      <c r="A294" s="2"/>
      <c r="B294" s="2"/>
      <c r="C294" s="2"/>
      <c r="D294" s="2"/>
      <c r="E294" s="2"/>
      <c r="F294" s="2"/>
      <c r="G294" s="2"/>
      <c r="H294" s="2"/>
      <c r="I294" s="2"/>
      <c r="J294" s="2"/>
      <c r="K294" s="2"/>
      <c r="L294" s="2"/>
      <c r="M294" s="2"/>
      <c r="N294" s="2"/>
      <c r="O294" s="2"/>
      <c r="P294" s="2"/>
      <c r="Q294" s="2"/>
      <c r="R294" s="2"/>
      <c r="S294" s="2"/>
    </row>
    <row r="295">
      <c r="A295" s="2"/>
      <c r="B295" s="2"/>
      <c r="C295" s="2"/>
      <c r="D295" s="2"/>
      <c r="E295" s="2"/>
      <c r="F295" s="2"/>
      <c r="G295" s="2"/>
      <c r="H295" s="2"/>
      <c r="I295" s="2"/>
      <c r="J295" s="2"/>
      <c r="K295" s="2"/>
      <c r="L295" s="2"/>
      <c r="M295" s="2"/>
      <c r="N295" s="2"/>
      <c r="O295" s="2"/>
      <c r="P295" s="2"/>
      <c r="Q295" s="2"/>
      <c r="R295" s="2"/>
      <c r="S295" s="2"/>
    </row>
    <row r="296">
      <c r="A296" s="2"/>
      <c r="B296" s="2"/>
      <c r="C296" s="2"/>
      <c r="D296" s="2"/>
      <c r="E296" s="2"/>
      <c r="F296" s="2"/>
      <c r="G296" s="2"/>
      <c r="H296" s="2"/>
      <c r="I296" s="2"/>
      <c r="J296" s="2"/>
      <c r="K296" s="2"/>
      <c r="L296" s="2"/>
      <c r="M296" s="2"/>
      <c r="N296" s="2"/>
      <c r="O296" s="2"/>
      <c r="P296" s="2"/>
      <c r="Q296" s="2"/>
      <c r="R296" s="2"/>
      <c r="S296" s="2"/>
    </row>
    <row r="297">
      <c r="A297" s="2"/>
      <c r="B297" s="2"/>
      <c r="C297" s="2"/>
      <c r="D297" s="2"/>
      <c r="E297" s="2"/>
      <c r="F297" s="2"/>
      <c r="G297" s="2"/>
      <c r="H297" s="2"/>
      <c r="I297" s="2"/>
      <c r="J297" s="2"/>
      <c r="K297" s="2"/>
      <c r="L297" s="2"/>
      <c r="M297" s="2"/>
      <c r="N297" s="2"/>
      <c r="O297" s="2"/>
      <c r="P297" s="2"/>
      <c r="Q297" s="2"/>
      <c r="R297" s="2"/>
      <c r="S297" s="2"/>
    </row>
    <row r="298">
      <c r="A298" s="2"/>
      <c r="B298" s="2"/>
      <c r="C298" s="2"/>
      <c r="D298" s="2"/>
      <c r="E298" s="2"/>
      <c r="F298" s="2"/>
      <c r="G298" s="2"/>
      <c r="H298" s="2"/>
      <c r="I298" s="2"/>
      <c r="J298" s="2"/>
      <c r="K298" s="2"/>
      <c r="L298" s="2"/>
      <c r="M298" s="2"/>
      <c r="N298" s="2"/>
      <c r="O298" s="2"/>
      <c r="P298" s="2"/>
      <c r="Q298" s="2"/>
      <c r="R298" s="2"/>
      <c r="S298" s="2"/>
    </row>
    <row r="299">
      <c r="A299" s="2"/>
      <c r="B299" s="2"/>
      <c r="C299" s="2"/>
      <c r="D299" s="2"/>
      <c r="E299" s="2"/>
      <c r="F299" s="2"/>
      <c r="G299" s="2"/>
      <c r="H299" s="2"/>
      <c r="I299" s="2"/>
      <c r="J299" s="2"/>
      <c r="K299" s="2"/>
      <c r="L299" s="2"/>
      <c r="M299" s="2"/>
      <c r="N299" s="2"/>
      <c r="O299" s="2"/>
      <c r="P299" s="2"/>
      <c r="Q299" s="2"/>
      <c r="R299" s="2"/>
      <c r="S299" s="2"/>
    </row>
    <row r="300">
      <c r="A300" s="2"/>
      <c r="B300" s="2"/>
      <c r="C300" s="2"/>
      <c r="D300" s="2"/>
      <c r="E300" s="2"/>
      <c r="F300" s="2"/>
      <c r="G300" s="2"/>
      <c r="H300" s="2"/>
      <c r="I300" s="2"/>
      <c r="J300" s="2"/>
      <c r="K300" s="2"/>
      <c r="L300" s="2"/>
      <c r="M300" s="2"/>
      <c r="N300" s="2"/>
      <c r="O300" s="2"/>
      <c r="P300" s="2"/>
      <c r="Q300" s="2"/>
      <c r="R300" s="2"/>
      <c r="S300" s="2"/>
    </row>
    <row r="301">
      <c r="A301" s="2"/>
      <c r="B301" s="2"/>
      <c r="C301" s="2"/>
      <c r="D301" s="2"/>
      <c r="E301" s="2"/>
      <c r="F301" s="2"/>
      <c r="G301" s="2"/>
      <c r="H301" s="2"/>
      <c r="I301" s="2"/>
      <c r="J301" s="2"/>
      <c r="K301" s="2"/>
      <c r="L301" s="2"/>
      <c r="M301" s="2"/>
      <c r="N301" s="2"/>
      <c r="O301" s="2"/>
      <c r="P301" s="2"/>
      <c r="Q301" s="2"/>
      <c r="R301" s="2"/>
      <c r="S301" s="2"/>
    </row>
    <row r="302">
      <c r="A302" s="2"/>
      <c r="B302" s="2"/>
      <c r="C302" s="2"/>
      <c r="D302" s="2"/>
      <c r="E302" s="2"/>
      <c r="F302" s="2"/>
      <c r="G302" s="2"/>
      <c r="H302" s="2"/>
      <c r="I302" s="2"/>
      <c r="J302" s="2"/>
      <c r="K302" s="2"/>
      <c r="L302" s="2"/>
      <c r="M302" s="2"/>
      <c r="N302" s="2"/>
      <c r="O302" s="2"/>
      <c r="P302" s="2"/>
      <c r="Q302" s="2"/>
      <c r="R302" s="2"/>
      <c r="S302" s="2"/>
    </row>
    <row r="303">
      <c r="A303" s="2"/>
      <c r="B303" s="2"/>
      <c r="C303" s="2"/>
      <c r="D303" s="2"/>
      <c r="E303" s="2"/>
      <c r="F303" s="2"/>
      <c r="G303" s="2"/>
      <c r="H303" s="2"/>
      <c r="I303" s="2"/>
      <c r="J303" s="2"/>
      <c r="K303" s="2"/>
      <c r="L303" s="2"/>
      <c r="M303" s="2"/>
      <c r="N303" s="2"/>
      <c r="O303" s="2"/>
      <c r="P303" s="2"/>
      <c r="Q303" s="2"/>
      <c r="R303" s="2"/>
      <c r="S303" s="2"/>
    </row>
    <row r="304">
      <c r="A304" s="2"/>
      <c r="B304" s="2"/>
      <c r="C304" s="2"/>
      <c r="D304" s="2"/>
      <c r="E304" s="2"/>
      <c r="F304" s="2"/>
      <c r="G304" s="2"/>
      <c r="H304" s="2"/>
      <c r="I304" s="2"/>
      <c r="J304" s="2"/>
      <c r="K304" s="2"/>
      <c r="L304" s="2"/>
      <c r="M304" s="2"/>
      <c r="N304" s="2"/>
      <c r="O304" s="2"/>
      <c r="P304" s="2"/>
      <c r="Q304" s="2"/>
      <c r="R304" s="2"/>
      <c r="S304" s="2"/>
    </row>
    <row r="305">
      <c r="A305" s="2"/>
      <c r="B305" s="2"/>
      <c r="C305" s="2"/>
      <c r="D305" s="2"/>
      <c r="E305" s="2"/>
      <c r="F305" s="2"/>
      <c r="G305" s="2"/>
      <c r="H305" s="2"/>
      <c r="I305" s="2"/>
      <c r="J305" s="2"/>
      <c r="K305" s="2"/>
      <c r="L305" s="2"/>
      <c r="M305" s="2"/>
      <c r="N305" s="2"/>
      <c r="O305" s="2"/>
      <c r="P305" s="2"/>
      <c r="Q305" s="2"/>
      <c r="R305" s="2"/>
      <c r="S305" s="2"/>
    </row>
    <row r="306">
      <c r="A306" s="2"/>
      <c r="B306" s="2"/>
      <c r="C306" s="2"/>
      <c r="D306" s="2"/>
      <c r="E306" s="2"/>
      <c r="F306" s="2"/>
      <c r="G306" s="2"/>
      <c r="H306" s="2"/>
      <c r="I306" s="2"/>
      <c r="J306" s="2"/>
      <c r="K306" s="2"/>
      <c r="L306" s="2"/>
      <c r="M306" s="2"/>
      <c r="N306" s="2"/>
      <c r="O306" s="2"/>
      <c r="P306" s="2"/>
      <c r="Q306" s="2"/>
      <c r="R306" s="2"/>
      <c r="S306" s="2"/>
    </row>
    <row r="307">
      <c r="A307" s="2"/>
      <c r="B307" s="2"/>
      <c r="C307" s="2"/>
      <c r="D307" s="2"/>
      <c r="E307" s="2"/>
      <c r="F307" s="2"/>
      <c r="G307" s="2"/>
      <c r="H307" s="2"/>
      <c r="I307" s="2"/>
      <c r="J307" s="2"/>
      <c r="K307" s="2"/>
      <c r="L307" s="2"/>
      <c r="M307" s="2"/>
      <c r="N307" s="2"/>
      <c r="O307" s="2"/>
      <c r="P307" s="2"/>
      <c r="Q307" s="2"/>
      <c r="R307" s="2"/>
      <c r="S307" s="2"/>
    </row>
    <row r="308">
      <c r="A308" s="2"/>
      <c r="B308" s="2"/>
      <c r="C308" s="2"/>
      <c r="D308" s="2"/>
      <c r="E308" s="2"/>
      <c r="F308" s="2"/>
      <c r="G308" s="2"/>
      <c r="H308" s="2"/>
      <c r="I308" s="2"/>
      <c r="J308" s="2"/>
      <c r="K308" s="2"/>
      <c r="L308" s="2"/>
      <c r="M308" s="2"/>
      <c r="N308" s="2"/>
      <c r="O308" s="2"/>
      <c r="P308" s="2"/>
      <c r="Q308" s="2"/>
      <c r="R308" s="2"/>
      <c r="S308" s="2"/>
    </row>
    <row r="309">
      <c r="A309" s="2"/>
      <c r="B309" s="2"/>
      <c r="C309" s="2"/>
      <c r="D309" s="2"/>
      <c r="E309" s="2"/>
      <c r="F309" s="2"/>
      <c r="G309" s="2"/>
      <c r="H309" s="2"/>
      <c r="I309" s="2"/>
      <c r="J309" s="2"/>
      <c r="K309" s="2"/>
      <c r="L309" s="2"/>
      <c r="M309" s="2"/>
      <c r="N309" s="2"/>
      <c r="O309" s="2"/>
      <c r="P309" s="2"/>
      <c r="Q309" s="2"/>
      <c r="R309" s="2"/>
      <c r="S309" s="2"/>
    </row>
    <row r="310">
      <c r="A310" s="2"/>
      <c r="B310" s="2"/>
      <c r="C310" s="2"/>
      <c r="D310" s="2"/>
      <c r="E310" s="2"/>
      <c r="F310" s="2"/>
      <c r="G310" s="2"/>
      <c r="H310" s="2"/>
      <c r="I310" s="2"/>
      <c r="J310" s="2"/>
      <c r="K310" s="2"/>
      <c r="L310" s="2"/>
      <c r="M310" s="2"/>
      <c r="N310" s="2"/>
      <c r="O310" s="2"/>
      <c r="P310" s="2"/>
      <c r="Q310" s="2"/>
      <c r="R310" s="2"/>
      <c r="S310" s="2"/>
    </row>
    <row r="311">
      <c r="A311" s="2"/>
      <c r="B311" s="2"/>
      <c r="C311" s="2"/>
      <c r="D311" s="2"/>
      <c r="E311" s="2"/>
      <c r="F311" s="2"/>
      <c r="G311" s="2"/>
      <c r="H311" s="2"/>
      <c r="I311" s="2"/>
      <c r="J311" s="2"/>
      <c r="K311" s="2"/>
      <c r="L311" s="2"/>
      <c r="M311" s="2"/>
      <c r="N311" s="2"/>
      <c r="O311" s="2"/>
      <c r="P311" s="2"/>
      <c r="Q311" s="2"/>
      <c r="R311" s="2"/>
      <c r="S311" s="2"/>
    </row>
    <row r="312">
      <c r="A312" s="2"/>
      <c r="B312" s="2"/>
      <c r="C312" s="2"/>
      <c r="D312" s="2"/>
      <c r="E312" s="2"/>
      <c r="F312" s="2"/>
      <c r="G312" s="2"/>
      <c r="H312" s="2"/>
      <c r="I312" s="2"/>
      <c r="J312" s="2"/>
      <c r="K312" s="2"/>
      <c r="L312" s="2"/>
      <c r="M312" s="2"/>
      <c r="N312" s="2"/>
      <c r="O312" s="2"/>
      <c r="P312" s="2"/>
      <c r="Q312" s="2"/>
      <c r="R312" s="2"/>
      <c r="S312" s="2"/>
    </row>
    <row r="313">
      <c r="A313" s="2"/>
      <c r="B313" s="2"/>
      <c r="C313" s="2"/>
      <c r="D313" s="2"/>
      <c r="E313" s="2"/>
      <c r="F313" s="2"/>
      <c r="G313" s="2"/>
      <c r="H313" s="2"/>
      <c r="I313" s="2"/>
      <c r="J313" s="2"/>
      <c r="K313" s="2"/>
      <c r="L313" s="2"/>
      <c r="M313" s="2"/>
      <c r="N313" s="2"/>
      <c r="O313" s="2"/>
      <c r="P313" s="2"/>
      <c r="Q313" s="2"/>
      <c r="R313" s="2"/>
      <c r="S313" s="2"/>
    </row>
    <row r="314">
      <c r="A314" s="2"/>
      <c r="B314" s="2"/>
      <c r="C314" s="2"/>
      <c r="D314" s="2"/>
      <c r="E314" s="2"/>
      <c r="F314" s="2"/>
      <c r="G314" s="2"/>
      <c r="H314" s="2"/>
      <c r="I314" s="2"/>
      <c r="J314" s="2"/>
      <c r="K314" s="2"/>
      <c r="L314" s="2"/>
      <c r="M314" s="2"/>
      <c r="N314" s="2"/>
      <c r="O314" s="2"/>
      <c r="P314" s="2"/>
      <c r="Q314" s="2"/>
      <c r="R314" s="2"/>
      <c r="S314" s="2"/>
    </row>
    <row r="315">
      <c r="A315" s="2"/>
      <c r="B315" s="2"/>
      <c r="C315" s="2"/>
      <c r="D315" s="2"/>
      <c r="E315" s="2"/>
      <c r="F315" s="2"/>
      <c r="G315" s="2"/>
      <c r="H315" s="2"/>
      <c r="I315" s="2"/>
      <c r="J315" s="2"/>
      <c r="K315" s="2"/>
      <c r="L315" s="2"/>
      <c r="M315" s="2"/>
      <c r="N315" s="2"/>
      <c r="O315" s="2"/>
      <c r="P315" s="2"/>
      <c r="Q315" s="2"/>
      <c r="R315" s="2"/>
      <c r="S315" s="2"/>
    </row>
    <row r="316">
      <c r="A316" s="2"/>
      <c r="B316" s="2"/>
      <c r="C316" s="2"/>
      <c r="D316" s="2"/>
      <c r="E316" s="2"/>
      <c r="F316" s="2"/>
      <c r="G316" s="2"/>
      <c r="H316" s="2"/>
      <c r="I316" s="2"/>
      <c r="J316" s="2"/>
      <c r="K316" s="2"/>
      <c r="L316" s="2"/>
      <c r="M316" s="2"/>
      <c r="N316" s="2"/>
      <c r="O316" s="2"/>
      <c r="P316" s="2"/>
      <c r="Q316" s="2"/>
      <c r="R316" s="2"/>
      <c r="S316" s="2"/>
    </row>
    <row r="317">
      <c r="A317" s="2"/>
      <c r="B317" s="2"/>
      <c r="C317" s="2"/>
      <c r="D317" s="2"/>
      <c r="E317" s="2"/>
      <c r="F317" s="2"/>
      <c r="G317" s="2"/>
      <c r="H317" s="2"/>
      <c r="I317" s="2"/>
      <c r="J317" s="2"/>
      <c r="K317" s="2"/>
      <c r="L317" s="2"/>
      <c r="M317" s="2"/>
      <c r="N317" s="2"/>
      <c r="O317" s="2"/>
      <c r="P317" s="2"/>
      <c r="Q317" s="2"/>
      <c r="R317" s="2"/>
      <c r="S317" s="2"/>
    </row>
    <row r="318">
      <c r="A318" s="2"/>
      <c r="B318" s="2"/>
      <c r="C318" s="2"/>
      <c r="D318" s="2"/>
      <c r="E318" s="2"/>
      <c r="F318" s="2"/>
      <c r="G318" s="2"/>
      <c r="H318" s="2"/>
      <c r="I318" s="2"/>
      <c r="J318" s="2"/>
      <c r="K318" s="2"/>
      <c r="L318" s="2"/>
      <c r="M318" s="2"/>
      <c r="N318" s="2"/>
      <c r="O318" s="2"/>
      <c r="P318" s="2"/>
      <c r="Q318" s="2"/>
      <c r="R318" s="2"/>
      <c r="S318" s="2"/>
    </row>
    <row r="319">
      <c r="A319" s="2"/>
      <c r="B319" s="2"/>
      <c r="C319" s="2"/>
      <c r="D319" s="2"/>
      <c r="E319" s="2"/>
      <c r="F319" s="2"/>
      <c r="G319" s="2"/>
      <c r="H319" s="2"/>
      <c r="I319" s="2"/>
      <c r="J319" s="2"/>
      <c r="K319" s="2"/>
      <c r="L319" s="2"/>
      <c r="M319" s="2"/>
      <c r="N319" s="2"/>
      <c r="O319" s="2"/>
      <c r="P319" s="2"/>
      <c r="Q319" s="2"/>
      <c r="R319" s="2"/>
      <c r="S319" s="2"/>
    </row>
    <row r="320">
      <c r="A320" s="2"/>
      <c r="B320" s="2"/>
      <c r="C320" s="2"/>
      <c r="D320" s="2"/>
      <c r="E320" s="2"/>
      <c r="F320" s="2"/>
      <c r="G320" s="2"/>
      <c r="H320" s="2"/>
      <c r="I320" s="2"/>
      <c r="J320" s="2"/>
      <c r="K320" s="2"/>
      <c r="L320" s="2"/>
      <c r="M320" s="2"/>
      <c r="N320" s="2"/>
      <c r="O320" s="2"/>
      <c r="P320" s="2"/>
      <c r="Q320" s="2"/>
      <c r="R320" s="2"/>
      <c r="S320" s="2"/>
    </row>
    <row r="321">
      <c r="A321" s="2"/>
      <c r="B321" s="2"/>
      <c r="C321" s="2"/>
      <c r="D321" s="2"/>
      <c r="E321" s="2"/>
      <c r="F321" s="2"/>
      <c r="G321" s="2"/>
      <c r="H321" s="2"/>
      <c r="I321" s="2"/>
      <c r="J321" s="2"/>
      <c r="K321" s="2"/>
      <c r="L321" s="2"/>
      <c r="M321" s="2"/>
      <c r="N321" s="2"/>
      <c r="O321" s="2"/>
      <c r="P321" s="2"/>
      <c r="Q321" s="2"/>
      <c r="R321" s="2"/>
      <c r="S321" s="2"/>
    </row>
    <row r="322">
      <c r="A322" s="2"/>
      <c r="B322" s="2"/>
      <c r="C322" s="2"/>
      <c r="D322" s="2"/>
      <c r="E322" s="2"/>
      <c r="F322" s="2"/>
      <c r="G322" s="2"/>
      <c r="H322" s="2"/>
      <c r="I322" s="2"/>
      <c r="J322" s="2"/>
      <c r="K322" s="2"/>
      <c r="L322" s="2"/>
      <c r="M322" s="2"/>
      <c r="N322" s="2"/>
      <c r="O322" s="2"/>
      <c r="P322" s="2"/>
      <c r="Q322" s="2"/>
      <c r="R322" s="2"/>
      <c r="S322" s="2"/>
    </row>
    <row r="323">
      <c r="A323" s="2"/>
      <c r="B323" s="2"/>
      <c r="C323" s="2"/>
      <c r="D323" s="2"/>
      <c r="E323" s="2"/>
      <c r="F323" s="2"/>
      <c r="G323" s="2"/>
      <c r="H323" s="2"/>
      <c r="I323" s="2"/>
      <c r="J323" s="2"/>
      <c r="K323" s="2"/>
      <c r="L323" s="2"/>
      <c r="M323" s="2"/>
      <c r="N323" s="2"/>
      <c r="O323" s="2"/>
      <c r="P323" s="2"/>
      <c r="Q323" s="2"/>
      <c r="R323" s="2"/>
      <c r="S323" s="2"/>
    </row>
    <row r="324">
      <c r="A324" s="2"/>
      <c r="B324" s="2"/>
      <c r="C324" s="2"/>
      <c r="D324" s="2"/>
      <c r="E324" s="2"/>
      <c r="F324" s="2"/>
      <c r="G324" s="2"/>
      <c r="H324" s="2"/>
      <c r="I324" s="2"/>
      <c r="J324" s="2"/>
      <c r="K324" s="2"/>
      <c r="L324" s="2"/>
      <c r="M324" s="2"/>
      <c r="N324" s="2"/>
      <c r="O324" s="2"/>
      <c r="P324" s="2"/>
      <c r="Q324" s="2"/>
      <c r="R324" s="2"/>
      <c r="S324" s="2"/>
    </row>
    <row r="325">
      <c r="A325" s="2"/>
      <c r="B325" s="2"/>
      <c r="C325" s="2"/>
      <c r="D325" s="2"/>
      <c r="E325" s="2"/>
      <c r="F325" s="2"/>
      <c r="G325" s="2"/>
      <c r="H325" s="2"/>
      <c r="I325" s="2"/>
      <c r="J325" s="2"/>
      <c r="K325" s="2"/>
      <c r="L325" s="2"/>
      <c r="M325" s="2"/>
      <c r="N325" s="2"/>
      <c r="O325" s="2"/>
      <c r="P325" s="2"/>
      <c r="Q325" s="2"/>
      <c r="R325" s="2"/>
      <c r="S325" s="2"/>
    </row>
    <row r="326">
      <c r="A326" s="2"/>
      <c r="B326" s="2"/>
      <c r="C326" s="2"/>
      <c r="D326" s="2"/>
      <c r="E326" s="2"/>
      <c r="F326" s="2"/>
      <c r="G326" s="2"/>
      <c r="H326" s="2"/>
      <c r="I326" s="2"/>
      <c r="J326" s="2"/>
      <c r="K326" s="2"/>
      <c r="L326" s="2"/>
      <c r="M326" s="2"/>
      <c r="N326" s="2"/>
      <c r="O326" s="2"/>
      <c r="P326" s="2"/>
      <c r="Q326" s="2"/>
      <c r="R326" s="2"/>
      <c r="S326" s="2"/>
    </row>
    <row r="327">
      <c r="A327" s="2"/>
      <c r="B327" s="2"/>
      <c r="C327" s="2"/>
      <c r="D327" s="2"/>
      <c r="E327" s="2"/>
      <c r="F327" s="2"/>
      <c r="G327" s="2"/>
      <c r="H327" s="2"/>
      <c r="I327" s="2"/>
      <c r="J327" s="2"/>
      <c r="K327" s="2"/>
      <c r="L327" s="2"/>
      <c r="M327" s="2"/>
      <c r="N327" s="2"/>
      <c r="O327" s="2"/>
      <c r="P327" s="2"/>
      <c r="Q327" s="2"/>
      <c r="R327" s="2"/>
      <c r="S327" s="2"/>
    </row>
    <row r="328">
      <c r="A328" s="2"/>
      <c r="B328" s="2"/>
      <c r="C328" s="2"/>
      <c r="D328" s="2"/>
      <c r="E328" s="2"/>
      <c r="F328" s="2"/>
      <c r="G328" s="2"/>
      <c r="H328" s="2"/>
      <c r="I328" s="2"/>
      <c r="J328" s="2"/>
      <c r="K328" s="2"/>
      <c r="L328" s="2"/>
      <c r="M328" s="2"/>
      <c r="N328" s="2"/>
      <c r="O328" s="2"/>
      <c r="P328" s="2"/>
      <c r="Q328" s="2"/>
      <c r="R328" s="2"/>
      <c r="S328" s="2"/>
    </row>
    <row r="329">
      <c r="A329" s="2"/>
      <c r="B329" s="2"/>
      <c r="C329" s="2"/>
      <c r="D329" s="2"/>
      <c r="E329" s="2"/>
      <c r="F329" s="2"/>
      <c r="G329" s="2"/>
      <c r="H329" s="2"/>
      <c r="I329" s="2"/>
      <c r="J329" s="2"/>
      <c r="K329" s="2"/>
      <c r="L329" s="2"/>
      <c r="M329" s="2"/>
      <c r="N329" s="2"/>
      <c r="O329" s="2"/>
      <c r="P329" s="2"/>
      <c r="Q329" s="2"/>
      <c r="R329" s="2"/>
      <c r="S329" s="2"/>
    </row>
    <row r="330">
      <c r="A330" s="2"/>
      <c r="B330" s="2"/>
      <c r="C330" s="2"/>
      <c r="D330" s="2"/>
      <c r="E330" s="2"/>
      <c r="F330" s="2"/>
      <c r="G330" s="2"/>
      <c r="H330" s="2"/>
      <c r="I330" s="2"/>
      <c r="J330" s="2"/>
      <c r="K330" s="2"/>
      <c r="L330" s="2"/>
      <c r="M330" s="2"/>
      <c r="N330" s="2"/>
      <c r="O330" s="2"/>
      <c r="P330" s="2"/>
      <c r="Q330" s="2"/>
      <c r="R330" s="2"/>
      <c r="S330" s="2"/>
    </row>
    <row r="331">
      <c r="A331" s="2"/>
      <c r="B331" s="2"/>
      <c r="C331" s="2"/>
      <c r="D331" s="2"/>
      <c r="E331" s="2"/>
      <c r="F331" s="2"/>
      <c r="G331" s="2"/>
      <c r="H331" s="2"/>
      <c r="I331" s="2"/>
      <c r="J331" s="2"/>
      <c r="K331" s="2"/>
      <c r="L331" s="2"/>
      <c r="M331" s="2"/>
      <c r="N331" s="2"/>
      <c r="O331" s="2"/>
      <c r="P331" s="2"/>
      <c r="Q331" s="2"/>
      <c r="R331" s="2"/>
      <c r="S331" s="2"/>
    </row>
    <row r="332">
      <c r="A332" s="2"/>
      <c r="B332" s="2"/>
      <c r="C332" s="2"/>
      <c r="D332" s="2"/>
      <c r="E332" s="2"/>
      <c r="F332" s="2"/>
      <c r="G332" s="2"/>
      <c r="H332" s="2"/>
      <c r="I332" s="2"/>
      <c r="J332" s="2"/>
      <c r="K332" s="2"/>
      <c r="L332" s="2"/>
      <c r="M332" s="2"/>
      <c r="N332" s="2"/>
      <c r="O332" s="2"/>
      <c r="P332" s="2"/>
      <c r="Q332" s="2"/>
      <c r="R332" s="2"/>
      <c r="S332" s="2"/>
    </row>
    <row r="333">
      <c r="A333" s="2"/>
      <c r="B333" s="2"/>
      <c r="C333" s="2"/>
      <c r="D333" s="2"/>
      <c r="E333" s="2"/>
      <c r="F333" s="2"/>
      <c r="G333" s="2"/>
      <c r="H333" s="2"/>
      <c r="I333" s="2"/>
      <c r="J333" s="2"/>
      <c r="K333" s="2"/>
      <c r="L333" s="2"/>
      <c r="M333" s="2"/>
      <c r="N333" s="2"/>
      <c r="O333" s="2"/>
      <c r="P333" s="2"/>
      <c r="Q333" s="2"/>
      <c r="R333" s="2"/>
      <c r="S333" s="2"/>
    </row>
    <row r="334">
      <c r="A334" s="2"/>
      <c r="B334" s="2"/>
      <c r="C334" s="2"/>
      <c r="D334" s="2"/>
      <c r="E334" s="2"/>
      <c r="F334" s="2"/>
      <c r="G334" s="2"/>
      <c r="H334" s="2"/>
      <c r="I334" s="2"/>
      <c r="J334" s="2"/>
      <c r="K334" s="2"/>
      <c r="L334" s="2"/>
      <c r="M334" s="2"/>
      <c r="N334" s="2"/>
      <c r="O334" s="2"/>
      <c r="P334" s="2"/>
      <c r="Q334" s="2"/>
      <c r="R334" s="2"/>
      <c r="S334" s="2"/>
    </row>
    <row r="335">
      <c r="A335" s="2"/>
      <c r="B335" s="2"/>
      <c r="C335" s="2"/>
      <c r="D335" s="2"/>
      <c r="E335" s="2"/>
      <c r="F335" s="2"/>
      <c r="G335" s="2"/>
      <c r="H335" s="2"/>
      <c r="I335" s="2"/>
      <c r="J335" s="2"/>
      <c r="K335" s="2"/>
      <c r="L335" s="2"/>
      <c r="M335" s="2"/>
      <c r="N335" s="2"/>
      <c r="O335" s="2"/>
      <c r="P335" s="2"/>
      <c r="Q335" s="2"/>
      <c r="R335" s="2"/>
      <c r="S335" s="2"/>
    </row>
    <row r="336">
      <c r="A336" s="2"/>
      <c r="B336" s="2"/>
      <c r="C336" s="2"/>
      <c r="D336" s="2"/>
      <c r="E336" s="2"/>
      <c r="F336" s="2"/>
      <c r="G336" s="2"/>
      <c r="H336" s="2"/>
      <c r="I336" s="2"/>
      <c r="J336" s="2"/>
      <c r="K336" s="2"/>
      <c r="L336" s="2"/>
      <c r="M336" s="2"/>
      <c r="N336" s="2"/>
      <c r="O336" s="2"/>
      <c r="P336" s="2"/>
      <c r="Q336" s="2"/>
      <c r="R336" s="2"/>
      <c r="S336" s="2"/>
    </row>
    <row r="337">
      <c r="A337" s="2"/>
      <c r="B337" s="2"/>
      <c r="C337" s="2"/>
      <c r="D337" s="2"/>
      <c r="E337" s="2"/>
      <c r="F337" s="2"/>
      <c r="G337" s="2"/>
      <c r="H337" s="2"/>
      <c r="I337" s="2"/>
      <c r="J337" s="2"/>
      <c r="K337" s="2"/>
      <c r="L337" s="2"/>
      <c r="M337" s="2"/>
      <c r="N337" s="2"/>
      <c r="O337" s="2"/>
      <c r="P337" s="2"/>
      <c r="Q337" s="2"/>
      <c r="R337" s="2"/>
      <c r="S337" s="2"/>
    </row>
    <row r="338">
      <c r="A338" s="2"/>
      <c r="B338" s="2"/>
      <c r="C338" s="2"/>
      <c r="D338" s="2"/>
      <c r="E338" s="2"/>
      <c r="F338" s="2"/>
      <c r="G338" s="2"/>
      <c r="H338" s="2"/>
      <c r="I338" s="2"/>
      <c r="J338" s="2"/>
      <c r="K338" s="2"/>
      <c r="L338" s="2"/>
      <c r="M338" s="2"/>
      <c r="N338" s="2"/>
      <c r="O338" s="2"/>
      <c r="P338" s="2"/>
      <c r="Q338" s="2"/>
      <c r="R338" s="2"/>
      <c r="S338" s="2"/>
    </row>
    <row r="339">
      <c r="A339" s="2"/>
      <c r="B339" s="2"/>
      <c r="C339" s="2"/>
      <c r="D339" s="2"/>
      <c r="E339" s="2"/>
      <c r="F339" s="2"/>
      <c r="G339" s="2"/>
      <c r="H339" s="2"/>
      <c r="I339" s="2"/>
      <c r="J339" s="2"/>
      <c r="K339" s="2"/>
      <c r="L339" s="2"/>
      <c r="M339" s="2"/>
      <c r="N339" s="2"/>
      <c r="O339" s="2"/>
      <c r="P339" s="2"/>
      <c r="Q339" s="2"/>
      <c r="R339" s="2"/>
      <c r="S339" s="2"/>
    </row>
    <row r="340">
      <c r="A340" s="2"/>
      <c r="B340" s="2"/>
      <c r="C340" s="2"/>
      <c r="D340" s="2"/>
      <c r="E340" s="2"/>
      <c r="F340" s="2"/>
      <c r="G340" s="2"/>
      <c r="H340" s="2"/>
      <c r="I340" s="2"/>
      <c r="J340" s="2"/>
      <c r="K340" s="2"/>
      <c r="L340" s="2"/>
      <c r="M340" s="2"/>
      <c r="N340" s="2"/>
      <c r="O340" s="2"/>
      <c r="P340" s="2"/>
      <c r="Q340" s="2"/>
      <c r="R340" s="2"/>
      <c r="S340" s="2"/>
    </row>
    <row r="341">
      <c r="A341" s="2"/>
      <c r="B341" s="2"/>
      <c r="C341" s="2"/>
      <c r="D341" s="2"/>
      <c r="E341" s="2"/>
      <c r="F341" s="2"/>
      <c r="G341" s="2"/>
      <c r="H341" s="2"/>
      <c r="I341" s="2"/>
      <c r="J341" s="2"/>
      <c r="K341" s="2"/>
      <c r="L341" s="2"/>
      <c r="M341" s="2"/>
      <c r="N341" s="2"/>
      <c r="O341" s="2"/>
      <c r="P341" s="2"/>
      <c r="Q341" s="2"/>
      <c r="R341" s="2"/>
      <c r="S341" s="2"/>
    </row>
    <row r="342">
      <c r="A342" s="2"/>
      <c r="B342" s="2"/>
      <c r="C342" s="2"/>
      <c r="D342" s="2"/>
      <c r="E342" s="2"/>
      <c r="F342" s="2"/>
      <c r="G342" s="2"/>
      <c r="H342" s="2"/>
      <c r="I342" s="2"/>
      <c r="J342" s="2"/>
      <c r="K342" s="2"/>
      <c r="L342" s="2"/>
      <c r="M342" s="2"/>
      <c r="N342" s="2"/>
      <c r="O342" s="2"/>
      <c r="P342" s="2"/>
      <c r="Q342" s="2"/>
      <c r="R342" s="2"/>
      <c r="S342" s="2"/>
    </row>
    <row r="343">
      <c r="A343" s="2"/>
      <c r="B343" s="2"/>
      <c r="C343" s="2"/>
      <c r="D343" s="2"/>
      <c r="E343" s="2"/>
      <c r="F343" s="2"/>
      <c r="G343" s="2"/>
      <c r="H343" s="2"/>
      <c r="I343" s="2"/>
      <c r="J343" s="2"/>
      <c r="K343" s="2"/>
      <c r="L343" s="2"/>
      <c r="M343" s="2"/>
      <c r="N343" s="2"/>
      <c r="O343" s="2"/>
      <c r="P343" s="2"/>
      <c r="Q343" s="2"/>
      <c r="R343" s="2"/>
      <c r="S343" s="2"/>
    </row>
    <row r="344">
      <c r="A344" s="2"/>
      <c r="B344" s="2"/>
      <c r="C344" s="2"/>
      <c r="D344" s="2"/>
      <c r="E344" s="2"/>
      <c r="F344" s="2"/>
      <c r="G344" s="2"/>
      <c r="H344" s="2"/>
      <c r="I344" s="2"/>
      <c r="J344" s="2"/>
      <c r="K344" s="2"/>
      <c r="L344" s="2"/>
      <c r="M344" s="2"/>
      <c r="N344" s="2"/>
      <c r="O344" s="2"/>
      <c r="P344" s="2"/>
      <c r="Q344" s="2"/>
      <c r="R344" s="2"/>
      <c r="S344" s="2"/>
    </row>
    <row r="345">
      <c r="A345" s="2"/>
      <c r="B345" s="2"/>
      <c r="C345" s="2"/>
      <c r="D345" s="2"/>
      <c r="E345" s="2"/>
      <c r="F345" s="2"/>
      <c r="G345" s="2"/>
      <c r="H345" s="2"/>
      <c r="I345" s="2"/>
      <c r="J345" s="2"/>
      <c r="K345" s="2"/>
      <c r="L345" s="2"/>
      <c r="M345" s="2"/>
      <c r="N345" s="2"/>
      <c r="O345" s="2"/>
      <c r="P345" s="2"/>
      <c r="Q345" s="2"/>
      <c r="R345" s="2"/>
      <c r="S345" s="2"/>
    </row>
    <row r="346">
      <c r="A346" s="2"/>
      <c r="B346" s="2"/>
      <c r="C346" s="2"/>
      <c r="D346" s="2"/>
      <c r="E346" s="2"/>
      <c r="F346" s="2"/>
      <c r="G346" s="2"/>
      <c r="H346" s="2"/>
      <c r="I346" s="2"/>
      <c r="J346" s="2"/>
      <c r="K346" s="2"/>
      <c r="L346" s="2"/>
      <c r="M346" s="2"/>
      <c r="N346" s="2"/>
      <c r="O346" s="2"/>
      <c r="P346" s="2"/>
      <c r="Q346" s="2"/>
      <c r="R346" s="2"/>
      <c r="S346" s="2"/>
    </row>
    <row r="347">
      <c r="A347" s="2"/>
      <c r="B347" s="2"/>
      <c r="C347" s="2"/>
      <c r="D347" s="2"/>
      <c r="E347" s="2"/>
      <c r="F347" s="2"/>
      <c r="G347" s="2"/>
      <c r="H347" s="2"/>
      <c r="I347" s="2"/>
      <c r="J347" s="2"/>
      <c r="K347" s="2"/>
      <c r="L347" s="2"/>
      <c r="M347" s="2"/>
      <c r="N347" s="2"/>
      <c r="O347" s="2"/>
      <c r="P347" s="2"/>
      <c r="Q347" s="2"/>
      <c r="R347" s="2"/>
      <c r="S347" s="2"/>
    </row>
    <row r="348">
      <c r="A348" s="2"/>
      <c r="B348" s="2"/>
      <c r="C348" s="2"/>
      <c r="D348" s="2"/>
      <c r="E348" s="2"/>
      <c r="F348" s="2"/>
      <c r="G348" s="2"/>
      <c r="H348" s="2"/>
      <c r="I348" s="2"/>
      <c r="J348" s="2"/>
      <c r="K348" s="2"/>
      <c r="L348" s="2"/>
      <c r="M348" s="2"/>
      <c r="N348" s="2"/>
      <c r="O348" s="2"/>
      <c r="P348" s="2"/>
      <c r="Q348" s="2"/>
      <c r="R348" s="2"/>
      <c r="S348" s="2"/>
    </row>
    <row r="349">
      <c r="A349" s="2"/>
      <c r="B349" s="2"/>
      <c r="C349" s="2"/>
      <c r="D349" s="2"/>
      <c r="E349" s="2"/>
      <c r="F349" s="2"/>
      <c r="G349" s="2"/>
      <c r="H349" s="2"/>
      <c r="I349" s="2"/>
      <c r="J349" s="2"/>
      <c r="K349" s="2"/>
      <c r="L349" s="2"/>
      <c r="M349" s="2"/>
      <c r="N349" s="2"/>
      <c r="O349" s="2"/>
      <c r="P349" s="2"/>
      <c r="Q349" s="2"/>
      <c r="R349" s="2"/>
      <c r="S349" s="2"/>
    </row>
    <row r="350">
      <c r="A350" s="2"/>
      <c r="B350" s="2"/>
      <c r="C350" s="2"/>
      <c r="D350" s="2"/>
      <c r="E350" s="2"/>
      <c r="F350" s="2"/>
      <c r="G350" s="2"/>
      <c r="H350" s="2"/>
      <c r="I350" s="2"/>
      <c r="J350" s="2"/>
      <c r="K350" s="2"/>
      <c r="L350" s="2"/>
      <c r="M350" s="2"/>
      <c r="N350" s="2"/>
      <c r="O350" s="2"/>
      <c r="P350" s="2"/>
      <c r="Q350" s="2"/>
      <c r="R350" s="2"/>
      <c r="S350" s="2"/>
    </row>
    <row r="351">
      <c r="A351" s="2"/>
      <c r="B351" s="2"/>
      <c r="C351" s="2"/>
      <c r="D351" s="2"/>
      <c r="E351" s="2"/>
      <c r="F351" s="2"/>
      <c r="G351" s="2"/>
      <c r="H351" s="2"/>
      <c r="I351" s="2"/>
      <c r="J351" s="2"/>
      <c r="K351" s="2"/>
      <c r="L351" s="2"/>
      <c r="M351" s="2"/>
      <c r="N351" s="2"/>
      <c r="O351" s="2"/>
      <c r="P351" s="2"/>
      <c r="Q351" s="2"/>
      <c r="R351" s="2"/>
      <c r="S351" s="2"/>
    </row>
    <row r="352">
      <c r="A352" s="2"/>
      <c r="B352" s="2"/>
      <c r="C352" s="2"/>
      <c r="D352" s="2"/>
      <c r="E352" s="2"/>
      <c r="F352" s="2"/>
      <c r="G352" s="2"/>
      <c r="H352" s="2"/>
      <c r="I352" s="2"/>
      <c r="J352" s="2"/>
      <c r="K352" s="2"/>
      <c r="L352" s="2"/>
      <c r="M352" s="2"/>
      <c r="N352" s="2"/>
      <c r="O352" s="2"/>
      <c r="P352" s="2"/>
      <c r="Q352" s="2"/>
      <c r="R352" s="2"/>
      <c r="S352" s="2"/>
    </row>
    <row r="353">
      <c r="A353" s="2"/>
      <c r="B353" s="2"/>
      <c r="C353" s="2"/>
      <c r="D353" s="2"/>
      <c r="E353" s="2"/>
      <c r="F353" s="2"/>
      <c r="G353" s="2"/>
      <c r="H353" s="2"/>
      <c r="I353" s="2"/>
      <c r="J353" s="2"/>
      <c r="K353" s="2"/>
      <c r="L353" s="2"/>
      <c r="M353" s="2"/>
      <c r="N353" s="2"/>
      <c r="O353" s="2"/>
      <c r="P353" s="2"/>
      <c r="Q353" s="2"/>
      <c r="R353" s="2"/>
      <c r="S353" s="2"/>
    </row>
    <row r="354">
      <c r="A354" s="2"/>
      <c r="B354" s="2"/>
      <c r="C354" s="2"/>
      <c r="D354" s="2"/>
      <c r="E354" s="2"/>
      <c r="F354" s="2"/>
      <c r="G354" s="2"/>
      <c r="H354" s="2"/>
      <c r="I354" s="2"/>
      <c r="J354" s="2"/>
      <c r="K354" s="2"/>
      <c r="L354" s="2"/>
      <c r="M354" s="2"/>
      <c r="N354" s="2"/>
      <c r="O354" s="2"/>
      <c r="P354" s="2"/>
      <c r="Q354" s="2"/>
      <c r="R354" s="2"/>
      <c r="S354" s="2"/>
    </row>
    <row r="355">
      <c r="A355" s="2"/>
      <c r="B355" s="2"/>
      <c r="C355" s="2"/>
      <c r="D355" s="2"/>
      <c r="E355" s="2"/>
      <c r="F355" s="2"/>
      <c r="G355" s="2"/>
      <c r="H355" s="2"/>
      <c r="I355" s="2"/>
      <c r="J355" s="2"/>
      <c r="K355" s="2"/>
      <c r="L355" s="2"/>
      <c r="M355" s="2"/>
      <c r="N355" s="2"/>
      <c r="O355" s="2"/>
      <c r="P355" s="2"/>
      <c r="Q355" s="2"/>
      <c r="R355" s="2"/>
      <c r="S355" s="2"/>
    </row>
    <row r="356">
      <c r="A356" s="2"/>
      <c r="B356" s="2"/>
      <c r="C356" s="2"/>
      <c r="D356" s="2"/>
      <c r="E356" s="2"/>
      <c r="F356" s="2"/>
      <c r="G356" s="2"/>
      <c r="H356" s="2"/>
      <c r="I356" s="2"/>
      <c r="J356" s="2"/>
      <c r="K356" s="2"/>
      <c r="L356" s="2"/>
      <c r="M356" s="2"/>
      <c r="N356" s="2"/>
      <c r="O356" s="2"/>
      <c r="P356" s="2"/>
      <c r="Q356" s="2"/>
      <c r="R356" s="2"/>
      <c r="S356" s="2"/>
    </row>
    <row r="357">
      <c r="A357" s="2"/>
      <c r="B357" s="2"/>
      <c r="C357" s="2"/>
      <c r="D357" s="2"/>
      <c r="E357" s="2"/>
      <c r="F357" s="2"/>
      <c r="G357" s="2"/>
      <c r="H357" s="2"/>
      <c r="I357" s="2"/>
      <c r="J357" s="2"/>
      <c r="K357" s="2"/>
      <c r="L357" s="2"/>
      <c r="M357" s="2"/>
      <c r="N357" s="2"/>
      <c r="O357" s="2"/>
      <c r="P357" s="2"/>
      <c r="Q357" s="2"/>
      <c r="R357" s="2"/>
      <c r="S357" s="2"/>
    </row>
    <row r="358">
      <c r="A358" s="2"/>
      <c r="B358" s="2"/>
      <c r="C358" s="2"/>
      <c r="D358" s="2"/>
      <c r="E358" s="2"/>
      <c r="F358" s="2"/>
      <c r="G358" s="2"/>
      <c r="H358" s="2"/>
      <c r="I358" s="2"/>
      <c r="J358" s="2"/>
      <c r="K358" s="2"/>
      <c r="L358" s="2"/>
      <c r="M358" s="2"/>
      <c r="N358" s="2"/>
      <c r="O358" s="2"/>
      <c r="P358" s="2"/>
      <c r="Q358" s="2"/>
      <c r="R358" s="2"/>
      <c r="S358" s="2"/>
    </row>
    <row r="359">
      <c r="A359" s="2"/>
      <c r="B359" s="2"/>
      <c r="C359" s="2"/>
      <c r="D359" s="2"/>
      <c r="E359" s="2"/>
      <c r="F359" s="2"/>
      <c r="G359" s="2"/>
      <c r="H359" s="2"/>
      <c r="I359" s="2"/>
      <c r="J359" s="2"/>
      <c r="K359" s="2"/>
      <c r="L359" s="2"/>
      <c r="M359" s="2"/>
      <c r="N359" s="2"/>
      <c r="O359" s="2"/>
      <c r="P359" s="2"/>
      <c r="Q359" s="2"/>
      <c r="R359" s="2"/>
      <c r="S359" s="2"/>
    </row>
    <row r="360">
      <c r="A360" s="2"/>
      <c r="B360" s="2"/>
      <c r="C360" s="2"/>
      <c r="D360" s="2"/>
      <c r="E360" s="2"/>
      <c r="F360" s="2"/>
      <c r="G360" s="2"/>
      <c r="H360" s="2"/>
      <c r="I360" s="2"/>
      <c r="J360" s="2"/>
      <c r="K360" s="2"/>
      <c r="L360" s="2"/>
      <c r="M360" s="2"/>
      <c r="N360" s="2"/>
      <c r="O360" s="2"/>
      <c r="P360" s="2"/>
      <c r="Q360" s="2"/>
      <c r="R360" s="2"/>
      <c r="S360" s="2"/>
    </row>
    <row r="361">
      <c r="A361" s="2"/>
      <c r="B361" s="2"/>
      <c r="C361" s="2"/>
      <c r="D361" s="2"/>
      <c r="E361" s="2"/>
      <c r="F361" s="2"/>
      <c r="G361" s="2"/>
      <c r="H361" s="2"/>
      <c r="I361" s="2"/>
      <c r="J361" s="2"/>
      <c r="K361" s="2"/>
      <c r="L361" s="2"/>
      <c r="M361" s="2"/>
      <c r="N361" s="2"/>
      <c r="O361" s="2"/>
      <c r="P361" s="2"/>
      <c r="Q361" s="2"/>
      <c r="R361" s="2"/>
      <c r="S361" s="2"/>
    </row>
    <row r="362">
      <c r="A362" s="2"/>
      <c r="B362" s="2"/>
      <c r="C362" s="2"/>
      <c r="D362" s="2"/>
      <c r="E362" s="2"/>
      <c r="F362" s="2"/>
      <c r="G362" s="2"/>
      <c r="H362" s="2"/>
      <c r="I362" s="2"/>
      <c r="J362" s="2"/>
      <c r="K362" s="2"/>
      <c r="L362" s="2"/>
      <c r="M362" s="2"/>
      <c r="N362" s="2"/>
      <c r="O362" s="2"/>
      <c r="P362" s="2"/>
      <c r="Q362" s="2"/>
      <c r="R362" s="2"/>
      <c r="S362" s="2"/>
    </row>
    <row r="363">
      <c r="A363" s="2"/>
      <c r="B363" s="2"/>
      <c r="C363" s="2"/>
      <c r="D363" s="2"/>
      <c r="E363" s="2"/>
      <c r="F363" s="2"/>
      <c r="G363" s="2"/>
      <c r="H363" s="2"/>
      <c r="I363" s="2"/>
      <c r="J363" s="2"/>
      <c r="K363" s="2"/>
      <c r="L363" s="2"/>
      <c r="M363" s="2"/>
      <c r="N363" s="2"/>
      <c r="O363" s="2"/>
      <c r="P363" s="2"/>
      <c r="Q363" s="2"/>
      <c r="R363" s="2"/>
      <c r="S363" s="2"/>
    </row>
    <row r="364">
      <c r="A364" s="2"/>
      <c r="B364" s="2"/>
      <c r="C364" s="2"/>
      <c r="D364" s="2"/>
      <c r="E364" s="2"/>
      <c r="F364" s="2"/>
      <c r="G364" s="2"/>
      <c r="H364" s="2"/>
      <c r="I364" s="2"/>
      <c r="J364" s="2"/>
      <c r="K364" s="2"/>
      <c r="L364" s="2"/>
      <c r="M364" s="2"/>
      <c r="N364" s="2"/>
      <c r="O364" s="2"/>
      <c r="P364" s="2"/>
      <c r="Q364" s="2"/>
      <c r="R364" s="2"/>
      <c r="S364" s="2"/>
    </row>
    <row r="365">
      <c r="A365" s="2"/>
      <c r="B365" s="2"/>
      <c r="C365" s="2"/>
      <c r="D365" s="2"/>
      <c r="E365" s="2"/>
      <c r="F365" s="2"/>
      <c r="G365" s="2"/>
      <c r="H365" s="2"/>
      <c r="I365" s="2"/>
      <c r="J365" s="2"/>
      <c r="K365" s="2"/>
      <c r="L365" s="2"/>
      <c r="M365" s="2"/>
      <c r="N365" s="2"/>
      <c r="O365" s="2"/>
      <c r="P365" s="2"/>
      <c r="Q365" s="2"/>
      <c r="R365" s="2"/>
      <c r="S365" s="2"/>
    </row>
    <row r="366">
      <c r="A366" s="2"/>
      <c r="B366" s="2"/>
      <c r="C366" s="2"/>
      <c r="D366" s="2"/>
      <c r="E366" s="2"/>
      <c r="F366" s="2"/>
      <c r="G366" s="2"/>
      <c r="H366" s="2"/>
      <c r="I366" s="2"/>
      <c r="J366" s="2"/>
      <c r="K366" s="2"/>
      <c r="L366" s="2"/>
      <c r="M366" s="2"/>
      <c r="N366" s="2"/>
      <c r="O366" s="2"/>
      <c r="P366" s="2"/>
      <c r="Q366" s="2"/>
      <c r="R366" s="2"/>
      <c r="S366" s="2"/>
    </row>
    <row r="367">
      <c r="A367" s="2"/>
      <c r="B367" s="2"/>
      <c r="C367" s="2"/>
      <c r="D367" s="2"/>
      <c r="E367" s="2"/>
      <c r="F367" s="2"/>
      <c r="G367" s="2"/>
      <c r="H367" s="2"/>
      <c r="I367" s="2"/>
      <c r="J367" s="2"/>
      <c r="K367" s="2"/>
      <c r="L367" s="2"/>
      <c r="M367" s="2"/>
      <c r="N367" s="2"/>
      <c r="O367" s="2"/>
      <c r="P367" s="2"/>
      <c r="Q367" s="2"/>
      <c r="R367" s="2"/>
      <c r="S367" s="2"/>
    </row>
    <row r="368">
      <c r="A368" s="2"/>
      <c r="B368" s="2"/>
      <c r="C368" s="2"/>
      <c r="D368" s="2"/>
      <c r="E368" s="2"/>
      <c r="F368" s="2"/>
      <c r="G368" s="2"/>
      <c r="H368" s="2"/>
      <c r="I368" s="2"/>
      <c r="J368" s="2"/>
      <c r="K368" s="2"/>
      <c r="L368" s="2"/>
      <c r="M368" s="2"/>
      <c r="N368" s="2"/>
      <c r="O368" s="2"/>
      <c r="P368" s="2"/>
      <c r="Q368" s="2"/>
      <c r="R368" s="2"/>
      <c r="S368" s="2"/>
    </row>
    <row r="369">
      <c r="A369" s="2"/>
      <c r="B369" s="2"/>
      <c r="C369" s="2"/>
      <c r="D369" s="2"/>
      <c r="E369" s="2"/>
      <c r="F369" s="2"/>
      <c r="G369" s="2"/>
      <c r="H369" s="2"/>
      <c r="I369" s="2"/>
      <c r="J369" s="2"/>
      <c r="K369" s="2"/>
      <c r="L369" s="2"/>
      <c r="M369" s="2"/>
      <c r="N369" s="2"/>
      <c r="O369" s="2"/>
      <c r="P369" s="2"/>
      <c r="Q369" s="2"/>
      <c r="R369" s="2"/>
      <c r="S369" s="2"/>
    </row>
    <row r="370">
      <c r="A370" s="2"/>
      <c r="B370" s="2"/>
      <c r="C370" s="2"/>
      <c r="D370" s="2"/>
      <c r="E370" s="2"/>
      <c r="F370" s="2"/>
      <c r="G370" s="2"/>
      <c r="H370" s="2"/>
      <c r="I370" s="2"/>
      <c r="J370" s="2"/>
      <c r="K370" s="2"/>
      <c r="L370" s="2"/>
      <c r="M370" s="2"/>
      <c r="N370" s="2"/>
      <c r="O370" s="2"/>
      <c r="P370" s="2"/>
      <c r="Q370" s="2"/>
      <c r="R370" s="2"/>
      <c r="S370" s="2"/>
    </row>
    <row r="371">
      <c r="A371" s="2"/>
      <c r="B371" s="2"/>
      <c r="C371" s="2"/>
      <c r="D371" s="2"/>
      <c r="E371" s="2"/>
      <c r="F371" s="2"/>
      <c r="G371" s="2"/>
      <c r="H371" s="2"/>
      <c r="I371" s="2"/>
      <c r="J371" s="2"/>
      <c r="K371" s="2"/>
      <c r="L371" s="2"/>
      <c r="M371" s="2"/>
      <c r="N371" s="2"/>
      <c r="O371" s="2"/>
      <c r="P371" s="2"/>
      <c r="Q371" s="2"/>
      <c r="R371" s="2"/>
      <c r="S371" s="2"/>
    </row>
    <row r="372">
      <c r="A372" s="2"/>
      <c r="B372" s="2"/>
      <c r="C372" s="2"/>
      <c r="D372" s="2"/>
      <c r="E372" s="2"/>
      <c r="F372" s="2"/>
      <c r="G372" s="2"/>
      <c r="H372" s="2"/>
      <c r="I372" s="2"/>
      <c r="J372" s="2"/>
      <c r="K372" s="2"/>
      <c r="L372" s="2"/>
      <c r="M372" s="2"/>
      <c r="N372" s="2"/>
      <c r="O372" s="2"/>
      <c r="P372" s="2"/>
      <c r="Q372" s="2"/>
      <c r="R372" s="2"/>
      <c r="S372" s="2"/>
    </row>
    <row r="373">
      <c r="A373" s="2"/>
      <c r="B373" s="2"/>
      <c r="C373" s="2"/>
      <c r="D373" s="2"/>
      <c r="E373" s="2"/>
      <c r="F373" s="2"/>
      <c r="G373" s="2"/>
      <c r="H373" s="2"/>
      <c r="I373" s="2"/>
      <c r="J373" s="2"/>
      <c r="K373" s="2"/>
      <c r="L373" s="2"/>
      <c r="M373" s="2"/>
      <c r="N373" s="2"/>
      <c r="O373" s="2"/>
      <c r="P373" s="2"/>
      <c r="Q373" s="2"/>
      <c r="R373" s="2"/>
      <c r="S373" s="2"/>
    </row>
    <row r="374">
      <c r="A374" s="2"/>
      <c r="B374" s="2"/>
      <c r="C374" s="2"/>
      <c r="D374" s="2"/>
      <c r="E374" s="2"/>
      <c r="F374" s="2"/>
      <c r="G374" s="2"/>
      <c r="H374" s="2"/>
      <c r="I374" s="2"/>
      <c r="J374" s="2"/>
      <c r="K374" s="2"/>
      <c r="L374" s="2"/>
      <c r="M374" s="2"/>
      <c r="N374" s="2"/>
      <c r="O374" s="2"/>
      <c r="P374" s="2"/>
      <c r="Q374" s="2"/>
      <c r="R374" s="2"/>
      <c r="S374" s="2"/>
    </row>
    <row r="375">
      <c r="A375" s="2"/>
      <c r="B375" s="2"/>
      <c r="C375" s="2"/>
      <c r="D375" s="2"/>
      <c r="E375" s="2"/>
      <c r="F375" s="2"/>
      <c r="G375" s="2"/>
      <c r="H375" s="2"/>
      <c r="I375" s="2"/>
      <c r="J375" s="2"/>
      <c r="K375" s="2"/>
      <c r="L375" s="2"/>
      <c r="M375" s="2"/>
      <c r="N375" s="2"/>
      <c r="O375" s="2"/>
      <c r="P375" s="2"/>
      <c r="Q375" s="2"/>
      <c r="R375" s="2"/>
      <c r="S375" s="2"/>
    </row>
    <row r="376">
      <c r="A376" s="2"/>
      <c r="B376" s="2"/>
      <c r="C376" s="2"/>
      <c r="D376" s="2"/>
      <c r="E376" s="2"/>
      <c r="F376" s="2"/>
      <c r="G376" s="2"/>
      <c r="H376" s="2"/>
      <c r="I376" s="2"/>
      <c r="J376" s="2"/>
      <c r="K376" s="2"/>
      <c r="L376" s="2"/>
      <c r="M376" s="2"/>
      <c r="N376" s="2"/>
      <c r="O376" s="2"/>
      <c r="P376" s="2"/>
      <c r="Q376" s="2"/>
      <c r="R376" s="2"/>
      <c r="S376" s="2"/>
    </row>
    <row r="377">
      <c r="A377" s="2"/>
      <c r="B377" s="2"/>
      <c r="C377" s="2"/>
      <c r="D377" s="2"/>
      <c r="E377" s="2"/>
      <c r="F377" s="2"/>
      <c r="G377" s="2"/>
      <c r="H377" s="2"/>
      <c r="I377" s="2"/>
      <c r="J377" s="2"/>
      <c r="K377" s="2"/>
      <c r="L377" s="2"/>
      <c r="M377" s="2"/>
      <c r="N377" s="2"/>
      <c r="O377" s="2"/>
      <c r="P377" s="2"/>
      <c r="Q377" s="2"/>
      <c r="R377" s="2"/>
      <c r="S377" s="2"/>
    </row>
    <row r="378">
      <c r="A378" s="2"/>
      <c r="B378" s="2"/>
      <c r="C378" s="2"/>
      <c r="D378" s="2"/>
      <c r="E378" s="2"/>
      <c r="F378" s="2"/>
      <c r="G378" s="2"/>
      <c r="H378" s="2"/>
      <c r="I378" s="2"/>
      <c r="J378" s="2"/>
      <c r="K378" s="2"/>
      <c r="L378" s="2"/>
      <c r="M378" s="2"/>
      <c r="N378" s="2"/>
      <c r="O378" s="2"/>
      <c r="P378" s="2"/>
      <c r="Q378" s="2"/>
      <c r="R378" s="2"/>
      <c r="S378" s="2"/>
    </row>
    <row r="379">
      <c r="A379" s="2"/>
      <c r="B379" s="2"/>
      <c r="C379" s="2"/>
      <c r="D379" s="2"/>
      <c r="E379" s="2"/>
      <c r="F379" s="2"/>
      <c r="G379" s="2"/>
      <c r="H379" s="2"/>
      <c r="I379" s="2"/>
      <c r="J379" s="2"/>
      <c r="K379" s="2"/>
      <c r="L379" s="2"/>
      <c r="M379" s="2"/>
      <c r="N379" s="2"/>
      <c r="O379" s="2"/>
      <c r="P379" s="2"/>
      <c r="Q379" s="2"/>
      <c r="R379" s="2"/>
      <c r="S379" s="2"/>
    </row>
    <row r="380">
      <c r="A380" s="2"/>
      <c r="B380" s="2"/>
      <c r="C380" s="2"/>
      <c r="D380" s="2"/>
      <c r="E380" s="2"/>
      <c r="F380" s="2"/>
      <c r="G380" s="2"/>
      <c r="H380" s="2"/>
      <c r="I380" s="2"/>
      <c r="J380" s="2"/>
      <c r="K380" s="2"/>
      <c r="L380" s="2"/>
      <c r="M380" s="2"/>
      <c r="N380" s="2"/>
      <c r="O380" s="2"/>
      <c r="P380" s="2"/>
      <c r="Q380" s="2"/>
      <c r="R380" s="2"/>
      <c r="S380" s="2"/>
    </row>
    <row r="381">
      <c r="A381" s="2"/>
      <c r="B381" s="2"/>
      <c r="C381" s="2"/>
      <c r="D381" s="2"/>
      <c r="E381" s="2"/>
      <c r="F381" s="2"/>
      <c r="G381" s="2"/>
      <c r="H381" s="2"/>
      <c r="I381" s="2"/>
      <c r="J381" s="2"/>
      <c r="K381" s="2"/>
      <c r="L381" s="2"/>
      <c r="M381" s="2"/>
      <c r="N381" s="2"/>
      <c r="O381" s="2"/>
      <c r="P381" s="2"/>
      <c r="Q381" s="2"/>
      <c r="R381" s="2"/>
      <c r="S381" s="2"/>
    </row>
    <row r="382">
      <c r="A382" s="2"/>
      <c r="B382" s="2"/>
      <c r="C382" s="2"/>
      <c r="D382" s="2"/>
      <c r="E382" s="2"/>
      <c r="F382" s="2"/>
      <c r="G382" s="2"/>
      <c r="H382" s="2"/>
      <c r="I382" s="2"/>
      <c r="J382" s="2"/>
      <c r="K382" s="2"/>
      <c r="L382" s="2"/>
      <c r="M382" s="2"/>
      <c r="N382" s="2"/>
      <c r="O382" s="2"/>
      <c r="P382" s="2"/>
      <c r="Q382" s="2"/>
      <c r="R382" s="2"/>
      <c r="S382" s="2"/>
    </row>
    <row r="383">
      <c r="A383" s="2"/>
      <c r="B383" s="2"/>
      <c r="C383" s="2"/>
      <c r="D383" s="2"/>
      <c r="E383" s="2"/>
      <c r="F383" s="2"/>
      <c r="G383" s="2"/>
      <c r="H383" s="2"/>
      <c r="I383" s="2"/>
      <c r="J383" s="2"/>
      <c r="K383" s="2"/>
      <c r="L383" s="2"/>
      <c r="M383" s="2"/>
      <c r="N383" s="2"/>
      <c r="O383" s="2"/>
      <c r="P383" s="2"/>
      <c r="Q383" s="2"/>
      <c r="R383" s="2"/>
      <c r="S383" s="2"/>
    </row>
    <row r="384">
      <c r="A384" s="2"/>
      <c r="B384" s="2"/>
      <c r="C384" s="2"/>
      <c r="D384" s="2"/>
      <c r="E384" s="2"/>
      <c r="F384" s="2"/>
      <c r="G384" s="2"/>
      <c r="H384" s="2"/>
      <c r="I384" s="2"/>
      <c r="J384" s="2"/>
      <c r="K384" s="2"/>
      <c r="L384" s="2"/>
      <c r="M384" s="2"/>
      <c r="N384" s="2"/>
      <c r="O384" s="2"/>
      <c r="P384" s="2"/>
      <c r="Q384" s="2"/>
      <c r="R384" s="2"/>
      <c r="S384" s="2"/>
    </row>
    <row r="385">
      <c r="A385" s="2"/>
      <c r="B385" s="2"/>
      <c r="C385" s="2"/>
      <c r="D385" s="2"/>
      <c r="E385" s="2"/>
      <c r="F385" s="2"/>
      <c r="G385" s="2"/>
      <c r="H385" s="2"/>
      <c r="I385" s="2"/>
      <c r="J385" s="2"/>
      <c r="K385" s="2"/>
      <c r="L385" s="2"/>
      <c r="M385" s="2"/>
      <c r="N385" s="2"/>
      <c r="O385" s="2"/>
      <c r="P385" s="2"/>
      <c r="Q385" s="2"/>
      <c r="R385" s="2"/>
      <c r="S385" s="2"/>
    </row>
    <row r="386">
      <c r="A386" s="2"/>
      <c r="B386" s="2"/>
      <c r="C386" s="2"/>
      <c r="D386" s="2"/>
      <c r="E386" s="2"/>
      <c r="F386" s="2"/>
      <c r="G386" s="2"/>
      <c r="H386" s="2"/>
      <c r="I386" s="2"/>
      <c r="J386" s="2"/>
      <c r="K386" s="2"/>
      <c r="L386" s="2"/>
      <c r="M386" s="2"/>
      <c r="N386" s="2"/>
      <c r="O386" s="2"/>
      <c r="P386" s="2"/>
      <c r="Q386" s="2"/>
      <c r="R386" s="2"/>
      <c r="S386" s="2"/>
    </row>
    <row r="387">
      <c r="A387" s="2"/>
      <c r="B387" s="2"/>
      <c r="C387" s="2"/>
      <c r="D387" s="2"/>
      <c r="E387" s="2"/>
      <c r="F387" s="2"/>
      <c r="G387" s="2"/>
      <c r="H387" s="2"/>
      <c r="I387" s="2"/>
      <c r="J387" s="2"/>
      <c r="K387" s="2"/>
      <c r="L387" s="2"/>
      <c r="M387" s="2"/>
      <c r="N387" s="2"/>
      <c r="O387" s="2"/>
      <c r="P387" s="2"/>
      <c r="Q387" s="2"/>
      <c r="R387" s="2"/>
      <c r="S387" s="2"/>
    </row>
    <row r="388">
      <c r="A388" s="2"/>
      <c r="B388" s="2"/>
      <c r="C388" s="2"/>
      <c r="D388" s="2"/>
      <c r="E388" s="2"/>
      <c r="F388" s="2"/>
      <c r="G388" s="2"/>
      <c r="H388" s="2"/>
      <c r="I388" s="2"/>
      <c r="J388" s="2"/>
      <c r="K388" s="2"/>
      <c r="L388" s="2"/>
      <c r="M388" s="2"/>
      <c r="N388" s="2"/>
      <c r="O388" s="2"/>
      <c r="P388" s="2"/>
      <c r="Q388" s="2"/>
      <c r="R388" s="2"/>
      <c r="S388" s="2"/>
    </row>
    <row r="389">
      <c r="A389" s="2"/>
      <c r="B389" s="2"/>
      <c r="C389" s="2"/>
      <c r="D389" s="2"/>
      <c r="E389" s="2"/>
      <c r="F389" s="2"/>
      <c r="G389" s="2"/>
      <c r="H389" s="2"/>
      <c r="I389" s="2"/>
      <c r="J389" s="2"/>
      <c r="K389" s="2"/>
      <c r="L389" s="2"/>
      <c r="M389" s="2"/>
      <c r="N389" s="2"/>
      <c r="O389" s="2"/>
      <c r="P389" s="2"/>
      <c r="Q389" s="2"/>
      <c r="R389" s="2"/>
      <c r="S389" s="2"/>
    </row>
    <row r="390">
      <c r="A390" s="2"/>
      <c r="B390" s="2"/>
      <c r="C390" s="2"/>
      <c r="D390" s="2"/>
      <c r="E390" s="2"/>
      <c r="F390" s="2"/>
      <c r="G390" s="2"/>
      <c r="H390" s="2"/>
      <c r="I390" s="2"/>
      <c r="J390" s="2"/>
      <c r="K390" s="2"/>
      <c r="L390" s="2"/>
      <c r="M390" s="2"/>
      <c r="N390" s="2"/>
      <c r="O390" s="2"/>
      <c r="P390" s="2"/>
      <c r="Q390" s="2"/>
      <c r="R390" s="2"/>
      <c r="S390" s="2"/>
    </row>
    <row r="391">
      <c r="A391" s="2"/>
      <c r="B391" s="2"/>
      <c r="C391" s="2"/>
      <c r="D391" s="2"/>
      <c r="E391" s="2"/>
      <c r="F391" s="2"/>
      <c r="G391" s="2"/>
      <c r="H391" s="2"/>
      <c r="I391" s="2"/>
      <c r="J391" s="2"/>
      <c r="K391" s="2"/>
      <c r="L391" s="2"/>
      <c r="M391" s="2"/>
      <c r="N391" s="2"/>
      <c r="O391" s="2"/>
      <c r="P391" s="2"/>
      <c r="Q391" s="2"/>
      <c r="R391" s="2"/>
      <c r="S391" s="2"/>
    </row>
    <row r="392">
      <c r="A392" s="2"/>
      <c r="B392" s="2"/>
      <c r="C392" s="2"/>
      <c r="D392" s="2"/>
      <c r="E392" s="2"/>
      <c r="F392" s="2"/>
      <c r="G392" s="2"/>
      <c r="H392" s="2"/>
      <c r="I392" s="2"/>
      <c r="J392" s="2"/>
      <c r="K392" s="2"/>
      <c r="L392" s="2"/>
      <c r="M392" s="2"/>
      <c r="N392" s="2"/>
      <c r="O392" s="2"/>
      <c r="P392" s="2"/>
      <c r="Q392" s="2"/>
      <c r="R392" s="2"/>
      <c r="S392" s="2"/>
    </row>
    <row r="393">
      <c r="A393" s="2"/>
      <c r="B393" s="2"/>
      <c r="C393" s="2"/>
      <c r="D393" s="2"/>
      <c r="E393" s="2"/>
      <c r="F393" s="2"/>
      <c r="G393" s="2"/>
      <c r="H393" s="2"/>
      <c r="I393" s="2"/>
      <c r="J393" s="2"/>
      <c r="K393" s="2"/>
      <c r="L393" s="2"/>
      <c r="M393" s="2"/>
      <c r="N393" s="2"/>
      <c r="O393" s="2"/>
      <c r="P393" s="2"/>
      <c r="Q393" s="2"/>
      <c r="R393" s="2"/>
      <c r="S393" s="2"/>
    </row>
    <row r="394">
      <c r="A394" s="2"/>
      <c r="B394" s="2"/>
      <c r="C394" s="2"/>
      <c r="D394" s="2"/>
      <c r="E394" s="2"/>
      <c r="F394" s="2"/>
      <c r="G394" s="2"/>
      <c r="H394" s="2"/>
      <c r="I394" s="2"/>
      <c r="J394" s="2"/>
      <c r="K394" s="2"/>
      <c r="L394" s="2"/>
      <c r="M394" s="2"/>
      <c r="N394" s="2"/>
      <c r="O394" s="2"/>
      <c r="P394" s="2"/>
      <c r="Q394" s="2"/>
      <c r="R394" s="2"/>
      <c r="S394" s="2"/>
    </row>
    <row r="395">
      <c r="A395" s="2"/>
      <c r="B395" s="2"/>
      <c r="C395" s="2"/>
      <c r="D395" s="2"/>
      <c r="E395" s="2"/>
      <c r="F395" s="2"/>
      <c r="G395" s="2"/>
      <c r="H395" s="2"/>
      <c r="I395" s="2"/>
      <c r="J395" s="2"/>
      <c r="K395" s="2"/>
      <c r="L395" s="2"/>
      <c r="M395" s="2"/>
      <c r="N395" s="2"/>
      <c r="O395" s="2"/>
      <c r="P395" s="2"/>
      <c r="Q395" s="2"/>
      <c r="R395" s="2"/>
      <c r="S395" s="2"/>
    </row>
    <row r="396">
      <c r="A396" s="2"/>
      <c r="B396" s="2"/>
      <c r="C396" s="2"/>
      <c r="D396" s="2"/>
      <c r="E396" s="2"/>
      <c r="F396" s="2"/>
      <c r="G396" s="2"/>
      <c r="H396" s="2"/>
      <c r="I396" s="2"/>
      <c r="J396" s="2"/>
      <c r="K396" s="2"/>
      <c r="L396" s="2"/>
      <c r="M396" s="2"/>
      <c r="N396" s="2"/>
      <c r="O396" s="2"/>
      <c r="P396" s="2"/>
      <c r="Q396" s="2"/>
      <c r="R396" s="2"/>
      <c r="S396" s="2"/>
    </row>
    <row r="397">
      <c r="A397" s="2"/>
      <c r="B397" s="2"/>
      <c r="C397" s="2"/>
      <c r="D397" s="2"/>
      <c r="E397" s="2"/>
      <c r="F397" s="2"/>
      <c r="G397" s="2"/>
      <c r="H397" s="2"/>
      <c r="I397" s="2"/>
      <c r="J397" s="2"/>
      <c r="K397" s="2"/>
      <c r="L397" s="2"/>
      <c r="M397" s="2"/>
      <c r="N397" s="2"/>
      <c r="O397" s="2"/>
      <c r="P397" s="2"/>
      <c r="Q397" s="2"/>
      <c r="R397" s="2"/>
      <c r="S397" s="2"/>
    </row>
    <row r="398">
      <c r="A398" s="2"/>
      <c r="B398" s="2"/>
      <c r="C398" s="2"/>
      <c r="D398" s="2"/>
      <c r="E398" s="2"/>
      <c r="F398" s="2"/>
      <c r="G398" s="2"/>
      <c r="H398" s="2"/>
      <c r="I398" s="2"/>
      <c r="J398" s="2"/>
      <c r="K398" s="2"/>
      <c r="L398" s="2"/>
      <c r="M398" s="2"/>
      <c r="N398" s="2"/>
      <c r="O398" s="2"/>
      <c r="P398" s="2"/>
      <c r="Q398" s="2"/>
      <c r="R398" s="2"/>
      <c r="S398" s="2"/>
    </row>
    <row r="399">
      <c r="A399" s="2"/>
      <c r="B399" s="2"/>
      <c r="C399" s="2"/>
      <c r="D399" s="2"/>
      <c r="E399" s="2"/>
      <c r="F399" s="2"/>
      <c r="G399" s="2"/>
      <c r="H399" s="2"/>
      <c r="I399" s="2"/>
      <c r="J399" s="2"/>
      <c r="K399" s="2"/>
      <c r="L399" s="2"/>
      <c r="M399" s="2"/>
      <c r="N399" s="2"/>
      <c r="O399" s="2"/>
      <c r="P399" s="2"/>
      <c r="Q399" s="2"/>
      <c r="R399" s="2"/>
      <c r="S399" s="2"/>
    </row>
    <row r="400">
      <c r="A400" s="2"/>
      <c r="B400" s="2"/>
      <c r="C400" s="2"/>
      <c r="D400" s="2"/>
      <c r="E400" s="2"/>
      <c r="F400" s="2"/>
      <c r="G400" s="2"/>
      <c r="H400" s="2"/>
      <c r="I400" s="2"/>
      <c r="J400" s="2"/>
      <c r="K400" s="2"/>
      <c r="L400" s="2"/>
      <c r="M400" s="2"/>
      <c r="N400" s="2"/>
      <c r="O400" s="2"/>
      <c r="P400" s="2"/>
      <c r="Q400" s="2"/>
      <c r="R400" s="2"/>
      <c r="S400" s="2"/>
    </row>
    <row r="401">
      <c r="A401" s="2"/>
      <c r="B401" s="2"/>
      <c r="C401" s="2"/>
      <c r="D401" s="2"/>
      <c r="E401" s="2"/>
      <c r="F401" s="2"/>
      <c r="G401" s="2"/>
      <c r="H401" s="2"/>
      <c r="I401" s="2"/>
      <c r="J401" s="2"/>
      <c r="K401" s="2"/>
      <c r="L401" s="2"/>
      <c r="M401" s="2"/>
      <c r="N401" s="2"/>
      <c r="O401" s="2"/>
      <c r="P401" s="2"/>
      <c r="Q401" s="2"/>
      <c r="R401" s="2"/>
      <c r="S401" s="2"/>
    </row>
    <row r="402">
      <c r="A402" s="2"/>
      <c r="B402" s="2"/>
      <c r="C402" s="2"/>
      <c r="D402" s="2"/>
      <c r="E402" s="2"/>
      <c r="F402" s="2"/>
      <c r="G402" s="2"/>
      <c r="H402" s="2"/>
      <c r="I402" s="2"/>
      <c r="J402" s="2"/>
      <c r="K402" s="2"/>
      <c r="L402" s="2"/>
      <c r="M402" s="2"/>
      <c r="N402" s="2"/>
      <c r="O402" s="2"/>
      <c r="P402" s="2"/>
      <c r="Q402" s="2"/>
      <c r="R402" s="2"/>
      <c r="S402" s="2"/>
    </row>
    <row r="403">
      <c r="A403" s="2"/>
      <c r="B403" s="2"/>
      <c r="C403" s="2"/>
      <c r="D403" s="2"/>
      <c r="E403" s="2"/>
      <c r="F403" s="2"/>
      <c r="G403" s="2"/>
      <c r="H403" s="2"/>
      <c r="I403" s="2"/>
      <c r="J403" s="2"/>
      <c r="K403" s="2"/>
      <c r="L403" s="2"/>
      <c r="M403" s="2"/>
      <c r="N403" s="2"/>
      <c r="O403" s="2"/>
      <c r="P403" s="2"/>
      <c r="Q403" s="2"/>
      <c r="R403" s="2"/>
      <c r="S403" s="2"/>
    </row>
    <row r="404">
      <c r="A404" s="2"/>
      <c r="B404" s="2"/>
      <c r="C404" s="2"/>
      <c r="D404" s="2"/>
      <c r="E404" s="2"/>
      <c r="F404" s="2"/>
      <c r="G404" s="2"/>
      <c r="H404" s="2"/>
      <c r="I404" s="2"/>
      <c r="J404" s="2"/>
      <c r="K404" s="2"/>
      <c r="L404" s="2"/>
      <c r="M404" s="2"/>
      <c r="N404" s="2"/>
      <c r="O404" s="2"/>
      <c r="P404" s="2"/>
      <c r="Q404" s="2"/>
      <c r="R404" s="2"/>
      <c r="S404" s="2"/>
    </row>
    <row r="405">
      <c r="A405" s="2"/>
      <c r="B405" s="2"/>
      <c r="C405" s="2"/>
      <c r="D405" s="2"/>
      <c r="E405" s="2"/>
      <c r="F405" s="2"/>
      <c r="G405" s="2"/>
      <c r="H405" s="2"/>
      <c r="I405" s="2"/>
      <c r="J405" s="2"/>
      <c r="K405" s="2"/>
      <c r="L405" s="2"/>
      <c r="M405" s="2"/>
      <c r="N405" s="2"/>
      <c r="O405" s="2"/>
      <c r="P405" s="2"/>
      <c r="Q405" s="2"/>
      <c r="R405" s="2"/>
      <c r="S405" s="2"/>
    </row>
    <row r="406">
      <c r="A406" s="2"/>
      <c r="B406" s="2"/>
      <c r="C406" s="2"/>
      <c r="D406" s="2"/>
      <c r="E406" s="2"/>
      <c r="F406" s="2"/>
      <c r="G406" s="2"/>
      <c r="H406" s="2"/>
      <c r="I406" s="2"/>
      <c r="J406" s="2"/>
      <c r="K406" s="2"/>
      <c r="L406" s="2"/>
      <c r="M406" s="2"/>
      <c r="N406" s="2"/>
      <c r="O406" s="2"/>
      <c r="P406" s="2"/>
      <c r="Q406" s="2"/>
      <c r="R406" s="2"/>
      <c r="S406" s="2"/>
    </row>
    <row r="407">
      <c r="A407" s="2"/>
      <c r="B407" s="2"/>
      <c r="C407" s="2"/>
      <c r="D407" s="2"/>
      <c r="E407" s="2"/>
      <c r="F407" s="2"/>
      <c r="G407" s="2"/>
      <c r="H407" s="2"/>
      <c r="I407" s="2"/>
      <c r="J407" s="2"/>
      <c r="K407" s="2"/>
      <c r="L407" s="2"/>
      <c r="M407" s="2"/>
      <c r="N407" s="2"/>
      <c r="O407" s="2"/>
      <c r="P407" s="2"/>
      <c r="Q407" s="2"/>
      <c r="R407" s="2"/>
      <c r="S407" s="2"/>
    </row>
    <row r="408">
      <c r="A408" s="2"/>
      <c r="B408" s="2"/>
      <c r="C408" s="2"/>
      <c r="D408" s="2"/>
      <c r="E408" s="2"/>
      <c r="F408" s="2"/>
      <c r="G408" s="2"/>
      <c r="H408" s="2"/>
      <c r="I408" s="2"/>
      <c r="J408" s="2"/>
      <c r="K408" s="2"/>
      <c r="L408" s="2"/>
      <c r="M408" s="2"/>
      <c r="N408" s="2"/>
      <c r="O408" s="2"/>
      <c r="P408" s="2"/>
      <c r="Q408" s="2"/>
      <c r="R408" s="2"/>
      <c r="S408" s="2"/>
    </row>
    <row r="409">
      <c r="A409" s="2"/>
      <c r="B409" s="2"/>
      <c r="C409" s="2"/>
      <c r="D409" s="2"/>
      <c r="E409" s="2"/>
      <c r="F409" s="2"/>
      <c r="G409" s="2"/>
      <c r="H409" s="2"/>
      <c r="I409" s="2"/>
      <c r="J409" s="2"/>
      <c r="K409" s="2"/>
      <c r="L409" s="2"/>
      <c r="M409" s="2"/>
      <c r="N409" s="2"/>
      <c r="O409" s="2"/>
      <c r="P409" s="2"/>
      <c r="Q409" s="2"/>
      <c r="R409" s="2"/>
      <c r="S409" s="2"/>
    </row>
    <row r="410">
      <c r="A410" s="2"/>
      <c r="B410" s="2"/>
      <c r="C410" s="2"/>
      <c r="D410" s="2"/>
      <c r="E410" s="2"/>
      <c r="F410" s="2"/>
      <c r="G410" s="2"/>
      <c r="H410" s="2"/>
      <c r="I410" s="2"/>
      <c r="J410" s="2"/>
      <c r="K410" s="2"/>
      <c r="L410" s="2"/>
      <c r="M410" s="2"/>
      <c r="N410" s="2"/>
      <c r="O410" s="2"/>
      <c r="P410" s="2"/>
      <c r="Q410" s="2"/>
      <c r="R410" s="2"/>
      <c r="S410" s="2"/>
    </row>
    <row r="411">
      <c r="A411" s="2"/>
      <c r="B411" s="2"/>
      <c r="C411" s="2"/>
      <c r="D411" s="2"/>
      <c r="E411" s="2"/>
      <c r="F411" s="2"/>
      <c r="G411" s="2"/>
      <c r="H411" s="2"/>
      <c r="I411" s="2"/>
      <c r="J411" s="2"/>
      <c r="K411" s="2"/>
      <c r="L411" s="2"/>
      <c r="M411" s="2"/>
      <c r="N411" s="2"/>
      <c r="O411" s="2"/>
      <c r="P411" s="2"/>
      <c r="Q411" s="2"/>
      <c r="R411" s="2"/>
      <c r="S411" s="2"/>
    </row>
    <row r="412">
      <c r="A412" s="2"/>
      <c r="B412" s="2"/>
      <c r="C412" s="2"/>
      <c r="D412" s="2"/>
      <c r="E412" s="2"/>
      <c r="F412" s="2"/>
      <c r="G412" s="2"/>
      <c r="H412" s="2"/>
      <c r="I412" s="2"/>
      <c r="J412" s="2"/>
      <c r="K412" s="2"/>
      <c r="L412" s="2"/>
      <c r="M412" s="2"/>
      <c r="N412" s="2"/>
      <c r="O412" s="2"/>
      <c r="P412" s="2"/>
      <c r="Q412" s="2"/>
      <c r="R412" s="2"/>
      <c r="S412" s="2"/>
    </row>
    <row r="413">
      <c r="A413" s="2"/>
      <c r="B413" s="2"/>
      <c r="C413" s="2"/>
      <c r="D413" s="2"/>
      <c r="E413" s="2"/>
      <c r="F413" s="2"/>
      <c r="G413" s="2"/>
      <c r="H413" s="2"/>
      <c r="I413" s="2"/>
      <c r="J413" s="2"/>
      <c r="K413" s="2"/>
      <c r="L413" s="2"/>
      <c r="M413" s="2"/>
      <c r="N413" s="2"/>
      <c r="O413" s="2"/>
      <c r="P413" s="2"/>
      <c r="Q413" s="2"/>
      <c r="R413" s="2"/>
      <c r="S413" s="2"/>
    </row>
    <row r="414">
      <c r="A414" s="2"/>
      <c r="B414" s="2"/>
      <c r="C414" s="2"/>
      <c r="D414" s="2"/>
      <c r="E414" s="2"/>
      <c r="F414" s="2"/>
      <c r="G414" s="2"/>
      <c r="H414" s="2"/>
      <c r="I414" s="2"/>
      <c r="J414" s="2"/>
      <c r="K414" s="2"/>
      <c r="L414" s="2"/>
      <c r="M414" s="2"/>
      <c r="N414" s="2"/>
      <c r="O414" s="2"/>
      <c r="P414" s="2"/>
      <c r="Q414" s="2"/>
      <c r="R414" s="2"/>
      <c r="S414" s="2"/>
    </row>
    <row r="415">
      <c r="A415" s="2"/>
      <c r="B415" s="2"/>
      <c r="C415" s="2"/>
      <c r="D415" s="2"/>
      <c r="E415" s="2"/>
      <c r="F415" s="2"/>
      <c r="G415" s="2"/>
      <c r="H415" s="2"/>
      <c r="I415" s="2"/>
      <c r="J415" s="2"/>
      <c r="K415" s="2"/>
      <c r="L415" s="2"/>
      <c r="M415" s="2"/>
      <c r="N415" s="2"/>
      <c r="O415" s="2"/>
      <c r="P415" s="2"/>
      <c r="Q415" s="2"/>
      <c r="R415" s="2"/>
      <c r="S415" s="2"/>
    </row>
    <row r="416">
      <c r="A416" s="2"/>
      <c r="B416" s="2"/>
      <c r="C416" s="2"/>
      <c r="D416" s="2"/>
      <c r="E416" s="2"/>
      <c r="F416" s="2"/>
      <c r="G416" s="2"/>
      <c r="H416" s="2"/>
      <c r="I416" s="2"/>
      <c r="J416" s="2"/>
      <c r="K416" s="2"/>
      <c r="L416" s="2"/>
      <c r="M416" s="2"/>
      <c r="N416" s="2"/>
      <c r="O416" s="2"/>
      <c r="P416" s="2"/>
      <c r="Q416" s="2"/>
      <c r="R416" s="2"/>
      <c r="S416" s="2"/>
    </row>
    <row r="417">
      <c r="A417" s="2"/>
      <c r="B417" s="2"/>
      <c r="C417" s="2"/>
      <c r="D417" s="2"/>
      <c r="E417" s="2"/>
      <c r="F417" s="2"/>
      <c r="G417" s="2"/>
      <c r="H417" s="2"/>
      <c r="I417" s="2"/>
      <c r="J417" s="2"/>
      <c r="K417" s="2"/>
      <c r="L417" s="2"/>
      <c r="M417" s="2"/>
      <c r="N417" s="2"/>
      <c r="O417" s="2"/>
      <c r="P417" s="2"/>
      <c r="Q417" s="2"/>
      <c r="R417" s="2"/>
      <c r="S417" s="2"/>
    </row>
    <row r="418">
      <c r="A418" s="2"/>
      <c r="B418" s="2"/>
      <c r="C418" s="2"/>
      <c r="D418" s="2"/>
      <c r="E418" s="2"/>
      <c r="F418" s="2"/>
      <c r="G418" s="2"/>
      <c r="H418" s="2"/>
      <c r="I418" s="2"/>
      <c r="J418" s="2"/>
      <c r="K418" s="2"/>
      <c r="L418" s="2"/>
      <c r="M418" s="2"/>
      <c r="N418" s="2"/>
      <c r="O418" s="2"/>
      <c r="P418" s="2"/>
      <c r="Q418" s="2"/>
      <c r="R418" s="2"/>
      <c r="S418" s="2"/>
    </row>
    <row r="419">
      <c r="A419" s="2"/>
      <c r="B419" s="2"/>
      <c r="C419" s="2"/>
      <c r="D419" s="2"/>
      <c r="E419" s="2"/>
      <c r="F419" s="2"/>
      <c r="G419" s="2"/>
      <c r="H419" s="2"/>
      <c r="I419" s="2"/>
      <c r="J419" s="2"/>
      <c r="K419" s="2"/>
      <c r="L419" s="2"/>
      <c r="M419" s="2"/>
      <c r="N419" s="2"/>
      <c r="O419" s="2"/>
      <c r="P419" s="2"/>
      <c r="Q419" s="2"/>
      <c r="R419" s="2"/>
      <c r="S419" s="2"/>
    </row>
    <row r="420">
      <c r="A420" s="2"/>
      <c r="B420" s="2"/>
      <c r="C420" s="2"/>
      <c r="D420" s="2"/>
      <c r="E420" s="2"/>
      <c r="F420" s="2"/>
      <c r="G420" s="2"/>
      <c r="H420" s="2"/>
      <c r="I420" s="2"/>
      <c r="J420" s="2"/>
      <c r="K420" s="2"/>
      <c r="L420" s="2"/>
      <c r="M420" s="2"/>
      <c r="N420" s="2"/>
      <c r="O420" s="2"/>
      <c r="P420" s="2"/>
      <c r="Q420" s="2"/>
      <c r="R420" s="2"/>
      <c r="S420" s="2"/>
    </row>
    <row r="421">
      <c r="A421" s="2"/>
      <c r="B421" s="2"/>
      <c r="C421" s="2"/>
      <c r="D421" s="2"/>
      <c r="E421" s="2"/>
      <c r="F421" s="2"/>
      <c r="G421" s="2"/>
      <c r="H421" s="2"/>
      <c r="I421" s="2"/>
      <c r="J421" s="2"/>
      <c r="K421" s="2"/>
      <c r="L421" s="2"/>
      <c r="M421" s="2"/>
      <c r="N421" s="2"/>
      <c r="O421" s="2"/>
      <c r="P421" s="2"/>
      <c r="Q421" s="2"/>
      <c r="R421" s="2"/>
      <c r="S421" s="2"/>
    </row>
    <row r="422">
      <c r="A422" s="2"/>
      <c r="B422" s="2"/>
      <c r="C422" s="2"/>
      <c r="D422" s="2"/>
      <c r="E422" s="2"/>
      <c r="F422" s="2"/>
      <c r="G422" s="2"/>
      <c r="H422" s="2"/>
      <c r="I422" s="2"/>
      <c r="J422" s="2"/>
      <c r="K422" s="2"/>
      <c r="L422" s="2"/>
      <c r="M422" s="2"/>
      <c r="N422" s="2"/>
      <c r="O422" s="2"/>
      <c r="P422" s="2"/>
      <c r="Q422" s="2"/>
      <c r="R422" s="2"/>
      <c r="S422" s="2"/>
    </row>
    <row r="423">
      <c r="A423" s="2"/>
      <c r="B423" s="2"/>
      <c r="C423" s="2"/>
      <c r="D423" s="2"/>
      <c r="E423" s="2"/>
      <c r="F423" s="2"/>
      <c r="G423" s="2"/>
      <c r="H423" s="2"/>
      <c r="I423" s="2"/>
      <c r="J423" s="2"/>
      <c r="K423" s="2"/>
      <c r="L423" s="2"/>
      <c r="M423" s="2"/>
      <c r="N423" s="2"/>
      <c r="O423" s="2"/>
      <c r="P423" s="2"/>
      <c r="Q423" s="2"/>
      <c r="R423" s="2"/>
      <c r="S423" s="2"/>
    </row>
    <row r="424">
      <c r="A424" s="2"/>
      <c r="B424" s="2"/>
      <c r="C424" s="2"/>
      <c r="D424" s="2"/>
      <c r="E424" s="2"/>
      <c r="F424" s="2"/>
      <c r="G424" s="2"/>
      <c r="H424" s="2"/>
      <c r="I424" s="2"/>
      <c r="J424" s="2"/>
      <c r="K424" s="2"/>
      <c r="L424" s="2"/>
      <c r="M424" s="2"/>
      <c r="N424" s="2"/>
      <c r="O424" s="2"/>
      <c r="P424" s="2"/>
      <c r="Q424" s="2"/>
      <c r="R424" s="2"/>
      <c r="S424" s="2"/>
    </row>
    <row r="425">
      <c r="A425" s="2"/>
      <c r="B425" s="2"/>
      <c r="C425" s="2"/>
      <c r="D425" s="2"/>
      <c r="E425" s="2"/>
      <c r="F425" s="2"/>
      <c r="G425" s="2"/>
      <c r="H425" s="2"/>
      <c r="I425" s="2"/>
      <c r="J425" s="2"/>
      <c r="K425" s="2"/>
      <c r="L425" s="2"/>
      <c r="M425" s="2"/>
      <c r="N425" s="2"/>
      <c r="O425" s="2"/>
      <c r="P425" s="2"/>
      <c r="Q425" s="2"/>
      <c r="R425" s="2"/>
      <c r="S425" s="2"/>
    </row>
    <row r="426">
      <c r="A426" s="2"/>
      <c r="B426" s="2"/>
      <c r="C426" s="2"/>
      <c r="D426" s="2"/>
      <c r="E426" s="2"/>
      <c r="F426" s="2"/>
      <c r="G426" s="2"/>
      <c r="H426" s="2"/>
      <c r="I426" s="2"/>
      <c r="J426" s="2"/>
      <c r="K426" s="2"/>
      <c r="L426" s="2"/>
      <c r="M426" s="2"/>
      <c r="N426" s="2"/>
      <c r="O426" s="2"/>
      <c r="P426" s="2"/>
      <c r="Q426" s="2"/>
      <c r="R426" s="2"/>
      <c r="S426" s="2"/>
    </row>
    <row r="427">
      <c r="A427" s="2"/>
      <c r="B427" s="2"/>
      <c r="C427" s="2"/>
      <c r="D427" s="2"/>
      <c r="E427" s="2"/>
      <c r="F427" s="2"/>
      <c r="G427" s="2"/>
      <c r="H427" s="2"/>
      <c r="I427" s="2"/>
      <c r="J427" s="2"/>
      <c r="K427" s="2"/>
      <c r="L427" s="2"/>
      <c r="M427" s="2"/>
      <c r="N427" s="2"/>
      <c r="O427" s="2"/>
      <c r="P427" s="2"/>
      <c r="Q427" s="2"/>
      <c r="R427" s="2"/>
      <c r="S427" s="2"/>
    </row>
    <row r="428">
      <c r="A428" s="2"/>
      <c r="B428" s="2"/>
      <c r="C428" s="2"/>
      <c r="D428" s="2"/>
      <c r="E428" s="2"/>
      <c r="F428" s="2"/>
      <c r="G428" s="2"/>
      <c r="H428" s="2"/>
      <c r="I428" s="2"/>
      <c r="J428" s="2"/>
      <c r="K428" s="2"/>
      <c r="L428" s="2"/>
      <c r="M428" s="2"/>
      <c r="N428" s="2"/>
      <c r="O428" s="2"/>
      <c r="P428" s="2"/>
      <c r="Q428" s="2"/>
      <c r="R428" s="2"/>
      <c r="S428" s="2"/>
    </row>
    <row r="429">
      <c r="A429" s="2"/>
      <c r="B429" s="2"/>
      <c r="C429" s="2"/>
      <c r="D429" s="2"/>
      <c r="E429" s="2"/>
      <c r="F429" s="2"/>
      <c r="G429" s="2"/>
      <c r="H429" s="2"/>
      <c r="I429" s="2"/>
      <c r="J429" s="2"/>
      <c r="K429" s="2"/>
      <c r="L429" s="2"/>
      <c r="M429" s="2"/>
      <c r="N429" s="2"/>
      <c r="O429" s="2"/>
      <c r="P429" s="2"/>
      <c r="Q429" s="2"/>
      <c r="R429" s="2"/>
      <c r="S429" s="2"/>
    </row>
    <row r="430">
      <c r="A430" s="2"/>
      <c r="B430" s="2"/>
      <c r="C430" s="2"/>
      <c r="D430" s="2"/>
      <c r="E430" s="2"/>
      <c r="F430" s="2"/>
      <c r="G430" s="2"/>
      <c r="H430" s="2"/>
      <c r="I430" s="2"/>
      <c r="J430" s="2"/>
      <c r="K430" s="2"/>
      <c r="L430" s="2"/>
      <c r="M430" s="2"/>
      <c r="N430" s="2"/>
      <c r="O430" s="2"/>
      <c r="P430" s="2"/>
      <c r="Q430" s="2"/>
      <c r="R430" s="2"/>
      <c r="S430" s="2"/>
    </row>
    <row r="431">
      <c r="A431" s="2"/>
      <c r="B431" s="2"/>
      <c r="C431" s="2"/>
      <c r="D431" s="2"/>
      <c r="E431" s="2"/>
      <c r="F431" s="2"/>
      <c r="G431" s="2"/>
      <c r="H431" s="2"/>
      <c r="I431" s="2"/>
      <c r="J431" s="2"/>
      <c r="K431" s="2"/>
      <c r="L431" s="2"/>
      <c r="M431" s="2"/>
      <c r="N431" s="2"/>
      <c r="O431" s="2"/>
      <c r="P431" s="2"/>
      <c r="Q431" s="2"/>
      <c r="R431" s="2"/>
      <c r="S431" s="2"/>
    </row>
    <row r="432">
      <c r="A432" s="2"/>
      <c r="B432" s="2"/>
      <c r="C432" s="2"/>
      <c r="D432" s="2"/>
      <c r="E432" s="2"/>
      <c r="F432" s="2"/>
      <c r="G432" s="2"/>
      <c r="H432" s="2"/>
      <c r="I432" s="2"/>
      <c r="J432" s="2"/>
      <c r="K432" s="2"/>
      <c r="L432" s="2"/>
      <c r="M432" s="2"/>
      <c r="N432" s="2"/>
      <c r="O432" s="2"/>
      <c r="P432" s="2"/>
      <c r="Q432" s="2"/>
      <c r="R432" s="2"/>
      <c r="S432" s="2"/>
    </row>
    <row r="433">
      <c r="A433" s="2"/>
      <c r="B433" s="2"/>
      <c r="C433" s="2"/>
      <c r="D433" s="2"/>
      <c r="E433" s="2"/>
      <c r="F433" s="2"/>
      <c r="G433" s="2"/>
      <c r="H433" s="2"/>
      <c r="I433" s="2"/>
      <c r="J433" s="2"/>
      <c r="K433" s="2"/>
      <c r="L433" s="2"/>
      <c r="M433" s="2"/>
      <c r="N433" s="2"/>
      <c r="O433" s="2"/>
      <c r="P433" s="2"/>
      <c r="Q433" s="2"/>
      <c r="R433" s="2"/>
      <c r="S433" s="2"/>
    </row>
    <row r="434">
      <c r="A434" s="2"/>
      <c r="B434" s="2"/>
      <c r="C434" s="2"/>
      <c r="D434" s="2"/>
      <c r="E434" s="2"/>
      <c r="F434" s="2"/>
      <c r="G434" s="2"/>
      <c r="H434" s="2"/>
      <c r="I434" s="2"/>
      <c r="J434" s="2"/>
      <c r="K434" s="2"/>
      <c r="L434" s="2"/>
      <c r="M434" s="2"/>
      <c r="N434" s="2"/>
      <c r="O434" s="2"/>
      <c r="P434" s="2"/>
      <c r="Q434" s="2"/>
      <c r="R434" s="2"/>
      <c r="S434" s="2"/>
    </row>
    <row r="435">
      <c r="A435" s="2"/>
      <c r="B435" s="2"/>
      <c r="C435" s="2"/>
      <c r="D435" s="2"/>
      <c r="E435" s="2"/>
      <c r="F435" s="2"/>
      <c r="G435" s="2"/>
      <c r="H435" s="2"/>
      <c r="I435" s="2"/>
      <c r="J435" s="2"/>
      <c r="K435" s="2"/>
      <c r="L435" s="2"/>
      <c r="M435" s="2"/>
      <c r="N435" s="2"/>
      <c r="O435" s="2"/>
      <c r="P435" s="2"/>
      <c r="Q435" s="2"/>
      <c r="R435" s="2"/>
      <c r="S435" s="2"/>
    </row>
    <row r="436">
      <c r="A436" s="2"/>
      <c r="B436" s="2"/>
      <c r="C436" s="2"/>
      <c r="D436" s="2"/>
      <c r="E436" s="2"/>
      <c r="F436" s="2"/>
      <c r="G436" s="2"/>
      <c r="H436" s="2"/>
      <c r="I436" s="2"/>
      <c r="J436" s="2"/>
      <c r="K436" s="2"/>
      <c r="L436" s="2"/>
      <c r="M436" s="2"/>
      <c r="N436" s="2"/>
      <c r="O436" s="2"/>
      <c r="P436" s="2"/>
      <c r="Q436" s="2"/>
      <c r="R436" s="2"/>
      <c r="S436" s="2"/>
    </row>
    <row r="437">
      <c r="A437" s="2"/>
      <c r="B437" s="2"/>
      <c r="C437" s="2"/>
      <c r="D437" s="2"/>
      <c r="E437" s="2"/>
      <c r="F437" s="2"/>
      <c r="G437" s="2"/>
      <c r="H437" s="2"/>
      <c r="I437" s="2"/>
      <c r="J437" s="2"/>
      <c r="K437" s="2"/>
      <c r="L437" s="2"/>
      <c r="M437" s="2"/>
      <c r="N437" s="2"/>
      <c r="O437" s="2"/>
      <c r="P437" s="2"/>
      <c r="Q437" s="2"/>
      <c r="R437" s="2"/>
      <c r="S437" s="2"/>
    </row>
    <row r="438">
      <c r="A438" s="2"/>
      <c r="B438" s="2"/>
      <c r="C438" s="2"/>
      <c r="D438" s="2"/>
      <c r="E438" s="2"/>
      <c r="F438" s="2"/>
      <c r="G438" s="2"/>
      <c r="H438" s="2"/>
      <c r="I438" s="2"/>
      <c r="J438" s="2"/>
      <c r="K438" s="2"/>
      <c r="L438" s="2"/>
      <c r="M438" s="2"/>
      <c r="N438" s="2"/>
      <c r="O438" s="2"/>
      <c r="P438" s="2"/>
      <c r="Q438" s="2"/>
      <c r="R438" s="2"/>
      <c r="S438" s="2"/>
    </row>
    <row r="439">
      <c r="A439" s="2"/>
      <c r="B439" s="2"/>
      <c r="C439" s="2"/>
      <c r="D439" s="2"/>
      <c r="E439" s="2"/>
      <c r="F439" s="2"/>
      <c r="G439" s="2"/>
      <c r="H439" s="2"/>
      <c r="I439" s="2"/>
      <c r="J439" s="2"/>
      <c r="K439" s="2"/>
      <c r="L439" s="2"/>
      <c r="M439" s="2"/>
      <c r="N439" s="2"/>
      <c r="O439" s="2"/>
      <c r="P439" s="2"/>
      <c r="Q439" s="2"/>
      <c r="R439" s="2"/>
      <c r="S439" s="2"/>
    </row>
    <row r="440">
      <c r="A440" s="2"/>
      <c r="B440" s="2"/>
      <c r="C440" s="2"/>
      <c r="D440" s="2"/>
      <c r="E440" s="2"/>
      <c r="F440" s="2"/>
      <c r="G440" s="2"/>
      <c r="H440" s="2"/>
      <c r="I440" s="2"/>
      <c r="J440" s="2"/>
      <c r="K440" s="2"/>
      <c r="L440" s="2"/>
      <c r="M440" s="2"/>
      <c r="N440" s="2"/>
      <c r="O440" s="2"/>
      <c r="P440" s="2"/>
      <c r="Q440" s="2"/>
      <c r="R440" s="2"/>
      <c r="S440" s="2"/>
    </row>
    <row r="441">
      <c r="A441" s="2"/>
      <c r="B441" s="2"/>
      <c r="C441" s="2"/>
      <c r="D441" s="2"/>
      <c r="E441" s="2"/>
      <c r="F441" s="2"/>
      <c r="G441" s="2"/>
      <c r="H441" s="2"/>
      <c r="I441" s="2"/>
      <c r="J441" s="2"/>
      <c r="K441" s="2"/>
      <c r="L441" s="2"/>
      <c r="M441" s="2"/>
      <c r="N441" s="2"/>
      <c r="O441" s="2"/>
      <c r="P441" s="2"/>
      <c r="Q441" s="2"/>
      <c r="R441" s="2"/>
      <c r="S441" s="2"/>
    </row>
    <row r="442">
      <c r="A442" s="2"/>
      <c r="B442" s="2"/>
      <c r="C442" s="2"/>
      <c r="D442" s="2"/>
      <c r="E442" s="2"/>
      <c r="F442" s="2"/>
      <c r="G442" s="2"/>
      <c r="H442" s="2"/>
      <c r="I442" s="2"/>
      <c r="J442" s="2"/>
      <c r="K442" s="2"/>
      <c r="L442" s="2"/>
      <c r="M442" s="2"/>
      <c r="N442" s="2"/>
      <c r="O442" s="2"/>
      <c r="P442" s="2"/>
      <c r="Q442" s="2"/>
      <c r="R442" s="2"/>
      <c r="S442" s="2"/>
    </row>
    <row r="443">
      <c r="A443" s="2"/>
      <c r="B443" s="2"/>
      <c r="C443" s="2"/>
      <c r="D443" s="2"/>
      <c r="E443" s="2"/>
      <c r="F443" s="2"/>
      <c r="G443" s="2"/>
      <c r="H443" s="2"/>
      <c r="I443" s="2"/>
      <c r="J443" s="2"/>
      <c r="K443" s="2"/>
      <c r="L443" s="2"/>
      <c r="M443" s="2"/>
      <c r="N443" s="2"/>
      <c r="O443" s="2"/>
      <c r="P443" s="2"/>
      <c r="Q443" s="2"/>
      <c r="R443" s="2"/>
      <c r="S443" s="2"/>
    </row>
    <row r="444">
      <c r="A444" s="2"/>
      <c r="B444" s="2"/>
      <c r="C444" s="2"/>
      <c r="D444" s="2"/>
      <c r="E444" s="2"/>
      <c r="F444" s="2"/>
      <c r="G444" s="2"/>
      <c r="H444" s="2"/>
      <c r="I444" s="2"/>
      <c r="J444" s="2"/>
      <c r="K444" s="2"/>
      <c r="L444" s="2"/>
      <c r="M444" s="2"/>
      <c r="N444" s="2"/>
      <c r="O444" s="2"/>
      <c r="P444" s="2"/>
      <c r="Q444" s="2"/>
      <c r="R444" s="2"/>
      <c r="S444" s="2"/>
    </row>
    <row r="445">
      <c r="A445" s="2"/>
      <c r="B445" s="2"/>
      <c r="C445" s="2"/>
      <c r="D445" s="2"/>
      <c r="E445" s="2"/>
      <c r="F445" s="2"/>
      <c r="G445" s="2"/>
      <c r="H445" s="2"/>
      <c r="I445" s="2"/>
      <c r="J445" s="2"/>
      <c r="K445" s="2"/>
      <c r="L445" s="2"/>
      <c r="M445" s="2"/>
      <c r="N445" s="2"/>
      <c r="O445" s="2"/>
      <c r="P445" s="2"/>
      <c r="Q445" s="2"/>
      <c r="R445" s="2"/>
      <c r="S445" s="2"/>
    </row>
    <row r="446">
      <c r="A446" s="2"/>
      <c r="B446" s="2"/>
      <c r="C446" s="2"/>
      <c r="D446" s="2"/>
      <c r="E446" s="2"/>
      <c r="F446" s="2"/>
      <c r="G446" s="2"/>
      <c r="H446" s="2"/>
      <c r="I446" s="2"/>
      <c r="J446" s="2"/>
      <c r="K446" s="2"/>
      <c r="L446" s="2"/>
      <c r="M446" s="2"/>
      <c r="N446" s="2"/>
      <c r="O446" s="2"/>
      <c r="P446" s="2"/>
      <c r="Q446" s="2"/>
      <c r="R446" s="2"/>
      <c r="S446" s="2"/>
    </row>
    <row r="447">
      <c r="A447" s="2"/>
      <c r="B447" s="2"/>
      <c r="C447" s="2"/>
      <c r="D447" s="2"/>
      <c r="E447" s="2"/>
      <c r="F447" s="2"/>
      <c r="G447" s="2"/>
      <c r="H447" s="2"/>
      <c r="I447" s="2"/>
      <c r="J447" s="2"/>
      <c r="K447" s="2"/>
      <c r="L447" s="2"/>
      <c r="M447" s="2"/>
      <c r="N447" s="2"/>
      <c r="O447" s="2"/>
      <c r="P447" s="2"/>
      <c r="Q447" s="2"/>
      <c r="R447" s="2"/>
      <c r="S447" s="2"/>
    </row>
    <row r="448">
      <c r="A448" s="2"/>
      <c r="B448" s="2"/>
      <c r="C448" s="2"/>
      <c r="D448" s="2"/>
      <c r="E448" s="2"/>
      <c r="F448" s="2"/>
      <c r="G448" s="2"/>
      <c r="H448" s="2"/>
      <c r="I448" s="2"/>
      <c r="J448" s="2"/>
      <c r="K448" s="2"/>
      <c r="L448" s="2"/>
      <c r="M448" s="2"/>
      <c r="N448" s="2"/>
      <c r="O448" s="2"/>
      <c r="P448" s="2"/>
      <c r="Q448" s="2"/>
      <c r="R448" s="2"/>
      <c r="S448" s="2"/>
    </row>
    <row r="449">
      <c r="A449" s="2"/>
      <c r="B449" s="2"/>
      <c r="C449" s="2"/>
      <c r="D449" s="2"/>
      <c r="E449" s="2"/>
      <c r="F449" s="2"/>
      <c r="G449" s="2"/>
      <c r="H449" s="2"/>
      <c r="I449" s="2"/>
      <c r="J449" s="2"/>
      <c r="K449" s="2"/>
      <c r="L449" s="2"/>
      <c r="M449" s="2"/>
      <c r="N449" s="2"/>
      <c r="O449" s="2"/>
      <c r="P449" s="2"/>
      <c r="Q449" s="2"/>
      <c r="R449" s="2"/>
      <c r="S449" s="2"/>
    </row>
    <row r="450">
      <c r="A450" s="2"/>
      <c r="B450" s="2"/>
      <c r="C450" s="2"/>
      <c r="D450" s="2"/>
      <c r="E450" s="2"/>
      <c r="F450" s="2"/>
      <c r="G450" s="2"/>
      <c r="H450" s="2"/>
      <c r="I450" s="2"/>
      <c r="J450" s="2"/>
      <c r="K450" s="2"/>
      <c r="L450" s="2"/>
      <c r="M450" s="2"/>
      <c r="N450" s="2"/>
      <c r="O450" s="2"/>
      <c r="P450" s="2"/>
      <c r="Q450" s="2"/>
      <c r="R450" s="2"/>
      <c r="S450" s="2"/>
    </row>
    <row r="451">
      <c r="A451" s="2"/>
      <c r="B451" s="2"/>
      <c r="C451" s="2"/>
      <c r="D451" s="2"/>
      <c r="E451" s="2"/>
      <c r="F451" s="2"/>
      <c r="G451" s="2"/>
      <c r="H451" s="2"/>
      <c r="I451" s="2"/>
      <c r="J451" s="2"/>
      <c r="K451" s="2"/>
      <c r="L451" s="2"/>
      <c r="M451" s="2"/>
      <c r="N451" s="2"/>
      <c r="O451" s="2"/>
      <c r="P451" s="2"/>
      <c r="Q451" s="2"/>
      <c r="R451" s="2"/>
      <c r="S451" s="2"/>
    </row>
    <row r="452">
      <c r="A452" s="2"/>
      <c r="B452" s="2"/>
      <c r="C452" s="2"/>
      <c r="D452" s="2"/>
      <c r="E452" s="2"/>
      <c r="F452" s="2"/>
      <c r="G452" s="2"/>
      <c r="H452" s="2"/>
      <c r="I452" s="2"/>
      <c r="J452" s="2"/>
      <c r="K452" s="2"/>
      <c r="L452" s="2"/>
      <c r="M452" s="2"/>
      <c r="N452" s="2"/>
      <c r="O452" s="2"/>
      <c r="P452" s="2"/>
      <c r="Q452" s="2"/>
      <c r="R452" s="2"/>
      <c r="S452" s="2"/>
    </row>
    <row r="453">
      <c r="A453" s="2"/>
      <c r="B453" s="2"/>
      <c r="C453" s="2"/>
      <c r="D453" s="2"/>
      <c r="E453" s="2"/>
      <c r="F453" s="2"/>
      <c r="G453" s="2"/>
      <c r="H453" s="2"/>
      <c r="I453" s="2"/>
      <c r="J453" s="2"/>
      <c r="K453" s="2"/>
      <c r="L453" s="2"/>
      <c r="M453" s="2"/>
      <c r="N453" s="2"/>
      <c r="O453" s="2"/>
      <c r="P453" s="2"/>
      <c r="Q453" s="2"/>
      <c r="R453" s="2"/>
      <c r="S453" s="2"/>
    </row>
    <row r="454">
      <c r="A454" s="2"/>
      <c r="B454" s="2"/>
      <c r="C454" s="2"/>
      <c r="D454" s="2"/>
      <c r="E454" s="2"/>
      <c r="F454" s="2"/>
      <c r="G454" s="2"/>
      <c r="H454" s="2"/>
      <c r="I454" s="2"/>
      <c r="J454" s="2"/>
      <c r="K454" s="2"/>
      <c r="L454" s="2"/>
      <c r="M454" s="2"/>
      <c r="N454" s="2"/>
      <c r="O454" s="2"/>
      <c r="P454" s="2"/>
      <c r="Q454" s="2"/>
      <c r="R454" s="2"/>
      <c r="S454" s="2"/>
    </row>
    <row r="455">
      <c r="A455" s="2"/>
      <c r="B455" s="2"/>
      <c r="C455" s="2"/>
      <c r="D455" s="2"/>
      <c r="E455" s="2"/>
      <c r="F455" s="2"/>
      <c r="G455" s="2"/>
      <c r="H455" s="2"/>
      <c r="I455" s="2"/>
      <c r="J455" s="2"/>
      <c r="K455" s="2"/>
      <c r="L455" s="2"/>
      <c r="M455" s="2"/>
      <c r="N455" s="2"/>
      <c r="O455" s="2"/>
      <c r="P455" s="2"/>
      <c r="Q455" s="2"/>
      <c r="R455" s="2"/>
      <c r="S455" s="2"/>
    </row>
    <row r="456">
      <c r="A456" s="2"/>
      <c r="B456" s="2"/>
      <c r="C456" s="2"/>
      <c r="D456" s="2"/>
      <c r="E456" s="2"/>
      <c r="F456" s="2"/>
      <c r="G456" s="2"/>
      <c r="H456" s="2"/>
      <c r="I456" s="2"/>
      <c r="J456" s="2"/>
      <c r="K456" s="2"/>
      <c r="L456" s="2"/>
      <c r="M456" s="2"/>
      <c r="N456" s="2"/>
      <c r="O456" s="2"/>
      <c r="P456" s="2"/>
      <c r="Q456" s="2"/>
      <c r="R456" s="2"/>
      <c r="S456" s="2"/>
    </row>
    <row r="457">
      <c r="A457" s="2"/>
      <c r="B457" s="2"/>
      <c r="C457" s="2"/>
      <c r="D457" s="2"/>
      <c r="E457" s="2"/>
      <c r="F457" s="2"/>
      <c r="G457" s="2"/>
      <c r="H457" s="2"/>
      <c r="I457" s="2"/>
      <c r="J457" s="2"/>
      <c r="K457" s="2"/>
      <c r="L457" s="2"/>
      <c r="M457" s="2"/>
      <c r="N457" s="2"/>
      <c r="O457" s="2"/>
      <c r="P457" s="2"/>
      <c r="Q457" s="2"/>
      <c r="R457" s="2"/>
      <c r="S457" s="2"/>
    </row>
    <row r="458">
      <c r="A458" s="2"/>
      <c r="B458" s="2"/>
      <c r="C458" s="2"/>
      <c r="D458" s="2"/>
      <c r="E458" s="2"/>
      <c r="F458" s="2"/>
      <c r="G458" s="2"/>
      <c r="H458" s="2"/>
      <c r="I458" s="2"/>
      <c r="J458" s="2"/>
      <c r="K458" s="2"/>
      <c r="L458" s="2"/>
      <c r="M458" s="2"/>
      <c r="N458" s="2"/>
      <c r="O458" s="2"/>
      <c r="P458" s="2"/>
      <c r="Q458" s="2"/>
      <c r="R458" s="2"/>
      <c r="S458" s="2"/>
    </row>
    <row r="459">
      <c r="A459" s="2"/>
      <c r="B459" s="2"/>
      <c r="C459" s="2"/>
      <c r="D459" s="2"/>
      <c r="E459" s="2"/>
      <c r="F459" s="2"/>
      <c r="G459" s="2"/>
      <c r="H459" s="2"/>
      <c r="I459" s="2"/>
      <c r="J459" s="2"/>
      <c r="K459" s="2"/>
      <c r="L459" s="2"/>
      <c r="M459" s="2"/>
      <c r="N459" s="2"/>
      <c r="O459" s="2"/>
      <c r="P459" s="2"/>
      <c r="Q459" s="2"/>
      <c r="R459" s="2"/>
      <c r="S459" s="2"/>
    </row>
    <row r="460">
      <c r="A460" s="2"/>
      <c r="B460" s="2"/>
      <c r="C460" s="2"/>
      <c r="D460" s="2"/>
      <c r="E460" s="2"/>
      <c r="F460" s="2"/>
      <c r="G460" s="2"/>
      <c r="H460" s="2"/>
      <c r="I460" s="2"/>
      <c r="J460" s="2"/>
      <c r="K460" s="2"/>
      <c r="L460" s="2"/>
      <c r="M460" s="2"/>
      <c r="N460" s="2"/>
      <c r="O460" s="2"/>
      <c r="P460" s="2"/>
      <c r="Q460" s="2"/>
      <c r="R460" s="2"/>
      <c r="S460" s="2"/>
    </row>
    <row r="461">
      <c r="A461" s="2"/>
      <c r="B461" s="2"/>
      <c r="C461" s="2"/>
      <c r="D461" s="2"/>
      <c r="E461" s="2"/>
      <c r="F461" s="2"/>
      <c r="G461" s="2"/>
      <c r="H461" s="2"/>
      <c r="I461" s="2"/>
      <c r="J461" s="2"/>
      <c r="K461" s="2"/>
      <c r="L461" s="2"/>
      <c r="M461" s="2"/>
      <c r="N461" s="2"/>
      <c r="O461" s="2"/>
      <c r="P461" s="2"/>
      <c r="Q461" s="2"/>
      <c r="R461" s="2"/>
      <c r="S461" s="2"/>
    </row>
    <row r="462">
      <c r="A462" s="2"/>
      <c r="B462" s="2"/>
      <c r="C462" s="2"/>
      <c r="D462" s="2"/>
      <c r="E462" s="2"/>
      <c r="F462" s="2"/>
      <c r="G462" s="2"/>
      <c r="H462" s="2"/>
      <c r="I462" s="2"/>
      <c r="J462" s="2"/>
      <c r="K462" s="2"/>
      <c r="L462" s="2"/>
      <c r="M462" s="2"/>
      <c r="N462" s="2"/>
      <c r="O462" s="2"/>
      <c r="P462" s="2"/>
      <c r="Q462" s="2"/>
      <c r="R462" s="2"/>
      <c r="S462" s="2"/>
    </row>
    <row r="463">
      <c r="A463" s="2"/>
      <c r="B463" s="2"/>
      <c r="C463" s="2"/>
      <c r="D463" s="2"/>
      <c r="E463" s="2"/>
      <c r="F463" s="2"/>
      <c r="G463" s="2"/>
      <c r="H463" s="2"/>
      <c r="I463" s="2"/>
      <c r="J463" s="2"/>
      <c r="K463" s="2"/>
      <c r="L463" s="2"/>
      <c r="M463" s="2"/>
      <c r="N463" s="2"/>
      <c r="O463" s="2"/>
      <c r="P463" s="2"/>
      <c r="Q463" s="2"/>
      <c r="R463" s="2"/>
      <c r="S463" s="2"/>
    </row>
    <row r="464">
      <c r="A464" s="2"/>
      <c r="B464" s="2"/>
      <c r="C464" s="2"/>
      <c r="D464" s="2"/>
      <c r="E464" s="2"/>
      <c r="F464" s="2"/>
      <c r="G464" s="2"/>
      <c r="H464" s="2"/>
      <c r="I464" s="2"/>
      <c r="J464" s="2"/>
      <c r="K464" s="2"/>
      <c r="L464" s="2"/>
      <c r="M464" s="2"/>
      <c r="N464" s="2"/>
      <c r="O464" s="2"/>
      <c r="P464" s="2"/>
      <c r="Q464" s="2"/>
      <c r="R464" s="2"/>
      <c r="S464" s="2"/>
    </row>
    <row r="465">
      <c r="A465" s="2"/>
      <c r="B465" s="2"/>
      <c r="C465" s="2"/>
      <c r="D465" s="2"/>
      <c r="E465" s="2"/>
      <c r="F465" s="2"/>
      <c r="G465" s="2"/>
      <c r="H465" s="2"/>
      <c r="I465" s="2"/>
      <c r="J465" s="2"/>
      <c r="K465" s="2"/>
      <c r="L465" s="2"/>
      <c r="M465" s="2"/>
      <c r="N465" s="2"/>
      <c r="O465" s="2"/>
      <c r="P465" s="2"/>
      <c r="Q465" s="2"/>
      <c r="R465" s="2"/>
      <c r="S465" s="2"/>
    </row>
    <row r="466">
      <c r="A466" s="2"/>
      <c r="B466" s="2"/>
      <c r="C466" s="2"/>
      <c r="D466" s="2"/>
      <c r="E466" s="2"/>
      <c r="F466" s="2"/>
      <c r="G466" s="2"/>
      <c r="H466" s="2"/>
      <c r="I466" s="2"/>
      <c r="J466" s="2"/>
      <c r="K466" s="2"/>
      <c r="L466" s="2"/>
      <c r="M466" s="2"/>
      <c r="N466" s="2"/>
      <c r="O466" s="2"/>
      <c r="P466" s="2"/>
      <c r="Q466" s="2"/>
      <c r="R466" s="2"/>
      <c r="S466" s="2"/>
    </row>
    <row r="467">
      <c r="A467" s="2"/>
      <c r="B467" s="2"/>
      <c r="C467" s="2"/>
      <c r="D467" s="2"/>
      <c r="E467" s="2"/>
      <c r="F467" s="2"/>
      <c r="G467" s="2"/>
      <c r="H467" s="2"/>
      <c r="I467" s="2"/>
      <c r="J467" s="2"/>
      <c r="K467" s="2"/>
      <c r="L467" s="2"/>
      <c r="M467" s="2"/>
      <c r="N467" s="2"/>
      <c r="O467" s="2"/>
      <c r="P467" s="2"/>
      <c r="Q467" s="2"/>
      <c r="R467" s="2"/>
      <c r="S467" s="2"/>
    </row>
    <row r="468">
      <c r="A468" s="2"/>
      <c r="B468" s="2"/>
      <c r="C468" s="2"/>
      <c r="D468" s="2"/>
      <c r="E468" s="2"/>
      <c r="F468" s="2"/>
      <c r="G468" s="2"/>
      <c r="H468" s="2"/>
      <c r="I468" s="2"/>
      <c r="J468" s="2"/>
      <c r="K468" s="2"/>
      <c r="L468" s="2"/>
      <c r="M468" s="2"/>
      <c r="N468" s="2"/>
      <c r="O468" s="2"/>
      <c r="P468" s="2"/>
      <c r="Q468" s="2"/>
      <c r="R468" s="2"/>
      <c r="S468" s="2"/>
    </row>
    <row r="469">
      <c r="A469" s="2"/>
      <c r="B469" s="2"/>
      <c r="C469" s="2"/>
      <c r="D469" s="2"/>
      <c r="E469" s="2"/>
      <c r="F469" s="2"/>
      <c r="G469" s="2"/>
      <c r="H469" s="2"/>
      <c r="I469" s="2"/>
      <c r="J469" s="2"/>
      <c r="K469" s="2"/>
      <c r="L469" s="2"/>
      <c r="M469" s="2"/>
      <c r="N469" s="2"/>
      <c r="O469" s="2"/>
      <c r="P469" s="2"/>
      <c r="Q469" s="2"/>
      <c r="R469" s="2"/>
      <c r="S469" s="2"/>
    </row>
    <row r="470">
      <c r="A470" s="2"/>
      <c r="B470" s="2"/>
      <c r="C470" s="2"/>
      <c r="D470" s="2"/>
      <c r="E470" s="2"/>
      <c r="F470" s="2"/>
      <c r="G470" s="2"/>
      <c r="H470" s="2"/>
      <c r="I470" s="2"/>
      <c r="J470" s="2"/>
      <c r="K470" s="2"/>
      <c r="L470" s="2"/>
      <c r="M470" s="2"/>
      <c r="N470" s="2"/>
      <c r="O470" s="2"/>
      <c r="P470" s="2"/>
      <c r="Q470" s="2"/>
      <c r="R470" s="2"/>
      <c r="S470" s="2"/>
    </row>
    <row r="471">
      <c r="A471" s="2"/>
      <c r="B471" s="2"/>
      <c r="C471" s="2"/>
      <c r="D471" s="2"/>
      <c r="E471" s="2"/>
      <c r="F471" s="2"/>
      <c r="G471" s="2"/>
      <c r="H471" s="2"/>
      <c r="I471" s="2"/>
      <c r="J471" s="2"/>
      <c r="K471" s="2"/>
      <c r="L471" s="2"/>
      <c r="M471" s="2"/>
      <c r="N471" s="2"/>
      <c r="O471" s="2"/>
      <c r="P471" s="2"/>
      <c r="Q471" s="2"/>
      <c r="R471" s="2"/>
      <c r="S471" s="2"/>
    </row>
    <row r="472">
      <c r="A472" s="2"/>
      <c r="B472" s="2"/>
      <c r="C472" s="2"/>
      <c r="D472" s="2"/>
      <c r="E472" s="2"/>
      <c r="F472" s="2"/>
      <c r="G472" s="2"/>
      <c r="H472" s="2"/>
      <c r="I472" s="2"/>
      <c r="J472" s="2"/>
      <c r="K472" s="2"/>
      <c r="L472" s="2"/>
      <c r="M472" s="2"/>
      <c r="N472" s="2"/>
      <c r="O472" s="2"/>
      <c r="P472" s="2"/>
      <c r="Q472" s="2"/>
      <c r="R472" s="2"/>
      <c r="S472" s="2"/>
    </row>
    <row r="473">
      <c r="A473" s="2"/>
      <c r="B473" s="2"/>
      <c r="C473" s="2"/>
      <c r="D473" s="2"/>
      <c r="E473" s="2"/>
      <c r="F473" s="2"/>
      <c r="G473" s="2"/>
      <c r="H473" s="2"/>
      <c r="I473" s="2"/>
      <c r="J473" s="2"/>
      <c r="K473" s="2"/>
      <c r="L473" s="2"/>
      <c r="M473" s="2"/>
      <c r="N473" s="2"/>
      <c r="O473" s="2"/>
      <c r="P473" s="2"/>
      <c r="Q473" s="2"/>
      <c r="R473" s="2"/>
      <c r="S473" s="2"/>
    </row>
    <row r="474">
      <c r="A474" s="2"/>
      <c r="B474" s="2"/>
      <c r="C474" s="2"/>
      <c r="D474" s="2"/>
      <c r="E474" s="2"/>
      <c r="F474" s="2"/>
      <c r="G474" s="2"/>
      <c r="H474" s="2"/>
      <c r="I474" s="2"/>
      <c r="J474" s="2"/>
      <c r="K474" s="2"/>
      <c r="L474" s="2"/>
      <c r="M474" s="2"/>
      <c r="N474" s="2"/>
      <c r="O474" s="2"/>
      <c r="P474" s="2"/>
      <c r="Q474" s="2"/>
      <c r="R474" s="2"/>
      <c r="S474" s="2"/>
    </row>
    <row r="475">
      <c r="A475" s="2"/>
      <c r="B475" s="2"/>
      <c r="C475" s="2"/>
      <c r="D475" s="2"/>
      <c r="E475" s="2"/>
      <c r="F475" s="2"/>
      <c r="G475" s="2"/>
      <c r="H475" s="2"/>
      <c r="I475" s="2"/>
      <c r="J475" s="2"/>
      <c r="K475" s="2"/>
      <c r="L475" s="2"/>
      <c r="M475" s="2"/>
      <c r="N475" s="2"/>
      <c r="O475" s="2"/>
      <c r="P475" s="2"/>
      <c r="Q475" s="2"/>
      <c r="R475" s="2"/>
      <c r="S475" s="2"/>
    </row>
    <row r="476">
      <c r="A476" s="2"/>
      <c r="B476" s="2"/>
      <c r="C476" s="2"/>
      <c r="D476" s="2"/>
      <c r="E476" s="2"/>
      <c r="F476" s="2"/>
      <c r="G476" s="2"/>
      <c r="H476" s="2"/>
      <c r="I476" s="2"/>
      <c r="J476" s="2"/>
      <c r="K476" s="2"/>
      <c r="L476" s="2"/>
      <c r="M476" s="2"/>
      <c r="N476" s="2"/>
      <c r="O476" s="2"/>
      <c r="P476" s="2"/>
      <c r="Q476" s="2"/>
      <c r="R476" s="2"/>
      <c r="S476" s="2"/>
    </row>
    <row r="477">
      <c r="A477" s="2"/>
      <c r="B477" s="2"/>
      <c r="C477" s="2"/>
      <c r="D477" s="2"/>
      <c r="E477" s="2"/>
      <c r="F477" s="2"/>
      <c r="G477" s="2"/>
      <c r="H477" s="2"/>
      <c r="I477" s="2"/>
      <c r="J477" s="2"/>
      <c r="K477" s="2"/>
      <c r="L477" s="2"/>
      <c r="M477" s="2"/>
      <c r="N477" s="2"/>
      <c r="O477" s="2"/>
      <c r="P477" s="2"/>
      <c r="Q477" s="2"/>
      <c r="R477" s="2"/>
      <c r="S477" s="2"/>
    </row>
    <row r="478">
      <c r="A478" s="2"/>
      <c r="B478" s="2"/>
      <c r="C478" s="2"/>
      <c r="D478" s="2"/>
      <c r="E478" s="2"/>
      <c r="F478" s="2"/>
      <c r="G478" s="2"/>
      <c r="H478" s="2"/>
      <c r="I478" s="2"/>
      <c r="J478" s="2"/>
      <c r="K478" s="2"/>
      <c r="L478" s="2"/>
      <c r="M478" s="2"/>
      <c r="N478" s="2"/>
      <c r="O478" s="2"/>
      <c r="P478" s="2"/>
      <c r="Q478" s="2"/>
      <c r="R478" s="2"/>
      <c r="S478" s="2"/>
    </row>
    <row r="479">
      <c r="A479" s="2"/>
      <c r="B479" s="2"/>
      <c r="C479" s="2"/>
      <c r="D479" s="2"/>
      <c r="E479" s="2"/>
      <c r="F479" s="2"/>
      <c r="G479" s="2"/>
      <c r="H479" s="2"/>
      <c r="I479" s="2"/>
      <c r="J479" s="2"/>
      <c r="K479" s="2"/>
      <c r="L479" s="2"/>
      <c r="M479" s="2"/>
      <c r="N479" s="2"/>
      <c r="O479" s="2"/>
      <c r="P479" s="2"/>
      <c r="Q479" s="2"/>
      <c r="R479" s="2"/>
      <c r="S479" s="2"/>
    </row>
    <row r="480">
      <c r="A480" s="2"/>
      <c r="B480" s="2"/>
      <c r="C480" s="2"/>
      <c r="D480" s="2"/>
      <c r="E480" s="2"/>
      <c r="F480" s="2"/>
      <c r="G480" s="2"/>
      <c r="H480" s="2"/>
      <c r="I480" s="2"/>
      <c r="J480" s="2"/>
      <c r="K480" s="2"/>
      <c r="L480" s="2"/>
      <c r="M480" s="2"/>
      <c r="N480" s="2"/>
      <c r="O480" s="2"/>
      <c r="P480" s="2"/>
      <c r="Q480" s="2"/>
      <c r="R480" s="2"/>
      <c r="S480" s="2"/>
    </row>
    <row r="481">
      <c r="A481" s="2"/>
      <c r="B481" s="2"/>
      <c r="C481" s="2"/>
      <c r="D481" s="2"/>
      <c r="E481" s="2"/>
      <c r="F481" s="2"/>
      <c r="G481" s="2"/>
      <c r="H481" s="2"/>
      <c r="I481" s="2"/>
      <c r="J481" s="2"/>
      <c r="K481" s="2"/>
      <c r="L481" s="2"/>
      <c r="M481" s="2"/>
      <c r="N481" s="2"/>
      <c r="O481" s="2"/>
      <c r="P481" s="2"/>
      <c r="Q481" s="2"/>
      <c r="R481" s="2"/>
      <c r="S481" s="2"/>
    </row>
    <row r="482">
      <c r="A482" s="2"/>
      <c r="B482" s="2"/>
      <c r="C482" s="2"/>
      <c r="D482" s="2"/>
      <c r="E482" s="2"/>
      <c r="F482" s="2"/>
      <c r="G482" s="2"/>
      <c r="H482" s="2"/>
      <c r="I482" s="2"/>
      <c r="J482" s="2"/>
      <c r="K482" s="2"/>
      <c r="L482" s="2"/>
      <c r="M482" s="2"/>
      <c r="N482" s="2"/>
      <c r="O482" s="2"/>
      <c r="P482" s="2"/>
      <c r="Q482" s="2"/>
      <c r="R482" s="2"/>
      <c r="S482" s="2"/>
    </row>
    <row r="483">
      <c r="A483" s="2"/>
      <c r="B483" s="2"/>
      <c r="C483" s="2"/>
      <c r="D483" s="2"/>
      <c r="E483" s="2"/>
      <c r="F483" s="2"/>
      <c r="G483" s="2"/>
      <c r="H483" s="2"/>
      <c r="I483" s="2"/>
      <c r="J483" s="2"/>
      <c r="K483" s="2"/>
      <c r="L483" s="2"/>
      <c r="M483" s="2"/>
      <c r="N483" s="2"/>
      <c r="O483" s="2"/>
      <c r="P483" s="2"/>
      <c r="Q483" s="2"/>
      <c r="R483" s="2"/>
      <c r="S483" s="2"/>
    </row>
    <row r="484">
      <c r="A484" s="2"/>
      <c r="B484" s="2"/>
      <c r="C484" s="2"/>
      <c r="D484" s="2"/>
      <c r="E484" s="2"/>
      <c r="F484" s="2"/>
      <c r="G484" s="2"/>
      <c r="H484" s="2"/>
      <c r="I484" s="2"/>
      <c r="J484" s="2"/>
      <c r="K484" s="2"/>
      <c r="L484" s="2"/>
      <c r="M484" s="2"/>
      <c r="N484" s="2"/>
      <c r="O484" s="2"/>
      <c r="P484" s="2"/>
      <c r="Q484" s="2"/>
      <c r="R484" s="2"/>
      <c r="S484" s="2"/>
    </row>
    <row r="485">
      <c r="A485" s="2"/>
      <c r="B485" s="2"/>
      <c r="C485" s="2"/>
      <c r="D485" s="2"/>
      <c r="E485" s="2"/>
      <c r="F485" s="2"/>
      <c r="G485" s="2"/>
      <c r="H485" s="2"/>
      <c r="I485" s="2"/>
      <c r="J485" s="2"/>
      <c r="K485" s="2"/>
      <c r="L485" s="2"/>
      <c r="M485" s="2"/>
      <c r="N485" s="2"/>
      <c r="O485" s="2"/>
      <c r="P485" s="2"/>
      <c r="Q485" s="2"/>
      <c r="R485" s="2"/>
      <c r="S485" s="2"/>
    </row>
    <row r="486">
      <c r="A486" s="2"/>
      <c r="B486" s="2"/>
      <c r="C486" s="2"/>
      <c r="D486" s="2"/>
      <c r="E486" s="2"/>
      <c r="F486" s="2"/>
      <c r="G486" s="2"/>
      <c r="H486" s="2"/>
      <c r="I486" s="2"/>
      <c r="J486" s="2"/>
      <c r="K486" s="2"/>
      <c r="L486" s="2"/>
      <c r="M486" s="2"/>
      <c r="N486" s="2"/>
      <c r="O486" s="2"/>
      <c r="P486" s="2"/>
      <c r="Q486" s="2"/>
      <c r="R486" s="2"/>
      <c r="S486" s="2"/>
    </row>
    <row r="487">
      <c r="A487" s="2"/>
      <c r="B487" s="2"/>
      <c r="C487" s="2"/>
      <c r="D487" s="2"/>
      <c r="E487" s="2"/>
      <c r="F487" s="2"/>
      <c r="G487" s="2"/>
      <c r="H487" s="2"/>
      <c r="I487" s="2"/>
      <c r="J487" s="2"/>
      <c r="K487" s="2"/>
      <c r="L487" s="2"/>
      <c r="M487" s="2"/>
      <c r="N487" s="2"/>
      <c r="O487" s="2"/>
      <c r="P487" s="2"/>
      <c r="Q487" s="2"/>
      <c r="R487" s="2"/>
      <c r="S487" s="2"/>
    </row>
    <row r="488">
      <c r="A488" s="2"/>
      <c r="B488" s="2"/>
      <c r="C488" s="2"/>
      <c r="D488" s="2"/>
      <c r="E488" s="2"/>
      <c r="F488" s="2"/>
      <c r="G488" s="2"/>
      <c r="H488" s="2"/>
      <c r="I488" s="2"/>
      <c r="J488" s="2"/>
      <c r="K488" s="2"/>
      <c r="L488" s="2"/>
      <c r="M488" s="2"/>
      <c r="N488" s="2"/>
      <c r="O488" s="2"/>
      <c r="P488" s="2"/>
      <c r="Q488" s="2"/>
      <c r="R488" s="2"/>
      <c r="S488" s="2"/>
    </row>
    <row r="489">
      <c r="A489" s="2"/>
      <c r="B489" s="2"/>
      <c r="C489" s="2"/>
      <c r="D489" s="2"/>
      <c r="E489" s="2"/>
      <c r="F489" s="2"/>
      <c r="G489" s="2"/>
      <c r="H489" s="2"/>
      <c r="I489" s="2"/>
      <c r="J489" s="2"/>
      <c r="K489" s="2"/>
      <c r="L489" s="2"/>
      <c r="M489" s="2"/>
      <c r="N489" s="2"/>
      <c r="O489" s="2"/>
      <c r="P489" s="2"/>
      <c r="Q489" s="2"/>
      <c r="R489" s="2"/>
      <c r="S489" s="2"/>
    </row>
    <row r="490">
      <c r="A490" s="2"/>
      <c r="B490" s="2"/>
      <c r="C490" s="2"/>
      <c r="D490" s="2"/>
      <c r="E490" s="2"/>
      <c r="F490" s="2"/>
      <c r="G490" s="2"/>
      <c r="H490" s="2"/>
      <c r="I490" s="2"/>
      <c r="J490" s="2"/>
      <c r="K490" s="2"/>
      <c r="L490" s="2"/>
      <c r="M490" s="2"/>
      <c r="N490" s="2"/>
      <c r="O490" s="2"/>
      <c r="P490" s="2"/>
      <c r="Q490" s="2"/>
      <c r="R490" s="2"/>
      <c r="S490" s="2"/>
    </row>
    <row r="491">
      <c r="A491" s="2"/>
      <c r="B491" s="2"/>
      <c r="C491" s="2"/>
      <c r="D491" s="2"/>
      <c r="E491" s="2"/>
      <c r="F491" s="2"/>
      <c r="G491" s="2"/>
      <c r="H491" s="2"/>
      <c r="I491" s="2"/>
      <c r="J491" s="2"/>
      <c r="K491" s="2"/>
      <c r="L491" s="2"/>
      <c r="M491" s="2"/>
      <c r="N491" s="2"/>
      <c r="O491" s="2"/>
      <c r="P491" s="2"/>
      <c r="Q491" s="2"/>
      <c r="R491" s="2"/>
      <c r="S491" s="2"/>
    </row>
    <row r="492">
      <c r="A492" s="2"/>
      <c r="B492" s="2"/>
      <c r="C492" s="2"/>
      <c r="D492" s="2"/>
      <c r="E492" s="2"/>
      <c r="F492" s="2"/>
      <c r="G492" s="2"/>
      <c r="H492" s="2"/>
      <c r="I492" s="2"/>
      <c r="J492" s="2"/>
      <c r="K492" s="2"/>
      <c r="L492" s="2"/>
      <c r="M492" s="2"/>
      <c r="N492" s="2"/>
      <c r="O492" s="2"/>
      <c r="P492" s="2"/>
      <c r="Q492" s="2"/>
      <c r="R492" s="2"/>
      <c r="S492" s="2"/>
    </row>
    <row r="493">
      <c r="A493" s="2"/>
      <c r="B493" s="2"/>
      <c r="C493" s="2"/>
      <c r="D493" s="2"/>
      <c r="E493" s="2"/>
      <c r="F493" s="2"/>
      <c r="G493" s="2"/>
      <c r="H493" s="2"/>
      <c r="I493" s="2"/>
      <c r="J493" s="2"/>
      <c r="K493" s="2"/>
      <c r="L493" s="2"/>
      <c r="M493" s="2"/>
      <c r="N493" s="2"/>
      <c r="O493" s="2"/>
      <c r="P493" s="2"/>
      <c r="Q493" s="2"/>
      <c r="R493" s="2"/>
      <c r="S493" s="2"/>
    </row>
    <row r="494">
      <c r="A494" s="2"/>
      <c r="B494" s="2"/>
      <c r="C494" s="2"/>
      <c r="D494" s="2"/>
      <c r="E494" s="2"/>
      <c r="F494" s="2"/>
      <c r="G494" s="2"/>
      <c r="H494" s="2"/>
      <c r="I494" s="2"/>
      <c r="J494" s="2"/>
      <c r="K494" s="2"/>
      <c r="L494" s="2"/>
      <c r="M494" s="2"/>
      <c r="N494" s="2"/>
      <c r="O494" s="2"/>
      <c r="P494" s="2"/>
      <c r="Q494" s="2"/>
      <c r="R494" s="2"/>
      <c r="S494" s="2"/>
    </row>
    <row r="495">
      <c r="A495" s="2"/>
      <c r="B495" s="2"/>
      <c r="C495" s="2"/>
      <c r="D495" s="2"/>
      <c r="E495" s="2"/>
      <c r="F495" s="2"/>
      <c r="G495" s="2"/>
      <c r="H495" s="2"/>
      <c r="I495" s="2"/>
      <c r="J495" s="2"/>
      <c r="K495" s="2"/>
      <c r="L495" s="2"/>
      <c r="M495" s="2"/>
      <c r="N495" s="2"/>
      <c r="O495" s="2"/>
      <c r="P495" s="2"/>
      <c r="Q495" s="2"/>
      <c r="R495" s="2"/>
      <c r="S495" s="2"/>
    </row>
    <row r="496">
      <c r="A496" s="2"/>
      <c r="B496" s="2"/>
      <c r="C496" s="2"/>
      <c r="D496" s="2"/>
      <c r="E496" s="2"/>
      <c r="F496" s="2"/>
      <c r="G496" s="2"/>
      <c r="H496" s="2"/>
      <c r="I496" s="2"/>
      <c r="J496" s="2"/>
      <c r="K496" s="2"/>
      <c r="L496" s="2"/>
      <c r="M496" s="2"/>
      <c r="N496" s="2"/>
      <c r="O496" s="2"/>
      <c r="P496" s="2"/>
      <c r="Q496" s="2"/>
      <c r="R496" s="2"/>
      <c r="S496" s="2"/>
    </row>
    <row r="497">
      <c r="A497" s="2"/>
      <c r="B497" s="2"/>
      <c r="C497" s="2"/>
      <c r="D497" s="2"/>
      <c r="E497" s="2"/>
      <c r="F497" s="2"/>
      <c r="G497" s="2"/>
      <c r="H497" s="2"/>
      <c r="I497" s="2"/>
      <c r="J497" s="2"/>
      <c r="K497" s="2"/>
      <c r="L497" s="2"/>
      <c r="M497" s="2"/>
      <c r="N497" s="2"/>
      <c r="O497" s="2"/>
      <c r="P497" s="2"/>
      <c r="Q497" s="2"/>
      <c r="R497" s="2"/>
      <c r="S497" s="2"/>
    </row>
    <row r="498">
      <c r="A498" s="2"/>
      <c r="B498" s="2"/>
      <c r="C498" s="2"/>
      <c r="D498" s="2"/>
      <c r="E498" s="2"/>
      <c r="F498" s="2"/>
      <c r="G498" s="2"/>
      <c r="H498" s="2"/>
      <c r="I498" s="2"/>
      <c r="J498" s="2"/>
      <c r="K498" s="2"/>
      <c r="L498" s="2"/>
      <c r="M498" s="2"/>
      <c r="N498" s="2"/>
      <c r="O498" s="2"/>
      <c r="P498" s="2"/>
      <c r="Q498" s="2"/>
      <c r="R498" s="2"/>
      <c r="S498" s="2"/>
    </row>
    <row r="499">
      <c r="A499" s="2"/>
      <c r="B499" s="2"/>
      <c r="C499" s="2"/>
      <c r="D499" s="2"/>
      <c r="E499" s="2"/>
      <c r="F499" s="2"/>
      <c r="G499" s="2"/>
      <c r="H499" s="2"/>
      <c r="I499" s="2"/>
      <c r="J499" s="2"/>
      <c r="K499" s="2"/>
      <c r="L499" s="2"/>
      <c r="M499" s="2"/>
      <c r="N499" s="2"/>
      <c r="O499" s="2"/>
      <c r="P499" s="2"/>
      <c r="Q499" s="2"/>
      <c r="R499" s="2"/>
      <c r="S499" s="2"/>
    </row>
    <row r="500">
      <c r="A500" s="2"/>
      <c r="B500" s="2"/>
      <c r="C500" s="2"/>
      <c r="D500" s="2"/>
      <c r="E500" s="2"/>
      <c r="F500" s="2"/>
      <c r="G500" s="2"/>
      <c r="H500" s="2"/>
      <c r="I500" s="2"/>
      <c r="J500" s="2"/>
      <c r="K500" s="2"/>
      <c r="L500" s="2"/>
      <c r="M500" s="2"/>
      <c r="N500" s="2"/>
      <c r="O500" s="2"/>
      <c r="P500" s="2"/>
      <c r="Q500" s="2"/>
      <c r="R500" s="2"/>
      <c r="S500" s="2"/>
    </row>
    <row r="501">
      <c r="A501" s="2"/>
      <c r="B501" s="2"/>
      <c r="C501" s="2"/>
      <c r="D501" s="2"/>
      <c r="E501" s="2"/>
      <c r="F501" s="2"/>
      <c r="G501" s="2"/>
      <c r="H501" s="2"/>
      <c r="I501" s="2"/>
      <c r="J501" s="2"/>
      <c r="K501" s="2"/>
      <c r="L501" s="2"/>
      <c r="M501" s="2"/>
      <c r="N501" s="2"/>
      <c r="O501" s="2"/>
      <c r="P501" s="2"/>
      <c r="Q501" s="2"/>
      <c r="R501" s="2"/>
      <c r="S501" s="2"/>
    </row>
    <row r="502">
      <c r="A502" s="2"/>
      <c r="B502" s="2"/>
      <c r="C502" s="2"/>
      <c r="D502" s="2"/>
      <c r="E502" s="2"/>
      <c r="F502" s="2"/>
      <c r="G502" s="2"/>
      <c r="H502" s="2"/>
      <c r="I502" s="2"/>
      <c r="J502" s="2"/>
      <c r="K502" s="2"/>
      <c r="L502" s="2"/>
      <c r="M502" s="2"/>
      <c r="N502" s="2"/>
      <c r="O502" s="2"/>
      <c r="P502" s="2"/>
      <c r="Q502" s="2"/>
      <c r="R502" s="2"/>
      <c r="S502" s="2"/>
    </row>
    <row r="503">
      <c r="A503" s="2"/>
      <c r="B503" s="2"/>
      <c r="C503" s="2"/>
      <c r="D503" s="2"/>
      <c r="E503" s="2"/>
      <c r="F503" s="2"/>
      <c r="G503" s="2"/>
      <c r="H503" s="2"/>
      <c r="I503" s="2"/>
      <c r="J503" s="2"/>
      <c r="K503" s="2"/>
      <c r="L503" s="2"/>
      <c r="M503" s="2"/>
      <c r="N503" s="2"/>
      <c r="O503" s="2"/>
      <c r="P503" s="2"/>
      <c r="Q503" s="2"/>
      <c r="R503" s="2"/>
      <c r="S503" s="2"/>
    </row>
    <row r="504">
      <c r="A504" s="2"/>
      <c r="B504" s="2"/>
      <c r="C504" s="2"/>
      <c r="D504" s="2"/>
      <c r="E504" s="2"/>
      <c r="F504" s="2"/>
      <c r="G504" s="2"/>
      <c r="H504" s="2"/>
      <c r="I504" s="2"/>
      <c r="J504" s="2"/>
      <c r="K504" s="2"/>
      <c r="L504" s="2"/>
      <c r="M504" s="2"/>
      <c r="N504" s="2"/>
      <c r="O504" s="2"/>
      <c r="P504" s="2"/>
      <c r="Q504" s="2"/>
      <c r="R504" s="2"/>
      <c r="S504" s="2"/>
    </row>
    <row r="505">
      <c r="A505" s="2"/>
      <c r="B505" s="2"/>
      <c r="C505" s="2"/>
      <c r="D505" s="2"/>
      <c r="E505" s="2"/>
      <c r="F505" s="2"/>
      <c r="G505" s="2"/>
      <c r="H505" s="2"/>
      <c r="I505" s="2"/>
      <c r="J505" s="2"/>
      <c r="K505" s="2"/>
      <c r="L505" s="2"/>
      <c r="M505" s="2"/>
      <c r="N505" s="2"/>
      <c r="O505" s="2"/>
      <c r="P505" s="2"/>
      <c r="Q505" s="2"/>
      <c r="R505" s="2"/>
      <c r="S505" s="2"/>
    </row>
    <row r="506">
      <c r="A506" s="2"/>
      <c r="B506" s="2"/>
      <c r="C506" s="2"/>
      <c r="D506" s="2"/>
      <c r="E506" s="2"/>
      <c r="F506" s="2"/>
      <c r="G506" s="2"/>
      <c r="H506" s="2"/>
      <c r="I506" s="2"/>
      <c r="J506" s="2"/>
      <c r="K506" s="2"/>
      <c r="L506" s="2"/>
      <c r="M506" s="2"/>
      <c r="N506" s="2"/>
      <c r="O506" s="2"/>
      <c r="P506" s="2"/>
      <c r="Q506" s="2"/>
      <c r="R506" s="2"/>
      <c r="S506" s="2"/>
    </row>
    <row r="507">
      <c r="A507" s="2"/>
      <c r="B507" s="2"/>
      <c r="C507" s="2"/>
      <c r="D507" s="2"/>
      <c r="E507" s="2"/>
      <c r="F507" s="2"/>
      <c r="G507" s="2"/>
      <c r="H507" s="2"/>
      <c r="I507" s="2"/>
      <c r="J507" s="2"/>
      <c r="K507" s="2"/>
      <c r="L507" s="2"/>
      <c r="M507" s="2"/>
      <c r="N507" s="2"/>
      <c r="O507" s="2"/>
      <c r="P507" s="2"/>
      <c r="Q507" s="2"/>
      <c r="R507" s="2"/>
      <c r="S507" s="2"/>
    </row>
    <row r="508">
      <c r="A508" s="2"/>
      <c r="B508" s="2"/>
      <c r="C508" s="2"/>
      <c r="D508" s="2"/>
      <c r="E508" s="2"/>
      <c r="F508" s="2"/>
      <c r="G508" s="2"/>
      <c r="H508" s="2"/>
      <c r="I508" s="2"/>
      <c r="J508" s="2"/>
      <c r="K508" s="2"/>
      <c r="L508" s="2"/>
      <c r="M508" s="2"/>
      <c r="N508" s="2"/>
      <c r="O508" s="2"/>
      <c r="P508" s="2"/>
      <c r="Q508" s="2"/>
      <c r="R508" s="2"/>
      <c r="S508" s="2"/>
    </row>
    <row r="509">
      <c r="A509" s="2"/>
      <c r="B509" s="2"/>
      <c r="C509" s="2"/>
      <c r="D509" s="2"/>
      <c r="E509" s="2"/>
      <c r="F509" s="2"/>
      <c r="G509" s="2"/>
      <c r="H509" s="2"/>
      <c r="I509" s="2"/>
      <c r="J509" s="2"/>
      <c r="K509" s="2"/>
      <c r="L509" s="2"/>
      <c r="M509" s="2"/>
      <c r="N509" s="2"/>
      <c r="O509" s="2"/>
      <c r="P509" s="2"/>
      <c r="Q509" s="2"/>
      <c r="R509" s="2"/>
      <c r="S509" s="2"/>
    </row>
    <row r="510">
      <c r="A510" s="2"/>
      <c r="B510" s="2"/>
      <c r="C510" s="2"/>
      <c r="D510" s="2"/>
      <c r="E510" s="2"/>
      <c r="F510" s="2"/>
      <c r="G510" s="2"/>
      <c r="H510" s="2"/>
      <c r="I510" s="2"/>
      <c r="J510" s="2"/>
      <c r="K510" s="2"/>
      <c r="L510" s="2"/>
      <c r="M510" s="2"/>
      <c r="N510" s="2"/>
      <c r="O510" s="2"/>
      <c r="P510" s="2"/>
      <c r="Q510" s="2"/>
      <c r="R510" s="2"/>
      <c r="S510" s="2"/>
    </row>
    <row r="511">
      <c r="A511" s="2"/>
      <c r="B511" s="2"/>
      <c r="C511" s="2"/>
      <c r="D511" s="2"/>
      <c r="E511" s="2"/>
      <c r="F511" s="2"/>
      <c r="G511" s="2"/>
      <c r="H511" s="2"/>
      <c r="I511" s="2"/>
      <c r="J511" s="2"/>
      <c r="K511" s="2"/>
      <c r="L511" s="2"/>
      <c r="M511" s="2"/>
      <c r="N511" s="2"/>
      <c r="O511" s="2"/>
      <c r="P511" s="2"/>
      <c r="Q511" s="2"/>
      <c r="R511" s="2"/>
      <c r="S511" s="2"/>
    </row>
    <row r="512">
      <c r="A512" s="2"/>
      <c r="B512" s="2"/>
      <c r="C512" s="2"/>
      <c r="D512" s="2"/>
      <c r="E512" s="2"/>
      <c r="F512" s="2"/>
      <c r="G512" s="2"/>
      <c r="H512" s="2"/>
      <c r="I512" s="2"/>
      <c r="J512" s="2"/>
      <c r="K512" s="2"/>
      <c r="L512" s="2"/>
      <c r="M512" s="2"/>
      <c r="N512" s="2"/>
      <c r="O512" s="2"/>
      <c r="P512" s="2"/>
      <c r="Q512" s="2"/>
      <c r="R512" s="2"/>
      <c r="S512" s="2"/>
    </row>
    <row r="513">
      <c r="A513" s="2"/>
      <c r="B513" s="2"/>
      <c r="C513" s="2"/>
      <c r="D513" s="2"/>
      <c r="E513" s="2"/>
      <c r="F513" s="2"/>
      <c r="G513" s="2"/>
      <c r="H513" s="2"/>
      <c r="I513" s="2"/>
      <c r="J513" s="2"/>
      <c r="K513" s="2"/>
      <c r="L513" s="2"/>
      <c r="M513" s="2"/>
      <c r="N513" s="2"/>
      <c r="O513" s="2"/>
      <c r="P513" s="2"/>
      <c r="Q513" s="2"/>
      <c r="R513" s="2"/>
      <c r="S513" s="2"/>
    </row>
    <row r="514">
      <c r="A514" s="2"/>
      <c r="B514" s="2"/>
      <c r="C514" s="2"/>
      <c r="D514" s="2"/>
      <c r="E514" s="2"/>
      <c r="F514" s="2"/>
      <c r="G514" s="2"/>
      <c r="H514" s="2"/>
      <c r="I514" s="2"/>
      <c r="J514" s="2"/>
      <c r="K514" s="2"/>
      <c r="L514" s="2"/>
      <c r="M514" s="2"/>
      <c r="N514" s="2"/>
      <c r="O514" s="2"/>
      <c r="P514" s="2"/>
      <c r="Q514" s="2"/>
      <c r="R514" s="2"/>
      <c r="S514" s="2"/>
    </row>
    <row r="515">
      <c r="A515" s="2"/>
      <c r="B515" s="2"/>
      <c r="C515" s="2"/>
      <c r="D515" s="2"/>
      <c r="E515" s="2"/>
      <c r="F515" s="2"/>
      <c r="G515" s="2"/>
      <c r="H515" s="2"/>
      <c r="I515" s="2"/>
      <c r="J515" s="2"/>
      <c r="K515" s="2"/>
      <c r="L515" s="2"/>
      <c r="M515" s="2"/>
      <c r="N515" s="2"/>
      <c r="O515" s="2"/>
      <c r="P515" s="2"/>
      <c r="Q515" s="2"/>
      <c r="R515" s="2"/>
      <c r="S515" s="2"/>
    </row>
    <row r="516">
      <c r="A516" s="2"/>
      <c r="B516" s="2"/>
      <c r="C516" s="2"/>
      <c r="D516" s="2"/>
      <c r="E516" s="2"/>
      <c r="F516" s="2"/>
      <c r="G516" s="2"/>
      <c r="H516" s="2"/>
      <c r="I516" s="2"/>
      <c r="J516" s="2"/>
      <c r="K516" s="2"/>
      <c r="L516" s="2"/>
      <c r="M516" s="2"/>
      <c r="N516" s="2"/>
      <c r="O516" s="2"/>
      <c r="P516" s="2"/>
      <c r="Q516" s="2"/>
      <c r="R516" s="2"/>
      <c r="S516" s="2"/>
    </row>
    <row r="517">
      <c r="A517" s="2"/>
      <c r="B517" s="2"/>
      <c r="C517" s="2"/>
      <c r="D517" s="2"/>
      <c r="E517" s="2"/>
      <c r="F517" s="2"/>
      <c r="G517" s="2"/>
      <c r="H517" s="2"/>
      <c r="I517" s="2"/>
      <c r="J517" s="2"/>
      <c r="K517" s="2"/>
      <c r="L517" s="2"/>
      <c r="M517" s="2"/>
      <c r="N517" s="2"/>
      <c r="O517" s="2"/>
      <c r="P517" s="2"/>
      <c r="Q517" s="2"/>
      <c r="R517" s="2"/>
      <c r="S517" s="2"/>
    </row>
    <row r="518">
      <c r="A518" s="2"/>
      <c r="B518" s="2"/>
      <c r="C518" s="2"/>
      <c r="D518" s="2"/>
      <c r="E518" s="2"/>
      <c r="F518" s="2"/>
      <c r="G518" s="2"/>
      <c r="H518" s="2"/>
      <c r="I518" s="2"/>
      <c r="J518" s="2"/>
      <c r="K518" s="2"/>
      <c r="L518" s="2"/>
      <c r="M518" s="2"/>
      <c r="N518" s="2"/>
      <c r="O518" s="2"/>
      <c r="P518" s="2"/>
      <c r="Q518" s="2"/>
      <c r="R518" s="2"/>
      <c r="S518" s="2"/>
    </row>
    <row r="519">
      <c r="A519" s="2"/>
      <c r="B519" s="2"/>
      <c r="C519" s="2"/>
      <c r="D519" s="2"/>
      <c r="E519" s="2"/>
      <c r="F519" s="2"/>
      <c r="G519" s="2"/>
      <c r="H519" s="2"/>
      <c r="I519" s="2"/>
      <c r="J519" s="2"/>
      <c r="K519" s="2"/>
      <c r="L519" s="2"/>
      <c r="M519" s="2"/>
      <c r="N519" s="2"/>
      <c r="O519" s="2"/>
      <c r="P519" s="2"/>
      <c r="Q519" s="2"/>
      <c r="R519" s="2"/>
      <c r="S519" s="2"/>
    </row>
    <row r="520">
      <c r="A520" s="2"/>
      <c r="B520" s="2"/>
      <c r="C520" s="2"/>
      <c r="D520" s="2"/>
      <c r="E520" s="2"/>
      <c r="F520" s="2"/>
      <c r="G520" s="2"/>
      <c r="H520" s="2"/>
      <c r="I520" s="2"/>
      <c r="J520" s="2"/>
      <c r="K520" s="2"/>
      <c r="L520" s="2"/>
      <c r="M520" s="2"/>
      <c r="N520" s="2"/>
      <c r="O520" s="2"/>
      <c r="P520" s="2"/>
      <c r="Q520" s="2"/>
      <c r="R520" s="2"/>
      <c r="S520" s="2"/>
    </row>
    <row r="521">
      <c r="A521" s="2"/>
      <c r="B521" s="2"/>
      <c r="C521" s="2"/>
      <c r="D521" s="2"/>
      <c r="E521" s="2"/>
      <c r="F521" s="2"/>
      <c r="G521" s="2"/>
      <c r="H521" s="2"/>
      <c r="I521" s="2"/>
      <c r="J521" s="2"/>
      <c r="K521" s="2"/>
      <c r="L521" s="2"/>
      <c r="M521" s="2"/>
      <c r="N521" s="2"/>
      <c r="O521" s="2"/>
      <c r="P521" s="2"/>
      <c r="Q521" s="2"/>
      <c r="R521" s="2"/>
      <c r="S521" s="2"/>
    </row>
    <row r="522">
      <c r="A522" s="2"/>
      <c r="B522" s="2"/>
      <c r="C522" s="2"/>
      <c r="D522" s="2"/>
      <c r="E522" s="2"/>
      <c r="F522" s="2"/>
      <c r="G522" s="2"/>
      <c r="H522" s="2"/>
      <c r="I522" s="2"/>
      <c r="J522" s="2"/>
      <c r="K522" s="2"/>
      <c r="L522" s="2"/>
      <c r="M522" s="2"/>
      <c r="N522" s="2"/>
      <c r="O522" s="2"/>
      <c r="P522" s="2"/>
      <c r="Q522" s="2"/>
      <c r="R522" s="2"/>
      <c r="S522" s="2"/>
    </row>
    <row r="523">
      <c r="A523" s="2"/>
      <c r="B523" s="2"/>
      <c r="C523" s="2"/>
      <c r="D523" s="2"/>
      <c r="E523" s="2"/>
      <c r="F523" s="2"/>
      <c r="G523" s="2"/>
      <c r="H523" s="2"/>
      <c r="I523" s="2"/>
      <c r="J523" s="2"/>
      <c r="K523" s="2"/>
      <c r="L523" s="2"/>
      <c r="M523" s="2"/>
      <c r="N523" s="2"/>
      <c r="O523" s="2"/>
      <c r="P523" s="2"/>
      <c r="Q523" s="2"/>
      <c r="R523" s="2"/>
      <c r="S523" s="2"/>
    </row>
    <row r="524">
      <c r="A524" s="2"/>
      <c r="B524" s="2"/>
      <c r="C524" s="2"/>
      <c r="D524" s="2"/>
      <c r="E524" s="2"/>
      <c r="F524" s="2"/>
      <c r="G524" s="2"/>
      <c r="H524" s="2"/>
      <c r="I524" s="2"/>
      <c r="J524" s="2"/>
      <c r="K524" s="2"/>
      <c r="L524" s="2"/>
      <c r="M524" s="2"/>
      <c r="N524" s="2"/>
      <c r="O524" s="2"/>
      <c r="P524" s="2"/>
      <c r="Q524" s="2"/>
      <c r="R524" s="2"/>
      <c r="S524" s="2"/>
    </row>
    <row r="525">
      <c r="A525" s="2"/>
      <c r="B525" s="2"/>
      <c r="C525" s="2"/>
      <c r="D525" s="2"/>
      <c r="E525" s="2"/>
      <c r="F525" s="2"/>
      <c r="G525" s="2"/>
      <c r="H525" s="2"/>
      <c r="I525" s="2"/>
      <c r="J525" s="2"/>
      <c r="K525" s="2"/>
      <c r="L525" s="2"/>
      <c r="M525" s="2"/>
      <c r="N525" s="2"/>
      <c r="O525" s="2"/>
      <c r="P525" s="2"/>
      <c r="Q525" s="2"/>
      <c r="R525" s="2"/>
      <c r="S525" s="2"/>
    </row>
    <row r="526">
      <c r="A526" s="2"/>
      <c r="B526" s="2"/>
      <c r="C526" s="2"/>
      <c r="D526" s="2"/>
      <c r="E526" s="2"/>
      <c r="F526" s="2"/>
      <c r="G526" s="2"/>
      <c r="H526" s="2"/>
      <c r="I526" s="2"/>
      <c r="J526" s="2"/>
      <c r="K526" s="2"/>
      <c r="L526" s="2"/>
      <c r="M526" s="2"/>
      <c r="N526" s="2"/>
      <c r="O526" s="2"/>
      <c r="P526" s="2"/>
      <c r="Q526" s="2"/>
      <c r="R526" s="2"/>
      <c r="S526" s="2"/>
    </row>
    <row r="527">
      <c r="A527" s="2"/>
      <c r="B527" s="2"/>
      <c r="C527" s="2"/>
      <c r="D527" s="2"/>
      <c r="E527" s="2"/>
      <c r="F527" s="2"/>
      <c r="G527" s="2"/>
      <c r="H527" s="2"/>
      <c r="I527" s="2"/>
      <c r="J527" s="2"/>
      <c r="K527" s="2"/>
      <c r="L527" s="2"/>
      <c r="M527" s="2"/>
      <c r="N527" s="2"/>
      <c r="O527" s="2"/>
      <c r="P527" s="2"/>
      <c r="Q527" s="2"/>
      <c r="R527" s="2"/>
      <c r="S527" s="2"/>
    </row>
    <row r="528">
      <c r="A528" s="2"/>
      <c r="B528" s="2"/>
      <c r="C528" s="2"/>
      <c r="D528" s="2"/>
      <c r="E528" s="2"/>
      <c r="F528" s="2"/>
      <c r="G528" s="2"/>
      <c r="H528" s="2"/>
      <c r="I528" s="2"/>
      <c r="J528" s="2"/>
      <c r="K528" s="2"/>
      <c r="L528" s="2"/>
      <c r="M528" s="2"/>
      <c r="N528" s="2"/>
      <c r="O528" s="2"/>
      <c r="P528" s="2"/>
      <c r="Q528" s="2"/>
      <c r="R528" s="2"/>
      <c r="S528" s="2"/>
    </row>
    <row r="529">
      <c r="A529" s="2"/>
      <c r="B529" s="2"/>
      <c r="C529" s="2"/>
      <c r="D529" s="2"/>
      <c r="E529" s="2"/>
      <c r="F529" s="2"/>
      <c r="G529" s="2"/>
      <c r="H529" s="2"/>
      <c r="I529" s="2"/>
      <c r="J529" s="2"/>
      <c r="K529" s="2"/>
      <c r="L529" s="2"/>
      <c r="M529" s="2"/>
      <c r="N529" s="2"/>
      <c r="O529" s="2"/>
      <c r="P529" s="2"/>
      <c r="Q529" s="2"/>
      <c r="R529" s="2"/>
      <c r="S529" s="2"/>
    </row>
    <row r="530">
      <c r="A530" s="2"/>
      <c r="B530" s="2"/>
      <c r="C530" s="2"/>
      <c r="D530" s="2"/>
      <c r="E530" s="2"/>
      <c r="F530" s="2"/>
      <c r="G530" s="2"/>
      <c r="H530" s="2"/>
      <c r="I530" s="2"/>
      <c r="J530" s="2"/>
      <c r="K530" s="2"/>
      <c r="L530" s="2"/>
      <c r="M530" s="2"/>
      <c r="N530" s="2"/>
      <c r="O530" s="2"/>
      <c r="P530" s="2"/>
      <c r="Q530" s="2"/>
      <c r="R530" s="2"/>
      <c r="S530" s="2"/>
    </row>
    <row r="531">
      <c r="A531" s="2"/>
      <c r="B531" s="2"/>
      <c r="C531" s="2"/>
      <c r="D531" s="2"/>
      <c r="E531" s="2"/>
      <c r="F531" s="2"/>
      <c r="G531" s="2"/>
      <c r="H531" s="2"/>
      <c r="I531" s="2"/>
      <c r="J531" s="2"/>
      <c r="K531" s="2"/>
      <c r="L531" s="2"/>
      <c r="M531" s="2"/>
      <c r="N531" s="2"/>
      <c r="O531" s="2"/>
      <c r="P531" s="2"/>
      <c r="Q531" s="2"/>
      <c r="R531" s="2"/>
      <c r="S531" s="2"/>
    </row>
    <row r="532">
      <c r="A532" s="2"/>
      <c r="B532" s="2"/>
      <c r="C532" s="2"/>
      <c r="D532" s="2"/>
      <c r="E532" s="2"/>
      <c r="F532" s="2"/>
      <c r="G532" s="2"/>
      <c r="H532" s="2"/>
      <c r="I532" s="2"/>
      <c r="J532" s="2"/>
      <c r="K532" s="2"/>
      <c r="L532" s="2"/>
      <c r="M532" s="2"/>
      <c r="N532" s="2"/>
      <c r="O532" s="2"/>
      <c r="P532" s="2"/>
      <c r="Q532" s="2"/>
      <c r="R532" s="2"/>
      <c r="S532" s="2"/>
    </row>
    <row r="533">
      <c r="A533" s="2"/>
      <c r="B533" s="2"/>
      <c r="C533" s="2"/>
      <c r="D533" s="2"/>
      <c r="E533" s="2"/>
      <c r="F533" s="2"/>
      <c r="G533" s="2"/>
      <c r="H533" s="2"/>
      <c r="I533" s="2"/>
      <c r="J533" s="2"/>
      <c r="K533" s="2"/>
      <c r="L533" s="2"/>
      <c r="M533" s="2"/>
      <c r="N533" s="2"/>
      <c r="O533" s="2"/>
      <c r="P533" s="2"/>
      <c r="Q533" s="2"/>
      <c r="R533" s="2"/>
      <c r="S533" s="2"/>
    </row>
    <row r="534">
      <c r="A534" s="2"/>
      <c r="B534" s="2"/>
      <c r="C534" s="2"/>
      <c r="D534" s="2"/>
      <c r="E534" s="2"/>
      <c r="F534" s="2"/>
      <c r="G534" s="2"/>
      <c r="H534" s="2"/>
      <c r="I534" s="2"/>
      <c r="J534" s="2"/>
      <c r="K534" s="2"/>
      <c r="L534" s="2"/>
      <c r="M534" s="2"/>
      <c r="N534" s="2"/>
      <c r="O534" s="2"/>
      <c r="P534" s="2"/>
      <c r="Q534" s="2"/>
      <c r="R534" s="2"/>
      <c r="S534" s="2"/>
    </row>
    <row r="535">
      <c r="A535" s="2"/>
      <c r="B535" s="2"/>
      <c r="C535" s="2"/>
      <c r="D535" s="2"/>
      <c r="E535" s="2"/>
      <c r="F535" s="2"/>
      <c r="G535" s="2"/>
      <c r="H535" s="2"/>
      <c r="I535" s="2"/>
      <c r="J535" s="2"/>
      <c r="K535" s="2"/>
      <c r="L535" s="2"/>
      <c r="M535" s="2"/>
      <c r="N535" s="2"/>
      <c r="O535" s="2"/>
      <c r="P535" s="2"/>
      <c r="Q535" s="2"/>
      <c r="R535" s="2"/>
      <c r="S535" s="2"/>
    </row>
    <row r="536">
      <c r="A536" s="2"/>
      <c r="B536" s="2"/>
      <c r="C536" s="2"/>
      <c r="D536" s="2"/>
      <c r="E536" s="2"/>
      <c r="F536" s="2"/>
      <c r="G536" s="2"/>
      <c r="H536" s="2"/>
      <c r="I536" s="2"/>
      <c r="J536" s="2"/>
      <c r="K536" s="2"/>
      <c r="L536" s="2"/>
      <c r="M536" s="2"/>
      <c r="N536" s="2"/>
      <c r="O536" s="2"/>
      <c r="P536" s="2"/>
      <c r="Q536" s="2"/>
      <c r="R536" s="2"/>
      <c r="S536" s="2"/>
    </row>
    <row r="537">
      <c r="A537" s="2"/>
      <c r="B537" s="2"/>
      <c r="C537" s="2"/>
      <c r="D537" s="2"/>
      <c r="E537" s="2"/>
      <c r="F537" s="2"/>
      <c r="G537" s="2"/>
      <c r="H537" s="2"/>
      <c r="I537" s="2"/>
      <c r="J537" s="2"/>
      <c r="K537" s="2"/>
      <c r="L537" s="2"/>
      <c r="M537" s="2"/>
      <c r="N537" s="2"/>
      <c r="O537" s="2"/>
      <c r="P537" s="2"/>
      <c r="Q537" s="2"/>
      <c r="R537" s="2"/>
      <c r="S537" s="2"/>
    </row>
    <row r="538">
      <c r="A538" s="2"/>
      <c r="B538" s="2"/>
      <c r="C538" s="2"/>
      <c r="D538" s="2"/>
      <c r="E538" s="2"/>
      <c r="F538" s="2"/>
      <c r="G538" s="2"/>
      <c r="H538" s="2"/>
      <c r="I538" s="2"/>
      <c r="J538" s="2"/>
      <c r="K538" s="2"/>
      <c r="L538" s="2"/>
      <c r="M538" s="2"/>
      <c r="N538" s="2"/>
      <c r="O538" s="2"/>
      <c r="P538" s="2"/>
      <c r="Q538" s="2"/>
      <c r="R538" s="2"/>
      <c r="S538" s="2"/>
    </row>
    <row r="539">
      <c r="A539" s="2"/>
      <c r="B539" s="2"/>
      <c r="C539" s="2"/>
      <c r="D539" s="2"/>
      <c r="E539" s="2"/>
      <c r="F539" s="2"/>
      <c r="G539" s="2"/>
      <c r="H539" s="2"/>
      <c r="I539" s="2"/>
      <c r="J539" s="2"/>
      <c r="K539" s="2"/>
      <c r="L539" s="2"/>
      <c r="M539" s="2"/>
      <c r="N539" s="2"/>
      <c r="O539" s="2"/>
      <c r="P539" s="2"/>
      <c r="Q539" s="2"/>
      <c r="R539" s="2"/>
      <c r="S539" s="2"/>
    </row>
    <row r="540">
      <c r="A540" s="2"/>
      <c r="B540" s="2"/>
      <c r="C540" s="2"/>
      <c r="D540" s="2"/>
      <c r="E540" s="2"/>
      <c r="F540" s="2"/>
      <c r="G540" s="2"/>
      <c r="H540" s="2"/>
      <c r="I540" s="2"/>
      <c r="J540" s="2"/>
      <c r="K540" s="2"/>
      <c r="L540" s="2"/>
      <c r="M540" s="2"/>
      <c r="N540" s="2"/>
      <c r="O540" s="2"/>
      <c r="P540" s="2"/>
      <c r="Q540" s="2"/>
      <c r="R540" s="2"/>
      <c r="S540" s="2"/>
    </row>
    <row r="541">
      <c r="A541" s="2"/>
      <c r="B541" s="2"/>
      <c r="C541" s="2"/>
      <c r="D541" s="2"/>
      <c r="E541" s="2"/>
      <c r="F541" s="2"/>
      <c r="G541" s="2"/>
      <c r="H541" s="2"/>
      <c r="I541" s="2"/>
      <c r="J541" s="2"/>
      <c r="K541" s="2"/>
      <c r="L541" s="2"/>
      <c r="M541" s="2"/>
      <c r="N541" s="2"/>
      <c r="O541" s="2"/>
      <c r="P541" s="2"/>
      <c r="Q541" s="2"/>
      <c r="R541" s="2"/>
      <c r="S541" s="2"/>
    </row>
    <row r="542">
      <c r="A542" s="2"/>
      <c r="B542" s="2"/>
      <c r="C542" s="2"/>
      <c r="D542" s="2"/>
      <c r="E542" s="2"/>
      <c r="F542" s="2"/>
      <c r="G542" s="2"/>
      <c r="H542" s="2"/>
      <c r="I542" s="2"/>
      <c r="J542" s="2"/>
      <c r="K542" s="2"/>
      <c r="L542" s="2"/>
      <c r="M542" s="2"/>
      <c r="N542" s="2"/>
      <c r="O542" s="2"/>
      <c r="P542" s="2"/>
      <c r="Q542" s="2"/>
      <c r="R542" s="2"/>
      <c r="S542" s="2"/>
    </row>
    <row r="543">
      <c r="A543" s="2"/>
      <c r="B543" s="2"/>
      <c r="C543" s="2"/>
      <c r="D543" s="2"/>
      <c r="E543" s="2"/>
      <c r="F543" s="2"/>
      <c r="G543" s="2"/>
      <c r="H543" s="2"/>
      <c r="I543" s="2"/>
      <c r="J543" s="2"/>
      <c r="K543" s="2"/>
      <c r="L543" s="2"/>
      <c r="M543" s="2"/>
      <c r="N543" s="2"/>
      <c r="O543" s="2"/>
      <c r="P543" s="2"/>
      <c r="Q543" s="2"/>
      <c r="R543" s="2"/>
      <c r="S543" s="2"/>
    </row>
    <row r="544">
      <c r="A544" s="2"/>
      <c r="B544" s="2"/>
      <c r="C544" s="2"/>
      <c r="D544" s="2"/>
      <c r="E544" s="2"/>
      <c r="F544" s="2"/>
      <c r="G544" s="2"/>
      <c r="H544" s="2"/>
      <c r="I544" s="2"/>
      <c r="J544" s="2"/>
      <c r="K544" s="2"/>
      <c r="L544" s="2"/>
      <c r="M544" s="2"/>
      <c r="N544" s="2"/>
      <c r="O544" s="2"/>
      <c r="P544" s="2"/>
      <c r="Q544" s="2"/>
      <c r="R544" s="2"/>
      <c r="S544" s="2"/>
    </row>
    <row r="545">
      <c r="A545" s="2"/>
      <c r="B545" s="2"/>
      <c r="C545" s="2"/>
      <c r="D545" s="2"/>
      <c r="E545" s="2"/>
      <c r="F545" s="2"/>
      <c r="G545" s="2"/>
      <c r="H545" s="2"/>
      <c r="I545" s="2"/>
      <c r="J545" s="2"/>
      <c r="K545" s="2"/>
      <c r="L545" s="2"/>
      <c r="M545" s="2"/>
      <c r="N545" s="2"/>
      <c r="O545" s="2"/>
      <c r="P545" s="2"/>
      <c r="Q545" s="2"/>
      <c r="R545" s="2"/>
      <c r="S545" s="2"/>
    </row>
    <row r="546">
      <c r="A546" s="2"/>
      <c r="B546" s="2"/>
      <c r="C546" s="2"/>
      <c r="D546" s="2"/>
      <c r="E546" s="2"/>
      <c r="F546" s="2"/>
      <c r="G546" s="2"/>
      <c r="H546" s="2"/>
      <c r="I546" s="2"/>
      <c r="J546" s="2"/>
      <c r="K546" s="2"/>
      <c r="L546" s="2"/>
      <c r="M546" s="2"/>
      <c r="N546" s="2"/>
      <c r="O546" s="2"/>
      <c r="P546" s="2"/>
      <c r="Q546" s="2"/>
      <c r="R546" s="2"/>
      <c r="S546" s="2"/>
    </row>
    <row r="547">
      <c r="A547" s="2"/>
      <c r="B547" s="2"/>
      <c r="C547" s="2"/>
      <c r="D547" s="2"/>
      <c r="E547" s="2"/>
      <c r="F547" s="2"/>
      <c r="G547" s="2"/>
      <c r="H547" s="2"/>
      <c r="I547" s="2"/>
      <c r="J547" s="2"/>
      <c r="K547" s="2"/>
      <c r="L547" s="2"/>
      <c r="M547" s="2"/>
      <c r="N547" s="2"/>
      <c r="O547" s="2"/>
      <c r="P547" s="2"/>
      <c r="Q547" s="2"/>
      <c r="R547" s="2"/>
      <c r="S547" s="2"/>
    </row>
    <row r="548">
      <c r="A548" s="2"/>
      <c r="B548" s="2"/>
      <c r="C548" s="2"/>
      <c r="D548" s="2"/>
      <c r="E548" s="2"/>
      <c r="F548" s="2"/>
      <c r="G548" s="2"/>
      <c r="H548" s="2"/>
      <c r="I548" s="2"/>
      <c r="J548" s="2"/>
      <c r="K548" s="2"/>
      <c r="L548" s="2"/>
      <c r="M548" s="2"/>
      <c r="N548" s="2"/>
      <c r="O548" s="2"/>
      <c r="P548" s="2"/>
      <c r="Q548" s="2"/>
      <c r="R548" s="2"/>
      <c r="S548" s="2"/>
    </row>
    <row r="549">
      <c r="A549" s="2"/>
      <c r="B549" s="2"/>
      <c r="C549" s="2"/>
      <c r="D549" s="2"/>
      <c r="E549" s="2"/>
      <c r="F549" s="2"/>
      <c r="G549" s="2"/>
      <c r="H549" s="2"/>
      <c r="I549" s="2"/>
      <c r="J549" s="2"/>
      <c r="K549" s="2"/>
      <c r="L549" s="2"/>
      <c r="M549" s="2"/>
      <c r="N549" s="2"/>
      <c r="O549" s="2"/>
      <c r="P549" s="2"/>
      <c r="Q549" s="2"/>
      <c r="R549" s="2"/>
      <c r="S549" s="2"/>
    </row>
    <row r="550">
      <c r="A550" s="2"/>
      <c r="B550" s="2"/>
      <c r="C550" s="2"/>
      <c r="D550" s="2"/>
      <c r="E550" s="2"/>
      <c r="F550" s="2"/>
      <c r="G550" s="2"/>
      <c r="H550" s="2"/>
      <c r="I550" s="2"/>
      <c r="J550" s="2"/>
      <c r="K550" s="2"/>
      <c r="L550" s="2"/>
      <c r="M550" s="2"/>
      <c r="N550" s="2"/>
      <c r="O550" s="2"/>
      <c r="P550" s="2"/>
      <c r="Q550" s="2"/>
      <c r="R550" s="2"/>
      <c r="S550" s="2"/>
    </row>
    <row r="551">
      <c r="A551" s="2"/>
      <c r="B551" s="2"/>
      <c r="C551" s="2"/>
      <c r="D551" s="2"/>
      <c r="E551" s="2"/>
      <c r="F551" s="2"/>
      <c r="G551" s="2"/>
      <c r="H551" s="2"/>
      <c r="I551" s="2"/>
      <c r="J551" s="2"/>
      <c r="K551" s="2"/>
      <c r="L551" s="2"/>
      <c r="M551" s="2"/>
      <c r="N551" s="2"/>
      <c r="O551" s="2"/>
      <c r="P551" s="2"/>
      <c r="Q551" s="2"/>
      <c r="R551" s="2"/>
      <c r="S551" s="2"/>
    </row>
    <row r="552">
      <c r="A552" s="2"/>
      <c r="B552" s="2"/>
      <c r="C552" s="2"/>
      <c r="D552" s="2"/>
      <c r="E552" s="2"/>
      <c r="F552" s="2"/>
      <c r="G552" s="2"/>
      <c r="H552" s="2"/>
      <c r="I552" s="2"/>
      <c r="J552" s="2"/>
      <c r="K552" s="2"/>
      <c r="L552" s="2"/>
      <c r="M552" s="2"/>
      <c r="N552" s="2"/>
      <c r="O552" s="2"/>
      <c r="P552" s="2"/>
      <c r="Q552" s="2"/>
      <c r="R552" s="2"/>
      <c r="S552" s="2"/>
    </row>
    <row r="553">
      <c r="A553" s="2"/>
      <c r="B553" s="2"/>
      <c r="C553" s="2"/>
      <c r="D553" s="2"/>
      <c r="E553" s="2"/>
      <c r="F553" s="2"/>
      <c r="G553" s="2"/>
      <c r="H553" s="2"/>
      <c r="I553" s="2"/>
      <c r="J553" s="2"/>
      <c r="K553" s="2"/>
      <c r="L553" s="2"/>
      <c r="M553" s="2"/>
      <c r="N553" s="2"/>
      <c r="O553" s="2"/>
      <c r="P553" s="2"/>
      <c r="Q553" s="2"/>
      <c r="R553" s="2"/>
      <c r="S553" s="2"/>
    </row>
    <row r="554">
      <c r="A554" s="2"/>
      <c r="B554" s="2"/>
      <c r="C554" s="2"/>
      <c r="D554" s="2"/>
      <c r="E554" s="2"/>
      <c r="F554" s="2"/>
      <c r="G554" s="2"/>
      <c r="H554" s="2"/>
      <c r="I554" s="2"/>
      <c r="J554" s="2"/>
      <c r="K554" s="2"/>
      <c r="L554" s="2"/>
      <c r="M554" s="2"/>
      <c r="N554" s="2"/>
      <c r="O554" s="2"/>
      <c r="P554" s="2"/>
      <c r="Q554" s="2"/>
      <c r="R554" s="2"/>
      <c r="S554" s="2"/>
    </row>
    <row r="555">
      <c r="A555" s="2"/>
      <c r="B555" s="2"/>
      <c r="C555" s="2"/>
      <c r="D555" s="2"/>
      <c r="E555" s="2"/>
      <c r="F555" s="2"/>
      <c r="G555" s="2"/>
      <c r="H555" s="2"/>
      <c r="I555" s="2"/>
      <c r="J555" s="2"/>
      <c r="K555" s="2"/>
      <c r="L555" s="2"/>
      <c r="M555" s="2"/>
      <c r="N555" s="2"/>
      <c r="O555" s="2"/>
      <c r="P555" s="2"/>
      <c r="Q555" s="2"/>
      <c r="R555" s="2"/>
      <c r="S555" s="2"/>
    </row>
    <row r="556">
      <c r="A556" s="2"/>
      <c r="B556" s="2"/>
      <c r="C556" s="2"/>
      <c r="D556" s="2"/>
      <c r="E556" s="2"/>
      <c r="F556" s="2"/>
      <c r="G556" s="2"/>
      <c r="H556" s="2"/>
      <c r="I556" s="2"/>
      <c r="J556" s="2"/>
      <c r="K556" s="2"/>
      <c r="L556" s="2"/>
      <c r="M556" s="2"/>
      <c r="N556" s="2"/>
      <c r="O556" s="2"/>
      <c r="P556" s="2"/>
      <c r="Q556" s="2"/>
      <c r="R556" s="2"/>
      <c r="S556" s="2"/>
    </row>
    <row r="557">
      <c r="A557" s="2"/>
      <c r="B557" s="2"/>
      <c r="C557" s="2"/>
      <c r="D557" s="2"/>
      <c r="E557" s="2"/>
      <c r="F557" s="2"/>
      <c r="G557" s="2"/>
      <c r="H557" s="2"/>
      <c r="I557" s="2"/>
      <c r="J557" s="2"/>
      <c r="K557" s="2"/>
      <c r="L557" s="2"/>
      <c r="M557" s="2"/>
      <c r="N557" s="2"/>
      <c r="O557" s="2"/>
      <c r="P557" s="2"/>
      <c r="Q557" s="2"/>
      <c r="R557" s="2"/>
      <c r="S557" s="2"/>
    </row>
    <row r="558">
      <c r="A558" s="2"/>
      <c r="B558" s="2"/>
      <c r="C558" s="2"/>
      <c r="D558" s="2"/>
      <c r="E558" s="2"/>
      <c r="F558" s="2"/>
      <c r="G558" s="2"/>
      <c r="H558" s="2"/>
      <c r="I558" s="2"/>
      <c r="J558" s="2"/>
      <c r="K558" s="2"/>
      <c r="L558" s="2"/>
      <c r="M558" s="2"/>
      <c r="N558" s="2"/>
      <c r="O558" s="2"/>
      <c r="P558" s="2"/>
      <c r="Q558" s="2"/>
      <c r="R558" s="2"/>
      <c r="S558" s="2"/>
    </row>
    <row r="559">
      <c r="A559" s="2"/>
      <c r="B559" s="2"/>
      <c r="C559" s="2"/>
      <c r="D559" s="2"/>
      <c r="E559" s="2"/>
      <c r="F559" s="2"/>
      <c r="G559" s="2"/>
      <c r="H559" s="2"/>
      <c r="I559" s="2"/>
      <c r="J559" s="2"/>
      <c r="K559" s="2"/>
      <c r="L559" s="2"/>
      <c r="M559" s="2"/>
      <c r="N559" s="2"/>
      <c r="O559" s="2"/>
      <c r="P559" s="2"/>
      <c r="Q559" s="2"/>
      <c r="R559" s="2"/>
      <c r="S559" s="2"/>
    </row>
    <row r="560">
      <c r="A560" s="2"/>
      <c r="B560" s="2"/>
      <c r="C560" s="2"/>
      <c r="D560" s="2"/>
      <c r="E560" s="2"/>
      <c r="F560" s="2"/>
      <c r="G560" s="2"/>
      <c r="H560" s="2"/>
      <c r="I560" s="2"/>
      <c r="J560" s="2"/>
      <c r="K560" s="2"/>
      <c r="L560" s="2"/>
      <c r="M560" s="2"/>
      <c r="N560" s="2"/>
      <c r="O560" s="2"/>
      <c r="P560" s="2"/>
      <c r="Q560" s="2"/>
      <c r="R560" s="2"/>
      <c r="S560" s="2"/>
    </row>
    <row r="561">
      <c r="A561" s="2"/>
      <c r="B561" s="2"/>
      <c r="C561" s="2"/>
      <c r="D561" s="2"/>
      <c r="E561" s="2"/>
      <c r="F561" s="2"/>
      <c r="G561" s="2"/>
      <c r="H561" s="2"/>
      <c r="I561" s="2"/>
      <c r="J561" s="2"/>
      <c r="K561" s="2"/>
      <c r="L561" s="2"/>
      <c r="M561" s="2"/>
      <c r="N561" s="2"/>
      <c r="O561" s="2"/>
      <c r="P561" s="2"/>
      <c r="Q561" s="2"/>
      <c r="R561" s="2"/>
      <c r="S561" s="2"/>
    </row>
    <row r="562">
      <c r="A562" s="2"/>
      <c r="B562" s="2"/>
      <c r="C562" s="2"/>
      <c r="D562" s="2"/>
      <c r="E562" s="2"/>
      <c r="F562" s="2"/>
      <c r="G562" s="2"/>
      <c r="H562" s="2"/>
      <c r="I562" s="2"/>
      <c r="J562" s="2"/>
      <c r="K562" s="2"/>
      <c r="L562" s="2"/>
      <c r="M562" s="2"/>
      <c r="N562" s="2"/>
      <c r="O562" s="2"/>
      <c r="P562" s="2"/>
      <c r="Q562" s="2"/>
      <c r="R562" s="2"/>
      <c r="S562" s="2"/>
    </row>
    <row r="563">
      <c r="A563" s="2"/>
      <c r="B563" s="2"/>
      <c r="C563" s="2"/>
      <c r="D563" s="2"/>
      <c r="E563" s="2"/>
      <c r="F563" s="2"/>
      <c r="G563" s="2"/>
      <c r="H563" s="2"/>
      <c r="I563" s="2"/>
      <c r="J563" s="2"/>
      <c r="K563" s="2"/>
      <c r="L563" s="2"/>
      <c r="M563" s="2"/>
      <c r="N563" s="2"/>
      <c r="O563" s="2"/>
      <c r="P563" s="2"/>
      <c r="Q563" s="2"/>
      <c r="R563" s="2"/>
      <c r="S563" s="2"/>
    </row>
    <row r="564">
      <c r="A564" s="2"/>
      <c r="B564" s="2"/>
      <c r="C564" s="2"/>
      <c r="D564" s="2"/>
      <c r="E564" s="2"/>
      <c r="F564" s="2"/>
      <c r="G564" s="2"/>
      <c r="H564" s="2"/>
      <c r="I564" s="2"/>
      <c r="J564" s="2"/>
      <c r="K564" s="2"/>
      <c r="L564" s="2"/>
      <c r="M564" s="2"/>
      <c r="N564" s="2"/>
      <c r="O564" s="2"/>
      <c r="P564" s="2"/>
      <c r="Q564" s="2"/>
      <c r="R564" s="2"/>
      <c r="S564" s="2"/>
    </row>
    <row r="565">
      <c r="A565" s="2"/>
      <c r="B565" s="2"/>
      <c r="C565" s="2"/>
      <c r="D565" s="2"/>
      <c r="E565" s="2"/>
      <c r="F565" s="2"/>
      <c r="G565" s="2"/>
      <c r="H565" s="2"/>
      <c r="I565" s="2"/>
      <c r="J565" s="2"/>
      <c r="K565" s="2"/>
      <c r="L565" s="2"/>
      <c r="M565" s="2"/>
      <c r="N565" s="2"/>
      <c r="O565" s="2"/>
      <c r="P565" s="2"/>
      <c r="Q565" s="2"/>
      <c r="R565" s="2"/>
      <c r="S565" s="2"/>
    </row>
    <row r="566">
      <c r="A566" s="2"/>
      <c r="B566" s="2"/>
      <c r="C566" s="2"/>
      <c r="D566" s="2"/>
      <c r="E566" s="2"/>
      <c r="F566" s="2"/>
      <c r="G566" s="2"/>
      <c r="H566" s="2"/>
      <c r="I566" s="2"/>
      <c r="J566" s="2"/>
      <c r="K566" s="2"/>
      <c r="L566" s="2"/>
      <c r="M566" s="2"/>
      <c r="N566" s="2"/>
      <c r="O566" s="2"/>
      <c r="P566" s="2"/>
      <c r="Q566" s="2"/>
      <c r="R566" s="2"/>
      <c r="S566" s="2"/>
    </row>
    <row r="567">
      <c r="A567" s="2"/>
      <c r="B567" s="2"/>
      <c r="C567" s="2"/>
      <c r="D567" s="2"/>
      <c r="E567" s="2"/>
      <c r="F567" s="2"/>
      <c r="G567" s="2"/>
      <c r="H567" s="2"/>
      <c r="I567" s="2"/>
      <c r="J567" s="2"/>
      <c r="K567" s="2"/>
      <c r="L567" s="2"/>
      <c r="M567" s="2"/>
      <c r="N567" s="2"/>
      <c r="O567" s="2"/>
      <c r="P567" s="2"/>
      <c r="Q567" s="2"/>
      <c r="R567" s="2"/>
      <c r="S567" s="2"/>
    </row>
    <row r="568">
      <c r="A568" s="2"/>
      <c r="B568" s="2"/>
      <c r="C568" s="2"/>
      <c r="D568" s="2"/>
      <c r="E568" s="2"/>
      <c r="F568" s="2"/>
      <c r="G568" s="2"/>
      <c r="H568" s="2"/>
      <c r="I568" s="2"/>
      <c r="J568" s="2"/>
      <c r="K568" s="2"/>
      <c r="L568" s="2"/>
      <c r="M568" s="2"/>
      <c r="N568" s="2"/>
      <c r="O568" s="2"/>
      <c r="P568" s="2"/>
      <c r="Q568" s="2"/>
      <c r="R568" s="2"/>
      <c r="S568" s="2"/>
    </row>
    <row r="569">
      <c r="A569" s="2"/>
      <c r="B569" s="2"/>
      <c r="C569" s="2"/>
      <c r="D569" s="2"/>
      <c r="E569" s="2"/>
      <c r="F569" s="2"/>
      <c r="G569" s="2"/>
      <c r="H569" s="2"/>
      <c r="I569" s="2"/>
      <c r="J569" s="2"/>
      <c r="K569" s="2"/>
      <c r="L569" s="2"/>
      <c r="M569" s="2"/>
      <c r="N569" s="2"/>
      <c r="O569" s="2"/>
      <c r="P569" s="2"/>
      <c r="Q569" s="2"/>
      <c r="R569" s="2"/>
      <c r="S569" s="2"/>
    </row>
    <row r="570">
      <c r="A570" s="2"/>
      <c r="B570" s="2"/>
      <c r="C570" s="2"/>
      <c r="D570" s="2"/>
      <c r="E570" s="2"/>
      <c r="F570" s="2"/>
      <c r="G570" s="2"/>
      <c r="H570" s="2"/>
      <c r="I570" s="2"/>
      <c r="J570" s="2"/>
      <c r="K570" s="2"/>
      <c r="L570" s="2"/>
      <c r="M570" s="2"/>
      <c r="N570" s="2"/>
      <c r="O570" s="2"/>
      <c r="P570" s="2"/>
      <c r="Q570" s="2"/>
      <c r="R570" s="2"/>
      <c r="S570" s="2"/>
    </row>
    <row r="571">
      <c r="A571" s="2"/>
      <c r="B571" s="2"/>
      <c r="C571" s="2"/>
      <c r="D571" s="2"/>
      <c r="E571" s="2"/>
      <c r="F571" s="2"/>
      <c r="G571" s="2"/>
      <c r="H571" s="2"/>
      <c r="I571" s="2"/>
      <c r="J571" s="2"/>
      <c r="K571" s="2"/>
      <c r="L571" s="2"/>
      <c r="M571" s="2"/>
      <c r="N571" s="2"/>
      <c r="O571" s="2"/>
      <c r="P571" s="2"/>
      <c r="Q571" s="2"/>
      <c r="R571" s="2"/>
      <c r="S571" s="2"/>
    </row>
    <row r="572">
      <c r="A572" s="2"/>
      <c r="B572" s="2"/>
      <c r="C572" s="2"/>
      <c r="D572" s="2"/>
      <c r="E572" s="2"/>
      <c r="F572" s="2"/>
      <c r="G572" s="2"/>
      <c r="H572" s="2"/>
      <c r="I572" s="2"/>
      <c r="J572" s="2"/>
      <c r="K572" s="2"/>
      <c r="L572" s="2"/>
      <c r="M572" s="2"/>
      <c r="N572" s="2"/>
      <c r="O572" s="2"/>
      <c r="P572" s="2"/>
      <c r="Q572" s="2"/>
      <c r="R572" s="2"/>
      <c r="S572" s="2"/>
    </row>
    <row r="573">
      <c r="A573" s="2"/>
      <c r="B573" s="2"/>
      <c r="C573" s="2"/>
      <c r="D573" s="2"/>
      <c r="E573" s="2"/>
      <c r="F573" s="2"/>
      <c r="G573" s="2"/>
      <c r="H573" s="2"/>
      <c r="I573" s="2"/>
      <c r="J573" s="2"/>
      <c r="K573" s="2"/>
      <c r="L573" s="2"/>
      <c r="M573" s="2"/>
      <c r="N573" s="2"/>
      <c r="O573" s="2"/>
      <c r="P573" s="2"/>
      <c r="Q573" s="2"/>
      <c r="R573" s="2"/>
      <c r="S573" s="2"/>
    </row>
    <row r="574">
      <c r="A574" s="2"/>
      <c r="B574" s="2"/>
      <c r="C574" s="2"/>
      <c r="D574" s="2"/>
      <c r="E574" s="2"/>
      <c r="F574" s="2"/>
      <c r="G574" s="2"/>
      <c r="H574" s="2"/>
      <c r="I574" s="2"/>
      <c r="J574" s="2"/>
      <c r="K574" s="2"/>
      <c r="L574" s="2"/>
      <c r="M574" s="2"/>
      <c r="N574" s="2"/>
      <c r="O574" s="2"/>
      <c r="P574" s="2"/>
      <c r="Q574" s="2"/>
      <c r="R574" s="2"/>
      <c r="S574" s="2"/>
    </row>
    <row r="575">
      <c r="A575" s="2"/>
      <c r="B575" s="2"/>
      <c r="C575" s="2"/>
      <c r="D575" s="2"/>
      <c r="E575" s="2"/>
      <c r="F575" s="2"/>
      <c r="G575" s="2"/>
      <c r="H575" s="2"/>
      <c r="I575" s="2"/>
      <c r="J575" s="2"/>
      <c r="K575" s="2"/>
      <c r="L575" s="2"/>
      <c r="M575" s="2"/>
      <c r="N575" s="2"/>
      <c r="O575" s="2"/>
      <c r="P575" s="2"/>
      <c r="Q575" s="2"/>
      <c r="R575" s="2"/>
      <c r="S575" s="2"/>
    </row>
    <row r="576">
      <c r="A576" s="2"/>
      <c r="B576" s="2"/>
      <c r="C576" s="2"/>
      <c r="D576" s="2"/>
      <c r="E576" s="2"/>
      <c r="F576" s="2"/>
      <c r="G576" s="2"/>
      <c r="H576" s="2"/>
      <c r="I576" s="2"/>
      <c r="J576" s="2"/>
      <c r="K576" s="2"/>
      <c r="L576" s="2"/>
      <c r="M576" s="2"/>
      <c r="N576" s="2"/>
      <c r="O576" s="2"/>
      <c r="P576" s="2"/>
      <c r="Q576" s="2"/>
      <c r="R576" s="2"/>
      <c r="S576" s="2"/>
    </row>
    <row r="577">
      <c r="A577" s="2"/>
      <c r="B577" s="2"/>
      <c r="C577" s="2"/>
      <c r="D577" s="2"/>
      <c r="E577" s="2"/>
      <c r="F577" s="2"/>
      <c r="G577" s="2"/>
      <c r="H577" s="2"/>
      <c r="I577" s="2"/>
      <c r="J577" s="2"/>
      <c r="K577" s="2"/>
      <c r="L577" s="2"/>
      <c r="M577" s="2"/>
      <c r="N577" s="2"/>
      <c r="O577" s="2"/>
      <c r="P577" s="2"/>
      <c r="Q577" s="2"/>
      <c r="R577" s="2"/>
      <c r="S577" s="2"/>
    </row>
    <row r="578">
      <c r="A578" s="2"/>
      <c r="B578" s="2"/>
      <c r="C578" s="2"/>
      <c r="D578" s="2"/>
      <c r="E578" s="2"/>
      <c r="F578" s="2"/>
      <c r="G578" s="2"/>
      <c r="H578" s="2"/>
      <c r="I578" s="2"/>
      <c r="J578" s="2"/>
      <c r="K578" s="2"/>
      <c r="L578" s="2"/>
      <c r="M578" s="2"/>
      <c r="N578" s="2"/>
      <c r="O578" s="2"/>
      <c r="P578" s="2"/>
      <c r="Q578" s="2"/>
      <c r="R578" s="2"/>
      <c r="S578" s="2"/>
    </row>
    <row r="579">
      <c r="A579" s="2"/>
      <c r="B579" s="2"/>
      <c r="C579" s="2"/>
      <c r="D579" s="2"/>
      <c r="E579" s="2"/>
      <c r="F579" s="2"/>
      <c r="G579" s="2"/>
      <c r="H579" s="2"/>
      <c r="I579" s="2"/>
      <c r="J579" s="2"/>
      <c r="K579" s="2"/>
      <c r="L579" s="2"/>
      <c r="M579" s="2"/>
      <c r="N579" s="2"/>
      <c r="O579" s="2"/>
      <c r="P579" s="2"/>
      <c r="Q579" s="2"/>
      <c r="R579" s="2"/>
      <c r="S579" s="2"/>
    </row>
    <row r="580">
      <c r="A580" s="2"/>
      <c r="B580" s="2"/>
      <c r="C580" s="2"/>
      <c r="D580" s="2"/>
      <c r="E580" s="2"/>
      <c r="F580" s="2"/>
      <c r="G580" s="2"/>
      <c r="H580" s="2"/>
      <c r="I580" s="2"/>
      <c r="J580" s="2"/>
      <c r="K580" s="2"/>
      <c r="L580" s="2"/>
      <c r="M580" s="2"/>
      <c r="N580" s="2"/>
      <c r="O580" s="2"/>
      <c r="P580" s="2"/>
      <c r="Q580" s="2"/>
      <c r="R580" s="2"/>
      <c r="S580" s="2"/>
    </row>
    <row r="581">
      <c r="A581" s="2"/>
      <c r="B581" s="2"/>
      <c r="C581" s="2"/>
      <c r="D581" s="2"/>
      <c r="E581" s="2"/>
      <c r="F581" s="2"/>
      <c r="G581" s="2"/>
      <c r="H581" s="2"/>
      <c r="I581" s="2"/>
      <c r="J581" s="2"/>
      <c r="K581" s="2"/>
      <c r="L581" s="2"/>
      <c r="M581" s="2"/>
      <c r="N581" s="2"/>
      <c r="O581" s="2"/>
      <c r="P581" s="2"/>
      <c r="Q581" s="2"/>
      <c r="R581" s="2"/>
      <c r="S581" s="2"/>
    </row>
    <row r="582">
      <c r="A582" s="2"/>
      <c r="B582" s="2"/>
      <c r="C582" s="2"/>
      <c r="D582" s="2"/>
      <c r="E582" s="2"/>
      <c r="F582" s="2"/>
      <c r="G582" s="2"/>
      <c r="H582" s="2"/>
      <c r="I582" s="2"/>
      <c r="J582" s="2"/>
      <c r="K582" s="2"/>
      <c r="L582" s="2"/>
      <c r="M582" s="2"/>
      <c r="N582" s="2"/>
      <c r="O582" s="2"/>
      <c r="P582" s="2"/>
      <c r="Q582" s="2"/>
      <c r="R582" s="2"/>
      <c r="S582" s="2"/>
    </row>
    <row r="583">
      <c r="A583" s="2"/>
      <c r="B583" s="2"/>
      <c r="C583" s="2"/>
      <c r="D583" s="2"/>
      <c r="E583" s="2"/>
      <c r="F583" s="2"/>
      <c r="G583" s="2"/>
      <c r="H583" s="2"/>
      <c r="I583" s="2"/>
      <c r="J583" s="2"/>
      <c r="K583" s="2"/>
      <c r="L583" s="2"/>
      <c r="M583" s="2"/>
      <c r="N583" s="2"/>
      <c r="O583" s="2"/>
      <c r="P583" s="2"/>
      <c r="Q583" s="2"/>
      <c r="R583" s="2"/>
      <c r="S583" s="2"/>
    </row>
    <row r="584">
      <c r="A584" s="2"/>
      <c r="B584" s="2"/>
      <c r="C584" s="2"/>
      <c r="D584" s="2"/>
      <c r="E584" s="2"/>
      <c r="F584" s="2"/>
      <c r="G584" s="2"/>
      <c r="H584" s="2"/>
      <c r="I584" s="2"/>
      <c r="J584" s="2"/>
      <c r="K584" s="2"/>
      <c r="L584" s="2"/>
      <c r="M584" s="2"/>
      <c r="N584" s="2"/>
      <c r="O584" s="2"/>
      <c r="P584" s="2"/>
      <c r="Q584" s="2"/>
      <c r="R584" s="2"/>
      <c r="S584" s="2"/>
    </row>
    <row r="585">
      <c r="A585" s="2"/>
      <c r="B585" s="2"/>
      <c r="C585" s="2"/>
      <c r="D585" s="2"/>
      <c r="E585" s="2"/>
      <c r="F585" s="2"/>
      <c r="G585" s="2"/>
      <c r="H585" s="2"/>
      <c r="I585" s="2"/>
      <c r="J585" s="2"/>
      <c r="K585" s="2"/>
      <c r="L585" s="2"/>
      <c r="M585" s="2"/>
      <c r="N585" s="2"/>
      <c r="O585" s="2"/>
      <c r="P585" s="2"/>
      <c r="Q585" s="2"/>
      <c r="R585" s="2"/>
      <c r="S585" s="2"/>
    </row>
    <row r="586">
      <c r="A586" s="2"/>
      <c r="B586" s="2"/>
      <c r="C586" s="2"/>
      <c r="D586" s="2"/>
      <c r="E586" s="2"/>
      <c r="F586" s="2"/>
      <c r="G586" s="2"/>
      <c r="H586" s="2"/>
      <c r="I586" s="2"/>
      <c r="J586" s="2"/>
      <c r="K586" s="2"/>
      <c r="L586" s="2"/>
      <c r="M586" s="2"/>
      <c r="N586" s="2"/>
      <c r="O586" s="2"/>
      <c r="P586" s="2"/>
      <c r="Q586" s="2"/>
      <c r="R586" s="2"/>
      <c r="S586" s="2"/>
    </row>
    <row r="587">
      <c r="A587" s="2"/>
      <c r="B587" s="2"/>
      <c r="C587" s="2"/>
      <c r="D587" s="2"/>
      <c r="E587" s="2"/>
      <c r="F587" s="2"/>
      <c r="G587" s="2"/>
      <c r="H587" s="2"/>
      <c r="I587" s="2"/>
      <c r="J587" s="2"/>
      <c r="K587" s="2"/>
      <c r="L587" s="2"/>
      <c r="M587" s="2"/>
      <c r="N587" s="2"/>
      <c r="O587" s="2"/>
      <c r="P587" s="2"/>
      <c r="Q587" s="2"/>
      <c r="R587" s="2"/>
      <c r="S587" s="2"/>
    </row>
    <row r="588">
      <c r="A588" s="2"/>
      <c r="B588" s="2"/>
      <c r="C588" s="2"/>
      <c r="D588" s="2"/>
      <c r="E588" s="2"/>
      <c r="F588" s="2"/>
      <c r="G588" s="2"/>
      <c r="H588" s="2"/>
      <c r="I588" s="2"/>
      <c r="J588" s="2"/>
      <c r="K588" s="2"/>
      <c r="L588" s="2"/>
      <c r="M588" s="2"/>
      <c r="N588" s="2"/>
      <c r="O588" s="2"/>
      <c r="P588" s="2"/>
      <c r="Q588" s="2"/>
      <c r="R588" s="2"/>
      <c r="S588" s="2"/>
    </row>
    <row r="589">
      <c r="A589" s="2"/>
      <c r="B589" s="2"/>
      <c r="C589" s="2"/>
      <c r="D589" s="2"/>
      <c r="E589" s="2"/>
      <c r="F589" s="2"/>
      <c r="G589" s="2"/>
      <c r="H589" s="2"/>
      <c r="I589" s="2"/>
      <c r="J589" s="2"/>
      <c r="K589" s="2"/>
      <c r="L589" s="2"/>
      <c r="M589" s="2"/>
      <c r="N589" s="2"/>
      <c r="O589" s="2"/>
      <c r="P589" s="2"/>
      <c r="Q589" s="2"/>
      <c r="R589" s="2"/>
      <c r="S589" s="2"/>
    </row>
    <row r="590">
      <c r="A590" s="2"/>
      <c r="B590" s="2"/>
      <c r="C590" s="2"/>
      <c r="D590" s="2"/>
      <c r="E590" s="2"/>
      <c r="F590" s="2"/>
      <c r="G590" s="2"/>
      <c r="H590" s="2"/>
      <c r="I590" s="2"/>
      <c r="J590" s="2"/>
      <c r="K590" s="2"/>
      <c r="L590" s="2"/>
      <c r="M590" s="2"/>
      <c r="N590" s="2"/>
      <c r="O590" s="2"/>
      <c r="P590" s="2"/>
      <c r="Q590" s="2"/>
      <c r="R590" s="2"/>
      <c r="S590" s="2"/>
    </row>
    <row r="591">
      <c r="A591" s="2"/>
      <c r="B591" s="2"/>
      <c r="C591" s="2"/>
      <c r="D591" s="2"/>
      <c r="E591" s="2"/>
      <c r="F591" s="2"/>
      <c r="G591" s="2"/>
      <c r="H591" s="2"/>
      <c r="I591" s="2"/>
      <c r="J591" s="2"/>
      <c r="K591" s="2"/>
      <c r="L591" s="2"/>
      <c r="M591" s="2"/>
      <c r="N591" s="2"/>
      <c r="O591" s="2"/>
      <c r="P591" s="2"/>
      <c r="Q591" s="2"/>
      <c r="R591" s="2"/>
      <c r="S591" s="2"/>
    </row>
    <row r="592">
      <c r="A592" s="2"/>
      <c r="B592" s="2"/>
      <c r="C592" s="2"/>
      <c r="D592" s="2"/>
      <c r="E592" s="2"/>
      <c r="F592" s="2"/>
      <c r="G592" s="2"/>
      <c r="H592" s="2"/>
      <c r="I592" s="2"/>
      <c r="J592" s="2"/>
      <c r="K592" s="2"/>
      <c r="L592" s="2"/>
      <c r="M592" s="2"/>
      <c r="N592" s="2"/>
      <c r="O592" s="2"/>
      <c r="P592" s="2"/>
      <c r="Q592" s="2"/>
      <c r="R592" s="2"/>
      <c r="S592" s="2"/>
    </row>
    <row r="593">
      <c r="A593" s="2"/>
      <c r="B593" s="2"/>
      <c r="C593" s="2"/>
      <c r="D593" s="2"/>
      <c r="E593" s="2"/>
      <c r="F593" s="2"/>
      <c r="G593" s="2"/>
      <c r="H593" s="2"/>
      <c r="I593" s="2"/>
      <c r="J593" s="2"/>
      <c r="K593" s="2"/>
      <c r="L593" s="2"/>
      <c r="M593" s="2"/>
      <c r="N593" s="2"/>
      <c r="O593" s="2"/>
      <c r="P593" s="2"/>
      <c r="Q593" s="2"/>
      <c r="R593" s="2"/>
      <c r="S593" s="2"/>
    </row>
    <row r="594">
      <c r="A594" s="2"/>
      <c r="B594" s="2"/>
      <c r="C594" s="2"/>
      <c r="D594" s="2"/>
      <c r="E594" s="2"/>
      <c r="F594" s="2"/>
      <c r="G594" s="2"/>
      <c r="H594" s="2"/>
      <c r="I594" s="2"/>
      <c r="J594" s="2"/>
      <c r="K594" s="2"/>
      <c r="L594" s="2"/>
      <c r="M594" s="2"/>
      <c r="N594" s="2"/>
      <c r="O594" s="2"/>
      <c r="P594" s="2"/>
      <c r="Q594" s="2"/>
      <c r="R594" s="2"/>
      <c r="S594" s="2"/>
    </row>
    <row r="595">
      <c r="A595" s="2"/>
      <c r="B595" s="2"/>
      <c r="C595" s="2"/>
      <c r="D595" s="2"/>
      <c r="E595" s="2"/>
      <c r="F595" s="2"/>
      <c r="G595" s="2"/>
      <c r="H595" s="2"/>
      <c r="I595" s="2"/>
      <c r="J595" s="2"/>
      <c r="K595" s="2"/>
      <c r="L595" s="2"/>
      <c r="M595" s="2"/>
      <c r="N595" s="2"/>
      <c r="O595" s="2"/>
      <c r="P595" s="2"/>
      <c r="Q595" s="2"/>
      <c r="R595" s="2"/>
      <c r="S595" s="2"/>
    </row>
    <row r="596">
      <c r="A596" s="2"/>
      <c r="B596" s="2"/>
      <c r="C596" s="2"/>
      <c r="D596" s="2"/>
      <c r="E596" s="2"/>
      <c r="F596" s="2"/>
      <c r="G596" s="2"/>
      <c r="H596" s="2"/>
      <c r="I596" s="2"/>
      <c r="J596" s="2"/>
      <c r="K596" s="2"/>
      <c r="L596" s="2"/>
      <c r="M596" s="2"/>
      <c r="N596" s="2"/>
      <c r="O596" s="2"/>
      <c r="P596" s="2"/>
      <c r="Q596" s="2"/>
      <c r="R596" s="2"/>
      <c r="S596" s="2"/>
    </row>
    <row r="597">
      <c r="A597" s="2"/>
      <c r="B597" s="2"/>
      <c r="C597" s="2"/>
      <c r="D597" s="2"/>
      <c r="E597" s="2"/>
      <c r="F597" s="2"/>
      <c r="G597" s="2"/>
      <c r="H597" s="2"/>
      <c r="I597" s="2"/>
      <c r="J597" s="2"/>
      <c r="K597" s="2"/>
      <c r="L597" s="2"/>
      <c r="M597" s="2"/>
      <c r="N597" s="2"/>
      <c r="O597" s="2"/>
      <c r="P597" s="2"/>
      <c r="Q597" s="2"/>
      <c r="R597" s="2"/>
      <c r="S597" s="2"/>
    </row>
    <row r="598">
      <c r="A598" s="2"/>
      <c r="B598" s="2"/>
      <c r="C598" s="2"/>
      <c r="D598" s="2"/>
      <c r="E598" s="2"/>
      <c r="F598" s="2"/>
      <c r="G598" s="2"/>
      <c r="H598" s="2"/>
      <c r="I598" s="2"/>
      <c r="J598" s="2"/>
      <c r="K598" s="2"/>
      <c r="L598" s="2"/>
      <c r="M598" s="2"/>
      <c r="N598" s="2"/>
      <c r="O598" s="2"/>
      <c r="P598" s="2"/>
      <c r="Q598" s="2"/>
      <c r="R598" s="2"/>
      <c r="S598" s="2"/>
    </row>
    <row r="599">
      <c r="A599" s="2"/>
      <c r="B599" s="2"/>
      <c r="C599" s="2"/>
      <c r="D599" s="2"/>
      <c r="E599" s="2"/>
      <c r="F599" s="2"/>
      <c r="G599" s="2"/>
      <c r="H599" s="2"/>
      <c r="I599" s="2"/>
      <c r="J599" s="2"/>
      <c r="K599" s="2"/>
      <c r="L599" s="2"/>
      <c r="M599" s="2"/>
      <c r="N599" s="2"/>
      <c r="O599" s="2"/>
      <c r="P599" s="2"/>
      <c r="Q599" s="2"/>
      <c r="R599" s="2"/>
      <c r="S599" s="2"/>
    </row>
    <row r="600">
      <c r="A600" s="2"/>
      <c r="B600" s="2"/>
      <c r="C600" s="2"/>
      <c r="D600" s="2"/>
      <c r="E600" s="2"/>
      <c r="F600" s="2"/>
      <c r="G600" s="2"/>
      <c r="H600" s="2"/>
      <c r="I600" s="2"/>
      <c r="J600" s="2"/>
      <c r="K600" s="2"/>
      <c r="L600" s="2"/>
      <c r="M600" s="2"/>
      <c r="N600" s="2"/>
      <c r="O600" s="2"/>
      <c r="P600" s="2"/>
      <c r="Q600" s="2"/>
      <c r="R600" s="2"/>
      <c r="S600" s="2"/>
    </row>
    <row r="601">
      <c r="A601" s="2"/>
      <c r="B601" s="2"/>
      <c r="C601" s="2"/>
      <c r="D601" s="2"/>
      <c r="E601" s="2"/>
      <c r="F601" s="2"/>
      <c r="G601" s="2"/>
      <c r="H601" s="2"/>
      <c r="I601" s="2"/>
      <c r="J601" s="2"/>
      <c r="K601" s="2"/>
      <c r="L601" s="2"/>
      <c r="M601" s="2"/>
      <c r="N601" s="2"/>
      <c r="O601" s="2"/>
      <c r="P601" s="2"/>
      <c r="Q601" s="2"/>
      <c r="R601" s="2"/>
      <c r="S601" s="2"/>
    </row>
    <row r="602">
      <c r="A602" s="2"/>
      <c r="B602" s="2"/>
      <c r="C602" s="2"/>
      <c r="D602" s="2"/>
      <c r="E602" s="2"/>
      <c r="F602" s="2"/>
      <c r="G602" s="2"/>
      <c r="H602" s="2"/>
      <c r="I602" s="2"/>
      <c r="J602" s="2"/>
      <c r="K602" s="2"/>
      <c r="L602" s="2"/>
      <c r="M602" s="2"/>
      <c r="N602" s="2"/>
      <c r="O602" s="2"/>
      <c r="P602" s="2"/>
      <c r="Q602" s="2"/>
      <c r="R602" s="2"/>
      <c r="S602" s="2"/>
    </row>
    <row r="603">
      <c r="A603" s="2"/>
      <c r="B603" s="2"/>
      <c r="C603" s="2"/>
      <c r="D603" s="2"/>
      <c r="E603" s="2"/>
      <c r="F603" s="2"/>
      <c r="G603" s="2"/>
      <c r="H603" s="2"/>
      <c r="I603" s="2"/>
      <c r="J603" s="2"/>
      <c r="K603" s="2"/>
      <c r="L603" s="2"/>
      <c r="M603" s="2"/>
      <c r="N603" s="2"/>
      <c r="O603" s="2"/>
      <c r="P603" s="2"/>
      <c r="Q603" s="2"/>
      <c r="R603" s="2"/>
      <c r="S603" s="2"/>
    </row>
    <row r="604">
      <c r="A604" s="2"/>
      <c r="B604" s="2"/>
      <c r="C604" s="2"/>
      <c r="D604" s="2"/>
      <c r="E604" s="2"/>
      <c r="F604" s="2"/>
      <c r="G604" s="2"/>
      <c r="H604" s="2"/>
      <c r="I604" s="2"/>
      <c r="J604" s="2"/>
      <c r="K604" s="2"/>
      <c r="L604" s="2"/>
      <c r="M604" s="2"/>
      <c r="N604" s="2"/>
      <c r="O604" s="2"/>
      <c r="P604" s="2"/>
      <c r="Q604" s="2"/>
      <c r="R604" s="2"/>
      <c r="S604" s="2"/>
    </row>
    <row r="605">
      <c r="A605" s="2"/>
      <c r="B605" s="2"/>
      <c r="C605" s="2"/>
      <c r="D605" s="2"/>
      <c r="E605" s="2"/>
      <c r="F605" s="2"/>
      <c r="G605" s="2"/>
      <c r="H605" s="2"/>
      <c r="I605" s="2"/>
      <c r="J605" s="2"/>
      <c r="K605" s="2"/>
      <c r="L605" s="2"/>
      <c r="M605" s="2"/>
      <c r="N605" s="2"/>
      <c r="O605" s="2"/>
      <c r="P605" s="2"/>
      <c r="Q605" s="2"/>
      <c r="R605" s="2"/>
      <c r="S605" s="2"/>
    </row>
    <row r="606">
      <c r="A606" s="2"/>
      <c r="B606" s="2"/>
      <c r="C606" s="2"/>
      <c r="D606" s="2"/>
      <c r="E606" s="2"/>
      <c r="F606" s="2"/>
      <c r="G606" s="2"/>
      <c r="H606" s="2"/>
      <c r="I606" s="2"/>
      <c r="J606" s="2"/>
      <c r="K606" s="2"/>
      <c r="L606" s="2"/>
      <c r="M606" s="2"/>
      <c r="N606" s="2"/>
      <c r="O606" s="2"/>
      <c r="P606" s="2"/>
      <c r="Q606" s="2"/>
      <c r="R606" s="2"/>
      <c r="S606" s="2"/>
    </row>
    <row r="607">
      <c r="A607" s="2"/>
      <c r="B607" s="2"/>
      <c r="C607" s="2"/>
      <c r="D607" s="2"/>
      <c r="E607" s="2"/>
      <c r="F607" s="2"/>
      <c r="G607" s="2"/>
      <c r="H607" s="2"/>
      <c r="I607" s="2"/>
      <c r="J607" s="2"/>
      <c r="K607" s="2"/>
      <c r="L607" s="2"/>
      <c r="M607" s="2"/>
      <c r="N607" s="2"/>
      <c r="O607" s="2"/>
      <c r="P607" s="2"/>
      <c r="Q607" s="2"/>
      <c r="R607" s="2"/>
      <c r="S607" s="2"/>
    </row>
    <row r="608">
      <c r="A608" s="2"/>
      <c r="B608" s="2"/>
      <c r="C608" s="2"/>
      <c r="D608" s="2"/>
      <c r="E608" s="2"/>
      <c r="F608" s="2"/>
      <c r="G608" s="2"/>
      <c r="H608" s="2"/>
      <c r="I608" s="2"/>
      <c r="J608" s="2"/>
      <c r="K608" s="2"/>
      <c r="L608" s="2"/>
      <c r="M608" s="2"/>
      <c r="N608" s="2"/>
      <c r="O608" s="2"/>
      <c r="P608" s="2"/>
      <c r="Q608" s="2"/>
      <c r="R608" s="2"/>
      <c r="S608" s="2"/>
    </row>
    <row r="609">
      <c r="A609" s="2"/>
      <c r="B609" s="2"/>
      <c r="C609" s="2"/>
      <c r="D609" s="2"/>
      <c r="E609" s="2"/>
      <c r="F609" s="2"/>
      <c r="G609" s="2"/>
      <c r="H609" s="2"/>
      <c r="I609" s="2"/>
      <c r="J609" s="2"/>
      <c r="K609" s="2"/>
      <c r="L609" s="2"/>
      <c r="M609" s="2"/>
      <c r="N609" s="2"/>
      <c r="O609" s="2"/>
      <c r="P609" s="2"/>
      <c r="Q609" s="2"/>
      <c r="R609" s="2"/>
      <c r="S609" s="2"/>
    </row>
    <row r="610">
      <c r="A610" s="2"/>
      <c r="B610" s="2"/>
      <c r="C610" s="2"/>
      <c r="D610" s="2"/>
      <c r="E610" s="2"/>
      <c r="F610" s="2"/>
      <c r="G610" s="2"/>
      <c r="H610" s="2"/>
      <c r="I610" s="2"/>
      <c r="J610" s="2"/>
      <c r="K610" s="2"/>
      <c r="L610" s="2"/>
      <c r="M610" s="2"/>
      <c r="N610" s="2"/>
      <c r="O610" s="2"/>
      <c r="P610" s="2"/>
      <c r="Q610" s="2"/>
      <c r="R610" s="2"/>
      <c r="S610" s="2"/>
    </row>
    <row r="611">
      <c r="A611" s="2"/>
      <c r="B611" s="2"/>
      <c r="C611" s="2"/>
      <c r="D611" s="2"/>
      <c r="E611" s="2"/>
      <c r="F611" s="2"/>
      <c r="G611" s="2"/>
      <c r="H611" s="2"/>
      <c r="I611" s="2"/>
      <c r="J611" s="2"/>
      <c r="K611" s="2"/>
      <c r="L611" s="2"/>
      <c r="M611" s="2"/>
      <c r="N611" s="2"/>
      <c r="O611" s="2"/>
      <c r="P611" s="2"/>
      <c r="Q611" s="2"/>
      <c r="R611" s="2"/>
      <c r="S611" s="2"/>
    </row>
    <row r="612">
      <c r="A612" s="2"/>
      <c r="B612" s="2"/>
      <c r="C612" s="2"/>
      <c r="D612" s="2"/>
      <c r="E612" s="2"/>
      <c r="F612" s="2"/>
      <c r="G612" s="2"/>
      <c r="H612" s="2"/>
      <c r="I612" s="2"/>
      <c r="J612" s="2"/>
      <c r="K612" s="2"/>
      <c r="L612" s="2"/>
      <c r="M612" s="2"/>
      <c r="N612" s="2"/>
      <c r="O612" s="2"/>
      <c r="P612" s="2"/>
      <c r="Q612" s="2"/>
      <c r="R612" s="2"/>
      <c r="S612" s="2"/>
    </row>
    <row r="613">
      <c r="A613" s="2"/>
      <c r="B613" s="2"/>
      <c r="C613" s="2"/>
      <c r="D613" s="2"/>
      <c r="E613" s="2"/>
      <c r="F613" s="2"/>
      <c r="G613" s="2"/>
      <c r="H613" s="2"/>
      <c r="I613" s="2"/>
      <c r="J613" s="2"/>
      <c r="K613" s="2"/>
      <c r="L613" s="2"/>
      <c r="M613" s="2"/>
      <c r="N613" s="2"/>
      <c r="O613" s="2"/>
      <c r="P613" s="2"/>
      <c r="Q613" s="2"/>
      <c r="R613" s="2"/>
      <c r="S613" s="2"/>
    </row>
    <row r="614">
      <c r="A614" s="2"/>
      <c r="B614" s="2"/>
      <c r="C614" s="2"/>
      <c r="D614" s="2"/>
      <c r="E614" s="2"/>
      <c r="F614" s="2"/>
      <c r="G614" s="2"/>
      <c r="H614" s="2"/>
      <c r="I614" s="2"/>
      <c r="J614" s="2"/>
      <c r="K614" s="2"/>
      <c r="L614" s="2"/>
      <c r="M614" s="2"/>
      <c r="N614" s="2"/>
      <c r="O614" s="2"/>
      <c r="P614" s="2"/>
      <c r="Q614" s="2"/>
      <c r="R614" s="2"/>
      <c r="S614" s="2"/>
    </row>
    <row r="615">
      <c r="A615" s="2"/>
      <c r="B615" s="2"/>
      <c r="C615" s="2"/>
      <c r="D615" s="2"/>
      <c r="E615" s="2"/>
      <c r="F615" s="2"/>
      <c r="G615" s="2"/>
      <c r="H615" s="2"/>
      <c r="I615" s="2"/>
      <c r="J615" s="2"/>
      <c r="K615" s="2"/>
      <c r="L615" s="2"/>
      <c r="M615" s="2"/>
      <c r="N615" s="2"/>
      <c r="O615" s="2"/>
      <c r="P615" s="2"/>
      <c r="Q615" s="2"/>
      <c r="R615" s="2"/>
      <c r="S615" s="2"/>
    </row>
    <row r="616">
      <c r="A616" s="2"/>
      <c r="B616" s="2"/>
      <c r="C616" s="2"/>
      <c r="D616" s="2"/>
      <c r="E616" s="2"/>
      <c r="F616" s="2"/>
      <c r="G616" s="2"/>
      <c r="H616" s="2"/>
      <c r="I616" s="2"/>
      <c r="J616" s="2"/>
      <c r="K616" s="2"/>
      <c r="L616" s="2"/>
      <c r="M616" s="2"/>
      <c r="N616" s="2"/>
      <c r="O616" s="2"/>
      <c r="P616" s="2"/>
      <c r="Q616" s="2"/>
      <c r="R616" s="2"/>
      <c r="S616" s="2"/>
    </row>
    <row r="617">
      <c r="A617" s="2"/>
      <c r="B617" s="2"/>
      <c r="C617" s="2"/>
      <c r="D617" s="2"/>
      <c r="E617" s="2"/>
      <c r="F617" s="2"/>
      <c r="G617" s="2"/>
      <c r="H617" s="2"/>
      <c r="I617" s="2"/>
      <c r="J617" s="2"/>
      <c r="K617" s="2"/>
      <c r="L617" s="2"/>
      <c r="M617" s="2"/>
      <c r="N617" s="2"/>
      <c r="O617" s="2"/>
      <c r="P617" s="2"/>
      <c r="Q617" s="2"/>
      <c r="R617" s="2"/>
      <c r="S617" s="2"/>
    </row>
    <row r="618">
      <c r="A618" s="2"/>
      <c r="B618" s="2"/>
      <c r="C618" s="2"/>
      <c r="D618" s="2"/>
      <c r="E618" s="2"/>
      <c r="F618" s="2"/>
      <c r="G618" s="2"/>
      <c r="H618" s="2"/>
      <c r="I618" s="2"/>
      <c r="J618" s="2"/>
      <c r="K618" s="2"/>
      <c r="L618" s="2"/>
      <c r="M618" s="2"/>
      <c r="N618" s="2"/>
      <c r="O618" s="2"/>
      <c r="P618" s="2"/>
      <c r="Q618" s="2"/>
      <c r="R618" s="2"/>
      <c r="S618" s="2"/>
    </row>
    <row r="619">
      <c r="A619" s="2"/>
      <c r="B619" s="2"/>
      <c r="C619" s="2"/>
      <c r="D619" s="2"/>
      <c r="E619" s="2"/>
      <c r="F619" s="2"/>
      <c r="G619" s="2"/>
      <c r="H619" s="2"/>
      <c r="I619" s="2"/>
      <c r="J619" s="2"/>
      <c r="K619" s="2"/>
      <c r="L619" s="2"/>
      <c r="M619" s="2"/>
      <c r="N619" s="2"/>
      <c r="O619" s="2"/>
      <c r="P619" s="2"/>
      <c r="Q619" s="2"/>
      <c r="R619" s="2"/>
      <c r="S619" s="2"/>
    </row>
    <row r="620">
      <c r="A620" s="2"/>
      <c r="B620" s="2"/>
      <c r="C620" s="2"/>
      <c r="D620" s="2"/>
      <c r="E620" s="2"/>
      <c r="F620" s="2"/>
      <c r="G620" s="2"/>
      <c r="H620" s="2"/>
      <c r="I620" s="2"/>
      <c r="J620" s="2"/>
      <c r="K620" s="2"/>
      <c r="L620" s="2"/>
      <c r="M620" s="2"/>
      <c r="N620" s="2"/>
      <c r="O620" s="2"/>
      <c r="P620" s="2"/>
      <c r="Q620" s="2"/>
      <c r="R620" s="2"/>
      <c r="S620" s="2"/>
    </row>
    <row r="621">
      <c r="A621" s="2"/>
      <c r="B621" s="2"/>
      <c r="C621" s="2"/>
      <c r="D621" s="2"/>
      <c r="E621" s="2"/>
      <c r="F621" s="2"/>
      <c r="G621" s="2"/>
      <c r="H621" s="2"/>
      <c r="I621" s="2"/>
      <c r="J621" s="2"/>
      <c r="K621" s="2"/>
      <c r="L621" s="2"/>
      <c r="M621" s="2"/>
      <c r="N621" s="2"/>
      <c r="O621" s="2"/>
      <c r="P621" s="2"/>
      <c r="Q621" s="2"/>
      <c r="R621" s="2"/>
      <c r="S621" s="2"/>
    </row>
    <row r="622">
      <c r="A622" s="2"/>
      <c r="B622" s="2"/>
      <c r="C622" s="2"/>
      <c r="D622" s="2"/>
      <c r="E622" s="2"/>
      <c r="F622" s="2"/>
      <c r="G622" s="2"/>
      <c r="H622" s="2"/>
      <c r="I622" s="2"/>
      <c r="J622" s="2"/>
      <c r="K622" s="2"/>
      <c r="L622" s="2"/>
      <c r="M622" s="2"/>
      <c r="N622" s="2"/>
      <c r="O622" s="2"/>
      <c r="P622" s="2"/>
      <c r="Q622" s="2"/>
      <c r="R622" s="2"/>
      <c r="S622" s="2"/>
    </row>
    <row r="623">
      <c r="A623" s="2"/>
      <c r="B623" s="2"/>
      <c r="C623" s="2"/>
      <c r="D623" s="2"/>
      <c r="E623" s="2"/>
      <c r="F623" s="2"/>
      <c r="G623" s="2"/>
      <c r="H623" s="2"/>
      <c r="I623" s="2"/>
      <c r="J623" s="2"/>
      <c r="K623" s="2"/>
      <c r="L623" s="2"/>
      <c r="M623" s="2"/>
      <c r="N623" s="2"/>
      <c r="O623" s="2"/>
      <c r="P623" s="2"/>
      <c r="Q623" s="2"/>
      <c r="R623" s="2"/>
      <c r="S623" s="2"/>
    </row>
    <row r="624">
      <c r="A624" s="2"/>
      <c r="B624" s="2"/>
      <c r="C624" s="2"/>
      <c r="D624" s="2"/>
      <c r="E624" s="2"/>
      <c r="F624" s="2"/>
      <c r="G624" s="2"/>
      <c r="H624" s="2"/>
      <c r="I624" s="2"/>
      <c r="J624" s="2"/>
      <c r="K624" s="2"/>
      <c r="L624" s="2"/>
      <c r="M624" s="2"/>
      <c r="N624" s="2"/>
      <c r="O624" s="2"/>
      <c r="P624" s="2"/>
      <c r="Q624" s="2"/>
      <c r="R624" s="2"/>
      <c r="S624" s="2"/>
    </row>
    <row r="625">
      <c r="A625" s="2"/>
      <c r="B625" s="2"/>
      <c r="C625" s="2"/>
      <c r="D625" s="2"/>
      <c r="E625" s="2"/>
      <c r="F625" s="2"/>
      <c r="G625" s="2"/>
      <c r="H625" s="2"/>
      <c r="I625" s="2"/>
      <c r="J625" s="2"/>
      <c r="K625" s="2"/>
      <c r="L625" s="2"/>
      <c r="M625" s="2"/>
      <c r="N625" s="2"/>
      <c r="O625" s="2"/>
      <c r="P625" s="2"/>
      <c r="Q625" s="2"/>
      <c r="R625" s="2"/>
      <c r="S625" s="2"/>
    </row>
    <row r="626">
      <c r="A626" s="2"/>
      <c r="B626" s="2"/>
      <c r="C626" s="2"/>
      <c r="D626" s="2"/>
      <c r="E626" s="2"/>
      <c r="F626" s="2"/>
      <c r="G626" s="2"/>
      <c r="H626" s="2"/>
      <c r="I626" s="2"/>
      <c r="J626" s="2"/>
      <c r="K626" s="2"/>
      <c r="L626" s="2"/>
      <c r="M626" s="2"/>
      <c r="N626" s="2"/>
      <c r="O626" s="2"/>
      <c r="P626" s="2"/>
      <c r="Q626" s="2"/>
      <c r="R626" s="2"/>
      <c r="S626" s="2"/>
    </row>
    <row r="627">
      <c r="A627" s="2"/>
      <c r="B627" s="2"/>
      <c r="C627" s="2"/>
      <c r="D627" s="2"/>
      <c r="E627" s="2"/>
      <c r="F627" s="2"/>
      <c r="G627" s="2"/>
      <c r="H627" s="2"/>
      <c r="I627" s="2"/>
      <c r="J627" s="2"/>
      <c r="K627" s="2"/>
      <c r="L627" s="2"/>
      <c r="M627" s="2"/>
      <c r="N627" s="2"/>
      <c r="O627" s="2"/>
      <c r="P627" s="2"/>
      <c r="Q627" s="2"/>
      <c r="R627" s="2"/>
      <c r="S627" s="2"/>
    </row>
    <row r="628">
      <c r="A628" s="2"/>
      <c r="B628" s="2"/>
      <c r="C628" s="2"/>
      <c r="D628" s="2"/>
      <c r="E628" s="2"/>
      <c r="F628" s="2"/>
      <c r="G628" s="2"/>
      <c r="H628" s="2"/>
      <c r="I628" s="2"/>
      <c r="J628" s="2"/>
      <c r="K628" s="2"/>
      <c r="L628" s="2"/>
      <c r="M628" s="2"/>
      <c r="N628" s="2"/>
      <c r="O628" s="2"/>
      <c r="P628" s="2"/>
      <c r="Q628" s="2"/>
      <c r="R628" s="2"/>
      <c r="S628" s="2"/>
    </row>
    <row r="629">
      <c r="A629" s="2"/>
      <c r="B629" s="2"/>
      <c r="C629" s="2"/>
      <c r="D629" s="2"/>
      <c r="E629" s="2"/>
      <c r="F629" s="2"/>
      <c r="G629" s="2"/>
      <c r="H629" s="2"/>
      <c r="I629" s="2"/>
      <c r="J629" s="2"/>
      <c r="K629" s="2"/>
      <c r="L629" s="2"/>
      <c r="M629" s="2"/>
      <c r="N629" s="2"/>
      <c r="O629" s="2"/>
      <c r="P629" s="2"/>
      <c r="Q629" s="2"/>
      <c r="R629" s="2"/>
      <c r="S629" s="2"/>
    </row>
    <row r="630">
      <c r="A630" s="2"/>
      <c r="B630" s="2"/>
      <c r="C630" s="2"/>
      <c r="D630" s="2"/>
      <c r="E630" s="2"/>
      <c r="F630" s="2"/>
      <c r="G630" s="2"/>
      <c r="H630" s="2"/>
      <c r="I630" s="2"/>
      <c r="J630" s="2"/>
      <c r="K630" s="2"/>
      <c r="L630" s="2"/>
      <c r="M630" s="2"/>
      <c r="N630" s="2"/>
      <c r="O630" s="2"/>
      <c r="P630" s="2"/>
      <c r="Q630" s="2"/>
      <c r="R630" s="2"/>
      <c r="S630" s="2"/>
    </row>
    <row r="631">
      <c r="A631" s="2"/>
      <c r="B631" s="2"/>
      <c r="C631" s="2"/>
      <c r="D631" s="2"/>
      <c r="E631" s="2"/>
      <c r="F631" s="2"/>
      <c r="G631" s="2"/>
      <c r="H631" s="2"/>
      <c r="I631" s="2"/>
      <c r="J631" s="2"/>
      <c r="K631" s="2"/>
      <c r="L631" s="2"/>
      <c r="M631" s="2"/>
      <c r="N631" s="2"/>
      <c r="O631" s="2"/>
      <c r="P631" s="2"/>
      <c r="Q631" s="2"/>
      <c r="R631" s="2"/>
      <c r="S631" s="2"/>
    </row>
    <row r="632">
      <c r="A632" s="2"/>
      <c r="B632" s="2"/>
      <c r="C632" s="2"/>
      <c r="D632" s="2"/>
      <c r="E632" s="2"/>
      <c r="F632" s="2"/>
      <c r="G632" s="2"/>
      <c r="H632" s="2"/>
      <c r="I632" s="2"/>
      <c r="J632" s="2"/>
      <c r="K632" s="2"/>
      <c r="L632" s="2"/>
      <c r="M632" s="2"/>
      <c r="N632" s="2"/>
      <c r="O632" s="2"/>
      <c r="P632" s="2"/>
      <c r="Q632" s="2"/>
      <c r="R632" s="2"/>
      <c r="S632" s="2"/>
    </row>
    <row r="633">
      <c r="A633" s="2"/>
      <c r="B633" s="2"/>
      <c r="C633" s="2"/>
      <c r="D633" s="2"/>
      <c r="E633" s="2"/>
      <c r="F633" s="2"/>
      <c r="G633" s="2"/>
      <c r="H633" s="2"/>
      <c r="I633" s="2"/>
      <c r="J633" s="2"/>
      <c r="K633" s="2"/>
      <c r="L633" s="2"/>
      <c r="M633" s="2"/>
      <c r="N633" s="2"/>
      <c r="O633" s="2"/>
      <c r="P633" s="2"/>
      <c r="Q633" s="2"/>
      <c r="R633" s="2"/>
      <c r="S633" s="2"/>
    </row>
    <row r="634">
      <c r="A634" s="2"/>
      <c r="B634" s="2"/>
      <c r="C634" s="2"/>
      <c r="D634" s="2"/>
      <c r="E634" s="2"/>
      <c r="F634" s="2"/>
      <c r="G634" s="2"/>
      <c r="H634" s="2"/>
      <c r="I634" s="2"/>
      <c r="J634" s="2"/>
      <c r="K634" s="2"/>
      <c r="L634" s="2"/>
      <c r="M634" s="2"/>
      <c r="N634" s="2"/>
      <c r="O634" s="2"/>
      <c r="P634" s="2"/>
      <c r="Q634" s="2"/>
      <c r="R634" s="2"/>
      <c r="S634" s="2"/>
    </row>
    <row r="635">
      <c r="A635" s="2"/>
      <c r="B635" s="2"/>
      <c r="C635" s="2"/>
      <c r="D635" s="2"/>
      <c r="E635" s="2"/>
      <c r="F635" s="2"/>
      <c r="G635" s="2"/>
      <c r="H635" s="2"/>
      <c r="I635" s="2"/>
      <c r="J635" s="2"/>
      <c r="K635" s="2"/>
      <c r="L635" s="2"/>
      <c r="M635" s="2"/>
      <c r="N635" s="2"/>
      <c r="O635" s="2"/>
      <c r="P635" s="2"/>
      <c r="Q635" s="2"/>
      <c r="R635" s="2"/>
      <c r="S635" s="2"/>
    </row>
    <row r="636">
      <c r="A636" s="2"/>
      <c r="B636" s="2"/>
      <c r="C636" s="2"/>
      <c r="D636" s="2"/>
      <c r="E636" s="2"/>
      <c r="F636" s="2"/>
      <c r="G636" s="2"/>
      <c r="H636" s="2"/>
      <c r="I636" s="2"/>
      <c r="J636" s="2"/>
      <c r="K636" s="2"/>
      <c r="L636" s="2"/>
      <c r="M636" s="2"/>
      <c r="N636" s="2"/>
      <c r="O636" s="2"/>
      <c r="P636" s="2"/>
      <c r="Q636" s="2"/>
      <c r="R636" s="2"/>
      <c r="S636" s="2"/>
    </row>
    <row r="637">
      <c r="A637" s="2"/>
      <c r="B637" s="2"/>
      <c r="C637" s="2"/>
      <c r="D637" s="2"/>
      <c r="E637" s="2"/>
      <c r="F637" s="2"/>
      <c r="G637" s="2"/>
      <c r="H637" s="2"/>
      <c r="I637" s="2"/>
      <c r="J637" s="2"/>
      <c r="K637" s="2"/>
      <c r="L637" s="2"/>
      <c r="M637" s="2"/>
      <c r="N637" s="2"/>
      <c r="O637" s="2"/>
      <c r="P637" s="2"/>
      <c r="Q637" s="2"/>
      <c r="R637" s="2"/>
      <c r="S637" s="2"/>
    </row>
    <row r="638">
      <c r="A638" s="2"/>
      <c r="B638" s="2"/>
      <c r="C638" s="2"/>
      <c r="D638" s="2"/>
      <c r="E638" s="2"/>
      <c r="F638" s="2"/>
      <c r="G638" s="2"/>
      <c r="H638" s="2"/>
      <c r="I638" s="2"/>
      <c r="J638" s="2"/>
      <c r="K638" s="2"/>
      <c r="L638" s="2"/>
      <c r="M638" s="2"/>
      <c r="N638" s="2"/>
      <c r="O638" s="2"/>
      <c r="P638" s="2"/>
      <c r="Q638" s="2"/>
      <c r="R638" s="2"/>
      <c r="S638" s="2"/>
    </row>
    <row r="639">
      <c r="A639" s="2"/>
      <c r="B639" s="2"/>
      <c r="C639" s="2"/>
      <c r="D639" s="2"/>
      <c r="E639" s="2"/>
      <c r="F639" s="2"/>
      <c r="G639" s="2"/>
      <c r="H639" s="2"/>
      <c r="I639" s="2"/>
      <c r="J639" s="2"/>
      <c r="K639" s="2"/>
      <c r="L639" s="2"/>
      <c r="M639" s="2"/>
      <c r="N639" s="2"/>
      <c r="O639" s="2"/>
      <c r="P639" s="2"/>
      <c r="Q639" s="2"/>
      <c r="R639" s="2"/>
      <c r="S639" s="2"/>
    </row>
    <row r="640">
      <c r="A640" s="2"/>
      <c r="B640" s="2"/>
      <c r="C640" s="2"/>
      <c r="D640" s="2"/>
      <c r="E640" s="2"/>
      <c r="F640" s="2"/>
      <c r="G640" s="2"/>
      <c r="H640" s="2"/>
      <c r="I640" s="2"/>
      <c r="J640" s="2"/>
      <c r="K640" s="2"/>
      <c r="L640" s="2"/>
      <c r="M640" s="2"/>
      <c r="N640" s="2"/>
      <c r="O640" s="2"/>
      <c r="P640" s="2"/>
      <c r="Q640" s="2"/>
      <c r="R640" s="2"/>
      <c r="S640" s="2"/>
    </row>
    <row r="641">
      <c r="A641" s="2"/>
      <c r="B641" s="2"/>
      <c r="C641" s="2"/>
      <c r="D641" s="2"/>
      <c r="E641" s="2"/>
      <c r="F641" s="2"/>
      <c r="G641" s="2"/>
      <c r="H641" s="2"/>
      <c r="I641" s="2"/>
      <c r="J641" s="2"/>
      <c r="K641" s="2"/>
      <c r="L641" s="2"/>
      <c r="M641" s="2"/>
      <c r="N641" s="2"/>
      <c r="O641" s="2"/>
      <c r="P641" s="2"/>
      <c r="Q641" s="2"/>
      <c r="R641" s="2"/>
      <c r="S641" s="2"/>
    </row>
    <row r="642">
      <c r="A642" s="2"/>
      <c r="B642" s="2"/>
      <c r="C642" s="2"/>
      <c r="D642" s="2"/>
      <c r="E642" s="2"/>
      <c r="F642" s="2"/>
      <c r="G642" s="2"/>
      <c r="H642" s="2"/>
      <c r="I642" s="2"/>
      <c r="J642" s="2"/>
      <c r="K642" s="2"/>
      <c r="L642" s="2"/>
      <c r="M642" s="2"/>
      <c r="N642" s="2"/>
      <c r="O642" s="2"/>
      <c r="P642" s="2"/>
      <c r="Q642" s="2"/>
      <c r="R642" s="2"/>
      <c r="S642" s="2"/>
    </row>
    <row r="643">
      <c r="A643" s="2"/>
      <c r="B643" s="2"/>
      <c r="C643" s="2"/>
      <c r="D643" s="2"/>
      <c r="E643" s="2"/>
      <c r="F643" s="2"/>
      <c r="G643" s="2"/>
      <c r="H643" s="2"/>
      <c r="I643" s="2"/>
      <c r="J643" s="2"/>
      <c r="K643" s="2"/>
      <c r="L643" s="2"/>
      <c r="M643" s="2"/>
      <c r="N643" s="2"/>
      <c r="O643" s="2"/>
      <c r="P643" s="2"/>
      <c r="Q643" s="2"/>
      <c r="R643" s="2"/>
      <c r="S643" s="2"/>
    </row>
    <row r="644">
      <c r="A644" s="2"/>
      <c r="B644" s="2"/>
      <c r="C644" s="2"/>
      <c r="D644" s="2"/>
      <c r="E644" s="2"/>
      <c r="F644" s="2"/>
      <c r="G644" s="2"/>
      <c r="H644" s="2"/>
      <c r="I644" s="2"/>
      <c r="J644" s="2"/>
      <c r="K644" s="2"/>
      <c r="L644" s="2"/>
      <c r="M644" s="2"/>
      <c r="N644" s="2"/>
      <c r="O644" s="2"/>
      <c r="P644" s="2"/>
      <c r="Q644" s="2"/>
      <c r="R644" s="2"/>
      <c r="S644" s="2"/>
    </row>
    <row r="645">
      <c r="A645" s="2"/>
      <c r="B645" s="2"/>
      <c r="C645" s="2"/>
      <c r="D645" s="2"/>
      <c r="E645" s="2"/>
      <c r="F645" s="2"/>
      <c r="G645" s="2"/>
      <c r="H645" s="2"/>
      <c r="I645" s="2"/>
      <c r="J645" s="2"/>
      <c r="K645" s="2"/>
      <c r="L645" s="2"/>
      <c r="M645" s="2"/>
      <c r="N645" s="2"/>
      <c r="O645" s="2"/>
      <c r="P645" s="2"/>
      <c r="Q645" s="2"/>
      <c r="R645" s="2"/>
      <c r="S645" s="2"/>
    </row>
    <row r="646">
      <c r="A646" s="2"/>
      <c r="B646" s="2"/>
      <c r="C646" s="2"/>
      <c r="D646" s="2"/>
      <c r="E646" s="2"/>
      <c r="F646" s="2"/>
      <c r="G646" s="2"/>
      <c r="H646" s="2"/>
      <c r="I646" s="2"/>
      <c r="J646" s="2"/>
      <c r="K646" s="2"/>
      <c r="L646" s="2"/>
      <c r="M646" s="2"/>
      <c r="N646" s="2"/>
      <c r="O646" s="2"/>
      <c r="P646" s="2"/>
      <c r="Q646" s="2"/>
      <c r="R646" s="2"/>
      <c r="S646" s="2"/>
    </row>
    <row r="647">
      <c r="A647" s="2"/>
      <c r="B647" s="2"/>
      <c r="C647" s="2"/>
      <c r="D647" s="2"/>
      <c r="E647" s="2"/>
      <c r="F647" s="2"/>
      <c r="G647" s="2"/>
      <c r="H647" s="2"/>
      <c r="I647" s="2"/>
      <c r="J647" s="2"/>
      <c r="K647" s="2"/>
      <c r="L647" s="2"/>
      <c r="M647" s="2"/>
      <c r="N647" s="2"/>
      <c r="O647" s="2"/>
      <c r="P647" s="2"/>
      <c r="Q647" s="2"/>
      <c r="R647" s="2"/>
      <c r="S647" s="2"/>
    </row>
    <row r="648">
      <c r="A648" s="2"/>
      <c r="B648" s="2"/>
      <c r="C648" s="2"/>
      <c r="D648" s="2"/>
      <c r="E648" s="2"/>
      <c r="F648" s="2"/>
      <c r="G648" s="2"/>
      <c r="H648" s="2"/>
      <c r="I648" s="2"/>
      <c r="J648" s="2"/>
      <c r="K648" s="2"/>
      <c r="L648" s="2"/>
      <c r="M648" s="2"/>
      <c r="N648" s="2"/>
      <c r="O648" s="2"/>
      <c r="P648" s="2"/>
      <c r="Q648" s="2"/>
      <c r="R648" s="2"/>
      <c r="S648" s="2"/>
    </row>
    <row r="649">
      <c r="A649" s="2"/>
      <c r="B649" s="2"/>
      <c r="C649" s="2"/>
      <c r="D649" s="2"/>
      <c r="E649" s="2"/>
      <c r="F649" s="2"/>
      <c r="G649" s="2"/>
      <c r="H649" s="2"/>
      <c r="I649" s="2"/>
      <c r="J649" s="2"/>
      <c r="K649" s="2"/>
      <c r="L649" s="2"/>
      <c r="M649" s="2"/>
      <c r="N649" s="2"/>
      <c r="O649" s="2"/>
      <c r="P649" s="2"/>
      <c r="Q649" s="2"/>
      <c r="R649" s="2"/>
      <c r="S649" s="2"/>
    </row>
    <row r="650">
      <c r="A650" s="2"/>
      <c r="B650" s="2"/>
      <c r="C650" s="2"/>
      <c r="D650" s="2"/>
      <c r="E650" s="2"/>
      <c r="F650" s="2"/>
      <c r="G650" s="2"/>
      <c r="H650" s="2"/>
      <c r="I650" s="2"/>
      <c r="J650" s="2"/>
      <c r="K650" s="2"/>
      <c r="L650" s="2"/>
      <c r="M650" s="2"/>
      <c r="N650" s="2"/>
      <c r="O650" s="2"/>
      <c r="P650" s="2"/>
      <c r="Q650" s="2"/>
      <c r="R650" s="2"/>
      <c r="S650" s="2"/>
    </row>
    <row r="651">
      <c r="A651" s="2"/>
      <c r="B651" s="2"/>
      <c r="C651" s="2"/>
      <c r="D651" s="2"/>
      <c r="E651" s="2"/>
      <c r="F651" s="2"/>
      <c r="G651" s="2"/>
      <c r="H651" s="2"/>
      <c r="I651" s="2"/>
      <c r="J651" s="2"/>
      <c r="K651" s="2"/>
      <c r="L651" s="2"/>
      <c r="M651" s="2"/>
      <c r="N651" s="2"/>
      <c r="O651" s="2"/>
      <c r="P651" s="2"/>
      <c r="Q651" s="2"/>
      <c r="R651" s="2"/>
      <c r="S651" s="2"/>
    </row>
    <row r="652">
      <c r="A652" s="2"/>
      <c r="B652" s="2"/>
      <c r="C652" s="2"/>
      <c r="D652" s="2"/>
      <c r="E652" s="2"/>
      <c r="F652" s="2"/>
      <c r="G652" s="2"/>
      <c r="H652" s="2"/>
      <c r="I652" s="2"/>
      <c r="J652" s="2"/>
      <c r="K652" s="2"/>
      <c r="L652" s="2"/>
      <c r="M652" s="2"/>
      <c r="N652" s="2"/>
      <c r="O652" s="2"/>
      <c r="P652" s="2"/>
      <c r="Q652" s="2"/>
      <c r="R652" s="2"/>
      <c r="S652" s="2"/>
    </row>
    <row r="653">
      <c r="A653" s="2"/>
      <c r="B653" s="2"/>
      <c r="C653" s="2"/>
      <c r="D653" s="2"/>
      <c r="E653" s="2"/>
      <c r="F653" s="2"/>
      <c r="G653" s="2"/>
      <c r="H653" s="2"/>
      <c r="I653" s="2"/>
      <c r="J653" s="2"/>
      <c r="K653" s="2"/>
      <c r="L653" s="2"/>
      <c r="M653" s="2"/>
      <c r="N653" s="2"/>
      <c r="O653" s="2"/>
      <c r="P653" s="2"/>
      <c r="Q653" s="2"/>
      <c r="R653" s="2"/>
      <c r="S653" s="2"/>
    </row>
    <row r="654">
      <c r="A654" s="2"/>
      <c r="B654" s="2"/>
      <c r="C654" s="2"/>
      <c r="D654" s="2"/>
      <c r="E654" s="2"/>
      <c r="F654" s="2"/>
      <c r="G654" s="2"/>
      <c r="H654" s="2"/>
      <c r="I654" s="2"/>
      <c r="J654" s="2"/>
      <c r="K654" s="2"/>
      <c r="L654" s="2"/>
      <c r="M654" s="2"/>
      <c r="N654" s="2"/>
      <c r="O654" s="2"/>
      <c r="P654" s="2"/>
      <c r="Q654" s="2"/>
      <c r="R654" s="2"/>
      <c r="S654" s="2"/>
    </row>
    <row r="655">
      <c r="A655" s="2"/>
      <c r="B655" s="2"/>
      <c r="C655" s="2"/>
      <c r="D655" s="2"/>
      <c r="E655" s="2"/>
      <c r="F655" s="2"/>
      <c r="G655" s="2"/>
      <c r="H655" s="2"/>
      <c r="I655" s="2"/>
      <c r="J655" s="2"/>
      <c r="K655" s="2"/>
      <c r="L655" s="2"/>
      <c r="M655" s="2"/>
      <c r="N655" s="2"/>
      <c r="O655" s="2"/>
      <c r="P655" s="2"/>
      <c r="Q655" s="2"/>
      <c r="R655" s="2"/>
      <c r="S655" s="2"/>
    </row>
    <row r="656">
      <c r="A656" s="2"/>
      <c r="B656" s="2"/>
      <c r="C656" s="2"/>
      <c r="D656" s="2"/>
      <c r="E656" s="2"/>
      <c r="F656" s="2"/>
      <c r="G656" s="2"/>
      <c r="H656" s="2"/>
      <c r="I656" s="2"/>
      <c r="J656" s="2"/>
      <c r="K656" s="2"/>
      <c r="L656" s="2"/>
      <c r="M656" s="2"/>
      <c r="N656" s="2"/>
      <c r="O656" s="2"/>
      <c r="P656" s="2"/>
      <c r="Q656" s="2"/>
      <c r="R656" s="2"/>
      <c r="S656" s="2"/>
    </row>
    <row r="657">
      <c r="A657" s="2"/>
      <c r="B657" s="2"/>
      <c r="C657" s="2"/>
      <c r="D657" s="2"/>
      <c r="E657" s="2"/>
      <c r="F657" s="2"/>
      <c r="G657" s="2"/>
      <c r="H657" s="2"/>
      <c r="I657" s="2"/>
      <c r="J657" s="2"/>
      <c r="K657" s="2"/>
      <c r="L657" s="2"/>
      <c r="M657" s="2"/>
      <c r="N657" s="2"/>
      <c r="O657" s="2"/>
      <c r="P657" s="2"/>
      <c r="Q657" s="2"/>
      <c r="R657" s="2"/>
      <c r="S657" s="2"/>
    </row>
    <row r="658">
      <c r="A658" s="2"/>
      <c r="B658" s="2"/>
      <c r="C658" s="2"/>
      <c r="D658" s="2"/>
      <c r="E658" s="2"/>
      <c r="F658" s="2"/>
      <c r="G658" s="2"/>
      <c r="H658" s="2"/>
      <c r="I658" s="2"/>
      <c r="J658" s="2"/>
      <c r="K658" s="2"/>
      <c r="L658" s="2"/>
      <c r="M658" s="2"/>
      <c r="N658" s="2"/>
      <c r="O658" s="2"/>
      <c r="P658" s="2"/>
      <c r="Q658" s="2"/>
      <c r="R658" s="2"/>
      <c r="S658" s="2"/>
    </row>
    <row r="659">
      <c r="A659" s="2"/>
      <c r="B659" s="2"/>
      <c r="C659" s="2"/>
      <c r="D659" s="2"/>
      <c r="E659" s="2"/>
      <c r="F659" s="2"/>
      <c r="G659" s="2"/>
      <c r="H659" s="2"/>
      <c r="I659" s="2"/>
      <c r="J659" s="2"/>
      <c r="K659" s="2"/>
      <c r="L659" s="2"/>
      <c r="M659" s="2"/>
      <c r="N659" s="2"/>
      <c r="O659" s="2"/>
      <c r="P659" s="2"/>
      <c r="Q659" s="2"/>
      <c r="R659" s="2"/>
      <c r="S659" s="2"/>
    </row>
    <row r="660">
      <c r="A660" s="2"/>
      <c r="B660" s="2"/>
      <c r="C660" s="2"/>
      <c r="D660" s="2"/>
      <c r="E660" s="2"/>
      <c r="F660" s="2"/>
      <c r="G660" s="2"/>
      <c r="H660" s="2"/>
      <c r="I660" s="2"/>
      <c r="J660" s="2"/>
      <c r="K660" s="2"/>
      <c r="L660" s="2"/>
      <c r="M660" s="2"/>
      <c r="N660" s="2"/>
      <c r="O660" s="2"/>
      <c r="P660" s="2"/>
      <c r="Q660" s="2"/>
      <c r="R660" s="2"/>
      <c r="S660" s="2"/>
    </row>
    <row r="661">
      <c r="A661" s="2"/>
      <c r="B661" s="2"/>
      <c r="C661" s="2"/>
      <c r="D661" s="2"/>
      <c r="E661" s="2"/>
      <c r="F661" s="2"/>
      <c r="G661" s="2"/>
      <c r="H661" s="2"/>
      <c r="I661" s="2"/>
      <c r="J661" s="2"/>
      <c r="K661" s="2"/>
      <c r="L661" s="2"/>
      <c r="M661" s="2"/>
      <c r="N661" s="2"/>
      <c r="O661" s="2"/>
      <c r="P661" s="2"/>
      <c r="Q661" s="2"/>
      <c r="R661" s="2"/>
      <c r="S661" s="2"/>
    </row>
    <row r="662">
      <c r="A662" s="2"/>
      <c r="B662" s="2"/>
      <c r="C662" s="2"/>
      <c r="D662" s="2"/>
      <c r="E662" s="2"/>
      <c r="F662" s="2"/>
      <c r="G662" s="2"/>
      <c r="H662" s="2"/>
      <c r="I662" s="2"/>
      <c r="J662" s="2"/>
      <c r="K662" s="2"/>
      <c r="L662" s="2"/>
      <c r="M662" s="2"/>
      <c r="N662" s="2"/>
      <c r="O662" s="2"/>
      <c r="P662" s="2"/>
      <c r="Q662" s="2"/>
      <c r="R662" s="2"/>
      <c r="S662" s="2"/>
    </row>
    <row r="663">
      <c r="A663" s="2"/>
      <c r="B663" s="2"/>
      <c r="C663" s="2"/>
      <c r="D663" s="2"/>
      <c r="E663" s="2"/>
      <c r="F663" s="2"/>
      <c r="G663" s="2"/>
      <c r="H663" s="2"/>
      <c r="I663" s="2"/>
      <c r="J663" s="2"/>
      <c r="K663" s="2"/>
      <c r="L663" s="2"/>
      <c r="M663" s="2"/>
      <c r="N663" s="2"/>
      <c r="O663" s="2"/>
      <c r="P663" s="2"/>
      <c r="Q663" s="2"/>
      <c r="R663" s="2"/>
      <c r="S663" s="2"/>
    </row>
    <row r="664">
      <c r="A664" s="2"/>
      <c r="B664" s="2"/>
      <c r="C664" s="2"/>
      <c r="D664" s="2"/>
      <c r="E664" s="2"/>
      <c r="F664" s="2"/>
      <c r="G664" s="2"/>
      <c r="H664" s="2"/>
      <c r="I664" s="2"/>
      <c r="J664" s="2"/>
      <c r="K664" s="2"/>
      <c r="L664" s="2"/>
      <c r="M664" s="2"/>
      <c r="N664" s="2"/>
      <c r="O664" s="2"/>
      <c r="P664" s="2"/>
      <c r="Q664" s="2"/>
      <c r="R664" s="2"/>
      <c r="S664" s="2"/>
    </row>
    <row r="665">
      <c r="A665" s="2"/>
      <c r="B665" s="2"/>
      <c r="C665" s="2"/>
      <c r="D665" s="2"/>
      <c r="E665" s="2"/>
      <c r="F665" s="2"/>
      <c r="G665" s="2"/>
      <c r="H665" s="2"/>
      <c r="I665" s="2"/>
      <c r="J665" s="2"/>
      <c r="K665" s="2"/>
      <c r="L665" s="2"/>
      <c r="M665" s="2"/>
      <c r="N665" s="2"/>
      <c r="O665" s="2"/>
      <c r="P665" s="2"/>
      <c r="Q665" s="2"/>
      <c r="R665" s="2"/>
      <c r="S665" s="2"/>
    </row>
    <row r="666">
      <c r="A666" s="2"/>
      <c r="B666" s="2"/>
      <c r="C666" s="2"/>
      <c r="D666" s="2"/>
      <c r="E666" s="2"/>
      <c r="F666" s="2"/>
      <c r="G666" s="2"/>
      <c r="H666" s="2"/>
      <c r="I666" s="2"/>
      <c r="J666" s="2"/>
      <c r="K666" s="2"/>
      <c r="L666" s="2"/>
      <c r="M666" s="2"/>
      <c r="N666" s="2"/>
      <c r="O666" s="2"/>
      <c r="P666" s="2"/>
      <c r="Q666" s="2"/>
      <c r="R666" s="2"/>
      <c r="S666" s="2"/>
    </row>
    <row r="667">
      <c r="A667" s="2"/>
      <c r="B667" s="2"/>
      <c r="C667" s="2"/>
      <c r="D667" s="2"/>
      <c r="E667" s="2"/>
      <c r="F667" s="2"/>
      <c r="G667" s="2"/>
      <c r="H667" s="2"/>
      <c r="I667" s="2"/>
      <c r="J667" s="2"/>
      <c r="K667" s="2"/>
      <c r="L667" s="2"/>
      <c r="M667" s="2"/>
      <c r="N667" s="2"/>
      <c r="O667" s="2"/>
      <c r="P667" s="2"/>
      <c r="Q667" s="2"/>
      <c r="R667" s="2"/>
      <c r="S667" s="2"/>
    </row>
    <row r="668">
      <c r="A668" s="2"/>
      <c r="B668" s="2"/>
      <c r="C668" s="2"/>
      <c r="D668" s="2"/>
      <c r="E668" s="2"/>
      <c r="F668" s="2"/>
      <c r="G668" s="2"/>
      <c r="H668" s="2"/>
      <c r="I668" s="2"/>
      <c r="J668" s="2"/>
      <c r="K668" s="2"/>
      <c r="L668" s="2"/>
      <c r="M668" s="2"/>
      <c r="N668" s="2"/>
      <c r="O668" s="2"/>
      <c r="P668" s="2"/>
      <c r="Q668" s="2"/>
      <c r="R668" s="2"/>
      <c r="S668" s="2"/>
    </row>
    <row r="669">
      <c r="A669" s="2"/>
      <c r="B669" s="2"/>
      <c r="C669" s="2"/>
      <c r="D669" s="2"/>
      <c r="E669" s="2"/>
      <c r="F669" s="2"/>
      <c r="G669" s="2"/>
      <c r="H669" s="2"/>
      <c r="I669" s="2"/>
      <c r="J669" s="2"/>
      <c r="K669" s="2"/>
      <c r="L669" s="2"/>
      <c r="M669" s="2"/>
      <c r="N669" s="2"/>
      <c r="O669" s="2"/>
      <c r="P669" s="2"/>
      <c r="Q669" s="2"/>
      <c r="R669" s="2"/>
      <c r="S669" s="2"/>
    </row>
    <row r="670">
      <c r="A670" s="2"/>
      <c r="B670" s="2"/>
      <c r="C670" s="2"/>
      <c r="D670" s="2"/>
      <c r="E670" s="2"/>
      <c r="F670" s="2"/>
      <c r="G670" s="2"/>
      <c r="H670" s="2"/>
      <c r="I670" s="2"/>
      <c r="J670" s="2"/>
      <c r="K670" s="2"/>
      <c r="L670" s="2"/>
      <c r="M670" s="2"/>
      <c r="N670" s="2"/>
      <c r="O670" s="2"/>
      <c r="P670" s="2"/>
      <c r="Q670" s="2"/>
      <c r="R670" s="2"/>
      <c r="S670" s="2"/>
    </row>
    <row r="671">
      <c r="A671" s="2"/>
      <c r="B671" s="2"/>
      <c r="C671" s="2"/>
      <c r="D671" s="2"/>
      <c r="E671" s="2"/>
      <c r="F671" s="2"/>
      <c r="G671" s="2"/>
      <c r="H671" s="2"/>
      <c r="I671" s="2"/>
      <c r="J671" s="2"/>
      <c r="K671" s="2"/>
      <c r="L671" s="2"/>
      <c r="M671" s="2"/>
      <c r="N671" s="2"/>
      <c r="O671" s="2"/>
      <c r="P671" s="2"/>
      <c r="Q671" s="2"/>
      <c r="R671" s="2"/>
      <c r="S671" s="2"/>
    </row>
    <row r="672">
      <c r="A672" s="2"/>
      <c r="B672" s="2"/>
      <c r="C672" s="2"/>
      <c r="D672" s="2"/>
      <c r="E672" s="2"/>
      <c r="F672" s="2"/>
      <c r="G672" s="2"/>
      <c r="H672" s="2"/>
      <c r="I672" s="2"/>
      <c r="J672" s="2"/>
      <c r="K672" s="2"/>
      <c r="L672" s="2"/>
      <c r="M672" s="2"/>
      <c r="N672" s="2"/>
      <c r="O672" s="2"/>
      <c r="P672" s="2"/>
      <c r="Q672" s="2"/>
      <c r="R672" s="2"/>
      <c r="S672" s="2"/>
    </row>
    <row r="673">
      <c r="A673" s="2"/>
      <c r="B673" s="2"/>
      <c r="C673" s="2"/>
      <c r="D673" s="2"/>
      <c r="E673" s="2"/>
      <c r="F673" s="2"/>
      <c r="G673" s="2"/>
      <c r="H673" s="2"/>
      <c r="I673" s="2"/>
      <c r="J673" s="2"/>
      <c r="K673" s="2"/>
      <c r="L673" s="2"/>
      <c r="M673" s="2"/>
      <c r="N673" s="2"/>
      <c r="O673" s="2"/>
      <c r="P673" s="2"/>
      <c r="Q673" s="2"/>
      <c r="R673" s="2"/>
      <c r="S673" s="2"/>
    </row>
    <row r="674">
      <c r="A674" s="2"/>
      <c r="B674" s="2"/>
      <c r="C674" s="2"/>
      <c r="D674" s="2"/>
      <c r="E674" s="2"/>
      <c r="F674" s="2"/>
      <c r="G674" s="2"/>
      <c r="H674" s="2"/>
      <c r="I674" s="2"/>
      <c r="J674" s="2"/>
      <c r="K674" s="2"/>
      <c r="L674" s="2"/>
      <c r="M674" s="2"/>
      <c r="N674" s="2"/>
      <c r="O674" s="2"/>
      <c r="P674" s="2"/>
      <c r="Q674" s="2"/>
      <c r="R674" s="2"/>
      <c r="S674" s="2"/>
    </row>
    <row r="675">
      <c r="A675" s="2"/>
      <c r="B675" s="2"/>
      <c r="C675" s="2"/>
      <c r="D675" s="2"/>
      <c r="E675" s="2"/>
      <c r="F675" s="2"/>
      <c r="G675" s="2"/>
      <c r="H675" s="2"/>
      <c r="I675" s="2"/>
      <c r="J675" s="2"/>
      <c r="K675" s="2"/>
      <c r="L675" s="2"/>
      <c r="M675" s="2"/>
      <c r="N675" s="2"/>
      <c r="O675" s="2"/>
      <c r="P675" s="2"/>
      <c r="Q675" s="2"/>
      <c r="R675" s="2"/>
      <c r="S675" s="2"/>
    </row>
    <row r="676">
      <c r="A676" s="2"/>
      <c r="B676" s="2"/>
      <c r="C676" s="2"/>
      <c r="D676" s="2"/>
      <c r="E676" s="2"/>
      <c r="F676" s="2"/>
      <c r="G676" s="2"/>
      <c r="H676" s="2"/>
      <c r="I676" s="2"/>
      <c r="J676" s="2"/>
      <c r="K676" s="2"/>
      <c r="L676" s="2"/>
      <c r="M676" s="2"/>
      <c r="N676" s="2"/>
      <c r="O676" s="2"/>
      <c r="P676" s="2"/>
      <c r="Q676" s="2"/>
      <c r="R676" s="2"/>
      <c r="S676" s="2"/>
    </row>
    <row r="677">
      <c r="A677" s="2"/>
      <c r="B677" s="2"/>
      <c r="C677" s="2"/>
      <c r="D677" s="2"/>
      <c r="E677" s="2"/>
      <c r="F677" s="2"/>
      <c r="G677" s="2"/>
      <c r="H677" s="2"/>
      <c r="I677" s="2"/>
      <c r="J677" s="2"/>
      <c r="K677" s="2"/>
      <c r="L677" s="2"/>
      <c r="M677" s="2"/>
      <c r="N677" s="2"/>
      <c r="O677" s="2"/>
      <c r="P677" s="2"/>
      <c r="Q677" s="2"/>
      <c r="R677" s="2"/>
      <c r="S677" s="2"/>
    </row>
    <row r="678">
      <c r="A678" s="2"/>
      <c r="B678" s="2"/>
      <c r="C678" s="2"/>
      <c r="D678" s="2"/>
      <c r="E678" s="2"/>
      <c r="F678" s="2"/>
      <c r="G678" s="2"/>
      <c r="H678" s="2"/>
      <c r="I678" s="2"/>
      <c r="J678" s="2"/>
      <c r="K678" s="2"/>
      <c r="L678" s="2"/>
      <c r="M678" s="2"/>
      <c r="N678" s="2"/>
      <c r="O678" s="2"/>
      <c r="P678" s="2"/>
      <c r="Q678" s="2"/>
      <c r="R678" s="2"/>
      <c r="S678" s="2"/>
    </row>
    <row r="679">
      <c r="A679" s="2"/>
      <c r="B679" s="2"/>
      <c r="C679" s="2"/>
      <c r="D679" s="2"/>
      <c r="E679" s="2"/>
      <c r="F679" s="2"/>
      <c r="G679" s="2"/>
      <c r="H679" s="2"/>
      <c r="I679" s="2"/>
      <c r="J679" s="2"/>
      <c r="K679" s="2"/>
      <c r="L679" s="2"/>
      <c r="M679" s="2"/>
      <c r="N679" s="2"/>
      <c r="O679" s="2"/>
      <c r="P679" s="2"/>
      <c r="Q679" s="2"/>
      <c r="R679" s="2"/>
      <c r="S679" s="2"/>
    </row>
    <row r="680">
      <c r="A680" s="2"/>
      <c r="B680" s="2"/>
      <c r="C680" s="2"/>
      <c r="D680" s="2"/>
      <c r="E680" s="2"/>
      <c r="F680" s="2"/>
      <c r="G680" s="2"/>
      <c r="H680" s="2"/>
      <c r="I680" s="2"/>
      <c r="J680" s="2"/>
      <c r="K680" s="2"/>
      <c r="L680" s="2"/>
      <c r="M680" s="2"/>
      <c r="N680" s="2"/>
      <c r="O680" s="2"/>
      <c r="P680" s="2"/>
      <c r="Q680" s="2"/>
      <c r="R680" s="2"/>
      <c r="S680" s="2"/>
    </row>
    <row r="681">
      <c r="A681" s="2"/>
      <c r="B681" s="2"/>
      <c r="C681" s="2"/>
      <c r="D681" s="2"/>
      <c r="E681" s="2"/>
      <c r="F681" s="2"/>
      <c r="G681" s="2"/>
      <c r="H681" s="2"/>
      <c r="I681" s="2"/>
      <c r="J681" s="2"/>
      <c r="K681" s="2"/>
      <c r="L681" s="2"/>
      <c r="M681" s="2"/>
      <c r="N681" s="2"/>
      <c r="O681" s="2"/>
      <c r="P681" s="2"/>
      <c r="Q681" s="2"/>
      <c r="R681" s="2"/>
      <c r="S681" s="2"/>
    </row>
    <row r="682">
      <c r="A682" s="2"/>
      <c r="B682" s="2"/>
      <c r="C682" s="2"/>
      <c r="D682" s="2"/>
      <c r="E682" s="2"/>
      <c r="F682" s="2"/>
      <c r="G682" s="2"/>
      <c r="H682" s="2"/>
      <c r="I682" s="2"/>
      <c r="J682" s="2"/>
      <c r="K682" s="2"/>
      <c r="L682" s="2"/>
      <c r="M682" s="2"/>
      <c r="N682" s="2"/>
      <c r="O682" s="2"/>
      <c r="P682" s="2"/>
      <c r="Q682" s="2"/>
      <c r="R682" s="2"/>
      <c r="S682" s="2"/>
    </row>
    <row r="683">
      <c r="A683" s="2"/>
      <c r="B683" s="2"/>
      <c r="C683" s="2"/>
      <c r="D683" s="2"/>
      <c r="E683" s="2"/>
      <c r="F683" s="2"/>
      <c r="G683" s="2"/>
      <c r="H683" s="2"/>
      <c r="I683" s="2"/>
      <c r="J683" s="2"/>
      <c r="K683" s="2"/>
      <c r="L683" s="2"/>
      <c r="M683" s="2"/>
      <c r="N683" s="2"/>
      <c r="O683" s="2"/>
      <c r="P683" s="2"/>
      <c r="Q683" s="2"/>
      <c r="R683" s="2"/>
      <c r="S683" s="2"/>
    </row>
    <row r="684">
      <c r="A684" s="2"/>
      <c r="B684" s="2"/>
      <c r="C684" s="2"/>
      <c r="D684" s="2"/>
      <c r="E684" s="2"/>
      <c r="F684" s="2"/>
      <c r="G684" s="2"/>
      <c r="H684" s="2"/>
      <c r="I684" s="2"/>
      <c r="J684" s="2"/>
      <c r="K684" s="2"/>
      <c r="L684" s="2"/>
      <c r="M684" s="2"/>
      <c r="N684" s="2"/>
      <c r="O684" s="2"/>
      <c r="P684" s="2"/>
      <c r="Q684" s="2"/>
      <c r="R684" s="2"/>
      <c r="S684" s="2"/>
    </row>
    <row r="685">
      <c r="A685" s="2"/>
      <c r="B685" s="2"/>
      <c r="C685" s="2"/>
      <c r="D685" s="2"/>
      <c r="E685" s="2"/>
      <c r="F685" s="2"/>
      <c r="G685" s="2"/>
      <c r="H685" s="2"/>
      <c r="I685" s="2"/>
      <c r="J685" s="2"/>
      <c r="K685" s="2"/>
      <c r="L685" s="2"/>
      <c r="M685" s="2"/>
      <c r="N685" s="2"/>
      <c r="O685" s="2"/>
      <c r="P685" s="2"/>
      <c r="Q685" s="2"/>
      <c r="R685" s="2"/>
      <c r="S685" s="2"/>
    </row>
    <row r="686">
      <c r="A686" s="2"/>
      <c r="B686" s="2"/>
      <c r="C686" s="2"/>
      <c r="D686" s="2"/>
      <c r="E686" s="2"/>
      <c r="F686" s="2"/>
      <c r="G686" s="2"/>
      <c r="H686" s="2"/>
      <c r="I686" s="2"/>
      <c r="J686" s="2"/>
      <c r="K686" s="2"/>
      <c r="L686" s="2"/>
      <c r="M686" s="2"/>
      <c r="N686" s="2"/>
      <c r="O686" s="2"/>
      <c r="P686" s="2"/>
      <c r="Q686" s="2"/>
      <c r="R686" s="2"/>
      <c r="S686" s="2"/>
    </row>
    <row r="687">
      <c r="A687" s="2"/>
      <c r="B687" s="2"/>
      <c r="C687" s="2"/>
      <c r="D687" s="2"/>
      <c r="E687" s="2"/>
      <c r="F687" s="2"/>
      <c r="G687" s="2"/>
      <c r="H687" s="2"/>
      <c r="I687" s="2"/>
      <c r="J687" s="2"/>
      <c r="K687" s="2"/>
      <c r="L687" s="2"/>
      <c r="M687" s="2"/>
      <c r="N687" s="2"/>
      <c r="O687" s="2"/>
      <c r="P687" s="2"/>
      <c r="Q687" s="2"/>
      <c r="R687" s="2"/>
      <c r="S687" s="2"/>
    </row>
    <row r="688">
      <c r="A688" s="2"/>
      <c r="B688" s="2"/>
      <c r="C688" s="2"/>
      <c r="D688" s="2"/>
      <c r="E688" s="2"/>
      <c r="F688" s="2"/>
      <c r="G688" s="2"/>
      <c r="H688" s="2"/>
      <c r="I688" s="2"/>
      <c r="J688" s="2"/>
      <c r="K688" s="2"/>
      <c r="L688" s="2"/>
      <c r="M688" s="2"/>
      <c r="N688" s="2"/>
      <c r="O688" s="2"/>
      <c r="P688" s="2"/>
      <c r="Q688" s="2"/>
      <c r="R688" s="2"/>
      <c r="S688" s="2"/>
    </row>
    <row r="689">
      <c r="A689" s="2"/>
      <c r="B689" s="2"/>
      <c r="C689" s="2"/>
      <c r="D689" s="2"/>
      <c r="E689" s="2"/>
      <c r="F689" s="2"/>
      <c r="G689" s="2"/>
      <c r="H689" s="2"/>
      <c r="I689" s="2"/>
      <c r="J689" s="2"/>
      <c r="K689" s="2"/>
      <c r="L689" s="2"/>
      <c r="M689" s="2"/>
      <c r="N689" s="2"/>
      <c r="O689" s="2"/>
      <c r="P689" s="2"/>
      <c r="Q689" s="2"/>
      <c r="R689" s="2"/>
      <c r="S689" s="2"/>
    </row>
    <row r="690">
      <c r="A690" s="2"/>
      <c r="B690" s="2"/>
      <c r="C690" s="2"/>
      <c r="D690" s="2"/>
      <c r="E690" s="2"/>
      <c r="F690" s="2"/>
      <c r="G690" s="2"/>
      <c r="H690" s="2"/>
      <c r="I690" s="2"/>
      <c r="J690" s="2"/>
      <c r="K690" s="2"/>
      <c r="L690" s="2"/>
      <c r="M690" s="2"/>
      <c r="N690" s="2"/>
      <c r="O690" s="2"/>
      <c r="P690" s="2"/>
      <c r="Q690" s="2"/>
      <c r="R690" s="2"/>
      <c r="S690" s="2"/>
    </row>
    <row r="691">
      <c r="A691" s="2"/>
      <c r="B691" s="2"/>
      <c r="C691" s="2"/>
      <c r="D691" s="2"/>
      <c r="E691" s="2"/>
      <c r="F691" s="2"/>
      <c r="G691" s="2"/>
      <c r="H691" s="2"/>
      <c r="I691" s="2"/>
      <c r="J691" s="2"/>
      <c r="K691" s="2"/>
      <c r="L691" s="2"/>
      <c r="M691" s="2"/>
      <c r="N691" s="2"/>
      <c r="O691" s="2"/>
      <c r="P691" s="2"/>
      <c r="Q691" s="2"/>
      <c r="R691" s="2"/>
      <c r="S691" s="2"/>
    </row>
    <row r="692">
      <c r="A692" s="2"/>
      <c r="B692" s="2"/>
      <c r="C692" s="2"/>
      <c r="D692" s="2"/>
      <c r="E692" s="2"/>
      <c r="F692" s="2"/>
      <c r="G692" s="2"/>
      <c r="H692" s="2"/>
      <c r="I692" s="2"/>
      <c r="J692" s="2"/>
      <c r="K692" s="2"/>
      <c r="L692" s="2"/>
      <c r="M692" s="2"/>
      <c r="N692" s="2"/>
      <c r="O692" s="2"/>
      <c r="P692" s="2"/>
      <c r="Q692" s="2"/>
      <c r="R692" s="2"/>
      <c r="S692" s="2"/>
    </row>
    <row r="693">
      <c r="A693" s="2"/>
      <c r="B693" s="2"/>
      <c r="C693" s="2"/>
      <c r="D693" s="2"/>
      <c r="E693" s="2"/>
      <c r="F693" s="2"/>
      <c r="G693" s="2"/>
      <c r="H693" s="2"/>
      <c r="I693" s="2"/>
      <c r="J693" s="2"/>
      <c r="K693" s="2"/>
      <c r="L693" s="2"/>
      <c r="M693" s="2"/>
      <c r="N693" s="2"/>
      <c r="O693" s="2"/>
      <c r="P693" s="2"/>
      <c r="Q693" s="2"/>
      <c r="R693" s="2"/>
      <c r="S693" s="2"/>
    </row>
    <row r="694">
      <c r="A694" s="2"/>
      <c r="B694" s="2"/>
      <c r="C694" s="2"/>
      <c r="D694" s="2"/>
      <c r="E694" s="2"/>
      <c r="F694" s="2"/>
      <c r="G694" s="2"/>
      <c r="H694" s="2"/>
      <c r="I694" s="2"/>
      <c r="J694" s="2"/>
      <c r="K694" s="2"/>
      <c r="L694" s="2"/>
      <c r="M694" s="2"/>
      <c r="N694" s="2"/>
      <c r="O694" s="2"/>
      <c r="P694" s="2"/>
      <c r="Q694" s="2"/>
      <c r="R694" s="2"/>
      <c r="S694" s="2"/>
    </row>
    <row r="695">
      <c r="A695" s="2"/>
      <c r="B695" s="2"/>
      <c r="C695" s="2"/>
      <c r="D695" s="2"/>
      <c r="E695" s="2"/>
      <c r="F695" s="2"/>
      <c r="G695" s="2"/>
      <c r="H695" s="2"/>
      <c r="I695" s="2"/>
      <c r="J695" s="2"/>
      <c r="K695" s="2"/>
      <c r="L695" s="2"/>
      <c r="M695" s="2"/>
      <c r="N695" s="2"/>
      <c r="O695" s="2"/>
      <c r="P695" s="2"/>
      <c r="Q695" s="2"/>
      <c r="R695" s="2"/>
      <c r="S695" s="2"/>
    </row>
    <row r="696">
      <c r="A696" s="2"/>
      <c r="B696" s="2"/>
      <c r="C696" s="2"/>
      <c r="D696" s="2"/>
      <c r="E696" s="2"/>
      <c r="F696" s="2"/>
      <c r="G696" s="2"/>
      <c r="H696" s="2"/>
      <c r="I696" s="2"/>
      <c r="J696" s="2"/>
      <c r="K696" s="2"/>
      <c r="L696" s="2"/>
      <c r="M696" s="2"/>
      <c r="N696" s="2"/>
      <c r="O696" s="2"/>
      <c r="P696" s="2"/>
      <c r="Q696" s="2"/>
      <c r="R696" s="2"/>
      <c r="S696" s="2"/>
    </row>
    <row r="697">
      <c r="A697" s="2"/>
      <c r="B697" s="2"/>
      <c r="C697" s="2"/>
      <c r="D697" s="2"/>
      <c r="E697" s="2"/>
      <c r="F697" s="2"/>
      <c r="G697" s="2"/>
      <c r="H697" s="2"/>
      <c r="I697" s="2"/>
      <c r="J697" s="2"/>
      <c r="K697" s="2"/>
      <c r="L697" s="2"/>
      <c r="M697" s="2"/>
      <c r="N697" s="2"/>
      <c r="O697" s="2"/>
      <c r="P697" s="2"/>
      <c r="Q697" s="2"/>
      <c r="R697" s="2"/>
      <c r="S697" s="2"/>
    </row>
    <row r="698">
      <c r="A698" s="2"/>
      <c r="B698" s="2"/>
      <c r="C698" s="2"/>
      <c r="D698" s="2"/>
      <c r="E698" s="2"/>
      <c r="F698" s="2"/>
      <c r="G698" s="2"/>
      <c r="H698" s="2"/>
      <c r="I698" s="2"/>
      <c r="J698" s="2"/>
      <c r="K698" s="2"/>
      <c r="L698" s="2"/>
      <c r="M698" s="2"/>
      <c r="N698" s="2"/>
      <c r="O698" s="2"/>
      <c r="P698" s="2"/>
      <c r="Q698" s="2"/>
      <c r="R698" s="2"/>
      <c r="S698" s="2"/>
    </row>
    <row r="699">
      <c r="A699" s="2"/>
      <c r="B699" s="2"/>
      <c r="C699" s="2"/>
      <c r="D699" s="2"/>
      <c r="E699" s="2"/>
      <c r="F699" s="2"/>
      <c r="G699" s="2"/>
      <c r="H699" s="2"/>
      <c r="I699" s="2"/>
      <c r="J699" s="2"/>
      <c r="K699" s="2"/>
      <c r="L699" s="2"/>
      <c r="M699" s="2"/>
      <c r="N699" s="2"/>
      <c r="O699" s="2"/>
      <c r="P699" s="2"/>
      <c r="Q699" s="2"/>
      <c r="R699" s="2"/>
      <c r="S699" s="2"/>
    </row>
    <row r="700">
      <c r="A700" s="2"/>
      <c r="B700" s="2"/>
      <c r="C700" s="2"/>
      <c r="D700" s="2"/>
      <c r="E700" s="2"/>
      <c r="F700" s="2"/>
      <c r="G700" s="2"/>
      <c r="H700" s="2"/>
      <c r="I700" s="2"/>
      <c r="J700" s="2"/>
      <c r="K700" s="2"/>
      <c r="L700" s="2"/>
      <c r="M700" s="2"/>
      <c r="N700" s="2"/>
      <c r="O700" s="2"/>
      <c r="P700" s="2"/>
      <c r="Q700" s="2"/>
      <c r="R700" s="2"/>
      <c r="S700" s="2"/>
    </row>
    <row r="701">
      <c r="A701" s="2"/>
      <c r="B701" s="2"/>
      <c r="C701" s="2"/>
      <c r="D701" s="2"/>
      <c r="E701" s="2"/>
      <c r="F701" s="2"/>
      <c r="G701" s="2"/>
      <c r="H701" s="2"/>
      <c r="I701" s="2"/>
      <c r="J701" s="2"/>
      <c r="K701" s="2"/>
      <c r="L701" s="2"/>
      <c r="M701" s="2"/>
      <c r="N701" s="2"/>
      <c r="O701" s="2"/>
      <c r="P701" s="2"/>
      <c r="Q701" s="2"/>
      <c r="R701" s="2"/>
      <c r="S701" s="2"/>
    </row>
    <row r="702">
      <c r="A702" s="2"/>
      <c r="B702" s="2"/>
      <c r="C702" s="2"/>
      <c r="D702" s="2"/>
      <c r="E702" s="2"/>
      <c r="F702" s="2"/>
      <c r="G702" s="2"/>
      <c r="H702" s="2"/>
      <c r="I702" s="2"/>
      <c r="J702" s="2"/>
      <c r="K702" s="2"/>
      <c r="L702" s="2"/>
      <c r="M702" s="2"/>
      <c r="N702" s="2"/>
      <c r="O702" s="2"/>
      <c r="P702" s="2"/>
      <c r="Q702" s="2"/>
      <c r="R702" s="2"/>
      <c r="S702" s="2"/>
    </row>
    <row r="703">
      <c r="A703" s="2"/>
      <c r="B703" s="2"/>
      <c r="C703" s="2"/>
      <c r="D703" s="2"/>
      <c r="E703" s="2"/>
      <c r="F703" s="2"/>
      <c r="G703" s="2"/>
      <c r="H703" s="2"/>
      <c r="I703" s="2"/>
      <c r="J703" s="2"/>
      <c r="K703" s="2"/>
      <c r="L703" s="2"/>
      <c r="M703" s="2"/>
      <c r="N703" s="2"/>
      <c r="O703" s="2"/>
      <c r="P703" s="2"/>
      <c r="Q703" s="2"/>
      <c r="R703" s="2"/>
      <c r="S703" s="2"/>
    </row>
    <row r="704">
      <c r="A704" s="2"/>
      <c r="B704" s="2"/>
      <c r="C704" s="2"/>
      <c r="D704" s="2"/>
      <c r="E704" s="2"/>
      <c r="F704" s="2"/>
      <c r="G704" s="2"/>
      <c r="H704" s="2"/>
      <c r="I704" s="2"/>
      <c r="J704" s="2"/>
      <c r="K704" s="2"/>
      <c r="L704" s="2"/>
      <c r="M704" s="2"/>
      <c r="N704" s="2"/>
      <c r="O704" s="2"/>
      <c r="P704" s="2"/>
      <c r="Q704" s="2"/>
      <c r="R704" s="2"/>
      <c r="S704" s="2"/>
    </row>
    <row r="705">
      <c r="A705" s="2"/>
      <c r="B705" s="2"/>
      <c r="C705" s="2"/>
      <c r="D705" s="2"/>
      <c r="E705" s="2"/>
      <c r="F705" s="2"/>
      <c r="G705" s="2"/>
      <c r="H705" s="2"/>
      <c r="I705" s="2"/>
      <c r="J705" s="2"/>
      <c r="K705" s="2"/>
      <c r="L705" s="2"/>
      <c r="M705" s="2"/>
      <c r="N705" s="2"/>
      <c r="O705" s="2"/>
      <c r="P705" s="2"/>
      <c r="Q705" s="2"/>
      <c r="R705" s="2"/>
      <c r="S705" s="2"/>
    </row>
    <row r="706">
      <c r="A706" s="2"/>
      <c r="B706" s="2"/>
      <c r="C706" s="2"/>
      <c r="D706" s="2"/>
      <c r="E706" s="2"/>
      <c r="F706" s="2"/>
      <c r="G706" s="2"/>
      <c r="H706" s="2"/>
      <c r="I706" s="2"/>
      <c r="J706" s="2"/>
      <c r="K706" s="2"/>
      <c r="L706" s="2"/>
      <c r="M706" s="2"/>
      <c r="N706" s="2"/>
      <c r="O706" s="2"/>
      <c r="P706" s="2"/>
      <c r="Q706" s="2"/>
      <c r="R706" s="2"/>
      <c r="S706" s="2"/>
    </row>
    <row r="707">
      <c r="A707" s="2"/>
      <c r="B707" s="2"/>
      <c r="C707" s="2"/>
      <c r="D707" s="2"/>
      <c r="E707" s="2"/>
      <c r="F707" s="2"/>
      <c r="G707" s="2"/>
      <c r="H707" s="2"/>
      <c r="I707" s="2"/>
      <c r="J707" s="2"/>
      <c r="K707" s="2"/>
      <c r="L707" s="2"/>
      <c r="M707" s="2"/>
      <c r="N707" s="2"/>
      <c r="O707" s="2"/>
      <c r="P707" s="2"/>
      <c r="Q707" s="2"/>
      <c r="R707" s="2"/>
      <c r="S707" s="2"/>
    </row>
    <row r="708">
      <c r="A708" s="2"/>
      <c r="B708" s="2"/>
      <c r="C708" s="2"/>
      <c r="D708" s="2"/>
      <c r="E708" s="2"/>
      <c r="F708" s="2"/>
      <c r="G708" s="2"/>
      <c r="H708" s="2"/>
      <c r="I708" s="2"/>
      <c r="J708" s="2"/>
      <c r="K708" s="2"/>
      <c r="L708" s="2"/>
      <c r="M708" s="2"/>
      <c r="N708" s="2"/>
      <c r="O708" s="2"/>
      <c r="P708" s="2"/>
      <c r="Q708" s="2"/>
      <c r="R708" s="2"/>
      <c r="S708" s="2"/>
    </row>
    <row r="709">
      <c r="A709" s="2"/>
      <c r="B709" s="2"/>
      <c r="C709" s="2"/>
      <c r="D709" s="2"/>
      <c r="E709" s="2"/>
      <c r="F709" s="2"/>
      <c r="G709" s="2"/>
      <c r="H709" s="2"/>
      <c r="I709" s="2"/>
      <c r="J709" s="2"/>
      <c r="K709" s="2"/>
      <c r="L709" s="2"/>
      <c r="M709" s="2"/>
      <c r="N709" s="2"/>
      <c r="O709" s="2"/>
      <c r="P709" s="2"/>
      <c r="Q709" s="2"/>
      <c r="R709" s="2"/>
      <c r="S709" s="2"/>
    </row>
    <row r="710">
      <c r="A710" s="2"/>
      <c r="B710" s="2"/>
      <c r="C710" s="2"/>
      <c r="D710" s="2"/>
      <c r="E710" s="2"/>
      <c r="F710" s="2"/>
      <c r="G710" s="2"/>
      <c r="H710" s="2"/>
      <c r="I710" s="2"/>
      <c r="J710" s="2"/>
      <c r="K710" s="2"/>
      <c r="L710" s="2"/>
      <c r="M710" s="2"/>
      <c r="N710" s="2"/>
      <c r="O710" s="2"/>
      <c r="P710" s="2"/>
      <c r="Q710" s="2"/>
      <c r="R710" s="2"/>
      <c r="S710" s="2"/>
    </row>
    <row r="711">
      <c r="A711" s="2"/>
      <c r="B711" s="2"/>
      <c r="C711" s="2"/>
      <c r="D711" s="2"/>
      <c r="E711" s="2"/>
      <c r="F711" s="2"/>
      <c r="G711" s="2"/>
      <c r="H711" s="2"/>
      <c r="I711" s="2"/>
      <c r="J711" s="2"/>
      <c r="K711" s="2"/>
      <c r="L711" s="2"/>
      <c r="M711" s="2"/>
      <c r="N711" s="2"/>
      <c r="O711" s="2"/>
      <c r="P711" s="2"/>
      <c r="Q711" s="2"/>
      <c r="R711" s="2"/>
      <c r="S711" s="2"/>
    </row>
    <row r="712">
      <c r="A712" s="2"/>
      <c r="B712" s="2"/>
      <c r="C712" s="2"/>
      <c r="D712" s="2"/>
      <c r="E712" s="2"/>
      <c r="F712" s="2"/>
      <c r="G712" s="2"/>
      <c r="H712" s="2"/>
      <c r="I712" s="2"/>
      <c r="J712" s="2"/>
      <c r="K712" s="2"/>
      <c r="L712" s="2"/>
      <c r="M712" s="2"/>
      <c r="N712" s="2"/>
      <c r="O712" s="2"/>
      <c r="P712" s="2"/>
      <c r="Q712" s="2"/>
      <c r="R712" s="2"/>
      <c r="S712" s="2"/>
    </row>
    <row r="713">
      <c r="A713" s="2"/>
      <c r="B713" s="2"/>
      <c r="C713" s="2"/>
      <c r="D713" s="2"/>
      <c r="E713" s="2"/>
      <c r="F713" s="2"/>
      <c r="G713" s="2"/>
      <c r="H713" s="2"/>
      <c r="I713" s="2"/>
      <c r="J713" s="2"/>
      <c r="K713" s="2"/>
      <c r="L713" s="2"/>
      <c r="M713" s="2"/>
      <c r="N713" s="2"/>
      <c r="O713" s="2"/>
      <c r="P713" s="2"/>
      <c r="Q713" s="2"/>
      <c r="R713" s="2"/>
      <c r="S713" s="2"/>
    </row>
    <row r="714">
      <c r="A714" s="2"/>
      <c r="B714" s="2"/>
      <c r="C714" s="2"/>
      <c r="D714" s="2"/>
      <c r="E714" s="2"/>
      <c r="F714" s="2"/>
      <c r="G714" s="2"/>
      <c r="H714" s="2"/>
      <c r="I714" s="2"/>
      <c r="J714" s="2"/>
      <c r="K714" s="2"/>
      <c r="L714" s="2"/>
      <c r="M714" s="2"/>
      <c r="N714" s="2"/>
      <c r="O714" s="2"/>
      <c r="P714" s="2"/>
      <c r="Q714" s="2"/>
      <c r="R714" s="2"/>
      <c r="S714" s="2"/>
    </row>
    <row r="715">
      <c r="A715" s="2"/>
      <c r="B715" s="2"/>
      <c r="C715" s="2"/>
      <c r="D715" s="2"/>
      <c r="E715" s="2"/>
      <c r="F715" s="2"/>
      <c r="G715" s="2"/>
      <c r="H715" s="2"/>
      <c r="I715" s="2"/>
      <c r="J715" s="2"/>
      <c r="K715" s="2"/>
      <c r="L715" s="2"/>
      <c r="M715" s="2"/>
      <c r="N715" s="2"/>
      <c r="O715" s="2"/>
      <c r="P715" s="2"/>
      <c r="Q715" s="2"/>
      <c r="R715" s="2"/>
      <c r="S715" s="2"/>
    </row>
    <row r="716">
      <c r="A716" s="2"/>
      <c r="B716" s="2"/>
      <c r="C716" s="2"/>
      <c r="D716" s="2"/>
      <c r="E716" s="2"/>
      <c r="F716" s="2"/>
      <c r="G716" s="2"/>
      <c r="H716" s="2"/>
      <c r="I716" s="2"/>
      <c r="J716" s="2"/>
      <c r="K716" s="2"/>
      <c r="L716" s="2"/>
      <c r="M716" s="2"/>
      <c r="N716" s="2"/>
      <c r="O716" s="2"/>
      <c r="P716" s="2"/>
      <c r="Q716" s="2"/>
      <c r="R716" s="2"/>
      <c r="S716" s="2"/>
    </row>
    <row r="717">
      <c r="A717" s="2"/>
      <c r="B717" s="2"/>
      <c r="C717" s="2"/>
      <c r="D717" s="2"/>
      <c r="E717" s="2"/>
      <c r="F717" s="2"/>
      <c r="G717" s="2"/>
      <c r="H717" s="2"/>
      <c r="I717" s="2"/>
      <c r="J717" s="2"/>
      <c r="K717" s="2"/>
      <c r="L717" s="2"/>
      <c r="M717" s="2"/>
      <c r="N717" s="2"/>
      <c r="O717" s="2"/>
      <c r="P717" s="2"/>
      <c r="Q717" s="2"/>
      <c r="R717" s="2"/>
      <c r="S717" s="2"/>
    </row>
    <row r="718">
      <c r="A718" s="2"/>
      <c r="B718" s="2"/>
      <c r="C718" s="2"/>
      <c r="D718" s="2"/>
      <c r="E718" s="2"/>
      <c r="F718" s="2"/>
      <c r="G718" s="2"/>
      <c r="H718" s="2"/>
      <c r="I718" s="2"/>
      <c r="J718" s="2"/>
      <c r="K718" s="2"/>
      <c r="L718" s="2"/>
      <c r="M718" s="2"/>
      <c r="N718" s="2"/>
      <c r="O718" s="2"/>
      <c r="P718" s="2"/>
      <c r="Q718" s="2"/>
      <c r="R718" s="2"/>
      <c r="S718" s="2"/>
    </row>
    <row r="719">
      <c r="A719" s="2"/>
      <c r="B719" s="2"/>
      <c r="C719" s="2"/>
      <c r="D719" s="2"/>
      <c r="E719" s="2"/>
      <c r="F719" s="2"/>
      <c r="G719" s="2"/>
      <c r="H719" s="2"/>
      <c r="I719" s="2"/>
      <c r="J719" s="2"/>
      <c r="K719" s="2"/>
      <c r="L719" s="2"/>
      <c r="M719" s="2"/>
      <c r="N719" s="2"/>
      <c r="O719" s="2"/>
      <c r="P719" s="2"/>
      <c r="Q719" s="2"/>
      <c r="R719" s="2"/>
      <c r="S719" s="2"/>
    </row>
    <row r="720">
      <c r="A720" s="2"/>
      <c r="B720" s="2"/>
      <c r="C720" s="2"/>
      <c r="D720" s="2"/>
      <c r="E720" s="2"/>
      <c r="F720" s="2"/>
      <c r="G720" s="2"/>
      <c r="H720" s="2"/>
      <c r="I720" s="2"/>
      <c r="J720" s="2"/>
      <c r="K720" s="2"/>
      <c r="L720" s="2"/>
      <c r="M720" s="2"/>
      <c r="N720" s="2"/>
      <c r="O720" s="2"/>
      <c r="P720" s="2"/>
      <c r="Q720" s="2"/>
      <c r="R720" s="2"/>
      <c r="S720" s="2"/>
    </row>
    <row r="721">
      <c r="A721" s="2"/>
      <c r="B721" s="2"/>
      <c r="C721" s="2"/>
      <c r="D721" s="2"/>
      <c r="E721" s="2"/>
      <c r="F721" s="2"/>
      <c r="G721" s="2"/>
      <c r="H721" s="2"/>
      <c r="I721" s="2"/>
      <c r="J721" s="2"/>
      <c r="K721" s="2"/>
      <c r="L721" s="2"/>
      <c r="M721" s="2"/>
      <c r="N721" s="2"/>
      <c r="O721" s="2"/>
      <c r="P721" s="2"/>
      <c r="Q721" s="2"/>
      <c r="R721" s="2"/>
      <c r="S721" s="2"/>
    </row>
    <row r="722">
      <c r="A722" s="2"/>
      <c r="B722" s="2"/>
      <c r="C722" s="2"/>
      <c r="D722" s="2"/>
      <c r="E722" s="2"/>
      <c r="F722" s="2"/>
      <c r="G722" s="2"/>
      <c r="H722" s="2"/>
      <c r="I722" s="2"/>
      <c r="J722" s="2"/>
      <c r="K722" s="2"/>
      <c r="L722" s="2"/>
      <c r="M722" s="2"/>
      <c r="N722" s="2"/>
      <c r="O722" s="2"/>
      <c r="P722" s="2"/>
      <c r="Q722" s="2"/>
      <c r="R722" s="2"/>
      <c r="S722" s="2"/>
    </row>
    <row r="723">
      <c r="A723" s="2"/>
      <c r="B723" s="2"/>
      <c r="C723" s="2"/>
      <c r="D723" s="2"/>
      <c r="E723" s="2"/>
      <c r="F723" s="2"/>
      <c r="G723" s="2"/>
      <c r="H723" s="2"/>
      <c r="I723" s="2"/>
      <c r="J723" s="2"/>
      <c r="K723" s="2"/>
      <c r="L723" s="2"/>
      <c r="M723" s="2"/>
      <c r="N723" s="2"/>
      <c r="O723" s="2"/>
      <c r="P723" s="2"/>
      <c r="Q723" s="2"/>
      <c r="R723" s="2"/>
      <c r="S723" s="2"/>
    </row>
    <row r="724">
      <c r="A724" s="2"/>
      <c r="B724" s="2"/>
      <c r="C724" s="2"/>
      <c r="D724" s="2"/>
      <c r="E724" s="2"/>
      <c r="F724" s="2"/>
      <c r="G724" s="2"/>
      <c r="H724" s="2"/>
      <c r="I724" s="2"/>
      <c r="J724" s="2"/>
      <c r="K724" s="2"/>
      <c r="L724" s="2"/>
      <c r="M724" s="2"/>
      <c r="N724" s="2"/>
      <c r="O724" s="2"/>
      <c r="P724" s="2"/>
      <c r="Q724" s="2"/>
      <c r="R724" s="2"/>
      <c r="S724" s="2"/>
    </row>
    <row r="725">
      <c r="A725" s="2"/>
      <c r="B725" s="2"/>
      <c r="C725" s="2"/>
      <c r="D725" s="2"/>
      <c r="E725" s="2"/>
      <c r="F725" s="2"/>
      <c r="G725" s="2"/>
      <c r="H725" s="2"/>
      <c r="I725" s="2"/>
      <c r="J725" s="2"/>
      <c r="K725" s="2"/>
      <c r="L725" s="2"/>
      <c r="M725" s="2"/>
      <c r="N725" s="2"/>
      <c r="O725" s="2"/>
      <c r="P725" s="2"/>
      <c r="Q725" s="2"/>
      <c r="R725" s="2"/>
      <c r="S725" s="2"/>
    </row>
    <row r="726">
      <c r="A726" s="2"/>
      <c r="B726" s="2"/>
      <c r="C726" s="2"/>
      <c r="D726" s="2"/>
      <c r="E726" s="2"/>
      <c r="F726" s="2"/>
      <c r="G726" s="2"/>
      <c r="H726" s="2"/>
      <c r="I726" s="2"/>
      <c r="J726" s="2"/>
      <c r="K726" s="2"/>
      <c r="L726" s="2"/>
      <c r="M726" s="2"/>
      <c r="N726" s="2"/>
      <c r="O726" s="2"/>
      <c r="P726" s="2"/>
      <c r="Q726" s="2"/>
      <c r="R726" s="2"/>
      <c r="S726" s="2"/>
    </row>
    <row r="727">
      <c r="A727" s="2"/>
      <c r="B727" s="2"/>
      <c r="C727" s="2"/>
      <c r="D727" s="2"/>
      <c r="E727" s="2"/>
      <c r="F727" s="2"/>
      <c r="G727" s="2"/>
      <c r="H727" s="2"/>
      <c r="I727" s="2"/>
      <c r="J727" s="2"/>
      <c r="K727" s="2"/>
      <c r="L727" s="2"/>
      <c r="M727" s="2"/>
      <c r="N727" s="2"/>
      <c r="O727" s="2"/>
      <c r="P727" s="2"/>
      <c r="Q727" s="2"/>
      <c r="R727" s="2"/>
      <c r="S727" s="2"/>
    </row>
    <row r="728">
      <c r="A728" s="2"/>
      <c r="B728" s="2"/>
      <c r="C728" s="2"/>
      <c r="D728" s="2"/>
      <c r="E728" s="2"/>
      <c r="F728" s="2"/>
      <c r="G728" s="2"/>
      <c r="H728" s="2"/>
      <c r="I728" s="2"/>
      <c r="J728" s="2"/>
      <c r="K728" s="2"/>
      <c r="L728" s="2"/>
      <c r="M728" s="2"/>
      <c r="N728" s="2"/>
      <c r="O728" s="2"/>
      <c r="P728" s="2"/>
      <c r="Q728" s="2"/>
      <c r="R728" s="2"/>
      <c r="S728" s="2"/>
    </row>
    <row r="729">
      <c r="A729" s="2"/>
      <c r="B729" s="2"/>
      <c r="C729" s="2"/>
      <c r="D729" s="2"/>
      <c r="E729" s="2"/>
      <c r="F729" s="2"/>
      <c r="G729" s="2"/>
      <c r="H729" s="2"/>
      <c r="I729" s="2"/>
      <c r="J729" s="2"/>
      <c r="K729" s="2"/>
      <c r="L729" s="2"/>
      <c r="M729" s="2"/>
      <c r="N729" s="2"/>
      <c r="O729" s="2"/>
      <c r="P729" s="2"/>
      <c r="Q729" s="2"/>
      <c r="R729" s="2"/>
      <c r="S729" s="2"/>
    </row>
    <row r="730">
      <c r="A730" s="2"/>
      <c r="B730" s="2"/>
      <c r="C730" s="2"/>
      <c r="D730" s="2"/>
      <c r="E730" s="2"/>
      <c r="F730" s="2"/>
      <c r="G730" s="2"/>
      <c r="H730" s="2"/>
      <c r="I730" s="2"/>
      <c r="J730" s="2"/>
      <c r="K730" s="2"/>
      <c r="L730" s="2"/>
      <c r="M730" s="2"/>
      <c r="N730" s="2"/>
      <c r="O730" s="2"/>
      <c r="P730" s="2"/>
      <c r="Q730" s="2"/>
      <c r="R730" s="2"/>
      <c r="S730" s="2"/>
    </row>
    <row r="731">
      <c r="A731" s="2"/>
      <c r="B731" s="2"/>
      <c r="C731" s="2"/>
      <c r="D731" s="2"/>
      <c r="E731" s="2"/>
      <c r="F731" s="2"/>
      <c r="G731" s="2"/>
      <c r="H731" s="2"/>
      <c r="I731" s="2"/>
      <c r="J731" s="2"/>
      <c r="K731" s="2"/>
      <c r="L731" s="2"/>
      <c r="M731" s="2"/>
      <c r="N731" s="2"/>
      <c r="O731" s="2"/>
      <c r="P731" s="2"/>
      <c r="Q731" s="2"/>
      <c r="R731" s="2"/>
      <c r="S731" s="2"/>
    </row>
    <row r="732">
      <c r="A732" s="2"/>
      <c r="B732" s="2"/>
      <c r="C732" s="2"/>
      <c r="D732" s="2"/>
      <c r="E732" s="2"/>
      <c r="F732" s="2"/>
      <c r="G732" s="2"/>
      <c r="H732" s="2"/>
      <c r="I732" s="2"/>
      <c r="J732" s="2"/>
      <c r="K732" s="2"/>
      <c r="L732" s="2"/>
      <c r="M732" s="2"/>
      <c r="N732" s="2"/>
      <c r="O732" s="2"/>
      <c r="P732" s="2"/>
      <c r="Q732" s="2"/>
      <c r="R732" s="2"/>
      <c r="S732" s="2"/>
    </row>
    <row r="733">
      <c r="A733" s="2"/>
      <c r="B733" s="2"/>
      <c r="C733" s="2"/>
      <c r="D733" s="2"/>
      <c r="E733" s="2"/>
      <c r="F733" s="2"/>
      <c r="G733" s="2"/>
      <c r="H733" s="2"/>
      <c r="I733" s="2"/>
      <c r="J733" s="2"/>
      <c r="K733" s="2"/>
      <c r="L733" s="2"/>
      <c r="M733" s="2"/>
      <c r="N733" s="2"/>
      <c r="O733" s="2"/>
      <c r="P733" s="2"/>
      <c r="Q733" s="2"/>
      <c r="R733" s="2"/>
      <c r="S733" s="2"/>
    </row>
    <row r="734">
      <c r="A734" s="2"/>
      <c r="B734" s="2"/>
      <c r="C734" s="2"/>
      <c r="D734" s="2"/>
      <c r="E734" s="2"/>
      <c r="F734" s="2"/>
      <c r="G734" s="2"/>
      <c r="H734" s="2"/>
      <c r="I734" s="2"/>
      <c r="J734" s="2"/>
      <c r="K734" s="2"/>
      <c r="L734" s="2"/>
      <c r="M734" s="2"/>
      <c r="N734" s="2"/>
      <c r="O734" s="2"/>
      <c r="P734" s="2"/>
      <c r="Q734" s="2"/>
      <c r="R734" s="2"/>
      <c r="S734" s="2"/>
    </row>
    <row r="735">
      <c r="A735" s="2"/>
      <c r="B735" s="2"/>
      <c r="C735" s="2"/>
      <c r="D735" s="2"/>
      <c r="E735" s="2"/>
      <c r="F735" s="2"/>
      <c r="G735" s="2"/>
      <c r="H735" s="2"/>
      <c r="I735" s="2"/>
      <c r="J735" s="2"/>
      <c r="K735" s="2"/>
      <c r="L735" s="2"/>
      <c r="M735" s="2"/>
      <c r="N735" s="2"/>
      <c r="O735" s="2"/>
      <c r="P735" s="2"/>
      <c r="Q735" s="2"/>
      <c r="R735" s="2"/>
      <c r="S735" s="2"/>
    </row>
    <row r="736">
      <c r="A736" s="2"/>
      <c r="B736" s="2"/>
      <c r="C736" s="2"/>
      <c r="D736" s="2"/>
      <c r="E736" s="2"/>
      <c r="F736" s="2"/>
      <c r="G736" s="2"/>
      <c r="H736" s="2"/>
      <c r="I736" s="2"/>
      <c r="J736" s="2"/>
      <c r="K736" s="2"/>
      <c r="L736" s="2"/>
      <c r="M736" s="2"/>
      <c r="N736" s="2"/>
      <c r="O736" s="2"/>
      <c r="P736" s="2"/>
      <c r="Q736" s="2"/>
      <c r="R736" s="2"/>
      <c r="S736" s="2"/>
    </row>
    <row r="737">
      <c r="A737" s="2"/>
      <c r="B737" s="2"/>
      <c r="C737" s="2"/>
      <c r="D737" s="2"/>
      <c r="E737" s="2"/>
      <c r="F737" s="2"/>
      <c r="G737" s="2"/>
      <c r="H737" s="2"/>
      <c r="I737" s="2"/>
      <c r="J737" s="2"/>
      <c r="K737" s="2"/>
      <c r="L737" s="2"/>
      <c r="M737" s="2"/>
      <c r="N737" s="2"/>
      <c r="O737" s="2"/>
      <c r="P737" s="2"/>
      <c r="Q737" s="2"/>
      <c r="R737" s="2"/>
      <c r="S737" s="2"/>
    </row>
    <row r="738">
      <c r="A738" s="2"/>
      <c r="B738" s="2"/>
      <c r="C738" s="2"/>
      <c r="D738" s="2"/>
      <c r="E738" s="2"/>
      <c r="F738" s="2"/>
      <c r="G738" s="2"/>
      <c r="H738" s="2"/>
      <c r="I738" s="2"/>
      <c r="J738" s="2"/>
      <c r="K738" s="2"/>
      <c r="L738" s="2"/>
      <c r="M738" s="2"/>
      <c r="N738" s="2"/>
      <c r="O738" s="2"/>
      <c r="P738" s="2"/>
      <c r="Q738" s="2"/>
      <c r="R738" s="2"/>
      <c r="S738" s="2"/>
    </row>
    <row r="739">
      <c r="A739" s="2"/>
      <c r="B739" s="2"/>
      <c r="C739" s="2"/>
      <c r="D739" s="2"/>
      <c r="E739" s="2"/>
      <c r="F739" s="2"/>
      <c r="G739" s="2"/>
      <c r="H739" s="2"/>
      <c r="I739" s="2"/>
      <c r="J739" s="2"/>
      <c r="K739" s="2"/>
      <c r="L739" s="2"/>
      <c r="M739" s="2"/>
      <c r="N739" s="2"/>
      <c r="O739" s="2"/>
      <c r="P739" s="2"/>
      <c r="Q739" s="2"/>
      <c r="R739" s="2"/>
      <c r="S739" s="2"/>
    </row>
    <row r="740">
      <c r="A740" s="2"/>
      <c r="B740" s="2"/>
      <c r="C740" s="2"/>
      <c r="D740" s="2"/>
      <c r="E740" s="2"/>
      <c r="F740" s="2"/>
      <c r="G740" s="2"/>
      <c r="H740" s="2"/>
      <c r="I740" s="2"/>
      <c r="J740" s="2"/>
      <c r="K740" s="2"/>
      <c r="L740" s="2"/>
      <c r="M740" s="2"/>
      <c r="N740" s="2"/>
      <c r="O740" s="2"/>
      <c r="P740" s="2"/>
      <c r="Q740" s="2"/>
      <c r="R740" s="2"/>
      <c r="S740" s="2"/>
    </row>
    <row r="741">
      <c r="A741" s="2"/>
      <c r="B741" s="2"/>
      <c r="C741" s="2"/>
      <c r="D741" s="2"/>
      <c r="E741" s="2"/>
      <c r="F741" s="2"/>
      <c r="G741" s="2"/>
      <c r="H741" s="2"/>
      <c r="I741" s="2"/>
      <c r="J741" s="2"/>
      <c r="K741" s="2"/>
      <c r="L741" s="2"/>
      <c r="M741" s="2"/>
      <c r="N741" s="2"/>
      <c r="O741" s="2"/>
      <c r="P741" s="2"/>
      <c r="Q741" s="2"/>
      <c r="R741" s="2"/>
      <c r="S741" s="2"/>
    </row>
    <row r="742">
      <c r="A742" s="2"/>
      <c r="B742" s="2"/>
      <c r="C742" s="2"/>
      <c r="D742" s="2"/>
      <c r="E742" s="2"/>
      <c r="F742" s="2"/>
      <c r="G742" s="2"/>
      <c r="H742" s="2"/>
      <c r="I742" s="2"/>
      <c r="J742" s="2"/>
      <c r="K742" s="2"/>
      <c r="L742" s="2"/>
      <c r="M742" s="2"/>
      <c r="N742" s="2"/>
      <c r="O742" s="2"/>
      <c r="P742" s="2"/>
      <c r="Q742" s="2"/>
      <c r="R742" s="2"/>
      <c r="S742" s="2"/>
    </row>
    <row r="743">
      <c r="A743" s="2"/>
      <c r="B743" s="2"/>
      <c r="C743" s="2"/>
      <c r="D743" s="2"/>
      <c r="E743" s="2"/>
      <c r="F743" s="2"/>
      <c r="G743" s="2"/>
      <c r="H743" s="2"/>
      <c r="I743" s="2"/>
      <c r="J743" s="2"/>
      <c r="K743" s="2"/>
      <c r="L743" s="2"/>
      <c r="M743" s="2"/>
      <c r="N743" s="2"/>
      <c r="O743" s="2"/>
      <c r="P743" s="2"/>
      <c r="Q743" s="2"/>
      <c r="R743" s="2"/>
      <c r="S743" s="2"/>
    </row>
    <row r="744">
      <c r="A744" s="2"/>
      <c r="B744" s="2"/>
      <c r="C744" s="2"/>
      <c r="D744" s="2"/>
      <c r="E744" s="2"/>
      <c r="F744" s="2"/>
      <c r="G744" s="2"/>
      <c r="H744" s="2"/>
      <c r="I744" s="2"/>
      <c r="J744" s="2"/>
      <c r="K744" s="2"/>
      <c r="L744" s="2"/>
      <c r="M744" s="2"/>
      <c r="N744" s="2"/>
      <c r="O744" s="2"/>
      <c r="P744" s="2"/>
      <c r="Q744" s="2"/>
      <c r="R744" s="2"/>
      <c r="S744" s="2"/>
    </row>
    <row r="745">
      <c r="A745" s="2"/>
      <c r="B745" s="2"/>
      <c r="C745" s="2"/>
      <c r="D745" s="2"/>
      <c r="E745" s="2"/>
      <c r="F745" s="2"/>
      <c r="G745" s="2"/>
      <c r="H745" s="2"/>
      <c r="I745" s="2"/>
      <c r="J745" s="2"/>
      <c r="K745" s="2"/>
      <c r="L745" s="2"/>
      <c r="M745" s="2"/>
      <c r="N745" s="2"/>
      <c r="O745" s="2"/>
      <c r="P745" s="2"/>
      <c r="Q745" s="2"/>
      <c r="R745" s="2"/>
      <c r="S745" s="2"/>
    </row>
    <row r="746">
      <c r="A746" s="2"/>
      <c r="B746" s="2"/>
      <c r="C746" s="2"/>
      <c r="D746" s="2"/>
      <c r="E746" s="2"/>
      <c r="F746" s="2"/>
      <c r="G746" s="2"/>
      <c r="H746" s="2"/>
      <c r="I746" s="2"/>
      <c r="J746" s="2"/>
      <c r="K746" s="2"/>
      <c r="L746" s="2"/>
      <c r="M746" s="2"/>
      <c r="N746" s="2"/>
      <c r="O746" s="2"/>
      <c r="P746" s="2"/>
      <c r="Q746" s="2"/>
      <c r="R746" s="2"/>
      <c r="S746" s="2"/>
    </row>
    <row r="747">
      <c r="A747" s="2"/>
      <c r="B747" s="2"/>
      <c r="C747" s="2"/>
      <c r="D747" s="2"/>
      <c r="E747" s="2"/>
      <c r="F747" s="2"/>
      <c r="G747" s="2"/>
      <c r="H747" s="2"/>
      <c r="I747" s="2"/>
      <c r="J747" s="2"/>
      <c r="K747" s="2"/>
      <c r="L747" s="2"/>
      <c r="M747" s="2"/>
      <c r="N747" s="2"/>
      <c r="O747" s="2"/>
      <c r="P747" s="2"/>
      <c r="Q747" s="2"/>
      <c r="R747" s="2"/>
      <c r="S747" s="2"/>
    </row>
    <row r="748">
      <c r="A748" s="2"/>
      <c r="B748" s="2"/>
      <c r="C748" s="2"/>
      <c r="D748" s="2"/>
      <c r="E748" s="2"/>
      <c r="F748" s="2"/>
      <c r="G748" s="2"/>
      <c r="H748" s="2"/>
      <c r="I748" s="2"/>
      <c r="J748" s="2"/>
      <c r="K748" s="2"/>
      <c r="L748" s="2"/>
      <c r="M748" s="2"/>
      <c r="N748" s="2"/>
      <c r="O748" s="2"/>
      <c r="P748" s="2"/>
      <c r="Q748" s="2"/>
      <c r="R748" s="2"/>
      <c r="S748" s="2"/>
    </row>
    <row r="749">
      <c r="A749" s="2"/>
      <c r="B749" s="2"/>
      <c r="C749" s="2"/>
      <c r="D749" s="2"/>
      <c r="E749" s="2"/>
      <c r="F749" s="2"/>
      <c r="G749" s="2"/>
      <c r="H749" s="2"/>
      <c r="I749" s="2"/>
      <c r="J749" s="2"/>
      <c r="K749" s="2"/>
      <c r="L749" s="2"/>
      <c r="M749" s="2"/>
      <c r="N749" s="2"/>
      <c r="O749" s="2"/>
      <c r="P749" s="2"/>
      <c r="Q749" s="2"/>
      <c r="R749" s="2"/>
      <c r="S749" s="2"/>
    </row>
    <row r="750">
      <c r="A750" s="2"/>
      <c r="B750" s="2"/>
      <c r="C750" s="2"/>
      <c r="D750" s="2"/>
      <c r="E750" s="2"/>
      <c r="F750" s="2"/>
      <c r="G750" s="2"/>
      <c r="H750" s="2"/>
      <c r="I750" s="2"/>
      <c r="J750" s="2"/>
      <c r="K750" s="2"/>
      <c r="L750" s="2"/>
      <c r="M750" s="2"/>
      <c r="N750" s="2"/>
      <c r="O750" s="2"/>
      <c r="P750" s="2"/>
      <c r="Q750" s="2"/>
      <c r="R750" s="2"/>
      <c r="S750" s="2"/>
    </row>
    <row r="751">
      <c r="A751" s="2"/>
      <c r="B751" s="2"/>
      <c r="C751" s="2"/>
      <c r="D751" s="2"/>
      <c r="E751" s="2"/>
      <c r="F751" s="2"/>
      <c r="G751" s="2"/>
      <c r="H751" s="2"/>
      <c r="I751" s="2"/>
      <c r="J751" s="2"/>
      <c r="K751" s="2"/>
      <c r="L751" s="2"/>
      <c r="M751" s="2"/>
      <c r="N751" s="2"/>
      <c r="O751" s="2"/>
      <c r="P751" s="2"/>
      <c r="Q751" s="2"/>
      <c r="R751" s="2"/>
      <c r="S751" s="2"/>
    </row>
    <row r="752">
      <c r="A752" s="2"/>
      <c r="B752" s="2"/>
      <c r="C752" s="2"/>
      <c r="D752" s="2"/>
      <c r="E752" s="2"/>
      <c r="F752" s="2"/>
      <c r="G752" s="2"/>
      <c r="H752" s="2"/>
      <c r="I752" s="2"/>
      <c r="J752" s="2"/>
      <c r="K752" s="2"/>
      <c r="L752" s="2"/>
      <c r="M752" s="2"/>
      <c r="N752" s="2"/>
      <c r="O752" s="2"/>
      <c r="P752" s="2"/>
      <c r="Q752" s="2"/>
      <c r="R752" s="2"/>
      <c r="S752" s="2"/>
    </row>
    <row r="753">
      <c r="A753" s="2"/>
      <c r="B753" s="2"/>
      <c r="C753" s="2"/>
      <c r="D753" s="2"/>
      <c r="E753" s="2"/>
      <c r="F753" s="2"/>
      <c r="G753" s="2"/>
      <c r="H753" s="2"/>
      <c r="I753" s="2"/>
      <c r="J753" s="2"/>
      <c r="K753" s="2"/>
      <c r="L753" s="2"/>
      <c r="M753" s="2"/>
      <c r="N753" s="2"/>
      <c r="O753" s="2"/>
      <c r="P753" s="2"/>
      <c r="Q753" s="2"/>
      <c r="R753" s="2"/>
      <c r="S753" s="2"/>
    </row>
    <row r="754">
      <c r="A754" s="2"/>
      <c r="B754" s="2"/>
      <c r="C754" s="2"/>
      <c r="D754" s="2"/>
      <c r="E754" s="2"/>
      <c r="F754" s="2"/>
      <c r="G754" s="2"/>
      <c r="H754" s="2"/>
      <c r="I754" s="2"/>
      <c r="J754" s="2"/>
      <c r="K754" s="2"/>
      <c r="L754" s="2"/>
      <c r="M754" s="2"/>
      <c r="N754" s="2"/>
      <c r="O754" s="2"/>
      <c r="P754" s="2"/>
      <c r="Q754" s="2"/>
      <c r="R754" s="2"/>
      <c r="S754" s="2"/>
    </row>
    <row r="755">
      <c r="A755" s="2"/>
      <c r="B755" s="2"/>
      <c r="C755" s="2"/>
      <c r="D755" s="2"/>
      <c r="E755" s="2"/>
      <c r="F755" s="2"/>
      <c r="G755" s="2"/>
      <c r="H755" s="2"/>
      <c r="I755" s="2"/>
      <c r="J755" s="2"/>
      <c r="K755" s="2"/>
      <c r="L755" s="2"/>
      <c r="M755" s="2"/>
      <c r="N755" s="2"/>
      <c r="O755" s="2"/>
      <c r="P755" s="2"/>
      <c r="Q755" s="2"/>
      <c r="R755" s="2"/>
      <c r="S755" s="2"/>
    </row>
    <row r="756">
      <c r="A756" s="2"/>
      <c r="B756" s="2"/>
      <c r="C756" s="2"/>
      <c r="D756" s="2"/>
      <c r="E756" s="2"/>
      <c r="F756" s="2"/>
      <c r="G756" s="2"/>
      <c r="H756" s="2"/>
      <c r="I756" s="2"/>
      <c r="J756" s="2"/>
      <c r="K756" s="2"/>
      <c r="L756" s="2"/>
      <c r="M756" s="2"/>
      <c r="N756" s="2"/>
      <c r="O756" s="2"/>
      <c r="P756" s="2"/>
      <c r="Q756" s="2"/>
      <c r="R756" s="2"/>
      <c r="S756" s="2"/>
    </row>
    <row r="757">
      <c r="A757" s="2"/>
      <c r="B757" s="2"/>
      <c r="C757" s="2"/>
      <c r="D757" s="2"/>
      <c r="E757" s="2"/>
      <c r="F757" s="2"/>
      <c r="G757" s="2"/>
      <c r="H757" s="2"/>
      <c r="I757" s="2"/>
      <c r="J757" s="2"/>
      <c r="K757" s="2"/>
      <c r="L757" s="2"/>
      <c r="M757" s="2"/>
      <c r="N757" s="2"/>
      <c r="O757" s="2"/>
      <c r="P757" s="2"/>
      <c r="Q757" s="2"/>
      <c r="R757" s="2"/>
      <c r="S757" s="2"/>
    </row>
    <row r="758">
      <c r="A758" s="2"/>
      <c r="B758" s="2"/>
      <c r="C758" s="2"/>
      <c r="D758" s="2"/>
      <c r="E758" s="2"/>
      <c r="F758" s="2"/>
      <c r="G758" s="2"/>
      <c r="H758" s="2"/>
      <c r="I758" s="2"/>
      <c r="J758" s="2"/>
      <c r="K758" s="2"/>
      <c r="L758" s="2"/>
      <c r="M758" s="2"/>
      <c r="N758" s="2"/>
      <c r="O758" s="2"/>
      <c r="P758" s="2"/>
      <c r="Q758" s="2"/>
      <c r="R758" s="2"/>
      <c r="S758" s="2"/>
    </row>
    <row r="759">
      <c r="A759" s="2"/>
      <c r="B759" s="2"/>
      <c r="C759" s="2"/>
      <c r="D759" s="2"/>
      <c r="E759" s="2"/>
      <c r="F759" s="2"/>
      <c r="G759" s="2"/>
      <c r="H759" s="2"/>
      <c r="I759" s="2"/>
      <c r="J759" s="2"/>
      <c r="K759" s="2"/>
      <c r="L759" s="2"/>
      <c r="M759" s="2"/>
      <c r="N759" s="2"/>
      <c r="O759" s="2"/>
      <c r="P759" s="2"/>
      <c r="Q759" s="2"/>
      <c r="R759" s="2"/>
      <c r="S759" s="2"/>
    </row>
    <row r="760">
      <c r="A760" s="2"/>
      <c r="B760" s="2"/>
      <c r="C760" s="2"/>
      <c r="D760" s="2"/>
      <c r="E760" s="2"/>
      <c r="F760" s="2"/>
      <c r="G760" s="2"/>
      <c r="H760" s="2"/>
      <c r="I760" s="2"/>
      <c r="J760" s="2"/>
      <c r="K760" s="2"/>
      <c r="L760" s="2"/>
      <c r="M760" s="2"/>
      <c r="N760" s="2"/>
      <c r="O760" s="2"/>
      <c r="P760" s="2"/>
      <c r="Q760" s="2"/>
      <c r="R760" s="2"/>
      <c r="S760" s="2"/>
    </row>
    <row r="761">
      <c r="A761" s="2"/>
      <c r="B761" s="2"/>
      <c r="C761" s="2"/>
      <c r="D761" s="2"/>
      <c r="E761" s="2"/>
      <c r="F761" s="2"/>
      <c r="G761" s="2"/>
      <c r="H761" s="2"/>
      <c r="I761" s="2"/>
      <c r="J761" s="2"/>
      <c r="K761" s="2"/>
      <c r="L761" s="2"/>
      <c r="M761" s="2"/>
      <c r="N761" s="2"/>
      <c r="O761" s="2"/>
      <c r="P761" s="2"/>
      <c r="Q761" s="2"/>
      <c r="R761" s="2"/>
      <c r="S761" s="2"/>
    </row>
    <row r="762">
      <c r="A762" s="2"/>
      <c r="B762" s="2"/>
      <c r="C762" s="2"/>
      <c r="D762" s="2"/>
      <c r="E762" s="2"/>
      <c r="F762" s="2"/>
      <c r="G762" s="2"/>
      <c r="H762" s="2"/>
      <c r="I762" s="2"/>
      <c r="J762" s="2"/>
      <c r="K762" s="2"/>
      <c r="L762" s="2"/>
      <c r="M762" s="2"/>
      <c r="N762" s="2"/>
      <c r="O762" s="2"/>
      <c r="P762" s="2"/>
      <c r="Q762" s="2"/>
      <c r="R762" s="2"/>
      <c r="S762" s="2"/>
    </row>
    <row r="763">
      <c r="A763" s="2"/>
      <c r="B763" s="2"/>
      <c r="C763" s="2"/>
      <c r="D763" s="2"/>
      <c r="E763" s="2"/>
      <c r="F763" s="2"/>
      <c r="G763" s="2"/>
      <c r="H763" s="2"/>
      <c r="I763" s="2"/>
      <c r="J763" s="2"/>
      <c r="K763" s="2"/>
      <c r="L763" s="2"/>
      <c r="M763" s="2"/>
      <c r="N763" s="2"/>
      <c r="O763" s="2"/>
      <c r="P763" s="2"/>
      <c r="Q763" s="2"/>
      <c r="R763" s="2"/>
      <c r="S763" s="2"/>
    </row>
    <row r="764">
      <c r="A764" s="2"/>
      <c r="B764" s="2"/>
      <c r="C764" s="2"/>
      <c r="D764" s="2"/>
      <c r="E764" s="2"/>
      <c r="F764" s="2"/>
      <c r="G764" s="2"/>
      <c r="H764" s="2"/>
      <c r="I764" s="2"/>
      <c r="J764" s="2"/>
      <c r="K764" s="2"/>
      <c r="L764" s="2"/>
      <c r="M764" s="2"/>
      <c r="N764" s="2"/>
      <c r="O764" s="2"/>
      <c r="P764" s="2"/>
      <c r="Q764" s="2"/>
      <c r="R764" s="2"/>
      <c r="S764" s="2"/>
    </row>
    <row r="765">
      <c r="A765" s="2"/>
      <c r="B765" s="2"/>
      <c r="C765" s="2"/>
      <c r="D765" s="2"/>
      <c r="E765" s="2"/>
      <c r="F765" s="2"/>
      <c r="G765" s="2"/>
      <c r="H765" s="2"/>
      <c r="I765" s="2"/>
      <c r="J765" s="2"/>
      <c r="K765" s="2"/>
      <c r="L765" s="2"/>
      <c r="M765" s="2"/>
      <c r="N765" s="2"/>
      <c r="O765" s="2"/>
      <c r="P765" s="2"/>
      <c r="Q765" s="2"/>
      <c r="R765" s="2"/>
      <c r="S765" s="2"/>
    </row>
    <row r="766">
      <c r="A766" s="2"/>
      <c r="B766" s="2"/>
      <c r="C766" s="2"/>
      <c r="D766" s="2"/>
      <c r="E766" s="2"/>
      <c r="F766" s="2"/>
      <c r="G766" s="2"/>
      <c r="H766" s="2"/>
      <c r="I766" s="2"/>
      <c r="J766" s="2"/>
      <c r="K766" s="2"/>
      <c r="L766" s="2"/>
      <c r="M766" s="2"/>
      <c r="N766" s="2"/>
      <c r="O766" s="2"/>
      <c r="P766" s="2"/>
      <c r="Q766" s="2"/>
      <c r="R766" s="2"/>
      <c r="S766" s="2"/>
    </row>
    <row r="767">
      <c r="A767" s="2"/>
      <c r="B767" s="2"/>
      <c r="C767" s="2"/>
      <c r="D767" s="2"/>
      <c r="E767" s="2"/>
      <c r="F767" s="2"/>
      <c r="G767" s="2"/>
      <c r="H767" s="2"/>
      <c r="I767" s="2"/>
      <c r="J767" s="2"/>
      <c r="K767" s="2"/>
      <c r="L767" s="2"/>
      <c r="M767" s="2"/>
      <c r="N767" s="2"/>
      <c r="O767" s="2"/>
      <c r="P767" s="2"/>
      <c r="Q767" s="2"/>
      <c r="R767" s="2"/>
      <c r="S767" s="2"/>
    </row>
    <row r="768">
      <c r="A768" s="2"/>
      <c r="B768" s="2"/>
      <c r="C768" s="2"/>
      <c r="D768" s="2"/>
      <c r="E768" s="2"/>
      <c r="F768" s="2"/>
      <c r="G768" s="2"/>
      <c r="H768" s="2"/>
      <c r="I768" s="2"/>
      <c r="J768" s="2"/>
      <c r="K768" s="2"/>
      <c r="L768" s="2"/>
      <c r="M768" s="2"/>
      <c r="N768" s="2"/>
      <c r="O768" s="2"/>
      <c r="P768" s="2"/>
      <c r="Q768" s="2"/>
      <c r="R768" s="2"/>
      <c r="S768" s="2"/>
    </row>
    <row r="769">
      <c r="A769" s="2"/>
      <c r="B769" s="2"/>
      <c r="C769" s="2"/>
      <c r="D769" s="2"/>
      <c r="E769" s="2"/>
      <c r="F769" s="2"/>
      <c r="G769" s="2"/>
      <c r="H769" s="2"/>
      <c r="I769" s="2"/>
      <c r="J769" s="2"/>
      <c r="K769" s="2"/>
      <c r="L769" s="2"/>
      <c r="M769" s="2"/>
      <c r="N769" s="2"/>
      <c r="O769" s="2"/>
      <c r="P769" s="2"/>
      <c r="Q769" s="2"/>
      <c r="R769" s="2"/>
      <c r="S769" s="2"/>
    </row>
    <row r="770">
      <c r="A770" s="2"/>
      <c r="B770" s="2"/>
      <c r="C770" s="2"/>
      <c r="D770" s="2"/>
      <c r="E770" s="2"/>
      <c r="F770" s="2"/>
      <c r="G770" s="2"/>
      <c r="H770" s="2"/>
      <c r="I770" s="2"/>
      <c r="J770" s="2"/>
      <c r="K770" s="2"/>
      <c r="L770" s="2"/>
      <c r="M770" s="2"/>
      <c r="N770" s="2"/>
      <c r="O770" s="2"/>
      <c r="P770" s="2"/>
      <c r="Q770" s="2"/>
      <c r="R770" s="2"/>
      <c r="S770" s="2"/>
    </row>
    <row r="771">
      <c r="A771" s="2"/>
      <c r="B771" s="2"/>
      <c r="C771" s="2"/>
      <c r="D771" s="2"/>
      <c r="E771" s="2"/>
      <c r="F771" s="2"/>
      <c r="G771" s="2"/>
      <c r="H771" s="2"/>
      <c r="I771" s="2"/>
      <c r="J771" s="2"/>
      <c r="K771" s="2"/>
      <c r="L771" s="2"/>
      <c r="M771" s="2"/>
      <c r="N771" s="2"/>
      <c r="O771" s="2"/>
      <c r="P771" s="2"/>
      <c r="Q771" s="2"/>
      <c r="R771" s="2"/>
      <c r="S771" s="2"/>
    </row>
    <row r="772">
      <c r="A772" s="2"/>
      <c r="B772" s="2"/>
      <c r="C772" s="2"/>
      <c r="D772" s="2"/>
      <c r="E772" s="2"/>
      <c r="F772" s="2"/>
      <c r="G772" s="2"/>
      <c r="H772" s="2"/>
      <c r="I772" s="2"/>
      <c r="J772" s="2"/>
      <c r="K772" s="2"/>
      <c r="L772" s="2"/>
      <c r="M772" s="2"/>
      <c r="N772" s="2"/>
      <c r="O772" s="2"/>
      <c r="P772" s="2"/>
      <c r="Q772" s="2"/>
      <c r="R772" s="2"/>
      <c r="S772" s="2"/>
    </row>
    <row r="773">
      <c r="A773" s="2"/>
      <c r="B773" s="2"/>
      <c r="C773" s="2"/>
      <c r="D773" s="2"/>
      <c r="E773" s="2"/>
      <c r="F773" s="2"/>
      <c r="G773" s="2"/>
      <c r="H773" s="2"/>
      <c r="I773" s="2"/>
      <c r="J773" s="2"/>
      <c r="K773" s="2"/>
      <c r="L773" s="2"/>
      <c r="M773" s="2"/>
      <c r="N773" s="2"/>
      <c r="O773" s="2"/>
      <c r="P773" s="2"/>
      <c r="Q773" s="2"/>
      <c r="R773" s="2"/>
      <c r="S773" s="2"/>
    </row>
    <row r="774">
      <c r="A774" s="2"/>
      <c r="B774" s="2"/>
      <c r="C774" s="2"/>
      <c r="D774" s="2"/>
      <c r="E774" s="2"/>
      <c r="F774" s="2"/>
      <c r="G774" s="2"/>
      <c r="H774" s="2"/>
      <c r="I774" s="2"/>
      <c r="J774" s="2"/>
      <c r="K774" s="2"/>
      <c r="L774" s="2"/>
      <c r="M774" s="2"/>
      <c r="N774" s="2"/>
      <c r="O774" s="2"/>
      <c r="P774" s="2"/>
      <c r="Q774" s="2"/>
      <c r="R774" s="2"/>
      <c r="S774" s="2"/>
    </row>
    <row r="775">
      <c r="A775" s="2"/>
      <c r="B775" s="2"/>
      <c r="C775" s="2"/>
      <c r="D775" s="2"/>
      <c r="E775" s="2"/>
      <c r="F775" s="2"/>
      <c r="G775" s="2"/>
      <c r="H775" s="2"/>
      <c r="I775" s="2"/>
      <c r="J775" s="2"/>
      <c r="K775" s="2"/>
      <c r="L775" s="2"/>
      <c r="M775" s="2"/>
      <c r="N775" s="2"/>
      <c r="O775" s="2"/>
      <c r="P775" s="2"/>
      <c r="Q775" s="2"/>
      <c r="R775" s="2"/>
      <c r="S775" s="2"/>
    </row>
    <row r="776">
      <c r="A776" s="2"/>
      <c r="B776" s="2"/>
      <c r="C776" s="2"/>
      <c r="D776" s="2"/>
      <c r="E776" s="2"/>
      <c r="F776" s="2"/>
      <c r="G776" s="2"/>
      <c r="H776" s="2"/>
      <c r="I776" s="2"/>
      <c r="J776" s="2"/>
      <c r="K776" s="2"/>
      <c r="L776" s="2"/>
      <c r="M776" s="2"/>
      <c r="N776" s="2"/>
      <c r="O776" s="2"/>
      <c r="P776" s="2"/>
      <c r="Q776" s="2"/>
      <c r="R776" s="2"/>
      <c r="S776" s="2"/>
    </row>
    <row r="777">
      <c r="A777" s="2"/>
      <c r="B777" s="2"/>
      <c r="C777" s="2"/>
      <c r="D777" s="2"/>
      <c r="E777" s="2"/>
      <c r="F777" s="2"/>
      <c r="G777" s="2"/>
      <c r="H777" s="2"/>
      <c r="I777" s="2"/>
      <c r="J777" s="2"/>
      <c r="K777" s="2"/>
      <c r="L777" s="2"/>
      <c r="M777" s="2"/>
      <c r="N777" s="2"/>
      <c r="O777" s="2"/>
      <c r="P777" s="2"/>
      <c r="Q777" s="2"/>
      <c r="R777" s="2"/>
      <c r="S777" s="2"/>
    </row>
    <row r="778">
      <c r="A778" s="2"/>
      <c r="B778" s="2"/>
      <c r="C778" s="2"/>
      <c r="D778" s="2"/>
      <c r="E778" s="2"/>
      <c r="F778" s="2"/>
      <c r="G778" s="2"/>
      <c r="H778" s="2"/>
      <c r="I778" s="2"/>
      <c r="J778" s="2"/>
      <c r="K778" s="2"/>
      <c r="L778" s="2"/>
      <c r="M778" s="2"/>
      <c r="N778" s="2"/>
      <c r="O778" s="2"/>
      <c r="P778" s="2"/>
      <c r="Q778" s="2"/>
      <c r="R778" s="2"/>
      <c r="S778" s="2"/>
    </row>
    <row r="779">
      <c r="A779" s="2"/>
      <c r="B779" s="2"/>
      <c r="C779" s="2"/>
      <c r="D779" s="2"/>
      <c r="E779" s="2"/>
      <c r="F779" s="2"/>
      <c r="G779" s="2"/>
      <c r="H779" s="2"/>
      <c r="I779" s="2"/>
      <c r="J779" s="2"/>
      <c r="K779" s="2"/>
      <c r="L779" s="2"/>
      <c r="M779" s="2"/>
      <c r="N779" s="2"/>
      <c r="O779" s="2"/>
      <c r="P779" s="2"/>
      <c r="Q779" s="2"/>
      <c r="R779" s="2"/>
      <c r="S779" s="2"/>
    </row>
    <row r="780">
      <c r="A780" s="2"/>
      <c r="B780" s="2"/>
      <c r="C780" s="2"/>
      <c r="D780" s="2"/>
      <c r="E780" s="2"/>
      <c r="F780" s="2"/>
      <c r="G780" s="2"/>
      <c r="H780" s="2"/>
      <c r="I780" s="2"/>
      <c r="J780" s="2"/>
      <c r="K780" s="2"/>
      <c r="L780" s="2"/>
      <c r="M780" s="2"/>
      <c r="N780" s="2"/>
      <c r="O780" s="2"/>
      <c r="P780" s="2"/>
      <c r="Q780" s="2"/>
      <c r="R780" s="2"/>
      <c r="S780" s="2"/>
    </row>
    <row r="781">
      <c r="A781" s="2"/>
      <c r="B781" s="2"/>
      <c r="C781" s="2"/>
      <c r="D781" s="2"/>
      <c r="E781" s="2"/>
      <c r="F781" s="2"/>
      <c r="G781" s="2"/>
      <c r="H781" s="2"/>
      <c r="I781" s="2"/>
      <c r="J781" s="2"/>
      <c r="K781" s="2"/>
      <c r="L781" s="2"/>
      <c r="M781" s="2"/>
      <c r="N781" s="2"/>
      <c r="O781" s="2"/>
      <c r="P781" s="2"/>
      <c r="Q781" s="2"/>
      <c r="R781" s="2"/>
      <c r="S781" s="2"/>
    </row>
    <row r="782">
      <c r="A782" s="2"/>
      <c r="B782" s="2"/>
      <c r="C782" s="2"/>
      <c r="D782" s="2"/>
      <c r="E782" s="2"/>
      <c r="F782" s="2"/>
      <c r="G782" s="2"/>
      <c r="H782" s="2"/>
      <c r="I782" s="2"/>
      <c r="J782" s="2"/>
      <c r="K782" s="2"/>
      <c r="L782" s="2"/>
      <c r="M782" s="2"/>
      <c r="N782" s="2"/>
      <c r="O782" s="2"/>
      <c r="P782" s="2"/>
      <c r="Q782" s="2"/>
      <c r="R782" s="2"/>
      <c r="S782" s="2"/>
    </row>
    <row r="783">
      <c r="A783" s="2"/>
      <c r="B783" s="2"/>
      <c r="C783" s="2"/>
      <c r="D783" s="2"/>
      <c r="E783" s="2"/>
      <c r="F783" s="2"/>
      <c r="G783" s="2"/>
      <c r="H783" s="2"/>
      <c r="I783" s="2"/>
      <c r="J783" s="2"/>
      <c r="K783" s="2"/>
      <c r="L783" s="2"/>
      <c r="M783" s="2"/>
      <c r="N783" s="2"/>
      <c r="O783" s="2"/>
      <c r="P783" s="2"/>
      <c r="Q783" s="2"/>
      <c r="R783" s="2"/>
      <c r="S783" s="2"/>
    </row>
    <row r="784">
      <c r="A784" s="2"/>
      <c r="B784" s="2"/>
      <c r="C784" s="2"/>
      <c r="D784" s="2"/>
      <c r="E784" s="2"/>
      <c r="F784" s="2"/>
      <c r="G784" s="2"/>
      <c r="H784" s="2"/>
      <c r="I784" s="2"/>
      <c r="J784" s="2"/>
      <c r="K784" s="2"/>
      <c r="L784" s="2"/>
      <c r="M784" s="2"/>
      <c r="N784" s="2"/>
      <c r="O784" s="2"/>
      <c r="P784" s="2"/>
      <c r="Q784" s="2"/>
      <c r="R784" s="2"/>
      <c r="S784" s="2"/>
    </row>
    <row r="785">
      <c r="A785" s="2"/>
      <c r="B785" s="2"/>
      <c r="C785" s="2"/>
      <c r="D785" s="2"/>
      <c r="E785" s="2"/>
      <c r="F785" s="2"/>
      <c r="G785" s="2"/>
      <c r="H785" s="2"/>
      <c r="I785" s="2"/>
      <c r="J785" s="2"/>
      <c r="K785" s="2"/>
      <c r="L785" s="2"/>
      <c r="M785" s="2"/>
      <c r="N785" s="2"/>
      <c r="O785" s="2"/>
      <c r="P785" s="2"/>
      <c r="Q785" s="2"/>
      <c r="R785" s="2"/>
      <c r="S785" s="2"/>
    </row>
    <row r="786">
      <c r="A786" s="2"/>
      <c r="B786" s="2"/>
      <c r="C786" s="2"/>
      <c r="D786" s="2"/>
      <c r="E786" s="2"/>
      <c r="F786" s="2"/>
      <c r="G786" s="2"/>
      <c r="H786" s="2"/>
      <c r="I786" s="2"/>
      <c r="J786" s="2"/>
      <c r="K786" s="2"/>
      <c r="L786" s="2"/>
      <c r="M786" s="2"/>
      <c r="N786" s="2"/>
      <c r="O786" s="2"/>
      <c r="P786" s="2"/>
      <c r="Q786" s="2"/>
      <c r="R786" s="2"/>
      <c r="S786" s="2"/>
    </row>
    <row r="787">
      <c r="A787" s="2"/>
      <c r="B787" s="2"/>
      <c r="C787" s="2"/>
      <c r="D787" s="2"/>
      <c r="E787" s="2"/>
      <c r="F787" s="2"/>
      <c r="G787" s="2"/>
      <c r="H787" s="2"/>
      <c r="I787" s="2"/>
      <c r="J787" s="2"/>
      <c r="K787" s="2"/>
      <c r="L787" s="2"/>
      <c r="M787" s="2"/>
      <c r="N787" s="2"/>
      <c r="O787" s="2"/>
      <c r="P787" s="2"/>
      <c r="Q787" s="2"/>
      <c r="R787" s="2"/>
      <c r="S787" s="2"/>
    </row>
    <row r="788">
      <c r="A788" s="2"/>
      <c r="B788" s="2"/>
      <c r="C788" s="2"/>
      <c r="D788" s="2"/>
      <c r="E788" s="2"/>
      <c r="F788" s="2"/>
      <c r="G788" s="2"/>
      <c r="H788" s="2"/>
      <c r="I788" s="2"/>
      <c r="J788" s="2"/>
      <c r="K788" s="2"/>
      <c r="L788" s="2"/>
      <c r="M788" s="2"/>
      <c r="N788" s="2"/>
      <c r="O788" s="2"/>
      <c r="P788" s="2"/>
      <c r="Q788" s="2"/>
      <c r="R788" s="2"/>
      <c r="S788" s="2"/>
    </row>
    <row r="789">
      <c r="A789" s="2"/>
      <c r="B789" s="2"/>
      <c r="C789" s="2"/>
      <c r="D789" s="2"/>
      <c r="E789" s="2"/>
      <c r="F789" s="2"/>
      <c r="G789" s="2"/>
      <c r="H789" s="2"/>
      <c r="I789" s="2"/>
      <c r="J789" s="2"/>
      <c r="K789" s="2"/>
      <c r="L789" s="2"/>
      <c r="M789" s="2"/>
      <c r="N789" s="2"/>
      <c r="O789" s="2"/>
      <c r="P789" s="2"/>
      <c r="Q789" s="2"/>
      <c r="R789" s="2"/>
      <c r="S789" s="2"/>
    </row>
    <row r="790">
      <c r="A790" s="2"/>
      <c r="B790" s="2"/>
      <c r="C790" s="2"/>
      <c r="D790" s="2"/>
      <c r="E790" s="2"/>
      <c r="F790" s="2"/>
      <c r="G790" s="2"/>
      <c r="H790" s="2"/>
      <c r="I790" s="2"/>
      <c r="J790" s="2"/>
      <c r="K790" s="2"/>
      <c r="L790" s="2"/>
      <c r="M790" s="2"/>
      <c r="N790" s="2"/>
      <c r="O790" s="2"/>
      <c r="P790" s="2"/>
      <c r="Q790" s="2"/>
      <c r="R790" s="2"/>
      <c r="S790" s="2"/>
    </row>
    <row r="791">
      <c r="A791" s="2"/>
      <c r="B791" s="2"/>
      <c r="C791" s="2"/>
      <c r="D791" s="2"/>
      <c r="E791" s="2"/>
      <c r="F791" s="2"/>
      <c r="G791" s="2"/>
      <c r="H791" s="2"/>
      <c r="I791" s="2"/>
      <c r="J791" s="2"/>
      <c r="K791" s="2"/>
      <c r="L791" s="2"/>
      <c r="M791" s="2"/>
      <c r="N791" s="2"/>
      <c r="O791" s="2"/>
      <c r="P791" s="2"/>
      <c r="Q791" s="2"/>
      <c r="R791" s="2"/>
      <c r="S791" s="2"/>
    </row>
    <row r="792">
      <c r="A792" s="2"/>
      <c r="B792" s="2"/>
      <c r="C792" s="2"/>
      <c r="D792" s="2"/>
      <c r="E792" s="2"/>
      <c r="F792" s="2"/>
      <c r="G792" s="2"/>
      <c r="H792" s="2"/>
      <c r="I792" s="2"/>
      <c r="J792" s="2"/>
      <c r="K792" s="2"/>
      <c r="L792" s="2"/>
      <c r="M792" s="2"/>
      <c r="N792" s="2"/>
      <c r="O792" s="2"/>
      <c r="P792" s="2"/>
      <c r="Q792" s="2"/>
      <c r="R792" s="2"/>
      <c r="S792" s="2"/>
    </row>
    <row r="793">
      <c r="A793" s="2"/>
      <c r="B793" s="2"/>
      <c r="C793" s="2"/>
      <c r="D793" s="2"/>
      <c r="E793" s="2"/>
      <c r="F793" s="2"/>
      <c r="G793" s="2"/>
      <c r="H793" s="2"/>
      <c r="I793" s="2"/>
      <c r="J793" s="2"/>
      <c r="K793" s="2"/>
      <c r="L793" s="2"/>
      <c r="M793" s="2"/>
      <c r="N793" s="2"/>
      <c r="O793" s="2"/>
      <c r="P793" s="2"/>
      <c r="Q793" s="2"/>
      <c r="R793" s="2"/>
      <c r="S793" s="2"/>
    </row>
    <row r="794">
      <c r="A794" s="2"/>
      <c r="B794" s="2"/>
      <c r="C794" s="2"/>
      <c r="D794" s="2"/>
      <c r="E794" s="2"/>
      <c r="F794" s="2"/>
      <c r="G794" s="2"/>
      <c r="H794" s="2"/>
      <c r="I794" s="2"/>
      <c r="J794" s="2"/>
      <c r="K794" s="2"/>
      <c r="L794" s="2"/>
      <c r="M794" s="2"/>
      <c r="N794" s="2"/>
      <c r="O794" s="2"/>
      <c r="P794" s="2"/>
      <c r="Q794" s="2"/>
      <c r="R794" s="2"/>
      <c r="S794" s="2"/>
    </row>
    <row r="795">
      <c r="A795" s="2"/>
      <c r="B795" s="2"/>
      <c r="C795" s="2"/>
      <c r="D795" s="2"/>
      <c r="E795" s="2"/>
      <c r="F795" s="2"/>
      <c r="G795" s="2"/>
      <c r="H795" s="2"/>
      <c r="I795" s="2"/>
      <c r="J795" s="2"/>
      <c r="K795" s="2"/>
      <c r="L795" s="2"/>
      <c r="M795" s="2"/>
      <c r="N795" s="2"/>
      <c r="O795" s="2"/>
      <c r="P795" s="2"/>
      <c r="Q795" s="2"/>
      <c r="R795" s="2"/>
      <c r="S795" s="2"/>
    </row>
    <row r="796">
      <c r="A796" s="2"/>
      <c r="B796" s="2"/>
      <c r="C796" s="2"/>
      <c r="D796" s="2"/>
      <c r="E796" s="2"/>
      <c r="F796" s="2"/>
      <c r="G796" s="2"/>
      <c r="H796" s="2"/>
      <c r="I796" s="2"/>
      <c r="J796" s="2"/>
      <c r="K796" s="2"/>
      <c r="L796" s="2"/>
      <c r="M796" s="2"/>
      <c r="N796" s="2"/>
      <c r="O796" s="2"/>
      <c r="P796" s="2"/>
      <c r="Q796" s="2"/>
      <c r="R796" s="2"/>
      <c r="S796" s="2"/>
    </row>
    <row r="797">
      <c r="A797" s="2"/>
      <c r="B797" s="2"/>
      <c r="C797" s="2"/>
      <c r="D797" s="2"/>
      <c r="E797" s="2"/>
      <c r="F797" s="2"/>
      <c r="G797" s="2"/>
      <c r="H797" s="2"/>
      <c r="I797" s="2"/>
      <c r="J797" s="2"/>
      <c r="K797" s="2"/>
      <c r="L797" s="2"/>
      <c r="M797" s="2"/>
      <c r="N797" s="2"/>
      <c r="O797" s="2"/>
      <c r="P797" s="2"/>
      <c r="Q797" s="2"/>
      <c r="R797" s="2"/>
      <c r="S797" s="2"/>
    </row>
    <row r="798">
      <c r="A798" s="2"/>
      <c r="B798" s="2"/>
      <c r="C798" s="2"/>
      <c r="D798" s="2"/>
      <c r="E798" s="2"/>
      <c r="F798" s="2"/>
      <c r="G798" s="2"/>
      <c r="H798" s="2"/>
      <c r="I798" s="2"/>
      <c r="J798" s="2"/>
      <c r="K798" s="2"/>
      <c r="L798" s="2"/>
      <c r="M798" s="2"/>
      <c r="N798" s="2"/>
      <c r="O798" s="2"/>
      <c r="P798" s="2"/>
      <c r="Q798" s="2"/>
      <c r="R798" s="2"/>
      <c r="S798" s="2"/>
    </row>
    <row r="799">
      <c r="A799" s="2"/>
      <c r="B799" s="2"/>
      <c r="C799" s="2"/>
      <c r="D799" s="2"/>
      <c r="E799" s="2"/>
      <c r="F799" s="2"/>
      <c r="G799" s="2"/>
      <c r="H799" s="2"/>
      <c r="I799" s="2"/>
      <c r="J799" s="2"/>
      <c r="K799" s="2"/>
      <c r="L799" s="2"/>
      <c r="M799" s="2"/>
      <c r="N799" s="2"/>
      <c r="O799" s="2"/>
      <c r="P799" s="2"/>
      <c r="Q799" s="2"/>
      <c r="R799" s="2"/>
      <c r="S799" s="2"/>
    </row>
    <row r="800">
      <c r="A800" s="2"/>
      <c r="B800" s="2"/>
      <c r="C800" s="2"/>
      <c r="D800" s="2"/>
      <c r="E800" s="2"/>
      <c r="F800" s="2"/>
      <c r="G800" s="2"/>
      <c r="H800" s="2"/>
      <c r="I800" s="2"/>
      <c r="J800" s="2"/>
      <c r="K800" s="2"/>
      <c r="L800" s="2"/>
      <c r="M800" s="2"/>
      <c r="N800" s="2"/>
      <c r="O800" s="2"/>
      <c r="P800" s="2"/>
      <c r="Q800" s="2"/>
      <c r="R800" s="2"/>
      <c r="S800" s="2"/>
    </row>
    <row r="801">
      <c r="A801" s="2"/>
      <c r="B801" s="2"/>
      <c r="C801" s="2"/>
      <c r="D801" s="2"/>
      <c r="E801" s="2"/>
      <c r="F801" s="2"/>
      <c r="G801" s="2"/>
      <c r="H801" s="2"/>
      <c r="I801" s="2"/>
      <c r="J801" s="2"/>
      <c r="K801" s="2"/>
      <c r="L801" s="2"/>
      <c r="M801" s="2"/>
      <c r="N801" s="2"/>
      <c r="O801" s="2"/>
      <c r="P801" s="2"/>
      <c r="Q801" s="2"/>
      <c r="R801" s="2"/>
      <c r="S801" s="2"/>
    </row>
    <row r="802">
      <c r="A802" s="2"/>
      <c r="B802" s="2"/>
      <c r="C802" s="2"/>
      <c r="D802" s="2"/>
      <c r="E802" s="2"/>
      <c r="F802" s="2"/>
      <c r="G802" s="2"/>
      <c r="H802" s="2"/>
      <c r="I802" s="2"/>
      <c r="J802" s="2"/>
      <c r="K802" s="2"/>
      <c r="L802" s="2"/>
      <c r="M802" s="2"/>
      <c r="N802" s="2"/>
      <c r="O802" s="2"/>
      <c r="P802" s="2"/>
      <c r="Q802" s="2"/>
      <c r="R802" s="2"/>
      <c r="S802" s="2"/>
    </row>
    <row r="803">
      <c r="A803" s="2"/>
      <c r="B803" s="2"/>
      <c r="C803" s="2"/>
      <c r="D803" s="2"/>
      <c r="E803" s="2"/>
      <c r="F803" s="2"/>
      <c r="G803" s="2"/>
      <c r="H803" s="2"/>
      <c r="I803" s="2"/>
      <c r="J803" s="2"/>
      <c r="K803" s="2"/>
      <c r="L803" s="2"/>
      <c r="M803" s="2"/>
      <c r="N803" s="2"/>
      <c r="O803" s="2"/>
      <c r="P803" s="2"/>
      <c r="Q803" s="2"/>
      <c r="R803" s="2"/>
      <c r="S803" s="2"/>
    </row>
    <row r="804">
      <c r="A804" s="2"/>
      <c r="B804" s="2"/>
      <c r="C804" s="2"/>
      <c r="D804" s="2"/>
      <c r="E804" s="2"/>
      <c r="F804" s="2"/>
      <c r="G804" s="2"/>
      <c r="H804" s="2"/>
      <c r="I804" s="2"/>
      <c r="J804" s="2"/>
      <c r="K804" s="2"/>
      <c r="L804" s="2"/>
      <c r="M804" s="2"/>
      <c r="N804" s="2"/>
      <c r="O804" s="2"/>
      <c r="P804" s="2"/>
      <c r="Q804" s="2"/>
      <c r="R804" s="2"/>
      <c r="S804" s="2"/>
    </row>
    <row r="805">
      <c r="A805" s="2"/>
      <c r="B805" s="2"/>
      <c r="C805" s="2"/>
      <c r="D805" s="2"/>
      <c r="E805" s="2"/>
      <c r="F805" s="2"/>
      <c r="G805" s="2"/>
      <c r="H805" s="2"/>
      <c r="I805" s="2"/>
      <c r="J805" s="2"/>
      <c r="K805" s="2"/>
      <c r="L805" s="2"/>
      <c r="M805" s="2"/>
      <c r="N805" s="2"/>
      <c r="O805" s="2"/>
      <c r="P805" s="2"/>
      <c r="Q805" s="2"/>
      <c r="R805" s="2"/>
      <c r="S805" s="2"/>
    </row>
    <row r="806">
      <c r="A806" s="2"/>
      <c r="B806" s="2"/>
      <c r="C806" s="2"/>
      <c r="D806" s="2"/>
      <c r="E806" s="2"/>
      <c r="F806" s="2"/>
      <c r="G806" s="2"/>
      <c r="H806" s="2"/>
      <c r="I806" s="2"/>
      <c r="J806" s="2"/>
      <c r="K806" s="2"/>
      <c r="L806" s="2"/>
      <c r="M806" s="2"/>
      <c r="N806" s="2"/>
      <c r="O806" s="2"/>
      <c r="P806" s="2"/>
      <c r="Q806" s="2"/>
      <c r="R806" s="2"/>
      <c r="S806" s="2"/>
    </row>
    <row r="807">
      <c r="A807" s="2"/>
      <c r="B807" s="2"/>
      <c r="C807" s="2"/>
      <c r="D807" s="2"/>
      <c r="E807" s="2"/>
      <c r="F807" s="2"/>
      <c r="G807" s="2"/>
      <c r="H807" s="2"/>
      <c r="I807" s="2"/>
      <c r="J807" s="2"/>
      <c r="K807" s="2"/>
      <c r="L807" s="2"/>
      <c r="M807" s="2"/>
      <c r="N807" s="2"/>
      <c r="O807" s="2"/>
      <c r="P807" s="2"/>
      <c r="Q807" s="2"/>
      <c r="R807" s="2"/>
      <c r="S807" s="2"/>
    </row>
    <row r="808">
      <c r="A808" s="2"/>
      <c r="B808" s="2"/>
      <c r="C808" s="2"/>
      <c r="D808" s="2"/>
      <c r="E808" s="2"/>
      <c r="F808" s="2"/>
      <c r="G808" s="2"/>
      <c r="H808" s="2"/>
      <c r="I808" s="2"/>
      <c r="J808" s="2"/>
      <c r="K808" s="2"/>
      <c r="L808" s="2"/>
      <c r="M808" s="2"/>
      <c r="N808" s="2"/>
      <c r="O808" s="2"/>
      <c r="P808" s="2"/>
      <c r="Q808" s="2"/>
      <c r="R808" s="2"/>
      <c r="S808" s="2"/>
    </row>
    <row r="809">
      <c r="A809" s="2"/>
      <c r="B809" s="2"/>
      <c r="C809" s="2"/>
      <c r="D809" s="2"/>
      <c r="E809" s="2"/>
      <c r="F809" s="2"/>
      <c r="G809" s="2"/>
      <c r="H809" s="2"/>
      <c r="I809" s="2"/>
      <c r="J809" s="2"/>
      <c r="K809" s="2"/>
      <c r="L809" s="2"/>
      <c r="M809" s="2"/>
      <c r="N809" s="2"/>
      <c r="O809" s="2"/>
      <c r="P809" s="2"/>
      <c r="Q809" s="2"/>
      <c r="R809" s="2"/>
      <c r="S809" s="2"/>
    </row>
    <row r="810">
      <c r="A810" s="2"/>
      <c r="B810" s="2"/>
      <c r="C810" s="2"/>
      <c r="D810" s="2"/>
      <c r="E810" s="2"/>
      <c r="F810" s="2"/>
      <c r="G810" s="2"/>
      <c r="H810" s="2"/>
      <c r="I810" s="2"/>
      <c r="J810" s="2"/>
      <c r="K810" s="2"/>
      <c r="L810" s="2"/>
      <c r="M810" s="2"/>
      <c r="N810" s="2"/>
      <c r="O810" s="2"/>
      <c r="P810" s="2"/>
      <c r="Q810" s="2"/>
      <c r="R810" s="2"/>
      <c r="S810" s="2"/>
    </row>
    <row r="811">
      <c r="A811" s="2"/>
      <c r="B811" s="2"/>
      <c r="C811" s="2"/>
      <c r="D811" s="2"/>
      <c r="E811" s="2"/>
      <c r="F811" s="2"/>
      <c r="G811" s="2"/>
      <c r="H811" s="2"/>
      <c r="I811" s="2"/>
      <c r="J811" s="2"/>
      <c r="K811" s="2"/>
      <c r="L811" s="2"/>
      <c r="M811" s="2"/>
      <c r="N811" s="2"/>
      <c r="O811" s="2"/>
      <c r="P811" s="2"/>
      <c r="Q811" s="2"/>
      <c r="R811" s="2"/>
      <c r="S811" s="2"/>
    </row>
    <row r="812">
      <c r="A812" s="2"/>
      <c r="B812" s="2"/>
      <c r="C812" s="2"/>
      <c r="D812" s="2"/>
      <c r="E812" s="2"/>
      <c r="F812" s="2"/>
      <c r="G812" s="2"/>
      <c r="H812" s="2"/>
      <c r="I812" s="2"/>
      <c r="J812" s="2"/>
      <c r="K812" s="2"/>
      <c r="L812" s="2"/>
      <c r="M812" s="2"/>
      <c r="N812" s="2"/>
      <c r="O812" s="2"/>
      <c r="P812" s="2"/>
      <c r="Q812" s="2"/>
      <c r="R812" s="2"/>
      <c r="S812" s="2"/>
    </row>
    <row r="813">
      <c r="A813" s="2"/>
      <c r="B813" s="2"/>
      <c r="C813" s="2"/>
      <c r="D813" s="2"/>
      <c r="E813" s="2"/>
      <c r="F813" s="2"/>
      <c r="G813" s="2"/>
      <c r="H813" s="2"/>
      <c r="I813" s="2"/>
      <c r="J813" s="2"/>
      <c r="K813" s="2"/>
      <c r="L813" s="2"/>
      <c r="M813" s="2"/>
      <c r="N813" s="2"/>
      <c r="O813" s="2"/>
      <c r="P813" s="2"/>
      <c r="Q813" s="2"/>
      <c r="R813" s="2"/>
      <c r="S813" s="2"/>
    </row>
    <row r="814">
      <c r="A814" s="2"/>
      <c r="B814" s="2"/>
      <c r="C814" s="2"/>
      <c r="D814" s="2"/>
      <c r="E814" s="2"/>
      <c r="F814" s="2"/>
      <c r="G814" s="2"/>
      <c r="H814" s="2"/>
      <c r="I814" s="2"/>
      <c r="J814" s="2"/>
      <c r="K814" s="2"/>
      <c r="L814" s="2"/>
      <c r="M814" s="2"/>
      <c r="N814" s="2"/>
      <c r="O814" s="2"/>
      <c r="P814" s="2"/>
      <c r="Q814" s="2"/>
      <c r="R814" s="2"/>
      <c r="S814" s="2"/>
    </row>
    <row r="815">
      <c r="A815" s="2"/>
      <c r="B815" s="2"/>
      <c r="C815" s="2"/>
      <c r="D815" s="2"/>
      <c r="E815" s="2"/>
      <c r="F815" s="2"/>
      <c r="G815" s="2"/>
      <c r="H815" s="2"/>
      <c r="I815" s="2"/>
      <c r="J815" s="2"/>
      <c r="K815" s="2"/>
      <c r="L815" s="2"/>
      <c r="M815" s="2"/>
      <c r="N815" s="2"/>
      <c r="O815" s="2"/>
      <c r="P815" s="2"/>
      <c r="Q815" s="2"/>
      <c r="R815" s="2"/>
      <c r="S815" s="2"/>
    </row>
    <row r="816">
      <c r="A816" s="2"/>
      <c r="B816" s="2"/>
      <c r="C816" s="2"/>
      <c r="D816" s="2"/>
      <c r="E816" s="2"/>
      <c r="F816" s="2"/>
      <c r="G816" s="2"/>
      <c r="H816" s="2"/>
      <c r="I816" s="2"/>
      <c r="J816" s="2"/>
      <c r="K816" s="2"/>
      <c r="L816" s="2"/>
      <c r="M816" s="2"/>
      <c r="N816" s="2"/>
      <c r="O816" s="2"/>
      <c r="P816" s="2"/>
      <c r="Q816" s="2"/>
      <c r="R816" s="2"/>
      <c r="S816" s="2"/>
    </row>
    <row r="817">
      <c r="A817" s="2"/>
      <c r="B817" s="2"/>
      <c r="C817" s="2"/>
      <c r="D817" s="2"/>
      <c r="E817" s="2"/>
      <c r="F817" s="2"/>
      <c r="G817" s="2"/>
      <c r="H817" s="2"/>
      <c r="I817" s="2"/>
      <c r="J817" s="2"/>
      <c r="K817" s="2"/>
      <c r="L817" s="2"/>
      <c r="M817" s="2"/>
      <c r="N817" s="2"/>
      <c r="O817" s="2"/>
      <c r="P817" s="2"/>
      <c r="Q817" s="2"/>
      <c r="R817" s="2"/>
      <c r="S817" s="2"/>
    </row>
    <row r="818">
      <c r="A818" s="2"/>
      <c r="B818" s="2"/>
      <c r="C818" s="2"/>
      <c r="D818" s="2"/>
      <c r="E818" s="2"/>
      <c r="F818" s="2"/>
      <c r="G818" s="2"/>
      <c r="H818" s="2"/>
      <c r="I818" s="2"/>
      <c r="J818" s="2"/>
      <c r="K818" s="2"/>
      <c r="L818" s="2"/>
      <c r="M818" s="2"/>
      <c r="N818" s="2"/>
      <c r="O818" s="2"/>
      <c r="P818" s="2"/>
      <c r="Q818" s="2"/>
      <c r="R818" s="2"/>
      <c r="S818" s="2"/>
    </row>
    <row r="819">
      <c r="A819" s="2"/>
      <c r="B819" s="2"/>
      <c r="C819" s="2"/>
      <c r="D819" s="2"/>
      <c r="E819" s="2"/>
      <c r="F819" s="2"/>
      <c r="G819" s="2"/>
      <c r="H819" s="2"/>
      <c r="I819" s="2"/>
      <c r="J819" s="2"/>
      <c r="K819" s="2"/>
      <c r="L819" s="2"/>
      <c r="M819" s="2"/>
      <c r="N819" s="2"/>
      <c r="O819" s="2"/>
      <c r="P819" s="2"/>
      <c r="Q819" s="2"/>
      <c r="R819" s="2"/>
      <c r="S819" s="2"/>
    </row>
    <row r="820">
      <c r="A820" s="2"/>
      <c r="B820" s="2"/>
      <c r="C820" s="2"/>
      <c r="D820" s="2"/>
      <c r="E820" s="2"/>
      <c r="F820" s="2"/>
      <c r="G820" s="2"/>
      <c r="H820" s="2"/>
      <c r="I820" s="2"/>
      <c r="J820" s="2"/>
      <c r="K820" s="2"/>
      <c r="L820" s="2"/>
      <c r="M820" s="2"/>
      <c r="N820" s="2"/>
      <c r="O820" s="2"/>
      <c r="P820" s="2"/>
      <c r="Q820" s="2"/>
      <c r="R820" s="2"/>
      <c r="S820" s="2"/>
    </row>
    <row r="821">
      <c r="A821" s="2"/>
      <c r="B821" s="2"/>
      <c r="C821" s="2"/>
      <c r="D821" s="2"/>
      <c r="E821" s="2"/>
      <c r="F821" s="2"/>
      <c r="G821" s="2"/>
      <c r="H821" s="2"/>
      <c r="I821" s="2"/>
      <c r="J821" s="2"/>
      <c r="K821" s="2"/>
      <c r="L821" s="2"/>
      <c r="M821" s="2"/>
      <c r="N821" s="2"/>
      <c r="O821" s="2"/>
      <c r="P821" s="2"/>
      <c r="Q821" s="2"/>
      <c r="R821" s="2"/>
      <c r="S821" s="2"/>
    </row>
    <row r="822">
      <c r="A822" s="2"/>
      <c r="B822" s="2"/>
      <c r="C822" s="2"/>
      <c r="D822" s="2"/>
      <c r="E822" s="2"/>
      <c r="F822" s="2"/>
      <c r="G822" s="2"/>
      <c r="H822" s="2"/>
      <c r="I822" s="2"/>
      <c r="J822" s="2"/>
      <c r="K822" s="2"/>
      <c r="L822" s="2"/>
      <c r="M822" s="2"/>
      <c r="N822" s="2"/>
      <c r="O822" s="2"/>
      <c r="P822" s="2"/>
      <c r="Q822" s="2"/>
      <c r="R822" s="2"/>
      <c r="S822" s="2"/>
    </row>
    <row r="823">
      <c r="A823" s="2"/>
      <c r="B823" s="2"/>
      <c r="C823" s="2"/>
      <c r="D823" s="2"/>
      <c r="E823" s="2"/>
      <c r="F823" s="2"/>
      <c r="G823" s="2"/>
      <c r="H823" s="2"/>
      <c r="I823" s="2"/>
      <c r="J823" s="2"/>
      <c r="K823" s="2"/>
      <c r="L823" s="2"/>
      <c r="M823" s="2"/>
      <c r="N823" s="2"/>
      <c r="O823" s="2"/>
      <c r="P823" s="2"/>
      <c r="Q823" s="2"/>
      <c r="R823" s="2"/>
      <c r="S823" s="2"/>
    </row>
    <row r="824">
      <c r="A824" s="2"/>
      <c r="B824" s="2"/>
      <c r="C824" s="2"/>
      <c r="D824" s="2"/>
      <c r="E824" s="2"/>
      <c r="F824" s="2"/>
      <c r="G824" s="2"/>
      <c r="H824" s="2"/>
      <c r="I824" s="2"/>
      <c r="J824" s="2"/>
      <c r="K824" s="2"/>
      <c r="L824" s="2"/>
      <c r="M824" s="2"/>
      <c r="N824" s="2"/>
      <c r="O824" s="2"/>
      <c r="P824" s="2"/>
      <c r="Q824" s="2"/>
      <c r="R824" s="2"/>
      <c r="S824" s="2"/>
    </row>
    <row r="825">
      <c r="A825" s="2"/>
      <c r="B825" s="2"/>
      <c r="C825" s="2"/>
      <c r="D825" s="2"/>
      <c r="E825" s="2"/>
      <c r="F825" s="2"/>
      <c r="G825" s="2"/>
      <c r="H825" s="2"/>
      <c r="I825" s="2"/>
      <c r="J825" s="2"/>
      <c r="K825" s="2"/>
      <c r="L825" s="2"/>
      <c r="M825" s="2"/>
      <c r="N825" s="2"/>
      <c r="O825" s="2"/>
      <c r="P825" s="2"/>
      <c r="Q825" s="2"/>
      <c r="R825" s="2"/>
      <c r="S825" s="2"/>
    </row>
    <row r="826">
      <c r="A826" s="2"/>
      <c r="B826" s="2"/>
      <c r="C826" s="2"/>
      <c r="D826" s="2"/>
      <c r="E826" s="2"/>
      <c r="F826" s="2"/>
      <c r="G826" s="2"/>
      <c r="H826" s="2"/>
      <c r="I826" s="2"/>
      <c r="J826" s="2"/>
      <c r="K826" s="2"/>
      <c r="L826" s="2"/>
      <c r="M826" s="2"/>
      <c r="N826" s="2"/>
      <c r="O826" s="2"/>
      <c r="P826" s="2"/>
      <c r="Q826" s="2"/>
      <c r="R826" s="2"/>
      <c r="S826" s="2"/>
    </row>
    <row r="827">
      <c r="A827" s="2"/>
      <c r="B827" s="2"/>
      <c r="C827" s="2"/>
      <c r="D827" s="2"/>
      <c r="E827" s="2"/>
      <c r="F827" s="2"/>
      <c r="G827" s="2"/>
      <c r="H827" s="2"/>
      <c r="I827" s="2"/>
      <c r="J827" s="2"/>
      <c r="K827" s="2"/>
      <c r="L827" s="2"/>
      <c r="M827" s="2"/>
      <c r="N827" s="2"/>
      <c r="O827" s="2"/>
      <c r="P827" s="2"/>
      <c r="Q827" s="2"/>
      <c r="R827" s="2"/>
      <c r="S827" s="2"/>
    </row>
    <row r="828">
      <c r="A828" s="2"/>
      <c r="B828" s="2"/>
      <c r="C828" s="2"/>
      <c r="D828" s="2"/>
      <c r="E828" s="2"/>
      <c r="F828" s="2"/>
      <c r="G828" s="2"/>
      <c r="H828" s="2"/>
      <c r="I828" s="2"/>
      <c r="J828" s="2"/>
      <c r="K828" s="2"/>
      <c r="L828" s="2"/>
      <c r="M828" s="2"/>
      <c r="N828" s="2"/>
      <c r="O828" s="2"/>
      <c r="P828" s="2"/>
      <c r="Q828" s="2"/>
      <c r="R828" s="2"/>
      <c r="S828" s="2"/>
    </row>
    <row r="829">
      <c r="A829" s="2"/>
      <c r="B829" s="2"/>
      <c r="C829" s="2"/>
      <c r="D829" s="2"/>
      <c r="E829" s="2"/>
      <c r="F829" s="2"/>
      <c r="G829" s="2"/>
      <c r="H829" s="2"/>
      <c r="I829" s="2"/>
      <c r="J829" s="2"/>
      <c r="K829" s="2"/>
      <c r="L829" s="2"/>
      <c r="M829" s="2"/>
      <c r="N829" s="2"/>
      <c r="O829" s="2"/>
      <c r="P829" s="2"/>
      <c r="Q829" s="2"/>
      <c r="R829" s="2"/>
      <c r="S829" s="2"/>
    </row>
    <row r="830">
      <c r="A830" s="2"/>
      <c r="B830" s="2"/>
      <c r="C830" s="2"/>
      <c r="D830" s="2"/>
      <c r="E830" s="2"/>
      <c r="F830" s="2"/>
      <c r="G830" s="2"/>
      <c r="H830" s="2"/>
      <c r="I830" s="2"/>
      <c r="J830" s="2"/>
      <c r="K830" s="2"/>
      <c r="L830" s="2"/>
      <c r="M830" s="2"/>
      <c r="N830" s="2"/>
      <c r="O830" s="2"/>
      <c r="P830" s="2"/>
      <c r="Q830" s="2"/>
      <c r="R830" s="2"/>
      <c r="S830" s="2"/>
    </row>
    <row r="831">
      <c r="A831" s="2"/>
      <c r="B831" s="2"/>
      <c r="C831" s="2"/>
      <c r="D831" s="2"/>
      <c r="E831" s="2"/>
      <c r="F831" s="2"/>
      <c r="G831" s="2"/>
      <c r="H831" s="2"/>
      <c r="I831" s="2"/>
      <c r="J831" s="2"/>
      <c r="K831" s="2"/>
      <c r="L831" s="2"/>
      <c r="M831" s="2"/>
      <c r="N831" s="2"/>
      <c r="O831" s="2"/>
      <c r="P831" s="2"/>
      <c r="Q831" s="2"/>
      <c r="R831" s="2"/>
      <c r="S831" s="2"/>
    </row>
    <row r="832">
      <c r="A832" s="2"/>
      <c r="B832" s="2"/>
      <c r="C832" s="2"/>
      <c r="D832" s="2"/>
      <c r="E832" s="2"/>
      <c r="F832" s="2"/>
      <c r="G832" s="2"/>
      <c r="H832" s="2"/>
      <c r="I832" s="2"/>
      <c r="J832" s="2"/>
      <c r="K832" s="2"/>
      <c r="L832" s="2"/>
      <c r="M832" s="2"/>
      <c r="N832" s="2"/>
      <c r="O832" s="2"/>
      <c r="P832" s="2"/>
      <c r="Q832" s="2"/>
      <c r="R832" s="2"/>
      <c r="S832" s="2"/>
    </row>
    <row r="833">
      <c r="A833" s="2"/>
      <c r="B833" s="2"/>
      <c r="C833" s="2"/>
      <c r="D833" s="2"/>
      <c r="E833" s="2"/>
      <c r="F833" s="2"/>
      <c r="G833" s="2"/>
      <c r="H833" s="2"/>
      <c r="I833" s="2"/>
      <c r="J833" s="2"/>
      <c r="K833" s="2"/>
      <c r="L833" s="2"/>
      <c r="M833" s="2"/>
      <c r="N833" s="2"/>
      <c r="O833" s="2"/>
      <c r="P833" s="2"/>
      <c r="Q833" s="2"/>
      <c r="R833" s="2"/>
      <c r="S833" s="2"/>
    </row>
    <row r="834">
      <c r="A834" s="2"/>
      <c r="B834" s="2"/>
      <c r="C834" s="2"/>
      <c r="D834" s="2"/>
      <c r="E834" s="2"/>
      <c r="F834" s="2"/>
      <c r="G834" s="2"/>
      <c r="H834" s="2"/>
      <c r="I834" s="2"/>
      <c r="J834" s="2"/>
      <c r="K834" s="2"/>
      <c r="L834" s="2"/>
      <c r="M834" s="2"/>
      <c r="N834" s="2"/>
      <c r="O834" s="2"/>
      <c r="P834" s="2"/>
      <c r="Q834" s="2"/>
      <c r="R834" s="2"/>
      <c r="S834" s="2"/>
    </row>
    <row r="835">
      <c r="A835" s="2"/>
      <c r="B835" s="2"/>
      <c r="C835" s="2"/>
      <c r="D835" s="2"/>
      <c r="E835" s="2"/>
      <c r="F835" s="2"/>
      <c r="G835" s="2"/>
      <c r="H835" s="2"/>
      <c r="I835" s="2"/>
      <c r="J835" s="2"/>
      <c r="K835" s="2"/>
      <c r="L835" s="2"/>
      <c r="M835" s="2"/>
      <c r="N835" s="2"/>
      <c r="O835" s="2"/>
      <c r="P835" s="2"/>
      <c r="Q835" s="2"/>
      <c r="R835" s="2"/>
      <c r="S835" s="2"/>
    </row>
    <row r="836">
      <c r="A836" s="2"/>
      <c r="B836" s="2"/>
      <c r="C836" s="2"/>
      <c r="D836" s="2"/>
      <c r="E836" s="2"/>
      <c r="F836" s="2"/>
      <c r="G836" s="2"/>
      <c r="H836" s="2"/>
      <c r="I836" s="2"/>
      <c r="J836" s="2"/>
      <c r="K836" s="2"/>
      <c r="L836" s="2"/>
      <c r="M836" s="2"/>
      <c r="N836" s="2"/>
      <c r="O836" s="2"/>
      <c r="P836" s="2"/>
      <c r="Q836" s="2"/>
      <c r="R836" s="2"/>
      <c r="S836" s="2"/>
    </row>
    <row r="837">
      <c r="A837" s="2"/>
      <c r="B837" s="2"/>
      <c r="C837" s="2"/>
      <c r="D837" s="2"/>
      <c r="E837" s="2"/>
      <c r="F837" s="2"/>
      <c r="G837" s="2"/>
      <c r="H837" s="2"/>
      <c r="I837" s="2"/>
      <c r="J837" s="2"/>
      <c r="K837" s="2"/>
      <c r="L837" s="2"/>
      <c r="M837" s="2"/>
      <c r="N837" s="2"/>
      <c r="O837" s="2"/>
      <c r="P837" s="2"/>
      <c r="Q837" s="2"/>
      <c r="R837" s="2"/>
      <c r="S837" s="2"/>
    </row>
    <row r="838">
      <c r="A838" s="2"/>
      <c r="B838" s="2"/>
      <c r="C838" s="2"/>
      <c r="D838" s="2"/>
      <c r="E838" s="2"/>
      <c r="F838" s="2"/>
      <c r="G838" s="2"/>
      <c r="H838" s="2"/>
      <c r="I838" s="2"/>
      <c r="J838" s="2"/>
      <c r="K838" s="2"/>
      <c r="L838" s="2"/>
      <c r="M838" s="2"/>
      <c r="N838" s="2"/>
      <c r="O838" s="2"/>
      <c r="P838" s="2"/>
      <c r="Q838" s="2"/>
      <c r="R838" s="2"/>
      <c r="S838" s="2"/>
    </row>
    <row r="839">
      <c r="A839" s="2"/>
      <c r="B839" s="2"/>
      <c r="C839" s="2"/>
      <c r="D839" s="2"/>
      <c r="E839" s="2"/>
      <c r="F839" s="2"/>
      <c r="G839" s="2"/>
      <c r="H839" s="2"/>
      <c r="I839" s="2"/>
      <c r="J839" s="2"/>
      <c r="K839" s="2"/>
      <c r="L839" s="2"/>
      <c r="M839" s="2"/>
      <c r="N839" s="2"/>
      <c r="O839" s="2"/>
      <c r="P839" s="2"/>
      <c r="Q839" s="2"/>
      <c r="R839" s="2"/>
      <c r="S839" s="2"/>
    </row>
    <row r="840">
      <c r="A840" s="2"/>
      <c r="B840" s="2"/>
      <c r="C840" s="2"/>
      <c r="D840" s="2"/>
      <c r="E840" s="2"/>
      <c r="F840" s="2"/>
      <c r="G840" s="2"/>
      <c r="H840" s="2"/>
      <c r="I840" s="2"/>
      <c r="J840" s="2"/>
      <c r="K840" s="2"/>
      <c r="L840" s="2"/>
      <c r="M840" s="2"/>
      <c r="N840" s="2"/>
      <c r="O840" s="2"/>
      <c r="P840" s="2"/>
      <c r="Q840" s="2"/>
      <c r="R840" s="2"/>
      <c r="S840" s="2"/>
    </row>
    <row r="841">
      <c r="A841" s="2"/>
      <c r="B841" s="2"/>
      <c r="C841" s="2"/>
      <c r="D841" s="2"/>
      <c r="E841" s="2"/>
      <c r="F841" s="2"/>
      <c r="G841" s="2"/>
      <c r="H841" s="2"/>
      <c r="I841" s="2"/>
      <c r="J841" s="2"/>
      <c r="K841" s="2"/>
      <c r="L841" s="2"/>
      <c r="M841" s="2"/>
      <c r="N841" s="2"/>
      <c r="O841" s="2"/>
      <c r="P841" s="2"/>
      <c r="Q841" s="2"/>
      <c r="R841" s="2"/>
      <c r="S841" s="2"/>
    </row>
    <row r="842">
      <c r="A842" s="2"/>
      <c r="B842" s="2"/>
      <c r="C842" s="2"/>
      <c r="D842" s="2"/>
      <c r="E842" s="2"/>
      <c r="F842" s="2"/>
      <c r="G842" s="2"/>
      <c r="H842" s="2"/>
      <c r="I842" s="2"/>
      <c r="J842" s="2"/>
      <c r="K842" s="2"/>
      <c r="L842" s="2"/>
      <c r="M842" s="2"/>
      <c r="N842" s="2"/>
      <c r="O842" s="2"/>
      <c r="P842" s="2"/>
      <c r="Q842" s="2"/>
      <c r="R842" s="2"/>
      <c r="S842" s="2"/>
    </row>
    <row r="843">
      <c r="A843" s="2"/>
      <c r="B843" s="2"/>
      <c r="C843" s="2"/>
      <c r="D843" s="2"/>
      <c r="E843" s="2"/>
      <c r="F843" s="2"/>
      <c r="G843" s="2"/>
      <c r="H843" s="2"/>
      <c r="I843" s="2"/>
      <c r="J843" s="2"/>
      <c r="K843" s="2"/>
      <c r="L843" s="2"/>
      <c r="M843" s="2"/>
      <c r="N843" s="2"/>
      <c r="O843" s="2"/>
      <c r="P843" s="2"/>
      <c r="Q843" s="2"/>
      <c r="R843" s="2"/>
      <c r="S843" s="2"/>
    </row>
    <row r="844">
      <c r="A844" s="2"/>
      <c r="B844" s="2"/>
      <c r="C844" s="2"/>
      <c r="D844" s="2"/>
      <c r="E844" s="2"/>
      <c r="F844" s="2"/>
      <c r="G844" s="2"/>
      <c r="H844" s="2"/>
      <c r="I844" s="2"/>
      <c r="J844" s="2"/>
      <c r="K844" s="2"/>
      <c r="L844" s="2"/>
      <c r="M844" s="2"/>
      <c r="N844" s="2"/>
      <c r="O844" s="2"/>
      <c r="P844" s="2"/>
      <c r="Q844" s="2"/>
      <c r="R844" s="2"/>
      <c r="S844" s="2"/>
    </row>
    <row r="845">
      <c r="A845" s="2"/>
      <c r="B845" s="2"/>
      <c r="C845" s="2"/>
      <c r="D845" s="2"/>
      <c r="E845" s="2"/>
      <c r="F845" s="2"/>
      <c r="G845" s="2"/>
      <c r="H845" s="2"/>
      <c r="I845" s="2"/>
      <c r="J845" s="2"/>
      <c r="K845" s="2"/>
      <c r="L845" s="2"/>
      <c r="M845" s="2"/>
      <c r="N845" s="2"/>
      <c r="O845" s="2"/>
      <c r="P845" s="2"/>
      <c r="Q845" s="2"/>
      <c r="R845" s="2"/>
      <c r="S845" s="2"/>
    </row>
    <row r="846">
      <c r="A846" s="2"/>
      <c r="B846" s="2"/>
      <c r="C846" s="2"/>
      <c r="D846" s="2"/>
      <c r="E846" s="2"/>
      <c r="F846" s="2"/>
      <c r="G846" s="2"/>
      <c r="H846" s="2"/>
      <c r="I846" s="2"/>
      <c r="J846" s="2"/>
      <c r="K846" s="2"/>
      <c r="L846" s="2"/>
      <c r="M846" s="2"/>
      <c r="N846" s="2"/>
      <c r="O846" s="2"/>
      <c r="P846" s="2"/>
      <c r="Q846" s="2"/>
      <c r="R846" s="2"/>
      <c r="S846" s="2"/>
    </row>
    <row r="847">
      <c r="A847" s="2"/>
      <c r="B847" s="2"/>
      <c r="C847" s="2"/>
      <c r="D847" s="2"/>
      <c r="E847" s="2"/>
      <c r="F847" s="2"/>
      <c r="G847" s="2"/>
      <c r="H847" s="2"/>
      <c r="I847" s="2"/>
      <c r="J847" s="2"/>
      <c r="K847" s="2"/>
      <c r="L847" s="2"/>
      <c r="M847" s="2"/>
      <c r="N847" s="2"/>
      <c r="O847" s="2"/>
      <c r="P847" s="2"/>
      <c r="Q847" s="2"/>
      <c r="R847" s="2"/>
      <c r="S847" s="2"/>
    </row>
    <row r="848">
      <c r="A848" s="2"/>
      <c r="B848" s="2"/>
      <c r="C848" s="2"/>
      <c r="D848" s="2"/>
      <c r="E848" s="2"/>
      <c r="F848" s="2"/>
      <c r="G848" s="2"/>
      <c r="H848" s="2"/>
      <c r="I848" s="2"/>
      <c r="J848" s="2"/>
      <c r="K848" s="2"/>
      <c r="L848" s="2"/>
      <c r="M848" s="2"/>
      <c r="N848" s="2"/>
      <c r="O848" s="2"/>
      <c r="P848" s="2"/>
      <c r="Q848" s="2"/>
      <c r="R848" s="2"/>
      <c r="S848" s="2"/>
    </row>
    <row r="849">
      <c r="A849" s="2"/>
      <c r="B849" s="2"/>
      <c r="C849" s="2"/>
      <c r="D849" s="2"/>
      <c r="E849" s="2"/>
      <c r="F849" s="2"/>
      <c r="G849" s="2"/>
      <c r="H849" s="2"/>
      <c r="I849" s="2"/>
      <c r="J849" s="2"/>
      <c r="K849" s="2"/>
      <c r="L849" s="2"/>
      <c r="M849" s="2"/>
      <c r="N849" s="2"/>
      <c r="O849" s="2"/>
      <c r="P849" s="2"/>
      <c r="Q849" s="2"/>
      <c r="R849" s="2"/>
      <c r="S849" s="2"/>
    </row>
    <row r="850">
      <c r="A850" s="2"/>
      <c r="B850" s="2"/>
      <c r="C850" s="2"/>
      <c r="D850" s="2"/>
      <c r="E850" s="2"/>
      <c r="F850" s="2"/>
      <c r="G850" s="2"/>
      <c r="H850" s="2"/>
      <c r="I850" s="2"/>
      <c r="J850" s="2"/>
      <c r="K850" s="2"/>
      <c r="L850" s="2"/>
      <c r="M850" s="2"/>
      <c r="N850" s="2"/>
      <c r="O850" s="2"/>
      <c r="P850" s="2"/>
      <c r="Q850" s="2"/>
      <c r="R850" s="2"/>
      <c r="S850" s="2"/>
    </row>
    <row r="851">
      <c r="A851" s="2"/>
      <c r="B851" s="2"/>
      <c r="C851" s="2"/>
      <c r="D851" s="2"/>
      <c r="E851" s="2"/>
      <c r="F851" s="2"/>
      <c r="G851" s="2"/>
      <c r="H851" s="2"/>
      <c r="I851" s="2"/>
      <c r="J851" s="2"/>
      <c r="K851" s="2"/>
      <c r="L851" s="2"/>
      <c r="M851" s="2"/>
      <c r="N851" s="2"/>
      <c r="O851" s="2"/>
      <c r="P851" s="2"/>
      <c r="Q851" s="2"/>
      <c r="R851" s="2"/>
      <c r="S851" s="2"/>
    </row>
    <row r="852">
      <c r="A852" s="2"/>
      <c r="B852" s="2"/>
      <c r="C852" s="2"/>
      <c r="D852" s="2"/>
      <c r="E852" s="2"/>
      <c r="F852" s="2"/>
      <c r="G852" s="2"/>
      <c r="H852" s="2"/>
      <c r="I852" s="2"/>
      <c r="J852" s="2"/>
      <c r="K852" s="2"/>
      <c r="L852" s="2"/>
      <c r="M852" s="2"/>
      <c r="N852" s="2"/>
      <c r="O852" s="2"/>
      <c r="P852" s="2"/>
      <c r="Q852" s="2"/>
      <c r="R852" s="2"/>
      <c r="S852" s="2"/>
    </row>
    <row r="853">
      <c r="A853" s="2"/>
      <c r="B853" s="2"/>
      <c r="C853" s="2"/>
      <c r="D853" s="2"/>
      <c r="E853" s="2"/>
      <c r="F853" s="2"/>
      <c r="G853" s="2"/>
      <c r="H853" s="2"/>
      <c r="I853" s="2"/>
      <c r="J853" s="2"/>
      <c r="K853" s="2"/>
      <c r="L853" s="2"/>
      <c r="M853" s="2"/>
      <c r="N853" s="2"/>
      <c r="O853" s="2"/>
      <c r="P853" s="2"/>
      <c r="Q853" s="2"/>
      <c r="R853" s="2"/>
      <c r="S853" s="2"/>
    </row>
    <row r="854">
      <c r="A854" s="2"/>
      <c r="B854" s="2"/>
      <c r="C854" s="2"/>
      <c r="D854" s="2"/>
      <c r="E854" s="2"/>
      <c r="F854" s="2"/>
      <c r="G854" s="2"/>
      <c r="H854" s="2"/>
      <c r="I854" s="2"/>
      <c r="J854" s="2"/>
      <c r="K854" s="2"/>
      <c r="L854" s="2"/>
      <c r="M854" s="2"/>
      <c r="N854" s="2"/>
      <c r="O854" s="2"/>
      <c r="P854" s="2"/>
      <c r="Q854" s="2"/>
      <c r="R854" s="2"/>
      <c r="S854" s="2"/>
    </row>
    <row r="855">
      <c r="A855" s="2"/>
      <c r="B855" s="2"/>
      <c r="C855" s="2"/>
      <c r="D855" s="2"/>
      <c r="E855" s="2"/>
      <c r="F855" s="2"/>
      <c r="G855" s="2"/>
      <c r="H855" s="2"/>
      <c r="I855" s="2"/>
      <c r="J855" s="2"/>
      <c r="K855" s="2"/>
      <c r="L855" s="2"/>
      <c r="M855" s="2"/>
      <c r="N855" s="2"/>
      <c r="O855" s="2"/>
      <c r="P855" s="2"/>
      <c r="Q855" s="2"/>
      <c r="R855" s="2"/>
      <c r="S855" s="2"/>
    </row>
    <row r="856">
      <c r="A856" s="2"/>
      <c r="B856" s="2"/>
      <c r="C856" s="2"/>
      <c r="D856" s="2"/>
      <c r="E856" s="2"/>
      <c r="F856" s="2"/>
      <c r="G856" s="2"/>
      <c r="H856" s="2"/>
      <c r="I856" s="2"/>
      <c r="J856" s="2"/>
      <c r="K856" s="2"/>
      <c r="L856" s="2"/>
      <c r="M856" s="2"/>
      <c r="N856" s="2"/>
      <c r="O856" s="2"/>
      <c r="P856" s="2"/>
      <c r="Q856" s="2"/>
      <c r="R856" s="2"/>
      <c r="S856" s="2"/>
    </row>
    <row r="857">
      <c r="A857" s="2"/>
      <c r="B857" s="2"/>
      <c r="C857" s="2"/>
      <c r="D857" s="2"/>
      <c r="E857" s="2"/>
      <c r="F857" s="2"/>
      <c r="G857" s="2"/>
      <c r="H857" s="2"/>
      <c r="I857" s="2"/>
      <c r="J857" s="2"/>
      <c r="K857" s="2"/>
      <c r="L857" s="2"/>
      <c r="M857" s="2"/>
      <c r="N857" s="2"/>
      <c r="O857" s="2"/>
      <c r="P857" s="2"/>
      <c r="Q857" s="2"/>
      <c r="R857" s="2"/>
      <c r="S857" s="2"/>
    </row>
    <row r="858">
      <c r="A858" s="2"/>
      <c r="B858" s="2"/>
      <c r="C858" s="2"/>
      <c r="D858" s="2"/>
      <c r="E858" s="2"/>
      <c r="F858" s="2"/>
      <c r="G858" s="2"/>
      <c r="H858" s="2"/>
      <c r="I858" s="2"/>
      <c r="J858" s="2"/>
      <c r="K858" s="2"/>
      <c r="L858" s="2"/>
      <c r="M858" s="2"/>
      <c r="N858" s="2"/>
      <c r="O858" s="2"/>
      <c r="P858" s="2"/>
      <c r="Q858" s="2"/>
      <c r="R858" s="2"/>
      <c r="S858" s="2"/>
    </row>
    <row r="859">
      <c r="A859" s="2"/>
      <c r="B859" s="2"/>
      <c r="C859" s="2"/>
      <c r="D859" s="2"/>
      <c r="E859" s="2"/>
      <c r="F859" s="2"/>
      <c r="G859" s="2"/>
      <c r="H859" s="2"/>
      <c r="I859" s="2"/>
      <c r="J859" s="2"/>
      <c r="K859" s="2"/>
      <c r="L859" s="2"/>
      <c r="M859" s="2"/>
      <c r="N859" s="2"/>
      <c r="O859" s="2"/>
      <c r="P859" s="2"/>
      <c r="Q859" s="2"/>
      <c r="R859" s="2"/>
      <c r="S859" s="2"/>
    </row>
    <row r="860">
      <c r="A860" s="2"/>
      <c r="B860" s="2"/>
      <c r="C860" s="2"/>
      <c r="D860" s="2"/>
      <c r="E860" s="2"/>
      <c r="F860" s="2"/>
      <c r="G860" s="2"/>
      <c r="H860" s="2"/>
      <c r="I860" s="2"/>
      <c r="J860" s="2"/>
      <c r="K860" s="2"/>
      <c r="L860" s="2"/>
      <c r="M860" s="2"/>
      <c r="N860" s="2"/>
      <c r="O860" s="2"/>
      <c r="P860" s="2"/>
      <c r="Q860" s="2"/>
      <c r="R860" s="2"/>
      <c r="S860" s="2"/>
    </row>
    <row r="861">
      <c r="A861" s="2"/>
      <c r="B861" s="2"/>
      <c r="C861" s="2"/>
      <c r="D861" s="2"/>
      <c r="E861" s="2"/>
      <c r="F861" s="2"/>
      <c r="G861" s="2"/>
      <c r="H861" s="2"/>
      <c r="I861" s="2"/>
      <c r="J861" s="2"/>
      <c r="K861" s="2"/>
      <c r="L861" s="2"/>
      <c r="M861" s="2"/>
      <c r="N861" s="2"/>
      <c r="O861" s="2"/>
      <c r="P861" s="2"/>
      <c r="Q861" s="2"/>
      <c r="R861" s="2"/>
      <c r="S861" s="2"/>
    </row>
    <row r="862">
      <c r="A862" s="2"/>
      <c r="B862" s="2"/>
      <c r="C862" s="2"/>
      <c r="D862" s="2"/>
      <c r="E862" s="2"/>
      <c r="F862" s="2"/>
      <c r="G862" s="2"/>
      <c r="H862" s="2"/>
      <c r="I862" s="2"/>
      <c r="J862" s="2"/>
      <c r="K862" s="2"/>
      <c r="L862" s="2"/>
      <c r="M862" s="2"/>
      <c r="N862" s="2"/>
      <c r="O862" s="2"/>
      <c r="P862" s="2"/>
      <c r="Q862" s="2"/>
      <c r="R862" s="2"/>
      <c r="S862" s="2"/>
    </row>
    <row r="863">
      <c r="A863" s="2"/>
      <c r="B863" s="2"/>
      <c r="C863" s="2"/>
      <c r="D863" s="2"/>
      <c r="E863" s="2"/>
      <c r="F863" s="2"/>
      <c r="G863" s="2"/>
      <c r="H863" s="2"/>
      <c r="I863" s="2"/>
      <c r="J863" s="2"/>
      <c r="K863" s="2"/>
      <c r="L863" s="2"/>
      <c r="M863" s="2"/>
      <c r="N863" s="2"/>
      <c r="O863" s="2"/>
      <c r="P863" s="2"/>
      <c r="Q863" s="2"/>
      <c r="R863" s="2"/>
      <c r="S863" s="2"/>
    </row>
    <row r="864">
      <c r="A864" s="2"/>
      <c r="B864" s="2"/>
      <c r="C864" s="2"/>
      <c r="D864" s="2"/>
      <c r="E864" s="2"/>
      <c r="F864" s="2"/>
      <c r="G864" s="2"/>
      <c r="H864" s="2"/>
      <c r="I864" s="2"/>
      <c r="J864" s="2"/>
      <c r="K864" s="2"/>
      <c r="L864" s="2"/>
      <c r="M864" s="2"/>
      <c r="N864" s="2"/>
      <c r="O864" s="2"/>
      <c r="P864" s="2"/>
      <c r="Q864" s="2"/>
      <c r="R864" s="2"/>
      <c r="S864" s="2"/>
    </row>
    <row r="865">
      <c r="A865" s="2"/>
      <c r="B865" s="2"/>
      <c r="C865" s="2"/>
      <c r="D865" s="2"/>
      <c r="E865" s="2"/>
      <c r="F865" s="2"/>
      <c r="G865" s="2"/>
      <c r="H865" s="2"/>
      <c r="I865" s="2"/>
      <c r="J865" s="2"/>
      <c r="K865" s="2"/>
      <c r="L865" s="2"/>
      <c r="M865" s="2"/>
      <c r="N865" s="2"/>
      <c r="O865" s="2"/>
      <c r="P865" s="2"/>
      <c r="Q865" s="2"/>
      <c r="R865" s="2"/>
      <c r="S865" s="2"/>
    </row>
    <row r="866">
      <c r="A866" s="2"/>
      <c r="B866" s="2"/>
      <c r="C866" s="2"/>
      <c r="D866" s="2"/>
      <c r="E866" s="2"/>
      <c r="F866" s="2"/>
      <c r="G866" s="2"/>
      <c r="H866" s="2"/>
      <c r="I866" s="2"/>
      <c r="J866" s="2"/>
      <c r="K866" s="2"/>
      <c r="L866" s="2"/>
      <c r="M866" s="2"/>
      <c r="N866" s="2"/>
      <c r="O866" s="2"/>
      <c r="P866" s="2"/>
      <c r="Q866" s="2"/>
      <c r="R866" s="2"/>
      <c r="S866" s="2"/>
    </row>
    <row r="867">
      <c r="A867" s="2"/>
      <c r="B867" s="2"/>
      <c r="C867" s="2"/>
      <c r="D867" s="2"/>
      <c r="E867" s="2"/>
      <c r="F867" s="2"/>
      <c r="G867" s="2"/>
      <c r="H867" s="2"/>
      <c r="I867" s="2"/>
      <c r="J867" s="2"/>
      <c r="K867" s="2"/>
      <c r="L867" s="2"/>
      <c r="M867" s="2"/>
      <c r="N867" s="2"/>
      <c r="O867" s="2"/>
      <c r="P867" s="2"/>
      <c r="Q867" s="2"/>
      <c r="R867" s="2"/>
      <c r="S867" s="2"/>
    </row>
    <row r="868">
      <c r="A868" s="2"/>
      <c r="B868" s="2"/>
      <c r="C868" s="2"/>
      <c r="D868" s="2"/>
      <c r="E868" s="2"/>
      <c r="F868" s="2"/>
      <c r="G868" s="2"/>
      <c r="H868" s="2"/>
      <c r="I868" s="2"/>
      <c r="J868" s="2"/>
      <c r="K868" s="2"/>
      <c r="L868" s="2"/>
      <c r="M868" s="2"/>
      <c r="N868" s="2"/>
      <c r="O868" s="2"/>
      <c r="P868" s="2"/>
      <c r="Q868" s="2"/>
      <c r="R868" s="2"/>
      <c r="S868" s="2"/>
    </row>
    <row r="869">
      <c r="A869" s="2"/>
      <c r="B869" s="2"/>
      <c r="C869" s="2"/>
      <c r="D869" s="2"/>
      <c r="E869" s="2"/>
      <c r="F869" s="2"/>
      <c r="G869" s="2"/>
      <c r="H869" s="2"/>
      <c r="I869" s="2"/>
      <c r="J869" s="2"/>
      <c r="K869" s="2"/>
      <c r="L869" s="2"/>
      <c r="M869" s="2"/>
      <c r="N869" s="2"/>
      <c r="O869" s="2"/>
      <c r="P869" s="2"/>
      <c r="Q869" s="2"/>
      <c r="R869" s="2"/>
      <c r="S869" s="2"/>
    </row>
    <row r="870">
      <c r="A870" s="2"/>
      <c r="B870" s="2"/>
      <c r="C870" s="2"/>
      <c r="D870" s="2"/>
      <c r="E870" s="2"/>
      <c r="F870" s="2"/>
      <c r="G870" s="2"/>
      <c r="H870" s="2"/>
      <c r="I870" s="2"/>
      <c r="J870" s="2"/>
      <c r="K870" s="2"/>
      <c r="L870" s="2"/>
      <c r="M870" s="2"/>
      <c r="N870" s="2"/>
      <c r="O870" s="2"/>
      <c r="P870" s="2"/>
      <c r="Q870" s="2"/>
      <c r="R870" s="2"/>
      <c r="S870" s="2"/>
    </row>
    <row r="871">
      <c r="A871" s="2"/>
      <c r="B871" s="2"/>
      <c r="C871" s="2"/>
      <c r="D871" s="2"/>
      <c r="E871" s="2"/>
      <c r="F871" s="2"/>
      <c r="G871" s="2"/>
      <c r="H871" s="2"/>
      <c r="I871" s="2"/>
      <c r="J871" s="2"/>
      <c r="K871" s="2"/>
      <c r="L871" s="2"/>
      <c r="M871" s="2"/>
      <c r="N871" s="2"/>
      <c r="O871" s="2"/>
      <c r="P871" s="2"/>
      <c r="Q871" s="2"/>
      <c r="R871" s="2"/>
      <c r="S871" s="2"/>
    </row>
    <row r="872">
      <c r="A872" s="2"/>
      <c r="B872" s="2"/>
      <c r="C872" s="2"/>
      <c r="D872" s="2"/>
      <c r="E872" s="2"/>
      <c r="F872" s="2"/>
      <c r="G872" s="2"/>
      <c r="H872" s="2"/>
      <c r="I872" s="2"/>
      <c r="J872" s="2"/>
      <c r="K872" s="2"/>
      <c r="L872" s="2"/>
      <c r="M872" s="2"/>
      <c r="N872" s="2"/>
      <c r="O872" s="2"/>
      <c r="P872" s="2"/>
      <c r="Q872" s="2"/>
      <c r="R872" s="2"/>
      <c r="S872" s="2"/>
    </row>
    <row r="873">
      <c r="A873" s="2"/>
      <c r="B873" s="2"/>
      <c r="C873" s="2"/>
      <c r="D873" s="2"/>
      <c r="E873" s="2"/>
      <c r="F873" s="2"/>
      <c r="G873" s="2"/>
      <c r="H873" s="2"/>
      <c r="I873" s="2"/>
      <c r="J873" s="2"/>
      <c r="K873" s="2"/>
      <c r="L873" s="2"/>
      <c r="M873" s="2"/>
      <c r="N873" s="2"/>
      <c r="O873" s="2"/>
      <c r="P873" s="2"/>
      <c r="Q873" s="2"/>
      <c r="R873" s="2"/>
      <c r="S873" s="2"/>
    </row>
    <row r="874">
      <c r="A874" s="2"/>
      <c r="B874" s="2"/>
      <c r="C874" s="2"/>
      <c r="D874" s="2"/>
      <c r="E874" s="2"/>
      <c r="F874" s="2"/>
      <c r="G874" s="2"/>
      <c r="H874" s="2"/>
      <c r="I874" s="2"/>
      <c r="J874" s="2"/>
      <c r="K874" s="2"/>
      <c r="L874" s="2"/>
      <c r="M874" s="2"/>
      <c r="N874" s="2"/>
      <c r="O874" s="2"/>
      <c r="P874" s="2"/>
      <c r="Q874" s="2"/>
      <c r="R874" s="2"/>
      <c r="S874" s="2"/>
    </row>
    <row r="875">
      <c r="A875" s="2"/>
      <c r="B875" s="2"/>
      <c r="C875" s="2"/>
      <c r="D875" s="2"/>
      <c r="E875" s="2"/>
      <c r="F875" s="2"/>
      <c r="G875" s="2"/>
      <c r="H875" s="2"/>
      <c r="I875" s="2"/>
      <c r="J875" s="2"/>
      <c r="K875" s="2"/>
      <c r="L875" s="2"/>
      <c r="M875" s="2"/>
      <c r="N875" s="2"/>
      <c r="O875" s="2"/>
      <c r="P875" s="2"/>
      <c r="Q875" s="2"/>
      <c r="R875" s="2"/>
      <c r="S875" s="2"/>
    </row>
    <row r="876">
      <c r="A876" s="2"/>
      <c r="B876" s="2"/>
      <c r="C876" s="2"/>
      <c r="D876" s="2"/>
      <c r="E876" s="2"/>
      <c r="F876" s="2"/>
      <c r="G876" s="2"/>
      <c r="H876" s="2"/>
      <c r="I876" s="2"/>
      <c r="J876" s="2"/>
      <c r="K876" s="2"/>
      <c r="L876" s="2"/>
      <c r="M876" s="2"/>
      <c r="N876" s="2"/>
      <c r="O876" s="2"/>
      <c r="P876" s="2"/>
      <c r="Q876" s="2"/>
      <c r="R876" s="2"/>
      <c r="S876" s="2"/>
    </row>
    <row r="877">
      <c r="A877" s="2"/>
      <c r="B877" s="2"/>
      <c r="C877" s="2"/>
      <c r="D877" s="2"/>
      <c r="E877" s="2"/>
      <c r="F877" s="2"/>
      <c r="G877" s="2"/>
      <c r="H877" s="2"/>
      <c r="I877" s="2"/>
      <c r="J877" s="2"/>
      <c r="K877" s="2"/>
      <c r="L877" s="2"/>
      <c r="M877" s="2"/>
      <c r="N877" s="2"/>
      <c r="O877" s="2"/>
      <c r="P877" s="2"/>
      <c r="Q877" s="2"/>
      <c r="R877" s="2"/>
      <c r="S877" s="2"/>
    </row>
    <row r="878">
      <c r="A878" s="2"/>
      <c r="B878" s="2"/>
      <c r="C878" s="2"/>
      <c r="D878" s="2"/>
      <c r="E878" s="2"/>
      <c r="F878" s="2"/>
      <c r="G878" s="2"/>
      <c r="H878" s="2"/>
      <c r="I878" s="2"/>
      <c r="J878" s="2"/>
      <c r="K878" s="2"/>
      <c r="L878" s="2"/>
      <c r="M878" s="2"/>
      <c r="N878" s="2"/>
      <c r="O878" s="2"/>
      <c r="P878" s="2"/>
      <c r="Q878" s="2"/>
      <c r="R878" s="2"/>
      <c r="S878" s="2"/>
    </row>
    <row r="879">
      <c r="A879" s="2"/>
      <c r="B879" s="2"/>
      <c r="C879" s="2"/>
      <c r="D879" s="2"/>
      <c r="E879" s="2"/>
      <c r="F879" s="2"/>
      <c r="G879" s="2"/>
      <c r="H879" s="2"/>
      <c r="I879" s="2"/>
      <c r="J879" s="2"/>
      <c r="K879" s="2"/>
      <c r="L879" s="2"/>
      <c r="M879" s="2"/>
      <c r="N879" s="2"/>
      <c r="O879" s="2"/>
      <c r="P879" s="2"/>
      <c r="Q879" s="2"/>
      <c r="R879" s="2"/>
      <c r="S879" s="2"/>
    </row>
    <row r="880">
      <c r="A880" s="2"/>
      <c r="B880" s="2"/>
      <c r="C880" s="2"/>
      <c r="D880" s="2"/>
      <c r="E880" s="2"/>
      <c r="F880" s="2"/>
      <c r="G880" s="2"/>
      <c r="H880" s="2"/>
      <c r="I880" s="2"/>
      <c r="J880" s="2"/>
      <c r="K880" s="2"/>
      <c r="L880" s="2"/>
      <c r="M880" s="2"/>
      <c r="N880" s="2"/>
      <c r="O880" s="2"/>
      <c r="P880" s="2"/>
      <c r="Q880" s="2"/>
      <c r="R880" s="2"/>
      <c r="S880" s="2"/>
    </row>
    <row r="881">
      <c r="A881" s="2"/>
      <c r="B881" s="2"/>
      <c r="C881" s="2"/>
      <c r="D881" s="2"/>
      <c r="E881" s="2"/>
      <c r="F881" s="2"/>
      <c r="G881" s="2"/>
      <c r="H881" s="2"/>
      <c r="I881" s="2"/>
      <c r="J881" s="2"/>
      <c r="K881" s="2"/>
      <c r="L881" s="2"/>
      <c r="M881" s="2"/>
      <c r="N881" s="2"/>
      <c r="O881" s="2"/>
      <c r="P881" s="2"/>
      <c r="Q881" s="2"/>
      <c r="R881" s="2"/>
      <c r="S881" s="2"/>
    </row>
    <row r="882">
      <c r="A882" s="2"/>
      <c r="B882" s="2"/>
      <c r="C882" s="2"/>
      <c r="D882" s="2"/>
      <c r="E882" s="2"/>
      <c r="F882" s="2"/>
      <c r="G882" s="2"/>
      <c r="H882" s="2"/>
      <c r="I882" s="2"/>
      <c r="J882" s="2"/>
      <c r="K882" s="2"/>
      <c r="L882" s="2"/>
      <c r="M882" s="2"/>
      <c r="N882" s="2"/>
      <c r="O882" s="2"/>
      <c r="P882" s="2"/>
      <c r="Q882" s="2"/>
      <c r="R882" s="2"/>
      <c r="S882" s="2"/>
    </row>
    <row r="883">
      <c r="A883" s="2"/>
      <c r="B883" s="2"/>
      <c r="C883" s="2"/>
      <c r="D883" s="2"/>
      <c r="E883" s="2"/>
      <c r="F883" s="2"/>
      <c r="G883" s="2"/>
      <c r="H883" s="2"/>
      <c r="I883" s="2"/>
      <c r="J883" s="2"/>
      <c r="K883" s="2"/>
      <c r="L883" s="2"/>
      <c r="M883" s="2"/>
      <c r="N883" s="2"/>
      <c r="O883" s="2"/>
      <c r="P883" s="2"/>
      <c r="Q883" s="2"/>
      <c r="R883" s="2"/>
      <c r="S883" s="2"/>
    </row>
    <row r="884">
      <c r="A884" s="2"/>
      <c r="B884" s="2"/>
      <c r="C884" s="2"/>
      <c r="D884" s="2"/>
      <c r="E884" s="2"/>
      <c r="F884" s="2"/>
      <c r="G884" s="2"/>
      <c r="H884" s="2"/>
      <c r="I884" s="2"/>
      <c r="J884" s="2"/>
      <c r="K884" s="2"/>
      <c r="L884" s="2"/>
      <c r="M884" s="2"/>
      <c r="N884" s="2"/>
      <c r="O884" s="2"/>
      <c r="P884" s="2"/>
      <c r="Q884" s="2"/>
      <c r="R884" s="2"/>
      <c r="S884" s="2"/>
    </row>
    <row r="885">
      <c r="A885" s="2"/>
      <c r="B885" s="2"/>
      <c r="C885" s="2"/>
      <c r="D885" s="2"/>
      <c r="E885" s="2"/>
      <c r="F885" s="2"/>
      <c r="G885" s="2"/>
      <c r="H885" s="2"/>
      <c r="I885" s="2"/>
      <c r="J885" s="2"/>
      <c r="K885" s="2"/>
      <c r="L885" s="2"/>
      <c r="M885" s="2"/>
      <c r="N885" s="2"/>
      <c r="O885" s="2"/>
      <c r="P885" s="2"/>
      <c r="Q885" s="2"/>
      <c r="R885" s="2"/>
      <c r="S885" s="2"/>
    </row>
    <row r="886">
      <c r="A886" s="2"/>
      <c r="B886" s="2"/>
      <c r="C886" s="2"/>
      <c r="D886" s="2"/>
      <c r="E886" s="2"/>
      <c r="F886" s="2"/>
      <c r="G886" s="2"/>
      <c r="H886" s="2"/>
      <c r="I886" s="2"/>
      <c r="J886" s="2"/>
      <c r="K886" s="2"/>
      <c r="L886" s="2"/>
      <c r="M886" s="2"/>
      <c r="N886" s="2"/>
      <c r="O886" s="2"/>
      <c r="P886" s="2"/>
      <c r="Q886" s="2"/>
      <c r="R886" s="2"/>
      <c r="S886" s="2"/>
    </row>
    <row r="887">
      <c r="A887" s="2"/>
      <c r="B887" s="2"/>
      <c r="C887" s="2"/>
      <c r="D887" s="2"/>
      <c r="E887" s="2"/>
      <c r="F887" s="2"/>
      <c r="G887" s="2"/>
      <c r="H887" s="2"/>
      <c r="I887" s="2"/>
      <c r="J887" s="2"/>
      <c r="K887" s="2"/>
      <c r="L887" s="2"/>
      <c r="M887" s="2"/>
      <c r="N887" s="2"/>
      <c r="O887" s="2"/>
      <c r="P887" s="2"/>
      <c r="Q887" s="2"/>
      <c r="R887" s="2"/>
      <c r="S887" s="2"/>
    </row>
    <row r="888">
      <c r="A888" s="2"/>
      <c r="B888" s="2"/>
      <c r="C888" s="2"/>
      <c r="D888" s="2"/>
      <c r="E888" s="2"/>
      <c r="F888" s="2"/>
      <c r="G888" s="2"/>
      <c r="H888" s="2"/>
      <c r="I888" s="2"/>
      <c r="J888" s="2"/>
      <c r="K888" s="2"/>
      <c r="L888" s="2"/>
      <c r="M888" s="2"/>
      <c r="N888" s="2"/>
      <c r="O888" s="2"/>
      <c r="P888" s="2"/>
      <c r="Q888" s="2"/>
      <c r="R888" s="2"/>
      <c r="S888" s="2"/>
    </row>
    <row r="889">
      <c r="A889" s="2"/>
      <c r="B889" s="2"/>
      <c r="C889" s="2"/>
      <c r="D889" s="2"/>
      <c r="E889" s="2"/>
      <c r="F889" s="2"/>
      <c r="G889" s="2"/>
      <c r="H889" s="2"/>
      <c r="I889" s="2"/>
      <c r="J889" s="2"/>
      <c r="K889" s="2"/>
      <c r="L889" s="2"/>
      <c r="M889" s="2"/>
      <c r="N889" s="2"/>
      <c r="O889" s="2"/>
      <c r="P889" s="2"/>
      <c r="Q889" s="2"/>
      <c r="R889" s="2"/>
      <c r="S889" s="2"/>
    </row>
    <row r="890">
      <c r="A890" s="2"/>
      <c r="B890" s="2"/>
      <c r="C890" s="2"/>
      <c r="D890" s="2"/>
      <c r="E890" s="2"/>
      <c r="F890" s="2"/>
      <c r="G890" s="2"/>
      <c r="H890" s="2"/>
      <c r="I890" s="2"/>
      <c r="J890" s="2"/>
      <c r="K890" s="2"/>
      <c r="L890" s="2"/>
      <c r="M890" s="2"/>
      <c r="N890" s="2"/>
      <c r="O890" s="2"/>
      <c r="P890" s="2"/>
      <c r="Q890" s="2"/>
      <c r="R890" s="2"/>
      <c r="S890" s="2"/>
    </row>
    <row r="891">
      <c r="A891" s="2"/>
      <c r="B891" s="2"/>
      <c r="C891" s="2"/>
      <c r="D891" s="2"/>
      <c r="E891" s="2"/>
      <c r="F891" s="2"/>
      <c r="G891" s="2"/>
      <c r="H891" s="2"/>
      <c r="I891" s="2"/>
      <c r="J891" s="2"/>
      <c r="K891" s="2"/>
      <c r="L891" s="2"/>
      <c r="M891" s="2"/>
      <c r="N891" s="2"/>
      <c r="O891" s="2"/>
      <c r="P891" s="2"/>
      <c r="Q891" s="2"/>
      <c r="R891" s="2"/>
      <c r="S891" s="2"/>
    </row>
    <row r="892">
      <c r="A892" s="2"/>
      <c r="B892" s="2"/>
      <c r="C892" s="2"/>
      <c r="D892" s="2"/>
      <c r="E892" s="2"/>
      <c r="F892" s="2"/>
      <c r="G892" s="2"/>
      <c r="H892" s="2"/>
      <c r="I892" s="2"/>
      <c r="J892" s="2"/>
      <c r="K892" s="2"/>
      <c r="L892" s="2"/>
      <c r="M892" s="2"/>
      <c r="N892" s="2"/>
      <c r="O892" s="2"/>
      <c r="P892" s="2"/>
      <c r="Q892" s="2"/>
      <c r="R892" s="2"/>
      <c r="S892" s="2"/>
    </row>
    <row r="893">
      <c r="A893" s="2"/>
      <c r="B893" s="2"/>
      <c r="C893" s="2"/>
      <c r="D893" s="2"/>
      <c r="E893" s="2"/>
      <c r="F893" s="2"/>
      <c r="G893" s="2"/>
      <c r="H893" s="2"/>
      <c r="I893" s="2"/>
      <c r="J893" s="2"/>
      <c r="K893" s="2"/>
      <c r="L893" s="2"/>
      <c r="M893" s="2"/>
      <c r="N893" s="2"/>
      <c r="O893" s="2"/>
      <c r="P893" s="2"/>
      <c r="Q893" s="2"/>
      <c r="R893" s="2"/>
      <c r="S893" s="2"/>
    </row>
    <row r="894">
      <c r="A894" s="2"/>
      <c r="B894" s="2"/>
      <c r="C894" s="2"/>
      <c r="D894" s="2"/>
      <c r="E894" s="2"/>
      <c r="F894" s="2"/>
      <c r="G894" s="2"/>
      <c r="H894" s="2"/>
      <c r="I894" s="2"/>
      <c r="J894" s="2"/>
      <c r="K894" s="2"/>
      <c r="L894" s="2"/>
      <c r="M894" s="2"/>
      <c r="N894" s="2"/>
      <c r="O894" s="2"/>
      <c r="P894" s="2"/>
      <c r="Q894" s="2"/>
      <c r="R894" s="2"/>
      <c r="S894" s="2"/>
    </row>
    <row r="895">
      <c r="A895" s="2"/>
      <c r="B895" s="2"/>
      <c r="C895" s="2"/>
      <c r="D895" s="2"/>
      <c r="E895" s="2"/>
      <c r="F895" s="2"/>
      <c r="G895" s="2"/>
      <c r="H895" s="2"/>
      <c r="I895" s="2"/>
      <c r="J895" s="2"/>
      <c r="K895" s="2"/>
      <c r="L895" s="2"/>
      <c r="M895" s="2"/>
      <c r="N895" s="2"/>
      <c r="O895" s="2"/>
      <c r="P895" s="2"/>
      <c r="Q895" s="2"/>
      <c r="R895" s="2"/>
      <c r="S895" s="2"/>
    </row>
    <row r="896">
      <c r="A896" s="2"/>
      <c r="B896" s="2"/>
      <c r="C896" s="2"/>
      <c r="D896" s="2"/>
      <c r="E896" s="2"/>
      <c r="F896" s="2"/>
      <c r="G896" s="2"/>
      <c r="H896" s="2"/>
      <c r="I896" s="2"/>
      <c r="J896" s="2"/>
      <c r="K896" s="2"/>
      <c r="L896" s="2"/>
      <c r="M896" s="2"/>
      <c r="N896" s="2"/>
      <c r="O896" s="2"/>
      <c r="P896" s="2"/>
      <c r="Q896" s="2"/>
      <c r="R896" s="2"/>
      <c r="S896" s="2"/>
    </row>
    <row r="897">
      <c r="A897" s="2"/>
      <c r="B897" s="2"/>
      <c r="C897" s="2"/>
      <c r="D897" s="2"/>
      <c r="E897" s="2"/>
      <c r="F897" s="2"/>
      <c r="G897" s="2"/>
      <c r="H897" s="2"/>
      <c r="I897" s="2"/>
      <c r="J897" s="2"/>
      <c r="K897" s="2"/>
      <c r="L897" s="2"/>
      <c r="M897" s="2"/>
      <c r="N897" s="2"/>
      <c r="O897" s="2"/>
      <c r="P897" s="2"/>
      <c r="Q897" s="2"/>
      <c r="R897" s="2"/>
      <c r="S897" s="2"/>
    </row>
    <row r="898">
      <c r="A898" s="2"/>
      <c r="B898" s="2"/>
      <c r="C898" s="2"/>
      <c r="D898" s="2"/>
      <c r="E898" s="2"/>
      <c r="F898" s="2"/>
      <c r="G898" s="2"/>
      <c r="H898" s="2"/>
      <c r="I898" s="2"/>
      <c r="J898" s="2"/>
      <c r="K898" s="2"/>
      <c r="L898" s="2"/>
      <c r="M898" s="2"/>
      <c r="N898" s="2"/>
      <c r="O898" s="2"/>
      <c r="P898" s="2"/>
      <c r="Q898" s="2"/>
      <c r="R898" s="2"/>
      <c r="S898" s="2"/>
    </row>
    <row r="899">
      <c r="A899" s="2"/>
      <c r="B899" s="2"/>
      <c r="C899" s="2"/>
      <c r="D899" s="2"/>
      <c r="E899" s="2"/>
      <c r="F899" s="2"/>
      <c r="G899" s="2"/>
      <c r="H899" s="2"/>
      <c r="I899" s="2"/>
      <c r="J899" s="2"/>
      <c r="K899" s="2"/>
      <c r="L899" s="2"/>
      <c r="M899" s="2"/>
      <c r="N899" s="2"/>
      <c r="O899" s="2"/>
      <c r="P899" s="2"/>
      <c r="Q899" s="2"/>
      <c r="R899" s="2"/>
      <c r="S899" s="2"/>
    </row>
    <row r="900">
      <c r="A900" s="2"/>
      <c r="B900" s="2"/>
      <c r="C900" s="2"/>
      <c r="D900" s="2"/>
      <c r="E900" s="2"/>
      <c r="F900" s="2"/>
      <c r="G900" s="2"/>
      <c r="H900" s="2"/>
      <c r="I900" s="2"/>
      <c r="J900" s="2"/>
      <c r="K900" s="2"/>
      <c r="L900" s="2"/>
      <c r="M900" s="2"/>
      <c r="N900" s="2"/>
      <c r="O900" s="2"/>
      <c r="P900" s="2"/>
      <c r="Q900" s="2"/>
      <c r="R900" s="2"/>
      <c r="S900" s="2"/>
    </row>
    <row r="901">
      <c r="A901" s="2"/>
      <c r="B901" s="2"/>
      <c r="C901" s="2"/>
      <c r="D901" s="2"/>
      <c r="E901" s="2"/>
      <c r="F901" s="2"/>
      <c r="G901" s="2"/>
      <c r="H901" s="2"/>
      <c r="I901" s="2"/>
      <c r="J901" s="2"/>
      <c r="K901" s="2"/>
      <c r="L901" s="2"/>
      <c r="M901" s="2"/>
      <c r="N901" s="2"/>
      <c r="O901" s="2"/>
      <c r="P901" s="2"/>
      <c r="Q901" s="2"/>
      <c r="R901" s="2"/>
      <c r="S901" s="2"/>
    </row>
    <row r="902">
      <c r="A902" s="2"/>
      <c r="B902" s="2"/>
      <c r="C902" s="2"/>
      <c r="D902" s="2"/>
      <c r="E902" s="2"/>
      <c r="F902" s="2"/>
      <c r="G902" s="2"/>
      <c r="H902" s="2"/>
      <c r="I902" s="2"/>
      <c r="J902" s="2"/>
      <c r="K902" s="2"/>
      <c r="L902" s="2"/>
      <c r="M902" s="2"/>
      <c r="N902" s="2"/>
      <c r="O902" s="2"/>
      <c r="P902" s="2"/>
      <c r="Q902" s="2"/>
      <c r="R902" s="2"/>
      <c r="S902" s="2"/>
    </row>
    <row r="903">
      <c r="A903" s="2"/>
      <c r="B903" s="2"/>
      <c r="C903" s="2"/>
      <c r="D903" s="2"/>
      <c r="E903" s="2"/>
      <c r="F903" s="2"/>
      <c r="G903" s="2"/>
      <c r="H903" s="2"/>
      <c r="I903" s="2"/>
      <c r="J903" s="2"/>
      <c r="K903" s="2"/>
      <c r="L903" s="2"/>
      <c r="M903" s="2"/>
      <c r="N903" s="2"/>
      <c r="O903" s="2"/>
      <c r="P903" s="2"/>
      <c r="Q903" s="2"/>
      <c r="R903" s="2"/>
      <c r="S903" s="2"/>
    </row>
    <row r="904">
      <c r="A904" s="2"/>
      <c r="B904" s="2"/>
      <c r="C904" s="2"/>
      <c r="D904" s="2"/>
      <c r="E904" s="2"/>
      <c r="F904" s="2"/>
      <c r="G904" s="2"/>
      <c r="H904" s="2"/>
      <c r="I904" s="2"/>
      <c r="J904" s="2"/>
      <c r="K904" s="2"/>
      <c r="L904" s="2"/>
      <c r="M904" s="2"/>
      <c r="N904" s="2"/>
      <c r="O904" s="2"/>
      <c r="P904" s="2"/>
      <c r="Q904" s="2"/>
      <c r="R904" s="2"/>
      <c r="S904" s="2"/>
    </row>
    <row r="905">
      <c r="A905" s="2"/>
      <c r="B905" s="2"/>
      <c r="C905" s="2"/>
      <c r="D905" s="2"/>
      <c r="E905" s="2"/>
      <c r="F905" s="2"/>
      <c r="G905" s="2"/>
      <c r="H905" s="2"/>
      <c r="I905" s="2"/>
      <c r="J905" s="2"/>
      <c r="K905" s="2"/>
      <c r="L905" s="2"/>
      <c r="M905" s="2"/>
      <c r="N905" s="2"/>
      <c r="O905" s="2"/>
      <c r="P905" s="2"/>
      <c r="Q905" s="2"/>
      <c r="R905" s="2"/>
      <c r="S905" s="2"/>
    </row>
    <row r="906">
      <c r="A906" s="2"/>
      <c r="B906" s="2"/>
      <c r="C906" s="2"/>
      <c r="D906" s="2"/>
      <c r="E906" s="2"/>
      <c r="F906" s="2"/>
      <c r="G906" s="2"/>
      <c r="H906" s="2"/>
      <c r="I906" s="2"/>
      <c r="J906" s="2"/>
      <c r="K906" s="2"/>
      <c r="L906" s="2"/>
      <c r="M906" s="2"/>
      <c r="N906" s="2"/>
      <c r="O906" s="2"/>
      <c r="P906" s="2"/>
      <c r="Q906" s="2"/>
      <c r="R906" s="2"/>
      <c r="S906" s="2"/>
    </row>
    <row r="907">
      <c r="A907" s="2"/>
      <c r="B907" s="2"/>
      <c r="C907" s="2"/>
      <c r="D907" s="2"/>
      <c r="E907" s="2"/>
      <c r="F907" s="2"/>
      <c r="G907" s="2"/>
      <c r="H907" s="2"/>
      <c r="I907" s="2"/>
      <c r="J907" s="2"/>
      <c r="K907" s="2"/>
      <c r="L907" s="2"/>
      <c r="M907" s="2"/>
      <c r="N907" s="2"/>
      <c r="O907" s="2"/>
      <c r="P907" s="2"/>
      <c r="Q907" s="2"/>
      <c r="R907" s="2"/>
      <c r="S907" s="2"/>
    </row>
    <row r="908">
      <c r="A908" s="2"/>
      <c r="B908" s="2"/>
      <c r="C908" s="2"/>
      <c r="D908" s="2"/>
      <c r="E908" s="2"/>
      <c r="F908" s="2"/>
      <c r="G908" s="2"/>
      <c r="H908" s="2"/>
      <c r="I908" s="2"/>
      <c r="J908" s="2"/>
      <c r="K908" s="2"/>
      <c r="L908" s="2"/>
      <c r="M908" s="2"/>
      <c r="N908" s="2"/>
      <c r="O908" s="2"/>
      <c r="P908" s="2"/>
      <c r="Q908" s="2"/>
      <c r="R908" s="2"/>
      <c r="S908" s="2"/>
    </row>
    <row r="909">
      <c r="A909" s="2"/>
      <c r="B909" s="2"/>
      <c r="C909" s="2"/>
      <c r="D909" s="2"/>
      <c r="E909" s="2"/>
      <c r="F909" s="2"/>
      <c r="G909" s="2"/>
      <c r="H909" s="2"/>
      <c r="I909" s="2"/>
      <c r="J909" s="2"/>
      <c r="K909" s="2"/>
      <c r="L909" s="2"/>
      <c r="M909" s="2"/>
      <c r="N909" s="2"/>
      <c r="O909" s="2"/>
      <c r="P909" s="2"/>
      <c r="Q909" s="2"/>
      <c r="R909" s="2"/>
      <c r="S909" s="2"/>
    </row>
    <row r="910">
      <c r="A910" s="2"/>
      <c r="B910" s="2"/>
      <c r="C910" s="2"/>
      <c r="D910" s="2"/>
      <c r="E910" s="2"/>
      <c r="F910" s="2"/>
      <c r="G910" s="2"/>
      <c r="H910" s="2"/>
      <c r="I910" s="2"/>
      <c r="J910" s="2"/>
      <c r="K910" s="2"/>
      <c r="L910" s="2"/>
      <c r="M910" s="2"/>
      <c r="N910" s="2"/>
      <c r="O910" s="2"/>
      <c r="P910" s="2"/>
      <c r="Q910" s="2"/>
      <c r="R910" s="2"/>
      <c r="S910" s="2"/>
    </row>
    <row r="911">
      <c r="A911" s="2"/>
      <c r="B911" s="2"/>
      <c r="C911" s="2"/>
      <c r="D911" s="2"/>
      <c r="E911" s="2"/>
      <c r="F911" s="2"/>
      <c r="G911" s="2"/>
      <c r="H911" s="2"/>
      <c r="I911" s="2"/>
      <c r="J911" s="2"/>
      <c r="K911" s="2"/>
      <c r="L911" s="2"/>
      <c r="M911" s="2"/>
      <c r="N911" s="2"/>
      <c r="O911" s="2"/>
      <c r="P911" s="2"/>
      <c r="Q911" s="2"/>
      <c r="R911" s="2"/>
      <c r="S911" s="2"/>
    </row>
    <row r="912">
      <c r="A912" s="2"/>
      <c r="B912" s="2"/>
      <c r="C912" s="2"/>
      <c r="D912" s="2"/>
      <c r="E912" s="2"/>
      <c r="F912" s="2"/>
      <c r="G912" s="2"/>
      <c r="H912" s="2"/>
      <c r="I912" s="2"/>
      <c r="J912" s="2"/>
      <c r="K912" s="2"/>
      <c r="L912" s="2"/>
      <c r="M912" s="2"/>
      <c r="N912" s="2"/>
      <c r="O912" s="2"/>
      <c r="P912" s="2"/>
      <c r="Q912" s="2"/>
      <c r="R912" s="2"/>
      <c r="S912" s="2"/>
    </row>
    <row r="913">
      <c r="A913" s="2"/>
      <c r="B913" s="2"/>
      <c r="C913" s="2"/>
      <c r="D913" s="2"/>
      <c r="E913" s="2"/>
      <c r="F913" s="2"/>
      <c r="G913" s="2"/>
      <c r="H913" s="2"/>
      <c r="I913" s="2"/>
      <c r="J913" s="2"/>
      <c r="K913" s="2"/>
      <c r="L913" s="2"/>
      <c r="M913" s="2"/>
      <c r="N913" s="2"/>
      <c r="O913" s="2"/>
      <c r="P913" s="2"/>
      <c r="Q913" s="2"/>
      <c r="R913" s="2"/>
      <c r="S913" s="2"/>
    </row>
    <row r="914">
      <c r="A914" s="2"/>
      <c r="B914" s="2"/>
      <c r="C914" s="2"/>
      <c r="D914" s="2"/>
      <c r="E914" s="2"/>
      <c r="F914" s="2"/>
      <c r="G914" s="2"/>
      <c r="H914" s="2"/>
      <c r="I914" s="2"/>
      <c r="J914" s="2"/>
      <c r="K914" s="2"/>
      <c r="L914" s="2"/>
      <c r="M914" s="2"/>
      <c r="N914" s="2"/>
      <c r="O914" s="2"/>
      <c r="P914" s="2"/>
      <c r="Q914" s="2"/>
      <c r="R914" s="2"/>
      <c r="S914" s="2"/>
    </row>
    <row r="915">
      <c r="A915" s="2"/>
      <c r="B915" s="2"/>
      <c r="C915" s="2"/>
      <c r="D915" s="2"/>
      <c r="E915" s="2"/>
      <c r="F915" s="2"/>
      <c r="G915" s="2"/>
      <c r="H915" s="2"/>
      <c r="I915" s="2"/>
      <c r="J915" s="2"/>
      <c r="K915" s="2"/>
      <c r="L915" s="2"/>
      <c r="M915" s="2"/>
      <c r="N915" s="2"/>
      <c r="O915" s="2"/>
      <c r="P915" s="2"/>
      <c r="Q915" s="2"/>
      <c r="R915" s="2"/>
      <c r="S915" s="2"/>
    </row>
    <row r="916">
      <c r="A916" s="2"/>
      <c r="B916" s="2"/>
      <c r="C916" s="2"/>
      <c r="D916" s="2"/>
      <c r="E916" s="2"/>
      <c r="F916" s="2"/>
      <c r="G916" s="2"/>
      <c r="H916" s="2"/>
      <c r="I916" s="2"/>
      <c r="J916" s="2"/>
      <c r="K916" s="2"/>
      <c r="L916" s="2"/>
      <c r="M916" s="2"/>
      <c r="N916" s="2"/>
      <c r="O916" s="2"/>
      <c r="P916" s="2"/>
      <c r="Q916" s="2"/>
      <c r="R916" s="2"/>
      <c r="S916" s="2"/>
    </row>
    <row r="917">
      <c r="A917" s="2"/>
      <c r="B917" s="2"/>
      <c r="C917" s="2"/>
      <c r="D917" s="2"/>
      <c r="E917" s="2"/>
      <c r="F917" s="2"/>
      <c r="G917" s="2"/>
      <c r="H917" s="2"/>
      <c r="I917" s="2"/>
      <c r="J917" s="2"/>
      <c r="K917" s="2"/>
      <c r="L917" s="2"/>
      <c r="M917" s="2"/>
      <c r="N917" s="2"/>
      <c r="O917" s="2"/>
      <c r="P917" s="2"/>
      <c r="Q917" s="2"/>
      <c r="R917" s="2"/>
      <c r="S917" s="2"/>
    </row>
    <row r="918">
      <c r="A918" s="2"/>
      <c r="B918" s="2"/>
      <c r="C918" s="2"/>
      <c r="D918" s="2"/>
      <c r="E918" s="2"/>
      <c r="F918" s="2"/>
      <c r="G918" s="2"/>
      <c r="H918" s="2"/>
      <c r="I918" s="2"/>
      <c r="J918" s="2"/>
      <c r="K918" s="2"/>
      <c r="L918" s="2"/>
      <c r="M918" s="2"/>
      <c r="N918" s="2"/>
      <c r="O918" s="2"/>
      <c r="P918" s="2"/>
      <c r="Q918" s="2"/>
      <c r="R918" s="2"/>
      <c r="S918" s="2"/>
    </row>
    <row r="919">
      <c r="A919" s="2"/>
      <c r="B919" s="2"/>
      <c r="C919" s="2"/>
      <c r="D919" s="2"/>
      <c r="E919" s="2"/>
      <c r="F919" s="2"/>
      <c r="G919" s="2"/>
      <c r="H919" s="2"/>
      <c r="I919" s="2"/>
      <c r="J919" s="2"/>
      <c r="K919" s="2"/>
      <c r="L919" s="2"/>
      <c r="M919" s="2"/>
      <c r="N919" s="2"/>
      <c r="O919" s="2"/>
      <c r="P919" s="2"/>
      <c r="Q919" s="2"/>
      <c r="R919" s="2"/>
      <c r="S919" s="2"/>
    </row>
    <row r="920">
      <c r="A920" s="2"/>
      <c r="B920" s="2"/>
      <c r="C920" s="2"/>
      <c r="D920" s="2"/>
      <c r="E920" s="2"/>
      <c r="F920" s="2"/>
      <c r="G920" s="2"/>
      <c r="H920" s="2"/>
      <c r="I920" s="2"/>
      <c r="J920" s="2"/>
      <c r="K920" s="2"/>
      <c r="L920" s="2"/>
      <c r="M920" s="2"/>
      <c r="N920" s="2"/>
      <c r="O920" s="2"/>
      <c r="P920" s="2"/>
      <c r="Q920" s="2"/>
      <c r="R920" s="2"/>
      <c r="S920" s="2"/>
    </row>
    <row r="921">
      <c r="A921" s="2"/>
      <c r="B921" s="2"/>
      <c r="C921" s="2"/>
      <c r="D921" s="2"/>
      <c r="E921" s="2"/>
      <c r="F921" s="2"/>
      <c r="G921" s="2"/>
      <c r="H921" s="2"/>
      <c r="I921" s="2"/>
      <c r="J921" s="2"/>
      <c r="K921" s="2"/>
      <c r="L921" s="2"/>
      <c r="M921" s="2"/>
      <c r="N921" s="2"/>
      <c r="O921" s="2"/>
      <c r="P921" s="2"/>
      <c r="Q921" s="2"/>
      <c r="R921" s="2"/>
      <c r="S921" s="2"/>
    </row>
    <row r="922">
      <c r="A922" s="2"/>
      <c r="B922" s="2"/>
      <c r="C922" s="2"/>
      <c r="D922" s="2"/>
      <c r="E922" s="2"/>
      <c r="F922" s="2"/>
      <c r="G922" s="2"/>
      <c r="H922" s="2"/>
      <c r="I922" s="2"/>
      <c r="J922" s="2"/>
      <c r="K922" s="2"/>
      <c r="L922" s="2"/>
      <c r="M922" s="2"/>
      <c r="N922" s="2"/>
      <c r="O922" s="2"/>
      <c r="P922" s="2"/>
      <c r="Q922" s="2"/>
      <c r="R922" s="2"/>
      <c r="S922" s="2"/>
    </row>
    <row r="923">
      <c r="A923" s="2"/>
      <c r="B923" s="2"/>
      <c r="C923" s="2"/>
      <c r="D923" s="2"/>
      <c r="E923" s="2"/>
      <c r="F923" s="2"/>
      <c r="G923" s="2"/>
      <c r="H923" s="2"/>
      <c r="I923" s="2"/>
      <c r="J923" s="2"/>
      <c r="K923" s="2"/>
      <c r="L923" s="2"/>
      <c r="M923" s="2"/>
      <c r="N923" s="2"/>
      <c r="O923" s="2"/>
      <c r="P923" s="2"/>
      <c r="Q923" s="2"/>
      <c r="R923" s="2"/>
      <c r="S923" s="2"/>
    </row>
    <row r="924">
      <c r="A924" s="2"/>
      <c r="B924" s="2"/>
      <c r="C924" s="2"/>
      <c r="D924" s="2"/>
      <c r="E924" s="2"/>
      <c r="F924" s="2"/>
      <c r="G924" s="2"/>
      <c r="H924" s="2"/>
      <c r="I924" s="2"/>
      <c r="J924" s="2"/>
      <c r="K924" s="2"/>
      <c r="L924" s="2"/>
      <c r="M924" s="2"/>
      <c r="N924" s="2"/>
      <c r="O924" s="2"/>
      <c r="P924" s="2"/>
      <c r="Q924" s="2"/>
      <c r="R924" s="2"/>
      <c r="S924" s="2"/>
    </row>
    <row r="925">
      <c r="A925" s="2"/>
      <c r="B925" s="2"/>
      <c r="C925" s="2"/>
      <c r="D925" s="2"/>
      <c r="E925" s="2"/>
      <c r="F925" s="2"/>
      <c r="G925" s="2"/>
      <c r="H925" s="2"/>
      <c r="I925" s="2"/>
      <c r="J925" s="2"/>
      <c r="K925" s="2"/>
      <c r="L925" s="2"/>
      <c r="M925" s="2"/>
      <c r="N925" s="2"/>
      <c r="O925" s="2"/>
      <c r="P925" s="2"/>
      <c r="Q925" s="2"/>
      <c r="R925" s="2"/>
      <c r="S925" s="2"/>
    </row>
    <row r="926">
      <c r="A926" s="2"/>
      <c r="B926" s="2"/>
      <c r="C926" s="2"/>
      <c r="D926" s="2"/>
      <c r="E926" s="2"/>
      <c r="F926" s="2"/>
      <c r="G926" s="2"/>
      <c r="H926" s="2"/>
      <c r="I926" s="2"/>
      <c r="J926" s="2"/>
      <c r="K926" s="2"/>
      <c r="L926" s="2"/>
      <c r="M926" s="2"/>
      <c r="N926" s="2"/>
      <c r="O926" s="2"/>
      <c r="P926" s="2"/>
      <c r="Q926" s="2"/>
      <c r="R926" s="2"/>
      <c r="S926" s="2"/>
    </row>
    <row r="927">
      <c r="A927" s="2"/>
      <c r="B927" s="2"/>
      <c r="C927" s="2"/>
      <c r="D927" s="2"/>
      <c r="E927" s="2"/>
      <c r="F927" s="2"/>
      <c r="G927" s="2"/>
      <c r="H927" s="2"/>
      <c r="I927" s="2"/>
      <c r="J927" s="2"/>
      <c r="K927" s="2"/>
      <c r="L927" s="2"/>
      <c r="M927" s="2"/>
      <c r="N927" s="2"/>
      <c r="O927" s="2"/>
      <c r="P927" s="2"/>
      <c r="Q927" s="2"/>
      <c r="R927" s="2"/>
      <c r="S927" s="2"/>
    </row>
    <row r="928">
      <c r="A928" s="2"/>
      <c r="B928" s="2"/>
      <c r="C928" s="2"/>
      <c r="D928" s="2"/>
      <c r="E928" s="2"/>
      <c r="F928" s="2"/>
      <c r="G928" s="2"/>
      <c r="H928" s="2"/>
      <c r="I928" s="2"/>
      <c r="J928" s="2"/>
      <c r="K928" s="2"/>
      <c r="L928" s="2"/>
      <c r="M928" s="2"/>
      <c r="N928" s="2"/>
      <c r="O928" s="2"/>
      <c r="P928" s="2"/>
      <c r="Q928" s="2"/>
      <c r="R928" s="2"/>
      <c r="S928" s="2"/>
    </row>
    <row r="929">
      <c r="A929" s="2"/>
      <c r="B929" s="2"/>
      <c r="C929" s="2"/>
      <c r="D929" s="2"/>
      <c r="E929" s="2"/>
      <c r="F929" s="2"/>
      <c r="G929" s="2"/>
      <c r="H929" s="2"/>
      <c r="I929" s="2"/>
      <c r="J929" s="2"/>
      <c r="K929" s="2"/>
      <c r="L929" s="2"/>
      <c r="M929" s="2"/>
      <c r="N929" s="2"/>
      <c r="O929" s="2"/>
      <c r="P929" s="2"/>
      <c r="Q929" s="2"/>
      <c r="R929" s="2"/>
      <c r="S929" s="2"/>
    </row>
    <row r="930">
      <c r="A930" s="2"/>
      <c r="B930" s="2"/>
      <c r="C930" s="2"/>
      <c r="D930" s="2"/>
      <c r="E930" s="2"/>
      <c r="F930" s="2"/>
      <c r="G930" s="2"/>
      <c r="H930" s="2"/>
      <c r="I930" s="2"/>
      <c r="J930" s="2"/>
      <c r="K930" s="2"/>
      <c r="L930" s="2"/>
      <c r="M930" s="2"/>
      <c r="N930" s="2"/>
      <c r="O930" s="2"/>
      <c r="P930" s="2"/>
      <c r="Q930" s="2"/>
      <c r="R930" s="2"/>
      <c r="S930" s="2"/>
    </row>
    <row r="931">
      <c r="A931" s="2"/>
      <c r="B931" s="2"/>
      <c r="C931" s="2"/>
      <c r="D931" s="2"/>
      <c r="E931" s="2"/>
      <c r="F931" s="2"/>
      <c r="G931" s="2"/>
      <c r="H931" s="2"/>
      <c r="I931" s="2"/>
      <c r="J931" s="2"/>
      <c r="K931" s="2"/>
      <c r="L931" s="2"/>
      <c r="M931" s="2"/>
      <c r="N931" s="2"/>
      <c r="O931" s="2"/>
      <c r="P931" s="2"/>
      <c r="Q931" s="2"/>
      <c r="R931" s="2"/>
      <c r="S931" s="2"/>
    </row>
    <row r="932">
      <c r="A932" s="2"/>
      <c r="B932" s="2"/>
      <c r="C932" s="2"/>
      <c r="D932" s="2"/>
      <c r="E932" s="2"/>
      <c r="F932" s="2"/>
      <c r="G932" s="2"/>
      <c r="H932" s="2"/>
      <c r="I932" s="2"/>
      <c r="J932" s="2"/>
      <c r="K932" s="2"/>
      <c r="L932" s="2"/>
      <c r="M932" s="2"/>
      <c r="N932" s="2"/>
      <c r="O932" s="2"/>
      <c r="P932" s="2"/>
      <c r="Q932" s="2"/>
      <c r="R932" s="2"/>
      <c r="S932" s="2"/>
    </row>
    <row r="933">
      <c r="A933" s="2"/>
      <c r="B933" s="2"/>
      <c r="C933" s="2"/>
      <c r="D933" s="2"/>
      <c r="E933" s="2"/>
      <c r="F933" s="2"/>
      <c r="G933" s="2"/>
      <c r="H933" s="2"/>
      <c r="I933" s="2"/>
      <c r="J933" s="2"/>
      <c r="K933" s="2"/>
      <c r="L933" s="2"/>
      <c r="M933" s="2"/>
      <c r="N933" s="2"/>
      <c r="O933" s="2"/>
      <c r="P933" s="2"/>
      <c r="Q933" s="2"/>
      <c r="R933" s="2"/>
      <c r="S933" s="2"/>
    </row>
    <row r="934">
      <c r="A934" s="2"/>
      <c r="B934" s="2"/>
      <c r="C934" s="2"/>
      <c r="D934" s="2"/>
      <c r="E934" s="2"/>
      <c r="F934" s="2"/>
      <c r="G934" s="2"/>
      <c r="H934" s="2"/>
      <c r="I934" s="2"/>
      <c r="J934" s="2"/>
      <c r="K934" s="2"/>
      <c r="L934" s="2"/>
      <c r="M934" s="2"/>
      <c r="N934" s="2"/>
      <c r="O934" s="2"/>
      <c r="P934" s="2"/>
      <c r="Q934" s="2"/>
      <c r="R934" s="2"/>
      <c r="S934" s="2"/>
    </row>
    <row r="935">
      <c r="A935" s="2"/>
      <c r="B935" s="2"/>
      <c r="C935" s="2"/>
      <c r="D935" s="2"/>
      <c r="E935" s="2"/>
      <c r="F935" s="2"/>
      <c r="G935" s="2"/>
      <c r="H935" s="2"/>
      <c r="I935" s="2"/>
      <c r="J935" s="2"/>
      <c r="K935" s="2"/>
      <c r="L935" s="2"/>
      <c r="M935" s="2"/>
      <c r="N935" s="2"/>
      <c r="O935" s="2"/>
      <c r="P935" s="2"/>
      <c r="Q935" s="2"/>
      <c r="R935" s="2"/>
      <c r="S935" s="2"/>
    </row>
    <row r="936">
      <c r="A936" s="2"/>
      <c r="B936" s="2"/>
      <c r="C936" s="2"/>
      <c r="D936" s="2"/>
      <c r="E936" s="2"/>
      <c r="F936" s="2"/>
      <c r="G936" s="2"/>
      <c r="H936" s="2"/>
      <c r="I936" s="2"/>
      <c r="J936" s="2"/>
      <c r="K936" s="2"/>
      <c r="L936" s="2"/>
      <c r="M936" s="2"/>
      <c r="N936" s="2"/>
      <c r="O936" s="2"/>
      <c r="P936" s="2"/>
      <c r="Q936" s="2"/>
      <c r="R936" s="2"/>
      <c r="S936" s="2"/>
    </row>
    <row r="937">
      <c r="A937" s="2"/>
      <c r="B937" s="2"/>
      <c r="C937" s="2"/>
      <c r="D937" s="2"/>
      <c r="E937" s="2"/>
      <c r="F937" s="2"/>
      <c r="G937" s="2"/>
      <c r="H937" s="2"/>
      <c r="I937" s="2"/>
      <c r="J937" s="2"/>
      <c r="K937" s="2"/>
      <c r="L937" s="2"/>
      <c r="M937" s="2"/>
      <c r="N937" s="2"/>
      <c r="O937" s="2"/>
      <c r="P937" s="2"/>
      <c r="Q937" s="2"/>
      <c r="R937" s="2"/>
      <c r="S937" s="2"/>
    </row>
    <row r="938">
      <c r="A938" s="2"/>
      <c r="B938" s="2"/>
      <c r="C938" s="2"/>
      <c r="D938" s="2"/>
      <c r="E938" s="2"/>
      <c r="F938" s="2"/>
      <c r="G938" s="2"/>
      <c r="H938" s="2"/>
      <c r="I938" s="2"/>
      <c r="J938" s="2"/>
      <c r="K938" s="2"/>
      <c r="L938" s="2"/>
      <c r="M938" s="2"/>
      <c r="N938" s="2"/>
      <c r="O938" s="2"/>
      <c r="P938" s="2"/>
      <c r="Q938" s="2"/>
      <c r="R938" s="2"/>
      <c r="S938" s="2"/>
    </row>
    <row r="939">
      <c r="A939" s="2"/>
      <c r="B939" s="2"/>
      <c r="C939" s="2"/>
      <c r="D939" s="2"/>
      <c r="E939" s="2"/>
      <c r="F939" s="2"/>
      <c r="G939" s="2"/>
      <c r="H939" s="2"/>
      <c r="I939" s="2"/>
      <c r="J939" s="2"/>
      <c r="K939" s="2"/>
      <c r="L939" s="2"/>
      <c r="M939" s="2"/>
      <c r="N939" s="2"/>
      <c r="O939" s="2"/>
      <c r="P939" s="2"/>
      <c r="Q939" s="2"/>
      <c r="R939" s="2"/>
      <c r="S939" s="2"/>
    </row>
    <row r="940">
      <c r="A940" s="2"/>
      <c r="B940" s="2"/>
      <c r="C940" s="2"/>
      <c r="D940" s="2"/>
      <c r="E940" s="2"/>
      <c r="F940" s="2"/>
      <c r="G940" s="2"/>
      <c r="H940" s="2"/>
      <c r="I940" s="2"/>
      <c r="J940" s="2"/>
      <c r="K940" s="2"/>
      <c r="L940" s="2"/>
      <c r="M940" s="2"/>
      <c r="N940" s="2"/>
      <c r="O940" s="2"/>
      <c r="P940" s="2"/>
      <c r="Q940" s="2"/>
      <c r="R940" s="2"/>
      <c r="S940" s="2"/>
    </row>
    <row r="941">
      <c r="A941" s="2"/>
      <c r="B941" s="2"/>
      <c r="C941" s="2"/>
      <c r="D941" s="2"/>
      <c r="E941" s="2"/>
      <c r="F941" s="2"/>
      <c r="G941" s="2"/>
      <c r="H941" s="2"/>
      <c r="I941" s="2"/>
      <c r="J941" s="2"/>
      <c r="K941" s="2"/>
      <c r="L941" s="2"/>
      <c r="M941" s="2"/>
      <c r="N941" s="2"/>
      <c r="O941" s="2"/>
      <c r="P941" s="2"/>
      <c r="Q941" s="2"/>
      <c r="R941" s="2"/>
      <c r="S941" s="2"/>
    </row>
    <row r="942">
      <c r="A942" s="2"/>
      <c r="B942" s="2"/>
      <c r="C942" s="2"/>
      <c r="D942" s="2"/>
      <c r="E942" s="2"/>
      <c r="F942" s="2"/>
      <c r="G942" s="2"/>
      <c r="H942" s="2"/>
      <c r="I942" s="2"/>
      <c r="J942" s="2"/>
      <c r="K942" s="2"/>
      <c r="L942" s="2"/>
      <c r="M942" s="2"/>
      <c r="N942" s="2"/>
      <c r="O942" s="2"/>
      <c r="P942" s="2"/>
      <c r="Q942" s="2"/>
      <c r="R942" s="2"/>
      <c r="S942" s="2"/>
    </row>
    <row r="943">
      <c r="A943" s="2"/>
      <c r="B943" s="2"/>
      <c r="C943" s="2"/>
      <c r="D943" s="2"/>
      <c r="E943" s="2"/>
      <c r="F943" s="2"/>
      <c r="G943" s="2"/>
      <c r="H943" s="2"/>
      <c r="I943" s="2"/>
      <c r="J943" s="2"/>
      <c r="K943" s="2"/>
      <c r="L943" s="2"/>
      <c r="M943" s="2"/>
      <c r="N943" s="2"/>
      <c r="O943" s="2"/>
      <c r="P943" s="2"/>
      <c r="Q943" s="2"/>
      <c r="R943" s="2"/>
      <c r="S943" s="2"/>
    </row>
    <row r="944">
      <c r="A944" s="2"/>
      <c r="B944" s="2"/>
      <c r="C944" s="2"/>
      <c r="D944" s="2"/>
      <c r="E944" s="2"/>
      <c r="F944" s="2"/>
      <c r="G944" s="2"/>
      <c r="H944" s="2"/>
      <c r="I944" s="2"/>
      <c r="J944" s="2"/>
      <c r="K944" s="2"/>
      <c r="L944" s="2"/>
      <c r="M944" s="2"/>
      <c r="N944" s="2"/>
      <c r="O944" s="2"/>
      <c r="P944" s="2"/>
      <c r="Q944" s="2"/>
      <c r="R944" s="2"/>
      <c r="S944" s="2"/>
    </row>
    <row r="945">
      <c r="A945" s="2"/>
      <c r="B945" s="2"/>
      <c r="C945" s="2"/>
      <c r="D945" s="2"/>
      <c r="E945" s="2"/>
      <c r="F945" s="2"/>
      <c r="G945" s="2"/>
      <c r="H945" s="2"/>
      <c r="I945" s="2"/>
      <c r="J945" s="2"/>
      <c r="K945" s="2"/>
      <c r="L945" s="2"/>
      <c r="M945" s="2"/>
      <c r="N945" s="2"/>
      <c r="O945" s="2"/>
      <c r="P945" s="2"/>
      <c r="Q945" s="2"/>
      <c r="R945" s="2"/>
      <c r="S945" s="2"/>
    </row>
    <row r="946">
      <c r="A946" s="2"/>
      <c r="B946" s="2"/>
      <c r="C946" s="2"/>
      <c r="D946" s="2"/>
      <c r="E946" s="2"/>
      <c r="F946" s="2"/>
      <c r="G946" s="2"/>
      <c r="H946" s="2"/>
      <c r="I946" s="2"/>
      <c r="J946" s="2"/>
      <c r="K946" s="2"/>
      <c r="L946" s="2"/>
      <c r="M946" s="2"/>
      <c r="N946" s="2"/>
      <c r="O946" s="2"/>
      <c r="P946" s="2"/>
      <c r="Q946" s="2"/>
      <c r="R946" s="2"/>
      <c r="S946" s="2"/>
    </row>
    <row r="947">
      <c r="A947" s="2"/>
      <c r="B947" s="2"/>
      <c r="C947" s="2"/>
      <c r="D947" s="2"/>
      <c r="E947" s="2"/>
      <c r="F947" s="2"/>
      <c r="G947" s="2"/>
      <c r="H947" s="2"/>
      <c r="I947" s="2"/>
      <c r="J947" s="2"/>
      <c r="K947" s="2"/>
      <c r="L947" s="2"/>
      <c r="M947" s="2"/>
      <c r="N947" s="2"/>
      <c r="O947" s="2"/>
      <c r="P947" s="2"/>
      <c r="Q947" s="2"/>
      <c r="R947" s="2"/>
      <c r="S947" s="2"/>
    </row>
    <row r="948">
      <c r="A948" s="2"/>
      <c r="B948" s="2"/>
      <c r="C948" s="2"/>
      <c r="D948" s="2"/>
      <c r="E948" s="2"/>
      <c r="F948" s="2"/>
      <c r="G948" s="2"/>
      <c r="H948" s="2"/>
      <c r="I948" s="2"/>
      <c r="J948" s="2"/>
      <c r="K948" s="2"/>
      <c r="L948" s="2"/>
      <c r="M948" s="2"/>
      <c r="N948" s="2"/>
      <c r="O948" s="2"/>
      <c r="P948" s="2"/>
      <c r="Q948" s="2"/>
      <c r="R948" s="2"/>
      <c r="S948" s="2"/>
    </row>
    <row r="949">
      <c r="A949" s="2"/>
      <c r="B949" s="2"/>
      <c r="C949" s="2"/>
      <c r="D949" s="2"/>
      <c r="E949" s="2"/>
      <c r="F949" s="2"/>
      <c r="G949" s="2"/>
      <c r="H949" s="2"/>
      <c r="I949" s="2"/>
      <c r="J949" s="2"/>
      <c r="K949" s="2"/>
      <c r="L949" s="2"/>
      <c r="M949" s="2"/>
      <c r="N949" s="2"/>
      <c r="O949" s="2"/>
      <c r="P949" s="2"/>
      <c r="Q949" s="2"/>
      <c r="R949" s="2"/>
      <c r="S949" s="2"/>
    </row>
    <row r="950">
      <c r="A950" s="2"/>
      <c r="B950" s="2"/>
      <c r="C950" s="2"/>
      <c r="D950" s="2"/>
      <c r="E950" s="2"/>
      <c r="F950" s="2"/>
      <c r="G950" s="2"/>
      <c r="H950" s="2"/>
      <c r="I950" s="2"/>
      <c r="J950" s="2"/>
      <c r="K950" s="2"/>
      <c r="L950" s="2"/>
      <c r="M950" s="2"/>
      <c r="N950" s="2"/>
      <c r="O950" s="2"/>
      <c r="P950" s="2"/>
      <c r="Q950" s="2"/>
      <c r="R950" s="2"/>
      <c r="S950" s="2"/>
    </row>
    <row r="951">
      <c r="A951" s="2"/>
      <c r="B951" s="2"/>
      <c r="C951" s="2"/>
      <c r="D951" s="2"/>
      <c r="E951" s="2"/>
      <c r="F951" s="2"/>
      <c r="G951" s="2"/>
      <c r="H951" s="2"/>
      <c r="I951" s="2"/>
      <c r="J951" s="2"/>
      <c r="K951" s="2"/>
      <c r="L951" s="2"/>
      <c r="M951" s="2"/>
      <c r="N951" s="2"/>
      <c r="O951" s="2"/>
      <c r="P951" s="2"/>
      <c r="Q951" s="2"/>
      <c r="R951" s="2"/>
      <c r="S951" s="2"/>
    </row>
    <row r="952">
      <c r="A952" s="2"/>
      <c r="B952" s="2"/>
      <c r="C952" s="2"/>
      <c r="D952" s="2"/>
      <c r="E952" s="2"/>
      <c r="F952" s="2"/>
      <c r="G952" s="2"/>
      <c r="H952" s="2"/>
      <c r="I952" s="2"/>
      <c r="J952" s="2"/>
      <c r="K952" s="2"/>
      <c r="L952" s="2"/>
      <c r="M952" s="2"/>
      <c r="N952" s="2"/>
      <c r="O952" s="2"/>
      <c r="P952" s="2"/>
      <c r="Q952" s="2"/>
      <c r="R952" s="2"/>
      <c r="S952" s="2"/>
    </row>
    <row r="953">
      <c r="A953" s="2"/>
      <c r="B953" s="2"/>
      <c r="C953" s="2"/>
      <c r="D953" s="2"/>
      <c r="E953" s="2"/>
      <c r="F953" s="2"/>
      <c r="G953" s="2"/>
      <c r="H953" s="2"/>
      <c r="I953" s="2"/>
      <c r="J953" s="2"/>
      <c r="K953" s="2"/>
      <c r="L953" s="2"/>
      <c r="M953" s="2"/>
      <c r="N953" s="2"/>
      <c r="O953" s="2"/>
      <c r="P953" s="2"/>
      <c r="Q953" s="2"/>
      <c r="R953" s="2"/>
      <c r="S953" s="2"/>
    </row>
    <row r="954">
      <c r="A954" s="2"/>
      <c r="B954" s="2"/>
      <c r="C954" s="2"/>
      <c r="D954" s="2"/>
      <c r="E954" s="2"/>
      <c r="F954" s="2"/>
      <c r="G954" s="2"/>
      <c r="H954" s="2"/>
      <c r="I954" s="2"/>
      <c r="J954" s="2"/>
      <c r="K954" s="2"/>
      <c r="L954" s="2"/>
      <c r="M954" s="2"/>
      <c r="N954" s="2"/>
      <c r="O954" s="2"/>
      <c r="P954" s="2"/>
      <c r="Q954" s="2"/>
      <c r="R954" s="2"/>
      <c r="S954" s="2"/>
    </row>
    <row r="955">
      <c r="A955" s="2"/>
      <c r="B955" s="2"/>
      <c r="C955" s="2"/>
      <c r="D955" s="2"/>
      <c r="E955" s="2"/>
      <c r="F955" s="2"/>
      <c r="G955" s="2"/>
      <c r="H955" s="2"/>
      <c r="I955" s="2"/>
      <c r="J955" s="2"/>
      <c r="K955" s="2"/>
      <c r="L955" s="2"/>
      <c r="M955" s="2"/>
      <c r="N955" s="2"/>
      <c r="O955" s="2"/>
      <c r="P955" s="2"/>
      <c r="Q955" s="2"/>
      <c r="R955" s="2"/>
      <c r="S955" s="2"/>
    </row>
    <row r="956">
      <c r="A956" s="2"/>
      <c r="B956" s="2"/>
      <c r="C956" s="2"/>
      <c r="D956" s="2"/>
      <c r="E956" s="2"/>
      <c r="F956" s="2"/>
      <c r="G956" s="2"/>
      <c r="H956" s="2"/>
      <c r="I956" s="2"/>
      <c r="J956" s="2"/>
      <c r="K956" s="2"/>
      <c r="L956" s="2"/>
      <c r="M956" s="2"/>
      <c r="N956" s="2"/>
      <c r="O956" s="2"/>
      <c r="P956" s="2"/>
      <c r="Q956" s="2"/>
      <c r="R956" s="2"/>
      <c r="S956" s="2"/>
    </row>
    <row r="957">
      <c r="A957" s="2"/>
      <c r="B957" s="2"/>
      <c r="C957" s="2"/>
      <c r="D957" s="2"/>
      <c r="E957" s="2"/>
      <c r="F957" s="2"/>
      <c r="G957" s="2"/>
      <c r="H957" s="2"/>
      <c r="I957" s="2"/>
      <c r="J957" s="2"/>
      <c r="K957" s="2"/>
      <c r="L957" s="2"/>
      <c r="M957" s="2"/>
      <c r="N957" s="2"/>
      <c r="O957" s="2"/>
      <c r="P957" s="2"/>
      <c r="Q957" s="2"/>
      <c r="R957" s="2"/>
      <c r="S957" s="2"/>
    </row>
    <row r="958">
      <c r="A958" s="2"/>
      <c r="B958" s="2"/>
      <c r="C958" s="2"/>
      <c r="D958" s="2"/>
      <c r="E958" s="2"/>
      <c r="F958" s="2"/>
      <c r="G958" s="2"/>
      <c r="H958" s="2"/>
      <c r="I958" s="2"/>
      <c r="J958" s="2"/>
      <c r="K958" s="2"/>
      <c r="L958" s="2"/>
      <c r="M958" s="2"/>
      <c r="N958" s="2"/>
      <c r="O958" s="2"/>
      <c r="P958" s="2"/>
      <c r="Q958" s="2"/>
      <c r="R958" s="2"/>
      <c r="S958" s="2"/>
    </row>
    <row r="959">
      <c r="A959" s="2"/>
      <c r="B959" s="2"/>
      <c r="C959" s="2"/>
      <c r="D959" s="2"/>
      <c r="E959" s="2"/>
      <c r="F959" s="2"/>
      <c r="G959" s="2"/>
      <c r="H959" s="2"/>
      <c r="I959" s="2"/>
      <c r="J959" s="2"/>
      <c r="K959" s="2"/>
      <c r="L959" s="2"/>
      <c r="M959" s="2"/>
      <c r="N959" s="2"/>
      <c r="O959" s="2"/>
      <c r="P959" s="2"/>
      <c r="Q959" s="2"/>
      <c r="R959" s="2"/>
      <c r="S959" s="2"/>
    </row>
    <row r="960">
      <c r="A960" s="2"/>
      <c r="B960" s="2"/>
      <c r="C960" s="2"/>
      <c r="D960" s="2"/>
      <c r="E960" s="2"/>
      <c r="F960" s="2"/>
      <c r="G960" s="2"/>
      <c r="H960" s="2"/>
      <c r="I960" s="2"/>
      <c r="J960" s="2"/>
      <c r="K960" s="2"/>
      <c r="L960" s="2"/>
      <c r="M960" s="2"/>
      <c r="N960" s="2"/>
      <c r="O960" s="2"/>
      <c r="P960" s="2"/>
      <c r="Q960" s="2"/>
      <c r="R960" s="2"/>
      <c r="S960" s="2"/>
    </row>
    <row r="961">
      <c r="A961" s="2"/>
      <c r="B961" s="2"/>
      <c r="C961" s="2"/>
      <c r="D961" s="2"/>
      <c r="E961" s="2"/>
      <c r="F961" s="2"/>
      <c r="G961" s="2"/>
      <c r="H961" s="2"/>
      <c r="I961" s="2"/>
      <c r="J961" s="2"/>
      <c r="K961" s="2"/>
      <c r="L961" s="2"/>
      <c r="M961" s="2"/>
      <c r="N961" s="2"/>
      <c r="O961" s="2"/>
      <c r="P961" s="2"/>
      <c r="Q961" s="2"/>
      <c r="R961" s="2"/>
      <c r="S961" s="2"/>
    </row>
    <row r="962">
      <c r="A962" s="2"/>
      <c r="B962" s="2"/>
      <c r="C962" s="2"/>
      <c r="D962" s="2"/>
      <c r="E962" s="2"/>
      <c r="F962" s="2"/>
      <c r="G962" s="2"/>
      <c r="H962" s="2"/>
      <c r="I962" s="2"/>
      <c r="J962" s="2"/>
      <c r="K962" s="2"/>
      <c r="L962" s="2"/>
      <c r="M962" s="2"/>
      <c r="N962" s="2"/>
      <c r="O962" s="2"/>
      <c r="P962" s="2"/>
      <c r="Q962" s="2"/>
      <c r="R962" s="2"/>
      <c r="S962" s="2"/>
    </row>
    <row r="963">
      <c r="A963" s="2"/>
      <c r="B963" s="2"/>
      <c r="C963" s="2"/>
      <c r="D963" s="2"/>
      <c r="E963" s="2"/>
      <c r="F963" s="2"/>
      <c r="G963" s="2"/>
      <c r="H963" s="2"/>
      <c r="I963" s="2"/>
      <c r="J963" s="2"/>
      <c r="K963" s="2"/>
      <c r="L963" s="2"/>
      <c r="M963" s="2"/>
      <c r="N963" s="2"/>
      <c r="O963" s="2"/>
      <c r="P963" s="2"/>
      <c r="Q963" s="2"/>
      <c r="R963" s="2"/>
      <c r="S963" s="2"/>
    </row>
    <row r="964">
      <c r="A964" s="2"/>
      <c r="B964" s="2"/>
      <c r="C964" s="2"/>
      <c r="D964" s="2"/>
      <c r="E964" s="2"/>
      <c r="F964" s="2"/>
      <c r="G964" s="2"/>
      <c r="H964" s="2"/>
      <c r="I964" s="2"/>
      <c r="J964" s="2"/>
      <c r="K964" s="2"/>
      <c r="L964" s="2"/>
      <c r="M964" s="2"/>
      <c r="N964" s="2"/>
      <c r="O964" s="2"/>
      <c r="P964" s="2"/>
      <c r="Q964" s="2"/>
      <c r="R964" s="2"/>
      <c r="S964" s="2"/>
    </row>
    <row r="965">
      <c r="A965" s="2"/>
      <c r="B965" s="2"/>
      <c r="C965" s="2"/>
      <c r="D965" s="2"/>
      <c r="E965" s="2"/>
      <c r="F965" s="2"/>
      <c r="G965" s="2"/>
      <c r="H965" s="2"/>
      <c r="I965" s="2"/>
      <c r="J965" s="2"/>
      <c r="K965" s="2"/>
      <c r="L965" s="2"/>
      <c r="M965" s="2"/>
      <c r="N965" s="2"/>
      <c r="O965" s="2"/>
      <c r="P965" s="2"/>
      <c r="Q965" s="2"/>
      <c r="R965" s="2"/>
      <c r="S965" s="2"/>
    </row>
    <row r="966">
      <c r="A966" s="2"/>
      <c r="B966" s="2"/>
      <c r="C966" s="2"/>
      <c r="D966" s="2"/>
      <c r="E966" s="2"/>
      <c r="F966" s="2"/>
      <c r="G966" s="2"/>
      <c r="H966" s="2"/>
      <c r="I966" s="2"/>
      <c r="J966" s="2"/>
      <c r="K966" s="2"/>
      <c r="L966" s="2"/>
      <c r="M966" s="2"/>
      <c r="N966" s="2"/>
      <c r="O966" s="2"/>
      <c r="P966" s="2"/>
      <c r="Q966" s="2"/>
      <c r="R966" s="2"/>
      <c r="S966" s="2"/>
    </row>
    <row r="967">
      <c r="A967" s="2"/>
      <c r="B967" s="2"/>
      <c r="C967" s="2"/>
      <c r="D967" s="2"/>
      <c r="E967" s="2"/>
      <c r="F967" s="2"/>
      <c r="G967" s="2"/>
      <c r="H967" s="2"/>
      <c r="I967" s="2"/>
      <c r="J967" s="2"/>
      <c r="K967" s="2"/>
      <c r="L967" s="2"/>
      <c r="M967" s="2"/>
      <c r="N967" s="2"/>
      <c r="O967" s="2"/>
      <c r="P967" s="2"/>
      <c r="Q967" s="2"/>
      <c r="R967" s="2"/>
      <c r="S967" s="2"/>
    </row>
    <row r="968">
      <c r="A968" s="2"/>
      <c r="B968" s="2"/>
      <c r="C968" s="2"/>
      <c r="D968" s="2"/>
      <c r="E968" s="2"/>
      <c r="F968" s="2"/>
      <c r="G968" s="2"/>
      <c r="H968" s="2"/>
      <c r="I968" s="2"/>
      <c r="J968" s="2"/>
      <c r="K968" s="2"/>
      <c r="L968" s="2"/>
      <c r="M968" s="2"/>
      <c r="N968" s="2"/>
      <c r="O968" s="2"/>
      <c r="P968" s="2"/>
      <c r="Q968" s="2"/>
      <c r="R968" s="2"/>
      <c r="S968" s="2"/>
    </row>
    <row r="969">
      <c r="A969" s="2"/>
      <c r="B969" s="2"/>
      <c r="C969" s="2"/>
      <c r="D969" s="2"/>
      <c r="E969" s="2"/>
      <c r="F969" s="2"/>
      <c r="G969" s="2"/>
      <c r="H969" s="2"/>
      <c r="I969" s="2"/>
      <c r="J969" s="2"/>
      <c r="K969" s="2"/>
      <c r="L969" s="2"/>
      <c r="M969" s="2"/>
      <c r="N969" s="2"/>
      <c r="O969" s="2"/>
      <c r="P969" s="2"/>
      <c r="Q969" s="2"/>
      <c r="R969" s="2"/>
      <c r="S969" s="2"/>
    </row>
    <row r="970">
      <c r="A970" s="2"/>
      <c r="B970" s="2"/>
      <c r="C970" s="2"/>
      <c r="D970" s="2"/>
      <c r="E970" s="2"/>
      <c r="F970" s="2"/>
      <c r="G970" s="2"/>
      <c r="H970" s="2"/>
      <c r="I970" s="2"/>
      <c r="J970" s="2"/>
      <c r="K970" s="2"/>
      <c r="L970" s="2"/>
      <c r="M970" s="2"/>
      <c r="N970" s="2"/>
      <c r="O970" s="2"/>
      <c r="P970" s="2"/>
      <c r="Q970" s="2"/>
      <c r="R970" s="2"/>
      <c r="S970" s="2"/>
    </row>
    <row r="971">
      <c r="A971" s="2"/>
      <c r="B971" s="2"/>
      <c r="C971" s="2"/>
      <c r="D971" s="2"/>
      <c r="E971" s="2"/>
      <c r="F971" s="2"/>
      <c r="G971" s="2"/>
      <c r="H971" s="2"/>
      <c r="I971" s="2"/>
      <c r="J971" s="2"/>
      <c r="K971" s="2"/>
      <c r="L971" s="2"/>
      <c r="M971" s="2"/>
      <c r="N971" s="2"/>
      <c r="O971" s="2"/>
      <c r="P971" s="2"/>
      <c r="Q971" s="2"/>
      <c r="R971" s="2"/>
      <c r="S971" s="2"/>
    </row>
    <row r="972">
      <c r="A972" s="2"/>
      <c r="B972" s="2"/>
      <c r="C972" s="2"/>
      <c r="D972" s="2"/>
      <c r="E972" s="2"/>
      <c r="F972" s="2"/>
      <c r="G972" s="2"/>
      <c r="H972" s="2"/>
      <c r="I972" s="2"/>
      <c r="J972" s="2"/>
      <c r="K972" s="2"/>
      <c r="L972" s="2"/>
      <c r="M972" s="2"/>
      <c r="N972" s="2"/>
      <c r="O972" s="2"/>
      <c r="P972" s="2"/>
      <c r="Q972" s="2"/>
      <c r="R972" s="2"/>
      <c r="S972" s="2"/>
    </row>
    <row r="973">
      <c r="A973" s="2"/>
      <c r="B973" s="2"/>
      <c r="C973" s="2"/>
      <c r="D973" s="2"/>
      <c r="E973" s="2"/>
      <c r="F973" s="2"/>
      <c r="G973" s="2"/>
      <c r="H973" s="2"/>
      <c r="I973" s="2"/>
      <c r="J973" s="2"/>
      <c r="K973" s="2"/>
      <c r="L973" s="2"/>
      <c r="M973" s="2"/>
      <c r="N973" s="2"/>
      <c r="O973" s="2"/>
      <c r="P973" s="2"/>
      <c r="Q973" s="2"/>
      <c r="R973" s="2"/>
      <c r="S973" s="2"/>
    </row>
    <row r="974">
      <c r="A974" s="2"/>
      <c r="B974" s="2"/>
      <c r="C974" s="2"/>
      <c r="D974" s="2"/>
      <c r="E974" s="2"/>
      <c r="F974" s="2"/>
      <c r="G974" s="2"/>
      <c r="H974" s="2"/>
      <c r="I974" s="2"/>
      <c r="J974" s="2"/>
      <c r="K974" s="2"/>
      <c r="L974" s="2"/>
      <c r="M974" s="2"/>
      <c r="N974" s="2"/>
      <c r="O974" s="2"/>
      <c r="P974" s="2"/>
      <c r="Q974" s="2"/>
      <c r="R974" s="2"/>
      <c r="S974" s="2"/>
    </row>
    <row r="975">
      <c r="A975" s="2"/>
      <c r="B975" s="2"/>
      <c r="C975" s="2"/>
      <c r="D975" s="2"/>
      <c r="E975" s="2"/>
      <c r="F975" s="2"/>
      <c r="G975" s="2"/>
      <c r="H975" s="2"/>
      <c r="I975" s="2"/>
      <c r="J975" s="2"/>
      <c r="K975" s="2"/>
      <c r="L975" s="2"/>
      <c r="M975" s="2"/>
      <c r="N975" s="2"/>
      <c r="O975" s="2"/>
      <c r="P975" s="2"/>
      <c r="Q975" s="2"/>
      <c r="R975" s="2"/>
      <c r="S975" s="2"/>
    </row>
    <row r="976">
      <c r="A976" s="2"/>
      <c r="B976" s="2"/>
      <c r="C976" s="2"/>
      <c r="D976" s="2"/>
      <c r="E976" s="2"/>
      <c r="F976" s="2"/>
      <c r="G976" s="2"/>
      <c r="H976" s="2"/>
      <c r="I976" s="2"/>
      <c r="J976" s="2"/>
      <c r="K976" s="2"/>
      <c r="L976" s="2"/>
      <c r="M976" s="2"/>
      <c r="N976" s="2"/>
      <c r="O976" s="2"/>
      <c r="P976" s="2"/>
      <c r="Q976" s="2"/>
      <c r="R976" s="2"/>
      <c r="S976" s="2"/>
    </row>
    <row r="977">
      <c r="A977" s="2"/>
      <c r="B977" s="2"/>
      <c r="C977" s="2"/>
      <c r="D977" s="2"/>
      <c r="E977" s="2"/>
      <c r="F977" s="2"/>
      <c r="G977" s="2"/>
      <c r="H977" s="2"/>
      <c r="I977" s="2"/>
      <c r="J977" s="2"/>
      <c r="K977" s="2"/>
      <c r="L977" s="2"/>
      <c r="M977" s="2"/>
      <c r="N977" s="2"/>
      <c r="O977" s="2"/>
      <c r="P977" s="2"/>
      <c r="Q977" s="2"/>
      <c r="R977" s="2"/>
      <c r="S977" s="2"/>
    </row>
    <row r="978">
      <c r="A978" s="2"/>
      <c r="B978" s="2"/>
      <c r="C978" s="2"/>
      <c r="D978" s="2"/>
      <c r="E978" s="2"/>
      <c r="F978" s="2"/>
      <c r="G978" s="2"/>
      <c r="H978" s="2"/>
      <c r="I978" s="2"/>
      <c r="J978" s="2"/>
      <c r="K978" s="2"/>
      <c r="L978" s="2"/>
      <c r="M978" s="2"/>
      <c r="N978" s="2"/>
      <c r="O978" s="2"/>
      <c r="P978" s="2"/>
      <c r="Q978" s="2"/>
      <c r="R978" s="2"/>
      <c r="S978" s="2"/>
    </row>
    <row r="979">
      <c r="A979" s="2"/>
      <c r="B979" s="2"/>
      <c r="C979" s="2"/>
      <c r="D979" s="2"/>
      <c r="E979" s="2"/>
      <c r="F979" s="2"/>
      <c r="G979" s="2"/>
      <c r="H979" s="2"/>
      <c r="I979" s="2"/>
      <c r="J979" s="2"/>
      <c r="K979" s="2"/>
      <c r="L979" s="2"/>
      <c r="M979" s="2"/>
      <c r="N979" s="2"/>
      <c r="O979" s="2"/>
      <c r="P979" s="2"/>
      <c r="Q979" s="2"/>
      <c r="R979" s="2"/>
      <c r="S979" s="2"/>
    </row>
    <row r="980">
      <c r="A980" s="2"/>
      <c r="B980" s="2"/>
      <c r="C980" s="2"/>
      <c r="D980" s="2"/>
      <c r="E980" s="2"/>
      <c r="F980" s="2"/>
      <c r="G980" s="2"/>
      <c r="H980" s="2"/>
      <c r="I980" s="2"/>
      <c r="J980" s="2"/>
      <c r="K980" s="2"/>
      <c r="L980" s="2"/>
      <c r="M980" s="2"/>
      <c r="N980" s="2"/>
      <c r="O980" s="2"/>
      <c r="P980" s="2"/>
      <c r="Q980" s="2"/>
      <c r="R980" s="2"/>
      <c r="S980" s="2"/>
    </row>
    <row r="981">
      <c r="A981" s="2"/>
      <c r="B981" s="2"/>
      <c r="C981" s="2"/>
      <c r="D981" s="2"/>
      <c r="E981" s="2"/>
      <c r="F981" s="2"/>
      <c r="G981" s="2"/>
      <c r="H981" s="2"/>
      <c r="I981" s="2"/>
      <c r="J981" s="2"/>
      <c r="K981" s="2"/>
      <c r="L981" s="2"/>
      <c r="M981" s="2"/>
      <c r="N981" s="2"/>
      <c r="O981" s="2"/>
      <c r="P981" s="2"/>
      <c r="Q981" s="2"/>
      <c r="R981" s="2"/>
      <c r="S981" s="2"/>
    </row>
    <row r="982">
      <c r="A982" s="2"/>
      <c r="B982" s="2"/>
      <c r="C982" s="2"/>
      <c r="D982" s="2"/>
      <c r="E982" s="2"/>
      <c r="F982" s="2"/>
      <c r="G982" s="2"/>
      <c r="H982" s="2"/>
      <c r="I982" s="2"/>
      <c r="J982" s="2"/>
      <c r="K982" s="2"/>
      <c r="L982" s="2"/>
      <c r="M982" s="2"/>
      <c r="N982" s="2"/>
      <c r="O982" s="2"/>
      <c r="P982" s="2"/>
      <c r="Q982" s="2"/>
      <c r="R982" s="2"/>
      <c r="S982" s="2"/>
    </row>
    <row r="983">
      <c r="A983" s="2"/>
      <c r="B983" s="2"/>
      <c r="C983" s="2"/>
      <c r="D983" s="2"/>
      <c r="E983" s="2"/>
      <c r="F983" s="2"/>
      <c r="G983" s="2"/>
      <c r="H983" s="2"/>
      <c r="I983" s="2"/>
      <c r="J983" s="2"/>
      <c r="K983" s="2"/>
      <c r="L983" s="2"/>
      <c r="M983" s="2"/>
      <c r="N983" s="2"/>
      <c r="O983" s="2"/>
      <c r="P983" s="2"/>
      <c r="Q983" s="2"/>
      <c r="R983" s="2"/>
      <c r="S983" s="2"/>
    </row>
    <row r="984">
      <c r="A984" s="2"/>
      <c r="B984" s="2"/>
      <c r="C984" s="2"/>
      <c r="D984" s="2"/>
      <c r="E984" s="2"/>
      <c r="F984" s="2"/>
      <c r="G984" s="2"/>
      <c r="H984" s="2"/>
      <c r="I984" s="2"/>
      <c r="J984" s="2"/>
      <c r="K984" s="2"/>
      <c r="L984" s="2"/>
      <c r="M984" s="2"/>
      <c r="N984" s="2"/>
      <c r="O984" s="2"/>
      <c r="P984" s="2"/>
      <c r="Q984" s="2"/>
      <c r="R984" s="2"/>
      <c r="S984" s="2"/>
    </row>
    <row r="985">
      <c r="A985" s="2"/>
      <c r="B985" s="2"/>
      <c r="C985" s="2"/>
      <c r="D985" s="2"/>
      <c r="E985" s="2"/>
      <c r="F985" s="2"/>
      <c r="G985" s="2"/>
      <c r="H985" s="2"/>
      <c r="I985" s="2"/>
      <c r="J985" s="2"/>
      <c r="K985" s="2"/>
      <c r="L985" s="2"/>
      <c r="M985" s="2"/>
      <c r="N985" s="2"/>
      <c r="O985" s="2"/>
      <c r="P985" s="2"/>
      <c r="Q985" s="2"/>
      <c r="R985" s="2"/>
      <c r="S985" s="2"/>
    </row>
    <row r="986">
      <c r="A986" s="2"/>
      <c r="B986" s="2"/>
      <c r="C986" s="2"/>
      <c r="D986" s="2"/>
      <c r="E986" s="2"/>
      <c r="F986" s="2"/>
      <c r="G986" s="2"/>
      <c r="H986" s="2"/>
      <c r="I986" s="2"/>
      <c r="J986" s="2"/>
      <c r="K986" s="2"/>
      <c r="L986" s="2"/>
      <c r="M986" s="2"/>
      <c r="N986" s="2"/>
      <c r="O986" s="2"/>
      <c r="P986" s="2"/>
      <c r="Q986" s="2"/>
      <c r="R986" s="2"/>
      <c r="S986" s="2"/>
    </row>
    <row r="987">
      <c r="A987" s="2"/>
      <c r="B987" s="2"/>
      <c r="C987" s="2"/>
      <c r="D987" s="2"/>
      <c r="E987" s="2"/>
      <c r="F987" s="2"/>
      <c r="G987" s="2"/>
      <c r="H987" s="2"/>
      <c r="I987" s="2"/>
      <c r="J987" s="2"/>
      <c r="K987" s="2"/>
      <c r="L987" s="2"/>
      <c r="M987" s="2"/>
      <c r="N987" s="2"/>
      <c r="O987" s="2"/>
      <c r="P987" s="2"/>
      <c r="Q987" s="2"/>
      <c r="R987" s="2"/>
      <c r="S987" s="2"/>
    </row>
    <row r="988">
      <c r="A988" s="2"/>
      <c r="B988" s="2"/>
      <c r="C988" s="2"/>
      <c r="D988" s="2"/>
      <c r="E988" s="2"/>
      <c r="F988" s="2"/>
      <c r="G988" s="2"/>
      <c r="H988" s="2"/>
      <c r="I988" s="2"/>
      <c r="J988" s="2"/>
      <c r="K988" s="2"/>
      <c r="L988" s="2"/>
      <c r="M988" s="2"/>
      <c r="N988" s="2"/>
      <c r="O988" s="2"/>
      <c r="P988" s="2"/>
      <c r="Q988" s="2"/>
      <c r="R988" s="2"/>
      <c r="S988" s="2"/>
    </row>
    <row r="989">
      <c r="A989" s="2"/>
      <c r="B989" s="2"/>
      <c r="C989" s="2"/>
      <c r="D989" s="2"/>
      <c r="E989" s="2"/>
      <c r="F989" s="2"/>
      <c r="G989" s="2"/>
      <c r="H989" s="2"/>
      <c r="I989" s="2"/>
      <c r="J989" s="2"/>
      <c r="K989" s="2"/>
      <c r="L989" s="2"/>
      <c r="M989" s="2"/>
      <c r="N989" s="2"/>
      <c r="O989" s="2"/>
      <c r="P989" s="2"/>
      <c r="Q989" s="2"/>
      <c r="R989" s="2"/>
      <c r="S989" s="2"/>
    </row>
    <row r="990">
      <c r="A990" s="2"/>
      <c r="B990" s="2"/>
      <c r="C990" s="2"/>
      <c r="D990" s="2"/>
      <c r="E990" s="2"/>
      <c r="F990" s="2"/>
      <c r="G990" s="2"/>
      <c r="H990" s="2"/>
      <c r="I990" s="2"/>
      <c r="J990" s="2"/>
      <c r="K990" s="2"/>
      <c r="L990" s="2"/>
      <c r="M990" s="2"/>
      <c r="N990" s="2"/>
      <c r="O990" s="2"/>
      <c r="P990" s="2"/>
      <c r="Q990" s="2"/>
      <c r="R990" s="2"/>
      <c r="S990" s="2"/>
    </row>
    <row r="991">
      <c r="A991" s="2"/>
      <c r="B991" s="2"/>
      <c r="C991" s="2"/>
      <c r="D991" s="2"/>
      <c r="E991" s="2"/>
      <c r="F991" s="2"/>
      <c r="G991" s="2"/>
      <c r="H991" s="2"/>
      <c r="I991" s="2"/>
      <c r="J991" s="2"/>
      <c r="K991" s="2"/>
      <c r="L991" s="2"/>
      <c r="M991" s="2"/>
      <c r="N991" s="2"/>
      <c r="O991" s="2"/>
      <c r="P991" s="2"/>
      <c r="Q991" s="2"/>
      <c r="R991" s="2"/>
      <c r="S991" s="2"/>
    </row>
    <row r="992">
      <c r="A992" s="2"/>
      <c r="B992" s="2"/>
      <c r="C992" s="2"/>
      <c r="D992" s="2"/>
      <c r="E992" s="2"/>
      <c r="F992" s="2"/>
      <c r="G992" s="2"/>
      <c r="H992" s="2"/>
      <c r="I992" s="2"/>
      <c r="J992" s="2"/>
      <c r="K992" s="2"/>
      <c r="L992" s="2"/>
      <c r="M992" s="2"/>
      <c r="N992" s="2"/>
      <c r="O992" s="2"/>
      <c r="P992" s="2"/>
      <c r="Q992" s="2"/>
      <c r="R992" s="2"/>
      <c r="S992" s="2"/>
    </row>
    <row r="993">
      <c r="A993" s="2"/>
      <c r="B993" s="2"/>
      <c r="C993" s="2"/>
      <c r="D993" s="2"/>
      <c r="E993" s="2"/>
      <c r="F993" s="2"/>
      <c r="G993" s="2"/>
      <c r="H993" s="2"/>
      <c r="I993" s="2"/>
      <c r="J993" s="2"/>
      <c r="K993" s="2"/>
      <c r="L993" s="2"/>
      <c r="M993" s="2"/>
      <c r="N993" s="2"/>
      <c r="O993" s="2"/>
      <c r="P993" s="2"/>
      <c r="Q993" s="2"/>
      <c r="R993" s="2"/>
      <c r="S993" s="2"/>
    </row>
    <row r="994">
      <c r="A994" s="2"/>
      <c r="B994" s="2"/>
      <c r="C994" s="2"/>
      <c r="D994" s="2"/>
      <c r="E994" s="2"/>
      <c r="F994" s="2"/>
      <c r="G994" s="2"/>
      <c r="H994" s="2"/>
      <c r="I994" s="2"/>
      <c r="J994" s="2"/>
      <c r="K994" s="2"/>
      <c r="L994" s="2"/>
      <c r="M994" s="2"/>
      <c r="N994" s="2"/>
      <c r="O994" s="2"/>
      <c r="P994" s="2"/>
      <c r="Q994" s="2"/>
      <c r="R994" s="2"/>
      <c r="S994" s="2"/>
    </row>
    <row r="995">
      <c r="A995" s="2"/>
      <c r="B995" s="2"/>
      <c r="C995" s="2"/>
      <c r="D995" s="2"/>
      <c r="E995" s="2"/>
      <c r="F995" s="2"/>
      <c r="G995" s="2"/>
      <c r="H995" s="2"/>
      <c r="I995" s="2"/>
      <c r="J995" s="2"/>
      <c r="K995" s="2"/>
      <c r="L995" s="2"/>
      <c r="M995" s="2"/>
      <c r="N995" s="2"/>
      <c r="O995" s="2"/>
      <c r="P995" s="2"/>
      <c r="Q995" s="2"/>
      <c r="R995" s="2"/>
      <c r="S995" s="2"/>
    </row>
    <row r="996">
      <c r="A996" s="2"/>
      <c r="B996" s="2"/>
      <c r="C996" s="2"/>
      <c r="D996" s="2"/>
      <c r="E996" s="2"/>
      <c r="F996" s="2"/>
      <c r="G996" s="2"/>
      <c r="H996" s="2"/>
      <c r="I996" s="2"/>
      <c r="J996" s="2"/>
      <c r="K996" s="2"/>
      <c r="L996" s="2"/>
      <c r="M996" s="2"/>
      <c r="N996" s="2"/>
      <c r="O996" s="2"/>
      <c r="P996" s="2"/>
      <c r="Q996" s="2"/>
      <c r="R996" s="2"/>
      <c r="S996" s="2"/>
    </row>
    <row r="997">
      <c r="A997" s="2"/>
      <c r="B997" s="2"/>
      <c r="C997" s="2"/>
      <c r="D997" s="2"/>
      <c r="E997" s="2"/>
      <c r="F997" s="2"/>
      <c r="G997" s="2"/>
      <c r="H997" s="2"/>
      <c r="I997" s="2"/>
      <c r="J997" s="2"/>
      <c r="K997" s="2"/>
      <c r="L997" s="2"/>
      <c r="M997" s="2"/>
      <c r="N997" s="2"/>
      <c r="O997" s="2"/>
      <c r="P997" s="2"/>
      <c r="Q997" s="2"/>
      <c r="R997" s="2"/>
      <c r="S997" s="2"/>
    </row>
    <row r="998">
      <c r="A998" s="2"/>
      <c r="B998" s="2"/>
      <c r="C998" s="2"/>
      <c r="D998" s="2"/>
      <c r="E998" s="2"/>
      <c r="F998" s="2"/>
      <c r="G998" s="2"/>
      <c r="H998" s="2"/>
      <c r="I998" s="2"/>
      <c r="J998" s="2"/>
      <c r="K998" s="2"/>
      <c r="L998" s="2"/>
      <c r="M998" s="2"/>
      <c r="N998" s="2"/>
      <c r="O998" s="2"/>
      <c r="P998" s="2"/>
      <c r="Q998" s="2"/>
      <c r="R998" s="2"/>
      <c r="S998" s="2"/>
    </row>
    <row r="999">
      <c r="A999" s="2"/>
      <c r="B999" s="2"/>
      <c r="C999" s="2"/>
      <c r="D999" s="2"/>
      <c r="E999" s="2"/>
      <c r="F999" s="2"/>
      <c r="G999" s="2"/>
      <c r="H999" s="2"/>
      <c r="I999" s="2"/>
      <c r="J999" s="2"/>
      <c r="K999" s="2"/>
      <c r="L999" s="2"/>
      <c r="M999" s="2"/>
      <c r="N999" s="2"/>
      <c r="O999" s="2"/>
      <c r="P999" s="2"/>
      <c r="Q999" s="2"/>
      <c r="R999" s="2"/>
      <c r="S999" s="2"/>
    </row>
    <row r="1000">
      <c r="A1000" s="2"/>
      <c r="B1000" s="2"/>
      <c r="C1000" s="2"/>
      <c r="D1000" s="2"/>
      <c r="E1000" s="2"/>
      <c r="F1000" s="2"/>
      <c r="G1000" s="2"/>
      <c r="H1000" s="2"/>
      <c r="I1000" s="2"/>
      <c r="J1000" s="2"/>
      <c r="K1000" s="2"/>
      <c r="L1000" s="2"/>
      <c r="M1000" s="2"/>
      <c r="N1000" s="2"/>
      <c r="O1000" s="2"/>
      <c r="P1000" s="2"/>
      <c r="Q1000" s="2"/>
      <c r="R1000" s="2"/>
      <c r="S1000" s="2"/>
    </row>
  </sheetData>
  <drawing r:id="rId1"/>
  <tableParts count="2">
    <tablePart r:id="rId4"/>
    <tablePart r:id="rId5"/>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ht="22.5" customHeight="1">
      <c r="A1" s="1" t="s">
        <v>0</v>
      </c>
      <c r="B1" s="1" t="s">
        <v>1</v>
      </c>
      <c r="C1" s="1" t="s">
        <v>2</v>
      </c>
      <c r="D1" s="1" t="s">
        <v>3</v>
      </c>
      <c r="E1" s="1" t="s">
        <v>577</v>
      </c>
      <c r="F1" s="2"/>
      <c r="G1" s="1" t="s">
        <v>0</v>
      </c>
      <c r="H1" s="1" t="s">
        <v>5</v>
      </c>
      <c r="I1" s="1" t="s">
        <v>6</v>
      </c>
      <c r="J1" s="1" t="s">
        <v>7</v>
      </c>
      <c r="K1" s="1" t="s">
        <v>4</v>
      </c>
      <c r="L1" s="2"/>
      <c r="M1" s="2"/>
      <c r="N1" s="2"/>
      <c r="O1" s="2"/>
      <c r="P1" s="2"/>
      <c r="Q1" s="2"/>
      <c r="R1" s="2"/>
      <c r="S1" s="2"/>
    </row>
    <row r="2" ht="22.5" customHeight="1">
      <c r="A2" s="3">
        <v>1.0</v>
      </c>
      <c r="B2" s="3" t="s">
        <v>2283</v>
      </c>
      <c r="C2" s="3" t="s">
        <v>2284</v>
      </c>
      <c r="D2" s="3">
        <v>7.0</v>
      </c>
      <c r="E2" s="3" t="s">
        <v>2285</v>
      </c>
      <c r="F2" s="2"/>
      <c r="G2" s="3" t="str">
        <f>IFERROR(__xludf.DUMMYFUNCTION("GOOGLETRANSLATE(A2, ""it"", ""en"")"),"1")</f>
        <v>1</v>
      </c>
      <c r="H2" s="3" t="str">
        <f>IFERROR(__xludf.DUMMYFUNCTION("GOOGLETRANSLATE(B2, ""it"", ""en"")"),"How many players are on a water polo team?")</f>
        <v>How many players are on a water polo team?</v>
      </c>
      <c r="I2" s="3" t="str">
        <f>IFERROR(__xludf.DUMMYFUNCTION("GOOGLETRANSLATE(C2, ""it"", ""en"")"),"A. 6 B. 7 C. 11 D. 9")</f>
        <v>A. 6 B. 7 C. 11 D. 9</v>
      </c>
      <c r="J2" s="3" t="str">
        <f>IFERROR(__xludf.DUMMYFUNCTION("GOOGLETRANSLATE(D2, ""it"", ""en"")"),"7")</f>
        <v>7</v>
      </c>
      <c r="K2" s="3" t="str">
        <f>IFERROR(__xludf.DUMMYFUNCTION("GOOGLETRANSLATE(E2, ""it"", ""en"")"),"A water polo team consists of 7 players: 6 field players and 1 goalkeeper.")</f>
        <v>A water polo team consists of 7 players: 6 field players and 1 goalkeeper.</v>
      </c>
      <c r="L2" s="2"/>
      <c r="M2" s="2"/>
      <c r="N2" s="2"/>
      <c r="O2" s="2"/>
      <c r="P2" s="2"/>
      <c r="Q2" s="2"/>
      <c r="R2" s="2"/>
      <c r="S2" s="2"/>
    </row>
    <row r="3" ht="22.5" customHeight="1">
      <c r="A3" s="3">
        <v>2.0</v>
      </c>
      <c r="B3" s="3" t="s">
        <v>2286</v>
      </c>
      <c r="C3" s="3" t="s">
        <v>2287</v>
      </c>
      <c r="D3" s="3" t="s">
        <v>2288</v>
      </c>
      <c r="E3" s="3" t="s">
        <v>2289</v>
      </c>
      <c r="F3" s="2"/>
      <c r="G3" s="3" t="str">
        <f>IFERROR(__xludf.DUMMYFUNCTION("GOOGLETRANSLATE(A3, ""it"", ""en"")"),"2")</f>
        <v>2</v>
      </c>
      <c r="H3" s="3" t="str">
        <f>IFERROR(__xludf.DUMMYFUNCTION("GOOGLETRANSLATE(B3, ""it"", ""en"")"),"How long is a half of a game in a water polo match?")</f>
        <v>How long is a half of a game in a water polo match?</v>
      </c>
      <c r="I3" s="3" t="str">
        <f>IFERROR(__xludf.DUMMYFUNCTION("GOOGLETRANSLATE(C3, ""it"", ""en"")"),"A. 6 minutes B. 8 minutes C. 10 minutes D. 12 minutes")</f>
        <v>A. 6 minutes B. 8 minutes C. 10 minutes D. 12 minutes</v>
      </c>
      <c r="J3" s="3" t="str">
        <f>IFERROR(__xludf.DUMMYFUNCTION("GOOGLETRANSLATE(D3, ""it"", ""en"")"),"8 minutes")</f>
        <v>8 minutes</v>
      </c>
      <c r="K3" s="3" t="str">
        <f>IFERROR(__xludf.DUMMYFUNCTION("GOOGLETRANSLATE(E3, ""it"", ""en"")"),"Each half of a water polo game lasts 8 actual minutes.")</f>
        <v>Each half of a water polo game lasts 8 actual minutes.</v>
      </c>
      <c r="L3" s="2"/>
      <c r="M3" s="2"/>
      <c r="N3" s="2"/>
      <c r="O3" s="2"/>
      <c r="P3" s="2"/>
      <c r="Q3" s="2"/>
      <c r="R3" s="2"/>
      <c r="S3" s="2"/>
    </row>
    <row r="4" ht="22.5" customHeight="1">
      <c r="A4" s="3">
        <v>3.0</v>
      </c>
      <c r="B4" s="3" t="s">
        <v>2290</v>
      </c>
      <c r="C4" s="3" t="s">
        <v>2291</v>
      </c>
      <c r="D4" s="3">
        <v>2.0</v>
      </c>
      <c r="E4" s="3" t="s">
        <v>2292</v>
      </c>
      <c r="F4" s="2"/>
      <c r="G4" s="3" t="str">
        <f>IFERROR(__xludf.DUMMYFUNCTION("GOOGLETRANSLATE(A4, ""it"", ""en"")"),"3")</f>
        <v>3</v>
      </c>
      <c r="H4" s="3" t="str">
        <f>IFERROR(__xludf.DUMMYFUNCTION("GOOGLETRANSLATE(B4, ""it"", ""en"")"),"How many time-outs can a team require in a water polo game?")</f>
        <v>How many time-outs can a team require in a water polo game?</v>
      </c>
      <c r="I4" s="3" t="str">
        <f>IFERROR(__xludf.DUMMYFUNCTION("GOOGLETRANSLATE(C4, ""it"", ""en"")"),"A. 2 B. 3 C. 4 D. 1")</f>
        <v>A. 2 B. 3 C. 4 D. 1</v>
      </c>
      <c r="J4" s="3" t="str">
        <f>IFERROR(__xludf.DUMMYFUNCTION("GOOGLETRANSLATE(D4, ""it"", ""en"")"),"2")</f>
        <v>2</v>
      </c>
      <c r="K4" s="3" t="str">
        <f>IFERROR(__xludf.DUMMYFUNCTION("GOOGLETRANSLATE(E4, ""it"", ""en"")"),"Each team may request two time-outs per game.")</f>
        <v>Each team may request two time-outs per game.</v>
      </c>
      <c r="L4" s="2"/>
      <c r="M4" s="2"/>
      <c r="N4" s="2"/>
      <c r="O4" s="2"/>
      <c r="P4" s="2"/>
      <c r="Q4" s="2"/>
      <c r="R4" s="2"/>
      <c r="S4" s="2"/>
    </row>
    <row r="5" ht="22.5" customHeight="1">
      <c r="A5" s="3">
        <v>4.0</v>
      </c>
      <c r="B5" s="3" t="s">
        <v>2293</v>
      </c>
      <c r="C5" s="3" t="s">
        <v>2294</v>
      </c>
      <c r="D5" s="3" t="s">
        <v>2295</v>
      </c>
      <c r="E5" s="3" t="s">
        <v>2296</v>
      </c>
      <c r="F5" s="2"/>
      <c r="G5" s="3" t="str">
        <f>IFERROR(__xludf.DUMMYFUNCTION("GOOGLETRANSLATE(A5, ""it"", ""en"")"),"4")</f>
        <v>4</v>
      </c>
      <c r="H5" s="3" t="str">
        <f>IFERROR(__xludf.DUMMYFUNCTION("GOOGLETRANSLATE(B5, ""it"", ""en"")"),"What is the regulation diameter of the ball used in men's water polo?")</f>
        <v>What is the regulation diameter of the ball used in men's water polo?</v>
      </c>
      <c r="I5" s="3" t="str">
        <f>IFERROR(__xludf.DUMMYFUNCTION("GOOGLETRANSLATE(C5, ""it"", ""en"")"),"A. 65-67 cm B. 68-70 cm C. 60-62 cm D. 72-74 cm")</f>
        <v>A. 65-67 cm B. 68-70 cm C. 60-62 cm D. 72-74 cm</v>
      </c>
      <c r="J5" s="3" t="str">
        <f>IFERROR(__xludf.DUMMYFUNCTION("GOOGLETRANSLATE(D5, ""it"", ""en"")"),"68-70 cm")</f>
        <v>68-70 cm</v>
      </c>
      <c r="K5" s="3" t="str">
        <f>IFERROR(__xludf.DUMMYFUNCTION("GOOGLETRANSLATE(E5, ""it"", ""en"")"),"The men's ball has a regulation diameter of 68-70 cm.")</f>
        <v>The men's ball has a regulation diameter of 68-70 cm.</v>
      </c>
      <c r="L5" s="2"/>
      <c r="M5" s="2"/>
      <c r="N5" s="2"/>
      <c r="O5" s="2"/>
      <c r="P5" s="2"/>
      <c r="Q5" s="2"/>
      <c r="R5" s="2"/>
      <c r="S5" s="2"/>
    </row>
    <row r="6" ht="22.5" customHeight="1">
      <c r="A6" s="3">
        <v>5.0</v>
      </c>
      <c r="B6" s="3" t="s">
        <v>2297</v>
      </c>
      <c r="C6" s="3" t="s">
        <v>2291</v>
      </c>
      <c r="D6" s="3">
        <v>3.0</v>
      </c>
      <c r="E6" s="3" t="s">
        <v>2298</v>
      </c>
      <c r="F6" s="2"/>
      <c r="G6" s="3" t="str">
        <f>IFERROR(__xludf.DUMMYFUNCTION("GOOGLETRANSLATE(A6, ""it"", ""en"")"),"5")</f>
        <v>5</v>
      </c>
      <c r="H6" s="3" t="str">
        <f>IFERROR(__xludf.DUMMYFUNCTION("GOOGLETRANSLATE(B6, ""it"", ""en"")"),"How many temporary red cards can a player receive before being suspended?")</f>
        <v>How many temporary red cards can a player receive before being suspended?</v>
      </c>
      <c r="I6" s="3" t="str">
        <f>IFERROR(__xludf.DUMMYFUNCTION("GOOGLETRANSLATE(C6, ""it"", ""en"")"),"A. 2 B. 3 C. 4 D. 1")</f>
        <v>A. 2 B. 3 C. 4 D. 1</v>
      </c>
      <c r="J6" s="3" t="str">
        <f>IFERROR(__xludf.DUMMYFUNCTION("GOOGLETRANSLATE(D6, ""it"", ""en"")"),"3")</f>
        <v>3</v>
      </c>
      <c r="K6" s="3" t="str">
        <f>IFERROR(__xludf.DUMMYFUNCTION("GOOGLETRANSLATE(E6, ""it"", ""en"")"),"A player is suspended after three temporary red cards.")</f>
        <v>A player is suspended after three temporary red cards.</v>
      </c>
      <c r="L6" s="2"/>
      <c r="M6" s="2"/>
      <c r="N6" s="2"/>
      <c r="O6" s="2"/>
      <c r="P6" s="2"/>
      <c r="Q6" s="2"/>
      <c r="R6" s="2"/>
      <c r="S6" s="2"/>
    </row>
    <row r="7" ht="22.5" customHeight="1">
      <c r="A7" s="3">
        <v>6.0</v>
      </c>
      <c r="B7" s="3" t="s">
        <v>2299</v>
      </c>
      <c r="C7" s="3" t="s">
        <v>2300</v>
      </c>
      <c r="D7" s="3" t="s">
        <v>2301</v>
      </c>
      <c r="E7" s="3" t="s">
        <v>2302</v>
      </c>
      <c r="F7" s="2"/>
      <c r="G7" s="3" t="str">
        <f>IFERROR(__xludf.DUMMYFUNCTION("GOOGLETRANSLATE(A7, ""it"", ""en"")"),"6")</f>
        <v>6</v>
      </c>
      <c r="H7" s="3" t="str">
        <f>IFERROR(__xludf.DUMMYFUNCTION("GOOGLETRANSLATE(B7, ""it"", ""en"")"),"How do you start a water polo game?")</f>
        <v>How do you start a water polo game?</v>
      </c>
      <c r="I7" s="3" t="str">
        <f>IFERROR(__xludf.DUMMYFUNCTION("GOOGLETRANSLATE(C7, ""it"", ""en"")"),"A. With a throw-in at center field B. With the ball thrown to the center C. With a penalty shootout D. With a free throw")</f>
        <v>A. With a throw-in at center field B. With the ball thrown to the center C. With a penalty shootout D. With a free throw</v>
      </c>
      <c r="J7" s="3" t="str">
        <f>IFERROR(__xludf.DUMMYFUNCTION("GOOGLETRANSLATE(D7, ""it"", ""en"")"),"With the ball thrown to the center")</f>
        <v>With the ball thrown to the center</v>
      </c>
      <c r="K7" s="3" t="str">
        <f>IFERROR(__xludf.DUMMYFUNCTION("GOOGLETRANSLATE(E7, ""it"", ""en"")"),"The game begins with the ball being thrown into the center and the players swimming to reach it.")</f>
        <v>The game begins with the ball being thrown into the center and the players swimming to reach it.</v>
      </c>
      <c r="L7" s="2"/>
      <c r="M7" s="2"/>
      <c r="N7" s="2"/>
      <c r="O7" s="2"/>
      <c r="P7" s="2"/>
      <c r="Q7" s="2"/>
      <c r="R7" s="2"/>
      <c r="S7" s="2"/>
    </row>
    <row r="8" ht="22.5" customHeight="1">
      <c r="A8" s="3">
        <v>7.0</v>
      </c>
      <c r="B8" s="3" t="s">
        <v>2303</v>
      </c>
      <c r="C8" s="3" t="s">
        <v>2304</v>
      </c>
      <c r="D8" s="3" t="s">
        <v>768</v>
      </c>
      <c r="E8" s="3" t="s">
        <v>2305</v>
      </c>
      <c r="F8" s="2"/>
      <c r="G8" s="3" t="str">
        <f>IFERROR(__xludf.DUMMYFUNCTION("GOOGLETRANSLATE(A8, ""it"", ""en"")"),"7")</f>
        <v>7</v>
      </c>
      <c r="H8" s="3" t="str">
        <f>IFERROR(__xludf.DUMMYFUNCTION("GOOGLETRANSLATE(B8, ""it"", ""en"")"),"How much time does a team have to complete an offensive play?")</f>
        <v>How much time does a team have to complete an offensive play?</v>
      </c>
      <c r="I8" s="3" t="str">
        <f>IFERROR(__xludf.DUMMYFUNCTION("GOOGLETRANSLATE(C8, ""it"", ""en"")"),"A. 20 seconds B. 24 seconds C. 30 seconds D. 35 seconds")</f>
        <v>A. 20 seconds B. 24 seconds C. 30 seconds D. 35 seconds</v>
      </c>
      <c r="J8" s="3" t="str">
        <f>IFERROR(__xludf.DUMMYFUNCTION("GOOGLETRANSLATE(D8, ""it"", ""en"")"),"30 seconds")</f>
        <v>30 seconds</v>
      </c>
      <c r="K8" s="3" t="str">
        <f>IFERROR(__xludf.DUMMYFUNCTION("GOOGLETRANSLATE(E8, ""it"", ""en"")"),"A team has 30 seconds to complete an offensive play.")</f>
        <v>A team has 30 seconds to complete an offensive play.</v>
      </c>
      <c r="L8" s="2"/>
      <c r="M8" s="2"/>
      <c r="N8" s="2"/>
      <c r="O8" s="2"/>
      <c r="P8" s="2"/>
      <c r="Q8" s="2"/>
      <c r="R8" s="2"/>
      <c r="S8" s="2"/>
    </row>
    <row r="9" ht="22.5" customHeight="1">
      <c r="A9" s="3">
        <v>8.0</v>
      </c>
      <c r="B9" s="3" t="s">
        <v>2306</v>
      </c>
      <c r="C9" s="3" t="s">
        <v>2307</v>
      </c>
      <c r="D9" s="3" t="s">
        <v>2308</v>
      </c>
      <c r="E9" s="3" t="s">
        <v>2309</v>
      </c>
      <c r="F9" s="2"/>
      <c r="G9" s="3" t="str">
        <f>IFERROR(__xludf.DUMMYFUNCTION("GOOGLETRANSLATE(A9, ""it"", ""en"")"),"8")</f>
        <v>8</v>
      </c>
      <c r="H9" s="3" t="str">
        <f>IFERROR(__xludf.DUMMYFUNCTION("GOOGLETRANSLATE(B9, ""it"", ""en"")"),"What happens if a player intentionally holds the ball underwater?")</f>
        <v>What happens if a player intentionally holds the ball underwater?</v>
      </c>
      <c r="I9" s="3" t="str">
        <f>IFERROR(__xludf.DUMMYFUNCTION("GOOGLETRANSLATE(C9, ""it"", ""en"")"),"A. It is allowed B. A foul is called C. He is temporarily sent off D. He is cautioned")</f>
        <v>A. It is allowed B. A foul is called C. He is temporarily sent off D. He is cautioned</v>
      </c>
      <c r="J9" s="3" t="str">
        <f>IFERROR(__xludf.DUMMYFUNCTION("GOOGLETRANSLATE(D9, ""it"", ""en"")"),"A foul is called")</f>
        <v>A foul is called</v>
      </c>
      <c r="K9" s="3" t="str">
        <f>IFERROR(__xludf.DUMMYFUNCTION("GOOGLETRANSLATE(E9, ""it"", ""en"")"),"Intentionally holding the ball under water for defense is not allowed.")</f>
        <v>Intentionally holding the ball under water for defense is not allowed.</v>
      </c>
      <c r="L9" s="2"/>
      <c r="M9" s="2"/>
      <c r="N9" s="2"/>
      <c r="O9" s="2"/>
      <c r="P9" s="2"/>
      <c r="Q9" s="2"/>
      <c r="R9" s="2"/>
      <c r="S9" s="2"/>
    </row>
    <row r="10" ht="22.5" customHeight="1">
      <c r="A10" s="3">
        <v>9.0</v>
      </c>
      <c r="B10" s="3" t="s">
        <v>2310</v>
      </c>
      <c r="C10" s="3" t="s">
        <v>2311</v>
      </c>
      <c r="D10" s="3" t="s">
        <v>656</v>
      </c>
      <c r="E10" s="3" t="s">
        <v>2312</v>
      </c>
      <c r="F10" s="2"/>
      <c r="G10" s="3" t="str">
        <f>IFERROR(__xludf.DUMMYFUNCTION("GOOGLETRANSLATE(A10, ""it"", ""en"")"),"9")</f>
        <v>9</v>
      </c>
      <c r="H10" s="3" t="str">
        <f>IFERROR(__xludf.DUMMYFUNCTION("GOOGLETRANSLATE(B10, ""it"", ""en"")"),"How many meters is the penalty spot from the goal?")</f>
        <v>How many meters is the penalty spot from the goal?</v>
      </c>
      <c r="I10" s="3" t="str">
        <f>IFERROR(__xludf.DUMMYFUNCTION("GOOGLETRANSLATE(C10, ""it"", ""en"")"),"A. 4 meters B. 5 meters C. 6 meters D. 7 meters")</f>
        <v>A. 4 meters B. 5 meters C. 6 meters D. 7 meters</v>
      </c>
      <c r="J10" s="3" t="str">
        <f>IFERROR(__xludf.DUMMYFUNCTION("GOOGLETRANSLATE(D10, ""it"", ""en"")"),"5 meters")</f>
        <v>5 meters</v>
      </c>
      <c r="K10" s="3" t="str">
        <f>IFERROR(__xludf.DUMMYFUNCTION("GOOGLETRANSLATE(E10, ""it"", ""en"")"),"The penalty spot is located 5 meters from the goal.")</f>
        <v>The penalty spot is located 5 meters from the goal.</v>
      </c>
      <c r="L10" s="2"/>
      <c r="M10" s="2"/>
      <c r="N10" s="2"/>
      <c r="O10" s="2"/>
      <c r="P10" s="2"/>
      <c r="Q10" s="2"/>
      <c r="R10" s="2"/>
      <c r="S10" s="2"/>
    </row>
    <row r="11" ht="22.5" customHeight="1">
      <c r="A11" s="3">
        <v>10.0</v>
      </c>
      <c r="B11" s="3" t="s">
        <v>2313</v>
      </c>
      <c r="C11" s="3" t="s">
        <v>2314</v>
      </c>
      <c r="D11" s="3" t="s">
        <v>2315</v>
      </c>
      <c r="E11" s="3" t="s">
        <v>2316</v>
      </c>
      <c r="F11" s="2"/>
      <c r="G11" s="3" t="str">
        <f>IFERROR(__xludf.DUMMYFUNCTION("GOOGLETRANSLATE(A11, ""it"", ""en"")"),"10")</f>
        <v>10</v>
      </c>
      <c r="H11" s="3" t="str">
        <f>IFERROR(__xludf.DUMMYFUNCTION("GOOGLETRANSLATE(B11, ""it"", ""en"")"),"Who can touch the bottom of the pool during a game?")</f>
        <v>Who can touch the bottom of the pool during a game?</v>
      </c>
      <c r="I11" s="3" t="str">
        <f>IFERROR(__xludf.DUMMYFUNCTION("GOOGLETRANSLATE(C11, ""it"", ""en"")"),"A. All players B. No players C. The goalkeeper D. The captain")</f>
        <v>A. All players B. No players C. The goalkeeper D. The captain</v>
      </c>
      <c r="J11" s="3" t="str">
        <f>IFERROR(__xludf.DUMMYFUNCTION("GOOGLETRANSLATE(D11, ""it"", ""en"")"),"No player")</f>
        <v>No player</v>
      </c>
      <c r="K11" s="3" t="str">
        <f>IFERROR(__xludf.DUMMYFUNCTION("GOOGLETRANSLATE(E11, ""it"", ""en"")"),"It is forbidden to touch the bottom of the pool while playing.")</f>
        <v>It is forbidden to touch the bottom of the pool while playing.</v>
      </c>
      <c r="L11" s="2"/>
      <c r="M11" s="2"/>
      <c r="N11" s="2"/>
      <c r="O11" s="2"/>
      <c r="P11" s="2"/>
      <c r="Q11" s="2"/>
      <c r="R11" s="2"/>
      <c r="S11" s="2"/>
    </row>
    <row r="12" ht="22.5" customHeight="1">
      <c r="A12" s="3">
        <v>11.0</v>
      </c>
      <c r="B12" s="3" t="s">
        <v>2317</v>
      </c>
      <c r="C12" s="3" t="s">
        <v>2318</v>
      </c>
      <c r="D12" s="3" t="s">
        <v>2319</v>
      </c>
      <c r="E12" s="3" t="s">
        <v>2320</v>
      </c>
      <c r="F12" s="2"/>
      <c r="G12" s="3" t="str">
        <f>IFERROR(__xludf.DUMMYFUNCTION("GOOGLETRANSLATE(A12, ""it"", ""en"")"),"11")</f>
        <v>11</v>
      </c>
      <c r="H12" s="3" t="str">
        <f>IFERROR(__xludf.DUMMYFUNCTION("GOOGLETRANSLATE(B12, ""it"", ""en"")"),"What does a white flag raised by the referee represent?")</f>
        <v>What does a white flag raised by the referee represent?</v>
      </c>
      <c r="I12" s="3" t="str">
        <f>IFERROR(__xludf.DUMMYFUNCTION("GOOGLETRANSLATE(C12, ""it"", ""en"")"),"A. A valid goal B. A foul C. A penalty D. A time-out")</f>
        <v>A. A valid goal B. A foul C. A penalty D. A time-out</v>
      </c>
      <c r="J12" s="3" t="str">
        <f>IFERROR(__xludf.DUMMYFUNCTION("GOOGLETRANSLATE(D12, ""it"", ""en"")"),"A valid goal")</f>
        <v>A valid goal</v>
      </c>
      <c r="K12" s="3" t="str">
        <f>IFERROR(__xludf.DUMMYFUNCTION("GOOGLETRANSLATE(E12, ""it"", ""en"")"),"The white flag indicates that a goal has been validated.")</f>
        <v>The white flag indicates that a goal has been validated.</v>
      </c>
      <c r="L12" s="2"/>
      <c r="M12" s="2"/>
      <c r="N12" s="2"/>
      <c r="O12" s="2"/>
      <c r="P12" s="2"/>
      <c r="Q12" s="2"/>
      <c r="R12" s="2"/>
      <c r="S12" s="2"/>
    </row>
    <row r="13" ht="22.5" customHeight="1">
      <c r="A13" s="3">
        <v>12.0</v>
      </c>
      <c r="B13" s="3" t="s">
        <v>2321</v>
      </c>
      <c r="C13" s="3" t="s">
        <v>101</v>
      </c>
      <c r="D13" s="3">
        <v>2.0</v>
      </c>
      <c r="E13" s="3" t="s">
        <v>2322</v>
      </c>
      <c r="F13" s="2"/>
      <c r="G13" s="3" t="str">
        <f>IFERROR(__xludf.DUMMYFUNCTION("GOOGLETRANSLATE(A13, ""it"", ""en"")"),"12")</f>
        <v>12</v>
      </c>
      <c r="H13" s="3" t="str">
        <f>IFERROR(__xludf.DUMMYFUNCTION("GOOGLETRANSLATE(B13, ""it"", ""en"")"),"How many referees officiate at an official water polo match?")</f>
        <v>How many referees officiate at an official water polo match?</v>
      </c>
      <c r="I13" s="3" t="str">
        <f>IFERROR(__xludf.DUMMYFUNCTION("GOOGLETRANSLATE(C13, ""it"", ""en"")"),"A. 1 B. 2 C. 3 D. 4")</f>
        <v>A. 1 B. 2 C. 3 D. 4</v>
      </c>
      <c r="J13" s="3" t="str">
        <f>IFERROR(__xludf.DUMMYFUNCTION("GOOGLETRANSLATE(D13, ""it"", ""en"")"),"2")</f>
        <v>2</v>
      </c>
      <c r="K13" s="3" t="str">
        <f>IFERROR(__xludf.DUMMYFUNCTION("GOOGLETRANSLATE(E13, ""it"", ""en"")"),"Official water polo matches are refereed by two referees.")</f>
        <v>Official water polo matches are refereed by two referees.</v>
      </c>
      <c r="L13" s="2"/>
      <c r="M13" s="2"/>
      <c r="N13" s="2"/>
      <c r="O13" s="2"/>
      <c r="P13" s="2"/>
      <c r="Q13" s="2"/>
      <c r="R13" s="2"/>
      <c r="S13" s="2"/>
    </row>
    <row r="14" ht="22.5" customHeight="1">
      <c r="A14" s="3">
        <v>13.0</v>
      </c>
      <c r="B14" s="3" t="s">
        <v>2323</v>
      </c>
      <c r="C14" s="3" t="s">
        <v>2324</v>
      </c>
      <c r="D14" s="3">
        <v>6.0</v>
      </c>
      <c r="E14" s="3" t="s">
        <v>2325</v>
      </c>
      <c r="F14" s="2"/>
      <c r="G14" s="3" t="str">
        <f>IFERROR(__xludf.DUMMYFUNCTION("GOOGLETRANSLATE(A14, ""it"", ""en"")"),"13")</f>
        <v>13</v>
      </c>
      <c r="H14" s="3" t="str">
        <f>IFERROR(__xludf.DUMMYFUNCTION("GOOGLETRANSLATE(B14, ""it"", ""en"")"),"What is the maximum number of players on the bench for a team?")</f>
        <v>What is the maximum number of players on the bench for a team?</v>
      </c>
      <c r="I14" s="3" t="str">
        <f>IFERROR(__xludf.DUMMYFUNCTION("GOOGLETRANSLATE(C14, ""it"", ""en"")"),"A. 6 B. 7 C. 9 D. 5")</f>
        <v>A. 6 B. 7 C. 9 D. 5</v>
      </c>
      <c r="J14" s="3" t="str">
        <f>IFERROR(__xludf.DUMMYFUNCTION("GOOGLETRANSLATE(D14, ""it"", ""en"")"),"6")</f>
        <v>6</v>
      </c>
      <c r="K14" s="3" t="str">
        <f>IFERROR(__xludf.DUMMYFUNCTION("GOOGLETRANSLATE(E14, ""it"", ""en"")"),"Each team can have a maximum of 6 players on the bench.")</f>
        <v>Each team can have a maximum of 6 players on the bench.</v>
      </c>
      <c r="L14" s="2"/>
      <c r="M14" s="2"/>
      <c r="N14" s="2"/>
      <c r="O14" s="2"/>
      <c r="P14" s="2"/>
      <c r="Q14" s="2"/>
      <c r="R14" s="2"/>
      <c r="S14" s="2"/>
    </row>
    <row r="15" ht="22.5" customHeight="1">
      <c r="A15" s="3">
        <v>14.0</v>
      </c>
      <c r="B15" s="3" t="s">
        <v>2326</v>
      </c>
      <c r="C15" s="3" t="s">
        <v>2327</v>
      </c>
      <c r="D15" s="3" t="s">
        <v>1294</v>
      </c>
      <c r="E15" s="3" t="s">
        <v>2328</v>
      </c>
      <c r="F15" s="2"/>
      <c r="G15" s="3" t="str">
        <f>IFERROR(__xludf.DUMMYFUNCTION("GOOGLETRANSLATE(A15, ""it"", ""en"")"),"14")</f>
        <v>14</v>
      </c>
      <c r="H15" s="3" t="str">
        <f>IFERROR(__xludf.DUMMYFUNCTION("GOOGLETRANSLATE(B15, ""it"", ""en"")"),"How long is a regulation water polo pool?")</f>
        <v>How long is a regulation water polo pool?</v>
      </c>
      <c r="I15" s="3" t="str">
        <f>IFERROR(__xludf.DUMMYFUNCTION("GOOGLETRANSLATE(C15, ""it"", ""en"")"),"A. 20 meters B. 25 meters C. 30 meters D. 35 meters")</f>
        <v>A. 20 meters B. 25 meters C. 30 meters D. 35 meters</v>
      </c>
      <c r="J15" s="3" t="str">
        <f>IFERROR(__xludf.DUMMYFUNCTION("GOOGLETRANSLATE(D15, ""it"", ""en"")"),"30 meters")</f>
        <v>30 meters</v>
      </c>
      <c r="K15" s="3" t="str">
        <f>IFERROR(__xludf.DUMMYFUNCTION("GOOGLETRANSLATE(E15, ""it"", ""en"")"),"The regulation length of a water polo pool is 30 meters.")</f>
        <v>The regulation length of a water polo pool is 30 meters.</v>
      </c>
      <c r="L15" s="2"/>
      <c r="M15" s="2"/>
      <c r="N15" s="2"/>
      <c r="O15" s="2"/>
      <c r="P15" s="2"/>
      <c r="Q15" s="2"/>
      <c r="R15" s="2"/>
      <c r="S15" s="2"/>
    </row>
    <row r="16" ht="22.5" customHeight="1">
      <c r="A16" s="3">
        <v>15.0</v>
      </c>
      <c r="B16" s="3" t="s">
        <v>2329</v>
      </c>
      <c r="C16" s="3" t="s">
        <v>2330</v>
      </c>
      <c r="D16" s="3" t="s">
        <v>2331</v>
      </c>
      <c r="E16" s="3" t="s">
        <v>2332</v>
      </c>
      <c r="F16" s="2"/>
      <c r="G16" s="3" t="str">
        <f>IFERROR(__xludf.DUMMYFUNCTION("GOOGLETRANSLATE(A16, ""it"", ""en"")"),"15")</f>
        <v>15</v>
      </c>
      <c r="H16" s="3" t="str">
        <f>IFERROR(__xludf.DUMMYFUNCTION("GOOGLETRANSLATE(B16, ""it"", ""en"")"),"What color are goalkeeper headphones?")</f>
        <v>What color are goalkeeper headphones?</v>
      </c>
      <c r="I16" s="3" t="str">
        <f>IFERROR(__xludf.DUMMYFUNCTION("GOOGLETRANSLATE(C16, ""it"", ""en"")"),"A. Blue B. Red C. White D. Black")</f>
        <v>A. Blue B. Red C. White D. Black</v>
      </c>
      <c r="J16" s="3" t="str">
        <f>IFERROR(__xludf.DUMMYFUNCTION("GOOGLETRANSLATE(D16, ""it"", ""en"")"),"Red")</f>
        <v>Red</v>
      </c>
      <c r="K16" s="3" t="str">
        <f>IFERROR(__xludf.DUMMYFUNCTION("GOOGLETRANSLATE(E16, ""it"", ""en"")"),"Goalkeepers wear red caps to distinguish them from other players.")</f>
        <v>Goalkeepers wear red caps to distinguish them from other players.</v>
      </c>
      <c r="L16" s="2"/>
      <c r="M16" s="2"/>
      <c r="N16" s="2"/>
      <c r="O16" s="2"/>
      <c r="P16" s="2"/>
      <c r="Q16" s="2"/>
      <c r="R16" s="2"/>
      <c r="S16" s="2"/>
    </row>
    <row r="17" ht="22.5" customHeight="1">
      <c r="A17" s="3">
        <v>16.0</v>
      </c>
      <c r="B17" s="3" t="s">
        <v>2333</v>
      </c>
      <c r="C17" s="3" t="s">
        <v>108</v>
      </c>
      <c r="D17" s="3">
        <v>1.0</v>
      </c>
      <c r="E17" s="3" t="s">
        <v>2334</v>
      </c>
      <c r="F17" s="2"/>
      <c r="G17" s="3" t="str">
        <f>IFERROR(__xludf.DUMMYFUNCTION("GOOGLETRANSLATE(A17, ""it"", ""en"")"),"16")</f>
        <v>16</v>
      </c>
      <c r="H17" s="3" t="str">
        <f>IFERROR(__xludf.DUMMYFUNCTION("GOOGLETRANSLATE(B17, ""it"", ""en"")"),"How many goals are goals scored from midfield worth?")</f>
        <v>How many goals are goals scored from midfield worth?</v>
      </c>
      <c r="I17" s="3" t="str">
        <f>IFERROR(__xludf.DUMMYFUNCTION("GOOGLETRANSLATE(C17, ""it"", ""en"")"),"A. 1 B. 2 C. 3 D. 0")</f>
        <v>A. 1 B. 2 C. 3 D. 0</v>
      </c>
      <c r="J17" s="3" t="str">
        <f>IFERROR(__xludf.DUMMYFUNCTION("GOOGLETRANSLATE(D17, ""it"", ""en"")"),"1")</f>
        <v>1</v>
      </c>
      <c r="K17" s="3" t="str">
        <f>IFERROR(__xludf.DUMMYFUNCTION("GOOGLETRANSLATE(E17, ""it"", ""en"")"),"Every network")</f>
        <v>Every network</v>
      </c>
      <c r="L17" s="2"/>
      <c r="M17" s="2"/>
      <c r="N17" s="2"/>
      <c r="O17" s="2"/>
      <c r="P17" s="2"/>
      <c r="Q17" s="2"/>
      <c r="R17" s="2"/>
      <c r="S17" s="2"/>
    </row>
    <row r="18" ht="22.5" customHeight="1">
      <c r="A18" s="3">
        <v>17.0</v>
      </c>
      <c r="B18" s="3" t="s">
        <v>2335</v>
      </c>
      <c r="C18" s="3" t="s">
        <v>2336</v>
      </c>
      <c r="D18" s="3" t="s">
        <v>2337</v>
      </c>
      <c r="E18" s="3" t="s">
        <v>2338</v>
      </c>
      <c r="F18" s="2"/>
      <c r="G18" s="3" t="str">
        <f>IFERROR(__xludf.DUMMYFUNCTION("GOOGLETRANSLATE(A18, ""it"", ""en"")"),"17")</f>
        <v>17</v>
      </c>
      <c r="H18" s="3" t="str">
        <f>IFERROR(__xludf.DUMMYFUNCTION("GOOGLETRANSLATE(B18, ""it"", ""en"")"),"What happens if a goalkeeper leaves the 5-meter area with the ball?")</f>
        <v>What happens if a goalkeeper leaves the 5-meter area with the ball?</v>
      </c>
      <c r="I18" s="3" t="str">
        <f>IFERROR(__xludf.DUMMYFUNCTION("GOOGLETRANSLATE(C18, ""it"", ""en"")"),"A. Nothing B. He loses possession of the ball C. He is cautioned D. He is temporarily sent off")</f>
        <v>A. Nothing B. He loses possession of the ball C. He is cautioned D. He is temporarily sent off</v>
      </c>
      <c r="J18" s="3" t="str">
        <f>IFERROR(__xludf.DUMMYFUNCTION("GOOGLETRANSLATE(D18, ""it"", ""en"")"),"He loses possession of the ball")</f>
        <v>He loses possession of the ball</v>
      </c>
      <c r="K18" s="3" t="str">
        <f>IFERROR(__xludf.DUMMYFUNCTION("GOOGLETRANSLATE(E18, ""it"", ""en"")"),"The goalkeeper cannot leave the 5-meter area with the ball.")</f>
        <v>The goalkeeper cannot leave the 5-meter area with the ball.</v>
      </c>
      <c r="L18" s="2"/>
      <c r="M18" s="2"/>
      <c r="N18" s="2"/>
      <c r="O18" s="2"/>
      <c r="P18" s="2"/>
      <c r="Q18" s="2"/>
      <c r="R18" s="2"/>
      <c r="S18" s="2"/>
    </row>
    <row r="19" ht="22.5" customHeight="1">
      <c r="A19" s="3">
        <v>18.0</v>
      </c>
      <c r="B19" s="3" t="s">
        <v>2339</v>
      </c>
      <c r="C19" s="3" t="s">
        <v>2340</v>
      </c>
      <c r="D19" s="3" t="s">
        <v>2341</v>
      </c>
      <c r="E19" s="3" t="s">
        <v>2342</v>
      </c>
      <c r="F19" s="2"/>
      <c r="G19" s="3" t="str">
        <f>IFERROR(__xludf.DUMMYFUNCTION("GOOGLETRANSLATE(A19, ""it"", ""en"")"),"18")</f>
        <v>18</v>
      </c>
      <c r="H19" s="3" t="str">
        <f>IFERROR(__xludf.DUMMYFUNCTION("GOOGLETRANSLATE(B19, ""it"", ""en"")"),"How wide is a regulation water polo goal?")</f>
        <v>How wide is a regulation water polo goal?</v>
      </c>
      <c r="I19" s="3" t="str">
        <f>IFERROR(__xludf.DUMMYFUNCTION("GOOGLETRANSLATE(C19, ""it"", ""en"")"),"A. 2 meters B. 2.5 meters C. 3 meters D. 3.5 meters")</f>
        <v>A. 2 meters B. 2.5 meters C. 3 meters D. 3.5 meters</v>
      </c>
      <c r="J19" s="3" t="str">
        <f>IFERROR(__xludf.DUMMYFUNCTION("GOOGLETRANSLATE(D19, ""it"", ""en"")"),"10 foot")</f>
        <v>10 foot</v>
      </c>
      <c r="K19" s="3" t="str">
        <f>IFERROR(__xludf.DUMMYFUNCTION("GOOGLETRANSLATE(E19, ""it"", ""en"")"),"The width of a regulation goal is 3 meters.")</f>
        <v>The width of a regulation goal is 3 meters.</v>
      </c>
      <c r="L19" s="2"/>
      <c r="M19" s="2"/>
      <c r="N19" s="2"/>
      <c r="O19" s="2"/>
      <c r="P19" s="2"/>
      <c r="Q19" s="2"/>
      <c r="R19" s="2"/>
      <c r="S19" s="2"/>
    </row>
    <row r="20" ht="22.5" customHeight="1">
      <c r="A20" s="3">
        <v>19.0</v>
      </c>
      <c r="B20" s="3" t="s">
        <v>2343</v>
      </c>
      <c r="C20" s="3" t="s">
        <v>2344</v>
      </c>
      <c r="D20" s="3" t="s">
        <v>2345</v>
      </c>
      <c r="E20" s="3" t="s">
        <v>2346</v>
      </c>
      <c r="F20" s="2"/>
      <c r="G20" s="3" t="str">
        <f>IFERROR(__xludf.DUMMYFUNCTION("GOOGLETRANSLATE(A20, ""it"", ""en"")"),"19")</f>
        <v>19</v>
      </c>
      <c r="H20" s="3" t="str">
        <f>IFERROR(__xludf.DUMMYFUNCTION("GOOGLETRANSLATE(B20, ""it"", ""en"")"),"What happens when a serious foul is committed?")</f>
        <v>What happens when a serious foul is committed?</v>
      </c>
      <c r="I20" s="3" t="str">
        <f>IFERROR(__xludf.DUMMYFUNCTION("GOOGLETRANSLATE(C20, ""it"", ""en"")"),"A. A free throw is awarded B. A penalty is awarded C. The player is sent off D. A free throw is awarded")</f>
        <v>A. A free throw is awarded B. A penalty is awarded C. The player is sent off D. A free throw is awarded</v>
      </c>
      <c r="J20" s="3" t="str">
        <f>IFERROR(__xludf.DUMMYFUNCTION("GOOGLETRANSLATE(D20, ""it"", ""en"")"),"A penalty is awarded")</f>
        <v>A penalty is awarded</v>
      </c>
      <c r="K20" s="3" t="str">
        <f>IFERROR(__xludf.DUMMYFUNCTION("GOOGLETRANSLATE(E20, ""it"", ""en"")"),"A serious foul may result in a penalty being awarded.")</f>
        <v>A serious foul may result in a penalty being awarded.</v>
      </c>
      <c r="L20" s="2"/>
      <c r="M20" s="2"/>
      <c r="N20" s="2"/>
      <c r="O20" s="2"/>
      <c r="P20" s="2"/>
      <c r="Q20" s="2"/>
      <c r="R20" s="2"/>
      <c r="S20" s="2"/>
    </row>
    <row r="21" ht="22.5" customHeight="1">
      <c r="A21" s="3">
        <v>20.0</v>
      </c>
      <c r="B21" s="3" t="s">
        <v>2347</v>
      </c>
      <c r="C21" s="3" t="s">
        <v>2348</v>
      </c>
      <c r="D21" s="3" t="s">
        <v>2349</v>
      </c>
      <c r="E21" s="3" t="s">
        <v>2350</v>
      </c>
      <c r="F21" s="2"/>
      <c r="G21" s="3" t="str">
        <f>IFERROR(__xludf.DUMMYFUNCTION("GOOGLETRANSLATE(A21, ""it"", ""en"")"),"20")</f>
        <v>20</v>
      </c>
      <c r="H21" s="3" t="str">
        <f>IFERROR(__xludf.DUMMYFUNCTION("GOOGLETRANSLATE(B21, ""it"", ""en"")"),"What does a yellow flag raised by the referee indicate?")</f>
        <v>What does a yellow flag raised by the referee indicate?</v>
      </c>
      <c r="I21" s="3" t="str">
        <f>IFERROR(__xludf.DUMMYFUNCTION("GOOGLETRANSLATE(C21, ""it"", ""en"")"),"A. A technical time-out B. A penalty C. A player substitution D. A technical foul")</f>
        <v>A. A technical time-out B. A penalty C. A player substitution D. A technical foul</v>
      </c>
      <c r="J21" s="3" t="str">
        <f>IFERROR(__xludf.DUMMYFUNCTION("GOOGLETRANSLATE(D21, ""it"", ""en"")"),"A technical time-out")</f>
        <v>A technical time-out</v>
      </c>
      <c r="K21" s="3" t="str">
        <f>IFERROR(__xludf.DUMMYFUNCTION("GOOGLETRANSLATE(E21, ""it"", ""en"")"),"The yellow flag signals a technical time-out.")</f>
        <v>The yellow flag signals a technical time-out.</v>
      </c>
      <c r="L21" s="2"/>
      <c r="M21" s="2"/>
      <c r="N21" s="2"/>
      <c r="O21" s="2"/>
      <c r="P21" s="2"/>
      <c r="Q21" s="2"/>
      <c r="R21" s="2"/>
      <c r="S21" s="2"/>
    </row>
    <row r="22" ht="22.5" customHeight="1">
      <c r="A22" s="3">
        <v>21.0</v>
      </c>
      <c r="B22" s="3" t="s">
        <v>2351</v>
      </c>
      <c r="C22" s="3" t="s">
        <v>2352</v>
      </c>
      <c r="D22" s="3" t="s">
        <v>2353</v>
      </c>
      <c r="E22" s="3" t="s">
        <v>2354</v>
      </c>
      <c r="F22" s="2"/>
      <c r="G22" s="3" t="str">
        <f>IFERROR(__xludf.DUMMYFUNCTION("GOOGLETRANSLATE(A22, ""it"", ""en"")"),"21")</f>
        <v>21</v>
      </c>
      <c r="H22" s="3" t="str">
        <f>IFERROR(__xludf.DUMMYFUNCTION("GOOGLETRANSLATE(B22, ""it"", ""en"")"),"What is the maximum time a player can remain on temporary suspension?")</f>
        <v>What is the maximum time a player can remain on temporary suspension?</v>
      </c>
      <c r="I22" s="3" t="str">
        <f>IFERROR(__xludf.DUMMYFUNCTION("GOOGLETRANSLATE(C22, ""it"", ""en"")"),"A. 15 seconds B. 20 seconds C. 30 seconds D. 45 seconds")</f>
        <v>A. 15 seconds B. 20 seconds C. 30 seconds D. 45 seconds</v>
      </c>
      <c r="J22" s="3" t="str">
        <f>IFERROR(__xludf.DUMMYFUNCTION("GOOGLETRANSLATE(D22, ""it"", ""en"")"),"20 seconds")</f>
        <v>20 seconds</v>
      </c>
      <c r="K22" s="3" t="str">
        <f>IFERROR(__xludf.DUMMYFUNCTION("GOOGLETRANSLATE(E22, ""it"", ""en"")"),"A player temporarily suspended may return after 20 seconds or after a goal.")</f>
        <v>A player temporarily suspended may return after 20 seconds or after a goal.</v>
      </c>
      <c r="L22" s="2"/>
      <c r="M22" s="2"/>
      <c r="N22" s="2"/>
      <c r="O22" s="2"/>
      <c r="P22" s="2"/>
      <c r="Q22" s="2"/>
      <c r="R22" s="2"/>
      <c r="S22" s="2"/>
    </row>
    <row r="23" ht="22.5" customHeight="1">
      <c r="A23" s="3">
        <v>22.0</v>
      </c>
      <c r="B23" s="3" t="s">
        <v>2355</v>
      </c>
      <c r="C23" s="3" t="s">
        <v>2356</v>
      </c>
      <c r="D23" s="3" t="s">
        <v>2357</v>
      </c>
      <c r="E23" s="3" t="s">
        <v>2358</v>
      </c>
      <c r="F23" s="2"/>
      <c r="G23" s="3" t="str">
        <f>IFERROR(__xludf.DUMMYFUNCTION("GOOGLETRANSLATE(A23, ""it"", ""en"")"),"22")</f>
        <v>22</v>
      </c>
      <c r="H23" s="3" t="str">
        <f>IFERROR(__xludf.DUMMYFUNCTION("GOOGLETRANSLATE(B23, ""it"", ""en"")"),"What happens if the ball hits the ceiling of the indoor pool?")</f>
        <v>What happens if the ball hits the ceiling of the indoor pool?</v>
      </c>
      <c r="I23" s="3" t="str">
        <f>IFERROR(__xludf.DUMMYFUNCTION("GOOGLETRANSLATE(C23, ""it"", ""en"")"),"A. Play continues B. A foul is called C. A throw-in is given to the other team D. The ball is contested")</f>
        <v>A. Play continues B. A foul is called C. A throw-in is given to the other team D. The ball is contested</v>
      </c>
      <c r="J23" s="3" t="str">
        <f>IFERROR(__xludf.DUMMYFUNCTION("GOOGLETRANSLATE(D23, ""it"", ""en"")"),"The throw-in is given to the other team")</f>
        <v>The throw-in is given to the other team</v>
      </c>
      <c r="K23" s="3" t="str">
        <f>IFERROR(__xludf.DUMMYFUNCTION("GOOGLETRANSLATE(E23, ""it"", ""en"")"),"If the ball touches the ceiling")</f>
        <v>If the ball touches the ceiling</v>
      </c>
      <c r="L23" s="2"/>
      <c r="M23" s="2"/>
      <c r="N23" s="2"/>
      <c r="O23" s="2"/>
      <c r="P23" s="2"/>
      <c r="Q23" s="2"/>
      <c r="R23" s="2"/>
      <c r="S23" s="2"/>
    </row>
    <row r="24" ht="22.5" customHeight="1">
      <c r="A24" s="3">
        <v>23.0</v>
      </c>
      <c r="B24" s="3" t="s">
        <v>2359</v>
      </c>
      <c r="C24" s="3" t="s">
        <v>2360</v>
      </c>
      <c r="D24" s="3" t="s">
        <v>2361</v>
      </c>
      <c r="E24" s="3" t="s">
        <v>2362</v>
      </c>
      <c r="F24" s="2"/>
      <c r="G24" s="3" t="str">
        <f>IFERROR(__xludf.DUMMYFUNCTION("GOOGLETRANSLATE(A24, ""it"", ""en"")"),"23")</f>
        <v>23</v>
      </c>
      <c r="H24" s="3" t="str">
        <f>IFERROR(__xludf.DUMMYFUNCTION("GOOGLETRANSLATE(B24, ""it"", ""en"")"),"What do the red lines 2 meters from the goal represent?")</f>
        <v>What do the red lines 2 meters from the goal represent?</v>
      </c>
      <c r="I24" s="3" t="str">
        <f>IFERROR(__xludf.DUMMYFUNCTION("GOOGLETRANSLATE(C24, ""it"", ""en"")"),"A. The free-throw area B. The penalty area C. The goalkeeper's area D. The offside area")</f>
        <v>A. The free-throw area B. The penalty area C. The goalkeeper's area D. The offside area</v>
      </c>
      <c r="J24" s="3" t="str">
        <f>IFERROR(__xludf.DUMMYFUNCTION("GOOGLETRANSLATE(D24, ""it"", ""en"")"),"The offside area")</f>
        <v>The offside area</v>
      </c>
      <c r="K24" s="3" t="str">
        <f>IFERROR(__xludf.DUMMYFUNCTION("GOOGLETRANSLATE(E24, ""it"", ""en"")"),"Players cannot receive the ball in this area if they are already inside it.")</f>
        <v>Players cannot receive the ball in this area if they are already inside it.</v>
      </c>
      <c r="L24" s="2"/>
      <c r="M24" s="2"/>
      <c r="N24" s="2"/>
      <c r="O24" s="2"/>
      <c r="P24" s="2"/>
      <c r="Q24" s="2"/>
      <c r="R24" s="2"/>
      <c r="S24" s="2"/>
    </row>
    <row r="25" ht="22.5" customHeight="1">
      <c r="A25" s="3">
        <v>24.0</v>
      </c>
      <c r="B25" s="3" t="s">
        <v>2363</v>
      </c>
      <c r="C25" s="3" t="s">
        <v>2364</v>
      </c>
      <c r="D25" s="3" t="s">
        <v>2365</v>
      </c>
      <c r="E25" s="3" t="s">
        <v>2366</v>
      </c>
      <c r="F25" s="2"/>
      <c r="G25" s="3" t="str">
        <f>IFERROR(__xludf.DUMMYFUNCTION("GOOGLETRANSLATE(A25, ""it"", ""en"")"),"24")</f>
        <v>24</v>
      </c>
      <c r="H25" s="3" t="str">
        <f>IFERROR(__xludf.DUMMYFUNCTION("GOOGLETRANSLATE(B25, ""it"", ""en"")"),"How long is the interval between halves?")</f>
        <v>How long is the interval between halves?</v>
      </c>
      <c r="I25" s="3" t="str">
        <f>IFERROR(__xludf.DUMMYFUNCTION("GOOGLETRANSLATE(C25, ""it"", ""en"")"),"A. 1 minute B. 2 minutes C. 3 minutes D. 5 minutes")</f>
        <v>A. 1 minute B. 2 minutes C. 3 minutes D. 5 minutes</v>
      </c>
      <c r="J25" s="3" t="str">
        <f>IFERROR(__xludf.DUMMYFUNCTION("GOOGLETRANSLATE(D25, ""it"", ""en"")"),"2 minutes")</f>
        <v>2 minutes</v>
      </c>
      <c r="K25" s="3" t="str">
        <f>IFERROR(__xludf.DUMMYFUNCTION("GOOGLETRANSLATE(E25, ""it"", ""en"")"),"There is a 2 minute interval between halves.")</f>
        <v>There is a 2 minute interval between halves.</v>
      </c>
      <c r="L25" s="2"/>
      <c r="M25" s="2"/>
      <c r="N25" s="2"/>
      <c r="O25" s="2"/>
      <c r="P25" s="2"/>
      <c r="Q25" s="2"/>
      <c r="R25" s="2"/>
      <c r="S25" s="2"/>
    </row>
    <row r="26" ht="22.5" customHeight="1">
      <c r="A26" s="3">
        <v>25.0</v>
      </c>
      <c r="B26" s="3" t="s">
        <v>2367</v>
      </c>
      <c r="C26" s="3" t="s">
        <v>2368</v>
      </c>
      <c r="D26" s="3" t="s">
        <v>2369</v>
      </c>
      <c r="E26" s="3" t="s">
        <v>2370</v>
      </c>
      <c r="F26" s="2"/>
      <c r="G26" s="3" t="str">
        <f>IFERROR(__xludf.DUMMYFUNCTION("GOOGLETRANSLATE(A26, ""it"", ""en"")"),"25")</f>
        <v>25</v>
      </c>
      <c r="H26" s="3" t="str">
        <f>IFERROR(__xludf.DUMMYFUNCTION("GOOGLETRANSLATE(B26, ""it"", ""en"")"),"What does a red card shown by the referee indicate?")</f>
        <v>What does a red card shown by the referee indicate?</v>
      </c>
      <c r="I26" s="3" t="str">
        <f>IFERROR(__xludf.DUMMYFUNCTION("GOOGLETRANSLATE(C26, ""it"", ""en"")"),"A. A permanent expulsion B. A warning C. A forced substitution D. A penalty")</f>
        <v>A. A permanent expulsion B. A warning C. A forced substitution D. A penalty</v>
      </c>
      <c r="J26" s="3" t="str">
        <f>IFERROR(__xludf.DUMMYFUNCTION("GOOGLETRANSLATE(D26, ""it"", ""en"")"),"A final expulsion")</f>
        <v>A final expulsion</v>
      </c>
      <c r="K26" s="3" t="str">
        <f>IFERROR(__xludf.DUMMYFUNCTION("GOOGLETRANSLATE(E26, ""it"", ""en"")"),"The red card indicates the definitive expulsion of a player or coach.")</f>
        <v>The red card indicates the definitive expulsion of a player or coach.</v>
      </c>
      <c r="L26" s="2"/>
      <c r="M26" s="2"/>
      <c r="N26" s="2"/>
      <c r="O26" s="2"/>
      <c r="P26" s="2"/>
      <c r="Q26" s="2"/>
      <c r="R26" s="2"/>
      <c r="S26" s="2"/>
    </row>
    <row r="27" ht="22.5" customHeight="1">
      <c r="A27" s="3">
        <v>26.0</v>
      </c>
      <c r="B27" s="3" t="s">
        <v>2371</v>
      </c>
      <c r="C27" s="3" t="s">
        <v>2372</v>
      </c>
      <c r="D27" s="3" t="s">
        <v>2373</v>
      </c>
      <c r="E27" s="3" t="s">
        <v>2374</v>
      </c>
      <c r="F27" s="2"/>
      <c r="G27" s="3" t="str">
        <f>IFERROR(__xludf.DUMMYFUNCTION("GOOGLETRANSLATE(A27, ""it"", ""en"")"),"26")</f>
        <v>26</v>
      </c>
      <c r="H27" s="3" t="str">
        <f>IFERROR(__xludf.DUMMYFUNCTION("GOOGLETRANSLATE(B27, ""it"", ""en"")"),"Who can shoot a free throw in water polo?")</f>
        <v>Who can shoot a free throw in water polo?</v>
      </c>
      <c r="I27" s="3" t="str">
        <f>IFERROR(__xludf.DUMMYFUNCTION("GOOGLETRANSLATE(C27, ""it"", ""en"")"),"A. Only the goalkeeper B. Anyone on the defensive team C. Anyone on the offensive team D. Any player on the field")</f>
        <v>A. Only the goalkeeper B. Anyone on the defensive team C. Anyone on the offensive team D. Any player on the field</v>
      </c>
      <c r="J27" s="3" t="str">
        <f>IFERROR(__xludf.DUMMYFUNCTION("GOOGLETRANSLATE(D27, ""it"", ""en"")"),"Anyone on the offensive team")</f>
        <v>Anyone on the offensive team</v>
      </c>
      <c r="K27" s="3" t="str">
        <f>IFERROR(__xludf.DUMMYFUNCTION("GOOGLETRANSLATE(E27, ""it"", ""en"")"),"The free throw is taken by the team that is fouled.")</f>
        <v>The free throw is taken by the team that is fouled.</v>
      </c>
      <c r="L27" s="2"/>
      <c r="M27" s="2"/>
      <c r="N27" s="2"/>
      <c r="O27" s="2"/>
      <c r="P27" s="2"/>
      <c r="Q27" s="2"/>
      <c r="R27" s="2"/>
      <c r="S27" s="2"/>
    </row>
    <row r="28" ht="22.5" customHeight="1">
      <c r="A28" s="3">
        <v>27.0</v>
      </c>
      <c r="B28" s="3" t="s">
        <v>2375</v>
      </c>
      <c r="C28" s="3" t="s">
        <v>2376</v>
      </c>
      <c r="D28" s="3" t="s">
        <v>657</v>
      </c>
      <c r="E28" s="3" t="s">
        <v>2377</v>
      </c>
      <c r="F28" s="2"/>
      <c r="G28" s="3" t="str">
        <f>IFERROR(__xludf.DUMMYFUNCTION("GOOGLETRANSLATE(A28, ""it"", ""en"")"),"27")</f>
        <v>27</v>
      </c>
      <c r="H28" s="3" t="str">
        <f>IFERROR(__xludf.DUMMYFUNCTION("GOOGLETRANSLATE(B28, ""it"", ""en"")"),"What is the minimum height of the pool in a regulation match?")</f>
        <v>What is the minimum height of the pool in a regulation match?</v>
      </c>
      <c r="I28" s="3" t="str">
        <f>IFERROR(__xludf.DUMMYFUNCTION("GOOGLETRANSLATE(C28, ""it"", ""en"")"),"A. 1 meter B. 1.5 meters C. 2 meters D. 2.5 meters")</f>
        <v>A. 1 meter B. 1.5 meters C. 2 meters D. 2.5 meters</v>
      </c>
      <c r="J28" s="3" t="str">
        <f>IFERROR(__xludf.DUMMYFUNCTION("GOOGLETRANSLATE(D28, ""it"", ""en"")"),"2 meters")</f>
        <v>2 meters</v>
      </c>
      <c r="K28" s="3" t="str">
        <f>IFERROR(__xludf.DUMMYFUNCTION("GOOGLETRANSLATE(E28, ""it"", ""en"")"),"The minimum height of the pool must be 2 meters.")</f>
        <v>The minimum height of the pool must be 2 meters.</v>
      </c>
      <c r="L28" s="2"/>
      <c r="M28" s="2"/>
      <c r="N28" s="2"/>
      <c r="O28" s="2"/>
      <c r="P28" s="2"/>
      <c r="Q28" s="2"/>
      <c r="R28" s="2"/>
      <c r="S28" s="2"/>
    </row>
    <row r="29" ht="22.5" customHeight="1">
      <c r="A29" s="3">
        <v>28.0</v>
      </c>
      <c r="B29" s="3" t="s">
        <v>2378</v>
      </c>
      <c r="C29" s="3" t="s">
        <v>2379</v>
      </c>
      <c r="D29" s="3" t="s">
        <v>2380</v>
      </c>
      <c r="E29" s="3" t="s">
        <v>2381</v>
      </c>
      <c r="F29" s="2"/>
      <c r="G29" s="3" t="str">
        <f>IFERROR(__xludf.DUMMYFUNCTION("GOOGLETRANSLATE(A29, ""it"", ""en"")"),"28")</f>
        <v>28</v>
      </c>
      <c r="H29" s="3" t="str">
        <f>IFERROR(__xludf.DUMMYFUNCTION("GOOGLETRANSLATE(B29, ""it"", ""en"")"),"What happens when a team runs out of possession?")</f>
        <v>What happens when a team runs out of possession?</v>
      </c>
      <c r="I29" s="3" t="str">
        <f>IFERROR(__xludf.DUMMYFUNCTION("GOOGLETRANSLATE(C29, ""it"", ""en"")"),"A. Nothing B. He loses the ball C. A penalty is awarded D. A free kick is awarded")</f>
        <v>A. Nothing B. He loses the ball C. A penalty is awarded D. A free kick is awarded</v>
      </c>
      <c r="J29" s="3" t="str">
        <f>IFERROR(__xludf.DUMMYFUNCTION("GOOGLETRANSLATE(D29, ""it"", ""en"")"),"He loses the ball")</f>
        <v>He loses the ball</v>
      </c>
      <c r="K29" s="3" t="str">
        <f>IFERROR(__xludf.DUMMYFUNCTION("GOOGLETRANSLATE(E29, ""it"", ""en"")"),"The team loses possession of the ball.")</f>
        <v>The team loses possession of the ball.</v>
      </c>
      <c r="L29" s="2"/>
      <c r="M29" s="2"/>
      <c r="N29" s="2"/>
      <c r="O29" s="2"/>
      <c r="P29" s="2"/>
      <c r="Q29" s="2"/>
      <c r="R29" s="2"/>
      <c r="S29" s="2"/>
    </row>
    <row r="30" ht="22.5" customHeight="1">
      <c r="A30" s="3">
        <v>29.0</v>
      </c>
      <c r="B30" s="3" t="s">
        <v>2382</v>
      </c>
      <c r="C30" s="3" t="s">
        <v>2383</v>
      </c>
      <c r="D30" s="3" t="s">
        <v>2384</v>
      </c>
      <c r="E30" s="3" t="s">
        <v>2385</v>
      </c>
      <c r="F30" s="2"/>
      <c r="G30" s="3" t="str">
        <f>IFERROR(__xludf.DUMMYFUNCTION("GOOGLETRANSLATE(A30, ""it"", ""en"")"),"29")</f>
        <v>29</v>
      </c>
      <c r="H30" s="3" t="str">
        <f>IFERROR(__xludf.DUMMYFUNCTION("GOOGLETRANSLATE(B30, ""it"", ""en"")"),"What do the yellow lines 5 meters from the goal represent?")</f>
        <v>What do the yellow lines 5 meters from the goal represent?</v>
      </c>
      <c r="I30" s="3" t="str">
        <f>IFERROR(__xludf.DUMMYFUNCTION("GOOGLETRANSLATE(C30, ""it"", ""en"")"),"A. The goalkeeper's area B. The penalty area C. The free-throw area D. The expulsion area")</f>
        <v>A. The goalkeeper's area B. The penalty area C. The free-throw area D. The expulsion area</v>
      </c>
      <c r="J30" s="3" t="str">
        <f>IFERROR(__xludf.DUMMYFUNCTION("GOOGLETRANSLATE(D30, ""it"", ""en"")"),"The penalty area")</f>
        <v>The penalty area</v>
      </c>
      <c r="K30" s="3" t="str">
        <f>IFERROR(__xludf.DUMMYFUNCTION("GOOGLETRANSLATE(E30, ""it"", ""en"")"),"The yellow lines 5 meters away mark the penalty area.")</f>
        <v>The yellow lines 5 meters away mark the penalty area.</v>
      </c>
      <c r="L30" s="2"/>
      <c r="M30" s="2"/>
      <c r="N30" s="2"/>
      <c r="O30" s="2"/>
      <c r="P30" s="2"/>
      <c r="Q30" s="2"/>
      <c r="R30" s="2"/>
      <c r="S30" s="2"/>
    </row>
    <row r="31" ht="22.5" customHeight="1">
      <c r="A31" s="3">
        <v>30.0</v>
      </c>
      <c r="B31" s="3" t="s">
        <v>2386</v>
      </c>
      <c r="C31" s="3" t="s">
        <v>2387</v>
      </c>
      <c r="D31" s="3" t="s">
        <v>2388</v>
      </c>
      <c r="E31" s="3" t="s">
        <v>2389</v>
      </c>
      <c r="F31" s="2"/>
      <c r="G31" s="3" t="str">
        <f>IFERROR(__xludf.DUMMYFUNCTION("GOOGLETRANSLATE(A31, ""it"", ""en"")"),"30")</f>
        <v>30</v>
      </c>
      <c r="H31" s="3" t="str">
        <f>IFERROR(__xludf.DUMMYFUNCTION("GOOGLETRANSLATE(B31, ""it"", ""en"")"),"How is a winner decided in the event of a tie after regulation time?")</f>
        <v>How is a winner decided in the event of a tie after regulation time?</v>
      </c>
      <c r="I31" s="3" t="str">
        <f>IFERROR(__xludf.DUMMYFUNCTION("GOOGLETRANSLATE(C31, ""it"", ""en"")"),"A. With a draw B. With a coin toss C. With penalty kicks D. With extra time")</f>
        <v>A. With a draw B. With a coin toss C. With penalty kicks D. With extra time</v>
      </c>
      <c r="J31" s="3" t="str">
        <f>IFERROR(__xludf.DUMMYFUNCTION("GOOGLETRANSLATE(D31, ""it"", ""en"")"),"With penalty kicks")</f>
        <v>With penalty kicks</v>
      </c>
      <c r="K31" s="3" t="str">
        <f>IFERROR(__xludf.DUMMYFUNCTION("GOOGLETRANSLATE(E31, ""it"", ""en"")"),"In case of a draw, the score will go to penalties.")</f>
        <v>In case of a draw, the score will go to penalties.</v>
      </c>
      <c r="L31" s="2"/>
      <c r="M31" s="2"/>
      <c r="N31" s="2"/>
      <c r="O31" s="2"/>
      <c r="P31" s="2"/>
      <c r="Q31" s="2"/>
      <c r="R31" s="2"/>
      <c r="S31" s="2"/>
    </row>
    <row r="32" ht="22.5" customHeight="1">
      <c r="A32" s="3">
        <v>31.0</v>
      </c>
      <c r="B32" s="3" t="s">
        <v>2390</v>
      </c>
      <c r="C32" s="3" t="s">
        <v>101</v>
      </c>
      <c r="D32" s="3">
        <v>2.0</v>
      </c>
      <c r="E32" s="3" t="s">
        <v>2391</v>
      </c>
      <c r="F32" s="2"/>
      <c r="G32" s="3" t="str">
        <f>IFERROR(__xludf.DUMMYFUNCTION("GOOGLETRANSLATE(A32, ""it"", ""en"")"),"31")</f>
        <v>31</v>
      </c>
      <c r="H32" s="3" t="str">
        <f>IFERROR(__xludf.DUMMYFUNCTION("GOOGLETRANSLATE(B32, ""it"", ""en"")"),"How many overtime periods are played in case of a draw?")</f>
        <v>How many overtime periods are played in case of a draw?</v>
      </c>
      <c r="I32" s="3" t="str">
        <f>IFERROR(__xludf.DUMMYFUNCTION("GOOGLETRANSLATE(C32, ""it"", ""en"")"),"A. 1 B. 2 C. 3 D. 4")</f>
        <v>A. 1 B. 2 C. 3 D. 4</v>
      </c>
      <c r="J32" s="3" t="str">
        <f>IFERROR(__xludf.DUMMYFUNCTION("GOOGLETRANSLATE(D32, ""it"", ""en"")"),"2")</f>
        <v>2</v>
      </c>
      <c r="K32" s="3" t="str">
        <f>IFERROR(__xludf.DUMMYFUNCTION("GOOGLETRANSLATE(E32, ""it"", ""en"")"),"In case of a draw, two periods of extra time of 3 minutes each will be played.")</f>
        <v>In case of a draw, two periods of extra time of 3 minutes each will be played.</v>
      </c>
      <c r="L32" s="2"/>
      <c r="M32" s="2"/>
      <c r="N32" s="2"/>
      <c r="O32" s="2"/>
      <c r="P32" s="2"/>
      <c r="Q32" s="2"/>
      <c r="R32" s="2"/>
      <c r="S32" s="2"/>
    </row>
    <row r="33" ht="22.5" customHeight="1">
      <c r="A33" s="3">
        <v>32.0</v>
      </c>
      <c r="B33" s="3" t="s">
        <v>2392</v>
      </c>
      <c r="C33" s="3" t="s">
        <v>101</v>
      </c>
      <c r="D33" s="3">
        <v>2.0</v>
      </c>
      <c r="E33" s="3" t="s">
        <v>2393</v>
      </c>
      <c r="F33" s="2"/>
      <c r="G33" s="3" t="str">
        <f>IFERROR(__xludf.DUMMYFUNCTION("GOOGLETRANSLATE(A33, ""it"", ""en"")"),"32")</f>
        <v>32</v>
      </c>
      <c r="H33" s="3" t="str">
        <f>IFERROR(__xludf.DUMMYFUNCTION("GOOGLETRANSLATE(B33, ""it"", ""en"")"),"How many referees monitor the playing time in a water polo game?")</f>
        <v>How many referees monitor the playing time in a water polo game?</v>
      </c>
      <c r="I33" s="3" t="str">
        <f>IFERROR(__xludf.DUMMYFUNCTION("GOOGLETRANSLATE(C33, ""it"", ""en"")"),"A. 1 B. 2 C. 3 D. 4")</f>
        <v>A. 1 B. 2 C. 3 D. 4</v>
      </c>
      <c r="J33" s="3" t="str">
        <f>IFERROR(__xludf.DUMMYFUNCTION("GOOGLETRANSLATE(D33, ""it"", ""en"")"),"2")</f>
        <v>2</v>
      </c>
      <c r="K33" s="3" t="str">
        <f>IFERROR(__xludf.DUMMYFUNCTION("GOOGLETRANSLATE(E33, ""it"", ""en"")"),"Two referees are responsible for the official timekeeping.")</f>
        <v>Two referees are responsible for the official timekeeping.</v>
      </c>
      <c r="L33" s="2"/>
      <c r="M33" s="2"/>
      <c r="N33" s="2"/>
      <c r="O33" s="2"/>
      <c r="P33" s="2"/>
      <c r="Q33" s="2"/>
      <c r="R33" s="2"/>
      <c r="S33" s="2"/>
    </row>
    <row r="34" ht="22.5" customHeight="1">
      <c r="A34" s="3">
        <v>33.0</v>
      </c>
      <c r="B34" s="3" t="s">
        <v>2394</v>
      </c>
      <c r="C34" s="3" t="s">
        <v>2395</v>
      </c>
      <c r="D34" s="3" t="s">
        <v>2396</v>
      </c>
      <c r="E34" s="3" t="s">
        <v>2397</v>
      </c>
      <c r="F34" s="2"/>
      <c r="G34" s="3" t="str">
        <f>IFERROR(__xludf.DUMMYFUNCTION("GOOGLETRANSLATE(A34, ""it"", ""en"")"),"33")</f>
        <v>33</v>
      </c>
      <c r="H34" s="3" t="str">
        <f>IFERROR(__xludf.DUMMYFUNCTION("GOOGLETRANSLATE(B34, ""it"", ""en"")"),"What type of foul is committed if a player intentionally hits an opponent?")</f>
        <v>What type of foul is committed if a player intentionally hits an opponent?</v>
      </c>
      <c r="I34" s="3" t="str">
        <f>IFERROR(__xludf.DUMMYFUNCTION("GOOGLETRANSLATE(C34, ""it"", ""en"")"),"A. Minor foul B. Serious foul C. Expulsion D. Technical foul")</f>
        <v>A. Minor foul B. Serious foul C. Expulsion D. Technical foul</v>
      </c>
      <c r="J34" s="3" t="str">
        <f>IFERROR(__xludf.DUMMYFUNCTION("GOOGLETRANSLATE(D34, ""it"", ""en"")"),"Serious foul")</f>
        <v>Serious foul</v>
      </c>
      <c r="K34" s="3" t="str">
        <f>IFERROR(__xludf.DUMMYFUNCTION("GOOGLETRANSLATE(E34, ""it"", ""en"")"),"Intentional violent contact is classified as a serious foul.")</f>
        <v>Intentional violent contact is classified as a serious foul.</v>
      </c>
      <c r="L34" s="2"/>
      <c r="M34" s="2"/>
      <c r="N34" s="2"/>
      <c r="O34" s="2"/>
      <c r="P34" s="2"/>
      <c r="Q34" s="2"/>
      <c r="R34" s="2"/>
      <c r="S34" s="2"/>
    </row>
    <row r="35" ht="22.5" customHeight="1">
      <c r="A35" s="3">
        <v>34.0</v>
      </c>
      <c r="B35" s="3" t="s">
        <v>2398</v>
      </c>
      <c r="C35" s="3" t="s">
        <v>1094</v>
      </c>
      <c r="D35" s="3" t="s">
        <v>657</v>
      </c>
      <c r="E35" s="3" t="s">
        <v>2399</v>
      </c>
      <c r="F35" s="2"/>
      <c r="G35" s="3" t="str">
        <f>IFERROR(__xludf.DUMMYFUNCTION("GOOGLETRANSLATE(A35, ""it"", ""en"")"),"34")</f>
        <v>34</v>
      </c>
      <c r="H35" s="3" t="str">
        <f>IFERROR(__xludf.DUMMYFUNCTION("GOOGLETRANSLATE(B35, ""it"", ""en"")"),"How many meters is the goalkeeper's area from the edge of the pool?")</f>
        <v>How many meters is the goalkeeper's area from the edge of the pool?</v>
      </c>
      <c r="I35" s="3" t="str">
        <f>IFERROR(__xludf.DUMMYFUNCTION("GOOGLETRANSLATE(C35, ""it"", ""en"")"),"A. 1 meter B. 2 meters C. 3 meters D. 4 meters")</f>
        <v>A. 1 meter B. 2 meters C. 3 meters D. 4 meters</v>
      </c>
      <c r="J35" s="3" t="str">
        <f>IFERROR(__xludf.DUMMYFUNCTION("GOOGLETRANSLATE(D35, ""it"", ""en"")"),"2 meters")</f>
        <v>2 meters</v>
      </c>
      <c r="K35" s="3" t="str">
        <f>IFERROR(__xludf.DUMMYFUNCTION("GOOGLETRANSLATE(E35, ""it"", ""en"")"),"The goalkeeper's area is limited to 2 metres from the goal.")</f>
        <v>The goalkeeper's area is limited to 2 metres from the goal.</v>
      </c>
      <c r="L35" s="2"/>
      <c r="M35" s="2"/>
      <c r="N35" s="2"/>
      <c r="O35" s="2"/>
      <c r="P35" s="2"/>
      <c r="Q35" s="2"/>
      <c r="R35" s="2"/>
      <c r="S35" s="2"/>
    </row>
    <row r="36" ht="22.5" customHeight="1">
      <c r="A36" s="3">
        <v>35.0</v>
      </c>
      <c r="B36" s="3" t="s">
        <v>2400</v>
      </c>
      <c r="C36" s="3" t="s">
        <v>2401</v>
      </c>
      <c r="D36" s="3" t="s">
        <v>2345</v>
      </c>
      <c r="E36" s="3" t="s">
        <v>2402</v>
      </c>
      <c r="F36" s="2"/>
      <c r="G36" s="3" t="str">
        <f>IFERROR(__xludf.DUMMYFUNCTION("GOOGLETRANSLATE(A36, ""it"", ""en"")"),"35")</f>
        <v>35</v>
      </c>
      <c r="H36" s="3" t="str">
        <f>IFERROR(__xludf.DUMMYFUNCTION("GOOGLETRANSLATE(B36, ""it"", ""en"")"),"What happens if a player enters the water before getting the referee's permission?")</f>
        <v>What happens if a player enters the water before getting the referee's permission?</v>
      </c>
      <c r="I36" s="3" t="str">
        <f>IFERROR(__xludf.DUMMYFUNCTION("GOOGLETRANSLATE(C36, ""it"", ""en"")"),"A. Nothing B. The team receives a penalty C. A penalty is awarded D. The team is sent off")</f>
        <v>A. Nothing B. The team receives a penalty C. A penalty is awarded D. The team is sent off</v>
      </c>
      <c r="J36" s="3" t="str">
        <f>IFERROR(__xludf.DUMMYFUNCTION("GOOGLETRANSLATE(D36, ""it"", ""en"")"),"A penalty is awarded")</f>
        <v>A penalty is awarded</v>
      </c>
      <c r="K36" s="3" t="str">
        <f>IFERROR(__xludf.DUMMYFUNCTION("GOOGLETRANSLATE(E36, ""it"", ""en"")"),"Entering without permission may result in a penalty being awarded.")</f>
        <v>Entering without permission may result in a penalty being awarded.</v>
      </c>
      <c r="L36" s="2"/>
      <c r="M36" s="2"/>
      <c r="N36" s="2"/>
      <c r="O36" s="2"/>
      <c r="P36" s="2"/>
      <c r="Q36" s="2"/>
      <c r="R36" s="2"/>
      <c r="S36" s="2"/>
    </row>
    <row r="37" ht="22.5" customHeight="1">
      <c r="A37" s="3">
        <v>36.0</v>
      </c>
      <c r="B37" s="3" t="s">
        <v>2403</v>
      </c>
      <c r="C37" s="3" t="s">
        <v>2404</v>
      </c>
      <c r="D37" s="3" t="s">
        <v>2405</v>
      </c>
      <c r="E37" s="3" t="s">
        <v>2406</v>
      </c>
      <c r="F37" s="2"/>
      <c r="G37" s="3" t="str">
        <f>IFERROR(__xludf.DUMMYFUNCTION("GOOGLETRANSLATE(A37, ""it"", ""en"")"),"36")</f>
        <v>36</v>
      </c>
      <c r="H37" s="3" t="str">
        <f>IFERROR(__xludf.DUMMYFUNCTION("GOOGLETRANSLATE(B37, ""it"", ""en"")"),"How high is the top edge of a water polo goal?")</f>
        <v>How high is the top edge of a water polo goal?</v>
      </c>
      <c r="I37" s="3" t="str">
        <f>IFERROR(__xludf.DUMMYFUNCTION("GOOGLETRANSLATE(C37, ""it"", ""en"")"),"A. 1.5 meters B. 2 meters C. 0.9 meters D. 1 meter")</f>
        <v>A. 1.5 meters B. 2 meters C. 0.9 meters D. 1 meter</v>
      </c>
      <c r="J37" s="3" t="str">
        <f>IFERROR(__xludf.DUMMYFUNCTION("GOOGLETRANSLATE(D37, ""it"", ""en"")"),"0.9 meters")</f>
        <v>0.9 meters</v>
      </c>
      <c r="K37" s="3" t="str">
        <f>IFERROR(__xludf.DUMMYFUNCTION("GOOGLETRANSLATE(E37, ""it"", ""en"")"),"The top edge of a regulation goal is 0.9 metres high.")</f>
        <v>The top edge of a regulation goal is 0.9 metres high.</v>
      </c>
      <c r="L37" s="2"/>
      <c r="M37" s="2"/>
      <c r="N37" s="2"/>
      <c r="O37" s="2"/>
      <c r="P37" s="2"/>
      <c r="Q37" s="2"/>
      <c r="R37" s="2"/>
      <c r="S37" s="2"/>
    </row>
    <row r="38" ht="22.5" customHeight="1">
      <c r="A38" s="3">
        <v>37.0</v>
      </c>
      <c r="B38" s="3" t="s">
        <v>2407</v>
      </c>
      <c r="C38" s="3" t="s">
        <v>2408</v>
      </c>
      <c r="D38" s="3" t="s">
        <v>2409</v>
      </c>
      <c r="E38" s="3" t="s">
        <v>2410</v>
      </c>
      <c r="F38" s="2"/>
      <c r="G38" s="3" t="str">
        <f>IFERROR(__xludf.DUMMYFUNCTION("GOOGLETRANSLATE(A38, ""it"", ""en"")"),"37")</f>
        <v>37</v>
      </c>
      <c r="H38" s="3" t="str">
        <f>IFERROR(__xludf.DUMMYFUNCTION("GOOGLETRANSLATE(B38, ""it"", ""en"")"),"What color is the ball used in women's water polo matches?")</f>
        <v>What color is the ball used in women's water polo matches?</v>
      </c>
      <c r="I38" s="3" t="str">
        <f>IFERROR(__xludf.DUMMYFUNCTION("GOOGLETRANSLATE(C38, ""it"", ""en"")"),"A. Blue B. Yellow C. Red D. Green")</f>
        <v>A. Blue B. Yellow C. Red D. Green</v>
      </c>
      <c r="J38" s="3" t="str">
        <f>IFERROR(__xludf.DUMMYFUNCTION("GOOGLETRANSLATE(D38, ""it"", ""en"")"),"Yellow")</f>
        <v>Yellow</v>
      </c>
      <c r="K38" s="3" t="str">
        <f>IFERROR(__xludf.DUMMYFUNCTION("GOOGLETRANSLATE(E38, ""it"", ""en"")"),"The ball used in women's matches is yellow.")</f>
        <v>The ball used in women's matches is yellow.</v>
      </c>
      <c r="L38" s="2"/>
      <c r="M38" s="2"/>
      <c r="N38" s="2"/>
      <c r="O38" s="2"/>
      <c r="P38" s="2"/>
      <c r="Q38" s="2"/>
      <c r="R38" s="2"/>
      <c r="S38" s="2"/>
    </row>
    <row r="39" ht="22.5" customHeight="1">
      <c r="A39" s="3">
        <v>38.0</v>
      </c>
      <c r="B39" s="3" t="s">
        <v>2411</v>
      </c>
      <c r="C39" s="3" t="s">
        <v>1094</v>
      </c>
      <c r="D39" s="3" t="s">
        <v>657</v>
      </c>
      <c r="E39" s="3" t="s">
        <v>2412</v>
      </c>
      <c r="F39" s="2"/>
      <c r="G39" s="3" t="str">
        <f>IFERROR(__xludf.DUMMYFUNCTION("GOOGLETRANSLATE(A39, ""it"", ""en"")"),"38")</f>
        <v>38</v>
      </c>
      <c r="H39" s="3" t="str">
        <f>IFERROR(__xludf.DUMMYFUNCTION("GOOGLETRANSLATE(B39, ""it"", ""en"")"),"What distance should defenders maintain during a free throw?")</f>
        <v>What distance should defenders maintain during a free throw?</v>
      </c>
      <c r="I39" s="3" t="str">
        <f>IFERROR(__xludf.DUMMYFUNCTION("GOOGLETRANSLATE(C39, ""it"", ""en"")"),"A. 1 meter B. 2 meters C. 3 meters D. 4 meters")</f>
        <v>A. 1 meter B. 2 meters C. 3 meters D. 4 meters</v>
      </c>
      <c r="J39" s="3" t="str">
        <f>IFERROR(__xludf.DUMMYFUNCTION("GOOGLETRANSLATE(D39, ""it"", ""en"")"),"2 meters")</f>
        <v>2 meters</v>
      </c>
      <c r="K39" s="3" t="str">
        <f>IFERROR(__xludf.DUMMYFUNCTION("GOOGLETRANSLATE(E39, ""it"", ""en"")"),"Defenders must maintain a distance of at least 2 meters during a free throw.")</f>
        <v>Defenders must maintain a distance of at least 2 meters during a free throw.</v>
      </c>
      <c r="L39" s="2"/>
      <c r="M39" s="2"/>
      <c r="N39" s="2"/>
      <c r="O39" s="2"/>
      <c r="P39" s="2"/>
      <c r="Q39" s="2"/>
      <c r="R39" s="2"/>
      <c r="S39" s="2"/>
    </row>
    <row r="40" ht="22.5" customHeight="1">
      <c r="A40" s="3">
        <v>39.0</v>
      </c>
      <c r="B40" s="3" t="s">
        <v>2413</v>
      </c>
      <c r="C40" s="3" t="s">
        <v>2414</v>
      </c>
      <c r="D40" s="3" t="s">
        <v>2308</v>
      </c>
      <c r="E40" s="3" t="s">
        <v>2415</v>
      </c>
      <c r="F40" s="2"/>
      <c r="G40" s="3" t="str">
        <f>IFERROR(__xludf.DUMMYFUNCTION("GOOGLETRANSLATE(A40, ""it"", ""en"")"),"39")</f>
        <v>39</v>
      </c>
      <c r="H40" s="3" t="str">
        <f>IFERROR(__xludf.DUMMYFUNCTION("GOOGLETRANSLATE(B40, ""it"", ""en"")"),"What happens if the ball is held out of the water for more than 5 seconds?")</f>
        <v>What happens if the ball is held out of the water for more than 5 seconds?</v>
      </c>
      <c r="I40" s="3" t="str">
        <f>IFERROR(__xludf.DUMMYFUNCTION("GOOGLETRANSLATE(C40, ""it"", ""en"")"),"A. Nothing B. A foul is called C. A penalty is awarded D. Possession changes")</f>
        <v>A. Nothing B. A foul is called C. A penalty is awarded D. Possession changes</v>
      </c>
      <c r="J40" s="3" t="str">
        <f>IFERROR(__xludf.DUMMYFUNCTION("GOOGLETRANSLATE(D40, ""it"", ""en"")"),"A foul is called")</f>
        <v>A foul is called</v>
      </c>
      <c r="K40" s="3" t="str">
        <f>IFERROR(__xludf.DUMMYFUNCTION("GOOGLETRANSLATE(E40, ""it"", ""en"")"),"It is not allowed to hold the ball out of the water for too long.")</f>
        <v>It is not allowed to hold the ball out of the water for too long.</v>
      </c>
      <c r="L40" s="2"/>
      <c r="M40" s="2"/>
      <c r="N40" s="2"/>
      <c r="O40" s="2"/>
      <c r="P40" s="2"/>
      <c r="Q40" s="2"/>
      <c r="R40" s="2"/>
      <c r="S40" s="2"/>
    </row>
    <row r="41" ht="22.5" customHeight="1">
      <c r="A41" s="3">
        <v>40.0</v>
      </c>
      <c r="B41" s="3" t="s">
        <v>2416</v>
      </c>
      <c r="C41" s="3" t="s">
        <v>2417</v>
      </c>
      <c r="D41" s="3" t="s">
        <v>2418</v>
      </c>
      <c r="E41" s="3" t="s">
        <v>2419</v>
      </c>
      <c r="F41" s="2"/>
      <c r="G41" s="3" t="str">
        <f>IFERROR(__xludf.DUMMYFUNCTION("GOOGLETRANSLATE(A41, ""it"", ""en"")"),"40")</f>
        <v>40</v>
      </c>
      <c r="H41" s="3" t="str">
        <f>IFERROR(__xludf.DUMMYFUNCTION("GOOGLETRANSLATE(B41, ""it"", ""en"")"),"What does a yellow card shown to a coach mean?")</f>
        <v>What does a yellow card shown to a coach mean?</v>
      </c>
      <c r="I41" s="3" t="str">
        <f>IFERROR(__xludf.DUMMYFUNCTION("GOOGLETRANSLATE(C41, ""it"", ""en"")"),"A. Official warning B. Immediate expulsion C. Permission to substitute D. Disciplinary warning")</f>
        <v>A. Official warning B. Immediate expulsion C. Permission to substitute D. Disciplinary warning</v>
      </c>
      <c r="J41" s="3" t="str">
        <f>IFERROR(__xludf.DUMMYFUNCTION("GOOGLETRANSLATE(D41, ""it"", ""en"")"),"Official warning")</f>
        <v>Official warning</v>
      </c>
      <c r="K41" s="3" t="str">
        <f>IFERROR(__xludf.DUMMYFUNCTION("GOOGLETRANSLATE(E41, ""it"", ""en"")"),"A yellow card is an official warning to the coach.")</f>
        <v>A yellow card is an official warning to the coach.</v>
      </c>
      <c r="L41" s="2"/>
      <c r="M41" s="2"/>
      <c r="N41" s="2"/>
      <c r="O41" s="2"/>
      <c r="P41" s="2"/>
      <c r="Q41" s="2"/>
      <c r="R41" s="2"/>
      <c r="S41" s="2"/>
    </row>
    <row r="42" ht="22.5" customHeight="1">
      <c r="A42" s="3">
        <v>41.0</v>
      </c>
      <c r="B42" s="3" t="s">
        <v>2420</v>
      </c>
      <c r="C42" s="3" t="s">
        <v>2294</v>
      </c>
      <c r="D42" s="3" t="s">
        <v>2421</v>
      </c>
      <c r="E42" s="3" t="s">
        <v>2422</v>
      </c>
      <c r="F42" s="2"/>
      <c r="G42" s="3" t="str">
        <f>IFERROR(__xludf.DUMMYFUNCTION("GOOGLETRANSLATE(A42, ""it"", ""en"")"),"41")</f>
        <v>41</v>
      </c>
      <c r="H42" s="3" t="str">
        <f>IFERROR(__xludf.DUMMYFUNCTION("GOOGLETRANSLATE(B42, ""it"", ""en"")"),"What is the diameter of the ball used in women's water polo?")</f>
        <v>What is the diameter of the ball used in women's water polo?</v>
      </c>
      <c r="I42" s="3" t="str">
        <f>IFERROR(__xludf.DUMMYFUNCTION("GOOGLETRANSLATE(C42, ""it"", ""en"")"),"A. 65-67 cm B. 68-70 cm C. 60-62 cm D. 72-74 cm")</f>
        <v>A. 65-67 cm B. 68-70 cm C. 60-62 cm D. 72-74 cm</v>
      </c>
      <c r="J42" s="3" t="str">
        <f>IFERROR(__xludf.DUMMYFUNCTION("GOOGLETRANSLATE(D42, ""it"", ""en"")"),"65-67 cm")</f>
        <v>65-67 cm</v>
      </c>
      <c r="K42" s="3" t="str">
        <f>IFERROR(__xludf.DUMMYFUNCTION("GOOGLETRANSLATE(E42, ""it"", ""en"")"),"The women's ball has a diameter of 65-67 cm.")</f>
        <v>The women's ball has a diameter of 65-67 cm.</v>
      </c>
      <c r="L42" s="2"/>
      <c r="M42" s="2"/>
      <c r="N42" s="2"/>
      <c r="O42" s="2"/>
      <c r="P42" s="2"/>
      <c r="Q42" s="2"/>
      <c r="R42" s="2"/>
      <c r="S42" s="2"/>
    </row>
    <row r="43" ht="22.5" customHeight="1">
      <c r="A43" s="3">
        <v>42.0</v>
      </c>
      <c r="B43" s="3" t="s">
        <v>2423</v>
      </c>
      <c r="C43" s="3" t="s">
        <v>2424</v>
      </c>
      <c r="D43" s="3" t="s">
        <v>2425</v>
      </c>
      <c r="E43" s="3" t="s">
        <v>2426</v>
      </c>
      <c r="F43" s="2"/>
      <c r="G43" s="3" t="str">
        <f>IFERROR(__xludf.DUMMYFUNCTION("GOOGLETRANSLATE(A43, ""it"", ""en"")"),"42")</f>
        <v>42</v>
      </c>
      <c r="H43" s="3" t="str">
        <f>IFERROR(__xludf.DUMMYFUNCTION("GOOGLETRANSLATE(B43, ""it"", ""en"")"),"What happens if a team fields more players than allowed in the water?")</f>
        <v>What happens if a team fields more players than allowed in the water?</v>
      </c>
      <c r="I43" s="3" t="str">
        <f>IFERROR(__xludf.DUMMYFUNCTION("GOOGLETRANSLATE(C43, ""it"", ""en"")"),"A. Nothing B. The opposing team receives a penalty C. A player is temporarily sent off D. Possession of the ball changes")</f>
        <v>A. Nothing B. The opposing team receives a penalty C. A player is temporarily sent off D. Possession of the ball changes</v>
      </c>
      <c r="J43" s="3" t="str">
        <f>IFERROR(__xludf.DUMMYFUNCTION("GOOGLETRANSLATE(D43, ""it"", ""en"")"),"A player is temporarily suspended")</f>
        <v>A player is temporarily suspended</v>
      </c>
      <c r="K43" s="3" t="str">
        <f>IFERROR(__xludf.DUMMYFUNCTION("GOOGLETRANSLATE(E43, ""it"", ""en"")"),"Fielding too many players will result in a temporary suspension.")</f>
        <v>Fielding too many players will result in a temporary suspension.</v>
      </c>
      <c r="L43" s="2"/>
      <c r="M43" s="2"/>
      <c r="N43" s="2"/>
      <c r="O43" s="2"/>
      <c r="P43" s="2"/>
      <c r="Q43" s="2"/>
      <c r="R43" s="2"/>
      <c r="S43" s="2"/>
    </row>
    <row r="44" ht="22.5" customHeight="1">
      <c r="A44" s="3">
        <v>43.0</v>
      </c>
      <c r="B44" s="3" t="s">
        <v>2427</v>
      </c>
      <c r="C44" s="3" t="s">
        <v>2428</v>
      </c>
      <c r="D44" s="3" t="s">
        <v>2429</v>
      </c>
      <c r="E44" s="3" t="s">
        <v>2430</v>
      </c>
      <c r="F44" s="2"/>
      <c r="G44" s="3" t="str">
        <f>IFERROR(__xludf.DUMMYFUNCTION("GOOGLETRANSLATE(A44, ""it"", ""en"")"),"43")</f>
        <v>43</v>
      </c>
      <c r="H44" s="3" t="str">
        <f>IFERROR(__xludf.DUMMYFUNCTION("GOOGLETRANSLATE(B44, ""it"", ""en"")"),"What do the white lines 5 meters from the goal represent?")</f>
        <v>What do the white lines 5 meters from the goal represent?</v>
      </c>
      <c r="I44" s="3" t="str">
        <f>IFERROR(__xludf.DUMMYFUNCTION("GOOGLETRANSLATE(C44, ""it"", ""en"")"),"A. Goalkeeper's area B. Penalty area C. Direct kick area D. Throw-in area")</f>
        <v>A. Goalkeeper's area B. Penalty area C. Direct kick area D. Throw-in area</v>
      </c>
      <c r="J44" s="3" t="str">
        <f>IFERROR(__xludf.DUMMYFUNCTION("GOOGLETRANSLATE(D44, ""it"", ""en"")"),"Direct shooting area")</f>
        <v>Direct shooting area</v>
      </c>
      <c r="K44" s="3" t="str">
        <f>IFERROR(__xludf.DUMMYFUNCTION("GOOGLETRANSLATE(E44, ""it"", ""en"")"),"The white lines at 5 meters indicate the distance for direct shots.")</f>
        <v>The white lines at 5 meters indicate the distance for direct shots.</v>
      </c>
      <c r="L44" s="2"/>
      <c r="M44" s="2"/>
      <c r="N44" s="2"/>
      <c r="O44" s="2"/>
      <c r="P44" s="2"/>
      <c r="Q44" s="2"/>
      <c r="R44" s="2"/>
      <c r="S44" s="2"/>
    </row>
    <row r="45" ht="22.5" customHeight="1">
      <c r="A45" s="3">
        <v>44.0</v>
      </c>
      <c r="B45" s="3" t="s">
        <v>2431</v>
      </c>
      <c r="C45" s="3" t="s">
        <v>2432</v>
      </c>
      <c r="D45" s="3" t="s">
        <v>82</v>
      </c>
      <c r="E45" s="3" t="s">
        <v>2433</v>
      </c>
      <c r="F45" s="2"/>
      <c r="G45" s="3" t="str">
        <f>IFERROR(__xludf.DUMMYFUNCTION("GOOGLETRANSLATE(A45, ""it"", ""en"")"),"44")</f>
        <v>44</v>
      </c>
      <c r="H45" s="3" t="str">
        <f>IFERROR(__xludf.DUMMYFUNCTION("GOOGLETRANSLATE(B45, ""it"", ""en"")"),"How many free substitutions can a team make during a match?")</f>
        <v>How many free substitutions can a team make during a match?</v>
      </c>
      <c r="I45" s="3" t="str">
        <f>IFERROR(__xludf.DUMMYFUNCTION("GOOGLETRANSLATE(C45, ""it"", ""en"")"),"A. 5 B. 7 C. Unlimited D. 10")</f>
        <v>A. 5 B. 7 C. Unlimited D. 10</v>
      </c>
      <c r="J45" s="3" t="str">
        <f>IFERROR(__xludf.DUMMYFUNCTION("GOOGLETRANSLATE(D45, ""it"", ""en"")"),"Unlimited")</f>
        <v>Unlimited</v>
      </c>
      <c r="K45" s="3" t="str">
        <f>IFERROR(__xludf.DUMMYFUNCTION("GOOGLETRANSLATE(E45, ""it"", ""en"")"),"Teams can make an unlimited number of substitutions during the game.")</f>
        <v>Teams can make an unlimited number of substitutions during the game.</v>
      </c>
      <c r="L45" s="2"/>
      <c r="M45" s="2"/>
      <c r="N45" s="2"/>
      <c r="O45" s="2"/>
      <c r="P45" s="2"/>
      <c r="Q45" s="2"/>
      <c r="R45" s="2"/>
      <c r="S45" s="2"/>
    </row>
    <row r="46" ht="22.5" customHeight="1">
      <c r="A46" s="3">
        <v>45.0</v>
      </c>
      <c r="B46" s="3" t="s">
        <v>2434</v>
      </c>
      <c r="C46" s="3" t="s">
        <v>2435</v>
      </c>
      <c r="D46" s="3" t="s">
        <v>2436</v>
      </c>
      <c r="E46" s="3" t="s">
        <v>2437</v>
      </c>
      <c r="F46" s="2"/>
      <c r="G46" s="3" t="str">
        <f>IFERROR(__xludf.DUMMYFUNCTION("GOOGLETRANSLATE(A46, ""it"", ""en"")"),"45")</f>
        <v>45</v>
      </c>
      <c r="H46" s="3" t="str">
        <f>IFERROR(__xludf.DUMMYFUNCTION("GOOGLETRANSLATE(B46, ""it"", ""en"")"),"What is the signal used to indicate the end of a period of play?")</f>
        <v>What is the signal used to indicate the end of a period of play?</v>
      </c>
      <c r="I46" s="3" t="str">
        <f>IFERROR(__xludf.DUMMYFUNCTION("GOOGLETRANSLATE(C46, ""it"", ""en"")"),"A. A whistle B. A siren C. A drumbeat D. A sign")</f>
        <v>A. A whistle B. A siren C. A drumbeat D. A sign</v>
      </c>
      <c r="J46" s="3" t="str">
        <f>IFERROR(__xludf.DUMMYFUNCTION("GOOGLETRANSLATE(D46, ""it"", ""en"")"),"A mermaid")</f>
        <v>A mermaid</v>
      </c>
      <c r="K46" s="3" t="str">
        <f>IFERROR(__xludf.DUMMYFUNCTION("GOOGLETRANSLATE(E46, ""it"", ""en"")"),"A siren indicates the end of a period of play.")</f>
        <v>A siren indicates the end of a period of play.</v>
      </c>
      <c r="L46" s="2"/>
      <c r="M46" s="2"/>
      <c r="N46" s="2"/>
      <c r="O46" s="2"/>
      <c r="P46" s="2"/>
      <c r="Q46" s="2"/>
      <c r="R46" s="2"/>
      <c r="S46" s="2"/>
    </row>
    <row r="47" ht="22.5" customHeight="1">
      <c r="A47" s="3">
        <v>46.0</v>
      </c>
      <c r="B47" s="3" t="s">
        <v>2438</v>
      </c>
      <c r="C47" s="3" t="s">
        <v>2439</v>
      </c>
      <c r="D47" s="3" t="s">
        <v>2440</v>
      </c>
      <c r="E47" s="3" t="s">
        <v>2441</v>
      </c>
      <c r="F47" s="2"/>
      <c r="G47" s="3" t="str">
        <f>IFERROR(__xludf.DUMMYFUNCTION("GOOGLETRANSLATE(A47, ""it"", ""en"")"),"46")</f>
        <v>46</v>
      </c>
      <c r="H47" s="3" t="str">
        <f>IFERROR(__xludf.DUMMYFUNCTION("GOOGLETRANSLATE(B47, ""it"", ""en"")"),"What happens if a player shoots the ball with both hands?")</f>
        <v>What happens if a player shoots the ball with both hands?</v>
      </c>
      <c r="I47" s="3" t="str">
        <f>IFERROR(__xludf.DUMMYFUNCTION("GOOGLETRANSLATE(C47, ""it"", ""en"")"),"A. Nothing B. A foul is awarded C. A caution is given D. The shot is disallowed")</f>
        <v>A. Nothing B. A foul is awarded C. A caution is given D. The shot is disallowed</v>
      </c>
      <c r="J47" s="3" t="str">
        <f>IFERROR(__xludf.DUMMYFUNCTION("GOOGLETRANSLATE(D47, ""it"", ""en"")"),"A foul is awarded")</f>
        <v>A foul is awarded</v>
      </c>
      <c r="K47" s="3" t="str">
        <f>IFERROR(__xludf.DUMMYFUNCTION("GOOGLETRANSLATE(E47, ""it"", ""en"")"),"It is not permitted to use both hands to shoot.")</f>
        <v>It is not permitted to use both hands to shoot.</v>
      </c>
      <c r="L47" s="2"/>
      <c r="M47" s="2"/>
      <c r="N47" s="2"/>
      <c r="O47" s="2"/>
      <c r="P47" s="2"/>
      <c r="Q47" s="2"/>
      <c r="R47" s="2"/>
      <c r="S47" s="2"/>
    </row>
    <row r="48" ht="22.5" customHeight="1">
      <c r="A48" s="3">
        <v>47.0</v>
      </c>
      <c r="B48" s="3" t="s">
        <v>2442</v>
      </c>
      <c r="C48" s="3" t="s">
        <v>2443</v>
      </c>
      <c r="D48" s="3" t="s">
        <v>2444</v>
      </c>
      <c r="E48" s="3" t="s">
        <v>2445</v>
      </c>
      <c r="F48" s="2"/>
      <c r="G48" s="3" t="str">
        <f>IFERROR(__xludf.DUMMYFUNCTION("GOOGLETRANSLATE(A48, ""it"", ""en"")"),"47")</f>
        <v>47</v>
      </c>
      <c r="H48" s="3" t="str">
        <f>IFERROR(__xludf.DUMMYFUNCTION("GOOGLETRANSLATE(B48, ""it"", ""en"")"),"What does a 2-meter line from the goal indicate?")</f>
        <v>What does a 2-meter line from the goal indicate?</v>
      </c>
      <c r="I48" s="3" t="str">
        <f>IFERROR(__xludf.DUMMYFUNCTION("GOOGLETRANSLATE(C48, ""it"", ""en"")"),"A. Goalkeeper's area B. Offside area C. Penalty area D. Expulsion area")</f>
        <v>A. Goalkeeper's area B. Offside area C. Penalty area D. Expulsion area</v>
      </c>
      <c r="J48" s="3" t="str">
        <f>IFERROR(__xludf.DUMMYFUNCTION("GOOGLETRANSLATE(D48, ""it"", ""en"")"),"Offside area")</f>
        <v>Offside area</v>
      </c>
      <c r="K48" s="3" t="str">
        <f>IFERROR(__xludf.DUMMYFUNCTION("GOOGLETRANSLATE(E48, ""it"", ""en"")"),"The 2-metre line indicates the offside area for attacking players.")</f>
        <v>The 2-metre line indicates the offside area for attacking players.</v>
      </c>
      <c r="L48" s="2"/>
      <c r="M48" s="2"/>
      <c r="N48" s="2"/>
      <c r="O48" s="2"/>
      <c r="P48" s="2"/>
      <c r="Q48" s="2"/>
      <c r="R48" s="2"/>
      <c r="S48" s="2"/>
    </row>
    <row r="49" ht="22.5" customHeight="1">
      <c r="A49" s="3">
        <v>48.0</v>
      </c>
      <c r="B49" s="3" t="s">
        <v>2446</v>
      </c>
      <c r="C49" s="3" t="s">
        <v>2447</v>
      </c>
      <c r="D49" s="3" t="s">
        <v>2448</v>
      </c>
      <c r="E49" s="3" t="s">
        <v>2449</v>
      </c>
      <c r="F49" s="2"/>
      <c r="G49" s="3" t="str">
        <f>IFERROR(__xludf.DUMMYFUNCTION("GOOGLETRANSLATE(A49, ""it"", ""en"")"),"48")</f>
        <v>48</v>
      </c>
      <c r="H49" s="3" t="str">
        <f>IFERROR(__xludf.DUMMYFUNCTION("GOOGLETRANSLATE(B49, ""it"", ""en"")"),"Who can call a timeout during the game?")</f>
        <v>Who can call a timeout during the game?</v>
      </c>
      <c r="I49" s="3" t="str">
        <f>IFERROR(__xludf.DUMMYFUNCTION("GOOGLETRANSLATE(C49, ""it"", ""en"")"),"A. A player B. The goalkeeper C. A coach D. The referee")</f>
        <v>A. A player B. The goalkeeper C. A coach D. The referee</v>
      </c>
      <c r="J49" s="3" t="str">
        <f>IFERROR(__xludf.DUMMYFUNCTION("GOOGLETRANSLATE(D49, ""it"", ""en"")"),"A coach")</f>
        <v>A coach</v>
      </c>
      <c r="K49" s="3" t="str">
        <f>IFERROR(__xludf.DUMMYFUNCTION("GOOGLETRANSLATE(E49, ""it"", ""en"")"),"Only coaches can call a time-out.")</f>
        <v>Only coaches can call a time-out.</v>
      </c>
      <c r="L49" s="2"/>
      <c r="M49" s="2"/>
      <c r="N49" s="2"/>
      <c r="O49" s="2"/>
      <c r="P49" s="2"/>
      <c r="Q49" s="2"/>
      <c r="R49" s="2"/>
      <c r="S49" s="2"/>
    </row>
    <row r="50" ht="22.5" customHeight="1">
      <c r="A50" s="3">
        <v>49.0</v>
      </c>
      <c r="B50" s="3" t="s">
        <v>2450</v>
      </c>
      <c r="C50" s="3" t="s">
        <v>2451</v>
      </c>
      <c r="D50" s="3" t="s">
        <v>2452</v>
      </c>
      <c r="E50" s="3" t="s">
        <v>2453</v>
      </c>
      <c r="F50" s="2"/>
      <c r="G50" s="3" t="str">
        <f>IFERROR(__xludf.DUMMYFUNCTION("GOOGLETRANSLATE(A50, ""it"", ""en"")"),"49")</f>
        <v>49</v>
      </c>
      <c r="H50" s="3" t="str">
        <f>IFERROR(__xludf.DUMMYFUNCTION("GOOGLETRANSLATE(B50, ""it"", ""en"")"),"How much time does a player have to take a penalty shot?")</f>
        <v>How much time does a player have to take a penalty shot?</v>
      </c>
      <c r="I50" s="3" t="str">
        <f>IFERROR(__xludf.DUMMYFUNCTION("GOOGLETRANSLATE(C50, ""it"", ""en"")"),"A. 5 seconds B. 6 seconds C. 8 seconds D. 10 seconds")</f>
        <v>A. 5 seconds B. 6 seconds C. 8 seconds D. 10 seconds</v>
      </c>
      <c r="J50" s="3" t="str">
        <f>IFERROR(__xludf.DUMMYFUNCTION("GOOGLETRANSLATE(D50, ""it"", ""en"")"),"5 seconds")</f>
        <v>5 seconds</v>
      </c>
      <c r="K50" s="3" t="str">
        <f>IFERROR(__xludf.DUMMYFUNCTION("GOOGLETRANSLATE(E50, ""it"", ""en"")"),"A player has 5 seconds to take a penalty.")</f>
        <v>A player has 5 seconds to take a penalty.</v>
      </c>
      <c r="L50" s="2"/>
      <c r="M50" s="2"/>
      <c r="N50" s="2"/>
      <c r="O50" s="2"/>
      <c r="P50" s="2"/>
      <c r="Q50" s="2"/>
      <c r="R50" s="2"/>
      <c r="S50" s="2"/>
    </row>
    <row r="51" ht="22.5" customHeight="1">
      <c r="A51" s="3">
        <v>50.0</v>
      </c>
      <c r="B51" s="3" t="s">
        <v>2454</v>
      </c>
      <c r="C51" s="3" t="s">
        <v>2455</v>
      </c>
      <c r="D51" s="3" t="s">
        <v>2456</v>
      </c>
      <c r="E51" s="3" t="s">
        <v>2457</v>
      </c>
      <c r="F51" s="2"/>
      <c r="G51" s="3" t="str">
        <f>IFERROR(__xludf.DUMMYFUNCTION("GOOGLETRANSLATE(A51, ""it"", ""en"")"),"50")</f>
        <v>50</v>
      </c>
      <c r="H51" s="3" t="str">
        <f>IFERROR(__xludf.DUMMYFUNCTION("GOOGLETRANSLATE(B51, ""it"", ""en"")"),"What happens if a goalkeeper touches the ball beyond the halfway line?")</f>
        <v>What happens if a goalkeeper touches the ball beyond the halfway line?</v>
      </c>
      <c r="I51" s="3" t="str">
        <f>IFERROR(__xludf.DUMMYFUNCTION("GOOGLETRANSLATE(C51, ""it"", ""en"")"),"A. Nothing B. A foul is called C. Possession changes D. The goalkeeper is cautioned")</f>
        <v>A. Nothing B. A foul is called C. Possession changes D. The goalkeeper is cautioned</v>
      </c>
      <c r="J51" s="3" t="str">
        <f>IFERROR(__xludf.DUMMYFUNCTION("GOOGLETRANSLATE(D51, ""it"", ""en"")"),"Possession changes")</f>
        <v>Possession changes</v>
      </c>
      <c r="K51" s="3" t="str">
        <f>IFERROR(__xludf.DUMMYFUNCTION("GOOGLETRANSLATE(E51, ""it"", ""en"")"),"The goalkeeper cannot touch the ball beyond the halfway line.")</f>
        <v>The goalkeeper cannot touch the ball beyond the halfway line.</v>
      </c>
      <c r="L51" s="2"/>
      <c r="M51" s="2"/>
      <c r="N51" s="2"/>
      <c r="O51" s="2"/>
      <c r="P51" s="2"/>
      <c r="Q51" s="2"/>
      <c r="R51" s="2"/>
      <c r="S51" s="2"/>
    </row>
    <row r="52" ht="22.5" customHeight="1">
      <c r="A52" s="3">
        <v>51.0</v>
      </c>
      <c r="B52" s="3" t="s">
        <v>2458</v>
      </c>
      <c r="C52" s="3" t="s">
        <v>2459</v>
      </c>
      <c r="D52" s="3" t="s">
        <v>2460</v>
      </c>
      <c r="E52" s="3" t="s">
        <v>2461</v>
      </c>
      <c r="F52" s="2"/>
      <c r="G52" s="3" t="str">
        <f>IFERROR(__xludf.DUMMYFUNCTION("GOOGLETRANSLATE(A52, ""it"", ""en"")"),"51")</f>
        <v>51</v>
      </c>
      <c r="H52" s="3" t="str">
        <f>IFERROR(__xludf.DUMMYFUNCTION("GOOGLETRANSLATE(B52, ""it"", ""en"")"),"How wide should a regulation water polo pool be?")</f>
        <v>How wide should a regulation water polo pool be?</v>
      </c>
      <c r="I52" s="3" t="str">
        <f>IFERROR(__xludf.DUMMYFUNCTION("GOOGLETRANSLATE(C52, ""it"", ""en"")"),"A. 15 meters B. 20 meters C. 25 meters D. 30 meters")</f>
        <v>A. 15 meters B. 20 meters C. 25 meters D. 30 meters</v>
      </c>
      <c r="J52" s="3" t="str">
        <f>IFERROR(__xludf.DUMMYFUNCTION("GOOGLETRANSLATE(D52, ""it"", ""en"")"),"20 meters")</f>
        <v>20 meters</v>
      </c>
      <c r="K52" s="3" t="str">
        <f>IFERROR(__xludf.DUMMYFUNCTION("GOOGLETRANSLATE(E52, ""it"", ""en"")"),"The regulation width is 20 metres.")</f>
        <v>The regulation width is 20 metres.</v>
      </c>
      <c r="L52" s="2"/>
      <c r="M52" s="2"/>
      <c r="N52" s="2"/>
      <c r="O52" s="2"/>
      <c r="P52" s="2"/>
      <c r="Q52" s="2"/>
      <c r="R52" s="2"/>
      <c r="S52" s="2"/>
    </row>
    <row r="53" ht="22.5" customHeight="1">
      <c r="A53" s="3">
        <v>52.0</v>
      </c>
      <c r="B53" s="3" t="s">
        <v>2462</v>
      </c>
      <c r="C53" s="3" t="s">
        <v>2463</v>
      </c>
      <c r="D53" s="3" t="s">
        <v>2464</v>
      </c>
      <c r="E53" s="3" t="s">
        <v>2465</v>
      </c>
      <c r="F53" s="2"/>
      <c r="G53" s="3" t="str">
        <f>IFERROR(__xludf.DUMMYFUNCTION("GOOGLETRANSLATE(A53, ""it"", ""en"")"),"52")</f>
        <v>52</v>
      </c>
      <c r="H53" s="3" t="str">
        <f>IFERROR(__xludf.DUMMYFUNCTION("GOOGLETRANSLATE(B53, ""it"", ""en"")"),"What is the penalty for a brutality foul?")</f>
        <v>What is the penalty for a brutality foul?</v>
      </c>
      <c r="I53" s="3" t="str">
        <f>IFERROR(__xludf.DUMMYFUNCTION("GOOGLETRANSLATE(C53, ""it"", ""en"")"),"A. Permanent expulsion B. Temporary expulsion C. Awarding of a penalty D. Warning")</f>
        <v>A. Permanent expulsion B. Temporary expulsion C. Awarding of a penalty D. Warning</v>
      </c>
      <c r="J53" s="3" t="str">
        <f>IFERROR(__xludf.DUMMYFUNCTION("GOOGLETRANSLATE(D53, ""it"", ""en"")"),"Permanent expulsion")</f>
        <v>Permanent expulsion</v>
      </c>
      <c r="K53" s="3" t="str">
        <f>IFERROR(__xludf.DUMMYFUNCTION("GOOGLETRANSLATE(E53, ""it"", ""en"")"),"A brutal foul leads to a permanent expulsion.")</f>
        <v>A brutal foul leads to a permanent expulsion.</v>
      </c>
      <c r="L53" s="2"/>
      <c r="M53" s="2"/>
      <c r="N53" s="2"/>
      <c r="O53" s="2"/>
      <c r="P53" s="2"/>
      <c r="Q53" s="2"/>
      <c r="R53" s="2"/>
      <c r="S53" s="2"/>
    </row>
    <row r="54" ht="22.5" customHeight="1">
      <c r="A54" s="3">
        <v>53.0</v>
      </c>
      <c r="B54" s="3" t="s">
        <v>2466</v>
      </c>
      <c r="C54" s="3" t="s">
        <v>2467</v>
      </c>
      <c r="D54" s="3" t="s">
        <v>2341</v>
      </c>
      <c r="E54" s="3" t="s">
        <v>2468</v>
      </c>
      <c r="F54" s="2"/>
      <c r="G54" s="3" t="str">
        <f>IFERROR(__xludf.DUMMYFUNCTION("GOOGLETRANSLATE(A54, ""it"", ""en"")"),"53")</f>
        <v>53</v>
      </c>
      <c r="H54" s="3" t="str">
        <f>IFERROR(__xludf.DUMMYFUNCTION("GOOGLETRANSLATE(B54, ""it"", ""en"")"),"How many meters must a player swim for a free exchange?")</f>
        <v>How many meters must a player swim for a free exchange?</v>
      </c>
      <c r="I54" s="3" t="str">
        <f>IFERROR(__xludf.DUMMYFUNCTION("GOOGLETRANSLATE(C54, ""it"", ""en"")"),"A. 2 meters B. 3 meters C. 5 meters D. 7 meters")</f>
        <v>A. 2 meters B. 3 meters C. 5 meters D. 7 meters</v>
      </c>
      <c r="J54" s="3" t="str">
        <f>IFERROR(__xludf.DUMMYFUNCTION("GOOGLETRANSLATE(D54, ""it"", ""en"")"),"10 foot")</f>
        <v>10 foot</v>
      </c>
      <c r="K54" s="3" t="str">
        <f>IFERROR(__xludf.DUMMYFUNCTION("GOOGLETRANSLATE(E54, ""it"", ""en"")"),"A player must swim to the 3-meter line to make a free change.")</f>
        <v>A player must swim to the 3-meter line to make a free change.</v>
      </c>
      <c r="L54" s="2"/>
      <c r="M54" s="2"/>
      <c r="N54" s="2"/>
      <c r="O54" s="2"/>
      <c r="P54" s="2"/>
      <c r="Q54" s="2"/>
      <c r="R54" s="2"/>
      <c r="S54" s="2"/>
    </row>
    <row r="55" ht="22.5" customHeight="1">
      <c r="A55" s="3">
        <v>54.0</v>
      </c>
      <c r="B55" s="3" t="s">
        <v>2469</v>
      </c>
      <c r="C55" s="3" t="s">
        <v>2470</v>
      </c>
      <c r="D55" s="3" t="s">
        <v>2471</v>
      </c>
      <c r="E55" s="3" t="s">
        <v>2472</v>
      </c>
      <c r="F55" s="2"/>
      <c r="G55" s="3" t="str">
        <f>IFERROR(__xludf.DUMMYFUNCTION("GOOGLETRANSLATE(A55, ""it"", ""en"")"),"54")</f>
        <v>54</v>
      </c>
      <c r="H55" s="3" t="str">
        <f>IFERROR(__xludf.DUMMYFUNCTION("GOOGLETRANSLATE(B55, ""it"", ""en"")"),"What happens if the ball hits the edge of the pool?")</f>
        <v>What happens if the ball hits the edge of the pool?</v>
      </c>
      <c r="I55" s="3" t="str">
        <f>IFERROR(__xludf.DUMMYFUNCTION("GOOGLETRANSLATE(C55, ""it"", ""en"")"),"A. Nothing B. A foul is called C. Possession changes D. A throw-in is awarded")</f>
        <v>A. Nothing B. A foul is called C. Possession changes D. A throw-in is awarded</v>
      </c>
      <c r="J55" s="3" t="str">
        <f>IFERROR(__xludf.DUMMYFUNCTION("GOOGLETRANSLATE(D55, ""it"", ""en"")"),"A throw-in is awarded")</f>
        <v>A throw-in is awarded</v>
      </c>
      <c r="K55" s="3" t="str">
        <f>IFERROR(__xludf.DUMMYFUNCTION("GOOGLETRANSLATE(E55, ""it"", ""en"")"),"If the ball touches the edge")</f>
        <v>If the ball touches the edge</v>
      </c>
      <c r="L55" s="2"/>
      <c r="M55" s="2"/>
      <c r="N55" s="2"/>
      <c r="O55" s="2"/>
      <c r="P55" s="2"/>
      <c r="Q55" s="2"/>
      <c r="R55" s="2"/>
      <c r="S55" s="2"/>
    </row>
    <row r="56" ht="22.5" customHeight="1">
      <c r="A56" s="3">
        <v>55.0</v>
      </c>
      <c r="B56" s="3" t="s">
        <v>2359</v>
      </c>
      <c r="C56" s="3" t="s">
        <v>2473</v>
      </c>
      <c r="D56" s="3" t="s">
        <v>2444</v>
      </c>
      <c r="E56" s="3" t="s">
        <v>2474</v>
      </c>
      <c r="F56" s="2"/>
      <c r="G56" s="3" t="str">
        <f>IFERROR(__xludf.DUMMYFUNCTION("GOOGLETRANSLATE(A56, ""it"", ""en"")"),"55")</f>
        <v>55</v>
      </c>
      <c r="H56" s="3" t="str">
        <f>IFERROR(__xludf.DUMMYFUNCTION("GOOGLETRANSLATE(B56, ""it"", ""en"")"),"What do the red lines 2 meters from the goal represent?")</f>
        <v>What do the red lines 2 meters from the goal represent?</v>
      </c>
      <c r="I56" s="3" t="str">
        <f>IFERROR(__xludf.DUMMYFUNCTION("GOOGLETRANSLATE(C56, ""it"", ""en"")"),"A. Penalty area B. Offside area C. Goalkeeper's area D. Free throw area")</f>
        <v>A. Penalty area B. Offside area C. Goalkeeper's area D. Free throw area</v>
      </c>
      <c r="J56" s="3" t="str">
        <f>IFERROR(__xludf.DUMMYFUNCTION("GOOGLETRANSLATE(D56, ""it"", ""en"")"),"Offside area")</f>
        <v>Offside area</v>
      </c>
      <c r="K56" s="3" t="str">
        <f>IFERROR(__xludf.DUMMYFUNCTION("GOOGLETRANSLATE(E56, ""it"", ""en"")"),"Players cannot receive passes inside the 2-metre area if they are already positioned there.")</f>
        <v>Players cannot receive passes inside the 2-metre area if they are already positioned there.</v>
      </c>
      <c r="L56" s="2"/>
      <c r="M56" s="2"/>
      <c r="N56" s="2"/>
      <c r="O56" s="2"/>
      <c r="P56" s="2"/>
      <c r="Q56" s="2"/>
      <c r="R56" s="2"/>
      <c r="S56" s="2"/>
    </row>
    <row r="57" ht="22.5" customHeight="1">
      <c r="A57" s="3">
        <v>56.0</v>
      </c>
      <c r="B57" s="3" t="s">
        <v>2475</v>
      </c>
      <c r="C57" s="3" t="s">
        <v>2476</v>
      </c>
      <c r="D57" s="3" t="s">
        <v>2477</v>
      </c>
      <c r="E57" s="3" t="s">
        <v>2478</v>
      </c>
      <c r="F57" s="2"/>
      <c r="G57" s="3" t="str">
        <f>IFERROR(__xludf.DUMMYFUNCTION("GOOGLETRANSLATE(A57, ""it"", ""en"")"),"56")</f>
        <v>56</v>
      </c>
      <c r="H57" s="3" t="str">
        <f>IFERROR(__xludf.DUMMYFUNCTION("GOOGLETRANSLATE(B57, ""it"", ""en"")"),"What does it mean if a referee raises both arms?")</f>
        <v>What does it mean if a referee raises both arms?</v>
      </c>
      <c r="I57" s="3" t="str">
        <f>IFERROR(__xludf.DUMMYFUNCTION("GOOGLETRANSLATE(C57, ""it"", ""en"")"),"A. Indicates a valid goal B. Indicates a foul C. Signals the end of possession D. Awards a penalty")</f>
        <v>A. Indicates a valid goal B. Indicates a foul C. Signals the end of possession D. Awards a penalty</v>
      </c>
      <c r="J57" s="3" t="str">
        <f>IFERROR(__xludf.DUMMYFUNCTION("GOOGLETRANSLATE(D57, ""it"", ""en"")"),"Report the end of possession")</f>
        <v>Report the end of possession</v>
      </c>
      <c r="K57" s="3" t="str">
        <f>IFERROR(__xludf.DUMMYFUNCTION("GOOGLETRANSLATE(E57, ""it"", ""en"")"),"The referee raises both arms to indicate the end of possession.")</f>
        <v>The referee raises both arms to indicate the end of possession.</v>
      </c>
      <c r="L57" s="2"/>
      <c r="M57" s="2"/>
      <c r="N57" s="2"/>
      <c r="O57" s="2"/>
      <c r="P57" s="2"/>
      <c r="Q57" s="2"/>
      <c r="R57" s="2"/>
      <c r="S57" s="2"/>
    </row>
    <row r="58" ht="22.5" customHeight="1">
      <c r="A58" s="3">
        <v>57.0</v>
      </c>
      <c r="B58" s="3" t="s">
        <v>2479</v>
      </c>
      <c r="C58" s="3" t="s">
        <v>2480</v>
      </c>
      <c r="D58" s="3" t="s">
        <v>2481</v>
      </c>
      <c r="E58" s="3" t="s">
        <v>2482</v>
      </c>
      <c r="F58" s="2"/>
      <c r="G58" s="3" t="str">
        <f>IFERROR(__xludf.DUMMYFUNCTION("GOOGLETRANSLATE(A58, ""it"", ""en"")"),"57")</f>
        <v>57</v>
      </c>
      <c r="H58" s="3" t="str">
        <f>IFERROR(__xludf.DUMMYFUNCTION("GOOGLETRANSLATE(B58, ""it"", ""en"")"),"What happens if a goalkeeper hits an opponent?")</f>
        <v>What happens if a goalkeeper hits an opponent?</v>
      </c>
      <c r="I58" s="3" t="str">
        <f>IFERROR(__xludf.DUMMYFUNCTION("GOOGLETRANSLATE(C58, ""it"", ""en"")"),"A. Nothing B. He is cautioned C. He is sent off D. He is replaced")</f>
        <v>A. Nothing B. He is cautioned C. He is sent off D. He is replaced</v>
      </c>
      <c r="J58" s="3" t="str">
        <f>IFERROR(__xludf.DUMMYFUNCTION("GOOGLETRANSLATE(D58, ""it"", ""en"")"),"He is expelled")</f>
        <v>He is expelled</v>
      </c>
      <c r="K58" s="3" t="str">
        <f>IFERROR(__xludf.DUMMYFUNCTION("GOOGLETRANSLATE(E58, ""it"", ""en"")"),"A goalkeeper who hits an opponent is subject to a red card.")</f>
        <v>A goalkeeper who hits an opponent is subject to a red card.</v>
      </c>
      <c r="L58" s="2"/>
      <c r="M58" s="2"/>
      <c r="N58" s="2"/>
      <c r="O58" s="2"/>
      <c r="P58" s="2"/>
      <c r="Q58" s="2"/>
      <c r="R58" s="2"/>
      <c r="S58" s="2"/>
    </row>
    <row r="59" ht="22.5" customHeight="1">
      <c r="A59" s="3">
        <v>58.0</v>
      </c>
      <c r="B59" s="3" t="s">
        <v>2483</v>
      </c>
      <c r="C59" s="3" t="s">
        <v>2484</v>
      </c>
      <c r="D59" s="3" t="s">
        <v>2485</v>
      </c>
      <c r="E59" s="3" t="s">
        <v>2486</v>
      </c>
      <c r="F59" s="2"/>
      <c r="G59" s="3" t="str">
        <f>IFERROR(__xludf.DUMMYFUNCTION("GOOGLETRANSLATE(A59, ""it"", ""en"")"),"58")</f>
        <v>58</v>
      </c>
      <c r="H59" s="3" t="str">
        <f>IFERROR(__xludf.DUMMYFUNCTION("GOOGLETRANSLATE(B59, ""it"", ""en"")"),"What happens if the ball doesn't quite go into the goal?")</f>
        <v>What happens if the ball doesn't quite go into the goal?</v>
      </c>
      <c r="I59" s="3" t="str">
        <f>IFERROR(__xludf.DUMMYFUNCTION("GOOGLETRANSLATE(C59, ""it"", ""en"")"),"A. Nothing B. It is considered a goal C. A foul is called D. Possession changes")</f>
        <v>A. Nothing B. It is considered a goal C. A foul is called D. Possession changes</v>
      </c>
      <c r="J59" s="3" t="str">
        <f>IFERROR(__xludf.DUMMYFUNCTION("GOOGLETRANSLATE(D59, ""it"", ""en"")"),"Nothing")</f>
        <v>Nothing</v>
      </c>
      <c r="K59" s="3" t="str">
        <f>IFERROR(__xludf.DUMMYFUNCTION("GOOGLETRANSLATE(E59, ""it"", ""en"")"),"A goal is only valid if the ball completely crosses the goal line.")</f>
        <v>A goal is only valid if the ball completely crosses the goal line.</v>
      </c>
      <c r="L59" s="2"/>
      <c r="M59" s="2"/>
      <c r="N59" s="2"/>
      <c r="O59" s="2"/>
      <c r="P59" s="2"/>
      <c r="Q59" s="2"/>
      <c r="R59" s="2"/>
      <c r="S59" s="2"/>
    </row>
    <row r="60" ht="22.5" customHeight="1">
      <c r="A60" s="3">
        <v>59.0</v>
      </c>
      <c r="B60" s="3" t="s">
        <v>2487</v>
      </c>
      <c r="C60" s="3" t="s">
        <v>2488</v>
      </c>
      <c r="D60" s="3" t="s">
        <v>2489</v>
      </c>
      <c r="E60" s="3" t="s">
        <v>2490</v>
      </c>
      <c r="F60" s="2"/>
      <c r="G60" s="3" t="str">
        <f>IFERROR(__xludf.DUMMYFUNCTION("GOOGLETRANSLATE(A60, ""it"", ""en"")"),"59")</f>
        <v>59</v>
      </c>
      <c r="H60" s="3" t="str">
        <f>IFERROR(__xludf.DUMMYFUNCTION("GOOGLETRANSLATE(B60, ""it"", ""en"")"),"What is the maximum height of a regulation water polo pool?")</f>
        <v>What is the maximum height of a regulation water polo pool?</v>
      </c>
      <c r="I60" s="3" t="str">
        <f>IFERROR(__xludf.DUMMYFUNCTION("GOOGLETRANSLATE(C60, ""it"", ""en"")"),"A. 2 meters B. 2.5 meters C. 3 meters D. There is no limit")</f>
        <v>A. 2 meters B. 2.5 meters C. 3 meters D. There is no limit</v>
      </c>
      <c r="J60" s="3" t="str">
        <f>IFERROR(__xludf.DUMMYFUNCTION("GOOGLETRANSLATE(D60, ""it"", ""en"")"),"There is no limit")</f>
        <v>There is no limit</v>
      </c>
      <c r="K60" s="3" t="str">
        <f>IFERROR(__xludf.DUMMYFUNCTION("GOOGLETRANSLATE(E60, ""it"", ""en"")"),"The pool has no set maximum height limit.")</f>
        <v>The pool has no set maximum height limit.</v>
      </c>
      <c r="L60" s="2"/>
      <c r="M60" s="2"/>
      <c r="N60" s="2"/>
      <c r="O60" s="2"/>
      <c r="P60" s="2"/>
      <c r="Q60" s="2"/>
      <c r="R60" s="2"/>
      <c r="S60" s="2"/>
    </row>
    <row r="61" ht="22.5" customHeight="1">
      <c r="A61" s="3">
        <v>60.0</v>
      </c>
      <c r="B61" s="3" t="s">
        <v>2491</v>
      </c>
      <c r="C61" s="3" t="s">
        <v>2492</v>
      </c>
      <c r="D61" s="3" t="s">
        <v>2493</v>
      </c>
      <c r="E61" s="3" t="s">
        <v>2494</v>
      </c>
      <c r="F61" s="2"/>
      <c r="G61" s="3" t="str">
        <f>IFERROR(__xludf.DUMMYFUNCTION("GOOGLETRANSLATE(A61, ""it"", ""en"")"),"60")</f>
        <v>60</v>
      </c>
      <c r="H61" s="3" t="str">
        <f>IFERROR(__xludf.DUMMYFUNCTION("GOOGLETRANSLATE(B61, ""it"", ""en"")"),"How do you score a valid goal in water polo?")</f>
        <v>How do you score a valid goal in water polo?</v>
      </c>
      <c r="I61" s="3" t="str">
        <f>IFERROR(__xludf.DUMMYFUNCTION("GOOGLETRANSLATE(C61, ""it"", ""en"")"),"A. Shooting with two hands B. Shooting with one hand C. Pushing the ball D. Shooting the ball over the goal line with the whole ball")</f>
        <v>A. Shooting with two hands B. Shooting with one hand C. Pushing the ball D. Shooting the ball over the goal line with the whole ball</v>
      </c>
      <c r="J61" s="3" t="str">
        <f>IFERROR(__xludf.DUMMYFUNCTION("GOOGLETRANSLATE(D61, ""it"", ""en"")"),"Kicking the ball over the goal line with the whole sphere")</f>
        <v>Kicking the ball over the goal line with the whole sphere</v>
      </c>
      <c r="K61" s="3" t="str">
        <f>IFERROR(__xludf.DUMMYFUNCTION("GOOGLETRANSLATE(E61, ""it"", ""en"")"),"A goal is only valid if the entire ball crosses the goal line.")</f>
        <v>A goal is only valid if the entire ball crosses the goal line.</v>
      </c>
      <c r="L61" s="2"/>
      <c r="M61" s="2"/>
      <c r="N61" s="2"/>
      <c r="O61" s="2"/>
      <c r="P61" s="2"/>
      <c r="Q61" s="2"/>
      <c r="R61" s="2"/>
      <c r="S61" s="2"/>
    </row>
    <row r="62" ht="22.5" customHeight="1">
      <c r="A62" s="3">
        <v>61.0</v>
      </c>
      <c r="B62" s="3" t="s">
        <v>2495</v>
      </c>
      <c r="C62" s="3" t="s">
        <v>2496</v>
      </c>
      <c r="D62" s="3">
        <v>6.0</v>
      </c>
      <c r="E62" s="3" t="s">
        <v>2497</v>
      </c>
      <c r="F62" s="2"/>
      <c r="G62" s="3" t="str">
        <f>IFERROR(__xludf.DUMMYFUNCTION("GOOGLETRANSLATE(A62, ""it"", ""en"")"),"61")</f>
        <v>61</v>
      </c>
      <c r="H62" s="3" t="str">
        <f>IFERROR(__xludf.DUMMYFUNCTION("GOOGLETRANSLATE(B62, ""it"", ""en"")"),"What is the minimum number of players needed to start a water polo game?")</f>
        <v>What is the minimum number of players needed to start a water polo game?</v>
      </c>
      <c r="I62" s="3" t="str">
        <f>IFERROR(__xludf.DUMMYFUNCTION("GOOGLETRANSLATE(C62, ""it"", ""en"")"),"A. 5 B. 6 C. 7 D. 8")</f>
        <v>A. 5 B. 6 C. 7 D. 8</v>
      </c>
      <c r="J62" s="3" t="str">
        <f>IFERROR(__xludf.DUMMYFUNCTION("GOOGLETRANSLATE(D62, ""it"", ""en"")"),"6")</f>
        <v>6</v>
      </c>
      <c r="K62" s="3" t="str">
        <f>IFERROR(__xludf.DUMMYFUNCTION("GOOGLETRANSLATE(E62, ""it"", ""en"")"),"To start a game")</f>
        <v>To start a game</v>
      </c>
      <c r="L62" s="2"/>
      <c r="M62" s="2"/>
      <c r="N62" s="2"/>
      <c r="O62" s="2"/>
      <c r="P62" s="2"/>
      <c r="Q62" s="2"/>
      <c r="R62" s="2"/>
      <c r="S62" s="2"/>
    </row>
    <row r="63" ht="22.5" customHeight="1">
      <c r="A63" s="3">
        <v>62.0</v>
      </c>
      <c r="B63" s="3" t="s">
        <v>2498</v>
      </c>
      <c r="C63" s="3" t="s">
        <v>2499</v>
      </c>
      <c r="D63" s="3" t="s">
        <v>2500</v>
      </c>
      <c r="E63" s="3" t="s">
        <v>2501</v>
      </c>
      <c r="F63" s="2"/>
      <c r="G63" s="3" t="str">
        <f>IFERROR(__xludf.DUMMYFUNCTION("GOOGLETRANSLATE(A63, ""it"", ""en"")"),"62")</f>
        <v>62</v>
      </c>
      <c r="H63" s="3" t="str">
        <f>IFERROR(__xludf.DUMMYFUNCTION("GOOGLETRANSLATE(B63, ""it"", ""en"")"),"What type of foul is committed when a player impedes an opponent's movement with his body?")</f>
        <v>What type of foul is committed when a player impedes an opponent's movement with his body?</v>
      </c>
      <c r="I63" s="3" t="str">
        <f>IFERROR(__xludf.DUMMYFUNCTION("GOOGLETRANSLATE(C63, ""it"", ""en"")"),"A. Technical foul B. Serious foul C. Minor foul D. Playing foul")</f>
        <v>A. Technical foul B. Serious foul C. Minor foul D. Playing foul</v>
      </c>
      <c r="J63" s="3" t="str">
        <f>IFERROR(__xludf.DUMMYFUNCTION("GOOGLETRANSLATE(D63, ""it"", ""en"")"),"Minor foul")</f>
        <v>Minor foul</v>
      </c>
      <c r="K63" s="3" t="str">
        <f>IFERROR(__xludf.DUMMYFUNCTION("GOOGLETRANSLATE(E63, ""it"", ""en"")"),"Light physical contact that is not intentional is a minor foul.")</f>
        <v>Light physical contact that is not intentional is a minor foul.</v>
      </c>
      <c r="L63" s="2"/>
      <c r="M63" s="2"/>
      <c r="N63" s="2"/>
      <c r="O63" s="2"/>
      <c r="P63" s="2"/>
      <c r="Q63" s="2"/>
      <c r="R63" s="2"/>
      <c r="S63" s="2"/>
    </row>
    <row r="64" ht="22.5" customHeight="1">
      <c r="A64" s="3">
        <v>63.0</v>
      </c>
      <c r="B64" s="3" t="s">
        <v>2502</v>
      </c>
      <c r="C64" s="3" t="s">
        <v>2503</v>
      </c>
      <c r="D64" s="3" t="s">
        <v>2504</v>
      </c>
      <c r="E64" s="3" t="s">
        <v>2505</v>
      </c>
      <c r="F64" s="2"/>
      <c r="G64" s="3" t="str">
        <f>IFERROR(__xludf.DUMMYFUNCTION("GOOGLETRANSLATE(A64, ""it"", ""en"")"),"63")</f>
        <v>63</v>
      </c>
      <c r="H64" s="3" t="str">
        <f>IFERROR(__xludf.DUMMYFUNCTION("GOOGLETRANSLATE(B64, ""it"", ""en"")"),"What happens if the ball is thrown out of the pool during a game?")</f>
        <v>What happens if the ball is thrown out of the pool during a game?</v>
      </c>
      <c r="I64" s="3" t="str">
        <f>IFERROR(__xludf.DUMMYFUNCTION("GOOGLETRANSLATE(C64, ""it"", ""en"")"),"A. The opposing team is awarded a throw-in B. A penalty is awarded C. The ball is contested D. A foul is awarded")</f>
        <v>A. The opposing team is awarded a throw-in B. A penalty is awarded C. The ball is contested D. A foul is awarded</v>
      </c>
      <c r="J64" s="3" t="str">
        <f>IFERROR(__xludf.DUMMYFUNCTION("GOOGLETRANSLATE(D64, ""it"", ""en"")"),"The opposing team gets a throw-in")</f>
        <v>The opposing team gets a throw-in</v>
      </c>
      <c r="K64" s="3" t="str">
        <f>IFERROR(__xludf.DUMMYFUNCTION("GOOGLETRANSLATE(E64, ""it"", ""en"")"),"The team that knocks the ball out loses possession.")</f>
        <v>The team that knocks the ball out loses possession.</v>
      </c>
      <c r="L64" s="2"/>
      <c r="M64" s="2"/>
      <c r="N64" s="2"/>
      <c r="O64" s="2"/>
      <c r="P64" s="2"/>
      <c r="Q64" s="2"/>
      <c r="R64" s="2"/>
      <c r="S64" s="2"/>
    </row>
    <row r="65" ht="22.5" customHeight="1">
      <c r="A65" s="3">
        <v>64.0</v>
      </c>
      <c r="B65" s="3" t="s">
        <v>2506</v>
      </c>
      <c r="C65" s="3" t="s">
        <v>2507</v>
      </c>
      <c r="D65" s="3" t="s">
        <v>710</v>
      </c>
      <c r="E65" s="3" t="s">
        <v>2508</v>
      </c>
      <c r="F65" s="2"/>
      <c r="G65" s="3" t="str">
        <f>IFERROR(__xludf.DUMMYFUNCTION("GOOGLETRANSLATE(A65, ""it"", ""en"")"),"64")</f>
        <v>64</v>
      </c>
      <c r="H65" s="3" t="str">
        <f>IFERROR(__xludf.DUMMYFUNCTION("GOOGLETRANSLATE(B65, ""it"", ""en"")"),"Who is responsible for determining whether a goal is a valid goal?")</f>
        <v>Who is responsible for determining whether a goal is a valid goal?</v>
      </c>
      <c r="I65" s="3" t="str">
        <f>IFERROR(__xludf.DUMMYFUNCTION("GOOGLETRANSLATE(C65, ""it"", ""en"")"),"A. The referee B. The goalkeeper C. The team captain D. The match official")</f>
        <v>A. The referee B. The goalkeeper C. The team captain D. The match official</v>
      </c>
      <c r="J65" s="3" t="str">
        <f>IFERROR(__xludf.DUMMYFUNCTION("GOOGLETRANSLATE(D65, ""it"", ""en"")"),"The referee")</f>
        <v>The referee</v>
      </c>
      <c r="K65" s="3" t="str">
        <f>IFERROR(__xludf.DUMMYFUNCTION("GOOGLETRANSLATE(E65, ""it"", ""en"")"),"It is the referee's job to decide whether the goal is valid or not.")</f>
        <v>It is the referee's job to decide whether the goal is valid or not.</v>
      </c>
      <c r="L65" s="2"/>
      <c r="M65" s="2"/>
      <c r="N65" s="2"/>
      <c r="O65" s="2"/>
      <c r="P65" s="2"/>
      <c r="Q65" s="2"/>
      <c r="R65" s="2"/>
      <c r="S65" s="2"/>
    </row>
    <row r="66" ht="22.5" customHeight="1">
      <c r="A66" s="3">
        <v>65.0</v>
      </c>
      <c r="B66" s="3" t="s">
        <v>2509</v>
      </c>
      <c r="C66" s="3" t="s">
        <v>2510</v>
      </c>
      <c r="D66" s="3" t="s">
        <v>2511</v>
      </c>
      <c r="E66" s="3" t="s">
        <v>2512</v>
      </c>
      <c r="F66" s="2"/>
      <c r="G66" s="3" t="str">
        <f>IFERROR(__xludf.DUMMYFUNCTION("GOOGLETRANSLATE(A66, ""it"", ""en"")"),"65")</f>
        <v>65</v>
      </c>
      <c r="H66" s="3" t="str">
        <f>IFERROR(__xludf.DUMMYFUNCTION("GOOGLETRANSLATE(B66, ""it"", ""en"")"),"What does a line 1 meter from the goal indicate?")</f>
        <v>What does a line 1 meter from the goal indicate?</v>
      </c>
      <c r="I66" s="3" t="str">
        <f>IFERROR(__xludf.DUMMYFUNCTION("GOOGLETRANSLATE(C66, ""it"", ""en"")"),"A. The distance for free throws B. The exclusion zone C. The penalty zone D. The edge of the goalkeeper's crease")</f>
        <v>A. The distance for free throws B. The exclusion zone C. The penalty zone D. The edge of the goalkeeper's crease</v>
      </c>
      <c r="J66" s="3" t="str">
        <f>IFERROR(__xludf.DUMMYFUNCTION("GOOGLETRANSLATE(D66, ""it"", ""en"")"),"The exclusion zone")</f>
        <v>The exclusion zone</v>
      </c>
      <c r="K66" s="3" t="str">
        <f>IFERROR(__xludf.DUMMYFUNCTION("GOOGLETRANSLATE(E66, ""it"", ""en"")"),"The 1-meter line marks the exclusion zone for attacking players.")</f>
        <v>The 1-meter line marks the exclusion zone for attacking players.</v>
      </c>
      <c r="L66" s="2"/>
      <c r="M66" s="2"/>
      <c r="N66" s="2"/>
      <c r="O66" s="2"/>
      <c r="P66" s="2"/>
      <c r="Q66" s="2"/>
      <c r="R66" s="2"/>
      <c r="S66" s="2"/>
    </row>
    <row r="67" ht="22.5" customHeight="1">
      <c r="A67" s="3">
        <v>66.0</v>
      </c>
      <c r="B67" s="3" t="s">
        <v>2513</v>
      </c>
      <c r="C67" s="3" t="s">
        <v>1339</v>
      </c>
      <c r="D67" s="3" t="s">
        <v>2353</v>
      </c>
      <c r="E67" s="3" t="s">
        <v>2514</v>
      </c>
      <c r="F67" s="2"/>
      <c r="G67" s="3" t="str">
        <f>IFERROR(__xludf.DUMMYFUNCTION("GOOGLETRANSLATE(A67, ""it"", ""en"")"),"66")</f>
        <v>66</v>
      </c>
      <c r="H67" s="3" t="str">
        <f>IFERROR(__xludf.DUMMYFUNCTION("GOOGLETRANSLATE(B67, ""it"", ""en"")"),"How long does a player's temporary suspension last in water polo?")</f>
        <v>How long does a player's temporary suspension last in water polo?</v>
      </c>
      <c r="I67" s="3" t="str">
        <f>IFERROR(__xludf.DUMMYFUNCTION("GOOGLETRANSLATE(C67, ""it"", ""en"")"),"A. 10 seconds B. 20 seconds C. 30 seconds D. 1 minute")</f>
        <v>A. 10 seconds B. 20 seconds C. 30 seconds D. 1 minute</v>
      </c>
      <c r="J67" s="3" t="str">
        <f>IFERROR(__xludf.DUMMYFUNCTION("GOOGLETRANSLATE(D67, ""it"", ""en"")"),"20 seconds")</f>
        <v>20 seconds</v>
      </c>
      <c r="K67" s="3" t="str">
        <f>IFERROR(__xludf.DUMMYFUNCTION("GOOGLETRANSLATE(E67, ""it"", ""en"")"),"Temporary ejection lasts 20 seconds.")</f>
        <v>Temporary ejection lasts 20 seconds.</v>
      </c>
      <c r="L67" s="2"/>
      <c r="M67" s="2"/>
      <c r="N67" s="2"/>
      <c r="O67" s="2"/>
      <c r="P67" s="2"/>
      <c r="Q67" s="2"/>
      <c r="R67" s="2"/>
      <c r="S67" s="2"/>
    </row>
    <row r="68" ht="22.5" customHeight="1">
      <c r="A68" s="3">
        <v>67.0</v>
      </c>
      <c r="B68" s="3" t="s">
        <v>2515</v>
      </c>
      <c r="C68" s="3" t="s">
        <v>2516</v>
      </c>
      <c r="D68" s="3" t="s">
        <v>2517</v>
      </c>
      <c r="E68" s="3" t="s">
        <v>2518</v>
      </c>
      <c r="F68" s="2"/>
      <c r="G68" s="3" t="str">
        <f>IFERROR(__xludf.DUMMYFUNCTION("GOOGLETRANSLATE(A68, ""it"", ""en"")"),"67")</f>
        <v>67</v>
      </c>
      <c r="H68" s="3" t="str">
        <f>IFERROR(__xludf.DUMMYFUNCTION("GOOGLETRANSLATE(B68, ""it"", ""en"")"),"Who can score a goal in water polo?")</f>
        <v>Who can score a goal in water polo?</v>
      </c>
      <c r="I68" s="3" t="str">
        <f>IFERROR(__xludf.DUMMYFUNCTION("GOOGLETRANSLATE(C68, ""it"", ""en"")"),"A. Only the goalkeeper B. Any field player C. Only the captain D. Only the defenders")</f>
        <v>A. Only the goalkeeper B. Any field player C. Only the captain D. Only the defenders</v>
      </c>
      <c r="J68" s="3" t="str">
        <f>IFERROR(__xludf.DUMMYFUNCTION("GOOGLETRANSLATE(D68, ""it"", ""en"")"),"Any outfield player")</f>
        <v>Any outfield player</v>
      </c>
      <c r="K68" s="3" t="str">
        <f>IFERROR(__xludf.DUMMYFUNCTION("GOOGLETRANSLATE(E68, ""it"", ""en"")"),"All field players can score a goal.")</f>
        <v>All field players can score a goal.</v>
      </c>
      <c r="L68" s="2"/>
      <c r="M68" s="2"/>
      <c r="N68" s="2"/>
      <c r="O68" s="2"/>
      <c r="P68" s="2"/>
      <c r="Q68" s="2"/>
      <c r="R68" s="2"/>
      <c r="S68" s="2"/>
    </row>
    <row r="69" ht="22.5" customHeight="1">
      <c r="A69" s="3">
        <v>68.0</v>
      </c>
      <c r="B69" s="3" t="s">
        <v>2519</v>
      </c>
      <c r="C69" s="3" t="s">
        <v>2520</v>
      </c>
      <c r="D69" s="3">
        <v>5.0</v>
      </c>
      <c r="E69" s="3" t="s">
        <v>2521</v>
      </c>
      <c r="F69" s="2"/>
      <c r="G69" s="3" t="str">
        <f>IFERROR(__xludf.DUMMYFUNCTION("GOOGLETRANSLATE(A69, ""it"", ""en"")"),"68")</f>
        <v>68</v>
      </c>
      <c r="H69" s="3" t="str">
        <f>IFERROR(__xludf.DUMMYFUNCTION("GOOGLETRANSLATE(B69, ""it"", ""en"")"),"How many penalty shots are taken in a shootout?")</f>
        <v>How many penalty shots are taken in a shootout?</v>
      </c>
      <c r="I69" s="3" t="str">
        <f>IFERROR(__xludf.DUMMYFUNCTION("GOOGLETRANSLATE(C69, ""it"", ""en"")"),"A. 5 B. 7 C. 3 D. 9")</f>
        <v>A. 5 B. 7 C. 3 D. 9</v>
      </c>
      <c r="J69" s="3" t="str">
        <f>IFERROR(__xludf.DUMMYFUNCTION("GOOGLETRANSLATE(D69, ""it"", ""en"")"),"5")</f>
        <v>5</v>
      </c>
      <c r="K69" s="3" t="str">
        <f>IFERROR(__xludf.DUMMYFUNCTION("GOOGLETRANSLATE(E69, ""it"", ""en"")"),"In a series of penalties")</f>
        <v>In a series of penalties</v>
      </c>
      <c r="L69" s="2"/>
      <c r="M69" s="2"/>
      <c r="N69" s="2"/>
      <c r="O69" s="2"/>
      <c r="P69" s="2"/>
      <c r="Q69" s="2"/>
      <c r="R69" s="2"/>
      <c r="S69" s="2"/>
    </row>
    <row r="70" ht="22.5" customHeight="1">
      <c r="A70" s="3">
        <v>69.0</v>
      </c>
      <c r="B70" s="3" t="s">
        <v>2522</v>
      </c>
      <c r="C70" s="3" t="s">
        <v>2523</v>
      </c>
      <c r="D70" s="3" t="s">
        <v>2308</v>
      </c>
      <c r="E70" s="3" t="s">
        <v>2524</v>
      </c>
      <c r="F70" s="2"/>
      <c r="G70" s="3" t="str">
        <f>IFERROR(__xludf.DUMMYFUNCTION("GOOGLETRANSLATE(A70, ""it"", ""en"")"),"69")</f>
        <v>69</v>
      </c>
      <c r="H70" s="3" t="str">
        <f>IFERROR(__xludf.DUMMYFUNCTION("GOOGLETRANSLATE(B70, ""it"", ""en"")"),"What happens if a player intentionally hits the ball with his foot?")</f>
        <v>What happens if a player intentionally hits the ball with his foot?</v>
      </c>
      <c r="I70" s="3" t="str">
        <f>IFERROR(__xludf.DUMMYFUNCTION("GOOGLETRANSLATE(C70, ""it"", ""en"")"),"A. A foul is called B. Nothing happens C. The player is cautioned D. The ball is given to the opposing team")</f>
        <v>A. A foul is called B. Nothing happens C. The player is cautioned D. The ball is given to the opposing team</v>
      </c>
      <c r="J70" s="3" t="str">
        <f>IFERROR(__xludf.DUMMYFUNCTION("GOOGLETRANSLATE(D70, ""it"", ""en"")"),"A foul is called")</f>
        <v>A foul is called</v>
      </c>
      <c r="K70" s="3" t="str">
        <f>IFERROR(__xludf.DUMMYFUNCTION("GOOGLETRANSLATE(E70, ""it"", ""en"")"),"Hitting the ball with your foot is prohibited and is a foul.")</f>
        <v>Hitting the ball with your foot is prohibited and is a foul.</v>
      </c>
      <c r="L70" s="2"/>
      <c r="M70" s="2"/>
      <c r="N70" s="2"/>
      <c r="O70" s="2"/>
      <c r="P70" s="2"/>
      <c r="Q70" s="2"/>
      <c r="R70" s="2"/>
      <c r="S70" s="2"/>
    </row>
    <row r="71" ht="22.5" customHeight="1">
      <c r="A71" s="3">
        <v>70.0</v>
      </c>
      <c r="B71" s="3" t="s">
        <v>2525</v>
      </c>
      <c r="C71" s="3" t="s">
        <v>2364</v>
      </c>
      <c r="D71" s="3" t="s">
        <v>2365</v>
      </c>
      <c r="E71" s="3" t="s">
        <v>2526</v>
      </c>
      <c r="F71" s="2"/>
      <c r="G71" s="3" t="str">
        <f>IFERROR(__xludf.DUMMYFUNCTION("GOOGLETRANSLATE(A71, ""it"", ""en"")"),"70")</f>
        <v>70</v>
      </c>
      <c r="H71" s="3" t="str">
        <f>IFERROR(__xludf.DUMMYFUNCTION("GOOGLETRANSLATE(B71, ""it"", ""en"")"),"How long should an interval between overtimes be?")</f>
        <v>How long should an interval between overtimes be?</v>
      </c>
      <c r="I71" s="3" t="str">
        <f>IFERROR(__xludf.DUMMYFUNCTION("GOOGLETRANSLATE(C71, ""it"", ""en"")"),"A. 1 minute B. 2 minutes C. 3 minutes D. 5 minutes")</f>
        <v>A. 1 minute B. 2 minutes C. 3 minutes D. 5 minutes</v>
      </c>
      <c r="J71" s="3" t="str">
        <f>IFERROR(__xludf.DUMMYFUNCTION("GOOGLETRANSLATE(D71, ""it"", ""en"")"),"2 minutes")</f>
        <v>2 minutes</v>
      </c>
      <c r="K71" s="3" t="str">
        <f>IFERROR(__xludf.DUMMYFUNCTION("GOOGLETRANSLATE(E71, ""it"", ""en"")"),"Each interval between overtime periods lasts 2 minutes.")</f>
        <v>Each interval between overtime periods lasts 2 minutes.</v>
      </c>
      <c r="L71" s="2"/>
      <c r="M71" s="2"/>
      <c r="N71" s="2"/>
      <c r="O71" s="2"/>
      <c r="P71" s="2"/>
      <c r="Q71" s="2"/>
      <c r="R71" s="2"/>
      <c r="S71" s="2"/>
    </row>
    <row r="72" ht="22.5" customHeight="1">
      <c r="A72" s="3">
        <v>71.0</v>
      </c>
      <c r="B72" s="3" t="s">
        <v>2527</v>
      </c>
      <c r="C72" s="3" t="s">
        <v>2528</v>
      </c>
      <c r="D72" s="3" t="s">
        <v>2529</v>
      </c>
      <c r="E72" s="3" t="s">
        <v>2530</v>
      </c>
      <c r="F72" s="2"/>
      <c r="G72" s="3" t="str">
        <f>IFERROR(__xludf.DUMMYFUNCTION("GOOGLETRANSLATE(A72, ""it"", ""en"")"),"71")</f>
        <v>71</v>
      </c>
      <c r="H72" s="3" t="str">
        <f>IFERROR(__xludf.DUMMYFUNCTION("GOOGLETRANSLATE(B72, ""it"", ""en"")"),"What happens if a goalkeeper is unable to play during a match?")</f>
        <v>What happens if a goalkeeper is unable to play during a match?</v>
      </c>
      <c r="I72" s="3" t="str">
        <f>IFERROR(__xludf.DUMMYFUNCTION("GOOGLETRANSLATE(C72, ""it"", ""en"")"),"A. Another player can replace him B. The team automatically loses C. A substitute enters the field D. The team plays without a goalkeeper")</f>
        <v>A. Another player can replace him B. The team automatically loses C. A substitute enters the field D. The team plays without a goalkeeper</v>
      </c>
      <c r="J72" s="3" t="str">
        <f>IFERROR(__xludf.DUMMYFUNCTION("GOOGLETRANSLATE(D72, ""it"", ""en"")"),"Another player can replace him")</f>
        <v>Another player can replace him</v>
      </c>
      <c r="K72" s="3" t="str">
        <f>IFERROR(__xludf.DUMMYFUNCTION("GOOGLETRANSLATE(E72, ""it"", ""en"")"),"Another player on the team can act as goalkeeper.")</f>
        <v>Another player on the team can act as goalkeeper.</v>
      </c>
      <c r="L72" s="2"/>
      <c r="M72" s="2"/>
      <c r="N72" s="2"/>
      <c r="O72" s="2"/>
      <c r="P72" s="2"/>
      <c r="Q72" s="2"/>
      <c r="R72" s="2"/>
      <c r="S72" s="2"/>
    </row>
    <row r="73" ht="22.5" customHeight="1">
      <c r="A73" s="3">
        <v>72.0</v>
      </c>
      <c r="B73" s="3" t="s">
        <v>2531</v>
      </c>
      <c r="C73" s="3" t="s">
        <v>2532</v>
      </c>
      <c r="D73" s="3">
        <v>5.0</v>
      </c>
      <c r="E73" s="3" t="s">
        <v>2533</v>
      </c>
      <c r="F73" s="2"/>
      <c r="G73" s="3" t="str">
        <f>IFERROR(__xludf.DUMMYFUNCTION("GOOGLETRANSLATE(A73, ""it"", ""en"")"),"72")</f>
        <v>72</v>
      </c>
      <c r="H73" s="3" t="str">
        <f>IFERROR(__xludf.DUMMYFUNCTION("GOOGLETRANSLATE(B73, ""it"", ""en"")"),"How many penalties are awarded if a water polo match ends in a draw after extra time?")</f>
        <v>How many penalties are awarded if a water polo match ends in a draw after extra time?</v>
      </c>
      <c r="I73" s="3" t="str">
        <f>IFERROR(__xludf.DUMMYFUNCTION("GOOGLETRANSLATE(C73, ""it"", ""en"")"),"A. 3 B. 5 C. 7 D. 9")</f>
        <v>A. 3 B. 5 C. 7 D. 9</v>
      </c>
      <c r="J73" s="3" t="str">
        <f>IFERROR(__xludf.DUMMYFUNCTION("GOOGLETRANSLATE(D73, ""it"", ""en"")"),"5")</f>
        <v>5</v>
      </c>
      <c r="K73" s="3" t="str">
        <f>IFERROR(__xludf.DUMMYFUNCTION("GOOGLETRANSLATE(E73, ""it"", ""en"")"),"In case of a draw after extra time")</f>
        <v>In case of a draw after extra time</v>
      </c>
      <c r="L73" s="2"/>
      <c r="M73" s="2"/>
      <c r="N73" s="2"/>
      <c r="O73" s="2"/>
      <c r="P73" s="2"/>
      <c r="Q73" s="2"/>
      <c r="R73" s="2"/>
      <c r="S73" s="2"/>
    </row>
    <row r="74" ht="22.5" customHeight="1">
      <c r="A74" s="3">
        <v>73.0</v>
      </c>
      <c r="B74" s="3" t="s">
        <v>2534</v>
      </c>
      <c r="C74" s="3" t="s">
        <v>2535</v>
      </c>
      <c r="D74" s="3" t="s">
        <v>2536</v>
      </c>
      <c r="E74" s="3" t="s">
        <v>2537</v>
      </c>
      <c r="F74" s="2"/>
      <c r="G74" s="3" t="str">
        <f>IFERROR(__xludf.DUMMYFUNCTION("GOOGLETRANSLATE(A74, ""it"", ""en"")"),"73")</f>
        <v>73</v>
      </c>
      <c r="H74" s="3" t="str">
        <f>IFERROR(__xludf.DUMMYFUNCTION("GOOGLETRANSLATE(B74, ""it"", ""en"")"),"What happens when a player commits an offensive foul?")</f>
        <v>What happens when a player commits an offensive foul?</v>
      </c>
      <c r="I74" s="3" t="str">
        <f>IFERROR(__xludf.DUMMYFUNCTION("GOOGLETRANSLATE(C74, ""it"", ""en"")"),"A. The ball goes to the opposing team B. The player is temporarily sent off C. A penalty is awarded D. He is cautioned")</f>
        <v>A. The ball goes to the opposing team B. The player is temporarily sent off C. A penalty is awarded D. He is cautioned</v>
      </c>
      <c r="J74" s="3" t="str">
        <f>IFERROR(__xludf.DUMMYFUNCTION("GOOGLETRANSLATE(D74, ""it"", ""en"")"),"The ball passes to the opposing team")</f>
        <v>The ball passes to the opposing team</v>
      </c>
      <c r="K74" s="3" t="str">
        <f>IFERROR(__xludf.DUMMYFUNCTION("GOOGLETRANSLATE(E74, ""it"", ""en"")"),"An offensive foul results in a change of possession.")</f>
        <v>An offensive foul results in a change of possession.</v>
      </c>
      <c r="L74" s="2"/>
      <c r="M74" s="2"/>
      <c r="N74" s="2"/>
      <c r="O74" s="2"/>
      <c r="P74" s="2"/>
      <c r="Q74" s="2"/>
      <c r="R74" s="2"/>
      <c r="S74" s="2"/>
    </row>
    <row r="75" ht="22.5" customHeight="1">
      <c r="A75" s="3">
        <v>74.0</v>
      </c>
      <c r="B75" s="3" t="s">
        <v>2538</v>
      </c>
      <c r="C75" s="3" t="s">
        <v>2539</v>
      </c>
      <c r="D75" s="3" t="s">
        <v>2540</v>
      </c>
      <c r="E75" s="3"/>
      <c r="F75" s="2"/>
      <c r="G75" s="3" t="str">
        <f>IFERROR(__xludf.DUMMYFUNCTION("GOOGLETRANSLATE(A75, ""it"", ""en"")"),"74")</f>
        <v>74</v>
      </c>
      <c r="H75" s="3" t="str">
        <f>IFERROR(__xludf.DUMMYFUNCTION("GOOGLETRANSLATE(B75, ""it"", ""en"")"),"In what situation is a penalty awarded?")</f>
        <v>In what situation is a penalty awarded?</v>
      </c>
      <c r="I75" s="3" t="str">
        <f>IFERROR(__xludf.DUMMYFUNCTION("GOOGLETRANSLATE(C75, ""it"", ""en"")"),"A. When a player commits a serious defensive foul B. When a player scores a goal C. When the ball goes out of the pool D. When the team is called for a technical foul")</f>
        <v>A. When a player commits a serious defensive foul B. When a player scores a goal C. When the ball goes out of the pool D. When the team is called for a technical foul</v>
      </c>
      <c r="J75" s="3" t="str">
        <f>IFERROR(__xludf.DUMMYFUNCTION("GOOGLETRANSLATE(D75, ""it"", ""en"")"),"When a player commits a serious defensive foul.")</f>
        <v>When a player commits a serious defensive foul.</v>
      </c>
      <c r="K75" s="3" t="str">
        <f>IFERROR(__xludf.DUMMYFUNCTION("GOOGLETRANSLATE(E75, ""it"", ""en"")"),"#VALUE!")</f>
        <v>#VALUE!</v>
      </c>
      <c r="L75" s="2"/>
      <c r="M75" s="2"/>
      <c r="N75" s="2"/>
      <c r="O75" s="2"/>
      <c r="P75" s="2"/>
      <c r="Q75" s="2"/>
      <c r="R75" s="2"/>
      <c r="S75" s="2"/>
    </row>
    <row r="76" ht="22.5" customHeight="1">
      <c r="A76" s="3">
        <v>75.0</v>
      </c>
      <c r="B76" s="3" t="s">
        <v>2541</v>
      </c>
      <c r="C76" s="3" t="s">
        <v>2542</v>
      </c>
      <c r="D76" s="3" t="s">
        <v>82</v>
      </c>
      <c r="E76" s="3" t="s">
        <v>2543</v>
      </c>
      <c r="F76" s="2"/>
      <c r="G76" s="3" t="str">
        <f>IFERROR(__xludf.DUMMYFUNCTION("GOOGLETRANSLATE(A76, ""it"", ""en"")"),"75")</f>
        <v>75</v>
      </c>
      <c r="H76" s="3" t="str">
        <f>IFERROR(__xludf.DUMMYFUNCTION("GOOGLETRANSLATE(B76, ""it"", ""en"")"),"How many substitutions can be made in a match without penalties?")</f>
        <v>How many substitutions can be made in a match without penalties?</v>
      </c>
      <c r="I76" s="3" t="str">
        <f>IFERROR(__xludf.DUMMYFUNCTION("GOOGLETRANSLATE(C76, ""it"", ""en"")"),"A. Unlimited B. 2 C. 4 D. 3")</f>
        <v>A. Unlimited B. 2 C. 4 D. 3</v>
      </c>
      <c r="J76" s="3" t="str">
        <f>IFERROR(__xludf.DUMMYFUNCTION("GOOGLETRANSLATE(D76, ""it"", ""en"")"),"Unlimited")</f>
        <v>Unlimited</v>
      </c>
      <c r="K76" s="3" t="str">
        <f>IFERROR(__xludf.DUMMYFUNCTION("GOOGLETRANSLATE(E76, ""it"", ""en"")"),"There is no limit to the number of substitutions during a water polo game.")</f>
        <v>There is no limit to the number of substitutions during a water polo game.</v>
      </c>
      <c r="L76" s="2"/>
      <c r="M76" s="2"/>
      <c r="N76" s="2"/>
      <c r="O76" s="2"/>
      <c r="P76" s="2"/>
      <c r="Q76" s="2"/>
      <c r="R76" s="2"/>
      <c r="S76" s="2"/>
    </row>
    <row r="77" ht="22.5" customHeight="1">
      <c r="A77" s="3">
        <v>76.0</v>
      </c>
      <c r="B77" s="3" t="s">
        <v>2544</v>
      </c>
      <c r="C77" s="3" t="s">
        <v>2545</v>
      </c>
      <c r="D77" s="3" t="s">
        <v>2485</v>
      </c>
      <c r="E77" s="3" t="s">
        <v>2546</v>
      </c>
      <c r="F77" s="2"/>
      <c r="G77" s="3" t="str">
        <f>IFERROR(__xludf.DUMMYFUNCTION("GOOGLETRANSLATE(A77, ""it"", ""en"")"),"76")</f>
        <v>76</v>
      </c>
      <c r="H77" s="3" t="str">
        <f>IFERROR(__xludf.DUMMYFUNCTION("GOOGLETRANSLATE(B77, ""it"", ""en"")"),"What happens if the ball touches an ejected player?")</f>
        <v>What happens if the ball touches an ejected player?</v>
      </c>
      <c r="I77" s="3" t="str">
        <f>IFERROR(__xludf.DUMMYFUNCTION("GOOGLETRANSLATE(C77, ""it"", ""en"")"),"A. Nothing B. Possession changes C. A penalty is awarded D. The game is stopped")</f>
        <v>A. Nothing B. Possession changes C. A penalty is awarded D. The game is stopped</v>
      </c>
      <c r="J77" s="3" t="str">
        <f>IFERROR(__xludf.DUMMYFUNCTION("GOOGLETRANSLATE(D77, ""it"", ""en"")"),"Nothing")</f>
        <v>Nothing</v>
      </c>
      <c r="K77" s="3" t="str">
        <f>IFERROR(__xludf.DUMMYFUNCTION("GOOGLETRANSLATE(E77, ""it"", ""en"")"),"The ball can touch any player")</f>
        <v>The ball can touch any player</v>
      </c>
      <c r="L77" s="2"/>
      <c r="M77" s="2"/>
      <c r="N77" s="2"/>
      <c r="O77" s="2"/>
      <c r="P77" s="2"/>
      <c r="Q77" s="2"/>
      <c r="R77" s="2"/>
      <c r="S77" s="2"/>
    </row>
    <row r="78" ht="22.5" customHeight="1">
      <c r="A78" s="3">
        <v>77.0</v>
      </c>
      <c r="B78" s="3" t="s">
        <v>2547</v>
      </c>
      <c r="C78" s="3" t="s">
        <v>2548</v>
      </c>
      <c r="D78" s="3" t="s">
        <v>2549</v>
      </c>
      <c r="E78" s="3" t="s">
        <v>2550</v>
      </c>
      <c r="F78" s="2"/>
      <c r="G78" s="3" t="str">
        <f>IFERROR(__xludf.DUMMYFUNCTION("GOOGLETRANSLATE(A78, ""it"", ""en"")"),"77")</f>
        <v>77</v>
      </c>
      <c r="H78" s="3" t="str">
        <f>IFERROR(__xludf.DUMMYFUNCTION("GOOGLETRANSLATE(B78, ""it"", ""en"")"),"What must a player do to receive a pass from a teammate?")</f>
        <v>What must a player do to receive a pass from a teammate?</v>
      </c>
      <c r="I78" s="3" t="str">
        <f>IFERROR(__xludf.DUMMYFUNCTION("GOOGLETRANSLATE(C78, ""it"", ""en"")"),"A. Being in the field of play B. Being out of the field of play C. Being in the offside zone D. Being in the goalkeeper's area")</f>
        <v>A. Being in the field of play B. Being out of the field of play C. Being in the offside zone D. Being in the goalkeeper's area</v>
      </c>
      <c r="J78" s="3" t="str">
        <f>IFERROR(__xludf.DUMMYFUNCTION("GOOGLETRANSLATE(D78, ""it"", ""en"")"),"Being on the playing field")</f>
        <v>Being on the playing field</v>
      </c>
      <c r="K78" s="3" t="str">
        <f>IFERROR(__xludf.DUMMYFUNCTION("GOOGLETRANSLATE(E78, ""it"", ""en"")"),"A player must be in the field to receive a pass.")</f>
        <v>A player must be in the field to receive a pass.</v>
      </c>
      <c r="L78" s="2"/>
      <c r="M78" s="2"/>
      <c r="N78" s="2"/>
      <c r="O78" s="2"/>
      <c r="P78" s="2"/>
      <c r="Q78" s="2"/>
      <c r="R78" s="2"/>
      <c r="S78" s="2"/>
    </row>
    <row r="79" ht="22.5" customHeight="1">
      <c r="A79" s="3">
        <v>78.0</v>
      </c>
      <c r="B79" s="3" t="s">
        <v>2551</v>
      </c>
      <c r="C79" s="3" t="s">
        <v>2552</v>
      </c>
      <c r="D79" s="3" t="s">
        <v>2553</v>
      </c>
      <c r="E79" s="3" t="s">
        <v>2554</v>
      </c>
      <c r="F79" s="2"/>
      <c r="G79" s="3" t="str">
        <f>IFERROR(__xludf.DUMMYFUNCTION("GOOGLETRANSLATE(A79, ""it"", ""en"")"),"78")</f>
        <v>78</v>
      </c>
      <c r="H79" s="3" t="str">
        <f>IFERROR(__xludf.DUMMYFUNCTION("GOOGLETRANSLATE(B79, ""it"", ""en"")"),"What do the lines 3 meters from the goal represent?")</f>
        <v>What do the lines 3 meters from the goal represent?</v>
      </c>
      <c r="I79" s="3" t="str">
        <f>IFERROR(__xludf.DUMMYFUNCTION("GOOGLETRANSLATE(C79, ""it"", ""en"")"),"A. Offside area B. Goalkeeper's area C. Penalty area D. Attacking area")</f>
        <v>A. Offside area B. Goalkeeper's area C. Penalty area D. Attacking area</v>
      </c>
      <c r="J79" s="3" t="str">
        <f>IFERROR(__xludf.DUMMYFUNCTION("GOOGLETRANSLATE(D79, ""it"", ""en"")"),"Attack area")</f>
        <v>Attack area</v>
      </c>
      <c r="K79" s="3" t="str">
        <f>IFERROR(__xludf.DUMMYFUNCTION("GOOGLETRANSLATE(E79, ""it"", ""en"")"),"The 3-meter lines define the attack zone for the players.")</f>
        <v>The 3-meter lines define the attack zone for the players.</v>
      </c>
      <c r="L79" s="2"/>
      <c r="M79" s="2"/>
      <c r="N79" s="2"/>
      <c r="O79" s="2"/>
      <c r="P79" s="2"/>
      <c r="Q79" s="2"/>
      <c r="R79" s="2"/>
      <c r="S79" s="2"/>
    </row>
    <row r="80" ht="22.5" customHeight="1">
      <c r="A80" s="3">
        <v>79.0</v>
      </c>
      <c r="B80" s="3" t="s">
        <v>2555</v>
      </c>
      <c r="C80" s="3" t="s">
        <v>2556</v>
      </c>
      <c r="D80" s="3" t="s">
        <v>2557</v>
      </c>
      <c r="E80" s="3" t="s">
        <v>2558</v>
      </c>
      <c r="F80" s="2"/>
      <c r="G80" s="3" t="str">
        <f>IFERROR(__xludf.DUMMYFUNCTION("GOOGLETRANSLATE(A80, ""it"", ""en"")"),"79")</f>
        <v>79</v>
      </c>
      <c r="H80" s="3" t="str">
        <f>IFERROR(__xludf.DUMMYFUNCTION("GOOGLETRANSLATE(B80, ""it"", ""en"")"),"In what situation can the goalkeeper not touch the ball?")</f>
        <v>In what situation can the goalkeeper not touch the ball?</v>
      </c>
      <c r="I80" s="3" t="str">
        <f>IFERROR(__xludf.DUMMYFUNCTION("GOOGLETRANSLATE(C80, ""it"", ""en"")"),"A. When he is outside his own penalty area B. When he is in possession of the ball C. When he is under attack D. When he has the ball in his hands")</f>
        <v>A. When he is outside his own penalty area B. When he is in possession of the ball C. When he is under attack D. When he has the ball in his hands</v>
      </c>
      <c r="J80" s="3" t="str">
        <f>IFERROR(__xludf.DUMMYFUNCTION("GOOGLETRANSLATE(D80, ""it"", ""en"")"),"When he is out of his area")</f>
        <v>When he is out of his area</v>
      </c>
      <c r="K80" s="3" t="str">
        <f>IFERROR(__xludf.DUMMYFUNCTION("GOOGLETRANSLATE(E80, ""it"", ""en"")"),"The goalkeeper cannot touch the ball if it leaves his own penalty area.")</f>
        <v>The goalkeeper cannot touch the ball if it leaves his own penalty area.</v>
      </c>
      <c r="L80" s="2"/>
      <c r="M80" s="2"/>
      <c r="N80" s="2"/>
      <c r="O80" s="2"/>
      <c r="P80" s="2"/>
      <c r="Q80" s="2"/>
      <c r="R80" s="2"/>
      <c r="S80" s="2"/>
    </row>
    <row r="81" ht="22.5" customHeight="1">
      <c r="A81" s="3">
        <v>80.0</v>
      </c>
      <c r="B81" s="3" t="s">
        <v>2559</v>
      </c>
      <c r="C81" s="3" t="s">
        <v>2364</v>
      </c>
      <c r="D81" s="3" t="s">
        <v>2365</v>
      </c>
      <c r="E81" s="3" t="s">
        <v>2560</v>
      </c>
      <c r="F81" s="2"/>
      <c r="G81" s="3" t="str">
        <f>IFERROR(__xludf.DUMMYFUNCTION("GOOGLETRANSLATE(A81, ""it"", ""en"")"),"80")</f>
        <v>80</v>
      </c>
      <c r="H81" s="3" t="str">
        <f>IFERROR(__xludf.DUMMYFUNCTION("GOOGLETRANSLATE(B81, ""it"", ""en"")"),"What is the minimum length of a pause between beats?")</f>
        <v>What is the minimum length of a pause between beats?</v>
      </c>
      <c r="I81" s="3" t="str">
        <f>IFERROR(__xludf.DUMMYFUNCTION("GOOGLETRANSLATE(C81, ""it"", ""en"")"),"A. 1 minute B. 2 minutes C. 3 minutes D. 5 minutes")</f>
        <v>A. 1 minute B. 2 minutes C. 3 minutes D. 5 minutes</v>
      </c>
      <c r="J81" s="3" t="str">
        <f>IFERROR(__xludf.DUMMYFUNCTION("GOOGLETRANSLATE(D81, ""it"", ""en"")"),"2 minutes")</f>
        <v>2 minutes</v>
      </c>
      <c r="K81" s="3" t="str">
        <f>IFERROR(__xludf.DUMMYFUNCTION("GOOGLETRANSLATE(E81, ""it"", ""en"")"),"Each break between periods lasts at least 2 minutes.")</f>
        <v>Each break between periods lasts at least 2 minutes.</v>
      </c>
      <c r="L81" s="2"/>
      <c r="M81" s="2"/>
      <c r="N81" s="2"/>
      <c r="O81" s="2"/>
      <c r="P81" s="2"/>
      <c r="Q81" s="2"/>
      <c r="R81" s="2"/>
      <c r="S81" s="2"/>
    </row>
    <row r="82" ht="22.5" customHeight="1">
      <c r="A82" s="3">
        <v>81.0</v>
      </c>
      <c r="B82" s="3" t="s">
        <v>2561</v>
      </c>
      <c r="C82" s="3" t="s">
        <v>2562</v>
      </c>
      <c r="D82" s="3" t="s">
        <v>2452</v>
      </c>
      <c r="E82" s="3" t="s">
        <v>2563</v>
      </c>
      <c r="F82" s="2"/>
      <c r="G82" s="3" t="str">
        <f>IFERROR(__xludf.DUMMYFUNCTION("GOOGLETRANSLATE(A82, ""it"", ""en"")"),"81")</f>
        <v>81</v>
      </c>
      <c r="H82" s="3" t="str">
        <f>IFERROR(__xludf.DUMMYFUNCTION("GOOGLETRANSLATE(B82, ""it"", ""en"")"),"How long does a player have to pass the ball after receiving it?")</f>
        <v>How long does a player have to pass the ball after receiving it?</v>
      </c>
      <c r="I82" s="3" t="str">
        <f>IFERROR(__xludf.DUMMYFUNCTION("GOOGLETRANSLATE(C82, ""it"", ""en"")"),"A. 5 seconds B. 10 seconds C. 15 seconds D. 30 seconds")</f>
        <v>A. 5 seconds B. 10 seconds C. 15 seconds D. 30 seconds</v>
      </c>
      <c r="J82" s="3" t="str">
        <f>IFERROR(__xludf.DUMMYFUNCTION("GOOGLETRANSLATE(D82, ""it"", ""en"")"),"5 seconds")</f>
        <v>5 seconds</v>
      </c>
      <c r="K82" s="3" t="str">
        <f>IFERROR(__xludf.DUMMYFUNCTION("GOOGLETRANSLATE(E82, ""it"", ""en"")"),"A player has 5 seconds to pass the ball after receiving it.")</f>
        <v>A player has 5 seconds to pass the ball after receiving it.</v>
      </c>
      <c r="L82" s="2"/>
      <c r="M82" s="2"/>
      <c r="N82" s="2"/>
      <c r="O82" s="2"/>
      <c r="P82" s="2"/>
      <c r="Q82" s="2"/>
      <c r="R82" s="2"/>
      <c r="S82" s="2"/>
    </row>
    <row r="83" ht="22.5" customHeight="1">
      <c r="A83" s="3">
        <v>82.0</v>
      </c>
      <c r="B83" s="3" t="s">
        <v>2564</v>
      </c>
      <c r="C83" s="3" t="s">
        <v>2565</v>
      </c>
      <c r="D83" s="3" t="s">
        <v>2471</v>
      </c>
      <c r="E83" s="3" t="s">
        <v>2566</v>
      </c>
      <c r="F83" s="2"/>
      <c r="G83" s="3" t="str">
        <f>IFERROR(__xludf.DUMMYFUNCTION("GOOGLETRANSLATE(A83, ""it"", ""en"")"),"82")</f>
        <v>82</v>
      </c>
      <c r="H83" s="3" t="str">
        <f>IFERROR(__xludf.DUMMYFUNCTION("GOOGLETRANSLATE(B83, ""it"", ""en"")"),"What happens if a player touches the ball out of bounds?")</f>
        <v>What happens if a player touches the ball out of bounds?</v>
      </c>
      <c r="I83" s="3" t="str">
        <f>IFERROR(__xludf.DUMMYFUNCTION("GOOGLETRANSLATE(C83, ""it"", ""en"")"),"A. A foul is called B. A penalty is awarded C. The ball is contested D. A throw-in is awarded")</f>
        <v>A. A foul is called B. A penalty is awarded C. The ball is contested D. A throw-in is awarded</v>
      </c>
      <c r="J83" s="3" t="str">
        <f>IFERROR(__xludf.DUMMYFUNCTION("GOOGLETRANSLATE(D83, ""it"", ""en"")"),"A throw-in is awarded")</f>
        <v>A throw-in is awarded</v>
      </c>
      <c r="K83" s="3" t="str">
        <f>IFERROR(__xludf.DUMMYFUNCTION("GOOGLETRANSLATE(E83, ""it"", ""en"")"),"If the ball goes out of bounds")</f>
        <v>If the ball goes out of bounds</v>
      </c>
      <c r="L83" s="2"/>
      <c r="M83" s="2"/>
      <c r="N83" s="2"/>
      <c r="O83" s="2"/>
      <c r="P83" s="2"/>
      <c r="Q83" s="2"/>
      <c r="R83" s="2"/>
      <c r="S83" s="2"/>
    </row>
    <row r="84" ht="22.5" customHeight="1">
      <c r="A84" s="3">
        <v>83.0</v>
      </c>
      <c r="B84" s="3" t="s">
        <v>2567</v>
      </c>
      <c r="C84" s="3" t="s">
        <v>2568</v>
      </c>
      <c r="D84" s="3" t="s">
        <v>2308</v>
      </c>
      <c r="E84" s="3" t="s">
        <v>2569</v>
      </c>
      <c r="F84" s="2"/>
      <c r="G84" s="3" t="str">
        <f>IFERROR(__xludf.DUMMYFUNCTION("GOOGLETRANSLATE(A84, ""it"", ""en"")"),"83")</f>
        <v>83</v>
      </c>
      <c r="H84" s="3" t="str">
        <f>IFERROR(__xludf.DUMMYFUNCTION("GOOGLETRANSLATE(B84, ""it"", ""en"")"),"What happens if a player commits a foul out of the water?")</f>
        <v>What happens if a player commits a foul out of the water?</v>
      </c>
      <c r="I84" s="3" t="str">
        <f>IFERROR(__xludf.DUMMYFUNCTION("GOOGLETRANSLATE(C84, ""it"", ""en"")"),"A. Nothing B. A foul is called C. The opposing team receives the ball D. He is temporarily ejected")</f>
        <v>A. Nothing B. A foul is called C. The opposing team receives the ball D. He is temporarily ejected</v>
      </c>
      <c r="J84" s="3" t="str">
        <f>IFERROR(__xludf.DUMMYFUNCTION("GOOGLETRANSLATE(D84, ""it"", ""en"")"),"A foul is called")</f>
        <v>A foul is called</v>
      </c>
      <c r="K84" s="3" t="str">
        <f>IFERROR(__xludf.DUMMYFUNCTION("GOOGLETRANSLATE(E84, ""it"", ""en"")"),"A foul committed out of the water results in loss of possession.")</f>
        <v>A foul committed out of the water results in loss of possession.</v>
      </c>
      <c r="L84" s="2"/>
      <c r="M84" s="2"/>
      <c r="N84" s="2"/>
      <c r="O84" s="2"/>
      <c r="P84" s="2"/>
      <c r="Q84" s="2"/>
      <c r="R84" s="2"/>
      <c r="S84" s="2"/>
    </row>
    <row r="85" ht="22.5" customHeight="1">
      <c r="A85" s="3">
        <v>84.0</v>
      </c>
      <c r="B85" s="3" t="s">
        <v>2570</v>
      </c>
      <c r="C85" s="3" t="s">
        <v>2571</v>
      </c>
      <c r="D85" s="3" t="s">
        <v>2572</v>
      </c>
      <c r="E85" s="3" t="s">
        <v>2573</v>
      </c>
      <c r="F85" s="2"/>
      <c r="G85" s="3" t="str">
        <f>IFERROR(__xludf.DUMMYFUNCTION("GOOGLETRANSLATE(A85, ""it"", ""en"")"),"84")</f>
        <v>84</v>
      </c>
      <c r="H85" s="3" t="str">
        <f>IFERROR(__xludf.DUMMYFUNCTION("GOOGLETRANSLATE(B85, ""it"", ""en"")"),"What happens if a team misses the time limit for offensive action?")</f>
        <v>What happens if a team misses the time limit for offensive action?</v>
      </c>
      <c r="I85" s="3" t="str">
        <f>IFERROR(__xludf.DUMMYFUNCTION("GOOGLETRANSLATE(C85, ""it"", ""en"")"),"A. The team loses the ball B. The team gets a penalty C. The game is stopped D. The team suffers a penalty")</f>
        <v>A. The team loses the ball B. The team gets a penalty C. The game is stopped D. The team suffers a penalty</v>
      </c>
      <c r="J85" s="3" t="str">
        <f>IFERROR(__xludf.DUMMYFUNCTION("GOOGLETRANSLATE(D85, ""it"", ""en"")"),"The team loses the ball")</f>
        <v>The team loses the ball</v>
      </c>
      <c r="K85" s="3" t="str">
        <f>IFERROR(__xludf.DUMMYFUNCTION("GOOGLETRANSLATE(E85, ""it"", ""en"")"),"Possession time is limited to 30 seconds.")</f>
        <v>Possession time is limited to 30 seconds.</v>
      </c>
      <c r="L85" s="2"/>
      <c r="M85" s="2"/>
      <c r="N85" s="2"/>
      <c r="O85" s="2"/>
      <c r="P85" s="2"/>
      <c r="Q85" s="2"/>
      <c r="R85" s="2"/>
      <c r="S85" s="2"/>
    </row>
    <row r="86" ht="22.5" customHeight="1">
      <c r="A86" s="3">
        <v>85.0</v>
      </c>
      <c r="B86" s="3" t="s">
        <v>2574</v>
      </c>
      <c r="C86" s="3" t="s">
        <v>2575</v>
      </c>
      <c r="D86" s="3" t="s">
        <v>2489</v>
      </c>
      <c r="E86" s="3" t="s">
        <v>2576</v>
      </c>
      <c r="F86" s="2"/>
      <c r="G86" s="3" t="str">
        <f>IFERROR(__xludf.DUMMYFUNCTION("GOOGLETRANSLATE(A86, ""it"", ""en"")"),"85")</f>
        <v>85</v>
      </c>
      <c r="H86" s="3" t="str">
        <f>IFERROR(__xludf.DUMMYFUNCTION("GOOGLETRANSLATE(B86, ""it"", ""en"")"),"What is the maximum length of a passage?")</f>
        <v>What is the maximum length of a passage?</v>
      </c>
      <c r="I86" s="3" t="str">
        <f>IFERROR(__xludf.DUMMYFUNCTION("GOOGLETRANSLATE(C86, ""it"", ""en"")"),"A. There is no limit B. 5 meters C. 10 meters D. 15 meters")</f>
        <v>A. There is no limit B. 5 meters C. 10 meters D. 15 meters</v>
      </c>
      <c r="J86" s="3" t="str">
        <f>IFERROR(__xludf.DUMMYFUNCTION("GOOGLETRANSLATE(D86, ""it"", ""en"")"),"There is no limit")</f>
        <v>There is no limit</v>
      </c>
      <c r="K86" s="3" t="str">
        <f>IFERROR(__xludf.DUMMYFUNCTION("GOOGLETRANSLATE(E86, ""it"", ""en"")"),"There is no maximum limit to the length of a passage.")</f>
        <v>There is no maximum limit to the length of a passage.</v>
      </c>
      <c r="L86" s="2"/>
      <c r="M86" s="2"/>
      <c r="N86" s="2"/>
      <c r="O86" s="2"/>
      <c r="P86" s="2"/>
      <c r="Q86" s="2"/>
      <c r="R86" s="2"/>
      <c r="S86" s="2"/>
    </row>
    <row r="87" ht="22.5" customHeight="1">
      <c r="A87" s="3">
        <v>86.0</v>
      </c>
      <c r="B87" s="3" t="s">
        <v>2577</v>
      </c>
      <c r="C87" s="3" t="s">
        <v>2578</v>
      </c>
      <c r="D87" s="3" t="s">
        <v>2536</v>
      </c>
      <c r="E87" s="3" t="s">
        <v>2579</v>
      </c>
      <c r="F87" s="2"/>
      <c r="G87" s="3" t="str">
        <f>IFERROR(__xludf.DUMMYFUNCTION("GOOGLETRANSLATE(A87, ""it"", ""en"")"),"86")</f>
        <v>86</v>
      </c>
      <c r="H87" s="3" t="str">
        <f>IFERROR(__xludf.DUMMYFUNCTION("GOOGLETRANSLATE(B87, ""it"", ""en"")"),"What happens if a player has the ball in his hands during a foul?")</f>
        <v>What happens if a player has the ball in his hands during a foul?</v>
      </c>
      <c r="I87" s="3" t="str">
        <f>IFERROR(__xludf.DUMMYFUNCTION("GOOGLETRANSLATE(C87, ""it"", ""en"")"),"A. The ball goes to the opposing team B. He is cautioned C. A penalty is awarded D. He is temporarily sent off")</f>
        <v>A. The ball goes to the opposing team B. He is cautioned C. A penalty is awarded D. He is temporarily sent off</v>
      </c>
      <c r="J87" s="3" t="str">
        <f>IFERROR(__xludf.DUMMYFUNCTION("GOOGLETRANSLATE(D87, ""it"", ""en"")"),"The ball passes to the opposing team")</f>
        <v>The ball passes to the opposing team</v>
      </c>
      <c r="K87" s="3" t="str">
        <f>IFERROR(__xludf.DUMMYFUNCTION("GOOGLETRANSLATE(E87, ""it"", ""en"")"),"The foul leads to the loss of possession.")</f>
        <v>The foul leads to the loss of possession.</v>
      </c>
      <c r="L87" s="2"/>
      <c r="M87" s="2"/>
      <c r="N87" s="2"/>
      <c r="O87" s="2"/>
      <c r="P87" s="2"/>
      <c r="Q87" s="2"/>
      <c r="R87" s="2"/>
      <c r="S87" s="2"/>
    </row>
    <row r="88" ht="22.5" customHeight="1">
      <c r="A88" s="3">
        <v>87.0</v>
      </c>
      <c r="B88" s="3" t="s">
        <v>2580</v>
      </c>
      <c r="C88" s="3" t="s">
        <v>2364</v>
      </c>
      <c r="D88" s="3" t="s">
        <v>2581</v>
      </c>
      <c r="E88" s="3" t="s">
        <v>2582</v>
      </c>
      <c r="F88" s="2"/>
      <c r="G88" s="3" t="str">
        <f>IFERROR(__xludf.DUMMYFUNCTION("GOOGLETRANSLATE(A88, ""it"", ""en"")"),"87")</f>
        <v>87</v>
      </c>
      <c r="H88" s="3" t="str">
        <f>IFERROR(__xludf.DUMMYFUNCTION("GOOGLETRANSLATE(B88, ""it"", ""en"")"),"How long is the break between two periods of extra time?")</f>
        <v>How long is the break between two periods of extra time?</v>
      </c>
      <c r="I88" s="3" t="str">
        <f>IFERROR(__xludf.DUMMYFUNCTION("GOOGLETRANSLATE(C88, ""it"", ""en"")"),"A. 1 minute B. 2 minutes C. 3 minutes D. 5 minutes")</f>
        <v>A. 1 minute B. 2 minutes C. 3 minutes D. 5 minutes</v>
      </c>
      <c r="J88" s="3" t="str">
        <f>IFERROR(__xludf.DUMMYFUNCTION("GOOGLETRANSLATE(D88, ""it"", ""en"")"),"1 minute")</f>
        <v>1 minute</v>
      </c>
      <c r="K88" s="3" t="str">
        <f>IFERROR(__xludf.DUMMYFUNCTION("GOOGLETRANSLATE(E88, ""it"", ""en"")"),"The break between the two extra periods lasts 1 minute.")</f>
        <v>The break between the two extra periods lasts 1 minute.</v>
      </c>
      <c r="L88" s="2"/>
      <c r="M88" s="2"/>
      <c r="N88" s="2"/>
      <c r="O88" s="2"/>
      <c r="P88" s="2"/>
      <c r="Q88" s="2"/>
      <c r="R88" s="2"/>
      <c r="S88" s="2"/>
    </row>
    <row r="89" ht="22.5" customHeight="1">
      <c r="A89" s="3">
        <v>88.0</v>
      </c>
      <c r="B89" s="3" t="s">
        <v>2583</v>
      </c>
      <c r="C89" s="3" t="s">
        <v>2584</v>
      </c>
      <c r="D89" s="3" t="s">
        <v>2585</v>
      </c>
      <c r="E89" s="3" t="s">
        <v>2586</v>
      </c>
      <c r="F89" s="2"/>
      <c r="G89" s="3" t="str">
        <f>IFERROR(__xludf.DUMMYFUNCTION("GOOGLETRANSLATE(A89, ""it"", ""en"")"),"88")</f>
        <v>88</v>
      </c>
      <c r="H89" s="3" t="str">
        <f>IFERROR(__xludf.DUMMYFUNCTION("GOOGLETRANSLATE(B89, ""it"", ""en"")"),"What happens if a player doesn't follow the referee's instructions?")</f>
        <v>What happens if a player doesn't follow the referee's instructions?</v>
      </c>
      <c r="I89" s="3" t="str">
        <f>IFERROR(__xludf.DUMMYFUNCTION("GOOGLETRANSLATE(C89, ""it"", ""en"")"),"A. Receives a penalty B. Receives a warning C. Receives a sanction D. The team loses a player")</f>
        <v>A. Receives a penalty B. Receives a warning C. Receives a sanction D. The team loses a player</v>
      </c>
      <c r="J89" s="3" t="str">
        <f>IFERROR(__xludf.DUMMYFUNCTION("GOOGLETRANSLATE(D89, ""it"", ""en"")"),"He is subjected to a sanction")</f>
        <v>He is subjected to a sanction</v>
      </c>
      <c r="K89" s="3" t="str">
        <f>IFERROR(__xludf.DUMMYFUNCTION("GOOGLETRANSLATE(E89, ""it"", ""en"")"),"A player who does not follow instructions receives a disciplinary sanction.")</f>
        <v>A player who does not follow instructions receives a disciplinary sanction.</v>
      </c>
      <c r="L89" s="2"/>
      <c r="M89" s="2"/>
      <c r="N89" s="2"/>
      <c r="O89" s="2"/>
      <c r="P89" s="2"/>
      <c r="Q89" s="2"/>
      <c r="R89" s="2"/>
      <c r="S89" s="2"/>
    </row>
    <row r="90" ht="22.5" customHeight="1">
      <c r="A90" s="3">
        <v>89.0</v>
      </c>
      <c r="B90" s="3" t="s">
        <v>2587</v>
      </c>
      <c r="C90" s="3" t="s">
        <v>2496</v>
      </c>
      <c r="D90" s="3">
        <v>6.0</v>
      </c>
      <c r="E90" s="3" t="s">
        <v>2588</v>
      </c>
      <c r="F90" s="2"/>
      <c r="G90" s="3" t="str">
        <f>IFERROR(__xludf.DUMMYFUNCTION("GOOGLETRANSLATE(A90, ""it"", ""en"")"),"89")</f>
        <v>89</v>
      </c>
      <c r="H90" s="3" t="str">
        <f>IFERROR(__xludf.DUMMYFUNCTION("GOOGLETRANSLATE(B90, ""it"", ""en"")"),"How many players must be in the water for a team to be considered valid in a match?")</f>
        <v>How many players must be in the water for a team to be considered valid in a match?</v>
      </c>
      <c r="I90" s="3" t="str">
        <f>IFERROR(__xludf.DUMMYFUNCTION("GOOGLETRANSLATE(C90, ""it"", ""en"")"),"A. 5 B. 6 C. 7 D. 8")</f>
        <v>A. 5 B. 6 C. 7 D. 8</v>
      </c>
      <c r="J90" s="3" t="str">
        <f>IFERROR(__xludf.DUMMYFUNCTION("GOOGLETRANSLATE(D90, ""it"", ""en"")"),"6")</f>
        <v>6</v>
      </c>
      <c r="K90" s="3" t="str">
        <f>IFERROR(__xludf.DUMMYFUNCTION("GOOGLETRANSLATE(E90, ""it"", ""en"")"),"Each team must have at least 6 players in the water during a game.")</f>
        <v>Each team must have at least 6 players in the water during a game.</v>
      </c>
      <c r="L90" s="2"/>
      <c r="M90" s="2"/>
      <c r="N90" s="2"/>
      <c r="O90" s="2"/>
      <c r="P90" s="2"/>
      <c r="Q90" s="2"/>
      <c r="R90" s="2"/>
      <c r="S90" s="2"/>
    </row>
    <row r="91" ht="22.5" customHeight="1">
      <c r="A91" s="3">
        <v>90.0</v>
      </c>
      <c r="B91" s="3" t="s">
        <v>2589</v>
      </c>
      <c r="C91" s="3" t="s">
        <v>2590</v>
      </c>
      <c r="D91" s="3" t="s">
        <v>2591</v>
      </c>
      <c r="E91" s="3" t="s">
        <v>2592</v>
      </c>
      <c r="F91" s="2"/>
      <c r="G91" s="3" t="str">
        <f>IFERROR(__xludf.DUMMYFUNCTION("GOOGLETRANSLATE(A91, ""it"", ""en"")"),"90")</f>
        <v>90</v>
      </c>
      <c r="H91" s="3" t="str">
        <f>IFERROR(__xludf.DUMMYFUNCTION("GOOGLETRANSLATE(B91, ""it"", ""en"")"),"Who can intervene during a technical break?")</f>
        <v>Who can intervene during a technical break?</v>
      </c>
      <c r="I91" s="3" t="str">
        <f>IFERROR(__xludf.DUMMYFUNCTION("GOOGLETRANSLATE(C91, ""it"", ""en"")"),"A. Only the coach B. The captain and the coach C. All players D. The referee")</f>
        <v>A. Only the coach B. The captain and the coach C. All players D. The referee</v>
      </c>
      <c r="J91" s="3" t="str">
        <f>IFERROR(__xludf.DUMMYFUNCTION("GOOGLETRANSLATE(D91, ""it"", ""en"")"),"The captain and the coach")</f>
        <v>The captain and the coach</v>
      </c>
      <c r="K91" s="3" t="str">
        <f>IFERROR(__xludf.DUMMYFUNCTION("GOOGLETRANSLATE(E91, ""it"", ""en"")"),"During a technical break, only the coach and the captain can intervene.")</f>
        <v>During a technical break, only the coach and the captain can intervene.</v>
      </c>
      <c r="L91" s="2"/>
      <c r="M91" s="2"/>
      <c r="N91" s="2"/>
      <c r="O91" s="2"/>
      <c r="P91" s="2"/>
      <c r="Q91" s="2"/>
      <c r="R91" s="2"/>
      <c r="S91" s="2"/>
    </row>
    <row r="92" ht="22.5" customHeight="1">
      <c r="A92" s="3">
        <v>91.0</v>
      </c>
      <c r="B92" s="3" t="s">
        <v>2593</v>
      </c>
      <c r="C92" s="3" t="s">
        <v>2594</v>
      </c>
      <c r="D92" s="3" t="s">
        <v>2288</v>
      </c>
      <c r="E92" s="3" t="s">
        <v>2595</v>
      </c>
      <c r="F92" s="2"/>
      <c r="G92" s="3" t="str">
        <f>IFERROR(__xludf.DUMMYFUNCTION("GOOGLETRANSLATE(A92, ""it"", ""en"")"),"91")</f>
        <v>91</v>
      </c>
      <c r="H92" s="3" t="str">
        <f>IFERROR(__xludf.DUMMYFUNCTION("GOOGLETRANSLATE(B92, ""it"", ""en"")"),"How many minutes does a half of a water polo game last?")</f>
        <v>How many minutes does a half of a water polo game last?</v>
      </c>
      <c r="I92" s="3" t="str">
        <f>IFERROR(__xludf.DUMMYFUNCTION("GOOGLETRANSLATE(C92, ""it"", ""en"")"),"A. 4 minutes B. 5 minutes C. 6 minutes D. 7 minutes")</f>
        <v>A. 4 minutes B. 5 minutes C. 6 minutes D. 7 minutes</v>
      </c>
      <c r="J92" s="3" t="str">
        <f>IFERROR(__xludf.DUMMYFUNCTION("GOOGLETRANSLATE(D92, ""it"", ""en"")"),"8 minutes")</f>
        <v>8 minutes</v>
      </c>
      <c r="K92" s="3" t="str">
        <f>IFERROR(__xludf.DUMMYFUNCTION("GOOGLETRANSLATE(E92, ""it"", ""en"")"),"One game period lasts 8 minutes.")</f>
        <v>One game period lasts 8 minutes.</v>
      </c>
      <c r="L92" s="2"/>
      <c r="M92" s="2"/>
      <c r="N92" s="2"/>
      <c r="O92" s="2"/>
      <c r="P92" s="2"/>
      <c r="Q92" s="2"/>
      <c r="R92" s="2"/>
      <c r="S92" s="2"/>
    </row>
    <row r="93" ht="22.5" customHeight="1">
      <c r="A93" s="3">
        <v>92.0</v>
      </c>
      <c r="B93" s="3" t="s">
        <v>2596</v>
      </c>
      <c r="C93" s="3" t="s">
        <v>2597</v>
      </c>
      <c r="D93" s="3" t="s">
        <v>2598</v>
      </c>
      <c r="E93" s="3" t="s">
        <v>2599</v>
      </c>
      <c r="F93" s="2"/>
      <c r="G93" s="3" t="str">
        <f>IFERROR(__xludf.DUMMYFUNCTION("GOOGLETRANSLATE(A93, ""it"", ""en"")"),"92")</f>
        <v>92</v>
      </c>
      <c r="H93" s="3" t="str">
        <f>IFERROR(__xludf.DUMMYFUNCTION("GOOGLETRANSLATE(B93, ""it"", ""en"")"),"In what situation does a player receive a permanent red card?")</f>
        <v>In what situation does a player receive a permanent red card?</v>
      </c>
      <c r="I93" s="3" t="str">
        <f>IFERROR(__xludf.DUMMYFUNCTION("GOOGLETRANSLATE(C93, ""it"", ""en"")"),"A. When he commits a serious foul B. When he makes an unsportsmanlike gesture C. When he touches the ball out of play D. When he stops the game")</f>
        <v>A. When he commits a serious foul B. When he makes an unsportsmanlike gesture C. When he touches the ball out of play D. When he stops the game</v>
      </c>
      <c r="J93" s="3" t="str">
        <f>IFERROR(__xludf.DUMMYFUNCTION("GOOGLETRANSLATE(D93, ""it"", ""en"")"),"When he commits a serious foul")</f>
        <v>When he commits a serious foul</v>
      </c>
      <c r="K93" s="3" t="str">
        <f>IFERROR(__xludf.DUMMYFUNCTION("GOOGLETRANSLATE(E93, ""it"", ""en"")"),"A serious or unsportsmanlike foul will result in permanent ejection.")</f>
        <v>A serious or unsportsmanlike foul will result in permanent ejection.</v>
      </c>
      <c r="L93" s="2"/>
      <c r="M93" s="2"/>
      <c r="N93" s="2"/>
      <c r="O93" s="2"/>
      <c r="P93" s="2"/>
      <c r="Q93" s="2"/>
      <c r="R93" s="2"/>
      <c r="S93" s="2"/>
    </row>
    <row r="94" ht="22.5" customHeight="1">
      <c r="A94" s="3">
        <v>93.0</v>
      </c>
      <c r="B94" s="3" t="s">
        <v>2600</v>
      </c>
      <c r="C94" s="3" t="s">
        <v>2601</v>
      </c>
      <c r="D94" s="3" t="s">
        <v>2448</v>
      </c>
      <c r="E94" s="3" t="s">
        <v>2602</v>
      </c>
      <c r="F94" s="2"/>
      <c r="G94" s="3" t="str">
        <f>IFERROR(__xludf.DUMMYFUNCTION("GOOGLETRANSLATE(A94, ""it"", ""en"")"),"93")</f>
        <v>93</v>
      </c>
      <c r="H94" s="3" t="str">
        <f>IFERROR(__xludf.DUMMYFUNCTION("GOOGLETRANSLATE(B94, ""it"", ""en"")"),"Who is responsible for calling a time-out?")</f>
        <v>Who is responsible for calling a time-out?</v>
      </c>
      <c r="I94" s="3" t="str">
        <f>IFERROR(__xludf.DUMMYFUNCTION("GOOGLETRANSLATE(C94, ""it"", ""en"")"),"A. The referee B. The goalkeeper C. The captain D. A coach")</f>
        <v>A. The referee B. The goalkeeper C. The captain D. A coach</v>
      </c>
      <c r="J94" s="3" t="str">
        <f>IFERROR(__xludf.DUMMYFUNCTION("GOOGLETRANSLATE(D94, ""it"", ""en"")"),"A coach")</f>
        <v>A coach</v>
      </c>
      <c r="K94" s="3" t="str">
        <f>IFERROR(__xludf.DUMMYFUNCTION("GOOGLETRANSLATE(E94, ""it"", ""en"")"),"Only the coach can call a timeout.")</f>
        <v>Only the coach can call a timeout.</v>
      </c>
      <c r="L94" s="2"/>
      <c r="M94" s="2"/>
      <c r="N94" s="2"/>
      <c r="O94" s="2"/>
      <c r="P94" s="2"/>
      <c r="Q94" s="2"/>
      <c r="R94" s="2"/>
      <c r="S94" s="2"/>
    </row>
    <row r="95" ht="22.5" customHeight="1">
      <c r="A95" s="3">
        <v>94.0</v>
      </c>
      <c r="B95" s="3" t="s">
        <v>2603</v>
      </c>
      <c r="C95" s="3" t="s">
        <v>2604</v>
      </c>
      <c r="D95" s="3" t="s">
        <v>2605</v>
      </c>
      <c r="E95" s="3" t="s">
        <v>2606</v>
      </c>
      <c r="F95" s="2"/>
      <c r="G95" s="3" t="str">
        <f>IFERROR(__xludf.DUMMYFUNCTION("GOOGLETRANSLATE(A95, ""it"", ""en"")"),"94")</f>
        <v>94</v>
      </c>
      <c r="H95" s="3" t="str">
        <f>IFERROR(__xludf.DUMMYFUNCTION("GOOGLETRANSLATE(B95, ""it"", ""en"")"),"If a player is temporarily suspended")</f>
        <v>If a player is temporarily suspended</v>
      </c>
      <c r="I95" s="3" t="str">
        <f>IFERROR(__xludf.DUMMYFUNCTION("GOOGLETRANSLATE(C95, ""it"", ""en"")"),"A. Where is he? B. On the bench C. Out of the water D. He is being substituted")</f>
        <v>A. Where is he? B. On the bench C. Out of the water D. He is being substituted</v>
      </c>
      <c r="J95" s="3" t="str">
        <f>IFERROR(__xludf.DUMMYFUNCTION("GOOGLETRANSLATE(D95, ""it"", ""en"")"),"In the water with another role")</f>
        <v>In the water with another role</v>
      </c>
      <c r="K95" s="3" t="str">
        <f>IFERROR(__xludf.DUMMYFUNCTION("GOOGLETRANSLATE(E95, ""it"", ""en"")"),"On the bench")</f>
        <v>On the bench</v>
      </c>
      <c r="L95" s="2"/>
      <c r="M95" s="2"/>
      <c r="N95" s="2"/>
      <c r="O95" s="2"/>
      <c r="P95" s="2"/>
      <c r="Q95" s="2"/>
      <c r="R95" s="2"/>
      <c r="S95" s="2"/>
    </row>
    <row r="96" ht="22.5" customHeight="1">
      <c r="A96" s="3">
        <v>95.0</v>
      </c>
      <c r="B96" s="3" t="s">
        <v>2607</v>
      </c>
      <c r="C96" s="3" t="s">
        <v>2608</v>
      </c>
      <c r="D96" s="3" t="s">
        <v>2609</v>
      </c>
      <c r="E96" s="3" t="s">
        <v>2610</v>
      </c>
      <c r="F96" s="2"/>
      <c r="G96" s="3" t="str">
        <f>IFERROR(__xludf.DUMMYFUNCTION("GOOGLETRANSLATE(A96, ""it"", ""en"")"),"95")</f>
        <v>95</v>
      </c>
      <c r="H96" s="3" t="str">
        <f>IFERROR(__xludf.DUMMYFUNCTION("GOOGLETRANSLATE(B96, ""it"", ""en"")"),"When can a goalkeeper leave his penalty area?")</f>
        <v>When can a goalkeeper leave his penalty area?</v>
      </c>
      <c r="I96" s="3" t="str">
        <f>IFERROR(__xludf.DUMMYFUNCTION("GOOGLETRANSLATE(C96, ""it"", ""en"")"),"A. Never B. When there is an offensive action C. When the opponent is far away D. When the team is winning")</f>
        <v>A. Never B. When there is an offensive action C. When the opponent is far away D. When the team is winning</v>
      </c>
      <c r="J96" s="3" t="str">
        <f>IFERROR(__xludf.DUMMYFUNCTION("GOOGLETRANSLATE(D96, ""it"", ""en"")"),"When there is an offensive action")</f>
        <v>When there is an offensive action</v>
      </c>
      <c r="K96" s="3" t="str">
        <f>IFERROR(__xludf.DUMMYFUNCTION("GOOGLETRANSLATE(E96, ""it"", ""en"")"),"A goalkeeper may only leave his penalty area during an attack.")</f>
        <v>A goalkeeper may only leave his penalty area during an attack.</v>
      </c>
      <c r="L96" s="2"/>
      <c r="M96" s="2"/>
      <c r="N96" s="2"/>
      <c r="O96" s="2"/>
      <c r="P96" s="2"/>
      <c r="Q96" s="2"/>
      <c r="R96" s="2"/>
      <c r="S96" s="2"/>
    </row>
    <row r="97" ht="22.5" customHeight="1">
      <c r="A97" s="3">
        <v>96.0</v>
      </c>
      <c r="B97" s="3" t="s">
        <v>2611</v>
      </c>
      <c r="C97" s="3" t="s">
        <v>101</v>
      </c>
      <c r="D97" s="3">
        <v>1.0</v>
      </c>
      <c r="E97" s="3" t="s">
        <v>2612</v>
      </c>
      <c r="F97" s="2"/>
      <c r="G97" s="3" t="str">
        <f>IFERROR(__xludf.DUMMYFUNCTION("GOOGLETRANSLATE(A97, ""it"", ""en"")"),"96")</f>
        <v>96</v>
      </c>
      <c r="H97" s="3" t="str">
        <f>IFERROR(__xludf.DUMMYFUNCTION("GOOGLETRANSLATE(B97, ""it"", ""en"")"),"How many goals are needed to win a penalty?")</f>
        <v>How many goals are needed to win a penalty?</v>
      </c>
      <c r="I97" s="3" t="str">
        <f>IFERROR(__xludf.DUMMYFUNCTION("GOOGLETRANSLATE(C97, ""it"", ""en"")"),"A. 1 B. 2 C. 3 D. 4")</f>
        <v>A. 1 B. 2 C. 3 D. 4</v>
      </c>
      <c r="J97" s="3" t="str">
        <f>IFERROR(__xludf.DUMMYFUNCTION("GOOGLETRANSLATE(D97, ""it"", ""en"")"),"1")</f>
        <v>1</v>
      </c>
      <c r="K97" s="3" t="str">
        <f>IFERROR(__xludf.DUMMYFUNCTION("GOOGLETRANSLATE(E97, ""it"", ""en"")"),"Only one goal is needed to win a penalty.")</f>
        <v>Only one goal is needed to win a penalty.</v>
      </c>
      <c r="L97" s="2"/>
      <c r="M97" s="2"/>
      <c r="N97" s="2"/>
      <c r="O97" s="2"/>
      <c r="P97" s="2"/>
      <c r="Q97" s="2"/>
      <c r="R97" s="2"/>
      <c r="S97" s="2"/>
    </row>
    <row r="98" ht="22.5" customHeight="1">
      <c r="A98" s="3">
        <v>97.0</v>
      </c>
      <c r="B98" s="3" t="s">
        <v>2613</v>
      </c>
      <c r="C98" s="3" t="s">
        <v>2532</v>
      </c>
      <c r="D98" s="3">
        <v>3.0</v>
      </c>
      <c r="E98" s="3" t="s">
        <v>2614</v>
      </c>
      <c r="F98" s="2"/>
      <c r="G98" s="3" t="str">
        <f>IFERROR(__xludf.DUMMYFUNCTION("GOOGLETRANSLATE(A98, ""it"", ""en"")"),"97")</f>
        <v>97</v>
      </c>
      <c r="H98" s="3" t="str">
        <f>IFERROR(__xludf.DUMMYFUNCTION("GOOGLETRANSLATE(B98, ""it"", ""en"")"),"How many shots can be taken in penalty shootouts?")</f>
        <v>How many shots can be taken in penalty shootouts?</v>
      </c>
      <c r="I98" s="3" t="str">
        <f>IFERROR(__xludf.DUMMYFUNCTION("GOOGLETRANSLATE(C98, ""it"", ""en"")"),"A. 3 B. 5 C. 7 D. 9")</f>
        <v>A. 3 B. 5 C. 7 D. 9</v>
      </c>
      <c r="J98" s="3" t="str">
        <f>IFERROR(__xludf.DUMMYFUNCTION("GOOGLETRANSLATE(D98, ""it"", ""en"")"),"3")</f>
        <v>3</v>
      </c>
      <c r="K98" s="3" t="str">
        <f>IFERROR(__xludf.DUMMYFUNCTION("GOOGLETRANSLATE(E98, ""it"", ""en"")"),"Each team can take 3 penalty kicks in case of a tie.")</f>
        <v>Each team can take 3 penalty kicks in case of a tie.</v>
      </c>
      <c r="L98" s="2"/>
      <c r="M98" s="2"/>
      <c r="N98" s="2"/>
      <c r="O98" s="2"/>
      <c r="P98" s="2"/>
      <c r="Q98" s="2"/>
      <c r="R98" s="2"/>
      <c r="S98" s="2"/>
    </row>
    <row r="99" ht="22.5" customHeight="1">
      <c r="A99" s="3">
        <v>98.0</v>
      </c>
      <c r="B99" s="3" t="s">
        <v>2615</v>
      </c>
      <c r="C99" s="3" t="s">
        <v>2616</v>
      </c>
      <c r="D99" s="3" t="s">
        <v>2617</v>
      </c>
      <c r="E99" s="3" t="s">
        <v>2618</v>
      </c>
      <c r="F99" s="2"/>
      <c r="G99" s="3" t="str">
        <f>IFERROR(__xludf.DUMMYFUNCTION("GOOGLETRANSLATE(A99, ""it"", ""en"")"),"98")</f>
        <v>98</v>
      </c>
      <c r="H99" s="3" t="str">
        <f>IFERROR(__xludf.DUMMYFUNCTION("GOOGLETRANSLATE(B99, ""it"", ""en"")"),"How many substitutions can be made during the match?")</f>
        <v>How many substitutions can be made during the match?</v>
      </c>
      <c r="I99" s="3" t="str">
        <f>IFERROR(__xludf.DUMMYFUNCTION("GOOGLETRANSLATE(C99, ""it"", ""en"")"),"A. Unlimited B. 2 C. 5 D. 3")</f>
        <v>A. Unlimited B. 2 C. 5 D. 3</v>
      </c>
      <c r="J99" s="3" t="str">
        <f>IFERROR(__xludf.DUMMYFUNCTION("GOOGLETRANSLATE(D99, ""it"", ""en"")"),"Unlimited")</f>
        <v>Unlimited</v>
      </c>
      <c r="K99" s="3" t="str">
        <f>IFERROR(__xludf.DUMMYFUNCTION("GOOGLETRANSLATE(E99, ""it"", ""en"")"),"Substitutions are unlimited during a match.")</f>
        <v>Substitutions are unlimited during a match.</v>
      </c>
      <c r="L99" s="2"/>
      <c r="M99" s="2"/>
      <c r="N99" s="2"/>
      <c r="O99" s="2"/>
      <c r="P99" s="2"/>
      <c r="Q99" s="2"/>
      <c r="R99" s="2"/>
      <c r="S99" s="2"/>
    </row>
    <row r="100" ht="22.5" customHeight="1">
      <c r="A100" s="3">
        <v>99.0</v>
      </c>
      <c r="B100" s="3" t="s">
        <v>2619</v>
      </c>
      <c r="C100" s="3" t="s">
        <v>2620</v>
      </c>
      <c r="D100" s="3" t="s">
        <v>2621</v>
      </c>
      <c r="E100" s="3" t="s">
        <v>2622</v>
      </c>
      <c r="F100" s="2"/>
      <c r="G100" s="3" t="str">
        <f>IFERROR(__xludf.DUMMYFUNCTION("GOOGLETRANSLATE(A100, ""it"", ""en"")"),"99")</f>
        <v>99</v>
      </c>
      <c r="H100" s="3" t="str">
        <f>IFERROR(__xludf.DUMMYFUNCTION("GOOGLETRANSLATE(B100, ""it"", ""en"")"),"When a player takes a penalty shot")</f>
        <v>When a player takes a penalty shot</v>
      </c>
      <c r="I100" s="3" t="str">
        <f>IFERROR(__xludf.DUMMYFUNCTION("GOOGLETRANSLATE(C100, ""it"", ""en"")"),"A. How should he behave? B. He must shoot within 5 seconds C. He must make a pass D. He must shoot without stopping")</f>
        <v>A. How should he behave? B. He must shoot within 5 seconds C. He must make a pass D. He must shoot without stopping</v>
      </c>
      <c r="J100" s="3" t="str">
        <f>IFERROR(__xludf.DUMMYFUNCTION("GOOGLETRANSLATE(D100, ""it"", ""en"")"),"He must dribble before shooting")</f>
        <v>He must dribble before shooting</v>
      </c>
      <c r="K100" s="3" t="str">
        <f>IFERROR(__xludf.DUMMYFUNCTION("GOOGLETRANSLATE(E100, ""it"", ""en"")"),"Must shoot within 5 seconds")</f>
        <v>Must shoot within 5 seconds</v>
      </c>
      <c r="L100" s="2"/>
      <c r="M100" s="2"/>
      <c r="N100" s="2"/>
      <c r="O100" s="2"/>
      <c r="P100" s="2"/>
      <c r="Q100" s="2"/>
      <c r="R100" s="2"/>
      <c r="S100" s="2"/>
    </row>
    <row r="101" ht="22.5" customHeight="1">
      <c r="A101" s="3">
        <v>100.0</v>
      </c>
      <c r="B101" s="3" t="s">
        <v>2623</v>
      </c>
      <c r="C101" s="3" t="s">
        <v>2624</v>
      </c>
      <c r="D101" s="3" t="s">
        <v>2625</v>
      </c>
      <c r="E101" s="3" t="s">
        <v>2626</v>
      </c>
      <c r="F101" s="2"/>
      <c r="G101" s="3" t="str">
        <f>IFERROR(__xludf.DUMMYFUNCTION("GOOGLETRANSLATE(A101, ""it"", ""en"")"),"100")</f>
        <v>100</v>
      </c>
      <c r="H101" s="3" t="str">
        <f>IFERROR(__xludf.DUMMYFUNCTION("GOOGLETRANSLATE(B101, ""it"", ""en"")"),"What happens if a player leaves the area during an attack?")</f>
        <v>What happens if a player leaves the area during an attack?</v>
      </c>
      <c r="I101" s="3" t="str">
        <f>IFERROR(__xludf.DUMMYFUNCTION("GOOGLETRANSLATE(C101, ""it"", ""en"")"),"A. Nothing happens B. A foul is called C. The game is stopped D. A penalty is awarded")</f>
        <v>A. Nothing happens B. A foul is called C. The game is stopped D. A penalty is awarded</v>
      </c>
      <c r="J101" s="3" t="str">
        <f>IFERROR(__xludf.DUMMYFUNCTION("GOOGLETRANSLATE(D101, ""it"", ""en"")"),"A foul is called")</f>
        <v>A foul is called</v>
      </c>
      <c r="K101" s="3" t="str">
        <f>IFERROR(__xludf.DUMMYFUNCTION("GOOGLETRANSLATE(E101, ""it"", ""en"")"),"The player cannot leave the attacking area.")</f>
        <v>The player cannot leave the attacking area.</v>
      </c>
      <c r="L101" s="2"/>
      <c r="M101" s="2"/>
      <c r="N101" s="2"/>
      <c r="O101" s="2"/>
      <c r="P101" s="2"/>
      <c r="Q101" s="2"/>
      <c r="R101" s="2"/>
      <c r="S101" s="2"/>
    </row>
    <row r="102" ht="22.5" customHeight="1">
      <c r="A102" s="3">
        <v>101.0</v>
      </c>
      <c r="B102" s="3" t="s">
        <v>2627</v>
      </c>
      <c r="C102" s="3" t="s">
        <v>2628</v>
      </c>
      <c r="D102" s="3" t="s">
        <v>2629</v>
      </c>
      <c r="E102" s="3" t="s">
        <v>2630</v>
      </c>
      <c r="F102" s="2"/>
      <c r="G102" s="3" t="str">
        <f>IFERROR(__xludf.DUMMYFUNCTION("GOOGLETRANSLATE(A102, ""it"", ""en"")"),"101")</f>
        <v>101</v>
      </c>
      <c r="H102" s="3" t="str">
        <f>IFERROR(__xludf.DUMMYFUNCTION("GOOGLETRANSLATE(B102, ""it"", ""en"")"),"When should a goalkeeper make a throw?")</f>
        <v>When should a goalkeeper make a throw?</v>
      </c>
      <c r="I102" s="3" t="str">
        <f>IFERROR(__xludf.DUMMYFUNCTION("GOOGLETRANSLATE(C102, ""it"", ""en"")"),"A. When the ball leaves his penalty area B. When play is stopped C. When the referee orders it D. When the goalkeeper has the ball in his hand")</f>
        <v>A. When the ball leaves his penalty area B. When play is stopped C. When the referee orders it D. When the goalkeeper has the ball in his hand</v>
      </c>
      <c r="J102" s="3" t="str">
        <f>IFERROR(__xludf.DUMMYFUNCTION("GOOGLETRANSLATE(D102, ""it"", ""en"")"),"When the ball goes out of his area")</f>
        <v>When the ball goes out of his area</v>
      </c>
      <c r="K102" s="3" t="str">
        <f>IFERROR(__xludf.DUMMYFUNCTION("GOOGLETRANSLATE(E102, ""it"", ""en"")"),"The throw-in occurs when the ball leaves the goalkeeper's defensive area.")</f>
        <v>The throw-in occurs when the ball leaves the goalkeeper's defensive area.</v>
      </c>
      <c r="L102" s="2"/>
      <c r="M102" s="2"/>
      <c r="N102" s="2"/>
      <c r="O102" s="2"/>
      <c r="P102" s="2"/>
      <c r="Q102" s="2"/>
      <c r="R102" s="2"/>
      <c r="S102" s="2"/>
    </row>
    <row r="103" ht="22.5" customHeight="1">
      <c r="A103" s="3">
        <v>102.0</v>
      </c>
      <c r="B103" s="3" t="s">
        <v>2631</v>
      </c>
      <c r="C103" s="3" t="s">
        <v>101</v>
      </c>
      <c r="D103" s="3">
        <v>2.0</v>
      </c>
      <c r="E103" s="3" t="s">
        <v>2632</v>
      </c>
      <c r="F103" s="2"/>
      <c r="G103" s="3" t="str">
        <f>IFERROR(__xludf.DUMMYFUNCTION("GOOGLETRANSLATE(A103, ""it"", ""en"")"),"102")</f>
        <v>102</v>
      </c>
      <c r="H103" s="3" t="str">
        <f>IFERROR(__xludf.DUMMYFUNCTION("GOOGLETRANSLATE(B103, ""it"", ""en"")"),"How many temporary red cards can a player receive?")</f>
        <v>How many temporary red cards can a player receive?</v>
      </c>
      <c r="I103" s="3" t="str">
        <f>IFERROR(__xludf.DUMMYFUNCTION("GOOGLETRANSLATE(C103, ""it"", ""en"")"),"A. 1 B. 2 C. 3 D. 4")</f>
        <v>A. 1 B. 2 C. 3 D. 4</v>
      </c>
      <c r="J103" s="3" t="str">
        <f>IFERROR(__xludf.DUMMYFUNCTION("GOOGLETRANSLATE(D103, ""it"", ""en"")"),"2")</f>
        <v>2</v>
      </c>
      <c r="K103" s="3" t="str">
        <f>IFERROR(__xludf.DUMMYFUNCTION("GOOGLETRANSLATE(E103, ""it"", ""en"")"),"A player can receive a maximum of 2 temporary red cards during a match.")</f>
        <v>A player can receive a maximum of 2 temporary red cards during a match.</v>
      </c>
      <c r="L103" s="2"/>
      <c r="M103" s="2"/>
      <c r="N103" s="2"/>
      <c r="O103" s="2"/>
      <c r="P103" s="2"/>
      <c r="Q103" s="2"/>
      <c r="R103" s="2"/>
      <c r="S103" s="2"/>
    </row>
    <row r="104" ht="22.5" customHeight="1">
      <c r="A104" s="3">
        <v>103.0</v>
      </c>
      <c r="B104" s="3" t="s">
        <v>2633</v>
      </c>
      <c r="C104" s="3" t="s">
        <v>2634</v>
      </c>
      <c r="D104" s="3" t="s">
        <v>2635</v>
      </c>
      <c r="E104" s="3" t="s">
        <v>2636</v>
      </c>
      <c r="F104" s="2"/>
      <c r="G104" s="3" t="str">
        <f>IFERROR(__xludf.DUMMYFUNCTION("GOOGLETRANSLATE(A104, ""it"", ""en"")"),"103")</f>
        <v>103</v>
      </c>
      <c r="H104" s="3" t="str">
        <f>IFERROR(__xludf.DUMMYFUNCTION("GOOGLETRANSLATE(B104, ""it"", ""en"")"),"What happens if a team commits a technical foul?")</f>
        <v>What happens if a team commits a technical foul?</v>
      </c>
      <c r="I104" s="3" t="str">
        <f>IFERROR(__xludf.DUMMYFUNCTION("GOOGLETRANSLATE(C104, ""it"", ""en"")"),"A. The ball is given to the opposing team B. A penalty is awarded C. The team is sent off D. The game is stopped")</f>
        <v>A. The ball is given to the opposing team B. A penalty is awarded C. The team is sent off D. The game is stopped</v>
      </c>
      <c r="J104" s="3" t="str">
        <f>IFERROR(__xludf.DUMMYFUNCTION("GOOGLETRANSLATE(D104, ""it"", ""en"")"),"The ball is given to the opposing team")</f>
        <v>The ball is given to the opposing team</v>
      </c>
      <c r="K104" s="3" t="str">
        <f>IFERROR(__xludf.DUMMYFUNCTION("GOOGLETRANSLATE(E104, ""it"", ""en"")"),"The technical foul leads to a change of possession.")</f>
        <v>The technical foul leads to a change of possession.</v>
      </c>
      <c r="L104" s="2"/>
      <c r="M104" s="2"/>
      <c r="N104" s="2"/>
      <c r="O104" s="2"/>
      <c r="P104" s="2"/>
      <c r="Q104" s="2"/>
      <c r="R104" s="2"/>
      <c r="S104" s="2"/>
    </row>
    <row r="105" ht="22.5" customHeight="1">
      <c r="A105" s="3">
        <v>104.0</v>
      </c>
      <c r="B105" s="3" t="s">
        <v>2637</v>
      </c>
      <c r="C105" s="3" t="s">
        <v>2638</v>
      </c>
      <c r="D105" s="3" t="s">
        <v>2639</v>
      </c>
      <c r="E105" s="3" t="s">
        <v>2640</v>
      </c>
      <c r="F105" s="2"/>
      <c r="G105" s="3" t="str">
        <f>IFERROR(__xludf.DUMMYFUNCTION("GOOGLETRANSLATE(A105, ""it"", ""en"")"),"104")</f>
        <v>104</v>
      </c>
      <c r="H105" s="3" t="str">
        <f>IFERROR(__xludf.DUMMYFUNCTION("GOOGLETRANSLATE(B105, ""it"", ""en"")"),"In which area of ​​the pool is the goalkeeper not allowed to touch the ball?")</f>
        <v>In which area of ​​the pool is the goalkeeper not allowed to touch the ball?</v>
      </c>
      <c r="I105" s="3" t="str">
        <f>IFERROR(__xludf.DUMMYFUNCTION("GOOGLETRANSLATE(C105, ""it"", ""en"")"),"A. Inside the attacking area B. Outside your own area C. Inside the defending area D. In any part of the pool")</f>
        <v>A. Inside the attacking area B. Outside your own area C. Inside the defending area D. In any part of the pool</v>
      </c>
      <c r="J105" s="3" t="str">
        <f>IFERROR(__xludf.DUMMYFUNCTION("GOOGLETRANSLATE(D105, ""it"", ""en"")"),"Out of your own area")</f>
        <v>Out of your own area</v>
      </c>
      <c r="K105" s="3" t="str">
        <f>IFERROR(__xludf.DUMMYFUNCTION("GOOGLETRANSLATE(E105, ""it"", ""en"")"),"The goalkeeper cannot touch the ball outside his penalty area.")</f>
        <v>The goalkeeper cannot touch the ball outside his penalty area.</v>
      </c>
      <c r="L105" s="2"/>
      <c r="M105" s="2"/>
      <c r="N105" s="2"/>
      <c r="O105" s="2"/>
      <c r="P105" s="2"/>
      <c r="Q105" s="2"/>
      <c r="R105" s="2"/>
      <c r="S105" s="2"/>
    </row>
    <row r="106" ht="22.5" customHeight="1">
      <c r="A106" s="3">
        <v>105.0</v>
      </c>
      <c r="B106" s="3" t="s">
        <v>2641</v>
      </c>
      <c r="C106" s="3" t="s">
        <v>2642</v>
      </c>
      <c r="D106" s="3" t="s">
        <v>2643</v>
      </c>
      <c r="E106" s="3" t="s">
        <v>2644</v>
      </c>
      <c r="F106" s="2"/>
      <c r="G106" s="3" t="str">
        <f>IFERROR(__xludf.DUMMYFUNCTION("GOOGLETRANSLATE(A106, ""it"", ""en"")"),"105")</f>
        <v>105</v>
      </c>
      <c r="H106" s="3" t="str">
        <f>IFERROR(__xludf.DUMMYFUNCTION("GOOGLETRANSLATE(B106, ""it"", ""en"")"),"How long does a water polo game last?")</f>
        <v>How long does a water polo game last?</v>
      </c>
      <c r="I106" s="3" t="str">
        <f>IFERROR(__xludf.DUMMYFUNCTION("GOOGLETRANSLATE(C106, ""it"", ""en"")"),"A. 60 minutes B. 80 minutes C. 90 minutes D. 70 minutes")</f>
        <v>A. 60 minutes B. 80 minutes C. 90 minutes D. 70 minutes</v>
      </c>
      <c r="J106" s="3" t="str">
        <f>IFERROR(__xludf.DUMMYFUNCTION("GOOGLETRANSLATE(D106, ""it"", ""en"")"),"60 minutes")</f>
        <v>60 minutes</v>
      </c>
      <c r="K106" s="3" t="str">
        <f>IFERROR(__xludf.DUMMYFUNCTION("GOOGLETRANSLATE(E106, ""it"", ""en"")"),"A water polo match lasts 60 minutes divided into 4 periods.")</f>
        <v>A water polo match lasts 60 minutes divided into 4 periods.</v>
      </c>
      <c r="L106" s="2"/>
      <c r="M106" s="2"/>
      <c r="N106" s="2"/>
      <c r="O106" s="2"/>
      <c r="P106" s="2"/>
      <c r="Q106" s="2"/>
      <c r="R106" s="2"/>
      <c r="S106" s="2"/>
    </row>
    <row r="107" ht="22.5" customHeight="1">
      <c r="A107" s="3">
        <v>106.0</v>
      </c>
      <c r="B107" s="3" t="s">
        <v>2645</v>
      </c>
      <c r="C107" s="3" t="s">
        <v>2646</v>
      </c>
      <c r="D107" s="3" t="s">
        <v>632</v>
      </c>
      <c r="E107" s="3" t="s">
        <v>2647</v>
      </c>
      <c r="F107" s="2"/>
      <c r="G107" s="3" t="str">
        <f>IFERROR(__xludf.DUMMYFUNCTION("GOOGLETRANSLATE(A107, ""it"", ""en"")"),"106")</f>
        <v>106</v>
      </c>
      <c r="H107" s="3" t="str">
        <f>IFERROR(__xludf.DUMMYFUNCTION("GOOGLETRANSLATE(B107, ""it"", ""en"")"),"What happens if the goalkeeper passes a pass to his teammate?")</f>
        <v>What happens if the goalkeeper passes a pass to his teammate?</v>
      </c>
      <c r="I107" s="3" t="str">
        <f>IFERROR(__xludf.DUMMYFUNCTION("GOOGLETRANSLATE(C107, ""it"", ""en"")"),"A. The game continues B. The ball passes to the opposing team C. The team is fouled D. The goalkeeper is cautioned")</f>
        <v>A. The game continues B. The ball passes to the opposing team C. The team is fouled D. The goalkeeper is cautioned</v>
      </c>
      <c r="J107" s="3" t="str">
        <f>IFERROR(__xludf.DUMMYFUNCTION("GOOGLETRANSLATE(D107, ""it"", ""en"")"),"The game continues")</f>
        <v>The game continues</v>
      </c>
      <c r="K107" s="3" t="str">
        <f>IFERROR(__xludf.DUMMYFUNCTION("GOOGLETRANSLATE(E107, ""it"", ""en"")"),"The goalkeeper's pass to his teammate is a normal part of the game.")</f>
        <v>The goalkeeper's pass to his teammate is a normal part of the game.</v>
      </c>
      <c r="L107" s="2"/>
      <c r="M107" s="2"/>
      <c r="N107" s="2"/>
      <c r="O107" s="2"/>
      <c r="P107" s="2"/>
      <c r="Q107" s="2"/>
      <c r="R107" s="2"/>
      <c r="S107" s="2"/>
    </row>
    <row r="108" ht="22.5" customHeight="1">
      <c r="A108" s="3">
        <v>107.0</v>
      </c>
      <c r="B108" s="3" t="s">
        <v>2648</v>
      </c>
      <c r="C108" s="3" t="s">
        <v>2649</v>
      </c>
      <c r="D108" s="3" t="s">
        <v>2650</v>
      </c>
      <c r="E108" s="3" t="s">
        <v>2651</v>
      </c>
      <c r="F108" s="2"/>
      <c r="G108" s="3" t="str">
        <f>IFERROR(__xludf.DUMMYFUNCTION("GOOGLETRANSLATE(A108, ""it"", ""en"")"),"107")</f>
        <v>107</v>
      </c>
      <c r="H108" s="3" t="str">
        <f>IFERROR(__xludf.DUMMYFUNCTION("GOOGLETRANSLATE(B108, ""it"", ""en"")"),"When is a role change allowed during the game?")</f>
        <v>When is a role change allowed during the game?</v>
      </c>
      <c r="I108" s="3" t="str">
        <f>IFERROR(__xludf.DUMMYFUNCTION("GOOGLETRANSLATE(C108, ""it"", ""en"")"),"A. When the game is stopped B. When the referee allows it C. When the team is attacking D. When a player is sent off")</f>
        <v>A. When the game is stopped B. When the referee allows it C. When the team is attacking D. When a player is sent off</v>
      </c>
      <c r="J108" s="3" t="str">
        <f>IFERROR(__xludf.DUMMYFUNCTION("GOOGLETRANSLATE(D108, ""it"", ""en"")"),"When the game is stopped")</f>
        <v>When the game is stopped</v>
      </c>
      <c r="K108" s="3" t="str">
        <f>IFERROR(__xludf.DUMMYFUNCTION("GOOGLETRANSLATE(E108, ""it"", ""en"")"),"Role switching is only permitted during breaks.")</f>
        <v>Role switching is only permitted during breaks.</v>
      </c>
      <c r="L108" s="2"/>
      <c r="M108" s="2"/>
      <c r="N108" s="2"/>
      <c r="O108" s="2"/>
      <c r="P108" s="2"/>
      <c r="Q108" s="2"/>
      <c r="R108" s="2"/>
      <c r="S108" s="2"/>
    </row>
    <row r="109" ht="22.5" customHeight="1">
      <c r="A109" s="3">
        <v>108.0</v>
      </c>
      <c r="B109" s="3" t="s">
        <v>2652</v>
      </c>
      <c r="C109" s="3" t="s">
        <v>2653</v>
      </c>
      <c r="D109" s="3" t="s">
        <v>2654</v>
      </c>
      <c r="E109" s="3" t="s">
        <v>2655</v>
      </c>
      <c r="F109" s="2"/>
      <c r="G109" s="3" t="str">
        <f>IFERROR(__xludf.DUMMYFUNCTION("GOOGLETRANSLATE(A109, ""it"", ""en"")"),"108")</f>
        <v>108</v>
      </c>
      <c r="H109" s="3" t="str">
        <f>IFERROR(__xludf.DUMMYFUNCTION("GOOGLETRANSLATE(B109, ""it"", ""en"")"),"What must a player do to score a valid goal?")</f>
        <v>What must a player do to score a valid goal?</v>
      </c>
      <c r="I109" s="3" t="str">
        <f>IFERROR(__xludf.DUMMYFUNCTION("GOOGLETRANSLATE(C109, ""it"", ""en"")"),"A. Shooting inside the goalkeeper's area B. Shooting outside the area C. Heading the ball D. Shooting over the goal line")</f>
        <v>A. Shooting inside the goalkeeper's area B. Shooting outside the area C. Heading the ball D. Shooting over the goal line</v>
      </c>
      <c r="J109" s="3" t="str">
        <f>IFERROR(__xludf.DUMMYFUNCTION("GOOGLETRANSLATE(D109, ""it"", ""en"")"),"Shooting over the goal line")</f>
        <v>Shooting over the goal line</v>
      </c>
      <c r="K109" s="3" t="str">
        <f>IFERROR(__xludf.DUMMYFUNCTION("GOOGLETRANSLATE(E109, ""it"", ""en"")"),"A goal is scored if the ball completely crosses the goal line.")</f>
        <v>A goal is scored if the ball completely crosses the goal line.</v>
      </c>
      <c r="L109" s="2"/>
      <c r="M109" s="2"/>
      <c r="N109" s="2"/>
      <c r="O109" s="2"/>
      <c r="P109" s="2"/>
      <c r="Q109" s="2"/>
      <c r="R109" s="2"/>
      <c r="S109" s="2"/>
    </row>
    <row r="110" ht="22.5" customHeight="1">
      <c r="A110" s="3">
        <v>109.0</v>
      </c>
      <c r="B110" s="3" t="s">
        <v>2656</v>
      </c>
      <c r="C110" s="3" t="s">
        <v>2657</v>
      </c>
      <c r="D110" s="3" t="s">
        <v>2658</v>
      </c>
      <c r="E110" s="3" t="s">
        <v>2659</v>
      </c>
      <c r="F110" s="2"/>
      <c r="G110" s="3" t="str">
        <f>IFERROR(__xludf.DUMMYFUNCTION("GOOGLETRANSLATE(A110, ""it"", ""en"")"),"109")</f>
        <v>109</v>
      </c>
      <c r="H110" s="3" t="str">
        <f>IFERROR(__xludf.DUMMYFUNCTION("GOOGLETRANSLATE(B110, ""it"", ""en"")"),"If a player commits a serious foul in defense")</f>
        <v>If a player commits a serious foul in defense</v>
      </c>
      <c r="I110" s="3" t="str">
        <f>IFERROR(__xludf.DUMMYFUNCTION("GOOGLETRANSLATE(C110, ""it"", ""en"")"),"A. What happens? B. He is temporarily sent off C. He receives a penalty D. The opposing team gets a penalty")</f>
        <v>A. What happens? B. He is temporarily sent off C. He receives a penalty D. The opposing team gets a penalty</v>
      </c>
      <c r="J110" s="3" t="str">
        <f>IFERROR(__xludf.DUMMYFUNCTION("GOOGLETRANSLATE(D110, ""it"", ""en"")"),"He is warned")</f>
        <v>He is warned</v>
      </c>
      <c r="K110" s="3" t="str">
        <f>IFERROR(__xludf.DUMMYFUNCTION("GOOGLETRANSLATE(E110, ""it"", ""en"")"),"The opposing team gets a penalty")</f>
        <v>The opposing team gets a penalty</v>
      </c>
      <c r="L110" s="2"/>
      <c r="M110" s="2"/>
      <c r="N110" s="2"/>
      <c r="O110" s="2"/>
      <c r="P110" s="2"/>
      <c r="Q110" s="2"/>
      <c r="R110" s="2"/>
      <c r="S110" s="2"/>
    </row>
    <row r="111" ht="22.5" customHeight="1">
      <c r="A111" s="3">
        <v>110.0</v>
      </c>
      <c r="B111" s="3" t="s">
        <v>2660</v>
      </c>
      <c r="C111" s="3" t="s">
        <v>186</v>
      </c>
      <c r="D111" s="3">
        <v>2.0</v>
      </c>
      <c r="E111" s="3" t="s">
        <v>2661</v>
      </c>
      <c r="F111" s="2"/>
      <c r="G111" s="3" t="str">
        <f>IFERROR(__xludf.DUMMYFUNCTION("GOOGLETRANSLATE(A111, ""it"", ""en"")"),"110")</f>
        <v>110</v>
      </c>
      <c r="H111" s="3" t="str">
        <f>IFERROR(__xludf.DUMMYFUNCTION("GOOGLETRANSLATE(B111, ""it"", ""en"")"),"How many referees are there during a water polo game?")</f>
        <v>How many referees are there during a water polo game?</v>
      </c>
      <c r="I111" s="3" t="str">
        <f>IFERROR(__xludf.DUMMYFUNCTION("GOOGLETRANSLATE(C111, ""it"", ""en"")"),"A. 2 B. 3 C. 4 D. 5")</f>
        <v>A. 2 B. 3 C. 4 D. 5</v>
      </c>
      <c r="J111" s="3" t="str">
        <f>IFERROR(__xludf.DUMMYFUNCTION("GOOGLETRANSLATE(D111, ""it"", ""en"")"),"2")</f>
        <v>2</v>
      </c>
      <c r="K111" s="3" t="str">
        <f>IFERROR(__xludf.DUMMYFUNCTION("GOOGLETRANSLATE(E111, ""it"", ""en"")"),"Each match is controlled by 2 referees.")</f>
        <v>Each match is controlled by 2 referees.</v>
      </c>
      <c r="L111" s="2"/>
      <c r="M111" s="2"/>
      <c r="N111" s="2"/>
      <c r="O111" s="2"/>
      <c r="P111" s="2"/>
      <c r="Q111" s="2"/>
      <c r="R111" s="2"/>
      <c r="S111" s="2"/>
    </row>
    <row r="112" ht="22.5" customHeight="1">
      <c r="A112" s="3">
        <v>111.0</v>
      </c>
      <c r="B112" s="3" t="s">
        <v>2662</v>
      </c>
      <c r="C112" s="3" t="s">
        <v>2663</v>
      </c>
      <c r="D112" s="3" t="s">
        <v>2664</v>
      </c>
      <c r="E112" s="3" t="s">
        <v>2665</v>
      </c>
      <c r="F112" s="2"/>
      <c r="G112" s="3" t="str">
        <f>IFERROR(__xludf.DUMMYFUNCTION("GOOGLETRANSLATE(A112, ""it"", ""en"")"),"111")</f>
        <v>111</v>
      </c>
      <c r="H112" s="3" t="str">
        <f>IFERROR(__xludf.DUMMYFUNCTION("GOOGLETRANSLATE(B112, ""it"", ""en"")"),"What type of pass is prohibited in a water polo game?")</f>
        <v>What type of pass is prohibited in a water polo game?</v>
      </c>
      <c r="I112" s="3" t="str">
        <f>IFERROR(__xludf.DUMMYFUNCTION("GOOGLETRANSLATE(C112, ""it"", ""en"")"),"A. Two-handed pass B. One-handed pass C. Underwater pass D. Pass towards the opponent's goal")</f>
        <v>A. Two-handed pass B. One-handed pass C. Underwater pass D. Pass towards the opponent's goal</v>
      </c>
      <c r="J112" s="3" t="str">
        <f>IFERROR(__xludf.DUMMYFUNCTION("GOOGLETRANSLATE(D112, ""it"", ""en"")"),"Two-handed pass")</f>
        <v>Two-handed pass</v>
      </c>
      <c r="K112" s="3" t="str">
        <f>IFERROR(__xludf.DUMMYFUNCTION("GOOGLETRANSLATE(E112, ""it"", ""en"")"),"It is forbidden to make passes with both hands at the same time.")</f>
        <v>It is forbidden to make passes with both hands at the same time.</v>
      </c>
      <c r="L112" s="2"/>
      <c r="M112" s="2"/>
      <c r="N112" s="2"/>
      <c r="O112" s="2"/>
      <c r="P112" s="2"/>
      <c r="Q112" s="2"/>
      <c r="R112" s="2"/>
      <c r="S112" s="2"/>
    </row>
    <row r="113" ht="22.5" customHeight="1">
      <c r="A113" s="3">
        <v>112.0</v>
      </c>
      <c r="B113" s="3" t="s">
        <v>2666</v>
      </c>
      <c r="C113" s="3" t="s">
        <v>2667</v>
      </c>
      <c r="D113" s="3" t="s">
        <v>2668</v>
      </c>
      <c r="E113" s="3" t="s">
        <v>2669</v>
      </c>
      <c r="F113" s="2"/>
      <c r="G113" s="3" t="str">
        <f>IFERROR(__xludf.DUMMYFUNCTION("GOOGLETRANSLATE(A113, ""it"", ""en"")"),"112")</f>
        <v>112</v>
      </c>
      <c r="H113" s="3" t="str">
        <f>IFERROR(__xludf.DUMMYFUNCTION("GOOGLETRANSLATE(B113, ""it"", ""en"")"),"What happens when a player commits a foul?")</f>
        <v>What happens when a player commits a foul?</v>
      </c>
      <c r="I113" s="3" t="str">
        <f>IFERROR(__xludf.DUMMYFUNCTION("GOOGLETRANSLATE(C113, ""it"", ""en"")"),"A. The team receives a temporary expulsion B. The team loses possession of the ball C. A penalty is awarded D. The game stops")</f>
        <v>A. The team receives a temporary expulsion B. The team loses possession of the ball C. A penalty is awarded D. The game stops</v>
      </c>
      <c r="J113" s="3" t="str">
        <f>IFERROR(__xludf.DUMMYFUNCTION("GOOGLETRANSLATE(D113, ""it"", ""en"")"),"The team loses possession of the ball")</f>
        <v>The team loses possession of the ball</v>
      </c>
      <c r="K113" s="3" t="str">
        <f>IFERROR(__xludf.DUMMYFUNCTION("GOOGLETRANSLATE(E113, ""it"", ""en"")"),"A foul on the ball results in a change of possession.")</f>
        <v>A foul on the ball results in a change of possession.</v>
      </c>
      <c r="L113" s="2"/>
      <c r="M113" s="2"/>
      <c r="N113" s="2"/>
      <c r="O113" s="2"/>
      <c r="P113" s="2"/>
      <c r="Q113" s="2"/>
      <c r="R113" s="2"/>
      <c r="S113" s="2"/>
    </row>
    <row r="114" ht="22.5" customHeight="1">
      <c r="A114" s="3">
        <v>113.0</v>
      </c>
      <c r="B114" s="3" t="s">
        <v>2670</v>
      </c>
      <c r="C114" s="3" t="s">
        <v>2671</v>
      </c>
      <c r="D114" s="3" t="s">
        <v>2365</v>
      </c>
      <c r="E114" s="3" t="s">
        <v>2672</v>
      </c>
      <c r="F114" s="2"/>
      <c r="G114" s="3" t="str">
        <f>IFERROR(__xludf.DUMMYFUNCTION("GOOGLETRANSLATE(A114, ""it"", ""en"")"),"113")</f>
        <v>113</v>
      </c>
      <c r="H114" s="3" t="str">
        <f>IFERROR(__xludf.DUMMYFUNCTION("GOOGLETRANSLATE(B114, ""it"", ""en"")"),"How long is a break between two halves of play?")</f>
        <v>How long is a break between two halves of play?</v>
      </c>
      <c r="I114" s="3" t="str">
        <f>IFERROR(__xludf.DUMMYFUNCTION("GOOGLETRANSLATE(C114, ""it"", ""en"")"),"A. 1 minute B. 2 minutes C. 5 minutes D. 10 minutes")</f>
        <v>A. 1 minute B. 2 minutes C. 5 minutes D. 10 minutes</v>
      </c>
      <c r="J114" s="3" t="str">
        <f>IFERROR(__xludf.DUMMYFUNCTION("GOOGLETRANSLATE(D114, ""it"", ""en"")"),"2 minutes")</f>
        <v>2 minutes</v>
      </c>
      <c r="K114" s="3" t="str">
        <f>IFERROR(__xludf.DUMMYFUNCTION("GOOGLETRANSLATE(E114, ""it"", ""en"")"),"The break between two halves lasts 2 minutes.")</f>
        <v>The break between two halves lasts 2 minutes.</v>
      </c>
      <c r="L114" s="2"/>
      <c r="M114" s="2"/>
      <c r="N114" s="2"/>
      <c r="O114" s="2"/>
      <c r="P114" s="2"/>
      <c r="Q114" s="2"/>
      <c r="R114" s="2"/>
      <c r="S114" s="2"/>
    </row>
    <row r="115" ht="22.5" customHeight="1">
      <c r="A115" s="3">
        <v>114.0</v>
      </c>
      <c r="B115" s="3" t="s">
        <v>2673</v>
      </c>
      <c r="C115" s="3" t="s">
        <v>2674</v>
      </c>
      <c r="D115" s="3" t="s">
        <v>2675</v>
      </c>
      <c r="E115" s="3"/>
      <c r="F115" s="2"/>
      <c r="G115" s="3" t="str">
        <f>IFERROR(__xludf.DUMMYFUNCTION("GOOGLETRANSLATE(A115, ""it"", ""en"")"),"114")</f>
        <v>114</v>
      </c>
      <c r="H115" s="3" t="str">
        <f>IFERROR(__xludf.DUMMYFUNCTION("GOOGLETRANSLATE(B115, ""it"", ""en"")"),"What happens if the defending team commits a foul in the penalty area?")</f>
        <v>What happens if the defending team commits a foul in the penalty area?</v>
      </c>
      <c r="I115" s="3" t="str">
        <f>IFERROR(__xludf.DUMMYFUNCTION("GOOGLETRANSLATE(C115, ""it"", ""en"")"),"A. The player is temporarily sent off B. The opposing team receives a penalty C. The team loses the ball D. The game stops")</f>
        <v>A. The player is temporarily sent off B. The opposing team receives a penalty C. The team loses the ball D. The game stops</v>
      </c>
      <c r="J115" s="3" t="str">
        <f>IFERROR(__xludf.DUMMYFUNCTION("GOOGLETRANSLATE(D115, ""it"", ""en"")"),"The opposing team receives a penalty.")</f>
        <v>The opposing team receives a penalty.</v>
      </c>
      <c r="K115" s="3" t="str">
        <f>IFERROR(__xludf.DUMMYFUNCTION("GOOGLETRANSLATE(E115, ""it"", ""en"")"),"#VALUE!")</f>
        <v>#VALUE!</v>
      </c>
      <c r="L115" s="2"/>
      <c r="M115" s="2"/>
      <c r="N115" s="2"/>
      <c r="O115" s="2"/>
      <c r="P115" s="2"/>
      <c r="Q115" s="2"/>
      <c r="R115" s="2"/>
      <c r="S115" s="2"/>
    </row>
    <row r="116" ht="22.5" customHeight="1">
      <c r="A116" s="3">
        <v>115.0</v>
      </c>
      <c r="B116" s="3" t="s">
        <v>2676</v>
      </c>
      <c r="C116" s="3" t="s">
        <v>2677</v>
      </c>
      <c r="D116" s="3" t="s">
        <v>2678</v>
      </c>
      <c r="E116" s="3" t="s">
        <v>2679</v>
      </c>
      <c r="F116" s="2"/>
      <c r="G116" s="3" t="str">
        <f>IFERROR(__xludf.DUMMYFUNCTION("GOOGLETRANSLATE(A116, ""it"", ""en"")"),"115")</f>
        <v>115</v>
      </c>
      <c r="H116" s="3" t="str">
        <f>IFERROR(__xludf.DUMMYFUNCTION("GOOGLETRANSLATE(B116, ""it"", ""en"")"),"When can a player use the ball to make a pass?")</f>
        <v>When can a player use the ball to make a pass?</v>
      </c>
      <c r="I116" s="3" t="str">
        <f>IFERROR(__xludf.DUMMYFUNCTION("GOOGLETRANSLATE(C116, ""it"", ""en"")"),"A. Only when the ball is stationary B. When he is in possession of the ball C. When he is out of the water D. When the ball is above the surface")</f>
        <v>A. Only when the ball is stationary B. When he is in possession of the ball C. When he is out of the water D. When the ball is above the surface</v>
      </c>
      <c r="J116" s="3" t="str">
        <f>IFERROR(__xludf.DUMMYFUNCTION("GOOGLETRANSLATE(D116, ""it"", ""en"")"),"When he is in possession of the ball")</f>
        <v>When he is in possession of the ball</v>
      </c>
      <c r="K116" s="3" t="str">
        <f>IFERROR(__xludf.DUMMYFUNCTION("GOOGLETRANSLATE(E116, ""it"", ""en"")"),"A pass can only be made when the player has possession of the ball.")</f>
        <v>A pass can only be made when the player has possession of the ball.</v>
      </c>
      <c r="L116" s="2"/>
      <c r="M116" s="2"/>
      <c r="N116" s="2"/>
      <c r="O116" s="2"/>
      <c r="P116" s="2"/>
      <c r="Q116" s="2"/>
      <c r="R116" s="2"/>
      <c r="S116" s="2"/>
    </row>
    <row r="117" ht="22.5" customHeight="1">
      <c r="A117" s="3">
        <v>116.0</v>
      </c>
      <c r="B117" s="3" t="s">
        <v>2680</v>
      </c>
      <c r="C117" s="3" t="s">
        <v>2681</v>
      </c>
      <c r="D117" s="3" t="s">
        <v>2682</v>
      </c>
      <c r="E117" s="3" t="s">
        <v>2683</v>
      </c>
      <c r="F117" s="2"/>
      <c r="G117" s="3" t="str">
        <f>IFERROR(__xludf.DUMMYFUNCTION("GOOGLETRANSLATE(A117, ""it"", ""en"")"),"116")</f>
        <v>116</v>
      </c>
      <c r="H117" s="3" t="str">
        <f>IFERROR(__xludf.DUMMYFUNCTION("GOOGLETRANSLATE(B117, ""it"", ""en"")"),"What should a goalkeeper do when the opposing team scores a goal?")</f>
        <v>What should a goalkeeper do when the opposing team scores a goal?</v>
      </c>
      <c r="I117" s="3" t="str">
        <f>IFERROR(__xludf.DUMMYFUNCTION("GOOGLETRANSLATE(C117, ""it"", ""en"")"),"A. Resume play from your own area B. Request a time-out C. Award a new penalty D. Start with the throw-in")</f>
        <v>A. Resume play from your own area B. Request a time-out C. Award a new penalty D. Start with the throw-in</v>
      </c>
      <c r="J117" s="3" t="str">
        <f>IFERROR(__xludf.DUMMYFUNCTION("GOOGLETRANSLATE(D117, ""it"", ""en"")"),"Resume play from your own area")</f>
        <v>Resume play from your own area</v>
      </c>
      <c r="K117" s="3" t="str">
        <f>IFERROR(__xludf.DUMMYFUNCTION("GOOGLETRANSLATE(E117, ""it"", ""en"")"),"The goalkeeper must throw the ball from his side of the pool.")</f>
        <v>The goalkeeper must throw the ball from his side of the pool.</v>
      </c>
      <c r="L117" s="2"/>
      <c r="M117" s="2"/>
      <c r="N117" s="2"/>
      <c r="O117" s="2"/>
      <c r="P117" s="2"/>
      <c r="Q117" s="2"/>
      <c r="R117" s="2"/>
      <c r="S117" s="2"/>
    </row>
    <row r="118" ht="22.5" customHeight="1">
      <c r="A118" s="3">
        <v>117.0</v>
      </c>
      <c r="B118" s="3" t="s">
        <v>2684</v>
      </c>
      <c r="C118" s="3" t="s">
        <v>101</v>
      </c>
      <c r="D118" s="3">
        <v>1.0</v>
      </c>
      <c r="E118" s="3" t="s">
        <v>2685</v>
      </c>
      <c r="F118" s="2"/>
      <c r="G118" s="3" t="str">
        <f>IFERROR(__xludf.DUMMYFUNCTION("GOOGLETRANSLATE(A118, ""it"", ""en"")"),"117")</f>
        <v>117</v>
      </c>
      <c r="H118" s="3" t="str">
        <f>IFERROR(__xludf.DUMMYFUNCTION("GOOGLETRANSLATE(B118, ""it"", ""en"")"),"How many red cards can a player receive during a match?")</f>
        <v>How many red cards can a player receive during a match?</v>
      </c>
      <c r="I118" s="3" t="str">
        <f>IFERROR(__xludf.DUMMYFUNCTION("GOOGLETRANSLATE(C118, ""it"", ""en"")"),"A. 1 B. 2 C. 3 D. 4")</f>
        <v>A. 1 B. 2 C. 3 D. 4</v>
      </c>
      <c r="J118" s="3" t="str">
        <f>IFERROR(__xludf.DUMMYFUNCTION("GOOGLETRANSLATE(D118, ""it"", ""en"")"),"1")</f>
        <v>1</v>
      </c>
      <c r="K118" s="3" t="str">
        <f>IFERROR(__xludf.DUMMYFUNCTION("GOOGLETRANSLATE(E118, ""it"", ""en"")"),"A player can receive a permanent red card only once in a match.")</f>
        <v>A player can receive a permanent red card only once in a match.</v>
      </c>
      <c r="L118" s="2"/>
      <c r="M118" s="2"/>
      <c r="N118" s="2"/>
      <c r="O118" s="2"/>
      <c r="P118" s="2"/>
      <c r="Q118" s="2"/>
      <c r="R118" s="2"/>
      <c r="S118" s="2"/>
    </row>
    <row r="119" ht="22.5" customHeight="1">
      <c r="A119" s="3">
        <v>118.0</v>
      </c>
      <c r="B119" s="3" t="s">
        <v>2686</v>
      </c>
      <c r="C119" s="3" t="s">
        <v>2687</v>
      </c>
      <c r="D119" s="3" t="s">
        <v>2481</v>
      </c>
      <c r="E119" s="3" t="s">
        <v>2688</v>
      </c>
      <c r="F119" s="2"/>
      <c r="G119" s="3" t="str">
        <f>IFERROR(__xludf.DUMMYFUNCTION("GOOGLETRANSLATE(A119, ""it"", ""en"")"),"118")</f>
        <v>118</v>
      </c>
      <c r="H119" s="3" t="str">
        <f>IFERROR(__xludf.DUMMYFUNCTION("GOOGLETRANSLATE(B119, ""it"", ""en"")"),"What happens if a player intentionally hits an opponent?")</f>
        <v>What happens if a player intentionally hits an opponent?</v>
      </c>
      <c r="I119" s="3" t="str">
        <f>IFERROR(__xludf.DUMMYFUNCTION("GOOGLETRANSLATE(C119, ""it"", ""en"")"),"A. He is cautioned B. The game continues C. He is sent off D. The opposing team gets a penalty")</f>
        <v>A. He is cautioned B. The game continues C. He is sent off D. The opposing team gets a penalty</v>
      </c>
      <c r="J119" s="3" t="str">
        <f>IFERROR(__xludf.DUMMYFUNCTION("GOOGLETRANSLATE(D119, ""it"", ""en"")"),"He is expelled")</f>
        <v>He is expelled</v>
      </c>
      <c r="K119" s="3" t="str">
        <f>IFERROR(__xludf.DUMMYFUNCTION("GOOGLETRANSLATE(E119, ""it"", ""en"")"),"Intentionally hitting an opponent will result in the player being ejected.")</f>
        <v>Intentionally hitting an opponent will result in the player being ejected.</v>
      </c>
      <c r="L119" s="2"/>
      <c r="M119" s="2"/>
      <c r="N119" s="2"/>
      <c r="O119" s="2"/>
      <c r="P119" s="2"/>
      <c r="Q119" s="2"/>
      <c r="R119" s="2"/>
      <c r="S119" s="2"/>
    </row>
    <row r="120" ht="22.5" customHeight="1">
      <c r="A120" s="3">
        <v>119.0</v>
      </c>
      <c r="B120" s="3" t="s">
        <v>2689</v>
      </c>
      <c r="C120" s="3" t="s">
        <v>2562</v>
      </c>
      <c r="D120" s="3" t="s">
        <v>2452</v>
      </c>
      <c r="E120" s="3" t="s">
        <v>2690</v>
      </c>
      <c r="F120" s="2"/>
      <c r="G120" s="3" t="str">
        <f>IFERROR(__xludf.DUMMYFUNCTION("GOOGLETRANSLATE(A120, ""it"", ""en"")"),"119")</f>
        <v>119</v>
      </c>
      <c r="H120" s="3" t="str">
        <f>IFERROR(__xludf.DUMMYFUNCTION("GOOGLETRANSLATE(B120, ""it"", ""en"")"),"How long must pass before a player can enter the water after a substitution?")</f>
        <v>How long must pass before a player can enter the water after a substitution?</v>
      </c>
      <c r="I120" s="3" t="str">
        <f>IFERROR(__xludf.DUMMYFUNCTION("GOOGLETRANSLATE(C120, ""it"", ""en"")"),"A. 5 seconds B. 10 seconds C. 15 seconds D. 30 seconds")</f>
        <v>A. 5 seconds B. 10 seconds C. 15 seconds D. 30 seconds</v>
      </c>
      <c r="J120" s="3" t="str">
        <f>IFERROR(__xludf.DUMMYFUNCTION("GOOGLETRANSLATE(D120, ""it"", ""en"")"),"5 seconds")</f>
        <v>5 seconds</v>
      </c>
      <c r="K120" s="3" t="str">
        <f>IFERROR(__xludf.DUMMYFUNCTION("GOOGLETRANSLATE(E120, ""it"", ""en"")"),"A player may enter the water within 5 seconds of being substituted.")</f>
        <v>A player may enter the water within 5 seconds of being substituted.</v>
      </c>
      <c r="L120" s="2"/>
      <c r="M120" s="2"/>
      <c r="N120" s="2"/>
      <c r="O120" s="2"/>
      <c r="P120" s="2"/>
      <c r="Q120" s="2"/>
      <c r="R120" s="2"/>
      <c r="S120" s="2"/>
    </row>
    <row r="121" ht="22.5" customHeight="1">
      <c r="A121" s="3">
        <v>120.0</v>
      </c>
      <c r="B121" s="3" t="s">
        <v>2691</v>
      </c>
      <c r="C121" s="3" t="s">
        <v>2692</v>
      </c>
      <c r="D121" s="3" t="s">
        <v>2658</v>
      </c>
      <c r="E121" s="3" t="s">
        <v>2693</v>
      </c>
      <c r="F121" s="2"/>
      <c r="G121" s="3" t="str">
        <f>IFERROR(__xludf.DUMMYFUNCTION("GOOGLETRANSLATE(A121, ""it"", ""en"")"),"120")</f>
        <v>120</v>
      </c>
      <c r="H121" s="3" t="str">
        <f>IFERROR(__xludf.DUMMYFUNCTION("GOOGLETRANSLATE(B121, ""it"", ""en"")"),"What happens if the goalkeeper leaves his penalty area during an attacking move?")</f>
        <v>What happens if the goalkeeper leaves his penalty area during an attacking move?</v>
      </c>
      <c r="I121" s="3" t="str">
        <f>IFERROR(__xludf.DUMMYFUNCTION("GOOGLETRANSLATE(C121, ""it"", ""en"")"),"A. He is cautioned B. The game continues C. He is sent off D. A foul is called")</f>
        <v>A. He is cautioned B. The game continues C. He is sent off D. A foul is called</v>
      </c>
      <c r="J121" s="3" t="str">
        <f>IFERROR(__xludf.DUMMYFUNCTION("GOOGLETRANSLATE(D121, ""it"", ""en"")"),"He is warned")</f>
        <v>He is warned</v>
      </c>
      <c r="K121" s="3" t="str">
        <f>IFERROR(__xludf.DUMMYFUNCTION("GOOGLETRANSLATE(E121, ""it"", ""en"")"),"The goalkeeper is subject to a caution if he leaves his penalty area during an attack.")</f>
        <v>The goalkeeper is subject to a caution if he leaves his penalty area during an attack.</v>
      </c>
      <c r="L121" s="2"/>
      <c r="M121" s="2"/>
      <c r="N121" s="2"/>
      <c r="O121" s="2"/>
      <c r="P121" s="2"/>
      <c r="Q121" s="2"/>
      <c r="R121" s="2"/>
      <c r="S121" s="2"/>
    </row>
    <row r="122" ht="22.5" customHeight="1">
      <c r="A122" s="3">
        <v>121.0</v>
      </c>
      <c r="B122" s="3" t="s">
        <v>2694</v>
      </c>
      <c r="C122" s="3" t="s">
        <v>2695</v>
      </c>
      <c r="D122" s="3" t="s">
        <v>2659</v>
      </c>
      <c r="E122" s="3" t="s">
        <v>2696</v>
      </c>
      <c r="F122" s="2"/>
      <c r="G122" s="3" t="str">
        <f>IFERROR(__xludf.DUMMYFUNCTION("GOOGLETRANSLATE(A122, ""it"", ""en"")"),"121")</f>
        <v>121</v>
      </c>
      <c r="H122" s="3" t="str">
        <f>IFERROR(__xludf.DUMMYFUNCTION("GOOGLETRANSLATE(B122, ""it"", ""en"")"),"What happens if a player commits a foul while shooting on goal?")</f>
        <v>What happens if a player commits a foul while shooting on goal?</v>
      </c>
      <c r="I122" s="3" t="str">
        <f>IFERROR(__xludf.DUMMYFUNCTION("GOOGLETRANSLATE(C122, ""it"", ""en"")"),"A. The shot is disallowed B. The player is sent off C. The opposing team gets a penalty D. The team gets a throw-in")</f>
        <v>A. The shot is disallowed B. The player is sent off C. The opposing team gets a penalty D. The team gets a throw-in</v>
      </c>
      <c r="J122" s="3" t="str">
        <f>IFERROR(__xludf.DUMMYFUNCTION("GOOGLETRANSLATE(D122, ""it"", ""en"")"),"The opposing team gets a penalty")</f>
        <v>The opposing team gets a penalty</v>
      </c>
      <c r="K122" s="3" t="str">
        <f>IFERROR(__xludf.DUMMYFUNCTION("GOOGLETRANSLATE(E122, ""it"", ""en"")"),"A foul during a shot on goal results in a penalty.")</f>
        <v>A foul during a shot on goal results in a penalty.</v>
      </c>
      <c r="L122" s="2"/>
      <c r="M122" s="2"/>
      <c r="N122" s="2"/>
      <c r="O122" s="2"/>
      <c r="P122" s="2"/>
      <c r="Q122" s="2"/>
      <c r="R122" s="2"/>
      <c r="S122" s="2"/>
    </row>
    <row r="123" ht="22.5" customHeight="1">
      <c r="A123" s="3">
        <v>122.0</v>
      </c>
      <c r="B123" s="3" t="s">
        <v>2697</v>
      </c>
      <c r="C123" s="3" t="s">
        <v>2698</v>
      </c>
      <c r="D123" s="3" t="s">
        <v>2345</v>
      </c>
      <c r="E123" s="3" t="s">
        <v>2699</v>
      </c>
      <c r="F123" s="2"/>
      <c r="G123" s="3" t="str">
        <f>IFERROR(__xludf.DUMMYFUNCTION("GOOGLETRANSLATE(A123, ""it"", ""en"")"),"122")</f>
        <v>122</v>
      </c>
      <c r="H123" s="3" t="str">
        <f>IFERROR(__xludf.DUMMYFUNCTION("GOOGLETRANSLATE(B123, ""it"", ""en"")"),"What happens if a goalkeeper touches the ball with his hand outside his penalty area?")</f>
        <v>What happens if a goalkeeper touches the ball with his hand outside his penalty area?</v>
      </c>
      <c r="I123" s="3" t="str">
        <f>IFERROR(__xludf.DUMMYFUNCTION("GOOGLETRANSLATE(C123, ""it"", ""en"")"),"A. A penalty is awarded B. The game is stopped C. The goalkeeper is cautioned D. The team loses possession")</f>
        <v>A. A penalty is awarded B. The game is stopped C. The goalkeeper is cautioned D. The team loses possession</v>
      </c>
      <c r="J123" s="3" t="str">
        <f>IFERROR(__xludf.DUMMYFUNCTION("GOOGLETRANSLATE(D123, ""it"", ""en"")"),"A penalty is awarded")</f>
        <v>A penalty is awarded</v>
      </c>
      <c r="K123" s="3" t="str">
        <f>IFERROR(__xludf.DUMMYFUNCTION("GOOGLETRANSLATE(E123, ""it"", ""en"")"),"The goalkeeper cannot touch the ball outside his own penalty area.")</f>
        <v>The goalkeeper cannot touch the ball outside his own penalty area.</v>
      </c>
      <c r="L123" s="2"/>
      <c r="M123" s="2"/>
      <c r="N123" s="2"/>
      <c r="O123" s="2"/>
      <c r="P123" s="2"/>
      <c r="Q123" s="2"/>
      <c r="R123" s="2"/>
      <c r="S123" s="2"/>
    </row>
    <row r="124" ht="22.5" customHeight="1">
      <c r="A124" s="3">
        <v>123.0</v>
      </c>
      <c r="B124" s="3" t="s">
        <v>2700</v>
      </c>
      <c r="C124" s="3" t="s">
        <v>2701</v>
      </c>
      <c r="D124" s="3" t="s">
        <v>2452</v>
      </c>
      <c r="E124" s="3" t="s">
        <v>2702</v>
      </c>
      <c r="F124" s="2"/>
      <c r="G124" s="3" t="str">
        <f>IFERROR(__xludf.DUMMYFUNCTION("GOOGLETRANSLATE(A124, ""it"", ""en"")"),"123")</f>
        <v>123</v>
      </c>
      <c r="H124" s="3" t="str">
        <f>IFERROR(__xludf.DUMMYFUNCTION("GOOGLETRANSLATE(B124, ""it"", ""en"")"),"How long does a team have to get the ball rolling after a foul?")</f>
        <v>How long does a team have to get the ball rolling after a foul?</v>
      </c>
      <c r="I124" s="3" t="str">
        <f>IFERROR(__xludf.DUMMYFUNCTION("GOOGLETRANSLATE(C124, ""it"", ""en"")"),"A. 5 seconds B. 10 seconds C. 15 seconds D. 20 seconds")</f>
        <v>A. 5 seconds B. 10 seconds C. 15 seconds D. 20 seconds</v>
      </c>
      <c r="J124" s="3" t="str">
        <f>IFERROR(__xludf.DUMMYFUNCTION("GOOGLETRANSLATE(D124, ""it"", ""en"")"),"5 seconds")</f>
        <v>5 seconds</v>
      </c>
      <c r="K124" s="3" t="str">
        <f>IFERROR(__xludf.DUMMYFUNCTION("GOOGLETRANSLATE(E124, ""it"", ""en"")"),"A team has 5 seconds to start the play after a foul.")</f>
        <v>A team has 5 seconds to start the play after a foul.</v>
      </c>
      <c r="L124" s="2"/>
      <c r="M124" s="2"/>
      <c r="N124" s="2"/>
      <c r="O124" s="2"/>
      <c r="P124" s="2"/>
      <c r="Q124" s="2"/>
      <c r="R124" s="2"/>
      <c r="S124" s="2"/>
    </row>
    <row r="125" ht="22.5" customHeight="1">
      <c r="A125" s="3">
        <v>124.0</v>
      </c>
      <c r="B125" s="3" t="s">
        <v>2703</v>
      </c>
      <c r="C125" s="3" t="s">
        <v>101</v>
      </c>
      <c r="D125" s="3">
        <v>2.0</v>
      </c>
      <c r="E125" s="3" t="s">
        <v>2704</v>
      </c>
      <c r="F125" s="2"/>
      <c r="G125" s="3" t="str">
        <f>IFERROR(__xludf.DUMMYFUNCTION("GOOGLETRANSLATE(A125, ""it"", ""en"")"),"124")</f>
        <v>124</v>
      </c>
      <c r="H125" s="3" t="str">
        <f>IFERROR(__xludf.DUMMYFUNCTION("GOOGLETRANSLATE(B125, ""it"", ""en"")"),"How many overtime periods are played if the score is tied after the end of regulation time?")</f>
        <v>How many overtime periods are played if the score is tied after the end of regulation time?</v>
      </c>
      <c r="I125" s="3" t="str">
        <f>IFERROR(__xludf.DUMMYFUNCTION("GOOGLETRANSLATE(C125, ""it"", ""en"")"),"A. 1 B. 2 C. 3 D. 4")</f>
        <v>A. 1 B. 2 C. 3 D. 4</v>
      </c>
      <c r="J125" s="3" t="str">
        <f>IFERROR(__xludf.DUMMYFUNCTION("GOOGLETRANSLATE(D125, ""it"", ""en"")"),"2")</f>
        <v>2</v>
      </c>
      <c r="K125" s="3" t="str">
        <f>IFERROR(__xludf.DUMMYFUNCTION("GOOGLETRANSLATE(E125, ""it"", ""en"")"),"If the match ends in a draw")</f>
        <v>If the match ends in a draw</v>
      </c>
      <c r="L125" s="2"/>
      <c r="M125" s="2"/>
      <c r="N125" s="2"/>
      <c r="O125" s="2"/>
      <c r="P125" s="2"/>
      <c r="Q125" s="2"/>
      <c r="R125" s="2"/>
      <c r="S125" s="2"/>
    </row>
    <row r="126" ht="22.5" customHeight="1">
      <c r="A126" s="3">
        <v>125.0</v>
      </c>
      <c r="B126" s="3" t="s">
        <v>2705</v>
      </c>
      <c r="C126" s="3" t="s">
        <v>2706</v>
      </c>
      <c r="D126" s="3" t="s">
        <v>2536</v>
      </c>
      <c r="E126" s="3" t="s">
        <v>2707</v>
      </c>
      <c r="F126" s="2"/>
      <c r="G126" s="3" t="str">
        <f>IFERROR(__xludf.DUMMYFUNCTION("GOOGLETRANSLATE(A126, ""it"", ""en"")"),"125")</f>
        <v>125</v>
      </c>
      <c r="H126" s="3" t="str">
        <f>IFERROR(__xludf.DUMMYFUNCTION("GOOGLETRANSLATE(B126, ""it"", ""en"")"),"What happens if a player commits an offensive foul?")</f>
        <v>What happens if a player commits an offensive foul?</v>
      </c>
      <c r="I126" s="3" t="str">
        <f>IFERROR(__xludf.DUMMYFUNCTION("GOOGLETRANSLATE(C126, ""it"", ""en"")"),"A. The ball goes to the opposing team B. The player is temporarily suspended C. The team receives a penalty D. The team earns a penalty")</f>
        <v>A. The ball goes to the opposing team B. The player is temporarily suspended C. The team receives a penalty D. The team earns a penalty</v>
      </c>
      <c r="J126" s="3" t="str">
        <f>IFERROR(__xludf.DUMMYFUNCTION("GOOGLETRANSLATE(D126, ""it"", ""en"")"),"The ball passes to the opposing team")</f>
        <v>The ball passes to the opposing team</v>
      </c>
      <c r="K126" s="3" t="str">
        <f>IFERROR(__xludf.DUMMYFUNCTION("GOOGLETRANSLATE(E126, ""it"", ""en"")"),"An offensive foul results in a change of possession.")</f>
        <v>An offensive foul results in a change of possession.</v>
      </c>
      <c r="L126" s="2"/>
      <c r="M126" s="2"/>
      <c r="N126" s="2"/>
      <c r="O126" s="2"/>
      <c r="P126" s="2"/>
      <c r="Q126" s="2"/>
      <c r="R126" s="2"/>
      <c r="S126" s="2"/>
    </row>
    <row r="127" ht="22.5" customHeight="1">
      <c r="A127" s="3">
        <v>126.0</v>
      </c>
      <c r="B127" s="3" t="s">
        <v>2708</v>
      </c>
      <c r="C127" s="3" t="s">
        <v>2709</v>
      </c>
      <c r="D127" s="3" t="s">
        <v>2710</v>
      </c>
      <c r="E127" s="3" t="s">
        <v>2711</v>
      </c>
      <c r="F127" s="2"/>
      <c r="G127" s="3" t="str">
        <f>IFERROR(__xludf.DUMMYFUNCTION("GOOGLETRANSLATE(A127, ""it"", ""en"")"),"126")</f>
        <v>126</v>
      </c>
      <c r="H127" s="3" t="str">
        <f>IFERROR(__xludf.DUMMYFUNCTION("GOOGLETRANSLATE(B127, ""it"", ""en"")"),"In which part of the pool does the offensive play mainly take place?")</f>
        <v>In which part of the pool does the offensive play mainly take place?</v>
      </c>
      <c r="I127" s="3" t="str">
        <f>IFERROR(__xludf.DUMMYFUNCTION("GOOGLETRANSLATE(C127, ""it"", ""en"")"),"A. In the goalkeeper's area B. Outside the pool C. In the center of the pool D. In the attacking zone")</f>
        <v>A. In the goalkeeper's area B. Outside the pool C. In the center of the pool D. In the attacking zone</v>
      </c>
      <c r="J127" s="3" t="str">
        <f>IFERROR(__xludf.DUMMYFUNCTION("GOOGLETRANSLATE(D127, ""it"", ""en"")"),"In the attack zone")</f>
        <v>In the attack zone</v>
      </c>
      <c r="K127" s="3" t="str">
        <f>IFERROR(__xludf.DUMMYFUNCTION("GOOGLETRANSLATE(E127, ""it"", ""en"")"),"Offensive play takes place mainly in the attacking zone.")</f>
        <v>Offensive play takes place mainly in the attacking zone.</v>
      </c>
      <c r="L127" s="2"/>
      <c r="M127" s="2"/>
      <c r="N127" s="2"/>
      <c r="O127" s="2"/>
      <c r="P127" s="2"/>
      <c r="Q127" s="2"/>
      <c r="R127" s="2"/>
      <c r="S127" s="2"/>
    </row>
    <row r="128" ht="22.5" customHeight="1">
      <c r="A128" s="3">
        <v>127.0</v>
      </c>
      <c r="B128" s="3" t="s">
        <v>2712</v>
      </c>
      <c r="C128" s="3" t="s">
        <v>2713</v>
      </c>
      <c r="D128" s="3" t="s">
        <v>2625</v>
      </c>
      <c r="E128" s="3" t="s">
        <v>2714</v>
      </c>
      <c r="F128" s="2"/>
      <c r="G128" s="3" t="str">
        <f>IFERROR(__xludf.DUMMYFUNCTION("GOOGLETRANSLATE(A128, ""it"", ""en"")"),"127")</f>
        <v>127</v>
      </c>
      <c r="H128" s="3" t="str">
        <f>IFERROR(__xludf.DUMMYFUNCTION("GOOGLETRANSLATE(B128, ""it"", ""en"")"),"What happens if a player accidentally hits an opponent?")</f>
        <v>What happens if a player accidentally hits an opponent?</v>
      </c>
      <c r="I128" s="3" t="str">
        <f>IFERROR(__xludf.DUMMYFUNCTION("GOOGLETRANSLATE(C128, ""it"", ""en"")"),"A. The game continues B. A foul is called C. The player is ejected D. The team earns a penalty")</f>
        <v>A. The game continues B. A foul is called C. The player is ejected D. The team earns a penalty</v>
      </c>
      <c r="J128" s="3" t="str">
        <f>IFERROR(__xludf.DUMMYFUNCTION("GOOGLETRANSLATE(D128, ""it"", ""en"")"),"A foul is called")</f>
        <v>A foul is called</v>
      </c>
      <c r="K128" s="3" t="str">
        <f>IFERROR(__xludf.DUMMYFUNCTION("GOOGLETRANSLATE(E128, ""it"", ""en"")"),"The game restarts after a foul.")</f>
        <v>The game restarts after a foul.</v>
      </c>
      <c r="L128" s="2"/>
      <c r="M128" s="2"/>
      <c r="N128" s="2"/>
      <c r="O128" s="2"/>
      <c r="P128" s="2"/>
      <c r="Q128" s="2"/>
      <c r="R128" s="2"/>
      <c r="S128" s="2"/>
    </row>
    <row r="129" ht="22.5" customHeight="1">
      <c r="A129" s="3">
        <v>128.0</v>
      </c>
      <c r="B129" s="3" t="s">
        <v>2715</v>
      </c>
      <c r="C129" s="3" t="s">
        <v>2716</v>
      </c>
      <c r="D129" s="3" t="s">
        <v>2717</v>
      </c>
      <c r="E129" s="3" t="s">
        <v>2718</v>
      </c>
      <c r="F129" s="2"/>
      <c r="G129" s="3" t="str">
        <f>IFERROR(__xludf.DUMMYFUNCTION("GOOGLETRANSLATE(A129, ""it"", ""en"")"),"128")</f>
        <v>128</v>
      </c>
      <c r="H129" s="3" t="str">
        <f>IFERROR(__xludf.DUMMYFUNCTION("GOOGLETRANSLATE(B129, ""it"", ""en"")"),"When the goalkeeper makes a throw")</f>
        <v>When the goalkeeper makes a throw</v>
      </c>
      <c r="I129" s="3" t="str">
        <f>IFERROR(__xludf.DUMMYFUNCTION("GOOGLETRANSLATE(C129, ""it"", ""en"")"),"A. How should he do it? B. Throwing the ball directly into the goal C. Passing the ball to his teammates D. Making a direct pass")</f>
        <v>A. How should he do it? B. Throwing the ball directly into the goal C. Passing the ball to his teammates D. Making a direct pass</v>
      </c>
      <c r="J129" s="3" t="str">
        <f>IFERROR(__xludf.DUMMYFUNCTION("GOOGLETRANSLATE(D129, ""it"", ""en"")"),"Passing the ball to a defender")</f>
        <v>Passing the ball to a defender</v>
      </c>
      <c r="K129" s="3" t="str">
        <f>IFERROR(__xludf.DUMMYFUNCTION("GOOGLETRANSLATE(E129, ""it"", ""en"")"),"Passing the ball to teammates")</f>
        <v>Passing the ball to teammates</v>
      </c>
      <c r="L129" s="2"/>
      <c r="M129" s="2"/>
      <c r="N129" s="2"/>
      <c r="O129" s="2"/>
      <c r="P129" s="2"/>
      <c r="Q129" s="2"/>
      <c r="R129" s="2"/>
      <c r="S129" s="2"/>
    </row>
    <row r="130" ht="22.5" customHeight="1">
      <c r="A130" s="3">
        <v>129.0</v>
      </c>
      <c r="B130" s="3" t="s">
        <v>2719</v>
      </c>
      <c r="C130" s="3" t="s">
        <v>2720</v>
      </c>
      <c r="D130" s="3" t="s">
        <v>2668</v>
      </c>
      <c r="E130" s="3" t="s">
        <v>2721</v>
      </c>
      <c r="F130" s="2"/>
      <c r="G130" s="3" t="str">
        <f>IFERROR(__xludf.DUMMYFUNCTION("GOOGLETRANSLATE(A130, ""it"", ""en"")"),"129")</f>
        <v>129</v>
      </c>
      <c r="H130" s="3" t="str">
        <f>IFERROR(__xludf.DUMMYFUNCTION("GOOGLETRANSLATE(B130, ""it"", ""en"")"),"What happens if a player commits a technical foul?")</f>
        <v>What happens if a player commits a technical foul?</v>
      </c>
      <c r="I130" s="3" t="str">
        <f>IFERROR(__xludf.DUMMYFUNCTION("GOOGLETRANSLATE(C130, ""it"", ""en"")"),"A. A penalty is awarded B. The team loses possession of the ball C. The game is stopped D. A free kick is awarded")</f>
        <v>A. A penalty is awarded B. The team loses possession of the ball C. The game is stopped D. A free kick is awarded</v>
      </c>
      <c r="J130" s="3" t="str">
        <f>IFERROR(__xludf.DUMMYFUNCTION("GOOGLETRANSLATE(D130, ""it"", ""en"")"),"The team loses possession of the ball")</f>
        <v>The team loses possession of the ball</v>
      </c>
      <c r="K130" s="3" t="str">
        <f>IFERROR(__xludf.DUMMYFUNCTION("GOOGLETRANSLATE(E130, ""it"", ""en"")"),"A technical foul results in a change of possession.")</f>
        <v>A technical foul results in a change of possession.</v>
      </c>
      <c r="L130" s="2"/>
      <c r="M130" s="2"/>
      <c r="N130" s="2"/>
      <c r="O130" s="2"/>
      <c r="P130" s="2"/>
      <c r="Q130" s="2"/>
      <c r="R130" s="2"/>
      <c r="S130" s="2"/>
    </row>
    <row r="131" ht="22.5" customHeight="1">
      <c r="A131" s="3">
        <v>130.0</v>
      </c>
      <c r="B131" s="3" t="s">
        <v>2722</v>
      </c>
      <c r="C131" s="3" t="s">
        <v>2723</v>
      </c>
      <c r="D131" s="3" t="s">
        <v>632</v>
      </c>
      <c r="E131" s="3" t="s">
        <v>2724</v>
      </c>
      <c r="F131" s="2"/>
      <c r="G131" s="3" t="str">
        <f>IFERROR(__xludf.DUMMYFUNCTION("GOOGLETRANSLATE(A131, ""it"", ""en"")"),"130")</f>
        <v>130</v>
      </c>
      <c r="H131" s="3" t="str">
        <f>IFERROR(__xludf.DUMMYFUNCTION("GOOGLETRANSLATE(B131, ""it"", ""en"")"),"What happens if the ball hits the top of the pool?")</f>
        <v>What happens if the ball hits the top of the pool?</v>
      </c>
      <c r="I131" s="3" t="str">
        <f>IFERROR(__xludf.DUMMYFUNCTION("GOOGLETRANSLATE(C131, ""it"", ""en"")"),"A. The team earns a penalty B. The game continues C. The ball is put back into play by the opposing team D. The ball is contested")</f>
        <v>A. The team earns a penalty B. The game continues C. The ball is put back into play by the opposing team D. The ball is contested</v>
      </c>
      <c r="J131" s="3" t="str">
        <f>IFERROR(__xludf.DUMMYFUNCTION("GOOGLETRANSLATE(D131, ""it"", ""en"")"),"The game continues")</f>
        <v>The game continues</v>
      </c>
      <c r="K131" s="3" t="str">
        <f>IFERROR(__xludf.DUMMYFUNCTION("GOOGLETRANSLATE(E131, ""it"", ""en"")"),"If the ball touches the top of the pool")</f>
        <v>If the ball touches the top of the pool</v>
      </c>
      <c r="L131" s="2"/>
      <c r="M131" s="2"/>
      <c r="N131" s="2"/>
      <c r="O131" s="2"/>
      <c r="P131" s="2"/>
      <c r="Q131" s="2"/>
      <c r="R131" s="2"/>
      <c r="S131" s="2"/>
    </row>
    <row r="132" ht="22.5" customHeight="1">
      <c r="A132" s="3">
        <v>131.0</v>
      </c>
      <c r="B132" s="3" t="s">
        <v>2725</v>
      </c>
      <c r="C132" s="3" t="s">
        <v>2726</v>
      </c>
      <c r="D132" s="3" t="s">
        <v>2581</v>
      </c>
      <c r="E132" s="3" t="s">
        <v>2727</v>
      </c>
      <c r="F132" s="2"/>
      <c r="G132" s="3" t="str">
        <f>IFERROR(__xludf.DUMMYFUNCTION("GOOGLETRANSLATE(A132, ""it"", ""en"")"),"131")</f>
        <v>131</v>
      </c>
      <c r="H132" s="3" t="str">
        <f>IFERROR(__xludf.DUMMYFUNCTION("GOOGLETRANSLATE(B132, ""it"", ""en"")"),"How long is a timeout during a water polo game?")</f>
        <v>How long is a timeout during a water polo game?</v>
      </c>
      <c r="I132" s="3" t="str">
        <f>IFERROR(__xludf.DUMMYFUNCTION("GOOGLETRANSLATE(C132, ""it"", ""en"")"),"A. 1 minute B. 2 minutes C. 3 minutes D. 4 minutes")</f>
        <v>A. 1 minute B. 2 minutes C. 3 minutes D. 4 minutes</v>
      </c>
      <c r="J132" s="3" t="str">
        <f>IFERROR(__xludf.DUMMYFUNCTION("GOOGLETRANSLATE(D132, ""it"", ""en"")"),"1 minute")</f>
        <v>1 minute</v>
      </c>
      <c r="K132" s="3" t="str">
        <f>IFERROR(__xludf.DUMMYFUNCTION("GOOGLETRANSLATE(E132, ""it"", ""en"")"),"Each timeout during a game lasts 1 minute.")</f>
        <v>Each timeout during a game lasts 1 minute.</v>
      </c>
      <c r="L132" s="2"/>
      <c r="M132" s="2"/>
      <c r="N132" s="2"/>
      <c r="O132" s="2"/>
      <c r="P132" s="2"/>
      <c r="Q132" s="2"/>
      <c r="R132" s="2"/>
      <c r="S132" s="2"/>
    </row>
    <row r="133" ht="22.5" customHeight="1">
      <c r="A133" s="3">
        <v>132.0</v>
      </c>
      <c r="B133" s="3" t="s">
        <v>2728</v>
      </c>
      <c r="C133" s="3" t="s">
        <v>2729</v>
      </c>
      <c r="D133" s="3" t="s">
        <v>2730</v>
      </c>
      <c r="E133" s="3"/>
      <c r="F133" s="2"/>
      <c r="G133" s="3" t="str">
        <f>IFERROR(__xludf.DUMMYFUNCTION("GOOGLETRANSLATE(A133, ""it"", ""en"")"),"132")</f>
        <v>132</v>
      </c>
      <c r="H133" s="3" t="str">
        <f>IFERROR(__xludf.DUMMYFUNCTION("GOOGLETRANSLATE(B133, ""it"", ""en"")"),"When does a temporary expulsion sanction apply?")</f>
        <v>When does a temporary expulsion sanction apply?</v>
      </c>
      <c r="I133" s="3" t="str">
        <f>IFERROR(__xludf.DUMMYFUNCTION("GOOGLETRANSLATE(C133, ""it"", ""en"")"),"A. When a player commits a serious foul B. When the goalkeeper leaves his penalty area C. When play is stopped D. When a player touches the ball with his feet")</f>
        <v>A. When a player commits a serious foul B. When the goalkeeper leaves his penalty area C. When play is stopped D. When a player touches the ball with his feet</v>
      </c>
      <c r="J133" s="3" t="str">
        <f>IFERROR(__xludf.DUMMYFUNCTION("GOOGLETRANSLATE(D133, ""it"", ""en"")"),"When a player commits a serious foul.")</f>
        <v>When a player commits a serious foul.</v>
      </c>
      <c r="K133" s="3" t="str">
        <f>IFERROR(__xludf.DUMMYFUNCTION("GOOGLETRANSLATE(E133, ""it"", ""en"")"),"#VALUE!")</f>
        <v>#VALUE!</v>
      </c>
      <c r="L133" s="2"/>
      <c r="M133" s="2"/>
      <c r="N133" s="2"/>
      <c r="O133" s="2"/>
      <c r="P133" s="2"/>
      <c r="Q133" s="2"/>
      <c r="R133" s="2"/>
      <c r="S133" s="2"/>
    </row>
    <row r="134" ht="22.5" customHeight="1">
      <c r="A134" s="3">
        <v>133.0</v>
      </c>
      <c r="B134" s="3" t="s">
        <v>2731</v>
      </c>
      <c r="C134" s="3" t="s">
        <v>2732</v>
      </c>
      <c r="D134" s="3" t="s">
        <v>2733</v>
      </c>
      <c r="E134" s="3" t="s">
        <v>2734</v>
      </c>
      <c r="F134" s="2"/>
      <c r="G134" s="3" t="str">
        <f>IFERROR(__xludf.DUMMYFUNCTION("GOOGLETRANSLATE(A134, ""it"", ""en"")"),"133")</f>
        <v>133</v>
      </c>
      <c r="H134" s="3" t="str">
        <f>IFERROR(__xludf.DUMMYFUNCTION("GOOGLETRANSLATE(B134, ""it"", ""en"")"),"What happens if a goalkeeper fails to stop a shot on goal?")</f>
        <v>What happens if a goalkeeper fails to stop a shot on goal?</v>
      </c>
      <c r="I134" s="3" t="str">
        <f>IFERROR(__xludf.DUMMYFUNCTION("GOOGLETRANSLATE(C134, ""it"", ""en"")"),"A. The goal is validated B. The game continues C. The opposing team gets a penalty D. The goalkeeper is cautioned")</f>
        <v>A. The goal is validated B. The game continues C. The opposing team gets a penalty D. The goalkeeper is cautioned</v>
      </c>
      <c r="J134" s="3" t="str">
        <f>IFERROR(__xludf.DUMMYFUNCTION("GOOGLETRANSLATE(D134, ""it"", ""en"")"),"The goal is validated")</f>
        <v>The goal is validated</v>
      </c>
      <c r="K134" s="3" t="str">
        <f>IFERROR(__xludf.DUMMYFUNCTION("GOOGLETRANSLATE(E134, ""it"", ""en"")"),"If the goalkeeper fails to stop a shot")</f>
        <v>If the goalkeeper fails to stop a shot</v>
      </c>
      <c r="L134" s="2"/>
      <c r="M134" s="2"/>
      <c r="N134" s="2"/>
      <c r="O134" s="2"/>
      <c r="P134" s="2"/>
      <c r="Q134" s="2"/>
      <c r="R134" s="2"/>
      <c r="S134" s="2"/>
    </row>
    <row r="135" ht="22.5" customHeight="1">
      <c r="A135" s="3">
        <v>134.0</v>
      </c>
      <c r="B135" s="3" t="s">
        <v>2735</v>
      </c>
      <c r="C135" s="3" t="s">
        <v>1339</v>
      </c>
      <c r="D135" s="3" t="s">
        <v>2353</v>
      </c>
      <c r="E135" s="3" t="s">
        <v>2736</v>
      </c>
      <c r="F135" s="2"/>
      <c r="G135" s="3" t="str">
        <f>IFERROR(__xludf.DUMMYFUNCTION("GOOGLETRANSLATE(A135, ""it"", ""en"")"),"134")</f>
        <v>134</v>
      </c>
      <c r="H135" s="3" t="str">
        <f>IFERROR(__xludf.DUMMYFUNCTION("GOOGLETRANSLATE(B135, ""it"", ""en"")"),"How long does a player's temporary suspension last?")</f>
        <v>How long does a player's temporary suspension last?</v>
      </c>
      <c r="I135" s="3" t="str">
        <f>IFERROR(__xludf.DUMMYFUNCTION("GOOGLETRANSLATE(C135, ""it"", ""en"")"),"A. 10 seconds B. 20 seconds C. 30 seconds D. 1 minute")</f>
        <v>A. 10 seconds B. 20 seconds C. 30 seconds D. 1 minute</v>
      </c>
      <c r="J135" s="3" t="str">
        <f>IFERROR(__xludf.DUMMYFUNCTION("GOOGLETRANSLATE(D135, ""it"", ""en"")"),"20 seconds")</f>
        <v>20 seconds</v>
      </c>
      <c r="K135" s="3" t="str">
        <f>IFERROR(__xludf.DUMMYFUNCTION("GOOGLETRANSLATE(E135, ""it"", ""en"")"),"Temporary ejection lasts 20 seconds.")</f>
        <v>Temporary ejection lasts 20 seconds.</v>
      </c>
      <c r="L135" s="2"/>
      <c r="M135" s="2"/>
      <c r="N135" s="2"/>
      <c r="O135" s="2"/>
      <c r="P135" s="2"/>
      <c r="Q135" s="2"/>
      <c r="R135" s="2"/>
      <c r="S135" s="2"/>
    </row>
    <row r="136" ht="22.5" customHeight="1">
      <c r="A136" s="3">
        <v>135.0</v>
      </c>
      <c r="B136" s="3" t="s">
        <v>2737</v>
      </c>
      <c r="C136" s="3" t="s">
        <v>2738</v>
      </c>
      <c r="D136" s="3" t="s">
        <v>2739</v>
      </c>
      <c r="E136" s="3" t="s">
        <v>2740</v>
      </c>
      <c r="F136" s="2"/>
      <c r="G136" s="3" t="str">
        <f>IFERROR(__xludf.DUMMYFUNCTION("GOOGLETRANSLATE(A136, ""it"", ""en"")"),"135")</f>
        <v>135</v>
      </c>
      <c r="H136" s="3" t="str">
        <f>IFERROR(__xludf.DUMMYFUNCTION("GOOGLETRANSLATE(B136, ""it"", ""en"")"),"What happens if a player commits a foul while attacking?")</f>
        <v>What happens if a player commits a foul while attacking?</v>
      </c>
      <c r="I136" s="3" t="str">
        <f>IFERROR(__xludf.DUMMYFUNCTION("GOOGLETRANSLATE(C136, ""it"", ""en"")"),"A. The player is ejected B. The game continues C. The team earns a penalty D. Possession passes to the opposing team")</f>
        <v>A. The player is ejected B. The game continues C. The team earns a penalty D. Possession passes to the opposing team</v>
      </c>
      <c r="J136" s="3" t="str">
        <f>IFERROR(__xludf.DUMMYFUNCTION("GOOGLETRANSLATE(D136, ""it"", ""en"")"),"Possession passes to the opposing team")</f>
        <v>Possession passes to the opposing team</v>
      </c>
      <c r="K136" s="3" t="str">
        <f>IFERROR(__xludf.DUMMYFUNCTION("GOOGLETRANSLATE(E136, ""it"", ""en"")"),"A foul during the attack results in a change of possession.")</f>
        <v>A foul during the attack results in a change of possession.</v>
      </c>
      <c r="L136" s="2"/>
      <c r="M136" s="2"/>
      <c r="N136" s="2"/>
      <c r="O136" s="2"/>
      <c r="P136" s="2"/>
      <c r="Q136" s="2"/>
      <c r="R136" s="2"/>
      <c r="S136" s="2"/>
    </row>
    <row r="137" ht="22.5" customHeight="1">
      <c r="A137" s="3">
        <v>136.0</v>
      </c>
      <c r="B137" s="3" t="s">
        <v>2741</v>
      </c>
      <c r="C137" s="3" t="s">
        <v>2742</v>
      </c>
      <c r="D137" s="3" t="s">
        <v>2743</v>
      </c>
      <c r="E137" s="3" t="s">
        <v>2744</v>
      </c>
      <c r="F137" s="2"/>
      <c r="G137" s="3" t="str">
        <f>IFERROR(__xludf.DUMMYFUNCTION("GOOGLETRANSLATE(A137, ""it"", ""en"")"),"136")</f>
        <v>136</v>
      </c>
      <c r="H137" s="3" t="str">
        <f>IFERROR(__xludf.DUMMYFUNCTION("GOOGLETRANSLATE(B137, ""it"", ""en"")"),"When is a goalkeeper change possible?")</f>
        <v>When is a goalkeeper change possible?</v>
      </c>
      <c r="I137" s="3" t="str">
        <f>IFERROR(__xludf.DUMMYFUNCTION("GOOGLETRANSLATE(C137, ""it"", ""en"")"),"A. Only at the end of the half B. At any time during the game C. Only during the time-out D. When the goalkeeper is ejected")</f>
        <v>A. Only at the end of the half B. At any time during the game C. Only during the time-out D. When the goalkeeper is ejected</v>
      </c>
      <c r="J137" s="3" t="str">
        <f>IFERROR(__xludf.DUMMYFUNCTION("GOOGLETRANSLATE(D137, ""it"", ""en"")"),"At any time during the game")</f>
        <v>At any time during the game</v>
      </c>
      <c r="K137" s="3" t="str">
        <f>IFERROR(__xludf.DUMMYFUNCTION("GOOGLETRANSLATE(E137, ""it"", ""en"")"),"The goalkeeper can be changed at any time.")</f>
        <v>The goalkeeper can be changed at any time.</v>
      </c>
      <c r="L137" s="2"/>
      <c r="M137" s="2"/>
      <c r="N137" s="2"/>
      <c r="O137" s="2"/>
      <c r="P137" s="2"/>
      <c r="Q137" s="2"/>
      <c r="R137" s="2"/>
      <c r="S137" s="2"/>
    </row>
    <row r="138" ht="22.5" customHeight="1">
      <c r="A138" s="3">
        <v>137.0</v>
      </c>
      <c r="B138" s="3" t="s">
        <v>2515</v>
      </c>
      <c r="C138" s="3" t="s">
        <v>2745</v>
      </c>
      <c r="D138" s="3" t="s">
        <v>2517</v>
      </c>
      <c r="E138" s="3" t="s">
        <v>2746</v>
      </c>
      <c r="F138" s="2"/>
      <c r="G138" s="3" t="str">
        <f>IFERROR(__xludf.DUMMYFUNCTION("GOOGLETRANSLATE(A138, ""it"", ""en"")"),"137")</f>
        <v>137</v>
      </c>
      <c r="H138" s="3" t="str">
        <f>IFERROR(__xludf.DUMMYFUNCTION("GOOGLETRANSLATE(B138, ""it"", ""en"")"),"Who can score a goal in water polo?")</f>
        <v>Who can score a goal in water polo?</v>
      </c>
      <c r="I138" s="3" t="str">
        <f>IFERROR(__xludf.DUMMYFUNCTION("GOOGLETRANSLATE(C138, ""it"", ""en"")"),"A. The goalkeeper and the defenders B. Only the attackers C. Any field player D. The captain and the goalkeeper")</f>
        <v>A. The goalkeeper and the defenders B. Only the attackers C. Any field player D. The captain and the goalkeeper</v>
      </c>
      <c r="J138" s="3" t="str">
        <f>IFERROR(__xludf.DUMMYFUNCTION("GOOGLETRANSLATE(D138, ""it"", ""en"")"),"Any outfield player")</f>
        <v>Any outfield player</v>
      </c>
      <c r="K138" s="3" t="str">
        <f>IFERROR(__xludf.DUMMYFUNCTION("GOOGLETRANSLATE(E138, ""it"", ""en"")"),"Any player on the pitch can score a goal.")</f>
        <v>Any player on the pitch can score a goal.</v>
      </c>
      <c r="L138" s="2"/>
      <c r="M138" s="2"/>
      <c r="N138" s="2"/>
      <c r="O138" s="2"/>
      <c r="P138" s="2"/>
      <c r="Q138" s="2"/>
      <c r="R138" s="2"/>
      <c r="S138" s="2"/>
    </row>
    <row r="139" ht="22.5" customHeight="1">
      <c r="A139" s="3">
        <v>138.0</v>
      </c>
      <c r="B139" s="3" t="s">
        <v>2641</v>
      </c>
      <c r="C139" s="3" t="s">
        <v>2747</v>
      </c>
      <c r="D139" s="3" t="s">
        <v>2643</v>
      </c>
      <c r="E139" s="3" t="s">
        <v>2748</v>
      </c>
      <c r="F139" s="2"/>
      <c r="G139" s="3" t="str">
        <f>IFERROR(__xludf.DUMMYFUNCTION("GOOGLETRANSLATE(A139, ""it"", ""en"")"),"138")</f>
        <v>138</v>
      </c>
      <c r="H139" s="3" t="str">
        <f>IFERROR(__xludf.DUMMYFUNCTION("GOOGLETRANSLATE(B139, ""it"", ""en"")"),"How long does a water polo game last?")</f>
        <v>How long does a water polo game last?</v>
      </c>
      <c r="I139" s="3" t="str">
        <f>IFERROR(__xludf.DUMMYFUNCTION("GOOGLETRANSLATE(C139, ""it"", ""en"")"),"A. 60 minutes B. 70 minutes C. 80 minutes D. 90 minutes")</f>
        <v>A. 60 minutes B. 70 minutes C. 80 minutes D. 90 minutes</v>
      </c>
      <c r="J139" s="3" t="str">
        <f>IFERROR(__xludf.DUMMYFUNCTION("GOOGLETRANSLATE(D139, ""it"", ""en"")"),"60 minutes")</f>
        <v>60 minutes</v>
      </c>
      <c r="K139" s="3" t="str">
        <f>IFERROR(__xludf.DUMMYFUNCTION("GOOGLETRANSLATE(E139, ""it"", ""en"")"),"A water polo match is divided into 4 15-minute periods for a total of 60 minutes.")</f>
        <v>A water polo match is divided into 4 15-minute periods for a total of 60 minutes.</v>
      </c>
      <c r="L139" s="2"/>
      <c r="M139" s="2"/>
      <c r="N139" s="2"/>
      <c r="O139" s="2"/>
      <c r="P139" s="2"/>
      <c r="Q139" s="2"/>
      <c r="R139" s="2"/>
      <c r="S139" s="2"/>
    </row>
    <row r="140" ht="22.5" customHeight="1">
      <c r="A140" s="3">
        <v>139.0</v>
      </c>
      <c r="B140" s="3" t="s">
        <v>2749</v>
      </c>
      <c r="C140" s="3" t="s">
        <v>2750</v>
      </c>
      <c r="D140" s="3" t="s">
        <v>2751</v>
      </c>
      <c r="E140" s="3"/>
      <c r="F140" s="2"/>
      <c r="G140" s="3" t="str">
        <f>IFERROR(__xludf.DUMMYFUNCTION("GOOGLETRANSLATE(A140, ""it"", ""en"")"),"139")</f>
        <v>139</v>
      </c>
      <c r="H140" s="3" t="str">
        <f>IFERROR(__xludf.DUMMYFUNCTION("GOOGLETRANSLATE(B140, ""it"", ""en"")"),"When is a penalty awarded?")</f>
        <v>When is a penalty awarded?</v>
      </c>
      <c r="I140" s="3" t="str">
        <f>IFERROR(__xludf.DUMMYFUNCTION("GOOGLETRANSLATE(C140, ""it"", ""en"")"),"A. When a foul is committed in the penalty area B. When a player does not have possession of the ball C. When play is stopped D. When the goalkeeper makes a mistake")</f>
        <v>A. When a foul is committed in the penalty area B. When a player does not have possession of the ball C. When play is stopped D. When the goalkeeper makes a mistake</v>
      </c>
      <c r="J140" s="3" t="str">
        <f>IFERROR(__xludf.DUMMYFUNCTION("GOOGLETRANSLATE(D140, ""it"", ""en"")"),"When a foul is committed in the penalty area.")</f>
        <v>When a foul is committed in the penalty area.</v>
      </c>
      <c r="K140" s="3" t="str">
        <f>IFERROR(__xludf.DUMMYFUNCTION("GOOGLETRANSLATE(E140, ""it"", ""en"")"),"#VALUE!")</f>
        <v>#VALUE!</v>
      </c>
      <c r="L140" s="2"/>
      <c r="M140" s="2"/>
      <c r="N140" s="2"/>
      <c r="O140" s="2"/>
      <c r="P140" s="2"/>
      <c r="Q140" s="2"/>
      <c r="R140" s="2"/>
      <c r="S140" s="2"/>
    </row>
    <row r="141" ht="22.5" customHeight="1">
      <c r="A141" s="3">
        <v>140.0</v>
      </c>
      <c r="B141" s="3" t="s">
        <v>2752</v>
      </c>
      <c r="C141" s="3" t="s">
        <v>2753</v>
      </c>
      <c r="D141" s="3" t="s">
        <v>2754</v>
      </c>
      <c r="E141" s="3" t="s">
        <v>2755</v>
      </c>
      <c r="F141" s="2"/>
      <c r="G141" s="3" t="str">
        <f>IFERROR(__xludf.DUMMYFUNCTION("GOOGLETRANSLATE(A141, ""it"", ""en"")"),"140")</f>
        <v>140</v>
      </c>
      <c r="H141" s="3" t="str">
        <f>IFERROR(__xludf.DUMMYFUNCTION("GOOGLETRANSLATE(B141, ""it"", ""en"")"),"In what situations is the ""disallowed goal"" rule used?")</f>
        <v>In what situations is the "disallowed goal" rule used?</v>
      </c>
      <c r="I141" s="3" t="str">
        <f>IFERROR(__xludf.DUMMYFUNCTION("GOOGLETRANSLATE(C141, ""it"", ""en"")"),"A. When the ball goes out before entering the goal B. When the goalkeeper commits a foul C. When the shot is not direct D. When a player touches the ball outside the penalty area")</f>
        <v>A. When the ball goes out before entering the goal B. When the goalkeeper commits a foul C. When the shot is not direct D. When a player touches the ball outside the penalty area</v>
      </c>
      <c r="J141" s="3" t="str">
        <f>IFERROR(__xludf.DUMMYFUNCTION("GOOGLETRANSLATE(D141, ""it"", ""en"")"),"When the ball goes out before entering the goal")</f>
        <v>When the ball goes out before entering the goal</v>
      </c>
      <c r="K141" s="3" t="str">
        <f>IFERROR(__xludf.DUMMYFUNCTION("GOOGLETRANSLATE(E141, ""it"", ""en"")"),"If the ball goes out before entering the goal")</f>
        <v>If the ball goes out before entering the goal</v>
      </c>
      <c r="L141" s="2"/>
      <c r="M141" s="2"/>
      <c r="N141" s="2"/>
      <c r="O141" s="2"/>
      <c r="P141" s="2"/>
      <c r="Q141" s="2"/>
      <c r="R141" s="2"/>
      <c r="S141" s="2"/>
    </row>
    <row r="142" ht="22.5" customHeight="1">
      <c r="A142" s="3">
        <v>141.0</v>
      </c>
      <c r="B142" s="3" t="s">
        <v>2756</v>
      </c>
      <c r="C142" s="3" t="s">
        <v>2757</v>
      </c>
      <c r="D142" s="3" t="s">
        <v>2758</v>
      </c>
      <c r="E142" s="3" t="s">
        <v>2759</v>
      </c>
      <c r="F142" s="2"/>
      <c r="G142" s="3" t="str">
        <f>IFERROR(__xludf.DUMMYFUNCTION("GOOGLETRANSLATE(A142, ""it"", ""en"")"),"141")</f>
        <v>141</v>
      </c>
      <c r="H142" s="3" t="str">
        <f>IFERROR(__xludf.DUMMYFUNCTION("GOOGLETRANSLATE(B142, ""it"", ""en"")"),"Who is responsible for keeping time during the game?")</f>
        <v>Who is responsible for keeping time during the game?</v>
      </c>
      <c r="I142" s="3" t="str">
        <f>IFERROR(__xludf.DUMMYFUNCTION("GOOGLETRANSLATE(C142, ""it"", ""en"")"),"A. The timekeeper B. The referee C. The captain D. The goalkeeper")</f>
        <v>A. The timekeeper B. The referee C. The captain D. The goalkeeper</v>
      </c>
      <c r="J142" s="3" t="str">
        <f>IFERROR(__xludf.DUMMYFUNCTION("GOOGLETRANSLATE(D142, ""it"", ""en"")"),"The Timekeeper")</f>
        <v>The Timekeeper</v>
      </c>
      <c r="K142" s="3" t="str">
        <f>IFERROR(__xludf.DUMMYFUNCTION("GOOGLETRANSLATE(E142, ""it"", ""en"")"),"The timekeeper is responsible for controlling the time during the game.")</f>
        <v>The timekeeper is responsible for controlling the time during the game.</v>
      </c>
      <c r="L142" s="2"/>
      <c r="M142" s="2"/>
      <c r="N142" s="2"/>
      <c r="O142" s="2"/>
      <c r="P142" s="2"/>
      <c r="Q142" s="2"/>
      <c r="R142" s="2"/>
      <c r="S142" s="2"/>
    </row>
    <row r="143" ht="22.5" customHeight="1">
      <c r="A143" s="3">
        <v>142.0</v>
      </c>
      <c r="B143" s="3" t="s">
        <v>2760</v>
      </c>
      <c r="C143" s="3" t="s">
        <v>2761</v>
      </c>
      <c r="D143" s="3" t="s">
        <v>2762</v>
      </c>
      <c r="E143" s="3" t="s">
        <v>2763</v>
      </c>
      <c r="F143" s="2"/>
      <c r="G143" s="3" t="str">
        <f>IFERROR(__xludf.DUMMYFUNCTION("GOOGLETRANSLATE(A143, ""it"", ""en"")"),"142")</f>
        <v>142</v>
      </c>
      <c r="H143" s="3" t="str">
        <f>IFERROR(__xludf.DUMMYFUNCTION("GOOGLETRANSLATE(B143, ""it"", ""en"")"),"What happens if a player hits the ball with one hand outside his penalty area?")</f>
        <v>What happens if a player hits the ball with one hand outside his penalty area?</v>
      </c>
      <c r="I143" s="3" t="str">
        <f>IFERROR(__xludf.DUMMYFUNCTION("GOOGLETRANSLATE(C143, ""it"", ""en"")"),"A. He is cautioned B. A penalty is awarded C. The game continues D. The goalkeeper is sent off")</f>
        <v>A. He is cautioned B. A penalty is awarded C. The game continues D. The goalkeeper is sent off</v>
      </c>
      <c r="J143" s="3" t="str">
        <f>IFERROR(__xludf.DUMMYFUNCTION("GOOGLETRANSLATE(D143, ""it"", ""en"")"),"A penalty is called")</f>
        <v>A penalty is called</v>
      </c>
      <c r="K143" s="3" t="str">
        <f>IFERROR(__xludf.DUMMYFUNCTION("GOOGLETRANSLATE(E143, ""it"", ""en"")"),"A foul outside the goalkeeper's area results in a penalty being awarded.")</f>
        <v>A foul outside the goalkeeper's area results in a penalty being awarded.</v>
      </c>
      <c r="L143" s="2"/>
      <c r="M143" s="2"/>
      <c r="N143" s="2"/>
      <c r="O143" s="2"/>
      <c r="P143" s="2"/>
      <c r="Q143" s="2"/>
      <c r="R143" s="2"/>
      <c r="S143" s="2"/>
    </row>
    <row r="144" ht="22.5" customHeight="1">
      <c r="A144" s="3">
        <v>143.0</v>
      </c>
      <c r="B144" s="3" t="s">
        <v>2764</v>
      </c>
      <c r="C144" s="3" t="s">
        <v>2765</v>
      </c>
      <c r="D144" s="3" t="s">
        <v>2766</v>
      </c>
      <c r="E144" s="3" t="s">
        <v>2767</v>
      </c>
      <c r="F144" s="2"/>
      <c r="G144" s="3" t="str">
        <f>IFERROR(__xludf.DUMMYFUNCTION("GOOGLETRANSLATE(A144, ""it"", ""en"")"),"143")</f>
        <v>143</v>
      </c>
      <c r="H144" s="3" t="str">
        <f>IFERROR(__xludf.DUMMYFUNCTION("GOOGLETRANSLATE(B144, ""it"", ""en"")"),"How long is overtime?")</f>
        <v>How long is overtime?</v>
      </c>
      <c r="I144" s="3" t="str">
        <f>IFERROR(__xludf.DUMMYFUNCTION("GOOGLETRANSLATE(C144, ""it"", ""en"")"),"A. 5 minutes B. 10 minutes C. 15 minutes D. 20 minutes")</f>
        <v>A. 5 minutes B. 10 minutes C. 15 minutes D. 20 minutes</v>
      </c>
      <c r="J144" s="3" t="str">
        <f>IFERROR(__xludf.DUMMYFUNCTION("GOOGLETRANSLATE(D144, ""it"", ""en"")"),"5 minutes")</f>
        <v>5 minutes</v>
      </c>
      <c r="K144" s="3" t="str">
        <f>IFERROR(__xludf.DUMMYFUNCTION("GOOGLETRANSLATE(E144, ""it"", ""en"")"),"Each overtime period lasts 5 minutes.")</f>
        <v>Each overtime period lasts 5 minutes.</v>
      </c>
      <c r="L144" s="2"/>
      <c r="M144" s="2"/>
      <c r="N144" s="2"/>
      <c r="O144" s="2"/>
      <c r="P144" s="2"/>
      <c r="Q144" s="2"/>
      <c r="R144" s="2"/>
      <c r="S144" s="2"/>
    </row>
    <row r="145" ht="22.5" customHeight="1">
      <c r="A145" s="3">
        <v>144.0</v>
      </c>
      <c r="B145" s="3" t="s">
        <v>2768</v>
      </c>
      <c r="C145" s="3" t="s">
        <v>2769</v>
      </c>
      <c r="D145" s="3" t="s">
        <v>2770</v>
      </c>
      <c r="E145" s="3" t="s">
        <v>2771</v>
      </c>
      <c r="F145" s="2"/>
      <c r="G145" s="3" t="str">
        <f>IFERROR(__xludf.DUMMYFUNCTION("GOOGLETRANSLATE(A145, ""it"", ""en"")"),"144")</f>
        <v>144</v>
      </c>
      <c r="H145" s="3" t="str">
        <f>IFERROR(__xludf.DUMMYFUNCTION("GOOGLETRANSLATE(B145, ""it"", ""en"")"),"What happens if a player commits a foul during the pass?")</f>
        <v>What happens if a player commits a foul during the pass?</v>
      </c>
      <c r="I145" s="3" t="str">
        <f>IFERROR(__xludf.DUMMYFUNCTION("GOOGLETRANSLATE(C145, ""it"", ""en"")"),"A. The opposing team gains possession B. The ball is contested C. Play stops D. The player is cautioned")</f>
        <v>A. The opposing team gains possession B. The ball is contested C. Play stops D. The player is cautioned</v>
      </c>
      <c r="J145" s="3" t="str">
        <f>IFERROR(__xludf.DUMMYFUNCTION("GOOGLETRANSLATE(D145, ""it"", ""en"")"),"The opposing team gains possession")</f>
        <v>The opposing team gains possession</v>
      </c>
      <c r="K145" s="3" t="str">
        <f>IFERROR(__xludf.DUMMYFUNCTION("GOOGLETRANSLATE(E145, ""it"", ""en"")"),"A foul during the pass results in loss of possession.")</f>
        <v>A foul during the pass results in loss of possession.</v>
      </c>
      <c r="L145" s="2"/>
      <c r="M145" s="2"/>
      <c r="N145" s="2"/>
      <c r="O145" s="2"/>
      <c r="P145" s="2"/>
      <c r="Q145" s="2"/>
      <c r="R145" s="2"/>
      <c r="S145" s="2"/>
    </row>
    <row r="146" ht="22.5" customHeight="1">
      <c r="A146" s="3">
        <v>145.0</v>
      </c>
      <c r="B146" s="3" t="s">
        <v>2772</v>
      </c>
      <c r="C146" s="3" t="s">
        <v>2773</v>
      </c>
      <c r="D146" s="3" t="s">
        <v>2774</v>
      </c>
      <c r="E146" s="3"/>
      <c r="F146" s="2"/>
      <c r="G146" s="3" t="str">
        <f>IFERROR(__xludf.DUMMYFUNCTION("GOOGLETRANSLATE(A146, ""it"", ""en"")"),"145")</f>
        <v>145</v>
      </c>
      <c r="H146" s="3" t="str">
        <f>IFERROR(__xludf.DUMMYFUNCTION("GOOGLETRANSLATE(B146, ""it"", ""en"")"),"What happens if a team commits an offensive foul?")</f>
        <v>What happens if a team commits an offensive foul?</v>
      </c>
      <c r="I146" s="3" t="str">
        <f>IFERROR(__xludf.DUMMYFUNCTION("GOOGLETRANSLATE(C146, ""it"", ""en"")"),"A. Possession passes to the opposing team B. The player is temporarily ejected C. The game stops D. The team receives a penalty")</f>
        <v>A. Possession passes to the opposing team B. The player is temporarily ejected C. The game stops D. The team receives a penalty</v>
      </c>
      <c r="J146" s="3" t="str">
        <f>IFERROR(__xludf.DUMMYFUNCTION("GOOGLETRANSLATE(D146, ""it"", ""en"")"),"Possession passes to the opposing team.")</f>
        <v>Possession passes to the opposing team.</v>
      </c>
      <c r="K146" s="3" t="str">
        <f>IFERROR(__xludf.DUMMYFUNCTION("GOOGLETRANSLATE(E146, ""it"", ""en"")"),"#VALUE!")</f>
        <v>#VALUE!</v>
      </c>
      <c r="L146" s="2"/>
      <c r="M146" s="2"/>
      <c r="N146" s="2"/>
      <c r="O146" s="2"/>
      <c r="P146" s="2"/>
      <c r="Q146" s="2"/>
      <c r="R146" s="2"/>
      <c r="S146" s="2"/>
    </row>
    <row r="147" ht="22.5" customHeight="1">
      <c r="A147" s="3">
        <v>146.0</v>
      </c>
      <c r="B147" s="3" t="s">
        <v>2775</v>
      </c>
      <c r="C147" s="3" t="s">
        <v>2364</v>
      </c>
      <c r="D147" s="3" t="s">
        <v>2581</v>
      </c>
      <c r="E147" s="3" t="s">
        <v>2582</v>
      </c>
      <c r="F147" s="2"/>
      <c r="G147" s="3" t="str">
        <f>IFERROR(__xludf.DUMMYFUNCTION("GOOGLETRANSLATE(A147, ""it"", ""en"")"),"146")</f>
        <v>146</v>
      </c>
      <c r="H147" s="3" t="str">
        <f>IFERROR(__xludf.DUMMYFUNCTION("GOOGLETRANSLATE(B147, ""it"", ""en"")"),"How many minutes is the break between the two overtime periods?")</f>
        <v>How many minutes is the break between the two overtime periods?</v>
      </c>
      <c r="I147" s="3" t="str">
        <f>IFERROR(__xludf.DUMMYFUNCTION("GOOGLETRANSLATE(C147, ""it"", ""en"")"),"A. 1 minute B. 2 minutes C. 3 minutes D. 5 minutes")</f>
        <v>A. 1 minute B. 2 minutes C. 3 minutes D. 5 minutes</v>
      </c>
      <c r="J147" s="3" t="str">
        <f>IFERROR(__xludf.DUMMYFUNCTION("GOOGLETRANSLATE(D147, ""it"", ""en"")"),"1 minute")</f>
        <v>1 minute</v>
      </c>
      <c r="K147" s="3" t="str">
        <f>IFERROR(__xludf.DUMMYFUNCTION("GOOGLETRANSLATE(E147, ""it"", ""en"")"),"The break between the two extra periods lasts 1 minute.")</f>
        <v>The break between the two extra periods lasts 1 minute.</v>
      </c>
      <c r="L147" s="2"/>
      <c r="M147" s="2"/>
      <c r="N147" s="2"/>
      <c r="O147" s="2"/>
      <c r="P147" s="2"/>
      <c r="Q147" s="2"/>
      <c r="R147" s="2"/>
      <c r="S147" s="2"/>
    </row>
    <row r="148" ht="22.5" customHeight="1">
      <c r="A148" s="3">
        <v>147.0</v>
      </c>
      <c r="B148" s="3" t="s">
        <v>2776</v>
      </c>
      <c r="C148" s="3" t="s">
        <v>2777</v>
      </c>
      <c r="D148" s="3" t="s">
        <v>632</v>
      </c>
      <c r="E148" s="3" t="s">
        <v>2778</v>
      </c>
      <c r="F148" s="2"/>
      <c r="G148" s="3" t="str">
        <f>IFERROR(__xludf.DUMMYFUNCTION("GOOGLETRANSLATE(A148, ""it"", ""en"")"),"147")</f>
        <v>147</v>
      </c>
      <c r="H148" s="3" t="str">
        <f>IFERROR(__xludf.DUMMYFUNCTION("GOOGLETRANSLATE(B148, ""it"", ""en"")"),"What happens if the ball hits the post during a shot?")</f>
        <v>What happens if the ball hits the post during a shot?</v>
      </c>
      <c r="I148" s="3" t="str">
        <f>IFERROR(__xludf.DUMMYFUNCTION("GOOGLETRANSLATE(C148, ""it"", ""en"")"),"A. The game continues B. The shot is disallowed C. The ball is put back into play by the opposing team D. The goalkeeper must throw the ball again")</f>
        <v>A. The game continues B. The shot is disallowed C. The ball is put back into play by the opposing team D. The goalkeeper must throw the ball again</v>
      </c>
      <c r="J148" s="3" t="str">
        <f>IFERROR(__xludf.DUMMYFUNCTION("GOOGLETRANSLATE(D148, ""it"", ""en"")"),"The game continues")</f>
        <v>The game continues</v>
      </c>
      <c r="K148" s="3" t="str">
        <f>IFERROR(__xludf.DUMMYFUNCTION("GOOGLETRANSLATE(E148, ""it"", ""en"")"),"If the ball touches the post")</f>
        <v>If the ball touches the post</v>
      </c>
      <c r="L148" s="2"/>
      <c r="M148" s="2"/>
      <c r="N148" s="2"/>
      <c r="O148" s="2"/>
      <c r="P148" s="2"/>
      <c r="Q148" s="2"/>
      <c r="R148" s="2"/>
      <c r="S148" s="2"/>
    </row>
    <row r="149" ht="22.5" customHeight="1">
      <c r="A149" s="3">
        <v>148.0</v>
      </c>
      <c r="B149" s="3" t="s">
        <v>2779</v>
      </c>
      <c r="C149" s="3" t="s">
        <v>2780</v>
      </c>
      <c r="D149" s="3" t="s">
        <v>2781</v>
      </c>
      <c r="E149" s="3" t="s">
        <v>2782</v>
      </c>
      <c r="F149" s="2"/>
      <c r="G149" s="3" t="str">
        <f>IFERROR(__xludf.DUMMYFUNCTION("GOOGLETRANSLATE(A149, ""it"", ""en"")"),"148")</f>
        <v>148</v>
      </c>
      <c r="H149" s="3" t="str">
        <f>IFERROR(__xludf.DUMMYFUNCTION("GOOGLETRANSLATE(B149, ""it"", ""en"")"),"What happens if a player puts the ball into the goal from out of play?")</f>
        <v>What happens if a player puts the ball into the goal from out of play?</v>
      </c>
      <c r="I149" s="3" t="str">
        <f>IFERROR(__xludf.DUMMYFUNCTION("GOOGLETRANSLATE(C149, ""it"", ""en"")"),"A. The goal is not valid B. The game continues C. The goal is validated D. The opposing team earns a penalty")</f>
        <v>A. The goal is not valid B. The game continues C. The goal is validated D. The opposing team earns a penalty</v>
      </c>
      <c r="J149" s="3" t="str">
        <f>IFERROR(__xludf.DUMMYFUNCTION("GOOGLETRANSLATE(D149, ""it"", ""en"")"),"The goal is not valid")</f>
        <v>The goal is not valid</v>
      </c>
      <c r="K149" s="3" t="str">
        <f>IFERROR(__xludf.DUMMYFUNCTION("GOOGLETRANSLATE(E149, ""it"", ""en"")"),"A goal scored by an offside player is not counted.")</f>
        <v>A goal scored by an offside player is not counted.</v>
      </c>
      <c r="L149" s="2"/>
      <c r="M149" s="2"/>
      <c r="N149" s="2"/>
      <c r="O149" s="2"/>
      <c r="P149" s="2"/>
      <c r="Q149" s="2"/>
      <c r="R149" s="2"/>
      <c r="S149" s="2"/>
    </row>
    <row r="150" ht="22.5" customHeight="1">
      <c r="A150" s="3">
        <v>149.0</v>
      </c>
      <c r="B150" s="3" t="s">
        <v>2783</v>
      </c>
      <c r="C150" s="3" t="s">
        <v>2784</v>
      </c>
      <c r="D150" s="3" t="s">
        <v>2785</v>
      </c>
      <c r="E150" s="3"/>
      <c r="F150" s="2"/>
      <c r="G150" s="3" t="str">
        <f>IFERROR(__xludf.DUMMYFUNCTION("GOOGLETRANSLATE(A150, ""it"", ""en"")"),"149")</f>
        <v>149</v>
      </c>
      <c r="H150" s="3" t="str">
        <f>IFERROR(__xludf.DUMMYFUNCTION("GOOGLETRANSLATE(B150, ""it"", ""en"")"),"What happens if a player kicks the ball out of the pool?")</f>
        <v>What happens if a player kicks the ball out of the pool?</v>
      </c>
      <c r="I150" s="3" t="str">
        <f>IFERROR(__xludf.DUMMYFUNCTION("GOOGLETRANSLATE(C150, ""it"", ""en"")"),"A. The opposing team earns a throw-in B. The game continues C. The team earns a penalty D. The game is stopped")</f>
        <v>A. The opposing team earns a throw-in B. The game continues C. The team earns a penalty D. The game is stopped</v>
      </c>
      <c r="J150" s="3" t="str">
        <f>IFERROR(__xludf.DUMMYFUNCTION("GOOGLETRANSLATE(D150, ""it"", ""en"")"),"The opposing team earns the throw-in.")</f>
        <v>The opposing team earns the throw-in.</v>
      </c>
      <c r="K150" s="3" t="str">
        <f>IFERROR(__xludf.DUMMYFUNCTION("GOOGLETRANSLATE(E150, ""it"", ""en"")"),"#VALUE!")</f>
        <v>#VALUE!</v>
      </c>
      <c r="L150" s="2"/>
      <c r="M150" s="2"/>
      <c r="N150" s="2"/>
      <c r="O150" s="2"/>
      <c r="P150" s="2"/>
      <c r="Q150" s="2"/>
      <c r="R150" s="2"/>
      <c r="S150" s="2"/>
    </row>
    <row r="151" ht="22.5" customHeight="1">
      <c r="A151" s="3">
        <v>150.0</v>
      </c>
      <c r="B151" s="3" t="s">
        <v>2786</v>
      </c>
      <c r="C151" s="3" t="s">
        <v>2787</v>
      </c>
      <c r="D151" s="3" t="s">
        <v>2617</v>
      </c>
      <c r="E151" s="3" t="s">
        <v>2788</v>
      </c>
      <c r="F151" s="2"/>
      <c r="G151" s="3" t="str">
        <f>IFERROR(__xludf.DUMMYFUNCTION("GOOGLETRANSLATE(A151, ""it"", ""en"")"),"150")</f>
        <v>150</v>
      </c>
      <c r="H151" s="3" t="str">
        <f>IFERROR(__xludf.DUMMYFUNCTION("GOOGLETRANSLATE(B151, ""it"", ""en"")"),"How many substitutions can be made in a water polo game?")</f>
        <v>How many substitutions can be made in a water polo game?</v>
      </c>
      <c r="I151" s="3" t="str">
        <f>IFERROR(__xludf.DUMMYFUNCTION("GOOGLETRANSLATE(C151, ""it"", ""en"")"),"A. Unlimited B. 2 C. 3 D. 5")</f>
        <v>A. Unlimited B. 2 C. 3 D. 5</v>
      </c>
      <c r="J151" s="3" t="str">
        <f>IFERROR(__xludf.DUMMYFUNCTION("GOOGLETRANSLATE(D151, ""it"", ""en"")"),"Unlimited")</f>
        <v>Unlimited</v>
      </c>
      <c r="K151" s="3" t="str">
        <f>IFERROR(__xludf.DUMMYFUNCTION("GOOGLETRANSLATE(E151, ""it"", ""en"")"),"Substitutions are unlimited during the match.")</f>
        <v>Substitutions are unlimited during the match.</v>
      </c>
      <c r="L151" s="2"/>
      <c r="M151" s="2"/>
      <c r="N151" s="2"/>
      <c r="O151" s="2"/>
      <c r="P151" s="2"/>
      <c r="Q151" s="2"/>
      <c r="R151" s="2"/>
      <c r="S151" s="2"/>
    </row>
    <row r="152">
      <c r="A152" s="2"/>
      <c r="B152" s="2"/>
      <c r="C152" s="2"/>
      <c r="D152" s="2"/>
      <c r="E152" s="2"/>
      <c r="F152" s="2"/>
      <c r="G152" s="2"/>
      <c r="H152" s="2"/>
      <c r="I152" s="2"/>
      <c r="J152" s="2"/>
      <c r="K152" s="2"/>
      <c r="L152" s="2"/>
      <c r="M152" s="2"/>
      <c r="N152" s="2"/>
      <c r="O152" s="2"/>
      <c r="P152" s="2"/>
      <c r="Q152" s="2"/>
      <c r="R152" s="2"/>
      <c r="S152" s="2"/>
    </row>
    <row r="153">
      <c r="A153" s="2"/>
      <c r="B153" s="2"/>
      <c r="C153" s="2"/>
      <c r="D153" s="2"/>
      <c r="E153" s="2"/>
      <c r="F153" s="2"/>
      <c r="G153" s="2"/>
      <c r="H153" s="2"/>
      <c r="I153" s="2"/>
      <c r="J153" s="2"/>
      <c r="K153" s="2"/>
      <c r="L153" s="2"/>
      <c r="M153" s="2"/>
      <c r="N153" s="2"/>
      <c r="O153" s="2"/>
      <c r="P153" s="2"/>
      <c r="Q153" s="2"/>
      <c r="R153" s="2"/>
      <c r="S153" s="2"/>
    </row>
    <row r="154">
      <c r="A154" s="2"/>
      <c r="B154" s="2"/>
      <c r="C154" s="2"/>
      <c r="D154" s="2"/>
      <c r="E154" s="2"/>
      <c r="F154" s="2"/>
      <c r="G154" s="2"/>
      <c r="H154" s="2"/>
      <c r="I154" s="2"/>
      <c r="J154" s="2"/>
      <c r="K154" s="2"/>
      <c r="L154" s="2"/>
      <c r="M154" s="2"/>
      <c r="N154" s="2"/>
      <c r="O154" s="2"/>
      <c r="P154" s="2"/>
      <c r="Q154" s="2"/>
      <c r="R154" s="2"/>
      <c r="S154" s="2"/>
    </row>
    <row r="155">
      <c r="A155" s="2"/>
      <c r="B155" s="2"/>
      <c r="C155" s="2"/>
      <c r="D155" s="2"/>
      <c r="E155" s="2"/>
      <c r="F155" s="2"/>
      <c r="G155" s="2"/>
      <c r="H155" s="2"/>
      <c r="I155" s="2"/>
      <c r="J155" s="2"/>
      <c r="K155" s="2"/>
      <c r="L155" s="2"/>
      <c r="M155" s="2"/>
      <c r="N155" s="2"/>
      <c r="O155" s="2"/>
      <c r="P155" s="2"/>
      <c r="Q155" s="2"/>
      <c r="R155" s="2"/>
      <c r="S155" s="2"/>
    </row>
    <row r="156">
      <c r="A156" s="2"/>
      <c r="B156" s="2"/>
      <c r="C156" s="2"/>
      <c r="D156" s="2"/>
      <c r="E156" s="2"/>
      <c r="F156" s="2"/>
      <c r="G156" s="2"/>
      <c r="H156" s="2"/>
      <c r="I156" s="2"/>
      <c r="J156" s="2"/>
      <c r="K156" s="2"/>
      <c r="L156" s="2"/>
      <c r="M156" s="2"/>
      <c r="N156" s="2"/>
      <c r="O156" s="2"/>
      <c r="P156" s="2"/>
      <c r="Q156" s="2"/>
      <c r="R156" s="2"/>
      <c r="S156" s="2"/>
    </row>
    <row r="157">
      <c r="A157" s="2"/>
      <c r="B157" s="2"/>
      <c r="C157" s="2"/>
      <c r="D157" s="2"/>
      <c r="E157" s="2"/>
      <c r="F157" s="2"/>
      <c r="G157" s="2"/>
      <c r="H157" s="2"/>
      <c r="I157" s="2"/>
      <c r="J157" s="2"/>
      <c r="K157" s="2"/>
      <c r="L157" s="2"/>
      <c r="M157" s="2"/>
      <c r="N157" s="2"/>
      <c r="O157" s="2"/>
      <c r="P157" s="2"/>
      <c r="Q157" s="2"/>
      <c r="R157" s="2"/>
      <c r="S157" s="2"/>
    </row>
    <row r="158">
      <c r="A158" s="2"/>
      <c r="B158" s="2"/>
      <c r="C158" s="2"/>
      <c r="D158" s="2"/>
      <c r="E158" s="2"/>
      <c r="F158" s="2"/>
      <c r="G158" s="2"/>
      <c r="H158" s="2"/>
      <c r="I158" s="2"/>
      <c r="J158" s="2"/>
      <c r="K158" s="2"/>
      <c r="L158" s="2"/>
      <c r="M158" s="2"/>
      <c r="N158" s="2"/>
      <c r="O158" s="2"/>
      <c r="P158" s="2"/>
      <c r="Q158" s="2"/>
      <c r="R158" s="2"/>
      <c r="S158" s="2"/>
    </row>
    <row r="159">
      <c r="A159" s="2"/>
      <c r="B159" s="2"/>
      <c r="C159" s="2"/>
      <c r="D159" s="2"/>
      <c r="E159" s="2"/>
      <c r="F159" s="2"/>
      <c r="G159" s="2"/>
      <c r="H159" s="2"/>
      <c r="I159" s="2"/>
      <c r="J159" s="2"/>
      <c r="K159" s="2"/>
      <c r="L159" s="2"/>
      <c r="M159" s="2"/>
      <c r="N159" s="2"/>
      <c r="O159" s="2"/>
      <c r="P159" s="2"/>
      <c r="Q159" s="2"/>
      <c r="R159" s="2"/>
      <c r="S159" s="2"/>
    </row>
    <row r="160">
      <c r="A160" s="2"/>
      <c r="B160" s="2"/>
      <c r="C160" s="2"/>
      <c r="D160" s="2"/>
      <c r="E160" s="2"/>
      <c r="F160" s="2"/>
      <c r="G160" s="2"/>
      <c r="H160" s="2"/>
      <c r="I160" s="2"/>
      <c r="J160" s="2"/>
      <c r="K160" s="2"/>
      <c r="L160" s="2"/>
      <c r="M160" s="2"/>
      <c r="N160" s="2"/>
      <c r="O160" s="2"/>
      <c r="P160" s="2"/>
      <c r="Q160" s="2"/>
      <c r="R160" s="2"/>
      <c r="S160" s="2"/>
    </row>
    <row r="161">
      <c r="A161" s="2"/>
      <c r="B161" s="2"/>
      <c r="C161" s="2"/>
      <c r="D161" s="2"/>
      <c r="E161" s="2"/>
      <c r="F161" s="2"/>
      <c r="G161" s="2"/>
      <c r="H161" s="2"/>
      <c r="I161" s="2"/>
      <c r="J161" s="2"/>
      <c r="K161" s="2"/>
      <c r="L161" s="2"/>
      <c r="M161" s="2"/>
      <c r="N161" s="2"/>
      <c r="O161" s="2"/>
      <c r="P161" s="2"/>
      <c r="Q161" s="2"/>
      <c r="R161" s="2"/>
      <c r="S161" s="2"/>
    </row>
    <row r="162">
      <c r="A162" s="2"/>
      <c r="B162" s="2"/>
      <c r="C162" s="2"/>
      <c r="D162" s="2"/>
      <c r="E162" s="2"/>
      <c r="F162" s="2"/>
      <c r="G162" s="2"/>
      <c r="H162" s="2"/>
      <c r="I162" s="2"/>
      <c r="J162" s="2"/>
      <c r="K162" s="2"/>
      <c r="L162" s="2"/>
      <c r="M162" s="2"/>
      <c r="N162" s="2"/>
      <c r="O162" s="2"/>
      <c r="P162" s="2"/>
      <c r="Q162" s="2"/>
      <c r="R162" s="2"/>
      <c r="S162" s="2"/>
    </row>
    <row r="163">
      <c r="A163" s="2"/>
      <c r="B163" s="2"/>
      <c r="C163" s="2"/>
      <c r="D163" s="2"/>
      <c r="E163" s="2"/>
      <c r="F163" s="2"/>
      <c r="G163" s="2"/>
      <c r="H163" s="2"/>
      <c r="I163" s="2"/>
      <c r="J163" s="2"/>
      <c r="K163" s="2"/>
      <c r="L163" s="2"/>
      <c r="M163" s="2"/>
      <c r="N163" s="2"/>
      <c r="O163" s="2"/>
      <c r="P163" s="2"/>
      <c r="Q163" s="2"/>
      <c r="R163" s="2"/>
      <c r="S163" s="2"/>
    </row>
    <row r="164">
      <c r="A164" s="2"/>
      <c r="B164" s="2"/>
      <c r="C164" s="2"/>
      <c r="D164" s="2"/>
      <c r="E164" s="2"/>
      <c r="F164" s="2"/>
      <c r="G164" s="2"/>
      <c r="H164" s="2"/>
      <c r="I164" s="2"/>
      <c r="J164" s="2"/>
      <c r="K164" s="2"/>
      <c r="L164" s="2"/>
      <c r="M164" s="2"/>
      <c r="N164" s="2"/>
      <c r="O164" s="2"/>
      <c r="P164" s="2"/>
      <c r="Q164" s="2"/>
      <c r="R164" s="2"/>
      <c r="S164" s="2"/>
    </row>
    <row r="165">
      <c r="A165" s="2"/>
      <c r="B165" s="2"/>
      <c r="C165" s="2"/>
      <c r="D165" s="2"/>
      <c r="E165" s="2"/>
      <c r="F165" s="2"/>
      <c r="G165" s="2"/>
      <c r="H165" s="2"/>
      <c r="I165" s="2"/>
      <c r="J165" s="2"/>
      <c r="K165" s="2"/>
      <c r="L165" s="2"/>
      <c r="M165" s="2"/>
      <c r="N165" s="2"/>
      <c r="O165" s="2"/>
      <c r="P165" s="2"/>
      <c r="Q165" s="2"/>
      <c r="R165" s="2"/>
      <c r="S165" s="2"/>
    </row>
    <row r="166">
      <c r="A166" s="2"/>
      <c r="B166" s="2"/>
      <c r="C166" s="2"/>
      <c r="D166" s="2"/>
      <c r="E166" s="2"/>
      <c r="F166" s="2"/>
      <c r="G166" s="2"/>
      <c r="H166" s="2"/>
      <c r="I166" s="2"/>
      <c r="J166" s="2"/>
      <c r="K166" s="2"/>
      <c r="L166" s="2"/>
      <c r="M166" s="2"/>
      <c r="N166" s="2"/>
      <c r="O166" s="2"/>
      <c r="P166" s="2"/>
      <c r="Q166" s="2"/>
      <c r="R166" s="2"/>
      <c r="S166" s="2"/>
    </row>
    <row r="167">
      <c r="A167" s="2"/>
      <c r="B167" s="2"/>
      <c r="C167" s="2"/>
      <c r="D167" s="2"/>
      <c r="E167" s="2"/>
      <c r="F167" s="2"/>
      <c r="G167" s="2"/>
      <c r="H167" s="2"/>
      <c r="I167" s="2"/>
      <c r="J167" s="2"/>
      <c r="K167" s="2"/>
      <c r="L167" s="2"/>
      <c r="M167" s="2"/>
      <c r="N167" s="2"/>
      <c r="O167" s="2"/>
      <c r="P167" s="2"/>
      <c r="Q167" s="2"/>
      <c r="R167" s="2"/>
      <c r="S167" s="2"/>
    </row>
    <row r="168">
      <c r="A168" s="2"/>
      <c r="B168" s="2"/>
      <c r="C168" s="2"/>
      <c r="D168" s="2"/>
      <c r="E168" s="2"/>
      <c r="F168" s="2"/>
      <c r="G168" s="2"/>
      <c r="H168" s="2"/>
      <c r="I168" s="2"/>
      <c r="J168" s="2"/>
      <c r="K168" s="2"/>
      <c r="L168" s="2"/>
      <c r="M168" s="2"/>
      <c r="N168" s="2"/>
      <c r="O168" s="2"/>
      <c r="P168" s="2"/>
      <c r="Q168" s="2"/>
      <c r="R168" s="2"/>
      <c r="S168" s="2"/>
    </row>
    <row r="169">
      <c r="A169" s="2"/>
      <c r="B169" s="2"/>
      <c r="C169" s="2"/>
      <c r="D169" s="2"/>
      <c r="E169" s="2"/>
      <c r="F169" s="2"/>
      <c r="G169" s="2"/>
      <c r="H169" s="2"/>
      <c r="I169" s="2"/>
      <c r="J169" s="2"/>
      <c r="K169" s="2"/>
      <c r="L169" s="2"/>
      <c r="M169" s="2"/>
      <c r="N169" s="2"/>
      <c r="O169" s="2"/>
      <c r="P169" s="2"/>
      <c r="Q169" s="2"/>
      <c r="R169" s="2"/>
      <c r="S169" s="2"/>
    </row>
    <row r="170">
      <c r="A170" s="2"/>
      <c r="B170" s="2"/>
      <c r="C170" s="2"/>
      <c r="D170" s="2"/>
      <c r="E170" s="2"/>
      <c r="F170" s="2"/>
      <c r="G170" s="2"/>
      <c r="H170" s="2"/>
      <c r="I170" s="2"/>
      <c r="J170" s="2"/>
      <c r="K170" s="2"/>
      <c r="L170" s="2"/>
      <c r="M170" s="2"/>
      <c r="N170" s="2"/>
      <c r="O170" s="2"/>
      <c r="P170" s="2"/>
      <c r="Q170" s="2"/>
      <c r="R170" s="2"/>
      <c r="S170" s="2"/>
    </row>
    <row r="171">
      <c r="A171" s="2"/>
      <c r="B171" s="2"/>
      <c r="C171" s="2"/>
      <c r="D171" s="2"/>
      <c r="E171" s="2"/>
      <c r="F171" s="2"/>
      <c r="G171" s="2"/>
      <c r="H171" s="2"/>
      <c r="I171" s="2"/>
      <c r="J171" s="2"/>
      <c r="K171" s="2"/>
      <c r="L171" s="2"/>
      <c r="M171" s="2"/>
      <c r="N171" s="2"/>
      <c r="O171" s="2"/>
      <c r="P171" s="2"/>
      <c r="Q171" s="2"/>
      <c r="R171" s="2"/>
      <c r="S171" s="2"/>
    </row>
    <row r="172">
      <c r="A172" s="2"/>
      <c r="B172" s="2"/>
      <c r="C172" s="2"/>
      <c r="D172" s="2"/>
      <c r="E172" s="2"/>
      <c r="F172" s="2"/>
      <c r="G172" s="2"/>
      <c r="H172" s="2"/>
      <c r="I172" s="2"/>
      <c r="J172" s="2"/>
      <c r="K172" s="2"/>
      <c r="L172" s="2"/>
      <c r="M172" s="2"/>
      <c r="N172" s="2"/>
      <c r="O172" s="2"/>
      <c r="P172" s="2"/>
      <c r="Q172" s="2"/>
      <c r="R172" s="2"/>
      <c r="S172" s="2"/>
    </row>
    <row r="173">
      <c r="A173" s="2"/>
      <c r="B173" s="2"/>
      <c r="C173" s="2"/>
      <c r="D173" s="2"/>
      <c r="E173" s="2"/>
      <c r="F173" s="2"/>
      <c r="G173" s="2"/>
      <c r="H173" s="2"/>
      <c r="I173" s="2"/>
      <c r="J173" s="2"/>
      <c r="K173" s="2"/>
      <c r="L173" s="2"/>
      <c r="M173" s="2"/>
      <c r="N173" s="2"/>
      <c r="O173" s="2"/>
      <c r="P173" s="2"/>
      <c r="Q173" s="2"/>
      <c r="R173" s="2"/>
      <c r="S173" s="2"/>
    </row>
    <row r="174">
      <c r="A174" s="2"/>
      <c r="B174" s="2"/>
      <c r="C174" s="2"/>
      <c r="D174" s="2"/>
      <c r="E174" s="2"/>
      <c r="F174" s="2"/>
      <c r="G174" s="2"/>
      <c r="H174" s="2"/>
      <c r="I174" s="2"/>
      <c r="J174" s="2"/>
      <c r="K174" s="2"/>
      <c r="L174" s="2"/>
      <c r="M174" s="2"/>
      <c r="N174" s="2"/>
      <c r="O174" s="2"/>
      <c r="P174" s="2"/>
      <c r="Q174" s="2"/>
      <c r="R174" s="2"/>
      <c r="S174" s="2"/>
    </row>
    <row r="175">
      <c r="A175" s="2"/>
      <c r="B175" s="2"/>
      <c r="C175" s="2"/>
      <c r="D175" s="2"/>
      <c r="E175" s="2"/>
      <c r="F175" s="2"/>
      <c r="G175" s="2"/>
      <c r="H175" s="2"/>
      <c r="I175" s="2"/>
      <c r="J175" s="2"/>
      <c r="K175" s="2"/>
      <c r="L175" s="2"/>
      <c r="M175" s="2"/>
      <c r="N175" s="2"/>
      <c r="O175" s="2"/>
      <c r="P175" s="2"/>
      <c r="Q175" s="2"/>
      <c r="R175" s="2"/>
      <c r="S175" s="2"/>
    </row>
    <row r="176">
      <c r="A176" s="2"/>
      <c r="B176" s="2"/>
      <c r="C176" s="2"/>
      <c r="D176" s="2"/>
      <c r="E176" s="2"/>
      <c r="F176" s="2"/>
      <c r="G176" s="2"/>
      <c r="H176" s="2"/>
      <c r="I176" s="2"/>
      <c r="J176" s="2"/>
      <c r="K176" s="2"/>
      <c r="L176" s="2"/>
      <c r="M176" s="2"/>
      <c r="N176" s="2"/>
      <c r="O176" s="2"/>
      <c r="P176" s="2"/>
      <c r="Q176" s="2"/>
      <c r="R176" s="2"/>
      <c r="S176" s="2"/>
    </row>
    <row r="177">
      <c r="A177" s="2"/>
      <c r="B177" s="2"/>
      <c r="C177" s="2"/>
      <c r="D177" s="2"/>
      <c r="E177" s="2"/>
      <c r="F177" s="2"/>
      <c r="G177" s="2"/>
      <c r="H177" s="2"/>
      <c r="I177" s="2"/>
      <c r="J177" s="2"/>
      <c r="K177" s="2"/>
      <c r="L177" s="2"/>
      <c r="M177" s="2"/>
      <c r="N177" s="2"/>
      <c r="O177" s="2"/>
      <c r="P177" s="2"/>
      <c r="Q177" s="2"/>
      <c r="R177" s="2"/>
      <c r="S177" s="2"/>
    </row>
    <row r="178">
      <c r="A178" s="2"/>
      <c r="B178" s="2"/>
      <c r="C178" s="2"/>
      <c r="D178" s="2"/>
      <c r="E178" s="2"/>
      <c r="F178" s="2"/>
      <c r="G178" s="2"/>
      <c r="H178" s="2"/>
      <c r="I178" s="2"/>
      <c r="J178" s="2"/>
      <c r="K178" s="2"/>
      <c r="L178" s="2"/>
      <c r="M178" s="2"/>
      <c r="N178" s="2"/>
      <c r="O178" s="2"/>
      <c r="P178" s="2"/>
      <c r="Q178" s="2"/>
      <c r="R178" s="2"/>
      <c r="S178" s="2"/>
    </row>
    <row r="179">
      <c r="A179" s="2"/>
      <c r="B179" s="2"/>
      <c r="C179" s="2"/>
      <c r="D179" s="2"/>
      <c r="E179" s="2"/>
      <c r="F179" s="2"/>
      <c r="G179" s="2"/>
      <c r="H179" s="2"/>
      <c r="I179" s="2"/>
      <c r="J179" s="2"/>
      <c r="K179" s="2"/>
      <c r="L179" s="2"/>
      <c r="M179" s="2"/>
      <c r="N179" s="2"/>
      <c r="O179" s="2"/>
      <c r="P179" s="2"/>
      <c r="Q179" s="2"/>
      <c r="R179" s="2"/>
      <c r="S179" s="2"/>
    </row>
    <row r="180">
      <c r="A180" s="2"/>
      <c r="B180" s="2"/>
      <c r="C180" s="2"/>
      <c r="D180" s="2"/>
      <c r="E180" s="2"/>
      <c r="F180" s="2"/>
      <c r="G180" s="2"/>
      <c r="H180" s="2"/>
      <c r="I180" s="2"/>
      <c r="J180" s="2"/>
      <c r="K180" s="2"/>
      <c r="L180" s="2"/>
      <c r="M180" s="2"/>
      <c r="N180" s="2"/>
      <c r="O180" s="2"/>
      <c r="P180" s="2"/>
      <c r="Q180" s="2"/>
      <c r="R180" s="2"/>
      <c r="S180" s="2"/>
    </row>
    <row r="181">
      <c r="A181" s="2"/>
      <c r="B181" s="2"/>
      <c r="C181" s="2"/>
      <c r="D181" s="2"/>
      <c r="E181" s="2"/>
      <c r="F181" s="2"/>
      <c r="G181" s="2"/>
      <c r="H181" s="2"/>
      <c r="I181" s="2"/>
      <c r="J181" s="2"/>
      <c r="K181" s="2"/>
      <c r="L181" s="2"/>
      <c r="M181" s="2"/>
      <c r="N181" s="2"/>
      <c r="O181" s="2"/>
      <c r="P181" s="2"/>
      <c r="Q181" s="2"/>
      <c r="R181" s="2"/>
      <c r="S181" s="2"/>
    </row>
    <row r="182">
      <c r="A182" s="2"/>
      <c r="B182" s="2"/>
      <c r="C182" s="2"/>
      <c r="D182" s="2"/>
      <c r="E182" s="2"/>
      <c r="F182" s="2"/>
      <c r="G182" s="2"/>
      <c r="H182" s="2"/>
      <c r="I182" s="2"/>
      <c r="J182" s="2"/>
      <c r="K182" s="2"/>
      <c r="L182" s="2"/>
      <c r="M182" s="2"/>
      <c r="N182" s="2"/>
      <c r="O182" s="2"/>
      <c r="P182" s="2"/>
      <c r="Q182" s="2"/>
      <c r="R182" s="2"/>
      <c r="S182" s="2"/>
    </row>
    <row r="183">
      <c r="A183" s="2"/>
      <c r="B183" s="2"/>
      <c r="C183" s="2"/>
      <c r="D183" s="2"/>
      <c r="E183" s="2"/>
      <c r="F183" s="2"/>
      <c r="G183" s="2"/>
      <c r="H183" s="2"/>
      <c r="I183" s="2"/>
      <c r="J183" s="2"/>
      <c r="K183" s="2"/>
      <c r="L183" s="2"/>
      <c r="M183" s="2"/>
      <c r="N183" s="2"/>
      <c r="O183" s="2"/>
      <c r="P183" s="2"/>
      <c r="Q183" s="2"/>
      <c r="R183" s="2"/>
      <c r="S183" s="2"/>
    </row>
    <row r="184">
      <c r="A184" s="2"/>
      <c r="B184" s="2"/>
      <c r="C184" s="2"/>
      <c r="D184" s="2"/>
      <c r="E184" s="2"/>
      <c r="F184" s="2"/>
      <c r="G184" s="2"/>
      <c r="H184" s="2"/>
      <c r="I184" s="2"/>
      <c r="J184" s="2"/>
      <c r="K184" s="2"/>
      <c r="L184" s="2"/>
      <c r="M184" s="2"/>
      <c r="N184" s="2"/>
      <c r="O184" s="2"/>
      <c r="P184" s="2"/>
      <c r="Q184" s="2"/>
      <c r="R184" s="2"/>
      <c r="S184" s="2"/>
    </row>
    <row r="185">
      <c r="A185" s="2"/>
      <c r="B185" s="2"/>
      <c r="C185" s="2"/>
      <c r="D185" s="2"/>
      <c r="E185" s="2"/>
      <c r="F185" s="2"/>
      <c r="G185" s="2"/>
      <c r="H185" s="2"/>
      <c r="I185" s="2"/>
      <c r="J185" s="2"/>
      <c r="K185" s="2"/>
      <c r="L185" s="2"/>
      <c r="M185" s="2"/>
      <c r="N185" s="2"/>
      <c r="O185" s="2"/>
      <c r="P185" s="2"/>
      <c r="Q185" s="2"/>
      <c r="R185" s="2"/>
      <c r="S185" s="2"/>
    </row>
    <row r="186">
      <c r="A186" s="2"/>
      <c r="B186" s="2"/>
      <c r="C186" s="2"/>
      <c r="D186" s="2"/>
      <c r="E186" s="2"/>
      <c r="F186" s="2"/>
      <c r="G186" s="2"/>
      <c r="H186" s="2"/>
      <c r="I186" s="2"/>
      <c r="J186" s="2"/>
      <c r="K186" s="2"/>
      <c r="L186" s="2"/>
      <c r="M186" s="2"/>
      <c r="N186" s="2"/>
      <c r="O186" s="2"/>
      <c r="P186" s="2"/>
      <c r="Q186" s="2"/>
      <c r="R186" s="2"/>
      <c r="S186" s="2"/>
    </row>
    <row r="187">
      <c r="A187" s="2"/>
      <c r="B187" s="2"/>
      <c r="C187" s="2"/>
      <c r="D187" s="2"/>
      <c r="E187" s="2"/>
      <c r="F187" s="2"/>
      <c r="G187" s="2"/>
      <c r="H187" s="2"/>
      <c r="I187" s="2"/>
      <c r="J187" s="2"/>
      <c r="K187" s="2"/>
      <c r="L187" s="2"/>
      <c r="M187" s="2"/>
      <c r="N187" s="2"/>
      <c r="O187" s="2"/>
      <c r="P187" s="2"/>
      <c r="Q187" s="2"/>
      <c r="R187" s="2"/>
      <c r="S187" s="2"/>
    </row>
    <row r="188">
      <c r="A188" s="2"/>
      <c r="B188" s="2"/>
      <c r="C188" s="2"/>
      <c r="D188" s="2"/>
      <c r="E188" s="2"/>
      <c r="F188" s="2"/>
      <c r="G188" s="2"/>
      <c r="H188" s="2"/>
      <c r="I188" s="2"/>
      <c r="J188" s="2"/>
      <c r="K188" s="2"/>
      <c r="L188" s="2"/>
      <c r="M188" s="2"/>
      <c r="N188" s="2"/>
      <c r="O188" s="2"/>
      <c r="P188" s="2"/>
      <c r="Q188" s="2"/>
      <c r="R188" s="2"/>
      <c r="S188" s="2"/>
    </row>
    <row r="189">
      <c r="A189" s="2"/>
      <c r="B189" s="2"/>
      <c r="C189" s="2"/>
      <c r="D189" s="2"/>
      <c r="E189" s="2"/>
      <c r="F189" s="2"/>
      <c r="G189" s="2"/>
      <c r="H189" s="2"/>
      <c r="I189" s="2"/>
      <c r="J189" s="2"/>
      <c r="K189" s="2"/>
      <c r="L189" s="2"/>
      <c r="M189" s="2"/>
      <c r="N189" s="2"/>
      <c r="O189" s="2"/>
      <c r="P189" s="2"/>
      <c r="Q189" s="2"/>
      <c r="R189" s="2"/>
      <c r="S189" s="2"/>
    </row>
    <row r="190">
      <c r="A190" s="2"/>
      <c r="B190" s="2"/>
      <c r="C190" s="2"/>
      <c r="D190" s="2"/>
      <c r="E190" s="2"/>
      <c r="F190" s="2"/>
      <c r="G190" s="2"/>
      <c r="H190" s="2"/>
      <c r="I190" s="2"/>
      <c r="J190" s="2"/>
      <c r="K190" s="2"/>
      <c r="L190" s="2"/>
      <c r="M190" s="2"/>
      <c r="N190" s="2"/>
      <c r="O190" s="2"/>
      <c r="P190" s="2"/>
      <c r="Q190" s="2"/>
      <c r="R190" s="2"/>
      <c r="S190" s="2"/>
    </row>
    <row r="191">
      <c r="A191" s="2"/>
      <c r="B191" s="2"/>
      <c r="C191" s="2"/>
      <c r="D191" s="2"/>
      <c r="E191" s="2"/>
      <c r="F191" s="2"/>
      <c r="G191" s="2"/>
      <c r="H191" s="2"/>
      <c r="I191" s="2"/>
      <c r="J191" s="2"/>
      <c r="K191" s="2"/>
      <c r="L191" s="2"/>
      <c r="M191" s="2"/>
      <c r="N191" s="2"/>
      <c r="O191" s="2"/>
      <c r="P191" s="2"/>
      <c r="Q191" s="2"/>
      <c r="R191" s="2"/>
      <c r="S191" s="2"/>
    </row>
    <row r="192">
      <c r="A192" s="2"/>
      <c r="B192" s="2"/>
      <c r="C192" s="2"/>
      <c r="D192" s="2"/>
      <c r="E192" s="2"/>
      <c r="F192" s="2"/>
      <c r="G192" s="2"/>
      <c r="H192" s="2"/>
      <c r="I192" s="2"/>
      <c r="J192" s="2"/>
      <c r="K192" s="2"/>
      <c r="L192" s="2"/>
      <c r="M192" s="2"/>
      <c r="N192" s="2"/>
      <c r="O192" s="2"/>
      <c r="P192" s="2"/>
      <c r="Q192" s="2"/>
      <c r="R192" s="2"/>
      <c r="S192" s="2"/>
    </row>
    <row r="193">
      <c r="A193" s="2"/>
      <c r="B193" s="2"/>
      <c r="C193" s="2"/>
      <c r="D193" s="2"/>
      <c r="E193" s="2"/>
      <c r="F193" s="2"/>
      <c r="G193" s="2"/>
      <c r="H193" s="2"/>
      <c r="I193" s="2"/>
      <c r="J193" s="2"/>
      <c r="K193" s="2"/>
      <c r="L193" s="2"/>
      <c r="M193" s="2"/>
      <c r="N193" s="2"/>
      <c r="O193" s="2"/>
      <c r="P193" s="2"/>
      <c r="Q193" s="2"/>
      <c r="R193" s="2"/>
      <c r="S193" s="2"/>
    </row>
    <row r="194">
      <c r="A194" s="2"/>
      <c r="B194" s="2"/>
      <c r="C194" s="2"/>
      <c r="D194" s="2"/>
      <c r="E194" s="2"/>
      <c r="F194" s="2"/>
      <c r="G194" s="2"/>
      <c r="H194" s="2"/>
      <c r="I194" s="2"/>
      <c r="J194" s="2"/>
      <c r="K194" s="2"/>
      <c r="L194" s="2"/>
      <c r="M194" s="2"/>
      <c r="N194" s="2"/>
      <c r="O194" s="2"/>
      <c r="P194" s="2"/>
      <c r="Q194" s="2"/>
      <c r="R194" s="2"/>
      <c r="S194" s="2"/>
    </row>
    <row r="195">
      <c r="A195" s="2"/>
      <c r="B195" s="2"/>
      <c r="C195" s="2"/>
      <c r="D195" s="2"/>
      <c r="E195" s="2"/>
      <c r="F195" s="2"/>
      <c r="G195" s="2"/>
      <c r="H195" s="2"/>
      <c r="I195" s="2"/>
      <c r="J195" s="2"/>
      <c r="K195" s="2"/>
      <c r="L195" s="2"/>
      <c r="M195" s="2"/>
      <c r="N195" s="2"/>
      <c r="O195" s="2"/>
      <c r="P195" s="2"/>
      <c r="Q195" s="2"/>
      <c r="R195" s="2"/>
      <c r="S195" s="2"/>
    </row>
    <row r="196">
      <c r="A196" s="2"/>
      <c r="B196" s="2"/>
      <c r="C196" s="2"/>
      <c r="D196" s="2"/>
      <c r="E196" s="2"/>
      <c r="F196" s="2"/>
      <c r="G196" s="2"/>
      <c r="H196" s="2"/>
      <c r="I196" s="2"/>
      <c r="J196" s="2"/>
      <c r="K196" s="2"/>
      <c r="L196" s="2"/>
      <c r="M196" s="2"/>
      <c r="N196" s="2"/>
      <c r="O196" s="2"/>
      <c r="P196" s="2"/>
      <c r="Q196" s="2"/>
      <c r="R196" s="2"/>
      <c r="S196" s="2"/>
    </row>
    <row r="197">
      <c r="A197" s="2"/>
      <c r="B197" s="2"/>
      <c r="C197" s="2"/>
      <c r="D197" s="2"/>
      <c r="E197" s="2"/>
      <c r="F197" s="2"/>
      <c r="G197" s="2"/>
      <c r="H197" s="2"/>
      <c r="I197" s="2"/>
      <c r="J197" s="2"/>
      <c r="K197" s="2"/>
      <c r="L197" s="2"/>
      <c r="M197" s="2"/>
      <c r="N197" s="2"/>
      <c r="O197" s="2"/>
      <c r="P197" s="2"/>
      <c r="Q197" s="2"/>
      <c r="R197" s="2"/>
      <c r="S197" s="2"/>
    </row>
    <row r="198">
      <c r="A198" s="2"/>
      <c r="B198" s="2"/>
      <c r="C198" s="2"/>
      <c r="D198" s="2"/>
      <c r="E198" s="2"/>
      <c r="F198" s="2"/>
      <c r="G198" s="2"/>
      <c r="H198" s="2"/>
      <c r="I198" s="2"/>
      <c r="J198" s="2"/>
      <c r="K198" s="2"/>
      <c r="L198" s="2"/>
      <c r="M198" s="2"/>
      <c r="N198" s="2"/>
      <c r="O198" s="2"/>
      <c r="P198" s="2"/>
      <c r="Q198" s="2"/>
      <c r="R198" s="2"/>
      <c r="S198" s="2"/>
    </row>
    <row r="199">
      <c r="A199" s="2"/>
      <c r="B199" s="2"/>
      <c r="C199" s="2"/>
      <c r="D199" s="2"/>
      <c r="E199" s="2"/>
      <c r="F199" s="2"/>
      <c r="G199" s="2"/>
      <c r="H199" s="2"/>
      <c r="I199" s="2"/>
      <c r="J199" s="2"/>
      <c r="K199" s="2"/>
      <c r="L199" s="2"/>
      <c r="M199" s="2"/>
      <c r="N199" s="2"/>
      <c r="O199" s="2"/>
      <c r="P199" s="2"/>
      <c r="Q199" s="2"/>
      <c r="R199" s="2"/>
      <c r="S199" s="2"/>
    </row>
    <row r="200">
      <c r="A200" s="2"/>
      <c r="B200" s="2"/>
      <c r="C200" s="2"/>
      <c r="D200" s="2"/>
      <c r="E200" s="2"/>
      <c r="F200" s="2"/>
      <c r="G200" s="2"/>
      <c r="H200" s="2"/>
      <c r="I200" s="2"/>
      <c r="J200" s="2"/>
      <c r="K200" s="2"/>
      <c r="L200" s="2"/>
      <c r="M200" s="2"/>
      <c r="N200" s="2"/>
      <c r="O200" s="2"/>
      <c r="P200" s="2"/>
      <c r="Q200" s="2"/>
      <c r="R200" s="2"/>
      <c r="S200" s="2"/>
    </row>
    <row r="201">
      <c r="A201" s="2"/>
      <c r="B201" s="2"/>
      <c r="C201" s="2"/>
      <c r="D201" s="2"/>
      <c r="E201" s="2"/>
      <c r="F201" s="2"/>
      <c r="G201" s="2"/>
      <c r="H201" s="2"/>
      <c r="I201" s="2"/>
      <c r="J201" s="2"/>
      <c r="K201" s="2"/>
      <c r="L201" s="2"/>
      <c r="M201" s="2"/>
      <c r="N201" s="2"/>
      <c r="O201" s="2"/>
      <c r="P201" s="2"/>
      <c r="Q201" s="2"/>
      <c r="R201" s="2"/>
      <c r="S201" s="2"/>
    </row>
    <row r="202">
      <c r="A202" s="2"/>
      <c r="B202" s="2"/>
      <c r="C202" s="2"/>
      <c r="D202" s="2"/>
      <c r="E202" s="2"/>
      <c r="F202" s="2"/>
      <c r="G202" s="2"/>
      <c r="H202" s="2"/>
      <c r="I202" s="2"/>
      <c r="J202" s="2"/>
      <c r="K202" s="2"/>
      <c r="L202" s="2"/>
      <c r="M202" s="2"/>
      <c r="N202" s="2"/>
      <c r="O202" s="2"/>
      <c r="P202" s="2"/>
      <c r="Q202" s="2"/>
      <c r="R202" s="2"/>
      <c r="S202" s="2"/>
    </row>
    <row r="203">
      <c r="A203" s="2"/>
      <c r="B203" s="2"/>
      <c r="C203" s="2"/>
      <c r="D203" s="2"/>
      <c r="E203" s="2"/>
      <c r="F203" s="2"/>
      <c r="G203" s="2"/>
      <c r="H203" s="2"/>
      <c r="I203" s="2"/>
      <c r="J203" s="2"/>
      <c r="K203" s="2"/>
      <c r="L203" s="2"/>
      <c r="M203" s="2"/>
      <c r="N203" s="2"/>
      <c r="O203" s="2"/>
      <c r="P203" s="2"/>
      <c r="Q203" s="2"/>
      <c r="R203" s="2"/>
      <c r="S203" s="2"/>
    </row>
    <row r="204">
      <c r="A204" s="2"/>
      <c r="B204" s="2"/>
      <c r="C204" s="2"/>
      <c r="D204" s="2"/>
      <c r="E204" s="2"/>
      <c r="F204" s="2"/>
      <c r="G204" s="2"/>
      <c r="H204" s="2"/>
      <c r="I204" s="2"/>
      <c r="J204" s="2"/>
      <c r="K204" s="2"/>
      <c r="L204" s="2"/>
      <c r="M204" s="2"/>
      <c r="N204" s="2"/>
      <c r="O204" s="2"/>
      <c r="P204" s="2"/>
      <c r="Q204" s="2"/>
      <c r="R204" s="2"/>
      <c r="S204" s="2"/>
    </row>
    <row r="205">
      <c r="A205" s="2"/>
      <c r="B205" s="2"/>
      <c r="C205" s="2"/>
      <c r="D205" s="2"/>
      <c r="E205" s="2"/>
      <c r="F205" s="2"/>
      <c r="G205" s="2"/>
      <c r="H205" s="2"/>
      <c r="I205" s="2"/>
      <c r="J205" s="2"/>
      <c r="K205" s="2"/>
      <c r="L205" s="2"/>
      <c r="M205" s="2"/>
      <c r="N205" s="2"/>
      <c r="O205" s="2"/>
      <c r="P205" s="2"/>
      <c r="Q205" s="2"/>
      <c r="R205" s="2"/>
      <c r="S205" s="2"/>
    </row>
    <row r="206">
      <c r="A206" s="2"/>
      <c r="B206" s="2"/>
      <c r="C206" s="2"/>
      <c r="D206" s="2"/>
      <c r="E206" s="2"/>
      <c r="F206" s="2"/>
      <c r="G206" s="2"/>
      <c r="H206" s="2"/>
      <c r="I206" s="2"/>
      <c r="J206" s="2"/>
      <c r="K206" s="2"/>
      <c r="L206" s="2"/>
      <c r="M206" s="2"/>
      <c r="N206" s="2"/>
      <c r="O206" s="2"/>
      <c r="P206" s="2"/>
      <c r="Q206" s="2"/>
      <c r="R206" s="2"/>
      <c r="S206" s="2"/>
    </row>
    <row r="207">
      <c r="A207" s="2"/>
      <c r="B207" s="2"/>
      <c r="C207" s="2"/>
      <c r="D207" s="2"/>
      <c r="E207" s="2"/>
      <c r="F207" s="2"/>
      <c r="G207" s="2"/>
      <c r="H207" s="2"/>
      <c r="I207" s="2"/>
      <c r="J207" s="2"/>
      <c r="K207" s="2"/>
      <c r="L207" s="2"/>
      <c r="M207" s="2"/>
      <c r="N207" s="2"/>
      <c r="O207" s="2"/>
      <c r="P207" s="2"/>
      <c r="Q207" s="2"/>
      <c r="R207" s="2"/>
      <c r="S207" s="2"/>
    </row>
    <row r="208">
      <c r="A208" s="2"/>
      <c r="B208" s="2"/>
      <c r="C208" s="2"/>
      <c r="D208" s="2"/>
      <c r="E208" s="2"/>
      <c r="F208" s="2"/>
      <c r="G208" s="2"/>
      <c r="H208" s="2"/>
      <c r="I208" s="2"/>
      <c r="J208" s="2"/>
      <c r="K208" s="2"/>
      <c r="L208" s="2"/>
      <c r="M208" s="2"/>
      <c r="N208" s="2"/>
      <c r="O208" s="2"/>
      <c r="P208" s="2"/>
      <c r="Q208" s="2"/>
      <c r="R208" s="2"/>
      <c r="S208" s="2"/>
    </row>
    <row r="209">
      <c r="A209" s="2"/>
      <c r="B209" s="2"/>
      <c r="C209" s="2"/>
      <c r="D209" s="2"/>
      <c r="E209" s="2"/>
      <c r="F209" s="2"/>
      <c r="G209" s="2"/>
      <c r="H209" s="2"/>
      <c r="I209" s="2"/>
      <c r="J209" s="2"/>
      <c r="K209" s="2"/>
      <c r="L209" s="2"/>
      <c r="M209" s="2"/>
      <c r="N209" s="2"/>
      <c r="O209" s="2"/>
      <c r="P209" s="2"/>
      <c r="Q209" s="2"/>
      <c r="R209" s="2"/>
      <c r="S209" s="2"/>
    </row>
    <row r="210">
      <c r="A210" s="2"/>
      <c r="B210" s="2"/>
      <c r="C210" s="2"/>
      <c r="D210" s="2"/>
      <c r="E210" s="2"/>
      <c r="F210" s="2"/>
      <c r="G210" s="2"/>
      <c r="H210" s="2"/>
      <c r="I210" s="2"/>
      <c r="J210" s="2"/>
      <c r="K210" s="2"/>
      <c r="L210" s="2"/>
      <c r="M210" s="2"/>
      <c r="N210" s="2"/>
      <c r="O210" s="2"/>
      <c r="P210" s="2"/>
      <c r="Q210" s="2"/>
      <c r="R210" s="2"/>
      <c r="S210" s="2"/>
    </row>
    <row r="211">
      <c r="A211" s="2"/>
      <c r="B211" s="2"/>
      <c r="C211" s="2"/>
      <c r="D211" s="2"/>
      <c r="E211" s="2"/>
      <c r="F211" s="2"/>
      <c r="G211" s="2"/>
      <c r="H211" s="2"/>
      <c r="I211" s="2"/>
      <c r="J211" s="2"/>
      <c r="K211" s="2"/>
      <c r="L211" s="2"/>
      <c r="M211" s="2"/>
      <c r="N211" s="2"/>
      <c r="O211" s="2"/>
      <c r="P211" s="2"/>
      <c r="Q211" s="2"/>
      <c r="R211" s="2"/>
      <c r="S211" s="2"/>
    </row>
    <row r="212">
      <c r="A212" s="2"/>
      <c r="B212" s="2"/>
      <c r="C212" s="2"/>
      <c r="D212" s="2"/>
      <c r="E212" s="2"/>
      <c r="F212" s="2"/>
      <c r="G212" s="2"/>
      <c r="H212" s="2"/>
      <c r="I212" s="2"/>
      <c r="J212" s="2"/>
      <c r="K212" s="2"/>
      <c r="L212" s="2"/>
      <c r="M212" s="2"/>
      <c r="N212" s="2"/>
      <c r="O212" s="2"/>
      <c r="P212" s="2"/>
      <c r="Q212" s="2"/>
      <c r="R212" s="2"/>
      <c r="S212" s="2"/>
    </row>
    <row r="213">
      <c r="A213" s="2"/>
      <c r="B213" s="2"/>
      <c r="C213" s="2"/>
      <c r="D213" s="2"/>
      <c r="E213" s="2"/>
      <c r="F213" s="2"/>
      <c r="G213" s="2"/>
      <c r="H213" s="2"/>
      <c r="I213" s="2"/>
      <c r="J213" s="2"/>
      <c r="K213" s="2"/>
      <c r="L213" s="2"/>
      <c r="M213" s="2"/>
      <c r="N213" s="2"/>
      <c r="O213" s="2"/>
      <c r="P213" s="2"/>
      <c r="Q213" s="2"/>
      <c r="R213" s="2"/>
      <c r="S213" s="2"/>
    </row>
    <row r="214">
      <c r="A214" s="2"/>
      <c r="B214" s="2"/>
      <c r="C214" s="2"/>
      <c r="D214" s="2"/>
      <c r="E214" s="2"/>
      <c r="F214" s="2"/>
      <c r="G214" s="2"/>
      <c r="H214" s="2"/>
      <c r="I214" s="2"/>
      <c r="J214" s="2"/>
      <c r="K214" s="2"/>
      <c r="L214" s="2"/>
      <c r="M214" s="2"/>
      <c r="N214" s="2"/>
      <c r="O214" s="2"/>
      <c r="P214" s="2"/>
      <c r="Q214" s="2"/>
      <c r="R214" s="2"/>
      <c r="S214" s="2"/>
    </row>
    <row r="215">
      <c r="A215" s="2"/>
      <c r="B215" s="2"/>
      <c r="C215" s="2"/>
      <c r="D215" s="2"/>
      <c r="E215" s="2"/>
      <c r="F215" s="2"/>
      <c r="G215" s="2"/>
      <c r="H215" s="2"/>
      <c r="I215" s="2"/>
      <c r="J215" s="2"/>
      <c r="K215" s="2"/>
      <c r="L215" s="2"/>
      <c r="M215" s="2"/>
      <c r="N215" s="2"/>
      <c r="O215" s="2"/>
      <c r="P215" s="2"/>
      <c r="Q215" s="2"/>
      <c r="R215" s="2"/>
      <c r="S215" s="2"/>
    </row>
    <row r="216">
      <c r="A216" s="2"/>
      <c r="B216" s="2"/>
      <c r="C216" s="2"/>
      <c r="D216" s="2"/>
      <c r="E216" s="2"/>
      <c r="F216" s="2"/>
      <c r="G216" s="2"/>
      <c r="H216" s="2"/>
      <c r="I216" s="2"/>
      <c r="J216" s="2"/>
      <c r="K216" s="2"/>
      <c r="L216" s="2"/>
      <c r="M216" s="2"/>
      <c r="N216" s="2"/>
      <c r="O216" s="2"/>
      <c r="P216" s="2"/>
      <c r="Q216" s="2"/>
      <c r="R216" s="2"/>
      <c r="S216" s="2"/>
    </row>
    <row r="217">
      <c r="A217" s="2"/>
      <c r="B217" s="2"/>
      <c r="C217" s="2"/>
      <c r="D217" s="2"/>
      <c r="E217" s="2"/>
      <c r="F217" s="2"/>
      <c r="G217" s="2"/>
      <c r="H217" s="2"/>
      <c r="I217" s="2"/>
      <c r="J217" s="2"/>
      <c r="K217" s="2"/>
      <c r="L217" s="2"/>
      <c r="M217" s="2"/>
      <c r="N217" s="2"/>
      <c r="O217" s="2"/>
      <c r="P217" s="2"/>
      <c r="Q217" s="2"/>
      <c r="R217" s="2"/>
      <c r="S217" s="2"/>
    </row>
    <row r="218">
      <c r="A218" s="2"/>
      <c r="B218" s="2"/>
      <c r="C218" s="2"/>
      <c r="D218" s="2"/>
      <c r="E218" s="2"/>
      <c r="F218" s="2"/>
      <c r="G218" s="2"/>
      <c r="H218" s="2"/>
      <c r="I218" s="2"/>
      <c r="J218" s="2"/>
      <c r="K218" s="2"/>
      <c r="L218" s="2"/>
      <c r="M218" s="2"/>
      <c r="N218" s="2"/>
      <c r="O218" s="2"/>
      <c r="P218" s="2"/>
      <c r="Q218" s="2"/>
      <c r="R218" s="2"/>
      <c r="S218" s="2"/>
    </row>
    <row r="219">
      <c r="A219" s="2"/>
      <c r="B219" s="2"/>
      <c r="C219" s="2"/>
      <c r="D219" s="2"/>
      <c r="E219" s="2"/>
      <c r="F219" s="2"/>
      <c r="G219" s="2"/>
      <c r="H219" s="2"/>
      <c r="I219" s="2"/>
      <c r="J219" s="2"/>
      <c r="K219" s="2"/>
      <c r="L219" s="2"/>
      <c r="M219" s="2"/>
      <c r="N219" s="2"/>
      <c r="O219" s="2"/>
      <c r="P219" s="2"/>
      <c r="Q219" s="2"/>
      <c r="R219" s="2"/>
      <c r="S219" s="2"/>
    </row>
    <row r="220">
      <c r="A220" s="2"/>
      <c r="B220" s="2"/>
      <c r="C220" s="2"/>
      <c r="D220" s="2"/>
      <c r="E220" s="2"/>
      <c r="F220" s="2"/>
      <c r="G220" s="2"/>
      <c r="H220" s="2"/>
      <c r="I220" s="2"/>
      <c r="J220" s="2"/>
      <c r="K220" s="2"/>
      <c r="L220" s="2"/>
      <c r="M220" s="2"/>
      <c r="N220" s="2"/>
      <c r="O220" s="2"/>
      <c r="P220" s="2"/>
      <c r="Q220" s="2"/>
      <c r="R220" s="2"/>
      <c r="S220" s="2"/>
    </row>
    <row r="221">
      <c r="A221" s="2"/>
      <c r="B221" s="2"/>
      <c r="C221" s="2"/>
      <c r="D221" s="2"/>
      <c r="E221" s="2"/>
      <c r="F221" s="2"/>
      <c r="G221" s="2"/>
      <c r="H221" s="2"/>
      <c r="I221" s="2"/>
      <c r="J221" s="2"/>
      <c r="K221" s="2"/>
      <c r="L221" s="2"/>
      <c r="M221" s="2"/>
      <c r="N221" s="2"/>
      <c r="O221" s="2"/>
      <c r="P221" s="2"/>
      <c r="Q221" s="2"/>
      <c r="R221" s="2"/>
      <c r="S221" s="2"/>
    </row>
    <row r="222">
      <c r="A222" s="2"/>
      <c r="B222" s="2"/>
      <c r="C222" s="2"/>
      <c r="D222" s="2"/>
      <c r="E222" s="2"/>
      <c r="F222" s="2"/>
      <c r="G222" s="2"/>
      <c r="H222" s="2"/>
      <c r="I222" s="2"/>
      <c r="J222" s="2"/>
      <c r="K222" s="2"/>
      <c r="L222" s="2"/>
      <c r="M222" s="2"/>
      <c r="N222" s="2"/>
      <c r="O222" s="2"/>
      <c r="P222" s="2"/>
      <c r="Q222" s="2"/>
      <c r="R222" s="2"/>
      <c r="S222" s="2"/>
    </row>
    <row r="223">
      <c r="A223" s="2"/>
      <c r="B223" s="2"/>
      <c r="C223" s="2"/>
      <c r="D223" s="2"/>
      <c r="E223" s="2"/>
      <c r="F223" s="2"/>
      <c r="G223" s="2"/>
      <c r="H223" s="2"/>
      <c r="I223" s="2"/>
      <c r="J223" s="2"/>
      <c r="K223" s="2"/>
      <c r="L223" s="2"/>
      <c r="M223" s="2"/>
      <c r="N223" s="2"/>
      <c r="O223" s="2"/>
      <c r="P223" s="2"/>
      <c r="Q223" s="2"/>
      <c r="R223" s="2"/>
      <c r="S223" s="2"/>
    </row>
    <row r="224">
      <c r="A224" s="2"/>
      <c r="B224" s="2"/>
      <c r="C224" s="2"/>
      <c r="D224" s="2"/>
      <c r="E224" s="2"/>
      <c r="F224" s="2"/>
      <c r="G224" s="2"/>
      <c r="H224" s="2"/>
      <c r="I224" s="2"/>
      <c r="J224" s="2"/>
      <c r="K224" s="2"/>
      <c r="L224" s="2"/>
      <c r="M224" s="2"/>
      <c r="N224" s="2"/>
      <c r="O224" s="2"/>
      <c r="P224" s="2"/>
      <c r="Q224" s="2"/>
      <c r="R224" s="2"/>
      <c r="S224" s="2"/>
    </row>
    <row r="225">
      <c r="A225" s="2"/>
      <c r="B225" s="2"/>
      <c r="C225" s="2"/>
      <c r="D225" s="2"/>
      <c r="E225" s="2"/>
      <c r="F225" s="2"/>
      <c r="G225" s="2"/>
      <c r="H225" s="2"/>
      <c r="I225" s="2"/>
      <c r="J225" s="2"/>
      <c r="K225" s="2"/>
      <c r="L225" s="2"/>
      <c r="M225" s="2"/>
      <c r="N225" s="2"/>
      <c r="O225" s="2"/>
      <c r="P225" s="2"/>
      <c r="Q225" s="2"/>
      <c r="R225" s="2"/>
      <c r="S225" s="2"/>
    </row>
    <row r="226">
      <c r="A226" s="2"/>
      <c r="B226" s="2"/>
      <c r="C226" s="2"/>
      <c r="D226" s="2"/>
      <c r="E226" s="2"/>
      <c r="F226" s="2"/>
      <c r="G226" s="2"/>
      <c r="H226" s="2"/>
      <c r="I226" s="2"/>
      <c r="J226" s="2"/>
      <c r="K226" s="2"/>
      <c r="L226" s="2"/>
      <c r="M226" s="2"/>
      <c r="N226" s="2"/>
      <c r="O226" s="2"/>
      <c r="P226" s="2"/>
      <c r="Q226" s="2"/>
      <c r="R226" s="2"/>
      <c r="S226" s="2"/>
    </row>
    <row r="227">
      <c r="A227" s="2"/>
      <c r="B227" s="2"/>
      <c r="C227" s="2"/>
      <c r="D227" s="2"/>
      <c r="E227" s="2"/>
      <c r="F227" s="2"/>
      <c r="G227" s="2"/>
      <c r="H227" s="2"/>
      <c r="I227" s="2"/>
      <c r="J227" s="2"/>
      <c r="K227" s="2"/>
      <c r="L227" s="2"/>
      <c r="M227" s="2"/>
      <c r="N227" s="2"/>
      <c r="O227" s="2"/>
      <c r="P227" s="2"/>
      <c r="Q227" s="2"/>
      <c r="R227" s="2"/>
      <c r="S227" s="2"/>
    </row>
    <row r="228">
      <c r="A228" s="2"/>
      <c r="B228" s="2"/>
      <c r="C228" s="2"/>
      <c r="D228" s="2"/>
      <c r="E228" s="2"/>
      <c r="F228" s="2"/>
      <c r="G228" s="2"/>
      <c r="H228" s="2"/>
      <c r="I228" s="2"/>
      <c r="J228" s="2"/>
      <c r="K228" s="2"/>
      <c r="L228" s="2"/>
      <c r="M228" s="2"/>
      <c r="N228" s="2"/>
      <c r="O228" s="2"/>
      <c r="P228" s="2"/>
      <c r="Q228" s="2"/>
      <c r="R228" s="2"/>
      <c r="S228" s="2"/>
    </row>
    <row r="229">
      <c r="A229" s="2"/>
      <c r="B229" s="2"/>
      <c r="C229" s="2"/>
      <c r="D229" s="2"/>
      <c r="E229" s="2"/>
      <c r="F229" s="2"/>
      <c r="G229" s="2"/>
      <c r="H229" s="2"/>
      <c r="I229" s="2"/>
      <c r="J229" s="2"/>
      <c r="K229" s="2"/>
      <c r="L229" s="2"/>
      <c r="M229" s="2"/>
      <c r="N229" s="2"/>
      <c r="O229" s="2"/>
      <c r="P229" s="2"/>
      <c r="Q229" s="2"/>
      <c r="R229" s="2"/>
      <c r="S229" s="2"/>
    </row>
    <row r="230">
      <c r="A230" s="2"/>
      <c r="B230" s="2"/>
      <c r="C230" s="2"/>
      <c r="D230" s="2"/>
      <c r="E230" s="2"/>
      <c r="F230" s="2"/>
      <c r="G230" s="2"/>
      <c r="H230" s="2"/>
      <c r="I230" s="2"/>
      <c r="J230" s="2"/>
      <c r="K230" s="2"/>
      <c r="L230" s="2"/>
      <c r="M230" s="2"/>
      <c r="N230" s="2"/>
      <c r="O230" s="2"/>
      <c r="P230" s="2"/>
      <c r="Q230" s="2"/>
      <c r="R230" s="2"/>
      <c r="S230" s="2"/>
    </row>
    <row r="231">
      <c r="A231" s="2"/>
      <c r="B231" s="2"/>
      <c r="C231" s="2"/>
      <c r="D231" s="2"/>
      <c r="E231" s="2"/>
      <c r="F231" s="2"/>
      <c r="G231" s="2"/>
      <c r="H231" s="2"/>
      <c r="I231" s="2"/>
      <c r="J231" s="2"/>
      <c r="K231" s="2"/>
      <c r="L231" s="2"/>
      <c r="M231" s="2"/>
      <c r="N231" s="2"/>
      <c r="O231" s="2"/>
      <c r="P231" s="2"/>
      <c r="Q231" s="2"/>
      <c r="R231" s="2"/>
      <c r="S231" s="2"/>
    </row>
    <row r="232">
      <c r="A232" s="2"/>
      <c r="B232" s="2"/>
      <c r="C232" s="2"/>
      <c r="D232" s="2"/>
      <c r="E232" s="2"/>
      <c r="F232" s="2"/>
      <c r="G232" s="2"/>
      <c r="H232" s="2"/>
      <c r="I232" s="2"/>
      <c r="J232" s="2"/>
      <c r="K232" s="2"/>
      <c r="L232" s="2"/>
      <c r="M232" s="2"/>
      <c r="N232" s="2"/>
      <c r="O232" s="2"/>
      <c r="P232" s="2"/>
      <c r="Q232" s="2"/>
      <c r="R232" s="2"/>
      <c r="S232" s="2"/>
    </row>
    <row r="233">
      <c r="A233" s="2"/>
      <c r="B233" s="2"/>
      <c r="C233" s="2"/>
      <c r="D233" s="2"/>
      <c r="E233" s="2"/>
      <c r="F233" s="2"/>
      <c r="G233" s="2"/>
      <c r="H233" s="2"/>
      <c r="I233" s="2"/>
      <c r="J233" s="2"/>
      <c r="K233" s="2"/>
      <c r="L233" s="2"/>
      <c r="M233" s="2"/>
      <c r="N233" s="2"/>
      <c r="O233" s="2"/>
      <c r="P233" s="2"/>
      <c r="Q233" s="2"/>
      <c r="R233" s="2"/>
      <c r="S233" s="2"/>
    </row>
    <row r="234">
      <c r="A234" s="2"/>
      <c r="B234" s="2"/>
      <c r="C234" s="2"/>
      <c r="D234" s="2"/>
      <c r="E234" s="2"/>
      <c r="F234" s="2"/>
      <c r="G234" s="2"/>
      <c r="H234" s="2"/>
      <c r="I234" s="2"/>
      <c r="J234" s="2"/>
      <c r="K234" s="2"/>
      <c r="L234" s="2"/>
      <c r="M234" s="2"/>
      <c r="N234" s="2"/>
      <c r="O234" s="2"/>
      <c r="P234" s="2"/>
      <c r="Q234" s="2"/>
      <c r="R234" s="2"/>
      <c r="S234" s="2"/>
    </row>
    <row r="235">
      <c r="A235" s="2"/>
      <c r="B235" s="2"/>
      <c r="C235" s="2"/>
      <c r="D235" s="2"/>
      <c r="E235" s="2"/>
      <c r="F235" s="2"/>
      <c r="G235" s="2"/>
      <c r="H235" s="2"/>
      <c r="I235" s="2"/>
      <c r="J235" s="2"/>
      <c r="K235" s="2"/>
      <c r="L235" s="2"/>
      <c r="M235" s="2"/>
      <c r="N235" s="2"/>
      <c r="O235" s="2"/>
      <c r="P235" s="2"/>
      <c r="Q235" s="2"/>
      <c r="R235" s="2"/>
      <c r="S235" s="2"/>
    </row>
    <row r="236">
      <c r="A236" s="2"/>
      <c r="B236" s="2"/>
      <c r="C236" s="2"/>
      <c r="D236" s="2"/>
      <c r="E236" s="2"/>
      <c r="F236" s="2"/>
      <c r="G236" s="2"/>
      <c r="H236" s="2"/>
      <c r="I236" s="2"/>
      <c r="J236" s="2"/>
      <c r="K236" s="2"/>
      <c r="L236" s="2"/>
      <c r="M236" s="2"/>
      <c r="N236" s="2"/>
      <c r="O236" s="2"/>
      <c r="P236" s="2"/>
      <c r="Q236" s="2"/>
      <c r="R236" s="2"/>
      <c r="S236" s="2"/>
    </row>
    <row r="237">
      <c r="A237" s="2"/>
      <c r="B237" s="2"/>
      <c r="C237" s="2"/>
      <c r="D237" s="2"/>
      <c r="E237" s="2"/>
      <c r="F237" s="2"/>
      <c r="G237" s="2"/>
      <c r="H237" s="2"/>
      <c r="I237" s="2"/>
      <c r="J237" s="2"/>
      <c r="K237" s="2"/>
      <c r="L237" s="2"/>
      <c r="M237" s="2"/>
      <c r="N237" s="2"/>
      <c r="O237" s="2"/>
      <c r="P237" s="2"/>
      <c r="Q237" s="2"/>
      <c r="R237" s="2"/>
      <c r="S237" s="2"/>
    </row>
    <row r="238">
      <c r="A238" s="2"/>
      <c r="B238" s="2"/>
      <c r="C238" s="2"/>
      <c r="D238" s="2"/>
      <c r="E238" s="2"/>
      <c r="F238" s="2"/>
      <c r="G238" s="2"/>
      <c r="H238" s="2"/>
      <c r="I238" s="2"/>
      <c r="J238" s="2"/>
      <c r="K238" s="2"/>
      <c r="L238" s="2"/>
      <c r="M238" s="2"/>
      <c r="N238" s="2"/>
      <c r="O238" s="2"/>
      <c r="P238" s="2"/>
      <c r="Q238" s="2"/>
      <c r="R238" s="2"/>
      <c r="S238" s="2"/>
    </row>
    <row r="239">
      <c r="A239" s="2"/>
      <c r="B239" s="2"/>
      <c r="C239" s="2"/>
      <c r="D239" s="2"/>
      <c r="E239" s="2"/>
      <c r="F239" s="2"/>
      <c r="G239" s="2"/>
      <c r="H239" s="2"/>
      <c r="I239" s="2"/>
      <c r="J239" s="2"/>
      <c r="K239" s="2"/>
      <c r="L239" s="2"/>
      <c r="M239" s="2"/>
      <c r="N239" s="2"/>
      <c r="O239" s="2"/>
      <c r="P239" s="2"/>
      <c r="Q239" s="2"/>
      <c r="R239" s="2"/>
      <c r="S239" s="2"/>
    </row>
    <row r="240">
      <c r="A240" s="2"/>
      <c r="B240" s="2"/>
      <c r="C240" s="2"/>
      <c r="D240" s="2"/>
      <c r="E240" s="2"/>
      <c r="F240" s="2"/>
      <c r="G240" s="2"/>
      <c r="H240" s="2"/>
      <c r="I240" s="2"/>
      <c r="J240" s="2"/>
      <c r="K240" s="2"/>
      <c r="L240" s="2"/>
      <c r="M240" s="2"/>
      <c r="N240" s="2"/>
      <c r="O240" s="2"/>
      <c r="P240" s="2"/>
      <c r="Q240" s="2"/>
      <c r="R240" s="2"/>
      <c r="S240" s="2"/>
    </row>
    <row r="241">
      <c r="A241" s="2"/>
      <c r="B241" s="2"/>
      <c r="C241" s="2"/>
      <c r="D241" s="2"/>
      <c r="E241" s="2"/>
      <c r="F241" s="2"/>
      <c r="G241" s="2"/>
      <c r="H241" s="2"/>
      <c r="I241" s="2"/>
      <c r="J241" s="2"/>
      <c r="K241" s="2"/>
      <c r="L241" s="2"/>
      <c r="M241" s="2"/>
      <c r="N241" s="2"/>
      <c r="O241" s="2"/>
      <c r="P241" s="2"/>
      <c r="Q241" s="2"/>
      <c r="R241" s="2"/>
      <c r="S241" s="2"/>
    </row>
    <row r="242">
      <c r="A242" s="2"/>
      <c r="B242" s="2"/>
      <c r="C242" s="2"/>
      <c r="D242" s="2"/>
      <c r="E242" s="2"/>
      <c r="F242" s="2"/>
      <c r="G242" s="2"/>
      <c r="H242" s="2"/>
      <c r="I242" s="2"/>
      <c r="J242" s="2"/>
      <c r="K242" s="2"/>
      <c r="L242" s="2"/>
      <c r="M242" s="2"/>
      <c r="N242" s="2"/>
      <c r="O242" s="2"/>
      <c r="P242" s="2"/>
      <c r="Q242" s="2"/>
      <c r="R242" s="2"/>
      <c r="S242" s="2"/>
    </row>
    <row r="243">
      <c r="A243" s="2"/>
      <c r="B243" s="2"/>
      <c r="C243" s="2"/>
      <c r="D243" s="2"/>
      <c r="E243" s="2"/>
      <c r="F243" s="2"/>
      <c r="G243" s="2"/>
      <c r="H243" s="2"/>
      <c r="I243" s="2"/>
      <c r="J243" s="2"/>
      <c r="K243" s="2"/>
      <c r="L243" s="2"/>
      <c r="M243" s="2"/>
      <c r="N243" s="2"/>
      <c r="O243" s="2"/>
      <c r="P243" s="2"/>
      <c r="Q243" s="2"/>
      <c r="R243" s="2"/>
      <c r="S243" s="2"/>
    </row>
    <row r="244">
      <c r="A244" s="2"/>
      <c r="B244" s="2"/>
      <c r="C244" s="2"/>
      <c r="D244" s="2"/>
      <c r="E244" s="2"/>
      <c r="F244" s="2"/>
      <c r="G244" s="2"/>
      <c r="H244" s="2"/>
      <c r="I244" s="2"/>
      <c r="J244" s="2"/>
      <c r="K244" s="2"/>
      <c r="L244" s="2"/>
      <c r="M244" s="2"/>
      <c r="N244" s="2"/>
      <c r="O244" s="2"/>
      <c r="P244" s="2"/>
      <c r="Q244" s="2"/>
      <c r="R244" s="2"/>
      <c r="S244" s="2"/>
    </row>
    <row r="245">
      <c r="A245" s="2"/>
      <c r="B245" s="2"/>
      <c r="C245" s="2"/>
      <c r="D245" s="2"/>
      <c r="E245" s="2"/>
      <c r="F245" s="2"/>
      <c r="G245" s="2"/>
      <c r="H245" s="2"/>
      <c r="I245" s="2"/>
      <c r="J245" s="2"/>
      <c r="K245" s="2"/>
      <c r="L245" s="2"/>
      <c r="M245" s="2"/>
      <c r="N245" s="2"/>
      <c r="O245" s="2"/>
      <c r="P245" s="2"/>
      <c r="Q245" s="2"/>
      <c r="R245" s="2"/>
      <c r="S245" s="2"/>
    </row>
    <row r="246">
      <c r="A246" s="2"/>
      <c r="B246" s="2"/>
      <c r="C246" s="2"/>
      <c r="D246" s="2"/>
      <c r="E246" s="2"/>
      <c r="F246" s="2"/>
      <c r="G246" s="2"/>
      <c r="H246" s="2"/>
      <c r="I246" s="2"/>
      <c r="J246" s="2"/>
      <c r="K246" s="2"/>
      <c r="L246" s="2"/>
      <c r="M246" s="2"/>
      <c r="N246" s="2"/>
      <c r="O246" s="2"/>
      <c r="P246" s="2"/>
      <c r="Q246" s="2"/>
      <c r="R246" s="2"/>
      <c r="S246" s="2"/>
    </row>
    <row r="247">
      <c r="A247" s="2"/>
      <c r="B247" s="2"/>
      <c r="C247" s="2"/>
      <c r="D247" s="2"/>
      <c r="E247" s="2"/>
      <c r="F247" s="2"/>
      <c r="G247" s="2"/>
      <c r="H247" s="2"/>
      <c r="I247" s="2"/>
      <c r="J247" s="2"/>
      <c r="K247" s="2"/>
      <c r="L247" s="2"/>
      <c r="M247" s="2"/>
      <c r="N247" s="2"/>
      <c r="O247" s="2"/>
      <c r="P247" s="2"/>
      <c r="Q247" s="2"/>
      <c r="R247" s="2"/>
      <c r="S247" s="2"/>
    </row>
    <row r="248">
      <c r="A248" s="2"/>
      <c r="B248" s="2"/>
      <c r="C248" s="2"/>
      <c r="D248" s="2"/>
      <c r="E248" s="2"/>
      <c r="F248" s="2"/>
      <c r="G248" s="2"/>
      <c r="H248" s="2"/>
      <c r="I248" s="2"/>
      <c r="J248" s="2"/>
      <c r="K248" s="2"/>
      <c r="L248" s="2"/>
      <c r="M248" s="2"/>
      <c r="N248" s="2"/>
      <c r="O248" s="2"/>
      <c r="P248" s="2"/>
      <c r="Q248" s="2"/>
      <c r="R248" s="2"/>
      <c r="S248" s="2"/>
    </row>
    <row r="249">
      <c r="A249" s="2"/>
      <c r="B249" s="2"/>
      <c r="C249" s="2"/>
      <c r="D249" s="2"/>
      <c r="E249" s="2"/>
      <c r="F249" s="2"/>
      <c r="G249" s="2"/>
      <c r="H249" s="2"/>
      <c r="I249" s="2"/>
      <c r="J249" s="2"/>
      <c r="K249" s="2"/>
      <c r="L249" s="2"/>
      <c r="M249" s="2"/>
      <c r="N249" s="2"/>
      <c r="O249" s="2"/>
      <c r="P249" s="2"/>
      <c r="Q249" s="2"/>
      <c r="R249" s="2"/>
      <c r="S249" s="2"/>
    </row>
    <row r="250">
      <c r="A250" s="2"/>
      <c r="B250" s="2"/>
      <c r="C250" s="2"/>
      <c r="D250" s="2"/>
      <c r="E250" s="2"/>
      <c r="F250" s="2"/>
      <c r="G250" s="2"/>
      <c r="H250" s="2"/>
      <c r="I250" s="2"/>
      <c r="J250" s="2"/>
      <c r="K250" s="2"/>
      <c r="L250" s="2"/>
      <c r="M250" s="2"/>
      <c r="N250" s="2"/>
      <c r="O250" s="2"/>
      <c r="P250" s="2"/>
      <c r="Q250" s="2"/>
      <c r="R250" s="2"/>
      <c r="S250" s="2"/>
    </row>
    <row r="251">
      <c r="A251" s="2"/>
      <c r="B251" s="2"/>
      <c r="C251" s="2"/>
      <c r="D251" s="2"/>
      <c r="E251" s="2"/>
      <c r="F251" s="2"/>
      <c r="G251" s="2"/>
      <c r="H251" s="2"/>
      <c r="I251" s="2"/>
      <c r="J251" s="2"/>
      <c r="K251" s="2"/>
      <c r="L251" s="2"/>
      <c r="M251" s="2"/>
      <c r="N251" s="2"/>
      <c r="O251" s="2"/>
      <c r="P251" s="2"/>
      <c r="Q251" s="2"/>
      <c r="R251" s="2"/>
      <c r="S251" s="2"/>
    </row>
    <row r="252">
      <c r="A252" s="2"/>
      <c r="B252" s="2"/>
      <c r="C252" s="2"/>
      <c r="D252" s="2"/>
      <c r="E252" s="2"/>
      <c r="F252" s="2"/>
      <c r="G252" s="2"/>
      <c r="H252" s="2"/>
      <c r="I252" s="2"/>
      <c r="J252" s="2"/>
      <c r="K252" s="2"/>
      <c r="L252" s="2"/>
      <c r="M252" s="2"/>
      <c r="N252" s="2"/>
      <c r="O252" s="2"/>
      <c r="P252" s="2"/>
      <c r="Q252" s="2"/>
      <c r="R252" s="2"/>
      <c r="S252" s="2"/>
    </row>
    <row r="253">
      <c r="A253" s="2"/>
      <c r="B253" s="2"/>
      <c r="C253" s="2"/>
      <c r="D253" s="2"/>
      <c r="E253" s="2"/>
      <c r="F253" s="2"/>
      <c r="G253" s="2"/>
      <c r="H253" s="2"/>
      <c r="I253" s="2"/>
      <c r="J253" s="2"/>
      <c r="K253" s="2"/>
      <c r="L253" s="2"/>
      <c r="M253" s="2"/>
      <c r="N253" s="2"/>
      <c r="O253" s="2"/>
      <c r="P253" s="2"/>
      <c r="Q253" s="2"/>
      <c r="R253" s="2"/>
      <c r="S253" s="2"/>
    </row>
    <row r="254">
      <c r="A254" s="2"/>
      <c r="B254" s="2"/>
      <c r="C254" s="2"/>
      <c r="D254" s="2"/>
      <c r="E254" s="2"/>
      <c r="F254" s="2"/>
      <c r="G254" s="2"/>
      <c r="H254" s="2"/>
      <c r="I254" s="2"/>
      <c r="J254" s="2"/>
      <c r="K254" s="2"/>
      <c r="L254" s="2"/>
      <c r="M254" s="2"/>
      <c r="N254" s="2"/>
      <c r="O254" s="2"/>
      <c r="P254" s="2"/>
      <c r="Q254" s="2"/>
      <c r="R254" s="2"/>
      <c r="S254" s="2"/>
    </row>
    <row r="255">
      <c r="A255" s="2"/>
      <c r="B255" s="2"/>
      <c r="C255" s="2"/>
      <c r="D255" s="2"/>
      <c r="E255" s="2"/>
      <c r="F255" s="2"/>
      <c r="G255" s="2"/>
      <c r="H255" s="2"/>
      <c r="I255" s="2"/>
      <c r="J255" s="2"/>
      <c r="K255" s="2"/>
      <c r="L255" s="2"/>
      <c r="M255" s="2"/>
      <c r="N255" s="2"/>
      <c r="O255" s="2"/>
      <c r="P255" s="2"/>
      <c r="Q255" s="2"/>
      <c r="R255" s="2"/>
      <c r="S255" s="2"/>
    </row>
    <row r="256">
      <c r="A256" s="2"/>
      <c r="B256" s="2"/>
      <c r="C256" s="2"/>
      <c r="D256" s="2"/>
      <c r="E256" s="2"/>
      <c r="F256" s="2"/>
      <c r="G256" s="2"/>
      <c r="H256" s="2"/>
      <c r="I256" s="2"/>
      <c r="J256" s="2"/>
      <c r="K256" s="2"/>
      <c r="L256" s="2"/>
      <c r="M256" s="2"/>
      <c r="N256" s="2"/>
      <c r="O256" s="2"/>
      <c r="P256" s="2"/>
      <c r="Q256" s="2"/>
      <c r="R256" s="2"/>
      <c r="S256" s="2"/>
    </row>
    <row r="257">
      <c r="A257" s="2"/>
      <c r="B257" s="2"/>
      <c r="C257" s="2"/>
      <c r="D257" s="2"/>
      <c r="E257" s="2"/>
      <c r="F257" s="2"/>
      <c r="G257" s="2"/>
      <c r="H257" s="2"/>
      <c r="I257" s="2"/>
      <c r="J257" s="2"/>
      <c r="K257" s="2"/>
      <c r="L257" s="2"/>
      <c r="M257" s="2"/>
      <c r="N257" s="2"/>
      <c r="O257" s="2"/>
      <c r="P257" s="2"/>
      <c r="Q257" s="2"/>
      <c r="R257" s="2"/>
      <c r="S257" s="2"/>
    </row>
    <row r="258">
      <c r="A258" s="2"/>
      <c r="B258" s="2"/>
      <c r="C258" s="2"/>
      <c r="D258" s="2"/>
      <c r="E258" s="2"/>
      <c r="F258" s="2"/>
      <c r="G258" s="2"/>
      <c r="H258" s="2"/>
      <c r="I258" s="2"/>
      <c r="J258" s="2"/>
      <c r="K258" s="2"/>
      <c r="L258" s="2"/>
      <c r="M258" s="2"/>
      <c r="N258" s="2"/>
      <c r="O258" s="2"/>
      <c r="P258" s="2"/>
      <c r="Q258" s="2"/>
      <c r="R258" s="2"/>
      <c r="S258" s="2"/>
    </row>
    <row r="259">
      <c r="A259" s="2"/>
      <c r="B259" s="2"/>
      <c r="C259" s="2"/>
      <c r="D259" s="2"/>
      <c r="E259" s="2"/>
      <c r="F259" s="2"/>
      <c r="G259" s="2"/>
      <c r="H259" s="2"/>
      <c r="I259" s="2"/>
      <c r="J259" s="2"/>
      <c r="K259" s="2"/>
      <c r="L259" s="2"/>
      <c r="M259" s="2"/>
      <c r="N259" s="2"/>
      <c r="O259" s="2"/>
      <c r="P259" s="2"/>
      <c r="Q259" s="2"/>
      <c r="R259" s="2"/>
      <c r="S259" s="2"/>
    </row>
    <row r="260">
      <c r="A260" s="2"/>
      <c r="B260" s="2"/>
      <c r="C260" s="2"/>
      <c r="D260" s="2"/>
      <c r="E260" s="2"/>
      <c r="F260" s="2"/>
      <c r="G260" s="2"/>
      <c r="H260" s="2"/>
      <c r="I260" s="2"/>
      <c r="J260" s="2"/>
      <c r="K260" s="2"/>
      <c r="L260" s="2"/>
      <c r="M260" s="2"/>
      <c r="N260" s="2"/>
      <c r="O260" s="2"/>
      <c r="P260" s="2"/>
      <c r="Q260" s="2"/>
      <c r="R260" s="2"/>
      <c r="S260" s="2"/>
    </row>
    <row r="261">
      <c r="A261" s="2"/>
      <c r="B261" s="2"/>
      <c r="C261" s="2"/>
      <c r="D261" s="2"/>
      <c r="E261" s="2"/>
      <c r="F261" s="2"/>
      <c r="G261" s="2"/>
      <c r="H261" s="2"/>
      <c r="I261" s="2"/>
      <c r="J261" s="2"/>
      <c r="K261" s="2"/>
      <c r="L261" s="2"/>
      <c r="M261" s="2"/>
      <c r="N261" s="2"/>
      <c r="O261" s="2"/>
      <c r="P261" s="2"/>
      <c r="Q261" s="2"/>
      <c r="R261" s="2"/>
      <c r="S261" s="2"/>
    </row>
    <row r="262">
      <c r="A262" s="2"/>
      <c r="B262" s="2"/>
      <c r="C262" s="2"/>
      <c r="D262" s="2"/>
      <c r="E262" s="2"/>
      <c r="F262" s="2"/>
      <c r="G262" s="2"/>
      <c r="H262" s="2"/>
      <c r="I262" s="2"/>
      <c r="J262" s="2"/>
      <c r="K262" s="2"/>
      <c r="L262" s="2"/>
      <c r="M262" s="2"/>
      <c r="N262" s="2"/>
      <c r="O262" s="2"/>
      <c r="P262" s="2"/>
      <c r="Q262" s="2"/>
      <c r="R262" s="2"/>
      <c r="S262" s="2"/>
    </row>
    <row r="263">
      <c r="A263" s="2"/>
      <c r="B263" s="2"/>
      <c r="C263" s="2"/>
      <c r="D263" s="2"/>
      <c r="E263" s="2"/>
      <c r="F263" s="2"/>
      <c r="G263" s="2"/>
      <c r="H263" s="2"/>
      <c r="I263" s="2"/>
      <c r="J263" s="2"/>
      <c r="K263" s="2"/>
      <c r="L263" s="2"/>
      <c r="M263" s="2"/>
      <c r="N263" s="2"/>
      <c r="O263" s="2"/>
      <c r="P263" s="2"/>
      <c r="Q263" s="2"/>
      <c r="R263" s="2"/>
      <c r="S263" s="2"/>
    </row>
    <row r="264">
      <c r="A264" s="2"/>
      <c r="B264" s="2"/>
      <c r="C264" s="2"/>
      <c r="D264" s="2"/>
      <c r="E264" s="2"/>
      <c r="F264" s="2"/>
      <c r="G264" s="2"/>
      <c r="H264" s="2"/>
      <c r="I264" s="2"/>
      <c r="J264" s="2"/>
      <c r="K264" s="2"/>
      <c r="L264" s="2"/>
      <c r="M264" s="2"/>
      <c r="N264" s="2"/>
      <c r="O264" s="2"/>
      <c r="P264" s="2"/>
      <c r="Q264" s="2"/>
      <c r="R264" s="2"/>
      <c r="S264" s="2"/>
    </row>
    <row r="265">
      <c r="A265" s="2"/>
      <c r="B265" s="2"/>
      <c r="C265" s="2"/>
      <c r="D265" s="2"/>
      <c r="E265" s="2"/>
      <c r="F265" s="2"/>
      <c r="G265" s="2"/>
      <c r="H265" s="2"/>
      <c r="I265" s="2"/>
      <c r="J265" s="2"/>
      <c r="K265" s="2"/>
      <c r="L265" s="2"/>
      <c r="M265" s="2"/>
      <c r="N265" s="2"/>
      <c r="O265" s="2"/>
      <c r="P265" s="2"/>
      <c r="Q265" s="2"/>
      <c r="R265" s="2"/>
      <c r="S265" s="2"/>
    </row>
    <row r="266">
      <c r="A266" s="2"/>
      <c r="B266" s="2"/>
      <c r="C266" s="2"/>
      <c r="D266" s="2"/>
      <c r="E266" s="2"/>
      <c r="F266" s="2"/>
      <c r="G266" s="2"/>
      <c r="H266" s="2"/>
      <c r="I266" s="2"/>
      <c r="J266" s="2"/>
      <c r="K266" s="2"/>
      <c r="L266" s="2"/>
      <c r="M266" s="2"/>
      <c r="N266" s="2"/>
      <c r="O266" s="2"/>
      <c r="P266" s="2"/>
      <c r="Q266" s="2"/>
      <c r="R266" s="2"/>
      <c r="S266" s="2"/>
    </row>
    <row r="267">
      <c r="A267" s="2"/>
      <c r="B267" s="2"/>
      <c r="C267" s="2"/>
      <c r="D267" s="2"/>
      <c r="E267" s="2"/>
      <c r="F267" s="2"/>
      <c r="G267" s="2"/>
      <c r="H267" s="2"/>
      <c r="I267" s="2"/>
      <c r="J267" s="2"/>
      <c r="K267" s="2"/>
      <c r="L267" s="2"/>
      <c r="M267" s="2"/>
      <c r="N267" s="2"/>
      <c r="O267" s="2"/>
      <c r="P267" s="2"/>
      <c r="Q267" s="2"/>
      <c r="R267" s="2"/>
      <c r="S267" s="2"/>
    </row>
    <row r="268">
      <c r="A268" s="2"/>
      <c r="B268" s="2"/>
      <c r="C268" s="2"/>
      <c r="D268" s="2"/>
      <c r="E268" s="2"/>
      <c r="F268" s="2"/>
      <c r="G268" s="2"/>
      <c r="H268" s="2"/>
      <c r="I268" s="2"/>
      <c r="J268" s="2"/>
      <c r="K268" s="2"/>
      <c r="L268" s="2"/>
      <c r="M268" s="2"/>
      <c r="N268" s="2"/>
      <c r="O268" s="2"/>
      <c r="P268" s="2"/>
      <c r="Q268" s="2"/>
      <c r="R268" s="2"/>
      <c r="S268" s="2"/>
    </row>
    <row r="269">
      <c r="A269" s="2"/>
      <c r="B269" s="2"/>
      <c r="C269" s="2"/>
      <c r="D269" s="2"/>
      <c r="E269" s="2"/>
      <c r="F269" s="2"/>
      <c r="G269" s="2"/>
      <c r="H269" s="2"/>
      <c r="I269" s="2"/>
      <c r="J269" s="2"/>
      <c r="K269" s="2"/>
      <c r="L269" s="2"/>
      <c r="M269" s="2"/>
      <c r="N269" s="2"/>
      <c r="O269" s="2"/>
      <c r="P269" s="2"/>
      <c r="Q269" s="2"/>
      <c r="R269" s="2"/>
      <c r="S269" s="2"/>
    </row>
    <row r="270">
      <c r="A270" s="2"/>
      <c r="B270" s="2"/>
      <c r="C270" s="2"/>
      <c r="D270" s="2"/>
      <c r="E270" s="2"/>
      <c r="F270" s="2"/>
      <c r="G270" s="2"/>
      <c r="H270" s="2"/>
      <c r="I270" s="2"/>
      <c r="J270" s="2"/>
      <c r="K270" s="2"/>
      <c r="L270" s="2"/>
      <c r="M270" s="2"/>
      <c r="N270" s="2"/>
      <c r="O270" s="2"/>
      <c r="P270" s="2"/>
      <c r="Q270" s="2"/>
      <c r="R270" s="2"/>
      <c r="S270" s="2"/>
    </row>
    <row r="271">
      <c r="A271" s="2"/>
      <c r="B271" s="2"/>
      <c r="C271" s="2"/>
      <c r="D271" s="2"/>
      <c r="E271" s="2"/>
      <c r="F271" s="2"/>
      <c r="G271" s="2"/>
      <c r="H271" s="2"/>
      <c r="I271" s="2"/>
      <c r="J271" s="2"/>
      <c r="K271" s="2"/>
      <c r="L271" s="2"/>
      <c r="M271" s="2"/>
      <c r="N271" s="2"/>
      <c r="O271" s="2"/>
      <c r="P271" s="2"/>
      <c r="Q271" s="2"/>
      <c r="R271" s="2"/>
      <c r="S271" s="2"/>
    </row>
    <row r="272">
      <c r="A272" s="2"/>
      <c r="B272" s="2"/>
      <c r="C272" s="2"/>
      <c r="D272" s="2"/>
      <c r="E272" s="2"/>
      <c r="F272" s="2"/>
      <c r="G272" s="2"/>
      <c r="H272" s="2"/>
      <c r="I272" s="2"/>
      <c r="J272" s="2"/>
      <c r="K272" s="2"/>
      <c r="L272" s="2"/>
      <c r="M272" s="2"/>
      <c r="N272" s="2"/>
      <c r="O272" s="2"/>
      <c r="P272" s="2"/>
      <c r="Q272" s="2"/>
      <c r="R272" s="2"/>
      <c r="S272" s="2"/>
    </row>
    <row r="273">
      <c r="A273" s="2"/>
      <c r="B273" s="2"/>
      <c r="C273" s="2"/>
      <c r="D273" s="2"/>
      <c r="E273" s="2"/>
      <c r="F273" s="2"/>
      <c r="G273" s="2"/>
      <c r="H273" s="2"/>
      <c r="I273" s="2"/>
      <c r="J273" s="2"/>
      <c r="K273" s="2"/>
      <c r="L273" s="2"/>
      <c r="M273" s="2"/>
      <c r="N273" s="2"/>
      <c r="O273" s="2"/>
      <c r="P273" s="2"/>
      <c r="Q273" s="2"/>
      <c r="R273" s="2"/>
      <c r="S273" s="2"/>
    </row>
    <row r="274">
      <c r="A274" s="2"/>
      <c r="B274" s="2"/>
      <c r="C274" s="2"/>
      <c r="D274" s="2"/>
      <c r="E274" s="2"/>
      <c r="F274" s="2"/>
      <c r="G274" s="2"/>
      <c r="H274" s="2"/>
      <c r="I274" s="2"/>
      <c r="J274" s="2"/>
      <c r="K274" s="2"/>
      <c r="L274" s="2"/>
      <c r="M274" s="2"/>
      <c r="N274" s="2"/>
      <c r="O274" s="2"/>
      <c r="P274" s="2"/>
      <c r="Q274" s="2"/>
      <c r="R274" s="2"/>
      <c r="S274" s="2"/>
    </row>
    <row r="275">
      <c r="A275" s="2"/>
      <c r="B275" s="2"/>
      <c r="C275" s="2"/>
      <c r="D275" s="2"/>
      <c r="E275" s="2"/>
      <c r="F275" s="2"/>
      <c r="G275" s="2"/>
      <c r="H275" s="2"/>
      <c r="I275" s="2"/>
      <c r="J275" s="2"/>
      <c r="K275" s="2"/>
      <c r="L275" s="2"/>
      <c r="M275" s="2"/>
      <c r="N275" s="2"/>
      <c r="O275" s="2"/>
      <c r="P275" s="2"/>
      <c r="Q275" s="2"/>
      <c r="R275" s="2"/>
      <c r="S275" s="2"/>
    </row>
    <row r="276">
      <c r="A276" s="2"/>
      <c r="B276" s="2"/>
      <c r="C276" s="2"/>
      <c r="D276" s="2"/>
      <c r="E276" s="2"/>
      <c r="F276" s="2"/>
      <c r="G276" s="2"/>
      <c r="H276" s="2"/>
      <c r="I276" s="2"/>
      <c r="J276" s="2"/>
      <c r="K276" s="2"/>
      <c r="L276" s="2"/>
      <c r="M276" s="2"/>
      <c r="N276" s="2"/>
      <c r="O276" s="2"/>
      <c r="P276" s="2"/>
      <c r="Q276" s="2"/>
      <c r="R276" s="2"/>
      <c r="S276" s="2"/>
    </row>
    <row r="277">
      <c r="A277" s="2"/>
      <c r="B277" s="2"/>
      <c r="C277" s="2"/>
      <c r="D277" s="2"/>
      <c r="E277" s="2"/>
      <c r="F277" s="2"/>
      <c r="G277" s="2"/>
      <c r="H277" s="2"/>
      <c r="I277" s="2"/>
      <c r="J277" s="2"/>
      <c r="K277" s="2"/>
      <c r="L277" s="2"/>
      <c r="M277" s="2"/>
      <c r="N277" s="2"/>
      <c r="O277" s="2"/>
      <c r="P277" s="2"/>
      <c r="Q277" s="2"/>
      <c r="R277" s="2"/>
      <c r="S277" s="2"/>
    </row>
    <row r="278">
      <c r="A278" s="2"/>
      <c r="B278" s="2"/>
      <c r="C278" s="2"/>
      <c r="D278" s="2"/>
      <c r="E278" s="2"/>
      <c r="F278" s="2"/>
      <c r="G278" s="2"/>
      <c r="H278" s="2"/>
      <c r="I278" s="2"/>
      <c r="J278" s="2"/>
      <c r="K278" s="2"/>
      <c r="L278" s="2"/>
      <c r="M278" s="2"/>
      <c r="N278" s="2"/>
      <c r="O278" s="2"/>
      <c r="P278" s="2"/>
      <c r="Q278" s="2"/>
      <c r="R278" s="2"/>
      <c r="S278" s="2"/>
    </row>
    <row r="279">
      <c r="A279" s="2"/>
      <c r="B279" s="2"/>
      <c r="C279" s="2"/>
      <c r="D279" s="2"/>
      <c r="E279" s="2"/>
      <c r="F279" s="2"/>
      <c r="G279" s="2"/>
      <c r="H279" s="2"/>
      <c r="I279" s="2"/>
      <c r="J279" s="2"/>
      <c r="K279" s="2"/>
      <c r="L279" s="2"/>
      <c r="M279" s="2"/>
      <c r="N279" s="2"/>
      <c r="O279" s="2"/>
      <c r="P279" s="2"/>
      <c r="Q279" s="2"/>
      <c r="R279" s="2"/>
      <c r="S279" s="2"/>
    </row>
    <row r="280">
      <c r="A280" s="2"/>
      <c r="B280" s="2"/>
      <c r="C280" s="2"/>
      <c r="D280" s="2"/>
      <c r="E280" s="2"/>
      <c r="F280" s="2"/>
      <c r="G280" s="2"/>
      <c r="H280" s="2"/>
      <c r="I280" s="2"/>
      <c r="J280" s="2"/>
      <c r="K280" s="2"/>
      <c r="L280" s="2"/>
      <c r="M280" s="2"/>
      <c r="N280" s="2"/>
      <c r="O280" s="2"/>
      <c r="P280" s="2"/>
      <c r="Q280" s="2"/>
      <c r="R280" s="2"/>
      <c r="S280" s="2"/>
    </row>
    <row r="281">
      <c r="A281" s="2"/>
      <c r="B281" s="2"/>
      <c r="C281" s="2"/>
      <c r="D281" s="2"/>
      <c r="E281" s="2"/>
      <c r="F281" s="2"/>
      <c r="G281" s="2"/>
      <c r="H281" s="2"/>
      <c r="I281" s="2"/>
      <c r="J281" s="2"/>
      <c r="K281" s="2"/>
      <c r="L281" s="2"/>
      <c r="M281" s="2"/>
      <c r="N281" s="2"/>
      <c r="O281" s="2"/>
      <c r="P281" s="2"/>
      <c r="Q281" s="2"/>
      <c r="R281" s="2"/>
      <c r="S281" s="2"/>
    </row>
    <row r="282">
      <c r="A282" s="2"/>
      <c r="B282" s="2"/>
      <c r="C282" s="2"/>
      <c r="D282" s="2"/>
      <c r="E282" s="2"/>
      <c r="F282" s="2"/>
      <c r="G282" s="2"/>
      <c r="H282" s="2"/>
      <c r="I282" s="2"/>
      <c r="J282" s="2"/>
      <c r="K282" s="2"/>
      <c r="L282" s="2"/>
      <c r="M282" s="2"/>
      <c r="N282" s="2"/>
      <c r="O282" s="2"/>
      <c r="P282" s="2"/>
      <c r="Q282" s="2"/>
      <c r="R282" s="2"/>
      <c r="S282" s="2"/>
    </row>
    <row r="283">
      <c r="A283" s="2"/>
      <c r="B283" s="2"/>
      <c r="C283" s="2"/>
      <c r="D283" s="2"/>
      <c r="E283" s="2"/>
      <c r="F283" s="2"/>
      <c r="G283" s="2"/>
      <c r="H283" s="2"/>
      <c r="I283" s="2"/>
      <c r="J283" s="2"/>
      <c r="K283" s="2"/>
      <c r="L283" s="2"/>
      <c r="M283" s="2"/>
      <c r="N283" s="2"/>
      <c r="O283" s="2"/>
      <c r="P283" s="2"/>
      <c r="Q283" s="2"/>
      <c r="R283" s="2"/>
      <c r="S283" s="2"/>
    </row>
    <row r="284">
      <c r="A284" s="2"/>
      <c r="B284" s="2"/>
      <c r="C284" s="2"/>
      <c r="D284" s="2"/>
      <c r="E284" s="2"/>
      <c r="F284" s="2"/>
      <c r="G284" s="2"/>
      <c r="H284" s="2"/>
      <c r="I284" s="2"/>
      <c r="J284" s="2"/>
      <c r="K284" s="2"/>
      <c r="L284" s="2"/>
      <c r="M284" s="2"/>
      <c r="N284" s="2"/>
      <c r="O284" s="2"/>
      <c r="P284" s="2"/>
      <c r="Q284" s="2"/>
      <c r="R284" s="2"/>
      <c r="S284" s="2"/>
    </row>
    <row r="285">
      <c r="A285" s="2"/>
      <c r="B285" s="2"/>
      <c r="C285" s="2"/>
      <c r="D285" s="2"/>
      <c r="E285" s="2"/>
      <c r="F285" s="2"/>
      <c r="G285" s="2"/>
      <c r="H285" s="2"/>
      <c r="I285" s="2"/>
      <c r="J285" s="2"/>
      <c r="K285" s="2"/>
      <c r="L285" s="2"/>
      <c r="M285" s="2"/>
      <c r="N285" s="2"/>
      <c r="O285" s="2"/>
      <c r="P285" s="2"/>
      <c r="Q285" s="2"/>
      <c r="R285" s="2"/>
      <c r="S285" s="2"/>
    </row>
    <row r="286">
      <c r="A286" s="2"/>
      <c r="B286" s="2"/>
      <c r="C286" s="2"/>
      <c r="D286" s="2"/>
      <c r="E286" s="2"/>
      <c r="F286" s="2"/>
      <c r="G286" s="2"/>
      <c r="H286" s="2"/>
      <c r="I286" s="2"/>
      <c r="J286" s="2"/>
      <c r="K286" s="2"/>
      <c r="L286" s="2"/>
      <c r="M286" s="2"/>
      <c r="N286" s="2"/>
      <c r="O286" s="2"/>
      <c r="P286" s="2"/>
      <c r="Q286" s="2"/>
      <c r="R286" s="2"/>
      <c r="S286" s="2"/>
    </row>
    <row r="287">
      <c r="A287" s="2"/>
      <c r="B287" s="2"/>
      <c r="C287" s="2"/>
      <c r="D287" s="2"/>
      <c r="E287" s="2"/>
      <c r="F287" s="2"/>
      <c r="G287" s="2"/>
      <c r="H287" s="2"/>
      <c r="I287" s="2"/>
      <c r="J287" s="2"/>
      <c r="K287" s="2"/>
      <c r="L287" s="2"/>
      <c r="M287" s="2"/>
      <c r="N287" s="2"/>
      <c r="O287" s="2"/>
      <c r="P287" s="2"/>
      <c r="Q287" s="2"/>
      <c r="R287" s="2"/>
      <c r="S287" s="2"/>
    </row>
    <row r="288">
      <c r="A288" s="2"/>
      <c r="B288" s="2"/>
      <c r="C288" s="2"/>
      <c r="D288" s="2"/>
      <c r="E288" s="2"/>
      <c r="F288" s="2"/>
      <c r="G288" s="2"/>
      <c r="H288" s="2"/>
      <c r="I288" s="2"/>
      <c r="J288" s="2"/>
      <c r="K288" s="2"/>
      <c r="L288" s="2"/>
      <c r="M288" s="2"/>
      <c r="N288" s="2"/>
      <c r="O288" s="2"/>
      <c r="P288" s="2"/>
      <c r="Q288" s="2"/>
      <c r="R288" s="2"/>
      <c r="S288" s="2"/>
    </row>
    <row r="289">
      <c r="A289" s="2"/>
      <c r="B289" s="2"/>
      <c r="C289" s="2"/>
      <c r="D289" s="2"/>
      <c r="E289" s="2"/>
      <c r="F289" s="2"/>
      <c r="G289" s="2"/>
      <c r="H289" s="2"/>
      <c r="I289" s="2"/>
      <c r="J289" s="2"/>
      <c r="K289" s="2"/>
      <c r="L289" s="2"/>
      <c r="M289" s="2"/>
      <c r="N289" s="2"/>
      <c r="O289" s="2"/>
      <c r="P289" s="2"/>
      <c r="Q289" s="2"/>
      <c r="R289" s="2"/>
      <c r="S289" s="2"/>
    </row>
    <row r="290">
      <c r="A290" s="2"/>
      <c r="B290" s="2"/>
      <c r="C290" s="2"/>
      <c r="D290" s="2"/>
      <c r="E290" s="2"/>
      <c r="F290" s="2"/>
      <c r="G290" s="2"/>
      <c r="H290" s="2"/>
      <c r="I290" s="2"/>
      <c r="J290" s="2"/>
      <c r="K290" s="2"/>
      <c r="L290" s="2"/>
      <c r="M290" s="2"/>
      <c r="N290" s="2"/>
      <c r="O290" s="2"/>
      <c r="P290" s="2"/>
      <c r="Q290" s="2"/>
      <c r="R290" s="2"/>
      <c r="S290" s="2"/>
    </row>
    <row r="291">
      <c r="A291" s="2"/>
      <c r="B291" s="2"/>
      <c r="C291" s="2"/>
      <c r="D291" s="2"/>
      <c r="E291" s="2"/>
      <c r="F291" s="2"/>
      <c r="G291" s="2"/>
      <c r="H291" s="2"/>
      <c r="I291" s="2"/>
      <c r="J291" s="2"/>
      <c r="K291" s="2"/>
      <c r="L291" s="2"/>
      <c r="M291" s="2"/>
      <c r="N291" s="2"/>
      <c r="O291" s="2"/>
      <c r="P291" s="2"/>
      <c r="Q291" s="2"/>
      <c r="R291" s="2"/>
      <c r="S291" s="2"/>
    </row>
    <row r="292">
      <c r="A292" s="2"/>
      <c r="B292" s="2"/>
      <c r="C292" s="2"/>
      <c r="D292" s="2"/>
      <c r="E292" s="2"/>
      <c r="F292" s="2"/>
      <c r="G292" s="2"/>
      <c r="H292" s="2"/>
      <c r="I292" s="2"/>
      <c r="J292" s="2"/>
      <c r="K292" s="2"/>
      <c r="L292" s="2"/>
      <c r="M292" s="2"/>
      <c r="N292" s="2"/>
      <c r="O292" s="2"/>
      <c r="P292" s="2"/>
      <c r="Q292" s="2"/>
      <c r="R292" s="2"/>
      <c r="S292" s="2"/>
    </row>
    <row r="293">
      <c r="A293" s="2"/>
      <c r="B293" s="2"/>
      <c r="C293" s="2"/>
      <c r="D293" s="2"/>
      <c r="E293" s="2"/>
      <c r="F293" s="2"/>
      <c r="G293" s="2"/>
      <c r="H293" s="2"/>
      <c r="I293" s="2"/>
      <c r="J293" s="2"/>
      <c r="K293" s="2"/>
      <c r="L293" s="2"/>
      <c r="M293" s="2"/>
      <c r="N293" s="2"/>
      <c r="O293" s="2"/>
      <c r="P293" s="2"/>
      <c r="Q293" s="2"/>
      <c r="R293" s="2"/>
      <c r="S293" s="2"/>
    </row>
    <row r="294">
      <c r="A294" s="2"/>
      <c r="B294" s="2"/>
      <c r="C294" s="2"/>
      <c r="D294" s="2"/>
      <c r="E294" s="2"/>
      <c r="F294" s="2"/>
      <c r="G294" s="2"/>
      <c r="H294" s="2"/>
      <c r="I294" s="2"/>
      <c r="J294" s="2"/>
      <c r="K294" s="2"/>
      <c r="L294" s="2"/>
      <c r="M294" s="2"/>
      <c r="N294" s="2"/>
      <c r="O294" s="2"/>
      <c r="P294" s="2"/>
      <c r="Q294" s="2"/>
      <c r="R294" s="2"/>
      <c r="S294" s="2"/>
    </row>
    <row r="295">
      <c r="A295" s="2"/>
      <c r="B295" s="2"/>
      <c r="C295" s="2"/>
      <c r="D295" s="2"/>
      <c r="E295" s="2"/>
      <c r="F295" s="2"/>
      <c r="G295" s="2"/>
      <c r="H295" s="2"/>
      <c r="I295" s="2"/>
      <c r="J295" s="2"/>
      <c r="K295" s="2"/>
      <c r="L295" s="2"/>
      <c r="M295" s="2"/>
      <c r="N295" s="2"/>
      <c r="O295" s="2"/>
      <c r="P295" s="2"/>
      <c r="Q295" s="2"/>
      <c r="R295" s="2"/>
      <c r="S295" s="2"/>
    </row>
    <row r="296">
      <c r="A296" s="2"/>
      <c r="B296" s="2"/>
      <c r="C296" s="2"/>
      <c r="D296" s="2"/>
      <c r="E296" s="2"/>
      <c r="F296" s="2"/>
      <c r="G296" s="2"/>
      <c r="H296" s="2"/>
      <c r="I296" s="2"/>
      <c r="J296" s="2"/>
      <c r="K296" s="2"/>
      <c r="L296" s="2"/>
      <c r="M296" s="2"/>
      <c r="N296" s="2"/>
      <c r="O296" s="2"/>
      <c r="P296" s="2"/>
      <c r="Q296" s="2"/>
      <c r="R296" s="2"/>
      <c r="S296" s="2"/>
    </row>
    <row r="297">
      <c r="A297" s="2"/>
      <c r="B297" s="2"/>
      <c r="C297" s="2"/>
      <c r="D297" s="2"/>
      <c r="E297" s="2"/>
      <c r="F297" s="2"/>
      <c r="G297" s="2"/>
      <c r="H297" s="2"/>
      <c r="I297" s="2"/>
      <c r="J297" s="2"/>
      <c r="K297" s="2"/>
      <c r="L297" s="2"/>
      <c r="M297" s="2"/>
      <c r="N297" s="2"/>
      <c r="O297" s="2"/>
      <c r="P297" s="2"/>
      <c r="Q297" s="2"/>
      <c r="R297" s="2"/>
      <c r="S297" s="2"/>
    </row>
    <row r="298">
      <c r="A298" s="2"/>
      <c r="B298" s="2"/>
      <c r="C298" s="2"/>
      <c r="D298" s="2"/>
      <c r="E298" s="2"/>
      <c r="F298" s="2"/>
      <c r="G298" s="2"/>
      <c r="H298" s="2"/>
      <c r="I298" s="2"/>
      <c r="J298" s="2"/>
      <c r="K298" s="2"/>
      <c r="L298" s="2"/>
      <c r="M298" s="2"/>
      <c r="N298" s="2"/>
      <c r="O298" s="2"/>
      <c r="P298" s="2"/>
      <c r="Q298" s="2"/>
      <c r="R298" s="2"/>
      <c r="S298" s="2"/>
    </row>
    <row r="299">
      <c r="A299" s="2"/>
      <c r="B299" s="2"/>
      <c r="C299" s="2"/>
      <c r="D299" s="2"/>
      <c r="E299" s="2"/>
      <c r="F299" s="2"/>
      <c r="G299" s="2"/>
      <c r="H299" s="2"/>
      <c r="I299" s="2"/>
      <c r="J299" s="2"/>
      <c r="K299" s="2"/>
      <c r="L299" s="2"/>
      <c r="M299" s="2"/>
      <c r="N299" s="2"/>
      <c r="O299" s="2"/>
      <c r="P299" s="2"/>
      <c r="Q299" s="2"/>
      <c r="R299" s="2"/>
      <c r="S299" s="2"/>
    </row>
    <row r="300">
      <c r="A300" s="2"/>
      <c r="B300" s="2"/>
      <c r="C300" s="2"/>
      <c r="D300" s="2"/>
      <c r="E300" s="2"/>
      <c r="F300" s="2"/>
      <c r="G300" s="2"/>
      <c r="H300" s="2"/>
      <c r="I300" s="2"/>
      <c r="J300" s="2"/>
      <c r="K300" s="2"/>
      <c r="L300" s="2"/>
      <c r="M300" s="2"/>
      <c r="N300" s="2"/>
      <c r="O300" s="2"/>
      <c r="P300" s="2"/>
      <c r="Q300" s="2"/>
      <c r="R300" s="2"/>
      <c r="S300" s="2"/>
    </row>
    <row r="301">
      <c r="A301" s="2"/>
      <c r="B301" s="2"/>
      <c r="C301" s="2"/>
      <c r="D301" s="2"/>
      <c r="E301" s="2"/>
      <c r="F301" s="2"/>
      <c r="G301" s="2"/>
      <c r="H301" s="2"/>
      <c r="I301" s="2"/>
      <c r="J301" s="2"/>
      <c r="K301" s="2"/>
      <c r="L301" s="2"/>
      <c r="M301" s="2"/>
      <c r="N301" s="2"/>
      <c r="O301" s="2"/>
      <c r="P301" s="2"/>
      <c r="Q301" s="2"/>
      <c r="R301" s="2"/>
      <c r="S301" s="2"/>
    </row>
    <row r="302">
      <c r="A302" s="2"/>
      <c r="B302" s="2"/>
      <c r="C302" s="2"/>
      <c r="D302" s="2"/>
      <c r="E302" s="2"/>
      <c r="F302" s="2"/>
      <c r="G302" s="2"/>
      <c r="H302" s="2"/>
      <c r="I302" s="2"/>
      <c r="J302" s="2"/>
      <c r="K302" s="2"/>
      <c r="L302" s="2"/>
      <c r="M302" s="2"/>
      <c r="N302" s="2"/>
      <c r="O302" s="2"/>
      <c r="P302" s="2"/>
      <c r="Q302" s="2"/>
      <c r="R302" s="2"/>
      <c r="S302" s="2"/>
    </row>
    <row r="303">
      <c r="A303" s="2"/>
      <c r="B303" s="2"/>
      <c r="C303" s="2"/>
      <c r="D303" s="2"/>
      <c r="E303" s="2"/>
      <c r="F303" s="2"/>
      <c r="G303" s="2"/>
      <c r="H303" s="2"/>
      <c r="I303" s="2"/>
      <c r="J303" s="2"/>
      <c r="K303" s="2"/>
      <c r="L303" s="2"/>
      <c r="M303" s="2"/>
      <c r="N303" s="2"/>
      <c r="O303" s="2"/>
      <c r="P303" s="2"/>
      <c r="Q303" s="2"/>
      <c r="R303" s="2"/>
      <c r="S303" s="2"/>
    </row>
    <row r="304">
      <c r="A304" s="2"/>
      <c r="B304" s="2"/>
      <c r="C304" s="2"/>
      <c r="D304" s="2"/>
      <c r="E304" s="2"/>
      <c r="F304" s="2"/>
      <c r="G304" s="2"/>
      <c r="H304" s="2"/>
      <c r="I304" s="2"/>
      <c r="J304" s="2"/>
      <c r="K304" s="2"/>
      <c r="L304" s="2"/>
      <c r="M304" s="2"/>
      <c r="N304" s="2"/>
      <c r="O304" s="2"/>
      <c r="P304" s="2"/>
      <c r="Q304" s="2"/>
      <c r="R304" s="2"/>
      <c r="S304" s="2"/>
    </row>
    <row r="305">
      <c r="A305" s="2"/>
      <c r="B305" s="2"/>
      <c r="C305" s="2"/>
      <c r="D305" s="2"/>
      <c r="E305" s="2"/>
      <c r="F305" s="2"/>
      <c r="G305" s="2"/>
      <c r="H305" s="2"/>
      <c r="I305" s="2"/>
      <c r="J305" s="2"/>
      <c r="K305" s="2"/>
      <c r="L305" s="2"/>
      <c r="M305" s="2"/>
      <c r="N305" s="2"/>
      <c r="O305" s="2"/>
      <c r="P305" s="2"/>
      <c r="Q305" s="2"/>
      <c r="R305" s="2"/>
      <c r="S305" s="2"/>
    </row>
    <row r="306">
      <c r="A306" s="2"/>
      <c r="B306" s="2"/>
      <c r="C306" s="2"/>
      <c r="D306" s="2"/>
      <c r="E306" s="2"/>
      <c r="F306" s="2"/>
      <c r="G306" s="2"/>
      <c r="H306" s="2"/>
      <c r="I306" s="2"/>
      <c r="J306" s="2"/>
      <c r="K306" s="2"/>
      <c r="L306" s="2"/>
      <c r="M306" s="2"/>
      <c r="N306" s="2"/>
      <c r="O306" s="2"/>
      <c r="P306" s="2"/>
      <c r="Q306" s="2"/>
      <c r="R306" s="2"/>
      <c r="S306" s="2"/>
    </row>
    <row r="307">
      <c r="A307" s="2"/>
      <c r="B307" s="2"/>
      <c r="C307" s="2"/>
      <c r="D307" s="2"/>
      <c r="E307" s="2"/>
      <c r="F307" s="2"/>
      <c r="G307" s="2"/>
      <c r="H307" s="2"/>
      <c r="I307" s="2"/>
      <c r="J307" s="2"/>
      <c r="K307" s="2"/>
      <c r="L307" s="2"/>
      <c r="M307" s="2"/>
      <c r="N307" s="2"/>
      <c r="O307" s="2"/>
      <c r="P307" s="2"/>
      <c r="Q307" s="2"/>
      <c r="R307" s="2"/>
      <c r="S307" s="2"/>
    </row>
    <row r="308">
      <c r="A308" s="2"/>
      <c r="B308" s="2"/>
      <c r="C308" s="2"/>
      <c r="D308" s="2"/>
      <c r="E308" s="2"/>
      <c r="F308" s="2"/>
      <c r="G308" s="2"/>
      <c r="H308" s="2"/>
      <c r="I308" s="2"/>
      <c r="J308" s="2"/>
      <c r="K308" s="2"/>
      <c r="L308" s="2"/>
      <c r="M308" s="2"/>
      <c r="N308" s="2"/>
      <c r="O308" s="2"/>
      <c r="P308" s="2"/>
      <c r="Q308" s="2"/>
      <c r="R308" s="2"/>
      <c r="S308" s="2"/>
    </row>
    <row r="309">
      <c r="A309" s="2"/>
      <c r="B309" s="2"/>
      <c r="C309" s="2"/>
      <c r="D309" s="2"/>
      <c r="E309" s="2"/>
      <c r="F309" s="2"/>
      <c r="G309" s="2"/>
      <c r="H309" s="2"/>
      <c r="I309" s="2"/>
      <c r="J309" s="2"/>
      <c r="K309" s="2"/>
      <c r="L309" s="2"/>
      <c r="M309" s="2"/>
      <c r="N309" s="2"/>
      <c r="O309" s="2"/>
      <c r="P309" s="2"/>
      <c r="Q309" s="2"/>
      <c r="R309" s="2"/>
      <c r="S309" s="2"/>
    </row>
    <row r="310">
      <c r="A310" s="2"/>
      <c r="B310" s="2"/>
      <c r="C310" s="2"/>
      <c r="D310" s="2"/>
      <c r="E310" s="2"/>
      <c r="F310" s="2"/>
      <c r="G310" s="2"/>
      <c r="H310" s="2"/>
      <c r="I310" s="2"/>
      <c r="J310" s="2"/>
      <c r="K310" s="2"/>
      <c r="L310" s="2"/>
      <c r="M310" s="2"/>
      <c r="N310" s="2"/>
      <c r="O310" s="2"/>
      <c r="P310" s="2"/>
      <c r="Q310" s="2"/>
      <c r="R310" s="2"/>
      <c r="S310" s="2"/>
    </row>
    <row r="311">
      <c r="A311" s="2"/>
      <c r="B311" s="2"/>
      <c r="C311" s="2"/>
      <c r="D311" s="2"/>
      <c r="E311" s="2"/>
      <c r="F311" s="2"/>
      <c r="G311" s="2"/>
      <c r="H311" s="2"/>
      <c r="I311" s="2"/>
      <c r="J311" s="2"/>
      <c r="K311" s="2"/>
      <c r="L311" s="2"/>
      <c r="M311" s="2"/>
      <c r="N311" s="2"/>
      <c r="O311" s="2"/>
      <c r="P311" s="2"/>
      <c r="Q311" s="2"/>
      <c r="R311" s="2"/>
      <c r="S311" s="2"/>
    </row>
    <row r="312">
      <c r="A312" s="2"/>
      <c r="B312" s="2"/>
      <c r="C312" s="2"/>
      <c r="D312" s="2"/>
      <c r="E312" s="2"/>
      <c r="F312" s="2"/>
      <c r="G312" s="2"/>
      <c r="H312" s="2"/>
      <c r="I312" s="2"/>
      <c r="J312" s="2"/>
      <c r="K312" s="2"/>
      <c r="L312" s="2"/>
      <c r="M312" s="2"/>
      <c r="N312" s="2"/>
      <c r="O312" s="2"/>
      <c r="P312" s="2"/>
      <c r="Q312" s="2"/>
      <c r="R312" s="2"/>
      <c r="S312" s="2"/>
    </row>
    <row r="313">
      <c r="A313" s="2"/>
      <c r="B313" s="2"/>
      <c r="C313" s="2"/>
      <c r="D313" s="2"/>
      <c r="E313" s="2"/>
      <c r="F313" s="2"/>
      <c r="G313" s="2"/>
      <c r="H313" s="2"/>
      <c r="I313" s="2"/>
      <c r="J313" s="2"/>
      <c r="K313" s="2"/>
      <c r="L313" s="2"/>
      <c r="M313" s="2"/>
      <c r="N313" s="2"/>
      <c r="O313" s="2"/>
      <c r="P313" s="2"/>
      <c r="Q313" s="2"/>
      <c r="R313" s="2"/>
      <c r="S313" s="2"/>
    </row>
    <row r="314">
      <c r="A314" s="2"/>
      <c r="B314" s="2"/>
      <c r="C314" s="2"/>
      <c r="D314" s="2"/>
      <c r="E314" s="2"/>
      <c r="F314" s="2"/>
      <c r="G314" s="2"/>
      <c r="H314" s="2"/>
      <c r="I314" s="2"/>
      <c r="J314" s="2"/>
      <c r="K314" s="2"/>
      <c r="L314" s="2"/>
      <c r="M314" s="2"/>
      <c r="N314" s="2"/>
      <c r="O314" s="2"/>
      <c r="P314" s="2"/>
      <c r="Q314" s="2"/>
      <c r="R314" s="2"/>
      <c r="S314" s="2"/>
    </row>
    <row r="315">
      <c r="A315" s="2"/>
      <c r="B315" s="2"/>
      <c r="C315" s="2"/>
      <c r="D315" s="2"/>
      <c r="E315" s="2"/>
      <c r="F315" s="2"/>
      <c r="G315" s="2"/>
      <c r="H315" s="2"/>
      <c r="I315" s="2"/>
      <c r="J315" s="2"/>
      <c r="K315" s="2"/>
      <c r="L315" s="2"/>
      <c r="M315" s="2"/>
      <c r="N315" s="2"/>
      <c r="O315" s="2"/>
      <c r="P315" s="2"/>
      <c r="Q315" s="2"/>
      <c r="R315" s="2"/>
      <c r="S315" s="2"/>
    </row>
    <row r="316">
      <c r="A316" s="2"/>
      <c r="B316" s="2"/>
      <c r="C316" s="2"/>
      <c r="D316" s="2"/>
      <c r="E316" s="2"/>
      <c r="F316" s="2"/>
      <c r="G316" s="2"/>
      <c r="H316" s="2"/>
      <c r="I316" s="2"/>
      <c r="J316" s="2"/>
      <c r="K316" s="2"/>
      <c r="L316" s="2"/>
      <c r="M316" s="2"/>
      <c r="N316" s="2"/>
      <c r="O316" s="2"/>
      <c r="P316" s="2"/>
      <c r="Q316" s="2"/>
      <c r="R316" s="2"/>
      <c r="S316" s="2"/>
    </row>
    <row r="317">
      <c r="A317" s="2"/>
      <c r="B317" s="2"/>
      <c r="C317" s="2"/>
      <c r="D317" s="2"/>
      <c r="E317" s="2"/>
      <c r="F317" s="2"/>
      <c r="G317" s="2"/>
      <c r="H317" s="2"/>
      <c r="I317" s="2"/>
      <c r="J317" s="2"/>
      <c r="K317" s="2"/>
      <c r="L317" s="2"/>
      <c r="M317" s="2"/>
      <c r="N317" s="2"/>
      <c r="O317" s="2"/>
      <c r="P317" s="2"/>
      <c r="Q317" s="2"/>
      <c r="R317" s="2"/>
      <c r="S317" s="2"/>
    </row>
    <row r="318">
      <c r="A318" s="2"/>
      <c r="B318" s="2"/>
      <c r="C318" s="2"/>
      <c r="D318" s="2"/>
      <c r="E318" s="2"/>
      <c r="F318" s="2"/>
      <c r="G318" s="2"/>
      <c r="H318" s="2"/>
      <c r="I318" s="2"/>
      <c r="J318" s="2"/>
      <c r="K318" s="2"/>
      <c r="L318" s="2"/>
      <c r="M318" s="2"/>
      <c r="N318" s="2"/>
      <c r="O318" s="2"/>
      <c r="P318" s="2"/>
      <c r="Q318" s="2"/>
      <c r="R318" s="2"/>
      <c r="S318" s="2"/>
    </row>
    <row r="319">
      <c r="A319" s="2"/>
      <c r="B319" s="2"/>
      <c r="C319" s="2"/>
      <c r="D319" s="2"/>
      <c r="E319" s="2"/>
      <c r="F319" s="2"/>
      <c r="G319" s="2"/>
      <c r="H319" s="2"/>
      <c r="I319" s="2"/>
      <c r="J319" s="2"/>
      <c r="K319" s="2"/>
      <c r="L319" s="2"/>
      <c r="M319" s="2"/>
      <c r="N319" s="2"/>
      <c r="O319" s="2"/>
      <c r="P319" s="2"/>
      <c r="Q319" s="2"/>
      <c r="R319" s="2"/>
      <c r="S319" s="2"/>
    </row>
    <row r="320">
      <c r="A320" s="2"/>
      <c r="B320" s="2"/>
      <c r="C320" s="2"/>
      <c r="D320" s="2"/>
      <c r="E320" s="2"/>
      <c r="F320" s="2"/>
      <c r="G320" s="2"/>
      <c r="H320" s="2"/>
      <c r="I320" s="2"/>
      <c r="J320" s="2"/>
      <c r="K320" s="2"/>
      <c r="L320" s="2"/>
      <c r="M320" s="2"/>
      <c r="N320" s="2"/>
      <c r="O320" s="2"/>
      <c r="P320" s="2"/>
      <c r="Q320" s="2"/>
      <c r="R320" s="2"/>
      <c r="S320" s="2"/>
    </row>
    <row r="321">
      <c r="A321" s="2"/>
      <c r="B321" s="2"/>
      <c r="C321" s="2"/>
      <c r="D321" s="2"/>
      <c r="E321" s="2"/>
      <c r="F321" s="2"/>
      <c r="G321" s="2"/>
      <c r="H321" s="2"/>
      <c r="I321" s="2"/>
      <c r="J321" s="2"/>
      <c r="K321" s="2"/>
      <c r="L321" s="2"/>
      <c r="M321" s="2"/>
      <c r="N321" s="2"/>
      <c r="O321" s="2"/>
      <c r="P321" s="2"/>
      <c r="Q321" s="2"/>
      <c r="R321" s="2"/>
      <c r="S321" s="2"/>
    </row>
    <row r="322">
      <c r="A322" s="2"/>
      <c r="B322" s="2"/>
      <c r="C322" s="2"/>
      <c r="D322" s="2"/>
      <c r="E322" s="2"/>
      <c r="F322" s="2"/>
      <c r="G322" s="2"/>
      <c r="H322" s="2"/>
      <c r="I322" s="2"/>
      <c r="J322" s="2"/>
      <c r="K322" s="2"/>
      <c r="L322" s="2"/>
      <c r="M322" s="2"/>
      <c r="N322" s="2"/>
      <c r="O322" s="2"/>
      <c r="P322" s="2"/>
      <c r="Q322" s="2"/>
      <c r="R322" s="2"/>
      <c r="S322" s="2"/>
    </row>
    <row r="323">
      <c r="A323" s="2"/>
      <c r="B323" s="2"/>
      <c r="C323" s="2"/>
      <c r="D323" s="2"/>
      <c r="E323" s="2"/>
      <c r="F323" s="2"/>
      <c r="G323" s="2"/>
      <c r="H323" s="2"/>
      <c r="I323" s="2"/>
      <c r="J323" s="2"/>
      <c r="K323" s="2"/>
      <c r="L323" s="2"/>
      <c r="M323" s="2"/>
      <c r="N323" s="2"/>
      <c r="O323" s="2"/>
      <c r="P323" s="2"/>
      <c r="Q323" s="2"/>
      <c r="R323" s="2"/>
      <c r="S323" s="2"/>
    </row>
    <row r="324">
      <c r="A324" s="2"/>
      <c r="B324" s="2"/>
      <c r="C324" s="2"/>
      <c r="D324" s="2"/>
      <c r="E324" s="2"/>
      <c r="F324" s="2"/>
      <c r="G324" s="2"/>
      <c r="H324" s="2"/>
      <c r="I324" s="2"/>
      <c r="J324" s="2"/>
      <c r="K324" s="2"/>
      <c r="L324" s="2"/>
      <c r="M324" s="2"/>
      <c r="N324" s="2"/>
      <c r="O324" s="2"/>
      <c r="P324" s="2"/>
      <c r="Q324" s="2"/>
      <c r="R324" s="2"/>
      <c r="S324" s="2"/>
    </row>
    <row r="325">
      <c r="A325" s="2"/>
      <c r="B325" s="2"/>
      <c r="C325" s="2"/>
      <c r="D325" s="2"/>
      <c r="E325" s="2"/>
      <c r="F325" s="2"/>
      <c r="G325" s="2"/>
      <c r="H325" s="2"/>
      <c r="I325" s="2"/>
      <c r="J325" s="2"/>
      <c r="K325" s="2"/>
      <c r="L325" s="2"/>
      <c r="M325" s="2"/>
      <c r="N325" s="2"/>
      <c r="O325" s="2"/>
      <c r="P325" s="2"/>
      <c r="Q325" s="2"/>
      <c r="R325" s="2"/>
      <c r="S325" s="2"/>
    </row>
    <row r="326">
      <c r="A326" s="2"/>
      <c r="B326" s="2"/>
      <c r="C326" s="2"/>
      <c r="D326" s="2"/>
      <c r="E326" s="2"/>
      <c r="F326" s="2"/>
      <c r="G326" s="2"/>
      <c r="H326" s="2"/>
      <c r="I326" s="2"/>
      <c r="J326" s="2"/>
      <c r="K326" s="2"/>
      <c r="L326" s="2"/>
      <c r="M326" s="2"/>
      <c r="N326" s="2"/>
      <c r="O326" s="2"/>
      <c r="P326" s="2"/>
      <c r="Q326" s="2"/>
      <c r="R326" s="2"/>
      <c r="S326" s="2"/>
    </row>
    <row r="327">
      <c r="A327" s="2"/>
      <c r="B327" s="2"/>
      <c r="C327" s="2"/>
      <c r="D327" s="2"/>
      <c r="E327" s="2"/>
      <c r="F327" s="2"/>
      <c r="G327" s="2"/>
      <c r="H327" s="2"/>
      <c r="I327" s="2"/>
      <c r="J327" s="2"/>
      <c r="K327" s="2"/>
      <c r="L327" s="2"/>
      <c r="M327" s="2"/>
      <c r="N327" s="2"/>
      <c r="O327" s="2"/>
      <c r="P327" s="2"/>
      <c r="Q327" s="2"/>
      <c r="R327" s="2"/>
      <c r="S327" s="2"/>
    </row>
    <row r="328">
      <c r="A328" s="2"/>
      <c r="B328" s="2"/>
      <c r="C328" s="2"/>
      <c r="D328" s="2"/>
      <c r="E328" s="2"/>
      <c r="F328" s="2"/>
      <c r="G328" s="2"/>
      <c r="H328" s="2"/>
      <c r="I328" s="2"/>
      <c r="J328" s="2"/>
      <c r="K328" s="2"/>
      <c r="L328" s="2"/>
      <c r="M328" s="2"/>
      <c r="N328" s="2"/>
      <c r="O328" s="2"/>
      <c r="P328" s="2"/>
      <c r="Q328" s="2"/>
      <c r="R328" s="2"/>
      <c r="S328" s="2"/>
    </row>
    <row r="329">
      <c r="A329" s="2"/>
      <c r="B329" s="2"/>
      <c r="C329" s="2"/>
      <c r="D329" s="2"/>
      <c r="E329" s="2"/>
      <c r="F329" s="2"/>
      <c r="G329" s="2"/>
      <c r="H329" s="2"/>
      <c r="I329" s="2"/>
      <c r="J329" s="2"/>
      <c r="K329" s="2"/>
      <c r="L329" s="2"/>
      <c r="M329" s="2"/>
      <c r="N329" s="2"/>
      <c r="O329" s="2"/>
      <c r="P329" s="2"/>
      <c r="Q329" s="2"/>
      <c r="R329" s="2"/>
      <c r="S329" s="2"/>
    </row>
    <row r="330">
      <c r="A330" s="2"/>
      <c r="B330" s="2"/>
      <c r="C330" s="2"/>
      <c r="D330" s="2"/>
      <c r="E330" s="2"/>
      <c r="F330" s="2"/>
      <c r="G330" s="2"/>
      <c r="H330" s="2"/>
      <c r="I330" s="2"/>
      <c r="J330" s="2"/>
      <c r="K330" s="2"/>
      <c r="L330" s="2"/>
      <c r="M330" s="2"/>
      <c r="N330" s="2"/>
      <c r="O330" s="2"/>
      <c r="P330" s="2"/>
      <c r="Q330" s="2"/>
      <c r="R330" s="2"/>
      <c r="S330" s="2"/>
    </row>
    <row r="331">
      <c r="A331" s="2"/>
      <c r="B331" s="2"/>
      <c r="C331" s="2"/>
      <c r="D331" s="2"/>
      <c r="E331" s="2"/>
      <c r="F331" s="2"/>
      <c r="G331" s="2"/>
      <c r="H331" s="2"/>
      <c r="I331" s="2"/>
      <c r="J331" s="2"/>
      <c r="K331" s="2"/>
      <c r="L331" s="2"/>
      <c r="M331" s="2"/>
      <c r="N331" s="2"/>
      <c r="O331" s="2"/>
      <c r="P331" s="2"/>
      <c r="Q331" s="2"/>
      <c r="R331" s="2"/>
      <c r="S331" s="2"/>
    </row>
    <row r="332">
      <c r="A332" s="2"/>
      <c r="B332" s="2"/>
      <c r="C332" s="2"/>
      <c r="D332" s="2"/>
      <c r="E332" s="2"/>
      <c r="F332" s="2"/>
      <c r="G332" s="2"/>
      <c r="H332" s="2"/>
      <c r="I332" s="2"/>
      <c r="J332" s="2"/>
      <c r="K332" s="2"/>
      <c r="L332" s="2"/>
      <c r="M332" s="2"/>
      <c r="N332" s="2"/>
      <c r="O332" s="2"/>
      <c r="P332" s="2"/>
      <c r="Q332" s="2"/>
      <c r="R332" s="2"/>
      <c r="S332" s="2"/>
    </row>
    <row r="333">
      <c r="A333" s="2"/>
      <c r="B333" s="2"/>
      <c r="C333" s="2"/>
      <c r="D333" s="2"/>
      <c r="E333" s="2"/>
      <c r="F333" s="2"/>
      <c r="G333" s="2"/>
      <c r="H333" s="2"/>
      <c r="I333" s="2"/>
      <c r="J333" s="2"/>
      <c r="K333" s="2"/>
      <c r="L333" s="2"/>
      <c r="M333" s="2"/>
      <c r="N333" s="2"/>
      <c r="O333" s="2"/>
      <c r="P333" s="2"/>
      <c r="Q333" s="2"/>
      <c r="R333" s="2"/>
      <c r="S333" s="2"/>
    </row>
    <row r="334">
      <c r="A334" s="2"/>
      <c r="B334" s="2"/>
      <c r="C334" s="2"/>
      <c r="D334" s="2"/>
      <c r="E334" s="2"/>
      <c r="F334" s="2"/>
      <c r="G334" s="2"/>
      <c r="H334" s="2"/>
      <c r="I334" s="2"/>
      <c r="J334" s="2"/>
      <c r="K334" s="2"/>
      <c r="L334" s="2"/>
      <c r="M334" s="2"/>
      <c r="N334" s="2"/>
      <c r="O334" s="2"/>
      <c r="P334" s="2"/>
      <c r="Q334" s="2"/>
      <c r="R334" s="2"/>
      <c r="S334" s="2"/>
    </row>
    <row r="335">
      <c r="A335" s="2"/>
      <c r="B335" s="2"/>
      <c r="C335" s="2"/>
      <c r="D335" s="2"/>
      <c r="E335" s="2"/>
      <c r="F335" s="2"/>
      <c r="G335" s="2"/>
      <c r="H335" s="2"/>
      <c r="I335" s="2"/>
      <c r="J335" s="2"/>
      <c r="K335" s="2"/>
      <c r="L335" s="2"/>
      <c r="M335" s="2"/>
      <c r="N335" s="2"/>
      <c r="O335" s="2"/>
      <c r="P335" s="2"/>
      <c r="Q335" s="2"/>
      <c r="R335" s="2"/>
      <c r="S335" s="2"/>
    </row>
    <row r="336">
      <c r="A336" s="2"/>
      <c r="B336" s="2"/>
      <c r="C336" s="2"/>
      <c r="D336" s="2"/>
      <c r="E336" s="2"/>
      <c r="F336" s="2"/>
      <c r="G336" s="2"/>
      <c r="H336" s="2"/>
      <c r="I336" s="2"/>
      <c r="J336" s="2"/>
      <c r="K336" s="2"/>
      <c r="L336" s="2"/>
      <c r="M336" s="2"/>
      <c r="N336" s="2"/>
      <c r="O336" s="2"/>
      <c r="P336" s="2"/>
      <c r="Q336" s="2"/>
      <c r="R336" s="2"/>
      <c r="S336" s="2"/>
    </row>
    <row r="337">
      <c r="A337" s="2"/>
      <c r="B337" s="2"/>
      <c r="C337" s="2"/>
      <c r="D337" s="2"/>
      <c r="E337" s="2"/>
      <c r="F337" s="2"/>
      <c r="G337" s="2"/>
      <c r="H337" s="2"/>
      <c r="I337" s="2"/>
      <c r="J337" s="2"/>
      <c r="K337" s="2"/>
      <c r="L337" s="2"/>
      <c r="M337" s="2"/>
      <c r="N337" s="2"/>
      <c r="O337" s="2"/>
      <c r="P337" s="2"/>
      <c r="Q337" s="2"/>
      <c r="R337" s="2"/>
      <c r="S337" s="2"/>
    </row>
    <row r="338">
      <c r="A338" s="2"/>
      <c r="B338" s="2"/>
      <c r="C338" s="2"/>
      <c r="D338" s="2"/>
      <c r="E338" s="2"/>
      <c r="F338" s="2"/>
      <c r="G338" s="2"/>
      <c r="H338" s="2"/>
      <c r="I338" s="2"/>
      <c r="J338" s="2"/>
      <c r="K338" s="2"/>
      <c r="L338" s="2"/>
      <c r="M338" s="2"/>
      <c r="N338" s="2"/>
      <c r="O338" s="2"/>
      <c r="P338" s="2"/>
      <c r="Q338" s="2"/>
      <c r="R338" s="2"/>
      <c r="S338" s="2"/>
    </row>
    <row r="339">
      <c r="A339" s="2"/>
      <c r="B339" s="2"/>
      <c r="C339" s="2"/>
      <c r="D339" s="2"/>
      <c r="E339" s="2"/>
      <c r="F339" s="2"/>
      <c r="G339" s="2"/>
      <c r="H339" s="2"/>
      <c r="I339" s="2"/>
      <c r="J339" s="2"/>
      <c r="K339" s="2"/>
      <c r="L339" s="2"/>
      <c r="M339" s="2"/>
      <c r="N339" s="2"/>
      <c r="O339" s="2"/>
      <c r="P339" s="2"/>
      <c r="Q339" s="2"/>
      <c r="R339" s="2"/>
      <c r="S339" s="2"/>
    </row>
    <row r="340">
      <c r="A340" s="2"/>
      <c r="B340" s="2"/>
      <c r="C340" s="2"/>
      <c r="D340" s="2"/>
      <c r="E340" s="2"/>
      <c r="F340" s="2"/>
      <c r="G340" s="2"/>
      <c r="H340" s="2"/>
      <c r="I340" s="2"/>
      <c r="J340" s="2"/>
      <c r="K340" s="2"/>
      <c r="L340" s="2"/>
      <c r="M340" s="2"/>
      <c r="N340" s="2"/>
      <c r="O340" s="2"/>
      <c r="P340" s="2"/>
      <c r="Q340" s="2"/>
      <c r="R340" s="2"/>
      <c r="S340" s="2"/>
    </row>
    <row r="341">
      <c r="A341" s="2"/>
      <c r="B341" s="2"/>
      <c r="C341" s="2"/>
      <c r="D341" s="2"/>
      <c r="E341" s="2"/>
      <c r="F341" s="2"/>
      <c r="G341" s="2"/>
      <c r="H341" s="2"/>
      <c r="I341" s="2"/>
      <c r="J341" s="2"/>
      <c r="K341" s="2"/>
      <c r="L341" s="2"/>
      <c r="M341" s="2"/>
      <c r="N341" s="2"/>
      <c r="O341" s="2"/>
      <c r="P341" s="2"/>
      <c r="Q341" s="2"/>
      <c r="R341" s="2"/>
      <c r="S341" s="2"/>
    </row>
    <row r="342">
      <c r="A342" s="2"/>
      <c r="B342" s="2"/>
      <c r="C342" s="2"/>
      <c r="D342" s="2"/>
      <c r="E342" s="2"/>
      <c r="F342" s="2"/>
      <c r="G342" s="2"/>
      <c r="H342" s="2"/>
      <c r="I342" s="2"/>
      <c r="J342" s="2"/>
      <c r="K342" s="2"/>
      <c r="L342" s="2"/>
      <c r="M342" s="2"/>
      <c r="N342" s="2"/>
      <c r="O342" s="2"/>
      <c r="P342" s="2"/>
      <c r="Q342" s="2"/>
      <c r="R342" s="2"/>
      <c r="S342" s="2"/>
    </row>
    <row r="343">
      <c r="A343" s="2"/>
      <c r="B343" s="2"/>
      <c r="C343" s="2"/>
      <c r="D343" s="2"/>
      <c r="E343" s="2"/>
      <c r="F343" s="2"/>
      <c r="G343" s="2"/>
      <c r="H343" s="2"/>
      <c r="I343" s="2"/>
      <c r="J343" s="2"/>
      <c r="K343" s="2"/>
      <c r="L343" s="2"/>
      <c r="M343" s="2"/>
      <c r="N343" s="2"/>
      <c r="O343" s="2"/>
      <c r="P343" s="2"/>
      <c r="Q343" s="2"/>
      <c r="R343" s="2"/>
      <c r="S343" s="2"/>
    </row>
    <row r="344">
      <c r="A344" s="2"/>
      <c r="B344" s="2"/>
      <c r="C344" s="2"/>
      <c r="D344" s="2"/>
      <c r="E344" s="2"/>
      <c r="F344" s="2"/>
      <c r="G344" s="2"/>
      <c r="H344" s="2"/>
      <c r="I344" s="2"/>
      <c r="J344" s="2"/>
      <c r="K344" s="2"/>
      <c r="L344" s="2"/>
      <c r="M344" s="2"/>
      <c r="N344" s="2"/>
      <c r="O344" s="2"/>
      <c r="P344" s="2"/>
      <c r="Q344" s="2"/>
      <c r="R344" s="2"/>
      <c r="S344" s="2"/>
    </row>
    <row r="345">
      <c r="A345" s="2"/>
      <c r="B345" s="2"/>
      <c r="C345" s="2"/>
      <c r="D345" s="2"/>
      <c r="E345" s="2"/>
      <c r="F345" s="2"/>
      <c r="G345" s="2"/>
      <c r="H345" s="2"/>
      <c r="I345" s="2"/>
      <c r="J345" s="2"/>
      <c r="K345" s="2"/>
      <c r="L345" s="2"/>
      <c r="M345" s="2"/>
      <c r="N345" s="2"/>
      <c r="O345" s="2"/>
      <c r="P345" s="2"/>
      <c r="Q345" s="2"/>
      <c r="R345" s="2"/>
      <c r="S345" s="2"/>
    </row>
    <row r="346">
      <c r="A346" s="2"/>
      <c r="B346" s="2"/>
      <c r="C346" s="2"/>
      <c r="D346" s="2"/>
      <c r="E346" s="2"/>
      <c r="F346" s="2"/>
      <c r="G346" s="2"/>
      <c r="H346" s="2"/>
      <c r="I346" s="2"/>
      <c r="J346" s="2"/>
      <c r="K346" s="2"/>
      <c r="L346" s="2"/>
      <c r="M346" s="2"/>
      <c r="N346" s="2"/>
      <c r="O346" s="2"/>
      <c r="P346" s="2"/>
      <c r="Q346" s="2"/>
      <c r="R346" s="2"/>
      <c r="S346" s="2"/>
    </row>
    <row r="347">
      <c r="A347" s="2"/>
      <c r="B347" s="2"/>
      <c r="C347" s="2"/>
      <c r="D347" s="2"/>
      <c r="E347" s="2"/>
      <c r="F347" s="2"/>
      <c r="G347" s="2"/>
      <c r="H347" s="2"/>
      <c r="I347" s="2"/>
      <c r="J347" s="2"/>
      <c r="K347" s="2"/>
      <c r="L347" s="2"/>
      <c r="M347" s="2"/>
      <c r="N347" s="2"/>
      <c r="O347" s="2"/>
      <c r="P347" s="2"/>
      <c r="Q347" s="2"/>
      <c r="R347" s="2"/>
      <c r="S347" s="2"/>
    </row>
    <row r="348">
      <c r="A348" s="2"/>
      <c r="B348" s="2"/>
      <c r="C348" s="2"/>
      <c r="D348" s="2"/>
      <c r="E348" s="2"/>
      <c r="F348" s="2"/>
      <c r="G348" s="2"/>
      <c r="H348" s="2"/>
      <c r="I348" s="2"/>
      <c r="J348" s="2"/>
      <c r="K348" s="2"/>
      <c r="L348" s="2"/>
      <c r="M348" s="2"/>
      <c r="N348" s="2"/>
      <c r="O348" s="2"/>
      <c r="P348" s="2"/>
      <c r="Q348" s="2"/>
      <c r="R348" s="2"/>
      <c r="S348" s="2"/>
    </row>
    <row r="349">
      <c r="A349" s="2"/>
      <c r="B349" s="2"/>
      <c r="C349" s="2"/>
      <c r="D349" s="2"/>
      <c r="E349" s="2"/>
      <c r="F349" s="2"/>
      <c r="G349" s="2"/>
      <c r="H349" s="2"/>
      <c r="I349" s="2"/>
      <c r="J349" s="2"/>
      <c r="K349" s="2"/>
      <c r="L349" s="2"/>
      <c r="M349" s="2"/>
      <c r="N349" s="2"/>
      <c r="O349" s="2"/>
      <c r="P349" s="2"/>
      <c r="Q349" s="2"/>
      <c r="R349" s="2"/>
      <c r="S349" s="2"/>
    </row>
    <row r="350">
      <c r="A350" s="2"/>
      <c r="B350" s="2"/>
      <c r="C350" s="2"/>
      <c r="D350" s="2"/>
      <c r="E350" s="2"/>
      <c r="F350" s="2"/>
      <c r="G350" s="2"/>
      <c r="H350" s="2"/>
      <c r="I350" s="2"/>
      <c r="J350" s="2"/>
      <c r="K350" s="2"/>
      <c r="L350" s="2"/>
      <c r="M350" s="2"/>
      <c r="N350" s="2"/>
      <c r="O350" s="2"/>
      <c r="P350" s="2"/>
      <c r="Q350" s="2"/>
      <c r="R350" s="2"/>
      <c r="S350" s="2"/>
    </row>
    <row r="351">
      <c r="A351" s="2"/>
      <c r="B351" s="2"/>
      <c r="C351" s="2"/>
      <c r="D351" s="2"/>
      <c r="E351" s="2"/>
      <c r="F351" s="2"/>
      <c r="G351" s="2"/>
      <c r="H351" s="2"/>
      <c r="I351" s="2"/>
      <c r="J351" s="2"/>
      <c r="K351" s="2"/>
      <c r="L351" s="2"/>
      <c r="M351" s="2"/>
      <c r="N351" s="2"/>
      <c r="O351" s="2"/>
      <c r="P351" s="2"/>
      <c r="Q351" s="2"/>
      <c r="R351" s="2"/>
      <c r="S351" s="2"/>
    </row>
    <row r="352">
      <c r="A352" s="2"/>
      <c r="B352" s="2"/>
      <c r="C352" s="2"/>
      <c r="D352" s="2"/>
      <c r="E352" s="2"/>
      <c r="F352" s="2"/>
      <c r="G352" s="2"/>
      <c r="H352" s="2"/>
      <c r="I352" s="2"/>
      <c r="J352" s="2"/>
      <c r="K352" s="2"/>
      <c r="L352" s="2"/>
      <c r="M352" s="2"/>
      <c r="N352" s="2"/>
      <c r="O352" s="2"/>
      <c r="P352" s="2"/>
      <c r="Q352" s="2"/>
      <c r="R352" s="2"/>
      <c r="S352" s="2"/>
    </row>
    <row r="353">
      <c r="A353" s="2"/>
      <c r="B353" s="2"/>
      <c r="C353" s="2"/>
      <c r="D353" s="2"/>
      <c r="E353" s="2"/>
      <c r="F353" s="2"/>
      <c r="G353" s="2"/>
      <c r="H353" s="2"/>
      <c r="I353" s="2"/>
      <c r="J353" s="2"/>
      <c r="K353" s="2"/>
      <c r="L353" s="2"/>
      <c r="M353" s="2"/>
      <c r="N353" s="2"/>
      <c r="O353" s="2"/>
      <c r="P353" s="2"/>
      <c r="Q353" s="2"/>
      <c r="R353" s="2"/>
      <c r="S353" s="2"/>
    </row>
    <row r="354">
      <c r="A354" s="2"/>
      <c r="B354" s="2"/>
      <c r="C354" s="2"/>
      <c r="D354" s="2"/>
      <c r="E354" s="2"/>
      <c r="F354" s="2"/>
      <c r="G354" s="2"/>
      <c r="H354" s="2"/>
      <c r="I354" s="2"/>
      <c r="J354" s="2"/>
      <c r="K354" s="2"/>
      <c r="L354" s="2"/>
      <c r="M354" s="2"/>
      <c r="N354" s="2"/>
      <c r="O354" s="2"/>
      <c r="P354" s="2"/>
      <c r="Q354" s="2"/>
      <c r="R354" s="2"/>
      <c r="S354" s="2"/>
    </row>
    <row r="355">
      <c r="A355" s="2"/>
      <c r="B355" s="2"/>
      <c r="C355" s="2"/>
      <c r="D355" s="2"/>
      <c r="E355" s="2"/>
      <c r="F355" s="2"/>
      <c r="G355" s="2"/>
      <c r="H355" s="2"/>
      <c r="I355" s="2"/>
      <c r="J355" s="2"/>
      <c r="K355" s="2"/>
      <c r="L355" s="2"/>
      <c r="M355" s="2"/>
      <c r="N355" s="2"/>
      <c r="O355" s="2"/>
      <c r="P355" s="2"/>
      <c r="Q355" s="2"/>
      <c r="R355" s="2"/>
      <c r="S355" s="2"/>
    </row>
    <row r="356">
      <c r="A356" s="2"/>
      <c r="B356" s="2"/>
      <c r="C356" s="2"/>
      <c r="D356" s="2"/>
      <c r="E356" s="2"/>
      <c r="F356" s="2"/>
      <c r="G356" s="2"/>
      <c r="H356" s="2"/>
      <c r="I356" s="2"/>
      <c r="J356" s="2"/>
      <c r="K356" s="2"/>
      <c r="L356" s="2"/>
      <c r="M356" s="2"/>
      <c r="N356" s="2"/>
      <c r="O356" s="2"/>
      <c r="P356" s="2"/>
      <c r="Q356" s="2"/>
      <c r="R356" s="2"/>
      <c r="S356" s="2"/>
    </row>
    <row r="357">
      <c r="A357" s="2"/>
      <c r="B357" s="2"/>
      <c r="C357" s="2"/>
      <c r="D357" s="2"/>
      <c r="E357" s="2"/>
      <c r="F357" s="2"/>
      <c r="G357" s="2"/>
      <c r="H357" s="2"/>
      <c r="I357" s="2"/>
      <c r="J357" s="2"/>
      <c r="K357" s="2"/>
      <c r="L357" s="2"/>
      <c r="M357" s="2"/>
      <c r="N357" s="2"/>
      <c r="O357" s="2"/>
      <c r="P357" s="2"/>
      <c r="Q357" s="2"/>
      <c r="R357" s="2"/>
      <c r="S357" s="2"/>
    </row>
    <row r="358">
      <c r="A358" s="2"/>
      <c r="B358" s="2"/>
      <c r="C358" s="2"/>
      <c r="D358" s="2"/>
      <c r="E358" s="2"/>
      <c r="F358" s="2"/>
      <c r="G358" s="2"/>
      <c r="H358" s="2"/>
      <c r="I358" s="2"/>
      <c r="J358" s="2"/>
      <c r="K358" s="2"/>
      <c r="L358" s="2"/>
      <c r="M358" s="2"/>
      <c r="N358" s="2"/>
      <c r="O358" s="2"/>
      <c r="P358" s="2"/>
      <c r="Q358" s="2"/>
      <c r="R358" s="2"/>
      <c r="S358" s="2"/>
    </row>
    <row r="359">
      <c r="A359" s="2"/>
      <c r="B359" s="2"/>
      <c r="C359" s="2"/>
      <c r="D359" s="2"/>
      <c r="E359" s="2"/>
      <c r="F359" s="2"/>
      <c r="G359" s="2"/>
      <c r="H359" s="2"/>
      <c r="I359" s="2"/>
      <c r="J359" s="2"/>
      <c r="K359" s="2"/>
      <c r="L359" s="2"/>
      <c r="M359" s="2"/>
      <c r="N359" s="2"/>
      <c r="O359" s="2"/>
      <c r="P359" s="2"/>
      <c r="Q359" s="2"/>
      <c r="R359" s="2"/>
      <c r="S359" s="2"/>
    </row>
    <row r="360">
      <c r="A360" s="2"/>
      <c r="B360" s="2"/>
      <c r="C360" s="2"/>
      <c r="D360" s="2"/>
      <c r="E360" s="2"/>
      <c r="F360" s="2"/>
      <c r="G360" s="2"/>
      <c r="H360" s="2"/>
      <c r="I360" s="2"/>
      <c r="J360" s="2"/>
      <c r="K360" s="2"/>
      <c r="L360" s="2"/>
      <c r="M360" s="2"/>
      <c r="N360" s="2"/>
      <c r="O360" s="2"/>
      <c r="P360" s="2"/>
      <c r="Q360" s="2"/>
      <c r="R360" s="2"/>
      <c r="S360" s="2"/>
    </row>
    <row r="361">
      <c r="A361" s="2"/>
      <c r="B361" s="2"/>
      <c r="C361" s="2"/>
      <c r="D361" s="2"/>
      <c r="E361" s="2"/>
      <c r="F361" s="2"/>
      <c r="G361" s="2"/>
      <c r="H361" s="2"/>
      <c r="I361" s="2"/>
      <c r="J361" s="2"/>
      <c r="K361" s="2"/>
      <c r="L361" s="2"/>
      <c r="M361" s="2"/>
      <c r="N361" s="2"/>
      <c r="O361" s="2"/>
      <c r="P361" s="2"/>
      <c r="Q361" s="2"/>
      <c r="R361" s="2"/>
      <c r="S361" s="2"/>
    </row>
    <row r="362">
      <c r="A362" s="2"/>
      <c r="B362" s="2"/>
      <c r="C362" s="2"/>
      <c r="D362" s="2"/>
      <c r="E362" s="2"/>
      <c r="F362" s="2"/>
      <c r="G362" s="2"/>
      <c r="H362" s="2"/>
      <c r="I362" s="2"/>
      <c r="J362" s="2"/>
      <c r="K362" s="2"/>
      <c r="L362" s="2"/>
      <c r="M362" s="2"/>
      <c r="N362" s="2"/>
      <c r="O362" s="2"/>
      <c r="P362" s="2"/>
      <c r="Q362" s="2"/>
      <c r="R362" s="2"/>
      <c r="S362" s="2"/>
    </row>
    <row r="363">
      <c r="A363" s="2"/>
      <c r="B363" s="2"/>
      <c r="C363" s="2"/>
      <c r="D363" s="2"/>
      <c r="E363" s="2"/>
      <c r="F363" s="2"/>
      <c r="G363" s="2"/>
      <c r="H363" s="2"/>
      <c r="I363" s="2"/>
      <c r="J363" s="2"/>
      <c r="K363" s="2"/>
      <c r="L363" s="2"/>
      <c r="M363" s="2"/>
      <c r="N363" s="2"/>
      <c r="O363" s="2"/>
      <c r="P363" s="2"/>
      <c r="Q363" s="2"/>
      <c r="R363" s="2"/>
      <c r="S363" s="2"/>
    </row>
    <row r="364">
      <c r="A364" s="2"/>
      <c r="B364" s="2"/>
      <c r="C364" s="2"/>
      <c r="D364" s="2"/>
      <c r="E364" s="2"/>
      <c r="F364" s="2"/>
      <c r="G364" s="2"/>
      <c r="H364" s="2"/>
      <c r="I364" s="2"/>
      <c r="J364" s="2"/>
      <c r="K364" s="2"/>
      <c r="L364" s="2"/>
      <c r="M364" s="2"/>
      <c r="N364" s="2"/>
      <c r="O364" s="2"/>
      <c r="P364" s="2"/>
      <c r="Q364" s="2"/>
      <c r="R364" s="2"/>
      <c r="S364" s="2"/>
    </row>
    <row r="365">
      <c r="A365" s="2"/>
      <c r="B365" s="2"/>
      <c r="C365" s="2"/>
      <c r="D365" s="2"/>
      <c r="E365" s="2"/>
      <c r="F365" s="2"/>
      <c r="G365" s="2"/>
      <c r="H365" s="2"/>
      <c r="I365" s="2"/>
      <c r="J365" s="2"/>
      <c r="K365" s="2"/>
      <c r="L365" s="2"/>
      <c r="M365" s="2"/>
      <c r="N365" s="2"/>
      <c r="O365" s="2"/>
      <c r="P365" s="2"/>
      <c r="Q365" s="2"/>
      <c r="R365" s="2"/>
      <c r="S365" s="2"/>
    </row>
    <row r="366">
      <c r="A366" s="2"/>
      <c r="B366" s="2"/>
      <c r="C366" s="2"/>
      <c r="D366" s="2"/>
      <c r="E366" s="2"/>
      <c r="F366" s="2"/>
      <c r="G366" s="2"/>
      <c r="H366" s="2"/>
      <c r="I366" s="2"/>
      <c r="J366" s="2"/>
      <c r="K366" s="2"/>
      <c r="L366" s="2"/>
      <c r="M366" s="2"/>
      <c r="N366" s="2"/>
      <c r="O366" s="2"/>
      <c r="P366" s="2"/>
      <c r="Q366" s="2"/>
      <c r="R366" s="2"/>
      <c r="S366" s="2"/>
    </row>
    <row r="367">
      <c r="A367" s="2"/>
      <c r="B367" s="2"/>
      <c r="C367" s="2"/>
      <c r="D367" s="2"/>
      <c r="E367" s="2"/>
      <c r="F367" s="2"/>
      <c r="G367" s="2"/>
      <c r="H367" s="2"/>
      <c r="I367" s="2"/>
      <c r="J367" s="2"/>
      <c r="K367" s="2"/>
      <c r="L367" s="2"/>
      <c r="M367" s="2"/>
      <c r="N367" s="2"/>
      <c r="O367" s="2"/>
      <c r="P367" s="2"/>
      <c r="Q367" s="2"/>
      <c r="R367" s="2"/>
      <c r="S367" s="2"/>
    </row>
    <row r="368">
      <c r="A368" s="2"/>
      <c r="B368" s="2"/>
      <c r="C368" s="2"/>
      <c r="D368" s="2"/>
      <c r="E368" s="2"/>
      <c r="F368" s="2"/>
      <c r="G368" s="2"/>
      <c r="H368" s="2"/>
      <c r="I368" s="2"/>
      <c r="J368" s="2"/>
      <c r="K368" s="2"/>
      <c r="L368" s="2"/>
      <c r="M368" s="2"/>
      <c r="N368" s="2"/>
      <c r="O368" s="2"/>
      <c r="P368" s="2"/>
      <c r="Q368" s="2"/>
      <c r="R368" s="2"/>
      <c r="S368" s="2"/>
    </row>
    <row r="369">
      <c r="A369" s="2"/>
      <c r="B369" s="2"/>
      <c r="C369" s="2"/>
      <c r="D369" s="2"/>
      <c r="E369" s="2"/>
      <c r="F369" s="2"/>
      <c r="G369" s="2"/>
      <c r="H369" s="2"/>
      <c r="I369" s="2"/>
      <c r="J369" s="2"/>
      <c r="K369" s="2"/>
      <c r="L369" s="2"/>
      <c r="M369" s="2"/>
      <c r="N369" s="2"/>
      <c r="O369" s="2"/>
      <c r="P369" s="2"/>
      <c r="Q369" s="2"/>
      <c r="R369" s="2"/>
      <c r="S369" s="2"/>
    </row>
    <row r="370">
      <c r="A370" s="2"/>
      <c r="B370" s="2"/>
      <c r="C370" s="2"/>
      <c r="D370" s="2"/>
      <c r="E370" s="2"/>
      <c r="F370" s="2"/>
      <c r="G370" s="2"/>
      <c r="H370" s="2"/>
      <c r="I370" s="2"/>
      <c r="J370" s="2"/>
      <c r="K370" s="2"/>
      <c r="L370" s="2"/>
      <c r="M370" s="2"/>
      <c r="N370" s="2"/>
      <c r="O370" s="2"/>
      <c r="P370" s="2"/>
      <c r="Q370" s="2"/>
      <c r="R370" s="2"/>
      <c r="S370" s="2"/>
    </row>
    <row r="371">
      <c r="A371" s="2"/>
      <c r="B371" s="2"/>
      <c r="C371" s="2"/>
      <c r="D371" s="2"/>
      <c r="E371" s="2"/>
      <c r="F371" s="2"/>
      <c r="G371" s="2"/>
      <c r="H371" s="2"/>
      <c r="I371" s="2"/>
      <c r="J371" s="2"/>
      <c r="K371" s="2"/>
      <c r="L371" s="2"/>
      <c r="M371" s="2"/>
      <c r="N371" s="2"/>
      <c r="O371" s="2"/>
      <c r="P371" s="2"/>
      <c r="Q371" s="2"/>
      <c r="R371" s="2"/>
      <c r="S371" s="2"/>
    </row>
    <row r="372">
      <c r="A372" s="2"/>
      <c r="B372" s="2"/>
      <c r="C372" s="2"/>
      <c r="D372" s="2"/>
      <c r="E372" s="2"/>
      <c r="F372" s="2"/>
      <c r="G372" s="2"/>
      <c r="H372" s="2"/>
      <c r="I372" s="2"/>
      <c r="J372" s="2"/>
      <c r="K372" s="2"/>
      <c r="L372" s="2"/>
      <c r="M372" s="2"/>
      <c r="N372" s="2"/>
      <c r="O372" s="2"/>
      <c r="P372" s="2"/>
      <c r="Q372" s="2"/>
      <c r="R372" s="2"/>
      <c r="S372" s="2"/>
    </row>
    <row r="373">
      <c r="A373" s="2"/>
      <c r="B373" s="2"/>
      <c r="C373" s="2"/>
      <c r="D373" s="2"/>
      <c r="E373" s="2"/>
      <c r="F373" s="2"/>
      <c r="G373" s="2"/>
      <c r="H373" s="2"/>
      <c r="I373" s="2"/>
      <c r="J373" s="2"/>
      <c r="K373" s="2"/>
      <c r="L373" s="2"/>
      <c r="M373" s="2"/>
      <c r="N373" s="2"/>
      <c r="O373" s="2"/>
      <c r="P373" s="2"/>
      <c r="Q373" s="2"/>
      <c r="R373" s="2"/>
      <c r="S373" s="2"/>
    </row>
    <row r="374">
      <c r="A374" s="2"/>
      <c r="B374" s="2"/>
      <c r="C374" s="2"/>
      <c r="D374" s="2"/>
      <c r="E374" s="2"/>
      <c r="F374" s="2"/>
      <c r="G374" s="2"/>
      <c r="H374" s="2"/>
      <c r="I374" s="2"/>
      <c r="J374" s="2"/>
      <c r="K374" s="2"/>
      <c r="L374" s="2"/>
      <c r="M374" s="2"/>
      <c r="N374" s="2"/>
      <c r="O374" s="2"/>
      <c r="P374" s="2"/>
      <c r="Q374" s="2"/>
      <c r="R374" s="2"/>
      <c r="S374" s="2"/>
    </row>
    <row r="375">
      <c r="A375" s="2"/>
      <c r="B375" s="2"/>
      <c r="C375" s="2"/>
      <c r="D375" s="2"/>
      <c r="E375" s="2"/>
      <c r="F375" s="2"/>
      <c r="G375" s="2"/>
      <c r="H375" s="2"/>
      <c r="I375" s="2"/>
      <c r="J375" s="2"/>
      <c r="K375" s="2"/>
      <c r="L375" s="2"/>
      <c r="M375" s="2"/>
      <c r="N375" s="2"/>
      <c r="O375" s="2"/>
      <c r="P375" s="2"/>
      <c r="Q375" s="2"/>
      <c r="R375" s="2"/>
      <c r="S375" s="2"/>
    </row>
    <row r="376">
      <c r="A376" s="2"/>
      <c r="B376" s="2"/>
      <c r="C376" s="2"/>
      <c r="D376" s="2"/>
      <c r="E376" s="2"/>
      <c r="F376" s="2"/>
      <c r="G376" s="2"/>
      <c r="H376" s="2"/>
      <c r="I376" s="2"/>
      <c r="J376" s="2"/>
      <c r="K376" s="2"/>
      <c r="L376" s="2"/>
      <c r="M376" s="2"/>
      <c r="N376" s="2"/>
      <c r="O376" s="2"/>
      <c r="P376" s="2"/>
      <c r="Q376" s="2"/>
      <c r="R376" s="2"/>
      <c r="S376" s="2"/>
    </row>
    <row r="377">
      <c r="A377" s="2"/>
      <c r="B377" s="2"/>
      <c r="C377" s="2"/>
      <c r="D377" s="2"/>
      <c r="E377" s="2"/>
      <c r="F377" s="2"/>
      <c r="G377" s="2"/>
      <c r="H377" s="2"/>
      <c r="I377" s="2"/>
      <c r="J377" s="2"/>
      <c r="K377" s="2"/>
      <c r="L377" s="2"/>
      <c r="M377" s="2"/>
      <c r="N377" s="2"/>
      <c r="O377" s="2"/>
      <c r="P377" s="2"/>
      <c r="Q377" s="2"/>
      <c r="R377" s="2"/>
      <c r="S377" s="2"/>
    </row>
    <row r="378">
      <c r="A378" s="2"/>
      <c r="B378" s="2"/>
      <c r="C378" s="2"/>
      <c r="D378" s="2"/>
      <c r="E378" s="2"/>
      <c r="F378" s="2"/>
      <c r="G378" s="2"/>
      <c r="H378" s="2"/>
      <c r="I378" s="2"/>
      <c r="J378" s="2"/>
      <c r="K378" s="2"/>
      <c r="L378" s="2"/>
      <c r="M378" s="2"/>
      <c r="N378" s="2"/>
      <c r="O378" s="2"/>
      <c r="P378" s="2"/>
      <c r="Q378" s="2"/>
      <c r="R378" s="2"/>
      <c r="S378" s="2"/>
    </row>
    <row r="379">
      <c r="A379" s="2"/>
      <c r="B379" s="2"/>
      <c r="C379" s="2"/>
      <c r="D379" s="2"/>
      <c r="E379" s="2"/>
      <c r="F379" s="2"/>
      <c r="G379" s="2"/>
      <c r="H379" s="2"/>
      <c r="I379" s="2"/>
      <c r="J379" s="2"/>
      <c r="K379" s="2"/>
      <c r="L379" s="2"/>
      <c r="M379" s="2"/>
      <c r="N379" s="2"/>
      <c r="O379" s="2"/>
      <c r="P379" s="2"/>
      <c r="Q379" s="2"/>
      <c r="R379" s="2"/>
      <c r="S379" s="2"/>
    </row>
    <row r="380">
      <c r="A380" s="2"/>
      <c r="B380" s="2"/>
      <c r="C380" s="2"/>
      <c r="D380" s="2"/>
      <c r="E380" s="2"/>
      <c r="F380" s="2"/>
      <c r="G380" s="2"/>
      <c r="H380" s="2"/>
      <c r="I380" s="2"/>
      <c r="J380" s="2"/>
      <c r="K380" s="2"/>
      <c r="L380" s="2"/>
      <c r="M380" s="2"/>
      <c r="N380" s="2"/>
      <c r="O380" s="2"/>
      <c r="P380" s="2"/>
      <c r="Q380" s="2"/>
      <c r="R380" s="2"/>
      <c r="S380" s="2"/>
    </row>
    <row r="381">
      <c r="A381" s="2"/>
      <c r="B381" s="2"/>
      <c r="C381" s="2"/>
      <c r="D381" s="2"/>
      <c r="E381" s="2"/>
      <c r="F381" s="2"/>
      <c r="G381" s="2"/>
      <c r="H381" s="2"/>
      <c r="I381" s="2"/>
      <c r="J381" s="2"/>
      <c r="K381" s="2"/>
      <c r="L381" s="2"/>
      <c r="M381" s="2"/>
      <c r="N381" s="2"/>
      <c r="O381" s="2"/>
      <c r="P381" s="2"/>
      <c r="Q381" s="2"/>
      <c r="R381" s="2"/>
      <c r="S381" s="2"/>
    </row>
    <row r="382">
      <c r="A382" s="2"/>
      <c r="B382" s="2"/>
      <c r="C382" s="2"/>
      <c r="D382" s="2"/>
      <c r="E382" s="2"/>
      <c r="F382" s="2"/>
      <c r="G382" s="2"/>
      <c r="H382" s="2"/>
      <c r="I382" s="2"/>
      <c r="J382" s="2"/>
      <c r="K382" s="2"/>
      <c r="L382" s="2"/>
      <c r="M382" s="2"/>
      <c r="N382" s="2"/>
      <c r="O382" s="2"/>
      <c r="P382" s="2"/>
      <c r="Q382" s="2"/>
      <c r="R382" s="2"/>
      <c r="S382" s="2"/>
    </row>
    <row r="383">
      <c r="A383" s="2"/>
      <c r="B383" s="2"/>
      <c r="C383" s="2"/>
      <c r="D383" s="2"/>
      <c r="E383" s="2"/>
      <c r="F383" s="2"/>
      <c r="G383" s="2"/>
      <c r="H383" s="2"/>
      <c r="I383" s="2"/>
      <c r="J383" s="2"/>
      <c r="K383" s="2"/>
      <c r="L383" s="2"/>
      <c r="M383" s="2"/>
      <c r="N383" s="2"/>
      <c r="O383" s="2"/>
      <c r="P383" s="2"/>
      <c r="Q383" s="2"/>
      <c r="R383" s="2"/>
      <c r="S383" s="2"/>
    </row>
    <row r="384">
      <c r="A384" s="2"/>
      <c r="B384" s="2"/>
      <c r="C384" s="2"/>
      <c r="D384" s="2"/>
      <c r="E384" s="2"/>
      <c r="F384" s="2"/>
      <c r="G384" s="2"/>
      <c r="H384" s="2"/>
      <c r="I384" s="2"/>
      <c r="J384" s="2"/>
      <c r="K384" s="2"/>
      <c r="L384" s="2"/>
      <c r="M384" s="2"/>
      <c r="N384" s="2"/>
      <c r="O384" s="2"/>
      <c r="P384" s="2"/>
      <c r="Q384" s="2"/>
      <c r="R384" s="2"/>
      <c r="S384" s="2"/>
    </row>
    <row r="385">
      <c r="A385" s="2"/>
      <c r="B385" s="2"/>
      <c r="C385" s="2"/>
      <c r="D385" s="2"/>
      <c r="E385" s="2"/>
      <c r="F385" s="2"/>
      <c r="G385" s="2"/>
      <c r="H385" s="2"/>
      <c r="I385" s="2"/>
      <c r="J385" s="2"/>
      <c r="K385" s="2"/>
      <c r="L385" s="2"/>
      <c r="M385" s="2"/>
      <c r="N385" s="2"/>
      <c r="O385" s="2"/>
      <c r="P385" s="2"/>
      <c r="Q385" s="2"/>
      <c r="R385" s="2"/>
      <c r="S385" s="2"/>
    </row>
    <row r="386">
      <c r="A386" s="2"/>
      <c r="B386" s="2"/>
      <c r="C386" s="2"/>
      <c r="D386" s="2"/>
      <c r="E386" s="2"/>
      <c r="F386" s="2"/>
      <c r="G386" s="2"/>
      <c r="H386" s="2"/>
      <c r="I386" s="2"/>
      <c r="J386" s="2"/>
      <c r="K386" s="2"/>
      <c r="L386" s="2"/>
      <c r="M386" s="2"/>
      <c r="N386" s="2"/>
      <c r="O386" s="2"/>
      <c r="P386" s="2"/>
      <c r="Q386" s="2"/>
      <c r="R386" s="2"/>
      <c r="S386" s="2"/>
    </row>
    <row r="387">
      <c r="A387" s="2"/>
      <c r="B387" s="2"/>
      <c r="C387" s="2"/>
      <c r="D387" s="2"/>
      <c r="E387" s="2"/>
      <c r="F387" s="2"/>
      <c r="G387" s="2"/>
      <c r="H387" s="2"/>
      <c r="I387" s="2"/>
      <c r="J387" s="2"/>
      <c r="K387" s="2"/>
      <c r="L387" s="2"/>
      <c r="M387" s="2"/>
      <c r="N387" s="2"/>
      <c r="O387" s="2"/>
      <c r="P387" s="2"/>
      <c r="Q387" s="2"/>
      <c r="R387" s="2"/>
      <c r="S387" s="2"/>
    </row>
    <row r="388">
      <c r="A388" s="2"/>
      <c r="B388" s="2"/>
      <c r="C388" s="2"/>
      <c r="D388" s="2"/>
      <c r="E388" s="2"/>
      <c r="F388" s="2"/>
      <c r="G388" s="2"/>
      <c r="H388" s="2"/>
      <c r="I388" s="2"/>
      <c r="J388" s="2"/>
      <c r="K388" s="2"/>
      <c r="L388" s="2"/>
      <c r="M388" s="2"/>
      <c r="N388" s="2"/>
      <c r="O388" s="2"/>
      <c r="P388" s="2"/>
      <c r="Q388" s="2"/>
      <c r="R388" s="2"/>
      <c r="S388" s="2"/>
    </row>
    <row r="389">
      <c r="A389" s="2"/>
      <c r="B389" s="2"/>
      <c r="C389" s="2"/>
      <c r="D389" s="2"/>
      <c r="E389" s="2"/>
      <c r="F389" s="2"/>
      <c r="G389" s="2"/>
      <c r="H389" s="2"/>
      <c r="I389" s="2"/>
      <c r="J389" s="2"/>
      <c r="K389" s="2"/>
      <c r="L389" s="2"/>
      <c r="M389" s="2"/>
      <c r="N389" s="2"/>
      <c r="O389" s="2"/>
      <c r="P389" s="2"/>
      <c r="Q389" s="2"/>
      <c r="R389" s="2"/>
      <c r="S389" s="2"/>
    </row>
    <row r="390">
      <c r="A390" s="2"/>
      <c r="B390" s="2"/>
      <c r="C390" s="2"/>
      <c r="D390" s="2"/>
      <c r="E390" s="2"/>
      <c r="F390" s="2"/>
      <c r="G390" s="2"/>
      <c r="H390" s="2"/>
      <c r="I390" s="2"/>
      <c r="J390" s="2"/>
      <c r="K390" s="2"/>
      <c r="L390" s="2"/>
      <c r="M390" s="2"/>
      <c r="N390" s="2"/>
      <c r="O390" s="2"/>
      <c r="P390" s="2"/>
      <c r="Q390" s="2"/>
      <c r="R390" s="2"/>
      <c r="S390" s="2"/>
    </row>
    <row r="391">
      <c r="A391" s="2"/>
      <c r="B391" s="2"/>
      <c r="C391" s="2"/>
      <c r="D391" s="2"/>
      <c r="E391" s="2"/>
      <c r="F391" s="2"/>
      <c r="G391" s="2"/>
      <c r="H391" s="2"/>
      <c r="I391" s="2"/>
      <c r="J391" s="2"/>
      <c r="K391" s="2"/>
      <c r="L391" s="2"/>
      <c r="M391" s="2"/>
      <c r="N391" s="2"/>
      <c r="O391" s="2"/>
      <c r="P391" s="2"/>
      <c r="Q391" s="2"/>
      <c r="R391" s="2"/>
      <c r="S391" s="2"/>
    </row>
    <row r="392">
      <c r="A392" s="2"/>
      <c r="B392" s="2"/>
      <c r="C392" s="2"/>
      <c r="D392" s="2"/>
      <c r="E392" s="2"/>
      <c r="F392" s="2"/>
      <c r="G392" s="2"/>
      <c r="H392" s="2"/>
      <c r="I392" s="2"/>
      <c r="J392" s="2"/>
      <c r="K392" s="2"/>
      <c r="L392" s="2"/>
      <c r="M392" s="2"/>
      <c r="N392" s="2"/>
      <c r="O392" s="2"/>
      <c r="P392" s="2"/>
      <c r="Q392" s="2"/>
      <c r="R392" s="2"/>
      <c r="S392" s="2"/>
    </row>
    <row r="393">
      <c r="A393" s="2"/>
      <c r="B393" s="2"/>
      <c r="C393" s="2"/>
      <c r="D393" s="2"/>
      <c r="E393" s="2"/>
      <c r="F393" s="2"/>
      <c r="G393" s="2"/>
      <c r="H393" s="2"/>
      <c r="I393" s="2"/>
      <c r="J393" s="2"/>
      <c r="K393" s="2"/>
      <c r="L393" s="2"/>
      <c r="M393" s="2"/>
      <c r="N393" s="2"/>
      <c r="O393" s="2"/>
      <c r="P393" s="2"/>
      <c r="Q393" s="2"/>
      <c r="R393" s="2"/>
      <c r="S393" s="2"/>
    </row>
    <row r="394">
      <c r="A394" s="2"/>
      <c r="B394" s="2"/>
      <c r="C394" s="2"/>
      <c r="D394" s="2"/>
      <c r="E394" s="2"/>
      <c r="F394" s="2"/>
      <c r="G394" s="2"/>
      <c r="H394" s="2"/>
      <c r="I394" s="2"/>
      <c r="J394" s="2"/>
      <c r="K394" s="2"/>
      <c r="L394" s="2"/>
      <c r="M394" s="2"/>
      <c r="N394" s="2"/>
      <c r="O394" s="2"/>
      <c r="P394" s="2"/>
      <c r="Q394" s="2"/>
      <c r="R394" s="2"/>
      <c r="S394" s="2"/>
    </row>
    <row r="395">
      <c r="A395" s="2"/>
      <c r="B395" s="2"/>
      <c r="C395" s="2"/>
      <c r="D395" s="2"/>
      <c r="E395" s="2"/>
      <c r="F395" s="2"/>
      <c r="G395" s="2"/>
      <c r="H395" s="2"/>
      <c r="I395" s="2"/>
      <c r="J395" s="2"/>
      <c r="K395" s="2"/>
      <c r="L395" s="2"/>
      <c r="M395" s="2"/>
      <c r="N395" s="2"/>
      <c r="O395" s="2"/>
      <c r="P395" s="2"/>
      <c r="Q395" s="2"/>
      <c r="R395" s="2"/>
      <c r="S395" s="2"/>
    </row>
    <row r="396">
      <c r="A396" s="2"/>
      <c r="B396" s="2"/>
      <c r="C396" s="2"/>
      <c r="D396" s="2"/>
      <c r="E396" s="2"/>
      <c r="F396" s="2"/>
      <c r="G396" s="2"/>
      <c r="H396" s="2"/>
      <c r="I396" s="2"/>
      <c r="J396" s="2"/>
      <c r="K396" s="2"/>
      <c r="L396" s="2"/>
      <c r="M396" s="2"/>
      <c r="N396" s="2"/>
      <c r="O396" s="2"/>
      <c r="P396" s="2"/>
      <c r="Q396" s="2"/>
      <c r="R396" s="2"/>
      <c r="S396" s="2"/>
    </row>
    <row r="397">
      <c r="A397" s="2"/>
      <c r="B397" s="2"/>
      <c r="C397" s="2"/>
      <c r="D397" s="2"/>
      <c r="E397" s="2"/>
      <c r="F397" s="2"/>
      <c r="G397" s="2"/>
      <c r="H397" s="2"/>
      <c r="I397" s="2"/>
      <c r="J397" s="2"/>
      <c r="K397" s="2"/>
      <c r="L397" s="2"/>
      <c r="M397" s="2"/>
      <c r="N397" s="2"/>
      <c r="O397" s="2"/>
      <c r="P397" s="2"/>
      <c r="Q397" s="2"/>
      <c r="R397" s="2"/>
      <c r="S397" s="2"/>
    </row>
    <row r="398">
      <c r="A398" s="2"/>
      <c r="B398" s="2"/>
      <c r="C398" s="2"/>
      <c r="D398" s="2"/>
      <c r="E398" s="2"/>
      <c r="F398" s="2"/>
      <c r="G398" s="2"/>
      <c r="H398" s="2"/>
      <c r="I398" s="2"/>
      <c r="J398" s="2"/>
      <c r="K398" s="2"/>
      <c r="L398" s="2"/>
      <c r="M398" s="2"/>
      <c r="N398" s="2"/>
      <c r="O398" s="2"/>
      <c r="P398" s="2"/>
      <c r="Q398" s="2"/>
      <c r="R398" s="2"/>
      <c r="S398" s="2"/>
    </row>
    <row r="399">
      <c r="A399" s="2"/>
      <c r="B399" s="2"/>
      <c r="C399" s="2"/>
      <c r="D399" s="2"/>
      <c r="E399" s="2"/>
      <c r="F399" s="2"/>
      <c r="G399" s="2"/>
      <c r="H399" s="2"/>
      <c r="I399" s="2"/>
      <c r="J399" s="2"/>
      <c r="K399" s="2"/>
      <c r="L399" s="2"/>
      <c r="M399" s="2"/>
      <c r="N399" s="2"/>
      <c r="O399" s="2"/>
      <c r="P399" s="2"/>
      <c r="Q399" s="2"/>
      <c r="R399" s="2"/>
      <c r="S399" s="2"/>
    </row>
    <row r="400">
      <c r="A400" s="2"/>
      <c r="B400" s="2"/>
      <c r="C400" s="2"/>
      <c r="D400" s="2"/>
      <c r="E400" s="2"/>
      <c r="F400" s="2"/>
      <c r="G400" s="2"/>
      <c r="H400" s="2"/>
      <c r="I400" s="2"/>
      <c r="J400" s="2"/>
      <c r="K400" s="2"/>
      <c r="L400" s="2"/>
      <c r="M400" s="2"/>
      <c r="N400" s="2"/>
      <c r="O400" s="2"/>
      <c r="P400" s="2"/>
      <c r="Q400" s="2"/>
      <c r="R400" s="2"/>
      <c r="S400" s="2"/>
    </row>
    <row r="401">
      <c r="A401" s="2"/>
      <c r="B401" s="2"/>
      <c r="C401" s="2"/>
      <c r="D401" s="2"/>
      <c r="E401" s="2"/>
      <c r="F401" s="2"/>
      <c r="G401" s="2"/>
      <c r="H401" s="2"/>
      <c r="I401" s="2"/>
      <c r="J401" s="2"/>
      <c r="K401" s="2"/>
      <c r="L401" s="2"/>
      <c r="M401" s="2"/>
      <c r="N401" s="2"/>
      <c r="O401" s="2"/>
      <c r="P401" s="2"/>
      <c r="Q401" s="2"/>
      <c r="R401" s="2"/>
      <c r="S401" s="2"/>
    </row>
    <row r="402">
      <c r="A402" s="2"/>
      <c r="B402" s="2"/>
      <c r="C402" s="2"/>
      <c r="D402" s="2"/>
      <c r="E402" s="2"/>
      <c r="F402" s="2"/>
      <c r="G402" s="2"/>
      <c r="H402" s="2"/>
      <c r="I402" s="2"/>
      <c r="J402" s="2"/>
      <c r="K402" s="2"/>
      <c r="L402" s="2"/>
      <c r="M402" s="2"/>
      <c r="N402" s="2"/>
      <c r="O402" s="2"/>
      <c r="P402" s="2"/>
      <c r="Q402" s="2"/>
      <c r="R402" s="2"/>
      <c r="S402" s="2"/>
    </row>
    <row r="403">
      <c r="A403" s="2"/>
      <c r="B403" s="2"/>
      <c r="C403" s="2"/>
      <c r="D403" s="2"/>
      <c r="E403" s="2"/>
      <c r="F403" s="2"/>
      <c r="G403" s="2"/>
      <c r="H403" s="2"/>
      <c r="I403" s="2"/>
      <c r="J403" s="2"/>
      <c r="K403" s="2"/>
      <c r="L403" s="2"/>
      <c r="M403" s="2"/>
      <c r="N403" s="2"/>
      <c r="O403" s="2"/>
      <c r="P403" s="2"/>
      <c r="Q403" s="2"/>
      <c r="R403" s="2"/>
      <c r="S403" s="2"/>
    </row>
    <row r="404">
      <c r="A404" s="2"/>
      <c r="B404" s="2"/>
      <c r="C404" s="2"/>
      <c r="D404" s="2"/>
      <c r="E404" s="2"/>
      <c r="F404" s="2"/>
      <c r="G404" s="2"/>
      <c r="H404" s="2"/>
      <c r="I404" s="2"/>
      <c r="J404" s="2"/>
      <c r="K404" s="2"/>
      <c r="L404" s="2"/>
      <c r="M404" s="2"/>
      <c r="N404" s="2"/>
      <c r="O404" s="2"/>
      <c r="P404" s="2"/>
      <c r="Q404" s="2"/>
      <c r="R404" s="2"/>
      <c r="S404" s="2"/>
    </row>
    <row r="405">
      <c r="A405" s="2"/>
      <c r="B405" s="2"/>
      <c r="C405" s="2"/>
      <c r="D405" s="2"/>
      <c r="E405" s="2"/>
      <c r="F405" s="2"/>
      <c r="G405" s="2"/>
      <c r="H405" s="2"/>
      <c r="I405" s="2"/>
      <c r="J405" s="2"/>
      <c r="K405" s="2"/>
      <c r="L405" s="2"/>
      <c r="M405" s="2"/>
      <c r="N405" s="2"/>
      <c r="O405" s="2"/>
      <c r="P405" s="2"/>
      <c r="Q405" s="2"/>
      <c r="R405" s="2"/>
      <c r="S405" s="2"/>
    </row>
    <row r="406">
      <c r="A406" s="2"/>
      <c r="B406" s="2"/>
      <c r="C406" s="2"/>
      <c r="D406" s="2"/>
      <c r="E406" s="2"/>
      <c r="F406" s="2"/>
      <c r="G406" s="2"/>
      <c r="H406" s="2"/>
      <c r="I406" s="2"/>
      <c r="J406" s="2"/>
      <c r="K406" s="2"/>
      <c r="L406" s="2"/>
      <c r="M406" s="2"/>
      <c r="N406" s="2"/>
      <c r="O406" s="2"/>
      <c r="P406" s="2"/>
      <c r="Q406" s="2"/>
      <c r="R406" s="2"/>
      <c r="S406" s="2"/>
    </row>
    <row r="407">
      <c r="A407" s="2"/>
      <c r="B407" s="2"/>
      <c r="C407" s="2"/>
      <c r="D407" s="2"/>
      <c r="E407" s="2"/>
      <c r="F407" s="2"/>
      <c r="G407" s="2"/>
      <c r="H407" s="2"/>
      <c r="I407" s="2"/>
      <c r="J407" s="2"/>
      <c r="K407" s="2"/>
      <c r="L407" s="2"/>
      <c r="M407" s="2"/>
      <c r="N407" s="2"/>
      <c r="O407" s="2"/>
      <c r="P407" s="2"/>
      <c r="Q407" s="2"/>
      <c r="R407" s="2"/>
      <c r="S407" s="2"/>
    </row>
    <row r="408">
      <c r="A408" s="2"/>
      <c r="B408" s="2"/>
      <c r="C408" s="2"/>
      <c r="D408" s="2"/>
      <c r="E408" s="2"/>
      <c r="F408" s="2"/>
      <c r="G408" s="2"/>
      <c r="H408" s="2"/>
      <c r="I408" s="2"/>
      <c r="J408" s="2"/>
      <c r="K408" s="2"/>
      <c r="L408" s="2"/>
      <c r="M408" s="2"/>
      <c r="N408" s="2"/>
      <c r="O408" s="2"/>
      <c r="P408" s="2"/>
      <c r="Q408" s="2"/>
      <c r="R408" s="2"/>
      <c r="S408" s="2"/>
    </row>
    <row r="409">
      <c r="A409" s="2"/>
      <c r="B409" s="2"/>
      <c r="C409" s="2"/>
      <c r="D409" s="2"/>
      <c r="E409" s="2"/>
      <c r="F409" s="2"/>
      <c r="G409" s="2"/>
      <c r="H409" s="2"/>
      <c r="I409" s="2"/>
      <c r="J409" s="2"/>
      <c r="K409" s="2"/>
      <c r="L409" s="2"/>
      <c r="M409" s="2"/>
      <c r="N409" s="2"/>
      <c r="O409" s="2"/>
      <c r="P409" s="2"/>
      <c r="Q409" s="2"/>
      <c r="R409" s="2"/>
      <c r="S409" s="2"/>
    </row>
    <row r="410">
      <c r="A410" s="2"/>
      <c r="B410" s="2"/>
      <c r="C410" s="2"/>
      <c r="D410" s="2"/>
      <c r="E410" s="2"/>
      <c r="F410" s="2"/>
      <c r="G410" s="2"/>
      <c r="H410" s="2"/>
      <c r="I410" s="2"/>
      <c r="J410" s="2"/>
      <c r="K410" s="2"/>
      <c r="L410" s="2"/>
      <c r="M410" s="2"/>
      <c r="N410" s="2"/>
      <c r="O410" s="2"/>
      <c r="P410" s="2"/>
      <c r="Q410" s="2"/>
      <c r="R410" s="2"/>
      <c r="S410" s="2"/>
    </row>
    <row r="411">
      <c r="A411" s="2"/>
      <c r="B411" s="2"/>
      <c r="C411" s="2"/>
      <c r="D411" s="2"/>
      <c r="E411" s="2"/>
      <c r="F411" s="2"/>
      <c r="G411" s="2"/>
      <c r="H411" s="2"/>
      <c r="I411" s="2"/>
      <c r="J411" s="2"/>
      <c r="K411" s="2"/>
      <c r="L411" s="2"/>
      <c r="M411" s="2"/>
      <c r="N411" s="2"/>
      <c r="O411" s="2"/>
      <c r="P411" s="2"/>
      <c r="Q411" s="2"/>
      <c r="R411" s="2"/>
      <c r="S411" s="2"/>
    </row>
    <row r="412">
      <c r="A412" s="2"/>
      <c r="B412" s="2"/>
      <c r="C412" s="2"/>
      <c r="D412" s="2"/>
      <c r="E412" s="2"/>
      <c r="F412" s="2"/>
      <c r="G412" s="2"/>
      <c r="H412" s="2"/>
      <c r="I412" s="2"/>
      <c r="J412" s="2"/>
      <c r="K412" s="2"/>
      <c r="L412" s="2"/>
      <c r="M412" s="2"/>
      <c r="N412" s="2"/>
      <c r="O412" s="2"/>
      <c r="P412" s="2"/>
      <c r="Q412" s="2"/>
      <c r="R412" s="2"/>
      <c r="S412" s="2"/>
    </row>
    <row r="413">
      <c r="A413" s="2"/>
      <c r="B413" s="2"/>
      <c r="C413" s="2"/>
      <c r="D413" s="2"/>
      <c r="E413" s="2"/>
      <c r="F413" s="2"/>
      <c r="G413" s="2"/>
      <c r="H413" s="2"/>
      <c r="I413" s="2"/>
      <c r="J413" s="2"/>
      <c r="K413" s="2"/>
      <c r="L413" s="2"/>
      <c r="M413" s="2"/>
      <c r="N413" s="2"/>
      <c r="O413" s="2"/>
      <c r="P413" s="2"/>
      <c r="Q413" s="2"/>
      <c r="R413" s="2"/>
      <c r="S413" s="2"/>
    </row>
    <row r="414">
      <c r="A414" s="2"/>
      <c r="B414" s="2"/>
      <c r="C414" s="2"/>
      <c r="D414" s="2"/>
      <c r="E414" s="2"/>
      <c r="F414" s="2"/>
      <c r="G414" s="2"/>
      <c r="H414" s="2"/>
      <c r="I414" s="2"/>
      <c r="J414" s="2"/>
      <c r="K414" s="2"/>
      <c r="L414" s="2"/>
      <c r="M414" s="2"/>
      <c r="N414" s="2"/>
      <c r="O414" s="2"/>
      <c r="P414" s="2"/>
      <c r="Q414" s="2"/>
      <c r="R414" s="2"/>
      <c r="S414" s="2"/>
    </row>
    <row r="415">
      <c r="A415" s="2"/>
      <c r="B415" s="2"/>
      <c r="C415" s="2"/>
      <c r="D415" s="2"/>
      <c r="E415" s="2"/>
      <c r="F415" s="2"/>
      <c r="G415" s="2"/>
      <c r="H415" s="2"/>
      <c r="I415" s="2"/>
      <c r="J415" s="2"/>
      <c r="K415" s="2"/>
      <c r="L415" s="2"/>
      <c r="M415" s="2"/>
      <c r="N415" s="2"/>
      <c r="O415" s="2"/>
      <c r="P415" s="2"/>
      <c r="Q415" s="2"/>
      <c r="R415" s="2"/>
      <c r="S415" s="2"/>
    </row>
    <row r="416">
      <c r="A416" s="2"/>
      <c r="B416" s="2"/>
      <c r="C416" s="2"/>
      <c r="D416" s="2"/>
      <c r="E416" s="2"/>
      <c r="F416" s="2"/>
      <c r="G416" s="2"/>
      <c r="H416" s="2"/>
      <c r="I416" s="2"/>
      <c r="J416" s="2"/>
      <c r="K416" s="2"/>
      <c r="L416" s="2"/>
      <c r="M416" s="2"/>
      <c r="N416" s="2"/>
      <c r="O416" s="2"/>
      <c r="P416" s="2"/>
      <c r="Q416" s="2"/>
      <c r="R416" s="2"/>
      <c r="S416" s="2"/>
    </row>
    <row r="417">
      <c r="A417" s="2"/>
      <c r="B417" s="2"/>
      <c r="C417" s="2"/>
      <c r="D417" s="2"/>
      <c r="E417" s="2"/>
      <c r="F417" s="2"/>
      <c r="G417" s="2"/>
      <c r="H417" s="2"/>
      <c r="I417" s="2"/>
      <c r="J417" s="2"/>
      <c r="K417" s="2"/>
      <c r="L417" s="2"/>
      <c r="M417" s="2"/>
      <c r="N417" s="2"/>
      <c r="O417" s="2"/>
      <c r="P417" s="2"/>
      <c r="Q417" s="2"/>
      <c r="R417" s="2"/>
      <c r="S417" s="2"/>
    </row>
    <row r="418">
      <c r="A418" s="2"/>
      <c r="B418" s="2"/>
      <c r="C418" s="2"/>
      <c r="D418" s="2"/>
      <c r="E418" s="2"/>
      <c r="F418" s="2"/>
      <c r="G418" s="2"/>
      <c r="H418" s="2"/>
      <c r="I418" s="2"/>
      <c r="J418" s="2"/>
      <c r="K418" s="2"/>
      <c r="L418" s="2"/>
      <c r="M418" s="2"/>
      <c r="N418" s="2"/>
      <c r="O418" s="2"/>
      <c r="P418" s="2"/>
      <c r="Q418" s="2"/>
      <c r="R418" s="2"/>
      <c r="S418" s="2"/>
    </row>
    <row r="419">
      <c r="A419" s="2"/>
      <c r="B419" s="2"/>
      <c r="C419" s="2"/>
      <c r="D419" s="2"/>
      <c r="E419" s="2"/>
      <c r="F419" s="2"/>
      <c r="G419" s="2"/>
      <c r="H419" s="2"/>
      <c r="I419" s="2"/>
      <c r="J419" s="2"/>
      <c r="K419" s="2"/>
      <c r="L419" s="2"/>
      <c r="M419" s="2"/>
      <c r="N419" s="2"/>
      <c r="O419" s="2"/>
      <c r="P419" s="2"/>
      <c r="Q419" s="2"/>
      <c r="R419" s="2"/>
      <c r="S419" s="2"/>
    </row>
    <row r="420">
      <c r="A420" s="2"/>
      <c r="B420" s="2"/>
      <c r="C420" s="2"/>
      <c r="D420" s="2"/>
      <c r="E420" s="2"/>
      <c r="F420" s="2"/>
      <c r="G420" s="2"/>
      <c r="H420" s="2"/>
      <c r="I420" s="2"/>
      <c r="J420" s="2"/>
      <c r="K420" s="2"/>
      <c r="L420" s="2"/>
      <c r="M420" s="2"/>
      <c r="N420" s="2"/>
      <c r="O420" s="2"/>
      <c r="P420" s="2"/>
      <c r="Q420" s="2"/>
      <c r="R420" s="2"/>
      <c r="S420" s="2"/>
    </row>
    <row r="421">
      <c r="A421" s="2"/>
      <c r="B421" s="2"/>
      <c r="C421" s="2"/>
      <c r="D421" s="2"/>
      <c r="E421" s="2"/>
      <c r="F421" s="2"/>
      <c r="G421" s="2"/>
      <c r="H421" s="2"/>
      <c r="I421" s="2"/>
      <c r="J421" s="2"/>
      <c r="K421" s="2"/>
      <c r="L421" s="2"/>
      <c r="M421" s="2"/>
      <c r="N421" s="2"/>
      <c r="O421" s="2"/>
      <c r="P421" s="2"/>
      <c r="Q421" s="2"/>
      <c r="R421" s="2"/>
      <c r="S421" s="2"/>
    </row>
    <row r="422">
      <c r="A422" s="2"/>
      <c r="B422" s="2"/>
      <c r="C422" s="2"/>
      <c r="D422" s="2"/>
      <c r="E422" s="2"/>
      <c r="F422" s="2"/>
      <c r="G422" s="2"/>
      <c r="H422" s="2"/>
      <c r="I422" s="2"/>
      <c r="J422" s="2"/>
      <c r="K422" s="2"/>
      <c r="L422" s="2"/>
      <c r="M422" s="2"/>
      <c r="N422" s="2"/>
      <c r="O422" s="2"/>
      <c r="P422" s="2"/>
      <c r="Q422" s="2"/>
      <c r="R422" s="2"/>
      <c r="S422" s="2"/>
    </row>
    <row r="423">
      <c r="A423" s="2"/>
      <c r="B423" s="2"/>
      <c r="C423" s="2"/>
      <c r="D423" s="2"/>
      <c r="E423" s="2"/>
      <c r="F423" s="2"/>
      <c r="G423" s="2"/>
      <c r="H423" s="2"/>
      <c r="I423" s="2"/>
      <c r="J423" s="2"/>
      <c r="K423" s="2"/>
      <c r="L423" s="2"/>
      <c r="M423" s="2"/>
      <c r="N423" s="2"/>
      <c r="O423" s="2"/>
      <c r="P423" s="2"/>
      <c r="Q423" s="2"/>
      <c r="R423" s="2"/>
      <c r="S423" s="2"/>
    </row>
    <row r="424">
      <c r="A424" s="2"/>
      <c r="B424" s="2"/>
      <c r="C424" s="2"/>
      <c r="D424" s="2"/>
      <c r="E424" s="2"/>
      <c r="F424" s="2"/>
      <c r="G424" s="2"/>
      <c r="H424" s="2"/>
      <c r="I424" s="2"/>
      <c r="J424" s="2"/>
      <c r="K424" s="2"/>
      <c r="L424" s="2"/>
      <c r="M424" s="2"/>
      <c r="N424" s="2"/>
      <c r="O424" s="2"/>
      <c r="P424" s="2"/>
      <c r="Q424" s="2"/>
      <c r="R424" s="2"/>
      <c r="S424" s="2"/>
    </row>
    <row r="425">
      <c r="A425" s="2"/>
      <c r="B425" s="2"/>
      <c r="C425" s="2"/>
      <c r="D425" s="2"/>
      <c r="E425" s="2"/>
      <c r="F425" s="2"/>
      <c r="G425" s="2"/>
      <c r="H425" s="2"/>
      <c r="I425" s="2"/>
      <c r="J425" s="2"/>
      <c r="K425" s="2"/>
      <c r="L425" s="2"/>
      <c r="M425" s="2"/>
      <c r="N425" s="2"/>
      <c r="O425" s="2"/>
      <c r="P425" s="2"/>
      <c r="Q425" s="2"/>
      <c r="R425" s="2"/>
      <c r="S425" s="2"/>
    </row>
    <row r="426">
      <c r="A426" s="2"/>
      <c r="B426" s="2"/>
      <c r="C426" s="2"/>
      <c r="D426" s="2"/>
      <c r="E426" s="2"/>
      <c r="F426" s="2"/>
      <c r="G426" s="2"/>
      <c r="H426" s="2"/>
      <c r="I426" s="2"/>
      <c r="J426" s="2"/>
      <c r="K426" s="2"/>
      <c r="L426" s="2"/>
      <c r="M426" s="2"/>
      <c r="N426" s="2"/>
      <c r="O426" s="2"/>
      <c r="P426" s="2"/>
      <c r="Q426" s="2"/>
      <c r="R426" s="2"/>
      <c r="S426" s="2"/>
    </row>
    <row r="427">
      <c r="A427" s="2"/>
      <c r="B427" s="2"/>
      <c r="C427" s="2"/>
      <c r="D427" s="2"/>
      <c r="E427" s="2"/>
      <c r="F427" s="2"/>
      <c r="G427" s="2"/>
      <c r="H427" s="2"/>
      <c r="I427" s="2"/>
      <c r="J427" s="2"/>
      <c r="K427" s="2"/>
      <c r="L427" s="2"/>
      <c r="M427" s="2"/>
      <c r="N427" s="2"/>
      <c r="O427" s="2"/>
      <c r="P427" s="2"/>
      <c r="Q427" s="2"/>
      <c r="R427" s="2"/>
      <c r="S427" s="2"/>
    </row>
    <row r="428">
      <c r="A428" s="2"/>
      <c r="B428" s="2"/>
      <c r="C428" s="2"/>
      <c r="D428" s="2"/>
      <c r="E428" s="2"/>
      <c r="F428" s="2"/>
      <c r="G428" s="2"/>
      <c r="H428" s="2"/>
      <c r="I428" s="2"/>
      <c r="J428" s="2"/>
      <c r="K428" s="2"/>
      <c r="L428" s="2"/>
      <c r="M428" s="2"/>
      <c r="N428" s="2"/>
      <c r="O428" s="2"/>
      <c r="P428" s="2"/>
      <c r="Q428" s="2"/>
      <c r="R428" s="2"/>
      <c r="S428" s="2"/>
    </row>
    <row r="429">
      <c r="A429" s="2"/>
      <c r="B429" s="2"/>
      <c r="C429" s="2"/>
      <c r="D429" s="2"/>
      <c r="E429" s="2"/>
      <c r="F429" s="2"/>
      <c r="G429" s="2"/>
      <c r="H429" s="2"/>
      <c r="I429" s="2"/>
      <c r="J429" s="2"/>
      <c r="K429" s="2"/>
      <c r="L429" s="2"/>
      <c r="M429" s="2"/>
      <c r="N429" s="2"/>
      <c r="O429" s="2"/>
      <c r="P429" s="2"/>
      <c r="Q429" s="2"/>
      <c r="R429" s="2"/>
      <c r="S429" s="2"/>
    </row>
    <row r="430">
      <c r="A430" s="2"/>
      <c r="B430" s="2"/>
      <c r="C430" s="2"/>
      <c r="D430" s="2"/>
      <c r="E430" s="2"/>
      <c r="F430" s="2"/>
      <c r="G430" s="2"/>
      <c r="H430" s="2"/>
      <c r="I430" s="2"/>
      <c r="J430" s="2"/>
      <c r="K430" s="2"/>
      <c r="L430" s="2"/>
      <c r="M430" s="2"/>
      <c r="N430" s="2"/>
      <c r="O430" s="2"/>
      <c r="P430" s="2"/>
      <c r="Q430" s="2"/>
      <c r="R430" s="2"/>
      <c r="S430" s="2"/>
    </row>
    <row r="431">
      <c r="A431" s="2"/>
      <c r="B431" s="2"/>
      <c r="C431" s="2"/>
      <c r="D431" s="2"/>
      <c r="E431" s="2"/>
      <c r="F431" s="2"/>
      <c r="G431" s="2"/>
      <c r="H431" s="2"/>
      <c r="I431" s="2"/>
      <c r="J431" s="2"/>
      <c r="K431" s="2"/>
      <c r="L431" s="2"/>
      <c r="M431" s="2"/>
      <c r="N431" s="2"/>
      <c r="O431" s="2"/>
      <c r="P431" s="2"/>
      <c r="Q431" s="2"/>
      <c r="R431" s="2"/>
      <c r="S431" s="2"/>
    </row>
    <row r="432">
      <c r="A432" s="2"/>
      <c r="B432" s="2"/>
      <c r="C432" s="2"/>
      <c r="D432" s="2"/>
      <c r="E432" s="2"/>
      <c r="F432" s="2"/>
      <c r="G432" s="2"/>
      <c r="H432" s="2"/>
      <c r="I432" s="2"/>
      <c r="J432" s="2"/>
      <c r="K432" s="2"/>
      <c r="L432" s="2"/>
      <c r="M432" s="2"/>
      <c r="N432" s="2"/>
      <c r="O432" s="2"/>
      <c r="P432" s="2"/>
      <c r="Q432" s="2"/>
      <c r="R432" s="2"/>
      <c r="S432" s="2"/>
    </row>
    <row r="433">
      <c r="A433" s="2"/>
      <c r="B433" s="2"/>
      <c r="C433" s="2"/>
      <c r="D433" s="2"/>
      <c r="E433" s="2"/>
      <c r="F433" s="2"/>
      <c r="G433" s="2"/>
      <c r="H433" s="2"/>
      <c r="I433" s="2"/>
      <c r="J433" s="2"/>
      <c r="K433" s="2"/>
      <c r="L433" s="2"/>
      <c r="M433" s="2"/>
      <c r="N433" s="2"/>
      <c r="O433" s="2"/>
      <c r="P433" s="2"/>
      <c r="Q433" s="2"/>
      <c r="R433" s="2"/>
      <c r="S433" s="2"/>
    </row>
    <row r="434">
      <c r="A434" s="2"/>
      <c r="B434" s="2"/>
      <c r="C434" s="2"/>
      <c r="D434" s="2"/>
      <c r="E434" s="2"/>
      <c r="F434" s="2"/>
      <c r="G434" s="2"/>
      <c r="H434" s="2"/>
      <c r="I434" s="2"/>
      <c r="J434" s="2"/>
      <c r="K434" s="2"/>
      <c r="L434" s="2"/>
      <c r="M434" s="2"/>
      <c r="N434" s="2"/>
      <c r="O434" s="2"/>
      <c r="P434" s="2"/>
      <c r="Q434" s="2"/>
      <c r="R434" s="2"/>
      <c r="S434" s="2"/>
    </row>
    <row r="435">
      <c r="A435" s="2"/>
      <c r="B435" s="2"/>
      <c r="C435" s="2"/>
      <c r="D435" s="2"/>
      <c r="E435" s="2"/>
      <c r="F435" s="2"/>
      <c r="G435" s="2"/>
      <c r="H435" s="2"/>
      <c r="I435" s="2"/>
      <c r="J435" s="2"/>
      <c r="K435" s="2"/>
      <c r="L435" s="2"/>
      <c r="M435" s="2"/>
      <c r="N435" s="2"/>
      <c r="O435" s="2"/>
      <c r="P435" s="2"/>
      <c r="Q435" s="2"/>
      <c r="R435" s="2"/>
      <c r="S435" s="2"/>
    </row>
    <row r="436">
      <c r="A436" s="2"/>
      <c r="B436" s="2"/>
      <c r="C436" s="2"/>
      <c r="D436" s="2"/>
      <c r="E436" s="2"/>
      <c r="F436" s="2"/>
      <c r="G436" s="2"/>
      <c r="H436" s="2"/>
      <c r="I436" s="2"/>
      <c r="J436" s="2"/>
      <c r="K436" s="2"/>
      <c r="L436" s="2"/>
      <c r="M436" s="2"/>
      <c r="N436" s="2"/>
      <c r="O436" s="2"/>
      <c r="P436" s="2"/>
      <c r="Q436" s="2"/>
      <c r="R436" s="2"/>
      <c r="S436" s="2"/>
    </row>
    <row r="437">
      <c r="A437" s="2"/>
      <c r="B437" s="2"/>
      <c r="C437" s="2"/>
      <c r="D437" s="2"/>
      <c r="E437" s="2"/>
      <c r="F437" s="2"/>
      <c r="G437" s="2"/>
      <c r="H437" s="2"/>
      <c r="I437" s="2"/>
      <c r="J437" s="2"/>
      <c r="K437" s="2"/>
      <c r="L437" s="2"/>
      <c r="M437" s="2"/>
      <c r="N437" s="2"/>
      <c r="O437" s="2"/>
      <c r="P437" s="2"/>
      <c r="Q437" s="2"/>
      <c r="R437" s="2"/>
      <c r="S437" s="2"/>
    </row>
    <row r="438">
      <c r="A438" s="2"/>
      <c r="B438" s="2"/>
      <c r="C438" s="2"/>
      <c r="D438" s="2"/>
      <c r="E438" s="2"/>
      <c r="F438" s="2"/>
      <c r="G438" s="2"/>
      <c r="H438" s="2"/>
      <c r="I438" s="2"/>
      <c r="J438" s="2"/>
      <c r="K438" s="2"/>
      <c r="L438" s="2"/>
      <c r="M438" s="2"/>
      <c r="N438" s="2"/>
      <c r="O438" s="2"/>
      <c r="P438" s="2"/>
      <c r="Q438" s="2"/>
      <c r="R438" s="2"/>
      <c r="S438" s="2"/>
    </row>
    <row r="439">
      <c r="A439" s="2"/>
      <c r="B439" s="2"/>
      <c r="C439" s="2"/>
      <c r="D439" s="2"/>
      <c r="E439" s="2"/>
      <c r="F439" s="2"/>
      <c r="G439" s="2"/>
      <c r="H439" s="2"/>
      <c r="I439" s="2"/>
      <c r="J439" s="2"/>
      <c r="K439" s="2"/>
      <c r="L439" s="2"/>
      <c r="M439" s="2"/>
      <c r="N439" s="2"/>
      <c r="O439" s="2"/>
      <c r="P439" s="2"/>
      <c r="Q439" s="2"/>
      <c r="R439" s="2"/>
      <c r="S439" s="2"/>
    </row>
    <row r="440">
      <c r="A440" s="2"/>
      <c r="B440" s="2"/>
      <c r="C440" s="2"/>
      <c r="D440" s="2"/>
      <c r="E440" s="2"/>
      <c r="F440" s="2"/>
      <c r="G440" s="2"/>
      <c r="H440" s="2"/>
      <c r="I440" s="2"/>
      <c r="J440" s="2"/>
      <c r="K440" s="2"/>
      <c r="L440" s="2"/>
      <c r="M440" s="2"/>
      <c r="N440" s="2"/>
      <c r="O440" s="2"/>
      <c r="P440" s="2"/>
      <c r="Q440" s="2"/>
      <c r="R440" s="2"/>
      <c r="S440" s="2"/>
    </row>
    <row r="441">
      <c r="A441" s="2"/>
      <c r="B441" s="2"/>
      <c r="C441" s="2"/>
      <c r="D441" s="2"/>
      <c r="E441" s="2"/>
      <c r="F441" s="2"/>
      <c r="G441" s="2"/>
      <c r="H441" s="2"/>
      <c r="I441" s="2"/>
      <c r="J441" s="2"/>
      <c r="K441" s="2"/>
      <c r="L441" s="2"/>
      <c r="M441" s="2"/>
      <c r="N441" s="2"/>
      <c r="O441" s="2"/>
      <c r="P441" s="2"/>
      <c r="Q441" s="2"/>
      <c r="R441" s="2"/>
      <c r="S441" s="2"/>
    </row>
    <row r="442">
      <c r="A442" s="2"/>
      <c r="B442" s="2"/>
      <c r="C442" s="2"/>
      <c r="D442" s="2"/>
      <c r="E442" s="2"/>
      <c r="F442" s="2"/>
      <c r="G442" s="2"/>
      <c r="H442" s="2"/>
      <c r="I442" s="2"/>
      <c r="J442" s="2"/>
      <c r="K442" s="2"/>
      <c r="L442" s="2"/>
      <c r="M442" s="2"/>
      <c r="N442" s="2"/>
      <c r="O442" s="2"/>
      <c r="P442" s="2"/>
      <c r="Q442" s="2"/>
      <c r="R442" s="2"/>
      <c r="S442" s="2"/>
    </row>
    <row r="443">
      <c r="A443" s="2"/>
      <c r="B443" s="2"/>
      <c r="C443" s="2"/>
      <c r="D443" s="2"/>
      <c r="E443" s="2"/>
      <c r="F443" s="2"/>
      <c r="G443" s="2"/>
      <c r="H443" s="2"/>
      <c r="I443" s="2"/>
      <c r="J443" s="2"/>
      <c r="K443" s="2"/>
      <c r="L443" s="2"/>
      <c r="M443" s="2"/>
      <c r="N443" s="2"/>
      <c r="O443" s="2"/>
      <c r="P443" s="2"/>
      <c r="Q443" s="2"/>
      <c r="R443" s="2"/>
      <c r="S443" s="2"/>
    </row>
    <row r="444">
      <c r="A444" s="2"/>
      <c r="B444" s="2"/>
      <c r="C444" s="2"/>
      <c r="D444" s="2"/>
      <c r="E444" s="2"/>
      <c r="F444" s="2"/>
      <c r="G444" s="2"/>
      <c r="H444" s="2"/>
      <c r="I444" s="2"/>
      <c r="J444" s="2"/>
      <c r="K444" s="2"/>
      <c r="L444" s="2"/>
      <c r="M444" s="2"/>
      <c r="N444" s="2"/>
      <c r="O444" s="2"/>
      <c r="P444" s="2"/>
      <c r="Q444" s="2"/>
      <c r="R444" s="2"/>
      <c r="S444" s="2"/>
    </row>
    <row r="445">
      <c r="A445" s="2"/>
      <c r="B445" s="2"/>
      <c r="C445" s="2"/>
      <c r="D445" s="2"/>
      <c r="E445" s="2"/>
      <c r="F445" s="2"/>
      <c r="G445" s="2"/>
      <c r="H445" s="2"/>
      <c r="I445" s="2"/>
      <c r="J445" s="2"/>
      <c r="K445" s="2"/>
      <c r="L445" s="2"/>
      <c r="M445" s="2"/>
      <c r="N445" s="2"/>
      <c r="O445" s="2"/>
      <c r="P445" s="2"/>
      <c r="Q445" s="2"/>
      <c r="R445" s="2"/>
      <c r="S445" s="2"/>
    </row>
    <row r="446">
      <c r="A446" s="2"/>
      <c r="B446" s="2"/>
      <c r="C446" s="2"/>
      <c r="D446" s="2"/>
      <c r="E446" s="2"/>
      <c r="F446" s="2"/>
      <c r="G446" s="2"/>
      <c r="H446" s="2"/>
      <c r="I446" s="2"/>
      <c r="J446" s="2"/>
      <c r="K446" s="2"/>
      <c r="L446" s="2"/>
      <c r="M446" s="2"/>
      <c r="N446" s="2"/>
      <c r="O446" s="2"/>
      <c r="P446" s="2"/>
      <c r="Q446" s="2"/>
      <c r="R446" s="2"/>
      <c r="S446" s="2"/>
    </row>
    <row r="447">
      <c r="A447" s="2"/>
      <c r="B447" s="2"/>
      <c r="C447" s="2"/>
      <c r="D447" s="2"/>
      <c r="E447" s="2"/>
      <c r="F447" s="2"/>
      <c r="G447" s="2"/>
      <c r="H447" s="2"/>
      <c r="I447" s="2"/>
      <c r="J447" s="2"/>
      <c r="K447" s="2"/>
      <c r="L447" s="2"/>
      <c r="M447" s="2"/>
      <c r="N447" s="2"/>
      <c r="O447" s="2"/>
      <c r="P447" s="2"/>
      <c r="Q447" s="2"/>
      <c r="R447" s="2"/>
      <c r="S447" s="2"/>
    </row>
    <row r="448">
      <c r="A448" s="2"/>
      <c r="B448" s="2"/>
      <c r="C448" s="2"/>
      <c r="D448" s="2"/>
      <c r="E448" s="2"/>
      <c r="F448" s="2"/>
      <c r="G448" s="2"/>
      <c r="H448" s="2"/>
      <c r="I448" s="2"/>
      <c r="J448" s="2"/>
      <c r="K448" s="2"/>
      <c r="L448" s="2"/>
      <c r="M448" s="2"/>
      <c r="N448" s="2"/>
      <c r="O448" s="2"/>
      <c r="P448" s="2"/>
      <c r="Q448" s="2"/>
      <c r="R448" s="2"/>
      <c r="S448" s="2"/>
    </row>
    <row r="449">
      <c r="A449" s="2"/>
      <c r="B449" s="2"/>
      <c r="C449" s="2"/>
      <c r="D449" s="2"/>
      <c r="E449" s="2"/>
      <c r="F449" s="2"/>
      <c r="G449" s="2"/>
      <c r="H449" s="2"/>
      <c r="I449" s="2"/>
      <c r="J449" s="2"/>
      <c r="K449" s="2"/>
      <c r="L449" s="2"/>
      <c r="M449" s="2"/>
      <c r="N449" s="2"/>
      <c r="O449" s="2"/>
      <c r="P449" s="2"/>
      <c r="Q449" s="2"/>
      <c r="R449" s="2"/>
      <c r="S449" s="2"/>
    </row>
    <row r="450">
      <c r="A450" s="2"/>
      <c r="B450" s="2"/>
      <c r="C450" s="2"/>
      <c r="D450" s="2"/>
      <c r="E450" s="2"/>
      <c r="F450" s="2"/>
      <c r="G450" s="2"/>
      <c r="H450" s="2"/>
      <c r="I450" s="2"/>
      <c r="J450" s="2"/>
      <c r="K450" s="2"/>
      <c r="L450" s="2"/>
      <c r="M450" s="2"/>
      <c r="N450" s="2"/>
      <c r="O450" s="2"/>
      <c r="P450" s="2"/>
      <c r="Q450" s="2"/>
      <c r="R450" s="2"/>
      <c r="S450" s="2"/>
    </row>
    <row r="451">
      <c r="A451" s="2"/>
      <c r="B451" s="2"/>
      <c r="C451" s="2"/>
      <c r="D451" s="2"/>
      <c r="E451" s="2"/>
      <c r="F451" s="2"/>
      <c r="G451" s="2"/>
      <c r="H451" s="2"/>
      <c r="I451" s="2"/>
      <c r="J451" s="2"/>
      <c r="K451" s="2"/>
      <c r="L451" s="2"/>
      <c r="M451" s="2"/>
      <c r="N451" s="2"/>
      <c r="O451" s="2"/>
      <c r="P451" s="2"/>
      <c r="Q451" s="2"/>
      <c r="R451" s="2"/>
      <c r="S451" s="2"/>
    </row>
    <row r="452">
      <c r="A452" s="2"/>
      <c r="B452" s="2"/>
      <c r="C452" s="2"/>
      <c r="D452" s="2"/>
      <c r="E452" s="2"/>
      <c r="F452" s="2"/>
      <c r="G452" s="2"/>
      <c r="H452" s="2"/>
      <c r="I452" s="2"/>
      <c r="J452" s="2"/>
      <c r="K452" s="2"/>
      <c r="L452" s="2"/>
      <c r="M452" s="2"/>
      <c r="N452" s="2"/>
      <c r="O452" s="2"/>
      <c r="P452" s="2"/>
      <c r="Q452" s="2"/>
      <c r="R452" s="2"/>
      <c r="S452" s="2"/>
    </row>
    <row r="453">
      <c r="A453" s="2"/>
      <c r="B453" s="2"/>
      <c r="C453" s="2"/>
      <c r="D453" s="2"/>
      <c r="E453" s="2"/>
      <c r="F453" s="2"/>
      <c r="G453" s="2"/>
      <c r="H453" s="2"/>
      <c r="I453" s="2"/>
      <c r="J453" s="2"/>
      <c r="K453" s="2"/>
      <c r="L453" s="2"/>
      <c r="M453" s="2"/>
      <c r="N453" s="2"/>
      <c r="O453" s="2"/>
      <c r="P453" s="2"/>
      <c r="Q453" s="2"/>
      <c r="R453" s="2"/>
      <c r="S453" s="2"/>
    </row>
    <row r="454">
      <c r="A454" s="2"/>
      <c r="B454" s="2"/>
      <c r="C454" s="2"/>
      <c r="D454" s="2"/>
      <c r="E454" s="2"/>
      <c r="F454" s="2"/>
      <c r="G454" s="2"/>
      <c r="H454" s="2"/>
      <c r="I454" s="2"/>
      <c r="J454" s="2"/>
      <c r="K454" s="2"/>
      <c r="L454" s="2"/>
      <c r="M454" s="2"/>
      <c r="N454" s="2"/>
      <c r="O454" s="2"/>
      <c r="P454" s="2"/>
      <c r="Q454" s="2"/>
      <c r="R454" s="2"/>
      <c r="S454" s="2"/>
    </row>
    <row r="455">
      <c r="A455" s="2"/>
      <c r="B455" s="2"/>
      <c r="C455" s="2"/>
      <c r="D455" s="2"/>
      <c r="E455" s="2"/>
      <c r="F455" s="2"/>
      <c r="G455" s="2"/>
      <c r="H455" s="2"/>
      <c r="I455" s="2"/>
      <c r="J455" s="2"/>
      <c r="K455" s="2"/>
      <c r="L455" s="2"/>
      <c r="M455" s="2"/>
      <c r="N455" s="2"/>
      <c r="O455" s="2"/>
      <c r="P455" s="2"/>
      <c r="Q455" s="2"/>
      <c r="R455" s="2"/>
      <c r="S455" s="2"/>
    </row>
    <row r="456">
      <c r="A456" s="2"/>
      <c r="B456" s="2"/>
      <c r="C456" s="2"/>
      <c r="D456" s="2"/>
      <c r="E456" s="2"/>
      <c r="F456" s="2"/>
      <c r="G456" s="2"/>
      <c r="H456" s="2"/>
      <c r="I456" s="2"/>
      <c r="J456" s="2"/>
      <c r="K456" s="2"/>
      <c r="L456" s="2"/>
      <c r="M456" s="2"/>
      <c r="N456" s="2"/>
      <c r="O456" s="2"/>
      <c r="P456" s="2"/>
      <c r="Q456" s="2"/>
      <c r="R456" s="2"/>
      <c r="S456" s="2"/>
    </row>
    <row r="457">
      <c r="A457" s="2"/>
      <c r="B457" s="2"/>
      <c r="C457" s="2"/>
      <c r="D457" s="2"/>
      <c r="E457" s="2"/>
      <c r="F457" s="2"/>
      <c r="G457" s="2"/>
      <c r="H457" s="2"/>
      <c r="I457" s="2"/>
      <c r="J457" s="2"/>
      <c r="K457" s="2"/>
      <c r="L457" s="2"/>
      <c r="M457" s="2"/>
      <c r="N457" s="2"/>
      <c r="O457" s="2"/>
      <c r="P457" s="2"/>
      <c r="Q457" s="2"/>
      <c r="R457" s="2"/>
      <c r="S457" s="2"/>
    </row>
    <row r="458">
      <c r="A458" s="2"/>
      <c r="B458" s="2"/>
      <c r="C458" s="2"/>
      <c r="D458" s="2"/>
      <c r="E458" s="2"/>
      <c r="F458" s="2"/>
      <c r="G458" s="2"/>
      <c r="H458" s="2"/>
      <c r="I458" s="2"/>
      <c r="J458" s="2"/>
      <c r="K458" s="2"/>
      <c r="L458" s="2"/>
      <c r="M458" s="2"/>
      <c r="N458" s="2"/>
      <c r="O458" s="2"/>
      <c r="P458" s="2"/>
      <c r="Q458" s="2"/>
      <c r="R458" s="2"/>
      <c r="S458" s="2"/>
    </row>
    <row r="459">
      <c r="A459" s="2"/>
      <c r="B459" s="2"/>
      <c r="C459" s="2"/>
      <c r="D459" s="2"/>
      <c r="E459" s="2"/>
      <c r="F459" s="2"/>
      <c r="G459" s="2"/>
      <c r="H459" s="2"/>
      <c r="I459" s="2"/>
      <c r="J459" s="2"/>
      <c r="K459" s="2"/>
      <c r="L459" s="2"/>
      <c r="M459" s="2"/>
      <c r="N459" s="2"/>
      <c r="O459" s="2"/>
      <c r="P459" s="2"/>
      <c r="Q459" s="2"/>
      <c r="R459" s="2"/>
      <c r="S459" s="2"/>
    </row>
    <row r="460">
      <c r="A460" s="2"/>
      <c r="B460" s="2"/>
      <c r="C460" s="2"/>
      <c r="D460" s="2"/>
      <c r="E460" s="2"/>
      <c r="F460" s="2"/>
      <c r="G460" s="2"/>
      <c r="H460" s="2"/>
      <c r="I460" s="2"/>
      <c r="J460" s="2"/>
      <c r="K460" s="2"/>
      <c r="L460" s="2"/>
      <c r="M460" s="2"/>
      <c r="N460" s="2"/>
      <c r="O460" s="2"/>
      <c r="P460" s="2"/>
      <c r="Q460" s="2"/>
      <c r="R460" s="2"/>
      <c r="S460" s="2"/>
    </row>
    <row r="461">
      <c r="A461" s="2"/>
      <c r="B461" s="2"/>
      <c r="C461" s="2"/>
      <c r="D461" s="2"/>
      <c r="E461" s="2"/>
      <c r="F461" s="2"/>
      <c r="G461" s="2"/>
      <c r="H461" s="2"/>
      <c r="I461" s="2"/>
      <c r="J461" s="2"/>
      <c r="K461" s="2"/>
      <c r="L461" s="2"/>
      <c r="M461" s="2"/>
      <c r="N461" s="2"/>
      <c r="O461" s="2"/>
      <c r="P461" s="2"/>
      <c r="Q461" s="2"/>
      <c r="R461" s="2"/>
      <c r="S461" s="2"/>
    </row>
    <row r="462">
      <c r="A462" s="2"/>
      <c r="B462" s="2"/>
      <c r="C462" s="2"/>
      <c r="D462" s="2"/>
      <c r="E462" s="2"/>
      <c r="F462" s="2"/>
      <c r="G462" s="2"/>
      <c r="H462" s="2"/>
      <c r="I462" s="2"/>
      <c r="J462" s="2"/>
      <c r="K462" s="2"/>
      <c r="L462" s="2"/>
      <c r="M462" s="2"/>
      <c r="N462" s="2"/>
      <c r="O462" s="2"/>
      <c r="P462" s="2"/>
      <c r="Q462" s="2"/>
      <c r="R462" s="2"/>
      <c r="S462" s="2"/>
    </row>
    <row r="463">
      <c r="A463" s="2"/>
      <c r="B463" s="2"/>
      <c r="C463" s="2"/>
      <c r="D463" s="2"/>
      <c r="E463" s="2"/>
      <c r="F463" s="2"/>
      <c r="G463" s="2"/>
      <c r="H463" s="2"/>
      <c r="I463" s="2"/>
      <c r="J463" s="2"/>
      <c r="K463" s="2"/>
      <c r="L463" s="2"/>
      <c r="M463" s="2"/>
      <c r="N463" s="2"/>
      <c r="O463" s="2"/>
      <c r="P463" s="2"/>
      <c r="Q463" s="2"/>
      <c r="R463" s="2"/>
      <c r="S463" s="2"/>
    </row>
    <row r="464">
      <c r="A464" s="2"/>
      <c r="B464" s="2"/>
      <c r="C464" s="2"/>
      <c r="D464" s="2"/>
      <c r="E464" s="2"/>
      <c r="F464" s="2"/>
      <c r="G464" s="2"/>
      <c r="H464" s="2"/>
      <c r="I464" s="2"/>
      <c r="J464" s="2"/>
      <c r="K464" s="2"/>
      <c r="L464" s="2"/>
      <c r="M464" s="2"/>
      <c r="N464" s="2"/>
      <c r="O464" s="2"/>
      <c r="P464" s="2"/>
      <c r="Q464" s="2"/>
      <c r="R464" s="2"/>
      <c r="S464" s="2"/>
    </row>
    <row r="465">
      <c r="A465" s="2"/>
      <c r="B465" s="2"/>
      <c r="C465" s="2"/>
      <c r="D465" s="2"/>
      <c r="E465" s="2"/>
      <c r="F465" s="2"/>
      <c r="G465" s="2"/>
      <c r="H465" s="2"/>
      <c r="I465" s="2"/>
      <c r="J465" s="2"/>
      <c r="K465" s="2"/>
      <c r="L465" s="2"/>
      <c r="M465" s="2"/>
      <c r="N465" s="2"/>
      <c r="O465" s="2"/>
      <c r="P465" s="2"/>
      <c r="Q465" s="2"/>
      <c r="R465" s="2"/>
      <c r="S465" s="2"/>
    </row>
    <row r="466">
      <c r="A466" s="2"/>
      <c r="B466" s="2"/>
      <c r="C466" s="2"/>
      <c r="D466" s="2"/>
      <c r="E466" s="2"/>
      <c r="F466" s="2"/>
      <c r="G466" s="2"/>
      <c r="H466" s="2"/>
      <c r="I466" s="2"/>
      <c r="J466" s="2"/>
      <c r="K466" s="2"/>
      <c r="L466" s="2"/>
      <c r="M466" s="2"/>
      <c r="N466" s="2"/>
      <c r="O466" s="2"/>
      <c r="P466" s="2"/>
      <c r="Q466" s="2"/>
      <c r="R466" s="2"/>
      <c r="S466" s="2"/>
    </row>
    <row r="467">
      <c r="A467" s="2"/>
      <c r="B467" s="2"/>
      <c r="C467" s="2"/>
      <c r="D467" s="2"/>
      <c r="E467" s="2"/>
      <c r="F467" s="2"/>
      <c r="G467" s="2"/>
      <c r="H467" s="2"/>
      <c r="I467" s="2"/>
      <c r="J467" s="2"/>
      <c r="K467" s="2"/>
      <c r="L467" s="2"/>
      <c r="M467" s="2"/>
      <c r="N467" s="2"/>
      <c r="O467" s="2"/>
      <c r="P467" s="2"/>
      <c r="Q467" s="2"/>
      <c r="R467" s="2"/>
      <c r="S467" s="2"/>
    </row>
    <row r="468">
      <c r="A468" s="2"/>
      <c r="B468" s="2"/>
      <c r="C468" s="2"/>
      <c r="D468" s="2"/>
      <c r="E468" s="2"/>
      <c r="F468" s="2"/>
      <c r="G468" s="2"/>
      <c r="H468" s="2"/>
      <c r="I468" s="2"/>
      <c r="J468" s="2"/>
      <c r="K468" s="2"/>
      <c r="L468" s="2"/>
      <c r="M468" s="2"/>
      <c r="N468" s="2"/>
      <c r="O468" s="2"/>
      <c r="P468" s="2"/>
      <c r="Q468" s="2"/>
      <c r="R468" s="2"/>
      <c r="S468" s="2"/>
    </row>
    <row r="469">
      <c r="A469" s="2"/>
      <c r="B469" s="2"/>
      <c r="C469" s="2"/>
      <c r="D469" s="2"/>
      <c r="E469" s="2"/>
      <c r="F469" s="2"/>
      <c r="G469" s="2"/>
      <c r="H469" s="2"/>
      <c r="I469" s="2"/>
      <c r="J469" s="2"/>
      <c r="K469" s="2"/>
      <c r="L469" s="2"/>
      <c r="M469" s="2"/>
      <c r="N469" s="2"/>
      <c r="O469" s="2"/>
      <c r="P469" s="2"/>
      <c r="Q469" s="2"/>
      <c r="R469" s="2"/>
      <c r="S469" s="2"/>
    </row>
    <row r="470">
      <c r="A470" s="2"/>
      <c r="B470" s="2"/>
      <c r="C470" s="2"/>
      <c r="D470" s="2"/>
      <c r="E470" s="2"/>
      <c r="F470" s="2"/>
      <c r="G470" s="2"/>
      <c r="H470" s="2"/>
      <c r="I470" s="2"/>
      <c r="J470" s="2"/>
      <c r="K470" s="2"/>
      <c r="L470" s="2"/>
      <c r="M470" s="2"/>
      <c r="N470" s="2"/>
      <c r="O470" s="2"/>
      <c r="P470" s="2"/>
      <c r="Q470" s="2"/>
      <c r="R470" s="2"/>
      <c r="S470" s="2"/>
    </row>
    <row r="471">
      <c r="A471" s="2"/>
      <c r="B471" s="2"/>
      <c r="C471" s="2"/>
      <c r="D471" s="2"/>
      <c r="E471" s="2"/>
      <c r="F471" s="2"/>
      <c r="G471" s="2"/>
      <c r="H471" s="2"/>
      <c r="I471" s="2"/>
      <c r="J471" s="2"/>
      <c r="K471" s="2"/>
      <c r="L471" s="2"/>
      <c r="M471" s="2"/>
      <c r="N471" s="2"/>
      <c r="O471" s="2"/>
      <c r="P471" s="2"/>
      <c r="Q471" s="2"/>
      <c r="R471" s="2"/>
      <c r="S471" s="2"/>
    </row>
    <row r="472">
      <c r="A472" s="2"/>
      <c r="B472" s="2"/>
      <c r="C472" s="2"/>
      <c r="D472" s="2"/>
      <c r="E472" s="2"/>
      <c r="F472" s="2"/>
      <c r="G472" s="2"/>
      <c r="H472" s="2"/>
      <c r="I472" s="2"/>
      <c r="J472" s="2"/>
      <c r="K472" s="2"/>
      <c r="L472" s="2"/>
      <c r="M472" s="2"/>
      <c r="N472" s="2"/>
      <c r="O472" s="2"/>
      <c r="P472" s="2"/>
      <c r="Q472" s="2"/>
      <c r="R472" s="2"/>
      <c r="S472" s="2"/>
    </row>
    <row r="473">
      <c r="A473" s="2"/>
      <c r="B473" s="2"/>
      <c r="C473" s="2"/>
      <c r="D473" s="2"/>
      <c r="E473" s="2"/>
      <c r="F473" s="2"/>
      <c r="G473" s="2"/>
      <c r="H473" s="2"/>
      <c r="I473" s="2"/>
      <c r="J473" s="2"/>
      <c r="K473" s="2"/>
      <c r="L473" s="2"/>
      <c r="M473" s="2"/>
      <c r="N473" s="2"/>
      <c r="O473" s="2"/>
      <c r="P473" s="2"/>
      <c r="Q473" s="2"/>
      <c r="R473" s="2"/>
      <c r="S473" s="2"/>
    </row>
    <row r="474">
      <c r="A474" s="2"/>
      <c r="B474" s="2"/>
      <c r="C474" s="2"/>
      <c r="D474" s="2"/>
      <c r="E474" s="2"/>
      <c r="F474" s="2"/>
      <c r="G474" s="2"/>
      <c r="H474" s="2"/>
      <c r="I474" s="2"/>
      <c r="J474" s="2"/>
      <c r="K474" s="2"/>
      <c r="L474" s="2"/>
      <c r="M474" s="2"/>
      <c r="N474" s="2"/>
      <c r="O474" s="2"/>
      <c r="P474" s="2"/>
      <c r="Q474" s="2"/>
      <c r="R474" s="2"/>
      <c r="S474" s="2"/>
    </row>
    <row r="475">
      <c r="A475" s="2"/>
      <c r="B475" s="2"/>
      <c r="C475" s="2"/>
      <c r="D475" s="2"/>
      <c r="E475" s="2"/>
      <c r="F475" s="2"/>
      <c r="G475" s="2"/>
      <c r="H475" s="2"/>
      <c r="I475" s="2"/>
      <c r="J475" s="2"/>
      <c r="K475" s="2"/>
      <c r="L475" s="2"/>
      <c r="M475" s="2"/>
      <c r="N475" s="2"/>
      <c r="O475" s="2"/>
      <c r="P475" s="2"/>
      <c r="Q475" s="2"/>
      <c r="R475" s="2"/>
      <c r="S475" s="2"/>
    </row>
    <row r="476">
      <c r="A476" s="2"/>
      <c r="B476" s="2"/>
      <c r="C476" s="2"/>
      <c r="D476" s="2"/>
      <c r="E476" s="2"/>
      <c r="F476" s="2"/>
      <c r="G476" s="2"/>
      <c r="H476" s="2"/>
      <c r="I476" s="2"/>
      <c r="J476" s="2"/>
      <c r="K476" s="2"/>
      <c r="L476" s="2"/>
      <c r="M476" s="2"/>
      <c r="N476" s="2"/>
      <c r="O476" s="2"/>
      <c r="P476" s="2"/>
      <c r="Q476" s="2"/>
      <c r="R476" s="2"/>
      <c r="S476" s="2"/>
    </row>
    <row r="477">
      <c r="A477" s="2"/>
      <c r="B477" s="2"/>
      <c r="C477" s="2"/>
      <c r="D477" s="2"/>
      <c r="E477" s="2"/>
      <c r="F477" s="2"/>
      <c r="G477" s="2"/>
      <c r="H477" s="2"/>
      <c r="I477" s="2"/>
      <c r="J477" s="2"/>
      <c r="K477" s="2"/>
      <c r="L477" s="2"/>
      <c r="M477" s="2"/>
      <c r="N477" s="2"/>
      <c r="O477" s="2"/>
      <c r="P477" s="2"/>
      <c r="Q477" s="2"/>
      <c r="R477" s="2"/>
      <c r="S477" s="2"/>
    </row>
    <row r="478">
      <c r="A478" s="2"/>
      <c r="B478" s="2"/>
      <c r="C478" s="2"/>
      <c r="D478" s="2"/>
      <c r="E478" s="2"/>
      <c r="F478" s="2"/>
      <c r="G478" s="2"/>
      <c r="H478" s="2"/>
      <c r="I478" s="2"/>
      <c r="J478" s="2"/>
      <c r="K478" s="2"/>
      <c r="L478" s="2"/>
      <c r="M478" s="2"/>
      <c r="N478" s="2"/>
      <c r="O478" s="2"/>
      <c r="P478" s="2"/>
      <c r="Q478" s="2"/>
      <c r="R478" s="2"/>
      <c r="S478" s="2"/>
    </row>
    <row r="479">
      <c r="A479" s="2"/>
      <c r="B479" s="2"/>
      <c r="C479" s="2"/>
      <c r="D479" s="2"/>
      <c r="E479" s="2"/>
      <c r="F479" s="2"/>
      <c r="G479" s="2"/>
      <c r="H479" s="2"/>
      <c r="I479" s="2"/>
      <c r="J479" s="2"/>
      <c r="K479" s="2"/>
      <c r="L479" s="2"/>
      <c r="M479" s="2"/>
      <c r="N479" s="2"/>
      <c r="O479" s="2"/>
      <c r="P479" s="2"/>
      <c r="Q479" s="2"/>
      <c r="R479" s="2"/>
      <c r="S479" s="2"/>
    </row>
    <row r="480">
      <c r="A480" s="2"/>
      <c r="B480" s="2"/>
      <c r="C480" s="2"/>
      <c r="D480" s="2"/>
      <c r="E480" s="2"/>
      <c r="F480" s="2"/>
      <c r="G480" s="2"/>
      <c r="H480" s="2"/>
      <c r="I480" s="2"/>
      <c r="J480" s="2"/>
      <c r="K480" s="2"/>
      <c r="L480" s="2"/>
      <c r="M480" s="2"/>
      <c r="N480" s="2"/>
      <c r="O480" s="2"/>
      <c r="P480" s="2"/>
      <c r="Q480" s="2"/>
      <c r="R480" s="2"/>
      <c r="S480" s="2"/>
    </row>
    <row r="481">
      <c r="A481" s="2"/>
      <c r="B481" s="2"/>
      <c r="C481" s="2"/>
      <c r="D481" s="2"/>
      <c r="E481" s="2"/>
      <c r="F481" s="2"/>
      <c r="G481" s="2"/>
      <c r="H481" s="2"/>
      <c r="I481" s="2"/>
      <c r="J481" s="2"/>
      <c r="K481" s="2"/>
      <c r="L481" s="2"/>
      <c r="M481" s="2"/>
      <c r="N481" s="2"/>
      <c r="O481" s="2"/>
      <c r="P481" s="2"/>
      <c r="Q481" s="2"/>
      <c r="R481" s="2"/>
      <c r="S481" s="2"/>
    </row>
    <row r="482">
      <c r="A482" s="2"/>
      <c r="B482" s="2"/>
      <c r="C482" s="2"/>
      <c r="D482" s="2"/>
      <c r="E482" s="2"/>
      <c r="F482" s="2"/>
      <c r="G482" s="2"/>
      <c r="H482" s="2"/>
      <c r="I482" s="2"/>
      <c r="J482" s="2"/>
      <c r="K482" s="2"/>
      <c r="L482" s="2"/>
      <c r="M482" s="2"/>
      <c r="N482" s="2"/>
      <c r="O482" s="2"/>
      <c r="P482" s="2"/>
      <c r="Q482" s="2"/>
      <c r="R482" s="2"/>
      <c r="S482" s="2"/>
    </row>
    <row r="483">
      <c r="A483" s="2"/>
      <c r="B483" s="2"/>
      <c r="C483" s="2"/>
      <c r="D483" s="2"/>
      <c r="E483" s="2"/>
      <c r="F483" s="2"/>
      <c r="G483" s="2"/>
      <c r="H483" s="2"/>
      <c r="I483" s="2"/>
      <c r="J483" s="2"/>
      <c r="K483" s="2"/>
      <c r="L483" s="2"/>
      <c r="M483" s="2"/>
      <c r="N483" s="2"/>
      <c r="O483" s="2"/>
      <c r="P483" s="2"/>
      <c r="Q483" s="2"/>
      <c r="R483" s="2"/>
      <c r="S483" s="2"/>
    </row>
    <row r="484">
      <c r="A484" s="2"/>
      <c r="B484" s="2"/>
      <c r="C484" s="2"/>
      <c r="D484" s="2"/>
      <c r="E484" s="2"/>
      <c r="F484" s="2"/>
      <c r="G484" s="2"/>
      <c r="H484" s="2"/>
      <c r="I484" s="2"/>
      <c r="J484" s="2"/>
      <c r="K484" s="2"/>
      <c r="L484" s="2"/>
      <c r="M484" s="2"/>
      <c r="N484" s="2"/>
      <c r="O484" s="2"/>
      <c r="P484" s="2"/>
      <c r="Q484" s="2"/>
      <c r="R484" s="2"/>
      <c r="S484" s="2"/>
    </row>
    <row r="485">
      <c r="A485" s="2"/>
      <c r="B485" s="2"/>
      <c r="C485" s="2"/>
      <c r="D485" s="2"/>
      <c r="E485" s="2"/>
      <c r="F485" s="2"/>
      <c r="G485" s="2"/>
      <c r="H485" s="2"/>
      <c r="I485" s="2"/>
      <c r="J485" s="2"/>
      <c r="K485" s="2"/>
      <c r="L485" s="2"/>
      <c r="M485" s="2"/>
      <c r="N485" s="2"/>
      <c r="O485" s="2"/>
      <c r="P485" s="2"/>
      <c r="Q485" s="2"/>
      <c r="R485" s="2"/>
      <c r="S485" s="2"/>
    </row>
    <row r="486">
      <c r="A486" s="2"/>
      <c r="B486" s="2"/>
      <c r="C486" s="2"/>
      <c r="D486" s="2"/>
      <c r="E486" s="2"/>
      <c r="F486" s="2"/>
      <c r="G486" s="2"/>
      <c r="H486" s="2"/>
      <c r="I486" s="2"/>
      <c r="J486" s="2"/>
      <c r="K486" s="2"/>
      <c r="L486" s="2"/>
      <c r="M486" s="2"/>
      <c r="N486" s="2"/>
      <c r="O486" s="2"/>
      <c r="P486" s="2"/>
      <c r="Q486" s="2"/>
      <c r="R486" s="2"/>
      <c r="S486" s="2"/>
    </row>
    <row r="487">
      <c r="A487" s="2"/>
      <c r="B487" s="2"/>
      <c r="C487" s="2"/>
      <c r="D487" s="2"/>
      <c r="E487" s="2"/>
      <c r="F487" s="2"/>
      <c r="G487" s="2"/>
      <c r="H487" s="2"/>
      <c r="I487" s="2"/>
      <c r="J487" s="2"/>
      <c r="K487" s="2"/>
      <c r="L487" s="2"/>
      <c r="M487" s="2"/>
      <c r="N487" s="2"/>
      <c r="O487" s="2"/>
      <c r="P487" s="2"/>
      <c r="Q487" s="2"/>
      <c r="R487" s="2"/>
      <c r="S487" s="2"/>
    </row>
    <row r="488">
      <c r="A488" s="2"/>
      <c r="B488" s="2"/>
      <c r="C488" s="2"/>
      <c r="D488" s="2"/>
      <c r="E488" s="2"/>
      <c r="F488" s="2"/>
      <c r="G488" s="2"/>
      <c r="H488" s="2"/>
      <c r="I488" s="2"/>
      <c r="J488" s="2"/>
      <c r="K488" s="2"/>
      <c r="L488" s="2"/>
      <c r="M488" s="2"/>
      <c r="N488" s="2"/>
      <c r="O488" s="2"/>
      <c r="P488" s="2"/>
      <c r="Q488" s="2"/>
      <c r="R488" s="2"/>
      <c r="S488" s="2"/>
    </row>
    <row r="489">
      <c r="A489" s="2"/>
      <c r="B489" s="2"/>
      <c r="C489" s="2"/>
      <c r="D489" s="2"/>
      <c r="E489" s="2"/>
      <c r="F489" s="2"/>
      <c r="G489" s="2"/>
      <c r="H489" s="2"/>
      <c r="I489" s="2"/>
      <c r="J489" s="2"/>
      <c r="K489" s="2"/>
      <c r="L489" s="2"/>
      <c r="M489" s="2"/>
      <c r="N489" s="2"/>
      <c r="O489" s="2"/>
      <c r="P489" s="2"/>
      <c r="Q489" s="2"/>
      <c r="R489" s="2"/>
      <c r="S489" s="2"/>
    </row>
    <row r="490">
      <c r="A490" s="2"/>
      <c r="B490" s="2"/>
      <c r="C490" s="2"/>
      <c r="D490" s="2"/>
      <c r="E490" s="2"/>
      <c r="F490" s="2"/>
      <c r="G490" s="2"/>
      <c r="H490" s="2"/>
      <c r="I490" s="2"/>
      <c r="J490" s="2"/>
      <c r="K490" s="2"/>
      <c r="L490" s="2"/>
      <c r="M490" s="2"/>
      <c r="N490" s="2"/>
      <c r="O490" s="2"/>
      <c r="P490" s="2"/>
      <c r="Q490" s="2"/>
      <c r="R490" s="2"/>
      <c r="S490" s="2"/>
    </row>
    <row r="491">
      <c r="A491" s="2"/>
      <c r="B491" s="2"/>
      <c r="C491" s="2"/>
      <c r="D491" s="2"/>
      <c r="E491" s="2"/>
      <c r="F491" s="2"/>
      <c r="G491" s="2"/>
      <c r="H491" s="2"/>
      <c r="I491" s="2"/>
      <c r="J491" s="2"/>
      <c r="K491" s="2"/>
      <c r="L491" s="2"/>
      <c r="M491" s="2"/>
      <c r="N491" s="2"/>
      <c r="O491" s="2"/>
      <c r="P491" s="2"/>
      <c r="Q491" s="2"/>
      <c r="R491" s="2"/>
      <c r="S491" s="2"/>
    </row>
    <row r="492">
      <c r="A492" s="2"/>
      <c r="B492" s="2"/>
      <c r="C492" s="2"/>
      <c r="D492" s="2"/>
      <c r="E492" s="2"/>
      <c r="F492" s="2"/>
      <c r="G492" s="2"/>
      <c r="H492" s="2"/>
      <c r="I492" s="2"/>
      <c r="J492" s="2"/>
      <c r="K492" s="2"/>
      <c r="L492" s="2"/>
      <c r="M492" s="2"/>
      <c r="N492" s="2"/>
      <c r="O492" s="2"/>
      <c r="P492" s="2"/>
      <c r="Q492" s="2"/>
      <c r="R492" s="2"/>
      <c r="S492" s="2"/>
    </row>
    <row r="493">
      <c r="A493" s="2"/>
      <c r="B493" s="2"/>
      <c r="C493" s="2"/>
      <c r="D493" s="2"/>
      <c r="E493" s="2"/>
      <c r="F493" s="2"/>
      <c r="G493" s="2"/>
      <c r="H493" s="2"/>
      <c r="I493" s="2"/>
      <c r="J493" s="2"/>
      <c r="K493" s="2"/>
      <c r="L493" s="2"/>
      <c r="M493" s="2"/>
      <c r="N493" s="2"/>
      <c r="O493" s="2"/>
      <c r="P493" s="2"/>
      <c r="Q493" s="2"/>
      <c r="R493" s="2"/>
      <c r="S493" s="2"/>
    </row>
    <row r="494">
      <c r="A494" s="2"/>
      <c r="B494" s="2"/>
      <c r="C494" s="2"/>
      <c r="D494" s="2"/>
      <c r="E494" s="2"/>
      <c r="F494" s="2"/>
      <c r="G494" s="2"/>
      <c r="H494" s="2"/>
      <c r="I494" s="2"/>
      <c r="J494" s="2"/>
      <c r="K494" s="2"/>
      <c r="L494" s="2"/>
      <c r="M494" s="2"/>
      <c r="N494" s="2"/>
      <c r="O494" s="2"/>
      <c r="P494" s="2"/>
      <c r="Q494" s="2"/>
      <c r="R494" s="2"/>
      <c r="S494" s="2"/>
    </row>
    <row r="495">
      <c r="A495" s="2"/>
      <c r="B495" s="2"/>
      <c r="C495" s="2"/>
      <c r="D495" s="2"/>
      <c r="E495" s="2"/>
      <c r="F495" s="2"/>
      <c r="G495" s="2"/>
      <c r="H495" s="2"/>
      <c r="I495" s="2"/>
      <c r="J495" s="2"/>
      <c r="K495" s="2"/>
      <c r="L495" s="2"/>
      <c r="M495" s="2"/>
      <c r="N495" s="2"/>
      <c r="O495" s="2"/>
      <c r="P495" s="2"/>
      <c r="Q495" s="2"/>
      <c r="R495" s="2"/>
      <c r="S495" s="2"/>
    </row>
    <row r="496">
      <c r="A496" s="2"/>
      <c r="B496" s="2"/>
      <c r="C496" s="2"/>
      <c r="D496" s="2"/>
      <c r="E496" s="2"/>
      <c r="F496" s="2"/>
      <c r="G496" s="2"/>
      <c r="H496" s="2"/>
      <c r="I496" s="2"/>
      <c r="J496" s="2"/>
      <c r="K496" s="2"/>
      <c r="L496" s="2"/>
      <c r="M496" s="2"/>
      <c r="N496" s="2"/>
      <c r="O496" s="2"/>
      <c r="P496" s="2"/>
      <c r="Q496" s="2"/>
      <c r="R496" s="2"/>
      <c r="S496" s="2"/>
    </row>
    <row r="497">
      <c r="A497" s="2"/>
      <c r="B497" s="2"/>
      <c r="C497" s="2"/>
      <c r="D497" s="2"/>
      <c r="E497" s="2"/>
      <c r="F497" s="2"/>
      <c r="G497" s="2"/>
      <c r="H497" s="2"/>
      <c r="I497" s="2"/>
      <c r="J497" s="2"/>
      <c r="K497" s="2"/>
      <c r="L497" s="2"/>
      <c r="M497" s="2"/>
      <c r="N497" s="2"/>
      <c r="O497" s="2"/>
      <c r="P497" s="2"/>
      <c r="Q497" s="2"/>
      <c r="R497" s="2"/>
      <c r="S497" s="2"/>
    </row>
    <row r="498">
      <c r="A498" s="2"/>
      <c r="B498" s="2"/>
      <c r="C498" s="2"/>
      <c r="D498" s="2"/>
      <c r="E498" s="2"/>
      <c r="F498" s="2"/>
      <c r="G498" s="2"/>
      <c r="H498" s="2"/>
      <c r="I498" s="2"/>
      <c r="J498" s="2"/>
      <c r="K498" s="2"/>
      <c r="L498" s="2"/>
      <c r="M498" s="2"/>
      <c r="N498" s="2"/>
      <c r="O498" s="2"/>
      <c r="P498" s="2"/>
      <c r="Q498" s="2"/>
      <c r="R498" s="2"/>
      <c r="S498" s="2"/>
    </row>
    <row r="499">
      <c r="A499" s="2"/>
      <c r="B499" s="2"/>
      <c r="C499" s="2"/>
      <c r="D499" s="2"/>
      <c r="E499" s="2"/>
      <c r="F499" s="2"/>
      <c r="G499" s="2"/>
      <c r="H499" s="2"/>
      <c r="I499" s="2"/>
      <c r="J499" s="2"/>
      <c r="K499" s="2"/>
      <c r="L499" s="2"/>
      <c r="M499" s="2"/>
      <c r="N499" s="2"/>
      <c r="O499" s="2"/>
      <c r="P499" s="2"/>
      <c r="Q499" s="2"/>
      <c r="R499" s="2"/>
      <c r="S499" s="2"/>
    </row>
    <row r="500">
      <c r="A500" s="2"/>
      <c r="B500" s="2"/>
      <c r="C500" s="2"/>
      <c r="D500" s="2"/>
      <c r="E500" s="2"/>
      <c r="F500" s="2"/>
      <c r="G500" s="2"/>
      <c r="H500" s="2"/>
      <c r="I500" s="2"/>
      <c r="J500" s="2"/>
      <c r="K500" s="2"/>
      <c r="L500" s="2"/>
      <c r="M500" s="2"/>
      <c r="N500" s="2"/>
      <c r="O500" s="2"/>
      <c r="P500" s="2"/>
      <c r="Q500" s="2"/>
      <c r="R500" s="2"/>
      <c r="S500" s="2"/>
    </row>
    <row r="501">
      <c r="A501" s="2"/>
      <c r="B501" s="2"/>
      <c r="C501" s="2"/>
      <c r="D501" s="2"/>
      <c r="E501" s="2"/>
      <c r="F501" s="2"/>
      <c r="G501" s="2"/>
      <c r="H501" s="2"/>
      <c r="I501" s="2"/>
      <c r="J501" s="2"/>
      <c r="K501" s="2"/>
      <c r="L501" s="2"/>
      <c r="M501" s="2"/>
      <c r="N501" s="2"/>
      <c r="O501" s="2"/>
      <c r="P501" s="2"/>
      <c r="Q501" s="2"/>
      <c r="R501" s="2"/>
      <c r="S501" s="2"/>
    </row>
    <row r="502">
      <c r="A502" s="2"/>
      <c r="B502" s="2"/>
      <c r="C502" s="2"/>
      <c r="D502" s="2"/>
      <c r="E502" s="2"/>
      <c r="F502" s="2"/>
      <c r="G502" s="2"/>
      <c r="H502" s="2"/>
      <c r="I502" s="2"/>
      <c r="J502" s="2"/>
      <c r="K502" s="2"/>
      <c r="L502" s="2"/>
      <c r="M502" s="2"/>
      <c r="N502" s="2"/>
      <c r="O502" s="2"/>
      <c r="P502" s="2"/>
      <c r="Q502" s="2"/>
      <c r="R502" s="2"/>
      <c r="S502" s="2"/>
    </row>
    <row r="503">
      <c r="A503" s="2"/>
      <c r="B503" s="2"/>
      <c r="C503" s="2"/>
      <c r="D503" s="2"/>
      <c r="E503" s="2"/>
      <c r="F503" s="2"/>
      <c r="G503" s="2"/>
      <c r="H503" s="2"/>
      <c r="I503" s="2"/>
      <c r="J503" s="2"/>
      <c r="K503" s="2"/>
      <c r="L503" s="2"/>
      <c r="M503" s="2"/>
      <c r="N503" s="2"/>
      <c r="O503" s="2"/>
      <c r="P503" s="2"/>
      <c r="Q503" s="2"/>
      <c r="R503" s="2"/>
      <c r="S503" s="2"/>
    </row>
    <row r="504">
      <c r="A504" s="2"/>
      <c r="B504" s="2"/>
      <c r="C504" s="2"/>
      <c r="D504" s="2"/>
      <c r="E504" s="2"/>
      <c r="F504" s="2"/>
      <c r="G504" s="2"/>
      <c r="H504" s="2"/>
      <c r="I504" s="2"/>
      <c r="J504" s="2"/>
      <c r="K504" s="2"/>
      <c r="L504" s="2"/>
      <c r="M504" s="2"/>
      <c r="N504" s="2"/>
      <c r="O504" s="2"/>
      <c r="P504" s="2"/>
      <c r="Q504" s="2"/>
      <c r="R504" s="2"/>
      <c r="S504" s="2"/>
    </row>
    <row r="505">
      <c r="A505" s="2"/>
      <c r="B505" s="2"/>
      <c r="C505" s="2"/>
      <c r="D505" s="2"/>
      <c r="E505" s="2"/>
      <c r="F505" s="2"/>
      <c r="G505" s="2"/>
      <c r="H505" s="2"/>
      <c r="I505" s="2"/>
      <c r="J505" s="2"/>
      <c r="K505" s="2"/>
      <c r="L505" s="2"/>
      <c r="M505" s="2"/>
      <c r="N505" s="2"/>
      <c r="O505" s="2"/>
      <c r="P505" s="2"/>
      <c r="Q505" s="2"/>
      <c r="R505" s="2"/>
      <c r="S505" s="2"/>
    </row>
    <row r="506">
      <c r="A506" s="2"/>
      <c r="B506" s="2"/>
      <c r="C506" s="2"/>
      <c r="D506" s="2"/>
      <c r="E506" s="2"/>
      <c r="F506" s="2"/>
      <c r="G506" s="2"/>
      <c r="H506" s="2"/>
      <c r="I506" s="2"/>
      <c r="J506" s="2"/>
      <c r="K506" s="2"/>
      <c r="L506" s="2"/>
      <c r="M506" s="2"/>
      <c r="N506" s="2"/>
      <c r="O506" s="2"/>
      <c r="P506" s="2"/>
      <c r="Q506" s="2"/>
      <c r="R506" s="2"/>
      <c r="S506" s="2"/>
    </row>
    <row r="507">
      <c r="A507" s="2"/>
      <c r="B507" s="2"/>
      <c r="C507" s="2"/>
      <c r="D507" s="2"/>
      <c r="E507" s="2"/>
      <c r="F507" s="2"/>
      <c r="G507" s="2"/>
      <c r="H507" s="2"/>
      <c r="I507" s="2"/>
      <c r="J507" s="2"/>
      <c r="K507" s="2"/>
      <c r="L507" s="2"/>
      <c r="M507" s="2"/>
      <c r="N507" s="2"/>
      <c r="O507" s="2"/>
      <c r="P507" s="2"/>
      <c r="Q507" s="2"/>
      <c r="R507" s="2"/>
      <c r="S507" s="2"/>
    </row>
    <row r="508">
      <c r="A508" s="2"/>
      <c r="B508" s="2"/>
      <c r="C508" s="2"/>
      <c r="D508" s="2"/>
      <c r="E508" s="2"/>
      <c r="F508" s="2"/>
      <c r="G508" s="2"/>
      <c r="H508" s="2"/>
      <c r="I508" s="2"/>
      <c r="J508" s="2"/>
      <c r="K508" s="2"/>
      <c r="L508" s="2"/>
      <c r="M508" s="2"/>
      <c r="N508" s="2"/>
      <c r="O508" s="2"/>
      <c r="P508" s="2"/>
      <c r="Q508" s="2"/>
      <c r="R508" s="2"/>
      <c r="S508" s="2"/>
    </row>
    <row r="509">
      <c r="A509" s="2"/>
      <c r="B509" s="2"/>
      <c r="C509" s="2"/>
      <c r="D509" s="2"/>
      <c r="E509" s="2"/>
      <c r="F509" s="2"/>
      <c r="G509" s="2"/>
      <c r="H509" s="2"/>
      <c r="I509" s="2"/>
      <c r="J509" s="2"/>
      <c r="K509" s="2"/>
      <c r="L509" s="2"/>
      <c r="M509" s="2"/>
      <c r="N509" s="2"/>
      <c r="O509" s="2"/>
      <c r="P509" s="2"/>
      <c r="Q509" s="2"/>
      <c r="R509" s="2"/>
      <c r="S509" s="2"/>
    </row>
    <row r="510">
      <c r="A510" s="2"/>
      <c r="B510" s="2"/>
      <c r="C510" s="2"/>
      <c r="D510" s="2"/>
      <c r="E510" s="2"/>
      <c r="F510" s="2"/>
      <c r="G510" s="2"/>
      <c r="H510" s="2"/>
      <c r="I510" s="2"/>
      <c r="J510" s="2"/>
      <c r="K510" s="2"/>
      <c r="L510" s="2"/>
      <c r="M510" s="2"/>
      <c r="N510" s="2"/>
      <c r="O510" s="2"/>
      <c r="P510" s="2"/>
      <c r="Q510" s="2"/>
      <c r="R510" s="2"/>
      <c r="S510" s="2"/>
    </row>
    <row r="511">
      <c r="A511" s="2"/>
      <c r="B511" s="2"/>
      <c r="C511" s="2"/>
      <c r="D511" s="2"/>
      <c r="E511" s="2"/>
      <c r="F511" s="2"/>
      <c r="G511" s="2"/>
      <c r="H511" s="2"/>
      <c r="I511" s="2"/>
      <c r="J511" s="2"/>
      <c r="K511" s="2"/>
      <c r="L511" s="2"/>
      <c r="M511" s="2"/>
      <c r="N511" s="2"/>
      <c r="O511" s="2"/>
      <c r="P511" s="2"/>
      <c r="Q511" s="2"/>
      <c r="R511" s="2"/>
      <c r="S511" s="2"/>
    </row>
    <row r="512">
      <c r="A512" s="2"/>
      <c r="B512" s="2"/>
      <c r="C512" s="2"/>
      <c r="D512" s="2"/>
      <c r="E512" s="2"/>
      <c r="F512" s="2"/>
      <c r="G512" s="2"/>
      <c r="H512" s="2"/>
      <c r="I512" s="2"/>
      <c r="J512" s="2"/>
      <c r="K512" s="2"/>
      <c r="L512" s="2"/>
      <c r="M512" s="2"/>
      <c r="N512" s="2"/>
      <c r="O512" s="2"/>
      <c r="P512" s="2"/>
      <c r="Q512" s="2"/>
      <c r="R512" s="2"/>
      <c r="S512" s="2"/>
    </row>
    <row r="513">
      <c r="A513" s="2"/>
      <c r="B513" s="2"/>
      <c r="C513" s="2"/>
      <c r="D513" s="2"/>
      <c r="E513" s="2"/>
      <c r="F513" s="2"/>
      <c r="G513" s="2"/>
      <c r="H513" s="2"/>
      <c r="I513" s="2"/>
      <c r="J513" s="2"/>
      <c r="K513" s="2"/>
      <c r="L513" s="2"/>
      <c r="M513" s="2"/>
      <c r="N513" s="2"/>
      <c r="O513" s="2"/>
      <c r="P513" s="2"/>
      <c r="Q513" s="2"/>
      <c r="R513" s="2"/>
      <c r="S513" s="2"/>
    </row>
    <row r="514">
      <c r="A514" s="2"/>
      <c r="B514" s="2"/>
      <c r="C514" s="2"/>
      <c r="D514" s="2"/>
      <c r="E514" s="2"/>
      <c r="F514" s="2"/>
      <c r="G514" s="2"/>
      <c r="H514" s="2"/>
      <c r="I514" s="2"/>
      <c r="J514" s="2"/>
      <c r="K514" s="2"/>
      <c r="L514" s="2"/>
      <c r="M514" s="2"/>
      <c r="N514" s="2"/>
      <c r="O514" s="2"/>
      <c r="P514" s="2"/>
      <c r="Q514" s="2"/>
      <c r="R514" s="2"/>
      <c r="S514" s="2"/>
    </row>
    <row r="515">
      <c r="A515" s="2"/>
      <c r="B515" s="2"/>
      <c r="C515" s="2"/>
      <c r="D515" s="2"/>
      <c r="E515" s="2"/>
      <c r="F515" s="2"/>
      <c r="G515" s="2"/>
      <c r="H515" s="2"/>
      <c r="I515" s="2"/>
      <c r="J515" s="2"/>
      <c r="K515" s="2"/>
      <c r="L515" s="2"/>
      <c r="M515" s="2"/>
      <c r="N515" s="2"/>
      <c r="O515" s="2"/>
      <c r="P515" s="2"/>
      <c r="Q515" s="2"/>
      <c r="R515" s="2"/>
      <c r="S515" s="2"/>
    </row>
    <row r="516">
      <c r="A516" s="2"/>
      <c r="B516" s="2"/>
      <c r="C516" s="2"/>
      <c r="D516" s="2"/>
      <c r="E516" s="2"/>
      <c r="F516" s="2"/>
      <c r="G516" s="2"/>
      <c r="H516" s="2"/>
      <c r="I516" s="2"/>
      <c r="J516" s="2"/>
      <c r="K516" s="2"/>
      <c r="L516" s="2"/>
      <c r="M516" s="2"/>
      <c r="N516" s="2"/>
      <c r="O516" s="2"/>
      <c r="P516" s="2"/>
      <c r="Q516" s="2"/>
      <c r="R516" s="2"/>
      <c r="S516" s="2"/>
    </row>
    <row r="517">
      <c r="A517" s="2"/>
      <c r="B517" s="2"/>
      <c r="C517" s="2"/>
      <c r="D517" s="2"/>
      <c r="E517" s="2"/>
      <c r="F517" s="2"/>
      <c r="G517" s="2"/>
      <c r="H517" s="2"/>
      <c r="I517" s="2"/>
      <c r="J517" s="2"/>
      <c r="K517" s="2"/>
      <c r="L517" s="2"/>
      <c r="M517" s="2"/>
      <c r="N517" s="2"/>
      <c r="O517" s="2"/>
      <c r="P517" s="2"/>
      <c r="Q517" s="2"/>
      <c r="R517" s="2"/>
      <c r="S517" s="2"/>
    </row>
    <row r="518">
      <c r="A518" s="2"/>
      <c r="B518" s="2"/>
      <c r="C518" s="2"/>
      <c r="D518" s="2"/>
      <c r="E518" s="2"/>
      <c r="F518" s="2"/>
      <c r="G518" s="2"/>
      <c r="H518" s="2"/>
      <c r="I518" s="2"/>
      <c r="J518" s="2"/>
      <c r="K518" s="2"/>
      <c r="L518" s="2"/>
      <c r="M518" s="2"/>
      <c r="N518" s="2"/>
      <c r="O518" s="2"/>
      <c r="P518" s="2"/>
      <c r="Q518" s="2"/>
      <c r="R518" s="2"/>
      <c r="S518" s="2"/>
    </row>
    <row r="519">
      <c r="A519" s="2"/>
      <c r="B519" s="2"/>
      <c r="C519" s="2"/>
      <c r="D519" s="2"/>
      <c r="E519" s="2"/>
      <c r="F519" s="2"/>
      <c r="G519" s="2"/>
      <c r="H519" s="2"/>
      <c r="I519" s="2"/>
      <c r="J519" s="2"/>
      <c r="K519" s="2"/>
      <c r="L519" s="2"/>
      <c r="M519" s="2"/>
      <c r="N519" s="2"/>
      <c r="O519" s="2"/>
      <c r="P519" s="2"/>
      <c r="Q519" s="2"/>
      <c r="R519" s="2"/>
      <c r="S519" s="2"/>
    </row>
    <row r="520">
      <c r="A520" s="2"/>
      <c r="B520" s="2"/>
      <c r="C520" s="2"/>
      <c r="D520" s="2"/>
      <c r="E520" s="2"/>
      <c r="F520" s="2"/>
      <c r="G520" s="2"/>
      <c r="H520" s="2"/>
      <c r="I520" s="2"/>
      <c r="J520" s="2"/>
      <c r="K520" s="2"/>
      <c r="L520" s="2"/>
      <c r="M520" s="2"/>
      <c r="N520" s="2"/>
      <c r="O520" s="2"/>
      <c r="P520" s="2"/>
      <c r="Q520" s="2"/>
      <c r="R520" s="2"/>
      <c r="S520" s="2"/>
    </row>
    <row r="521">
      <c r="A521" s="2"/>
      <c r="B521" s="2"/>
      <c r="C521" s="2"/>
      <c r="D521" s="2"/>
      <c r="E521" s="2"/>
      <c r="F521" s="2"/>
      <c r="G521" s="2"/>
      <c r="H521" s="2"/>
      <c r="I521" s="2"/>
      <c r="J521" s="2"/>
      <c r="K521" s="2"/>
      <c r="L521" s="2"/>
      <c r="M521" s="2"/>
      <c r="N521" s="2"/>
      <c r="O521" s="2"/>
      <c r="P521" s="2"/>
      <c r="Q521" s="2"/>
      <c r="R521" s="2"/>
      <c r="S521" s="2"/>
    </row>
    <row r="522">
      <c r="A522" s="2"/>
      <c r="B522" s="2"/>
      <c r="C522" s="2"/>
      <c r="D522" s="2"/>
      <c r="E522" s="2"/>
      <c r="F522" s="2"/>
      <c r="G522" s="2"/>
      <c r="H522" s="2"/>
      <c r="I522" s="2"/>
      <c r="J522" s="2"/>
      <c r="K522" s="2"/>
      <c r="L522" s="2"/>
      <c r="M522" s="2"/>
      <c r="N522" s="2"/>
      <c r="O522" s="2"/>
      <c r="P522" s="2"/>
      <c r="Q522" s="2"/>
      <c r="R522" s="2"/>
      <c r="S522" s="2"/>
    </row>
    <row r="523">
      <c r="A523" s="2"/>
      <c r="B523" s="2"/>
      <c r="C523" s="2"/>
      <c r="D523" s="2"/>
      <c r="E523" s="2"/>
      <c r="F523" s="2"/>
      <c r="G523" s="2"/>
      <c r="H523" s="2"/>
      <c r="I523" s="2"/>
      <c r="J523" s="2"/>
      <c r="K523" s="2"/>
      <c r="L523" s="2"/>
      <c r="M523" s="2"/>
      <c r="N523" s="2"/>
      <c r="O523" s="2"/>
      <c r="P523" s="2"/>
      <c r="Q523" s="2"/>
      <c r="R523" s="2"/>
      <c r="S523" s="2"/>
    </row>
    <row r="524">
      <c r="A524" s="2"/>
      <c r="B524" s="2"/>
      <c r="C524" s="2"/>
      <c r="D524" s="2"/>
      <c r="E524" s="2"/>
      <c r="F524" s="2"/>
      <c r="G524" s="2"/>
      <c r="H524" s="2"/>
      <c r="I524" s="2"/>
      <c r="J524" s="2"/>
      <c r="K524" s="2"/>
      <c r="L524" s="2"/>
      <c r="M524" s="2"/>
      <c r="N524" s="2"/>
      <c r="O524" s="2"/>
      <c r="P524" s="2"/>
      <c r="Q524" s="2"/>
      <c r="R524" s="2"/>
      <c r="S524" s="2"/>
    </row>
    <row r="525">
      <c r="A525" s="2"/>
      <c r="B525" s="2"/>
      <c r="C525" s="2"/>
      <c r="D525" s="2"/>
      <c r="E525" s="2"/>
      <c r="F525" s="2"/>
      <c r="G525" s="2"/>
      <c r="H525" s="2"/>
      <c r="I525" s="2"/>
      <c r="J525" s="2"/>
      <c r="K525" s="2"/>
      <c r="L525" s="2"/>
      <c r="M525" s="2"/>
      <c r="N525" s="2"/>
      <c r="O525" s="2"/>
      <c r="P525" s="2"/>
      <c r="Q525" s="2"/>
      <c r="R525" s="2"/>
      <c r="S525" s="2"/>
    </row>
    <row r="526">
      <c r="A526" s="2"/>
      <c r="B526" s="2"/>
      <c r="C526" s="2"/>
      <c r="D526" s="2"/>
      <c r="E526" s="2"/>
      <c r="F526" s="2"/>
      <c r="G526" s="2"/>
      <c r="H526" s="2"/>
      <c r="I526" s="2"/>
      <c r="J526" s="2"/>
      <c r="K526" s="2"/>
      <c r="L526" s="2"/>
      <c r="M526" s="2"/>
      <c r="N526" s="2"/>
      <c r="O526" s="2"/>
      <c r="P526" s="2"/>
      <c r="Q526" s="2"/>
      <c r="R526" s="2"/>
      <c r="S526" s="2"/>
    </row>
    <row r="527">
      <c r="A527" s="2"/>
      <c r="B527" s="2"/>
      <c r="C527" s="2"/>
      <c r="D527" s="2"/>
      <c r="E527" s="2"/>
      <c r="F527" s="2"/>
      <c r="G527" s="2"/>
      <c r="H527" s="2"/>
      <c r="I527" s="2"/>
      <c r="J527" s="2"/>
      <c r="K527" s="2"/>
      <c r="L527" s="2"/>
      <c r="M527" s="2"/>
      <c r="N527" s="2"/>
      <c r="O527" s="2"/>
      <c r="P527" s="2"/>
      <c r="Q527" s="2"/>
      <c r="R527" s="2"/>
      <c r="S527" s="2"/>
    </row>
    <row r="528">
      <c r="A528" s="2"/>
      <c r="B528" s="2"/>
      <c r="C528" s="2"/>
      <c r="D528" s="2"/>
      <c r="E528" s="2"/>
      <c r="F528" s="2"/>
      <c r="G528" s="2"/>
      <c r="H528" s="2"/>
      <c r="I528" s="2"/>
      <c r="J528" s="2"/>
      <c r="K528" s="2"/>
      <c r="L528" s="2"/>
      <c r="M528" s="2"/>
      <c r="N528" s="2"/>
      <c r="O528" s="2"/>
      <c r="P528" s="2"/>
      <c r="Q528" s="2"/>
      <c r="R528" s="2"/>
      <c r="S528" s="2"/>
    </row>
    <row r="529">
      <c r="A529" s="2"/>
      <c r="B529" s="2"/>
      <c r="C529" s="2"/>
      <c r="D529" s="2"/>
      <c r="E529" s="2"/>
      <c r="F529" s="2"/>
      <c r="G529" s="2"/>
      <c r="H529" s="2"/>
      <c r="I529" s="2"/>
      <c r="J529" s="2"/>
      <c r="K529" s="2"/>
      <c r="L529" s="2"/>
      <c r="M529" s="2"/>
      <c r="N529" s="2"/>
      <c r="O529" s="2"/>
      <c r="P529" s="2"/>
      <c r="Q529" s="2"/>
      <c r="R529" s="2"/>
      <c r="S529" s="2"/>
    </row>
    <row r="530">
      <c r="A530" s="2"/>
      <c r="B530" s="2"/>
      <c r="C530" s="2"/>
      <c r="D530" s="2"/>
      <c r="E530" s="2"/>
      <c r="F530" s="2"/>
      <c r="G530" s="2"/>
      <c r="H530" s="2"/>
      <c r="I530" s="2"/>
      <c r="J530" s="2"/>
      <c r="K530" s="2"/>
      <c r="L530" s="2"/>
      <c r="M530" s="2"/>
      <c r="N530" s="2"/>
      <c r="O530" s="2"/>
      <c r="P530" s="2"/>
      <c r="Q530" s="2"/>
      <c r="R530" s="2"/>
      <c r="S530" s="2"/>
    </row>
    <row r="531">
      <c r="A531" s="2"/>
      <c r="B531" s="2"/>
      <c r="C531" s="2"/>
      <c r="D531" s="2"/>
      <c r="E531" s="2"/>
      <c r="F531" s="2"/>
      <c r="G531" s="2"/>
      <c r="H531" s="2"/>
      <c r="I531" s="2"/>
      <c r="J531" s="2"/>
      <c r="K531" s="2"/>
      <c r="L531" s="2"/>
      <c r="M531" s="2"/>
      <c r="N531" s="2"/>
      <c r="O531" s="2"/>
      <c r="P531" s="2"/>
      <c r="Q531" s="2"/>
      <c r="R531" s="2"/>
      <c r="S531" s="2"/>
    </row>
    <row r="532">
      <c r="A532" s="2"/>
      <c r="B532" s="2"/>
      <c r="C532" s="2"/>
      <c r="D532" s="2"/>
      <c r="E532" s="2"/>
      <c r="F532" s="2"/>
      <c r="G532" s="2"/>
      <c r="H532" s="2"/>
      <c r="I532" s="2"/>
      <c r="J532" s="2"/>
      <c r="K532" s="2"/>
      <c r="L532" s="2"/>
      <c r="M532" s="2"/>
      <c r="N532" s="2"/>
      <c r="O532" s="2"/>
      <c r="P532" s="2"/>
      <c r="Q532" s="2"/>
      <c r="R532" s="2"/>
      <c r="S532" s="2"/>
    </row>
    <row r="533">
      <c r="A533" s="2"/>
      <c r="B533" s="2"/>
      <c r="C533" s="2"/>
      <c r="D533" s="2"/>
      <c r="E533" s="2"/>
      <c r="F533" s="2"/>
      <c r="G533" s="2"/>
      <c r="H533" s="2"/>
      <c r="I533" s="2"/>
      <c r="J533" s="2"/>
      <c r="K533" s="2"/>
      <c r="L533" s="2"/>
      <c r="M533" s="2"/>
      <c r="N533" s="2"/>
      <c r="O533" s="2"/>
      <c r="P533" s="2"/>
      <c r="Q533" s="2"/>
      <c r="R533" s="2"/>
      <c r="S533" s="2"/>
    </row>
    <row r="534">
      <c r="A534" s="2"/>
      <c r="B534" s="2"/>
      <c r="C534" s="2"/>
      <c r="D534" s="2"/>
      <c r="E534" s="2"/>
      <c r="F534" s="2"/>
      <c r="G534" s="2"/>
      <c r="H534" s="2"/>
      <c r="I534" s="2"/>
      <c r="J534" s="2"/>
      <c r="K534" s="2"/>
      <c r="L534" s="2"/>
      <c r="M534" s="2"/>
      <c r="N534" s="2"/>
      <c r="O534" s="2"/>
      <c r="P534" s="2"/>
      <c r="Q534" s="2"/>
      <c r="R534" s="2"/>
      <c r="S534" s="2"/>
    </row>
    <row r="535">
      <c r="A535" s="2"/>
      <c r="B535" s="2"/>
      <c r="C535" s="2"/>
      <c r="D535" s="2"/>
      <c r="E535" s="2"/>
      <c r="F535" s="2"/>
      <c r="G535" s="2"/>
      <c r="H535" s="2"/>
      <c r="I535" s="2"/>
      <c r="J535" s="2"/>
      <c r="K535" s="2"/>
      <c r="L535" s="2"/>
      <c r="M535" s="2"/>
      <c r="N535" s="2"/>
      <c r="O535" s="2"/>
      <c r="P535" s="2"/>
      <c r="Q535" s="2"/>
      <c r="R535" s="2"/>
      <c r="S535" s="2"/>
    </row>
    <row r="536">
      <c r="A536" s="2"/>
      <c r="B536" s="2"/>
      <c r="C536" s="2"/>
      <c r="D536" s="2"/>
      <c r="E536" s="2"/>
      <c r="F536" s="2"/>
      <c r="G536" s="2"/>
      <c r="H536" s="2"/>
      <c r="I536" s="2"/>
      <c r="J536" s="2"/>
      <c r="K536" s="2"/>
      <c r="L536" s="2"/>
      <c r="M536" s="2"/>
      <c r="N536" s="2"/>
      <c r="O536" s="2"/>
      <c r="P536" s="2"/>
      <c r="Q536" s="2"/>
      <c r="R536" s="2"/>
      <c r="S536" s="2"/>
    </row>
    <row r="537">
      <c r="A537" s="2"/>
      <c r="B537" s="2"/>
      <c r="C537" s="2"/>
      <c r="D537" s="2"/>
      <c r="E537" s="2"/>
      <c r="F537" s="2"/>
      <c r="G537" s="2"/>
      <c r="H537" s="2"/>
      <c r="I537" s="2"/>
      <c r="J537" s="2"/>
      <c r="K537" s="2"/>
      <c r="L537" s="2"/>
      <c r="M537" s="2"/>
      <c r="N537" s="2"/>
      <c r="O537" s="2"/>
      <c r="P537" s="2"/>
      <c r="Q537" s="2"/>
      <c r="R537" s="2"/>
      <c r="S537" s="2"/>
    </row>
    <row r="538">
      <c r="A538" s="2"/>
      <c r="B538" s="2"/>
      <c r="C538" s="2"/>
      <c r="D538" s="2"/>
      <c r="E538" s="2"/>
      <c r="F538" s="2"/>
      <c r="G538" s="2"/>
      <c r="H538" s="2"/>
      <c r="I538" s="2"/>
      <c r="J538" s="2"/>
      <c r="K538" s="2"/>
      <c r="L538" s="2"/>
      <c r="M538" s="2"/>
      <c r="N538" s="2"/>
      <c r="O538" s="2"/>
      <c r="P538" s="2"/>
      <c r="Q538" s="2"/>
      <c r="R538" s="2"/>
      <c r="S538" s="2"/>
    </row>
    <row r="539">
      <c r="A539" s="2"/>
      <c r="B539" s="2"/>
      <c r="C539" s="2"/>
      <c r="D539" s="2"/>
      <c r="E539" s="2"/>
      <c r="F539" s="2"/>
      <c r="G539" s="2"/>
      <c r="H539" s="2"/>
      <c r="I539" s="2"/>
      <c r="J539" s="2"/>
      <c r="K539" s="2"/>
      <c r="L539" s="2"/>
      <c r="M539" s="2"/>
      <c r="N539" s="2"/>
      <c r="O539" s="2"/>
      <c r="P539" s="2"/>
      <c r="Q539" s="2"/>
      <c r="R539" s="2"/>
      <c r="S539" s="2"/>
    </row>
    <row r="540">
      <c r="A540" s="2"/>
      <c r="B540" s="2"/>
      <c r="C540" s="2"/>
      <c r="D540" s="2"/>
      <c r="E540" s="2"/>
      <c r="F540" s="2"/>
      <c r="G540" s="2"/>
      <c r="H540" s="2"/>
      <c r="I540" s="2"/>
      <c r="J540" s="2"/>
      <c r="K540" s="2"/>
      <c r="L540" s="2"/>
      <c r="M540" s="2"/>
      <c r="N540" s="2"/>
      <c r="O540" s="2"/>
      <c r="P540" s="2"/>
      <c r="Q540" s="2"/>
      <c r="R540" s="2"/>
      <c r="S540" s="2"/>
    </row>
    <row r="541">
      <c r="A541" s="2"/>
      <c r="B541" s="2"/>
      <c r="C541" s="2"/>
      <c r="D541" s="2"/>
      <c r="E541" s="2"/>
      <c r="F541" s="2"/>
      <c r="G541" s="2"/>
      <c r="H541" s="2"/>
      <c r="I541" s="2"/>
      <c r="J541" s="2"/>
      <c r="K541" s="2"/>
      <c r="L541" s="2"/>
      <c r="M541" s="2"/>
      <c r="N541" s="2"/>
      <c r="O541" s="2"/>
      <c r="P541" s="2"/>
      <c r="Q541" s="2"/>
      <c r="R541" s="2"/>
      <c r="S541" s="2"/>
    </row>
    <row r="542">
      <c r="A542" s="2"/>
      <c r="B542" s="2"/>
      <c r="C542" s="2"/>
      <c r="D542" s="2"/>
      <c r="E542" s="2"/>
      <c r="F542" s="2"/>
      <c r="G542" s="2"/>
      <c r="H542" s="2"/>
      <c r="I542" s="2"/>
      <c r="J542" s="2"/>
      <c r="K542" s="2"/>
      <c r="L542" s="2"/>
      <c r="M542" s="2"/>
      <c r="N542" s="2"/>
      <c r="O542" s="2"/>
      <c r="P542" s="2"/>
      <c r="Q542" s="2"/>
      <c r="R542" s="2"/>
      <c r="S542" s="2"/>
    </row>
    <row r="543">
      <c r="A543" s="2"/>
      <c r="B543" s="2"/>
      <c r="C543" s="2"/>
      <c r="D543" s="2"/>
      <c r="E543" s="2"/>
      <c r="F543" s="2"/>
      <c r="G543" s="2"/>
      <c r="H543" s="2"/>
      <c r="I543" s="2"/>
      <c r="J543" s="2"/>
      <c r="K543" s="2"/>
      <c r="L543" s="2"/>
      <c r="M543" s="2"/>
      <c r="N543" s="2"/>
      <c r="O543" s="2"/>
      <c r="P543" s="2"/>
      <c r="Q543" s="2"/>
      <c r="R543" s="2"/>
      <c r="S543" s="2"/>
    </row>
    <row r="544">
      <c r="A544" s="2"/>
      <c r="B544" s="2"/>
      <c r="C544" s="2"/>
      <c r="D544" s="2"/>
      <c r="E544" s="2"/>
      <c r="F544" s="2"/>
      <c r="G544" s="2"/>
      <c r="H544" s="2"/>
      <c r="I544" s="2"/>
      <c r="J544" s="2"/>
      <c r="K544" s="2"/>
      <c r="L544" s="2"/>
      <c r="M544" s="2"/>
      <c r="N544" s="2"/>
      <c r="O544" s="2"/>
      <c r="P544" s="2"/>
      <c r="Q544" s="2"/>
      <c r="R544" s="2"/>
      <c r="S544" s="2"/>
    </row>
    <row r="545">
      <c r="A545" s="2"/>
      <c r="B545" s="2"/>
      <c r="C545" s="2"/>
      <c r="D545" s="2"/>
      <c r="E545" s="2"/>
      <c r="F545" s="2"/>
      <c r="G545" s="2"/>
      <c r="H545" s="2"/>
      <c r="I545" s="2"/>
      <c r="J545" s="2"/>
      <c r="K545" s="2"/>
      <c r="L545" s="2"/>
      <c r="M545" s="2"/>
      <c r="N545" s="2"/>
      <c r="O545" s="2"/>
      <c r="P545" s="2"/>
      <c r="Q545" s="2"/>
      <c r="R545" s="2"/>
      <c r="S545" s="2"/>
    </row>
    <row r="546">
      <c r="A546" s="2"/>
      <c r="B546" s="2"/>
      <c r="C546" s="2"/>
      <c r="D546" s="2"/>
      <c r="E546" s="2"/>
      <c r="F546" s="2"/>
      <c r="G546" s="2"/>
      <c r="H546" s="2"/>
      <c r="I546" s="2"/>
      <c r="J546" s="2"/>
      <c r="K546" s="2"/>
      <c r="L546" s="2"/>
      <c r="M546" s="2"/>
      <c r="N546" s="2"/>
      <c r="O546" s="2"/>
      <c r="P546" s="2"/>
      <c r="Q546" s="2"/>
      <c r="R546" s="2"/>
      <c r="S546" s="2"/>
    </row>
    <row r="547">
      <c r="A547" s="2"/>
      <c r="B547" s="2"/>
      <c r="C547" s="2"/>
      <c r="D547" s="2"/>
      <c r="E547" s="2"/>
      <c r="F547" s="2"/>
      <c r="G547" s="2"/>
      <c r="H547" s="2"/>
      <c r="I547" s="2"/>
      <c r="J547" s="2"/>
      <c r="K547" s="2"/>
      <c r="L547" s="2"/>
      <c r="M547" s="2"/>
      <c r="N547" s="2"/>
      <c r="O547" s="2"/>
      <c r="P547" s="2"/>
      <c r="Q547" s="2"/>
      <c r="R547" s="2"/>
      <c r="S547" s="2"/>
    </row>
    <row r="548">
      <c r="A548" s="2"/>
      <c r="B548" s="2"/>
      <c r="C548" s="2"/>
      <c r="D548" s="2"/>
      <c r="E548" s="2"/>
      <c r="F548" s="2"/>
      <c r="G548" s="2"/>
      <c r="H548" s="2"/>
      <c r="I548" s="2"/>
      <c r="J548" s="2"/>
      <c r="K548" s="2"/>
      <c r="L548" s="2"/>
      <c r="M548" s="2"/>
      <c r="N548" s="2"/>
      <c r="O548" s="2"/>
      <c r="P548" s="2"/>
      <c r="Q548" s="2"/>
      <c r="R548" s="2"/>
      <c r="S548" s="2"/>
    </row>
    <row r="549">
      <c r="A549" s="2"/>
      <c r="B549" s="2"/>
      <c r="C549" s="2"/>
      <c r="D549" s="2"/>
      <c r="E549" s="2"/>
      <c r="F549" s="2"/>
      <c r="G549" s="2"/>
      <c r="H549" s="2"/>
      <c r="I549" s="2"/>
      <c r="J549" s="2"/>
      <c r="K549" s="2"/>
      <c r="L549" s="2"/>
      <c r="M549" s="2"/>
      <c r="N549" s="2"/>
      <c r="O549" s="2"/>
      <c r="P549" s="2"/>
      <c r="Q549" s="2"/>
      <c r="R549" s="2"/>
      <c r="S549" s="2"/>
    </row>
    <row r="550">
      <c r="A550" s="2"/>
      <c r="B550" s="2"/>
      <c r="C550" s="2"/>
      <c r="D550" s="2"/>
      <c r="E550" s="2"/>
      <c r="F550" s="2"/>
      <c r="G550" s="2"/>
      <c r="H550" s="2"/>
      <c r="I550" s="2"/>
      <c r="J550" s="2"/>
      <c r="K550" s="2"/>
      <c r="L550" s="2"/>
      <c r="M550" s="2"/>
      <c r="N550" s="2"/>
      <c r="O550" s="2"/>
      <c r="P550" s="2"/>
      <c r="Q550" s="2"/>
      <c r="R550" s="2"/>
      <c r="S550" s="2"/>
    </row>
    <row r="551">
      <c r="A551" s="2"/>
      <c r="B551" s="2"/>
      <c r="C551" s="2"/>
      <c r="D551" s="2"/>
      <c r="E551" s="2"/>
      <c r="F551" s="2"/>
      <c r="G551" s="2"/>
      <c r="H551" s="2"/>
      <c r="I551" s="2"/>
      <c r="J551" s="2"/>
      <c r="K551" s="2"/>
      <c r="L551" s="2"/>
      <c r="M551" s="2"/>
      <c r="N551" s="2"/>
      <c r="O551" s="2"/>
      <c r="P551" s="2"/>
      <c r="Q551" s="2"/>
      <c r="R551" s="2"/>
      <c r="S551" s="2"/>
    </row>
    <row r="552">
      <c r="A552" s="2"/>
      <c r="B552" s="2"/>
      <c r="C552" s="2"/>
      <c r="D552" s="2"/>
      <c r="E552" s="2"/>
      <c r="F552" s="2"/>
      <c r="G552" s="2"/>
      <c r="H552" s="2"/>
      <c r="I552" s="2"/>
      <c r="J552" s="2"/>
      <c r="K552" s="2"/>
      <c r="L552" s="2"/>
      <c r="M552" s="2"/>
      <c r="N552" s="2"/>
      <c r="O552" s="2"/>
      <c r="P552" s="2"/>
      <c r="Q552" s="2"/>
      <c r="R552" s="2"/>
      <c r="S552" s="2"/>
    </row>
    <row r="553">
      <c r="A553" s="2"/>
      <c r="B553" s="2"/>
      <c r="C553" s="2"/>
      <c r="D553" s="2"/>
      <c r="E553" s="2"/>
      <c r="F553" s="2"/>
      <c r="G553" s="2"/>
      <c r="H553" s="2"/>
      <c r="I553" s="2"/>
      <c r="J553" s="2"/>
      <c r="K553" s="2"/>
      <c r="L553" s="2"/>
      <c r="M553" s="2"/>
      <c r="N553" s="2"/>
      <c r="O553" s="2"/>
      <c r="P553" s="2"/>
      <c r="Q553" s="2"/>
      <c r="R553" s="2"/>
      <c r="S553" s="2"/>
    </row>
    <row r="554">
      <c r="A554" s="2"/>
      <c r="B554" s="2"/>
      <c r="C554" s="2"/>
      <c r="D554" s="2"/>
      <c r="E554" s="2"/>
      <c r="F554" s="2"/>
      <c r="G554" s="2"/>
      <c r="H554" s="2"/>
      <c r="I554" s="2"/>
      <c r="J554" s="2"/>
      <c r="K554" s="2"/>
      <c r="L554" s="2"/>
      <c r="M554" s="2"/>
      <c r="N554" s="2"/>
      <c r="O554" s="2"/>
      <c r="P554" s="2"/>
      <c r="Q554" s="2"/>
      <c r="R554" s="2"/>
      <c r="S554" s="2"/>
    </row>
    <row r="555">
      <c r="A555" s="2"/>
      <c r="B555" s="2"/>
      <c r="C555" s="2"/>
      <c r="D555" s="2"/>
      <c r="E555" s="2"/>
      <c r="F555" s="2"/>
      <c r="G555" s="2"/>
      <c r="H555" s="2"/>
      <c r="I555" s="2"/>
      <c r="J555" s="2"/>
      <c r="K555" s="2"/>
      <c r="L555" s="2"/>
      <c r="M555" s="2"/>
      <c r="N555" s="2"/>
      <c r="O555" s="2"/>
      <c r="P555" s="2"/>
      <c r="Q555" s="2"/>
      <c r="R555" s="2"/>
      <c r="S555" s="2"/>
    </row>
    <row r="556">
      <c r="A556" s="2"/>
      <c r="B556" s="2"/>
      <c r="C556" s="2"/>
      <c r="D556" s="2"/>
      <c r="E556" s="2"/>
      <c r="F556" s="2"/>
      <c r="G556" s="2"/>
      <c r="H556" s="2"/>
      <c r="I556" s="2"/>
      <c r="J556" s="2"/>
      <c r="K556" s="2"/>
      <c r="L556" s="2"/>
      <c r="M556" s="2"/>
      <c r="N556" s="2"/>
      <c r="O556" s="2"/>
      <c r="P556" s="2"/>
      <c r="Q556" s="2"/>
      <c r="R556" s="2"/>
      <c r="S556" s="2"/>
    </row>
    <row r="557">
      <c r="A557" s="2"/>
      <c r="B557" s="2"/>
      <c r="C557" s="2"/>
      <c r="D557" s="2"/>
      <c r="E557" s="2"/>
      <c r="F557" s="2"/>
      <c r="G557" s="2"/>
      <c r="H557" s="2"/>
      <c r="I557" s="2"/>
      <c r="J557" s="2"/>
      <c r="K557" s="2"/>
      <c r="L557" s="2"/>
      <c r="M557" s="2"/>
      <c r="N557" s="2"/>
      <c r="O557" s="2"/>
      <c r="P557" s="2"/>
      <c r="Q557" s="2"/>
      <c r="R557" s="2"/>
      <c r="S557" s="2"/>
    </row>
    <row r="558">
      <c r="A558" s="2"/>
      <c r="B558" s="2"/>
      <c r="C558" s="2"/>
      <c r="D558" s="2"/>
      <c r="E558" s="2"/>
      <c r="F558" s="2"/>
      <c r="G558" s="2"/>
      <c r="H558" s="2"/>
      <c r="I558" s="2"/>
      <c r="J558" s="2"/>
      <c r="K558" s="2"/>
      <c r="L558" s="2"/>
      <c r="M558" s="2"/>
      <c r="N558" s="2"/>
      <c r="O558" s="2"/>
      <c r="P558" s="2"/>
      <c r="Q558" s="2"/>
      <c r="R558" s="2"/>
      <c r="S558" s="2"/>
    </row>
    <row r="559">
      <c r="A559" s="2"/>
      <c r="B559" s="2"/>
      <c r="C559" s="2"/>
      <c r="D559" s="2"/>
      <c r="E559" s="2"/>
      <c r="F559" s="2"/>
      <c r="G559" s="2"/>
      <c r="H559" s="2"/>
      <c r="I559" s="2"/>
      <c r="J559" s="2"/>
      <c r="K559" s="2"/>
      <c r="L559" s="2"/>
      <c r="M559" s="2"/>
      <c r="N559" s="2"/>
      <c r="O559" s="2"/>
      <c r="P559" s="2"/>
      <c r="Q559" s="2"/>
      <c r="R559" s="2"/>
      <c r="S559" s="2"/>
    </row>
    <row r="560">
      <c r="A560" s="2"/>
      <c r="B560" s="2"/>
      <c r="C560" s="2"/>
      <c r="D560" s="2"/>
      <c r="E560" s="2"/>
      <c r="F560" s="2"/>
      <c r="G560" s="2"/>
      <c r="H560" s="2"/>
      <c r="I560" s="2"/>
      <c r="J560" s="2"/>
      <c r="K560" s="2"/>
      <c r="L560" s="2"/>
      <c r="M560" s="2"/>
      <c r="N560" s="2"/>
      <c r="O560" s="2"/>
      <c r="P560" s="2"/>
      <c r="Q560" s="2"/>
      <c r="R560" s="2"/>
      <c r="S560" s="2"/>
    </row>
    <row r="561">
      <c r="A561" s="2"/>
      <c r="B561" s="2"/>
      <c r="C561" s="2"/>
      <c r="D561" s="2"/>
      <c r="E561" s="2"/>
      <c r="F561" s="2"/>
      <c r="G561" s="2"/>
      <c r="H561" s="2"/>
      <c r="I561" s="2"/>
      <c r="J561" s="2"/>
      <c r="K561" s="2"/>
      <c r="L561" s="2"/>
      <c r="M561" s="2"/>
      <c r="N561" s="2"/>
      <c r="O561" s="2"/>
      <c r="P561" s="2"/>
      <c r="Q561" s="2"/>
      <c r="R561" s="2"/>
      <c r="S561" s="2"/>
    </row>
    <row r="562">
      <c r="A562" s="2"/>
      <c r="B562" s="2"/>
      <c r="C562" s="2"/>
      <c r="D562" s="2"/>
      <c r="E562" s="2"/>
      <c r="F562" s="2"/>
      <c r="G562" s="2"/>
      <c r="H562" s="2"/>
      <c r="I562" s="2"/>
      <c r="J562" s="2"/>
      <c r="K562" s="2"/>
      <c r="L562" s="2"/>
      <c r="M562" s="2"/>
      <c r="N562" s="2"/>
      <c r="O562" s="2"/>
      <c r="P562" s="2"/>
      <c r="Q562" s="2"/>
      <c r="R562" s="2"/>
      <c r="S562" s="2"/>
    </row>
    <row r="563">
      <c r="A563" s="2"/>
      <c r="B563" s="2"/>
      <c r="C563" s="2"/>
      <c r="D563" s="2"/>
      <c r="E563" s="2"/>
      <c r="F563" s="2"/>
      <c r="G563" s="2"/>
      <c r="H563" s="2"/>
      <c r="I563" s="2"/>
      <c r="J563" s="2"/>
      <c r="K563" s="2"/>
      <c r="L563" s="2"/>
      <c r="M563" s="2"/>
      <c r="N563" s="2"/>
      <c r="O563" s="2"/>
      <c r="P563" s="2"/>
      <c r="Q563" s="2"/>
      <c r="R563" s="2"/>
      <c r="S563" s="2"/>
    </row>
    <row r="564">
      <c r="A564" s="2"/>
      <c r="B564" s="2"/>
      <c r="C564" s="2"/>
      <c r="D564" s="2"/>
      <c r="E564" s="2"/>
      <c r="F564" s="2"/>
      <c r="G564" s="2"/>
      <c r="H564" s="2"/>
      <c r="I564" s="2"/>
      <c r="J564" s="2"/>
      <c r="K564" s="2"/>
      <c r="L564" s="2"/>
      <c r="M564" s="2"/>
      <c r="N564" s="2"/>
      <c r="O564" s="2"/>
      <c r="P564" s="2"/>
      <c r="Q564" s="2"/>
      <c r="R564" s="2"/>
      <c r="S564" s="2"/>
    </row>
    <row r="565">
      <c r="A565" s="2"/>
      <c r="B565" s="2"/>
      <c r="C565" s="2"/>
      <c r="D565" s="2"/>
      <c r="E565" s="2"/>
      <c r="F565" s="2"/>
      <c r="G565" s="2"/>
      <c r="H565" s="2"/>
      <c r="I565" s="2"/>
      <c r="J565" s="2"/>
      <c r="K565" s="2"/>
      <c r="L565" s="2"/>
      <c r="M565" s="2"/>
      <c r="N565" s="2"/>
      <c r="O565" s="2"/>
      <c r="P565" s="2"/>
      <c r="Q565" s="2"/>
      <c r="R565" s="2"/>
      <c r="S565" s="2"/>
    </row>
    <row r="566">
      <c r="A566" s="2"/>
      <c r="B566" s="2"/>
      <c r="C566" s="2"/>
      <c r="D566" s="2"/>
      <c r="E566" s="2"/>
      <c r="F566" s="2"/>
      <c r="G566" s="2"/>
      <c r="H566" s="2"/>
      <c r="I566" s="2"/>
      <c r="J566" s="2"/>
      <c r="K566" s="2"/>
      <c r="L566" s="2"/>
      <c r="M566" s="2"/>
      <c r="N566" s="2"/>
      <c r="O566" s="2"/>
      <c r="P566" s="2"/>
      <c r="Q566" s="2"/>
      <c r="R566" s="2"/>
      <c r="S566" s="2"/>
    </row>
    <row r="567">
      <c r="A567" s="2"/>
      <c r="B567" s="2"/>
      <c r="C567" s="2"/>
      <c r="D567" s="2"/>
      <c r="E567" s="2"/>
      <c r="F567" s="2"/>
      <c r="G567" s="2"/>
      <c r="H567" s="2"/>
      <c r="I567" s="2"/>
      <c r="J567" s="2"/>
      <c r="K567" s="2"/>
      <c r="L567" s="2"/>
      <c r="M567" s="2"/>
      <c r="N567" s="2"/>
      <c r="O567" s="2"/>
      <c r="P567" s="2"/>
      <c r="Q567" s="2"/>
      <c r="R567" s="2"/>
      <c r="S567" s="2"/>
    </row>
    <row r="568">
      <c r="A568" s="2"/>
      <c r="B568" s="2"/>
      <c r="C568" s="2"/>
      <c r="D568" s="2"/>
      <c r="E568" s="2"/>
      <c r="F568" s="2"/>
      <c r="G568" s="2"/>
      <c r="H568" s="2"/>
      <c r="I568" s="2"/>
      <c r="J568" s="2"/>
      <c r="K568" s="2"/>
      <c r="L568" s="2"/>
      <c r="M568" s="2"/>
      <c r="N568" s="2"/>
      <c r="O568" s="2"/>
      <c r="P568" s="2"/>
      <c r="Q568" s="2"/>
      <c r="R568" s="2"/>
      <c r="S568" s="2"/>
    </row>
    <row r="569">
      <c r="A569" s="2"/>
      <c r="B569" s="2"/>
      <c r="C569" s="2"/>
      <c r="D569" s="2"/>
      <c r="E569" s="2"/>
      <c r="F569" s="2"/>
      <c r="G569" s="2"/>
      <c r="H569" s="2"/>
      <c r="I569" s="2"/>
      <c r="J569" s="2"/>
      <c r="K569" s="2"/>
      <c r="L569" s="2"/>
      <c r="M569" s="2"/>
      <c r="N569" s="2"/>
      <c r="O569" s="2"/>
      <c r="P569" s="2"/>
      <c r="Q569" s="2"/>
      <c r="R569" s="2"/>
      <c r="S569" s="2"/>
    </row>
    <row r="570">
      <c r="A570" s="2"/>
      <c r="B570" s="2"/>
      <c r="C570" s="2"/>
      <c r="D570" s="2"/>
      <c r="E570" s="2"/>
      <c r="F570" s="2"/>
      <c r="G570" s="2"/>
      <c r="H570" s="2"/>
      <c r="I570" s="2"/>
      <c r="J570" s="2"/>
      <c r="K570" s="2"/>
      <c r="L570" s="2"/>
      <c r="M570" s="2"/>
      <c r="N570" s="2"/>
      <c r="O570" s="2"/>
      <c r="P570" s="2"/>
      <c r="Q570" s="2"/>
      <c r="R570" s="2"/>
      <c r="S570" s="2"/>
    </row>
    <row r="571">
      <c r="A571" s="2"/>
      <c r="B571" s="2"/>
      <c r="C571" s="2"/>
      <c r="D571" s="2"/>
      <c r="E571" s="2"/>
      <c r="F571" s="2"/>
      <c r="G571" s="2"/>
      <c r="H571" s="2"/>
      <c r="I571" s="2"/>
      <c r="J571" s="2"/>
      <c r="K571" s="2"/>
      <c r="L571" s="2"/>
      <c r="M571" s="2"/>
      <c r="N571" s="2"/>
      <c r="O571" s="2"/>
      <c r="P571" s="2"/>
      <c r="Q571" s="2"/>
      <c r="R571" s="2"/>
      <c r="S571" s="2"/>
    </row>
    <row r="572">
      <c r="A572" s="2"/>
      <c r="B572" s="2"/>
      <c r="C572" s="2"/>
      <c r="D572" s="2"/>
      <c r="E572" s="2"/>
      <c r="F572" s="2"/>
      <c r="G572" s="2"/>
      <c r="H572" s="2"/>
      <c r="I572" s="2"/>
      <c r="J572" s="2"/>
      <c r="K572" s="2"/>
      <c r="L572" s="2"/>
      <c r="M572" s="2"/>
      <c r="N572" s="2"/>
      <c r="O572" s="2"/>
      <c r="P572" s="2"/>
      <c r="Q572" s="2"/>
      <c r="R572" s="2"/>
      <c r="S572" s="2"/>
    </row>
    <row r="573">
      <c r="A573" s="2"/>
      <c r="B573" s="2"/>
      <c r="C573" s="2"/>
      <c r="D573" s="2"/>
      <c r="E573" s="2"/>
      <c r="F573" s="2"/>
      <c r="G573" s="2"/>
      <c r="H573" s="2"/>
      <c r="I573" s="2"/>
      <c r="J573" s="2"/>
      <c r="K573" s="2"/>
      <c r="L573" s="2"/>
      <c r="M573" s="2"/>
      <c r="N573" s="2"/>
      <c r="O573" s="2"/>
      <c r="P573" s="2"/>
      <c r="Q573" s="2"/>
      <c r="R573" s="2"/>
      <c r="S573" s="2"/>
    </row>
    <row r="574">
      <c r="A574" s="2"/>
      <c r="B574" s="2"/>
      <c r="C574" s="2"/>
      <c r="D574" s="2"/>
      <c r="E574" s="2"/>
      <c r="F574" s="2"/>
      <c r="G574" s="2"/>
      <c r="H574" s="2"/>
      <c r="I574" s="2"/>
      <c r="J574" s="2"/>
      <c r="K574" s="2"/>
      <c r="L574" s="2"/>
      <c r="M574" s="2"/>
      <c r="N574" s="2"/>
      <c r="O574" s="2"/>
      <c r="P574" s="2"/>
      <c r="Q574" s="2"/>
      <c r="R574" s="2"/>
      <c r="S574" s="2"/>
    </row>
    <row r="575">
      <c r="A575" s="2"/>
      <c r="B575" s="2"/>
      <c r="C575" s="2"/>
      <c r="D575" s="2"/>
      <c r="E575" s="2"/>
      <c r="F575" s="2"/>
      <c r="G575" s="2"/>
      <c r="H575" s="2"/>
      <c r="I575" s="2"/>
      <c r="J575" s="2"/>
      <c r="K575" s="2"/>
      <c r="L575" s="2"/>
      <c r="M575" s="2"/>
      <c r="N575" s="2"/>
      <c r="O575" s="2"/>
      <c r="P575" s="2"/>
      <c r="Q575" s="2"/>
      <c r="R575" s="2"/>
      <c r="S575" s="2"/>
    </row>
    <row r="576">
      <c r="A576" s="2"/>
      <c r="B576" s="2"/>
      <c r="C576" s="2"/>
      <c r="D576" s="2"/>
      <c r="E576" s="2"/>
      <c r="F576" s="2"/>
      <c r="G576" s="2"/>
      <c r="H576" s="2"/>
      <c r="I576" s="2"/>
      <c r="J576" s="2"/>
      <c r="K576" s="2"/>
      <c r="L576" s="2"/>
      <c r="M576" s="2"/>
      <c r="N576" s="2"/>
      <c r="O576" s="2"/>
      <c r="P576" s="2"/>
      <c r="Q576" s="2"/>
      <c r="R576" s="2"/>
      <c r="S576" s="2"/>
    </row>
    <row r="577">
      <c r="A577" s="2"/>
      <c r="B577" s="2"/>
      <c r="C577" s="2"/>
      <c r="D577" s="2"/>
      <c r="E577" s="2"/>
      <c r="F577" s="2"/>
      <c r="G577" s="2"/>
      <c r="H577" s="2"/>
      <c r="I577" s="2"/>
      <c r="J577" s="2"/>
      <c r="K577" s="2"/>
      <c r="L577" s="2"/>
      <c r="M577" s="2"/>
      <c r="N577" s="2"/>
      <c r="O577" s="2"/>
      <c r="P577" s="2"/>
      <c r="Q577" s="2"/>
      <c r="R577" s="2"/>
      <c r="S577" s="2"/>
    </row>
    <row r="578">
      <c r="A578" s="2"/>
      <c r="B578" s="2"/>
      <c r="C578" s="2"/>
      <c r="D578" s="2"/>
      <c r="E578" s="2"/>
      <c r="F578" s="2"/>
      <c r="G578" s="2"/>
      <c r="H578" s="2"/>
      <c r="I578" s="2"/>
      <c r="J578" s="2"/>
      <c r="K578" s="2"/>
      <c r="L578" s="2"/>
      <c r="M578" s="2"/>
      <c r="N578" s="2"/>
      <c r="O578" s="2"/>
      <c r="P578" s="2"/>
      <c r="Q578" s="2"/>
      <c r="R578" s="2"/>
      <c r="S578" s="2"/>
    </row>
    <row r="579">
      <c r="A579" s="2"/>
      <c r="B579" s="2"/>
      <c r="C579" s="2"/>
      <c r="D579" s="2"/>
      <c r="E579" s="2"/>
      <c r="F579" s="2"/>
      <c r="G579" s="2"/>
      <c r="H579" s="2"/>
      <c r="I579" s="2"/>
      <c r="J579" s="2"/>
      <c r="K579" s="2"/>
      <c r="L579" s="2"/>
      <c r="M579" s="2"/>
      <c r="N579" s="2"/>
      <c r="O579" s="2"/>
      <c r="P579" s="2"/>
      <c r="Q579" s="2"/>
      <c r="R579" s="2"/>
      <c r="S579" s="2"/>
    </row>
    <row r="580">
      <c r="A580" s="2"/>
      <c r="B580" s="2"/>
      <c r="C580" s="2"/>
      <c r="D580" s="2"/>
      <c r="E580" s="2"/>
      <c r="F580" s="2"/>
      <c r="G580" s="2"/>
      <c r="H580" s="2"/>
      <c r="I580" s="2"/>
      <c r="J580" s="2"/>
      <c r="K580" s="2"/>
      <c r="L580" s="2"/>
      <c r="M580" s="2"/>
      <c r="N580" s="2"/>
      <c r="O580" s="2"/>
      <c r="P580" s="2"/>
      <c r="Q580" s="2"/>
      <c r="R580" s="2"/>
      <c r="S580" s="2"/>
    </row>
    <row r="581">
      <c r="A581" s="2"/>
      <c r="B581" s="2"/>
      <c r="C581" s="2"/>
      <c r="D581" s="2"/>
      <c r="E581" s="2"/>
      <c r="F581" s="2"/>
      <c r="G581" s="2"/>
      <c r="H581" s="2"/>
      <c r="I581" s="2"/>
      <c r="J581" s="2"/>
      <c r="K581" s="2"/>
      <c r="L581" s="2"/>
      <c r="M581" s="2"/>
      <c r="N581" s="2"/>
      <c r="O581" s="2"/>
      <c r="P581" s="2"/>
      <c r="Q581" s="2"/>
      <c r="R581" s="2"/>
      <c r="S581" s="2"/>
    </row>
    <row r="582">
      <c r="A582" s="2"/>
      <c r="B582" s="2"/>
      <c r="C582" s="2"/>
      <c r="D582" s="2"/>
      <c r="E582" s="2"/>
      <c r="F582" s="2"/>
      <c r="G582" s="2"/>
      <c r="H582" s="2"/>
      <c r="I582" s="2"/>
      <c r="J582" s="2"/>
      <c r="K582" s="2"/>
      <c r="L582" s="2"/>
      <c r="M582" s="2"/>
      <c r="N582" s="2"/>
      <c r="O582" s="2"/>
      <c r="P582" s="2"/>
      <c r="Q582" s="2"/>
      <c r="R582" s="2"/>
      <c r="S582" s="2"/>
    </row>
    <row r="583">
      <c r="A583" s="2"/>
      <c r="B583" s="2"/>
      <c r="C583" s="2"/>
      <c r="D583" s="2"/>
      <c r="E583" s="2"/>
      <c r="F583" s="2"/>
      <c r="G583" s="2"/>
      <c r="H583" s="2"/>
      <c r="I583" s="2"/>
      <c r="J583" s="2"/>
      <c r="K583" s="2"/>
      <c r="L583" s="2"/>
      <c r="M583" s="2"/>
      <c r="N583" s="2"/>
      <c r="O583" s="2"/>
      <c r="P583" s="2"/>
      <c r="Q583" s="2"/>
      <c r="R583" s="2"/>
      <c r="S583" s="2"/>
    </row>
    <row r="584">
      <c r="A584" s="2"/>
      <c r="B584" s="2"/>
      <c r="C584" s="2"/>
      <c r="D584" s="2"/>
      <c r="E584" s="2"/>
      <c r="F584" s="2"/>
      <c r="G584" s="2"/>
      <c r="H584" s="2"/>
      <c r="I584" s="2"/>
      <c r="J584" s="2"/>
      <c r="K584" s="2"/>
      <c r="L584" s="2"/>
      <c r="M584" s="2"/>
      <c r="N584" s="2"/>
      <c r="O584" s="2"/>
      <c r="P584" s="2"/>
      <c r="Q584" s="2"/>
      <c r="R584" s="2"/>
      <c r="S584" s="2"/>
    </row>
    <row r="585">
      <c r="A585" s="2"/>
      <c r="B585" s="2"/>
      <c r="C585" s="2"/>
      <c r="D585" s="2"/>
      <c r="E585" s="2"/>
      <c r="F585" s="2"/>
      <c r="G585" s="2"/>
      <c r="H585" s="2"/>
      <c r="I585" s="2"/>
      <c r="J585" s="2"/>
      <c r="K585" s="2"/>
      <c r="L585" s="2"/>
      <c r="M585" s="2"/>
      <c r="N585" s="2"/>
      <c r="O585" s="2"/>
      <c r="P585" s="2"/>
      <c r="Q585" s="2"/>
      <c r="R585" s="2"/>
      <c r="S585" s="2"/>
    </row>
    <row r="586">
      <c r="A586" s="2"/>
      <c r="B586" s="2"/>
      <c r="C586" s="2"/>
      <c r="D586" s="2"/>
      <c r="E586" s="2"/>
      <c r="F586" s="2"/>
      <c r="G586" s="2"/>
      <c r="H586" s="2"/>
      <c r="I586" s="2"/>
      <c r="J586" s="2"/>
      <c r="K586" s="2"/>
      <c r="L586" s="2"/>
      <c r="M586" s="2"/>
      <c r="N586" s="2"/>
      <c r="O586" s="2"/>
      <c r="P586" s="2"/>
      <c r="Q586" s="2"/>
      <c r="R586" s="2"/>
      <c r="S586" s="2"/>
    </row>
    <row r="587">
      <c r="A587" s="2"/>
      <c r="B587" s="2"/>
      <c r="C587" s="2"/>
      <c r="D587" s="2"/>
      <c r="E587" s="2"/>
      <c r="F587" s="2"/>
      <c r="G587" s="2"/>
      <c r="H587" s="2"/>
      <c r="I587" s="2"/>
      <c r="J587" s="2"/>
      <c r="K587" s="2"/>
      <c r="L587" s="2"/>
      <c r="M587" s="2"/>
      <c r="N587" s="2"/>
      <c r="O587" s="2"/>
      <c r="P587" s="2"/>
      <c r="Q587" s="2"/>
      <c r="R587" s="2"/>
      <c r="S587" s="2"/>
    </row>
    <row r="588">
      <c r="A588" s="2"/>
      <c r="B588" s="2"/>
      <c r="C588" s="2"/>
      <c r="D588" s="2"/>
      <c r="E588" s="2"/>
      <c r="F588" s="2"/>
      <c r="G588" s="2"/>
      <c r="H588" s="2"/>
      <c r="I588" s="2"/>
      <c r="J588" s="2"/>
      <c r="K588" s="2"/>
      <c r="L588" s="2"/>
      <c r="M588" s="2"/>
      <c r="N588" s="2"/>
      <c r="O588" s="2"/>
      <c r="P588" s="2"/>
      <c r="Q588" s="2"/>
      <c r="R588" s="2"/>
      <c r="S588" s="2"/>
    </row>
    <row r="589">
      <c r="A589" s="2"/>
      <c r="B589" s="2"/>
      <c r="C589" s="2"/>
      <c r="D589" s="2"/>
      <c r="E589" s="2"/>
      <c r="F589" s="2"/>
      <c r="G589" s="2"/>
      <c r="H589" s="2"/>
      <c r="I589" s="2"/>
      <c r="J589" s="2"/>
      <c r="K589" s="2"/>
      <c r="L589" s="2"/>
      <c r="M589" s="2"/>
      <c r="N589" s="2"/>
      <c r="O589" s="2"/>
      <c r="P589" s="2"/>
      <c r="Q589" s="2"/>
      <c r="R589" s="2"/>
      <c r="S589" s="2"/>
    </row>
    <row r="590">
      <c r="A590" s="2"/>
      <c r="B590" s="2"/>
      <c r="C590" s="2"/>
      <c r="D590" s="2"/>
      <c r="E590" s="2"/>
      <c r="F590" s="2"/>
      <c r="G590" s="2"/>
      <c r="H590" s="2"/>
      <c r="I590" s="2"/>
      <c r="J590" s="2"/>
      <c r="K590" s="2"/>
      <c r="L590" s="2"/>
      <c r="M590" s="2"/>
      <c r="N590" s="2"/>
      <c r="O590" s="2"/>
      <c r="P590" s="2"/>
      <c r="Q590" s="2"/>
      <c r="R590" s="2"/>
      <c r="S590" s="2"/>
    </row>
    <row r="591">
      <c r="A591" s="2"/>
      <c r="B591" s="2"/>
      <c r="C591" s="2"/>
      <c r="D591" s="2"/>
      <c r="E591" s="2"/>
      <c r="F591" s="2"/>
      <c r="G591" s="2"/>
      <c r="H591" s="2"/>
      <c r="I591" s="2"/>
      <c r="J591" s="2"/>
      <c r="K591" s="2"/>
      <c r="L591" s="2"/>
      <c r="M591" s="2"/>
      <c r="N591" s="2"/>
      <c r="O591" s="2"/>
      <c r="P591" s="2"/>
      <c r="Q591" s="2"/>
      <c r="R591" s="2"/>
      <c r="S591" s="2"/>
    </row>
    <row r="592">
      <c r="A592" s="2"/>
      <c r="B592" s="2"/>
      <c r="C592" s="2"/>
      <c r="D592" s="2"/>
      <c r="E592" s="2"/>
      <c r="F592" s="2"/>
      <c r="G592" s="2"/>
      <c r="H592" s="2"/>
      <c r="I592" s="2"/>
      <c r="J592" s="2"/>
      <c r="K592" s="2"/>
      <c r="L592" s="2"/>
      <c r="M592" s="2"/>
      <c r="N592" s="2"/>
      <c r="O592" s="2"/>
      <c r="P592" s="2"/>
      <c r="Q592" s="2"/>
      <c r="R592" s="2"/>
      <c r="S592" s="2"/>
    </row>
    <row r="593">
      <c r="A593" s="2"/>
      <c r="B593" s="2"/>
      <c r="C593" s="2"/>
      <c r="D593" s="2"/>
      <c r="E593" s="2"/>
      <c r="F593" s="2"/>
      <c r="G593" s="2"/>
      <c r="H593" s="2"/>
      <c r="I593" s="2"/>
      <c r="J593" s="2"/>
      <c r="K593" s="2"/>
      <c r="L593" s="2"/>
      <c r="M593" s="2"/>
      <c r="N593" s="2"/>
      <c r="O593" s="2"/>
      <c r="P593" s="2"/>
      <c r="Q593" s="2"/>
      <c r="R593" s="2"/>
      <c r="S593" s="2"/>
    </row>
    <row r="594">
      <c r="A594" s="2"/>
      <c r="B594" s="2"/>
      <c r="C594" s="2"/>
      <c r="D594" s="2"/>
      <c r="E594" s="2"/>
      <c r="F594" s="2"/>
      <c r="G594" s="2"/>
      <c r="H594" s="2"/>
      <c r="I594" s="2"/>
      <c r="J594" s="2"/>
      <c r="K594" s="2"/>
      <c r="L594" s="2"/>
      <c r="M594" s="2"/>
      <c r="N594" s="2"/>
      <c r="O594" s="2"/>
      <c r="P594" s="2"/>
      <c r="Q594" s="2"/>
      <c r="R594" s="2"/>
      <c r="S594" s="2"/>
    </row>
    <row r="595">
      <c r="A595" s="2"/>
      <c r="B595" s="2"/>
      <c r="C595" s="2"/>
      <c r="D595" s="2"/>
      <c r="E595" s="2"/>
      <c r="F595" s="2"/>
      <c r="G595" s="2"/>
      <c r="H595" s="2"/>
      <c r="I595" s="2"/>
      <c r="J595" s="2"/>
      <c r="K595" s="2"/>
      <c r="L595" s="2"/>
      <c r="M595" s="2"/>
      <c r="N595" s="2"/>
      <c r="O595" s="2"/>
      <c r="P595" s="2"/>
      <c r="Q595" s="2"/>
      <c r="R595" s="2"/>
      <c r="S595" s="2"/>
    </row>
    <row r="596">
      <c r="A596" s="2"/>
      <c r="B596" s="2"/>
      <c r="C596" s="2"/>
      <c r="D596" s="2"/>
      <c r="E596" s="2"/>
      <c r="F596" s="2"/>
      <c r="G596" s="2"/>
      <c r="H596" s="2"/>
      <c r="I596" s="2"/>
      <c r="J596" s="2"/>
      <c r="K596" s="2"/>
      <c r="L596" s="2"/>
      <c r="M596" s="2"/>
      <c r="N596" s="2"/>
      <c r="O596" s="2"/>
      <c r="P596" s="2"/>
      <c r="Q596" s="2"/>
      <c r="R596" s="2"/>
      <c r="S596" s="2"/>
    </row>
    <row r="597">
      <c r="A597" s="2"/>
      <c r="B597" s="2"/>
      <c r="C597" s="2"/>
      <c r="D597" s="2"/>
      <c r="E597" s="2"/>
      <c r="F597" s="2"/>
      <c r="G597" s="2"/>
      <c r="H597" s="2"/>
      <c r="I597" s="2"/>
      <c r="J597" s="2"/>
      <c r="K597" s="2"/>
      <c r="L597" s="2"/>
      <c r="M597" s="2"/>
      <c r="N597" s="2"/>
      <c r="O597" s="2"/>
      <c r="P597" s="2"/>
      <c r="Q597" s="2"/>
      <c r="R597" s="2"/>
      <c r="S597" s="2"/>
    </row>
    <row r="598">
      <c r="A598" s="2"/>
      <c r="B598" s="2"/>
      <c r="C598" s="2"/>
      <c r="D598" s="2"/>
      <c r="E598" s="2"/>
      <c r="F598" s="2"/>
      <c r="G598" s="2"/>
      <c r="H598" s="2"/>
      <c r="I598" s="2"/>
      <c r="J598" s="2"/>
      <c r="K598" s="2"/>
      <c r="L598" s="2"/>
      <c r="M598" s="2"/>
      <c r="N598" s="2"/>
      <c r="O598" s="2"/>
      <c r="P598" s="2"/>
      <c r="Q598" s="2"/>
      <c r="R598" s="2"/>
      <c r="S598" s="2"/>
    </row>
    <row r="599">
      <c r="A599" s="2"/>
      <c r="B599" s="2"/>
      <c r="C599" s="2"/>
      <c r="D599" s="2"/>
      <c r="E599" s="2"/>
      <c r="F599" s="2"/>
      <c r="G599" s="2"/>
      <c r="H599" s="2"/>
      <c r="I599" s="2"/>
      <c r="J599" s="2"/>
      <c r="K599" s="2"/>
      <c r="L599" s="2"/>
      <c r="M599" s="2"/>
      <c r="N599" s="2"/>
      <c r="O599" s="2"/>
      <c r="P599" s="2"/>
      <c r="Q599" s="2"/>
      <c r="R599" s="2"/>
      <c r="S599" s="2"/>
    </row>
    <row r="600">
      <c r="A600" s="2"/>
      <c r="B600" s="2"/>
      <c r="C600" s="2"/>
      <c r="D600" s="2"/>
      <c r="E600" s="2"/>
      <c r="F600" s="2"/>
      <c r="G600" s="2"/>
      <c r="H600" s="2"/>
      <c r="I600" s="2"/>
      <c r="J600" s="2"/>
      <c r="K600" s="2"/>
      <c r="L600" s="2"/>
      <c r="M600" s="2"/>
      <c r="N600" s="2"/>
      <c r="O600" s="2"/>
      <c r="P600" s="2"/>
      <c r="Q600" s="2"/>
      <c r="R600" s="2"/>
      <c r="S600" s="2"/>
    </row>
    <row r="601">
      <c r="A601" s="2"/>
      <c r="B601" s="2"/>
      <c r="C601" s="2"/>
      <c r="D601" s="2"/>
      <c r="E601" s="2"/>
      <c r="F601" s="2"/>
      <c r="G601" s="2"/>
      <c r="H601" s="2"/>
      <c r="I601" s="2"/>
      <c r="J601" s="2"/>
      <c r="K601" s="2"/>
      <c r="L601" s="2"/>
      <c r="M601" s="2"/>
      <c r="N601" s="2"/>
      <c r="O601" s="2"/>
      <c r="P601" s="2"/>
      <c r="Q601" s="2"/>
      <c r="R601" s="2"/>
      <c r="S601" s="2"/>
    </row>
    <row r="602">
      <c r="A602" s="2"/>
      <c r="B602" s="2"/>
      <c r="C602" s="2"/>
      <c r="D602" s="2"/>
      <c r="E602" s="2"/>
      <c r="F602" s="2"/>
      <c r="G602" s="2"/>
      <c r="H602" s="2"/>
      <c r="I602" s="2"/>
      <c r="J602" s="2"/>
      <c r="K602" s="2"/>
      <c r="L602" s="2"/>
      <c r="M602" s="2"/>
      <c r="N602" s="2"/>
      <c r="O602" s="2"/>
      <c r="P602" s="2"/>
      <c r="Q602" s="2"/>
      <c r="R602" s="2"/>
      <c r="S602" s="2"/>
    </row>
    <row r="603">
      <c r="A603" s="2"/>
      <c r="B603" s="2"/>
      <c r="C603" s="2"/>
      <c r="D603" s="2"/>
      <c r="E603" s="2"/>
      <c r="F603" s="2"/>
      <c r="G603" s="2"/>
      <c r="H603" s="2"/>
      <c r="I603" s="2"/>
      <c r="J603" s="2"/>
      <c r="K603" s="2"/>
      <c r="L603" s="2"/>
      <c r="M603" s="2"/>
      <c r="N603" s="2"/>
      <c r="O603" s="2"/>
      <c r="P603" s="2"/>
      <c r="Q603" s="2"/>
      <c r="R603" s="2"/>
      <c r="S603" s="2"/>
    </row>
    <row r="604">
      <c r="A604" s="2"/>
      <c r="B604" s="2"/>
      <c r="C604" s="2"/>
      <c r="D604" s="2"/>
      <c r="E604" s="2"/>
      <c r="F604" s="2"/>
      <c r="G604" s="2"/>
      <c r="H604" s="2"/>
      <c r="I604" s="2"/>
      <c r="J604" s="2"/>
      <c r="K604" s="2"/>
      <c r="L604" s="2"/>
      <c r="M604" s="2"/>
      <c r="N604" s="2"/>
      <c r="O604" s="2"/>
      <c r="P604" s="2"/>
      <c r="Q604" s="2"/>
      <c r="R604" s="2"/>
      <c r="S604" s="2"/>
    </row>
    <row r="605">
      <c r="A605" s="2"/>
      <c r="B605" s="2"/>
      <c r="C605" s="2"/>
      <c r="D605" s="2"/>
      <c r="E605" s="2"/>
      <c r="F605" s="2"/>
      <c r="G605" s="2"/>
      <c r="H605" s="2"/>
      <c r="I605" s="2"/>
      <c r="J605" s="2"/>
      <c r="K605" s="2"/>
      <c r="L605" s="2"/>
      <c r="M605" s="2"/>
      <c r="N605" s="2"/>
      <c r="O605" s="2"/>
      <c r="P605" s="2"/>
      <c r="Q605" s="2"/>
      <c r="R605" s="2"/>
      <c r="S605" s="2"/>
    </row>
    <row r="606">
      <c r="A606" s="2"/>
      <c r="B606" s="2"/>
      <c r="C606" s="2"/>
      <c r="D606" s="2"/>
      <c r="E606" s="2"/>
      <c r="F606" s="2"/>
      <c r="G606" s="2"/>
      <c r="H606" s="2"/>
      <c r="I606" s="2"/>
      <c r="J606" s="2"/>
      <c r="K606" s="2"/>
      <c r="L606" s="2"/>
      <c r="M606" s="2"/>
      <c r="N606" s="2"/>
      <c r="O606" s="2"/>
      <c r="P606" s="2"/>
      <c r="Q606" s="2"/>
      <c r="R606" s="2"/>
      <c r="S606" s="2"/>
    </row>
    <row r="607">
      <c r="A607" s="2"/>
      <c r="B607" s="2"/>
      <c r="C607" s="2"/>
      <c r="D607" s="2"/>
      <c r="E607" s="2"/>
      <c r="F607" s="2"/>
      <c r="G607" s="2"/>
      <c r="H607" s="2"/>
      <c r="I607" s="2"/>
      <c r="J607" s="2"/>
      <c r="K607" s="2"/>
      <c r="L607" s="2"/>
      <c r="M607" s="2"/>
      <c r="N607" s="2"/>
      <c r="O607" s="2"/>
      <c r="P607" s="2"/>
      <c r="Q607" s="2"/>
      <c r="R607" s="2"/>
      <c r="S607" s="2"/>
    </row>
    <row r="608">
      <c r="A608" s="2"/>
      <c r="B608" s="2"/>
      <c r="C608" s="2"/>
      <c r="D608" s="2"/>
      <c r="E608" s="2"/>
      <c r="F608" s="2"/>
      <c r="G608" s="2"/>
      <c r="H608" s="2"/>
      <c r="I608" s="2"/>
      <c r="J608" s="2"/>
      <c r="K608" s="2"/>
      <c r="L608" s="2"/>
      <c r="M608" s="2"/>
      <c r="N608" s="2"/>
      <c r="O608" s="2"/>
      <c r="P608" s="2"/>
      <c r="Q608" s="2"/>
      <c r="R608" s="2"/>
      <c r="S608" s="2"/>
    </row>
    <row r="609">
      <c r="A609" s="2"/>
      <c r="B609" s="2"/>
      <c r="C609" s="2"/>
      <c r="D609" s="2"/>
      <c r="E609" s="2"/>
      <c r="F609" s="2"/>
      <c r="G609" s="2"/>
      <c r="H609" s="2"/>
      <c r="I609" s="2"/>
      <c r="J609" s="2"/>
      <c r="K609" s="2"/>
      <c r="L609" s="2"/>
      <c r="M609" s="2"/>
      <c r="N609" s="2"/>
      <c r="O609" s="2"/>
      <c r="P609" s="2"/>
      <c r="Q609" s="2"/>
      <c r="R609" s="2"/>
      <c r="S609" s="2"/>
    </row>
    <row r="610">
      <c r="A610" s="2"/>
      <c r="B610" s="2"/>
      <c r="C610" s="2"/>
      <c r="D610" s="2"/>
      <c r="E610" s="2"/>
      <c r="F610" s="2"/>
      <c r="G610" s="2"/>
      <c r="H610" s="2"/>
      <c r="I610" s="2"/>
      <c r="J610" s="2"/>
      <c r="K610" s="2"/>
      <c r="L610" s="2"/>
      <c r="M610" s="2"/>
      <c r="N610" s="2"/>
      <c r="O610" s="2"/>
      <c r="P610" s="2"/>
      <c r="Q610" s="2"/>
      <c r="R610" s="2"/>
      <c r="S610" s="2"/>
    </row>
    <row r="611">
      <c r="A611" s="2"/>
      <c r="B611" s="2"/>
      <c r="C611" s="2"/>
      <c r="D611" s="2"/>
      <c r="E611" s="2"/>
      <c r="F611" s="2"/>
      <c r="G611" s="2"/>
      <c r="H611" s="2"/>
      <c r="I611" s="2"/>
      <c r="J611" s="2"/>
      <c r="K611" s="2"/>
      <c r="L611" s="2"/>
      <c r="M611" s="2"/>
      <c r="N611" s="2"/>
      <c r="O611" s="2"/>
      <c r="P611" s="2"/>
      <c r="Q611" s="2"/>
      <c r="R611" s="2"/>
      <c r="S611" s="2"/>
    </row>
    <row r="612">
      <c r="A612" s="2"/>
      <c r="B612" s="2"/>
      <c r="C612" s="2"/>
      <c r="D612" s="2"/>
      <c r="E612" s="2"/>
      <c r="F612" s="2"/>
      <c r="G612" s="2"/>
      <c r="H612" s="2"/>
      <c r="I612" s="2"/>
      <c r="J612" s="2"/>
      <c r="K612" s="2"/>
      <c r="L612" s="2"/>
      <c r="M612" s="2"/>
      <c r="N612" s="2"/>
      <c r="O612" s="2"/>
      <c r="P612" s="2"/>
      <c r="Q612" s="2"/>
      <c r="R612" s="2"/>
      <c r="S612" s="2"/>
    </row>
    <row r="613">
      <c r="A613" s="2"/>
      <c r="B613" s="2"/>
      <c r="C613" s="2"/>
      <c r="D613" s="2"/>
      <c r="E613" s="2"/>
      <c r="F613" s="2"/>
      <c r="G613" s="2"/>
      <c r="H613" s="2"/>
      <c r="I613" s="2"/>
      <c r="J613" s="2"/>
      <c r="K613" s="2"/>
      <c r="L613" s="2"/>
      <c r="M613" s="2"/>
      <c r="N613" s="2"/>
      <c r="O613" s="2"/>
      <c r="P613" s="2"/>
      <c r="Q613" s="2"/>
      <c r="R613" s="2"/>
      <c r="S613" s="2"/>
    </row>
    <row r="614">
      <c r="A614" s="2"/>
      <c r="B614" s="2"/>
      <c r="C614" s="2"/>
      <c r="D614" s="2"/>
      <c r="E614" s="2"/>
      <c r="F614" s="2"/>
      <c r="G614" s="2"/>
      <c r="H614" s="2"/>
      <c r="I614" s="2"/>
      <c r="J614" s="2"/>
      <c r="K614" s="2"/>
      <c r="L614" s="2"/>
      <c r="M614" s="2"/>
      <c r="N614" s="2"/>
      <c r="O614" s="2"/>
      <c r="P614" s="2"/>
      <c r="Q614" s="2"/>
      <c r="R614" s="2"/>
      <c r="S614" s="2"/>
    </row>
    <row r="615">
      <c r="A615" s="2"/>
      <c r="B615" s="2"/>
      <c r="C615" s="2"/>
      <c r="D615" s="2"/>
      <c r="E615" s="2"/>
      <c r="F615" s="2"/>
      <c r="G615" s="2"/>
      <c r="H615" s="2"/>
      <c r="I615" s="2"/>
      <c r="J615" s="2"/>
      <c r="K615" s="2"/>
      <c r="L615" s="2"/>
      <c r="M615" s="2"/>
      <c r="N615" s="2"/>
      <c r="O615" s="2"/>
      <c r="P615" s="2"/>
      <c r="Q615" s="2"/>
      <c r="R615" s="2"/>
      <c r="S615" s="2"/>
    </row>
    <row r="616">
      <c r="A616" s="2"/>
      <c r="B616" s="2"/>
      <c r="C616" s="2"/>
      <c r="D616" s="2"/>
      <c r="E616" s="2"/>
      <c r="F616" s="2"/>
      <c r="G616" s="2"/>
      <c r="H616" s="2"/>
      <c r="I616" s="2"/>
      <c r="J616" s="2"/>
      <c r="K616" s="2"/>
      <c r="L616" s="2"/>
      <c r="M616" s="2"/>
      <c r="N616" s="2"/>
      <c r="O616" s="2"/>
      <c r="P616" s="2"/>
      <c r="Q616" s="2"/>
      <c r="R616" s="2"/>
      <c r="S616" s="2"/>
    </row>
    <row r="617">
      <c r="A617" s="2"/>
      <c r="B617" s="2"/>
      <c r="C617" s="2"/>
      <c r="D617" s="2"/>
      <c r="E617" s="2"/>
      <c r="F617" s="2"/>
      <c r="G617" s="2"/>
      <c r="H617" s="2"/>
      <c r="I617" s="2"/>
      <c r="J617" s="2"/>
      <c r="K617" s="2"/>
      <c r="L617" s="2"/>
      <c r="M617" s="2"/>
      <c r="N617" s="2"/>
      <c r="O617" s="2"/>
      <c r="P617" s="2"/>
      <c r="Q617" s="2"/>
      <c r="R617" s="2"/>
      <c r="S617" s="2"/>
    </row>
    <row r="618">
      <c r="A618" s="2"/>
      <c r="B618" s="2"/>
      <c r="C618" s="2"/>
      <c r="D618" s="2"/>
      <c r="E618" s="2"/>
      <c r="F618" s="2"/>
      <c r="G618" s="2"/>
      <c r="H618" s="2"/>
      <c r="I618" s="2"/>
      <c r="J618" s="2"/>
      <c r="K618" s="2"/>
      <c r="L618" s="2"/>
      <c r="M618" s="2"/>
      <c r="N618" s="2"/>
      <c r="O618" s="2"/>
      <c r="P618" s="2"/>
      <c r="Q618" s="2"/>
      <c r="R618" s="2"/>
      <c r="S618" s="2"/>
    </row>
    <row r="619">
      <c r="A619" s="2"/>
      <c r="B619" s="2"/>
      <c r="C619" s="2"/>
      <c r="D619" s="2"/>
      <c r="E619" s="2"/>
      <c r="F619" s="2"/>
      <c r="G619" s="2"/>
      <c r="H619" s="2"/>
      <c r="I619" s="2"/>
      <c r="J619" s="2"/>
      <c r="K619" s="2"/>
      <c r="L619" s="2"/>
      <c r="M619" s="2"/>
      <c r="N619" s="2"/>
      <c r="O619" s="2"/>
      <c r="P619" s="2"/>
      <c r="Q619" s="2"/>
      <c r="R619" s="2"/>
      <c r="S619" s="2"/>
    </row>
    <row r="620">
      <c r="A620" s="2"/>
      <c r="B620" s="2"/>
      <c r="C620" s="2"/>
      <c r="D620" s="2"/>
      <c r="E620" s="2"/>
      <c r="F620" s="2"/>
      <c r="G620" s="2"/>
      <c r="H620" s="2"/>
      <c r="I620" s="2"/>
      <c r="J620" s="2"/>
      <c r="K620" s="2"/>
      <c r="L620" s="2"/>
      <c r="M620" s="2"/>
      <c r="N620" s="2"/>
      <c r="O620" s="2"/>
      <c r="P620" s="2"/>
      <c r="Q620" s="2"/>
      <c r="R620" s="2"/>
      <c r="S620" s="2"/>
    </row>
    <row r="621">
      <c r="A621" s="2"/>
      <c r="B621" s="2"/>
      <c r="C621" s="2"/>
      <c r="D621" s="2"/>
      <c r="E621" s="2"/>
      <c r="F621" s="2"/>
      <c r="G621" s="2"/>
      <c r="H621" s="2"/>
      <c r="I621" s="2"/>
      <c r="J621" s="2"/>
      <c r="K621" s="2"/>
      <c r="L621" s="2"/>
      <c r="M621" s="2"/>
      <c r="N621" s="2"/>
      <c r="O621" s="2"/>
      <c r="P621" s="2"/>
      <c r="Q621" s="2"/>
      <c r="R621" s="2"/>
      <c r="S621" s="2"/>
    </row>
    <row r="622">
      <c r="A622" s="2"/>
      <c r="B622" s="2"/>
      <c r="C622" s="2"/>
      <c r="D622" s="2"/>
      <c r="E622" s="2"/>
      <c r="F622" s="2"/>
      <c r="G622" s="2"/>
      <c r="H622" s="2"/>
      <c r="I622" s="2"/>
      <c r="J622" s="2"/>
      <c r="K622" s="2"/>
      <c r="L622" s="2"/>
      <c r="M622" s="2"/>
      <c r="N622" s="2"/>
      <c r="O622" s="2"/>
      <c r="P622" s="2"/>
      <c r="Q622" s="2"/>
      <c r="R622" s="2"/>
      <c r="S622" s="2"/>
    </row>
    <row r="623">
      <c r="A623" s="2"/>
      <c r="B623" s="2"/>
      <c r="C623" s="2"/>
      <c r="D623" s="2"/>
      <c r="E623" s="2"/>
      <c r="F623" s="2"/>
      <c r="G623" s="2"/>
      <c r="H623" s="2"/>
      <c r="I623" s="2"/>
      <c r="J623" s="2"/>
      <c r="K623" s="2"/>
      <c r="L623" s="2"/>
      <c r="M623" s="2"/>
      <c r="N623" s="2"/>
      <c r="O623" s="2"/>
      <c r="P623" s="2"/>
      <c r="Q623" s="2"/>
      <c r="R623" s="2"/>
      <c r="S623" s="2"/>
    </row>
    <row r="624">
      <c r="A624" s="2"/>
      <c r="B624" s="2"/>
      <c r="C624" s="2"/>
      <c r="D624" s="2"/>
      <c r="E624" s="2"/>
      <c r="F624" s="2"/>
      <c r="G624" s="2"/>
      <c r="H624" s="2"/>
      <c r="I624" s="2"/>
      <c r="J624" s="2"/>
      <c r="K624" s="2"/>
      <c r="L624" s="2"/>
      <c r="M624" s="2"/>
      <c r="N624" s="2"/>
      <c r="O624" s="2"/>
      <c r="P624" s="2"/>
      <c r="Q624" s="2"/>
      <c r="R624" s="2"/>
      <c r="S624" s="2"/>
    </row>
    <row r="625">
      <c r="A625" s="2"/>
      <c r="B625" s="2"/>
      <c r="C625" s="2"/>
      <c r="D625" s="2"/>
      <c r="E625" s="2"/>
      <c r="F625" s="2"/>
      <c r="G625" s="2"/>
      <c r="H625" s="2"/>
      <c r="I625" s="2"/>
      <c r="J625" s="2"/>
      <c r="K625" s="2"/>
      <c r="L625" s="2"/>
      <c r="M625" s="2"/>
      <c r="N625" s="2"/>
      <c r="O625" s="2"/>
      <c r="P625" s="2"/>
      <c r="Q625" s="2"/>
      <c r="R625" s="2"/>
      <c r="S625" s="2"/>
    </row>
    <row r="626">
      <c r="A626" s="2"/>
      <c r="B626" s="2"/>
      <c r="C626" s="2"/>
      <c r="D626" s="2"/>
      <c r="E626" s="2"/>
      <c r="F626" s="2"/>
      <c r="G626" s="2"/>
      <c r="H626" s="2"/>
      <c r="I626" s="2"/>
      <c r="J626" s="2"/>
      <c r="K626" s="2"/>
      <c r="L626" s="2"/>
      <c r="M626" s="2"/>
      <c r="N626" s="2"/>
      <c r="O626" s="2"/>
      <c r="P626" s="2"/>
      <c r="Q626" s="2"/>
      <c r="R626" s="2"/>
      <c r="S626" s="2"/>
    </row>
    <row r="627">
      <c r="A627" s="2"/>
      <c r="B627" s="2"/>
      <c r="C627" s="2"/>
      <c r="D627" s="2"/>
      <c r="E627" s="2"/>
      <c r="F627" s="2"/>
      <c r="G627" s="2"/>
      <c r="H627" s="2"/>
      <c r="I627" s="2"/>
      <c r="J627" s="2"/>
      <c r="K627" s="2"/>
      <c r="L627" s="2"/>
      <c r="M627" s="2"/>
      <c r="N627" s="2"/>
      <c r="O627" s="2"/>
      <c r="P627" s="2"/>
      <c r="Q627" s="2"/>
      <c r="R627" s="2"/>
      <c r="S627" s="2"/>
    </row>
    <row r="628">
      <c r="A628" s="2"/>
      <c r="B628" s="2"/>
      <c r="C628" s="2"/>
      <c r="D628" s="2"/>
      <c r="E628" s="2"/>
      <c r="F628" s="2"/>
      <c r="G628" s="2"/>
      <c r="H628" s="2"/>
      <c r="I628" s="2"/>
      <c r="J628" s="2"/>
      <c r="K628" s="2"/>
      <c r="L628" s="2"/>
      <c r="M628" s="2"/>
      <c r="N628" s="2"/>
      <c r="O628" s="2"/>
      <c r="P628" s="2"/>
      <c r="Q628" s="2"/>
      <c r="R628" s="2"/>
      <c r="S628" s="2"/>
    </row>
    <row r="629">
      <c r="A629" s="2"/>
      <c r="B629" s="2"/>
      <c r="C629" s="2"/>
      <c r="D629" s="2"/>
      <c r="E629" s="2"/>
      <c r="F629" s="2"/>
      <c r="G629" s="2"/>
      <c r="H629" s="2"/>
      <c r="I629" s="2"/>
      <c r="J629" s="2"/>
      <c r="K629" s="2"/>
      <c r="L629" s="2"/>
      <c r="M629" s="2"/>
      <c r="N629" s="2"/>
      <c r="O629" s="2"/>
      <c r="P629" s="2"/>
      <c r="Q629" s="2"/>
      <c r="R629" s="2"/>
      <c r="S629" s="2"/>
    </row>
    <row r="630">
      <c r="A630" s="2"/>
      <c r="B630" s="2"/>
      <c r="C630" s="2"/>
      <c r="D630" s="2"/>
      <c r="E630" s="2"/>
      <c r="F630" s="2"/>
      <c r="G630" s="2"/>
      <c r="H630" s="2"/>
      <c r="I630" s="2"/>
      <c r="J630" s="2"/>
      <c r="K630" s="2"/>
      <c r="L630" s="2"/>
      <c r="M630" s="2"/>
      <c r="N630" s="2"/>
      <c r="O630" s="2"/>
      <c r="P630" s="2"/>
      <c r="Q630" s="2"/>
      <c r="R630" s="2"/>
      <c r="S630" s="2"/>
    </row>
    <row r="631">
      <c r="A631" s="2"/>
      <c r="B631" s="2"/>
      <c r="C631" s="2"/>
      <c r="D631" s="2"/>
      <c r="E631" s="2"/>
      <c r="F631" s="2"/>
      <c r="G631" s="2"/>
      <c r="H631" s="2"/>
      <c r="I631" s="2"/>
      <c r="J631" s="2"/>
      <c r="K631" s="2"/>
      <c r="L631" s="2"/>
      <c r="M631" s="2"/>
      <c r="N631" s="2"/>
      <c r="O631" s="2"/>
      <c r="P631" s="2"/>
      <c r="Q631" s="2"/>
      <c r="R631" s="2"/>
      <c r="S631" s="2"/>
    </row>
    <row r="632">
      <c r="A632" s="2"/>
      <c r="B632" s="2"/>
      <c r="C632" s="2"/>
      <c r="D632" s="2"/>
      <c r="E632" s="2"/>
      <c r="F632" s="2"/>
      <c r="G632" s="2"/>
      <c r="H632" s="2"/>
      <c r="I632" s="2"/>
      <c r="J632" s="2"/>
      <c r="K632" s="2"/>
      <c r="L632" s="2"/>
      <c r="M632" s="2"/>
      <c r="N632" s="2"/>
      <c r="O632" s="2"/>
      <c r="P632" s="2"/>
      <c r="Q632" s="2"/>
      <c r="R632" s="2"/>
      <c r="S632" s="2"/>
    </row>
    <row r="633">
      <c r="A633" s="2"/>
      <c r="B633" s="2"/>
      <c r="C633" s="2"/>
      <c r="D633" s="2"/>
      <c r="E633" s="2"/>
      <c r="F633" s="2"/>
      <c r="G633" s="2"/>
      <c r="H633" s="2"/>
      <c r="I633" s="2"/>
      <c r="J633" s="2"/>
      <c r="K633" s="2"/>
      <c r="L633" s="2"/>
      <c r="M633" s="2"/>
      <c r="N633" s="2"/>
      <c r="O633" s="2"/>
      <c r="P633" s="2"/>
      <c r="Q633" s="2"/>
      <c r="R633" s="2"/>
      <c r="S633" s="2"/>
    </row>
    <row r="634">
      <c r="A634" s="2"/>
      <c r="B634" s="2"/>
      <c r="C634" s="2"/>
      <c r="D634" s="2"/>
      <c r="E634" s="2"/>
      <c r="F634" s="2"/>
      <c r="G634" s="2"/>
      <c r="H634" s="2"/>
      <c r="I634" s="2"/>
      <c r="J634" s="2"/>
      <c r="K634" s="2"/>
      <c r="L634" s="2"/>
      <c r="M634" s="2"/>
      <c r="N634" s="2"/>
      <c r="O634" s="2"/>
      <c r="P634" s="2"/>
      <c r="Q634" s="2"/>
      <c r="R634" s="2"/>
      <c r="S634" s="2"/>
    </row>
    <row r="635">
      <c r="A635" s="2"/>
      <c r="B635" s="2"/>
      <c r="C635" s="2"/>
      <c r="D635" s="2"/>
      <c r="E635" s="2"/>
      <c r="F635" s="2"/>
      <c r="G635" s="2"/>
      <c r="H635" s="2"/>
      <c r="I635" s="2"/>
      <c r="J635" s="2"/>
      <c r="K635" s="2"/>
      <c r="L635" s="2"/>
      <c r="M635" s="2"/>
      <c r="N635" s="2"/>
      <c r="O635" s="2"/>
      <c r="P635" s="2"/>
      <c r="Q635" s="2"/>
      <c r="R635" s="2"/>
      <c r="S635" s="2"/>
    </row>
    <row r="636">
      <c r="A636" s="2"/>
      <c r="B636" s="2"/>
      <c r="C636" s="2"/>
      <c r="D636" s="2"/>
      <c r="E636" s="2"/>
      <c r="F636" s="2"/>
      <c r="G636" s="2"/>
      <c r="H636" s="2"/>
      <c r="I636" s="2"/>
      <c r="J636" s="2"/>
      <c r="K636" s="2"/>
      <c r="L636" s="2"/>
      <c r="M636" s="2"/>
      <c r="N636" s="2"/>
      <c r="O636" s="2"/>
      <c r="P636" s="2"/>
      <c r="Q636" s="2"/>
      <c r="R636" s="2"/>
      <c r="S636" s="2"/>
    </row>
    <row r="637">
      <c r="A637" s="2"/>
      <c r="B637" s="2"/>
      <c r="C637" s="2"/>
      <c r="D637" s="2"/>
      <c r="E637" s="2"/>
      <c r="F637" s="2"/>
      <c r="G637" s="2"/>
      <c r="H637" s="2"/>
      <c r="I637" s="2"/>
      <c r="J637" s="2"/>
      <c r="K637" s="2"/>
      <c r="L637" s="2"/>
      <c r="M637" s="2"/>
      <c r="N637" s="2"/>
      <c r="O637" s="2"/>
      <c r="P637" s="2"/>
      <c r="Q637" s="2"/>
      <c r="R637" s="2"/>
      <c r="S637" s="2"/>
    </row>
    <row r="638">
      <c r="A638" s="2"/>
      <c r="B638" s="2"/>
      <c r="C638" s="2"/>
      <c r="D638" s="2"/>
      <c r="E638" s="2"/>
      <c r="F638" s="2"/>
      <c r="G638" s="2"/>
      <c r="H638" s="2"/>
      <c r="I638" s="2"/>
      <c r="J638" s="2"/>
      <c r="K638" s="2"/>
      <c r="L638" s="2"/>
      <c r="M638" s="2"/>
      <c r="N638" s="2"/>
      <c r="O638" s="2"/>
      <c r="P638" s="2"/>
      <c r="Q638" s="2"/>
      <c r="R638" s="2"/>
      <c r="S638" s="2"/>
    </row>
    <row r="639">
      <c r="A639" s="2"/>
      <c r="B639" s="2"/>
      <c r="C639" s="2"/>
      <c r="D639" s="2"/>
      <c r="E639" s="2"/>
      <c r="F639" s="2"/>
      <c r="G639" s="2"/>
      <c r="H639" s="2"/>
      <c r="I639" s="2"/>
      <c r="J639" s="2"/>
      <c r="K639" s="2"/>
      <c r="L639" s="2"/>
      <c r="M639" s="2"/>
      <c r="N639" s="2"/>
      <c r="O639" s="2"/>
      <c r="P639" s="2"/>
      <c r="Q639" s="2"/>
      <c r="R639" s="2"/>
      <c r="S639" s="2"/>
    </row>
    <row r="640">
      <c r="A640" s="2"/>
      <c r="B640" s="2"/>
      <c r="C640" s="2"/>
      <c r="D640" s="2"/>
      <c r="E640" s="2"/>
      <c r="F640" s="2"/>
      <c r="G640" s="2"/>
      <c r="H640" s="2"/>
      <c r="I640" s="2"/>
      <c r="J640" s="2"/>
      <c r="K640" s="2"/>
      <c r="L640" s="2"/>
      <c r="M640" s="2"/>
      <c r="N640" s="2"/>
      <c r="O640" s="2"/>
      <c r="P640" s="2"/>
      <c r="Q640" s="2"/>
      <c r="R640" s="2"/>
      <c r="S640" s="2"/>
    </row>
    <row r="641">
      <c r="A641" s="2"/>
      <c r="B641" s="2"/>
      <c r="C641" s="2"/>
      <c r="D641" s="2"/>
      <c r="E641" s="2"/>
      <c r="F641" s="2"/>
      <c r="G641" s="2"/>
      <c r="H641" s="2"/>
      <c r="I641" s="2"/>
      <c r="J641" s="2"/>
      <c r="K641" s="2"/>
      <c r="L641" s="2"/>
      <c r="M641" s="2"/>
      <c r="N641" s="2"/>
      <c r="O641" s="2"/>
      <c r="P641" s="2"/>
      <c r="Q641" s="2"/>
      <c r="R641" s="2"/>
      <c r="S641" s="2"/>
    </row>
    <row r="642">
      <c r="A642" s="2"/>
      <c r="B642" s="2"/>
      <c r="C642" s="2"/>
      <c r="D642" s="2"/>
      <c r="E642" s="2"/>
      <c r="F642" s="2"/>
      <c r="G642" s="2"/>
      <c r="H642" s="2"/>
      <c r="I642" s="2"/>
      <c r="J642" s="2"/>
      <c r="K642" s="2"/>
      <c r="L642" s="2"/>
      <c r="M642" s="2"/>
      <c r="N642" s="2"/>
      <c r="O642" s="2"/>
      <c r="P642" s="2"/>
      <c r="Q642" s="2"/>
      <c r="R642" s="2"/>
      <c r="S642" s="2"/>
    </row>
    <row r="643">
      <c r="A643" s="2"/>
      <c r="B643" s="2"/>
      <c r="C643" s="2"/>
      <c r="D643" s="2"/>
      <c r="E643" s="2"/>
      <c r="F643" s="2"/>
      <c r="G643" s="2"/>
      <c r="H643" s="2"/>
      <c r="I643" s="2"/>
      <c r="J643" s="2"/>
      <c r="K643" s="2"/>
      <c r="L643" s="2"/>
      <c r="M643" s="2"/>
      <c r="N643" s="2"/>
      <c r="O643" s="2"/>
      <c r="P643" s="2"/>
      <c r="Q643" s="2"/>
      <c r="R643" s="2"/>
      <c r="S643" s="2"/>
    </row>
    <row r="644">
      <c r="A644" s="2"/>
      <c r="B644" s="2"/>
      <c r="C644" s="2"/>
      <c r="D644" s="2"/>
      <c r="E644" s="2"/>
      <c r="F644" s="2"/>
      <c r="G644" s="2"/>
      <c r="H644" s="2"/>
      <c r="I644" s="2"/>
      <c r="J644" s="2"/>
      <c r="K644" s="2"/>
      <c r="L644" s="2"/>
      <c r="M644" s="2"/>
      <c r="N644" s="2"/>
      <c r="O644" s="2"/>
      <c r="P644" s="2"/>
      <c r="Q644" s="2"/>
      <c r="R644" s="2"/>
      <c r="S644" s="2"/>
    </row>
    <row r="645">
      <c r="A645" s="2"/>
      <c r="B645" s="2"/>
      <c r="C645" s="2"/>
      <c r="D645" s="2"/>
      <c r="E645" s="2"/>
      <c r="F645" s="2"/>
      <c r="G645" s="2"/>
      <c r="H645" s="2"/>
      <c r="I645" s="2"/>
      <c r="J645" s="2"/>
      <c r="K645" s="2"/>
      <c r="L645" s="2"/>
      <c r="M645" s="2"/>
      <c r="N645" s="2"/>
      <c r="O645" s="2"/>
      <c r="P645" s="2"/>
      <c r="Q645" s="2"/>
      <c r="R645" s="2"/>
      <c r="S645" s="2"/>
    </row>
    <row r="646">
      <c r="A646" s="2"/>
      <c r="B646" s="2"/>
      <c r="C646" s="2"/>
      <c r="D646" s="2"/>
      <c r="E646" s="2"/>
      <c r="F646" s="2"/>
      <c r="G646" s="2"/>
      <c r="H646" s="2"/>
      <c r="I646" s="2"/>
      <c r="J646" s="2"/>
      <c r="K646" s="2"/>
      <c r="L646" s="2"/>
      <c r="M646" s="2"/>
      <c r="N646" s="2"/>
      <c r="O646" s="2"/>
      <c r="P646" s="2"/>
      <c r="Q646" s="2"/>
      <c r="R646" s="2"/>
      <c r="S646" s="2"/>
    </row>
    <row r="647">
      <c r="A647" s="2"/>
      <c r="B647" s="2"/>
      <c r="C647" s="2"/>
      <c r="D647" s="2"/>
      <c r="E647" s="2"/>
      <c r="F647" s="2"/>
      <c r="G647" s="2"/>
      <c r="H647" s="2"/>
      <c r="I647" s="2"/>
      <c r="J647" s="2"/>
      <c r="K647" s="2"/>
      <c r="L647" s="2"/>
      <c r="M647" s="2"/>
      <c r="N647" s="2"/>
      <c r="O647" s="2"/>
      <c r="P647" s="2"/>
      <c r="Q647" s="2"/>
      <c r="R647" s="2"/>
      <c r="S647" s="2"/>
    </row>
    <row r="648">
      <c r="A648" s="2"/>
      <c r="B648" s="2"/>
      <c r="C648" s="2"/>
      <c r="D648" s="2"/>
      <c r="E648" s="2"/>
      <c r="F648" s="2"/>
      <c r="G648" s="2"/>
      <c r="H648" s="2"/>
      <c r="I648" s="2"/>
      <c r="J648" s="2"/>
      <c r="K648" s="2"/>
      <c r="L648" s="2"/>
      <c r="M648" s="2"/>
      <c r="N648" s="2"/>
      <c r="O648" s="2"/>
      <c r="P648" s="2"/>
      <c r="Q648" s="2"/>
      <c r="R648" s="2"/>
      <c r="S648" s="2"/>
    </row>
    <row r="649">
      <c r="A649" s="2"/>
      <c r="B649" s="2"/>
      <c r="C649" s="2"/>
      <c r="D649" s="2"/>
      <c r="E649" s="2"/>
      <c r="F649" s="2"/>
      <c r="G649" s="2"/>
      <c r="H649" s="2"/>
      <c r="I649" s="2"/>
      <c r="J649" s="2"/>
      <c r="K649" s="2"/>
      <c r="L649" s="2"/>
      <c r="M649" s="2"/>
      <c r="N649" s="2"/>
      <c r="O649" s="2"/>
      <c r="P649" s="2"/>
      <c r="Q649" s="2"/>
      <c r="R649" s="2"/>
      <c r="S649" s="2"/>
    </row>
    <row r="650">
      <c r="A650" s="2"/>
      <c r="B650" s="2"/>
      <c r="C650" s="2"/>
      <c r="D650" s="2"/>
      <c r="E650" s="2"/>
      <c r="F650" s="2"/>
      <c r="G650" s="2"/>
      <c r="H650" s="2"/>
      <c r="I650" s="2"/>
      <c r="J650" s="2"/>
      <c r="K650" s="2"/>
      <c r="L650" s="2"/>
      <c r="M650" s="2"/>
      <c r="N650" s="2"/>
      <c r="O650" s="2"/>
      <c r="P650" s="2"/>
      <c r="Q650" s="2"/>
      <c r="R650" s="2"/>
      <c r="S650" s="2"/>
    </row>
    <row r="651">
      <c r="A651" s="2"/>
      <c r="B651" s="2"/>
      <c r="C651" s="2"/>
      <c r="D651" s="2"/>
      <c r="E651" s="2"/>
      <c r="F651" s="2"/>
      <c r="G651" s="2"/>
      <c r="H651" s="2"/>
      <c r="I651" s="2"/>
      <c r="J651" s="2"/>
      <c r="K651" s="2"/>
      <c r="L651" s="2"/>
      <c r="M651" s="2"/>
      <c r="N651" s="2"/>
      <c r="O651" s="2"/>
      <c r="P651" s="2"/>
      <c r="Q651" s="2"/>
      <c r="R651" s="2"/>
      <c r="S651" s="2"/>
    </row>
    <row r="652">
      <c r="A652" s="2"/>
      <c r="B652" s="2"/>
      <c r="C652" s="2"/>
      <c r="D652" s="2"/>
      <c r="E652" s="2"/>
      <c r="F652" s="2"/>
      <c r="G652" s="2"/>
      <c r="H652" s="2"/>
      <c r="I652" s="2"/>
      <c r="J652" s="2"/>
      <c r="K652" s="2"/>
      <c r="L652" s="2"/>
      <c r="M652" s="2"/>
      <c r="N652" s="2"/>
      <c r="O652" s="2"/>
      <c r="P652" s="2"/>
      <c r="Q652" s="2"/>
      <c r="R652" s="2"/>
      <c r="S652" s="2"/>
    </row>
    <row r="653">
      <c r="A653" s="2"/>
      <c r="B653" s="2"/>
      <c r="C653" s="2"/>
      <c r="D653" s="2"/>
      <c r="E653" s="2"/>
      <c r="F653" s="2"/>
      <c r="G653" s="2"/>
      <c r="H653" s="2"/>
      <c r="I653" s="2"/>
      <c r="J653" s="2"/>
      <c r="K653" s="2"/>
      <c r="L653" s="2"/>
      <c r="M653" s="2"/>
      <c r="N653" s="2"/>
      <c r="O653" s="2"/>
      <c r="P653" s="2"/>
      <c r="Q653" s="2"/>
      <c r="R653" s="2"/>
      <c r="S653" s="2"/>
    </row>
    <row r="654">
      <c r="A654" s="2"/>
      <c r="B654" s="2"/>
      <c r="C654" s="2"/>
      <c r="D654" s="2"/>
      <c r="E654" s="2"/>
      <c r="F654" s="2"/>
      <c r="G654" s="2"/>
      <c r="H654" s="2"/>
      <c r="I654" s="2"/>
      <c r="J654" s="2"/>
      <c r="K654" s="2"/>
      <c r="L654" s="2"/>
      <c r="M654" s="2"/>
      <c r="N654" s="2"/>
      <c r="O654" s="2"/>
      <c r="P654" s="2"/>
      <c r="Q654" s="2"/>
      <c r="R654" s="2"/>
      <c r="S654" s="2"/>
    </row>
    <row r="655">
      <c r="A655" s="2"/>
      <c r="B655" s="2"/>
      <c r="C655" s="2"/>
      <c r="D655" s="2"/>
      <c r="E655" s="2"/>
      <c r="F655" s="2"/>
      <c r="G655" s="2"/>
      <c r="H655" s="2"/>
      <c r="I655" s="2"/>
      <c r="J655" s="2"/>
      <c r="K655" s="2"/>
      <c r="L655" s="2"/>
      <c r="M655" s="2"/>
      <c r="N655" s="2"/>
      <c r="O655" s="2"/>
      <c r="P655" s="2"/>
      <c r="Q655" s="2"/>
      <c r="R655" s="2"/>
      <c r="S655" s="2"/>
    </row>
    <row r="656">
      <c r="A656" s="2"/>
      <c r="B656" s="2"/>
      <c r="C656" s="2"/>
      <c r="D656" s="2"/>
      <c r="E656" s="2"/>
      <c r="F656" s="2"/>
      <c r="G656" s="2"/>
      <c r="H656" s="2"/>
      <c r="I656" s="2"/>
      <c r="J656" s="2"/>
      <c r="K656" s="2"/>
      <c r="L656" s="2"/>
      <c r="M656" s="2"/>
      <c r="N656" s="2"/>
      <c r="O656" s="2"/>
      <c r="P656" s="2"/>
      <c r="Q656" s="2"/>
      <c r="R656" s="2"/>
      <c r="S656" s="2"/>
    </row>
    <row r="657">
      <c r="A657" s="2"/>
      <c r="B657" s="2"/>
      <c r="C657" s="2"/>
      <c r="D657" s="2"/>
      <c r="E657" s="2"/>
      <c r="F657" s="2"/>
      <c r="G657" s="2"/>
      <c r="H657" s="2"/>
      <c r="I657" s="2"/>
      <c r="J657" s="2"/>
      <c r="K657" s="2"/>
      <c r="L657" s="2"/>
      <c r="M657" s="2"/>
      <c r="N657" s="2"/>
      <c r="O657" s="2"/>
      <c r="P657" s="2"/>
      <c r="Q657" s="2"/>
      <c r="R657" s="2"/>
      <c r="S657" s="2"/>
    </row>
    <row r="658">
      <c r="A658" s="2"/>
      <c r="B658" s="2"/>
      <c r="C658" s="2"/>
      <c r="D658" s="2"/>
      <c r="E658" s="2"/>
      <c r="F658" s="2"/>
      <c r="G658" s="2"/>
      <c r="H658" s="2"/>
      <c r="I658" s="2"/>
      <c r="J658" s="2"/>
      <c r="K658" s="2"/>
      <c r="L658" s="2"/>
      <c r="M658" s="2"/>
      <c r="N658" s="2"/>
      <c r="O658" s="2"/>
      <c r="P658" s="2"/>
      <c r="Q658" s="2"/>
      <c r="R658" s="2"/>
      <c r="S658" s="2"/>
    </row>
    <row r="659">
      <c r="A659" s="2"/>
      <c r="B659" s="2"/>
      <c r="C659" s="2"/>
      <c r="D659" s="2"/>
      <c r="E659" s="2"/>
      <c r="F659" s="2"/>
      <c r="G659" s="2"/>
      <c r="H659" s="2"/>
      <c r="I659" s="2"/>
      <c r="J659" s="2"/>
      <c r="K659" s="2"/>
      <c r="L659" s="2"/>
      <c r="M659" s="2"/>
      <c r="N659" s="2"/>
      <c r="O659" s="2"/>
      <c r="P659" s="2"/>
      <c r="Q659" s="2"/>
      <c r="R659" s="2"/>
      <c r="S659" s="2"/>
    </row>
    <row r="660">
      <c r="A660" s="2"/>
      <c r="B660" s="2"/>
      <c r="C660" s="2"/>
      <c r="D660" s="2"/>
      <c r="E660" s="2"/>
      <c r="F660" s="2"/>
      <c r="G660" s="2"/>
      <c r="H660" s="2"/>
      <c r="I660" s="2"/>
      <c r="J660" s="2"/>
      <c r="K660" s="2"/>
      <c r="L660" s="2"/>
      <c r="M660" s="2"/>
      <c r="N660" s="2"/>
      <c r="O660" s="2"/>
      <c r="P660" s="2"/>
      <c r="Q660" s="2"/>
      <c r="R660" s="2"/>
      <c r="S660" s="2"/>
    </row>
    <row r="661">
      <c r="A661" s="2"/>
      <c r="B661" s="2"/>
      <c r="C661" s="2"/>
      <c r="D661" s="2"/>
      <c r="E661" s="2"/>
      <c r="F661" s="2"/>
      <c r="G661" s="2"/>
      <c r="H661" s="2"/>
      <c r="I661" s="2"/>
      <c r="J661" s="2"/>
      <c r="K661" s="2"/>
      <c r="L661" s="2"/>
      <c r="M661" s="2"/>
      <c r="N661" s="2"/>
      <c r="O661" s="2"/>
      <c r="P661" s="2"/>
      <c r="Q661" s="2"/>
      <c r="R661" s="2"/>
      <c r="S661" s="2"/>
    </row>
    <row r="662">
      <c r="A662" s="2"/>
      <c r="B662" s="2"/>
      <c r="C662" s="2"/>
      <c r="D662" s="2"/>
      <c r="E662" s="2"/>
      <c r="F662" s="2"/>
      <c r="G662" s="2"/>
      <c r="H662" s="2"/>
      <c r="I662" s="2"/>
      <c r="J662" s="2"/>
      <c r="K662" s="2"/>
      <c r="L662" s="2"/>
      <c r="M662" s="2"/>
      <c r="N662" s="2"/>
      <c r="O662" s="2"/>
      <c r="P662" s="2"/>
      <c r="Q662" s="2"/>
      <c r="R662" s="2"/>
      <c r="S662" s="2"/>
    </row>
    <row r="663">
      <c r="A663" s="2"/>
      <c r="B663" s="2"/>
      <c r="C663" s="2"/>
      <c r="D663" s="2"/>
      <c r="E663" s="2"/>
      <c r="F663" s="2"/>
      <c r="G663" s="2"/>
      <c r="H663" s="2"/>
      <c r="I663" s="2"/>
      <c r="J663" s="2"/>
      <c r="K663" s="2"/>
      <c r="L663" s="2"/>
      <c r="M663" s="2"/>
      <c r="N663" s="2"/>
      <c r="O663" s="2"/>
      <c r="P663" s="2"/>
      <c r="Q663" s="2"/>
      <c r="R663" s="2"/>
      <c r="S663" s="2"/>
    </row>
    <row r="664">
      <c r="A664" s="2"/>
      <c r="B664" s="2"/>
      <c r="C664" s="2"/>
      <c r="D664" s="2"/>
      <c r="E664" s="2"/>
      <c r="F664" s="2"/>
      <c r="G664" s="2"/>
      <c r="H664" s="2"/>
      <c r="I664" s="2"/>
      <c r="J664" s="2"/>
      <c r="K664" s="2"/>
      <c r="L664" s="2"/>
      <c r="M664" s="2"/>
      <c r="N664" s="2"/>
      <c r="O664" s="2"/>
      <c r="P664" s="2"/>
      <c r="Q664" s="2"/>
      <c r="R664" s="2"/>
      <c r="S664" s="2"/>
    </row>
    <row r="665">
      <c r="A665" s="2"/>
      <c r="B665" s="2"/>
      <c r="C665" s="2"/>
      <c r="D665" s="2"/>
      <c r="E665" s="2"/>
      <c r="F665" s="2"/>
      <c r="G665" s="2"/>
      <c r="H665" s="2"/>
      <c r="I665" s="2"/>
      <c r="J665" s="2"/>
      <c r="K665" s="2"/>
      <c r="L665" s="2"/>
      <c r="M665" s="2"/>
      <c r="N665" s="2"/>
      <c r="O665" s="2"/>
      <c r="P665" s="2"/>
      <c r="Q665" s="2"/>
      <c r="R665" s="2"/>
      <c r="S665" s="2"/>
    </row>
    <row r="666">
      <c r="A666" s="2"/>
      <c r="B666" s="2"/>
      <c r="C666" s="2"/>
      <c r="D666" s="2"/>
      <c r="E666" s="2"/>
      <c r="F666" s="2"/>
      <c r="G666" s="2"/>
      <c r="H666" s="2"/>
      <c r="I666" s="2"/>
      <c r="J666" s="2"/>
      <c r="K666" s="2"/>
      <c r="L666" s="2"/>
      <c r="M666" s="2"/>
      <c r="N666" s="2"/>
      <c r="O666" s="2"/>
      <c r="P666" s="2"/>
      <c r="Q666" s="2"/>
      <c r="R666" s="2"/>
      <c r="S666" s="2"/>
    </row>
    <row r="667">
      <c r="A667" s="2"/>
      <c r="B667" s="2"/>
      <c r="C667" s="2"/>
      <c r="D667" s="2"/>
      <c r="E667" s="2"/>
      <c r="F667" s="2"/>
      <c r="G667" s="2"/>
      <c r="H667" s="2"/>
      <c r="I667" s="2"/>
      <c r="J667" s="2"/>
      <c r="K667" s="2"/>
      <c r="L667" s="2"/>
      <c r="M667" s="2"/>
      <c r="N667" s="2"/>
      <c r="O667" s="2"/>
      <c r="P667" s="2"/>
      <c r="Q667" s="2"/>
      <c r="R667" s="2"/>
      <c r="S667" s="2"/>
    </row>
    <row r="668">
      <c r="A668" s="2"/>
      <c r="B668" s="2"/>
      <c r="C668" s="2"/>
      <c r="D668" s="2"/>
      <c r="E668" s="2"/>
      <c r="F668" s="2"/>
      <c r="G668" s="2"/>
      <c r="H668" s="2"/>
      <c r="I668" s="2"/>
      <c r="J668" s="2"/>
      <c r="K668" s="2"/>
      <c r="L668" s="2"/>
      <c r="M668" s="2"/>
      <c r="N668" s="2"/>
      <c r="O668" s="2"/>
      <c r="P668" s="2"/>
      <c r="Q668" s="2"/>
      <c r="R668" s="2"/>
      <c r="S668" s="2"/>
    </row>
    <row r="669">
      <c r="A669" s="2"/>
      <c r="B669" s="2"/>
      <c r="C669" s="2"/>
      <c r="D669" s="2"/>
      <c r="E669" s="2"/>
      <c r="F669" s="2"/>
      <c r="G669" s="2"/>
      <c r="H669" s="2"/>
      <c r="I669" s="2"/>
      <c r="J669" s="2"/>
      <c r="K669" s="2"/>
      <c r="L669" s="2"/>
      <c r="M669" s="2"/>
      <c r="N669" s="2"/>
      <c r="O669" s="2"/>
      <c r="P669" s="2"/>
      <c r="Q669" s="2"/>
      <c r="R669" s="2"/>
      <c r="S669" s="2"/>
    </row>
    <row r="670">
      <c r="A670" s="2"/>
      <c r="B670" s="2"/>
      <c r="C670" s="2"/>
      <c r="D670" s="2"/>
      <c r="E670" s="2"/>
      <c r="F670" s="2"/>
      <c r="G670" s="2"/>
      <c r="H670" s="2"/>
      <c r="I670" s="2"/>
      <c r="J670" s="2"/>
      <c r="K670" s="2"/>
      <c r="L670" s="2"/>
      <c r="M670" s="2"/>
      <c r="N670" s="2"/>
      <c r="O670" s="2"/>
      <c r="P670" s="2"/>
      <c r="Q670" s="2"/>
      <c r="R670" s="2"/>
      <c r="S670" s="2"/>
    </row>
    <row r="671">
      <c r="A671" s="2"/>
      <c r="B671" s="2"/>
      <c r="C671" s="2"/>
      <c r="D671" s="2"/>
      <c r="E671" s="2"/>
      <c r="F671" s="2"/>
      <c r="G671" s="2"/>
      <c r="H671" s="2"/>
      <c r="I671" s="2"/>
      <c r="J671" s="2"/>
      <c r="K671" s="2"/>
      <c r="L671" s="2"/>
      <c r="M671" s="2"/>
      <c r="N671" s="2"/>
      <c r="O671" s="2"/>
      <c r="P671" s="2"/>
      <c r="Q671" s="2"/>
      <c r="R671" s="2"/>
      <c r="S671" s="2"/>
    </row>
    <row r="672">
      <c r="A672" s="2"/>
      <c r="B672" s="2"/>
      <c r="C672" s="2"/>
      <c r="D672" s="2"/>
      <c r="E672" s="2"/>
      <c r="F672" s="2"/>
      <c r="G672" s="2"/>
      <c r="H672" s="2"/>
      <c r="I672" s="2"/>
      <c r="J672" s="2"/>
      <c r="K672" s="2"/>
      <c r="L672" s="2"/>
      <c r="M672" s="2"/>
      <c r="N672" s="2"/>
      <c r="O672" s="2"/>
      <c r="P672" s="2"/>
      <c r="Q672" s="2"/>
      <c r="R672" s="2"/>
      <c r="S672" s="2"/>
    </row>
    <row r="673">
      <c r="A673" s="2"/>
      <c r="B673" s="2"/>
      <c r="C673" s="2"/>
      <c r="D673" s="2"/>
      <c r="E673" s="2"/>
      <c r="F673" s="2"/>
      <c r="G673" s="2"/>
      <c r="H673" s="2"/>
      <c r="I673" s="2"/>
      <c r="J673" s="2"/>
      <c r="K673" s="2"/>
      <c r="L673" s="2"/>
      <c r="M673" s="2"/>
      <c r="N673" s="2"/>
      <c r="O673" s="2"/>
      <c r="P673" s="2"/>
      <c r="Q673" s="2"/>
      <c r="R673" s="2"/>
      <c r="S673" s="2"/>
    </row>
    <row r="674">
      <c r="A674" s="2"/>
      <c r="B674" s="2"/>
      <c r="C674" s="2"/>
      <c r="D674" s="2"/>
      <c r="E674" s="2"/>
      <c r="F674" s="2"/>
      <c r="G674" s="2"/>
      <c r="H674" s="2"/>
      <c r="I674" s="2"/>
      <c r="J674" s="2"/>
      <c r="K674" s="2"/>
      <c r="L674" s="2"/>
      <c r="M674" s="2"/>
      <c r="N674" s="2"/>
      <c r="O674" s="2"/>
      <c r="P674" s="2"/>
      <c r="Q674" s="2"/>
      <c r="R674" s="2"/>
      <c r="S674" s="2"/>
    </row>
    <row r="675">
      <c r="A675" s="2"/>
      <c r="B675" s="2"/>
      <c r="C675" s="2"/>
      <c r="D675" s="2"/>
      <c r="E675" s="2"/>
      <c r="F675" s="2"/>
      <c r="G675" s="2"/>
      <c r="H675" s="2"/>
      <c r="I675" s="2"/>
      <c r="J675" s="2"/>
      <c r="K675" s="2"/>
      <c r="L675" s="2"/>
      <c r="M675" s="2"/>
      <c r="N675" s="2"/>
      <c r="O675" s="2"/>
      <c r="P675" s="2"/>
      <c r="Q675" s="2"/>
      <c r="R675" s="2"/>
      <c r="S675" s="2"/>
    </row>
    <row r="676">
      <c r="A676" s="2"/>
      <c r="B676" s="2"/>
      <c r="C676" s="2"/>
      <c r="D676" s="2"/>
      <c r="E676" s="2"/>
      <c r="F676" s="2"/>
      <c r="G676" s="2"/>
      <c r="H676" s="2"/>
      <c r="I676" s="2"/>
      <c r="J676" s="2"/>
      <c r="K676" s="2"/>
      <c r="L676" s="2"/>
      <c r="M676" s="2"/>
      <c r="N676" s="2"/>
      <c r="O676" s="2"/>
      <c r="P676" s="2"/>
      <c r="Q676" s="2"/>
      <c r="R676" s="2"/>
      <c r="S676" s="2"/>
    </row>
    <row r="677">
      <c r="A677" s="2"/>
      <c r="B677" s="2"/>
      <c r="C677" s="2"/>
      <c r="D677" s="2"/>
      <c r="E677" s="2"/>
      <c r="F677" s="2"/>
      <c r="G677" s="2"/>
      <c r="H677" s="2"/>
      <c r="I677" s="2"/>
      <c r="J677" s="2"/>
      <c r="K677" s="2"/>
      <c r="L677" s="2"/>
      <c r="M677" s="2"/>
      <c r="N677" s="2"/>
      <c r="O677" s="2"/>
      <c r="P677" s="2"/>
      <c r="Q677" s="2"/>
      <c r="R677" s="2"/>
      <c r="S677" s="2"/>
    </row>
    <row r="678">
      <c r="A678" s="2"/>
      <c r="B678" s="2"/>
      <c r="C678" s="2"/>
      <c r="D678" s="2"/>
      <c r="E678" s="2"/>
      <c r="F678" s="2"/>
      <c r="G678" s="2"/>
      <c r="H678" s="2"/>
      <c r="I678" s="2"/>
      <c r="J678" s="2"/>
      <c r="K678" s="2"/>
      <c r="L678" s="2"/>
      <c r="M678" s="2"/>
      <c r="N678" s="2"/>
      <c r="O678" s="2"/>
      <c r="P678" s="2"/>
      <c r="Q678" s="2"/>
      <c r="R678" s="2"/>
      <c r="S678" s="2"/>
    </row>
    <row r="679">
      <c r="A679" s="2"/>
      <c r="B679" s="2"/>
      <c r="C679" s="2"/>
      <c r="D679" s="2"/>
      <c r="E679" s="2"/>
      <c r="F679" s="2"/>
      <c r="G679" s="2"/>
      <c r="H679" s="2"/>
      <c r="I679" s="2"/>
      <c r="J679" s="2"/>
      <c r="K679" s="2"/>
      <c r="L679" s="2"/>
      <c r="M679" s="2"/>
      <c r="N679" s="2"/>
      <c r="O679" s="2"/>
      <c r="P679" s="2"/>
      <c r="Q679" s="2"/>
      <c r="R679" s="2"/>
      <c r="S679" s="2"/>
    </row>
    <row r="680">
      <c r="A680" s="2"/>
      <c r="B680" s="2"/>
      <c r="C680" s="2"/>
      <c r="D680" s="2"/>
      <c r="E680" s="2"/>
      <c r="F680" s="2"/>
      <c r="G680" s="2"/>
      <c r="H680" s="2"/>
      <c r="I680" s="2"/>
      <c r="J680" s="2"/>
      <c r="K680" s="2"/>
      <c r="L680" s="2"/>
      <c r="M680" s="2"/>
      <c r="N680" s="2"/>
      <c r="O680" s="2"/>
      <c r="P680" s="2"/>
      <c r="Q680" s="2"/>
      <c r="R680" s="2"/>
      <c r="S680" s="2"/>
    </row>
    <row r="681">
      <c r="A681" s="2"/>
      <c r="B681" s="2"/>
      <c r="C681" s="2"/>
      <c r="D681" s="2"/>
      <c r="E681" s="2"/>
      <c r="F681" s="2"/>
      <c r="G681" s="2"/>
      <c r="H681" s="2"/>
      <c r="I681" s="2"/>
      <c r="J681" s="2"/>
      <c r="K681" s="2"/>
      <c r="L681" s="2"/>
      <c r="M681" s="2"/>
      <c r="N681" s="2"/>
      <c r="O681" s="2"/>
      <c r="P681" s="2"/>
      <c r="Q681" s="2"/>
      <c r="R681" s="2"/>
      <c r="S681" s="2"/>
    </row>
    <row r="682">
      <c r="A682" s="2"/>
      <c r="B682" s="2"/>
      <c r="C682" s="2"/>
      <c r="D682" s="2"/>
      <c r="E682" s="2"/>
      <c r="F682" s="2"/>
      <c r="G682" s="2"/>
      <c r="H682" s="2"/>
      <c r="I682" s="2"/>
      <c r="J682" s="2"/>
      <c r="K682" s="2"/>
      <c r="L682" s="2"/>
      <c r="M682" s="2"/>
      <c r="N682" s="2"/>
      <c r="O682" s="2"/>
      <c r="P682" s="2"/>
      <c r="Q682" s="2"/>
      <c r="R682" s="2"/>
      <c r="S682" s="2"/>
    </row>
    <row r="683">
      <c r="A683" s="2"/>
      <c r="B683" s="2"/>
      <c r="C683" s="2"/>
      <c r="D683" s="2"/>
      <c r="E683" s="2"/>
      <c r="F683" s="2"/>
      <c r="G683" s="2"/>
      <c r="H683" s="2"/>
      <c r="I683" s="2"/>
      <c r="J683" s="2"/>
      <c r="K683" s="2"/>
      <c r="L683" s="2"/>
      <c r="M683" s="2"/>
      <c r="N683" s="2"/>
      <c r="O683" s="2"/>
      <c r="P683" s="2"/>
      <c r="Q683" s="2"/>
      <c r="R683" s="2"/>
      <c r="S683" s="2"/>
    </row>
    <row r="684">
      <c r="A684" s="2"/>
      <c r="B684" s="2"/>
      <c r="C684" s="2"/>
      <c r="D684" s="2"/>
      <c r="E684" s="2"/>
      <c r="F684" s="2"/>
      <c r="G684" s="2"/>
      <c r="H684" s="2"/>
      <c r="I684" s="2"/>
      <c r="J684" s="2"/>
      <c r="K684" s="2"/>
      <c r="L684" s="2"/>
      <c r="M684" s="2"/>
      <c r="N684" s="2"/>
      <c r="O684" s="2"/>
      <c r="P684" s="2"/>
      <c r="Q684" s="2"/>
      <c r="R684" s="2"/>
      <c r="S684" s="2"/>
    </row>
    <row r="685">
      <c r="A685" s="2"/>
      <c r="B685" s="2"/>
      <c r="C685" s="2"/>
      <c r="D685" s="2"/>
      <c r="E685" s="2"/>
      <c r="F685" s="2"/>
      <c r="G685" s="2"/>
      <c r="H685" s="2"/>
      <c r="I685" s="2"/>
      <c r="J685" s="2"/>
      <c r="K685" s="2"/>
      <c r="L685" s="2"/>
      <c r="M685" s="2"/>
      <c r="N685" s="2"/>
      <c r="O685" s="2"/>
      <c r="P685" s="2"/>
      <c r="Q685" s="2"/>
      <c r="R685" s="2"/>
      <c r="S685" s="2"/>
    </row>
    <row r="686">
      <c r="A686" s="2"/>
      <c r="B686" s="2"/>
      <c r="C686" s="2"/>
      <c r="D686" s="2"/>
      <c r="E686" s="2"/>
      <c r="F686" s="2"/>
      <c r="G686" s="2"/>
      <c r="H686" s="2"/>
      <c r="I686" s="2"/>
      <c r="J686" s="2"/>
      <c r="K686" s="2"/>
      <c r="L686" s="2"/>
      <c r="M686" s="2"/>
      <c r="N686" s="2"/>
      <c r="O686" s="2"/>
      <c r="P686" s="2"/>
      <c r="Q686" s="2"/>
      <c r="R686" s="2"/>
      <c r="S686" s="2"/>
    </row>
    <row r="687">
      <c r="A687" s="2"/>
      <c r="B687" s="2"/>
      <c r="C687" s="2"/>
      <c r="D687" s="2"/>
      <c r="E687" s="2"/>
      <c r="F687" s="2"/>
      <c r="G687" s="2"/>
      <c r="H687" s="2"/>
      <c r="I687" s="2"/>
      <c r="J687" s="2"/>
      <c r="K687" s="2"/>
      <c r="L687" s="2"/>
      <c r="M687" s="2"/>
      <c r="N687" s="2"/>
      <c r="O687" s="2"/>
      <c r="P687" s="2"/>
      <c r="Q687" s="2"/>
      <c r="R687" s="2"/>
      <c r="S687" s="2"/>
    </row>
    <row r="688">
      <c r="A688" s="2"/>
      <c r="B688" s="2"/>
      <c r="C688" s="2"/>
      <c r="D688" s="2"/>
      <c r="E688" s="2"/>
      <c r="F688" s="2"/>
      <c r="G688" s="2"/>
      <c r="H688" s="2"/>
      <c r="I688" s="2"/>
      <c r="J688" s="2"/>
      <c r="K688" s="2"/>
      <c r="L688" s="2"/>
      <c r="M688" s="2"/>
      <c r="N688" s="2"/>
      <c r="O688" s="2"/>
      <c r="P688" s="2"/>
      <c r="Q688" s="2"/>
      <c r="R688" s="2"/>
      <c r="S688" s="2"/>
    </row>
    <row r="689">
      <c r="A689" s="2"/>
      <c r="B689" s="2"/>
      <c r="C689" s="2"/>
      <c r="D689" s="2"/>
      <c r="E689" s="2"/>
      <c r="F689" s="2"/>
      <c r="G689" s="2"/>
      <c r="H689" s="2"/>
      <c r="I689" s="2"/>
      <c r="J689" s="2"/>
      <c r="K689" s="2"/>
      <c r="L689" s="2"/>
      <c r="M689" s="2"/>
      <c r="N689" s="2"/>
      <c r="O689" s="2"/>
      <c r="P689" s="2"/>
      <c r="Q689" s="2"/>
      <c r="R689" s="2"/>
      <c r="S689" s="2"/>
    </row>
    <row r="690">
      <c r="A690" s="2"/>
      <c r="B690" s="2"/>
      <c r="C690" s="2"/>
      <c r="D690" s="2"/>
      <c r="E690" s="2"/>
      <c r="F690" s="2"/>
      <c r="G690" s="2"/>
      <c r="H690" s="2"/>
      <c r="I690" s="2"/>
      <c r="J690" s="2"/>
      <c r="K690" s="2"/>
      <c r="L690" s="2"/>
      <c r="M690" s="2"/>
      <c r="N690" s="2"/>
      <c r="O690" s="2"/>
      <c r="P690" s="2"/>
      <c r="Q690" s="2"/>
      <c r="R690" s="2"/>
      <c r="S690" s="2"/>
    </row>
    <row r="691">
      <c r="A691" s="2"/>
      <c r="B691" s="2"/>
      <c r="C691" s="2"/>
      <c r="D691" s="2"/>
      <c r="E691" s="2"/>
      <c r="F691" s="2"/>
      <c r="G691" s="2"/>
      <c r="H691" s="2"/>
      <c r="I691" s="2"/>
      <c r="J691" s="2"/>
      <c r="K691" s="2"/>
      <c r="L691" s="2"/>
      <c r="M691" s="2"/>
      <c r="N691" s="2"/>
      <c r="O691" s="2"/>
      <c r="P691" s="2"/>
      <c r="Q691" s="2"/>
      <c r="R691" s="2"/>
      <c r="S691" s="2"/>
    </row>
    <row r="692">
      <c r="A692" s="2"/>
      <c r="B692" s="2"/>
      <c r="C692" s="2"/>
      <c r="D692" s="2"/>
      <c r="E692" s="2"/>
      <c r="F692" s="2"/>
      <c r="G692" s="2"/>
      <c r="H692" s="2"/>
      <c r="I692" s="2"/>
      <c r="J692" s="2"/>
      <c r="K692" s="2"/>
      <c r="L692" s="2"/>
      <c r="M692" s="2"/>
      <c r="N692" s="2"/>
      <c r="O692" s="2"/>
      <c r="P692" s="2"/>
      <c r="Q692" s="2"/>
      <c r="R692" s="2"/>
      <c r="S692" s="2"/>
    </row>
    <row r="693">
      <c r="A693" s="2"/>
      <c r="B693" s="2"/>
      <c r="C693" s="2"/>
      <c r="D693" s="2"/>
      <c r="E693" s="2"/>
      <c r="F693" s="2"/>
      <c r="G693" s="2"/>
      <c r="H693" s="2"/>
      <c r="I693" s="2"/>
      <c r="J693" s="2"/>
      <c r="K693" s="2"/>
      <c r="L693" s="2"/>
      <c r="M693" s="2"/>
      <c r="N693" s="2"/>
      <c r="O693" s="2"/>
      <c r="P693" s="2"/>
      <c r="Q693" s="2"/>
      <c r="R693" s="2"/>
      <c r="S693" s="2"/>
    </row>
    <row r="694">
      <c r="A694" s="2"/>
      <c r="B694" s="2"/>
      <c r="C694" s="2"/>
      <c r="D694" s="2"/>
      <c r="E694" s="2"/>
      <c r="F694" s="2"/>
      <c r="G694" s="2"/>
      <c r="H694" s="2"/>
      <c r="I694" s="2"/>
      <c r="J694" s="2"/>
      <c r="K694" s="2"/>
      <c r="L694" s="2"/>
      <c r="M694" s="2"/>
      <c r="N694" s="2"/>
      <c r="O694" s="2"/>
      <c r="P694" s="2"/>
      <c r="Q694" s="2"/>
      <c r="R694" s="2"/>
      <c r="S694" s="2"/>
    </row>
    <row r="695">
      <c r="A695" s="2"/>
      <c r="B695" s="2"/>
      <c r="C695" s="2"/>
      <c r="D695" s="2"/>
      <c r="E695" s="2"/>
      <c r="F695" s="2"/>
      <c r="G695" s="2"/>
      <c r="H695" s="2"/>
      <c r="I695" s="2"/>
      <c r="J695" s="2"/>
      <c r="K695" s="2"/>
      <c r="L695" s="2"/>
      <c r="M695" s="2"/>
      <c r="N695" s="2"/>
      <c r="O695" s="2"/>
      <c r="P695" s="2"/>
      <c r="Q695" s="2"/>
      <c r="R695" s="2"/>
      <c r="S695" s="2"/>
    </row>
    <row r="696">
      <c r="A696" s="2"/>
      <c r="B696" s="2"/>
      <c r="C696" s="2"/>
      <c r="D696" s="2"/>
      <c r="E696" s="2"/>
      <c r="F696" s="2"/>
      <c r="G696" s="2"/>
      <c r="H696" s="2"/>
      <c r="I696" s="2"/>
      <c r="J696" s="2"/>
      <c r="K696" s="2"/>
      <c r="L696" s="2"/>
      <c r="M696" s="2"/>
      <c r="N696" s="2"/>
      <c r="O696" s="2"/>
      <c r="P696" s="2"/>
      <c r="Q696" s="2"/>
      <c r="R696" s="2"/>
      <c r="S696" s="2"/>
    </row>
    <row r="697">
      <c r="A697" s="2"/>
      <c r="B697" s="2"/>
      <c r="C697" s="2"/>
      <c r="D697" s="2"/>
      <c r="E697" s="2"/>
      <c r="F697" s="2"/>
      <c r="G697" s="2"/>
      <c r="H697" s="2"/>
      <c r="I697" s="2"/>
      <c r="J697" s="2"/>
      <c r="K697" s="2"/>
      <c r="L697" s="2"/>
      <c r="M697" s="2"/>
      <c r="N697" s="2"/>
      <c r="O697" s="2"/>
      <c r="P697" s="2"/>
      <c r="Q697" s="2"/>
      <c r="R697" s="2"/>
      <c r="S697" s="2"/>
    </row>
    <row r="698">
      <c r="A698" s="2"/>
      <c r="B698" s="2"/>
      <c r="C698" s="2"/>
      <c r="D698" s="2"/>
      <c r="E698" s="2"/>
      <c r="F698" s="2"/>
      <c r="G698" s="2"/>
      <c r="H698" s="2"/>
      <c r="I698" s="2"/>
      <c r="J698" s="2"/>
      <c r="K698" s="2"/>
      <c r="L698" s="2"/>
      <c r="M698" s="2"/>
      <c r="N698" s="2"/>
      <c r="O698" s="2"/>
      <c r="P698" s="2"/>
      <c r="Q698" s="2"/>
      <c r="R698" s="2"/>
      <c r="S698" s="2"/>
    </row>
    <row r="699">
      <c r="A699" s="2"/>
      <c r="B699" s="2"/>
      <c r="C699" s="2"/>
      <c r="D699" s="2"/>
      <c r="E699" s="2"/>
      <c r="F699" s="2"/>
      <c r="G699" s="2"/>
      <c r="H699" s="2"/>
      <c r="I699" s="2"/>
      <c r="J699" s="2"/>
      <c r="K699" s="2"/>
      <c r="L699" s="2"/>
      <c r="M699" s="2"/>
      <c r="N699" s="2"/>
      <c r="O699" s="2"/>
      <c r="P699" s="2"/>
      <c r="Q699" s="2"/>
      <c r="R699" s="2"/>
      <c r="S699" s="2"/>
    </row>
    <row r="700">
      <c r="A700" s="2"/>
      <c r="B700" s="2"/>
      <c r="C700" s="2"/>
      <c r="D700" s="2"/>
      <c r="E700" s="2"/>
      <c r="F700" s="2"/>
      <c r="G700" s="2"/>
      <c r="H700" s="2"/>
      <c r="I700" s="2"/>
      <c r="J700" s="2"/>
      <c r="K700" s="2"/>
      <c r="L700" s="2"/>
      <c r="M700" s="2"/>
      <c r="N700" s="2"/>
      <c r="O700" s="2"/>
      <c r="P700" s="2"/>
      <c r="Q700" s="2"/>
      <c r="R700" s="2"/>
      <c r="S700" s="2"/>
    </row>
    <row r="701">
      <c r="A701" s="2"/>
      <c r="B701" s="2"/>
      <c r="C701" s="2"/>
      <c r="D701" s="2"/>
      <c r="E701" s="2"/>
      <c r="F701" s="2"/>
      <c r="G701" s="2"/>
      <c r="H701" s="2"/>
      <c r="I701" s="2"/>
      <c r="J701" s="2"/>
      <c r="K701" s="2"/>
      <c r="L701" s="2"/>
      <c r="M701" s="2"/>
      <c r="N701" s="2"/>
      <c r="O701" s="2"/>
      <c r="P701" s="2"/>
      <c r="Q701" s="2"/>
      <c r="R701" s="2"/>
      <c r="S701" s="2"/>
    </row>
    <row r="702">
      <c r="A702" s="2"/>
      <c r="B702" s="2"/>
      <c r="C702" s="2"/>
      <c r="D702" s="2"/>
      <c r="E702" s="2"/>
      <c r="F702" s="2"/>
      <c r="G702" s="2"/>
      <c r="H702" s="2"/>
      <c r="I702" s="2"/>
      <c r="J702" s="2"/>
      <c r="K702" s="2"/>
      <c r="L702" s="2"/>
      <c r="M702" s="2"/>
      <c r="N702" s="2"/>
      <c r="O702" s="2"/>
      <c r="P702" s="2"/>
      <c r="Q702" s="2"/>
      <c r="R702" s="2"/>
      <c r="S702" s="2"/>
    </row>
    <row r="703">
      <c r="A703" s="2"/>
      <c r="B703" s="2"/>
      <c r="C703" s="2"/>
      <c r="D703" s="2"/>
      <c r="E703" s="2"/>
      <c r="F703" s="2"/>
      <c r="G703" s="2"/>
      <c r="H703" s="2"/>
      <c r="I703" s="2"/>
      <c r="J703" s="2"/>
      <c r="K703" s="2"/>
      <c r="L703" s="2"/>
      <c r="M703" s="2"/>
      <c r="N703" s="2"/>
      <c r="O703" s="2"/>
      <c r="P703" s="2"/>
      <c r="Q703" s="2"/>
      <c r="R703" s="2"/>
      <c r="S703" s="2"/>
    </row>
    <row r="704">
      <c r="A704" s="2"/>
      <c r="B704" s="2"/>
      <c r="C704" s="2"/>
      <c r="D704" s="2"/>
      <c r="E704" s="2"/>
      <c r="F704" s="2"/>
      <c r="G704" s="2"/>
      <c r="H704" s="2"/>
      <c r="I704" s="2"/>
      <c r="J704" s="2"/>
      <c r="K704" s="2"/>
      <c r="L704" s="2"/>
      <c r="M704" s="2"/>
      <c r="N704" s="2"/>
      <c r="O704" s="2"/>
      <c r="P704" s="2"/>
      <c r="Q704" s="2"/>
      <c r="R704" s="2"/>
      <c r="S704" s="2"/>
    </row>
    <row r="705">
      <c r="A705" s="2"/>
      <c r="B705" s="2"/>
      <c r="C705" s="2"/>
      <c r="D705" s="2"/>
      <c r="E705" s="2"/>
      <c r="F705" s="2"/>
      <c r="G705" s="2"/>
      <c r="H705" s="2"/>
      <c r="I705" s="2"/>
      <c r="J705" s="2"/>
      <c r="K705" s="2"/>
      <c r="L705" s="2"/>
      <c r="M705" s="2"/>
      <c r="N705" s="2"/>
      <c r="O705" s="2"/>
      <c r="P705" s="2"/>
      <c r="Q705" s="2"/>
      <c r="R705" s="2"/>
      <c r="S705" s="2"/>
    </row>
    <row r="706">
      <c r="A706" s="2"/>
      <c r="B706" s="2"/>
      <c r="C706" s="2"/>
      <c r="D706" s="2"/>
      <c r="E706" s="2"/>
      <c r="F706" s="2"/>
      <c r="G706" s="2"/>
      <c r="H706" s="2"/>
      <c r="I706" s="2"/>
      <c r="J706" s="2"/>
      <c r="K706" s="2"/>
      <c r="L706" s="2"/>
      <c r="M706" s="2"/>
      <c r="N706" s="2"/>
      <c r="O706" s="2"/>
      <c r="P706" s="2"/>
      <c r="Q706" s="2"/>
      <c r="R706" s="2"/>
      <c r="S706" s="2"/>
    </row>
    <row r="707">
      <c r="A707" s="2"/>
      <c r="B707" s="2"/>
      <c r="C707" s="2"/>
      <c r="D707" s="2"/>
      <c r="E707" s="2"/>
      <c r="F707" s="2"/>
      <c r="G707" s="2"/>
      <c r="H707" s="2"/>
      <c r="I707" s="2"/>
      <c r="J707" s="2"/>
      <c r="K707" s="2"/>
      <c r="L707" s="2"/>
      <c r="M707" s="2"/>
      <c r="N707" s="2"/>
      <c r="O707" s="2"/>
      <c r="P707" s="2"/>
      <c r="Q707" s="2"/>
      <c r="R707" s="2"/>
      <c r="S707" s="2"/>
    </row>
    <row r="708">
      <c r="A708" s="2"/>
      <c r="B708" s="2"/>
      <c r="C708" s="2"/>
      <c r="D708" s="2"/>
      <c r="E708" s="2"/>
      <c r="F708" s="2"/>
      <c r="G708" s="2"/>
      <c r="H708" s="2"/>
      <c r="I708" s="2"/>
      <c r="J708" s="2"/>
      <c r="K708" s="2"/>
      <c r="L708" s="2"/>
      <c r="M708" s="2"/>
      <c r="N708" s="2"/>
      <c r="O708" s="2"/>
      <c r="P708" s="2"/>
      <c r="Q708" s="2"/>
      <c r="R708" s="2"/>
      <c r="S708" s="2"/>
    </row>
    <row r="709">
      <c r="A709" s="2"/>
      <c r="B709" s="2"/>
      <c r="C709" s="2"/>
      <c r="D709" s="2"/>
      <c r="E709" s="2"/>
      <c r="F709" s="2"/>
      <c r="G709" s="2"/>
      <c r="H709" s="2"/>
      <c r="I709" s="2"/>
      <c r="J709" s="2"/>
      <c r="K709" s="2"/>
      <c r="L709" s="2"/>
      <c r="M709" s="2"/>
      <c r="N709" s="2"/>
      <c r="O709" s="2"/>
      <c r="P709" s="2"/>
      <c r="Q709" s="2"/>
      <c r="R709" s="2"/>
      <c r="S709" s="2"/>
    </row>
    <row r="710">
      <c r="A710" s="2"/>
      <c r="B710" s="2"/>
      <c r="C710" s="2"/>
      <c r="D710" s="2"/>
      <c r="E710" s="2"/>
      <c r="F710" s="2"/>
      <c r="G710" s="2"/>
      <c r="H710" s="2"/>
      <c r="I710" s="2"/>
      <c r="J710" s="2"/>
      <c r="K710" s="2"/>
      <c r="L710" s="2"/>
      <c r="M710" s="2"/>
      <c r="N710" s="2"/>
      <c r="O710" s="2"/>
      <c r="P710" s="2"/>
      <c r="Q710" s="2"/>
      <c r="R710" s="2"/>
      <c r="S710" s="2"/>
    </row>
    <row r="711">
      <c r="A711" s="2"/>
      <c r="B711" s="2"/>
      <c r="C711" s="2"/>
      <c r="D711" s="2"/>
      <c r="E711" s="2"/>
      <c r="F711" s="2"/>
      <c r="G711" s="2"/>
      <c r="H711" s="2"/>
      <c r="I711" s="2"/>
      <c r="J711" s="2"/>
      <c r="K711" s="2"/>
      <c r="L711" s="2"/>
      <c r="M711" s="2"/>
      <c r="N711" s="2"/>
      <c r="O711" s="2"/>
      <c r="P711" s="2"/>
      <c r="Q711" s="2"/>
      <c r="R711" s="2"/>
      <c r="S711" s="2"/>
    </row>
    <row r="712">
      <c r="A712" s="2"/>
      <c r="B712" s="2"/>
      <c r="C712" s="2"/>
      <c r="D712" s="2"/>
      <c r="E712" s="2"/>
      <c r="F712" s="2"/>
      <c r="G712" s="2"/>
      <c r="H712" s="2"/>
      <c r="I712" s="2"/>
      <c r="J712" s="2"/>
      <c r="K712" s="2"/>
      <c r="L712" s="2"/>
      <c r="M712" s="2"/>
      <c r="N712" s="2"/>
      <c r="O712" s="2"/>
      <c r="P712" s="2"/>
      <c r="Q712" s="2"/>
      <c r="R712" s="2"/>
      <c r="S712" s="2"/>
    </row>
    <row r="713">
      <c r="A713" s="2"/>
      <c r="B713" s="2"/>
      <c r="C713" s="2"/>
      <c r="D713" s="2"/>
      <c r="E713" s="2"/>
      <c r="F713" s="2"/>
      <c r="G713" s="2"/>
      <c r="H713" s="2"/>
      <c r="I713" s="2"/>
      <c r="J713" s="2"/>
      <c r="K713" s="2"/>
      <c r="L713" s="2"/>
      <c r="M713" s="2"/>
      <c r="N713" s="2"/>
      <c r="O713" s="2"/>
      <c r="P713" s="2"/>
      <c r="Q713" s="2"/>
      <c r="R713" s="2"/>
      <c r="S713" s="2"/>
    </row>
    <row r="714">
      <c r="A714" s="2"/>
      <c r="B714" s="2"/>
      <c r="C714" s="2"/>
      <c r="D714" s="2"/>
      <c r="E714" s="2"/>
      <c r="F714" s="2"/>
      <c r="G714" s="2"/>
      <c r="H714" s="2"/>
      <c r="I714" s="2"/>
      <c r="J714" s="2"/>
      <c r="K714" s="2"/>
      <c r="L714" s="2"/>
      <c r="M714" s="2"/>
      <c r="N714" s="2"/>
      <c r="O714" s="2"/>
      <c r="P714" s="2"/>
      <c r="Q714" s="2"/>
      <c r="R714" s="2"/>
      <c r="S714" s="2"/>
    </row>
    <row r="715">
      <c r="A715" s="2"/>
      <c r="B715" s="2"/>
      <c r="C715" s="2"/>
      <c r="D715" s="2"/>
      <c r="E715" s="2"/>
      <c r="F715" s="2"/>
      <c r="G715" s="2"/>
      <c r="H715" s="2"/>
      <c r="I715" s="2"/>
      <c r="J715" s="2"/>
      <c r="K715" s="2"/>
      <c r="L715" s="2"/>
      <c r="M715" s="2"/>
      <c r="N715" s="2"/>
      <c r="O715" s="2"/>
      <c r="P715" s="2"/>
      <c r="Q715" s="2"/>
      <c r="R715" s="2"/>
      <c r="S715" s="2"/>
    </row>
    <row r="716">
      <c r="A716" s="2"/>
      <c r="B716" s="2"/>
      <c r="C716" s="2"/>
      <c r="D716" s="2"/>
      <c r="E716" s="2"/>
      <c r="F716" s="2"/>
      <c r="G716" s="2"/>
      <c r="H716" s="2"/>
      <c r="I716" s="2"/>
      <c r="J716" s="2"/>
      <c r="K716" s="2"/>
      <c r="L716" s="2"/>
      <c r="M716" s="2"/>
      <c r="N716" s="2"/>
      <c r="O716" s="2"/>
      <c r="P716" s="2"/>
      <c r="Q716" s="2"/>
      <c r="R716" s="2"/>
      <c r="S716" s="2"/>
    </row>
    <row r="717">
      <c r="A717" s="2"/>
      <c r="B717" s="2"/>
      <c r="C717" s="2"/>
      <c r="D717" s="2"/>
      <c r="E717" s="2"/>
      <c r="F717" s="2"/>
      <c r="G717" s="2"/>
      <c r="H717" s="2"/>
      <c r="I717" s="2"/>
      <c r="J717" s="2"/>
      <c r="K717" s="2"/>
      <c r="L717" s="2"/>
      <c r="M717" s="2"/>
      <c r="N717" s="2"/>
      <c r="O717" s="2"/>
      <c r="P717" s="2"/>
      <c r="Q717" s="2"/>
      <c r="R717" s="2"/>
      <c r="S717" s="2"/>
    </row>
    <row r="718">
      <c r="A718" s="2"/>
      <c r="B718" s="2"/>
      <c r="C718" s="2"/>
      <c r="D718" s="2"/>
      <c r="E718" s="2"/>
      <c r="F718" s="2"/>
      <c r="G718" s="2"/>
      <c r="H718" s="2"/>
      <c r="I718" s="2"/>
      <c r="J718" s="2"/>
      <c r="K718" s="2"/>
      <c r="L718" s="2"/>
      <c r="M718" s="2"/>
      <c r="N718" s="2"/>
      <c r="O718" s="2"/>
      <c r="P718" s="2"/>
      <c r="Q718" s="2"/>
      <c r="R718" s="2"/>
      <c r="S718" s="2"/>
    </row>
    <row r="719">
      <c r="A719" s="2"/>
      <c r="B719" s="2"/>
      <c r="C719" s="2"/>
      <c r="D719" s="2"/>
      <c r="E719" s="2"/>
      <c r="F719" s="2"/>
      <c r="G719" s="2"/>
      <c r="H719" s="2"/>
      <c r="I719" s="2"/>
      <c r="J719" s="2"/>
      <c r="K719" s="2"/>
      <c r="L719" s="2"/>
      <c r="M719" s="2"/>
      <c r="N719" s="2"/>
      <c r="O719" s="2"/>
      <c r="P719" s="2"/>
      <c r="Q719" s="2"/>
      <c r="R719" s="2"/>
      <c r="S719" s="2"/>
    </row>
    <row r="720">
      <c r="A720" s="2"/>
      <c r="B720" s="2"/>
      <c r="C720" s="2"/>
      <c r="D720" s="2"/>
      <c r="E720" s="2"/>
      <c r="F720" s="2"/>
      <c r="G720" s="2"/>
      <c r="H720" s="2"/>
      <c r="I720" s="2"/>
      <c r="J720" s="2"/>
      <c r="K720" s="2"/>
      <c r="L720" s="2"/>
      <c r="M720" s="2"/>
      <c r="N720" s="2"/>
      <c r="O720" s="2"/>
      <c r="P720" s="2"/>
      <c r="Q720" s="2"/>
      <c r="R720" s="2"/>
      <c r="S720" s="2"/>
    </row>
    <row r="721">
      <c r="A721" s="2"/>
      <c r="B721" s="2"/>
      <c r="C721" s="2"/>
      <c r="D721" s="2"/>
      <c r="E721" s="2"/>
      <c r="F721" s="2"/>
      <c r="G721" s="2"/>
      <c r="H721" s="2"/>
      <c r="I721" s="2"/>
      <c r="J721" s="2"/>
      <c r="K721" s="2"/>
      <c r="L721" s="2"/>
      <c r="M721" s="2"/>
      <c r="N721" s="2"/>
      <c r="O721" s="2"/>
      <c r="P721" s="2"/>
      <c r="Q721" s="2"/>
      <c r="R721" s="2"/>
      <c r="S721" s="2"/>
    </row>
    <row r="722">
      <c r="A722" s="2"/>
      <c r="B722" s="2"/>
      <c r="C722" s="2"/>
      <c r="D722" s="2"/>
      <c r="E722" s="2"/>
      <c r="F722" s="2"/>
      <c r="G722" s="2"/>
      <c r="H722" s="2"/>
      <c r="I722" s="2"/>
      <c r="J722" s="2"/>
      <c r="K722" s="2"/>
      <c r="L722" s="2"/>
      <c r="M722" s="2"/>
      <c r="N722" s="2"/>
      <c r="O722" s="2"/>
      <c r="P722" s="2"/>
      <c r="Q722" s="2"/>
      <c r="R722" s="2"/>
      <c r="S722" s="2"/>
    </row>
    <row r="723">
      <c r="A723" s="2"/>
      <c r="B723" s="2"/>
      <c r="C723" s="2"/>
      <c r="D723" s="2"/>
      <c r="E723" s="2"/>
      <c r="F723" s="2"/>
      <c r="G723" s="2"/>
      <c r="H723" s="2"/>
      <c r="I723" s="2"/>
      <c r="J723" s="2"/>
      <c r="K723" s="2"/>
      <c r="L723" s="2"/>
      <c r="M723" s="2"/>
      <c r="N723" s="2"/>
      <c r="O723" s="2"/>
      <c r="P723" s="2"/>
      <c r="Q723" s="2"/>
      <c r="R723" s="2"/>
      <c r="S723" s="2"/>
    </row>
    <row r="724">
      <c r="A724" s="2"/>
      <c r="B724" s="2"/>
      <c r="C724" s="2"/>
      <c r="D724" s="2"/>
      <c r="E724" s="2"/>
      <c r="F724" s="2"/>
      <c r="G724" s="2"/>
      <c r="H724" s="2"/>
      <c r="I724" s="2"/>
      <c r="J724" s="2"/>
      <c r="K724" s="2"/>
      <c r="L724" s="2"/>
      <c r="M724" s="2"/>
      <c r="N724" s="2"/>
      <c r="O724" s="2"/>
      <c r="P724" s="2"/>
      <c r="Q724" s="2"/>
      <c r="R724" s="2"/>
      <c r="S724" s="2"/>
    </row>
    <row r="725">
      <c r="A725" s="2"/>
      <c r="B725" s="2"/>
      <c r="C725" s="2"/>
      <c r="D725" s="2"/>
      <c r="E725" s="2"/>
      <c r="F725" s="2"/>
      <c r="G725" s="2"/>
      <c r="H725" s="2"/>
      <c r="I725" s="2"/>
      <c r="J725" s="2"/>
      <c r="K725" s="2"/>
      <c r="L725" s="2"/>
      <c r="M725" s="2"/>
      <c r="N725" s="2"/>
      <c r="O725" s="2"/>
      <c r="P725" s="2"/>
      <c r="Q725" s="2"/>
      <c r="R725" s="2"/>
      <c r="S725" s="2"/>
    </row>
    <row r="726">
      <c r="A726" s="2"/>
      <c r="B726" s="2"/>
      <c r="C726" s="2"/>
      <c r="D726" s="2"/>
      <c r="E726" s="2"/>
      <c r="F726" s="2"/>
      <c r="G726" s="2"/>
      <c r="H726" s="2"/>
      <c r="I726" s="2"/>
      <c r="J726" s="2"/>
      <c r="K726" s="2"/>
      <c r="L726" s="2"/>
      <c r="M726" s="2"/>
      <c r="N726" s="2"/>
      <c r="O726" s="2"/>
      <c r="P726" s="2"/>
      <c r="Q726" s="2"/>
      <c r="R726" s="2"/>
      <c r="S726" s="2"/>
    </row>
    <row r="727">
      <c r="A727" s="2"/>
      <c r="B727" s="2"/>
      <c r="C727" s="2"/>
      <c r="D727" s="2"/>
      <c r="E727" s="2"/>
      <c r="F727" s="2"/>
      <c r="G727" s="2"/>
      <c r="H727" s="2"/>
      <c r="I727" s="2"/>
      <c r="J727" s="2"/>
      <c r="K727" s="2"/>
      <c r="L727" s="2"/>
      <c r="M727" s="2"/>
      <c r="N727" s="2"/>
      <c r="O727" s="2"/>
      <c r="P727" s="2"/>
      <c r="Q727" s="2"/>
      <c r="R727" s="2"/>
      <c r="S727" s="2"/>
    </row>
    <row r="728">
      <c r="A728" s="2"/>
      <c r="B728" s="2"/>
      <c r="C728" s="2"/>
      <c r="D728" s="2"/>
      <c r="E728" s="2"/>
      <c r="F728" s="2"/>
      <c r="G728" s="2"/>
      <c r="H728" s="2"/>
      <c r="I728" s="2"/>
      <c r="J728" s="2"/>
      <c r="K728" s="2"/>
      <c r="L728" s="2"/>
      <c r="M728" s="2"/>
      <c r="N728" s="2"/>
      <c r="O728" s="2"/>
      <c r="P728" s="2"/>
      <c r="Q728" s="2"/>
      <c r="R728" s="2"/>
      <c r="S728" s="2"/>
    </row>
    <row r="729">
      <c r="A729" s="2"/>
      <c r="B729" s="2"/>
      <c r="C729" s="2"/>
      <c r="D729" s="2"/>
      <c r="E729" s="2"/>
      <c r="F729" s="2"/>
      <c r="G729" s="2"/>
      <c r="H729" s="2"/>
      <c r="I729" s="2"/>
      <c r="J729" s="2"/>
      <c r="K729" s="2"/>
      <c r="L729" s="2"/>
      <c r="M729" s="2"/>
      <c r="N729" s="2"/>
      <c r="O729" s="2"/>
      <c r="P729" s="2"/>
      <c r="Q729" s="2"/>
      <c r="R729" s="2"/>
      <c r="S729" s="2"/>
    </row>
    <row r="730">
      <c r="A730" s="2"/>
      <c r="B730" s="2"/>
      <c r="C730" s="2"/>
      <c r="D730" s="2"/>
      <c r="E730" s="2"/>
      <c r="F730" s="2"/>
      <c r="G730" s="2"/>
      <c r="H730" s="2"/>
      <c r="I730" s="2"/>
      <c r="J730" s="2"/>
      <c r="K730" s="2"/>
      <c r="L730" s="2"/>
      <c r="M730" s="2"/>
      <c r="N730" s="2"/>
      <c r="O730" s="2"/>
      <c r="P730" s="2"/>
      <c r="Q730" s="2"/>
      <c r="R730" s="2"/>
      <c r="S730" s="2"/>
    </row>
    <row r="731">
      <c r="A731" s="2"/>
      <c r="B731" s="2"/>
      <c r="C731" s="2"/>
      <c r="D731" s="2"/>
      <c r="E731" s="2"/>
      <c r="F731" s="2"/>
      <c r="G731" s="2"/>
      <c r="H731" s="2"/>
      <c r="I731" s="2"/>
      <c r="J731" s="2"/>
      <c r="K731" s="2"/>
      <c r="L731" s="2"/>
      <c r="M731" s="2"/>
      <c r="N731" s="2"/>
      <c r="O731" s="2"/>
      <c r="P731" s="2"/>
      <c r="Q731" s="2"/>
      <c r="R731" s="2"/>
      <c r="S731" s="2"/>
    </row>
    <row r="732">
      <c r="A732" s="2"/>
      <c r="B732" s="2"/>
      <c r="C732" s="2"/>
      <c r="D732" s="2"/>
      <c r="E732" s="2"/>
      <c r="F732" s="2"/>
      <c r="G732" s="2"/>
      <c r="H732" s="2"/>
      <c r="I732" s="2"/>
      <c r="J732" s="2"/>
      <c r="K732" s="2"/>
      <c r="L732" s="2"/>
      <c r="M732" s="2"/>
      <c r="N732" s="2"/>
      <c r="O732" s="2"/>
      <c r="P732" s="2"/>
      <c r="Q732" s="2"/>
      <c r="R732" s="2"/>
      <c r="S732" s="2"/>
    </row>
    <row r="733">
      <c r="A733" s="2"/>
      <c r="B733" s="2"/>
      <c r="C733" s="2"/>
      <c r="D733" s="2"/>
      <c r="E733" s="2"/>
      <c r="F733" s="2"/>
      <c r="G733" s="2"/>
      <c r="H733" s="2"/>
      <c r="I733" s="2"/>
      <c r="J733" s="2"/>
      <c r="K733" s="2"/>
      <c r="L733" s="2"/>
      <c r="M733" s="2"/>
      <c r="N733" s="2"/>
      <c r="O733" s="2"/>
      <c r="P733" s="2"/>
      <c r="Q733" s="2"/>
      <c r="R733" s="2"/>
      <c r="S733" s="2"/>
    </row>
    <row r="734">
      <c r="A734" s="2"/>
      <c r="B734" s="2"/>
      <c r="C734" s="2"/>
      <c r="D734" s="2"/>
      <c r="E734" s="2"/>
      <c r="F734" s="2"/>
      <c r="G734" s="2"/>
      <c r="H734" s="2"/>
      <c r="I734" s="2"/>
      <c r="J734" s="2"/>
      <c r="K734" s="2"/>
      <c r="L734" s="2"/>
      <c r="M734" s="2"/>
      <c r="N734" s="2"/>
      <c r="O734" s="2"/>
      <c r="P734" s="2"/>
      <c r="Q734" s="2"/>
      <c r="R734" s="2"/>
      <c r="S734" s="2"/>
    </row>
    <row r="735">
      <c r="A735" s="2"/>
      <c r="B735" s="2"/>
      <c r="C735" s="2"/>
      <c r="D735" s="2"/>
      <c r="E735" s="2"/>
      <c r="F735" s="2"/>
      <c r="G735" s="2"/>
      <c r="H735" s="2"/>
      <c r="I735" s="2"/>
      <c r="J735" s="2"/>
      <c r="K735" s="2"/>
      <c r="L735" s="2"/>
      <c r="M735" s="2"/>
      <c r="N735" s="2"/>
      <c r="O735" s="2"/>
      <c r="P735" s="2"/>
      <c r="Q735" s="2"/>
      <c r="R735" s="2"/>
      <c r="S735" s="2"/>
    </row>
    <row r="736">
      <c r="A736" s="2"/>
      <c r="B736" s="2"/>
      <c r="C736" s="2"/>
      <c r="D736" s="2"/>
      <c r="E736" s="2"/>
      <c r="F736" s="2"/>
      <c r="G736" s="2"/>
      <c r="H736" s="2"/>
      <c r="I736" s="2"/>
      <c r="J736" s="2"/>
      <c r="K736" s="2"/>
      <c r="L736" s="2"/>
      <c r="M736" s="2"/>
      <c r="N736" s="2"/>
      <c r="O736" s="2"/>
      <c r="P736" s="2"/>
      <c r="Q736" s="2"/>
      <c r="R736" s="2"/>
      <c r="S736" s="2"/>
    </row>
    <row r="737">
      <c r="A737" s="2"/>
      <c r="B737" s="2"/>
      <c r="C737" s="2"/>
      <c r="D737" s="2"/>
      <c r="E737" s="2"/>
      <c r="F737" s="2"/>
      <c r="G737" s="2"/>
      <c r="H737" s="2"/>
      <c r="I737" s="2"/>
      <c r="J737" s="2"/>
      <c r="K737" s="2"/>
      <c r="L737" s="2"/>
      <c r="M737" s="2"/>
      <c r="N737" s="2"/>
      <c r="O737" s="2"/>
      <c r="P737" s="2"/>
      <c r="Q737" s="2"/>
      <c r="R737" s="2"/>
      <c r="S737" s="2"/>
    </row>
    <row r="738">
      <c r="A738" s="2"/>
      <c r="B738" s="2"/>
      <c r="C738" s="2"/>
      <c r="D738" s="2"/>
      <c r="E738" s="2"/>
      <c r="F738" s="2"/>
      <c r="G738" s="2"/>
      <c r="H738" s="2"/>
      <c r="I738" s="2"/>
      <c r="J738" s="2"/>
      <c r="K738" s="2"/>
      <c r="L738" s="2"/>
      <c r="M738" s="2"/>
      <c r="N738" s="2"/>
      <c r="O738" s="2"/>
      <c r="P738" s="2"/>
      <c r="Q738" s="2"/>
      <c r="R738" s="2"/>
      <c r="S738" s="2"/>
    </row>
    <row r="739">
      <c r="A739" s="2"/>
      <c r="B739" s="2"/>
      <c r="C739" s="2"/>
      <c r="D739" s="2"/>
      <c r="E739" s="2"/>
      <c r="F739" s="2"/>
      <c r="G739" s="2"/>
      <c r="H739" s="2"/>
      <c r="I739" s="2"/>
      <c r="J739" s="2"/>
      <c r="K739" s="2"/>
      <c r="L739" s="2"/>
      <c r="M739" s="2"/>
      <c r="N739" s="2"/>
      <c r="O739" s="2"/>
      <c r="P739" s="2"/>
      <c r="Q739" s="2"/>
      <c r="R739" s="2"/>
      <c r="S739" s="2"/>
    </row>
    <row r="740">
      <c r="A740" s="2"/>
      <c r="B740" s="2"/>
      <c r="C740" s="2"/>
      <c r="D740" s="2"/>
      <c r="E740" s="2"/>
      <c r="F740" s="2"/>
      <c r="G740" s="2"/>
      <c r="H740" s="2"/>
      <c r="I740" s="2"/>
      <c r="J740" s="2"/>
      <c r="K740" s="2"/>
      <c r="L740" s="2"/>
      <c r="M740" s="2"/>
      <c r="N740" s="2"/>
      <c r="O740" s="2"/>
      <c r="P740" s="2"/>
      <c r="Q740" s="2"/>
      <c r="R740" s="2"/>
      <c r="S740" s="2"/>
    </row>
    <row r="741">
      <c r="A741" s="2"/>
      <c r="B741" s="2"/>
      <c r="C741" s="2"/>
      <c r="D741" s="2"/>
      <c r="E741" s="2"/>
      <c r="F741" s="2"/>
      <c r="G741" s="2"/>
      <c r="H741" s="2"/>
      <c r="I741" s="2"/>
      <c r="J741" s="2"/>
      <c r="K741" s="2"/>
      <c r="L741" s="2"/>
      <c r="M741" s="2"/>
      <c r="N741" s="2"/>
      <c r="O741" s="2"/>
      <c r="P741" s="2"/>
      <c r="Q741" s="2"/>
      <c r="R741" s="2"/>
      <c r="S741" s="2"/>
    </row>
    <row r="742">
      <c r="A742" s="2"/>
      <c r="B742" s="2"/>
      <c r="C742" s="2"/>
      <c r="D742" s="2"/>
      <c r="E742" s="2"/>
      <c r="F742" s="2"/>
      <c r="G742" s="2"/>
      <c r="H742" s="2"/>
      <c r="I742" s="2"/>
      <c r="J742" s="2"/>
      <c r="K742" s="2"/>
      <c r="L742" s="2"/>
      <c r="M742" s="2"/>
      <c r="N742" s="2"/>
      <c r="O742" s="2"/>
      <c r="P742" s="2"/>
      <c r="Q742" s="2"/>
      <c r="R742" s="2"/>
      <c r="S742" s="2"/>
    </row>
    <row r="743">
      <c r="A743" s="2"/>
      <c r="B743" s="2"/>
      <c r="C743" s="2"/>
      <c r="D743" s="2"/>
      <c r="E743" s="2"/>
      <c r="F743" s="2"/>
      <c r="G743" s="2"/>
      <c r="H743" s="2"/>
      <c r="I743" s="2"/>
      <c r="J743" s="2"/>
      <c r="K743" s="2"/>
      <c r="L743" s="2"/>
      <c r="M743" s="2"/>
      <c r="N743" s="2"/>
      <c r="O743" s="2"/>
      <c r="P743" s="2"/>
      <c r="Q743" s="2"/>
      <c r="R743" s="2"/>
      <c r="S743" s="2"/>
    </row>
    <row r="744">
      <c r="A744" s="2"/>
      <c r="B744" s="2"/>
      <c r="C744" s="2"/>
      <c r="D744" s="2"/>
      <c r="E744" s="2"/>
      <c r="F744" s="2"/>
      <c r="G744" s="2"/>
      <c r="H744" s="2"/>
      <c r="I744" s="2"/>
      <c r="J744" s="2"/>
      <c r="K744" s="2"/>
      <c r="L744" s="2"/>
      <c r="M744" s="2"/>
      <c r="N744" s="2"/>
      <c r="O744" s="2"/>
      <c r="P744" s="2"/>
      <c r="Q744" s="2"/>
      <c r="R744" s="2"/>
      <c r="S744" s="2"/>
    </row>
    <row r="745">
      <c r="A745" s="2"/>
      <c r="B745" s="2"/>
      <c r="C745" s="2"/>
      <c r="D745" s="2"/>
      <c r="E745" s="2"/>
      <c r="F745" s="2"/>
      <c r="G745" s="2"/>
      <c r="H745" s="2"/>
      <c r="I745" s="2"/>
      <c r="J745" s="2"/>
      <c r="K745" s="2"/>
      <c r="L745" s="2"/>
      <c r="M745" s="2"/>
      <c r="N745" s="2"/>
      <c r="O745" s="2"/>
      <c r="P745" s="2"/>
      <c r="Q745" s="2"/>
      <c r="R745" s="2"/>
      <c r="S745" s="2"/>
    </row>
    <row r="746">
      <c r="A746" s="2"/>
      <c r="B746" s="2"/>
      <c r="C746" s="2"/>
      <c r="D746" s="2"/>
      <c r="E746" s="2"/>
      <c r="F746" s="2"/>
      <c r="G746" s="2"/>
      <c r="H746" s="2"/>
      <c r="I746" s="2"/>
      <c r="J746" s="2"/>
      <c r="K746" s="2"/>
      <c r="L746" s="2"/>
      <c r="M746" s="2"/>
      <c r="N746" s="2"/>
      <c r="O746" s="2"/>
      <c r="P746" s="2"/>
      <c r="Q746" s="2"/>
      <c r="R746" s="2"/>
      <c r="S746" s="2"/>
    </row>
    <row r="747">
      <c r="A747" s="2"/>
      <c r="B747" s="2"/>
      <c r="C747" s="2"/>
      <c r="D747" s="2"/>
      <c r="E747" s="2"/>
      <c r="F747" s="2"/>
      <c r="G747" s="2"/>
      <c r="H747" s="2"/>
      <c r="I747" s="2"/>
      <c r="J747" s="2"/>
      <c r="K747" s="2"/>
      <c r="L747" s="2"/>
      <c r="M747" s="2"/>
      <c r="N747" s="2"/>
      <c r="O747" s="2"/>
      <c r="P747" s="2"/>
      <c r="Q747" s="2"/>
      <c r="R747" s="2"/>
      <c r="S747" s="2"/>
    </row>
    <row r="748">
      <c r="A748" s="2"/>
      <c r="B748" s="2"/>
      <c r="C748" s="2"/>
      <c r="D748" s="2"/>
      <c r="E748" s="2"/>
      <c r="F748" s="2"/>
      <c r="G748" s="2"/>
      <c r="H748" s="2"/>
      <c r="I748" s="2"/>
      <c r="J748" s="2"/>
      <c r="K748" s="2"/>
      <c r="L748" s="2"/>
      <c r="M748" s="2"/>
      <c r="N748" s="2"/>
      <c r="O748" s="2"/>
      <c r="P748" s="2"/>
      <c r="Q748" s="2"/>
      <c r="R748" s="2"/>
      <c r="S748" s="2"/>
    </row>
    <row r="749">
      <c r="A749" s="2"/>
      <c r="B749" s="2"/>
      <c r="C749" s="2"/>
      <c r="D749" s="2"/>
      <c r="E749" s="2"/>
      <c r="F749" s="2"/>
      <c r="G749" s="2"/>
      <c r="H749" s="2"/>
      <c r="I749" s="2"/>
      <c r="J749" s="2"/>
      <c r="K749" s="2"/>
      <c r="L749" s="2"/>
      <c r="M749" s="2"/>
      <c r="N749" s="2"/>
      <c r="O749" s="2"/>
      <c r="P749" s="2"/>
      <c r="Q749" s="2"/>
      <c r="R749" s="2"/>
      <c r="S749" s="2"/>
    </row>
    <row r="750">
      <c r="A750" s="2"/>
      <c r="B750" s="2"/>
      <c r="C750" s="2"/>
      <c r="D750" s="2"/>
      <c r="E750" s="2"/>
      <c r="F750" s="2"/>
      <c r="G750" s="2"/>
      <c r="H750" s="2"/>
      <c r="I750" s="2"/>
      <c r="J750" s="2"/>
      <c r="K750" s="2"/>
      <c r="L750" s="2"/>
      <c r="M750" s="2"/>
      <c r="N750" s="2"/>
      <c r="O750" s="2"/>
      <c r="P750" s="2"/>
      <c r="Q750" s="2"/>
      <c r="R750" s="2"/>
      <c r="S750" s="2"/>
    </row>
    <row r="751">
      <c r="A751" s="2"/>
      <c r="B751" s="2"/>
      <c r="C751" s="2"/>
      <c r="D751" s="2"/>
      <c r="E751" s="2"/>
      <c r="F751" s="2"/>
      <c r="G751" s="2"/>
      <c r="H751" s="2"/>
      <c r="I751" s="2"/>
      <c r="J751" s="2"/>
      <c r="K751" s="2"/>
      <c r="L751" s="2"/>
      <c r="M751" s="2"/>
      <c r="N751" s="2"/>
      <c r="O751" s="2"/>
      <c r="P751" s="2"/>
      <c r="Q751" s="2"/>
      <c r="R751" s="2"/>
      <c r="S751" s="2"/>
    </row>
    <row r="752">
      <c r="A752" s="2"/>
      <c r="B752" s="2"/>
      <c r="C752" s="2"/>
      <c r="D752" s="2"/>
      <c r="E752" s="2"/>
      <c r="F752" s="2"/>
      <c r="G752" s="2"/>
      <c r="H752" s="2"/>
      <c r="I752" s="2"/>
      <c r="J752" s="2"/>
      <c r="K752" s="2"/>
      <c r="L752" s="2"/>
      <c r="M752" s="2"/>
      <c r="N752" s="2"/>
      <c r="O752" s="2"/>
      <c r="P752" s="2"/>
      <c r="Q752" s="2"/>
      <c r="R752" s="2"/>
      <c r="S752" s="2"/>
    </row>
    <row r="753">
      <c r="A753" s="2"/>
      <c r="B753" s="2"/>
      <c r="C753" s="2"/>
      <c r="D753" s="2"/>
      <c r="E753" s="2"/>
      <c r="F753" s="2"/>
      <c r="G753" s="2"/>
      <c r="H753" s="2"/>
      <c r="I753" s="2"/>
      <c r="J753" s="2"/>
      <c r="K753" s="2"/>
      <c r="L753" s="2"/>
      <c r="M753" s="2"/>
      <c r="N753" s="2"/>
      <c r="O753" s="2"/>
      <c r="P753" s="2"/>
      <c r="Q753" s="2"/>
      <c r="R753" s="2"/>
      <c r="S753" s="2"/>
    </row>
    <row r="754">
      <c r="A754" s="2"/>
      <c r="B754" s="2"/>
      <c r="C754" s="2"/>
      <c r="D754" s="2"/>
      <c r="E754" s="2"/>
      <c r="F754" s="2"/>
      <c r="G754" s="2"/>
      <c r="H754" s="2"/>
      <c r="I754" s="2"/>
      <c r="J754" s="2"/>
      <c r="K754" s="2"/>
      <c r="L754" s="2"/>
      <c r="M754" s="2"/>
      <c r="N754" s="2"/>
      <c r="O754" s="2"/>
      <c r="P754" s="2"/>
      <c r="Q754" s="2"/>
      <c r="R754" s="2"/>
      <c r="S754" s="2"/>
    </row>
    <row r="755">
      <c r="A755" s="2"/>
      <c r="B755" s="2"/>
      <c r="C755" s="2"/>
      <c r="D755" s="2"/>
      <c r="E755" s="2"/>
      <c r="F755" s="2"/>
      <c r="G755" s="2"/>
      <c r="H755" s="2"/>
      <c r="I755" s="2"/>
      <c r="J755" s="2"/>
      <c r="K755" s="2"/>
      <c r="L755" s="2"/>
      <c r="M755" s="2"/>
      <c r="N755" s="2"/>
      <c r="O755" s="2"/>
      <c r="P755" s="2"/>
      <c r="Q755" s="2"/>
      <c r="R755" s="2"/>
      <c r="S755" s="2"/>
    </row>
    <row r="756">
      <c r="A756" s="2"/>
      <c r="B756" s="2"/>
      <c r="C756" s="2"/>
      <c r="D756" s="2"/>
      <c r="E756" s="2"/>
      <c r="F756" s="2"/>
      <c r="G756" s="2"/>
      <c r="H756" s="2"/>
      <c r="I756" s="2"/>
      <c r="J756" s="2"/>
      <c r="K756" s="2"/>
      <c r="L756" s="2"/>
      <c r="M756" s="2"/>
      <c r="N756" s="2"/>
      <c r="O756" s="2"/>
      <c r="P756" s="2"/>
      <c r="Q756" s="2"/>
      <c r="R756" s="2"/>
      <c r="S756" s="2"/>
    </row>
    <row r="757">
      <c r="A757" s="2"/>
      <c r="B757" s="2"/>
      <c r="C757" s="2"/>
      <c r="D757" s="2"/>
      <c r="E757" s="2"/>
      <c r="F757" s="2"/>
      <c r="G757" s="2"/>
      <c r="H757" s="2"/>
      <c r="I757" s="2"/>
      <c r="J757" s="2"/>
      <c r="K757" s="2"/>
      <c r="L757" s="2"/>
      <c r="M757" s="2"/>
      <c r="N757" s="2"/>
      <c r="O757" s="2"/>
      <c r="P757" s="2"/>
      <c r="Q757" s="2"/>
      <c r="R757" s="2"/>
      <c r="S757" s="2"/>
    </row>
    <row r="758">
      <c r="A758" s="2"/>
      <c r="B758" s="2"/>
      <c r="C758" s="2"/>
      <c r="D758" s="2"/>
      <c r="E758" s="2"/>
      <c r="F758" s="2"/>
      <c r="G758" s="2"/>
      <c r="H758" s="2"/>
      <c r="I758" s="2"/>
      <c r="J758" s="2"/>
      <c r="K758" s="2"/>
      <c r="L758" s="2"/>
      <c r="M758" s="2"/>
      <c r="N758" s="2"/>
      <c r="O758" s="2"/>
      <c r="P758" s="2"/>
      <c r="Q758" s="2"/>
      <c r="R758" s="2"/>
      <c r="S758" s="2"/>
    </row>
    <row r="759">
      <c r="A759" s="2"/>
      <c r="B759" s="2"/>
      <c r="C759" s="2"/>
      <c r="D759" s="2"/>
      <c r="E759" s="2"/>
      <c r="F759" s="2"/>
      <c r="G759" s="2"/>
      <c r="H759" s="2"/>
      <c r="I759" s="2"/>
      <c r="J759" s="2"/>
      <c r="K759" s="2"/>
      <c r="L759" s="2"/>
      <c r="M759" s="2"/>
      <c r="N759" s="2"/>
      <c r="O759" s="2"/>
      <c r="P759" s="2"/>
      <c r="Q759" s="2"/>
      <c r="R759" s="2"/>
      <c r="S759" s="2"/>
    </row>
    <row r="760">
      <c r="A760" s="2"/>
      <c r="B760" s="2"/>
      <c r="C760" s="2"/>
      <c r="D760" s="2"/>
      <c r="E760" s="2"/>
      <c r="F760" s="2"/>
      <c r="G760" s="2"/>
      <c r="H760" s="2"/>
      <c r="I760" s="2"/>
      <c r="J760" s="2"/>
      <c r="K760" s="2"/>
      <c r="L760" s="2"/>
      <c r="M760" s="2"/>
      <c r="N760" s="2"/>
      <c r="O760" s="2"/>
      <c r="P760" s="2"/>
      <c r="Q760" s="2"/>
      <c r="R760" s="2"/>
      <c r="S760" s="2"/>
    </row>
    <row r="761">
      <c r="A761" s="2"/>
      <c r="B761" s="2"/>
      <c r="C761" s="2"/>
      <c r="D761" s="2"/>
      <c r="E761" s="2"/>
      <c r="F761" s="2"/>
      <c r="G761" s="2"/>
      <c r="H761" s="2"/>
      <c r="I761" s="2"/>
      <c r="J761" s="2"/>
      <c r="K761" s="2"/>
      <c r="L761" s="2"/>
      <c r="M761" s="2"/>
      <c r="N761" s="2"/>
      <c r="O761" s="2"/>
      <c r="P761" s="2"/>
      <c r="Q761" s="2"/>
      <c r="R761" s="2"/>
      <c r="S761" s="2"/>
    </row>
    <row r="762">
      <c r="A762" s="2"/>
      <c r="B762" s="2"/>
      <c r="C762" s="2"/>
      <c r="D762" s="2"/>
      <c r="E762" s="2"/>
      <c r="F762" s="2"/>
      <c r="G762" s="2"/>
      <c r="H762" s="2"/>
      <c r="I762" s="2"/>
      <c r="J762" s="2"/>
      <c r="K762" s="2"/>
      <c r="L762" s="2"/>
      <c r="M762" s="2"/>
      <c r="N762" s="2"/>
      <c r="O762" s="2"/>
      <c r="P762" s="2"/>
      <c r="Q762" s="2"/>
      <c r="R762" s="2"/>
      <c r="S762" s="2"/>
    </row>
    <row r="763">
      <c r="A763" s="2"/>
      <c r="B763" s="2"/>
      <c r="C763" s="2"/>
      <c r="D763" s="2"/>
      <c r="E763" s="2"/>
      <c r="F763" s="2"/>
      <c r="G763" s="2"/>
      <c r="H763" s="2"/>
      <c r="I763" s="2"/>
      <c r="J763" s="2"/>
      <c r="K763" s="2"/>
      <c r="L763" s="2"/>
      <c r="M763" s="2"/>
      <c r="N763" s="2"/>
      <c r="O763" s="2"/>
      <c r="P763" s="2"/>
      <c r="Q763" s="2"/>
      <c r="R763" s="2"/>
      <c r="S763" s="2"/>
    </row>
    <row r="764">
      <c r="A764" s="2"/>
      <c r="B764" s="2"/>
      <c r="C764" s="2"/>
      <c r="D764" s="2"/>
      <c r="E764" s="2"/>
      <c r="F764" s="2"/>
      <c r="G764" s="2"/>
      <c r="H764" s="2"/>
      <c r="I764" s="2"/>
      <c r="J764" s="2"/>
      <c r="K764" s="2"/>
      <c r="L764" s="2"/>
      <c r="M764" s="2"/>
      <c r="N764" s="2"/>
      <c r="O764" s="2"/>
      <c r="P764" s="2"/>
      <c r="Q764" s="2"/>
      <c r="R764" s="2"/>
      <c r="S764" s="2"/>
    </row>
    <row r="765">
      <c r="A765" s="2"/>
      <c r="B765" s="2"/>
      <c r="C765" s="2"/>
      <c r="D765" s="2"/>
      <c r="E765" s="2"/>
      <c r="F765" s="2"/>
      <c r="G765" s="2"/>
      <c r="H765" s="2"/>
      <c r="I765" s="2"/>
      <c r="J765" s="2"/>
      <c r="K765" s="2"/>
      <c r="L765" s="2"/>
      <c r="M765" s="2"/>
      <c r="N765" s="2"/>
      <c r="O765" s="2"/>
      <c r="P765" s="2"/>
      <c r="Q765" s="2"/>
      <c r="R765" s="2"/>
      <c r="S765" s="2"/>
    </row>
    <row r="766">
      <c r="A766" s="2"/>
      <c r="B766" s="2"/>
      <c r="C766" s="2"/>
      <c r="D766" s="2"/>
      <c r="E766" s="2"/>
      <c r="F766" s="2"/>
      <c r="G766" s="2"/>
      <c r="H766" s="2"/>
      <c r="I766" s="2"/>
      <c r="J766" s="2"/>
      <c r="K766" s="2"/>
      <c r="L766" s="2"/>
      <c r="M766" s="2"/>
      <c r="N766" s="2"/>
      <c r="O766" s="2"/>
      <c r="P766" s="2"/>
      <c r="Q766" s="2"/>
      <c r="R766" s="2"/>
      <c r="S766" s="2"/>
    </row>
    <row r="767">
      <c r="A767" s="2"/>
      <c r="B767" s="2"/>
      <c r="C767" s="2"/>
      <c r="D767" s="2"/>
      <c r="E767" s="2"/>
      <c r="F767" s="2"/>
      <c r="G767" s="2"/>
      <c r="H767" s="2"/>
      <c r="I767" s="2"/>
      <c r="J767" s="2"/>
      <c r="K767" s="2"/>
      <c r="L767" s="2"/>
      <c r="M767" s="2"/>
      <c r="N767" s="2"/>
      <c r="O767" s="2"/>
      <c r="P767" s="2"/>
      <c r="Q767" s="2"/>
      <c r="R767" s="2"/>
      <c r="S767" s="2"/>
    </row>
    <row r="768">
      <c r="A768" s="2"/>
      <c r="B768" s="2"/>
      <c r="C768" s="2"/>
      <c r="D768" s="2"/>
      <c r="E768" s="2"/>
      <c r="F768" s="2"/>
      <c r="G768" s="2"/>
      <c r="H768" s="2"/>
      <c r="I768" s="2"/>
      <c r="J768" s="2"/>
      <c r="K768" s="2"/>
      <c r="L768" s="2"/>
      <c r="M768" s="2"/>
      <c r="N768" s="2"/>
      <c r="O768" s="2"/>
      <c r="P768" s="2"/>
      <c r="Q768" s="2"/>
      <c r="R768" s="2"/>
      <c r="S768" s="2"/>
    </row>
    <row r="769">
      <c r="A769" s="2"/>
      <c r="B769" s="2"/>
      <c r="C769" s="2"/>
      <c r="D769" s="2"/>
      <c r="E769" s="2"/>
      <c r="F769" s="2"/>
      <c r="G769" s="2"/>
      <c r="H769" s="2"/>
      <c r="I769" s="2"/>
      <c r="J769" s="2"/>
      <c r="K769" s="2"/>
      <c r="L769" s="2"/>
      <c r="M769" s="2"/>
      <c r="N769" s="2"/>
      <c r="O769" s="2"/>
      <c r="P769" s="2"/>
      <c r="Q769" s="2"/>
      <c r="R769" s="2"/>
      <c r="S769" s="2"/>
    </row>
    <row r="770">
      <c r="A770" s="2"/>
      <c r="B770" s="2"/>
      <c r="C770" s="2"/>
      <c r="D770" s="2"/>
      <c r="E770" s="2"/>
      <c r="F770" s="2"/>
      <c r="G770" s="2"/>
      <c r="H770" s="2"/>
      <c r="I770" s="2"/>
      <c r="J770" s="2"/>
      <c r="K770" s="2"/>
      <c r="L770" s="2"/>
      <c r="M770" s="2"/>
      <c r="N770" s="2"/>
      <c r="O770" s="2"/>
      <c r="P770" s="2"/>
      <c r="Q770" s="2"/>
      <c r="R770" s="2"/>
      <c r="S770" s="2"/>
    </row>
    <row r="771">
      <c r="A771" s="2"/>
      <c r="B771" s="2"/>
      <c r="C771" s="2"/>
      <c r="D771" s="2"/>
      <c r="E771" s="2"/>
      <c r="F771" s="2"/>
      <c r="G771" s="2"/>
      <c r="H771" s="2"/>
      <c r="I771" s="2"/>
      <c r="J771" s="2"/>
      <c r="K771" s="2"/>
      <c r="L771" s="2"/>
      <c r="M771" s="2"/>
      <c r="N771" s="2"/>
      <c r="O771" s="2"/>
      <c r="P771" s="2"/>
      <c r="Q771" s="2"/>
      <c r="R771" s="2"/>
      <c r="S771" s="2"/>
    </row>
    <row r="772">
      <c r="A772" s="2"/>
      <c r="B772" s="2"/>
      <c r="C772" s="2"/>
      <c r="D772" s="2"/>
      <c r="E772" s="2"/>
      <c r="F772" s="2"/>
      <c r="G772" s="2"/>
      <c r="H772" s="2"/>
      <c r="I772" s="2"/>
      <c r="J772" s="2"/>
      <c r="K772" s="2"/>
      <c r="L772" s="2"/>
      <c r="M772" s="2"/>
      <c r="N772" s="2"/>
      <c r="O772" s="2"/>
      <c r="P772" s="2"/>
      <c r="Q772" s="2"/>
      <c r="R772" s="2"/>
      <c r="S772" s="2"/>
    </row>
    <row r="773">
      <c r="A773" s="2"/>
      <c r="B773" s="2"/>
      <c r="C773" s="2"/>
      <c r="D773" s="2"/>
      <c r="E773" s="2"/>
      <c r="F773" s="2"/>
      <c r="G773" s="2"/>
      <c r="H773" s="2"/>
      <c r="I773" s="2"/>
      <c r="J773" s="2"/>
      <c r="K773" s="2"/>
      <c r="L773" s="2"/>
      <c r="M773" s="2"/>
      <c r="N773" s="2"/>
      <c r="O773" s="2"/>
      <c r="P773" s="2"/>
      <c r="Q773" s="2"/>
      <c r="R773" s="2"/>
      <c r="S773" s="2"/>
    </row>
    <row r="774">
      <c r="A774" s="2"/>
      <c r="B774" s="2"/>
      <c r="C774" s="2"/>
      <c r="D774" s="2"/>
      <c r="E774" s="2"/>
      <c r="F774" s="2"/>
      <c r="G774" s="2"/>
      <c r="H774" s="2"/>
      <c r="I774" s="2"/>
      <c r="J774" s="2"/>
      <c r="K774" s="2"/>
      <c r="L774" s="2"/>
      <c r="M774" s="2"/>
      <c r="N774" s="2"/>
      <c r="O774" s="2"/>
      <c r="P774" s="2"/>
      <c r="Q774" s="2"/>
      <c r="R774" s="2"/>
      <c r="S774" s="2"/>
    </row>
    <row r="775">
      <c r="A775" s="2"/>
      <c r="B775" s="2"/>
      <c r="C775" s="2"/>
      <c r="D775" s="2"/>
      <c r="E775" s="2"/>
      <c r="F775" s="2"/>
      <c r="G775" s="2"/>
      <c r="H775" s="2"/>
      <c r="I775" s="2"/>
      <c r="J775" s="2"/>
      <c r="K775" s="2"/>
      <c r="L775" s="2"/>
      <c r="M775" s="2"/>
      <c r="N775" s="2"/>
      <c r="O775" s="2"/>
      <c r="P775" s="2"/>
      <c r="Q775" s="2"/>
      <c r="R775" s="2"/>
      <c r="S775" s="2"/>
    </row>
    <row r="776">
      <c r="A776" s="2"/>
      <c r="B776" s="2"/>
      <c r="C776" s="2"/>
      <c r="D776" s="2"/>
      <c r="E776" s="2"/>
      <c r="F776" s="2"/>
      <c r="G776" s="2"/>
      <c r="H776" s="2"/>
      <c r="I776" s="2"/>
      <c r="J776" s="2"/>
      <c r="K776" s="2"/>
      <c r="L776" s="2"/>
      <c r="M776" s="2"/>
      <c r="N776" s="2"/>
      <c r="O776" s="2"/>
      <c r="P776" s="2"/>
      <c r="Q776" s="2"/>
      <c r="R776" s="2"/>
      <c r="S776" s="2"/>
    </row>
    <row r="777">
      <c r="A777" s="2"/>
      <c r="B777" s="2"/>
      <c r="C777" s="2"/>
      <c r="D777" s="2"/>
      <c r="E777" s="2"/>
      <c r="F777" s="2"/>
      <c r="G777" s="2"/>
      <c r="H777" s="2"/>
      <c r="I777" s="2"/>
      <c r="J777" s="2"/>
      <c r="K777" s="2"/>
      <c r="L777" s="2"/>
      <c r="M777" s="2"/>
      <c r="N777" s="2"/>
      <c r="O777" s="2"/>
      <c r="P777" s="2"/>
      <c r="Q777" s="2"/>
      <c r="R777" s="2"/>
      <c r="S777" s="2"/>
    </row>
    <row r="778">
      <c r="A778" s="2"/>
      <c r="B778" s="2"/>
      <c r="C778" s="2"/>
      <c r="D778" s="2"/>
      <c r="E778" s="2"/>
      <c r="F778" s="2"/>
      <c r="G778" s="2"/>
      <c r="H778" s="2"/>
      <c r="I778" s="2"/>
      <c r="J778" s="2"/>
      <c r="K778" s="2"/>
      <c r="L778" s="2"/>
      <c r="M778" s="2"/>
      <c r="N778" s="2"/>
      <c r="O778" s="2"/>
      <c r="P778" s="2"/>
      <c r="Q778" s="2"/>
      <c r="R778" s="2"/>
      <c r="S778" s="2"/>
    </row>
    <row r="779">
      <c r="A779" s="2"/>
      <c r="B779" s="2"/>
      <c r="C779" s="2"/>
      <c r="D779" s="2"/>
      <c r="E779" s="2"/>
      <c r="F779" s="2"/>
      <c r="G779" s="2"/>
      <c r="H779" s="2"/>
      <c r="I779" s="2"/>
      <c r="J779" s="2"/>
      <c r="K779" s="2"/>
      <c r="L779" s="2"/>
      <c r="M779" s="2"/>
      <c r="N779" s="2"/>
      <c r="O779" s="2"/>
      <c r="P779" s="2"/>
      <c r="Q779" s="2"/>
      <c r="R779" s="2"/>
      <c r="S779" s="2"/>
    </row>
    <row r="780">
      <c r="A780" s="2"/>
      <c r="B780" s="2"/>
      <c r="C780" s="2"/>
      <c r="D780" s="2"/>
      <c r="E780" s="2"/>
      <c r="F780" s="2"/>
      <c r="G780" s="2"/>
      <c r="H780" s="2"/>
      <c r="I780" s="2"/>
      <c r="J780" s="2"/>
      <c r="K780" s="2"/>
      <c r="L780" s="2"/>
      <c r="M780" s="2"/>
      <c r="N780" s="2"/>
      <c r="O780" s="2"/>
      <c r="P780" s="2"/>
      <c r="Q780" s="2"/>
      <c r="R780" s="2"/>
      <c r="S780" s="2"/>
    </row>
    <row r="781">
      <c r="A781" s="2"/>
      <c r="B781" s="2"/>
      <c r="C781" s="2"/>
      <c r="D781" s="2"/>
      <c r="E781" s="2"/>
      <c r="F781" s="2"/>
      <c r="G781" s="2"/>
      <c r="H781" s="2"/>
      <c r="I781" s="2"/>
      <c r="J781" s="2"/>
      <c r="K781" s="2"/>
      <c r="L781" s="2"/>
      <c r="M781" s="2"/>
      <c r="N781" s="2"/>
      <c r="O781" s="2"/>
      <c r="P781" s="2"/>
      <c r="Q781" s="2"/>
      <c r="R781" s="2"/>
      <c r="S781" s="2"/>
    </row>
    <row r="782">
      <c r="A782" s="2"/>
      <c r="B782" s="2"/>
      <c r="C782" s="2"/>
      <c r="D782" s="2"/>
      <c r="E782" s="2"/>
      <c r="F782" s="2"/>
      <c r="G782" s="2"/>
      <c r="H782" s="2"/>
      <c r="I782" s="2"/>
      <c r="J782" s="2"/>
      <c r="K782" s="2"/>
      <c r="L782" s="2"/>
      <c r="M782" s="2"/>
      <c r="N782" s="2"/>
      <c r="O782" s="2"/>
      <c r="P782" s="2"/>
      <c r="Q782" s="2"/>
      <c r="R782" s="2"/>
      <c r="S782" s="2"/>
    </row>
    <row r="783">
      <c r="A783" s="2"/>
      <c r="B783" s="2"/>
      <c r="C783" s="2"/>
      <c r="D783" s="2"/>
      <c r="E783" s="2"/>
      <c r="F783" s="2"/>
      <c r="G783" s="2"/>
      <c r="H783" s="2"/>
      <c r="I783" s="2"/>
      <c r="J783" s="2"/>
      <c r="K783" s="2"/>
      <c r="L783" s="2"/>
      <c r="M783" s="2"/>
      <c r="N783" s="2"/>
      <c r="O783" s="2"/>
      <c r="P783" s="2"/>
      <c r="Q783" s="2"/>
      <c r="R783" s="2"/>
      <c r="S783" s="2"/>
    </row>
    <row r="784">
      <c r="A784" s="2"/>
      <c r="B784" s="2"/>
      <c r="C784" s="2"/>
      <c r="D784" s="2"/>
      <c r="E784" s="2"/>
      <c r="F784" s="2"/>
      <c r="G784" s="2"/>
      <c r="H784" s="2"/>
      <c r="I784" s="2"/>
      <c r="J784" s="2"/>
      <c r="K784" s="2"/>
      <c r="L784" s="2"/>
      <c r="M784" s="2"/>
      <c r="N784" s="2"/>
      <c r="O784" s="2"/>
      <c r="P784" s="2"/>
      <c r="Q784" s="2"/>
      <c r="R784" s="2"/>
      <c r="S784" s="2"/>
    </row>
    <row r="785">
      <c r="A785" s="2"/>
      <c r="B785" s="2"/>
      <c r="C785" s="2"/>
      <c r="D785" s="2"/>
      <c r="E785" s="2"/>
      <c r="F785" s="2"/>
      <c r="G785" s="2"/>
      <c r="H785" s="2"/>
      <c r="I785" s="2"/>
      <c r="J785" s="2"/>
      <c r="K785" s="2"/>
      <c r="L785" s="2"/>
      <c r="M785" s="2"/>
      <c r="N785" s="2"/>
      <c r="O785" s="2"/>
      <c r="P785" s="2"/>
      <c r="Q785" s="2"/>
      <c r="R785" s="2"/>
      <c r="S785" s="2"/>
    </row>
    <row r="786">
      <c r="A786" s="2"/>
      <c r="B786" s="2"/>
      <c r="C786" s="2"/>
      <c r="D786" s="2"/>
      <c r="E786" s="2"/>
      <c r="F786" s="2"/>
      <c r="G786" s="2"/>
      <c r="H786" s="2"/>
      <c r="I786" s="2"/>
      <c r="J786" s="2"/>
      <c r="K786" s="2"/>
      <c r="L786" s="2"/>
      <c r="M786" s="2"/>
      <c r="N786" s="2"/>
      <c r="O786" s="2"/>
      <c r="P786" s="2"/>
      <c r="Q786" s="2"/>
      <c r="R786" s="2"/>
      <c r="S786" s="2"/>
    </row>
    <row r="787">
      <c r="A787" s="2"/>
      <c r="B787" s="2"/>
      <c r="C787" s="2"/>
      <c r="D787" s="2"/>
      <c r="E787" s="2"/>
      <c r="F787" s="2"/>
      <c r="G787" s="2"/>
      <c r="H787" s="2"/>
      <c r="I787" s="2"/>
      <c r="J787" s="2"/>
      <c r="K787" s="2"/>
      <c r="L787" s="2"/>
      <c r="M787" s="2"/>
      <c r="N787" s="2"/>
      <c r="O787" s="2"/>
      <c r="P787" s="2"/>
      <c r="Q787" s="2"/>
      <c r="R787" s="2"/>
      <c r="S787" s="2"/>
    </row>
    <row r="788">
      <c r="A788" s="2"/>
      <c r="B788" s="2"/>
      <c r="C788" s="2"/>
      <c r="D788" s="2"/>
      <c r="E788" s="2"/>
      <c r="F788" s="2"/>
      <c r="G788" s="2"/>
      <c r="H788" s="2"/>
      <c r="I788" s="2"/>
      <c r="J788" s="2"/>
      <c r="K788" s="2"/>
      <c r="L788" s="2"/>
      <c r="M788" s="2"/>
      <c r="N788" s="2"/>
      <c r="O788" s="2"/>
      <c r="P788" s="2"/>
      <c r="Q788" s="2"/>
      <c r="R788" s="2"/>
      <c r="S788" s="2"/>
    </row>
    <row r="789">
      <c r="A789" s="2"/>
      <c r="B789" s="2"/>
      <c r="C789" s="2"/>
      <c r="D789" s="2"/>
      <c r="E789" s="2"/>
      <c r="F789" s="2"/>
      <c r="G789" s="2"/>
      <c r="H789" s="2"/>
      <c r="I789" s="2"/>
      <c r="J789" s="2"/>
      <c r="K789" s="2"/>
      <c r="L789" s="2"/>
      <c r="M789" s="2"/>
      <c r="N789" s="2"/>
      <c r="O789" s="2"/>
      <c r="P789" s="2"/>
      <c r="Q789" s="2"/>
      <c r="R789" s="2"/>
      <c r="S789" s="2"/>
    </row>
    <row r="790">
      <c r="A790" s="2"/>
      <c r="B790" s="2"/>
      <c r="C790" s="2"/>
      <c r="D790" s="2"/>
      <c r="E790" s="2"/>
      <c r="F790" s="2"/>
      <c r="G790" s="2"/>
      <c r="H790" s="2"/>
      <c r="I790" s="2"/>
      <c r="J790" s="2"/>
      <c r="K790" s="2"/>
      <c r="L790" s="2"/>
      <c r="M790" s="2"/>
      <c r="N790" s="2"/>
      <c r="O790" s="2"/>
      <c r="P790" s="2"/>
      <c r="Q790" s="2"/>
      <c r="R790" s="2"/>
      <c r="S790" s="2"/>
    </row>
    <row r="791">
      <c r="A791" s="2"/>
      <c r="B791" s="2"/>
      <c r="C791" s="2"/>
      <c r="D791" s="2"/>
      <c r="E791" s="2"/>
      <c r="F791" s="2"/>
      <c r="G791" s="2"/>
      <c r="H791" s="2"/>
      <c r="I791" s="2"/>
      <c r="J791" s="2"/>
      <c r="K791" s="2"/>
      <c r="L791" s="2"/>
      <c r="M791" s="2"/>
      <c r="N791" s="2"/>
      <c r="O791" s="2"/>
      <c r="P791" s="2"/>
      <c r="Q791" s="2"/>
      <c r="R791" s="2"/>
      <c r="S791" s="2"/>
    </row>
    <row r="792">
      <c r="A792" s="2"/>
      <c r="B792" s="2"/>
      <c r="C792" s="2"/>
      <c r="D792" s="2"/>
      <c r="E792" s="2"/>
      <c r="F792" s="2"/>
      <c r="G792" s="2"/>
      <c r="H792" s="2"/>
      <c r="I792" s="2"/>
      <c r="J792" s="2"/>
      <c r="K792" s="2"/>
      <c r="L792" s="2"/>
      <c r="M792" s="2"/>
      <c r="N792" s="2"/>
      <c r="O792" s="2"/>
      <c r="P792" s="2"/>
      <c r="Q792" s="2"/>
      <c r="R792" s="2"/>
      <c r="S792" s="2"/>
    </row>
    <row r="793">
      <c r="A793" s="2"/>
      <c r="B793" s="2"/>
      <c r="C793" s="2"/>
      <c r="D793" s="2"/>
      <c r="E793" s="2"/>
      <c r="F793" s="2"/>
      <c r="G793" s="2"/>
      <c r="H793" s="2"/>
      <c r="I793" s="2"/>
      <c r="J793" s="2"/>
      <c r="K793" s="2"/>
      <c r="L793" s="2"/>
      <c r="M793" s="2"/>
      <c r="N793" s="2"/>
      <c r="O793" s="2"/>
      <c r="P793" s="2"/>
      <c r="Q793" s="2"/>
      <c r="R793" s="2"/>
      <c r="S793" s="2"/>
    </row>
    <row r="794">
      <c r="A794" s="2"/>
      <c r="B794" s="2"/>
      <c r="C794" s="2"/>
      <c r="D794" s="2"/>
      <c r="E794" s="2"/>
      <c r="F794" s="2"/>
      <c r="G794" s="2"/>
      <c r="H794" s="2"/>
      <c r="I794" s="2"/>
      <c r="J794" s="2"/>
      <c r="K794" s="2"/>
      <c r="L794" s="2"/>
      <c r="M794" s="2"/>
      <c r="N794" s="2"/>
      <c r="O794" s="2"/>
      <c r="P794" s="2"/>
      <c r="Q794" s="2"/>
      <c r="R794" s="2"/>
      <c r="S794" s="2"/>
    </row>
    <row r="795">
      <c r="A795" s="2"/>
      <c r="B795" s="2"/>
      <c r="C795" s="2"/>
      <c r="D795" s="2"/>
      <c r="E795" s="2"/>
      <c r="F795" s="2"/>
      <c r="G795" s="2"/>
      <c r="H795" s="2"/>
      <c r="I795" s="2"/>
      <c r="J795" s="2"/>
      <c r="K795" s="2"/>
      <c r="L795" s="2"/>
      <c r="M795" s="2"/>
      <c r="N795" s="2"/>
      <c r="O795" s="2"/>
      <c r="P795" s="2"/>
      <c r="Q795" s="2"/>
      <c r="R795" s="2"/>
      <c r="S795" s="2"/>
    </row>
    <row r="796">
      <c r="A796" s="2"/>
      <c r="B796" s="2"/>
      <c r="C796" s="2"/>
      <c r="D796" s="2"/>
      <c r="E796" s="2"/>
      <c r="F796" s="2"/>
      <c r="G796" s="2"/>
      <c r="H796" s="2"/>
      <c r="I796" s="2"/>
      <c r="J796" s="2"/>
      <c r="K796" s="2"/>
      <c r="L796" s="2"/>
      <c r="M796" s="2"/>
      <c r="N796" s="2"/>
      <c r="O796" s="2"/>
      <c r="P796" s="2"/>
      <c r="Q796" s="2"/>
      <c r="R796" s="2"/>
      <c r="S796" s="2"/>
    </row>
    <row r="797">
      <c r="A797" s="2"/>
      <c r="B797" s="2"/>
      <c r="C797" s="2"/>
      <c r="D797" s="2"/>
      <c r="E797" s="2"/>
      <c r="F797" s="2"/>
      <c r="G797" s="2"/>
      <c r="H797" s="2"/>
      <c r="I797" s="2"/>
      <c r="J797" s="2"/>
      <c r="K797" s="2"/>
      <c r="L797" s="2"/>
      <c r="M797" s="2"/>
      <c r="N797" s="2"/>
      <c r="O797" s="2"/>
      <c r="P797" s="2"/>
      <c r="Q797" s="2"/>
      <c r="R797" s="2"/>
      <c r="S797" s="2"/>
    </row>
    <row r="798">
      <c r="A798" s="2"/>
      <c r="B798" s="2"/>
      <c r="C798" s="2"/>
      <c r="D798" s="2"/>
      <c r="E798" s="2"/>
      <c r="F798" s="2"/>
      <c r="G798" s="2"/>
      <c r="H798" s="2"/>
      <c r="I798" s="2"/>
      <c r="J798" s="2"/>
      <c r="K798" s="2"/>
      <c r="L798" s="2"/>
      <c r="M798" s="2"/>
      <c r="N798" s="2"/>
      <c r="O798" s="2"/>
      <c r="P798" s="2"/>
      <c r="Q798" s="2"/>
      <c r="R798" s="2"/>
      <c r="S798" s="2"/>
    </row>
    <row r="799">
      <c r="A799" s="2"/>
      <c r="B799" s="2"/>
      <c r="C799" s="2"/>
      <c r="D799" s="2"/>
      <c r="E799" s="2"/>
      <c r="F799" s="2"/>
      <c r="G799" s="2"/>
      <c r="H799" s="2"/>
      <c r="I799" s="2"/>
      <c r="J799" s="2"/>
      <c r="K799" s="2"/>
      <c r="L799" s="2"/>
      <c r="M799" s="2"/>
      <c r="N799" s="2"/>
      <c r="O799" s="2"/>
      <c r="P799" s="2"/>
      <c r="Q799" s="2"/>
      <c r="R799" s="2"/>
      <c r="S799" s="2"/>
    </row>
    <row r="800">
      <c r="A800" s="2"/>
      <c r="B800" s="2"/>
      <c r="C800" s="2"/>
      <c r="D800" s="2"/>
      <c r="E800" s="2"/>
      <c r="F800" s="2"/>
      <c r="G800" s="2"/>
      <c r="H800" s="2"/>
      <c r="I800" s="2"/>
      <c r="J800" s="2"/>
      <c r="K800" s="2"/>
      <c r="L800" s="2"/>
      <c r="M800" s="2"/>
      <c r="N800" s="2"/>
      <c r="O800" s="2"/>
      <c r="P800" s="2"/>
      <c r="Q800" s="2"/>
      <c r="R800" s="2"/>
      <c r="S800" s="2"/>
    </row>
    <row r="801">
      <c r="A801" s="2"/>
      <c r="B801" s="2"/>
      <c r="C801" s="2"/>
      <c r="D801" s="2"/>
      <c r="E801" s="2"/>
      <c r="F801" s="2"/>
      <c r="G801" s="2"/>
      <c r="H801" s="2"/>
      <c r="I801" s="2"/>
      <c r="J801" s="2"/>
      <c r="K801" s="2"/>
      <c r="L801" s="2"/>
      <c r="M801" s="2"/>
      <c r="N801" s="2"/>
      <c r="O801" s="2"/>
      <c r="P801" s="2"/>
      <c r="Q801" s="2"/>
      <c r="R801" s="2"/>
      <c r="S801" s="2"/>
    </row>
    <row r="802">
      <c r="A802" s="2"/>
      <c r="B802" s="2"/>
      <c r="C802" s="2"/>
      <c r="D802" s="2"/>
      <c r="E802" s="2"/>
      <c r="F802" s="2"/>
      <c r="G802" s="2"/>
      <c r="H802" s="2"/>
      <c r="I802" s="2"/>
      <c r="J802" s="2"/>
      <c r="K802" s="2"/>
      <c r="L802" s="2"/>
      <c r="M802" s="2"/>
      <c r="N802" s="2"/>
      <c r="O802" s="2"/>
      <c r="P802" s="2"/>
      <c r="Q802" s="2"/>
      <c r="R802" s="2"/>
      <c r="S802" s="2"/>
    </row>
    <row r="803">
      <c r="A803" s="2"/>
      <c r="B803" s="2"/>
      <c r="C803" s="2"/>
      <c r="D803" s="2"/>
      <c r="E803" s="2"/>
      <c r="F803" s="2"/>
      <c r="G803" s="2"/>
      <c r="H803" s="2"/>
      <c r="I803" s="2"/>
      <c r="J803" s="2"/>
      <c r="K803" s="2"/>
      <c r="L803" s="2"/>
      <c r="M803" s="2"/>
      <c r="N803" s="2"/>
      <c r="O803" s="2"/>
      <c r="P803" s="2"/>
      <c r="Q803" s="2"/>
      <c r="R803" s="2"/>
      <c r="S803" s="2"/>
    </row>
    <row r="804">
      <c r="A804" s="2"/>
      <c r="B804" s="2"/>
      <c r="C804" s="2"/>
      <c r="D804" s="2"/>
      <c r="E804" s="2"/>
      <c r="F804" s="2"/>
      <c r="G804" s="2"/>
      <c r="H804" s="2"/>
      <c r="I804" s="2"/>
      <c r="J804" s="2"/>
      <c r="K804" s="2"/>
      <c r="L804" s="2"/>
      <c r="M804" s="2"/>
      <c r="N804" s="2"/>
      <c r="O804" s="2"/>
      <c r="P804" s="2"/>
      <c r="Q804" s="2"/>
      <c r="R804" s="2"/>
      <c r="S804" s="2"/>
    </row>
    <row r="805">
      <c r="A805" s="2"/>
      <c r="B805" s="2"/>
      <c r="C805" s="2"/>
      <c r="D805" s="2"/>
      <c r="E805" s="2"/>
      <c r="F805" s="2"/>
      <c r="G805" s="2"/>
      <c r="H805" s="2"/>
      <c r="I805" s="2"/>
      <c r="J805" s="2"/>
      <c r="K805" s="2"/>
      <c r="L805" s="2"/>
      <c r="M805" s="2"/>
      <c r="N805" s="2"/>
      <c r="O805" s="2"/>
      <c r="P805" s="2"/>
      <c r="Q805" s="2"/>
      <c r="R805" s="2"/>
      <c r="S805" s="2"/>
    </row>
    <row r="806">
      <c r="A806" s="2"/>
      <c r="B806" s="2"/>
      <c r="C806" s="2"/>
      <c r="D806" s="2"/>
      <c r="E806" s="2"/>
      <c r="F806" s="2"/>
      <c r="G806" s="2"/>
      <c r="H806" s="2"/>
      <c r="I806" s="2"/>
      <c r="J806" s="2"/>
      <c r="K806" s="2"/>
      <c r="L806" s="2"/>
      <c r="M806" s="2"/>
      <c r="N806" s="2"/>
      <c r="O806" s="2"/>
      <c r="P806" s="2"/>
      <c r="Q806" s="2"/>
      <c r="R806" s="2"/>
      <c r="S806" s="2"/>
    </row>
    <row r="807">
      <c r="A807" s="2"/>
      <c r="B807" s="2"/>
      <c r="C807" s="2"/>
      <c r="D807" s="2"/>
      <c r="E807" s="2"/>
      <c r="F807" s="2"/>
      <c r="G807" s="2"/>
      <c r="H807" s="2"/>
      <c r="I807" s="2"/>
      <c r="J807" s="2"/>
      <c r="K807" s="2"/>
      <c r="L807" s="2"/>
      <c r="M807" s="2"/>
      <c r="N807" s="2"/>
      <c r="O807" s="2"/>
      <c r="P807" s="2"/>
      <c r="Q807" s="2"/>
      <c r="R807" s="2"/>
      <c r="S807" s="2"/>
    </row>
    <row r="808">
      <c r="A808" s="2"/>
      <c r="B808" s="2"/>
      <c r="C808" s="2"/>
      <c r="D808" s="2"/>
      <c r="E808" s="2"/>
      <c r="F808" s="2"/>
      <c r="G808" s="2"/>
      <c r="H808" s="2"/>
      <c r="I808" s="2"/>
      <c r="J808" s="2"/>
      <c r="K808" s="2"/>
      <c r="L808" s="2"/>
      <c r="M808" s="2"/>
      <c r="N808" s="2"/>
      <c r="O808" s="2"/>
      <c r="P808" s="2"/>
      <c r="Q808" s="2"/>
      <c r="R808" s="2"/>
      <c r="S808" s="2"/>
    </row>
    <row r="809">
      <c r="A809" s="2"/>
      <c r="B809" s="2"/>
      <c r="C809" s="2"/>
      <c r="D809" s="2"/>
      <c r="E809" s="2"/>
      <c r="F809" s="2"/>
      <c r="G809" s="2"/>
      <c r="H809" s="2"/>
      <c r="I809" s="2"/>
      <c r="J809" s="2"/>
      <c r="K809" s="2"/>
      <c r="L809" s="2"/>
      <c r="M809" s="2"/>
      <c r="N809" s="2"/>
      <c r="O809" s="2"/>
      <c r="P809" s="2"/>
      <c r="Q809" s="2"/>
      <c r="R809" s="2"/>
      <c r="S809" s="2"/>
    </row>
    <row r="810">
      <c r="A810" s="2"/>
      <c r="B810" s="2"/>
      <c r="C810" s="2"/>
      <c r="D810" s="2"/>
      <c r="E810" s="2"/>
      <c r="F810" s="2"/>
      <c r="G810" s="2"/>
      <c r="H810" s="2"/>
      <c r="I810" s="2"/>
      <c r="J810" s="2"/>
      <c r="K810" s="2"/>
      <c r="L810" s="2"/>
      <c r="M810" s="2"/>
      <c r="N810" s="2"/>
      <c r="O810" s="2"/>
      <c r="P810" s="2"/>
      <c r="Q810" s="2"/>
      <c r="R810" s="2"/>
      <c r="S810" s="2"/>
    </row>
    <row r="811">
      <c r="A811" s="2"/>
      <c r="B811" s="2"/>
      <c r="C811" s="2"/>
      <c r="D811" s="2"/>
      <c r="E811" s="2"/>
      <c r="F811" s="2"/>
      <c r="G811" s="2"/>
      <c r="H811" s="2"/>
      <c r="I811" s="2"/>
      <c r="J811" s="2"/>
      <c r="K811" s="2"/>
      <c r="L811" s="2"/>
      <c r="M811" s="2"/>
      <c r="N811" s="2"/>
      <c r="O811" s="2"/>
      <c r="P811" s="2"/>
      <c r="Q811" s="2"/>
      <c r="R811" s="2"/>
      <c r="S811" s="2"/>
    </row>
    <row r="812">
      <c r="A812" s="2"/>
      <c r="B812" s="2"/>
      <c r="C812" s="2"/>
      <c r="D812" s="2"/>
      <c r="E812" s="2"/>
      <c r="F812" s="2"/>
      <c r="G812" s="2"/>
      <c r="H812" s="2"/>
      <c r="I812" s="2"/>
      <c r="J812" s="2"/>
      <c r="K812" s="2"/>
      <c r="L812" s="2"/>
      <c r="M812" s="2"/>
      <c r="N812" s="2"/>
      <c r="O812" s="2"/>
      <c r="P812" s="2"/>
      <c r="Q812" s="2"/>
      <c r="R812" s="2"/>
      <c r="S812" s="2"/>
    </row>
    <row r="813">
      <c r="A813" s="2"/>
      <c r="B813" s="2"/>
      <c r="C813" s="2"/>
      <c r="D813" s="2"/>
      <c r="E813" s="2"/>
      <c r="F813" s="2"/>
      <c r="G813" s="2"/>
      <c r="H813" s="2"/>
      <c r="I813" s="2"/>
      <c r="J813" s="2"/>
      <c r="K813" s="2"/>
      <c r="L813" s="2"/>
      <c r="M813" s="2"/>
      <c r="N813" s="2"/>
      <c r="O813" s="2"/>
      <c r="P813" s="2"/>
      <c r="Q813" s="2"/>
      <c r="R813" s="2"/>
      <c r="S813" s="2"/>
    </row>
    <row r="814">
      <c r="A814" s="2"/>
      <c r="B814" s="2"/>
      <c r="C814" s="2"/>
      <c r="D814" s="2"/>
      <c r="E814" s="2"/>
      <c r="F814" s="2"/>
      <c r="G814" s="2"/>
      <c r="H814" s="2"/>
      <c r="I814" s="2"/>
      <c r="J814" s="2"/>
      <c r="K814" s="2"/>
      <c r="L814" s="2"/>
      <c r="M814" s="2"/>
      <c r="N814" s="2"/>
      <c r="O814" s="2"/>
      <c r="P814" s="2"/>
      <c r="Q814" s="2"/>
      <c r="R814" s="2"/>
      <c r="S814" s="2"/>
    </row>
    <row r="815">
      <c r="A815" s="2"/>
      <c r="B815" s="2"/>
      <c r="C815" s="2"/>
      <c r="D815" s="2"/>
      <c r="E815" s="2"/>
      <c r="F815" s="2"/>
      <c r="G815" s="2"/>
      <c r="H815" s="2"/>
      <c r="I815" s="2"/>
      <c r="J815" s="2"/>
      <c r="K815" s="2"/>
      <c r="L815" s="2"/>
      <c r="M815" s="2"/>
      <c r="N815" s="2"/>
      <c r="O815" s="2"/>
      <c r="P815" s="2"/>
      <c r="Q815" s="2"/>
      <c r="R815" s="2"/>
      <c r="S815" s="2"/>
    </row>
    <row r="816">
      <c r="A816" s="2"/>
      <c r="B816" s="2"/>
      <c r="C816" s="2"/>
      <c r="D816" s="2"/>
      <c r="E816" s="2"/>
      <c r="F816" s="2"/>
      <c r="G816" s="2"/>
      <c r="H816" s="2"/>
      <c r="I816" s="2"/>
      <c r="J816" s="2"/>
      <c r="K816" s="2"/>
      <c r="L816" s="2"/>
      <c r="M816" s="2"/>
      <c r="N816" s="2"/>
      <c r="O816" s="2"/>
      <c r="P816" s="2"/>
      <c r="Q816" s="2"/>
      <c r="R816" s="2"/>
      <c r="S816" s="2"/>
    </row>
    <row r="817">
      <c r="A817" s="2"/>
      <c r="B817" s="2"/>
      <c r="C817" s="2"/>
      <c r="D817" s="2"/>
      <c r="E817" s="2"/>
      <c r="F817" s="2"/>
      <c r="G817" s="2"/>
      <c r="H817" s="2"/>
      <c r="I817" s="2"/>
      <c r="J817" s="2"/>
      <c r="K817" s="2"/>
      <c r="L817" s="2"/>
      <c r="M817" s="2"/>
      <c r="N817" s="2"/>
      <c r="O817" s="2"/>
      <c r="P817" s="2"/>
      <c r="Q817" s="2"/>
      <c r="R817" s="2"/>
      <c r="S817" s="2"/>
    </row>
    <row r="818">
      <c r="A818" s="2"/>
      <c r="B818" s="2"/>
      <c r="C818" s="2"/>
      <c r="D818" s="2"/>
      <c r="E818" s="2"/>
      <c r="F818" s="2"/>
      <c r="G818" s="2"/>
      <c r="H818" s="2"/>
      <c r="I818" s="2"/>
      <c r="J818" s="2"/>
      <c r="K818" s="2"/>
      <c r="L818" s="2"/>
      <c r="M818" s="2"/>
      <c r="N818" s="2"/>
      <c r="O818" s="2"/>
      <c r="P818" s="2"/>
      <c r="Q818" s="2"/>
      <c r="R818" s="2"/>
      <c r="S818" s="2"/>
    </row>
    <row r="819">
      <c r="A819" s="2"/>
      <c r="B819" s="2"/>
      <c r="C819" s="2"/>
      <c r="D819" s="2"/>
      <c r="E819" s="2"/>
      <c r="F819" s="2"/>
      <c r="G819" s="2"/>
      <c r="H819" s="2"/>
      <c r="I819" s="2"/>
      <c r="J819" s="2"/>
      <c r="K819" s="2"/>
      <c r="L819" s="2"/>
      <c r="M819" s="2"/>
      <c r="N819" s="2"/>
      <c r="O819" s="2"/>
      <c r="P819" s="2"/>
      <c r="Q819" s="2"/>
      <c r="R819" s="2"/>
      <c r="S819" s="2"/>
    </row>
    <row r="820">
      <c r="A820" s="2"/>
      <c r="B820" s="2"/>
      <c r="C820" s="2"/>
      <c r="D820" s="2"/>
      <c r="E820" s="2"/>
      <c r="F820" s="2"/>
      <c r="G820" s="2"/>
      <c r="H820" s="2"/>
      <c r="I820" s="2"/>
      <c r="J820" s="2"/>
      <c r="K820" s="2"/>
      <c r="L820" s="2"/>
      <c r="M820" s="2"/>
      <c r="N820" s="2"/>
      <c r="O820" s="2"/>
      <c r="P820" s="2"/>
      <c r="Q820" s="2"/>
      <c r="R820" s="2"/>
      <c r="S820" s="2"/>
    </row>
    <row r="821">
      <c r="A821" s="2"/>
      <c r="B821" s="2"/>
      <c r="C821" s="2"/>
      <c r="D821" s="2"/>
      <c r="E821" s="2"/>
      <c r="F821" s="2"/>
      <c r="G821" s="2"/>
      <c r="H821" s="2"/>
      <c r="I821" s="2"/>
      <c r="J821" s="2"/>
      <c r="K821" s="2"/>
      <c r="L821" s="2"/>
      <c r="M821" s="2"/>
      <c r="N821" s="2"/>
      <c r="O821" s="2"/>
      <c r="P821" s="2"/>
      <c r="Q821" s="2"/>
      <c r="R821" s="2"/>
      <c r="S821" s="2"/>
    </row>
    <row r="822">
      <c r="A822" s="2"/>
      <c r="B822" s="2"/>
      <c r="C822" s="2"/>
      <c r="D822" s="2"/>
      <c r="E822" s="2"/>
      <c r="F822" s="2"/>
      <c r="G822" s="2"/>
      <c r="H822" s="2"/>
      <c r="I822" s="2"/>
      <c r="J822" s="2"/>
      <c r="K822" s="2"/>
      <c r="L822" s="2"/>
      <c r="M822" s="2"/>
      <c r="N822" s="2"/>
      <c r="O822" s="2"/>
      <c r="P822" s="2"/>
      <c r="Q822" s="2"/>
      <c r="R822" s="2"/>
      <c r="S822" s="2"/>
    </row>
    <row r="823">
      <c r="A823" s="2"/>
      <c r="B823" s="2"/>
      <c r="C823" s="2"/>
      <c r="D823" s="2"/>
      <c r="E823" s="2"/>
      <c r="F823" s="2"/>
      <c r="G823" s="2"/>
      <c r="H823" s="2"/>
      <c r="I823" s="2"/>
      <c r="J823" s="2"/>
      <c r="K823" s="2"/>
      <c r="L823" s="2"/>
      <c r="M823" s="2"/>
      <c r="N823" s="2"/>
      <c r="O823" s="2"/>
      <c r="P823" s="2"/>
      <c r="Q823" s="2"/>
      <c r="R823" s="2"/>
      <c r="S823" s="2"/>
    </row>
    <row r="824">
      <c r="A824" s="2"/>
      <c r="B824" s="2"/>
      <c r="C824" s="2"/>
      <c r="D824" s="2"/>
      <c r="E824" s="2"/>
      <c r="F824" s="2"/>
      <c r="G824" s="2"/>
      <c r="H824" s="2"/>
      <c r="I824" s="2"/>
      <c r="J824" s="2"/>
      <c r="K824" s="2"/>
      <c r="L824" s="2"/>
      <c r="M824" s="2"/>
      <c r="N824" s="2"/>
      <c r="O824" s="2"/>
      <c r="P824" s="2"/>
      <c r="Q824" s="2"/>
      <c r="R824" s="2"/>
      <c r="S824" s="2"/>
    </row>
    <row r="825">
      <c r="A825" s="2"/>
      <c r="B825" s="2"/>
      <c r="C825" s="2"/>
      <c r="D825" s="2"/>
      <c r="E825" s="2"/>
      <c r="F825" s="2"/>
      <c r="G825" s="2"/>
      <c r="H825" s="2"/>
      <c r="I825" s="2"/>
      <c r="J825" s="2"/>
      <c r="K825" s="2"/>
      <c r="L825" s="2"/>
      <c r="M825" s="2"/>
      <c r="N825" s="2"/>
      <c r="O825" s="2"/>
      <c r="P825" s="2"/>
      <c r="Q825" s="2"/>
      <c r="R825" s="2"/>
      <c r="S825" s="2"/>
    </row>
    <row r="826">
      <c r="A826" s="2"/>
      <c r="B826" s="2"/>
      <c r="C826" s="2"/>
      <c r="D826" s="2"/>
      <c r="E826" s="2"/>
      <c r="F826" s="2"/>
      <c r="G826" s="2"/>
      <c r="H826" s="2"/>
      <c r="I826" s="2"/>
      <c r="J826" s="2"/>
      <c r="K826" s="2"/>
      <c r="L826" s="2"/>
      <c r="M826" s="2"/>
      <c r="N826" s="2"/>
      <c r="O826" s="2"/>
      <c r="P826" s="2"/>
      <c r="Q826" s="2"/>
      <c r="R826" s="2"/>
      <c r="S826" s="2"/>
    </row>
    <row r="827">
      <c r="A827" s="2"/>
      <c r="B827" s="2"/>
      <c r="C827" s="2"/>
      <c r="D827" s="2"/>
      <c r="E827" s="2"/>
      <c r="F827" s="2"/>
      <c r="G827" s="2"/>
      <c r="H827" s="2"/>
      <c r="I827" s="2"/>
      <c r="J827" s="2"/>
      <c r="K827" s="2"/>
      <c r="L827" s="2"/>
      <c r="M827" s="2"/>
      <c r="N827" s="2"/>
      <c r="O827" s="2"/>
      <c r="P827" s="2"/>
      <c r="Q827" s="2"/>
      <c r="R827" s="2"/>
      <c r="S827" s="2"/>
    </row>
    <row r="828">
      <c r="A828" s="2"/>
      <c r="B828" s="2"/>
      <c r="C828" s="2"/>
      <c r="D828" s="2"/>
      <c r="E828" s="2"/>
      <c r="F828" s="2"/>
      <c r="G828" s="2"/>
      <c r="H828" s="2"/>
      <c r="I828" s="2"/>
      <c r="J828" s="2"/>
      <c r="K828" s="2"/>
      <c r="L828" s="2"/>
      <c r="M828" s="2"/>
      <c r="N828" s="2"/>
      <c r="O828" s="2"/>
      <c r="P828" s="2"/>
      <c r="Q828" s="2"/>
      <c r="R828" s="2"/>
      <c r="S828" s="2"/>
    </row>
    <row r="829">
      <c r="A829" s="2"/>
      <c r="B829" s="2"/>
      <c r="C829" s="2"/>
      <c r="D829" s="2"/>
      <c r="E829" s="2"/>
      <c r="F829" s="2"/>
      <c r="G829" s="2"/>
      <c r="H829" s="2"/>
      <c r="I829" s="2"/>
      <c r="J829" s="2"/>
      <c r="K829" s="2"/>
      <c r="L829" s="2"/>
      <c r="M829" s="2"/>
      <c r="N829" s="2"/>
      <c r="O829" s="2"/>
      <c r="P829" s="2"/>
      <c r="Q829" s="2"/>
      <c r="R829" s="2"/>
      <c r="S829" s="2"/>
    </row>
    <row r="830">
      <c r="A830" s="2"/>
      <c r="B830" s="2"/>
      <c r="C830" s="2"/>
      <c r="D830" s="2"/>
      <c r="E830" s="2"/>
      <c r="F830" s="2"/>
      <c r="G830" s="2"/>
      <c r="H830" s="2"/>
      <c r="I830" s="2"/>
      <c r="J830" s="2"/>
      <c r="K830" s="2"/>
      <c r="L830" s="2"/>
      <c r="M830" s="2"/>
      <c r="N830" s="2"/>
      <c r="O830" s="2"/>
      <c r="P830" s="2"/>
      <c r="Q830" s="2"/>
      <c r="R830" s="2"/>
      <c r="S830" s="2"/>
    </row>
    <row r="831">
      <c r="A831" s="2"/>
      <c r="B831" s="2"/>
      <c r="C831" s="2"/>
      <c r="D831" s="2"/>
      <c r="E831" s="2"/>
      <c r="F831" s="2"/>
      <c r="G831" s="2"/>
      <c r="H831" s="2"/>
      <c r="I831" s="2"/>
      <c r="J831" s="2"/>
      <c r="K831" s="2"/>
      <c r="L831" s="2"/>
      <c r="M831" s="2"/>
      <c r="N831" s="2"/>
      <c r="O831" s="2"/>
      <c r="P831" s="2"/>
      <c r="Q831" s="2"/>
      <c r="R831" s="2"/>
      <c r="S831" s="2"/>
    </row>
    <row r="832">
      <c r="A832" s="2"/>
      <c r="B832" s="2"/>
      <c r="C832" s="2"/>
      <c r="D832" s="2"/>
      <c r="E832" s="2"/>
      <c r="F832" s="2"/>
      <c r="G832" s="2"/>
      <c r="H832" s="2"/>
      <c r="I832" s="2"/>
      <c r="J832" s="2"/>
      <c r="K832" s="2"/>
      <c r="L832" s="2"/>
      <c r="M832" s="2"/>
      <c r="N832" s="2"/>
      <c r="O832" s="2"/>
      <c r="P832" s="2"/>
      <c r="Q832" s="2"/>
      <c r="R832" s="2"/>
      <c r="S832" s="2"/>
    </row>
    <row r="833">
      <c r="A833" s="2"/>
      <c r="B833" s="2"/>
      <c r="C833" s="2"/>
      <c r="D833" s="2"/>
      <c r="E833" s="2"/>
      <c r="F833" s="2"/>
      <c r="G833" s="2"/>
      <c r="H833" s="2"/>
      <c r="I833" s="2"/>
      <c r="J833" s="2"/>
      <c r="K833" s="2"/>
      <c r="L833" s="2"/>
      <c r="M833" s="2"/>
      <c r="N833" s="2"/>
      <c r="O833" s="2"/>
      <c r="P833" s="2"/>
      <c r="Q833" s="2"/>
      <c r="R833" s="2"/>
      <c r="S833" s="2"/>
    </row>
    <row r="834">
      <c r="A834" s="2"/>
      <c r="B834" s="2"/>
      <c r="C834" s="2"/>
      <c r="D834" s="2"/>
      <c r="E834" s="2"/>
      <c r="F834" s="2"/>
      <c r="G834" s="2"/>
      <c r="H834" s="2"/>
      <c r="I834" s="2"/>
      <c r="J834" s="2"/>
      <c r="K834" s="2"/>
      <c r="L834" s="2"/>
      <c r="M834" s="2"/>
      <c r="N834" s="2"/>
      <c r="O834" s="2"/>
      <c r="P834" s="2"/>
      <c r="Q834" s="2"/>
      <c r="R834" s="2"/>
      <c r="S834" s="2"/>
    </row>
    <row r="835">
      <c r="A835" s="2"/>
      <c r="B835" s="2"/>
      <c r="C835" s="2"/>
      <c r="D835" s="2"/>
      <c r="E835" s="2"/>
      <c r="F835" s="2"/>
      <c r="G835" s="2"/>
      <c r="H835" s="2"/>
      <c r="I835" s="2"/>
      <c r="J835" s="2"/>
      <c r="K835" s="2"/>
      <c r="L835" s="2"/>
      <c r="M835" s="2"/>
      <c r="N835" s="2"/>
      <c r="O835" s="2"/>
      <c r="P835" s="2"/>
      <c r="Q835" s="2"/>
      <c r="R835" s="2"/>
      <c r="S835" s="2"/>
    </row>
    <row r="836">
      <c r="A836" s="2"/>
      <c r="B836" s="2"/>
      <c r="C836" s="2"/>
      <c r="D836" s="2"/>
      <c r="E836" s="2"/>
      <c r="F836" s="2"/>
      <c r="G836" s="2"/>
      <c r="H836" s="2"/>
      <c r="I836" s="2"/>
      <c r="J836" s="2"/>
      <c r="K836" s="2"/>
      <c r="L836" s="2"/>
      <c r="M836" s="2"/>
      <c r="N836" s="2"/>
      <c r="O836" s="2"/>
      <c r="P836" s="2"/>
      <c r="Q836" s="2"/>
      <c r="R836" s="2"/>
      <c r="S836" s="2"/>
    </row>
    <row r="837">
      <c r="A837" s="2"/>
      <c r="B837" s="2"/>
      <c r="C837" s="2"/>
      <c r="D837" s="2"/>
      <c r="E837" s="2"/>
      <c r="F837" s="2"/>
      <c r="G837" s="2"/>
      <c r="H837" s="2"/>
      <c r="I837" s="2"/>
      <c r="J837" s="2"/>
      <c r="K837" s="2"/>
      <c r="L837" s="2"/>
      <c r="M837" s="2"/>
      <c r="N837" s="2"/>
      <c r="O837" s="2"/>
      <c r="P837" s="2"/>
      <c r="Q837" s="2"/>
      <c r="R837" s="2"/>
      <c r="S837" s="2"/>
    </row>
    <row r="838">
      <c r="A838" s="2"/>
      <c r="B838" s="2"/>
      <c r="C838" s="2"/>
      <c r="D838" s="2"/>
      <c r="E838" s="2"/>
      <c r="F838" s="2"/>
      <c r="G838" s="2"/>
      <c r="H838" s="2"/>
      <c r="I838" s="2"/>
      <c r="J838" s="2"/>
      <c r="K838" s="2"/>
      <c r="L838" s="2"/>
      <c r="M838" s="2"/>
      <c r="N838" s="2"/>
      <c r="O838" s="2"/>
      <c r="P838" s="2"/>
      <c r="Q838" s="2"/>
      <c r="R838" s="2"/>
      <c r="S838" s="2"/>
    </row>
    <row r="839">
      <c r="A839" s="2"/>
      <c r="B839" s="2"/>
      <c r="C839" s="2"/>
      <c r="D839" s="2"/>
      <c r="E839" s="2"/>
      <c r="F839" s="2"/>
      <c r="G839" s="2"/>
      <c r="H839" s="2"/>
      <c r="I839" s="2"/>
      <c r="J839" s="2"/>
      <c r="K839" s="2"/>
      <c r="L839" s="2"/>
      <c r="M839" s="2"/>
      <c r="N839" s="2"/>
      <c r="O839" s="2"/>
      <c r="P839" s="2"/>
      <c r="Q839" s="2"/>
      <c r="R839" s="2"/>
      <c r="S839" s="2"/>
    </row>
    <row r="840">
      <c r="A840" s="2"/>
      <c r="B840" s="2"/>
      <c r="C840" s="2"/>
      <c r="D840" s="2"/>
      <c r="E840" s="2"/>
      <c r="F840" s="2"/>
      <c r="G840" s="2"/>
      <c r="H840" s="2"/>
      <c r="I840" s="2"/>
      <c r="J840" s="2"/>
      <c r="K840" s="2"/>
      <c r="L840" s="2"/>
      <c r="M840" s="2"/>
      <c r="N840" s="2"/>
      <c r="O840" s="2"/>
      <c r="P840" s="2"/>
      <c r="Q840" s="2"/>
      <c r="R840" s="2"/>
      <c r="S840" s="2"/>
    </row>
    <row r="841">
      <c r="A841" s="2"/>
      <c r="B841" s="2"/>
      <c r="C841" s="2"/>
      <c r="D841" s="2"/>
      <c r="E841" s="2"/>
      <c r="F841" s="2"/>
      <c r="G841" s="2"/>
      <c r="H841" s="2"/>
      <c r="I841" s="2"/>
      <c r="J841" s="2"/>
      <c r="K841" s="2"/>
      <c r="L841" s="2"/>
      <c r="M841" s="2"/>
      <c r="N841" s="2"/>
      <c r="O841" s="2"/>
      <c r="P841" s="2"/>
      <c r="Q841" s="2"/>
      <c r="R841" s="2"/>
      <c r="S841" s="2"/>
    </row>
    <row r="842">
      <c r="A842" s="2"/>
      <c r="B842" s="2"/>
      <c r="C842" s="2"/>
      <c r="D842" s="2"/>
      <c r="E842" s="2"/>
      <c r="F842" s="2"/>
      <c r="G842" s="2"/>
      <c r="H842" s="2"/>
      <c r="I842" s="2"/>
      <c r="J842" s="2"/>
      <c r="K842" s="2"/>
      <c r="L842" s="2"/>
      <c r="M842" s="2"/>
      <c r="N842" s="2"/>
      <c r="O842" s="2"/>
      <c r="P842" s="2"/>
      <c r="Q842" s="2"/>
      <c r="R842" s="2"/>
      <c r="S842" s="2"/>
    </row>
    <row r="843">
      <c r="A843" s="2"/>
      <c r="B843" s="2"/>
      <c r="C843" s="2"/>
      <c r="D843" s="2"/>
      <c r="E843" s="2"/>
      <c r="F843" s="2"/>
      <c r="G843" s="2"/>
      <c r="H843" s="2"/>
      <c r="I843" s="2"/>
      <c r="J843" s="2"/>
      <c r="K843" s="2"/>
      <c r="L843" s="2"/>
      <c r="M843" s="2"/>
      <c r="N843" s="2"/>
      <c r="O843" s="2"/>
      <c r="P843" s="2"/>
      <c r="Q843" s="2"/>
      <c r="R843" s="2"/>
      <c r="S843" s="2"/>
    </row>
    <row r="844">
      <c r="A844" s="2"/>
      <c r="B844" s="2"/>
      <c r="C844" s="2"/>
      <c r="D844" s="2"/>
      <c r="E844" s="2"/>
      <c r="F844" s="2"/>
      <c r="G844" s="2"/>
      <c r="H844" s="2"/>
      <c r="I844" s="2"/>
      <c r="J844" s="2"/>
      <c r="K844" s="2"/>
      <c r="L844" s="2"/>
      <c r="M844" s="2"/>
      <c r="N844" s="2"/>
      <c r="O844" s="2"/>
      <c r="P844" s="2"/>
      <c r="Q844" s="2"/>
      <c r="R844" s="2"/>
      <c r="S844" s="2"/>
    </row>
    <row r="845">
      <c r="A845" s="2"/>
      <c r="B845" s="2"/>
      <c r="C845" s="2"/>
      <c r="D845" s="2"/>
      <c r="E845" s="2"/>
      <c r="F845" s="2"/>
      <c r="G845" s="2"/>
      <c r="H845" s="2"/>
      <c r="I845" s="2"/>
      <c r="J845" s="2"/>
      <c r="K845" s="2"/>
      <c r="L845" s="2"/>
      <c r="M845" s="2"/>
      <c r="N845" s="2"/>
      <c r="O845" s="2"/>
      <c r="P845" s="2"/>
      <c r="Q845" s="2"/>
      <c r="R845" s="2"/>
      <c r="S845" s="2"/>
    </row>
    <row r="846">
      <c r="A846" s="2"/>
      <c r="B846" s="2"/>
      <c r="C846" s="2"/>
      <c r="D846" s="2"/>
      <c r="E846" s="2"/>
      <c r="F846" s="2"/>
      <c r="G846" s="2"/>
      <c r="H846" s="2"/>
      <c r="I846" s="2"/>
      <c r="J846" s="2"/>
      <c r="K846" s="2"/>
      <c r="L846" s="2"/>
      <c r="M846" s="2"/>
      <c r="N846" s="2"/>
      <c r="O846" s="2"/>
      <c r="P846" s="2"/>
      <c r="Q846" s="2"/>
      <c r="R846" s="2"/>
      <c r="S846" s="2"/>
    </row>
    <row r="847">
      <c r="A847" s="2"/>
      <c r="B847" s="2"/>
      <c r="C847" s="2"/>
      <c r="D847" s="2"/>
      <c r="E847" s="2"/>
      <c r="F847" s="2"/>
      <c r="G847" s="2"/>
      <c r="H847" s="2"/>
      <c r="I847" s="2"/>
      <c r="J847" s="2"/>
      <c r="K847" s="2"/>
      <c r="L847" s="2"/>
      <c r="M847" s="2"/>
      <c r="N847" s="2"/>
      <c r="O847" s="2"/>
      <c r="P847" s="2"/>
      <c r="Q847" s="2"/>
      <c r="R847" s="2"/>
      <c r="S847" s="2"/>
    </row>
    <row r="848">
      <c r="A848" s="2"/>
      <c r="B848" s="2"/>
      <c r="C848" s="2"/>
      <c r="D848" s="2"/>
      <c r="E848" s="2"/>
      <c r="F848" s="2"/>
      <c r="G848" s="2"/>
      <c r="H848" s="2"/>
      <c r="I848" s="2"/>
      <c r="J848" s="2"/>
      <c r="K848" s="2"/>
      <c r="L848" s="2"/>
      <c r="M848" s="2"/>
      <c r="N848" s="2"/>
      <c r="O848" s="2"/>
      <c r="P848" s="2"/>
      <c r="Q848" s="2"/>
      <c r="R848" s="2"/>
      <c r="S848" s="2"/>
    </row>
    <row r="849">
      <c r="A849" s="2"/>
      <c r="B849" s="2"/>
      <c r="C849" s="2"/>
      <c r="D849" s="2"/>
      <c r="E849" s="2"/>
      <c r="F849" s="2"/>
      <c r="G849" s="2"/>
      <c r="H849" s="2"/>
      <c r="I849" s="2"/>
      <c r="J849" s="2"/>
      <c r="K849" s="2"/>
      <c r="L849" s="2"/>
      <c r="M849" s="2"/>
      <c r="N849" s="2"/>
      <c r="O849" s="2"/>
      <c r="P849" s="2"/>
      <c r="Q849" s="2"/>
      <c r="R849" s="2"/>
      <c r="S849" s="2"/>
    </row>
    <row r="850">
      <c r="A850" s="2"/>
      <c r="B850" s="2"/>
      <c r="C850" s="2"/>
      <c r="D850" s="2"/>
      <c r="E850" s="2"/>
      <c r="F850" s="2"/>
      <c r="G850" s="2"/>
      <c r="H850" s="2"/>
      <c r="I850" s="2"/>
      <c r="J850" s="2"/>
      <c r="K850" s="2"/>
      <c r="L850" s="2"/>
      <c r="M850" s="2"/>
      <c r="N850" s="2"/>
      <c r="O850" s="2"/>
      <c r="P850" s="2"/>
      <c r="Q850" s="2"/>
      <c r="R850" s="2"/>
      <c r="S850" s="2"/>
    </row>
    <row r="851">
      <c r="A851" s="2"/>
      <c r="B851" s="2"/>
      <c r="C851" s="2"/>
      <c r="D851" s="2"/>
      <c r="E851" s="2"/>
      <c r="F851" s="2"/>
      <c r="G851" s="2"/>
      <c r="H851" s="2"/>
      <c r="I851" s="2"/>
      <c r="J851" s="2"/>
      <c r="K851" s="2"/>
      <c r="L851" s="2"/>
      <c r="M851" s="2"/>
      <c r="N851" s="2"/>
      <c r="O851" s="2"/>
      <c r="P851" s="2"/>
      <c r="Q851" s="2"/>
      <c r="R851" s="2"/>
      <c r="S851" s="2"/>
    </row>
    <row r="852">
      <c r="A852" s="2"/>
      <c r="B852" s="2"/>
      <c r="C852" s="2"/>
      <c r="D852" s="2"/>
      <c r="E852" s="2"/>
      <c r="F852" s="2"/>
      <c r="G852" s="2"/>
      <c r="H852" s="2"/>
      <c r="I852" s="2"/>
      <c r="J852" s="2"/>
      <c r="K852" s="2"/>
      <c r="L852" s="2"/>
      <c r="M852" s="2"/>
      <c r="N852" s="2"/>
      <c r="O852" s="2"/>
      <c r="P852" s="2"/>
      <c r="Q852" s="2"/>
      <c r="R852" s="2"/>
      <c r="S852" s="2"/>
    </row>
    <row r="853">
      <c r="A853" s="2"/>
      <c r="B853" s="2"/>
      <c r="C853" s="2"/>
      <c r="D853" s="2"/>
      <c r="E853" s="2"/>
      <c r="F853" s="2"/>
      <c r="G853" s="2"/>
      <c r="H853" s="2"/>
      <c r="I853" s="2"/>
      <c r="J853" s="2"/>
      <c r="K853" s="2"/>
      <c r="L853" s="2"/>
      <c r="M853" s="2"/>
      <c r="N853" s="2"/>
      <c r="O853" s="2"/>
      <c r="P853" s="2"/>
      <c r="Q853" s="2"/>
      <c r="R853" s="2"/>
      <c r="S853" s="2"/>
    </row>
    <row r="854">
      <c r="A854" s="2"/>
      <c r="B854" s="2"/>
      <c r="C854" s="2"/>
      <c r="D854" s="2"/>
      <c r="E854" s="2"/>
      <c r="F854" s="2"/>
      <c r="G854" s="2"/>
      <c r="H854" s="2"/>
      <c r="I854" s="2"/>
      <c r="J854" s="2"/>
      <c r="K854" s="2"/>
      <c r="L854" s="2"/>
      <c r="M854" s="2"/>
      <c r="N854" s="2"/>
      <c r="O854" s="2"/>
      <c r="P854" s="2"/>
      <c r="Q854" s="2"/>
      <c r="R854" s="2"/>
      <c r="S854" s="2"/>
    </row>
    <row r="855">
      <c r="A855" s="2"/>
      <c r="B855" s="2"/>
      <c r="C855" s="2"/>
      <c r="D855" s="2"/>
      <c r="E855" s="2"/>
      <c r="F855" s="2"/>
      <c r="G855" s="2"/>
      <c r="H855" s="2"/>
      <c r="I855" s="2"/>
      <c r="J855" s="2"/>
      <c r="K855" s="2"/>
      <c r="L855" s="2"/>
      <c r="M855" s="2"/>
      <c r="N855" s="2"/>
      <c r="O855" s="2"/>
      <c r="P855" s="2"/>
      <c r="Q855" s="2"/>
      <c r="R855" s="2"/>
      <c r="S855" s="2"/>
    </row>
    <row r="856">
      <c r="A856" s="2"/>
      <c r="B856" s="2"/>
      <c r="C856" s="2"/>
      <c r="D856" s="2"/>
      <c r="E856" s="2"/>
      <c r="F856" s="2"/>
      <c r="G856" s="2"/>
      <c r="H856" s="2"/>
      <c r="I856" s="2"/>
      <c r="J856" s="2"/>
      <c r="K856" s="2"/>
      <c r="L856" s="2"/>
      <c r="M856" s="2"/>
      <c r="N856" s="2"/>
      <c r="O856" s="2"/>
      <c r="P856" s="2"/>
      <c r="Q856" s="2"/>
      <c r="R856" s="2"/>
      <c r="S856" s="2"/>
    </row>
    <row r="857">
      <c r="A857" s="2"/>
      <c r="B857" s="2"/>
      <c r="C857" s="2"/>
      <c r="D857" s="2"/>
      <c r="E857" s="2"/>
      <c r="F857" s="2"/>
      <c r="G857" s="2"/>
      <c r="H857" s="2"/>
      <c r="I857" s="2"/>
      <c r="J857" s="2"/>
      <c r="K857" s="2"/>
      <c r="L857" s="2"/>
      <c r="M857" s="2"/>
      <c r="N857" s="2"/>
      <c r="O857" s="2"/>
      <c r="P857" s="2"/>
      <c r="Q857" s="2"/>
      <c r="R857" s="2"/>
      <c r="S857" s="2"/>
    </row>
    <row r="858">
      <c r="A858" s="2"/>
      <c r="B858" s="2"/>
      <c r="C858" s="2"/>
      <c r="D858" s="2"/>
      <c r="E858" s="2"/>
      <c r="F858" s="2"/>
      <c r="G858" s="2"/>
      <c r="H858" s="2"/>
      <c r="I858" s="2"/>
      <c r="J858" s="2"/>
      <c r="K858" s="2"/>
      <c r="L858" s="2"/>
      <c r="M858" s="2"/>
      <c r="N858" s="2"/>
      <c r="O858" s="2"/>
      <c r="P858" s="2"/>
      <c r="Q858" s="2"/>
      <c r="R858" s="2"/>
      <c r="S858" s="2"/>
    </row>
    <row r="859">
      <c r="A859" s="2"/>
      <c r="B859" s="2"/>
      <c r="C859" s="2"/>
      <c r="D859" s="2"/>
      <c r="E859" s="2"/>
      <c r="F859" s="2"/>
      <c r="G859" s="2"/>
      <c r="H859" s="2"/>
      <c r="I859" s="2"/>
      <c r="J859" s="2"/>
      <c r="K859" s="2"/>
      <c r="L859" s="2"/>
      <c r="M859" s="2"/>
      <c r="N859" s="2"/>
      <c r="O859" s="2"/>
      <c r="P859" s="2"/>
      <c r="Q859" s="2"/>
      <c r="R859" s="2"/>
      <c r="S859" s="2"/>
    </row>
    <row r="860">
      <c r="A860" s="2"/>
      <c r="B860" s="2"/>
      <c r="C860" s="2"/>
      <c r="D860" s="2"/>
      <c r="E860" s="2"/>
      <c r="F860" s="2"/>
      <c r="G860" s="2"/>
      <c r="H860" s="2"/>
      <c r="I860" s="2"/>
      <c r="J860" s="2"/>
      <c r="K860" s="2"/>
      <c r="L860" s="2"/>
      <c r="M860" s="2"/>
      <c r="N860" s="2"/>
      <c r="O860" s="2"/>
      <c r="P860" s="2"/>
      <c r="Q860" s="2"/>
      <c r="R860" s="2"/>
      <c r="S860" s="2"/>
    </row>
    <row r="861">
      <c r="A861" s="2"/>
      <c r="B861" s="2"/>
      <c r="C861" s="2"/>
      <c r="D861" s="2"/>
      <c r="E861" s="2"/>
      <c r="F861" s="2"/>
      <c r="G861" s="2"/>
      <c r="H861" s="2"/>
      <c r="I861" s="2"/>
      <c r="J861" s="2"/>
      <c r="K861" s="2"/>
      <c r="L861" s="2"/>
      <c r="M861" s="2"/>
      <c r="N861" s="2"/>
      <c r="O861" s="2"/>
      <c r="P861" s="2"/>
      <c r="Q861" s="2"/>
      <c r="R861" s="2"/>
      <c r="S861" s="2"/>
    </row>
    <row r="862">
      <c r="A862" s="2"/>
      <c r="B862" s="2"/>
      <c r="C862" s="2"/>
      <c r="D862" s="2"/>
      <c r="E862" s="2"/>
      <c r="F862" s="2"/>
      <c r="G862" s="2"/>
      <c r="H862" s="2"/>
      <c r="I862" s="2"/>
      <c r="J862" s="2"/>
      <c r="K862" s="2"/>
      <c r="L862" s="2"/>
      <c r="M862" s="2"/>
      <c r="N862" s="2"/>
      <c r="O862" s="2"/>
      <c r="P862" s="2"/>
      <c r="Q862" s="2"/>
      <c r="R862" s="2"/>
      <c r="S862" s="2"/>
    </row>
    <row r="863">
      <c r="A863" s="2"/>
      <c r="B863" s="2"/>
      <c r="C863" s="2"/>
      <c r="D863" s="2"/>
      <c r="E863" s="2"/>
      <c r="F863" s="2"/>
      <c r="G863" s="2"/>
      <c r="H863" s="2"/>
      <c r="I863" s="2"/>
      <c r="J863" s="2"/>
      <c r="K863" s="2"/>
      <c r="L863" s="2"/>
      <c r="M863" s="2"/>
      <c r="N863" s="2"/>
      <c r="O863" s="2"/>
      <c r="P863" s="2"/>
      <c r="Q863" s="2"/>
      <c r="R863" s="2"/>
      <c r="S863" s="2"/>
    </row>
    <row r="864">
      <c r="A864" s="2"/>
      <c r="B864" s="2"/>
      <c r="C864" s="2"/>
      <c r="D864" s="2"/>
      <c r="E864" s="2"/>
      <c r="F864" s="2"/>
      <c r="G864" s="2"/>
      <c r="H864" s="2"/>
      <c r="I864" s="2"/>
      <c r="J864" s="2"/>
      <c r="K864" s="2"/>
      <c r="L864" s="2"/>
      <c r="M864" s="2"/>
      <c r="N864" s="2"/>
      <c r="O864" s="2"/>
      <c r="P864" s="2"/>
      <c r="Q864" s="2"/>
      <c r="R864" s="2"/>
      <c r="S864" s="2"/>
    </row>
    <row r="865">
      <c r="A865" s="2"/>
      <c r="B865" s="2"/>
      <c r="C865" s="2"/>
      <c r="D865" s="2"/>
      <c r="E865" s="2"/>
      <c r="F865" s="2"/>
      <c r="G865" s="2"/>
      <c r="H865" s="2"/>
      <c r="I865" s="2"/>
      <c r="J865" s="2"/>
      <c r="K865" s="2"/>
      <c r="L865" s="2"/>
      <c r="M865" s="2"/>
      <c r="N865" s="2"/>
      <c r="O865" s="2"/>
      <c r="P865" s="2"/>
      <c r="Q865" s="2"/>
      <c r="R865" s="2"/>
      <c r="S865" s="2"/>
    </row>
    <row r="866">
      <c r="A866" s="2"/>
      <c r="B866" s="2"/>
      <c r="C866" s="2"/>
      <c r="D866" s="2"/>
      <c r="E866" s="2"/>
      <c r="F866" s="2"/>
      <c r="G866" s="2"/>
      <c r="H866" s="2"/>
      <c r="I866" s="2"/>
      <c r="J866" s="2"/>
      <c r="K866" s="2"/>
      <c r="L866" s="2"/>
      <c r="M866" s="2"/>
      <c r="N866" s="2"/>
      <c r="O866" s="2"/>
      <c r="P866" s="2"/>
      <c r="Q866" s="2"/>
      <c r="R866" s="2"/>
      <c r="S866" s="2"/>
    </row>
    <row r="867">
      <c r="A867" s="2"/>
      <c r="B867" s="2"/>
      <c r="C867" s="2"/>
      <c r="D867" s="2"/>
      <c r="E867" s="2"/>
      <c r="F867" s="2"/>
      <c r="G867" s="2"/>
      <c r="H867" s="2"/>
      <c r="I867" s="2"/>
      <c r="J867" s="2"/>
      <c r="K867" s="2"/>
      <c r="L867" s="2"/>
      <c r="M867" s="2"/>
      <c r="N867" s="2"/>
      <c r="O867" s="2"/>
      <c r="P867" s="2"/>
      <c r="Q867" s="2"/>
      <c r="R867" s="2"/>
      <c r="S867" s="2"/>
    </row>
    <row r="868">
      <c r="A868" s="2"/>
      <c r="B868" s="2"/>
      <c r="C868" s="2"/>
      <c r="D868" s="2"/>
      <c r="E868" s="2"/>
      <c r="F868" s="2"/>
      <c r="G868" s="2"/>
      <c r="H868" s="2"/>
      <c r="I868" s="2"/>
      <c r="J868" s="2"/>
      <c r="K868" s="2"/>
      <c r="L868" s="2"/>
      <c r="M868" s="2"/>
      <c r="N868" s="2"/>
      <c r="O868" s="2"/>
      <c r="P868" s="2"/>
      <c r="Q868" s="2"/>
      <c r="R868" s="2"/>
      <c r="S868" s="2"/>
    </row>
    <row r="869">
      <c r="A869" s="2"/>
      <c r="B869" s="2"/>
      <c r="C869" s="2"/>
      <c r="D869" s="2"/>
      <c r="E869" s="2"/>
      <c r="F869" s="2"/>
      <c r="G869" s="2"/>
      <c r="H869" s="2"/>
      <c r="I869" s="2"/>
      <c r="J869" s="2"/>
      <c r="K869" s="2"/>
      <c r="L869" s="2"/>
      <c r="M869" s="2"/>
      <c r="N869" s="2"/>
      <c r="O869" s="2"/>
      <c r="P869" s="2"/>
      <c r="Q869" s="2"/>
      <c r="R869" s="2"/>
      <c r="S869" s="2"/>
    </row>
    <row r="870">
      <c r="A870" s="2"/>
      <c r="B870" s="2"/>
      <c r="C870" s="2"/>
      <c r="D870" s="2"/>
      <c r="E870" s="2"/>
      <c r="F870" s="2"/>
      <c r="G870" s="2"/>
      <c r="H870" s="2"/>
      <c r="I870" s="2"/>
      <c r="J870" s="2"/>
      <c r="K870" s="2"/>
      <c r="L870" s="2"/>
      <c r="M870" s="2"/>
      <c r="N870" s="2"/>
      <c r="O870" s="2"/>
      <c r="P870" s="2"/>
      <c r="Q870" s="2"/>
      <c r="R870" s="2"/>
      <c r="S870" s="2"/>
    </row>
    <row r="871">
      <c r="A871" s="2"/>
      <c r="B871" s="2"/>
      <c r="C871" s="2"/>
      <c r="D871" s="2"/>
      <c r="E871" s="2"/>
      <c r="F871" s="2"/>
      <c r="G871" s="2"/>
      <c r="H871" s="2"/>
      <c r="I871" s="2"/>
      <c r="J871" s="2"/>
      <c r="K871" s="2"/>
      <c r="L871" s="2"/>
      <c r="M871" s="2"/>
      <c r="N871" s="2"/>
      <c r="O871" s="2"/>
      <c r="P871" s="2"/>
      <c r="Q871" s="2"/>
      <c r="R871" s="2"/>
      <c r="S871" s="2"/>
    </row>
    <row r="872">
      <c r="A872" s="2"/>
      <c r="B872" s="2"/>
      <c r="C872" s="2"/>
      <c r="D872" s="2"/>
      <c r="E872" s="2"/>
      <c r="F872" s="2"/>
      <c r="G872" s="2"/>
      <c r="H872" s="2"/>
      <c r="I872" s="2"/>
      <c r="J872" s="2"/>
      <c r="K872" s="2"/>
      <c r="L872" s="2"/>
      <c r="M872" s="2"/>
      <c r="N872" s="2"/>
      <c r="O872" s="2"/>
      <c r="P872" s="2"/>
      <c r="Q872" s="2"/>
      <c r="R872" s="2"/>
      <c r="S872" s="2"/>
    </row>
    <row r="873">
      <c r="A873" s="2"/>
      <c r="B873" s="2"/>
      <c r="C873" s="2"/>
      <c r="D873" s="2"/>
      <c r="E873" s="2"/>
      <c r="F873" s="2"/>
      <c r="G873" s="2"/>
      <c r="H873" s="2"/>
      <c r="I873" s="2"/>
      <c r="J873" s="2"/>
      <c r="K873" s="2"/>
      <c r="L873" s="2"/>
      <c r="M873" s="2"/>
      <c r="N873" s="2"/>
      <c r="O873" s="2"/>
      <c r="P873" s="2"/>
      <c r="Q873" s="2"/>
      <c r="R873" s="2"/>
      <c r="S873" s="2"/>
    </row>
    <row r="874">
      <c r="A874" s="2"/>
      <c r="B874" s="2"/>
      <c r="C874" s="2"/>
      <c r="D874" s="2"/>
      <c r="E874" s="2"/>
      <c r="F874" s="2"/>
      <c r="G874" s="2"/>
      <c r="H874" s="2"/>
      <c r="I874" s="2"/>
      <c r="J874" s="2"/>
      <c r="K874" s="2"/>
      <c r="L874" s="2"/>
      <c r="M874" s="2"/>
      <c r="N874" s="2"/>
      <c r="O874" s="2"/>
      <c r="P874" s="2"/>
      <c r="Q874" s="2"/>
      <c r="R874" s="2"/>
      <c r="S874" s="2"/>
    </row>
    <row r="875">
      <c r="A875" s="2"/>
      <c r="B875" s="2"/>
      <c r="C875" s="2"/>
      <c r="D875" s="2"/>
      <c r="E875" s="2"/>
      <c r="F875" s="2"/>
      <c r="G875" s="2"/>
      <c r="H875" s="2"/>
      <c r="I875" s="2"/>
      <c r="J875" s="2"/>
      <c r="K875" s="2"/>
      <c r="L875" s="2"/>
      <c r="M875" s="2"/>
      <c r="N875" s="2"/>
      <c r="O875" s="2"/>
      <c r="P875" s="2"/>
      <c r="Q875" s="2"/>
      <c r="R875" s="2"/>
      <c r="S875" s="2"/>
    </row>
    <row r="876">
      <c r="A876" s="2"/>
      <c r="B876" s="2"/>
      <c r="C876" s="2"/>
      <c r="D876" s="2"/>
      <c r="E876" s="2"/>
      <c r="F876" s="2"/>
      <c r="G876" s="2"/>
      <c r="H876" s="2"/>
      <c r="I876" s="2"/>
      <c r="J876" s="2"/>
      <c r="K876" s="2"/>
      <c r="L876" s="2"/>
      <c r="M876" s="2"/>
      <c r="N876" s="2"/>
      <c r="O876" s="2"/>
      <c r="P876" s="2"/>
      <c r="Q876" s="2"/>
      <c r="R876" s="2"/>
      <c r="S876" s="2"/>
    </row>
    <row r="877">
      <c r="A877" s="2"/>
      <c r="B877" s="2"/>
      <c r="C877" s="2"/>
      <c r="D877" s="2"/>
      <c r="E877" s="2"/>
      <c r="F877" s="2"/>
      <c r="G877" s="2"/>
      <c r="H877" s="2"/>
      <c r="I877" s="2"/>
      <c r="J877" s="2"/>
      <c r="K877" s="2"/>
      <c r="L877" s="2"/>
      <c r="M877" s="2"/>
      <c r="N877" s="2"/>
      <c r="O877" s="2"/>
      <c r="P877" s="2"/>
      <c r="Q877" s="2"/>
      <c r="R877" s="2"/>
      <c r="S877" s="2"/>
    </row>
    <row r="878">
      <c r="A878" s="2"/>
      <c r="B878" s="2"/>
      <c r="C878" s="2"/>
      <c r="D878" s="2"/>
      <c r="E878" s="2"/>
      <c r="F878" s="2"/>
      <c r="G878" s="2"/>
      <c r="H878" s="2"/>
      <c r="I878" s="2"/>
      <c r="J878" s="2"/>
      <c r="K878" s="2"/>
      <c r="L878" s="2"/>
      <c r="M878" s="2"/>
      <c r="N878" s="2"/>
      <c r="O878" s="2"/>
      <c r="P878" s="2"/>
      <c r="Q878" s="2"/>
      <c r="R878" s="2"/>
      <c r="S878" s="2"/>
    </row>
    <row r="879">
      <c r="A879" s="2"/>
      <c r="B879" s="2"/>
      <c r="C879" s="2"/>
      <c r="D879" s="2"/>
      <c r="E879" s="2"/>
      <c r="F879" s="2"/>
      <c r="G879" s="2"/>
      <c r="H879" s="2"/>
      <c r="I879" s="2"/>
      <c r="J879" s="2"/>
      <c r="K879" s="2"/>
      <c r="L879" s="2"/>
      <c r="M879" s="2"/>
      <c r="N879" s="2"/>
      <c r="O879" s="2"/>
      <c r="P879" s="2"/>
      <c r="Q879" s="2"/>
      <c r="R879" s="2"/>
      <c r="S879" s="2"/>
    </row>
    <row r="880">
      <c r="A880" s="2"/>
      <c r="B880" s="2"/>
      <c r="C880" s="2"/>
      <c r="D880" s="2"/>
      <c r="E880" s="2"/>
      <c r="F880" s="2"/>
      <c r="G880" s="2"/>
      <c r="H880" s="2"/>
      <c r="I880" s="2"/>
      <c r="J880" s="2"/>
      <c r="K880" s="2"/>
      <c r="L880" s="2"/>
      <c r="M880" s="2"/>
      <c r="N880" s="2"/>
      <c r="O880" s="2"/>
      <c r="P880" s="2"/>
      <c r="Q880" s="2"/>
      <c r="R880" s="2"/>
      <c r="S880" s="2"/>
    </row>
    <row r="881">
      <c r="A881" s="2"/>
      <c r="B881" s="2"/>
      <c r="C881" s="2"/>
      <c r="D881" s="2"/>
      <c r="E881" s="2"/>
      <c r="F881" s="2"/>
      <c r="G881" s="2"/>
      <c r="H881" s="2"/>
      <c r="I881" s="2"/>
      <c r="J881" s="2"/>
      <c r="K881" s="2"/>
      <c r="L881" s="2"/>
      <c r="M881" s="2"/>
      <c r="N881" s="2"/>
      <c r="O881" s="2"/>
      <c r="P881" s="2"/>
      <c r="Q881" s="2"/>
      <c r="R881" s="2"/>
      <c r="S881" s="2"/>
    </row>
    <row r="882">
      <c r="A882" s="2"/>
      <c r="B882" s="2"/>
      <c r="C882" s="2"/>
      <c r="D882" s="2"/>
      <c r="E882" s="2"/>
      <c r="F882" s="2"/>
      <c r="G882" s="2"/>
      <c r="H882" s="2"/>
      <c r="I882" s="2"/>
      <c r="J882" s="2"/>
      <c r="K882" s="2"/>
      <c r="L882" s="2"/>
      <c r="M882" s="2"/>
      <c r="N882" s="2"/>
      <c r="O882" s="2"/>
      <c r="P882" s="2"/>
      <c r="Q882" s="2"/>
      <c r="R882" s="2"/>
      <c r="S882" s="2"/>
    </row>
    <row r="883">
      <c r="A883" s="2"/>
      <c r="B883" s="2"/>
      <c r="C883" s="2"/>
      <c r="D883" s="2"/>
      <c r="E883" s="2"/>
      <c r="F883" s="2"/>
      <c r="G883" s="2"/>
      <c r="H883" s="2"/>
      <c r="I883" s="2"/>
      <c r="J883" s="2"/>
      <c r="K883" s="2"/>
      <c r="L883" s="2"/>
      <c r="M883" s="2"/>
      <c r="N883" s="2"/>
      <c r="O883" s="2"/>
      <c r="P883" s="2"/>
      <c r="Q883" s="2"/>
      <c r="R883" s="2"/>
      <c r="S883" s="2"/>
    </row>
    <row r="884">
      <c r="A884" s="2"/>
      <c r="B884" s="2"/>
      <c r="C884" s="2"/>
      <c r="D884" s="2"/>
      <c r="E884" s="2"/>
      <c r="F884" s="2"/>
      <c r="G884" s="2"/>
      <c r="H884" s="2"/>
      <c r="I884" s="2"/>
      <c r="J884" s="2"/>
      <c r="K884" s="2"/>
      <c r="L884" s="2"/>
      <c r="M884" s="2"/>
      <c r="N884" s="2"/>
      <c r="O884" s="2"/>
      <c r="P884" s="2"/>
      <c r="Q884" s="2"/>
      <c r="R884" s="2"/>
      <c r="S884" s="2"/>
    </row>
    <row r="885">
      <c r="A885" s="2"/>
      <c r="B885" s="2"/>
      <c r="C885" s="2"/>
      <c r="D885" s="2"/>
      <c r="E885" s="2"/>
      <c r="F885" s="2"/>
      <c r="G885" s="2"/>
      <c r="H885" s="2"/>
      <c r="I885" s="2"/>
      <c r="J885" s="2"/>
      <c r="K885" s="2"/>
      <c r="L885" s="2"/>
      <c r="M885" s="2"/>
      <c r="N885" s="2"/>
      <c r="O885" s="2"/>
      <c r="P885" s="2"/>
      <c r="Q885" s="2"/>
      <c r="R885" s="2"/>
      <c r="S885" s="2"/>
    </row>
    <row r="886">
      <c r="A886" s="2"/>
      <c r="B886" s="2"/>
      <c r="C886" s="2"/>
      <c r="D886" s="2"/>
      <c r="E886" s="2"/>
      <c r="F886" s="2"/>
      <c r="G886" s="2"/>
      <c r="H886" s="2"/>
      <c r="I886" s="2"/>
      <c r="J886" s="2"/>
      <c r="K886" s="2"/>
      <c r="L886" s="2"/>
      <c r="M886" s="2"/>
      <c r="N886" s="2"/>
      <c r="O886" s="2"/>
      <c r="P886" s="2"/>
      <c r="Q886" s="2"/>
      <c r="R886" s="2"/>
      <c r="S886" s="2"/>
    </row>
    <row r="887">
      <c r="A887" s="2"/>
      <c r="B887" s="2"/>
      <c r="C887" s="2"/>
      <c r="D887" s="2"/>
      <c r="E887" s="2"/>
      <c r="F887" s="2"/>
      <c r="G887" s="2"/>
      <c r="H887" s="2"/>
      <c r="I887" s="2"/>
      <c r="J887" s="2"/>
      <c r="K887" s="2"/>
      <c r="L887" s="2"/>
      <c r="M887" s="2"/>
      <c r="N887" s="2"/>
      <c r="O887" s="2"/>
      <c r="P887" s="2"/>
      <c r="Q887" s="2"/>
      <c r="R887" s="2"/>
      <c r="S887" s="2"/>
    </row>
    <row r="888">
      <c r="A888" s="2"/>
      <c r="B888" s="2"/>
      <c r="C888" s="2"/>
      <c r="D888" s="2"/>
      <c r="E888" s="2"/>
      <c r="F888" s="2"/>
      <c r="G888" s="2"/>
      <c r="H888" s="2"/>
      <c r="I888" s="2"/>
      <c r="J888" s="2"/>
      <c r="K888" s="2"/>
      <c r="L888" s="2"/>
      <c r="M888" s="2"/>
      <c r="N888" s="2"/>
      <c r="O888" s="2"/>
      <c r="P888" s="2"/>
      <c r="Q888" s="2"/>
      <c r="R888" s="2"/>
      <c r="S888" s="2"/>
    </row>
    <row r="889">
      <c r="A889" s="2"/>
      <c r="B889" s="2"/>
      <c r="C889" s="2"/>
      <c r="D889" s="2"/>
      <c r="E889" s="2"/>
      <c r="F889" s="2"/>
      <c r="G889" s="2"/>
      <c r="H889" s="2"/>
      <c r="I889" s="2"/>
      <c r="J889" s="2"/>
      <c r="K889" s="2"/>
      <c r="L889" s="2"/>
      <c r="M889" s="2"/>
      <c r="N889" s="2"/>
      <c r="O889" s="2"/>
      <c r="P889" s="2"/>
      <c r="Q889" s="2"/>
      <c r="R889" s="2"/>
      <c r="S889" s="2"/>
    </row>
    <row r="890">
      <c r="A890" s="2"/>
      <c r="B890" s="2"/>
      <c r="C890" s="2"/>
      <c r="D890" s="2"/>
      <c r="E890" s="2"/>
      <c r="F890" s="2"/>
      <c r="G890" s="2"/>
      <c r="H890" s="2"/>
      <c r="I890" s="2"/>
      <c r="J890" s="2"/>
      <c r="K890" s="2"/>
      <c r="L890" s="2"/>
      <c r="M890" s="2"/>
      <c r="N890" s="2"/>
      <c r="O890" s="2"/>
      <c r="P890" s="2"/>
      <c r="Q890" s="2"/>
      <c r="R890" s="2"/>
      <c r="S890" s="2"/>
    </row>
    <row r="891">
      <c r="A891" s="2"/>
      <c r="B891" s="2"/>
      <c r="C891" s="2"/>
      <c r="D891" s="2"/>
      <c r="E891" s="2"/>
      <c r="F891" s="2"/>
      <c r="G891" s="2"/>
      <c r="H891" s="2"/>
      <c r="I891" s="2"/>
      <c r="J891" s="2"/>
      <c r="K891" s="2"/>
      <c r="L891" s="2"/>
      <c r="M891" s="2"/>
      <c r="N891" s="2"/>
      <c r="O891" s="2"/>
      <c r="P891" s="2"/>
      <c r="Q891" s="2"/>
      <c r="R891" s="2"/>
      <c r="S891" s="2"/>
    </row>
    <row r="892">
      <c r="A892" s="2"/>
      <c r="B892" s="2"/>
      <c r="C892" s="2"/>
      <c r="D892" s="2"/>
      <c r="E892" s="2"/>
      <c r="F892" s="2"/>
      <c r="G892" s="2"/>
      <c r="H892" s="2"/>
      <c r="I892" s="2"/>
      <c r="J892" s="2"/>
      <c r="K892" s="2"/>
      <c r="L892" s="2"/>
      <c r="M892" s="2"/>
      <c r="N892" s="2"/>
      <c r="O892" s="2"/>
      <c r="P892" s="2"/>
      <c r="Q892" s="2"/>
      <c r="R892" s="2"/>
      <c r="S892" s="2"/>
    </row>
    <row r="893">
      <c r="A893" s="2"/>
      <c r="B893" s="2"/>
      <c r="C893" s="2"/>
      <c r="D893" s="2"/>
      <c r="E893" s="2"/>
      <c r="F893" s="2"/>
      <c r="G893" s="2"/>
      <c r="H893" s="2"/>
      <c r="I893" s="2"/>
      <c r="J893" s="2"/>
      <c r="K893" s="2"/>
      <c r="L893" s="2"/>
      <c r="M893" s="2"/>
      <c r="N893" s="2"/>
      <c r="O893" s="2"/>
      <c r="P893" s="2"/>
      <c r="Q893" s="2"/>
      <c r="R893" s="2"/>
      <c r="S893" s="2"/>
    </row>
    <row r="894">
      <c r="A894" s="2"/>
      <c r="B894" s="2"/>
      <c r="C894" s="2"/>
      <c r="D894" s="2"/>
      <c r="E894" s="2"/>
      <c r="F894" s="2"/>
      <c r="G894" s="2"/>
      <c r="H894" s="2"/>
      <c r="I894" s="2"/>
      <c r="J894" s="2"/>
      <c r="K894" s="2"/>
      <c r="L894" s="2"/>
      <c r="M894" s="2"/>
      <c r="N894" s="2"/>
      <c r="O894" s="2"/>
      <c r="P894" s="2"/>
      <c r="Q894" s="2"/>
      <c r="R894" s="2"/>
      <c r="S894" s="2"/>
    </row>
    <row r="895">
      <c r="A895" s="2"/>
      <c r="B895" s="2"/>
      <c r="C895" s="2"/>
      <c r="D895" s="2"/>
      <c r="E895" s="2"/>
      <c r="F895" s="2"/>
      <c r="G895" s="2"/>
      <c r="H895" s="2"/>
      <c r="I895" s="2"/>
      <c r="J895" s="2"/>
      <c r="K895" s="2"/>
      <c r="L895" s="2"/>
      <c r="M895" s="2"/>
      <c r="N895" s="2"/>
      <c r="O895" s="2"/>
      <c r="P895" s="2"/>
      <c r="Q895" s="2"/>
      <c r="R895" s="2"/>
      <c r="S895" s="2"/>
    </row>
    <row r="896">
      <c r="A896" s="2"/>
      <c r="B896" s="2"/>
      <c r="C896" s="2"/>
      <c r="D896" s="2"/>
      <c r="E896" s="2"/>
      <c r="F896" s="2"/>
      <c r="G896" s="2"/>
      <c r="H896" s="2"/>
      <c r="I896" s="2"/>
      <c r="J896" s="2"/>
      <c r="K896" s="2"/>
      <c r="L896" s="2"/>
      <c r="M896" s="2"/>
      <c r="N896" s="2"/>
      <c r="O896" s="2"/>
      <c r="P896" s="2"/>
      <c r="Q896" s="2"/>
      <c r="R896" s="2"/>
      <c r="S896" s="2"/>
    </row>
    <row r="897">
      <c r="A897" s="2"/>
      <c r="B897" s="2"/>
      <c r="C897" s="2"/>
      <c r="D897" s="2"/>
      <c r="E897" s="2"/>
      <c r="F897" s="2"/>
      <c r="G897" s="2"/>
      <c r="H897" s="2"/>
      <c r="I897" s="2"/>
      <c r="J897" s="2"/>
      <c r="K897" s="2"/>
      <c r="L897" s="2"/>
      <c r="M897" s="2"/>
      <c r="N897" s="2"/>
      <c r="O897" s="2"/>
      <c r="P897" s="2"/>
      <c r="Q897" s="2"/>
      <c r="R897" s="2"/>
      <c r="S897" s="2"/>
    </row>
    <row r="898">
      <c r="A898" s="2"/>
      <c r="B898" s="2"/>
      <c r="C898" s="2"/>
      <c r="D898" s="2"/>
      <c r="E898" s="2"/>
      <c r="F898" s="2"/>
      <c r="G898" s="2"/>
      <c r="H898" s="2"/>
      <c r="I898" s="2"/>
      <c r="J898" s="2"/>
      <c r="K898" s="2"/>
      <c r="L898" s="2"/>
      <c r="M898" s="2"/>
      <c r="N898" s="2"/>
      <c r="O898" s="2"/>
      <c r="P898" s="2"/>
      <c r="Q898" s="2"/>
      <c r="R898" s="2"/>
      <c r="S898" s="2"/>
    </row>
    <row r="899">
      <c r="A899" s="2"/>
      <c r="B899" s="2"/>
      <c r="C899" s="2"/>
      <c r="D899" s="2"/>
      <c r="E899" s="2"/>
      <c r="F899" s="2"/>
      <c r="G899" s="2"/>
      <c r="H899" s="2"/>
      <c r="I899" s="2"/>
      <c r="J899" s="2"/>
      <c r="K899" s="2"/>
      <c r="L899" s="2"/>
      <c r="M899" s="2"/>
      <c r="N899" s="2"/>
      <c r="O899" s="2"/>
      <c r="P899" s="2"/>
      <c r="Q899" s="2"/>
      <c r="R899" s="2"/>
      <c r="S899" s="2"/>
    </row>
    <row r="900">
      <c r="A900" s="2"/>
      <c r="B900" s="2"/>
      <c r="C900" s="2"/>
      <c r="D900" s="2"/>
      <c r="E900" s="2"/>
      <c r="F900" s="2"/>
      <c r="G900" s="2"/>
      <c r="H900" s="2"/>
      <c r="I900" s="2"/>
      <c r="J900" s="2"/>
      <c r="K900" s="2"/>
      <c r="L900" s="2"/>
      <c r="M900" s="2"/>
      <c r="N900" s="2"/>
      <c r="O900" s="2"/>
      <c r="P900" s="2"/>
      <c r="Q900" s="2"/>
      <c r="R900" s="2"/>
      <c r="S900" s="2"/>
    </row>
    <row r="901">
      <c r="A901" s="2"/>
      <c r="B901" s="2"/>
      <c r="C901" s="2"/>
      <c r="D901" s="2"/>
      <c r="E901" s="2"/>
      <c r="F901" s="2"/>
      <c r="G901" s="2"/>
      <c r="H901" s="2"/>
      <c r="I901" s="2"/>
      <c r="J901" s="2"/>
      <c r="K901" s="2"/>
      <c r="L901" s="2"/>
      <c r="M901" s="2"/>
      <c r="N901" s="2"/>
      <c r="O901" s="2"/>
      <c r="P901" s="2"/>
      <c r="Q901" s="2"/>
      <c r="R901" s="2"/>
      <c r="S901" s="2"/>
    </row>
    <row r="902">
      <c r="A902" s="2"/>
      <c r="B902" s="2"/>
      <c r="C902" s="2"/>
      <c r="D902" s="2"/>
      <c r="E902" s="2"/>
      <c r="F902" s="2"/>
      <c r="G902" s="2"/>
      <c r="H902" s="2"/>
      <c r="I902" s="2"/>
      <c r="J902" s="2"/>
      <c r="K902" s="2"/>
      <c r="L902" s="2"/>
      <c r="M902" s="2"/>
      <c r="N902" s="2"/>
      <c r="O902" s="2"/>
      <c r="P902" s="2"/>
      <c r="Q902" s="2"/>
      <c r="R902" s="2"/>
      <c r="S902" s="2"/>
    </row>
    <row r="903">
      <c r="A903" s="2"/>
      <c r="B903" s="2"/>
      <c r="C903" s="2"/>
      <c r="D903" s="2"/>
      <c r="E903" s="2"/>
      <c r="F903" s="2"/>
      <c r="G903" s="2"/>
      <c r="H903" s="2"/>
      <c r="I903" s="2"/>
      <c r="J903" s="2"/>
      <c r="K903" s="2"/>
      <c r="L903" s="2"/>
      <c r="M903" s="2"/>
      <c r="N903" s="2"/>
      <c r="O903" s="2"/>
      <c r="P903" s="2"/>
      <c r="Q903" s="2"/>
      <c r="R903" s="2"/>
      <c r="S903" s="2"/>
    </row>
    <row r="904">
      <c r="A904" s="2"/>
      <c r="B904" s="2"/>
      <c r="C904" s="2"/>
      <c r="D904" s="2"/>
      <c r="E904" s="2"/>
      <c r="F904" s="2"/>
      <c r="G904" s="2"/>
      <c r="H904" s="2"/>
      <c r="I904" s="2"/>
      <c r="J904" s="2"/>
      <c r="K904" s="2"/>
      <c r="L904" s="2"/>
      <c r="M904" s="2"/>
      <c r="N904" s="2"/>
      <c r="O904" s="2"/>
      <c r="P904" s="2"/>
      <c r="Q904" s="2"/>
      <c r="R904" s="2"/>
      <c r="S904" s="2"/>
    </row>
    <row r="905">
      <c r="A905" s="2"/>
      <c r="B905" s="2"/>
      <c r="C905" s="2"/>
      <c r="D905" s="2"/>
      <c r="E905" s="2"/>
      <c r="F905" s="2"/>
      <c r="G905" s="2"/>
      <c r="H905" s="2"/>
      <c r="I905" s="2"/>
      <c r="J905" s="2"/>
      <c r="K905" s="2"/>
      <c r="L905" s="2"/>
      <c r="M905" s="2"/>
      <c r="N905" s="2"/>
      <c r="O905" s="2"/>
      <c r="P905" s="2"/>
      <c r="Q905" s="2"/>
      <c r="R905" s="2"/>
      <c r="S905" s="2"/>
    </row>
    <row r="906">
      <c r="A906" s="2"/>
      <c r="B906" s="2"/>
      <c r="C906" s="2"/>
      <c r="D906" s="2"/>
      <c r="E906" s="2"/>
      <c r="F906" s="2"/>
      <c r="G906" s="2"/>
      <c r="H906" s="2"/>
      <c r="I906" s="2"/>
      <c r="J906" s="2"/>
      <c r="K906" s="2"/>
      <c r="L906" s="2"/>
      <c r="M906" s="2"/>
      <c r="N906" s="2"/>
      <c r="O906" s="2"/>
      <c r="P906" s="2"/>
      <c r="Q906" s="2"/>
      <c r="R906" s="2"/>
      <c r="S906" s="2"/>
    </row>
    <row r="907">
      <c r="A907" s="2"/>
      <c r="B907" s="2"/>
      <c r="C907" s="2"/>
      <c r="D907" s="2"/>
      <c r="E907" s="2"/>
      <c r="F907" s="2"/>
      <c r="G907" s="2"/>
      <c r="H907" s="2"/>
      <c r="I907" s="2"/>
      <c r="J907" s="2"/>
      <c r="K907" s="2"/>
      <c r="L907" s="2"/>
      <c r="M907" s="2"/>
      <c r="N907" s="2"/>
      <c r="O907" s="2"/>
      <c r="P907" s="2"/>
      <c r="Q907" s="2"/>
      <c r="R907" s="2"/>
      <c r="S907" s="2"/>
    </row>
    <row r="908">
      <c r="A908" s="2"/>
      <c r="B908" s="2"/>
      <c r="C908" s="2"/>
      <c r="D908" s="2"/>
      <c r="E908" s="2"/>
      <c r="F908" s="2"/>
      <c r="G908" s="2"/>
      <c r="H908" s="2"/>
      <c r="I908" s="2"/>
      <c r="J908" s="2"/>
      <c r="K908" s="2"/>
      <c r="L908" s="2"/>
      <c r="M908" s="2"/>
      <c r="N908" s="2"/>
      <c r="O908" s="2"/>
      <c r="P908" s="2"/>
      <c r="Q908" s="2"/>
      <c r="R908" s="2"/>
      <c r="S908" s="2"/>
    </row>
    <row r="909">
      <c r="A909" s="2"/>
      <c r="B909" s="2"/>
      <c r="C909" s="2"/>
      <c r="D909" s="2"/>
      <c r="E909" s="2"/>
      <c r="F909" s="2"/>
      <c r="G909" s="2"/>
      <c r="H909" s="2"/>
      <c r="I909" s="2"/>
      <c r="J909" s="2"/>
      <c r="K909" s="2"/>
      <c r="L909" s="2"/>
      <c r="M909" s="2"/>
      <c r="N909" s="2"/>
      <c r="O909" s="2"/>
      <c r="P909" s="2"/>
      <c r="Q909" s="2"/>
      <c r="R909" s="2"/>
      <c r="S909" s="2"/>
    </row>
    <row r="910">
      <c r="A910" s="2"/>
      <c r="B910" s="2"/>
      <c r="C910" s="2"/>
      <c r="D910" s="2"/>
      <c r="E910" s="2"/>
      <c r="F910" s="2"/>
      <c r="G910" s="2"/>
      <c r="H910" s="2"/>
      <c r="I910" s="2"/>
      <c r="J910" s="2"/>
      <c r="K910" s="2"/>
      <c r="L910" s="2"/>
      <c r="M910" s="2"/>
      <c r="N910" s="2"/>
      <c r="O910" s="2"/>
      <c r="P910" s="2"/>
      <c r="Q910" s="2"/>
      <c r="R910" s="2"/>
      <c r="S910" s="2"/>
    </row>
    <row r="911">
      <c r="A911" s="2"/>
      <c r="B911" s="2"/>
      <c r="C911" s="2"/>
      <c r="D911" s="2"/>
      <c r="E911" s="2"/>
      <c r="F911" s="2"/>
      <c r="G911" s="2"/>
      <c r="H911" s="2"/>
      <c r="I911" s="2"/>
      <c r="J911" s="2"/>
      <c r="K911" s="2"/>
      <c r="L911" s="2"/>
      <c r="M911" s="2"/>
      <c r="N911" s="2"/>
      <c r="O911" s="2"/>
      <c r="P911" s="2"/>
      <c r="Q911" s="2"/>
      <c r="R911" s="2"/>
      <c r="S911" s="2"/>
    </row>
    <row r="912">
      <c r="A912" s="2"/>
      <c r="B912" s="2"/>
      <c r="C912" s="2"/>
      <c r="D912" s="2"/>
      <c r="E912" s="2"/>
      <c r="F912" s="2"/>
      <c r="G912" s="2"/>
      <c r="H912" s="2"/>
      <c r="I912" s="2"/>
      <c r="J912" s="2"/>
      <c r="K912" s="2"/>
      <c r="L912" s="2"/>
      <c r="M912" s="2"/>
      <c r="N912" s="2"/>
      <c r="O912" s="2"/>
      <c r="P912" s="2"/>
      <c r="Q912" s="2"/>
      <c r="R912" s="2"/>
      <c r="S912" s="2"/>
    </row>
    <row r="913">
      <c r="A913" s="2"/>
      <c r="B913" s="2"/>
      <c r="C913" s="2"/>
      <c r="D913" s="2"/>
      <c r="E913" s="2"/>
      <c r="F913" s="2"/>
      <c r="G913" s="2"/>
      <c r="H913" s="2"/>
      <c r="I913" s="2"/>
      <c r="J913" s="2"/>
      <c r="K913" s="2"/>
      <c r="L913" s="2"/>
      <c r="M913" s="2"/>
      <c r="N913" s="2"/>
      <c r="O913" s="2"/>
      <c r="P913" s="2"/>
      <c r="Q913" s="2"/>
      <c r="R913" s="2"/>
      <c r="S913" s="2"/>
    </row>
    <row r="914">
      <c r="A914" s="2"/>
      <c r="B914" s="2"/>
      <c r="C914" s="2"/>
      <c r="D914" s="2"/>
      <c r="E914" s="2"/>
      <c r="F914" s="2"/>
      <c r="G914" s="2"/>
      <c r="H914" s="2"/>
      <c r="I914" s="2"/>
      <c r="J914" s="2"/>
      <c r="K914" s="2"/>
      <c r="L914" s="2"/>
      <c r="M914" s="2"/>
      <c r="N914" s="2"/>
      <c r="O914" s="2"/>
      <c r="P914" s="2"/>
      <c r="Q914" s="2"/>
      <c r="R914" s="2"/>
      <c r="S914" s="2"/>
    </row>
    <row r="915">
      <c r="A915" s="2"/>
      <c r="B915" s="2"/>
      <c r="C915" s="2"/>
      <c r="D915" s="2"/>
      <c r="E915" s="2"/>
      <c r="F915" s="2"/>
      <c r="G915" s="2"/>
      <c r="H915" s="2"/>
      <c r="I915" s="2"/>
      <c r="J915" s="2"/>
      <c r="K915" s="2"/>
      <c r="L915" s="2"/>
      <c r="M915" s="2"/>
      <c r="N915" s="2"/>
      <c r="O915" s="2"/>
      <c r="P915" s="2"/>
      <c r="Q915" s="2"/>
      <c r="R915" s="2"/>
      <c r="S915" s="2"/>
    </row>
    <row r="916">
      <c r="A916" s="2"/>
      <c r="B916" s="2"/>
      <c r="C916" s="2"/>
      <c r="D916" s="2"/>
      <c r="E916" s="2"/>
      <c r="F916" s="2"/>
      <c r="G916" s="2"/>
      <c r="H916" s="2"/>
      <c r="I916" s="2"/>
      <c r="J916" s="2"/>
      <c r="K916" s="2"/>
      <c r="L916" s="2"/>
      <c r="M916" s="2"/>
      <c r="N916" s="2"/>
      <c r="O916" s="2"/>
      <c r="P916" s="2"/>
      <c r="Q916" s="2"/>
      <c r="R916" s="2"/>
      <c r="S916" s="2"/>
    </row>
    <row r="917">
      <c r="A917" s="2"/>
      <c r="B917" s="2"/>
      <c r="C917" s="2"/>
      <c r="D917" s="2"/>
      <c r="E917" s="2"/>
      <c r="F917" s="2"/>
      <c r="G917" s="2"/>
      <c r="H917" s="2"/>
      <c r="I917" s="2"/>
      <c r="J917" s="2"/>
      <c r="K917" s="2"/>
      <c r="L917" s="2"/>
      <c r="M917" s="2"/>
      <c r="N917" s="2"/>
      <c r="O917" s="2"/>
      <c r="P917" s="2"/>
      <c r="Q917" s="2"/>
      <c r="R917" s="2"/>
      <c r="S917" s="2"/>
    </row>
    <row r="918">
      <c r="A918" s="2"/>
      <c r="B918" s="2"/>
      <c r="C918" s="2"/>
      <c r="D918" s="2"/>
      <c r="E918" s="2"/>
      <c r="F918" s="2"/>
      <c r="G918" s="2"/>
      <c r="H918" s="2"/>
      <c r="I918" s="2"/>
      <c r="J918" s="2"/>
      <c r="K918" s="2"/>
      <c r="L918" s="2"/>
      <c r="M918" s="2"/>
      <c r="N918" s="2"/>
      <c r="O918" s="2"/>
      <c r="P918" s="2"/>
      <c r="Q918" s="2"/>
      <c r="R918" s="2"/>
      <c r="S918" s="2"/>
    </row>
    <row r="919">
      <c r="A919" s="2"/>
      <c r="B919" s="2"/>
      <c r="C919" s="2"/>
      <c r="D919" s="2"/>
      <c r="E919" s="2"/>
      <c r="F919" s="2"/>
      <c r="G919" s="2"/>
      <c r="H919" s="2"/>
      <c r="I919" s="2"/>
      <c r="J919" s="2"/>
      <c r="K919" s="2"/>
      <c r="L919" s="2"/>
      <c r="M919" s="2"/>
      <c r="N919" s="2"/>
      <c r="O919" s="2"/>
      <c r="P919" s="2"/>
      <c r="Q919" s="2"/>
      <c r="R919" s="2"/>
      <c r="S919" s="2"/>
    </row>
    <row r="920">
      <c r="A920" s="2"/>
      <c r="B920" s="2"/>
      <c r="C920" s="2"/>
      <c r="D920" s="2"/>
      <c r="E920" s="2"/>
      <c r="F920" s="2"/>
      <c r="G920" s="2"/>
      <c r="H920" s="2"/>
      <c r="I920" s="2"/>
      <c r="J920" s="2"/>
      <c r="K920" s="2"/>
      <c r="L920" s="2"/>
      <c r="M920" s="2"/>
      <c r="N920" s="2"/>
      <c r="O920" s="2"/>
      <c r="P920" s="2"/>
      <c r="Q920" s="2"/>
      <c r="R920" s="2"/>
      <c r="S920" s="2"/>
    </row>
    <row r="921">
      <c r="A921" s="2"/>
      <c r="B921" s="2"/>
      <c r="C921" s="2"/>
      <c r="D921" s="2"/>
      <c r="E921" s="2"/>
      <c r="F921" s="2"/>
      <c r="G921" s="2"/>
      <c r="H921" s="2"/>
      <c r="I921" s="2"/>
      <c r="J921" s="2"/>
      <c r="K921" s="2"/>
      <c r="L921" s="2"/>
      <c r="M921" s="2"/>
      <c r="N921" s="2"/>
      <c r="O921" s="2"/>
      <c r="P921" s="2"/>
      <c r="Q921" s="2"/>
      <c r="R921" s="2"/>
      <c r="S921" s="2"/>
    </row>
    <row r="922">
      <c r="A922" s="2"/>
      <c r="B922" s="2"/>
      <c r="C922" s="2"/>
      <c r="D922" s="2"/>
      <c r="E922" s="2"/>
      <c r="F922" s="2"/>
      <c r="G922" s="2"/>
      <c r="H922" s="2"/>
      <c r="I922" s="2"/>
      <c r="J922" s="2"/>
      <c r="K922" s="2"/>
      <c r="L922" s="2"/>
      <c r="M922" s="2"/>
      <c r="N922" s="2"/>
      <c r="O922" s="2"/>
      <c r="P922" s="2"/>
      <c r="Q922" s="2"/>
      <c r="R922" s="2"/>
      <c r="S922" s="2"/>
    </row>
    <row r="923">
      <c r="A923" s="2"/>
      <c r="B923" s="2"/>
      <c r="C923" s="2"/>
      <c r="D923" s="2"/>
      <c r="E923" s="2"/>
      <c r="F923" s="2"/>
      <c r="G923" s="2"/>
      <c r="H923" s="2"/>
      <c r="I923" s="2"/>
      <c r="J923" s="2"/>
      <c r="K923" s="2"/>
      <c r="L923" s="2"/>
      <c r="M923" s="2"/>
      <c r="N923" s="2"/>
      <c r="O923" s="2"/>
      <c r="P923" s="2"/>
      <c r="Q923" s="2"/>
      <c r="R923" s="2"/>
      <c r="S923" s="2"/>
    </row>
    <row r="924">
      <c r="A924" s="2"/>
      <c r="B924" s="2"/>
      <c r="C924" s="2"/>
      <c r="D924" s="2"/>
      <c r="E924" s="2"/>
      <c r="F924" s="2"/>
      <c r="G924" s="2"/>
      <c r="H924" s="2"/>
      <c r="I924" s="2"/>
      <c r="J924" s="2"/>
      <c r="K924" s="2"/>
      <c r="L924" s="2"/>
      <c r="M924" s="2"/>
      <c r="N924" s="2"/>
      <c r="O924" s="2"/>
      <c r="P924" s="2"/>
      <c r="Q924" s="2"/>
      <c r="R924" s="2"/>
      <c r="S924" s="2"/>
    </row>
    <row r="925">
      <c r="A925" s="2"/>
      <c r="B925" s="2"/>
      <c r="C925" s="2"/>
      <c r="D925" s="2"/>
      <c r="E925" s="2"/>
      <c r="F925" s="2"/>
      <c r="G925" s="2"/>
      <c r="H925" s="2"/>
      <c r="I925" s="2"/>
      <c r="J925" s="2"/>
      <c r="K925" s="2"/>
      <c r="L925" s="2"/>
      <c r="M925" s="2"/>
      <c r="N925" s="2"/>
      <c r="O925" s="2"/>
      <c r="P925" s="2"/>
      <c r="Q925" s="2"/>
      <c r="R925" s="2"/>
      <c r="S925" s="2"/>
    </row>
    <row r="926">
      <c r="A926" s="2"/>
      <c r="B926" s="2"/>
      <c r="C926" s="2"/>
      <c r="D926" s="2"/>
      <c r="E926" s="2"/>
      <c r="F926" s="2"/>
      <c r="G926" s="2"/>
      <c r="H926" s="2"/>
      <c r="I926" s="2"/>
      <c r="J926" s="2"/>
      <c r="K926" s="2"/>
      <c r="L926" s="2"/>
      <c r="M926" s="2"/>
      <c r="N926" s="2"/>
      <c r="O926" s="2"/>
      <c r="P926" s="2"/>
      <c r="Q926" s="2"/>
      <c r="R926" s="2"/>
      <c r="S926" s="2"/>
    </row>
    <row r="927">
      <c r="A927" s="2"/>
      <c r="B927" s="2"/>
      <c r="C927" s="2"/>
      <c r="D927" s="2"/>
      <c r="E927" s="2"/>
      <c r="F927" s="2"/>
      <c r="G927" s="2"/>
      <c r="H927" s="2"/>
      <c r="I927" s="2"/>
      <c r="J927" s="2"/>
      <c r="K927" s="2"/>
      <c r="L927" s="2"/>
      <c r="M927" s="2"/>
      <c r="N927" s="2"/>
      <c r="O927" s="2"/>
      <c r="P927" s="2"/>
      <c r="Q927" s="2"/>
      <c r="R927" s="2"/>
      <c r="S927" s="2"/>
    </row>
    <row r="928">
      <c r="A928" s="2"/>
      <c r="B928" s="2"/>
      <c r="C928" s="2"/>
      <c r="D928" s="2"/>
      <c r="E928" s="2"/>
      <c r="F928" s="2"/>
      <c r="G928" s="2"/>
      <c r="H928" s="2"/>
      <c r="I928" s="2"/>
      <c r="J928" s="2"/>
      <c r="K928" s="2"/>
      <c r="L928" s="2"/>
      <c r="M928" s="2"/>
      <c r="N928" s="2"/>
      <c r="O928" s="2"/>
      <c r="P928" s="2"/>
      <c r="Q928" s="2"/>
      <c r="R928" s="2"/>
      <c r="S928" s="2"/>
    </row>
    <row r="929">
      <c r="A929" s="2"/>
      <c r="B929" s="2"/>
      <c r="C929" s="2"/>
      <c r="D929" s="2"/>
      <c r="E929" s="2"/>
      <c r="F929" s="2"/>
      <c r="G929" s="2"/>
      <c r="H929" s="2"/>
      <c r="I929" s="2"/>
      <c r="J929" s="2"/>
      <c r="K929" s="2"/>
      <c r="L929" s="2"/>
      <c r="M929" s="2"/>
      <c r="N929" s="2"/>
      <c r="O929" s="2"/>
      <c r="P929" s="2"/>
      <c r="Q929" s="2"/>
      <c r="R929" s="2"/>
      <c r="S929" s="2"/>
    </row>
    <row r="930">
      <c r="A930" s="2"/>
      <c r="B930" s="2"/>
      <c r="C930" s="2"/>
      <c r="D930" s="2"/>
      <c r="E930" s="2"/>
      <c r="F930" s="2"/>
      <c r="G930" s="2"/>
      <c r="H930" s="2"/>
      <c r="I930" s="2"/>
      <c r="J930" s="2"/>
      <c r="K930" s="2"/>
      <c r="L930" s="2"/>
      <c r="M930" s="2"/>
      <c r="N930" s="2"/>
      <c r="O930" s="2"/>
      <c r="P930" s="2"/>
      <c r="Q930" s="2"/>
      <c r="R930" s="2"/>
      <c r="S930" s="2"/>
    </row>
    <row r="931">
      <c r="A931" s="2"/>
      <c r="B931" s="2"/>
      <c r="C931" s="2"/>
      <c r="D931" s="2"/>
      <c r="E931" s="2"/>
      <c r="F931" s="2"/>
      <c r="G931" s="2"/>
      <c r="H931" s="2"/>
      <c r="I931" s="2"/>
      <c r="J931" s="2"/>
      <c r="K931" s="2"/>
      <c r="L931" s="2"/>
      <c r="M931" s="2"/>
      <c r="N931" s="2"/>
      <c r="O931" s="2"/>
      <c r="P931" s="2"/>
      <c r="Q931" s="2"/>
      <c r="R931" s="2"/>
      <c r="S931" s="2"/>
    </row>
    <row r="932">
      <c r="A932" s="2"/>
      <c r="B932" s="2"/>
      <c r="C932" s="2"/>
      <c r="D932" s="2"/>
      <c r="E932" s="2"/>
      <c r="F932" s="2"/>
      <c r="G932" s="2"/>
      <c r="H932" s="2"/>
      <c r="I932" s="2"/>
      <c r="J932" s="2"/>
      <c r="K932" s="2"/>
      <c r="L932" s="2"/>
      <c r="M932" s="2"/>
      <c r="N932" s="2"/>
      <c r="O932" s="2"/>
      <c r="P932" s="2"/>
      <c r="Q932" s="2"/>
      <c r="R932" s="2"/>
      <c r="S932" s="2"/>
    </row>
    <row r="933">
      <c r="A933" s="2"/>
      <c r="B933" s="2"/>
      <c r="C933" s="2"/>
      <c r="D933" s="2"/>
      <c r="E933" s="2"/>
      <c r="F933" s="2"/>
      <c r="G933" s="2"/>
      <c r="H933" s="2"/>
      <c r="I933" s="2"/>
      <c r="J933" s="2"/>
      <c r="K933" s="2"/>
      <c r="L933" s="2"/>
      <c r="M933" s="2"/>
      <c r="N933" s="2"/>
      <c r="O933" s="2"/>
      <c r="P933" s="2"/>
      <c r="Q933" s="2"/>
      <c r="R933" s="2"/>
      <c r="S933" s="2"/>
    </row>
    <row r="934">
      <c r="A934" s="2"/>
      <c r="B934" s="2"/>
      <c r="C934" s="2"/>
      <c r="D934" s="2"/>
      <c r="E934" s="2"/>
      <c r="F934" s="2"/>
      <c r="G934" s="2"/>
      <c r="H934" s="2"/>
      <c r="I934" s="2"/>
      <c r="J934" s="2"/>
      <c r="K934" s="2"/>
      <c r="L934" s="2"/>
      <c r="M934" s="2"/>
      <c r="N934" s="2"/>
      <c r="O934" s="2"/>
      <c r="P934" s="2"/>
      <c r="Q934" s="2"/>
      <c r="R934" s="2"/>
      <c r="S934" s="2"/>
    </row>
    <row r="935">
      <c r="A935" s="2"/>
      <c r="B935" s="2"/>
      <c r="C935" s="2"/>
      <c r="D935" s="2"/>
      <c r="E935" s="2"/>
      <c r="F935" s="2"/>
      <c r="G935" s="2"/>
      <c r="H935" s="2"/>
      <c r="I935" s="2"/>
      <c r="J935" s="2"/>
      <c r="K935" s="2"/>
      <c r="L935" s="2"/>
      <c r="M935" s="2"/>
      <c r="N935" s="2"/>
      <c r="O935" s="2"/>
      <c r="P935" s="2"/>
      <c r="Q935" s="2"/>
      <c r="R935" s="2"/>
      <c r="S935" s="2"/>
    </row>
    <row r="936">
      <c r="A936" s="2"/>
      <c r="B936" s="2"/>
      <c r="C936" s="2"/>
      <c r="D936" s="2"/>
      <c r="E936" s="2"/>
      <c r="F936" s="2"/>
      <c r="G936" s="2"/>
      <c r="H936" s="2"/>
      <c r="I936" s="2"/>
      <c r="J936" s="2"/>
      <c r="K936" s="2"/>
      <c r="L936" s="2"/>
      <c r="M936" s="2"/>
      <c r="N936" s="2"/>
      <c r="O936" s="2"/>
      <c r="P936" s="2"/>
      <c r="Q936" s="2"/>
      <c r="R936" s="2"/>
      <c r="S936" s="2"/>
    </row>
    <row r="937">
      <c r="A937" s="2"/>
      <c r="B937" s="2"/>
      <c r="C937" s="2"/>
      <c r="D937" s="2"/>
      <c r="E937" s="2"/>
      <c r="F937" s="2"/>
      <c r="G937" s="2"/>
      <c r="H937" s="2"/>
      <c r="I937" s="2"/>
      <c r="J937" s="2"/>
      <c r="K937" s="2"/>
      <c r="L937" s="2"/>
      <c r="M937" s="2"/>
      <c r="N937" s="2"/>
      <c r="O937" s="2"/>
      <c r="P937" s="2"/>
      <c r="Q937" s="2"/>
      <c r="R937" s="2"/>
      <c r="S937" s="2"/>
    </row>
    <row r="938">
      <c r="A938" s="2"/>
      <c r="B938" s="2"/>
      <c r="C938" s="2"/>
      <c r="D938" s="2"/>
      <c r="E938" s="2"/>
      <c r="F938" s="2"/>
      <c r="G938" s="2"/>
      <c r="H938" s="2"/>
      <c r="I938" s="2"/>
      <c r="J938" s="2"/>
      <c r="K938" s="2"/>
      <c r="L938" s="2"/>
      <c r="M938" s="2"/>
      <c r="N938" s="2"/>
      <c r="O938" s="2"/>
      <c r="P938" s="2"/>
      <c r="Q938" s="2"/>
      <c r="R938" s="2"/>
      <c r="S938" s="2"/>
    </row>
    <row r="939">
      <c r="A939" s="2"/>
      <c r="B939" s="2"/>
      <c r="C939" s="2"/>
      <c r="D939" s="2"/>
      <c r="E939" s="2"/>
      <c r="F939" s="2"/>
      <c r="G939" s="2"/>
      <c r="H939" s="2"/>
      <c r="I939" s="2"/>
      <c r="J939" s="2"/>
      <c r="K939" s="2"/>
      <c r="L939" s="2"/>
      <c r="M939" s="2"/>
      <c r="N939" s="2"/>
      <c r="O939" s="2"/>
      <c r="P939" s="2"/>
      <c r="Q939" s="2"/>
      <c r="R939" s="2"/>
      <c r="S939" s="2"/>
    </row>
    <row r="940">
      <c r="A940" s="2"/>
      <c r="B940" s="2"/>
      <c r="C940" s="2"/>
      <c r="D940" s="2"/>
      <c r="E940" s="2"/>
      <c r="F940" s="2"/>
      <c r="G940" s="2"/>
      <c r="H940" s="2"/>
      <c r="I940" s="2"/>
      <c r="J940" s="2"/>
      <c r="K940" s="2"/>
      <c r="L940" s="2"/>
      <c r="M940" s="2"/>
      <c r="N940" s="2"/>
      <c r="O940" s="2"/>
      <c r="P940" s="2"/>
      <c r="Q940" s="2"/>
      <c r="R940" s="2"/>
      <c r="S940" s="2"/>
    </row>
    <row r="941">
      <c r="A941" s="2"/>
      <c r="B941" s="2"/>
      <c r="C941" s="2"/>
      <c r="D941" s="2"/>
      <c r="E941" s="2"/>
      <c r="F941" s="2"/>
      <c r="G941" s="2"/>
      <c r="H941" s="2"/>
      <c r="I941" s="2"/>
      <c r="J941" s="2"/>
      <c r="K941" s="2"/>
      <c r="L941" s="2"/>
      <c r="M941" s="2"/>
      <c r="N941" s="2"/>
      <c r="O941" s="2"/>
      <c r="P941" s="2"/>
      <c r="Q941" s="2"/>
      <c r="R941" s="2"/>
      <c r="S941" s="2"/>
    </row>
    <row r="942">
      <c r="A942" s="2"/>
      <c r="B942" s="2"/>
      <c r="C942" s="2"/>
      <c r="D942" s="2"/>
      <c r="E942" s="2"/>
      <c r="F942" s="2"/>
      <c r="G942" s="2"/>
      <c r="H942" s="2"/>
      <c r="I942" s="2"/>
      <c r="J942" s="2"/>
      <c r="K942" s="2"/>
      <c r="L942" s="2"/>
      <c r="M942" s="2"/>
      <c r="N942" s="2"/>
      <c r="O942" s="2"/>
      <c r="P942" s="2"/>
      <c r="Q942" s="2"/>
      <c r="R942" s="2"/>
      <c r="S942" s="2"/>
    </row>
    <row r="943">
      <c r="A943" s="2"/>
      <c r="B943" s="2"/>
      <c r="C943" s="2"/>
      <c r="D943" s="2"/>
      <c r="E943" s="2"/>
      <c r="F943" s="2"/>
      <c r="G943" s="2"/>
      <c r="H943" s="2"/>
      <c r="I943" s="2"/>
      <c r="J943" s="2"/>
      <c r="K943" s="2"/>
      <c r="L943" s="2"/>
      <c r="M943" s="2"/>
      <c r="N943" s="2"/>
      <c r="O943" s="2"/>
      <c r="P943" s="2"/>
      <c r="Q943" s="2"/>
      <c r="R943" s="2"/>
      <c r="S943" s="2"/>
    </row>
    <row r="944">
      <c r="A944" s="2"/>
      <c r="B944" s="2"/>
      <c r="C944" s="2"/>
      <c r="D944" s="2"/>
      <c r="E944" s="2"/>
      <c r="F944" s="2"/>
      <c r="G944" s="2"/>
      <c r="H944" s="2"/>
      <c r="I944" s="2"/>
      <c r="J944" s="2"/>
      <c r="K944" s="2"/>
      <c r="L944" s="2"/>
      <c r="M944" s="2"/>
      <c r="N944" s="2"/>
      <c r="O944" s="2"/>
      <c r="P944" s="2"/>
      <c r="Q944" s="2"/>
      <c r="R944" s="2"/>
      <c r="S944" s="2"/>
    </row>
    <row r="945">
      <c r="A945" s="2"/>
      <c r="B945" s="2"/>
      <c r="C945" s="2"/>
      <c r="D945" s="2"/>
      <c r="E945" s="2"/>
      <c r="F945" s="2"/>
      <c r="G945" s="2"/>
      <c r="H945" s="2"/>
      <c r="I945" s="2"/>
      <c r="J945" s="2"/>
      <c r="K945" s="2"/>
      <c r="L945" s="2"/>
      <c r="M945" s="2"/>
      <c r="N945" s="2"/>
      <c r="O945" s="2"/>
      <c r="P945" s="2"/>
      <c r="Q945" s="2"/>
      <c r="R945" s="2"/>
      <c r="S945" s="2"/>
    </row>
    <row r="946">
      <c r="A946" s="2"/>
      <c r="B946" s="2"/>
      <c r="C946" s="2"/>
      <c r="D946" s="2"/>
      <c r="E946" s="2"/>
      <c r="F946" s="2"/>
      <c r="G946" s="2"/>
      <c r="H946" s="2"/>
      <c r="I946" s="2"/>
      <c r="J946" s="2"/>
      <c r="K946" s="2"/>
      <c r="L946" s="2"/>
      <c r="M946" s="2"/>
      <c r="N946" s="2"/>
      <c r="O946" s="2"/>
      <c r="P946" s="2"/>
      <c r="Q946" s="2"/>
      <c r="R946" s="2"/>
      <c r="S946" s="2"/>
    </row>
    <row r="947">
      <c r="A947" s="2"/>
      <c r="B947" s="2"/>
      <c r="C947" s="2"/>
      <c r="D947" s="2"/>
      <c r="E947" s="2"/>
      <c r="F947" s="2"/>
      <c r="G947" s="2"/>
      <c r="H947" s="2"/>
      <c r="I947" s="2"/>
      <c r="J947" s="2"/>
      <c r="K947" s="2"/>
      <c r="L947" s="2"/>
      <c r="M947" s="2"/>
      <c r="N947" s="2"/>
      <c r="O947" s="2"/>
      <c r="P947" s="2"/>
      <c r="Q947" s="2"/>
      <c r="R947" s="2"/>
      <c r="S947" s="2"/>
    </row>
    <row r="948">
      <c r="A948" s="2"/>
      <c r="B948" s="2"/>
      <c r="C948" s="2"/>
      <c r="D948" s="2"/>
      <c r="E948" s="2"/>
      <c r="F948" s="2"/>
      <c r="G948" s="2"/>
      <c r="H948" s="2"/>
      <c r="I948" s="2"/>
      <c r="J948" s="2"/>
      <c r="K948" s="2"/>
      <c r="L948" s="2"/>
      <c r="M948" s="2"/>
      <c r="N948" s="2"/>
      <c r="O948" s="2"/>
      <c r="P948" s="2"/>
      <c r="Q948" s="2"/>
      <c r="R948" s="2"/>
      <c r="S948" s="2"/>
    </row>
    <row r="949">
      <c r="A949" s="2"/>
      <c r="B949" s="2"/>
      <c r="C949" s="2"/>
      <c r="D949" s="2"/>
      <c r="E949" s="2"/>
      <c r="F949" s="2"/>
      <c r="G949" s="2"/>
      <c r="H949" s="2"/>
      <c r="I949" s="2"/>
      <c r="J949" s="2"/>
      <c r="K949" s="2"/>
      <c r="L949" s="2"/>
      <c r="M949" s="2"/>
      <c r="N949" s="2"/>
      <c r="O949" s="2"/>
      <c r="P949" s="2"/>
      <c r="Q949" s="2"/>
      <c r="R949" s="2"/>
      <c r="S949" s="2"/>
    </row>
    <row r="950">
      <c r="A950" s="2"/>
      <c r="B950" s="2"/>
      <c r="C950" s="2"/>
      <c r="D950" s="2"/>
      <c r="E950" s="2"/>
      <c r="F950" s="2"/>
      <c r="G950" s="2"/>
      <c r="H950" s="2"/>
      <c r="I950" s="2"/>
      <c r="J950" s="2"/>
      <c r="K950" s="2"/>
      <c r="L950" s="2"/>
      <c r="M950" s="2"/>
      <c r="N950" s="2"/>
      <c r="O950" s="2"/>
      <c r="P950" s="2"/>
      <c r="Q950" s="2"/>
      <c r="R950" s="2"/>
      <c r="S950" s="2"/>
    </row>
    <row r="951">
      <c r="A951" s="2"/>
      <c r="B951" s="2"/>
      <c r="C951" s="2"/>
      <c r="D951" s="2"/>
      <c r="E951" s="2"/>
      <c r="F951" s="2"/>
      <c r="G951" s="2"/>
      <c r="H951" s="2"/>
      <c r="I951" s="2"/>
      <c r="J951" s="2"/>
      <c r="K951" s="2"/>
      <c r="L951" s="2"/>
      <c r="M951" s="2"/>
      <c r="N951" s="2"/>
      <c r="O951" s="2"/>
      <c r="P951" s="2"/>
      <c r="Q951" s="2"/>
      <c r="R951" s="2"/>
      <c r="S951" s="2"/>
    </row>
    <row r="952">
      <c r="A952" s="2"/>
      <c r="B952" s="2"/>
      <c r="C952" s="2"/>
      <c r="D952" s="2"/>
      <c r="E952" s="2"/>
      <c r="F952" s="2"/>
      <c r="G952" s="2"/>
      <c r="H952" s="2"/>
      <c r="I952" s="2"/>
      <c r="J952" s="2"/>
      <c r="K952" s="2"/>
      <c r="L952" s="2"/>
      <c r="M952" s="2"/>
      <c r="N952" s="2"/>
      <c r="O952" s="2"/>
      <c r="P952" s="2"/>
      <c r="Q952" s="2"/>
      <c r="R952" s="2"/>
      <c r="S952" s="2"/>
    </row>
    <row r="953">
      <c r="A953" s="2"/>
      <c r="B953" s="2"/>
      <c r="C953" s="2"/>
      <c r="D953" s="2"/>
      <c r="E953" s="2"/>
      <c r="F953" s="2"/>
      <c r="G953" s="2"/>
      <c r="H953" s="2"/>
      <c r="I953" s="2"/>
      <c r="J953" s="2"/>
      <c r="K953" s="2"/>
      <c r="L953" s="2"/>
      <c r="M953" s="2"/>
      <c r="N953" s="2"/>
      <c r="O953" s="2"/>
      <c r="P953" s="2"/>
      <c r="Q953" s="2"/>
      <c r="R953" s="2"/>
      <c r="S953" s="2"/>
    </row>
    <row r="954">
      <c r="A954" s="2"/>
      <c r="B954" s="2"/>
      <c r="C954" s="2"/>
      <c r="D954" s="2"/>
      <c r="E954" s="2"/>
      <c r="F954" s="2"/>
      <c r="G954" s="2"/>
      <c r="H954" s="2"/>
      <c r="I954" s="2"/>
      <c r="J954" s="2"/>
      <c r="K954" s="2"/>
      <c r="L954" s="2"/>
      <c r="M954" s="2"/>
      <c r="N954" s="2"/>
      <c r="O954" s="2"/>
      <c r="P954" s="2"/>
      <c r="Q954" s="2"/>
      <c r="R954" s="2"/>
      <c r="S954" s="2"/>
    </row>
    <row r="955">
      <c r="A955" s="2"/>
      <c r="B955" s="2"/>
      <c r="C955" s="2"/>
      <c r="D955" s="2"/>
      <c r="E955" s="2"/>
      <c r="F955" s="2"/>
      <c r="G955" s="2"/>
      <c r="H955" s="2"/>
      <c r="I955" s="2"/>
      <c r="J955" s="2"/>
      <c r="K955" s="2"/>
      <c r="L955" s="2"/>
      <c r="M955" s="2"/>
      <c r="N955" s="2"/>
      <c r="O955" s="2"/>
      <c r="P955" s="2"/>
      <c r="Q955" s="2"/>
      <c r="R955" s="2"/>
      <c r="S955" s="2"/>
    </row>
    <row r="956">
      <c r="A956" s="2"/>
      <c r="B956" s="2"/>
      <c r="C956" s="2"/>
      <c r="D956" s="2"/>
      <c r="E956" s="2"/>
      <c r="F956" s="2"/>
      <c r="G956" s="2"/>
      <c r="H956" s="2"/>
      <c r="I956" s="2"/>
      <c r="J956" s="2"/>
      <c r="K956" s="2"/>
      <c r="L956" s="2"/>
      <c r="M956" s="2"/>
      <c r="N956" s="2"/>
      <c r="O956" s="2"/>
      <c r="P956" s="2"/>
      <c r="Q956" s="2"/>
      <c r="R956" s="2"/>
      <c r="S956" s="2"/>
    </row>
    <row r="957">
      <c r="A957" s="2"/>
      <c r="B957" s="2"/>
      <c r="C957" s="2"/>
      <c r="D957" s="2"/>
      <c r="E957" s="2"/>
      <c r="F957" s="2"/>
      <c r="G957" s="2"/>
      <c r="H957" s="2"/>
      <c r="I957" s="2"/>
      <c r="J957" s="2"/>
      <c r="K957" s="2"/>
      <c r="L957" s="2"/>
      <c r="M957" s="2"/>
      <c r="N957" s="2"/>
      <c r="O957" s="2"/>
      <c r="P957" s="2"/>
      <c r="Q957" s="2"/>
      <c r="R957" s="2"/>
      <c r="S957" s="2"/>
    </row>
    <row r="958">
      <c r="A958" s="2"/>
      <c r="B958" s="2"/>
      <c r="C958" s="2"/>
      <c r="D958" s="2"/>
      <c r="E958" s="2"/>
      <c r="F958" s="2"/>
      <c r="G958" s="2"/>
      <c r="H958" s="2"/>
      <c r="I958" s="2"/>
      <c r="J958" s="2"/>
      <c r="K958" s="2"/>
      <c r="L958" s="2"/>
      <c r="M958" s="2"/>
      <c r="N958" s="2"/>
      <c r="O958" s="2"/>
      <c r="P958" s="2"/>
      <c r="Q958" s="2"/>
      <c r="R958" s="2"/>
      <c r="S958" s="2"/>
    </row>
    <row r="959">
      <c r="A959" s="2"/>
      <c r="B959" s="2"/>
      <c r="C959" s="2"/>
      <c r="D959" s="2"/>
      <c r="E959" s="2"/>
      <c r="F959" s="2"/>
      <c r="G959" s="2"/>
      <c r="H959" s="2"/>
      <c r="I959" s="2"/>
      <c r="J959" s="2"/>
      <c r="K959" s="2"/>
      <c r="L959" s="2"/>
      <c r="M959" s="2"/>
      <c r="N959" s="2"/>
      <c r="O959" s="2"/>
      <c r="P959" s="2"/>
      <c r="Q959" s="2"/>
      <c r="R959" s="2"/>
      <c r="S959" s="2"/>
    </row>
    <row r="960">
      <c r="A960" s="2"/>
      <c r="B960" s="2"/>
      <c r="C960" s="2"/>
      <c r="D960" s="2"/>
      <c r="E960" s="2"/>
      <c r="F960" s="2"/>
      <c r="G960" s="2"/>
      <c r="H960" s="2"/>
      <c r="I960" s="2"/>
      <c r="J960" s="2"/>
      <c r="K960" s="2"/>
      <c r="L960" s="2"/>
      <c r="M960" s="2"/>
      <c r="N960" s="2"/>
      <c r="O960" s="2"/>
      <c r="P960" s="2"/>
      <c r="Q960" s="2"/>
      <c r="R960" s="2"/>
      <c r="S960" s="2"/>
    </row>
    <row r="961">
      <c r="A961" s="2"/>
      <c r="B961" s="2"/>
      <c r="C961" s="2"/>
      <c r="D961" s="2"/>
      <c r="E961" s="2"/>
      <c r="F961" s="2"/>
      <c r="G961" s="2"/>
      <c r="H961" s="2"/>
      <c r="I961" s="2"/>
      <c r="J961" s="2"/>
      <c r="K961" s="2"/>
      <c r="L961" s="2"/>
      <c r="M961" s="2"/>
      <c r="N961" s="2"/>
      <c r="O961" s="2"/>
      <c r="P961" s="2"/>
      <c r="Q961" s="2"/>
      <c r="R961" s="2"/>
      <c r="S961" s="2"/>
    </row>
    <row r="962">
      <c r="A962" s="2"/>
      <c r="B962" s="2"/>
      <c r="C962" s="2"/>
      <c r="D962" s="2"/>
      <c r="E962" s="2"/>
      <c r="F962" s="2"/>
      <c r="G962" s="2"/>
      <c r="H962" s="2"/>
      <c r="I962" s="2"/>
      <c r="J962" s="2"/>
      <c r="K962" s="2"/>
      <c r="L962" s="2"/>
      <c r="M962" s="2"/>
      <c r="N962" s="2"/>
      <c r="O962" s="2"/>
      <c r="P962" s="2"/>
      <c r="Q962" s="2"/>
      <c r="R962" s="2"/>
      <c r="S962" s="2"/>
    </row>
    <row r="963">
      <c r="A963" s="2"/>
      <c r="B963" s="2"/>
      <c r="C963" s="2"/>
      <c r="D963" s="2"/>
      <c r="E963" s="2"/>
      <c r="F963" s="2"/>
      <c r="G963" s="2"/>
      <c r="H963" s="2"/>
      <c r="I963" s="2"/>
      <c r="J963" s="2"/>
      <c r="K963" s="2"/>
      <c r="L963" s="2"/>
      <c r="M963" s="2"/>
      <c r="N963" s="2"/>
      <c r="O963" s="2"/>
      <c r="P963" s="2"/>
      <c r="Q963" s="2"/>
      <c r="R963" s="2"/>
      <c r="S963" s="2"/>
    </row>
    <row r="964">
      <c r="A964" s="2"/>
      <c r="B964" s="2"/>
      <c r="C964" s="2"/>
      <c r="D964" s="2"/>
      <c r="E964" s="2"/>
      <c r="F964" s="2"/>
      <c r="G964" s="2"/>
      <c r="H964" s="2"/>
      <c r="I964" s="2"/>
      <c r="J964" s="2"/>
      <c r="K964" s="2"/>
      <c r="L964" s="2"/>
      <c r="M964" s="2"/>
      <c r="N964" s="2"/>
      <c r="O964" s="2"/>
      <c r="P964" s="2"/>
      <c r="Q964" s="2"/>
      <c r="R964" s="2"/>
      <c r="S964" s="2"/>
    </row>
    <row r="965">
      <c r="A965" s="2"/>
      <c r="B965" s="2"/>
      <c r="C965" s="2"/>
      <c r="D965" s="2"/>
      <c r="E965" s="2"/>
      <c r="F965" s="2"/>
      <c r="G965" s="2"/>
      <c r="H965" s="2"/>
      <c r="I965" s="2"/>
      <c r="J965" s="2"/>
      <c r="K965" s="2"/>
      <c r="L965" s="2"/>
      <c r="M965" s="2"/>
      <c r="N965" s="2"/>
      <c r="O965" s="2"/>
      <c r="P965" s="2"/>
      <c r="Q965" s="2"/>
      <c r="R965" s="2"/>
      <c r="S965" s="2"/>
    </row>
    <row r="966">
      <c r="A966" s="2"/>
      <c r="B966" s="2"/>
      <c r="C966" s="2"/>
      <c r="D966" s="2"/>
      <c r="E966" s="2"/>
      <c r="F966" s="2"/>
      <c r="G966" s="2"/>
      <c r="H966" s="2"/>
      <c r="I966" s="2"/>
      <c r="J966" s="2"/>
      <c r="K966" s="2"/>
      <c r="L966" s="2"/>
      <c r="M966" s="2"/>
      <c r="N966" s="2"/>
      <c r="O966" s="2"/>
      <c r="P966" s="2"/>
      <c r="Q966" s="2"/>
      <c r="R966" s="2"/>
      <c r="S966" s="2"/>
    </row>
    <row r="967">
      <c r="A967" s="2"/>
      <c r="B967" s="2"/>
      <c r="C967" s="2"/>
      <c r="D967" s="2"/>
      <c r="E967" s="2"/>
      <c r="F967" s="2"/>
      <c r="G967" s="2"/>
      <c r="H967" s="2"/>
      <c r="I967" s="2"/>
      <c r="J967" s="2"/>
      <c r="K967" s="2"/>
      <c r="L967" s="2"/>
      <c r="M967" s="2"/>
      <c r="N967" s="2"/>
      <c r="O967" s="2"/>
      <c r="P967" s="2"/>
      <c r="Q967" s="2"/>
      <c r="R967" s="2"/>
      <c r="S967" s="2"/>
    </row>
    <row r="968">
      <c r="A968" s="2"/>
      <c r="B968" s="2"/>
      <c r="C968" s="2"/>
      <c r="D968" s="2"/>
      <c r="E968" s="2"/>
      <c r="F968" s="2"/>
      <c r="G968" s="2"/>
      <c r="H968" s="2"/>
      <c r="I968" s="2"/>
      <c r="J968" s="2"/>
      <c r="K968" s="2"/>
      <c r="L968" s="2"/>
      <c r="M968" s="2"/>
      <c r="N968" s="2"/>
      <c r="O968" s="2"/>
      <c r="P968" s="2"/>
      <c r="Q968" s="2"/>
      <c r="R968" s="2"/>
      <c r="S968" s="2"/>
    </row>
    <row r="969">
      <c r="A969" s="2"/>
      <c r="B969" s="2"/>
      <c r="C969" s="2"/>
      <c r="D969" s="2"/>
      <c r="E969" s="2"/>
      <c r="F969" s="2"/>
      <c r="G969" s="2"/>
      <c r="H969" s="2"/>
      <c r="I969" s="2"/>
      <c r="J969" s="2"/>
      <c r="K969" s="2"/>
      <c r="L969" s="2"/>
      <c r="M969" s="2"/>
      <c r="N969" s="2"/>
      <c r="O969" s="2"/>
      <c r="P969" s="2"/>
      <c r="Q969" s="2"/>
      <c r="R969" s="2"/>
      <c r="S969" s="2"/>
    </row>
    <row r="970">
      <c r="A970" s="2"/>
      <c r="B970" s="2"/>
      <c r="C970" s="2"/>
      <c r="D970" s="2"/>
      <c r="E970" s="2"/>
      <c r="F970" s="2"/>
      <c r="G970" s="2"/>
      <c r="H970" s="2"/>
      <c r="I970" s="2"/>
      <c r="J970" s="2"/>
      <c r="K970" s="2"/>
      <c r="L970" s="2"/>
      <c r="M970" s="2"/>
      <c r="N970" s="2"/>
      <c r="O970" s="2"/>
      <c r="P970" s="2"/>
      <c r="Q970" s="2"/>
      <c r="R970" s="2"/>
      <c r="S970" s="2"/>
    </row>
    <row r="971">
      <c r="A971" s="2"/>
      <c r="B971" s="2"/>
      <c r="C971" s="2"/>
      <c r="D971" s="2"/>
      <c r="E971" s="2"/>
      <c r="F971" s="2"/>
      <c r="G971" s="2"/>
      <c r="H971" s="2"/>
      <c r="I971" s="2"/>
      <c r="J971" s="2"/>
      <c r="K971" s="2"/>
      <c r="L971" s="2"/>
      <c r="M971" s="2"/>
      <c r="N971" s="2"/>
      <c r="O971" s="2"/>
      <c r="P971" s="2"/>
      <c r="Q971" s="2"/>
      <c r="R971" s="2"/>
      <c r="S971" s="2"/>
    </row>
    <row r="972">
      <c r="A972" s="2"/>
      <c r="B972" s="2"/>
      <c r="C972" s="2"/>
      <c r="D972" s="2"/>
      <c r="E972" s="2"/>
      <c r="F972" s="2"/>
      <c r="G972" s="2"/>
      <c r="H972" s="2"/>
      <c r="I972" s="2"/>
      <c r="J972" s="2"/>
      <c r="K972" s="2"/>
      <c r="L972" s="2"/>
      <c r="M972" s="2"/>
      <c r="N972" s="2"/>
      <c r="O972" s="2"/>
      <c r="P972" s="2"/>
      <c r="Q972" s="2"/>
      <c r="R972" s="2"/>
      <c r="S972" s="2"/>
    </row>
    <row r="973">
      <c r="A973" s="2"/>
      <c r="B973" s="2"/>
      <c r="C973" s="2"/>
      <c r="D973" s="2"/>
      <c r="E973" s="2"/>
      <c r="F973" s="2"/>
      <c r="G973" s="2"/>
      <c r="H973" s="2"/>
      <c r="I973" s="2"/>
      <c r="J973" s="2"/>
      <c r="K973" s="2"/>
      <c r="L973" s="2"/>
      <c r="M973" s="2"/>
      <c r="N973" s="2"/>
      <c r="O973" s="2"/>
      <c r="P973" s="2"/>
      <c r="Q973" s="2"/>
      <c r="R973" s="2"/>
      <c r="S973" s="2"/>
    </row>
    <row r="974">
      <c r="A974" s="2"/>
      <c r="B974" s="2"/>
      <c r="C974" s="2"/>
      <c r="D974" s="2"/>
      <c r="E974" s="2"/>
      <c r="F974" s="2"/>
      <c r="G974" s="2"/>
      <c r="H974" s="2"/>
      <c r="I974" s="2"/>
      <c r="J974" s="2"/>
      <c r="K974" s="2"/>
      <c r="L974" s="2"/>
      <c r="M974" s="2"/>
      <c r="N974" s="2"/>
      <c r="O974" s="2"/>
      <c r="P974" s="2"/>
      <c r="Q974" s="2"/>
      <c r="R974" s="2"/>
      <c r="S974" s="2"/>
    </row>
    <row r="975">
      <c r="A975" s="2"/>
      <c r="B975" s="2"/>
      <c r="C975" s="2"/>
      <c r="D975" s="2"/>
      <c r="E975" s="2"/>
      <c r="F975" s="2"/>
      <c r="G975" s="2"/>
      <c r="H975" s="2"/>
      <c r="I975" s="2"/>
      <c r="J975" s="2"/>
      <c r="K975" s="2"/>
      <c r="L975" s="2"/>
      <c r="M975" s="2"/>
      <c r="N975" s="2"/>
      <c r="O975" s="2"/>
      <c r="P975" s="2"/>
      <c r="Q975" s="2"/>
      <c r="R975" s="2"/>
      <c r="S975" s="2"/>
    </row>
    <row r="976">
      <c r="A976" s="2"/>
      <c r="B976" s="2"/>
      <c r="C976" s="2"/>
      <c r="D976" s="2"/>
      <c r="E976" s="2"/>
      <c r="F976" s="2"/>
      <c r="G976" s="2"/>
      <c r="H976" s="2"/>
      <c r="I976" s="2"/>
      <c r="J976" s="2"/>
      <c r="K976" s="2"/>
      <c r="L976" s="2"/>
      <c r="M976" s="2"/>
      <c r="N976" s="2"/>
      <c r="O976" s="2"/>
      <c r="P976" s="2"/>
      <c r="Q976" s="2"/>
      <c r="R976" s="2"/>
      <c r="S976" s="2"/>
    </row>
    <row r="977">
      <c r="A977" s="2"/>
      <c r="B977" s="2"/>
      <c r="C977" s="2"/>
      <c r="D977" s="2"/>
      <c r="E977" s="2"/>
      <c r="F977" s="2"/>
      <c r="G977" s="2"/>
      <c r="H977" s="2"/>
      <c r="I977" s="2"/>
      <c r="J977" s="2"/>
      <c r="K977" s="2"/>
      <c r="L977" s="2"/>
      <c r="M977" s="2"/>
      <c r="N977" s="2"/>
      <c r="O977" s="2"/>
      <c r="P977" s="2"/>
      <c r="Q977" s="2"/>
      <c r="R977" s="2"/>
      <c r="S977" s="2"/>
    </row>
    <row r="978">
      <c r="A978" s="2"/>
      <c r="B978" s="2"/>
      <c r="C978" s="2"/>
      <c r="D978" s="2"/>
      <c r="E978" s="2"/>
      <c r="F978" s="2"/>
      <c r="G978" s="2"/>
      <c r="H978" s="2"/>
      <c r="I978" s="2"/>
      <c r="J978" s="2"/>
      <c r="K978" s="2"/>
      <c r="L978" s="2"/>
      <c r="M978" s="2"/>
      <c r="N978" s="2"/>
      <c r="O978" s="2"/>
      <c r="P978" s="2"/>
      <c r="Q978" s="2"/>
      <c r="R978" s="2"/>
      <c r="S978" s="2"/>
    </row>
    <row r="979">
      <c r="A979" s="2"/>
      <c r="B979" s="2"/>
      <c r="C979" s="2"/>
      <c r="D979" s="2"/>
      <c r="E979" s="2"/>
      <c r="F979" s="2"/>
      <c r="G979" s="2"/>
      <c r="H979" s="2"/>
      <c r="I979" s="2"/>
      <c r="J979" s="2"/>
      <c r="K979" s="2"/>
      <c r="L979" s="2"/>
      <c r="M979" s="2"/>
      <c r="N979" s="2"/>
      <c r="O979" s="2"/>
      <c r="P979" s="2"/>
      <c r="Q979" s="2"/>
      <c r="R979" s="2"/>
      <c r="S979" s="2"/>
    </row>
    <row r="980">
      <c r="A980" s="2"/>
      <c r="B980" s="2"/>
      <c r="C980" s="2"/>
      <c r="D980" s="2"/>
      <c r="E980" s="2"/>
      <c r="F980" s="2"/>
      <c r="G980" s="2"/>
      <c r="H980" s="2"/>
      <c r="I980" s="2"/>
      <c r="J980" s="2"/>
      <c r="K980" s="2"/>
      <c r="L980" s="2"/>
      <c r="M980" s="2"/>
      <c r="N980" s="2"/>
      <c r="O980" s="2"/>
      <c r="P980" s="2"/>
      <c r="Q980" s="2"/>
      <c r="R980" s="2"/>
      <c r="S980" s="2"/>
    </row>
    <row r="981">
      <c r="A981" s="2"/>
      <c r="B981" s="2"/>
      <c r="C981" s="2"/>
      <c r="D981" s="2"/>
      <c r="E981" s="2"/>
      <c r="F981" s="2"/>
      <c r="G981" s="2"/>
      <c r="H981" s="2"/>
      <c r="I981" s="2"/>
      <c r="J981" s="2"/>
      <c r="K981" s="2"/>
      <c r="L981" s="2"/>
      <c r="M981" s="2"/>
      <c r="N981" s="2"/>
      <c r="O981" s="2"/>
      <c r="P981" s="2"/>
      <c r="Q981" s="2"/>
      <c r="R981" s="2"/>
      <c r="S981" s="2"/>
    </row>
    <row r="982">
      <c r="A982" s="2"/>
      <c r="B982" s="2"/>
      <c r="C982" s="2"/>
      <c r="D982" s="2"/>
      <c r="E982" s="2"/>
      <c r="F982" s="2"/>
      <c r="G982" s="2"/>
      <c r="H982" s="2"/>
      <c r="I982" s="2"/>
      <c r="J982" s="2"/>
      <c r="K982" s="2"/>
      <c r="L982" s="2"/>
      <c r="M982" s="2"/>
      <c r="N982" s="2"/>
      <c r="O982" s="2"/>
      <c r="P982" s="2"/>
      <c r="Q982" s="2"/>
      <c r="R982" s="2"/>
      <c r="S982" s="2"/>
    </row>
    <row r="983">
      <c r="A983" s="2"/>
      <c r="B983" s="2"/>
      <c r="C983" s="2"/>
      <c r="D983" s="2"/>
      <c r="E983" s="2"/>
      <c r="F983" s="2"/>
      <c r="G983" s="2"/>
      <c r="H983" s="2"/>
      <c r="I983" s="2"/>
      <c r="J983" s="2"/>
      <c r="K983" s="2"/>
      <c r="L983" s="2"/>
      <c r="M983" s="2"/>
      <c r="N983" s="2"/>
      <c r="O983" s="2"/>
      <c r="P983" s="2"/>
      <c r="Q983" s="2"/>
      <c r="R983" s="2"/>
      <c r="S983" s="2"/>
    </row>
    <row r="984">
      <c r="A984" s="2"/>
      <c r="B984" s="2"/>
      <c r="C984" s="2"/>
      <c r="D984" s="2"/>
      <c r="E984" s="2"/>
      <c r="F984" s="2"/>
      <c r="G984" s="2"/>
      <c r="H984" s="2"/>
      <c r="I984" s="2"/>
      <c r="J984" s="2"/>
      <c r="K984" s="2"/>
      <c r="L984" s="2"/>
      <c r="M984" s="2"/>
      <c r="N984" s="2"/>
      <c r="O984" s="2"/>
      <c r="P984" s="2"/>
      <c r="Q984" s="2"/>
      <c r="R984" s="2"/>
      <c r="S984" s="2"/>
    </row>
    <row r="985">
      <c r="A985" s="2"/>
      <c r="B985" s="2"/>
      <c r="C985" s="2"/>
      <c r="D985" s="2"/>
      <c r="E985" s="2"/>
      <c r="F985" s="2"/>
      <c r="G985" s="2"/>
      <c r="H985" s="2"/>
      <c r="I985" s="2"/>
      <c r="J985" s="2"/>
      <c r="K985" s="2"/>
      <c r="L985" s="2"/>
      <c r="M985" s="2"/>
      <c r="N985" s="2"/>
      <c r="O985" s="2"/>
      <c r="P985" s="2"/>
      <c r="Q985" s="2"/>
      <c r="R985" s="2"/>
      <c r="S985" s="2"/>
    </row>
    <row r="986">
      <c r="A986" s="2"/>
      <c r="B986" s="2"/>
      <c r="C986" s="2"/>
      <c r="D986" s="2"/>
      <c r="E986" s="2"/>
      <c r="F986" s="2"/>
      <c r="G986" s="2"/>
      <c r="H986" s="2"/>
      <c r="I986" s="2"/>
      <c r="J986" s="2"/>
      <c r="K986" s="2"/>
      <c r="L986" s="2"/>
      <c r="M986" s="2"/>
      <c r="N986" s="2"/>
      <c r="O986" s="2"/>
      <c r="P986" s="2"/>
      <c r="Q986" s="2"/>
      <c r="R986" s="2"/>
      <c r="S986" s="2"/>
    </row>
    <row r="987">
      <c r="A987" s="2"/>
      <c r="B987" s="2"/>
      <c r="C987" s="2"/>
      <c r="D987" s="2"/>
      <c r="E987" s="2"/>
      <c r="F987" s="2"/>
      <c r="G987" s="2"/>
      <c r="H987" s="2"/>
      <c r="I987" s="2"/>
      <c r="J987" s="2"/>
      <c r="K987" s="2"/>
      <c r="L987" s="2"/>
      <c r="M987" s="2"/>
      <c r="N987" s="2"/>
      <c r="O987" s="2"/>
      <c r="P987" s="2"/>
      <c r="Q987" s="2"/>
      <c r="R987" s="2"/>
      <c r="S987" s="2"/>
    </row>
    <row r="988">
      <c r="A988" s="2"/>
      <c r="B988" s="2"/>
      <c r="C988" s="2"/>
      <c r="D988" s="2"/>
      <c r="E988" s="2"/>
      <c r="F988" s="2"/>
      <c r="G988" s="2"/>
      <c r="H988" s="2"/>
      <c r="I988" s="2"/>
      <c r="J988" s="2"/>
      <c r="K988" s="2"/>
      <c r="L988" s="2"/>
      <c r="M988" s="2"/>
      <c r="N988" s="2"/>
      <c r="O988" s="2"/>
      <c r="P988" s="2"/>
      <c r="Q988" s="2"/>
      <c r="R988" s="2"/>
      <c r="S988" s="2"/>
    </row>
    <row r="989">
      <c r="A989" s="2"/>
      <c r="B989" s="2"/>
      <c r="C989" s="2"/>
      <c r="D989" s="2"/>
      <c r="E989" s="2"/>
      <c r="F989" s="2"/>
      <c r="G989" s="2"/>
      <c r="H989" s="2"/>
      <c r="I989" s="2"/>
      <c r="J989" s="2"/>
      <c r="K989" s="2"/>
      <c r="L989" s="2"/>
      <c r="M989" s="2"/>
      <c r="N989" s="2"/>
      <c r="O989" s="2"/>
      <c r="P989" s="2"/>
      <c r="Q989" s="2"/>
      <c r="R989" s="2"/>
      <c r="S989" s="2"/>
    </row>
    <row r="990">
      <c r="A990" s="2"/>
      <c r="B990" s="2"/>
      <c r="C990" s="2"/>
      <c r="D990" s="2"/>
      <c r="E990" s="2"/>
      <c r="F990" s="2"/>
      <c r="G990" s="2"/>
      <c r="H990" s="2"/>
      <c r="I990" s="2"/>
      <c r="J990" s="2"/>
      <c r="K990" s="2"/>
      <c r="L990" s="2"/>
      <c r="M990" s="2"/>
      <c r="N990" s="2"/>
      <c r="O990" s="2"/>
      <c r="P990" s="2"/>
      <c r="Q990" s="2"/>
      <c r="R990" s="2"/>
      <c r="S990" s="2"/>
    </row>
    <row r="991">
      <c r="A991" s="2"/>
      <c r="B991" s="2"/>
      <c r="C991" s="2"/>
      <c r="D991" s="2"/>
      <c r="E991" s="2"/>
      <c r="F991" s="2"/>
      <c r="G991" s="2"/>
      <c r="H991" s="2"/>
      <c r="I991" s="2"/>
      <c r="J991" s="2"/>
      <c r="K991" s="2"/>
      <c r="L991" s="2"/>
      <c r="M991" s="2"/>
      <c r="N991" s="2"/>
      <c r="O991" s="2"/>
      <c r="P991" s="2"/>
      <c r="Q991" s="2"/>
      <c r="R991" s="2"/>
      <c r="S991" s="2"/>
    </row>
    <row r="992">
      <c r="A992" s="2"/>
      <c r="B992" s="2"/>
      <c r="C992" s="2"/>
      <c r="D992" s="2"/>
      <c r="E992" s="2"/>
      <c r="F992" s="2"/>
      <c r="G992" s="2"/>
      <c r="H992" s="2"/>
      <c r="I992" s="2"/>
      <c r="J992" s="2"/>
      <c r="K992" s="2"/>
      <c r="L992" s="2"/>
      <c r="M992" s="2"/>
      <c r="N992" s="2"/>
      <c r="O992" s="2"/>
      <c r="P992" s="2"/>
      <c r="Q992" s="2"/>
      <c r="R992" s="2"/>
      <c r="S992" s="2"/>
    </row>
    <row r="993">
      <c r="A993" s="2"/>
      <c r="B993" s="2"/>
      <c r="C993" s="2"/>
      <c r="D993" s="2"/>
      <c r="E993" s="2"/>
      <c r="F993" s="2"/>
      <c r="G993" s="2"/>
      <c r="H993" s="2"/>
      <c r="I993" s="2"/>
      <c r="J993" s="2"/>
      <c r="K993" s="2"/>
      <c r="L993" s="2"/>
      <c r="M993" s="2"/>
      <c r="N993" s="2"/>
      <c r="O993" s="2"/>
      <c r="P993" s="2"/>
      <c r="Q993" s="2"/>
      <c r="R993" s="2"/>
      <c r="S993" s="2"/>
    </row>
    <row r="994">
      <c r="A994" s="2"/>
      <c r="B994" s="2"/>
      <c r="C994" s="2"/>
      <c r="D994" s="2"/>
      <c r="E994" s="2"/>
      <c r="F994" s="2"/>
      <c r="G994" s="2"/>
      <c r="H994" s="2"/>
      <c r="I994" s="2"/>
      <c r="J994" s="2"/>
      <c r="K994" s="2"/>
      <c r="L994" s="2"/>
      <c r="M994" s="2"/>
      <c r="N994" s="2"/>
      <c r="O994" s="2"/>
      <c r="P994" s="2"/>
      <c r="Q994" s="2"/>
      <c r="R994" s="2"/>
      <c r="S994" s="2"/>
    </row>
    <row r="995">
      <c r="A995" s="2"/>
      <c r="B995" s="2"/>
      <c r="C995" s="2"/>
      <c r="D995" s="2"/>
      <c r="E995" s="2"/>
      <c r="F995" s="2"/>
      <c r="G995" s="2"/>
      <c r="H995" s="2"/>
      <c r="I995" s="2"/>
      <c r="J995" s="2"/>
      <c r="K995" s="2"/>
      <c r="L995" s="2"/>
      <c r="M995" s="2"/>
      <c r="N995" s="2"/>
      <c r="O995" s="2"/>
      <c r="P995" s="2"/>
      <c r="Q995" s="2"/>
      <c r="R995" s="2"/>
      <c r="S995" s="2"/>
    </row>
    <row r="996">
      <c r="A996" s="2"/>
      <c r="B996" s="2"/>
      <c r="C996" s="2"/>
      <c r="D996" s="2"/>
      <c r="E996" s="2"/>
      <c r="F996" s="2"/>
      <c r="G996" s="2"/>
      <c r="H996" s="2"/>
      <c r="I996" s="2"/>
      <c r="J996" s="2"/>
      <c r="K996" s="2"/>
      <c r="L996" s="2"/>
      <c r="M996" s="2"/>
      <c r="N996" s="2"/>
      <c r="O996" s="2"/>
      <c r="P996" s="2"/>
      <c r="Q996" s="2"/>
      <c r="R996" s="2"/>
      <c r="S996" s="2"/>
    </row>
    <row r="997">
      <c r="A997" s="2"/>
      <c r="B997" s="2"/>
      <c r="C997" s="2"/>
      <c r="D997" s="2"/>
      <c r="E997" s="2"/>
      <c r="F997" s="2"/>
      <c r="G997" s="2"/>
      <c r="H997" s="2"/>
      <c r="I997" s="2"/>
      <c r="J997" s="2"/>
      <c r="K997" s="2"/>
      <c r="L997" s="2"/>
      <c r="M997" s="2"/>
      <c r="N997" s="2"/>
      <c r="O997" s="2"/>
      <c r="P997" s="2"/>
      <c r="Q997" s="2"/>
      <c r="R997" s="2"/>
      <c r="S997" s="2"/>
    </row>
    <row r="998">
      <c r="A998" s="2"/>
      <c r="B998" s="2"/>
      <c r="C998" s="2"/>
      <c r="D998" s="2"/>
      <c r="E998" s="2"/>
      <c r="F998" s="2"/>
      <c r="G998" s="2"/>
      <c r="H998" s="2"/>
      <c r="I998" s="2"/>
      <c r="J998" s="2"/>
      <c r="K998" s="2"/>
      <c r="L998" s="2"/>
      <c r="M998" s="2"/>
      <c r="N998" s="2"/>
      <c r="O998" s="2"/>
      <c r="P998" s="2"/>
      <c r="Q998" s="2"/>
      <c r="R998" s="2"/>
      <c r="S998" s="2"/>
    </row>
    <row r="999">
      <c r="A999" s="2"/>
      <c r="B999" s="2"/>
      <c r="C999" s="2"/>
      <c r="D999" s="2"/>
      <c r="E999" s="2"/>
      <c r="F999" s="2"/>
      <c r="G999" s="2"/>
      <c r="H999" s="2"/>
      <c r="I999" s="2"/>
      <c r="J999" s="2"/>
      <c r="K999" s="2"/>
      <c r="L999" s="2"/>
      <c r="M999" s="2"/>
      <c r="N999" s="2"/>
      <c r="O999" s="2"/>
      <c r="P999" s="2"/>
      <c r="Q999" s="2"/>
      <c r="R999" s="2"/>
      <c r="S999" s="2"/>
    </row>
    <row r="1000">
      <c r="A1000" s="2"/>
      <c r="B1000" s="2"/>
      <c r="C1000" s="2"/>
      <c r="D1000" s="2"/>
      <c r="E1000" s="2"/>
      <c r="F1000" s="2"/>
      <c r="G1000" s="2"/>
      <c r="H1000" s="2"/>
      <c r="I1000" s="2"/>
      <c r="J1000" s="2"/>
      <c r="K1000" s="2"/>
      <c r="L1000" s="2"/>
      <c r="M1000" s="2"/>
      <c r="N1000" s="2"/>
      <c r="O1000" s="2"/>
      <c r="P1000" s="2"/>
      <c r="Q1000" s="2"/>
      <c r="R1000" s="2"/>
      <c r="S1000" s="2"/>
    </row>
  </sheetData>
  <drawing r:id="rId1"/>
  <tableParts count="2">
    <tablePart r:id="rId4"/>
    <tablePart r:id="rId5"/>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ht="22.5" customHeight="1">
      <c r="A1" s="1" t="s">
        <v>0</v>
      </c>
      <c r="B1" s="1" t="s">
        <v>1</v>
      </c>
      <c r="C1" s="1" t="s">
        <v>2</v>
      </c>
      <c r="D1" s="1" t="s">
        <v>3</v>
      </c>
      <c r="E1" s="1" t="s">
        <v>577</v>
      </c>
      <c r="F1" s="2"/>
      <c r="G1" s="1" t="s">
        <v>0</v>
      </c>
      <c r="H1" s="1" t="s">
        <v>5</v>
      </c>
      <c r="I1" s="1" t="s">
        <v>6</v>
      </c>
      <c r="J1" s="1" t="s">
        <v>7</v>
      </c>
      <c r="K1" s="1" t="s">
        <v>4</v>
      </c>
      <c r="L1" s="2"/>
      <c r="M1" s="2"/>
      <c r="N1" s="2"/>
      <c r="O1" s="2"/>
      <c r="P1" s="2"/>
      <c r="Q1" s="2"/>
      <c r="R1" s="2"/>
      <c r="S1" s="2"/>
      <c r="T1" s="2"/>
      <c r="U1" s="2"/>
      <c r="V1" s="2"/>
      <c r="W1" s="2"/>
    </row>
    <row r="2" ht="22.5" customHeight="1">
      <c r="A2" s="3">
        <v>1.0</v>
      </c>
      <c r="B2" s="3" t="s">
        <v>2789</v>
      </c>
      <c r="C2" s="3" t="s">
        <v>2790</v>
      </c>
      <c r="D2" s="3" t="s">
        <v>2791</v>
      </c>
      <c r="E2" s="3" t="s">
        <v>2792</v>
      </c>
      <c r="F2" s="2"/>
      <c r="G2" s="3" t="str">
        <f>IFERROR(__xludf.DUMMYFUNCTION("GOOGLETRANSLATE(A2, ""it"", ""en"")"),"1")</f>
        <v>1</v>
      </c>
      <c r="H2" s="3" t="str">
        <f>IFERROR(__xludf.DUMMYFUNCTION("GOOGLETRANSLATE(B2, ""it"", ""en"")"),"How do you win a game of Morra?")</f>
        <v>How do you win a game of Morra?</v>
      </c>
      <c r="I2" s="3" t="str">
        <f>IFERROR(__xludf.DUMMYFUNCTION("GOOGLETRANSLATE(C2, ""it"", ""en"")"),"A. Guessing the correct total number B. Saying ""Morra"" faster C. Blocking your opponent's fingers D. Scoring more points in one hand")</f>
        <v>A. Guessing the correct total number B. Saying "Morra" faster C. Blocking your opponent's fingers D. Scoring more points in one hand</v>
      </c>
      <c r="J2" s="3" t="str">
        <f>IFERROR(__xludf.DUMMYFUNCTION("GOOGLETRANSLATE(D2, ""it"", ""en"")"),"Guessing the correct total number")</f>
        <v>Guessing the correct total number</v>
      </c>
      <c r="K2" s="3" t="str">
        <f>IFERROR(__xludf.DUMMYFUNCTION("GOOGLETRANSLATE(E2, ""it"", ""en"")"),"The winner is the one who correctly guesses the sum of the fingers shown.")</f>
        <v>The winner is the one who correctly guesses the sum of the fingers shown.</v>
      </c>
      <c r="L2" s="2"/>
      <c r="M2" s="2"/>
      <c r="N2" s="2"/>
      <c r="O2" s="2"/>
      <c r="P2" s="2"/>
      <c r="Q2" s="2"/>
      <c r="R2" s="2"/>
      <c r="S2" s="2"/>
      <c r="T2" s="2"/>
      <c r="U2" s="2"/>
      <c r="V2" s="2"/>
      <c r="W2" s="2"/>
    </row>
    <row r="3" ht="22.5" customHeight="1">
      <c r="A3" s="3">
        <v>2.0</v>
      </c>
      <c r="B3" s="3" t="s">
        <v>2793</v>
      </c>
      <c r="C3" s="3" t="s">
        <v>2794</v>
      </c>
      <c r="D3" s="3">
        <v>5.0</v>
      </c>
      <c r="E3" s="3" t="s">
        <v>2795</v>
      </c>
      <c r="F3" s="2"/>
      <c r="G3" s="3" t="str">
        <f>IFERROR(__xludf.DUMMYFUNCTION("GOOGLETRANSLATE(A3, ""it"", ""en"")"),"2")</f>
        <v>2</v>
      </c>
      <c r="H3" s="3" t="str">
        <f>IFERROR(__xludf.DUMMYFUNCTION("GOOGLETRANSLATE(B3, ""it"", ""en"")"),"What is the maximum number of fingers a player can show in Morra?")</f>
        <v>What is the maximum number of fingers a player can show in Morra?</v>
      </c>
      <c r="I3" s="3" t="str">
        <f>IFERROR(__xludf.DUMMYFUNCTION("GOOGLETRANSLATE(C3, ""it"", ""en"")"),"A. 2 B. 5 C. 10 D. 7")</f>
        <v>A. 2 B. 5 C. 10 D. 7</v>
      </c>
      <c r="J3" s="3" t="str">
        <f>IFERROR(__xludf.DUMMYFUNCTION("GOOGLETRANSLATE(D3, ""it"", ""en"")"),"5")</f>
        <v>5</v>
      </c>
      <c r="K3" s="3" t="str">
        <f>IFERROR(__xludf.DUMMYFUNCTION("GOOGLETRANSLATE(E3, ""it"", ""en"")"),"A player can show up to 5 fingers per hand.")</f>
        <v>A player can show up to 5 fingers per hand.</v>
      </c>
      <c r="L3" s="2"/>
      <c r="M3" s="2"/>
      <c r="N3" s="2"/>
      <c r="O3" s="2"/>
      <c r="P3" s="2"/>
      <c r="Q3" s="2"/>
      <c r="R3" s="2"/>
      <c r="S3" s="2"/>
      <c r="T3" s="2"/>
      <c r="U3" s="2"/>
      <c r="V3" s="2"/>
      <c r="W3" s="2"/>
    </row>
    <row r="4" ht="22.5" customHeight="1">
      <c r="A4" s="3">
        <v>3.0</v>
      </c>
      <c r="B4" s="3" t="s">
        <v>2796</v>
      </c>
      <c r="C4" s="3" t="s">
        <v>2797</v>
      </c>
      <c r="D4" s="3" t="s">
        <v>2798</v>
      </c>
      <c r="E4" s="3" t="s">
        <v>2799</v>
      </c>
      <c r="F4" s="2"/>
      <c r="G4" s="3" t="str">
        <f>IFERROR(__xludf.DUMMYFUNCTION("GOOGLETRANSLATE(A4, ""it"", ""en"")"),"3")</f>
        <v>3</v>
      </c>
      <c r="H4" s="3" t="str">
        <f>IFERROR(__xludf.DUMMYFUNCTION("GOOGLETRANSLATE(B4, ""it"", ""en"")"),"What is the main objective of the game Morra?")</f>
        <v>What is the main objective of the game Morra?</v>
      </c>
      <c r="I4" s="3" t="str">
        <f>IFERROR(__xludf.DUMMYFUNCTION("GOOGLETRANSLATE(C4, ""it"", ""en"")"),"A. Block the opponent B. Guess the total sum of the fingers shown C. Be the fastest at shouting D. Don't get the sum wrong")</f>
        <v>A. Block the opponent B. Guess the total sum of the fingers shown C. Be the fastest at shouting D. Don't get the sum wrong</v>
      </c>
      <c r="J4" s="3" t="str">
        <f>IFERROR(__xludf.DUMMYFUNCTION("GOOGLETRANSLATE(D4, ""it"", ""en"")"),"Guess the total sum of the fingers shown")</f>
        <v>Guess the total sum of the fingers shown</v>
      </c>
      <c r="K4" s="3" t="str">
        <f>IFERROR(__xludf.DUMMYFUNCTION("GOOGLETRANSLATE(E4, ""it"", ""en"")"),"The goal is to guess the exact sum of the fingers shown by both players.")</f>
        <v>The goal is to guess the exact sum of the fingers shown by both players.</v>
      </c>
      <c r="L4" s="2"/>
      <c r="M4" s="2"/>
      <c r="N4" s="2"/>
      <c r="O4" s="2"/>
      <c r="P4" s="2"/>
      <c r="Q4" s="2"/>
      <c r="R4" s="2"/>
      <c r="S4" s="2"/>
      <c r="T4" s="2"/>
      <c r="U4" s="2"/>
      <c r="V4" s="2"/>
      <c r="W4" s="2"/>
    </row>
    <row r="5" ht="22.5" customHeight="1">
      <c r="A5" s="3">
        <v>4.0</v>
      </c>
      <c r="B5" s="3" t="s">
        <v>2800</v>
      </c>
      <c r="C5" s="3" t="s">
        <v>2801</v>
      </c>
      <c r="D5" s="3">
        <v>2.0</v>
      </c>
      <c r="E5" s="3" t="s">
        <v>2802</v>
      </c>
      <c r="F5" s="2"/>
      <c r="G5" s="3" t="str">
        <f>IFERROR(__xludf.DUMMYFUNCTION("GOOGLETRANSLATE(A5, ""it"", ""en"")"),"4")</f>
        <v>4</v>
      </c>
      <c r="H5" s="3" t="str">
        <f>IFERROR(__xludf.DUMMYFUNCTION("GOOGLETRANSLATE(B5, ""it"", ""en"")"),"How many players usually participate in a game of Morra?")</f>
        <v>How many players usually participate in a game of Morra?</v>
      </c>
      <c r="I5" s="3" t="str">
        <f>IFERROR(__xludf.DUMMYFUNCTION("GOOGLETRANSLATE(C5, ""it"", ""en"")"),"A. 2 B. 4 C. 6 D. 10")</f>
        <v>A. 2 B. 4 C. 6 D. 10</v>
      </c>
      <c r="J5" s="3" t="str">
        <f>IFERROR(__xludf.DUMMYFUNCTION("GOOGLETRANSLATE(D5, ""it"", ""en"")"),"2")</f>
        <v>2</v>
      </c>
      <c r="K5" s="3" t="str">
        <f>IFERROR(__xludf.DUMMYFUNCTION("GOOGLETRANSLATE(E5, ""it"", ""en"")"),"Morra is usually played between two players.")</f>
        <v>Morra is usually played between two players.</v>
      </c>
      <c r="L5" s="2"/>
      <c r="M5" s="2"/>
      <c r="N5" s="2"/>
      <c r="O5" s="2"/>
      <c r="P5" s="2"/>
      <c r="Q5" s="2"/>
      <c r="R5" s="2"/>
      <c r="S5" s="2"/>
      <c r="T5" s="2"/>
      <c r="U5" s="2"/>
      <c r="V5" s="2"/>
      <c r="W5" s="2"/>
    </row>
    <row r="6" ht="22.5" customHeight="1">
      <c r="A6" s="3">
        <v>5.0</v>
      </c>
      <c r="B6" s="3" t="s">
        <v>2803</v>
      </c>
      <c r="C6" s="3" t="s">
        <v>2804</v>
      </c>
      <c r="D6" s="3" t="s">
        <v>2805</v>
      </c>
      <c r="E6" s="3" t="s">
        <v>2806</v>
      </c>
      <c r="F6" s="2"/>
      <c r="G6" s="3" t="str">
        <f>IFERROR(__xludf.DUMMYFUNCTION("GOOGLETRANSLATE(A6, ""it"", ""en"")"),"5")</f>
        <v>5</v>
      </c>
      <c r="H6" s="3" t="str">
        <f>IFERROR(__xludf.DUMMYFUNCTION("GOOGLETRANSLATE(B6, ""it"", ""en"")"),"How is the winner decided in Morra?")</f>
        <v>How is the winner decided in Morra?</v>
      </c>
      <c r="I6" s="3" t="str">
        <f>IFERROR(__xludf.DUMMYFUNCTION("GOOGLETRANSLATE(C6, ""it"", ""en"")"),"A. Who guesses the most times B. Who makes the fewest mistakes C. Who gets the lowest score D. Who uses both hands")</f>
        <v>A. Who guesses the most times B. Who makes the fewest mistakes C. Who gets the lowest score D. Who uses both hands</v>
      </c>
      <c r="J6" s="3" t="str">
        <f>IFERROR(__xludf.DUMMYFUNCTION("GOOGLETRANSLATE(D6, ""it"", ""en"")"),"Whoever guesses the most times")</f>
        <v>Whoever guesses the most times</v>
      </c>
      <c r="K6" s="3" t="str">
        <f>IFERROR(__xludf.DUMMYFUNCTION("GOOGLETRANSLATE(E6, ""it"", ""en"")"),"Whoever guesses the correct number the most times wins.")</f>
        <v>Whoever guesses the correct number the most times wins.</v>
      </c>
      <c r="L6" s="2"/>
      <c r="M6" s="2"/>
      <c r="N6" s="2"/>
      <c r="O6" s="2"/>
      <c r="P6" s="2"/>
      <c r="Q6" s="2"/>
      <c r="R6" s="2"/>
      <c r="S6" s="2"/>
      <c r="T6" s="2"/>
      <c r="U6" s="2"/>
      <c r="V6" s="2"/>
      <c r="W6" s="2"/>
    </row>
    <row r="7" ht="22.5" customHeight="1">
      <c r="A7" s="3">
        <v>6.0</v>
      </c>
      <c r="B7" s="3" t="s">
        <v>2807</v>
      </c>
      <c r="C7" s="3" t="s">
        <v>2808</v>
      </c>
      <c r="D7" s="3" t="s">
        <v>2809</v>
      </c>
      <c r="E7" s="3" t="s">
        <v>2810</v>
      </c>
      <c r="F7" s="2"/>
      <c r="G7" s="3" t="str">
        <f>IFERROR(__xludf.DUMMYFUNCTION("GOOGLETRANSLATE(A7, ""it"", ""en"")"),"6")</f>
        <v>6</v>
      </c>
      <c r="H7" s="3" t="str">
        <f>IFERROR(__xludf.DUMMYFUNCTION("GOOGLETRANSLATE(B7, ""it"", ""en"")"),"What do they shout during a game of Morra?")</f>
        <v>What do they shout during a game of Morra?</v>
      </c>
      <c r="I7" s="3" t="str">
        <f>IFERROR(__xludf.DUMMYFUNCTION("GOOGLETRANSLATE(C7, ""it"", ""en"")"),"A. The expected sum of the fingers shown B. Your name C. Your opponent's name D. Morra")</f>
        <v>A. The expected sum of the fingers shown B. Your name C. Your opponent's name D. Morra</v>
      </c>
      <c r="J7" s="3" t="str">
        <f>IFERROR(__xludf.DUMMYFUNCTION("GOOGLETRANSLATE(D7, ""it"", ""en"")"),"The expected sum of fingers shown")</f>
        <v>The expected sum of fingers shown</v>
      </c>
      <c r="K7" s="3" t="str">
        <f>IFERROR(__xludf.DUMMYFUNCTION("GOOGLETRANSLATE(E7, ""it"", ""en"")"),"Players shout out the number that represents their prediction of the total sum of their fingers.")</f>
        <v>Players shout out the number that represents their prediction of the total sum of their fingers.</v>
      </c>
      <c r="L7" s="2"/>
      <c r="M7" s="2"/>
      <c r="N7" s="2"/>
      <c r="O7" s="2"/>
      <c r="P7" s="2"/>
      <c r="Q7" s="2"/>
      <c r="R7" s="2"/>
      <c r="S7" s="2"/>
      <c r="T7" s="2"/>
      <c r="U7" s="2"/>
      <c r="V7" s="2"/>
      <c r="W7" s="2"/>
    </row>
    <row r="8" ht="22.5" customHeight="1">
      <c r="A8" s="3">
        <v>7.0</v>
      </c>
      <c r="B8" s="3" t="s">
        <v>2811</v>
      </c>
      <c r="C8" s="3" t="s">
        <v>2812</v>
      </c>
      <c r="D8" s="3" t="s">
        <v>2813</v>
      </c>
      <c r="E8" s="3" t="s">
        <v>2814</v>
      </c>
      <c r="F8" s="2"/>
      <c r="G8" s="3" t="str">
        <f>IFERROR(__xludf.DUMMYFUNCTION("GOOGLETRANSLATE(A8, ""it"", ""en"")"),"7")</f>
        <v>7</v>
      </c>
      <c r="H8" s="3" t="str">
        <f>IFERROR(__xludf.DUMMYFUNCTION("GOOGLETRANSLATE(B8, ""it"", ""en"")"),"What happens if both players guess the sum?")</f>
        <v>What happens if both players guess the sum?</v>
      </c>
      <c r="I8" s="3" t="str">
        <f>IFERROR(__xludf.DUMMYFUNCTION("GOOGLETRANSLATE(C8, ""it"", ""en"")"),"A. No one scores points B. Both score points C. The round is repeated D. The referee decides")</f>
        <v>A. No one scores points B. Both score points C. The round is repeated D. The referee decides</v>
      </c>
      <c r="J8" s="3" t="str">
        <f>IFERROR(__xludf.DUMMYFUNCTION("GOOGLETRANSLATE(D8, ""it"", ""en"")"),"Both earn points")</f>
        <v>Both earn points</v>
      </c>
      <c r="K8" s="3" t="str">
        <f>IFERROR(__xludf.DUMMYFUNCTION("GOOGLETRANSLATE(E8, ""it"", ""en"")"),"If both guess correctly")</f>
        <v>If both guess correctly</v>
      </c>
      <c r="L8" s="2"/>
      <c r="M8" s="2"/>
      <c r="N8" s="2"/>
      <c r="O8" s="2"/>
      <c r="P8" s="2"/>
      <c r="Q8" s="2"/>
      <c r="R8" s="2"/>
      <c r="S8" s="2"/>
      <c r="T8" s="2"/>
      <c r="U8" s="2"/>
      <c r="V8" s="2"/>
      <c r="W8" s="2"/>
    </row>
    <row r="9" ht="22.5" customHeight="1">
      <c r="A9" s="3">
        <v>8.0</v>
      </c>
      <c r="B9" s="3" t="s">
        <v>2815</v>
      </c>
      <c r="C9" s="3" t="s">
        <v>2816</v>
      </c>
      <c r="D9" s="3" t="s">
        <v>2817</v>
      </c>
      <c r="E9" s="3" t="s">
        <v>2818</v>
      </c>
      <c r="F9" s="2"/>
      <c r="G9" s="3" t="str">
        <f>IFERROR(__xludf.DUMMYFUNCTION("GOOGLETRANSLATE(A9, ""it"", ""en"")"),"8")</f>
        <v>8</v>
      </c>
      <c r="H9" s="3" t="str">
        <f>IFERROR(__xludf.DUMMYFUNCTION("GOOGLETRANSLATE(B9, ""it"", ""en"")"),"What is the role of the referee in Morra?")</f>
        <v>What is the role of the referee in Morra?</v>
      </c>
      <c r="I9" s="3" t="str">
        <f>IFERROR(__xludf.DUMMYFUNCTION("GOOGLETRANSLATE(C9, ""it"", ""en"")"),"A. Count the points and check that the rules are respected B. Shout out the numbers C. Show fingers D. Decide the final winner")</f>
        <v>A. Count the points and check that the rules are respected B. Shout out the numbers C. Show fingers D. Decide the final winner</v>
      </c>
      <c r="J9" s="3" t="str">
        <f>IFERROR(__xludf.DUMMYFUNCTION("GOOGLETRANSLATE(D9, ""it"", ""en"")"),"Count the points and check that the rules are respected")</f>
        <v>Count the points and check that the rules are respected</v>
      </c>
      <c r="K9" s="3" t="str">
        <f>IFERROR(__xludf.DUMMYFUNCTION("GOOGLETRANSLATE(E9, ""it"", ""en"")"),"The referee monitors the game and keeps track of the points.")</f>
        <v>The referee monitors the game and keeps track of the points.</v>
      </c>
      <c r="L9" s="2"/>
      <c r="M9" s="2"/>
      <c r="N9" s="2"/>
      <c r="O9" s="2"/>
      <c r="P9" s="2"/>
      <c r="Q9" s="2"/>
      <c r="R9" s="2"/>
      <c r="S9" s="2"/>
      <c r="T9" s="2"/>
      <c r="U9" s="2"/>
      <c r="V9" s="2"/>
      <c r="W9" s="2"/>
    </row>
    <row r="10" ht="22.5" customHeight="1">
      <c r="A10" s="3">
        <v>9.0</v>
      </c>
      <c r="B10" s="3" t="s">
        <v>2819</v>
      </c>
      <c r="C10" s="3" t="s">
        <v>2820</v>
      </c>
      <c r="D10" s="3" t="s">
        <v>2821</v>
      </c>
      <c r="E10" s="3" t="s">
        <v>2822</v>
      </c>
      <c r="F10" s="2"/>
      <c r="G10" s="3" t="str">
        <f>IFERROR(__xludf.DUMMYFUNCTION("GOOGLETRANSLATE(A10, ""it"", ""en"")"),"9")</f>
        <v>9</v>
      </c>
      <c r="H10" s="3" t="str">
        <f>IFERROR(__xludf.DUMMYFUNCTION("GOOGLETRANSLATE(B10, ""it"", ""en"")"),"What does ""fare Morra"" mean?")</f>
        <v>What does "fare Morra" mean?</v>
      </c>
      <c r="I10" s="3" t="str">
        <f>IFERROR(__xludf.DUMMYFUNCTION("GOOGLETRANSLATE(C10, ""it"", ""en"")"),"A. Guess the correct sum B. Show the maximum number of fingers C. Use both hands at the same time D. Not guess the sum")</f>
        <v>A. Guess the correct sum B. Show the maximum number of fingers C. Use both hands at the same time D. Not guess the sum</v>
      </c>
      <c r="J10" s="3" t="str">
        <f>IFERROR(__xludf.DUMMYFUNCTION("GOOGLETRANSLATE(D10, ""it"", ""en"")"),"Guess the correct sum")</f>
        <v>Guess the correct sum</v>
      </c>
      <c r="K10" s="3" t="str">
        <f>IFERROR(__xludf.DUMMYFUNCTION("GOOGLETRANSLATE(E10, ""it"", ""en"")"),"To play Morra means to guess the sum of the fingers shown.")</f>
        <v>To play Morra means to guess the sum of the fingers shown.</v>
      </c>
      <c r="L10" s="2"/>
      <c r="M10" s="2"/>
      <c r="N10" s="2"/>
      <c r="O10" s="2"/>
      <c r="P10" s="2"/>
      <c r="Q10" s="2"/>
      <c r="R10" s="2"/>
      <c r="S10" s="2"/>
      <c r="T10" s="2"/>
      <c r="U10" s="2"/>
      <c r="V10" s="2"/>
      <c r="W10" s="2"/>
    </row>
    <row r="11" ht="22.5" customHeight="1">
      <c r="A11" s="3">
        <v>10.0</v>
      </c>
      <c r="B11" s="3" t="s">
        <v>2823</v>
      </c>
      <c r="C11" s="3" t="s">
        <v>2824</v>
      </c>
      <c r="D11" s="3" t="s">
        <v>2452</v>
      </c>
      <c r="E11" s="3" t="s">
        <v>2825</v>
      </c>
      <c r="F11" s="2"/>
      <c r="G11" s="3" t="str">
        <f>IFERROR(__xludf.DUMMYFUNCTION("GOOGLETRANSLATE(A11, ""it"", ""en"")"),"10")</f>
        <v>10</v>
      </c>
      <c r="H11" s="3" t="str">
        <f>IFERROR(__xludf.DUMMYFUNCTION("GOOGLETRANSLATE(B11, ""it"", ""en"")"),"What is the time limit for shouting a number in Morra?")</f>
        <v>What is the time limit for shouting a number in Morra?</v>
      </c>
      <c r="I11" s="3" t="str">
        <f>IFERROR(__xludf.DUMMYFUNCTION("GOOGLETRANSLATE(C11, ""it"", ""en"")"),"A. 3 seconds B. 5 seconds C. There is no limit D. 10 seconds")</f>
        <v>A. 3 seconds B. 5 seconds C. There is no limit D. 10 seconds</v>
      </c>
      <c r="J11" s="3" t="str">
        <f>IFERROR(__xludf.DUMMYFUNCTION("GOOGLETRANSLATE(D11, ""it"", ""en"")"),"5 seconds")</f>
        <v>5 seconds</v>
      </c>
      <c r="K11" s="3" t="str">
        <f>IFERROR(__xludf.DUMMYFUNCTION("GOOGLETRANSLATE(E11, ""it"", ""en"")"),"Players must shout out their prediction within 5 seconds.")</f>
        <v>Players must shout out their prediction within 5 seconds.</v>
      </c>
      <c r="L11" s="2"/>
      <c r="M11" s="2"/>
      <c r="N11" s="2"/>
      <c r="O11" s="2"/>
      <c r="P11" s="2"/>
      <c r="Q11" s="2"/>
      <c r="R11" s="2"/>
      <c r="S11" s="2"/>
      <c r="T11" s="2"/>
      <c r="U11" s="2"/>
      <c r="V11" s="2"/>
      <c r="W11" s="2"/>
    </row>
    <row r="12" ht="22.5" customHeight="1">
      <c r="A12" s="3">
        <v>11.0</v>
      </c>
      <c r="B12" s="3" t="s">
        <v>2826</v>
      </c>
      <c r="C12" s="3" t="s">
        <v>101</v>
      </c>
      <c r="D12" s="3">
        <v>1.0</v>
      </c>
      <c r="E12" s="3" t="s">
        <v>2827</v>
      </c>
      <c r="F12" s="2"/>
      <c r="G12" s="3" t="str">
        <f>IFERROR(__xludf.DUMMYFUNCTION("GOOGLETRANSLATE(A12, ""it"", ""en"")"),"11")</f>
        <v>11</v>
      </c>
      <c r="H12" s="3" t="str">
        <f>IFERROR(__xludf.DUMMYFUNCTION("GOOGLETRANSLATE(B12, ""it"", ""en"")"),"How many hands can a player use in a single game of Morra?")</f>
        <v>How many hands can a player use in a single game of Morra?</v>
      </c>
      <c r="I12" s="3" t="str">
        <f>IFERROR(__xludf.DUMMYFUNCTION("GOOGLETRANSLATE(C12, ""it"", ""en"")"),"A. 1 B. 2 C. 3 D. 4")</f>
        <v>A. 1 B. 2 C. 3 D. 4</v>
      </c>
      <c r="J12" s="3" t="str">
        <f>IFERROR(__xludf.DUMMYFUNCTION("GOOGLETRANSLATE(D12, ""it"", ""en"")"),"1")</f>
        <v>1</v>
      </c>
      <c r="K12" s="3" t="str">
        <f>IFERROR(__xludf.DUMMYFUNCTION("GOOGLETRANSLATE(E12, ""it"", ""en"")"),"Usually one hand is used.")</f>
        <v>Usually one hand is used.</v>
      </c>
      <c r="L12" s="2"/>
      <c r="M12" s="2"/>
      <c r="N12" s="2"/>
      <c r="O12" s="2"/>
      <c r="P12" s="2"/>
      <c r="Q12" s="2"/>
      <c r="R12" s="2"/>
      <c r="S12" s="2"/>
      <c r="T12" s="2"/>
      <c r="U12" s="2"/>
      <c r="V12" s="2"/>
      <c r="W12" s="2"/>
    </row>
    <row r="13" ht="22.5" customHeight="1">
      <c r="A13" s="3">
        <v>12.0</v>
      </c>
      <c r="B13" s="3" t="s">
        <v>2828</v>
      </c>
      <c r="C13" s="3" t="s">
        <v>2829</v>
      </c>
      <c r="D13" s="3" t="s">
        <v>229</v>
      </c>
      <c r="E13" s="3" t="s">
        <v>2830</v>
      </c>
      <c r="F13" s="2"/>
      <c r="G13" s="3" t="str">
        <f>IFERROR(__xludf.DUMMYFUNCTION("GOOGLETRANSLATE(A13, ""it"", ""en"")"),"12")</f>
        <v>12</v>
      </c>
      <c r="H13" s="3" t="str">
        <f>IFERROR(__xludf.DUMMYFUNCTION("GOOGLETRANSLATE(B13, ""it"", ""en"")"),"What happens if a player shouts out an impossible number?")</f>
        <v>What happens if a player shouts out an impossible number?</v>
      </c>
      <c r="I13" s="3" t="str">
        <f>IFERROR(__xludf.DUMMYFUNCTION("GOOGLETRANSLATE(C13, ""it"", ""en"")"),"A. Automatically loses B. The turn is repeated C. Nothing happens D. Earns extra points")</f>
        <v>A. Automatically loses B. The turn is repeated C. Nothing happens D. Earns extra points</v>
      </c>
      <c r="J13" s="3" t="str">
        <f>IFERROR(__xludf.DUMMYFUNCTION("GOOGLETRANSLATE(D13, ""it"", ""en"")"),"It automatically loses")</f>
        <v>It automatically loses</v>
      </c>
      <c r="K13" s="3" t="str">
        <f>IFERROR(__xludf.DUMMYFUNCTION("GOOGLETRANSLATE(E13, ""it"", ""en"")"),"Shouting an impossible number results in a loss of turn.")</f>
        <v>Shouting an impossible number results in a loss of turn.</v>
      </c>
      <c r="L13" s="2"/>
      <c r="M13" s="2"/>
      <c r="N13" s="2"/>
      <c r="O13" s="2"/>
      <c r="P13" s="2"/>
      <c r="Q13" s="2"/>
      <c r="R13" s="2"/>
      <c r="S13" s="2"/>
      <c r="T13" s="2"/>
      <c r="U13" s="2"/>
      <c r="V13" s="2"/>
      <c r="W13" s="2"/>
    </row>
    <row r="14" ht="22.5" customHeight="1">
      <c r="A14" s="3">
        <v>13.0</v>
      </c>
      <c r="B14" s="3" t="s">
        <v>2831</v>
      </c>
      <c r="C14" s="3" t="s">
        <v>2832</v>
      </c>
      <c r="D14" s="3" t="s">
        <v>2833</v>
      </c>
      <c r="E14" s="3" t="s">
        <v>2834</v>
      </c>
      <c r="F14" s="2"/>
      <c r="G14" s="3" t="str">
        <f>IFERROR(__xludf.DUMMYFUNCTION("GOOGLETRANSLATE(A14, ""it"", ""en"")"),"13")</f>
        <v>13</v>
      </c>
      <c r="H14" s="3" t="str">
        <f>IFERROR(__xludf.DUMMYFUNCTION("GOOGLETRANSLATE(B14, ""it"", ""en"")"),"What is the origin of the game Morra?")</f>
        <v>What is the origin of the game Morra?</v>
      </c>
      <c r="I14" s="3" t="str">
        <f>IFERROR(__xludf.DUMMYFUNCTION("GOOGLETRANSLATE(C14, ""it"", ""en"")"),"A. Ancient Italy B. Medieval Germany C. 19th-century France D. Ancient Egypt")</f>
        <v>A. Ancient Italy B. Medieval Germany C. 19th-century France D. Ancient Egypt</v>
      </c>
      <c r="J14" s="3" t="str">
        <f>IFERROR(__xludf.DUMMYFUNCTION("GOOGLETRANSLATE(D14, ""it"", ""en"")"),"Ancient Italy")</f>
        <v>Ancient Italy</v>
      </c>
      <c r="K14" s="3" t="str">
        <f>IFERROR(__xludf.DUMMYFUNCTION("GOOGLETRANSLATE(E14, ""it"", ""en"")"),"The game has origins in ancient Italy.")</f>
        <v>The game has origins in ancient Italy.</v>
      </c>
      <c r="L14" s="2"/>
      <c r="M14" s="2"/>
      <c r="N14" s="2"/>
      <c r="O14" s="2"/>
      <c r="P14" s="2"/>
      <c r="Q14" s="2"/>
      <c r="R14" s="2"/>
      <c r="S14" s="2"/>
      <c r="T14" s="2"/>
      <c r="U14" s="2"/>
      <c r="V14" s="2"/>
      <c r="W14" s="2"/>
    </row>
    <row r="15" ht="22.5" customHeight="1">
      <c r="A15" s="3">
        <v>14.0</v>
      </c>
      <c r="B15" s="3" t="s">
        <v>2835</v>
      </c>
      <c r="C15" s="3" t="s">
        <v>2836</v>
      </c>
      <c r="D15" s="3" t="s">
        <v>2837</v>
      </c>
      <c r="E15" s="3" t="s">
        <v>2838</v>
      </c>
      <c r="F15" s="2"/>
      <c r="G15" s="3" t="str">
        <f>IFERROR(__xludf.DUMMYFUNCTION("GOOGLETRANSLATE(A15, ""it"", ""en"")"),"14")</f>
        <v>14</v>
      </c>
      <c r="H15" s="3" t="str">
        <f>IFERROR(__xludf.DUMMYFUNCTION("GOOGLETRANSLATE(B15, ""it"", ""en"")"),"Can Morra be played in a team?")</f>
        <v>Can Morra be played in a team?</v>
      </c>
      <c r="I15" s="3" t="str">
        <f>IFERROR(__xludf.DUMMYFUNCTION("GOOGLETRANSLATE(C15, ""it"", ""en"")"),"A. Yes B. No C. Only with 4 players D. Only with a referee")</f>
        <v>A. Yes B. No C. Only with 4 players D. Only with a referee</v>
      </c>
      <c r="J15" s="3" t="str">
        <f>IFERROR(__xludf.DUMMYFUNCTION("GOOGLETRANSLATE(D15, ""it"", ""en"")"),"Yes")</f>
        <v>Yes</v>
      </c>
      <c r="K15" s="3" t="str">
        <f>IFERROR(__xludf.DUMMYFUNCTION("GOOGLETRANSLATE(E15, ""it"", ""en"")"),"It can be played both individually and in teams.")</f>
        <v>It can be played both individually and in teams.</v>
      </c>
      <c r="L15" s="2"/>
      <c r="M15" s="2"/>
      <c r="N15" s="2"/>
      <c r="O15" s="2"/>
      <c r="P15" s="2"/>
      <c r="Q15" s="2"/>
      <c r="R15" s="2"/>
      <c r="S15" s="2"/>
      <c r="T15" s="2"/>
      <c r="U15" s="2"/>
      <c r="V15" s="2"/>
      <c r="W15" s="2"/>
    </row>
    <row r="16" ht="22.5" customHeight="1">
      <c r="A16" s="3">
        <v>15.0</v>
      </c>
      <c r="B16" s="3" t="s">
        <v>2839</v>
      </c>
      <c r="C16" s="3" t="s">
        <v>2840</v>
      </c>
      <c r="D16" s="3" t="s">
        <v>2841</v>
      </c>
      <c r="E16" s="3" t="s">
        <v>2842</v>
      </c>
      <c r="F16" s="2"/>
      <c r="G16" s="3" t="str">
        <f>IFERROR(__xludf.DUMMYFUNCTION("GOOGLETRANSLATE(A16, ""it"", ""en"")"),"15")</f>
        <v>15</v>
      </c>
      <c r="H16" s="3" t="str">
        <f>IFERROR(__xludf.DUMMYFUNCTION("GOOGLETRANSLATE(B16, ""it"", ""en"")"),"What happens if a player doesn't show any fingers?")</f>
        <v>What happens if a player doesn't show any fingers?</v>
      </c>
      <c r="I16" s="3" t="str">
        <f>IFERROR(__xludf.DUMMYFUNCTION("GOOGLETRANSLATE(C16, ""it"", ""en"")"),"A. The turn is void B. You lose the turn C. You gain points D. You continue without penalties")</f>
        <v>A. The turn is void B. You lose the turn C. You gain points D. You continue without penalties</v>
      </c>
      <c r="J16" s="3" t="str">
        <f>IFERROR(__xludf.DUMMYFUNCTION("GOOGLETRANSLATE(D16, ""it"", ""en"")"),"The shift is void")</f>
        <v>The shift is void</v>
      </c>
      <c r="K16" s="3" t="str">
        <f>IFERROR(__xludf.DUMMYFUNCTION("GOOGLETRANSLATE(E16, ""it"", ""en"")"),"Showing no fingers cancels your turn.")</f>
        <v>Showing no fingers cancels your turn.</v>
      </c>
      <c r="L16" s="2"/>
      <c r="M16" s="2"/>
      <c r="N16" s="2"/>
      <c r="O16" s="2"/>
      <c r="P16" s="2"/>
      <c r="Q16" s="2"/>
      <c r="R16" s="2"/>
      <c r="S16" s="2"/>
      <c r="T16" s="2"/>
      <c r="U16" s="2"/>
      <c r="V16" s="2"/>
      <c r="W16" s="2"/>
    </row>
    <row r="17" ht="22.5" customHeight="1">
      <c r="A17" s="3">
        <v>16.0</v>
      </c>
      <c r="B17" s="3" t="s">
        <v>2843</v>
      </c>
      <c r="C17" s="3" t="s">
        <v>2844</v>
      </c>
      <c r="D17" s="3">
        <v>0.0</v>
      </c>
      <c r="E17" s="3" t="s">
        <v>2845</v>
      </c>
      <c r="F17" s="2"/>
      <c r="G17" s="3" t="str">
        <f>IFERROR(__xludf.DUMMYFUNCTION("GOOGLETRANSLATE(A17, ""it"", ""en"")"),"16")</f>
        <v>16</v>
      </c>
      <c r="H17" s="3" t="str">
        <f>IFERROR(__xludf.DUMMYFUNCTION("GOOGLETRANSLATE(B17, ""it"", ""en"")"),"What is the minimum number of fingers a player can show?")</f>
        <v>What is the minimum number of fingers a player can show?</v>
      </c>
      <c r="I17" s="3" t="str">
        <f>IFERROR(__xludf.DUMMYFUNCTION("GOOGLETRANSLATE(C17, ""it"", ""en"")"),"A. 0 B. 1 C. 2 D. 3")</f>
        <v>A. 0 B. 1 C. 2 D. 3</v>
      </c>
      <c r="J17" s="3" t="str">
        <f>IFERROR(__xludf.DUMMYFUNCTION("GOOGLETRANSLATE(D17, ""it"", ""en"")"),"0")</f>
        <v>0</v>
      </c>
      <c r="K17" s="3" t="str">
        <f>IFERROR(__xludf.DUMMYFUNCTION("GOOGLETRANSLATE(E17, ""it"", ""en"")"),"A player may choose not to show any fingers.")</f>
        <v>A player may choose not to show any fingers.</v>
      </c>
      <c r="L17" s="2"/>
      <c r="M17" s="2"/>
      <c r="N17" s="2"/>
      <c r="O17" s="2"/>
      <c r="P17" s="2"/>
      <c r="Q17" s="2"/>
      <c r="R17" s="2"/>
      <c r="S17" s="2"/>
      <c r="T17" s="2"/>
      <c r="U17" s="2"/>
      <c r="V17" s="2"/>
      <c r="W17" s="2"/>
    </row>
    <row r="18" ht="22.5" customHeight="1">
      <c r="A18" s="3">
        <v>17.0</v>
      </c>
      <c r="B18" s="3" t="s">
        <v>2846</v>
      </c>
      <c r="C18" s="3" t="s">
        <v>2847</v>
      </c>
      <c r="D18" s="3" t="s">
        <v>2848</v>
      </c>
      <c r="E18" s="3" t="s">
        <v>2849</v>
      </c>
      <c r="F18" s="2"/>
      <c r="G18" s="3" t="str">
        <f>IFERROR(__xludf.DUMMYFUNCTION("GOOGLETRANSLATE(A18, ""it"", ""en"")"),"17")</f>
        <v>17</v>
      </c>
      <c r="H18" s="3" t="str">
        <f>IFERROR(__xludf.DUMMYFUNCTION("GOOGLETRANSLATE(B18, ""it"", ""en"")"),"What is the key element of Morra?")</f>
        <v>What is the key element of Morra?</v>
      </c>
      <c r="I18" s="3" t="str">
        <f>IFERROR(__xludf.DUMMYFUNCTION("GOOGLETRANSLATE(C18, ""it"", ""en"")"),"A. Speed ​​B. Memory C. Strategy D. Luck")</f>
        <v>A. Speed ​​B. Memory C. Strategy D. Luck</v>
      </c>
      <c r="J18" s="3" t="str">
        <f>IFERROR(__xludf.DUMMYFUNCTION("GOOGLETRANSLATE(D18, ""it"", ""en"")"),"The strategy")</f>
        <v>The strategy</v>
      </c>
      <c r="K18" s="3" t="str">
        <f>IFERROR(__xludf.DUMMYFUNCTION("GOOGLETRANSLATE(E18, ""it"", ""en"")"),"The key element is the strategy in predicting the sum.")</f>
        <v>The key element is the strategy in predicting the sum.</v>
      </c>
      <c r="L18" s="2"/>
      <c r="M18" s="2"/>
      <c r="N18" s="2"/>
      <c r="O18" s="2"/>
      <c r="P18" s="2"/>
      <c r="Q18" s="2"/>
      <c r="R18" s="2"/>
      <c r="S18" s="2"/>
      <c r="T18" s="2"/>
      <c r="U18" s="2"/>
      <c r="V18" s="2"/>
      <c r="W18" s="2"/>
    </row>
    <row r="19" ht="22.5" customHeight="1">
      <c r="A19" s="3">
        <v>18.0</v>
      </c>
      <c r="B19" s="3" t="s">
        <v>2850</v>
      </c>
      <c r="C19" s="3" t="s">
        <v>2851</v>
      </c>
      <c r="D19" s="3" t="s">
        <v>2852</v>
      </c>
      <c r="E19" s="3" t="s">
        <v>2853</v>
      </c>
      <c r="F19" s="2"/>
      <c r="G19" s="3" t="str">
        <f>IFERROR(__xludf.DUMMYFUNCTION("GOOGLETRANSLATE(A19, ""it"", ""en"")"),"18")</f>
        <v>18</v>
      </c>
      <c r="H19" s="3" t="str">
        <f>IFERROR(__xludf.DUMMYFUNCTION("GOOGLETRANSLATE(B19, ""it"", ""en"")"),"What does the term ""Morra"" represent in Italian?")</f>
        <v>What does the term "Morra" represent in Italian?</v>
      </c>
      <c r="I19" s="3" t="str">
        <f>IFERROR(__xludf.DUMMYFUNCTION("GOOGLETRANSLATE(C19, ""it"", ""en"")"),"A. A victory cry B. The sum of the fingers C. A rule of the game D. The name of the winner")</f>
        <v>A. A victory cry B. The sum of the fingers C. A rule of the game D. The name of the winner</v>
      </c>
      <c r="J19" s="3" t="str">
        <f>IFERROR(__xludf.DUMMYFUNCTION("GOOGLETRANSLATE(D19, ""it"", ""en"")"),"The sum of the fingers")</f>
        <v>The sum of the fingers</v>
      </c>
      <c r="K19" s="3" t="str">
        <f>IFERROR(__xludf.DUMMYFUNCTION("GOOGLETRANSLATE(E19, ""it"", ""en"")"),"The term refers to the sum total of the fingers.")</f>
        <v>The term refers to the sum total of the fingers.</v>
      </c>
      <c r="L19" s="2"/>
      <c r="M19" s="2"/>
      <c r="N19" s="2"/>
      <c r="O19" s="2"/>
      <c r="P19" s="2"/>
      <c r="Q19" s="2"/>
      <c r="R19" s="2"/>
      <c r="S19" s="2"/>
      <c r="T19" s="2"/>
      <c r="U19" s="2"/>
      <c r="V19" s="2"/>
      <c r="W19" s="2"/>
    </row>
    <row r="20" ht="22.5" customHeight="1">
      <c r="A20" s="3">
        <v>19.0</v>
      </c>
      <c r="B20" s="3" t="s">
        <v>2854</v>
      </c>
      <c r="C20" s="3" t="s">
        <v>2855</v>
      </c>
      <c r="D20" s="3" t="s">
        <v>2856</v>
      </c>
      <c r="E20" s="3" t="s">
        <v>2857</v>
      </c>
      <c r="F20" s="2"/>
      <c r="G20" s="3" t="str">
        <f>IFERROR(__xludf.DUMMYFUNCTION("GOOGLETRANSLATE(A20, ""it"", ""en"")"),"19")</f>
        <v>19</v>
      </c>
      <c r="H20" s="3" t="str">
        <f>IFERROR(__xludf.DUMMYFUNCTION("GOOGLETRANSLATE(B20, ""it"", ""en"")"),"Morra is considered a game of...")</f>
        <v>Morra is considered a game of...</v>
      </c>
      <c r="I20" s="3" t="str">
        <f>IFERROR(__xludf.DUMMYFUNCTION("GOOGLETRANSLATE(C20, ""it"", ""en"")"),"A. Pure skill B. Pure luck C. Skill and luck D. Physical strength")</f>
        <v>A. Pure skill B. Pure luck C. Skill and luck D. Physical strength</v>
      </c>
      <c r="J20" s="3" t="str">
        <f>IFERROR(__xludf.DUMMYFUNCTION("GOOGLETRANSLATE(D20, ""it"", ""en"")"),"Skill and luck")</f>
        <v>Skill and luck</v>
      </c>
      <c r="K20" s="3" t="str">
        <f>IFERROR(__xludf.DUMMYFUNCTION("GOOGLETRANSLATE(E20, ""it"", ""en"")"),"Morra requires a combination of strategic skill and luck.")</f>
        <v>Morra requires a combination of strategic skill and luck.</v>
      </c>
      <c r="L20" s="2"/>
      <c r="M20" s="2"/>
      <c r="N20" s="2"/>
      <c r="O20" s="2"/>
      <c r="P20" s="2"/>
      <c r="Q20" s="2"/>
      <c r="R20" s="2"/>
      <c r="S20" s="2"/>
      <c r="T20" s="2"/>
      <c r="U20" s="2"/>
      <c r="V20" s="2"/>
      <c r="W20" s="2"/>
    </row>
    <row r="21" ht="22.5" customHeight="1">
      <c r="A21" s="3">
        <v>20.0</v>
      </c>
      <c r="B21" s="3" t="s">
        <v>2858</v>
      </c>
      <c r="C21" s="3" t="s">
        <v>2859</v>
      </c>
      <c r="D21" s="3" t="s">
        <v>536</v>
      </c>
      <c r="E21" s="3" t="s">
        <v>2860</v>
      </c>
      <c r="F21" s="2"/>
      <c r="G21" s="3" t="str">
        <f>IFERROR(__xludf.DUMMYFUNCTION("GOOGLETRANSLATE(A21, ""it"", ""en"")"),"20")</f>
        <v>20</v>
      </c>
      <c r="H21" s="3" t="str">
        <f>IFERROR(__xludf.DUMMYFUNCTION("GOOGLETRANSLATE(B21, ""it"", ""en"")"),"Which of these is not a requirement to play Morra?")</f>
        <v>Which of these is not a requirement to play Morra?</v>
      </c>
      <c r="I21" s="3" t="str">
        <f>IFERROR(__xludf.DUMMYFUNCTION("GOOGLETRANSLATE(C21, ""it"", ""en"")"),"A. Mental speed B. A referee C. A playing partner D. Functioning fingers")</f>
        <v>A. Mental speed B. A referee C. A playing partner D. Functioning fingers</v>
      </c>
      <c r="J21" s="3" t="str">
        <f>IFERROR(__xludf.DUMMYFUNCTION("GOOGLETRANSLATE(D21, ""it"", ""en"")"),"A referee")</f>
        <v>A referee</v>
      </c>
      <c r="K21" s="3" t="str">
        <f>IFERROR(__xludf.DUMMYFUNCTION("GOOGLETRANSLATE(E21, ""it"", ""en"")"),"A referee is not strictly necessary to play.")</f>
        <v>A referee is not strictly necessary to play.</v>
      </c>
      <c r="L21" s="2"/>
      <c r="M21" s="2"/>
      <c r="N21" s="2"/>
      <c r="O21" s="2"/>
      <c r="P21" s="2"/>
      <c r="Q21" s="2"/>
      <c r="R21" s="2"/>
      <c r="S21" s="2"/>
      <c r="T21" s="2"/>
      <c r="U21" s="2"/>
      <c r="V21" s="2"/>
      <c r="W21" s="2"/>
    </row>
    <row r="22" ht="22.5" customHeight="1">
      <c r="A22" s="3">
        <v>21.0</v>
      </c>
      <c r="B22" s="3" t="s">
        <v>2861</v>
      </c>
      <c r="C22" s="3" t="s">
        <v>2862</v>
      </c>
      <c r="D22" s="3" t="s">
        <v>2863</v>
      </c>
      <c r="E22" s="3" t="s">
        <v>2864</v>
      </c>
      <c r="F22" s="2"/>
      <c r="G22" s="3" t="str">
        <f>IFERROR(__xludf.DUMMYFUNCTION("GOOGLETRANSLATE(A22, ""it"", ""en"")"),"21")</f>
        <v>21</v>
      </c>
      <c r="H22" s="3" t="str">
        <f>IFERROR(__xludf.DUMMYFUNCTION("GOOGLETRANSLATE(B22, ""it"", ""en"")"),"Can Morra be played silently?")</f>
        <v>Can Morra be played silently?</v>
      </c>
      <c r="I22" s="3" t="str">
        <f>IFERROR(__xludf.DUMMYFUNCTION("GOOGLETRANSLATE(C22, ""it"", ""en"")"),"A. No B. Yes C. but it's difficult D. Yes")</f>
        <v>A. No B. Yes C. but it's difficult D. Yes</v>
      </c>
      <c r="J22" s="3" t="str">
        <f>IFERROR(__xludf.DUMMYFUNCTION("GOOGLETRANSLATE(D22, ""it"", ""en"")"),"but with signals")</f>
        <v>but with signals</v>
      </c>
      <c r="K22" s="3" t="str">
        <f>IFERROR(__xludf.DUMMYFUNCTION("GOOGLETRANSLATE(E22, ""it"", ""en"")"),"Only with special rules")</f>
        <v>Only with special rules</v>
      </c>
      <c r="L22" s="2"/>
      <c r="M22" s="2"/>
      <c r="N22" s="2"/>
      <c r="O22" s="2"/>
      <c r="P22" s="2"/>
      <c r="Q22" s="2"/>
      <c r="R22" s="2"/>
      <c r="S22" s="2"/>
      <c r="T22" s="2"/>
      <c r="U22" s="2"/>
      <c r="V22" s="2"/>
      <c r="W22" s="2"/>
    </row>
    <row r="23" ht="22.5" customHeight="1">
      <c r="A23" s="3">
        <v>22.0</v>
      </c>
      <c r="B23" s="3" t="s">
        <v>2865</v>
      </c>
      <c r="C23" s="3" t="s">
        <v>2866</v>
      </c>
      <c r="D23" s="3" t="s">
        <v>2489</v>
      </c>
      <c r="E23" s="3" t="s">
        <v>2867</v>
      </c>
      <c r="F23" s="2"/>
      <c r="G23" s="3" t="str">
        <f>IFERROR(__xludf.DUMMYFUNCTION("GOOGLETRANSLATE(A23, ""it"", ""en"")"),"22")</f>
        <v>22</v>
      </c>
      <c r="H23" s="3" t="str">
        <f>IFERROR(__xludf.DUMMYFUNCTION("GOOGLETRANSLATE(B23, ""it"", ""en"")"),"What is the maximum score achievable in a round?")</f>
        <v>What is the maximum score achievable in a round?</v>
      </c>
      <c r="I23" s="3" t="str">
        <f>IFERROR(__xludf.DUMMYFUNCTION("GOOGLETRANSLATE(C23, ""it"", ""en"")"),"A. 5 B. 10 C. 15 D. There is no limit")</f>
        <v>A. 5 B. 10 C. 15 D. There is no limit</v>
      </c>
      <c r="J23" s="3" t="str">
        <f>IFERROR(__xludf.DUMMYFUNCTION("GOOGLETRANSLATE(D23, ""it"", ""en"")"),"There is no limit")</f>
        <v>There is no limit</v>
      </c>
      <c r="K23" s="3" t="str">
        <f>IFERROR(__xludf.DUMMYFUNCTION("GOOGLETRANSLATE(E23, ""it"", ""en"")"),"The score depends on the number of rounds played.")</f>
        <v>The score depends on the number of rounds played.</v>
      </c>
      <c r="L23" s="2"/>
      <c r="M23" s="2"/>
      <c r="N23" s="2"/>
      <c r="O23" s="2"/>
      <c r="P23" s="2"/>
      <c r="Q23" s="2"/>
      <c r="R23" s="2"/>
      <c r="S23" s="2"/>
      <c r="T23" s="2"/>
      <c r="U23" s="2"/>
      <c r="V23" s="2"/>
      <c r="W23" s="2"/>
    </row>
    <row r="24" ht="22.5" customHeight="1">
      <c r="A24" s="3">
        <v>23.0</v>
      </c>
      <c r="B24" s="3" t="s">
        <v>2868</v>
      </c>
      <c r="C24" s="3" t="s">
        <v>2869</v>
      </c>
      <c r="D24" s="3" t="s">
        <v>2870</v>
      </c>
      <c r="E24" s="3" t="s">
        <v>2871</v>
      </c>
      <c r="F24" s="2"/>
      <c r="G24" s="3" t="str">
        <f>IFERROR(__xludf.DUMMYFUNCTION("GOOGLETRANSLATE(A24, ""it"", ""en"")"),"23")</f>
        <v>23</v>
      </c>
      <c r="H24" s="3" t="str">
        <f>IFERROR(__xludf.DUMMYFUNCTION("GOOGLETRANSLATE(B24, ""it"", ""en"")"),"Morra is considered a game...")</f>
        <v>Morra is considered a game...</v>
      </c>
      <c r="I24" s="3" t="str">
        <f>IFERROR(__xludf.DUMMYFUNCTION("GOOGLETRANSLATE(C24, ""it"", ""en"")"),"A. Competitive B. Cooperative C. Individual D. Relaxing")</f>
        <v>A. Competitive B. Cooperative C. Individual D. Relaxing</v>
      </c>
      <c r="J24" s="3" t="str">
        <f>IFERROR(__xludf.DUMMYFUNCTION("GOOGLETRANSLATE(D24, ""it"", ""en"")"),"Competitive")</f>
        <v>Competitive</v>
      </c>
      <c r="K24" s="3" t="str">
        <f>IFERROR(__xludf.DUMMYFUNCTION("GOOGLETRANSLATE(E24, ""it"", ""en"")"),"It is a highly competitive game.")</f>
        <v>It is a highly competitive game.</v>
      </c>
      <c r="L24" s="2"/>
      <c r="M24" s="2"/>
      <c r="N24" s="2"/>
      <c r="O24" s="2"/>
      <c r="P24" s="2"/>
      <c r="Q24" s="2"/>
      <c r="R24" s="2"/>
      <c r="S24" s="2"/>
      <c r="T24" s="2"/>
      <c r="U24" s="2"/>
      <c r="V24" s="2"/>
      <c r="W24" s="2"/>
    </row>
    <row r="25" ht="22.5" customHeight="1">
      <c r="A25" s="3">
        <v>24.0</v>
      </c>
      <c r="B25" s="3" t="s">
        <v>2872</v>
      </c>
      <c r="C25" s="3" t="s">
        <v>2873</v>
      </c>
      <c r="D25" s="3" t="s">
        <v>2874</v>
      </c>
      <c r="E25" s="3" t="s">
        <v>2875</v>
      </c>
      <c r="F25" s="2"/>
      <c r="G25" s="3" t="str">
        <f>IFERROR(__xludf.DUMMYFUNCTION("GOOGLETRANSLATE(A25, ""it"", ""en"")"),"24")</f>
        <v>24</v>
      </c>
      <c r="H25" s="3" t="str">
        <f>IFERROR(__xludf.DUMMYFUNCTION("GOOGLETRANSLATE(B25, ""it"", ""en"")"),"In which Italian region is Morra particularly popular?")</f>
        <v>In which Italian region is Morra particularly popular?</v>
      </c>
      <c r="I25" s="3" t="str">
        <f>IFERROR(__xludf.DUMMYFUNCTION("GOOGLETRANSLATE(C25, ""it"", ""en"")"),"A. Sardinia B. Tuscany C. Veneto D. Lazio")</f>
        <v>A. Sardinia B. Tuscany C. Veneto D. Lazio</v>
      </c>
      <c r="J25" s="3" t="str">
        <f>IFERROR(__xludf.DUMMYFUNCTION("GOOGLETRANSLATE(D25, ""it"", ""en"")"),"Sardinia")</f>
        <v>Sardinia</v>
      </c>
      <c r="K25" s="3" t="str">
        <f>IFERROR(__xludf.DUMMYFUNCTION("GOOGLETRANSLATE(E25, ""it"", ""en"")"),"Morra is traditionally popular in Sardinia.")</f>
        <v>Morra is traditionally popular in Sardinia.</v>
      </c>
      <c r="L25" s="2"/>
      <c r="M25" s="2"/>
      <c r="N25" s="2"/>
      <c r="O25" s="2"/>
      <c r="P25" s="2"/>
      <c r="Q25" s="2"/>
      <c r="R25" s="2"/>
      <c r="S25" s="2"/>
      <c r="T25" s="2"/>
      <c r="U25" s="2"/>
      <c r="V25" s="2"/>
      <c r="W25" s="2"/>
    </row>
    <row r="26" ht="22.5" customHeight="1">
      <c r="A26" s="3">
        <v>25.0</v>
      </c>
      <c r="B26" s="3" t="s">
        <v>2876</v>
      </c>
      <c r="C26" s="3" t="s">
        <v>2877</v>
      </c>
      <c r="D26" s="3" t="s">
        <v>2878</v>
      </c>
      <c r="E26" s="3" t="s">
        <v>2879</v>
      </c>
      <c r="F26" s="2"/>
      <c r="G26" s="3" t="str">
        <f>IFERROR(__xludf.DUMMYFUNCTION("GOOGLETRANSLATE(A26, ""it"", ""en"")"),"25")</f>
        <v>25</v>
      </c>
      <c r="H26" s="3" t="str">
        <f>IFERROR(__xludf.DUMMYFUNCTION("GOOGLETRANSLATE(B26, ""it"", ""en"")"),"What is the advantage of playing Morra outdoors?")</f>
        <v>What is the advantage of playing Morra outdoors?</v>
      </c>
      <c r="I26" s="3" t="str">
        <f>IFERROR(__xludf.DUMMYFUNCTION("GOOGLETRANSLATE(C26, ""it"", ""en"")"),"A. Better visibility B. More space for the players C. Less noise D. More spectators")</f>
        <v>A. Better visibility B. More space for the players C. Less noise D. More spectators</v>
      </c>
      <c r="J26" s="3" t="str">
        <f>IFERROR(__xludf.DUMMYFUNCTION("GOOGLETRANSLATE(D26, ""it"", ""en"")"),"Better visibility")</f>
        <v>Better visibility</v>
      </c>
      <c r="K26" s="3" t="str">
        <f>IFERROR(__xludf.DUMMYFUNCTION("GOOGLETRANSLATE(E26, ""it"", ""en"")"),"Playing outdoors provides greater visibility for your hands.")</f>
        <v>Playing outdoors provides greater visibility for your hands.</v>
      </c>
      <c r="L26" s="2"/>
      <c r="M26" s="2"/>
      <c r="N26" s="2"/>
      <c r="O26" s="2"/>
      <c r="P26" s="2"/>
      <c r="Q26" s="2"/>
      <c r="R26" s="2"/>
      <c r="S26" s="2"/>
      <c r="T26" s="2"/>
      <c r="U26" s="2"/>
      <c r="V26" s="2"/>
      <c r="W26" s="2"/>
    </row>
    <row r="27" ht="22.5" customHeight="1">
      <c r="A27" s="3">
        <v>26.0</v>
      </c>
      <c r="B27" s="3" t="s">
        <v>2880</v>
      </c>
      <c r="C27" s="3" t="s">
        <v>2881</v>
      </c>
      <c r="D27" s="3" t="s">
        <v>2837</v>
      </c>
      <c r="E27" s="3" t="s">
        <v>2882</v>
      </c>
      <c r="F27" s="2"/>
      <c r="G27" s="3" t="str">
        <f>IFERROR(__xludf.DUMMYFUNCTION("GOOGLETRANSLATE(A27, ""it"", ""en"")"),"26")</f>
        <v>26</v>
      </c>
      <c r="H27" s="3" t="str">
        <f>IFERROR(__xludf.DUMMYFUNCTION("GOOGLETRANSLATE(B27, ""it"", ""en"")"),"Is Morra suitable for children?")</f>
        <v>Is Morra suitable for children?</v>
      </c>
      <c r="I27" s="3" t="str">
        <f>IFERROR(__xludf.DUMMYFUNCTION("GOOGLETRANSLATE(C27, ""it"", ""en"")"),"A. Yes B. No C. Only for children over 10 years old D. Only with adult supervision")</f>
        <v>A. Yes B. No C. Only for children over 10 years old D. Only with adult supervision</v>
      </c>
      <c r="J27" s="3" t="str">
        <f>IFERROR(__xludf.DUMMYFUNCTION("GOOGLETRANSLATE(D27, ""it"", ""en"")"),"Yes")</f>
        <v>Yes</v>
      </c>
      <c r="K27" s="3" t="str">
        <f>IFERROR(__xludf.DUMMYFUNCTION("GOOGLETRANSLATE(E27, ""it"", ""en"")"),"It's a simple game that's also suitable for children.")</f>
        <v>It's a simple game that's also suitable for children.</v>
      </c>
      <c r="L27" s="2"/>
      <c r="M27" s="2"/>
      <c r="N27" s="2"/>
      <c r="O27" s="2"/>
      <c r="P27" s="2"/>
      <c r="Q27" s="2"/>
      <c r="R27" s="2"/>
      <c r="S27" s="2"/>
      <c r="T27" s="2"/>
      <c r="U27" s="2"/>
      <c r="V27" s="2"/>
      <c r="W27" s="2"/>
    </row>
    <row r="28" ht="22.5" customHeight="1">
      <c r="A28" s="3">
        <v>27.0</v>
      </c>
      <c r="B28" s="3" t="s">
        <v>2883</v>
      </c>
      <c r="C28" s="3" t="s">
        <v>2884</v>
      </c>
      <c r="D28" s="3" t="s">
        <v>2885</v>
      </c>
      <c r="E28" s="3" t="s">
        <v>2886</v>
      </c>
      <c r="F28" s="2"/>
      <c r="G28" s="3" t="str">
        <f>IFERROR(__xludf.DUMMYFUNCTION("GOOGLETRANSLATE(A28, ""it"", ""en"")"),"27")</f>
        <v>27</v>
      </c>
      <c r="H28" s="3" t="str">
        <f>IFERROR(__xludf.DUMMYFUNCTION("GOOGLETRANSLATE(B28, ""it"", ""en"")"),"How many rounds are there in a standard game of Morra?")</f>
        <v>How many rounds are there in a standard game of Morra?</v>
      </c>
      <c r="I28" s="3" t="str">
        <f>IFERROR(__xludf.DUMMYFUNCTION("GOOGLETRANSLATE(C28, ""it"", ""en"")"),"A. 3 B. 5 C. 7 D. Variable")</f>
        <v>A. 3 B. 5 C. 7 D. Variable</v>
      </c>
      <c r="J28" s="3" t="str">
        <f>IFERROR(__xludf.DUMMYFUNCTION("GOOGLETRANSLATE(D28, ""it"", ""en"")"),"Variable")</f>
        <v>Variable</v>
      </c>
      <c r="K28" s="3" t="str">
        <f>IFERROR(__xludf.DUMMYFUNCTION("GOOGLETRANSLATE(E28, ""it"", ""en"")"),"The number of rounds may vary depending on the agreed upon rules.")</f>
        <v>The number of rounds may vary depending on the agreed upon rules.</v>
      </c>
      <c r="L28" s="2"/>
      <c r="M28" s="2"/>
      <c r="N28" s="2"/>
      <c r="O28" s="2"/>
      <c r="P28" s="2"/>
      <c r="Q28" s="2"/>
      <c r="R28" s="2"/>
      <c r="S28" s="2"/>
      <c r="T28" s="2"/>
      <c r="U28" s="2"/>
      <c r="V28" s="2"/>
      <c r="W28" s="2"/>
    </row>
    <row r="29" ht="22.5" customHeight="1">
      <c r="A29" s="3">
        <v>28.0</v>
      </c>
      <c r="B29" s="3" t="s">
        <v>2887</v>
      </c>
      <c r="C29" s="3" t="s">
        <v>2888</v>
      </c>
      <c r="D29" s="3" t="s">
        <v>2889</v>
      </c>
      <c r="E29" s="3" t="s">
        <v>2890</v>
      </c>
      <c r="F29" s="2"/>
      <c r="G29" s="3" t="str">
        <f>IFERROR(__xludf.DUMMYFUNCTION("GOOGLETRANSLATE(A29, ""it"", ""en"")"),"28")</f>
        <v>28</v>
      </c>
      <c r="H29" s="3" t="str">
        <f>IFERROR(__xludf.DUMMYFUNCTION("GOOGLETRANSLATE(B29, ""it"", ""en"")"),"What is the gesture of showing fingers called?")</f>
        <v>What is the gesture of showing fingers called?</v>
      </c>
      <c r="I29" s="3" t="str">
        <f>IFERROR(__xludf.DUMMYFUNCTION("GOOGLETRANSLATE(C29, ""it"", ""en"")"),"A. Sign B. Play C. Call D. Morra")</f>
        <v>A. Sign B. Play C. Call D. Morra</v>
      </c>
      <c r="J29" s="3" t="str">
        <f>IFERROR(__xludf.DUMMYFUNCTION("GOOGLETRANSLATE(D29, ""it"", ""en"")"),"Played")</f>
        <v>Played</v>
      </c>
      <c r="K29" s="3" t="str">
        <f>IFERROR(__xludf.DUMMYFUNCTION("GOOGLETRANSLATE(E29, ""it"", ""en"")"),"Showing your fingers is called ""playing.""")</f>
        <v>Showing your fingers is called "playing."</v>
      </c>
      <c r="L29" s="2"/>
      <c r="M29" s="2"/>
      <c r="N29" s="2"/>
      <c r="O29" s="2"/>
      <c r="P29" s="2"/>
      <c r="Q29" s="2"/>
      <c r="R29" s="2"/>
      <c r="S29" s="2"/>
      <c r="T29" s="2"/>
      <c r="U29" s="2"/>
      <c r="V29" s="2"/>
      <c r="W29" s="2"/>
    </row>
    <row r="30" ht="22.5" customHeight="1">
      <c r="A30" s="3">
        <v>29.0</v>
      </c>
      <c r="B30" s="3" t="s">
        <v>2891</v>
      </c>
      <c r="C30" s="3" t="s">
        <v>2892</v>
      </c>
      <c r="D30" s="3" t="s">
        <v>2893</v>
      </c>
      <c r="E30" s="3" t="s">
        <v>2894</v>
      </c>
      <c r="F30" s="2"/>
      <c r="G30" s="3" t="str">
        <f>IFERROR(__xludf.DUMMYFUNCTION("GOOGLETRANSLATE(A30, ""it"", ""en"")"),"29")</f>
        <v>29</v>
      </c>
      <c r="H30" s="3" t="str">
        <f>IFERROR(__xludf.DUMMYFUNCTION("GOOGLETRANSLATE(B30, ""it"", ""en"")"),"What is the risk of shouting a number too quickly?")</f>
        <v>What is the risk of shouting a number too quickly?</v>
      </c>
      <c r="I30" s="3" t="str">
        <f>IFERROR(__xludf.DUMMYFUNCTION("GOOGLETRANSLATE(C30, ""it"", ""en"")"),"A. Getting the sum wrong B. Confusing your opponent C. Getting disqualified D. Nothing")</f>
        <v>A. Getting the sum wrong B. Confusing your opponent C. Getting disqualified D. Nothing</v>
      </c>
      <c r="J30" s="3" t="str">
        <f>IFERROR(__xludf.DUMMYFUNCTION("GOOGLETRANSLATE(D30, ""it"", ""en"")"),"Getting the sum wrong")</f>
        <v>Getting the sum wrong</v>
      </c>
      <c r="K30" s="3" t="str">
        <f>IFERROR(__xludf.DUMMYFUNCTION("GOOGLETRANSLATE(E30, ""it"", ""en"")"),"Shouting too quickly can lead to errors in prediction.")</f>
        <v>Shouting too quickly can lead to errors in prediction.</v>
      </c>
      <c r="L30" s="2"/>
      <c r="M30" s="2"/>
      <c r="N30" s="2"/>
      <c r="O30" s="2"/>
      <c r="P30" s="2"/>
      <c r="Q30" s="2"/>
      <c r="R30" s="2"/>
      <c r="S30" s="2"/>
      <c r="T30" s="2"/>
      <c r="U30" s="2"/>
      <c r="V30" s="2"/>
      <c r="W30" s="2"/>
    </row>
    <row r="31" ht="22.5" customHeight="1">
      <c r="A31" s="3">
        <v>30.0</v>
      </c>
      <c r="B31" s="3" t="s">
        <v>2895</v>
      </c>
      <c r="C31" s="3" t="s">
        <v>2896</v>
      </c>
      <c r="D31" s="3" t="s">
        <v>2897</v>
      </c>
      <c r="E31" s="3" t="s">
        <v>2898</v>
      </c>
      <c r="F31" s="2"/>
      <c r="G31" s="3" t="str">
        <f>IFERROR(__xludf.DUMMYFUNCTION("GOOGLETRANSLATE(A31, ""it"", ""en"")"),"30")</f>
        <v>30</v>
      </c>
      <c r="H31" s="3" t="str">
        <f>IFERROR(__xludf.DUMMYFUNCTION("GOOGLETRANSLATE(B31, ""it"", ""en"")"),"Why is Morra considered a tradition?")</f>
        <v>Why is Morra considered a tradition?</v>
      </c>
      <c r="I31" s="3" t="str">
        <f>IFERROR(__xludf.DUMMYFUNCTION("GOOGLETRANSLATE(C31, ""it"", ""en"")"),"A. It is an ancient game B. It is played only in Italy C. It has very particular rules D. It is always accompanied by music")</f>
        <v>A. It is an ancient game B. It is played only in Italy C. It has very particular rules D. It is always accompanied by music</v>
      </c>
      <c r="J31" s="3" t="str">
        <f>IFERROR(__xludf.DUMMYFUNCTION("GOOGLETRANSLATE(D31, ""it"", ""en"")"),"It's an ancient game")</f>
        <v>It's an ancient game</v>
      </c>
      <c r="K31" s="3" t="str">
        <f>IFERROR(__xludf.DUMMYFUNCTION("GOOGLETRANSLATE(E31, ""it"", ""en"")"),"Morra is considered a tradition due to its historical origins.")</f>
        <v>Morra is considered a tradition due to its historical origins.</v>
      </c>
      <c r="L31" s="2"/>
      <c r="M31" s="2"/>
      <c r="N31" s="2"/>
      <c r="O31" s="2"/>
      <c r="P31" s="2"/>
      <c r="Q31" s="2"/>
      <c r="R31" s="2"/>
      <c r="S31" s="2"/>
      <c r="T31" s="2"/>
      <c r="U31" s="2"/>
      <c r="V31" s="2"/>
      <c r="W31" s="2"/>
    </row>
    <row r="32" ht="22.5" customHeight="1">
      <c r="A32" s="3">
        <v>31.0</v>
      </c>
      <c r="B32" s="3" t="s">
        <v>2899</v>
      </c>
      <c r="C32" s="3" t="s">
        <v>2900</v>
      </c>
      <c r="D32" s="3" t="s">
        <v>2901</v>
      </c>
      <c r="E32" s="3" t="s">
        <v>2902</v>
      </c>
      <c r="F32" s="2"/>
      <c r="G32" s="3" t="str">
        <f>IFERROR(__xludf.DUMMYFUNCTION("GOOGLETRANSLATE(A32, ""it"", ""en"")"),"31")</f>
        <v>31</v>
      </c>
      <c r="H32" s="3" t="str">
        <f>IFERROR(__xludf.DUMMYFUNCTION("GOOGLETRANSLATE(B32, ""it"", ""en"")"),"What is the sum of all the fingers shown in Morra called?")</f>
        <v>What is the sum of all the fingers shown in Morra called?</v>
      </c>
      <c r="I32" s="3" t="str">
        <f>IFERROR(__xludf.DUMMYFUNCTION("GOOGLETRANSLATE(C32, ""it"", ""en"")"),"A. Result B. Total number C. Call D. Score")</f>
        <v>A. Result B. Total number C. Call D. Score</v>
      </c>
      <c r="J32" s="3" t="str">
        <f>IFERROR(__xludf.DUMMYFUNCTION("GOOGLETRANSLATE(D32, ""it"", ""en"")"),"Total number")</f>
        <v>Total number</v>
      </c>
      <c r="K32" s="3" t="str">
        <f>IFERROR(__xludf.DUMMYFUNCTION("GOOGLETRANSLATE(E32, ""it"", ""en"")"),"The sum of all the fingers shown is called the ""total number"".")</f>
        <v>The sum of all the fingers shown is called the "total number".</v>
      </c>
      <c r="L32" s="2"/>
      <c r="M32" s="2"/>
      <c r="N32" s="2"/>
      <c r="O32" s="2"/>
      <c r="P32" s="2"/>
      <c r="Q32" s="2"/>
      <c r="R32" s="2"/>
      <c r="S32" s="2"/>
      <c r="T32" s="2"/>
      <c r="U32" s="2"/>
      <c r="V32" s="2"/>
      <c r="W32" s="2"/>
    </row>
    <row r="33" ht="22.5" customHeight="1">
      <c r="A33" s="3">
        <v>32.0</v>
      </c>
      <c r="B33" s="3" t="s">
        <v>2903</v>
      </c>
      <c r="C33" s="3" t="s">
        <v>2904</v>
      </c>
      <c r="D33" s="3" t="s">
        <v>2905</v>
      </c>
      <c r="E33" s="3" t="s">
        <v>2906</v>
      </c>
      <c r="F33" s="2"/>
      <c r="G33" s="3" t="str">
        <f>IFERROR(__xludf.DUMMYFUNCTION("GOOGLETRANSLATE(A33, ""it"", ""en"")"),"32")</f>
        <v>32</v>
      </c>
      <c r="H33" s="3" t="str">
        <f>IFERROR(__xludf.DUMMYFUNCTION("GOOGLETRANSLATE(B33, ""it"", ""en"")"),"What does the term ""chiamata"" mean in Morra?")</f>
        <v>What does the term "chiamata" mean in Morra?</v>
      </c>
      <c r="I33" s="3" t="str">
        <f>IFERROR(__xludf.DUMMYFUNCTION("GOOGLETRANSLATE(C33, ""it"", ""en"")"),"A. The number shouted by the player B. The fingers shown C. Winning a round D. The total points")</f>
        <v>A. The number shouted by the player B. The fingers shown C. Winning a round D. The total points</v>
      </c>
      <c r="J33" s="3" t="str">
        <f>IFERROR(__xludf.DUMMYFUNCTION("GOOGLETRANSLATE(D33, ""it"", ""en"")"),"The number shouted by the player")</f>
        <v>The number shouted by the player</v>
      </c>
      <c r="K33" s="3" t="str">
        <f>IFERROR(__xludf.DUMMYFUNCTION("GOOGLETRANSLATE(E33, ""it"", ""en"")"),"The ""call"" is the number the player predicts as the total sum.")</f>
        <v>The "call" is the number the player predicts as the total sum.</v>
      </c>
      <c r="L33" s="2"/>
      <c r="M33" s="2"/>
      <c r="N33" s="2"/>
      <c r="O33" s="2"/>
      <c r="P33" s="2"/>
      <c r="Q33" s="2"/>
      <c r="R33" s="2"/>
      <c r="S33" s="2"/>
      <c r="T33" s="2"/>
      <c r="U33" s="2"/>
      <c r="V33" s="2"/>
      <c r="W33" s="2"/>
    </row>
    <row r="34" ht="22.5" customHeight="1">
      <c r="A34" s="3">
        <v>33.0</v>
      </c>
      <c r="B34" s="3" t="s">
        <v>2907</v>
      </c>
      <c r="C34" s="3" t="s">
        <v>2908</v>
      </c>
      <c r="D34" s="3" t="s">
        <v>2909</v>
      </c>
      <c r="E34" s="3" t="s">
        <v>2910</v>
      </c>
      <c r="F34" s="2"/>
      <c r="G34" s="3" t="str">
        <f>IFERROR(__xludf.DUMMYFUNCTION("GOOGLETRANSLATE(A34, ""it"", ""en"")"),"33")</f>
        <v>33</v>
      </c>
      <c r="H34" s="3" t="str">
        <f>IFERROR(__xludf.DUMMYFUNCTION("GOOGLETRANSLATE(B34, ""it"", ""en"")"),"What is the penalty for cheating in Morra?")</f>
        <v>What is the penalty for cheating in Morra?</v>
      </c>
      <c r="I34" s="3" t="str">
        <f>IFERROR(__xludf.DUMMYFUNCTION("GOOGLETRANSLATE(C34, ""it"", ""en"")"),"A. Immediate disqualification B. Loss of points C. Victory for the opponent D. The round is repeated")</f>
        <v>A. Immediate disqualification B. Loss of points C. Victory for the opponent D. The round is repeated</v>
      </c>
      <c r="J34" s="3" t="str">
        <f>IFERROR(__xludf.DUMMYFUNCTION("GOOGLETRANSLATE(D34, ""it"", ""en"")"),"Immediate disqualification")</f>
        <v>Immediate disqualification</v>
      </c>
      <c r="K34" s="3" t="str">
        <f>IFERROR(__xludf.DUMMYFUNCTION("GOOGLETRANSLATE(E34, ""it"", ""en"")"),"Anyone who cheats is immediately disqualified from the match.")</f>
        <v>Anyone who cheats is immediately disqualified from the match.</v>
      </c>
      <c r="L34" s="2"/>
      <c r="M34" s="2"/>
      <c r="N34" s="2"/>
      <c r="O34" s="2"/>
      <c r="P34" s="2"/>
      <c r="Q34" s="2"/>
      <c r="R34" s="2"/>
      <c r="S34" s="2"/>
      <c r="T34" s="2"/>
      <c r="U34" s="2"/>
      <c r="V34" s="2"/>
      <c r="W34" s="2"/>
    </row>
    <row r="35" ht="22.5" customHeight="1">
      <c r="A35" s="3">
        <v>34.0</v>
      </c>
      <c r="B35" s="3" t="s">
        <v>2911</v>
      </c>
      <c r="C35" s="3" t="s">
        <v>2912</v>
      </c>
      <c r="D35" s="3" t="s">
        <v>2913</v>
      </c>
      <c r="E35" s="3" t="s">
        <v>2914</v>
      </c>
      <c r="F35" s="2"/>
      <c r="G35" s="3" t="str">
        <f>IFERROR(__xludf.DUMMYFUNCTION("GOOGLETRANSLATE(A35, ""it"", ""en"")"),"34")</f>
        <v>34</v>
      </c>
      <c r="H35" s="3" t="str">
        <f>IFERROR(__xludf.DUMMYFUNCTION("GOOGLETRANSLATE(B35, ""it"", ""en"")"),"How many players can participate in a group version of Morra?")</f>
        <v>How many players can participate in a group version of Morra?</v>
      </c>
      <c r="I35" s="3" t="str">
        <f>IFERROR(__xludf.DUMMYFUNCTION("GOOGLETRANSLATE(C35, ""it"", ""en"")"),"A. 3 B. 4 or more C. 2 or more D. 10 maximum")</f>
        <v>A. 3 B. 4 or more C. 2 or more D. 10 maximum</v>
      </c>
      <c r="J35" s="3" t="str">
        <f>IFERROR(__xludf.DUMMYFUNCTION("GOOGLETRANSLATE(D35, ""it"", ""en"")"),"2 or more")</f>
        <v>2 or more</v>
      </c>
      <c r="K35" s="3" t="str">
        <f>IFERROR(__xludf.DUMMYFUNCTION("GOOGLETRANSLATE(E35, ""it"", ""en"")"),"In the group version")</f>
        <v>In the group version</v>
      </c>
      <c r="L35" s="2"/>
      <c r="M35" s="2"/>
      <c r="N35" s="2"/>
      <c r="O35" s="2"/>
      <c r="P35" s="2"/>
      <c r="Q35" s="2"/>
      <c r="R35" s="2"/>
      <c r="S35" s="2"/>
      <c r="T35" s="2"/>
      <c r="U35" s="2"/>
      <c r="V35" s="2"/>
      <c r="W35" s="2"/>
    </row>
    <row r="36" ht="22.5" customHeight="1">
      <c r="A36" s="3">
        <v>35.0</v>
      </c>
      <c r="B36" s="3" t="s">
        <v>2915</v>
      </c>
      <c r="C36" s="3" t="s">
        <v>2916</v>
      </c>
      <c r="D36" s="3" t="s">
        <v>2917</v>
      </c>
      <c r="E36" s="3" t="s">
        <v>2918</v>
      </c>
      <c r="F36" s="2"/>
      <c r="G36" s="3" t="str">
        <f>IFERROR(__xludf.DUMMYFUNCTION("GOOGLETRANSLATE(A36, ""it"", ""en"")"),"35")</f>
        <v>35</v>
      </c>
      <c r="H36" s="3" t="str">
        <f>IFERROR(__xludf.DUMMYFUNCTION("GOOGLETRANSLATE(B36, ""it"", ""en"")"),"What is the importance of speed in Morra?")</f>
        <v>What is the importance of speed in Morra?</v>
      </c>
      <c r="I36" s="3" t="str">
        <f>IFERROR(__xludf.DUMMYFUNCTION("GOOGLETRANSLATE(C36, ""it"", ""en"")"),"A. It is essential to win B. It is not important C. It is only used for accuracy D. It determines the final score")</f>
        <v>A. It is essential to win B. It is not important C. It is only used for accuracy D. It determines the final score</v>
      </c>
      <c r="J36" s="3" t="str">
        <f>IFERROR(__xludf.DUMMYFUNCTION("GOOGLETRANSLATE(D36, ""it"", ""en"")"),"It is essential to win")</f>
        <v>It is essential to win</v>
      </c>
      <c r="K36" s="3" t="str">
        <f>IFERROR(__xludf.DUMMYFUNCTION("GOOGLETRANSLATE(E36, ""it"", ""en"")"),"Speed ​​is essential to shout before your opponent.")</f>
        <v>Speed ​​is essential to shout before your opponent.</v>
      </c>
      <c r="L36" s="2"/>
      <c r="M36" s="2"/>
      <c r="N36" s="2"/>
      <c r="O36" s="2"/>
      <c r="P36" s="2"/>
      <c r="Q36" s="2"/>
      <c r="R36" s="2"/>
      <c r="S36" s="2"/>
      <c r="T36" s="2"/>
      <c r="U36" s="2"/>
      <c r="V36" s="2"/>
      <c r="W36" s="2"/>
    </row>
    <row r="37" ht="22.5" customHeight="1">
      <c r="A37" s="3">
        <v>36.0</v>
      </c>
      <c r="B37" s="3" t="s">
        <v>2919</v>
      </c>
      <c r="C37" s="3" t="s">
        <v>2920</v>
      </c>
      <c r="D37" s="3" t="s">
        <v>2921</v>
      </c>
      <c r="E37" s="3" t="s">
        <v>2922</v>
      </c>
      <c r="F37" s="2"/>
      <c r="G37" s="3" t="str">
        <f>IFERROR(__xludf.DUMMYFUNCTION("GOOGLETRANSLATE(A37, ""it"", ""en"")"),"36")</f>
        <v>36</v>
      </c>
      <c r="H37" s="3" t="str">
        <f>IFERROR(__xludf.DUMMYFUNCTION("GOOGLETRANSLATE(B37, ""it"", ""en"")"),"When is a Morra turn considered valid?")</f>
        <v>When is a Morra turn considered valid?</v>
      </c>
      <c r="I37" s="3" t="str">
        <f>IFERROR(__xludf.DUMMYFUNCTION("GOOGLETRANSLATE(C37, ""it"", ""en"")"),"A. When both players show their fingers and shout the number B. When only one player shouts the number C. When the score reaches 10 points D. When the referee gives the go-ahead")</f>
        <v>A. When both players show their fingers and shout the number B. When only one player shouts the number C. When the score reaches 10 points D. When the referee gives the go-ahead</v>
      </c>
      <c r="J37" s="3" t="str">
        <f>IFERROR(__xludf.DUMMYFUNCTION("GOOGLETRANSLATE(D37, ""it"", ""en"")"),"When they both show their fingers and shout the number")</f>
        <v>When they both show their fingers and shout the number</v>
      </c>
      <c r="K37" s="3" t="str">
        <f>IFERROR(__xludf.DUMMYFUNCTION("GOOGLETRANSLATE(E37, ""it"", ""en"")"),"A valid turn requires both players to participate simultaneously.")</f>
        <v>A valid turn requires both players to participate simultaneously.</v>
      </c>
      <c r="L37" s="2"/>
      <c r="M37" s="2"/>
      <c r="N37" s="2"/>
      <c r="O37" s="2"/>
      <c r="P37" s="2"/>
      <c r="Q37" s="2"/>
      <c r="R37" s="2"/>
      <c r="S37" s="2"/>
      <c r="T37" s="2"/>
      <c r="U37" s="2"/>
      <c r="V37" s="2"/>
      <c r="W37" s="2"/>
    </row>
    <row r="38" ht="22.5" customHeight="1">
      <c r="A38" s="3">
        <v>37.0</v>
      </c>
      <c r="B38" s="3" t="s">
        <v>2923</v>
      </c>
      <c r="C38" s="3" t="s">
        <v>2924</v>
      </c>
      <c r="D38" s="3" t="s">
        <v>2925</v>
      </c>
      <c r="E38" s="3" t="s">
        <v>2926</v>
      </c>
      <c r="F38" s="2"/>
      <c r="G38" s="3" t="str">
        <f>IFERROR(__xludf.DUMMYFUNCTION("GOOGLETRANSLATE(A38, ""it"", ""en"")"),"37")</f>
        <v>37</v>
      </c>
      <c r="H38" s="3" t="str">
        <f>IFERROR(__xludf.DUMMYFUNCTION("GOOGLETRANSLATE(B38, ""it"", ""en"")"),"How are points calculated in Morra?")</f>
        <v>How are points calculated in Morra?</v>
      </c>
      <c r="I38" s="3" t="str">
        <f>IFERROR(__xludf.DUMMYFUNCTION("GOOGLETRANSLATE(C38, ""it"", ""en"")"),"A. 1 point for each guessed sum B. 2 points for each round won C. 1 point for each call D. 2 points for each round completed")</f>
        <v>A. 1 point for each guessed sum B. 2 points for each round won C. 1 point for each call D. 2 points for each round completed</v>
      </c>
      <c r="J38" s="3" t="str">
        <f>IFERROR(__xludf.DUMMYFUNCTION("GOOGLETRANSLATE(D38, ""it"", ""en"")"),"1 point for each guessed sum")</f>
        <v>1 point for each guessed sum</v>
      </c>
      <c r="K38" s="3" t="str">
        <f>IFERROR(__xludf.DUMMYFUNCTION("GOOGLETRANSLATE(E38, ""it"", ""en"")"),"Each correct sum is worth one point.")</f>
        <v>Each correct sum is worth one point.</v>
      </c>
      <c r="L38" s="2"/>
      <c r="M38" s="2"/>
      <c r="N38" s="2"/>
      <c r="O38" s="2"/>
      <c r="P38" s="2"/>
      <c r="Q38" s="2"/>
      <c r="R38" s="2"/>
      <c r="S38" s="2"/>
      <c r="T38" s="2"/>
      <c r="U38" s="2"/>
      <c r="V38" s="2"/>
      <c r="W38" s="2"/>
    </row>
    <row r="39" ht="22.5" customHeight="1">
      <c r="A39" s="3">
        <v>38.0</v>
      </c>
      <c r="B39" s="3" t="s">
        <v>2927</v>
      </c>
      <c r="C39" s="3" t="s">
        <v>2928</v>
      </c>
      <c r="D39" s="3" t="s">
        <v>2929</v>
      </c>
      <c r="E39" s="3" t="s">
        <v>2930</v>
      </c>
      <c r="F39" s="2"/>
      <c r="G39" s="3" t="str">
        <f>IFERROR(__xludf.DUMMYFUNCTION("GOOGLETRANSLATE(A39, ""it"", ""en"")"),"38")</f>
        <v>38</v>
      </c>
      <c r="H39" s="3" t="str">
        <f>IFERROR(__xludf.DUMMYFUNCTION("GOOGLETRANSLATE(B39, ""it"", ""en"")"),"How many types of strategies can you use in Morra?")</f>
        <v>How many types of strategies can you use in Morra?</v>
      </c>
      <c r="I39" s="3" t="str">
        <f>IFERROR(__xludf.DUMMYFUNCTION("GOOGLETRANSLATE(C39, ""it"", ""en"")"),"A. None B. At least 2 C. Infinite D. 1 main")</f>
        <v>A. None B. At least 2 C. Infinite D. 1 main</v>
      </c>
      <c r="J39" s="3" t="str">
        <f>IFERROR(__xludf.DUMMYFUNCTION("GOOGLETRANSLATE(D39, ""it"", ""en"")"),"Infinite")</f>
        <v>Infinite</v>
      </c>
      <c r="K39" s="3" t="str">
        <f>IFERROR(__xludf.DUMMYFUNCTION("GOOGLETRANSLATE(E39, ""it"", ""en"")"),"Strategies may vary depending on the players.")</f>
        <v>Strategies may vary depending on the players.</v>
      </c>
      <c r="L39" s="2"/>
      <c r="M39" s="2"/>
      <c r="N39" s="2"/>
      <c r="O39" s="2"/>
      <c r="P39" s="2"/>
      <c r="Q39" s="2"/>
      <c r="R39" s="2"/>
      <c r="S39" s="2"/>
      <c r="T39" s="2"/>
      <c r="U39" s="2"/>
      <c r="V39" s="2"/>
      <c r="W39" s="2"/>
    </row>
    <row r="40" ht="22.5" customHeight="1">
      <c r="A40" s="3">
        <v>39.0</v>
      </c>
      <c r="B40" s="3" t="s">
        <v>2931</v>
      </c>
      <c r="C40" s="3" t="s">
        <v>2932</v>
      </c>
      <c r="D40" s="3" t="s">
        <v>2933</v>
      </c>
      <c r="E40" s="3" t="s">
        <v>2934</v>
      </c>
      <c r="F40" s="2"/>
      <c r="G40" s="3" t="str">
        <f>IFERROR(__xludf.DUMMYFUNCTION("GOOGLETRANSLATE(A40, ""it"", ""en"")"),"39")</f>
        <v>39</v>
      </c>
      <c r="H40" s="3" t="str">
        <f>IFERROR(__xludf.DUMMYFUNCTION("GOOGLETRANSLATE(B40, ""it"", ""en"")"),"What does ""Morra a squadra"" mean?")</f>
        <v>What does "Morra a squadra" mean?</v>
      </c>
      <c r="I40" s="3" t="str">
        <f>IFERROR(__xludf.DUMMYFUNCTION("GOOGLETRANSLATE(C40, ""it"", ""en"")"),"A. Each team has more players B. It is played in pairs against pairs C. It is a tournament between teams D. It is played with special rules")</f>
        <v>A. Each team has more players B. It is played in pairs against pairs C. It is a tournament between teams D. It is played with special rules</v>
      </c>
      <c r="J40" s="3" t="str">
        <f>IFERROR(__xludf.DUMMYFUNCTION("GOOGLETRANSLATE(D40, ""it"", ""en"")"),"It is played in pairs against pairs")</f>
        <v>It is played in pairs against pairs</v>
      </c>
      <c r="K40" s="3" t="str">
        <f>IFERROR(__xludf.DUMMYFUNCTION("GOOGLETRANSLATE(E40, ""it"", ""en"")"),"In the team version, you play in pairs.")</f>
        <v>In the team version, you play in pairs.</v>
      </c>
      <c r="L40" s="2"/>
      <c r="M40" s="2"/>
      <c r="N40" s="2"/>
      <c r="O40" s="2"/>
      <c r="P40" s="2"/>
      <c r="Q40" s="2"/>
      <c r="R40" s="2"/>
      <c r="S40" s="2"/>
      <c r="T40" s="2"/>
      <c r="U40" s="2"/>
      <c r="V40" s="2"/>
      <c r="W40" s="2"/>
    </row>
    <row r="41" ht="22.5" customHeight="1">
      <c r="A41" s="3">
        <v>40.0</v>
      </c>
      <c r="B41" s="3" t="s">
        <v>2935</v>
      </c>
      <c r="C41" s="3" t="s">
        <v>2936</v>
      </c>
      <c r="D41" s="3" t="s">
        <v>2937</v>
      </c>
      <c r="E41" s="3" t="s">
        <v>2938</v>
      </c>
      <c r="F41" s="2"/>
      <c r="G41" s="3" t="str">
        <f>IFERROR(__xludf.DUMMYFUNCTION("GOOGLETRANSLATE(A41, ""it"", ""en"")"),"40")</f>
        <v>40</v>
      </c>
      <c r="H41" s="3" t="str">
        <f>IFERROR(__xludf.DUMMYFUNCTION("GOOGLETRANSLATE(B41, ""it"", ""en"")"),"What is the gesture of shouting a number called in Morra?")</f>
        <v>What is the gesture of shouting a number called in Morra?</v>
      </c>
      <c r="I41" s="3" t="str">
        <f>IFERROR(__xludf.DUMMYFUNCTION("GOOGLETRANSLATE(C41, ""it"", ""en"")"),"A. Move B. Voice C. Play D. Call")</f>
        <v>A. Move B. Voice C. Play D. Call</v>
      </c>
      <c r="J41" s="3" t="str">
        <f>IFERROR(__xludf.DUMMYFUNCTION("GOOGLETRANSLATE(D41, ""it"", ""en"")"),"Call")</f>
        <v>Call</v>
      </c>
      <c r="K41" s="3" t="str">
        <f>IFERROR(__xludf.DUMMYFUNCTION("GOOGLETRANSLATE(E41, ""it"", ""en"")"),"Shouting out a number is called ""calling.""")</f>
        <v>Shouting out a number is called "calling."</v>
      </c>
      <c r="L41" s="2"/>
      <c r="M41" s="2"/>
      <c r="N41" s="2"/>
      <c r="O41" s="2"/>
      <c r="P41" s="2"/>
      <c r="Q41" s="2"/>
      <c r="R41" s="2"/>
      <c r="S41" s="2"/>
      <c r="T41" s="2"/>
      <c r="U41" s="2"/>
      <c r="V41" s="2"/>
      <c r="W41" s="2"/>
    </row>
    <row r="42" ht="22.5" customHeight="1">
      <c r="A42" s="3">
        <v>41.0</v>
      </c>
      <c r="B42" s="3" t="s">
        <v>2939</v>
      </c>
      <c r="C42" s="3" t="s">
        <v>2940</v>
      </c>
      <c r="D42" s="3" t="s">
        <v>2941</v>
      </c>
      <c r="E42" s="3" t="s">
        <v>2942</v>
      </c>
      <c r="F42" s="2"/>
      <c r="G42" s="3" t="str">
        <f>IFERROR(__xludf.DUMMYFUNCTION("GOOGLETRANSLATE(A42, ""it"", ""en"")"),"41")</f>
        <v>41</v>
      </c>
      <c r="H42" s="3" t="str">
        <f>IFERROR(__xludf.DUMMYFUNCTION("GOOGLETRANSLATE(B42, ""it"", ""en"")"),"When is Morra often played in Italy?")</f>
        <v>When is Morra often played in Italy?</v>
      </c>
      <c r="I42" s="3" t="str">
        <f>IFERROR(__xludf.DUMMYFUNCTION("GOOGLETRANSLATE(C42, ""it"", ""en"")"),"A. During traditional celebrations B. In schools C. During religious events D. In national championships")</f>
        <v>A. During traditional celebrations B. In schools C. During religious events D. In national championships</v>
      </c>
      <c r="J42" s="3" t="str">
        <f>IFERROR(__xludf.DUMMYFUNCTION("GOOGLETRANSLATE(D42, ""it"", ""en"")"),"During traditional holidays")</f>
        <v>During traditional holidays</v>
      </c>
      <c r="K42" s="3" t="str">
        <f>IFERROR(__xludf.DUMMYFUNCTION("GOOGLETRANSLATE(E42, ""it"", ""en"")"),"It is often played during local festivals or fairs.")</f>
        <v>It is often played during local festivals or fairs.</v>
      </c>
      <c r="L42" s="2"/>
      <c r="M42" s="2"/>
      <c r="N42" s="2"/>
      <c r="O42" s="2"/>
      <c r="P42" s="2"/>
      <c r="Q42" s="2"/>
      <c r="R42" s="2"/>
      <c r="S42" s="2"/>
      <c r="T42" s="2"/>
      <c r="U42" s="2"/>
      <c r="V42" s="2"/>
      <c r="W42" s="2"/>
    </row>
    <row r="43" ht="22.5" customHeight="1">
      <c r="A43" s="3">
        <v>42.0</v>
      </c>
      <c r="B43" s="3" t="s">
        <v>2943</v>
      </c>
      <c r="C43" s="3" t="s">
        <v>2944</v>
      </c>
      <c r="D43" s="3" t="s">
        <v>2837</v>
      </c>
      <c r="E43" s="3" t="s">
        <v>2945</v>
      </c>
      <c r="F43" s="2"/>
      <c r="G43" s="3" t="str">
        <f>IFERROR(__xludf.DUMMYFUNCTION("GOOGLETRANSLATE(A43, ""it"", ""en"")"),"42")</f>
        <v>42</v>
      </c>
      <c r="H43" s="3" t="str">
        <f>IFERROR(__xludf.DUMMYFUNCTION("GOOGLETRANSLATE(B43, ""it"", ""en"")"),"Is Morra included in official competitions?")</f>
        <v>Is Morra included in official competitions?</v>
      </c>
      <c r="I43" s="3" t="str">
        <f>IFERROR(__xludf.DUMMYFUNCTION("GOOGLETRANSLATE(C43, ""it"", ""en"")"),"A. Yes B. No C. Only in amateur tournaments D. Only in Sardinia")</f>
        <v>A. Yes B. No C. Only in amateur tournaments D. Only in Sardinia</v>
      </c>
      <c r="J43" s="3" t="str">
        <f>IFERROR(__xludf.DUMMYFUNCTION("GOOGLETRANSLATE(D43, ""it"", ""en"")"),"Yes")</f>
        <v>Yes</v>
      </c>
      <c r="K43" s="3" t="str">
        <f>IFERROR(__xludf.DUMMYFUNCTION("GOOGLETRANSLATE(E43, ""it"", ""en"")"),"In some regions it is present in official competitions.")</f>
        <v>In some regions it is present in official competitions.</v>
      </c>
      <c r="L43" s="2"/>
      <c r="M43" s="2"/>
      <c r="N43" s="2"/>
      <c r="O43" s="2"/>
      <c r="P43" s="2"/>
      <c r="Q43" s="2"/>
      <c r="R43" s="2"/>
      <c r="S43" s="2"/>
      <c r="T43" s="2"/>
      <c r="U43" s="2"/>
      <c r="V43" s="2"/>
      <c r="W43" s="2"/>
    </row>
    <row r="44" ht="22.5" customHeight="1">
      <c r="A44" s="3">
        <v>43.0</v>
      </c>
      <c r="B44" s="3" t="s">
        <v>2946</v>
      </c>
      <c r="C44" s="3" t="s">
        <v>2947</v>
      </c>
      <c r="D44" s="3" t="s">
        <v>2948</v>
      </c>
      <c r="E44" s="3" t="s">
        <v>2949</v>
      </c>
      <c r="F44" s="2"/>
      <c r="G44" s="3" t="str">
        <f>IFERROR(__xludf.DUMMYFUNCTION("GOOGLETRANSLATE(A44, ""it"", ""en"")"),"43")</f>
        <v>43</v>
      </c>
      <c r="H44" s="3" t="str">
        <f>IFERROR(__xludf.DUMMYFUNCTION("GOOGLETRANSLATE(B44, ""it"", ""en"")"),"How many fingers does the winner show in a perfect play?")</f>
        <v>How many fingers does the winner show in a perfect play?</v>
      </c>
      <c r="I44" s="3" t="str">
        <f>IFERROR(__xludf.DUMMYFUNCTION("GOOGLETRANSLATE(C44, ""it"", ""en"")"),"A. All five B. None C. Three D. It is not relevant")</f>
        <v>A. All five B. None C. Three D. It is not relevant</v>
      </c>
      <c r="J44" s="3" t="str">
        <f>IFERROR(__xludf.DUMMYFUNCTION("GOOGLETRANSLATE(D44, ""it"", ""en"")"),"It is not relevant")</f>
        <v>It is not relevant</v>
      </c>
      <c r="K44" s="3" t="str">
        <f>IFERROR(__xludf.DUMMYFUNCTION("GOOGLETRANSLATE(E44, ""it"", ""en"")"),"The amount shown depends on the strategy and is not a fixed factor.")</f>
        <v>The amount shown depends on the strategy and is not a fixed factor.</v>
      </c>
      <c r="L44" s="2"/>
      <c r="M44" s="2"/>
      <c r="N44" s="2"/>
      <c r="O44" s="2"/>
      <c r="P44" s="2"/>
      <c r="Q44" s="2"/>
      <c r="R44" s="2"/>
      <c r="S44" s="2"/>
      <c r="T44" s="2"/>
      <c r="U44" s="2"/>
      <c r="V44" s="2"/>
      <c r="W44" s="2"/>
    </row>
    <row r="45" ht="22.5" customHeight="1">
      <c r="A45" s="3">
        <v>44.0</v>
      </c>
      <c r="B45" s="3" t="s">
        <v>2950</v>
      </c>
      <c r="C45" s="3" t="s">
        <v>2951</v>
      </c>
      <c r="D45" s="3" t="s">
        <v>2952</v>
      </c>
      <c r="E45" s="3" t="s">
        <v>2953</v>
      </c>
      <c r="F45" s="2"/>
      <c r="G45" s="3" t="str">
        <f>IFERROR(__xludf.DUMMYFUNCTION("GOOGLETRANSLATE(A45, ""it"", ""en"")"),"44")</f>
        <v>44</v>
      </c>
      <c r="H45" s="3" t="str">
        <f>IFERROR(__xludf.DUMMYFUNCTION("GOOGLETRANSLATE(B45, ""it"", ""en"")"),"How many types of calls are possible in two-handed Morra?")</f>
        <v>How many types of calls are possible in two-handed Morra?</v>
      </c>
      <c r="I45" s="3" t="str">
        <f>IFERROR(__xludf.DUMMYFUNCTION("GOOGLETRANSLATE(C45, ""it"", ""en"")"),"A. 0 to 10 B. 0 to 5 C. 0 to 20 D. Unlimited")</f>
        <v>A. 0 to 10 B. 0 to 5 C. 0 to 20 D. Unlimited</v>
      </c>
      <c r="J45" s="3" t="str">
        <f>IFERROR(__xludf.DUMMYFUNCTION("GOOGLETRANSLATE(D45, ""it"", ""en"")"),"From 0 to 10")</f>
        <v>From 0 to 10</v>
      </c>
      <c r="K45" s="3" t="str">
        <f>IFERROR(__xludf.DUMMYFUNCTION("GOOGLETRANSLATE(E45, ""it"", ""en"")"),"With one hand per player")</f>
        <v>With one hand per player</v>
      </c>
      <c r="L45" s="2"/>
      <c r="M45" s="2"/>
      <c r="N45" s="2"/>
      <c r="O45" s="2"/>
      <c r="P45" s="2"/>
      <c r="Q45" s="2"/>
      <c r="R45" s="2"/>
      <c r="S45" s="2"/>
      <c r="T45" s="2"/>
      <c r="U45" s="2"/>
      <c r="V45" s="2"/>
      <c r="W45" s="2"/>
    </row>
    <row r="46" ht="22.5" customHeight="1">
      <c r="A46" s="3">
        <v>45.0</v>
      </c>
      <c r="B46" s="3" t="s">
        <v>2954</v>
      </c>
      <c r="C46" s="3" t="s">
        <v>2955</v>
      </c>
      <c r="D46" s="3" t="s">
        <v>2956</v>
      </c>
      <c r="E46" s="3" t="s">
        <v>2957</v>
      </c>
      <c r="F46" s="2"/>
      <c r="G46" s="3" t="str">
        <f>IFERROR(__xludf.DUMMYFUNCTION("GOOGLETRANSLATE(A46, ""it"", ""en"")"),"45")</f>
        <v>45</v>
      </c>
      <c r="H46" s="3" t="str">
        <f>IFERROR(__xludf.DUMMYFUNCTION("GOOGLETRANSLATE(B46, ""it"", ""en"")"),"What is the best environment to play Morra?")</f>
        <v>What is the best environment to play Morra?</v>
      </c>
      <c r="I46" s="3" t="str">
        <f>IFERROR(__xludf.DUMMYFUNCTION("GOOGLETRANSLATE(C46, ""it"", ""en"")"),"A. Quiet and well lit B. Noisy with lots of people C. In the shade D. Anywhere with space")</f>
        <v>A. Quiet and well lit B. Noisy with lots of people C. In the shade D. Anywhere with space</v>
      </c>
      <c r="J46" s="3" t="str">
        <f>IFERROR(__xludf.DUMMYFUNCTION("GOOGLETRANSLATE(D46, ""it"", ""en"")"),"Quiet and well lit")</f>
        <v>Quiet and well lit</v>
      </c>
      <c r="K46" s="3" t="str">
        <f>IFERROR(__xludf.DUMMYFUNCTION("GOOGLETRANSLATE(E46, ""it"", ""en"")"),"A quiet environment promotes concentration.")</f>
        <v>A quiet environment promotes concentration.</v>
      </c>
      <c r="L46" s="2"/>
      <c r="M46" s="2"/>
      <c r="N46" s="2"/>
      <c r="O46" s="2"/>
      <c r="P46" s="2"/>
      <c r="Q46" s="2"/>
      <c r="R46" s="2"/>
      <c r="S46" s="2"/>
      <c r="T46" s="2"/>
      <c r="U46" s="2"/>
      <c r="V46" s="2"/>
      <c r="W46" s="2"/>
    </row>
    <row r="47" ht="22.5" customHeight="1">
      <c r="A47" s="3">
        <v>46.0</v>
      </c>
      <c r="B47" s="3" t="s">
        <v>2958</v>
      </c>
      <c r="C47" s="3" t="s">
        <v>2959</v>
      </c>
      <c r="D47" s="3" t="s">
        <v>2960</v>
      </c>
      <c r="E47" s="3" t="s">
        <v>2837</v>
      </c>
      <c r="F47" s="2"/>
      <c r="G47" s="3" t="str">
        <f>IFERROR(__xludf.DUMMYFUNCTION("GOOGLETRANSLATE(A47, ""it"", ""en"")"),"46")</f>
        <v>46</v>
      </c>
      <c r="H47" s="3" t="str">
        <f>IFERROR(__xludf.DUMMYFUNCTION("GOOGLETRANSLATE(B47, ""it"", ""en"")"),"Can Morra be played online?")</f>
        <v>Can Morra be played online?</v>
      </c>
      <c r="I47" s="3" t="str">
        <f>IFERROR(__xludf.DUMMYFUNCTION("GOOGLETRANSLATE(C47, ""it"", ""en"")"),"A. No B. Yes C. with digital versions D. Only on smartphones")</f>
        <v>A. No B. Yes C. with digital versions D. Only on smartphones</v>
      </c>
      <c r="J47" s="3" t="str">
        <f>IFERROR(__xludf.DUMMYFUNCTION("GOOGLETRANSLATE(D47, ""it"", ""en"")"),"It is not yet developed")</f>
        <v>It is not yet developed</v>
      </c>
      <c r="K47" s="3" t="str">
        <f>IFERROR(__xludf.DUMMYFUNCTION("GOOGLETRANSLATE(E47, ""it"", ""en"")"),"Yes")</f>
        <v>Yes</v>
      </c>
      <c r="L47" s="2"/>
      <c r="M47" s="2"/>
      <c r="N47" s="2"/>
      <c r="O47" s="2"/>
      <c r="P47" s="2"/>
      <c r="Q47" s="2"/>
      <c r="R47" s="2"/>
      <c r="S47" s="2"/>
      <c r="T47" s="2"/>
      <c r="U47" s="2"/>
      <c r="V47" s="2"/>
      <c r="W47" s="2"/>
    </row>
    <row r="48" ht="22.5" customHeight="1">
      <c r="A48" s="3">
        <v>47.0</v>
      </c>
      <c r="B48" s="3" t="s">
        <v>2961</v>
      </c>
      <c r="C48" s="3" t="s">
        <v>2962</v>
      </c>
      <c r="D48" s="3" t="s">
        <v>2963</v>
      </c>
      <c r="E48" s="3" t="s">
        <v>2964</v>
      </c>
      <c r="F48" s="2"/>
      <c r="G48" s="3" t="str">
        <f>IFERROR(__xludf.DUMMYFUNCTION("GOOGLETRANSLATE(A48, ""it"", ""en"")"),"47")</f>
        <v>47</v>
      </c>
      <c r="H48" s="3" t="str">
        <f>IFERROR(__xludf.DUMMYFUNCTION("GOOGLETRANSLATE(B48, ""it"", ""en"")"),"What happens if two players show the same number of fingers?")</f>
        <v>What happens if two players show the same number of fingers?</v>
      </c>
      <c r="I48" s="3" t="str">
        <f>IFERROR(__xludf.DUMMYFUNCTION("GOOGLETRANSLATE(C48, ""it"", ""en"")"),"A. The first player to call wins. B. The turn is cancelled. C. Both players lose. D. The turn is repeated.")</f>
        <v>A. The first player to call wins. B. The turn is cancelled. C. Both players lose. D. The turn is repeated.</v>
      </c>
      <c r="J48" s="3" t="str">
        <f>IFERROR(__xludf.DUMMYFUNCTION("GOOGLETRANSLATE(D48, ""it"", ""en"")"),"The shift is cancelled")</f>
        <v>The shift is cancelled</v>
      </c>
      <c r="K48" s="3" t="str">
        <f>IFERROR(__xludf.DUMMYFUNCTION("GOOGLETRANSLATE(E48, ""it"", ""en"")"),"When they show the same number")</f>
        <v>When they show the same number</v>
      </c>
      <c r="L48" s="2"/>
      <c r="M48" s="2"/>
      <c r="N48" s="2"/>
      <c r="O48" s="2"/>
      <c r="P48" s="2"/>
      <c r="Q48" s="2"/>
      <c r="R48" s="2"/>
      <c r="S48" s="2"/>
      <c r="T48" s="2"/>
      <c r="U48" s="2"/>
      <c r="V48" s="2"/>
      <c r="W48" s="2"/>
    </row>
    <row r="49" ht="22.5" customHeight="1">
      <c r="A49" s="3">
        <v>48.0</v>
      </c>
      <c r="B49" s="3" t="s">
        <v>2965</v>
      </c>
      <c r="C49" s="3" t="s">
        <v>2966</v>
      </c>
      <c r="D49" s="3" t="s">
        <v>2967</v>
      </c>
      <c r="E49" s="3" t="s">
        <v>2968</v>
      </c>
      <c r="F49" s="2"/>
      <c r="G49" s="3" t="str">
        <f>IFERROR(__xludf.DUMMYFUNCTION("GOOGLETRANSLATE(A49, ""it"", ""en"")"),"48")</f>
        <v>48</v>
      </c>
      <c r="H49" s="3" t="str">
        <f>IFERROR(__xludf.DUMMYFUNCTION("GOOGLETRANSLATE(B49, ""it"", ""en"")"),"What is the key factor in anticipating the opponent?")</f>
        <v>What is the key factor in anticipating the opponent?</v>
      </c>
      <c r="I49" s="3" t="str">
        <f>IFERROR(__xludf.DUMMYFUNCTION("GOOGLETRANSLATE(C49, ""it"", ""en"")"),"A. Know his habits B. Be faster C. Confuse him D. There is no key factor")</f>
        <v>A. Know his habits B. Be faster C. Confuse him D. There is no key factor</v>
      </c>
      <c r="J49" s="3" t="str">
        <f>IFERROR(__xludf.DUMMYFUNCTION("GOOGLETRANSLATE(D49, ""it"", ""en"")"),"Knowing his habits")</f>
        <v>Knowing his habits</v>
      </c>
      <c r="K49" s="3" t="str">
        <f>IFERROR(__xludf.DUMMYFUNCTION("GOOGLETRANSLATE(E49, ""it"", ""en"")"),"Understanding your opponent's habits helps you predict their moves.")</f>
        <v>Understanding your opponent's habits helps you predict their moves.</v>
      </c>
      <c r="L49" s="2"/>
      <c r="M49" s="2"/>
      <c r="N49" s="2"/>
      <c r="O49" s="2"/>
      <c r="P49" s="2"/>
      <c r="Q49" s="2"/>
      <c r="R49" s="2"/>
      <c r="S49" s="2"/>
      <c r="T49" s="2"/>
      <c r="U49" s="2"/>
      <c r="V49" s="2"/>
      <c r="W49" s="2"/>
    </row>
    <row r="50" ht="22.5" customHeight="1">
      <c r="A50" s="3">
        <v>49.0</v>
      </c>
      <c r="B50" s="3" t="s">
        <v>2969</v>
      </c>
      <c r="C50" s="3" t="s">
        <v>2970</v>
      </c>
      <c r="D50" s="3" t="s">
        <v>2971</v>
      </c>
      <c r="E50" s="3" t="s">
        <v>2972</v>
      </c>
      <c r="F50" s="2"/>
      <c r="G50" s="3" t="str">
        <f>IFERROR(__xludf.DUMMYFUNCTION("GOOGLETRANSLATE(A50, ""it"", ""en"")"),"49")</f>
        <v>49</v>
      </c>
      <c r="H50" s="3" t="str">
        <f>IFERROR(__xludf.DUMMYFUNCTION("GOOGLETRANSLATE(B50, ""it"", ""en"")"),"What does the cry represent in Morra?")</f>
        <v>What does the cry represent in Morra?</v>
      </c>
      <c r="I50" s="3" t="str">
        <f>IFERROR(__xludf.DUMMYFUNCTION("GOOGLETRANSLATE(C50, ""it"", ""en"")"),"A. The expected total amount B. A warning C. A reminder to play D. A provocation")</f>
        <v>A. The expected total amount B. A warning C. A reminder to play D. A provocation</v>
      </c>
      <c r="J50" s="3" t="str">
        <f>IFERROR(__xludf.DUMMYFUNCTION("GOOGLETRANSLATE(D50, ""it"", ""en"")"),"The total amount expected")</f>
        <v>The total amount expected</v>
      </c>
      <c r="K50" s="3" t="str">
        <f>IFERROR(__xludf.DUMMYFUNCTION("GOOGLETRANSLATE(E50, ""it"", ""en"")"),"The cry represents the prediction of the total sum of the fingers.")</f>
        <v>The cry represents the prediction of the total sum of the fingers.</v>
      </c>
      <c r="L50" s="2"/>
      <c r="M50" s="2"/>
      <c r="N50" s="2"/>
      <c r="O50" s="2"/>
      <c r="P50" s="2"/>
      <c r="Q50" s="2"/>
      <c r="R50" s="2"/>
      <c r="S50" s="2"/>
      <c r="T50" s="2"/>
      <c r="U50" s="2"/>
      <c r="V50" s="2"/>
      <c r="W50" s="2"/>
    </row>
    <row r="51" ht="22.5" customHeight="1">
      <c r="A51" s="3">
        <v>50.0</v>
      </c>
      <c r="B51" s="3" t="s">
        <v>2973</v>
      </c>
      <c r="C51" s="3" t="s">
        <v>2974</v>
      </c>
      <c r="D51" s="3" t="s">
        <v>1332</v>
      </c>
      <c r="E51" s="3" t="s">
        <v>2975</v>
      </c>
      <c r="F51" s="2"/>
      <c r="G51" s="3" t="str">
        <f>IFERROR(__xludf.DUMMYFUNCTION("GOOGLETRANSLATE(A51, ""it"", ""en"")"),"50")</f>
        <v>50</v>
      </c>
      <c r="H51" s="3" t="str">
        <f>IFERROR(__xludf.DUMMYFUNCTION("GOOGLETRANSLATE(B51, ""it"", ""en"")"),"Which body part is essential for playing Morra?")</f>
        <v>Which body part is essential for playing Morra?</v>
      </c>
      <c r="I51" s="3" t="str">
        <f>IFERROR(__xludf.DUMMYFUNCTION("GOOGLETRANSLATE(C51, ""it"", ""en"")"),"A. Hand B. Eyes C. Voice D. All of the above")</f>
        <v>A. Hand B. Eyes C. Voice D. All of the above</v>
      </c>
      <c r="J51" s="3" t="str">
        <f>IFERROR(__xludf.DUMMYFUNCTION("GOOGLETRANSLATE(D51, ""it"", ""en"")"),"All of the above")</f>
        <v>All of the above</v>
      </c>
      <c r="K51" s="3" t="str">
        <f>IFERROR(__xludf.DUMMYFUNCTION("GOOGLETRANSLATE(E51, ""it"", ""en"")"),"Hands are needed")</f>
        <v>Hands are needed</v>
      </c>
      <c r="L51" s="2"/>
      <c r="M51" s="2"/>
      <c r="N51" s="2"/>
      <c r="O51" s="2"/>
      <c r="P51" s="2"/>
      <c r="Q51" s="2"/>
      <c r="R51" s="2"/>
      <c r="S51" s="2"/>
      <c r="T51" s="2"/>
      <c r="U51" s="2"/>
      <c r="V51" s="2"/>
      <c r="W51" s="2"/>
    </row>
    <row r="52" ht="22.5" customHeight="1">
      <c r="A52" s="3">
        <v>51.0</v>
      </c>
      <c r="B52" s="3" t="s">
        <v>2976</v>
      </c>
      <c r="C52" s="3" t="s">
        <v>2977</v>
      </c>
      <c r="D52" s="3" t="s">
        <v>2978</v>
      </c>
      <c r="E52" s="3" t="s">
        <v>2979</v>
      </c>
      <c r="F52" s="2"/>
      <c r="G52" s="3" t="str">
        <f>IFERROR(__xludf.DUMMYFUNCTION("GOOGLETRANSLATE(A52, ""it"", ""en"")"),"51")</f>
        <v>51</v>
      </c>
      <c r="H52" s="3" t="str">
        <f>IFERROR(__xludf.DUMMYFUNCTION("GOOGLETRANSLATE(B52, ""it"", ""en"")"),"What makes Morra a popular game?")</f>
        <v>What makes Morra a popular game?</v>
      </c>
      <c r="I52" s="3" t="str">
        <f>IFERROR(__xludf.DUMMYFUNCTION("GOOGLETRANSLATE(C52, ""it"", ""en"")"),"A. Simple rules and speed B. Requires a lot of equipment C. It is a slow game D. Has many prizes")</f>
        <v>A. Simple rules and speed B. Requires a lot of equipment C. It is a slow game D. Has many prizes</v>
      </c>
      <c r="J52" s="3" t="str">
        <f>IFERROR(__xludf.DUMMYFUNCTION("GOOGLETRANSLATE(D52, ""it"", ""en"")"),"Simple rules and speed")</f>
        <v>Simple rules and speed</v>
      </c>
      <c r="K52" s="3" t="str">
        <f>IFERROR(__xludf.DUMMYFUNCTION("GOOGLETRANSLATE(E52, ""it"", ""en"")"),"The easy rules and speed of the game make it popular.")</f>
        <v>The easy rules and speed of the game make it popular.</v>
      </c>
      <c r="L52" s="2"/>
      <c r="M52" s="2"/>
      <c r="N52" s="2"/>
      <c r="O52" s="2"/>
      <c r="P52" s="2"/>
      <c r="Q52" s="2"/>
      <c r="R52" s="2"/>
      <c r="S52" s="2"/>
      <c r="T52" s="2"/>
      <c r="U52" s="2"/>
      <c r="V52" s="2"/>
      <c r="W52" s="2"/>
    </row>
    <row r="53" ht="22.5" customHeight="1">
      <c r="A53" s="3">
        <v>52.0</v>
      </c>
      <c r="B53" s="3" t="s">
        <v>2980</v>
      </c>
      <c r="C53" s="3" t="s">
        <v>2981</v>
      </c>
      <c r="D53" s="3" t="s">
        <v>2982</v>
      </c>
      <c r="E53" s="3" t="s">
        <v>2983</v>
      </c>
      <c r="F53" s="2"/>
      <c r="G53" s="3" t="str">
        <f>IFERROR(__xludf.DUMMYFUNCTION("GOOGLETRANSLATE(A53, ""it"", ""en"")"),"52")</f>
        <v>52</v>
      </c>
      <c r="H53" s="3" t="str">
        <f>IFERROR(__xludf.DUMMYFUNCTION("GOOGLETRANSLATE(B53, ""it"", ""en"")"),"When is the end of a Morra game declared?")</f>
        <v>When is the end of a Morra game declared?</v>
      </c>
      <c r="I53" s="3" t="str">
        <f>IFERROR(__xludf.DUMMYFUNCTION("GOOGLETRANSLATE(C53, ""it"", ""en"")"),"A. When a player reaches a certain score B. When the referee decides C. After 5 rounds D. After 30 minutes")</f>
        <v>A. When a player reaches a certain score B. When the referee decides C. After 5 rounds D. After 30 minutes</v>
      </c>
      <c r="J53" s="3" t="str">
        <f>IFERROR(__xludf.DUMMYFUNCTION("GOOGLETRANSLATE(D53, ""it"", ""en"")"),"When a player reaches a certain score")</f>
        <v>When a player reaches a certain score</v>
      </c>
      <c r="K53" s="3" t="str">
        <f>IFERROR(__xludf.DUMMYFUNCTION("GOOGLETRANSLATE(E53, ""it"", ""en"")"),"The game ends when one player reaches the predetermined score.")</f>
        <v>The game ends when one player reaches the predetermined score.</v>
      </c>
      <c r="L53" s="2"/>
      <c r="M53" s="2"/>
      <c r="N53" s="2"/>
      <c r="O53" s="2"/>
      <c r="P53" s="2"/>
      <c r="Q53" s="2"/>
      <c r="R53" s="2"/>
      <c r="S53" s="2"/>
      <c r="T53" s="2"/>
      <c r="U53" s="2"/>
      <c r="V53" s="2"/>
      <c r="W53" s="2"/>
    </row>
    <row r="54" ht="22.5" customHeight="1">
      <c r="A54" s="3">
        <v>53.0</v>
      </c>
      <c r="B54" s="3" t="s">
        <v>2984</v>
      </c>
      <c r="C54" s="3" t="s">
        <v>2985</v>
      </c>
      <c r="D54" s="3" t="s">
        <v>2986</v>
      </c>
      <c r="E54" s="3" t="s">
        <v>1209</v>
      </c>
      <c r="F54" s="2"/>
      <c r="G54" s="3" t="str">
        <f>IFERROR(__xludf.DUMMYFUNCTION("GOOGLETRANSLATE(A54, ""it"", ""en"")"),"53")</f>
        <v>53</v>
      </c>
      <c r="H54" s="3" t="str">
        <f>IFERROR(__xludf.DUMMYFUNCTION("GOOGLETRANSLATE(B54, ""it"", ""en"")"),"Can Morra be played with more than two hands?")</f>
        <v>Can Morra be played with more than two hands?</v>
      </c>
      <c r="I54" s="3" t="str">
        <f>IFERROR(__xludf.DUMMYFUNCTION("GOOGLETRANSLATE(C54, ""it"", ""en"")"),"A. No B. Yes C. but it's complicated D. Not officially")</f>
        <v>A. No B. Yes C. but it's complicated D. Not officially</v>
      </c>
      <c r="J54" s="3" t="str">
        <f>IFERROR(__xludf.DUMMYFUNCTION("GOOGLETRANSLATE(D54, ""it"", ""en"")"),"Only in special tournaments")</f>
        <v>Only in special tournaments</v>
      </c>
      <c r="K54" s="3" t="str">
        <f>IFERROR(__xludf.DUMMYFUNCTION("GOOGLETRANSLATE(E54, ""it"", ""en"")"),"No")</f>
        <v>No</v>
      </c>
      <c r="L54" s="2"/>
      <c r="M54" s="2"/>
      <c r="N54" s="2"/>
      <c r="O54" s="2"/>
      <c r="P54" s="2"/>
      <c r="Q54" s="2"/>
      <c r="R54" s="2"/>
      <c r="S54" s="2"/>
      <c r="T54" s="2"/>
      <c r="U54" s="2"/>
      <c r="V54" s="2"/>
      <c r="W54" s="2"/>
    </row>
    <row r="55" ht="22.5" customHeight="1">
      <c r="A55" s="3">
        <v>54.0</v>
      </c>
      <c r="B55" s="3" t="s">
        <v>2987</v>
      </c>
      <c r="C55" s="3" t="s">
        <v>2988</v>
      </c>
      <c r="D55" s="3" t="s">
        <v>2989</v>
      </c>
      <c r="E55" s="3" t="s">
        <v>2990</v>
      </c>
      <c r="F55" s="2"/>
      <c r="G55" s="3" t="str">
        <f>IFERROR(__xludf.DUMMYFUNCTION("GOOGLETRANSLATE(A55, ""it"", ""en"")"),"54")</f>
        <v>54</v>
      </c>
      <c r="H55" s="3" t="str">
        <f>IFERROR(__xludf.DUMMYFUNCTION("GOOGLETRANSLATE(B55, ""it"", ""en"")"),"What is an intentional error called in Morra?")</f>
        <v>What is an intentional error called in Morra?</v>
      </c>
      <c r="I55" s="3" t="str">
        <f>IFERROR(__xludf.DUMMYFUNCTION("GOOGLETRANSLATE(C55, ""it"", ""en"")"),"A. Fraud B. Foul C. Bluff D. Wrong move")</f>
        <v>A. Fraud B. Foul C. Bluff D. Wrong move</v>
      </c>
      <c r="J55" s="3" t="str">
        <f>IFERROR(__xludf.DUMMYFUNCTION("GOOGLETRANSLATE(D55, ""it"", ""en"")"),"Foul")</f>
        <v>Foul</v>
      </c>
      <c r="K55" s="3" t="str">
        <f>IFERROR(__xludf.DUMMYFUNCTION("GOOGLETRANSLATE(E55, ""it"", ""en"")"),"Intentional errors are considered fouls.")</f>
        <v>Intentional errors are considered fouls.</v>
      </c>
      <c r="L55" s="2"/>
      <c r="M55" s="2"/>
      <c r="N55" s="2"/>
      <c r="O55" s="2"/>
      <c r="P55" s="2"/>
      <c r="Q55" s="2"/>
      <c r="R55" s="2"/>
      <c r="S55" s="2"/>
      <c r="T55" s="2"/>
      <c r="U55" s="2"/>
      <c r="V55" s="2"/>
      <c r="W55" s="2"/>
    </row>
    <row r="56" ht="22.5" customHeight="1">
      <c r="A56" s="3">
        <v>55.0</v>
      </c>
      <c r="B56" s="3" t="s">
        <v>2991</v>
      </c>
      <c r="C56" s="3" t="s">
        <v>2992</v>
      </c>
      <c r="D56" s="3" t="s">
        <v>2993</v>
      </c>
      <c r="E56" s="3" t="s">
        <v>2994</v>
      </c>
      <c r="F56" s="2"/>
      <c r="G56" s="3" t="str">
        <f>IFERROR(__xludf.DUMMYFUNCTION("GOOGLETRANSLATE(A56, ""it"", ""en"")"),"55")</f>
        <v>55</v>
      </c>
      <c r="H56" s="3" t="str">
        <f>IFERROR(__xludf.DUMMYFUNCTION("GOOGLETRANSLATE(B56, ""it"", ""en"")"),"What is the goal of a team in Morra?")</f>
        <v>What is the goal of a team in Morra?</v>
      </c>
      <c r="I56" s="3" t="str">
        <f>IFERROR(__xludf.DUMMYFUNCTION("GOOGLETRANSLATE(C56, ""it"", ""en"")"),"A. Guessing the sum more times B. Confusing the other team C. Shouting louder D. Showing more fingers")</f>
        <v>A. Guessing the sum more times B. Confusing the other team C. Shouting louder D. Showing more fingers</v>
      </c>
      <c r="J56" s="3" t="str">
        <f>IFERROR(__xludf.DUMMYFUNCTION("GOOGLETRANSLATE(D56, ""it"", ""en"")"),"Guessing the sum multiple times")</f>
        <v>Guessing the sum multiple times</v>
      </c>
      <c r="K56" s="3" t="str">
        <f>IFERROR(__xludf.DUMMYFUNCTION("GOOGLETRANSLATE(E56, ""it"", ""en"")"),"The goal is to guess the correct number more times than your opponent.")</f>
        <v>The goal is to guess the correct number more times than your opponent.</v>
      </c>
      <c r="L56" s="2"/>
      <c r="M56" s="2"/>
      <c r="N56" s="2"/>
      <c r="O56" s="2"/>
      <c r="P56" s="2"/>
      <c r="Q56" s="2"/>
      <c r="R56" s="2"/>
      <c r="S56" s="2"/>
      <c r="T56" s="2"/>
      <c r="U56" s="2"/>
      <c r="V56" s="2"/>
      <c r="W56" s="2"/>
    </row>
    <row r="57" ht="22.5" customHeight="1">
      <c r="A57" s="3">
        <v>56.0</v>
      </c>
      <c r="B57" s="3" t="s">
        <v>2995</v>
      </c>
      <c r="C57" s="3" t="s">
        <v>2996</v>
      </c>
      <c r="D57" s="3" t="s">
        <v>616</v>
      </c>
      <c r="E57" s="3" t="s">
        <v>2997</v>
      </c>
      <c r="F57" s="2"/>
      <c r="G57" s="3" t="str">
        <f>IFERROR(__xludf.DUMMYFUNCTION("GOOGLETRANSLATE(A57, ""it"", ""en"")"),"56")</f>
        <v>56</v>
      </c>
      <c r="H57" s="3" t="str">
        <f>IFERROR(__xludf.DUMMYFUNCTION("GOOGLETRANSLATE(B57, ""it"", ""en"")"),"What happens if no one guesses the sum in a round?")</f>
        <v>What happens if no one guesses the sum in a round?</v>
      </c>
      <c r="I57" s="3" t="str">
        <f>IFERROR(__xludf.DUMMYFUNCTION("GOOGLETRANSLATE(C57, ""it"", ""en"")"),"A. No one gets points B. Both get points C. The round is repeated D. A bonus point is added")</f>
        <v>A. No one gets points B. Both get points C. The round is repeated D. A bonus point is added</v>
      </c>
      <c r="J57" s="3" t="str">
        <f>IFERROR(__xludf.DUMMYFUNCTION("GOOGLETRANSLATE(D57, ""it"", ""en"")"),"No one gets any points")</f>
        <v>No one gets any points</v>
      </c>
      <c r="K57" s="3" t="str">
        <f>IFERROR(__xludf.DUMMYFUNCTION("GOOGLETRANSLATE(E57, ""it"", ""en"")"),"If nobody guesses")</f>
        <v>If nobody guesses</v>
      </c>
      <c r="L57" s="2"/>
      <c r="M57" s="2"/>
      <c r="N57" s="2"/>
      <c r="O57" s="2"/>
      <c r="P57" s="2"/>
      <c r="Q57" s="2"/>
      <c r="R57" s="2"/>
      <c r="S57" s="2"/>
      <c r="T57" s="2"/>
      <c r="U57" s="2"/>
      <c r="V57" s="2"/>
      <c r="W57" s="2"/>
    </row>
    <row r="58" ht="22.5" customHeight="1">
      <c r="A58" s="3">
        <v>57.0</v>
      </c>
      <c r="B58" s="3" t="s">
        <v>2998</v>
      </c>
      <c r="C58" s="3" t="s">
        <v>2999</v>
      </c>
      <c r="D58" s="3" t="s">
        <v>3000</v>
      </c>
      <c r="E58" s="3" t="s">
        <v>3001</v>
      </c>
      <c r="F58" s="2"/>
      <c r="G58" s="3" t="str">
        <f>IFERROR(__xludf.DUMMYFUNCTION("GOOGLETRANSLATE(A58, ""it"", ""en"")"),"57")</f>
        <v>57</v>
      </c>
      <c r="H58" s="3" t="str">
        <f>IFERROR(__xludf.DUMMYFUNCTION("GOOGLETRANSLATE(B58, ""it"", ""en"")"),"How many types of variants does Morra have?")</f>
        <v>How many types of variants does Morra have?</v>
      </c>
      <c r="I58" s="3" t="str">
        <f>IFERROR(__xludf.DUMMYFUNCTION("GOOGLETRANSLATE(C58, ""it"", ""en"")"),"A. None B. At least 3 C. Unlimited D. Only one official one")</f>
        <v>A. None B. At least 3 C. Unlimited D. Only one official one</v>
      </c>
      <c r="J58" s="3" t="str">
        <f>IFERROR(__xludf.DUMMYFUNCTION("GOOGLETRANSLATE(D58, ""it"", ""en"")"),"At least 3")</f>
        <v>At least 3</v>
      </c>
      <c r="K58" s="3" t="str">
        <f>IFERROR(__xludf.DUMMYFUNCTION("GOOGLETRANSLATE(E58, ""it"", ""en"")"),"There are different variations of the game in different regions.")</f>
        <v>There are different variations of the game in different regions.</v>
      </c>
      <c r="L58" s="2"/>
      <c r="M58" s="2"/>
      <c r="N58" s="2"/>
      <c r="O58" s="2"/>
      <c r="P58" s="2"/>
      <c r="Q58" s="2"/>
      <c r="R58" s="2"/>
      <c r="S58" s="2"/>
      <c r="T58" s="2"/>
      <c r="U58" s="2"/>
      <c r="V58" s="2"/>
      <c r="W58" s="2"/>
    </row>
    <row r="59" ht="22.5" customHeight="1">
      <c r="A59" s="3">
        <v>58.0</v>
      </c>
      <c r="B59" s="3" t="s">
        <v>3002</v>
      </c>
      <c r="C59" s="3" t="s">
        <v>3003</v>
      </c>
      <c r="D59" s="3" t="s">
        <v>3004</v>
      </c>
      <c r="E59" s="3" t="s">
        <v>3005</v>
      </c>
      <c r="F59" s="2"/>
      <c r="G59" s="3" t="str">
        <f>IFERROR(__xludf.DUMMYFUNCTION("GOOGLETRANSLATE(A59, ""it"", ""en"")"),"58")</f>
        <v>58</v>
      </c>
      <c r="H59" s="3" t="str">
        <f>IFERROR(__xludf.DUMMYFUNCTION("GOOGLETRANSLATE(B59, ""it"", ""en"")"),"What is the game called in Sardinia?")</f>
        <v>What is the game called in Sardinia?</v>
      </c>
      <c r="I59" s="3" t="str">
        <f>IFERROR(__xludf.DUMMYFUNCTION("GOOGLETRANSLATE(C59, ""it"", ""en"")"),"A. Morra B. Sa Murra C. La Morra D. I guess")</f>
        <v>A. Morra B. Sa Murra C. La Morra D. I guess</v>
      </c>
      <c r="J59" s="3" t="str">
        <f>IFERROR(__xludf.DUMMYFUNCTION("GOOGLETRANSLATE(D59, ""it"", ""en"")"),"Sa Murra")</f>
        <v>Sa Murra</v>
      </c>
      <c r="K59" s="3" t="str">
        <f>IFERROR(__xludf.DUMMYFUNCTION("GOOGLETRANSLATE(E59, ""it"", ""en"")"),"In Sardinia the game is known as Sa Murra.")</f>
        <v>In Sardinia the game is known as Sa Murra.</v>
      </c>
      <c r="L59" s="2"/>
      <c r="M59" s="2"/>
      <c r="N59" s="2"/>
      <c r="O59" s="2"/>
      <c r="P59" s="2"/>
      <c r="Q59" s="2"/>
      <c r="R59" s="2"/>
      <c r="S59" s="2"/>
      <c r="T59" s="2"/>
      <c r="U59" s="2"/>
      <c r="V59" s="2"/>
      <c r="W59" s="2"/>
    </row>
    <row r="60" ht="22.5" customHeight="1">
      <c r="A60" s="3">
        <v>59.0</v>
      </c>
      <c r="B60" s="3" t="s">
        <v>3006</v>
      </c>
      <c r="C60" s="3" t="s">
        <v>3007</v>
      </c>
      <c r="D60" s="3" t="s">
        <v>3008</v>
      </c>
      <c r="E60" s="3" t="s">
        <v>3009</v>
      </c>
      <c r="F60" s="2"/>
      <c r="G60" s="3" t="str">
        <f>IFERROR(__xludf.DUMMYFUNCTION("GOOGLETRANSLATE(A60, ""it"", ""en"")"),"59")</f>
        <v>59</v>
      </c>
      <c r="H60" s="3" t="str">
        <f>IFERROR(__xludf.DUMMYFUNCTION("GOOGLETRANSLATE(B60, ""it"", ""en"")"),"What is the risk of screaming too slowly?")</f>
        <v>What is the risk of screaming too slowly?</v>
      </c>
      <c r="I60" s="3" t="str">
        <f>IFERROR(__xludf.DUMMYFUNCTION("GOOGLETRANSLATE(C60, ""it"", ""en"")"),"A. Losing the turn B. Being penalized C. Confusing the referee D. No one")</f>
        <v>A. Losing the turn B. Being penalized C. Confusing the referee D. No one</v>
      </c>
      <c r="J60" s="3" t="str">
        <f>IFERROR(__xludf.DUMMYFUNCTION("GOOGLETRANSLATE(D60, ""it"", ""en"")"),"Lose the turn")</f>
        <v>Lose the turn</v>
      </c>
      <c r="K60" s="3" t="str">
        <f>IFERROR(__xludf.DUMMYFUNCTION("GOOGLETRANSLATE(E60, ""it"", ""en"")"),"Anyone who shouts too slowly risks losing their turn.")</f>
        <v>Anyone who shouts too slowly risks losing their turn.</v>
      </c>
      <c r="L60" s="2"/>
      <c r="M60" s="2"/>
      <c r="N60" s="2"/>
      <c r="O60" s="2"/>
      <c r="P60" s="2"/>
      <c r="Q60" s="2"/>
      <c r="R60" s="2"/>
      <c r="S60" s="2"/>
      <c r="T60" s="2"/>
      <c r="U60" s="2"/>
      <c r="V60" s="2"/>
      <c r="W60" s="2"/>
    </row>
    <row r="61" ht="22.5" customHeight="1">
      <c r="A61" s="3">
        <v>60.0</v>
      </c>
      <c r="B61" s="3" t="s">
        <v>3010</v>
      </c>
      <c r="C61" s="3" t="s">
        <v>3011</v>
      </c>
      <c r="D61" s="3" t="s">
        <v>3012</v>
      </c>
      <c r="E61" s="3" t="s">
        <v>3013</v>
      </c>
      <c r="F61" s="2"/>
      <c r="G61" s="3" t="str">
        <f>IFERROR(__xludf.DUMMYFUNCTION("GOOGLETRANSLATE(A61, ""it"", ""en"")"),"60")</f>
        <v>60</v>
      </c>
      <c r="H61" s="3" t="str">
        <f>IFERROR(__xludf.DUMMYFUNCTION("GOOGLETRANSLATE(B61, ""it"", ""en"")"),"What is the minimum recommended age to play Morra?")</f>
        <v>What is the minimum recommended age to play Morra?</v>
      </c>
      <c r="I61" s="3" t="str">
        <f>IFERROR(__xludf.DUMMYFUNCTION("GOOGLETRANSLATE(C61, ""it"", ""en"")"),"A. 5 years B. 10 years C. There is no minimum age D. 18 years")</f>
        <v>A. 5 years B. 10 years C. There is no minimum age D. 18 years</v>
      </c>
      <c r="J61" s="3" t="str">
        <f>IFERROR(__xludf.DUMMYFUNCTION("GOOGLETRANSLATE(D61, ""it"", ""en"")"),"5 years")</f>
        <v>5 years</v>
      </c>
      <c r="K61" s="3" t="str">
        <f>IFERROR(__xludf.DUMMYFUNCTION("GOOGLETRANSLATE(E61, ""it"", ""en"")"),"Being simple")</f>
        <v>Being simple</v>
      </c>
      <c r="L61" s="2"/>
      <c r="M61" s="2"/>
      <c r="N61" s="2"/>
      <c r="O61" s="2"/>
      <c r="P61" s="2"/>
      <c r="Q61" s="2"/>
      <c r="R61" s="2"/>
      <c r="S61" s="2"/>
      <c r="T61" s="2"/>
      <c r="U61" s="2"/>
      <c r="V61" s="2"/>
      <c r="W61" s="2"/>
    </row>
    <row r="62" ht="22.5" customHeight="1">
      <c r="A62" s="3">
        <v>61.0</v>
      </c>
      <c r="B62" s="3" t="s">
        <v>3014</v>
      </c>
      <c r="C62" s="3" t="s">
        <v>3015</v>
      </c>
      <c r="D62" s="3" t="s">
        <v>3016</v>
      </c>
      <c r="E62" s="3" t="s">
        <v>3017</v>
      </c>
      <c r="F62" s="2"/>
      <c r="G62" s="3" t="str">
        <f>IFERROR(__xludf.DUMMYFUNCTION("GOOGLETRANSLATE(A62, ""it"", ""en"")"),"61")</f>
        <v>61</v>
      </c>
      <c r="H62" s="3" t="str">
        <f>IFERROR(__xludf.DUMMYFUNCTION("GOOGLETRANSLATE(B62, ""it"", ""en"")"),"What happens if players don't keep up with the pace of the game?")</f>
        <v>What happens if players don't keep up with the pace of the game?</v>
      </c>
      <c r="I62" s="3" t="str">
        <f>IFERROR(__xludf.DUMMYFUNCTION("GOOGLETRANSLATE(C62, ""it"", ""en"")"),"A. The turn is cancelled B. They both lose a point C. The slowest player is penalized D. Nothing happens")</f>
        <v>A. The turn is cancelled B. They both lose a point C. The slowest player is penalized D. Nothing happens</v>
      </c>
      <c r="J62" s="3" t="str">
        <f>IFERROR(__xludf.DUMMYFUNCTION("GOOGLETRANSLATE(D62, ""it"", ""en"")"),"The shift is cancelled")</f>
        <v>The shift is cancelled</v>
      </c>
      <c r="K62" s="3" t="str">
        <f>IFERROR(__xludf.DUMMYFUNCTION("GOOGLETRANSLATE(E62, ""it"", ""en"")"),"Failure to respect the established rhythm will invalidate the shift.")</f>
        <v>Failure to respect the established rhythm will invalidate the shift.</v>
      </c>
      <c r="L62" s="2"/>
      <c r="M62" s="2"/>
      <c r="N62" s="2"/>
      <c r="O62" s="2"/>
      <c r="P62" s="2"/>
      <c r="Q62" s="2"/>
      <c r="R62" s="2"/>
      <c r="S62" s="2"/>
      <c r="T62" s="2"/>
      <c r="U62" s="2"/>
      <c r="V62" s="2"/>
      <c r="W62" s="2"/>
    </row>
    <row r="63" ht="22.5" customHeight="1">
      <c r="A63" s="3">
        <v>62.0</v>
      </c>
      <c r="B63" s="3" t="s">
        <v>3018</v>
      </c>
      <c r="C63" s="3" t="s">
        <v>3019</v>
      </c>
      <c r="D63" s="3" t="s">
        <v>3020</v>
      </c>
      <c r="E63" s="3" t="s">
        <v>3021</v>
      </c>
      <c r="F63" s="2"/>
      <c r="G63" s="3" t="str">
        <f>IFERROR(__xludf.DUMMYFUNCTION("GOOGLETRANSLATE(A63, ""it"", ""en"")"),"62")</f>
        <v>62</v>
      </c>
      <c r="H63" s="3" t="str">
        <f>IFERROR(__xludf.DUMMYFUNCTION("GOOGLETRANSLATE(B63, ""it"", ""en"")"),"What is a common strategy in Morra?")</f>
        <v>What is a common strategy in Morra?</v>
      </c>
      <c r="I63" s="3" t="str">
        <f>IFERROR(__xludf.DUMMYFUNCTION("GOOGLETRANSLATE(C63, ""it"", ""en"")"),"A. Confuse your opponent with gestures B. Shout high numbers C. Always show five fingers D. Never shout")</f>
        <v>A. Confuse your opponent with gestures B. Shout high numbers C. Always show five fingers D. Never shout</v>
      </c>
      <c r="J63" s="3" t="str">
        <f>IFERROR(__xludf.DUMMYFUNCTION("GOOGLETRANSLATE(D63, ""it"", ""en"")"),"Confuse your opponent with gestures")</f>
        <v>Confuse your opponent with gestures</v>
      </c>
      <c r="K63" s="3" t="str">
        <f>IFERROR(__xludf.DUMMYFUNCTION("GOOGLETRANSLATE(E63, ""it"", ""en"")"),"Confusion can make it difficult for the opponent to predict the move.")</f>
        <v>Confusion can make it difficult for the opponent to predict the move.</v>
      </c>
      <c r="L63" s="2"/>
      <c r="M63" s="2"/>
      <c r="N63" s="2"/>
      <c r="O63" s="2"/>
      <c r="P63" s="2"/>
      <c r="Q63" s="2"/>
      <c r="R63" s="2"/>
      <c r="S63" s="2"/>
      <c r="T63" s="2"/>
      <c r="U63" s="2"/>
      <c r="V63" s="2"/>
      <c r="W63" s="2"/>
    </row>
    <row r="64" ht="22.5" customHeight="1">
      <c r="A64" s="3">
        <v>63.0</v>
      </c>
      <c r="B64" s="3" t="s">
        <v>3022</v>
      </c>
      <c r="C64" s="3" t="s">
        <v>3023</v>
      </c>
      <c r="D64" s="3" t="s">
        <v>3024</v>
      </c>
      <c r="E64" s="3" t="s">
        <v>3025</v>
      </c>
      <c r="F64" s="2"/>
      <c r="G64" s="3" t="str">
        <f>IFERROR(__xludf.DUMMYFUNCTION("GOOGLETRANSLATE(A64, ""it"", ""en"")"),"63")</f>
        <v>63</v>
      </c>
      <c r="H64" s="3" t="str">
        <f>IFERROR(__xludf.DUMMYFUNCTION("GOOGLETRANSLATE(B64, ""it"", ""en"")"),"How many rounds does it take to declare a winner?")</f>
        <v>How many rounds does it take to declare a winner?</v>
      </c>
      <c r="I64" s="3" t="str">
        <f>IFERROR(__xludf.DUMMYFUNCTION("GOOGLETRANSLATE(C64, ""it"", ""en"")"),"A. Minimum 3 B. Minimum 5 C. Minimum 7 D. It is variable")</f>
        <v>A. Minimum 3 B. Minimum 5 C. Minimum 7 D. It is variable</v>
      </c>
      <c r="J64" s="3" t="str">
        <f>IFERROR(__xludf.DUMMYFUNCTION("GOOGLETRANSLATE(D64, ""it"", ""en"")"),"It is variable")</f>
        <v>It is variable</v>
      </c>
      <c r="K64" s="3" t="str">
        <f>IFERROR(__xludf.DUMMYFUNCTION("GOOGLETRANSLATE(E64, ""it"", ""en"")"),"The number of rounds depends on the rules set by the players.")</f>
        <v>The number of rounds depends on the rules set by the players.</v>
      </c>
      <c r="L64" s="2"/>
      <c r="M64" s="2"/>
      <c r="N64" s="2"/>
      <c r="O64" s="2"/>
      <c r="P64" s="2"/>
      <c r="Q64" s="2"/>
      <c r="R64" s="2"/>
      <c r="S64" s="2"/>
      <c r="T64" s="2"/>
      <c r="U64" s="2"/>
      <c r="V64" s="2"/>
      <c r="W64" s="2"/>
    </row>
    <row r="65" ht="22.5" customHeight="1">
      <c r="A65" s="3">
        <v>64.0</v>
      </c>
      <c r="B65" s="3" t="s">
        <v>3026</v>
      </c>
      <c r="C65" s="3" t="s">
        <v>3027</v>
      </c>
      <c r="D65" s="3" t="s">
        <v>3028</v>
      </c>
      <c r="E65" s="3" t="s">
        <v>3029</v>
      </c>
      <c r="F65" s="2"/>
      <c r="G65" s="3" t="str">
        <f>IFERROR(__xludf.DUMMYFUNCTION("GOOGLETRANSLATE(A65, ""it"", ""en"")"),"64")</f>
        <v>64</v>
      </c>
      <c r="H65" s="3" t="str">
        <f>IFERROR(__xludf.DUMMYFUNCTION("GOOGLETRANSLATE(B65, ""it"", ""en"")"),"How do you determine the start of the game?")</f>
        <v>How do you determine the start of the game?</v>
      </c>
      <c r="I65" s="3" t="str">
        <f>IFERROR(__xludf.DUMMYFUNCTION("GOOGLETRANSLATE(C65, ""it"", ""en"")"),"A. By drawing lots B. Whoever shouts first C. By having the lowest score D. By an agreement between the players")</f>
        <v>A. By drawing lots B. Whoever shouts first C. By having the lowest score D. By an agreement between the players</v>
      </c>
      <c r="J65" s="3" t="str">
        <f>IFERROR(__xludf.DUMMYFUNCTION("GOOGLETRANSLATE(D65, ""it"", ""en"")"),"With a draw")</f>
        <v>With a draw</v>
      </c>
      <c r="K65" s="3" t="str">
        <f>IFERROR(__xludf.DUMMYFUNCTION("GOOGLETRANSLATE(E65, ""it"", ""en"")"),"A draw often decides who starts the game.")</f>
        <v>A draw often decides who starts the game.</v>
      </c>
      <c r="L65" s="2"/>
      <c r="M65" s="2"/>
      <c r="N65" s="2"/>
      <c r="O65" s="2"/>
      <c r="P65" s="2"/>
      <c r="Q65" s="2"/>
      <c r="R65" s="2"/>
      <c r="S65" s="2"/>
      <c r="T65" s="2"/>
      <c r="U65" s="2"/>
      <c r="V65" s="2"/>
      <c r="W65" s="2"/>
    </row>
    <row r="66" ht="22.5" customHeight="1">
      <c r="A66" s="3">
        <v>65.0</v>
      </c>
      <c r="B66" s="3" t="s">
        <v>3030</v>
      </c>
      <c r="C66" s="3" t="s">
        <v>3031</v>
      </c>
      <c r="D66" s="3" t="s">
        <v>1332</v>
      </c>
      <c r="E66" s="3" t="s">
        <v>3032</v>
      </c>
      <c r="F66" s="2"/>
      <c r="G66" s="3" t="str">
        <f>IFERROR(__xludf.DUMMYFUNCTION("GOOGLETRANSLATE(A66, ""it"", ""en"")"),"65")</f>
        <v>65</v>
      </c>
      <c r="H66" s="3" t="str">
        <f>IFERROR(__xludf.DUMMYFUNCTION("GOOGLETRANSLATE(B66, ""it"", ""en"")"),"What is a common mistake in Morra?")</f>
        <v>What is a common mistake in Morra?</v>
      </c>
      <c r="I66" s="3" t="str">
        <f>IFERROR(__xludf.DUMMYFUNCTION("GOOGLETRANSLATE(C66, ""it"", ""en"")"),"A. Shouting out a wrong number B. Not showing fingers C. Showing fingers late D. All of the above")</f>
        <v>A. Shouting out a wrong number B. Not showing fingers C. Showing fingers late D. All of the above</v>
      </c>
      <c r="J66" s="3" t="str">
        <f>IFERROR(__xludf.DUMMYFUNCTION("GOOGLETRANSLATE(D66, ""it"", ""en"")"),"All of the above")</f>
        <v>All of the above</v>
      </c>
      <c r="K66" s="3" t="str">
        <f>IFERROR(__xludf.DUMMYFUNCTION("GOOGLETRANSLATE(E66, ""it"", ""en"")"),"Errors may include incorrect numbers")</f>
        <v>Errors may include incorrect numbers</v>
      </c>
      <c r="L66" s="2"/>
      <c r="M66" s="2"/>
      <c r="N66" s="2"/>
      <c r="O66" s="2"/>
      <c r="P66" s="2"/>
      <c r="Q66" s="2"/>
      <c r="R66" s="2"/>
      <c r="S66" s="2"/>
      <c r="T66" s="2"/>
      <c r="U66" s="2"/>
      <c r="V66" s="2"/>
      <c r="W66" s="2"/>
    </row>
    <row r="67" ht="22.5" customHeight="1">
      <c r="A67" s="3">
        <v>66.0</v>
      </c>
      <c r="B67" s="3" t="s">
        <v>2868</v>
      </c>
      <c r="C67" s="3" t="s">
        <v>3033</v>
      </c>
      <c r="D67" s="3" t="s">
        <v>3034</v>
      </c>
      <c r="E67" s="3" t="s">
        <v>3035</v>
      </c>
      <c r="F67" s="2"/>
      <c r="G67" s="3" t="str">
        <f>IFERROR(__xludf.DUMMYFUNCTION("GOOGLETRANSLATE(A67, ""it"", ""en"")"),"66")</f>
        <v>66</v>
      </c>
      <c r="H67" s="3" t="str">
        <f>IFERROR(__xludf.DUMMYFUNCTION("GOOGLETRANSLATE(B67, ""it"", ""en"")"),"Morra is considered a game...")</f>
        <v>Morra is considered a game...</v>
      </c>
      <c r="I67" s="3" t="str">
        <f>IFERROR(__xludf.DUMMYFUNCTION("GOOGLETRANSLATE(C67, ""it"", ""en"")"),"A. Of logic B. Of luck C. Of precision and speed D. Of physical strength")</f>
        <v>A. Of logic B. Of luck C. Of precision and speed D. Of physical strength</v>
      </c>
      <c r="J67" s="3" t="str">
        <f>IFERROR(__xludf.DUMMYFUNCTION("GOOGLETRANSLATE(D67, ""it"", ""en"")"),"Of precision and speed")</f>
        <v>Of precision and speed</v>
      </c>
      <c r="K67" s="3" t="str">
        <f>IFERROR(__xludf.DUMMYFUNCTION("GOOGLETRANSLATE(E67, ""it"", ""en"")"),"Morra relies on precision and speed to succeed.")</f>
        <v>Morra relies on precision and speed to succeed.</v>
      </c>
      <c r="L67" s="2"/>
      <c r="M67" s="2"/>
      <c r="N67" s="2"/>
      <c r="O67" s="2"/>
      <c r="P67" s="2"/>
      <c r="Q67" s="2"/>
      <c r="R67" s="2"/>
      <c r="S67" s="2"/>
      <c r="T67" s="2"/>
      <c r="U67" s="2"/>
      <c r="V67" s="2"/>
      <c r="W67" s="2"/>
    </row>
    <row r="68" ht="22.5" customHeight="1">
      <c r="A68" s="3">
        <v>67.0</v>
      </c>
      <c r="B68" s="3" t="s">
        <v>3036</v>
      </c>
      <c r="C68" s="3" t="s">
        <v>3037</v>
      </c>
      <c r="D68" s="3" t="s">
        <v>3038</v>
      </c>
      <c r="E68" s="3" t="s">
        <v>3039</v>
      </c>
      <c r="F68" s="2"/>
      <c r="G68" s="3" t="str">
        <f>IFERROR(__xludf.DUMMYFUNCTION("GOOGLETRANSLATE(A68, ""it"", ""en"")"),"67")</f>
        <v>67</v>
      </c>
      <c r="H68" s="3" t="str">
        <f>IFERROR(__xludf.DUMMYFUNCTION("GOOGLETRANSLATE(B68, ""it"", ""en"")"),"What attitude is important in Morra?")</f>
        <v>What attitude is important in Morra?</v>
      </c>
      <c r="I68" s="3" t="str">
        <f>IFERROR(__xludf.DUMMYFUNCTION("GOOGLETRANSLATE(C68, ""it"", ""en"")"),"A. Calmness and concentration B. Impulsiveness C. Agitation D. Absolute silence")</f>
        <v>A. Calmness and concentration B. Impulsiveness C. Agitation D. Absolute silence</v>
      </c>
      <c r="J68" s="3" t="str">
        <f>IFERROR(__xludf.DUMMYFUNCTION("GOOGLETRANSLATE(D68, ""it"", ""en"")"),"Calm and concentration")</f>
        <v>Calm and concentration</v>
      </c>
      <c r="K68" s="3" t="str">
        <f>IFERROR(__xludf.DUMMYFUNCTION("GOOGLETRANSLATE(E68, ""it"", ""en"")"),"Being calm and focused helps you make strategic moves.")</f>
        <v>Being calm and focused helps you make strategic moves.</v>
      </c>
      <c r="L68" s="2"/>
      <c r="M68" s="2"/>
      <c r="N68" s="2"/>
      <c r="O68" s="2"/>
      <c r="P68" s="2"/>
      <c r="Q68" s="2"/>
      <c r="R68" s="2"/>
      <c r="S68" s="2"/>
      <c r="T68" s="2"/>
      <c r="U68" s="2"/>
      <c r="V68" s="2"/>
      <c r="W68" s="2"/>
    </row>
    <row r="69" ht="22.5" customHeight="1">
      <c r="A69" s="3">
        <v>68.0</v>
      </c>
      <c r="B69" s="3" t="s">
        <v>3040</v>
      </c>
      <c r="C69" s="3" t="s">
        <v>3041</v>
      </c>
      <c r="D69" s="3" t="s">
        <v>3042</v>
      </c>
      <c r="E69" s="3" t="s">
        <v>3043</v>
      </c>
      <c r="F69" s="2"/>
      <c r="G69" s="3" t="str">
        <f>IFERROR(__xludf.DUMMYFUNCTION("GOOGLETRANSLATE(A69, ""it"", ""en"")"),"68")</f>
        <v>68</v>
      </c>
      <c r="H69" s="3" t="str">
        <f>IFERROR(__xludf.DUMMYFUNCTION("GOOGLETRANSLATE(B69, ""it"", ""en"")"),"What is the origin of the term ""Morra""?")</f>
        <v>What is the origin of the term "Morra"?</v>
      </c>
      <c r="I69" s="3" t="str">
        <f>IFERROR(__xludf.DUMMYFUNCTION("GOOGLETRANSLATE(C69, ""it"", ""en"")"),"A. From the Latin ""murmur"" B. From the Italian ""moro"" C. From Old French D. From Spanish")</f>
        <v>A. From the Latin "murmur" B. From the Italian "moro" C. From Old French D. From Spanish</v>
      </c>
      <c r="J69" s="3" t="str">
        <f>IFERROR(__xludf.DUMMYFUNCTION("GOOGLETRANSLATE(D69, ""it"", ""en"")"),"From the Latin ""murmur""")</f>
        <v>From the Latin "murmur"</v>
      </c>
      <c r="K69" s="3" t="str">
        <f>IFERROR(__xludf.DUMMYFUNCTION("GOOGLETRANSLATE(E69, ""it"", ""en"")"),"The term derives from the Latin ""murmur""")</f>
        <v>The term derives from the Latin "murmur"</v>
      </c>
      <c r="L69" s="2"/>
      <c r="M69" s="2"/>
      <c r="N69" s="2"/>
      <c r="O69" s="2"/>
      <c r="P69" s="2"/>
      <c r="Q69" s="2"/>
      <c r="R69" s="2"/>
      <c r="S69" s="2"/>
      <c r="T69" s="2"/>
      <c r="U69" s="2"/>
      <c r="V69" s="2"/>
      <c r="W69" s="2"/>
    </row>
    <row r="70" ht="22.5" customHeight="1">
      <c r="A70" s="3">
        <v>69.0</v>
      </c>
      <c r="B70" s="3" t="s">
        <v>3044</v>
      </c>
      <c r="C70" s="3" t="s">
        <v>3045</v>
      </c>
      <c r="D70" s="3" t="s">
        <v>3046</v>
      </c>
      <c r="E70" s="3" t="s">
        <v>3047</v>
      </c>
      <c r="F70" s="2"/>
      <c r="G70" s="3" t="str">
        <f>IFERROR(__xludf.DUMMYFUNCTION("GOOGLETRANSLATE(A70, ""it"", ""en"")"),"69")</f>
        <v>69</v>
      </c>
      <c r="H70" s="3" t="str">
        <f>IFERROR(__xludf.DUMMYFUNCTION("GOOGLETRANSLATE(B70, ""it"", ""en"")"),"What do the fingers shown in Morra represent?")</f>
        <v>What do the fingers shown in Morra represent?</v>
      </c>
      <c r="I70" s="3" t="str">
        <f>IFERROR(__xludf.DUMMYFUNCTION("GOOGLETRANSLATE(C70, ""it"", ""en"")"),"A. A signal B. A numerical value C. A provocation D. A point of reference")</f>
        <v>A. A signal B. A numerical value C. A provocation D. A point of reference</v>
      </c>
      <c r="J70" s="3" t="str">
        <f>IFERROR(__xludf.DUMMYFUNCTION("GOOGLETRANSLATE(D70, ""it"", ""en"")"),"A numerical value")</f>
        <v>A numerical value</v>
      </c>
      <c r="K70" s="3" t="str">
        <f>IFERROR(__xludf.DUMMYFUNCTION("GOOGLETRANSLATE(E70, ""it"", ""en"")"),"The fingers shown represent a numerical value.")</f>
        <v>The fingers shown represent a numerical value.</v>
      </c>
      <c r="L70" s="2"/>
      <c r="M70" s="2"/>
      <c r="N70" s="2"/>
      <c r="O70" s="2"/>
      <c r="P70" s="2"/>
      <c r="Q70" s="2"/>
      <c r="R70" s="2"/>
      <c r="S70" s="2"/>
      <c r="T70" s="2"/>
      <c r="U70" s="2"/>
      <c r="V70" s="2"/>
      <c r="W70" s="2"/>
    </row>
    <row r="71" ht="22.5" customHeight="1">
      <c r="A71" s="3">
        <v>70.0</v>
      </c>
      <c r="B71" s="3" t="s">
        <v>3048</v>
      </c>
      <c r="C71" s="3" t="s">
        <v>3049</v>
      </c>
      <c r="D71" s="3" t="s">
        <v>3050</v>
      </c>
      <c r="E71" s="3" t="s">
        <v>3051</v>
      </c>
      <c r="F71" s="2"/>
      <c r="G71" s="3" t="str">
        <f>IFERROR(__xludf.DUMMYFUNCTION("GOOGLETRANSLATE(A71, ""it"", ""en"")"),"70")</f>
        <v>70</v>
      </c>
      <c r="H71" s="3" t="str">
        <f>IFERROR(__xludf.DUMMYFUNCTION("GOOGLETRANSLATE(B71, ""it"", ""en"")"),"What is a common variant of Morra?")</f>
        <v>What is a common variant of Morra?</v>
      </c>
      <c r="I71" s="3" t="str">
        <f>IFERROR(__xludf.DUMMYFUNCTION("GOOGLETRANSLATE(C71, ""it"", ""en"")"),"A. Use both hands B. Play silently C. Always shout out even numbers D. Use dice to decide")</f>
        <v>A. Use both hands B. Play silently C. Always shout out even numbers D. Use dice to decide</v>
      </c>
      <c r="J71" s="3" t="str">
        <f>IFERROR(__xludf.DUMMYFUNCTION("GOOGLETRANSLATE(D71, ""it"", ""en"")"),"Use both hands")</f>
        <v>Use both hands</v>
      </c>
      <c r="K71" s="3" t="str">
        <f>IFERROR(__xludf.DUMMYFUNCTION("GOOGLETRANSLATE(E71, ""it"", ""en"")"),"One variation includes using both hands.")</f>
        <v>One variation includes using both hands.</v>
      </c>
      <c r="L71" s="2"/>
      <c r="M71" s="2"/>
      <c r="N71" s="2"/>
      <c r="O71" s="2"/>
      <c r="P71" s="2"/>
      <c r="Q71" s="2"/>
      <c r="R71" s="2"/>
      <c r="S71" s="2"/>
      <c r="T71" s="2"/>
      <c r="U71" s="2"/>
      <c r="V71" s="2"/>
      <c r="W71" s="2"/>
    </row>
    <row r="72" ht="22.5" customHeight="1">
      <c r="A72" s="3">
        <v>71.0</v>
      </c>
      <c r="B72" s="3" t="s">
        <v>3052</v>
      </c>
      <c r="C72" s="3" t="s">
        <v>3053</v>
      </c>
      <c r="D72" s="3" t="s">
        <v>1209</v>
      </c>
      <c r="E72" s="3" t="s">
        <v>3054</v>
      </c>
      <c r="F72" s="2"/>
      <c r="G72" s="3" t="str">
        <f>IFERROR(__xludf.DUMMYFUNCTION("GOOGLETRANSLATE(A72, ""it"", ""en"")"),"71")</f>
        <v>71</v>
      </c>
      <c r="H72" s="3" t="str">
        <f>IFERROR(__xludf.DUMMYFUNCTION("GOOGLETRANSLATE(B72, ""it"", ""en"")"),"Is Morra practiced only in Italy?")</f>
        <v>Is Morra practiced only in Italy?</v>
      </c>
      <c r="I72" s="3" t="str">
        <f>IFERROR(__xludf.DUMMYFUNCTION("GOOGLETRANSLATE(C72, ""it"", ""en"")"),"A. No B. Yes C. but with local differences D. Yes")</f>
        <v>A. No B. Yes C. but with local differences D. Yes</v>
      </c>
      <c r="J72" s="3" t="str">
        <f>IFERROR(__xludf.DUMMYFUNCTION("GOOGLETRANSLATE(D72, ""it"", ""en"")"),"No")</f>
        <v>No</v>
      </c>
      <c r="K72" s="3" t="str">
        <f>IFERROR(__xludf.DUMMYFUNCTION("GOOGLETRANSLATE(E72, ""it"", ""en"")"),"The game is also popular in other Mediterranean countries.")</f>
        <v>The game is also popular in other Mediterranean countries.</v>
      </c>
      <c r="L72" s="2"/>
      <c r="M72" s="2"/>
      <c r="N72" s="2"/>
      <c r="O72" s="2"/>
      <c r="P72" s="2"/>
      <c r="Q72" s="2"/>
      <c r="R72" s="2"/>
      <c r="S72" s="2"/>
      <c r="T72" s="2"/>
      <c r="U72" s="2"/>
      <c r="V72" s="2"/>
      <c r="W72" s="2"/>
    </row>
    <row r="73" ht="22.5" customHeight="1">
      <c r="A73" s="3">
        <v>72.0</v>
      </c>
      <c r="B73" s="3" t="s">
        <v>3055</v>
      </c>
      <c r="C73" s="3" t="s">
        <v>3056</v>
      </c>
      <c r="D73" s="3" t="s">
        <v>3057</v>
      </c>
      <c r="E73" s="3" t="s">
        <v>3058</v>
      </c>
      <c r="F73" s="2"/>
      <c r="G73" s="3" t="str">
        <f>IFERROR(__xludf.DUMMYFUNCTION("GOOGLETRANSLATE(A73, ""it"", ""en"")"),"72")</f>
        <v>72</v>
      </c>
      <c r="H73" s="3" t="str">
        <f>IFERROR(__xludf.DUMMYFUNCTION("GOOGLETRANSLATE(B73, ""it"", ""en"")"),"What is a quick game of Morra called?")</f>
        <v>What is a quick game of Morra called?</v>
      </c>
      <c r="I73" s="3" t="str">
        <f>IFERROR(__xludf.DUMMYFUNCTION("GOOGLETRANSLATE(C73, ""it"", ""en"")"),"A. Flash round B. Quick morra C. One-off match D. Short challenge")</f>
        <v>A. Flash round B. Quick morra C. One-off match D. Short challenge</v>
      </c>
      <c r="J73" s="3" t="str">
        <f>IFERROR(__xludf.DUMMYFUNCTION("GOOGLETRANSLATE(D73, ""it"", ""en"")"),"One-off match")</f>
        <v>One-off match</v>
      </c>
      <c r="K73" s="3" t="str">
        <f>IFERROR(__xludf.DUMMYFUNCTION("GOOGLETRANSLATE(E73, ""it"", ""en"")"),"A ""dry game"" refers to a fast, direct game.")</f>
        <v>A "dry game" refers to a fast, direct game.</v>
      </c>
      <c r="L73" s="2"/>
      <c r="M73" s="2"/>
      <c r="N73" s="2"/>
      <c r="O73" s="2"/>
      <c r="P73" s="2"/>
      <c r="Q73" s="2"/>
      <c r="R73" s="2"/>
      <c r="S73" s="2"/>
      <c r="T73" s="2"/>
      <c r="U73" s="2"/>
      <c r="V73" s="2"/>
      <c r="W73" s="2"/>
    </row>
    <row r="74" ht="22.5" customHeight="1">
      <c r="A74" s="3">
        <v>73.0</v>
      </c>
      <c r="B74" s="3" t="s">
        <v>3059</v>
      </c>
      <c r="C74" s="3" t="s">
        <v>3060</v>
      </c>
      <c r="D74" s="3" t="s">
        <v>1332</v>
      </c>
      <c r="E74" s="3" t="s">
        <v>3061</v>
      </c>
      <c r="F74" s="2"/>
      <c r="G74" s="3" t="str">
        <f>IFERROR(__xludf.DUMMYFUNCTION("GOOGLETRANSLATE(A74, ""it"", ""en"")"),"73")</f>
        <v>73</v>
      </c>
      <c r="H74" s="3" t="str">
        <f>IFERROR(__xludf.DUMMYFUNCTION("GOOGLETRANSLATE(B74, ""it"", ""en"")"),"How is the score recorded in Morra?")</f>
        <v>How is the score recorded in Morra?</v>
      </c>
      <c r="I74" s="3" t="str">
        <f>IFERROR(__xludf.DUMMYFUNCTION("GOOGLETRANSLATE(C74, ""it"", ""en"")"),"A. On paper B. Memorized by the players C. With the help of a referee D. All of the above")</f>
        <v>A. On paper B. Memorized by the players C. With the help of a referee D. All of the above</v>
      </c>
      <c r="J74" s="3" t="str">
        <f>IFERROR(__xludf.DUMMYFUNCTION("GOOGLETRANSLATE(D74, ""it"", ""en"")"),"All of the above")</f>
        <v>All of the above</v>
      </c>
      <c r="K74" s="3" t="str">
        <f>IFERROR(__xludf.DUMMYFUNCTION("GOOGLETRANSLATE(E74, ""it"", ""en"")"),"The score can be noted")</f>
        <v>The score can be noted</v>
      </c>
      <c r="L74" s="2"/>
      <c r="M74" s="2"/>
      <c r="N74" s="2"/>
      <c r="O74" s="2"/>
      <c r="P74" s="2"/>
      <c r="Q74" s="2"/>
      <c r="R74" s="2"/>
      <c r="S74" s="2"/>
      <c r="T74" s="2"/>
      <c r="U74" s="2"/>
      <c r="V74" s="2"/>
      <c r="W74" s="2"/>
    </row>
    <row r="75" ht="22.5" customHeight="1">
      <c r="A75" s="3">
        <v>74.0</v>
      </c>
      <c r="B75" s="3" t="s">
        <v>3062</v>
      </c>
      <c r="C75" s="3" t="s">
        <v>3063</v>
      </c>
      <c r="D75" s="3" t="s">
        <v>3064</v>
      </c>
      <c r="E75" s="3" t="s">
        <v>3065</v>
      </c>
      <c r="F75" s="2"/>
      <c r="G75" s="3" t="str">
        <f>IFERROR(__xludf.DUMMYFUNCTION("GOOGLETRANSLATE(A75, ""it"", ""en"")"),"74")</f>
        <v>74</v>
      </c>
      <c r="H75" s="3" t="str">
        <f>IFERROR(__xludf.DUMMYFUNCTION("GOOGLETRANSLATE(B75, ""it"", ""en"")"),"What is a unique feature of Morra?")</f>
        <v>What is a unique feature of Morra?</v>
      </c>
      <c r="I75" s="3" t="str">
        <f>IFERROR(__xludf.DUMMYFUNCTION("GOOGLETRANSLATE(C75, ""it"", ""en"")"),"A. No equipment required B. Requires a flat surface C. Played in silence D. Requires a clock")</f>
        <v>A. No equipment required B. Requires a flat surface C. Played in silence D. Requires a clock</v>
      </c>
      <c r="J75" s="3" t="str">
        <f>IFERROR(__xludf.DUMMYFUNCTION("GOOGLETRANSLATE(D75, ""it"", ""en"")"),"No equipment needed")</f>
        <v>No equipment needed</v>
      </c>
      <c r="K75" s="3" t="str">
        <f>IFERROR(__xludf.DUMMYFUNCTION("GOOGLETRANSLATE(E75, ""it"", ""en"")"),"Morra is played without any special tools.")</f>
        <v>Morra is played without any special tools.</v>
      </c>
      <c r="L75" s="2"/>
      <c r="M75" s="2"/>
      <c r="N75" s="2"/>
      <c r="O75" s="2"/>
      <c r="P75" s="2"/>
      <c r="Q75" s="2"/>
      <c r="R75" s="2"/>
      <c r="S75" s="2"/>
      <c r="T75" s="2"/>
      <c r="U75" s="2"/>
      <c r="V75" s="2"/>
      <c r="W75" s="2"/>
    </row>
    <row r="76" ht="22.5" customHeight="1">
      <c r="A76" s="3">
        <v>75.0</v>
      </c>
      <c r="B76" s="3" t="s">
        <v>3066</v>
      </c>
      <c r="C76" s="3" t="s">
        <v>3067</v>
      </c>
      <c r="D76" s="3" t="s">
        <v>3068</v>
      </c>
      <c r="E76" s="3" t="s">
        <v>3069</v>
      </c>
      <c r="F76" s="2"/>
      <c r="G76" s="3" t="str">
        <f>IFERROR(__xludf.DUMMYFUNCTION("GOOGLETRANSLATE(A76, ""it"", ""en"")"),"75")</f>
        <v>75</v>
      </c>
      <c r="H76" s="3" t="str">
        <f>IFERROR(__xludf.DUMMYFUNCTION("GOOGLETRANSLATE(B76, ""it"", ""en"")"),"Why is Morra considered a social game?")</f>
        <v>Why is Morra considered a social game?</v>
      </c>
      <c r="I76" s="3" t="str">
        <f>IFERROR(__xludf.DUMMYFUNCTION("GOOGLETRANSLATE(C76, ""it"", ""en"")"),"A. It requires direct interaction B. It is played in a group C. It has collective rules D. It promotes cooperation")</f>
        <v>A. It requires direct interaction B. It is played in a group C. It has collective rules D. It promotes cooperation</v>
      </c>
      <c r="J76" s="3" t="str">
        <f>IFERROR(__xludf.DUMMYFUNCTION("GOOGLETRANSLATE(D76, ""it"", ""en"")"),"Request direct interaction")</f>
        <v>Request direct interaction</v>
      </c>
      <c r="K76" s="3" t="str">
        <f>IFERROR(__xludf.DUMMYFUNCTION("GOOGLETRANSLATE(E76, ""it"", ""en"")"),"The direct nature of the game encourages interaction between players.")</f>
        <v>The direct nature of the game encourages interaction between players.</v>
      </c>
      <c r="L76" s="2"/>
      <c r="M76" s="2"/>
      <c r="N76" s="2"/>
      <c r="O76" s="2"/>
      <c r="P76" s="2"/>
      <c r="Q76" s="2"/>
      <c r="R76" s="2"/>
      <c r="S76" s="2"/>
      <c r="T76" s="2"/>
      <c r="U76" s="2"/>
      <c r="V76" s="2"/>
      <c r="W76" s="2"/>
    </row>
    <row r="77" ht="22.5" customHeight="1">
      <c r="A77" s="3">
        <v>76.0</v>
      </c>
      <c r="B77" s="3" t="s">
        <v>3070</v>
      </c>
      <c r="C77" s="3" t="s">
        <v>3071</v>
      </c>
      <c r="D77" s="3" t="s">
        <v>3072</v>
      </c>
      <c r="E77" s="3" t="s">
        <v>3073</v>
      </c>
      <c r="F77" s="2"/>
      <c r="G77" s="3" t="str">
        <f>IFERROR(__xludf.DUMMYFUNCTION("GOOGLETRANSLATE(A77, ""it"", ""en"")"),"76")</f>
        <v>76</v>
      </c>
      <c r="H77" s="3" t="str">
        <f>IFERROR(__xludf.DUMMYFUNCTION("GOOGLETRANSLATE(B77, ""it"", ""en"")"),"How does a round in Morra end?")</f>
        <v>How does a round in Morra end?</v>
      </c>
      <c r="I77" s="3" t="str">
        <f>IFERROR(__xludf.DUMMYFUNCTION("GOOGLETRANSLATE(C77, ""it"", ""en"")"),"A. When the winner is called B. When both players show their fingers C. When a player makes a mistake D. When the referee blows his whistle")</f>
        <v>A. When the winner is called B. When both players show their fingers C. When a player makes a mistake D. When the referee blows his whistle</v>
      </c>
      <c r="J77" s="3" t="str">
        <f>IFERROR(__xludf.DUMMYFUNCTION("GOOGLETRANSLATE(D77, ""it"", ""en"")"),"When both show fingers")</f>
        <v>When both show fingers</v>
      </c>
      <c r="K77" s="3" t="str">
        <f>IFERROR(__xludf.DUMMYFUNCTION("GOOGLETRANSLATE(E77, ""it"", ""en"")"),"A round ends when everyone shows fingers and shouts.")</f>
        <v>A round ends when everyone shows fingers and shouts.</v>
      </c>
      <c r="L77" s="2"/>
      <c r="M77" s="2"/>
      <c r="N77" s="2"/>
      <c r="O77" s="2"/>
      <c r="P77" s="2"/>
      <c r="Q77" s="2"/>
      <c r="R77" s="2"/>
      <c r="S77" s="2"/>
      <c r="T77" s="2"/>
      <c r="U77" s="2"/>
      <c r="V77" s="2"/>
      <c r="W77" s="2"/>
    </row>
    <row r="78" ht="22.5" customHeight="1">
      <c r="A78" s="3">
        <v>77.0</v>
      </c>
      <c r="B78" s="3" t="s">
        <v>3074</v>
      </c>
      <c r="C78" s="3" t="s">
        <v>3075</v>
      </c>
      <c r="D78" s="3" t="s">
        <v>1332</v>
      </c>
      <c r="E78" s="3" t="s">
        <v>3076</v>
      </c>
      <c r="F78" s="2"/>
      <c r="G78" s="3" t="str">
        <f>IFERROR(__xludf.DUMMYFUNCTION("GOOGLETRANSLATE(A78, ""it"", ""en"")"),"77")</f>
        <v>77</v>
      </c>
      <c r="H78" s="3" t="str">
        <f>IFERROR(__xludf.DUMMYFUNCTION("GOOGLETRANSLATE(B78, ""it"", ""en"")"),"What makes Morra easy to learn?")</f>
        <v>What makes Morra easy to learn?</v>
      </c>
      <c r="I78" s="3" t="str">
        <f>IFERROR(__xludf.DUMMYFUNCTION("GOOGLETRANSLATE(C78, ""it"", ""en"")"),"A. Intuitive rules B. Short timeframes C. Only one hand needed D. All of the above")</f>
        <v>A. Intuitive rules B. Short timeframes C. Only one hand needed D. All of the above</v>
      </c>
      <c r="J78" s="3" t="str">
        <f>IFERROR(__xludf.DUMMYFUNCTION("GOOGLETRANSLATE(D78, ""it"", ""en"")"),"All of the above")</f>
        <v>All of the above</v>
      </c>
      <c r="K78" s="3" t="str">
        <f>IFERROR(__xludf.DUMMYFUNCTION("GOOGLETRANSLATE(E78, ""it"", ""en"")"),"Morra is accessible thanks to its simple rules and fast pace.")</f>
        <v>Morra is accessible thanks to its simple rules and fast pace.</v>
      </c>
      <c r="L78" s="2"/>
      <c r="M78" s="2"/>
      <c r="N78" s="2"/>
      <c r="O78" s="2"/>
      <c r="P78" s="2"/>
      <c r="Q78" s="2"/>
      <c r="R78" s="2"/>
      <c r="S78" s="2"/>
      <c r="T78" s="2"/>
      <c r="U78" s="2"/>
      <c r="V78" s="2"/>
      <c r="W78" s="2"/>
    </row>
    <row r="79" ht="22.5" customHeight="1">
      <c r="A79" s="3">
        <v>78.0</v>
      </c>
      <c r="B79" s="3" t="s">
        <v>3077</v>
      </c>
      <c r="C79" s="3" t="s">
        <v>3078</v>
      </c>
      <c r="D79" s="3" t="s">
        <v>1564</v>
      </c>
      <c r="E79" s="3" t="s">
        <v>3079</v>
      </c>
      <c r="F79" s="2"/>
      <c r="G79" s="3" t="str">
        <f>IFERROR(__xludf.DUMMYFUNCTION("GOOGLETRANSLATE(A79, ""it"", ""en"")"),"78")</f>
        <v>78</v>
      </c>
      <c r="H79" s="3" t="str">
        <f>IFERROR(__xludf.DUMMYFUNCTION("GOOGLETRANSLATE(B79, ""it"", ""en"")"),"What is bad behavior in Morra?")</f>
        <v>What is bad behavior in Morra?</v>
      </c>
      <c r="I79" s="3" t="str">
        <f>IFERROR(__xludf.DUMMYFUNCTION("GOOGLETRANSLATE(C79, ""it"", ""en"")"),"A. Changing the number shouted B. Not actively participating C. Making ambiguous signals D. All of the above")</f>
        <v>A. Changing the number shouted B. Not actively participating C. Making ambiguous signals D. All of the above</v>
      </c>
      <c r="J79" s="3" t="str">
        <f>IFERROR(__xludf.DUMMYFUNCTION("GOOGLETRANSLATE(D79, ""it"", ""en"")"),"All of the above")</f>
        <v>All of the above</v>
      </c>
      <c r="K79" s="3" t="str">
        <f>IFERROR(__xludf.DUMMYFUNCTION("GOOGLETRANSLATE(E79, ""it"", ""en"")"),"Any improper behavior compromises the match.")</f>
        <v>Any improper behavior compromises the match.</v>
      </c>
      <c r="L79" s="2"/>
      <c r="M79" s="2"/>
      <c r="N79" s="2"/>
      <c r="O79" s="2"/>
      <c r="P79" s="2"/>
      <c r="Q79" s="2"/>
      <c r="R79" s="2"/>
      <c r="S79" s="2"/>
      <c r="T79" s="2"/>
      <c r="U79" s="2"/>
      <c r="V79" s="2"/>
      <c r="W79" s="2"/>
    </row>
    <row r="80" ht="22.5" customHeight="1">
      <c r="A80" s="3">
        <v>79.0</v>
      </c>
      <c r="B80" s="3" t="s">
        <v>3080</v>
      </c>
      <c r="C80" s="3" t="s">
        <v>3081</v>
      </c>
      <c r="D80" s="3" t="s">
        <v>3082</v>
      </c>
      <c r="E80" s="3" t="s">
        <v>3083</v>
      </c>
      <c r="F80" s="2"/>
      <c r="G80" s="3" t="str">
        <f>IFERROR(__xludf.DUMMYFUNCTION("GOOGLETRANSLATE(A80, ""it"", ""en"")"),"79")</f>
        <v>79</v>
      </c>
      <c r="H80" s="3" t="str">
        <f>IFERROR(__xludf.DUMMYFUNCTION("GOOGLETRANSLATE(B80, ""it"", ""en"")"),"What is the main emotion associated with Morra?")</f>
        <v>What is the main emotion associated with Morra?</v>
      </c>
      <c r="I80" s="3" t="str">
        <f>IFERROR(__xludf.DUMMYFUNCTION("GOOGLETRANSLATE(C80, ""it"", ""en"")"),"A. Adrenaline B. Calm C. Frustration D. Boredom")</f>
        <v>A. Adrenaline B. Calm C. Frustration D. Boredom</v>
      </c>
      <c r="J80" s="3" t="str">
        <f>IFERROR(__xludf.DUMMYFUNCTION("GOOGLETRANSLATE(D80, ""it"", ""en"")"),"Adrenaline")</f>
        <v>Adrenaline</v>
      </c>
      <c r="K80" s="3" t="str">
        <f>IFERROR(__xludf.DUMMYFUNCTION("GOOGLETRANSLATE(E80, ""it"", ""en"")"),"Morra is an exciting and competitive game.")</f>
        <v>Morra is an exciting and competitive game.</v>
      </c>
      <c r="L80" s="2"/>
      <c r="M80" s="2"/>
      <c r="N80" s="2"/>
      <c r="O80" s="2"/>
      <c r="P80" s="2"/>
      <c r="Q80" s="2"/>
      <c r="R80" s="2"/>
      <c r="S80" s="2"/>
      <c r="T80" s="2"/>
      <c r="U80" s="2"/>
      <c r="V80" s="2"/>
      <c r="W80" s="2"/>
    </row>
    <row r="81" ht="22.5" customHeight="1">
      <c r="A81" s="3">
        <v>80.0</v>
      </c>
      <c r="B81" s="3" t="s">
        <v>3084</v>
      </c>
      <c r="C81" s="3" t="s">
        <v>3085</v>
      </c>
      <c r="D81" s="3" t="s">
        <v>3086</v>
      </c>
      <c r="E81" s="3" t="s">
        <v>3005</v>
      </c>
      <c r="F81" s="2"/>
      <c r="G81" s="3" t="str">
        <f>IFERROR(__xludf.DUMMYFUNCTION("GOOGLETRANSLATE(A81, ""it"", ""en"")"),"80")</f>
        <v>80</v>
      </c>
      <c r="H81" s="3" t="str">
        <f>IFERROR(__xludf.DUMMYFUNCTION("GOOGLETRANSLATE(B81, ""it"", ""en"")"),"What is a cultural variant of Morra?")</f>
        <v>What is a cultural variant of Morra?</v>
      </c>
      <c r="I81" s="3" t="str">
        <f>IFERROR(__xludf.DUMMYFUNCTION("GOOGLETRANSLATE(C81, ""it"", ""en"")"),"A. Sa Murra in Sardinia B. The Call in Puglia C. The French Morra D. Morra Fight")</f>
        <v>A. Sa Murra in Sardinia B. The Call in Puglia C. The French Morra D. Morra Fight</v>
      </c>
      <c r="J81" s="3" t="str">
        <f>IFERROR(__xludf.DUMMYFUNCTION("GOOGLETRANSLATE(D81, ""it"", ""en"")"),"Sa Murra in Sardinia")</f>
        <v>Sa Murra in Sardinia</v>
      </c>
      <c r="K81" s="3" t="str">
        <f>IFERROR(__xludf.DUMMYFUNCTION("GOOGLETRANSLATE(E81, ""it"", ""en"")"),"In Sardinia the game is known as Sa Murra.")</f>
        <v>In Sardinia the game is known as Sa Murra.</v>
      </c>
      <c r="L81" s="2"/>
      <c r="M81" s="2"/>
      <c r="N81" s="2"/>
      <c r="O81" s="2"/>
      <c r="P81" s="2"/>
      <c r="Q81" s="2"/>
      <c r="R81" s="2"/>
      <c r="S81" s="2"/>
      <c r="T81" s="2"/>
      <c r="U81" s="2"/>
      <c r="V81" s="2"/>
      <c r="W81" s="2"/>
    </row>
    <row r="82" ht="22.5" customHeight="1">
      <c r="A82" s="3">
        <v>81.0</v>
      </c>
      <c r="B82" s="3" t="s">
        <v>3087</v>
      </c>
      <c r="C82" s="3" t="s">
        <v>3088</v>
      </c>
      <c r="D82" s="3" t="s">
        <v>1630</v>
      </c>
      <c r="E82" s="3" t="s">
        <v>3089</v>
      </c>
      <c r="F82" s="2"/>
      <c r="G82" s="3" t="str">
        <f>IFERROR(__xludf.DUMMYFUNCTION("GOOGLETRANSLATE(A82, ""it"", ""en"")"),"81")</f>
        <v>81</v>
      </c>
      <c r="H82" s="3" t="str">
        <f>IFERROR(__xludf.DUMMYFUNCTION("GOOGLETRANSLATE(B82, ""it"", ""en"")"),"How do you decide the pace of the game?")</f>
        <v>How do you decide the pace of the game?</v>
      </c>
      <c r="I82" s="3" t="str">
        <f>IFERROR(__xludf.DUMMYFUNCTION("GOOGLETRANSLATE(C82, ""it"", ""en"")"),"A. Agreement between the players B. A fixed timer C. Traditional rules D. The referee sets")</f>
        <v>A. Agreement between the players B. A fixed timer C. Traditional rules D. The referee sets</v>
      </c>
      <c r="J82" s="3" t="str">
        <f>IFERROR(__xludf.DUMMYFUNCTION("GOOGLETRANSLATE(D82, ""it"", ""en"")"),"Agreement between the players")</f>
        <v>Agreement between the players</v>
      </c>
      <c r="K82" s="3" t="str">
        <f>IFERROR(__xludf.DUMMYFUNCTION("GOOGLETRANSLATE(E82, ""it"", ""en"")"),"The pace is often decided by the players themselves.")</f>
        <v>The pace is often decided by the players themselves.</v>
      </c>
      <c r="L82" s="2"/>
      <c r="M82" s="2"/>
      <c r="N82" s="2"/>
      <c r="O82" s="2"/>
      <c r="P82" s="2"/>
      <c r="Q82" s="2"/>
      <c r="R82" s="2"/>
      <c r="S82" s="2"/>
      <c r="T82" s="2"/>
      <c r="U82" s="2"/>
      <c r="V82" s="2"/>
      <c r="W82" s="2"/>
    </row>
    <row r="83" ht="22.5" customHeight="1">
      <c r="A83" s="3">
        <v>82.0</v>
      </c>
      <c r="B83" s="3" t="s">
        <v>3090</v>
      </c>
      <c r="C83" s="3" t="s">
        <v>3091</v>
      </c>
      <c r="D83" s="3" t="s">
        <v>2837</v>
      </c>
      <c r="E83" s="3" t="s">
        <v>3092</v>
      </c>
      <c r="F83" s="2"/>
      <c r="G83" s="3" t="str">
        <f>IFERROR(__xludf.DUMMYFUNCTION("GOOGLETRANSLATE(A83, ""it"", ""en"")"),"82")</f>
        <v>82</v>
      </c>
      <c r="H83" s="3" t="str">
        <f>IFERROR(__xludf.DUMMYFUNCTION("GOOGLETRANSLATE(B83, ""it"", ""en"")"),"Is Morra suitable for people of all ages?")</f>
        <v>Is Morra suitable for people of all ages?</v>
      </c>
      <c r="I83" s="3" t="str">
        <f>IFERROR(__xludf.DUMMYFUNCTION("GOOGLETRANSLATE(C83, ""it"", ""en"")"),"A. Yes B. With limitations C. No D. Adults only")</f>
        <v>A. Yes B. With limitations C. No D. Adults only</v>
      </c>
      <c r="J83" s="3" t="str">
        <f>IFERROR(__xludf.DUMMYFUNCTION("GOOGLETRANSLATE(D83, ""it"", ""en"")"),"Yes")</f>
        <v>Yes</v>
      </c>
      <c r="K83" s="3" t="str">
        <f>IFERROR(__xludf.DUMMYFUNCTION("GOOGLETRANSLATE(E83, ""it"", ""en"")"),"The simplicity of the game makes it suitable for everyone.")</f>
        <v>The simplicity of the game makes it suitable for everyone.</v>
      </c>
      <c r="L83" s="2"/>
      <c r="M83" s="2"/>
      <c r="N83" s="2"/>
      <c r="O83" s="2"/>
      <c r="P83" s="2"/>
      <c r="Q83" s="2"/>
      <c r="R83" s="2"/>
      <c r="S83" s="2"/>
      <c r="T83" s="2"/>
      <c r="U83" s="2"/>
      <c r="V83" s="2"/>
      <c r="W83" s="2"/>
    </row>
    <row r="84" ht="22.5" customHeight="1">
      <c r="A84" s="3">
        <v>83.0</v>
      </c>
      <c r="B84" s="3" t="s">
        <v>3093</v>
      </c>
      <c r="C84" s="3" t="s">
        <v>3094</v>
      </c>
      <c r="D84" s="3" t="s">
        <v>3095</v>
      </c>
      <c r="E84" s="3" t="s">
        <v>3096</v>
      </c>
      <c r="F84" s="2"/>
      <c r="G84" s="3" t="str">
        <f>IFERROR(__xludf.DUMMYFUNCTION("GOOGLETRANSLATE(A84, ""it"", ""en"")"),"83")</f>
        <v>83</v>
      </c>
      <c r="H84" s="3" t="str">
        <f>IFERROR(__xludf.DUMMYFUNCTION("GOOGLETRANSLATE(B84, ""it"", ""en"")"),"What is a possible symbolic prize in Morra?")</f>
        <v>What is a possible symbolic prize in Morra?</v>
      </c>
      <c r="I84" s="3" t="str">
        <f>IFERROR(__xludf.DUMMYFUNCTION("GOOGLETRANSLATE(C84, ""it"", ""en"")"),"A. A toast B. A cash prize C. A trophy D. A handshake")</f>
        <v>A. A toast B. A cash prize C. A trophy D. A handshake</v>
      </c>
      <c r="J84" s="3" t="str">
        <f>IFERROR(__xludf.DUMMYFUNCTION("GOOGLETRANSLATE(D84, ""it"", ""en"")"),"A toast")</f>
        <v>A toast</v>
      </c>
      <c r="K84" s="3" t="str">
        <f>IFERROR(__xludf.DUMMYFUNCTION("GOOGLETRANSLATE(E84, ""it"", ""en"")"),"In informal contexts")</f>
        <v>In informal contexts</v>
      </c>
      <c r="L84" s="2"/>
      <c r="M84" s="2"/>
      <c r="N84" s="2"/>
      <c r="O84" s="2"/>
      <c r="P84" s="2"/>
      <c r="Q84" s="2"/>
      <c r="R84" s="2"/>
      <c r="S84" s="2"/>
      <c r="T84" s="2"/>
      <c r="U84" s="2"/>
      <c r="V84" s="2"/>
      <c r="W84" s="2"/>
    </row>
    <row r="85" ht="22.5" customHeight="1">
      <c r="A85" s="3">
        <v>84.0</v>
      </c>
      <c r="B85" s="3" t="s">
        <v>3097</v>
      </c>
      <c r="C85" s="3" t="s">
        <v>3098</v>
      </c>
      <c r="D85" s="3" t="s">
        <v>3099</v>
      </c>
      <c r="E85" s="3" t="s">
        <v>3100</v>
      </c>
      <c r="F85" s="2"/>
      <c r="G85" s="3" t="str">
        <f>IFERROR(__xludf.DUMMYFUNCTION("GOOGLETRANSLATE(A85, ""it"", ""en"")"),"84")</f>
        <v>84</v>
      </c>
      <c r="H85" s="3" t="str">
        <f>IFERROR(__xludf.DUMMYFUNCTION("GOOGLETRANSLATE(B85, ""it"", ""en"")"),"What is Morra's mental goal?")</f>
        <v>What is Morra's mental goal?</v>
      </c>
      <c r="I85" s="3" t="str">
        <f>IFERROR(__xludf.DUMMYFUNCTION("GOOGLETRANSLATE(C85, ""it"", ""en"")"),"A. Reading the opponent B. Absolute concentration C. Shouting first D. Memorizing the turns")</f>
        <v>A. Reading the opponent B. Absolute concentration C. Shouting first D. Memorizing the turns</v>
      </c>
      <c r="J85" s="3" t="str">
        <f>IFERROR(__xludf.DUMMYFUNCTION("GOOGLETRANSLATE(D85, ""it"", ""en"")"),"Reading the opponent")</f>
        <v>Reading the opponent</v>
      </c>
      <c r="K85" s="3" t="str">
        <f>IFERROR(__xludf.DUMMYFUNCTION("GOOGLETRANSLATE(E85, ""it"", ""en"")"),"Understanding your opponent's intentions is crucial.")</f>
        <v>Understanding your opponent's intentions is crucial.</v>
      </c>
      <c r="L85" s="2"/>
      <c r="M85" s="2"/>
      <c r="N85" s="2"/>
      <c r="O85" s="2"/>
      <c r="P85" s="2"/>
      <c r="Q85" s="2"/>
      <c r="R85" s="2"/>
      <c r="S85" s="2"/>
      <c r="T85" s="2"/>
      <c r="U85" s="2"/>
      <c r="V85" s="2"/>
      <c r="W85" s="2"/>
    </row>
    <row r="86" ht="22.5" customHeight="1">
      <c r="A86" s="3">
        <v>85.0</v>
      </c>
      <c r="B86" s="3" t="s">
        <v>3101</v>
      </c>
      <c r="C86" s="3" t="s">
        <v>3102</v>
      </c>
      <c r="D86" s="3" t="s">
        <v>3103</v>
      </c>
      <c r="E86" s="3" t="s">
        <v>3104</v>
      </c>
      <c r="F86" s="2"/>
      <c r="G86" s="3" t="str">
        <f>IFERROR(__xludf.DUMMYFUNCTION("GOOGLETRANSLATE(A86, ""it"", ""en"")"),"85")</f>
        <v>85</v>
      </c>
      <c r="H86" s="3" t="str">
        <f>IFERROR(__xludf.DUMMYFUNCTION("GOOGLETRANSLATE(B86, ""it"", ""en"")"),"What does ""winning play"" mean?")</f>
        <v>What does "winning play" mean?</v>
      </c>
      <c r="I86" s="3" t="str">
        <f>IFERROR(__xludf.DUMMYFUNCTION("GOOGLETRANSLATE(C86, ""it"", ""en"")"),"A. The correct sum guessed B. Shout first C. Block the opponent D. Never make a mistake")</f>
        <v>A. The correct sum guessed B. Shout first C. Block the opponent D. Never make a mistake</v>
      </c>
      <c r="J86" s="3" t="str">
        <f>IFERROR(__xludf.DUMMYFUNCTION("GOOGLETRANSLATE(D86, ""it"", ""en"")"),"The correct sum guessed")</f>
        <v>The correct sum guessed</v>
      </c>
      <c r="K86" s="3" t="str">
        <f>IFERROR(__xludf.DUMMYFUNCTION("GOOGLETRANSLATE(E86, ""it"", ""en"")"),"A winning bet is based on an accurate prediction.")</f>
        <v>A winning bet is based on an accurate prediction.</v>
      </c>
      <c r="L86" s="2"/>
      <c r="M86" s="2"/>
      <c r="N86" s="2"/>
      <c r="O86" s="2"/>
      <c r="P86" s="2"/>
      <c r="Q86" s="2"/>
      <c r="R86" s="2"/>
      <c r="S86" s="2"/>
      <c r="T86" s="2"/>
      <c r="U86" s="2"/>
      <c r="V86" s="2"/>
      <c r="W86" s="2"/>
    </row>
    <row r="87" ht="22.5" customHeight="1">
      <c r="A87" s="3">
        <v>86.0</v>
      </c>
      <c r="B87" s="3" t="s">
        <v>3105</v>
      </c>
      <c r="C87" s="3" t="s">
        <v>3106</v>
      </c>
      <c r="D87" s="3" t="s">
        <v>1332</v>
      </c>
      <c r="E87" s="3" t="s">
        <v>3107</v>
      </c>
      <c r="F87" s="2"/>
      <c r="G87" s="3" t="str">
        <f>IFERROR(__xludf.DUMMYFUNCTION("GOOGLETRANSLATE(A87, ""it"", ""en"")"),"86")</f>
        <v>86</v>
      </c>
      <c r="H87" s="3" t="str">
        <f>IFERROR(__xludf.DUMMYFUNCTION("GOOGLETRANSLATE(B87, ""it"", ""en"")"),"What is a variant of Morra played in other cultures?")</f>
        <v>What is a variant of Morra played in other cultures?</v>
      </c>
      <c r="I87" s="3" t="str">
        <f>IFERROR(__xludf.DUMMYFUNCTION("GOOGLETRANSLATE(C87, ""it"", ""en"")"),"A. Greek Morra B. Spanish Morra C. Egyptian Morra D. All of the above")</f>
        <v>A. Greek Morra B. Spanish Morra C. Egyptian Morra D. All of the above</v>
      </c>
      <c r="J87" s="3" t="str">
        <f>IFERROR(__xludf.DUMMYFUNCTION("GOOGLETRANSLATE(D87, ""it"", ""en"")"),"All of the above")</f>
        <v>All of the above</v>
      </c>
      <c r="K87" s="3" t="str">
        <f>IFERROR(__xludf.DUMMYFUNCTION("GOOGLETRANSLATE(E87, ""it"", ""en"")"),"Variations of the game exist in different cultures.")</f>
        <v>Variations of the game exist in different cultures.</v>
      </c>
      <c r="L87" s="2"/>
      <c r="M87" s="2"/>
      <c r="N87" s="2"/>
      <c r="O87" s="2"/>
      <c r="P87" s="2"/>
      <c r="Q87" s="2"/>
      <c r="R87" s="2"/>
      <c r="S87" s="2"/>
      <c r="T87" s="2"/>
      <c r="U87" s="2"/>
      <c r="V87" s="2"/>
      <c r="W87" s="2"/>
    </row>
    <row r="88" ht="22.5" customHeight="1">
      <c r="A88" s="3">
        <v>87.0</v>
      </c>
      <c r="B88" s="3" t="s">
        <v>3108</v>
      </c>
      <c r="C88" s="3" t="s">
        <v>3109</v>
      </c>
      <c r="D88" s="3" t="s">
        <v>1209</v>
      </c>
      <c r="E88" s="3" t="s">
        <v>3110</v>
      </c>
      <c r="F88" s="2"/>
      <c r="G88" s="3" t="str">
        <f>IFERROR(__xludf.DUMMYFUNCTION("GOOGLETRANSLATE(A88, ""it"", ""en"")"),"87")</f>
        <v>87</v>
      </c>
      <c r="H88" s="3" t="str">
        <f>IFERROR(__xludf.DUMMYFUNCTION("GOOGLETRANSLATE(B88, ""it"", ""en"")"),"Is Morra recognized as an official sport?")</f>
        <v>Is Morra recognized as an official sport?</v>
      </c>
      <c r="I88" s="3" t="str">
        <f>IFERROR(__xludf.DUMMYFUNCTION("GOOGLETRANSLATE(C88, ""it"", ""en"")"),"A. Yes B. No C. Only in Sardinia D. Only during special events")</f>
        <v>A. Yes B. No C. Only in Sardinia D. Only during special events</v>
      </c>
      <c r="J88" s="3" t="str">
        <f>IFERROR(__xludf.DUMMYFUNCTION("GOOGLETRANSLATE(D88, ""it"", ""en"")"),"No")</f>
        <v>No</v>
      </c>
      <c r="K88" s="3" t="str">
        <f>IFERROR(__xludf.DUMMYFUNCTION("GOOGLETRANSLATE(E88, ""it"", ""en"")"),"Morra is considered a traditional game")</f>
        <v>Morra is considered a traditional game</v>
      </c>
      <c r="L88" s="2"/>
      <c r="M88" s="2"/>
      <c r="N88" s="2"/>
      <c r="O88" s="2"/>
      <c r="P88" s="2"/>
      <c r="Q88" s="2"/>
      <c r="R88" s="2"/>
      <c r="S88" s="2"/>
      <c r="T88" s="2"/>
      <c r="U88" s="2"/>
      <c r="V88" s="2"/>
      <c r="W88" s="2"/>
    </row>
    <row r="89" ht="22.5" customHeight="1">
      <c r="A89" s="3">
        <v>88.0</v>
      </c>
      <c r="B89" s="3" t="s">
        <v>3111</v>
      </c>
      <c r="C89" s="3" t="s">
        <v>3112</v>
      </c>
      <c r="D89" s="3" t="s">
        <v>3113</v>
      </c>
      <c r="E89" s="3" t="s">
        <v>3114</v>
      </c>
      <c r="F89" s="2"/>
      <c r="G89" s="3" t="str">
        <f>IFERROR(__xludf.DUMMYFUNCTION("GOOGLETRANSLATE(A89, ""it"", ""en"")"),"88")</f>
        <v>88</v>
      </c>
      <c r="H89" s="3" t="str">
        <f>IFERROR(__xludf.DUMMYFUNCTION("GOOGLETRANSLATE(B89, ""it"", ""en"")"),"What is a synonym for ""call"" in Morra?")</f>
        <v>What is a synonym for "call" in Morra?</v>
      </c>
      <c r="I89" s="3" t="str">
        <f>IFERROR(__xludf.DUMMYFUNCTION("GOOGLETRANSLATE(C89, ""it"", ""en"")"),"A. Prediction B. Deduction C. Move D. Voice")</f>
        <v>A. Prediction B. Deduction C. Move D. Voice</v>
      </c>
      <c r="J89" s="3" t="str">
        <f>IFERROR(__xludf.DUMMYFUNCTION("GOOGLETRANSLATE(D89, ""it"", ""en"")"),"Forecast")</f>
        <v>Forecast</v>
      </c>
      <c r="K89" s="3" t="str">
        <f>IFERROR(__xludf.DUMMYFUNCTION("GOOGLETRANSLATE(E89, ""it"", ""en"")"),"The ""call"" represents a numerical prediction.")</f>
        <v>The "call" represents a numerical prediction.</v>
      </c>
      <c r="L89" s="2"/>
      <c r="M89" s="2"/>
      <c r="N89" s="2"/>
      <c r="O89" s="2"/>
      <c r="P89" s="2"/>
      <c r="Q89" s="2"/>
      <c r="R89" s="2"/>
      <c r="S89" s="2"/>
      <c r="T89" s="2"/>
      <c r="U89" s="2"/>
      <c r="V89" s="2"/>
      <c r="W89" s="2"/>
    </row>
    <row r="90" ht="22.5" customHeight="1">
      <c r="A90" s="3">
        <v>89.0</v>
      </c>
      <c r="B90" s="3" t="s">
        <v>3115</v>
      </c>
      <c r="C90" s="3" t="s">
        <v>3116</v>
      </c>
      <c r="D90" s="3" t="s">
        <v>1332</v>
      </c>
      <c r="E90" s="3" t="s">
        <v>3117</v>
      </c>
      <c r="F90" s="2"/>
      <c r="G90" s="3" t="str">
        <f>IFERROR(__xludf.DUMMYFUNCTION("GOOGLETRANSLATE(A90, ""it"", ""en"")"),"89")</f>
        <v>89</v>
      </c>
      <c r="H90" s="3" t="str">
        <f>IFERROR(__xludf.DUMMYFUNCTION("GOOGLETRANSLATE(B90, ""it"", ""en"")"),"What is an advantage of being proficient in Morra?")</f>
        <v>What is an advantage of being proficient in Morra?</v>
      </c>
      <c r="I90" s="3" t="str">
        <f>IFERROR(__xludf.DUMMYFUNCTION("GOOGLETRANSLATE(C90, ""it"", ""en"")"),"A. Better reading of the opponent B. Greater speed C. Better concentration D. All of the above")</f>
        <v>A. Better reading of the opponent B. Greater speed C. Better concentration D. All of the above</v>
      </c>
      <c r="J90" s="3" t="str">
        <f>IFERROR(__xludf.DUMMYFUNCTION("GOOGLETRANSLATE(D90, ""it"", ""en"")"),"All of the above")</f>
        <v>All of the above</v>
      </c>
      <c r="K90" s="3" t="str">
        <f>IFERROR(__xludf.DUMMYFUNCTION("GOOGLETRANSLATE(E90, ""it"", ""en"")"),"Experience improves all aspects of the game.")</f>
        <v>Experience improves all aspects of the game.</v>
      </c>
      <c r="L90" s="2"/>
      <c r="M90" s="2"/>
      <c r="N90" s="2"/>
      <c r="O90" s="2"/>
      <c r="P90" s="2"/>
      <c r="Q90" s="2"/>
      <c r="R90" s="2"/>
      <c r="S90" s="2"/>
      <c r="T90" s="2"/>
      <c r="U90" s="2"/>
      <c r="V90" s="2"/>
      <c r="W90" s="2"/>
    </row>
    <row r="91" ht="22.5" customHeight="1">
      <c r="A91" s="3">
        <v>90.0</v>
      </c>
      <c r="B91" s="3" t="s">
        <v>3118</v>
      </c>
      <c r="C91" s="3" t="s">
        <v>3119</v>
      </c>
      <c r="D91" s="3" t="s">
        <v>3120</v>
      </c>
      <c r="E91" s="3" t="s">
        <v>3121</v>
      </c>
      <c r="F91" s="2"/>
      <c r="G91" s="3" t="str">
        <f>IFERROR(__xludf.DUMMYFUNCTION("GOOGLETRANSLATE(A91, ""it"", ""en"")"),"90")</f>
        <v>90</v>
      </c>
      <c r="H91" s="3" t="str">
        <f>IFERROR(__xludf.DUMMYFUNCTION("GOOGLETRANSLATE(B91, ""it"", ""en"")"),"What is celebrated with a Morra game?")</f>
        <v>What is celebrated with a Morra game?</v>
      </c>
      <c r="I91" s="3" t="str">
        <f>IFERROR(__xludf.DUMMYFUNCTION("GOOGLETRANSLATE(C91, ""it"", ""en"")"),"A. Friendship and competition B. Personal victory C. Respect for the rules D. Local tradition")</f>
        <v>A. Friendship and competition B. Personal victory C. Respect for the rules D. Local tradition</v>
      </c>
      <c r="J91" s="3" t="str">
        <f>IFERROR(__xludf.DUMMYFUNCTION("GOOGLETRANSLATE(D91, ""it"", ""en"")"),"Friendship and competition")</f>
        <v>Friendship and competition</v>
      </c>
      <c r="K91" s="3" t="str">
        <f>IFERROR(__xludf.DUMMYFUNCTION("GOOGLETRANSLATE(E91, ""it"", ""en"")"),"Morra celebrates social interaction and challenge.")</f>
        <v>Morra celebrates social interaction and challenge.</v>
      </c>
      <c r="L91" s="2"/>
      <c r="M91" s="2"/>
      <c r="N91" s="2"/>
      <c r="O91" s="2"/>
      <c r="P91" s="2"/>
      <c r="Q91" s="2"/>
      <c r="R91" s="2"/>
      <c r="S91" s="2"/>
      <c r="T91" s="2"/>
      <c r="U91" s="2"/>
      <c r="V91" s="2"/>
      <c r="W91" s="2"/>
    </row>
    <row r="92" ht="22.5" customHeight="1">
      <c r="A92" s="3">
        <v>91.0</v>
      </c>
      <c r="B92" s="3" t="s">
        <v>3122</v>
      </c>
      <c r="C92" s="3" t="s">
        <v>3123</v>
      </c>
      <c r="D92" s="3" t="s">
        <v>1564</v>
      </c>
      <c r="E92" s="3" t="s">
        <v>3124</v>
      </c>
      <c r="F92" s="2"/>
      <c r="G92" s="3" t="str">
        <f>IFERROR(__xludf.DUMMYFUNCTION("GOOGLETRANSLATE(A92, ""it"", ""en"")"),"91")</f>
        <v>91</v>
      </c>
      <c r="H92" s="3" t="str">
        <f>IFERROR(__xludf.DUMMYFUNCTION("GOOGLETRANSLATE(B92, ""it"", ""en"")"),"What is a cultural aspect of Morra?")</f>
        <v>What is a cultural aspect of Morra?</v>
      </c>
      <c r="I92" s="3" t="str">
        <f>IFERROR(__xludf.DUMMYFUNCTION("GOOGLETRANSLATE(C92, ""it"", ""en"")"),"A. It represents oral tradition B. It recalls ancient games C. It unites local communities D. All of the above")</f>
        <v>A. It represents oral tradition B. It recalls ancient games C. It unites local communities D. All of the above</v>
      </c>
      <c r="J92" s="3" t="str">
        <f>IFERROR(__xludf.DUMMYFUNCTION("GOOGLETRANSLATE(D92, ""it"", ""en"")"),"All of the above")</f>
        <v>All of the above</v>
      </c>
      <c r="K92" s="3" t="str">
        <f>IFERROR(__xludf.DUMMYFUNCTION("GOOGLETRANSLATE(E92, ""it"", ""en"")"),"Morra is rooted in the cultural and social traditions of many regions.")</f>
        <v>Morra is rooted in the cultural and social traditions of many regions.</v>
      </c>
      <c r="L92" s="2"/>
      <c r="M92" s="2"/>
      <c r="N92" s="2"/>
      <c r="O92" s="2"/>
      <c r="P92" s="2"/>
      <c r="Q92" s="2"/>
      <c r="R92" s="2"/>
      <c r="S92" s="2"/>
      <c r="T92" s="2"/>
      <c r="U92" s="2"/>
      <c r="V92" s="2"/>
      <c r="W92" s="2"/>
    </row>
    <row r="93" ht="22.5" customHeight="1">
      <c r="A93" s="3">
        <v>92.0</v>
      </c>
      <c r="B93" s="3" t="s">
        <v>3125</v>
      </c>
      <c r="C93" s="3" t="s">
        <v>3126</v>
      </c>
      <c r="D93" s="3" t="s">
        <v>3127</v>
      </c>
      <c r="E93" s="3" t="s">
        <v>3128</v>
      </c>
      <c r="F93" s="2"/>
      <c r="G93" s="3" t="str">
        <f>IFERROR(__xludf.DUMMYFUNCTION("GOOGLETRANSLATE(A93, ""it"", ""en"")"),"92")</f>
        <v>92</v>
      </c>
      <c r="H93" s="3" t="str">
        <f>IFERROR(__xludf.DUMMYFUNCTION("GOOGLETRANSLATE(B93, ""it"", ""en"")"),"How do you face an opponent in Morra?")</f>
        <v>How do you face an opponent in Morra?</v>
      </c>
      <c r="I93" s="3" t="str">
        <f>IFERROR(__xludf.DUMMYFUNCTION("GOOGLETRANSLATE(C93, ""it"", ""en"")"),"A. With calm and strategy B. With speed and strength C. With confusion D. With silence")</f>
        <v>A. With calm and strategy B. With speed and strength C. With confusion D. With silence</v>
      </c>
      <c r="J93" s="3" t="str">
        <f>IFERROR(__xludf.DUMMYFUNCTION("GOOGLETRANSLATE(D93, ""it"", ""en"")"),"Calmly and strategically")</f>
        <v>Calmly and strategically</v>
      </c>
      <c r="K93" s="3" t="str">
        <f>IFERROR(__xludf.DUMMYFUNCTION("GOOGLETRANSLATE(E93, ""it"", ""en"")"),"A calm and strategic approach is essential.")</f>
        <v>A calm and strategic approach is essential.</v>
      </c>
      <c r="L93" s="2"/>
      <c r="M93" s="2"/>
      <c r="N93" s="2"/>
      <c r="O93" s="2"/>
      <c r="P93" s="2"/>
      <c r="Q93" s="2"/>
      <c r="R93" s="2"/>
      <c r="S93" s="2"/>
      <c r="T93" s="2"/>
      <c r="U93" s="2"/>
      <c r="V93" s="2"/>
      <c r="W93" s="2"/>
    </row>
    <row r="94" ht="22.5" customHeight="1">
      <c r="A94" s="3">
        <v>93.0</v>
      </c>
      <c r="B94" s="3" t="s">
        <v>3129</v>
      </c>
      <c r="C94" s="3" t="s">
        <v>3130</v>
      </c>
      <c r="D94" s="3" t="s">
        <v>1564</v>
      </c>
      <c r="E94" s="3" t="s">
        <v>3131</v>
      </c>
      <c r="F94" s="2"/>
      <c r="G94" s="3" t="str">
        <f>IFERROR(__xludf.DUMMYFUNCTION("GOOGLETRANSLATE(A94, ""it"", ""en"")"),"93")</f>
        <v>93</v>
      </c>
      <c r="H94" s="3" t="str">
        <f>IFERROR(__xludf.DUMMYFUNCTION("GOOGLETRANSLATE(B94, ""it"", ""en"")"),"What is a distinctive element of the game Morra?")</f>
        <v>What is a distinctive element of the game Morra?</v>
      </c>
      <c r="I94" s="3" t="str">
        <f>IFERROR(__xludf.DUMMYFUNCTION("GOOGLETRANSLATE(C94, ""it"", ""en"")"),"A. The simplicity of the rules B. The speed of the game C. The immediate involvement D. All of the above")</f>
        <v>A. The simplicity of the rules B. The speed of the game C. The immediate involvement D. All of the above</v>
      </c>
      <c r="J94" s="3" t="str">
        <f>IFERROR(__xludf.DUMMYFUNCTION("GOOGLETRANSLATE(D94, ""it"", ""en"")"),"All of the above")</f>
        <v>All of the above</v>
      </c>
      <c r="K94" s="3" t="str">
        <f>IFERROR(__xludf.DUMMYFUNCTION("GOOGLETRANSLATE(E94, ""it"", ""en"")"),"Morra stands out for its speed and accessibility.")</f>
        <v>Morra stands out for its speed and accessibility.</v>
      </c>
      <c r="L94" s="2"/>
      <c r="M94" s="2"/>
      <c r="N94" s="2"/>
      <c r="O94" s="2"/>
      <c r="P94" s="2"/>
      <c r="Q94" s="2"/>
      <c r="R94" s="2"/>
      <c r="S94" s="2"/>
      <c r="T94" s="2"/>
      <c r="U94" s="2"/>
      <c r="V94" s="2"/>
      <c r="W94" s="2"/>
    </row>
    <row r="95" ht="22.5" customHeight="1">
      <c r="A95" s="3">
        <v>94.0</v>
      </c>
      <c r="B95" s="3" t="s">
        <v>3132</v>
      </c>
      <c r="C95" s="3" t="s">
        <v>3133</v>
      </c>
      <c r="D95" s="3" t="s">
        <v>1564</v>
      </c>
      <c r="E95" s="3" t="s">
        <v>3134</v>
      </c>
      <c r="F95" s="2"/>
      <c r="G95" s="3" t="str">
        <f>IFERROR(__xludf.DUMMYFUNCTION("GOOGLETRANSLATE(A95, ""it"", ""en"")"),"94")</f>
        <v>94</v>
      </c>
      <c r="H95" s="3" t="str">
        <f>IFERROR(__xludf.DUMMYFUNCTION("GOOGLETRANSLATE(B95, ""it"", ""en"")"),"How can we improve in Morra?")</f>
        <v>How can we improve in Morra?</v>
      </c>
      <c r="I95" s="3" t="str">
        <f>IFERROR(__xludf.DUMMYFUNCTION("GOOGLETRANSLATE(C95, ""it"", ""en"")"),"A. Practicing regularly B. Observing opponents C. Trying to predict moves D. All of the above")</f>
        <v>A. Practicing regularly B. Observing opponents C. Trying to predict moves D. All of the above</v>
      </c>
      <c r="J95" s="3" t="str">
        <f>IFERROR(__xludf.DUMMYFUNCTION("GOOGLETRANSLATE(D95, ""it"", ""en"")"),"All of the above")</f>
        <v>All of the above</v>
      </c>
      <c r="K95" s="3" t="str">
        <f>IFERROR(__xludf.DUMMYFUNCTION("GOOGLETRANSLATE(E95, ""it"", ""en"")"),"Practice")</f>
        <v>Practice</v>
      </c>
      <c r="L95" s="2"/>
      <c r="M95" s="2"/>
      <c r="N95" s="2"/>
      <c r="O95" s="2"/>
      <c r="P95" s="2"/>
      <c r="Q95" s="2"/>
      <c r="R95" s="2"/>
      <c r="S95" s="2"/>
      <c r="T95" s="2"/>
      <c r="U95" s="2"/>
      <c r="V95" s="2"/>
      <c r="W95" s="2"/>
    </row>
    <row r="96" ht="22.5" customHeight="1">
      <c r="A96" s="3">
        <v>95.0</v>
      </c>
      <c r="B96" s="3" t="s">
        <v>3135</v>
      </c>
      <c r="C96" s="3" t="s">
        <v>3136</v>
      </c>
      <c r="D96" s="3" t="s">
        <v>1564</v>
      </c>
      <c r="E96" s="3" t="s">
        <v>3137</v>
      </c>
      <c r="F96" s="2"/>
      <c r="G96" s="3" t="str">
        <f>IFERROR(__xludf.DUMMYFUNCTION("GOOGLETRANSLATE(A96, ""it"", ""en"")"),"95")</f>
        <v>95</v>
      </c>
      <c r="H96" s="3" t="str">
        <f>IFERROR(__xludf.DUMMYFUNCTION("GOOGLETRANSLATE(B96, ""it"", ""en"")"),"What is a common mistake beginners make in Morra?")</f>
        <v>What is a common mistake beginners make in Morra?</v>
      </c>
      <c r="I96" s="3" t="str">
        <f>IFERROR(__xludf.DUMMYFUNCTION("GOOGLETRANSLATE(C96, ""it"", ""en"")"),"A. Shouting too soon B. Showing wrong fingers C. Confusing the sum D. All of the above")</f>
        <v>A. Shouting too soon B. Showing wrong fingers C. Confusing the sum D. All of the above</v>
      </c>
      <c r="J96" s="3" t="str">
        <f>IFERROR(__xludf.DUMMYFUNCTION("GOOGLETRANSLATE(D96, ""it"", ""en"")"),"All of the above")</f>
        <v>All of the above</v>
      </c>
      <c r="K96" s="3" t="str">
        <f>IFERROR(__xludf.DUMMYFUNCTION("GOOGLETRANSLATE(E96, ""it"", ""en"")"),"Mistakes in beginners include incorrect gestures and calls.")</f>
        <v>Mistakes in beginners include incorrect gestures and calls.</v>
      </c>
      <c r="L96" s="2"/>
      <c r="M96" s="2"/>
      <c r="N96" s="2"/>
      <c r="O96" s="2"/>
      <c r="P96" s="2"/>
      <c r="Q96" s="2"/>
      <c r="R96" s="2"/>
      <c r="S96" s="2"/>
      <c r="T96" s="2"/>
      <c r="U96" s="2"/>
      <c r="V96" s="2"/>
      <c r="W96" s="2"/>
    </row>
    <row r="97" ht="22.5" customHeight="1">
      <c r="A97" s="3">
        <v>96.0</v>
      </c>
      <c r="B97" s="3" t="s">
        <v>3138</v>
      </c>
      <c r="C97" s="3" t="s">
        <v>3139</v>
      </c>
      <c r="D97" s="3" t="s">
        <v>3140</v>
      </c>
      <c r="E97" s="3" t="s">
        <v>3141</v>
      </c>
      <c r="F97" s="2"/>
      <c r="G97" s="3" t="str">
        <f>IFERROR(__xludf.DUMMYFUNCTION("GOOGLETRANSLATE(A97, ""it"", ""en"")"),"96")</f>
        <v>96</v>
      </c>
      <c r="H97" s="3" t="str">
        <f>IFERROR(__xludf.DUMMYFUNCTION("GOOGLETRANSLATE(B97, ""it"", ""en"")"),"What is meant by ""advanced strategy"" in Morra?")</f>
        <v>What is meant by "advanced strategy" in Morra?</v>
      </c>
      <c r="I97" s="3" t="str">
        <f>IFERROR(__xludf.DUMMYFUNCTION("GOOGLETRANSLATE(C97, ""it"", ""en"")"),"A. Predicting your opponent's moves B. Using tricks C. Shouting out high numbers D. There is no advanced strategy")</f>
        <v>A. Predicting your opponent's moves B. Using tricks C. Shouting out high numbers D. There is no advanced strategy</v>
      </c>
      <c r="J97" s="3" t="str">
        <f>IFERROR(__xludf.DUMMYFUNCTION("GOOGLETRANSLATE(D97, ""it"", ""en"")"),"Predicting your opponent's moves")</f>
        <v>Predicting your opponent's moves</v>
      </c>
      <c r="K97" s="3" t="str">
        <f>IFERROR(__xludf.DUMMYFUNCTION("GOOGLETRANSLATE(E97, ""it"", ""en"")"),"Advanced strategies are based on observation and anticipation.")</f>
        <v>Advanced strategies are based on observation and anticipation.</v>
      </c>
      <c r="L97" s="2"/>
      <c r="M97" s="2"/>
      <c r="N97" s="2"/>
      <c r="O97" s="2"/>
      <c r="P97" s="2"/>
      <c r="Q97" s="2"/>
      <c r="R97" s="2"/>
      <c r="S97" s="2"/>
      <c r="T97" s="2"/>
      <c r="U97" s="2"/>
      <c r="V97" s="2"/>
      <c r="W97" s="2"/>
    </row>
    <row r="98" ht="22.5" customHeight="1">
      <c r="A98" s="3">
        <v>97.0</v>
      </c>
      <c r="B98" s="3" t="s">
        <v>3142</v>
      </c>
      <c r="C98" s="3" t="s">
        <v>3143</v>
      </c>
      <c r="D98" s="3" t="s">
        <v>3144</v>
      </c>
      <c r="E98" s="3" t="s">
        <v>3145</v>
      </c>
      <c r="F98" s="2"/>
      <c r="G98" s="3" t="str">
        <f>IFERROR(__xludf.DUMMYFUNCTION("GOOGLETRANSLATE(A98, ""it"", ""en"")"),"97")</f>
        <v>97</v>
      </c>
      <c r="H98" s="3" t="str">
        <f>IFERROR(__xludf.DUMMYFUNCTION("GOOGLETRANSLATE(B98, ""it"", ""en"")"),"How can you train speed in Morra?")</f>
        <v>How can you train speed in Morra?</v>
      </c>
      <c r="I98" s="3" t="str">
        <f>IFERROR(__xludf.DUMMYFUNCTION("GOOGLETRANSLATE(C98, ""it"", ""en"")"),"A. With reflex games B. With tournaments C. By shouting quickly D. With vocal exercises")</f>
        <v>A. With reflex games B. With tournaments C. By shouting quickly D. With vocal exercises</v>
      </c>
      <c r="J98" s="3" t="str">
        <f>IFERROR(__xludf.DUMMYFUNCTION("GOOGLETRANSLATE(D98, ""it"", ""en"")"),"With games of reflections")</f>
        <v>With games of reflections</v>
      </c>
      <c r="K98" s="3" t="str">
        <f>IFERROR(__xludf.DUMMYFUNCTION("GOOGLETRANSLATE(E98, ""it"", ""en"")"),"Training your reflexes is useful for improving speed.")</f>
        <v>Training your reflexes is useful for improving speed.</v>
      </c>
      <c r="L98" s="2"/>
      <c r="M98" s="2"/>
      <c r="N98" s="2"/>
      <c r="O98" s="2"/>
      <c r="P98" s="2"/>
      <c r="Q98" s="2"/>
      <c r="R98" s="2"/>
      <c r="S98" s="2"/>
      <c r="T98" s="2"/>
      <c r="U98" s="2"/>
      <c r="V98" s="2"/>
      <c r="W98" s="2"/>
    </row>
    <row r="99" ht="22.5" customHeight="1">
      <c r="A99" s="3">
        <v>98.0</v>
      </c>
      <c r="B99" s="3" t="s">
        <v>3146</v>
      </c>
      <c r="C99" s="3" t="s">
        <v>3147</v>
      </c>
      <c r="D99" s="3" t="s">
        <v>1332</v>
      </c>
      <c r="E99" s="3" t="s">
        <v>3148</v>
      </c>
      <c r="F99" s="2"/>
      <c r="G99" s="3" t="str">
        <f>IFERROR(__xludf.DUMMYFUNCTION("GOOGLETRANSLATE(A99, ""it"", ""en"")"),"98")</f>
        <v>98</v>
      </c>
      <c r="H99" s="3" t="str">
        <f>IFERROR(__xludf.DUMMYFUNCTION("GOOGLETRANSLATE(B99, ""it"", ""en"")"),"What is an essential feature for playing Morra?")</f>
        <v>What is an essential feature for playing Morra?</v>
      </c>
      <c r="I99" s="3" t="str">
        <f>IFERROR(__xludf.DUMMYFUNCTION("GOOGLETRANSLATE(C99, ""it"", ""en"")"),"A. Good memory B. Quick reflexes C. Strong voice D. All of the above")</f>
        <v>A. Good memory B. Quick reflexes C. Strong voice D. All of the above</v>
      </c>
      <c r="J99" s="3" t="str">
        <f>IFERROR(__xludf.DUMMYFUNCTION("GOOGLETRANSLATE(D99, ""it"", ""en"")"),"All of the above")</f>
        <v>All of the above</v>
      </c>
      <c r="K99" s="3" t="str">
        <f>IFERROR(__xludf.DUMMYFUNCTION("GOOGLETRANSLATE(E99, ""it"", ""en"")"),"Memory")</f>
        <v>Memory</v>
      </c>
      <c r="L99" s="2"/>
      <c r="M99" s="2"/>
      <c r="N99" s="2"/>
      <c r="O99" s="2"/>
      <c r="P99" s="2"/>
      <c r="Q99" s="2"/>
      <c r="R99" s="2"/>
      <c r="S99" s="2"/>
      <c r="T99" s="2"/>
      <c r="U99" s="2"/>
      <c r="V99" s="2"/>
      <c r="W99" s="2"/>
    </row>
    <row r="100" ht="22.5" customHeight="1">
      <c r="A100" s="3">
        <v>99.0</v>
      </c>
      <c r="B100" s="3" t="s">
        <v>3149</v>
      </c>
      <c r="C100" s="3" t="s">
        <v>3150</v>
      </c>
      <c r="D100" s="3" t="s">
        <v>3151</v>
      </c>
      <c r="E100" s="3" t="s">
        <v>3152</v>
      </c>
      <c r="F100" s="2"/>
      <c r="G100" s="3" t="str">
        <f>IFERROR(__xludf.DUMMYFUNCTION("GOOGLETRANSLATE(A100, ""it"", ""en"")"),"99")</f>
        <v>99</v>
      </c>
      <c r="H100" s="3" t="str">
        <f>IFERROR(__xludf.DUMMYFUNCTION("GOOGLETRANSLATE(B100, ""it"", ""en"")"),"What is a common rule for starting Morra?")</f>
        <v>What is a common rule for starting Morra?</v>
      </c>
      <c r="I100" s="3" t="str">
        <f>IFERROR(__xludf.DUMMYFUNCTION("GOOGLETRANSLATE(C100, ""it"", ""en"")"),"A. An agreement between players B. A random decision C. The youngest player starts D. The oldest player starts")</f>
        <v>A. An agreement between players B. A random decision C. The youngest player starts D. The oldest player starts</v>
      </c>
      <c r="J100" s="3" t="str">
        <f>IFERROR(__xludf.DUMMYFUNCTION("GOOGLETRANSLATE(D100, ""it"", ""en"")"),"An agreement between players")</f>
        <v>An agreement between players</v>
      </c>
      <c r="K100" s="3" t="str">
        <f>IFERROR(__xludf.DUMMYFUNCTION("GOOGLETRANSLATE(E100, ""it"", ""en"")"),"The departure is often decided by mutual agreement.")</f>
        <v>The departure is often decided by mutual agreement.</v>
      </c>
      <c r="L100" s="2"/>
      <c r="M100" s="2"/>
      <c r="N100" s="2"/>
      <c r="O100" s="2"/>
      <c r="P100" s="2"/>
      <c r="Q100" s="2"/>
      <c r="R100" s="2"/>
      <c r="S100" s="2"/>
      <c r="T100" s="2"/>
      <c r="U100" s="2"/>
      <c r="V100" s="2"/>
      <c r="W100" s="2"/>
    </row>
    <row r="101" ht="22.5" customHeight="1">
      <c r="A101" s="3">
        <v>100.0</v>
      </c>
      <c r="B101" s="3" t="s">
        <v>3153</v>
      </c>
      <c r="C101" s="3" t="s">
        <v>3154</v>
      </c>
      <c r="D101" s="3" t="s">
        <v>2874</v>
      </c>
      <c r="E101" s="3" t="s">
        <v>3155</v>
      </c>
      <c r="F101" s="2"/>
      <c r="G101" s="3" t="str">
        <f>IFERROR(__xludf.DUMMYFUNCTION("GOOGLETRANSLATE(A101, ""it"", ""en"")"),"100")</f>
        <v>100</v>
      </c>
      <c r="H101" s="3" t="str">
        <f>IFERROR(__xludf.DUMMYFUNCTION("GOOGLETRANSLATE(B101, ""it"", ""en"")"),"Which Italian region is famous for Morra?")</f>
        <v>Which Italian region is famous for Morra?</v>
      </c>
      <c r="I101" s="3" t="str">
        <f>IFERROR(__xludf.DUMMYFUNCTION("GOOGLETRANSLATE(C101, ""it"", ""en"")"),"A. Sardinia B. Tuscany C. Lombardy D. Sicily")</f>
        <v>A. Sardinia B. Tuscany C. Lombardy D. Sicily</v>
      </c>
      <c r="J101" s="3" t="str">
        <f>IFERROR(__xludf.DUMMYFUNCTION("GOOGLETRANSLATE(D101, ""it"", ""en"")"),"Sardinia")</f>
        <v>Sardinia</v>
      </c>
      <c r="K101" s="3" t="str">
        <f>IFERROR(__xludf.DUMMYFUNCTION("GOOGLETRANSLATE(E101, ""it"", ""en"")"),"Sardinia is famous for its versions of Morra.")</f>
        <v>Sardinia is famous for its versions of Morra.</v>
      </c>
      <c r="L101" s="2"/>
      <c r="M101" s="2"/>
      <c r="N101" s="2"/>
      <c r="O101" s="2"/>
      <c r="P101" s="2"/>
      <c r="Q101" s="2"/>
      <c r="R101" s="2"/>
      <c r="S101" s="2"/>
      <c r="T101" s="2"/>
      <c r="U101" s="2"/>
      <c r="V101" s="2"/>
      <c r="W101" s="2"/>
    </row>
    <row r="102" ht="22.5" customHeight="1">
      <c r="A102" s="3">
        <v>101.0</v>
      </c>
      <c r="B102" s="3" t="s">
        <v>3156</v>
      </c>
      <c r="C102" s="3" t="s">
        <v>3157</v>
      </c>
      <c r="D102" s="3" t="s">
        <v>2837</v>
      </c>
      <c r="E102" s="3" t="s">
        <v>3158</v>
      </c>
      <c r="F102" s="2"/>
      <c r="G102" s="3" t="str">
        <f>IFERROR(__xludf.DUMMYFUNCTION("GOOGLETRANSLATE(A102, ""it"", ""en"")"),"101")</f>
        <v>101</v>
      </c>
      <c r="H102" s="3" t="str">
        <f>IFERROR(__xludf.DUMMYFUNCTION("GOOGLETRANSLATE(B102, ""it"", ""en"")"),"Is Morra ever used as an educational activity?")</f>
        <v>Is Morra ever used as an educational activity?</v>
      </c>
      <c r="I102" s="3" t="str">
        <f>IFERROR(__xludf.DUMMYFUNCTION("GOOGLETRANSLATE(C102, ""it"", ""en"")"),"A. Yes B. No C. In rare cases D. Only in Sardinia")</f>
        <v>A. Yes B. No C. In rare cases D. Only in Sardinia</v>
      </c>
      <c r="J102" s="3" t="str">
        <f>IFERROR(__xludf.DUMMYFUNCTION("GOOGLETRANSLATE(D102, ""it"", ""en"")"),"Yes")</f>
        <v>Yes</v>
      </c>
      <c r="K102" s="3" t="str">
        <f>IFERROR(__xludf.DUMMYFUNCTION("GOOGLETRANSLATE(E102, ""it"", ""en"")"),"It can be used to teach numbers and strategy to children.")</f>
        <v>It can be used to teach numbers and strategy to children.</v>
      </c>
      <c r="L102" s="2"/>
      <c r="M102" s="2"/>
      <c r="N102" s="2"/>
      <c r="O102" s="2"/>
      <c r="P102" s="2"/>
      <c r="Q102" s="2"/>
      <c r="R102" s="2"/>
      <c r="S102" s="2"/>
      <c r="T102" s="2"/>
      <c r="U102" s="2"/>
      <c r="V102" s="2"/>
      <c r="W102" s="2"/>
    </row>
    <row r="103" ht="22.5" customHeight="1">
      <c r="A103" s="3">
        <v>102.0</v>
      </c>
      <c r="B103" s="3" t="s">
        <v>3159</v>
      </c>
      <c r="C103" s="3" t="s">
        <v>3160</v>
      </c>
      <c r="D103" s="3" t="s">
        <v>1332</v>
      </c>
      <c r="E103" s="3" t="s">
        <v>3161</v>
      </c>
      <c r="F103" s="2"/>
      <c r="G103" s="3" t="str">
        <f>IFERROR(__xludf.DUMMYFUNCTION("GOOGLETRANSLATE(A103, ""it"", ""en"")"),"102")</f>
        <v>102</v>
      </c>
      <c r="H103" s="3" t="str">
        <f>IFERROR(__xludf.DUMMYFUNCTION("GOOGLETRANSLATE(B103, ""it"", ""en"")"),"How can you vary the game of Morra?")</f>
        <v>How can you vary the game of Morra?</v>
      </c>
      <c r="I103" s="3" t="str">
        <f>IFERROR(__xludf.DUMMYFUNCTION("GOOGLETRANSLATE(C103, ""it"", ""en"")"),"A. Adding more hands B. Limiting the numbers called C. Playing in turns D. All of the above")</f>
        <v>A. Adding more hands B. Limiting the numbers called C. Playing in turns D. All of the above</v>
      </c>
      <c r="J103" s="3" t="str">
        <f>IFERROR(__xludf.DUMMYFUNCTION("GOOGLETRANSLATE(D103, ""it"", ""en"")"),"All of the above")</f>
        <v>All of the above</v>
      </c>
      <c r="K103" s="3" t="str">
        <f>IFERROR(__xludf.DUMMYFUNCTION("GOOGLETRANSLATE(E103, ""it"", ""en"")"),"Variants can be added to increase complexity.")</f>
        <v>Variants can be added to increase complexity.</v>
      </c>
      <c r="L103" s="2"/>
      <c r="M103" s="2"/>
      <c r="N103" s="2"/>
      <c r="O103" s="2"/>
      <c r="P103" s="2"/>
      <c r="Q103" s="2"/>
      <c r="R103" s="2"/>
      <c r="S103" s="2"/>
      <c r="T103" s="2"/>
      <c r="U103" s="2"/>
      <c r="V103" s="2"/>
      <c r="W103" s="2"/>
    </row>
    <row r="104" ht="22.5" customHeight="1">
      <c r="A104" s="3">
        <v>103.0</v>
      </c>
      <c r="B104" s="3" t="s">
        <v>3162</v>
      </c>
      <c r="C104" s="3" t="s">
        <v>3163</v>
      </c>
      <c r="D104" s="3" t="s">
        <v>3164</v>
      </c>
      <c r="E104" s="3" t="s">
        <v>3165</v>
      </c>
      <c r="F104" s="2"/>
      <c r="G104" s="3" t="str">
        <f>IFERROR(__xludf.DUMMYFUNCTION("GOOGLETRANSLATE(A104, ""it"", ""en"")"),"103")</f>
        <v>103</v>
      </c>
      <c r="H104" s="3" t="str">
        <f>IFERROR(__xludf.DUMMYFUNCTION("GOOGLETRANSLATE(B104, ""it"", ""en"")"),"What is a consequence of shouting too late in Morra?")</f>
        <v>What is a consequence of shouting too late in Morra?</v>
      </c>
      <c r="I104" s="3" t="str">
        <f>IFERROR(__xludf.DUMMYFUNCTION("GOOGLETRANSLATE(C104, ""it"", ""en"")"),"A. Automatic loss of turn B. Punishment C. The turn is repeated D. Nothing happens")</f>
        <v>A. Automatic loss of turn B. Punishment C. The turn is repeated D. Nothing happens</v>
      </c>
      <c r="J104" s="3" t="str">
        <f>IFERROR(__xludf.DUMMYFUNCTION("GOOGLETRANSLATE(D104, ""it"", ""en"")"),"Automatic shift loss")</f>
        <v>Automatic shift loss</v>
      </c>
      <c r="K104" s="3" t="str">
        <f>IFERROR(__xludf.DUMMYFUNCTION("GOOGLETRANSLATE(E104, ""it"", ""en"")"),"Delay leads to defeat in the round.")</f>
        <v>Delay leads to defeat in the round.</v>
      </c>
      <c r="L104" s="2"/>
      <c r="M104" s="2"/>
      <c r="N104" s="2"/>
      <c r="O104" s="2"/>
      <c r="P104" s="2"/>
      <c r="Q104" s="2"/>
      <c r="R104" s="2"/>
      <c r="S104" s="2"/>
      <c r="T104" s="2"/>
      <c r="U104" s="2"/>
      <c r="V104" s="2"/>
      <c r="W104" s="2"/>
    </row>
    <row r="105" ht="22.5" customHeight="1">
      <c r="A105" s="3">
        <v>104.0</v>
      </c>
      <c r="B105" s="3" t="s">
        <v>3166</v>
      </c>
      <c r="C105" s="3" t="s">
        <v>3167</v>
      </c>
      <c r="D105" s="3" t="s">
        <v>1564</v>
      </c>
      <c r="E105" s="3" t="s">
        <v>3168</v>
      </c>
      <c r="F105" s="2"/>
      <c r="G105" s="3" t="str">
        <f>IFERROR(__xludf.DUMMYFUNCTION("GOOGLETRANSLATE(A105, ""it"", ""en"")"),"104")</f>
        <v>104</v>
      </c>
      <c r="H105" s="3" t="str">
        <f>IFERROR(__xludf.DUMMYFUNCTION("GOOGLETRANSLATE(B105, ""it"", ""en"")"),"What is the symbolic meaning of Morra?")</f>
        <v>What is the symbolic meaning of Morra?</v>
      </c>
      <c r="I105" s="3" t="str">
        <f>IFERROR(__xludf.DUMMYFUNCTION("GOOGLETRANSLATE(C105, ""it"", ""en"")"),"A. Social unity B. Friendly competition C. Representation of tradition D. All of the above")</f>
        <v>A. Social unity B. Friendly competition C. Representation of tradition D. All of the above</v>
      </c>
      <c r="J105" s="3" t="str">
        <f>IFERROR(__xludf.DUMMYFUNCTION("GOOGLETRANSLATE(D105, ""it"", ""en"")"),"All of the above")</f>
        <v>All of the above</v>
      </c>
      <c r="K105" s="3" t="str">
        <f>IFERROR(__xludf.DUMMYFUNCTION("GOOGLETRANSLATE(E105, ""it"", ""en"")"),"Morra represents a combination of tradition")</f>
        <v>Morra represents a combination of tradition</v>
      </c>
      <c r="L105" s="2"/>
      <c r="M105" s="2"/>
      <c r="N105" s="2"/>
      <c r="O105" s="2"/>
      <c r="P105" s="2"/>
      <c r="Q105" s="2"/>
      <c r="R105" s="2"/>
      <c r="S105" s="2"/>
      <c r="T105" s="2"/>
      <c r="U105" s="2"/>
      <c r="V105" s="2"/>
      <c r="W105" s="2"/>
    </row>
    <row r="106" ht="22.5" customHeight="1">
      <c r="A106" s="3">
        <v>105.0</v>
      </c>
      <c r="B106" s="3" t="s">
        <v>3169</v>
      </c>
      <c r="C106" s="3" t="s">
        <v>3170</v>
      </c>
      <c r="D106" s="3" t="s">
        <v>921</v>
      </c>
      <c r="E106" s="3" t="s">
        <v>3171</v>
      </c>
      <c r="F106" s="2"/>
      <c r="G106" s="3" t="str">
        <f>IFERROR(__xludf.DUMMYFUNCTION("GOOGLETRANSLATE(A106, ""it"", ""en"")"),"105")</f>
        <v>105</v>
      </c>
      <c r="H106" s="3" t="str">
        <f>IFERROR(__xludf.DUMMYFUNCTION("GOOGLETRANSLATE(B106, ""it"", ""en"")"),"What happens if a player gets distracted during the game?")</f>
        <v>What happens if a player gets distracted during the game?</v>
      </c>
      <c r="I106" s="3" t="str">
        <f>IFERROR(__xludf.DUMMYFUNCTION("GOOGLETRANSLATE(C106, ""it"", ""en"")"),"A. He loses the round B. His opponent wins C. The round is cancelled D. Nothing happens")</f>
        <v>A. He loses the round B. His opponent wins C. The round is cancelled D. Nothing happens</v>
      </c>
      <c r="J106" s="3" t="str">
        <f>IFERROR(__xludf.DUMMYFUNCTION("GOOGLETRANSLATE(D106, ""it"", ""en"")"),"He loses the turn")</f>
        <v>He loses the turn</v>
      </c>
      <c r="K106" s="3" t="str">
        <f>IFERROR(__xludf.DUMMYFUNCTION("GOOGLETRANSLATE(E106, ""it"", ""en"")"),"Distraction leads to immediate loss of turn.")</f>
        <v>Distraction leads to immediate loss of turn.</v>
      </c>
      <c r="L106" s="2"/>
      <c r="M106" s="2"/>
      <c r="N106" s="2"/>
      <c r="O106" s="2"/>
      <c r="P106" s="2"/>
      <c r="Q106" s="2"/>
      <c r="R106" s="2"/>
      <c r="S106" s="2"/>
      <c r="T106" s="2"/>
      <c r="U106" s="2"/>
      <c r="V106" s="2"/>
      <c r="W106" s="2"/>
    </row>
    <row r="107" ht="22.5" customHeight="1">
      <c r="A107" s="3">
        <v>106.0</v>
      </c>
      <c r="B107" s="3" t="s">
        <v>3172</v>
      </c>
      <c r="C107" s="3" t="s">
        <v>3173</v>
      </c>
      <c r="D107" s="3" t="s">
        <v>1564</v>
      </c>
      <c r="E107" s="3" t="s">
        <v>3174</v>
      </c>
      <c r="F107" s="2"/>
      <c r="G107" s="3" t="str">
        <f>IFERROR(__xludf.DUMMYFUNCTION("GOOGLETRANSLATE(A107, ""it"", ""en"")"),"106")</f>
        <v>106</v>
      </c>
      <c r="H107" s="3" t="str">
        <f>IFERROR(__xludf.DUMMYFUNCTION("GOOGLETRANSLATE(B107, ""it"", ""en"")"),"What is one benefit of playing Morra?")</f>
        <v>What is one benefit of playing Morra?</v>
      </c>
      <c r="I107" s="3" t="str">
        <f>IFERROR(__xludf.DUMMYFUNCTION("GOOGLETRANSLATE(C107, ""it"", ""en"")"),"A. Improves reflexes B. Stimulates concentration C. Teaches teamwork D. All of the above")</f>
        <v>A. Improves reflexes B. Stimulates concentration C. Teaches teamwork D. All of the above</v>
      </c>
      <c r="J107" s="3" t="str">
        <f>IFERROR(__xludf.DUMMYFUNCTION("GOOGLETRANSLATE(D107, ""it"", ""en"")"),"All of the above")</f>
        <v>All of the above</v>
      </c>
      <c r="K107" s="3" t="str">
        <f>IFERROR(__xludf.DUMMYFUNCTION("GOOGLETRANSLATE(E107, ""it"", ""en"")"),"Morra develops useful skills such as reflexes and concentration.")</f>
        <v>Morra develops useful skills such as reflexes and concentration.</v>
      </c>
      <c r="L107" s="2"/>
      <c r="M107" s="2"/>
      <c r="N107" s="2"/>
      <c r="O107" s="2"/>
      <c r="P107" s="2"/>
      <c r="Q107" s="2"/>
      <c r="R107" s="2"/>
      <c r="S107" s="2"/>
      <c r="T107" s="2"/>
      <c r="U107" s="2"/>
      <c r="V107" s="2"/>
      <c r="W107" s="2"/>
    </row>
    <row r="108" ht="22.5" customHeight="1">
      <c r="A108" s="3">
        <v>107.0</v>
      </c>
      <c r="B108" s="3" t="s">
        <v>3175</v>
      </c>
      <c r="C108" s="3" t="s">
        <v>3176</v>
      </c>
      <c r="D108" s="3" t="s">
        <v>3177</v>
      </c>
      <c r="E108" s="3" t="s">
        <v>3178</v>
      </c>
      <c r="F108" s="2"/>
      <c r="G108" s="3" t="str">
        <f>IFERROR(__xludf.DUMMYFUNCTION("GOOGLETRANSLATE(A108, ""it"", ""en"")"),"107")</f>
        <v>107</v>
      </c>
      <c r="H108" s="3" t="str">
        <f>IFERROR(__xludf.DUMMYFUNCTION("GOOGLETRANSLATE(B108, ""it"", ""en"")"),"What is a method to anticipate the opponent in Morra?")</f>
        <v>What is a method to anticipate the opponent in Morra?</v>
      </c>
      <c r="I108" s="3" t="str">
        <f>IFERROR(__xludf.DUMMYFUNCTION("GOOGLETRANSLATE(C108, ""it"", ""en"")"),"A. Observe his habits B. Shout out random numbers C. Don't look at the opponent D. Always keep the same call")</f>
        <v>A. Observe his habits B. Shout out random numbers C. Don't look at the opponent D. Always keep the same call</v>
      </c>
      <c r="J108" s="3" t="str">
        <f>IFERROR(__xludf.DUMMYFUNCTION("GOOGLETRANSLATE(D108, ""it"", ""en"")"),"Observe his habits")</f>
        <v>Observe his habits</v>
      </c>
      <c r="K108" s="3" t="str">
        <f>IFERROR(__xludf.DUMMYFUNCTION("GOOGLETRANSLATE(E108, ""it"", ""en"")"),"Studying your opponent helps you predict his moves.")</f>
        <v>Studying your opponent helps you predict his moves.</v>
      </c>
      <c r="L108" s="2"/>
      <c r="M108" s="2"/>
      <c r="N108" s="2"/>
      <c r="O108" s="2"/>
      <c r="P108" s="2"/>
      <c r="Q108" s="2"/>
      <c r="R108" s="2"/>
      <c r="S108" s="2"/>
      <c r="T108" s="2"/>
      <c r="U108" s="2"/>
      <c r="V108" s="2"/>
      <c r="W108" s="2"/>
    </row>
    <row r="109" ht="22.5" customHeight="1">
      <c r="A109" s="3">
        <v>108.0</v>
      </c>
      <c r="B109" s="3" t="s">
        <v>3179</v>
      </c>
      <c r="C109" s="3" t="s">
        <v>3180</v>
      </c>
      <c r="D109" s="3" t="s">
        <v>3181</v>
      </c>
      <c r="E109" s="3" t="s">
        <v>3182</v>
      </c>
      <c r="F109" s="2"/>
      <c r="G109" s="3" t="str">
        <f>IFERROR(__xludf.DUMMYFUNCTION("GOOGLETRANSLATE(A109, ""it"", ""en"")"),"108")</f>
        <v>108</v>
      </c>
      <c r="H109" s="3" t="str">
        <f>IFERROR(__xludf.DUMMYFUNCTION("GOOGLETRANSLATE(B109, ""it"", ""en"")"),"What does ""being predictable"" mean in Morra?")</f>
        <v>What does "being predictable" mean in Morra?</v>
      </c>
      <c r="I109" s="3" t="str">
        <f>IFERROR(__xludf.DUMMYFUNCTION("GOOGLETRANSLATE(C109, ""it"", ""en"")"),"A. Always showing the same pattern B. Shouting late C. Being too slow D. Not following the pace of the game")</f>
        <v>A. Always showing the same pattern B. Shouting late C. Being too slow D. Not following the pace of the game</v>
      </c>
      <c r="J109" s="3" t="str">
        <f>IFERROR(__xludf.DUMMYFUNCTION("GOOGLETRANSLATE(D109, ""it"", ""en"")"),"Always show the same pattern")</f>
        <v>Always show the same pattern</v>
      </c>
      <c r="K109" s="3" t="str">
        <f>IFERROR(__xludf.DUMMYFUNCTION("GOOGLETRANSLATE(E109, ""it"", ""en"")"),"Being predictable makes it easy for your opponent to guess.")</f>
        <v>Being predictable makes it easy for your opponent to guess.</v>
      </c>
      <c r="L109" s="2"/>
      <c r="M109" s="2"/>
      <c r="N109" s="2"/>
      <c r="O109" s="2"/>
      <c r="P109" s="2"/>
      <c r="Q109" s="2"/>
      <c r="R109" s="2"/>
      <c r="S109" s="2"/>
      <c r="T109" s="2"/>
      <c r="U109" s="2"/>
      <c r="V109" s="2"/>
      <c r="W109" s="2"/>
    </row>
    <row r="110" ht="22.5" customHeight="1">
      <c r="A110" s="3">
        <v>109.0</v>
      </c>
      <c r="B110" s="3" t="s">
        <v>3183</v>
      </c>
      <c r="C110" s="3" t="s">
        <v>3184</v>
      </c>
      <c r="D110" s="3" t="s">
        <v>3185</v>
      </c>
      <c r="E110" s="3" t="s">
        <v>3186</v>
      </c>
      <c r="F110" s="2"/>
      <c r="G110" s="3" t="str">
        <f>IFERROR(__xludf.DUMMYFUNCTION("GOOGLETRANSLATE(A110, ""it"", ""en"")"),"109")</f>
        <v>109</v>
      </c>
      <c r="H110" s="3" t="str">
        <f>IFERROR(__xludf.DUMMYFUNCTION("GOOGLETRANSLATE(B110, ""it"", ""en"")"),"What is the average time of a Morra game?")</f>
        <v>What is the average time of a Morra game?</v>
      </c>
      <c r="I110" s="3" t="str">
        <f>IFERROR(__xludf.DUMMYFUNCTION("GOOGLETRANSLATE(C110, ""it"", ""en"")"),"A. 5-10 minutes B. 15-20 minutes C. 30 minutes D. Variable")</f>
        <v>A. 5-10 minutes B. 15-20 minutes C. 30 minutes D. Variable</v>
      </c>
      <c r="J110" s="3" t="str">
        <f>IFERROR(__xludf.DUMMYFUNCTION("GOOGLETRANSLATE(D110, ""it"", ""en"")"),"5-10 minutes")</f>
        <v>5-10 minutes</v>
      </c>
      <c r="K110" s="3" t="str">
        <f>IFERROR(__xludf.DUMMYFUNCTION("GOOGLETRANSLATE(E110, ""it"", ""en"")"),"Morra is a fast-paced game that lasts a few minutes.")</f>
        <v>Morra is a fast-paced game that lasts a few minutes.</v>
      </c>
      <c r="L110" s="2"/>
      <c r="M110" s="2"/>
      <c r="N110" s="2"/>
      <c r="O110" s="2"/>
      <c r="P110" s="2"/>
      <c r="Q110" s="2"/>
      <c r="R110" s="2"/>
      <c r="S110" s="2"/>
      <c r="T110" s="2"/>
      <c r="U110" s="2"/>
      <c r="V110" s="2"/>
      <c r="W110" s="2"/>
    </row>
    <row r="111" ht="22.5" customHeight="1">
      <c r="A111" s="3">
        <v>110.0</v>
      </c>
      <c r="B111" s="3" t="s">
        <v>3187</v>
      </c>
      <c r="C111" s="3" t="s">
        <v>3188</v>
      </c>
      <c r="D111" s="3" t="s">
        <v>3189</v>
      </c>
      <c r="E111" s="3" t="s">
        <v>3190</v>
      </c>
      <c r="F111" s="2"/>
      <c r="G111" s="3" t="str">
        <f>IFERROR(__xludf.DUMMYFUNCTION("GOOGLETRANSLATE(A111, ""it"", ""en"")"),"110")</f>
        <v>110</v>
      </c>
      <c r="H111" s="3" t="str">
        <f>IFERROR(__xludf.DUMMYFUNCTION("GOOGLETRANSLATE(B111, ""it"", ""en"")"),"What does ""hidden hand"" mean in Morra?")</f>
        <v>What does "hidden hand" mean in Morra?</v>
      </c>
      <c r="I111" s="3" t="str">
        <f>IFERROR(__xludf.DUMMYFUNCTION("GOOGLETRANSLATE(C111, ""it"", ""en"")"),"A. Preparing the play without showing fingers B. Not participating in the turn C. Not shouting a number D. Showing your hand under a table")</f>
        <v>A. Preparing the play without showing fingers B. Not participating in the turn C. Not shouting a number D. Showing your hand under a table</v>
      </c>
      <c r="J111" s="3" t="str">
        <f>IFERROR(__xludf.DUMMYFUNCTION("GOOGLETRANSLATE(D111, ""it"", ""en"")"),"Prepare the play without showing fingers")</f>
        <v>Prepare the play without showing fingers</v>
      </c>
      <c r="K111" s="3" t="str">
        <f>IFERROR(__xludf.DUMMYFUNCTION("GOOGLETRANSLATE(E111, ""it"", ""en"")"),"Hidden hand refers to the moment before revealing your fingers.")</f>
        <v>Hidden hand refers to the moment before revealing your fingers.</v>
      </c>
      <c r="L111" s="2"/>
      <c r="M111" s="2"/>
      <c r="N111" s="2"/>
      <c r="O111" s="2"/>
      <c r="P111" s="2"/>
      <c r="Q111" s="2"/>
      <c r="R111" s="2"/>
      <c r="S111" s="2"/>
      <c r="T111" s="2"/>
      <c r="U111" s="2"/>
      <c r="V111" s="2"/>
      <c r="W111" s="2"/>
    </row>
    <row r="112" ht="22.5" customHeight="1">
      <c r="A112" s="3">
        <v>111.0</v>
      </c>
      <c r="B112" s="3" t="s">
        <v>3191</v>
      </c>
      <c r="C112" s="3" t="s">
        <v>3192</v>
      </c>
      <c r="D112" s="3" t="s">
        <v>3193</v>
      </c>
      <c r="E112" s="3" t="s">
        <v>3194</v>
      </c>
      <c r="F112" s="2"/>
      <c r="G112" s="3" t="str">
        <f>IFERROR(__xludf.DUMMYFUNCTION("GOOGLETRANSLATE(A112, ""it"", ""en"")"),"111")</f>
        <v>111</v>
      </c>
      <c r="H112" s="3" t="str">
        <f>IFERROR(__xludf.DUMMYFUNCTION("GOOGLETRANSLATE(B112, ""it"", ""en"")"),"Does Morra require a referee?")</f>
        <v>Does Morra require a referee?</v>
      </c>
      <c r="I112" s="3" t="str">
        <f>IFERROR(__xludf.DUMMYFUNCTION("GOOGLETRANSLATE(C112, ""it"", ""en"")"),"A. No B. Yes C. In official tournaments D. It depends on the players")</f>
        <v>A. No B. Yes C. In official tournaments D. It depends on the players</v>
      </c>
      <c r="J112" s="3" t="str">
        <f>IFERROR(__xludf.DUMMYFUNCTION("GOOGLETRANSLATE(D112, ""it"", ""en"")"),"In official tournaments")</f>
        <v>In official tournaments</v>
      </c>
      <c r="K112" s="3" t="str">
        <f>IFERROR(__xludf.DUMMYFUNCTION("GOOGLETRANSLATE(E112, ""it"", ""en"")"),"In formal contexts")</f>
        <v>In formal contexts</v>
      </c>
      <c r="L112" s="2"/>
      <c r="M112" s="2"/>
      <c r="N112" s="2"/>
      <c r="O112" s="2"/>
      <c r="P112" s="2"/>
      <c r="Q112" s="2"/>
      <c r="R112" s="2"/>
      <c r="S112" s="2"/>
      <c r="T112" s="2"/>
      <c r="U112" s="2"/>
      <c r="V112" s="2"/>
      <c r="W112" s="2"/>
    </row>
    <row r="113" ht="22.5" customHeight="1">
      <c r="A113" s="3">
        <v>112.0</v>
      </c>
      <c r="B113" s="3" t="s">
        <v>3195</v>
      </c>
      <c r="C113" s="3" t="s">
        <v>3196</v>
      </c>
      <c r="D113" s="3" t="s">
        <v>1564</v>
      </c>
      <c r="E113" s="3" t="s">
        <v>3197</v>
      </c>
      <c r="F113" s="2"/>
      <c r="G113" s="3" t="str">
        <f>IFERROR(__xludf.DUMMYFUNCTION("GOOGLETRANSLATE(A113, ""it"", ""en"")"),"112")</f>
        <v>112</v>
      </c>
      <c r="H113" s="3" t="str">
        <f>IFERROR(__xludf.DUMMYFUNCTION("GOOGLETRANSLATE(B113, ""it"", ""en"")"),"How do you avoid a fight during Morra?")</f>
        <v>How do you avoid a fight during Morra?</v>
      </c>
      <c r="I113" s="3" t="str">
        <f>IFERROR(__xludf.DUMMYFUNCTION("GOOGLETRANSLATE(C113, ""it"", ""en"")"),"A. Following the rules B. Paying attention to the pace C. Being sporty D. All of the above")</f>
        <v>A. Following the rules B. Paying attention to the pace C. Being sporty D. All of the above</v>
      </c>
      <c r="J113" s="3" t="str">
        <f>IFERROR(__xludf.DUMMYFUNCTION("GOOGLETRANSLATE(D113, ""it"", ""en"")"),"All of the above")</f>
        <v>All of the above</v>
      </c>
      <c r="K113" s="3" t="str">
        <f>IFERROR(__xludf.DUMMYFUNCTION("GOOGLETRANSLATE(E113, ""it"", ""en"")"),"Respecting the rules and your opponent prevents arguments.")</f>
        <v>Respecting the rules and your opponent prevents arguments.</v>
      </c>
      <c r="L113" s="2"/>
      <c r="M113" s="2"/>
      <c r="N113" s="2"/>
      <c r="O113" s="2"/>
      <c r="P113" s="2"/>
      <c r="Q113" s="2"/>
      <c r="R113" s="2"/>
      <c r="S113" s="2"/>
      <c r="T113" s="2"/>
      <c r="U113" s="2"/>
      <c r="V113" s="2"/>
      <c r="W113" s="2"/>
    </row>
    <row r="114" ht="22.5" customHeight="1">
      <c r="A114" s="3">
        <v>113.0</v>
      </c>
      <c r="B114" s="3" t="s">
        <v>3198</v>
      </c>
      <c r="C114" s="3" t="s">
        <v>3199</v>
      </c>
      <c r="D114" s="3" t="s">
        <v>3200</v>
      </c>
      <c r="E114" s="3" t="s">
        <v>3201</v>
      </c>
      <c r="F114" s="2"/>
      <c r="G114" s="3" t="str">
        <f>IFERROR(__xludf.DUMMYFUNCTION("GOOGLETRANSLATE(A114, ""it"", ""en"")"),"113")</f>
        <v>113</v>
      </c>
      <c r="H114" s="3" t="str">
        <f>IFERROR(__xludf.DUMMYFUNCTION("GOOGLETRANSLATE(B114, ""it"", ""en"")"),"What is a trick to confuse your opponent?")</f>
        <v>What is a trick to confuse your opponent?</v>
      </c>
      <c r="I114" s="3" t="str">
        <f>IFERROR(__xludf.DUMMYFUNCTION("GOOGLETRANSLATE(C114, ""it"", ""en"")"),"A. Show rapid movements B. Shout out a wrong number C. Don't shout anything D. Use both hands")</f>
        <v>A. Show rapid movements B. Shout out a wrong number C. Don't shout anything D. Use both hands</v>
      </c>
      <c r="J114" s="3" t="str">
        <f>IFERROR(__xludf.DUMMYFUNCTION("GOOGLETRANSLATE(D114, ""it"", ""en"")"),"Show rapid movements")</f>
        <v>Show rapid movements</v>
      </c>
      <c r="K114" s="3" t="str">
        <f>IFERROR(__xludf.DUMMYFUNCTION("GOOGLETRANSLATE(E114, ""it"", ""en"")"),"Unexpected movements can distract your opponent.")</f>
        <v>Unexpected movements can distract your opponent.</v>
      </c>
      <c r="L114" s="2"/>
      <c r="M114" s="2"/>
      <c r="N114" s="2"/>
      <c r="O114" s="2"/>
      <c r="P114" s="2"/>
      <c r="Q114" s="2"/>
      <c r="R114" s="2"/>
      <c r="S114" s="2"/>
      <c r="T114" s="2"/>
      <c r="U114" s="2"/>
      <c r="V114" s="2"/>
      <c r="W114" s="2"/>
    </row>
    <row r="115" ht="22.5" customHeight="1">
      <c r="A115" s="3">
        <v>114.0</v>
      </c>
      <c r="B115" s="3" t="s">
        <v>3202</v>
      </c>
      <c r="C115" s="3" t="s">
        <v>3203</v>
      </c>
      <c r="D115" s="3" t="s">
        <v>3095</v>
      </c>
      <c r="E115" s="3" t="s">
        <v>3204</v>
      </c>
      <c r="F115" s="2"/>
      <c r="G115" s="3" t="str">
        <f>IFERROR(__xludf.DUMMYFUNCTION("GOOGLETRANSLATE(A115, ""it"", ""en"")"),"114")</f>
        <v>114</v>
      </c>
      <c r="H115" s="3" t="str">
        <f>IFERROR(__xludf.DUMMYFUNCTION("GOOGLETRANSLATE(B115, ""it"", ""en"")"),"What is often celebrated with a victory in Morra?")</f>
        <v>What is often celebrated with a victory in Morra?</v>
      </c>
      <c r="I115" s="3" t="str">
        <f>IFERROR(__xludf.DUMMYFUNCTION("GOOGLETRANSLATE(C115, ""it"", ""en"")"),"A. A toast B. A song C. A hug D. A laugh")</f>
        <v>A. A toast B. A song C. A hug D. A laugh</v>
      </c>
      <c r="J115" s="3" t="str">
        <f>IFERROR(__xludf.DUMMYFUNCTION("GOOGLETRANSLATE(D115, ""it"", ""en"")"),"A toast")</f>
        <v>A toast</v>
      </c>
      <c r="K115" s="3" t="str">
        <f>IFERROR(__xludf.DUMMYFUNCTION("GOOGLETRANSLATE(E115, ""it"", ""en"")"),"Victory is often accompanied by convivial celebrations.")</f>
        <v>Victory is often accompanied by convivial celebrations.</v>
      </c>
      <c r="L115" s="2"/>
      <c r="M115" s="2"/>
      <c r="N115" s="2"/>
      <c r="O115" s="2"/>
      <c r="P115" s="2"/>
      <c r="Q115" s="2"/>
      <c r="R115" s="2"/>
      <c r="S115" s="2"/>
      <c r="T115" s="2"/>
      <c r="U115" s="2"/>
      <c r="V115" s="2"/>
      <c r="W115" s="2"/>
    </row>
    <row r="116" ht="22.5" customHeight="1">
      <c r="A116" s="3">
        <v>115.0</v>
      </c>
      <c r="B116" s="3" t="s">
        <v>3205</v>
      </c>
      <c r="C116" s="3" t="s">
        <v>3206</v>
      </c>
      <c r="D116" s="3" t="s">
        <v>2874</v>
      </c>
      <c r="E116" s="3" t="s">
        <v>3207</v>
      </c>
      <c r="F116" s="2"/>
      <c r="G116" s="3" t="str">
        <f>IFERROR(__xludf.DUMMYFUNCTION("GOOGLETRANSLATE(A116, ""it"", ""en"")"),"115")</f>
        <v>115</v>
      </c>
      <c r="H116" s="3" t="str">
        <f>IFERROR(__xludf.DUMMYFUNCTION("GOOGLETRANSLATE(B116, ""it"", ""en"")"),"Which region of Italy associates Morra with religious traditions?")</f>
        <v>Which region of Italy associates Morra with religious traditions?</v>
      </c>
      <c r="I116" s="3" t="str">
        <f>IFERROR(__xludf.DUMMYFUNCTION("GOOGLETRANSLATE(C116, ""it"", ""en"")"),"A. Abruzzo B. Sardinia C. Sicily D. Puglia")</f>
        <v>A. Abruzzo B. Sardinia C. Sicily D. Puglia</v>
      </c>
      <c r="J116" s="3" t="str">
        <f>IFERROR(__xludf.DUMMYFUNCTION("GOOGLETRANSLATE(D116, ""it"", ""en"")"),"Sardinia")</f>
        <v>Sardinia</v>
      </c>
      <c r="K116" s="3" t="str">
        <f>IFERROR(__xludf.DUMMYFUNCTION("GOOGLETRANSLATE(E116, ""it"", ""en"")"),"In Sardinia")</f>
        <v>In Sardinia</v>
      </c>
      <c r="L116" s="2"/>
      <c r="M116" s="2"/>
      <c r="N116" s="2"/>
      <c r="O116" s="2"/>
      <c r="P116" s="2"/>
      <c r="Q116" s="2"/>
      <c r="R116" s="2"/>
      <c r="S116" s="2"/>
      <c r="T116" s="2"/>
      <c r="U116" s="2"/>
      <c r="V116" s="2"/>
      <c r="W116" s="2"/>
    </row>
    <row r="117" ht="22.5" customHeight="1">
      <c r="A117" s="3">
        <v>116.0</v>
      </c>
      <c r="B117" s="3" t="s">
        <v>3208</v>
      </c>
      <c r="C117" s="3" t="s">
        <v>3209</v>
      </c>
      <c r="D117" s="3" t="s">
        <v>3210</v>
      </c>
      <c r="E117" s="3" t="s">
        <v>3211</v>
      </c>
      <c r="F117" s="2"/>
      <c r="G117" s="3" t="str">
        <f>IFERROR(__xludf.DUMMYFUNCTION("GOOGLETRANSLATE(A117, ""it"", ""en"")"),"116")</f>
        <v>116</v>
      </c>
      <c r="H117" s="3" t="str">
        <f>IFERROR(__xludf.DUMMYFUNCTION("GOOGLETRANSLATE(B117, ""it"", ""en"")"),"What happens in the event of a draw in Morra?")</f>
        <v>What happens in the event of a draw in Morra?</v>
      </c>
      <c r="I117" s="3" t="str">
        <f>IFERROR(__xludf.DUMMYFUNCTION("GOOGLETRANSLATE(C117, ""it"", ""en"")"),"A. No one gets points B. An extra round is played C. Both get points D. It is decided by lot")</f>
        <v>A. No one gets points B. An extra round is played C. Both get points D. It is decided by lot</v>
      </c>
      <c r="J117" s="3" t="str">
        <f>IFERROR(__xludf.DUMMYFUNCTION("GOOGLETRANSLATE(D117, ""it"", ""en"")"),"An extra round is played")</f>
        <v>An extra round is played</v>
      </c>
      <c r="K117" s="3" t="str">
        <f>IFERROR(__xludf.DUMMYFUNCTION("GOOGLETRANSLATE(E117, ""it"", ""en"")"),"A draw often leads to an extra round.")</f>
        <v>A draw often leads to an extra round.</v>
      </c>
      <c r="L117" s="2"/>
      <c r="M117" s="2"/>
      <c r="N117" s="2"/>
      <c r="O117" s="2"/>
      <c r="P117" s="2"/>
      <c r="Q117" s="2"/>
      <c r="R117" s="2"/>
      <c r="S117" s="2"/>
      <c r="T117" s="2"/>
      <c r="U117" s="2"/>
      <c r="V117" s="2"/>
      <c r="W117" s="2"/>
    </row>
    <row r="118" ht="22.5" customHeight="1">
      <c r="A118" s="3">
        <v>117.0</v>
      </c>
      <c r="B118" s="3" t="s">
        <v>3212</v>
      </c>
      <c r="C118" s="3" t="s">
        <v>3213</v>
      </c>
      <c r="D118" s="3" t="s">
        <v>3214</v>
      </c>
      <c r="E118" s="3" t="s">
        <v>3215</v>
      </c>
      <c r="F118" s="2"/>
      <c r="G118" s="3" t="str">
        <f>IFERROR(__xludf.DUMMYFUNCTION("GOOGLETRANSLATE(A118, ""it"", ""en"")"),"117")</f>
        <v>117</v>
      </c>
      <c r="H118" s="3" t="str">
        <f>IFERROR(__xludf.DUMMYFUNCTION("GOOGLETRANSLATE(B118, ""it"", ""en"")"),"What does it take to be a good Morra player?")</f>
        <v>What does it take to be a good Morra player?</v>
      </c>
      <c r="I118" s="3" t="str">
        <f>IFERROR(__xludf.DUMMYFUNCTION("GOOGLETRANSLATE(C118, ""it"", ""en"")"),"A. Rapid calculation B. Large vocabulary C. Ability to shout loudly D. Physical endurance")</f>
        <v>A. Rapid calculation B. Large vocabulary C. Ability to shout loudly D. Physical endurance</v>
      </c>
      <c r="J118" s="3" t="str">
        <f>IFERROR(__xludf.DUMMYFUNCTION("GOOGLETRANSLATE(D118, ""it"", ""en"")"),"Quick calculation")</f>
        <v>Quick calculation</v>
      </c>
      <c r="K118" s="3" t="str">
        <f>IFERROR(__xludf.DUMMYFUNCTION("GOOGLETRANSLATE(E118, ""it"", ""en"")"),"A quick mind helps you predict and react.")</f>
        <v>A quick mind helps you predict and react.</v>
      </c>
      <c r="L118" s="2"/>
      <c r="M118" s="2"/>
      <c r="N118" s="2"/>
      <c r="O118" s="2"/>
      <c r="P118" s="2"/>
      <c r="Q118" s="2"/>
      <c r="R118" s="2"/>
      <c r="S118" s="2"/>
      <c r="T118" s="2"/>
      <c r="U118" s="2"/>
      <c r="V118" s="2"/>
      <c r="W118" s="2"/>
    </row>
    <row r="119" ht="22.5" customHeight="1">
      <c r="A119" s="3">
        <v>118.0</v>
      </c>
      <c r="B119" s="3" t="s">
        <v>3216</v>
      </c>
      <c r="C119" s="3" t="s">
        <v>3217</v>
      </c>
      <c r="D119" s="3" t="s">
        <v>2837</v>
      </c>
      <c r="E119" s="3" t="s">
        <v>3218</v>
      </c>
      <c r="F119" s="2"/>
      <c r="G119" s="3" t="str">
        <f>IFERROR(__xludf.DUMMYFUNCTION("GOOGLETRANSLATE(A119, ""it"", ""en"")"),"118")</f>
        <v>118</v>
      </c>
      <c r="H119" s="3" t="str">
        <f>IFERROR(__xludf.DUMMYFUNCTION("GOOGLETRANSLATE(B119, ""it"", ""en"")"),"Is Morra suitable as a game for large events?")</f>
        <v>Is Morra suitable as a game for large events?</v>
      </c>
      <c r="I119" s="3" t="str">
        <f>IFERROR(__xludf.DUMMYFUNCTION("GOOGLETRANSLATE(C119, ""it"", ""en"")"),"A. Yes B. No C. Private events only D. Tournaments only")</f>
        <v>A. Yes B. No C. Private events only D. Tournaments only</v>
      </c>
      <c r="J119" s="3" t="str">
        <f>IFERROR(__xludf.DUMMYFUNCTION("GOOGLETRANSLATE(D119, ""it"", ""en"")"),"Yes")</f>
        <v>Yes</v>
      </c>
      <c r="K119" s="3" t="str">
        <f>IFERROR(__xludf.DUMMYFUNCTION("GOOGLETRANSLATE(E119, ""it"", ""en"")"),"Its engaging nature makes it ideal for social events.")</f>
        <v>Its engaging nature makes it ideal for social events.</v>
      </c>
      <c r="L119" s="2"/>
      <c r="M119" s="2"/>
      <c r="N119" s="2"/>
      <c r="O119" s="2"/>
      <c r="P119" s="2"/>
      <c r="Q119" s="2"/>
      <c r="R119" s="2"/>
      <c r="S119" s="2"/>
      <c r="T119" s="2"/>
      <c r="U119" s="2"/>
      <c r="V119" s="2"/>
      <c r="W119" s="2"/>
    </row>
    <row r="120" ht="22.5" customHeight="1">
      <c r="A120" s="3">
        <v>119.0</v>
      </c>
      <c r="B120" s="3" t="s">
        <v>3219</v>
      </c>
      <c r="C120" s="3" t="s">
        <v>3220</v>
      </c>
      <c r="D120" s="3" t="s">
        <v>3221</v>
      </c>
      <c r="E120" s="3" t="s">
        <v>3222</v>
      </c>
      <c r="F120" s="2"/>
      <c r="G120" s="3" t="str">
        <f>IFERROR(__xludf.DUMMYFUNCTION("GOOGLETRANSLATE(A120, ""it"", ""en"")"),"119")</f>
        <v>119</v>
      </c>
      <c r="H120" s="3" t="str">
        <f>IFERROR(__xludf.DUMMYFUNCTION("GOOGLETRANSLATE(B120, ""it"", ""en"")"),"What is a technical aspect of the game?")</f>
        <v>What is a technical aspect of the game?</v>
      </c>
      <c r="I120" s="3" t="str">
        <f>IFERROR(__xludf.DUMMYFUNCTION("GOOGLETRANSLATE(C120, ""it"", ""en"")"),"A. Coordination between voice and gestures B. Position of the fingers C. Volume of the voice D. Duration of the turn")</f>
        <v>A. Coordination between voice and gestures B. Position of the fingers C. Volume of the voice D. Duration of the turn</v>
      </c>
      <c r="J120" s="3" t="str">
        <f>IFERROR(__xludf.DUMMYFUNCTION("GOOGLETRANSLATE(D120, ""it"", ""en"")"),"Coordination between voice and gestures")</f>
        <v>Coordination between voice and gestures</v>
      </c>
      <c r="K120" s="3" t="str">
        <f>IFERROR(__xludf.DUMMYFUNCTION("GOOGLETRANSLATE(E120, ""it"", ""en"")"),"Synchronizing voice and movements is essential.")</f>
        <v>Synchronizing voice and movements is essential.</v>
      </c>
      <c r="L120" s="2"/>
      <c r="M120" s="2"/>
      <c r="N120" s="2"/>
      <c r="O120" s="2"/>
      <c r="P120" s="2"/>
      <c r="Q120" s="2"/>
      <c r="R120" s="2"/>
      <c r="S120" s="2"/>
      <c r="T120" s="2"/>
      <c r="U120" s="2"/>
      <c r="V120" s="2"/>
      <c r="W120" s="2"/>
    </row>
    <row r="121" ht="22.5" customHeight="1">
      <c r="A121" s="3">
        <v>120.0</v>
      </c>
      <c r="B121" s="3" t="s">
        <v>3223</v>
      </c>
      <c r="C121" s="3" t="s">
        <v>3224</v>
      </c>
      <c r="D121" s="3" t="s">
        <v>1564</v>
      </c>
      <c r="E121" s="3" t="s">
        <v>3225</v>
      </c>
      <c r="F121" s="2"/>
      <c r="G121" s="3" t="str">
        <f>IFERROR(__xludf.DUMMYFUNCTION("GOOGLETRANSLATE(A121, ""it"", ""en"")"),"120")</f>
        <v>120</v>
      </c>
      <c r="H121" s="3" t="str">
        <f>IFERROR(__xludf.DUMMYFUNCTION("GOOGLETRANSLATE(B121, ""it"", ""en"")"),"How do you promote Morra to new generations?")</f>
        <v>How do you promote Morra to new generations?</v>
      </c>
      <c r="I121" s="3" t="str">
        <f>IFERROR(__xludf.DUMMYFUNCTION("GOOGLETRANSLATE(C121, ""it"", ""en"")"),"A. With school events B. Local tournaments C. Courses in schools D. All of the above")</f>
        <v>A. With school events B. Local tournaments C. Courses in schools D. All of the above</v>
      </c>
      <c r="J121" s="3" t="str">
        <f>IFERROR(__xludf.DUMMYFUNCTION("GOOGLETRANSLATE(D121, ""it"", ""en"")"),"All of the above")</f>
        <v>All of the above</v>
      </c>
      <c r="K121" s="3" t="str">
        <f>IFERROR(__xludf.DUMMYFUNCTION("GOOGLETRANSLATE(E121, ""it"", ""en"")"),"The new generations are involved through events and courses.")</f>
        <v>The new generations are involved through events and courses.</v>
      </c>
      <c r="L121" s="2"/>
      <c r="M121" s="2"/>
      <c r="N121" s="2"/>
      <c r="O121" s="2"/>
      <c r="P121" s="2"/>
      <c r="Q121" s="2"/>
      <c r="R121" s="2"/>
      <c r="S121" s="2"/>
      <c r="T121" s="2"/>
      <c r="U121" s="2"/>
      <c r="V121" s="2"/>
      <c r="W121" s="2"/>
    </row>
    <row r="122" ht="22.5" customHeight="1">
      <c r="A122" s="3">
        <v>121.0</v>
      </c>
      <c r="B122" s="3" t="s">
        <v>3226</v>
      </c>
      <c r="C122" s="3" t="s">
        <v>3227</v>
      </c>
      <c r="D122" s="3" t="s">
        <v>3228</v>
      </c>
      <c r="E122" s="3" t="s">
        <v>3229</v>
      </c>
      <c r="F122" s="2"/>
      <c r="G122" s="3" t="str">
        <f>IFERROR(__xludf.DUMMYFUNCTION("GOOGLETRANSLATE(A122, ""it"", ""en"")"),"121")</f>
        <v>121</v>
      </c>
      <c r="H122" s="3" t="str">
        <f>IFERROR(__xludf.DUMMYFUNCTION("GOOGLETRANSLATE(B122, ""it"", ""en"")"),"What is the most important element to win in Morra?")</f>
        <v>What is the most important element to win in Morra?</v>
      </c>
      <c r="I122" s="3" t="str">
        <f>IFERROR(__xludf.DUMMYFUNCTION("GOOGLETRANSLATE(C122, ""it"", ""en"")"),"A. Speed ​​B. Physical strength C. Memory D. Strategy")</f>
        <v>A. Speed ​​B. Physical strength C. Memory D. Strategy</v>
      </c>
      <c r="J122" s="3" t="str">
        <f>IFERROR(__xludf.DUMMYFUNCTION("GOOGLETRANSLATE(D122, ""it"", ""en"")"),"The speed")</f>
        <v>The speed</v>
      </c>
      <c r="K122" s="3" t="str">
        <f>IFERROR(__xludf.DUMMYFUNCTION("GOOGLETRANSLATE(E122, ""it"", ""en"")"),"Morra requires quick reactions and fast predictions.")</f>
        <v>Morra requires quick reactions and fast predictions.</v>
      </c>
      <c r="L122" s="2"/>
      <c r="M122" s="2"/>
      <c r="N122" s="2"/>
      <c r="O122" s="2"/>
      <c r="P122" s="2"/>
      <c r="Q122" s="2"/>
      <c r="R122" s="2"/>
      <c r="S122" s="2"/>
      <c r="T122" s="2"/>
      <c r="U122" s="2"/>
      <c r="V122" s="2"/>
      <c r="W122" s="2"/>
    </row>
    <row r="123" ht="22.5" customHeight="1">
      <c r="A123" s="3">
        <v>122.0</v>
      </c>
      <c r="B123" s="3" t="s">
        <v>3230</v>
      </c>
      <c r="C123" s="3" t="s">
        <v>3231</v>
      </c>
      <c r="D123" s="3" t="s">
        <v>3232</v>
      </c>
      <c r="E123" s="3" t="s">
        <v>625</v>
      </c>
      <c r="F123" s="2"/>
      <c r="G123" s="3" t="str">
        <f>IFERROR(__xludf.DUMMYFUNCTION("GOOGLETRANSLATE(A123, ""it"", ""en"")"),"122")</f>
        <v>122</v>
      </c>
      <c r="H123" s="3" t="str">
        <f>IFERROR(__xludf.DUMMYFUNCTION("GOOGLETRANSLATE(B123, ""it"", ""en"")"),"How long does a player have to call a number?")</f>
        <v>How long does a player have to call a number?</v>
      </c>
      <c r="I123" s="3" t="str">
        <f>IFERROR(__xludf.DUMMYFUNCTION("GOOGLETRANSLATE(C123, ""it"", ""en"")"),"A. 5 seconds B. 10 seconds C. 20 seconds D. There is no limit")</f>
        <v>A. 5 seconds B. 10 seconds C. 20 seconds D. There is no limit</v>
      </c>
      <c r="J123" s="3" t="str">
        <f>IFERROR(__xludf.DUMMYFUNCTION("GOOGLETRANSLATE(D123, ""it"", ""en"")"),"10 seconds")</f>
        <v>10 seconds</v>
      </c>
      <c r="K123" s="3" t="str">
        <f>IFERROR(__xludf.DUMMYFUNCTION("GOOGLETRANSLATE(E123, ""it"", ""en"")"),"Usually")</f>
        <v>Usually</v>
      </c>
      <c r="L123" s="2"/>
      <c r="M123" s="2"/>
      <c r="N123" s="2"/>
      <c r="O123" s="2"/>
      <c r="P123" s="2"/>
      <c r="Q123" s="2"/>
      <c r="R123" s="2"/>
      <c r="S123" s="2"/>
      <c r="T123" s="2"/>
      <c r="U123" s="2"/>
      <c r="V123" s="2"/>
      <c r="W123" s="2"/>
    </row>
    <row r="124" ht="22.5" customHeight="1">
      <c r="A124" s="3">
        <v>123.0</v>
      </c>
      <c r="B124" s="3" t="s">
        <v>3233</v>
      </c>
      <c r="C124" s="3" t="s">
        <v>3234</v>
      </c>
      <c r="D124" s="3" t="s">
        <v>3235</v>
      </c>
      <c r="E124" s="3" t="s">
        <v>3236</v>
      </c>
      <c r="F124" s="2"/>
      <c r="G124" s="3" t="str">
        <f>IFERROR(__xludf.DUMMYFUNCTION("GOOGLETRANSLATE(A124, ""it"", ""en"")"),"123")</f>
        <v>123</v>
      </c>
      <c r="H124" s="3" t="str">
        <f>IFERROR(__xludf.DUMMYFUNCTION("GOOGLETRANSLATE(B124, ""it"", ""en"")"),"How can you confuse your opponent in Morra?")</f>
        <v>How can you confuse your opponent in Morra?</v>
      </c>
      <c r="I124" s="3" t="str">
        <f>IFERROR(__xludf.DUMMYFUNCTION("GOOGLETRANSLATE(C124, ""it"", ""en"")"),"A. Variation in calls B. Always being too fast C. Showing only 4 fingers D. Never making any noise")</f>
        <v>A. Variation in calls B. Always being too fast C. Showing only 4 fingers D. Never making any noise</v>
      </c>
      <c r="J124" s="3" t="str">
        <f>IFERROR(__xludf.DUMMYFUNCTION("GOOGLETRANSLATE(D124, ""it"", ""en"")"),"Variant in calls")</f>
        <v>Variant in calls</v>
      </c>
      <c r="K124" s="3" t="str">
        <f>IFERROR(__xludf.DUMMYFUNCTION("GOOGLETRANSLATE(E124, ""it"", ""en"")"),"By varying your calls you can deceive your opponent.")</f>
        <v>By varying your calls you can deceive your opponent.</v>
      </c>
      <c r="L124" s="2"/>
      <c r="M124" s="2"/>
      <c r="N124" s="2"/>
      <c r="O124" s="2"/>
      <c r="P124" s="2"/>
      <c r="Q124" s="2"/>
      <c r="R124" s="2"/>
      <c r="S124" s="2"/>
      <c r="T124" s="2"/>
      <c r="U124" s="2"/>
      <c r="V124" s="2"/>
      <c r="W124" s="2"/>
    </row>
    <row r="125" ht="22.5" customHeight="1">
      <c r="A125" s="3">
        <v>124.0</v>
      </c>
      <c r="B125" s="3" t="s">
        <v>3237</v>
      </c>
      <c r="C125" s="3" t="s">
        <v>3238</v>
      </c>
      <c r="D125" s="3" t="s">
        <v>3239</v>
      </c>
      <c r="E125" s="3" t="s">
        <v>3240</v>
      </c>
      <c r="F125" s="2"/>
      <c r="G125" s="3" t="str">
        <f>IFERROR(__xludf.DUMMYFUNCTION("GOOGLETRANSLATE(A125, ""it"", ""en"")"),"124")</f>
        <v>124</v>
      </c>
      <c r="H125" s="3" t="str">
        <f>IFERROR(__xludf.DUMMYFUNCTION("GOOGLETRANSLATE(B125, ""it"", ""en"")"),"What happens if both players shout the same number?")</f>
        <v>What happens if both players shout the same number?</v>
      </c>
      <c r="I125" s="3" t="str">
        <f>IFERROR(__xludf.DUMMYFUNCTION("GOOGLETRANSLATE(C125, ""it"", ""en"")"),"A. The turn is repeated B. The number is cancelled C. The game ends D. The first one to shout wins")</f>
        <v>A. The turn is repeated B. The number is cancelled C. The game ends D. The first one to shout wins</v>
      </c>
      <c r="J125" s="3" t="str">
        <f>IFERROR(__xludf.DUMMYFUNCTION("GOOGLETRANSLATE(D125, ""it"", ""en"")"),"The shift is repeated")</f>
        <v>The shift is repeated</v>
      </c>
      <c r="K125" s="3" t="str">
        <f>IFERROR(__xludf.DUMMYFUNCTION("GOOGLETRANSLATE(E125, ""it"", ""en"")"),"The turn is cancelled and repeated.")</f>
        <v>The turn is cancelled and repeated.</v>
      </c>
      <c r="L125" s="2"/>
      <c r="M125" s="2"/>
      <c r="N125" s="2"/>
      <c r="O125" s="2"/>
      <c r="P125" s="2"/>
      <c r="Q125" s="2"/>
      <c r="R125" s="2"/>
      <c r="S125" s="2"/>
      <c r="T125" s="2"/>
      <c r="U125" s="2"/>
      <c r="V125" s="2"/>
      <c r="W125" s="2"/>
    </row>
    <row r="126" ht="22.5" customHeight="1">
      <c r="A126" s="3">
        <v>125.0</v>
      </c>
      <c r="B126" s="3" t="s">
        <v>3241</v>
      </c>
      <c r="C126" s="3" t="s">
        <v>3242</v>
      </c>
      <c r="D126" s="3" t="s">
        <v>3243</v>
      </c>
      <c r="E126" s="3" t="s">
        <v>3244</v>
      </c>
      <c r="F126" s="2"/>
      <c r="G126" s="3" t="str">
        <f>IFERROR(__xludf.DUMMYFUNCTION("GOOGLETRANSLATE(A126, ""it"", ""en"")"),"125")</f>
        <v>125</v>
      </c>
      <c r="H126" s="3" t="str">
        <f>IFERROR(__xludf.DUMMYFUNCTION("GOOGLETRANSLATE(B126, ""it"", ""en"")"),"What attitude is incorrect in Morra?")</f>
        <v>What attitude is incorrect in Morra?</v>
      </c>
      <c r="I126" s="3" t="str">
        <f>IFERROR(__xludf.DUMMYFUNCTION("GOOGLETRANSLATE(C126, ""it"", ""en"")"),"A. Accusing your opponent of cheating B. Talking too much during the game C. Not showing your fingers D. Prolonging the time too much")</f>
        <v>A. Accusing your opponent of cheating B. Talking too much during the game C. Not showing your fingers D. Prolonging the time too much</v>
      </c>
      <c r="J126" s="3" t="str">
        <f>IFERROR(__xludf.DUMMYFUNCTION("GOOGLETRANSLATE(D126, ""it"", ""en"")"),"Accusing your opponent of cheating")</f>
        <v>Accusing your opponent of cheating</v>
      </c>
      <c r="K126" s="3" t="str">
        <f>IFERROR(__xludf.DUMMYFUNCTION("GOOGLETRANSLATE(E126, ""it"", ""en"")"),"The game must remain friendly and respectful.")</f>
        <v>The game must remain friendly and respectful.</v>
      </c>
      <c r="L126" s="2"/>
      <c r="M126" s="2"/>
      <c r="N126" s="2"/>
      <c r="O126" s="2"/>
      <c r="P126" s="2"/>
      <c r="Q126" s="2"/>
      <c r="R126" s="2"/>
      <c r="S126" s="2"/>
      <c r="T126" s="2"/>
      <c r="U126" s="2"/>
      <c r="V126" s="2"/>
      <c r="W126" s="2"/>
    </row>
    <row r="127" ht="22.5" customHeight="1">
      <c r="A127" s="3">
        <v>126.0</v>
      </c>
      <c r="B127" s="3" t="s">
        <v>3245</v>
      </c>
      <c r="C127" s="3" t="s">
        <v>3246</v>
      </c>
      <c r="D127" s="3" t="s">
        <v>3247</v>
      </c>
      <c r="E127" s="3" t="s">
        <v>3248</v>
      </c>
      <c r="F127" s="2"/>
      <c r="G127" s="3" t="str">
        <f>IFERROR(__xludf.DUMMYFUNCTION("GOOGLETRANSLATE(A127, ""it"", ""en"")"),"126")</f>
        <v>126</v>
      </c>
      <c r="H127" s="3" t="str">
        <f>IFERROR(__xludf.DUMMYFUNCTION("GOOGLETRANSLATE(B127, ""it"", ""en"")"),"What is the main role of the voice in the game of Morra?")</f>
        <v>What is the main role of the voice in the game of Morra?</v>
      </c>
      <c r="I127" s="3" t="str">
        <f>IFERROR(__xludf.DUMMYFUNCTION("GOOGLETRANSLATE(C127, ""it"", ""en"")"),"A. Indicate the move B. Signal victory C. Start the game D. Count the points")</f>
        <v>A. Indicate the move B. Signal victory C. Start the game D. Count the points</v>
      </c>
      <c r="J127" s="3" t="str">
        <f>IFERROR(__xludf.DUMMYFUNCTION("GOOGLETRANSLATE(D127, ""it"", ""en"")"),"Indicate the move")</f>
        <v>Indicate the move</v>
      </c>
      <c r="K127" s="3" t="str">
        <f>IFERROR(__xludf.DUMMYFUNCTION("GOOGLETRANSLATE(E127, ""it"", ""en"")"),"The entry is used to declare the expected number.")</f>
        <v>The entry is used to declare the expected number.</v>
      </c>
      <c r="L127" s="2"/>
      <c r="M127" s="2"/>
      <c r="N127" s="2"/>
      <c r="O127" s="2"/>
      <c r="P127" s="2"/>
      <c r="Q127" s="2"/>
      <c r="R127" s="2"/>
      <c r="S127" s="2"/>
      <c r="T127" s="2"/>
      <c r="U127" s="2"/>
      <c r="V127" s="2"/>
      <c r="W127" s="2"/>
    </row>
    <row r="128" ht="22.5" customHeight="1">
      <c r="A128" s="3">
        <v>127.0</v>
      </c>
      <c r="B128" s="3" t="s">
        <v>3249</v>
      </c>
      <c r="C128" s="3" t="s">
        <v>3250</v>
      </c>
      <c r="D128" s="3" t="s">
        <v>3251</v>
      </c>
      <c r="E128" s="3" t="s">
        <v>3252</v>
      </c>
      <c r="F128" s="2"/>
      <c r="G128" s="3" t="str">
        <f>IFERROR(__xludf.DUMMYFUNCTION("GOOGLETRANSLATE(A128, ""it"", ""en"")"),"127")</f>
        <v>127</v>
      </c>
      <c r="H128" s="3" t="str">
        <f>IFERROR(__xludf.DUMMYFUNCTION("GOOGLETRANSLATE(B128, ""it"", ""en"")"),"In what context is Morra often played?")</f>
        <v>In what context is Morra often played?</v>
      </c>
      <c r="I128" s="3" t="str">
        <f>IFERROR(__xludf.DUMMYFUNCTION("GOOGLETRANSLATE(C128, ""it"", ""en"")"),"A. Family events B. Village festivals C. In the square D. In sports tournaments")</f>
        <v>A. Family events B. Village festivals C. In the square D. In sports tournaments</v>
      </c>
      <c r="J128" s="3" t="str">
        <f>IFERROR(__xludf.DUMMYFUNCTION("GOOGLETRANSLATE(D128, ""it"", ""en"")"),"In the square")</f>
        <v>In the square</v>
      </c>
      <c r="K128" s="3" t="str">
        <f>IFERROR(__xludf.DUMMYFUNCTION("GOOGLETRANSLATE(E128, ""it"", ""en"")"),"Morra is a game that is frequently played outdoors in the squares.")</f>
        <v>Morra is a game that is frequently played outdoors in the squares.</v>
      </c>
      <c r="L128" s="2"/>
      <c r="M128" s="2"/>
      <c r="N128" s="2"/>
      <c r="O128" s="2"/>
      <c r="P128" s="2"/>
      <c r="Q128" s="2"/>
      <c r="R128" s="2"/>
      <c r="S128" s="2"/>
      <c r="T128" s="2"/>
      <c r="U128" s="2"/>
      <c r="V128" s="2"/>
      <c r="W128" s="2"/>
    </row>
    <row r="129" ht="22.5" customHeight="1">
      <c r="A129" s="3">
        <v>128.0</v>
      </c>
      <c r="B129" s="3" t="s">
        <v>3253</v>
      </c>
      <c r="C129" s="3" t="s">
        <v>3254</v>
      </c>
      <c r="D129" s="3" t="s">
        <v>3255</v>
      </c>
      <c r="E129" s="3" t="s">
        <v>3256</v>
      </c>
      <c r="F129" s="2"/>
      <c r="G129" s="3" t="str">
        <f>IFERROR(__xludf.DUMMYFUNCTION("GOOGLETRANSLATE(A129, ""it"", ""en"")"),"128")</f>
        <v>128</v>
      </c>
      <c r="H129" s="3" t="str">
        <f>IFERROR(__xludf.DUMMYFUNCTION("GOOGLETRANSLATE(B129, ""it"", ""en"")"),"How many hands are used in Morra?")</f>
        <v>How many hands are used in Morra?</v>
      </c>
      <c r="I129" s="3" t="str">
        <f>IFERROR(__xludf.DUMMYFUNCTION("GOOGLETRANSLATE(C129, ""it"", ""en"")"),"A. One B. Two C. Variables D. In some cases none")</f>
        <v>A. One B. Two C. Variables D. In some cases none</v>
      </c>
      <c r="J129" s="3" t="str">
        <f>IFERROR(__xludf.DUMMYFUNCTION("GOOGLETRANSLATE(D129, ""it"", ""en"")"),"A")</f>
        <v>A</v>
      </c>
      <c r="K129" s="3" t="str">
        <f>IFERROR(__xludf.DUMMYFUNCTION("GOOGLETRANSLATE(E129, ""it"", ""en"")"),"Generally")</f>
        <v>Generally</v>
      </c>
      <c r="L129" s="2"/>
      <c r="M129" s="2"/>
      <c r="N129" s="2"/>
      <c r="O129" s="2"/>
      <c r="P129" s="2"/>
      <c r="Q129" s="2"/>
      <c r="R129" s="2"/>
      <c r="S129" s="2"/>
      <c r="T129" s="2"/>
      <c r="U129" s="2"/>
      <c r="V129" s="2"/>
      <c r="W129" s="2"/>
    </row>
    <row r="130" ht="22.5" customHeight="1">
      <c r="A130" s="3">
        <v>129.0</v>
      </c>
      <c r="B130" s="3" t="s">
        <v>3257</v>
      </c>
      <c r="C130" s="3" t="s">
        <v>3258</v>
      </c>
      <c r="D130" s="3" t="s">
        <v>156</v>
      </c>
      <c r="E130" s="3" t="s">
        <v>3259</v>
      </c>
      <c r="F130" s="2"/>
      <c r="G130" s="3" t="str">
        <f>IFERROR(__xludf.DUMMYFUNCTION("GOOGLETRANSLATE(A130, ""it"", ""en"")"),"129")</f>
        <v>129</v>
      </c>
      <c r="H130" s="3" t="str">
        <f>IFERROR(__xludf.DUMMYFUNCTION("GOOGLETRANSLATE(B130, ""it"", ""en"")"),"How important is concentration when playing Morra?")</f>
        <v>How important is concentration when playing Morra?</v>
      </c>
      <c r="I130" s="3" t="str">
        <f>IFERROR(__xludf.DUMMYFUNCTION("GOOGLETRANSLATE(C130, ""it"", ""en"")"),"A. Essential B. Not important C. Important only for beginners D. Secondary")</f>
        <v>A. Essential B. Not important C. Important only for beginners D. Secondary</v>
      </c>
      <c r="J130" s="3" t="str">
        <f>IFERROR(__xludf.DUMMYFUNCTION("GOOGLETRANSLATE(D130, ""it"", ""en"")"),"Essential")</f>
        <v>Essential</v>
      </c>
      <c r="K130" s="3" t="str">
        <f>IFERROR(__xludf.DUMMYFUNCTION("GOOGLETRANSLATE(E130, ""it"", ""en"")"),"Concentration is key to responding quickly and making the right moves.")</f>
        <v>Concentration is key to responding quickly and making the right moves.</v>
      </c>
      <c r="L130" s="2"/>
      <c r="M130" s="2"/>
      <c r="N130" s="2"/>
      <c r="O130" s="2"/>
      <c r="P130" s="2"/>
      <c r="Q130" s="2"/>
      <c r="R130" s="2"/>
      <c r="S130" s="2"/>
      <c r="T130" s="2"/>
      <c r="U130" s="2"/>
      <c r="V130" s="2"/>
      <c r="W130" s="2"/>
    </row>
    <row r="131" ht="22.5" customHeight="1">
      <c r="A131" s="3">
        <v>130.0</v>
      </c>
      <c r="B131" s="3" t="s">
        <v>3260</v>
      </c>
      <c r="C131" s="3" t="s">
        <v>3261</v>
      </c>
      <c r="D131" s="3" t="s">
        <v>3262</v>
      </c>
      <c r="E131" s="3" t="s">
        <v>3263</v>
      </c>
      <c r="F131" s="2"/>
      <c r="G131" s="3" t="str">
        <f>IFERROR(__xludf.DUMMYFUNCTION("GOOGLETRANSLATE(A131, ""it"", ""en"")"),"130")</f>
        <v>130</v>
      </c>
      <c r="H131" s="3" t="str">
        <f>IFERROR(__xludf.DUMMYFUNCTION("GOOGLETRANSLATE(B131, ""it"", ""en"")"),"What is the main mental challenge in Morra?")</f>
        <v>What is the main mental challenge in Morra?</v>
      </c>
      <c r="I131" s="3" t="str">
        <f>IFERROR(__xludf.DUMMYFUNCTION("GOOGLETRANSLATE(C131, ""it"", ""en"")"),"A. Read the opponent's intentions B. Be the fastest to call the number C. Don't make mistakes D. Don't lose your temper")</f>
        <v>A. Read the opponent's intentions B. Be the fastest to call the number C. Don't make mistakes D. Don't lose your temper</v>
      </c>
      <c r="J131" s="3" t="str">
        <f>IFERROR(__xludf.DUMMYFUNCTION("GOOGLETRANSLATE(D131, ""it"", ""en"")"),"Reading your opponent's intentions")</f>
        <v>Reading your opponent's intentions</v>
      </c>
      <c r="K131" s="3" t="str">
        <f>IFERROR(__xludf.DUMMYFUNCTION("GOOGLETRANSLATE(E131, ""it"", ""en"")"),"Predicting your opponent's move is the biggest challenge.")</f>
        <v>Predicting your opponent's move is the biggest challenge.</v>
      </c>
      <c r="L131" s="2"/>
      <c r="M131" s="2"/>
      <c r="N131" s="2"/>
      <c r="O131" s="2"/>
      <c r="P131" s="2"/>
      <c r="Q131" s="2"/>
      <c r="R131" s="2"/>
      <c r="S131" s="2"/>
      <c r="T131" s="2"/>
      <c r="U131" s="2"/>
      <c r="V131" s="2"/>
      <c r="W131" s="2"/>
    </row>
    <row r="132" ht="22.5" customHeight="1">
      <c r="A132" s="3">
        <v>131.0</v>
      </c>
      <c r="B132" s="3" t="s">
        <v>3264</v>
      </c>
      <c r="C132" s="3" t="s">
        <v>3265</v>
      </c>
      <c r="D132" s="3" t="s">
        <v>3185</v>
      </c>
      <c r="E132" s="3" t="s">
        <v>3266</v>
      </c>
      <c r="F132" s="2"/>
      <c r="G132" s="3" t="str">
        <f>IFERROR(__xludf.DUMMYFUNCTION("GOOGLETRANSLATE(A132, ""it"", ""en"")"),"131")</f>
        <v>131</v>
      </c>
      <c r="H132" s="3" t="str">
        <f>IFERROR(__xludf.DUMMYFUNCTION("GOOGLETRANSLATE(B132, ""it"", ""en"")"),"How long does a game of Morra typically last?")</f>
        <v>How long does a game of Morra typically last?</v>
      </c>
      <c r="I132" s="3" t="str">
        <f>IFERROR(__xludf.DUMMYFUNCTION("GOOGLETRANSLATE(C132, ""it"", ""en"")"),"A. At least 10 minutes B. 5-10 minutes C. 30 minutes D. Variable")</f>
        <v>A. At least 10 minutes B. 5-10 minutes C. 30 minutes D. Variable</v>
      </c>
      <c r="J132" s="3" t="str">
        <f>IFERROR(__xludf.DUMMYFUNCTION("GOOGLETRANSLATE(D132, ""it"", ""en"")"),"5-10 minutes")</f>
        <v>5-10 minutes</v>
      </c>
      <c r="K132" s="3" t="str">
        <f>IFERROR(__xludf.DUMMYFUNCTION("GOOGLETRANSLATE(E132, ""it"", ""en"")"),"A typical game of Morra lasts between 5 and 10 minutes.")</f>
        <v>A typical game of Morra lasts between 5 and 10 minutes.</v>
      </c>
      <c r="L132" s="2"/>
      <c r="M132" s="2"/>
      <c r="N132" s="2"/>
      <c r="O132" s="2"/>
      <c r="P132" s="2"/>
      <c r="Q132" s="2"/>
      <c r="R132" s="2"/>
      <c r="S132" s="2"/>
      <c r="T132" s="2"/>
      <c r="U132" s="2"/>
      <c r="V132" s="2"/>
      <c r="W132" s="2"/>
    </row>
    <row r="133" ht="22.5" customHeight="1">
      <c r="A133" s="3">
        <v>132.0</v>
      </c>
      <c r="B133" s="3" t="s">
        <v>3267</v>
      </c>
      <c r="C133" s="3" t="s">
        <v>3268</v>
      </c>
      <c r="D133" s="3" t="s">
        <v>3269</v>
      </c>
      <c r="E133" s="3" t="s">
        <v>3270</v>
      </c>
      <c r="F133" s="2"/>
      <c r="G133" s="3" t="str">
        <f>IFERROR(__xludf.DUMMYFUNCTION("GOOGLETRANSLATE(A133, ""it"", ""en"")"),"132")</f>
        <v>132</v>
      </c>
      <c r="H133" s="3" t="str">
        <f>IFERROR(__xludf.DUMMYFUNCTION("GOOGLETRANSLATE(B133, ""it"", ""en"")"),"What is a mistake that can be made in Morra?")</f>
        <v>What is a mistake that can be made in Morra?</v>
      </c>
      <c r="I133" s="3" t="str">
        <f>IFERROR(__xludf.DUMMYFUNCTION("GOOGLETRANSLATE(C133, ""it"", ""en"")"),"A. Shouting without thinking B. Showing too many fingers C. Confusing the number D. Not observing the opponent")</f>
        <v>A. Shouting without thinking B. Showing too many fingers C. Confusing the number D. Not observing the opponent</v>
      </c>
      <c r="J133" s="3" t="str">
        <f>IFERROR(__xludf.DUMMYFUNCTION("GOOGLETRANSLATE(D133, ""it"", ""en"")"),"Shouting without thinking")</f>
        <v>Shouting without thinking</v>
      </c>
      <c r="K133" s="3" t="str">
        <f>IFERROR(__xludf.DUMMYFUNCTION("GOOGLETRANSLATE(E133, ""it"", ""en"")"),"An impulsive and poorly thought out response can lead to mistakes.")</f>
        <v>An impulsive and poorly thought out response can lead to mistakes.</v>
      </c>
      <c r="L133" s="2"/>
      <c r="M133" s="2"/>
      <c r="N133" s="2"/>
      <c r="O133" s="2"/>
      <c r="P133" s="2"/>
      <c r="Q133" s="2"/>
      <c r="R133" s="2"/>
      <c r="S133" s="2"/>
      <c r="T133" s="2"/>
      <c r="U133" s="2"/>
      <c r="V133" s="2"/>
      <c r="W133" s="2"/>
    </row>
    <row r="134" ht="22.5" customHeight="1">
      <c r="A134" s="3">
        <v>133.0</v>
      </c>
      <c r="B134" s="3" t="s">
        <v>3271</v>
      </c>
      <c r="C134" s="3" t="s">
        <v>3272</v>
      </c>
      <c r="D134" s="3" t="s">
        <v>3273</v>
      </c>
      <c r="E134" s="3" t="s">
        <v>3274</v>
      </c>
      <c r="F134" s="2"/>
      <c r="G134" s="3" t="str">
        <f>IFERROR(__xludf.DUMMYFUNCTION("GOOGLETRANSLATE(A134, ""it"", ""en"")"),"133")</f>
        <v>133</v>
      </c>
      <c r="H134" s="3" t="str">
        <f>IFERROR(__xludf.DUMMYFUNCTION("GOOGLETRANSLATE(B134, ""it"", ""en"")"),"What does ""Morra challenge"" mean?")</f>
        <v>What does "Morra challenge" mean?</v>
      </c>
      <c r="I134" s="3" t="str">
        <f>IFERROR(__xludf.DUMMYFUNCTION("GOOGLETRANSLATE(C134, ""it"", ""en"")"),"A. A single-elimination match B. A tournament with multiple players C. A challenge between two people D. A competition with total scores")</f>
        <v>A. A single-elimination match B. A tournament with multiple players C. A challenge between two people D. A competition with total scores</v>
      </c>
      <c r="J134" s="3" t="str">
        <f>IFERROR(__xludf.DUMMYFUNCTION("GOOGLETRANSLATE(D134, ""it"", ""en"")"),"A challenge between two people")</f>
        <v>A challenge between two people</v>
      </c>
      <c r="K134" s="3" t="str">
        <f>IFERROR(__xludf.DUMMYFUNCTION("GOOGLETRANSLATE(E134, ""it"", ""en"")"),"A Morra challenge is a competition between two individuals.")</f>
        <v>A Morra challenge is a competition between two individuals.</v>
      </c>
      <c r="L134" s="2"/>
      <c r="M134" s="2"/>
      <c r="N134" s="2"/>
      <c r="O134" s="2"/>
      <c r="P134" s="2"/>
      <c r="Q134" s="2"/>
      <c r="R134" s="2"/>
      <c r="S134" s="2"/>
      <c r="T134" s="2"/>
      <c r="U134" s="2"/>
      <c r="V134" s="2"/>
      <c r="W134" s="2"/>
    </row>
    <row r="135" ht="22.5" customHeight="1">
      <c r="A135" s="3">
        <v>134.0</v>
      </c>
      <c r="B135" s="3" t="s">
        <v>3275</v>
      </c>
      <c r="C135" s="3" t="s">
        <v>3276</v>
      </c>
      <c r="D135" s="3" t="s">
        <v>3277</v>
      </c>
      <c r="E135" s="3" t="s">
        <v>3278</v>
      </c>
      <c r="F135" s="2"/>
      <c r="G135" s="3" t="str">
        <f>IFERROR(__xludf.DUMMYFUNCTION("GOOGLETRANSLATE(A135, ""it"", ""en"")"),"134")</f>
        <v>134</v>
      </c>
      <c r="H135" s="3" t="str">
        <f>IFERROR(__xludf.DUMMYFUNCTION("GOOGLETRANSLATE(B135, ""it"", ""en"")"),"How many variations of Morra are there?")</f>
        <v>How many variations of Morra are there?</v>
      </c>
      <c r="I135" s="3" t="str">
        <f>IFERROR(__xludf.DUMMYFUNCTION("GOOGLETRANSLATE(C135, ""it"", ""en"")"),"A. One B. Two C. Three D. More than three")</f>
        <v>A. One B. Two C. Three D. More than three</v>
      </c>
      <c r="J135" s="3" t="str">
        <f>IFERROR(__xludf.DUMMYFUNCTION("GOOGLETRANSLATE(D135, ""it"", ""en"")"),"More than three")</f>
        <v>More than three</v>
      </c>
      <c r="K135" s="3" t="str">
        <f>IFERROR(__xludf.DUMMYFUNCTION("GOOGLETRANSLATE(E135, ""it"", ""en"")"),"There are many regional variations of Morra")</f>
        <v>There are many regional variations of Morra</v>
      </c>
      <c r="L135" s="2"/>
      <c r="M135" s="2"/>
      <c r="N135" s="2"/>
      <c r="O135" s="2"/>
      <c r="P135" s="2"/>
      <c r="Q135" s="2"/>
      <c r="R135" s="2"/>
      <c r="S135" s="2"/>
      <c r="T135" s="2"/>
      <c r="U135" s="2"/>
      <c r="V135" s="2"/>
      <c r="W135" s="2"/>
    </row>
    <row r="136" ht="22.5" customHeight="1">
      <c r="A136" s="3">
        <v>135.0</v>
      </c>
      <c r="B136" s="3" t="s">
        <v>3279</v>
      </c>
      <c r="C136" s="3" t="s">
        <v>3280</v>
      </c>
      <c r="D136" s="3" t="s">
        <v>3281</v>
      </c>
      <c r="E136" s="3" t="s">
        <v>3282</v>
      </c>
      <c r="F136" s="2"/>
      <c r="G136" s="3" t="str">
        <f>IFERROR(__xludf.DUMMYFUNCTION("GOOGLETRANSLATE(A136, ""it"", ""en"")"),"135")</f>
        <v>135</v>
      </c>
      <c r="H136" s="3" t="str">
        <f>IFERROR(__xludf.DUMMYFUNCTION("GOOGLETRANSLATE(B136, ""it"", ""en"")"),"What is the fundamental rule in Morra?")</f>
        <v>What is the fundamental rule in Morra?</v>
      </c>
      <c r="I136" s="3" t="str">
        <f>IFERROR(__xludf.DUMMYFUNCTION("GOOGLETRANSLATE(C136, ""it"", ""en"")"),"A. Guess the exact number B. Use both hands C. Use only one number D. Be quick")</f>
        <v>A. Guess the exact number B. Use both hands C. Use only one number D. Be quick</v>
      </c>
      <c r="J136" s="3" t="str">
        <f>IFERROR(__xludf.DUMMYFUNCTION("GOOGLETRANSLATE(D136, ""it"", ""en"")"),"Guess the exact number")</f>
        <v>Guess the exact number</v>
      </c>
      <c r="K136" s="3" t="str">
        <f>IFERROR(__xludf.DUMMYFUNCTION("GOOGLETRANSLATE(E136, ""it"", ""en"")"),"Guessing the number correctly is the key to winning.")</f>
        <v>Guessing the number correctly is the key to winning.</v>
      </c>
      <c r="L136" s="2"/>
      <c r="M136" s="2"/>
      <c r="N136" s="2"/>
      <c r="O136" s="2"/>
      <c r="P136" s="2"/>
      <c r="Q136" s="2"/>
      <c r="R136" s="2"/>
      <c r="S136" s="2"/>
      <c r="T136" s="2"/>
      <c r="U136" s="2"/>
      <c r="V136" s="2"/>
      <c r="W136" s="2"/>
    </row>
    <row r="137" ht="22.5" customHeight="1">
      <c r="A137" s="3">
        <v>136.0</v>
      </c>
      <c r="B137" s="3" t="s">
        <v>3283</v>
      </c>
      <c r="C137" s="3" t="s">
        <v>3284</v>
      </c>
      <c r="D137" s="3" t="s">
        <v>3285</v>
      </c>
      <c r="E137" s="3" t="s">
        <v>3286</v>
      </c>
      <c r="F137" s="2"/>
      <c r="G137" s="3" t="str">
        <f>IFERROR(__xludf.DUMMYFUNCTION("GOOGLETRANSLATE(A137, ""it"", ""en"")"),"136")</f>
        <v>136</v>
      </c>
      <c r="H137" s="3" t="str">
        <f>IFERROR(__xludf.DUMMYFUNCTION("GOOGLETRANSLATE(B137, ""it"", ""en"")"),"What is the origin of Morra?")</f>
        <v>What is the origin of Morra?</v>
      </c>
      <c r="I137" s="3" t="str">
        <f>IFERROR(__xludf.DUMMYFUNCTION("GOOGLETRANSLATE(C137, ""it"", ""en"")"),"A. A Roman game B. A Greek game C. A medieval game D. A modern game")</f>
        <v>A. A Roman game B. A Greek game C. A medieval game D. A modern game</v>
      </c>
      <c r="J137" s="3" t="str">
        <f>IFERROR(__xludf.DUMMYFUNCTION("GOOGLETRANSLATE(D137, ""it"", ""en"")"),"A Roman game")</f>
        <v>A Roman game</v>
      </c>
      <c r="K137" s="3" t="str">
        <f>IFERROR(__xludf.DUMMYFUNCTION("GOOGLETRANSLATE(E137, ""it"", ""en"")"),"Morra has origins dating back to ancient Rome.")</f>
        <v>Morra has origins dating back to ancient Rome.</v>
      </c>
      <c r="L137" s="2"/>
      <c r="M137" s="2"/>
      <c r="N137" s="2"/>
      <c r="O137" s="2"/>
      <c r="P137" s="2"/>
      <c r="Q137" s="2"/>
      <c r="R137" s="2"/>
      <c r="S137" s="2"/>
      <c r="T137" s="2"/>
      <c r="U137" s="2"/>
      <c r="V137" s="2"/>
      <c r="W137" s="2"/>
    </row>
    <row r="138" ht="22.5" customHeight="1">
      <c r="A138" s="3">
        <v>137.0</v>
      </c>
      <c r="B138" s="3" t="s">
        <v>3287</v>
      </c>
      <c r="C138" s="3" t="s">
        <v>3288</v>
      </c>
      <c r="D138" s="3" t="s">
        <v>921</v>
      </c>
      <c r="E138" s="3" t="s">
        <v>3289</v>
      </c>
      <c r="F138" s="2"/>
      <c r="G138" s="3" t="str">
        <f>IFERROR(__xludf.DUMMYFUNCTION("GOOGLETRANSLATE(A138, ""it"", ""en"")"),"137")</f>
        <v>137</v>
      </c>
      <c r="H138" s="3" t="str">
        <f>IFERROR(__xludf.DUMMYFUNCTION("GOOGLETRANSLATE(B138, ""it"", ""en"")"),"What happens if a player gets the number wrong?")</f>
        <v>What happens if a player gets the number wrong?</v>
      </c>
      <c r="I138" s="3" t="str">
        <f>IFERROR(__xludf.DUMMYFUNCTION("GOOGLETRANSLATE(C138, ""it"", ""en"")"),"A. He loses the turn B. The opponent wins C. Another turn is played D. The number is repeated")</f>
        <v>A. He loses the turn B. The opponent wins C. Another turn is played D. The number is repeated</v>
      </c>
      <c r="J138" s="3" t="str">
        <f>IFERROR(__xludf.DUMMYFUNCTION("GOOGLETRANSLATE(D138, ""it"", ""en"")"),"He loses the turn")</f>
        <v>He loses the turn</v>
      </c>
      <c r="K138" s="3" t="str">
        <f>IFERROR(__xludf.DUMMYFUNCTION("GOOGLETRANSLATE(E138, ""it"", ""en"")"),"A mistake in calling results in the loss of the turn.")</f>
        <v>A mistake in calling results in the loss of the turn.</v>
      </c>
      <c r="L138" s="2"/>
      <c r="M138" s="2"/>
      <c r="N138" s="2"/>
      <c r="O138" s="2"/>
      <c r="P138" s="2"/>
      <c r="Q138" s="2"/>
      <c r="R138" s="2"/>
      <c r="S138" s="2"/>
      <c r="T138" s="2"/>
      <c r="U138" s="2"/>
      <c r="V138" s="2"/>
      <c r="W138" s="2"/>
    </row>
    <row r="139" ht="22.5" customHeight="1">
      <c r="A139" s="3">
        <v>138.0</v>
      </c>
      <c r="B139" s="3" t="s">
        <v>3290</v>
      </c>
      <c r="C139" s="3" t="s">
        <v>3291</v>
      </c>
      <c r="D139" s="3" t="s">
        <v>3292</v>
      </c>
      <c r="E139" s="3" t="s">
        <v>3293</v>
      </c>
      <c r="F139" s="2"/>
      <c r="G139" s="3" t="str">
        <f>IFERROR(__xludf.DUMMYFUNCTION("GOOGLETRANSLATE(A139, ""it"", ""en"")"),"138")</f>
        <v>138</v>
      </c>
      <c r="H139" s="3" t="str">
        <f>IFERROR(__xludf.DUMMYFUNCTION("GOOGLETRANSLATE(B139, ""it"", ""en"")"),"What is one way to train in Morra?")</f>
        <v>What is one way to train in Morra?</v>
      </c>
      <c r="I139" s="3" t="str">
        <f>IFERROR(__xludf.DUMMYFUNCTION("GOOGLETRANSLATE(C139, ""it"", ""en"")"),"A. Participate in tournaments B. Practice with friends C. Watch video tutorials D. Read manuals")</f>
        <v>A. Participate in tournaments B. Practice with friends C. Watch video tutorials D. Read manuals</v>
      </c>
      <c r="J139" s="3" t="str">
        <f>IFERROR(__xludf.DUMMYFUNCTION("GOOGLETRANSLATE(D139, ""it"", ""en"")"),"Training with friends")</f>
        <v>Training with friends</v>
      </c>
      <c r="K139" s="3" t="str">
        <f>IFERROR(__xludf.DUMMYFUNCTION("GOOGLETRANSLATE(E139, ""it"", ""en"")"),"Practicing with other people is the best way to improve.")</f>
        <v>Practicing with other people is the best way to improve.</v>
      </c>
      <c r="L139" s="2"/>
      <c r="M139" s="2"/>
      <c r="N139" s="2"/>
      <c r="O139" s="2"/>
      <c r="P139" s="2"/>
      <c r="Q139" s="2"/>
      <c r="R139" s="2"/>
      <c r="S139" s="2"/>
      <c r="T139" s="2"/>
      <c r="U139" s="2"/>
      <c r="V139" s="2"/>
      <c r="W139" s="2"/>
    </row>
    <row r="140" ht="22.5" customHeight="1">
      <c r="A140" s="3">
        <v>139.0</v>
      </c>
      <c r="B140" s="3" t="s">
        <v>3294</v>
      </c>
      <c r="C140" s="3" t="s">
        <v>3295</v>
      </c>
      <c r="D140" s="3" t="s">
        <v>3296</v>
      </c>
      <c r="E140" s="3" t="s">
        <v>3297</v>
      </c>
      <c r="F140" s="2"/>
      <c r="G140" s="3" t="str">
        <f>IFERROR(__xludf.DUMMYFUNCTION("GOOGLETRANSLATE(A140, ""it"", ""en"")"),"139")</f>
        <v>139</v>
      </c>
      <c r="H140" s="3" t="str">
        <f>IFERROR(__xludf.DUMMYFUNCTION("GOOGLETRANSLATE(B140, ""it"", ""en"")"),"How important is intuition in Morra?")</f>
        <v>How important is intuition in Morra?</v>
      </c>
      <c r="I140" s="3" t="str">
        <f>IFERROR(__xludf.DUMMYFUNCTION("GOOGLETRANSLATE(C140, ""it"", ""en"")"),"A. Quite a bit B. Not important C. Very important D. Not necessary")</f>
        <v>A. Quite a bit B. Not important C. Very important D. Not necessary</v>
      </c>
      <c r="J140" s="3" t="str">
        <f>IFERROR(__xludf.DUMMYFUNCTION("GOOGLETRANSLATE(D140, ""it"", ""en"")"),"Very important")</f>
        <v>Very important</v>
      </c>
      <c r="K140" s="3" t="str">
        <f>IFERROR(__xludf.DUMMYFUNCTION("GOOGLETRANSLATE(E140, ""it"", ""en"")"),"Intuition plays a key role in predicting your opponent's moves.")</f>
        <v>Intuition plays a key role in predicting your opponent's moves.</v>
      </c>
      <c r="L140" s="2"/>
      <c r="M140" s="2"/>
      <c r="N140" s="2"/>
      <c r="O140" s="2"/>
      <c r="P140" s="2"/>
      <c r="Q140" s="2"/>
      <c r="R140" s="2"/>
      <c r="S140" s="2"/>
      <c r="T140" s="2"/>
      <c r="U140" s="2"/>
      <c r="V140" s="2"/>
      <c r="W140" s="2"/>
    </row>
    <row r="141" ht="22.5" customHeight="1">
      <c r="A141" s="3">
        <v>140.0</v>
      </c>
      <c r="B141" s="3" t="s">
        <v>3298</v>
      </c>
      <c r="C141" s="3" t="s">
        <v>3299</v>
      </c>
      <c r="D141" s="3" t="s">
        <v>3300</v>
      </c>
      <c r="E141" s="3" t="s">
        <v>3301</v>
      </c>
      <c r="F141" s="2"/>
      <c r="G141" s="3" t="str">
        <f>IFERROR(__xludf.DUMMYFUNCTION("GOOGLETRANSLATE(A141, ""it"", ""en"")"),"140")</f>
        <v>140</v>
      </c>
      <c r="H141" s="3" t="str">
        <f>IFERROR(__xludf.DUMMYFUNCTION("GOOGLETRANSLATE(B141, ""it"", ""en"")"),"What kind of game is Morra?")</f>
        <v>What kind of game is Morra?</v>
      </c>
      <c r="I141" s="3" t="str">
        <f>IFERROR(__xludf.DUMMYFUNCTION("GOOGLETRANSLATE(C141, ""it"", ""en"")"),"A. A game of reflexes B. A game of words C. A game of memory D. A game of strategy")</f>
        <v>A. A game of reflexes B. A game of words C. A game of memory D. A game of strategy</v>
      </c>
      <c r="J141" s="3" t="str">
        <f>IFERROR(__xludf.DUMMYFUNCTION("GOOGLETRANSLATE(D141, ""it"", ""en"")"),"A game of reflections")</f>
        <v>A game of reflections</v>
      </c>
      <c r="K141" s="3" t="str">
        <f>IFERROR(__xludf.DUMMYFUNCTION("GOOGLETRANSLATE(E141, ""it"", ""en"")"),"Morra requires quick reflexes and good foresight.")</f>
        <v>Morra requires quick reflexes and good foresight.</v>
      </c>
      <c r="L141" s="2"/>
      <c r="M141" s="2"/>
      <c r="N141" s="2"/>
      <c r="O141" s="2"/>
      <c r="P141" s="2"/>
      <c r="Q141" s="2"/>
      <c r="R141" s="2"/>
      <c r="S141" s="2"/>
      <c r="T141" s="2"/>
      <c r="U141" s="2"/>
      <c r="V141" s="2"/>
      <c r="W141" s="2"/>
    </row>
    <row r="142" ht="22.5" customHeight="1">
      <c r="A142" s="3">
        <v>141.0</v>
      </c>
      <c r="B142" s="3" t="s">
        <v>3302</v>
      </c>
      <c r="C142" s="3" t="s">
        <v>3303</v>
      </c>
      <c r="D142" s="3" t="s">
        <v>3304</v>
      </c>
      <c r="E142" s="3" t="s">
        <v>3305</v>
      </c>
      <c r="F142" s="2"/>
      <c r="G142" s="3" t="str">
        <f>IFERROR(__xludf.DUMMYFUNCTION("GOOGLETRANSLATE(A142, ""it"", ""en"")"),"141")</f>
        <v>141</v>
      </c>
      <c r="H142" s="3" t="str">
        <f>IFERROR(__xludf.DUMMYFUNCTION("GOOGLETRANSLATE(B142, ""it"", ""en"")"),"What kind of competition is Morra?")</f>
        <v>What kind of competition is Morra?</v>
      </c>
      <c r="I142" s="3" t="str">
        <f>IFERROR(__xludf.DUMMYFUNCTION("GOOGLETRANSLATE(C142, ""it"", ""en"")"),"A. A physical competition B. A mental competition C. A speed competition D. A social competition")</f>
        <v>A. A physical competition B. A mental competition C. A speed competition D. A social competition</v>
      </c>
      <c r="J142" s="3" t="str">
        <f>IFERROR(__xludf.DUMMYFUNCTION("GOOGLETRANSLATE(D142, ""it"", ""en"")"),"A mental competition")</f>
        <v>A mental competition</v>
      </c>
      <c r="K142" s="3" t="str">
        <f>IFERROR(__xludf.DUMMYFUNCTION("GOOGLETRANSLATE(E142, ""it"", ""en"")"),"Morra is above all a mental game")</f>
        <v>Morra is above all a mental game</v>
      </c>
      <c r="L142" s="2"/>
      <c r="M142" s="2"/>
      <c r="N142" s="2"/>
      <c r="O142" s="2"/>
      <c r="P142" s="2"/>
      <c r="Q142" s="2"/>
      <c r="R142" s="2"/>
      <c r="S142" s="2"/>
      <c r="T142" s="2"/>
      <c r="U142" s="2"/>
      <c r="V142" s="2"/>
      <c r="W142" s="2"/>
    </row>
    <row r="143" ht="22.5" customHeight="1">
      <c r="A143" s="3">
        <v>142.0</v>
      </c>
      <c r="B143" s="3" t="s">
        <v>3306</v>
      </c>
      <c r="C143" s="3" t="s">
        <v>3307</v>
      </c>
      <c r="D143" s="3" t="s">
        <v>3308</v>
      </c>
      <c r="E143" s="3" t="s">
        <v>3309</v>
      </c>
      <c r="F143" s="2"/>
      <c r="G143" s="3" t="str">
        <f>IFERROR(__xludf.DUMMYFUNCTION("GOOGLETRANSLATE(A143, ""it"", ""en"")"),"142")</f>
        <v>142</v>
      </c>
      <c r="H143" s="3" t="str">
        <f>IFERROR(__xludf.DUMMYFUNCTION("GOOGLETRANSLATE(B143, ""it"", ""en"")"),"How important is experience to winning in Morra?")</f>
        <v>How important is experience to winning in Morra?</v>
      </c>
      <c r="I143" s="3" t="str">
        <f>IFERROR(__xludf.DUMMYFUNCTION("GOOGLETRANSLATE(C143, ""it"", ""en"")"),"A. Not much B. Doesn't matter C. It matters a lot D. It's not relevant")</f>
        <v>A. Not much B. Doesn't matter C. It matters a lot D. It's not relevant</v>
      </c>
      <c r="J143" s="3" t="str">
        <f>IFERROR(__xludf.DUMMYFUNCTION("GOOGLETRANSLATE(D143, ""it"", ""en"")"),"It counts for a lot")</f>
        <v>It counts for a lot</v>
      </c>
      <c r="K143" s="3" t="str">
        <f>IFERROR(__xludf.DUMMYFUNCTION("GOOGLETRANSLATE(E143, ""it"", ""en"")"),"Experience helps you better understand the game dynamics and anticipate moves.")</f>
        <v>Experience helps you better understand the game dynamics and anticipate moves.</v>
      </c>
      <c r="L143" s="2"/>
      <c r="M143" s="2"/>
      <c r="N143" s="2"/>
      <c r="O143" s="2"/>
      <c r="P143" s="2"/>
      <c r="Q143" s="2"/>
      <c r="R143" s="2"/>
      <c r="S143" s="2"/>
      <c r="T143" s="2"/>
      <c r="U143" s="2"/>
      <c r="V143" s="2"/>
      <c r="W143" s="2"/>
    </row>
    <row r="144" ht="22.5" customHeight="1">
      <c r="A144" s="3">
        <v>143.0</v>
      </c>
      <c r="B144" s="3" t="s">
        <v>3310</v>
      </c>
      <c r="C144" s="3" t="s">
        <v>3311</v>
      </c>
      <c r="D144" s="3" t="s">
        <v>3312</v>
      </c>
      <c r="E144" s="3" t="s">
        <v>3313</v>
      </c>
      <c r="F144" s="2"/>
      <c r="G144" s="3" t="str">
        <f>IFERROR(__xludf.DUMMYFUNCTION("GOOGLETRANSLATE(A144, ""it"", ""en"")"),"143")</f>
        <v>143</v>
      </c>
      <c r="H144" s="3" t="str">
        <f>IFERROR(__xludf.DUMMYFUNCTION("GOOGLETRANSLATE(B144, ""it"", ""en"")"),"What is a characteristic of a good Morra player?")</f>
        <v>What is a characteristic of a good Morra player?</v>
      </c>
      <c r="I144" s="3" t="str">
        <f>IFERROR(__xludf.DUMMYFUNCTION("GOOGLETRANSLATE(C144, ""it"", ""en"")"),"A. Being able to make quick predictions B. Being calm and thoughtful C. Being able to guess numbers D. Being able to shout loudly")</f>
        <v>A. Being able to make quick predictions B. Being calm and thoughtful C. Being able to guess numbers D. Being able to shout loudly</v>
      </c>
      <c r="J144" s="3" t="str">
        <f>IFERROR(__xludf.DUMMYFUNCTION("GOOGLETRANSLATE(D144, ""it"", ""en"")"),"Knowing how to make quick predictions")</f>
        <v>Knowing how to make quick predictions</v>
      </c>
      <c r="K144" s="3" t="str">
        <f>IFERROR(__xludf.DUMMYFUNCTION("GOOGLETRANSLATE(E144, ""it"", ""en"")"),"Predicting the number correctly is crucial to winning.")</f>
        <v>Predicting the number correctly is crucial to winning.</v>
      </c>
      <c r="L144" s="2"/>
      <c r="M144" s="2"/>
      <c r="N144" s="2"/>
      <c r="O144" s="2"/>
      <c r="P144" s="2"/>
      <c r="Q144" s="2"/>
      <c r="R144" s="2"/>
      <c r="S144" s="2"/>
      <c r="T144" s="2"/>
      <c r="U144" s="2"/>
      <c r="V144" s="2"/>
      <c r="W144" s="2"/>
    </row>
    <row r="145" ht="22.5" customHeight="1">
      <c r="A145" s="3">
        <v>144.0</v>
      </c>
      <c r="B145" s="3" t="s">
        <v>3314</v>
      </c>
      <c r="C145" s="3" t="s">
        <v>3315</v>
      </c>
      <c r="D145" s="3" t="s">
        <v>3316</v>
      </c>
      <c r="E145" s="3" t="s">
        <v>3317</v>
      </c>
      <c r="F145" s="2"/>
      <c r="G145" s="3" t="str">
        <f>IFERROR(__xludf.DUMMYFUNCTION("GOOGLETRANSLATE(A145, ""it"", ""en"")"),"144")</f>
        <v>144</v>
      </c>
      <c r="H145" s="3" t="str">
        <f>IFERROR(__xludf.DUMMYFUNCTION("GOOGLETRANSLATE(B145, ""it"", ""en"")"),"What is the importance of the chosen number in Morra?")</f>
        <v>What is the importance of the chosen number in Morra?</v>
      </c>
      <c r="I145" s="3" t="str">
        <f>IFERROR(__xludf.DUMMYFUNCTION("GOOGLETRANSLATE(C145, ""it"", ""en"")"),"A. Determines the victory B. Does not matter C. Influences the score D. Decides the length of the game")</f>
        <v>A. Determines the victory B. Does not matter C. Influences the score D. Decides the length of the game</v>
      </c>
      <c r="J145" s="3" t="str">
        <f>IFERROR(__xludf.DUMMYFUNCTION("GOOGLETRANSLATE(D145, ""it"", ""en"")"),"Determine the victory")</f>
        <v>Determine the victory</v>
      </c>
      <c r="K145" s="3" t="str">
        <f>IFERROR(__xludf.DUMMYFUNCTION("GOOGLETRANSLATE(E145, ""it"", ""en"")"),"Correctly guessing the chosen number determines the outcome.")</f>
        <v>Correctly guessing the chosen number determines the outcome.</v>
      </c>
      <c r="L145" s="2"/>
      <c r="M145" s="2"/>
      <c r="N145" s="2"/>
      <c r="O145" s="2"/>
      <c r="P145" s="2"/>
      <c r="Q145" s="2"/>
      <c r="R145" s="2"/>
      <c r="S145" s="2"/>
      <c r="T145" s="2"/>
      <c r="U145" s="2"/>
      <c r="V145" s="2"/>
      <c r="W145" s="2"/>
    </row>
    <row r="146" ht="22.5" customHeight="1">
      <c r="A146" s="3">
        <v>145.0</v>
      </c>
      <c r="B146" s="3" t="s">
        <v>3318</v>
      </c>
      <c r="C146" s="3" t="s">
        <v>3319</v>
      </c>
      <c r="D146" s="3" t="s">
        <v>3320</v>
      </c>
      <c r="E146" s="3" t="s">
        <v>3321</v>
      </c>
      <c r="F146" s="2"/>
      <c r="G146" s="3" t="str">
        <f>IFERROR(__xludf.DUMMYFUNCTION("GOOGLETRANSLATE(A146, ""it"", ""en"")"),"145")</f>
        <v>145</v>
      </c>
      <c r="H146" s="3" t="str">
        <f>IFERROR(__xludf.DUMMYFUNCTION("GOOGLETRANSLATE(B146, ""it"", ""en"")"),"What is a strategy to deceive your opponent?")</f>
        <v>What is a strategy to deceive your opponent?</v>
      </c>
      <c r="I146" s="3" t="str">
        <f>IFERROR(__xludf.DUMMYFUNCTION("GOOGLETRANSLATE(C146, ""it"", ""en"")"),"A. Changing numbers quickly B. Using ambiguous gestures C. Always remaining silent D. Showing the highest number")</f>
        <v>A. Changing numbers quickly B. Using ambiguous gestures C. Always remaining silent D. Showing the highest number</v>
      </c>
      <c r="J146" s="3" t="str">
        <f>IFERROR(__xludf.DUMMYFUNCTION("GOOGLETRANSLATE(D146, ""it"", ""en"")"),"Change number quickly")</f>
        <v>Change number quickly</v>
      </c>
      <c r="K146" s="3" t="str">
        <f>IFERROR(__xludf.DUMMYFUNCTION("GOOGLETRANSLATE(E146, ""it"", ""en"")"),"By quickly changing the numbers you can confuse your opponent.")</f>
        <v>By quickly changing the numbers you can confuse your opponent.</v>
      </c>
      <c r="L146" s="2"/>
      <c r="M146" s="2"/>
      <c r="N146" s="2"/>
      <c r="O146" s="2"/>
      <c r="P146" s="2"/>
      <c r="Q146" s="2"/>
      <c r="R146" s="2"/>
      <c r="S146" s="2"/>
      <c r="T146" s="2"/>
      <c r="U146" s="2"/>
      <c r="V146" s="2"/>
      <c r="W146" s="2"/>
    </row>
    <row r="147" ht="22.5" customHeight="1">
      <c r="A147" s="3">
        <v>146.0</v>
      </c>
      <c r="B147" s="3" t="s">
        <v>3322</v>
      </c>
      <c r="C147" s="3" t="s">
        <v>3323</v>
      </c>
      <c r="D147" s="3" t="s">
        <v>3324</v>
      </c>
      <c r="E147" s="3" t="s">
        <v>3325</v>
      </c>
      <c r="F147" s="2"/>
      <c r="G147" s="3" t="str">
        <f>IFERROR(__xludf.DUMMYFUNCTION("GOOGLETRANSLATE(A147, ""it"", ""en"")"),"146")</f>
        <v>146</v>
      </c>
      <c r="H147" s="3" t="str">
        <f>IFERROR(__xludf.DUMMYFUNCTION("GOOGLETRANSLATE(B147, ""it"", ""en"")"),"When playing Morra you must have a good...")</f>
        <v>When playing Morra you must have a good...</v>
      </c>
      <c r="I147" s="3" t="str">
        <f>IFERROR(__xludf.DUMMYFUNCTION("GOOGLETRANSLATE(C147, ""it"", ""en"")"),"A. Sight B. Physicality C. Mental speed D. Height")</f>
        <v>A. Sight B. Physicality C. Mental speed D. Height</v>
      </c>
      <c r="J147" s="3" t="str">
        <f>IFERROR(__xludf.DUMMYFUNCTION("GOOGLETRANSLATE(D147, ""it"", ""en"")"),"Mental speed")</f>
        <v>Mental speed</v>
      </c>
      <c r="K147" s="3" t="str">
        <f>IFERROR(__xludf.DUMMYFUNCTION("GOOGLETRANSLATE(E147, ""it"", ""en"")"),"Mental speed is essential to react quickly to your opponent's moves.")</f>
        <v>Mental speed is essential to react quickly to your opponent's moves.</v>
      </c>
      <c r="L147" s="2"/>
      <c r="M147" s="2"/>
      <c r="N147" s="2"/>
      <c r="O147" s="2"/>
      <c r="P147" s="2"/>
      <c r="Q147" s="2"/>
      <c r="R147" s="2"/>
      <c r="S147" s="2"/>
      <c r="T147" s="2"/>
      <c r="U147" s="2"/>
      <c r="V147" s="2"/>
      <c r="W147" s="2"/>
    </row>
    <row r="148" ht="22.5" customHeight="1">
      <c r="A148" s="3">
        <v>147.0</v>
      </c>
      <c r="B148" s="3" t="s">
        <v>3326</v>
      </c>
      <c r="C148" s="3" t="s">
        <v>3327</v>
      </c>
      <c r="D148" s="3" t="s">
        <v>3328</v>
      </c>
      <c r="E148" s="3" t="s">
        <v>3329</v>
      </c>
      <c r="F148" s="2"/>
      <c r="G148" s="3" t="str">
        <f>IFERROR(__xludf.DUMMYFUNCTION("GOOGLETRANSLATE(A148, ""it"", ""en"")"),"147")</f>
        <v>147</v>
      </c>
      <c r="H148" s="3" t="str">
        <f>IFERROR(__xludf.DUMMYFUNCTION("GOOGLETRANSLATE(B148, ""it"", ""en"")"),"What's the difference between Morra and similar games?")</f>
        <v>What's the difference between Morra and similar games?</v>
      </c>
      <c r="I148" s="3" t="str">
        <f>IFERROR(__xludf.DUMMYFUNCTION("GOOGLETRANSLATE(C148, ""it"", ""en"")"),"A. Morra does not need any equipment B. The length of the game C. The most complex strategy D. The number of players")</f>
        <v>A. Morra does not need any equipment B. The length of the game C. The most complex strategy D. The number of players</v>
      </c>
      <c r="J148" s="3" t="str">
        <f>IFERROR(__xludf.DUMMYFUNCTION("GOOGLETRANSLATE(D148, ""it"", ""en"")"),"Morra doesn't need any equipment")</f>
        <v>Morra doesn't need any equipment</v>
      </c>
      <c r="K148" s="3" t="str">
        <f>IFERROR(__xludf.DUMMYFUNCTION("GOOGLETRANSLATE(E148, ""it"", ""en"")"),"It makes it very accessible to anyone.")</f>
        <v>It makes it very accessible to anyone.</v>
      </c>
      <c r="L148" s="2"/>
      <c r="M148" s="2"/>
      <c r="N148" s="2"/>
      <c r="O148" s="2"/>
      <c r="P148" s="2"/>
      <c r="Q148" s="2"/>
      <c r="R148" s="2"/>
      <c r="S148" s="2"/>
      <c r="T148" s="2"/>
      <c r="U148" s="2"/>
      <c r="V148" s="2"/>
      <c r="W148" s="2"/>
    </row>
    <row r="149" ht="22.5" customHeight="1">
      <c r="A149" s="3">
        <v>148.0</v>
      </c>
      <c r="B149" s="3" t="s">
        <v>3330</v>
      </c>
      <c r="C149" s="3" t="s">
        <v>3331</v>
      </c>
      <c r="D149" s="3" t="s">
        <v>3332</v>
      </c>
      <c r="E149" s="3" t="s">
        <v>3333</v>
      </c>
      <c r="F149" s="2"/>
      <c r="G149" s="3" t="str">
        <f>IFERROR(__xludf.DUMMYFUNCTION("GOOGLETRANSLATE(A149, ""it"", ""en"")"),"148")</f>
        <v>148</v>
      </c>
      <c r="H149" s="3" t="str">
        <f>IFERROR(__xludf.DUMMYFUNCTION("GOOGLETRANSLATE(B149, ""it"", ""en"")"),"What kind of event promotes the practice of Morra?")</f>
        <v>What kind of event promotes the practice of Morra?</v>
      </c>
      <c r="I149" s="3" t="str">
        <f>IFERROR(__xludf.DUMMYFUNCTION("GOOGLETRANSLATE(C149, ""it"", ""en"")"),"A. Sporting events B. School events C. Street tournaments D. Cultural events")</f>
        <v>A. Sporting events B. School events C. Street tournaments D. Cultural events</v>
      </c>
      <c r="J149" s="3" t="str">
        <f>IFERROR(__xludf.DUMMYFUNCTION("GOOGLETRANSLATE(D149, ""it"", ""en"")"),"Street events")</f>
        <v>Street events</v>
      </c>
      <c r="K149" s="3" t="str">
        <f>IFERROR(__xludf.DUMMYFUNCTION("GOOGLETRANSLATE(E149, ""it"", ""en"")"),"Morra is often played at street events and local fairs.")</f>
        <v>Morra is often played at street events and local fairs.</v>
      </c>
      <c r="L149" s="2"/>
      <c r="M149" s="2"/>
      <c r="N149" s="2"/>
      <c r="O149" s="2"/>
      <c r="P149" s="2"/>
      <c r="Q149" s="2"/>
      <c r="R149" s="2"/>
      <c r="S149" s="2"/>
      <c r="T149" s="2"/>
      <c r="U149" s="2"/>
      <c r="V149" s="2"/>
      <c r="W149" s="2"/>
    </row>
    <row r="150" ht="22.5" customHeight="1">
      <c r="A150" s="3">
        <v>149.0</v>
      </c>
      <c r="B150" s="3" t="s">
        <v>3334</v>
      </c>
      <c r="C150" s="3" t="s">
        <v>3335</v>
      </c>
      <c r="D150" s="3" t="s">
        <v>3336</v>
      </c>
      <c r="E150" s="3" t="s">
        <v>3337</v>
      </c>
      <c r="F150" s="2"/>
      <c r="G150" s="3" t="str">
        <f>IFERROR(__xludf.DUMMYFUNCTION("GOOGLETRANSLATE(A150, ""it"", ""en"")"),"149")</f>
        <v>149</v>
      </c>
      <c r="H150" s="3" t="str">
        <f>IFERROR(__xludf.DUMMYFUNCTION("GOOGLETRANSLATE(B150, ""it"", ""en"")"),"Who can participate in a Morra game?")</f>
        <v>Who can participate in a Morra game?</v>
      </c>
      <c r="I150" s="3" t="str">
        <f>IFERROR(__xludf.DUMMYFUNCTION("GOOGLETRANSLATE(C150, ""it"", ""en"")"),"A. Everyone B. Adults C. Elderly D. Young people")</f>
        <v>A. Everyone B. Adults C. Elderly D. Young people</v>
      </c>
      <c r="J150" s="3" t="str">
        <f>IFERROR(__xludf.DUMMYFUNCTION("GOOGLETRANSLATE(D150, ""it"", ""en"")"),"Everyone")</f>
        <v>Everyone</v>
      </c>
      <c r="K150" s="3" t="str">
        <f>IFERROR(__xludf.DUMMYFUNCTION("GOOGLETRANSLATE(E150, ""it"", ""en"")"),"Morra is a game that can be played by people of all ages.")</f>
        <v>Morra is a game that can be played by people of all ages.</v>
      </c>
      <c r="L150" s="2"/>
      <c r="M150" s="2"/>
      <c r="N150" s="2"/>
      <c r="O150" s="2"/>
      <c r="P150" s="2"/>
      <c r="Q150" s="2"/>
      <c r="R150" s="2"/>
      <c r="S150" s="2"/>
      <c r="T150" s="2"/>
      <c r="U150" s="2"/>
      <c r="V150" s="2"/>
      <c r="W150" s="2"/>
    </row>
    <row r="151" ht="22.5" customHeight="1">
      <c r="A151" s="3">
        <v>150.0</v>
      </c>
      <c r="B151" s="3" t="s">
        <v>3338</v>
      </c>
      <c r="C151" s="3" t="s">
        <v>3339</v>
      </c>
      <c r="D151" s="3" t="s">
        <v>3340</v>
      </c>
      <c r="E151" s="3" t="s">
        <v>3341</v>
      </c>
      <c r="F151" s="2"/>
      <c r="G151" s="3" t="str">
        <f>IFERROR(__xludf.DUMMYFUNCTION("GOOGLETRANSLATE(A151, ""it"", ""en"")"),"150")</f>
        <v>150</v>
      </c>
      <c r="H151" s="3" t="str">
        <f>IFERROR(__xludf.DUMMYFUNCTION("GOOGLETRANSLATE(B151, ""it"", ""en"")"),"In Morra")</f>
        <v>In Morra</v>
      </c>
      <c r="I151" s="3" t="str">
        <f>IFERROR(__xludf.DUMMYFUNCTION("GOOGLETRANSLATE(C151, ""it"", ""en"")"),"A. Does the final score depend on? B. The number of rounds won C. The speed with which the number is called D. The correctness of the call")</f>
        <v>A. Does the final score depend on? B. The number of rounds won C. The speed with which the number is called D. The correctness of the call</v>
      </c>
      <c r="J151" s="3" t="str">
        <f>IFERROR(__xludf.DUMMYFUNCTION("GOOGLETRANSLATE(D151, ""it"", ""en"")"),"The position of the hands")</f>
        <v>The position of the hands</v>
      </c>
      <c r="K151" s="3" t="str">
        <f>IFERROR(__xludf.DUMMYFUNCTION("GOOGLETRANSLATE(E151, ""it"", ""en"")"),"The number of rounds won")</f>
        <v>The number of rounds won</v>
      </c>
      <c r="L151" s="2"/>
      <c r="M151" s="2"/>
      <c r="N151" s="2"/>
      <c r="O151" s="2"/>
      <c r="P151" s="2"/>
      <c r="Q151" s="2"/>
      <c r="R151" s="2"/>
      <c r="S151" s="2"/>
      <c r="T151" s="2"/>
      <c r="U151" s="2"/>
      <c r="V151" s="2"/>
      <c r="W151" s="2"/>
    </row>
    <row r="152">
      <c r="A152" s="2"/>
      <c r="B152" s="2"/>
      <c r="C152" s="2"/>
      <c r="D152" s="2"/>
      <c r="E152" s="2"/>
      <c r="F152" s="2"/>
      <c r="G152" s="2"/>
      <c r="H152" s="2"/>
      <c r="I152" s="2"/>
      <c r="J152" s="2"/>
      <c r="K152" s="2"/>
      <c r="L152" s="2"/>
      <c r="M152" s="2"/>
      <c r="N152" s="2"/>
      <c r="O152" s="2"/>
      <c r="P152" s="2"/>
      <c r="Q152" s="2"/>
      <c r="R152" s="2"/>
      <c r="S152" s="2"/>
      <c r="T152" s="2"/>
      <c r="U152" s="2"/>
      <c r="V152" s="2"/>
      <c r="W152" s="2"/>
    </row>
    <row r="153">
      <c r="A153" s="2"/>
      <c r="B153" s="2"/>
      <c r="C153" s="2"/>
      <c r="D153" s="2"/>
      <c r="E153" s="2"/>
      <c r="F153" s="2"/>
      <c r="G153" s="2"/>
      <c r="H153" s="2"/>
      <c r="I153" s="2"/>
      <c r="J153" s="2"/>
      <c r="K153" s="2"/>
      <c r="L153" s="2"/>
      <c r="M153" s="2"/>
      <c r="N153" s="2"/>
      <c r="O153" s="2"/>
      <c r="P153" s="2"/>
      <c r="Q153" s="2"/>
      <c r="R153" s="2"/>
      <c r="S153" s="2"/>
      <c r="T153" s="2"/>
      <c r="U153" s="2"/>
      <c r="V153" s="2"/>
      <c r="W153" s="2"/>
    </row>
    <row r="154">
      <c r="A154" s="2"/>
      <c r="B154" s="2"/>
      <c r="C154" s="2"/>
      <c r="D154" s="2"/>
      <c r="E154" s="2"/>
      <c r="F154" s="2"/>
      <c r="G154" s="2"/>
      <c r="H154" s="2"/>
      <c r="I154" s="2"/>
      <c r="J154" s="2"/>
      <c r="K154" s="2"/>
      <c r="L154" s="2"/>
      <c r="M154" s="2"/>
      <c r="N154" s="2"/>
      <c r="O154" s="2"/>
      <c r="P154" s="2"/>
      <c r="Q154" s="2"/>
      <c r="R154" s="2"/>
      <c r="S154" s="2"/>
      <c r="T154" s="2"/>
      <c r="U154" s="2"/>
      <c r="V154" s="2"/>
      <c r="W154" s="2"/>
    </row>
    <row r="155">
      <c r="A155" s="2"/>
      <c r="B155" s="2"/>
      <c r="C155" s="2"/>
      <c r="D155" s="2"/>
      <c r="E155" s="2"/>
      <c r="F155" s="2"/>
      <c r="G155" s="2"/>
      <c r="H155" s="2"/>
      <c r="I155" s="2"/>
      <c r="J155" s="2"/>
      <c r="K155" s="2"/>
      <c r="L155" s="2"/>
      <c r="M155" s="2"/>
      <c r="N155" s="2"/>
      <c r="O155" s="2"/>
      <c r="P155" s="2"/>
      <c r="Q155" s="2"/>
      <c r="R155" s="2"/>
      <c r="S155" s="2"/>
      <c r="T155" s="2"/>
      <c r="U155" s="2"/>
      <c r="V155" s="2"/>
      <c r="W155" s="2"/>
    </row>
    <row r="156">
      <c r="A156" s="2"/>
      <c r="B156" s="2"/>
      <c r="C156" s="2"/>
      <c r="D156" s="2"/>
      <c r="E156" s="2"/>
      <c r="F156" s="2"/>
      <c r="G156" s="2"/>
      <c r="H156" s="2"/>
      <c r="I156" s="2"/>
      <c r="J156" s="2"/>
      <c r="K156" s="2"/>
      <c r="L156" s="2"/>
      <c r="M156" s="2"/>
      <c r="N156" s="2"/>
      <c r="O156" s="2"/>
      <c r="P156" s="2"/>
      <c r="Q156" s="2"/>
      <c r="R156" s="2"/>
      <c r="S156" s="2"/>
      <c r="T156" s="2"/>
      <c r="U156" s="2"/>
      <c r="V156" s="2"/>
      <c r="W156" s="2"/>
    </row>
    <row r="157">
      <c r="A157" s="2"/>
      <c r="B157" s="2"/>
      <c r="C157" s="2"/>
      <c r="D157" s="2"/>
      <c r="E157" s="2"/>
      <c r="F157" s="2"/>
      <c r="G157" s="2"/>
      <c r="H157" s="2"/>
      <c r="I157" s="2"/>
      <c r="J157" s="2"/>
      <c r="K157" s="2"/>
      <c r="L157" s="2"/>
      <c r="M157" s="2"/>
      <c r="N157" s="2"/>
      <c r="O157" s="2"/>
      <c r="P157" s="2"/>
      <c r="Q157" s="2"/>
      <c r="R157" s="2"/>
      <c r="S157" s="2"/>
      <c r="T157" s="2"/>
      <c r="U157" s="2"/>
      <c r="V157" s="2"/>
      <c r="W157" s="2"/>
    </row>
    <row r="158">
      <c r="A158" s="2"/>
      <c r="B158" s="2"/>
      <c r="C158" s="2"/>
      <c r="D158" s="2"/>
      <c r="E158" s="2"/>
      <c r="F158" s="2"/>
      <c r="G158" s="2"/>
      <c r="H158" s="2"/>
      <c r="I158" s="2"/>
      <c r="J158" s="2"/>
      <c r="K158" s="2"/>
      <c r="L158" s="2"/>
      <c r="M158" s="2"/>
      <c r="N158" s="2"/>
      <c r="O158" s="2"/>
      <c r="P158" s="2"/>
      <c r="Q158" s="2"/>
      <c r="R158" s="2"/>
      <c r="S158" s="2"/>
      <c r="T158" s="2"/>
      <c r="U158" s="2"/>
      <c r="V158" s="2"/>
      <c r="W158" s="2"/>
    </row>
    <row r="159">
      <c r="A159" s="2"/>
      <c r="B159" s="2"/>
      <c r="C159" s="2"/>
      <c r="D159" s="2"/>
      <c r="E159" s="2"/>
      <c r="F159" s="2"/>
      <c r="G159" s="2"/>
      <c r="H159" s="2"/>
      <c r="I159" s="2"/>
      <c r="J159" s="2"/>
      <c r="K159" s="2"/>
      <c r="L159" s="2"/>
      <c r="M159" s="2"/>
      <c r="N159" s="2"/>
      <c r="O159" s="2"/>
      <c r="P159" s="2"/>
      <c r="Q159" s="2"/>
      <c r="R159" s="2"/>
      <c r="S159" s="2"/>
      <c r="T159" s="2"/>
      <c r="U159" s="2"/>
      <c r="V159" s="2"/>
      <c r="W159" s="2"/>
    </row>
    <row r="160">
      <c r="A160" s="2"/>
      <c r="B160" s="2"/>
      <c r="C160" s="2"/>
      <c r="D160" s="2"/>
      <c r="E160" s="2"/>
      <c r="F160" s="2"/>
      <c r="G160" s="2"/>
      <c r="H160" s="2"/>
      <c r="I160" s="2"/>
      <c r="J160" s="2"/>
      <c r="K160" s="2"/>
      <c r="L160" s="2"/>
      <c r="M160" s="2"/>
      <c r="N160" s="2"/>
      <c r="O160" s="2"/>
      <c r="P160" s="2"/>
      <c r="Q160" s="2"/>
      <c r="R160" s="2"/>
      <c r="S160" s="2"/>
      <c r="T160" s="2"/>
      <c r="U160" s="2"/>
      <c r="V160" s="2"/>
      <c r="W160" s="2"/>
    </row>
    <row r="161">
      <c r="A161" s="2"/>
      <c r="B161" s="2"/>
      <c r="C161" s="2"/>
      <c r="D161" s="2"/>
      <c r="E161" s="2"/>
      <c r="F161" s="2"/>
      <c r="G161" s="2"/>
      <c r="H161" s="2"/>
      <c r="I161" s="2"/>
      <c r="J161" s="2"/>
      <c r="K161" s="2"/>
      <c r="L161" s="2"/>
      <c r="M161" s="2"/>
      <c r="N161" s="2"/>
      <c r="O161" s="2"/>
      <c r="P161" s="2"/>
      <c r="Q161" s="2"/>
      <c r="R161" s="2"/>
      <c r="S161" s="2"/>
      <c r="T161" s="2"/>
      <c r="U161" s="2"/>
      <c r="V161" s="2"/>
      <c r="W161" s="2"/>
    </row>
    <row r="162">
      <c r="A162" s="2"/>
      <c r="B162" s="2"/>
      <c r="C162" s="2"/>
      <c r="D162" s="2"/>
      <c r="E162" s="2"/>
      <c r="F162" s="2"/>
      <c r="G162" s="2"/>
      <c r="H162" s="2"/>
      <c r="I162" s="2"/>
      <c r="J162" s="2"/>
      <c r="K162" s="2"/>
      <c r="L162" s="2"/>
      <c r="M162" s="2"/>
      <c r="N162" s="2"/>
      <c r="O162" s="2"/>
      <c r="P162" s="2"/>
      <c r="Q162" s="2"/>
      <c r="R162" s="2"/>
      <c r="S162" s="2"/>
      <c r="T162" s="2"/>
      <c r="U162" s="2"/>
      <c r="V162" s="2"/>
      <c r="W162" s="2"/>
    </row>
    <row r="163">
      <c r="A163" s="2"/>
      <c r="B163" s="2"/>
      <c r="C163" s="2"/>
      <c r="D163" s="2"/>
      <c r="E163" s="2"/>
      <c r="F163" s="2"/>
      <c r="G163" s="2"/>
      <c r="H163" s="2"/>
      <c r="I163" s="2"/>
      <c r="J163" s="2"/>
      <c r="K163" s="2"/>
      <c r="L163" s="2"/>
      <c r="M163" s="2"/>
      <c r="N163" s="2"/>
      <c r="O163" s="2"/>
      <c r="P163" s="2"/>
      <c r="Q163" s="2"/>
      <c r="R163" s="2"/>
      <c r="S163" s="2"/>
      <c r="T163" s="2"/>
      <c r="U163" s="2"/>
      <c r="V163" s="2"/>
      <c r="W163" s="2"/>
    </row>
    <row r="164">
      <c r="A164" s="2"/>
      <c r="B164" s="2"/>
      <c r="C164" s="2"/>
      <c r="D164" s="2"/>
      <c r="E164" s="2"/>
      <c r="F164" s="2"/>
      <c r="G164" s="2"/>
      <c r="H164" s="2"/>
      <c r="I164" s="2"/>
      <c r="J164" s="2"/>
      <c r="K164" s="2"/>
      <c r="L164" s="2"/>
      <c r="M164" s="2"/>
      <c r="N164" s="2"/>
      <c r="O164" s="2"/>
      <c r="P164" s="2"/>
      <c r="Q164" s="2"/>
      <c r="R164" s="2"/>
      <c r="S164" s="2"/>
      <c r="T164" s="2"/>
      <c r="U164" s="2"/>
      <c r="V164" s="2"/>
      <c r="W164" s="2"/>
    </row>
    <row r="165">
      <c r="A165" s="2"/>
      <c r="B165" s="2"/>
      <c r="C165" s="2"/>
      <c r="D165" s="2"/>
      <c r="E165" s="2"/>
      <c r="F165" s="2"/>
      <c r="G165" s="2"/>
      <c r="H165" s="2"/>
      <c r="I165" s="2"/>
      <c r="J165" s="2"/>
      <c r="K165" s="2"/>
      <c r="L165" s="2"/>
      <c r="M165" s="2"/>
      <c r="N165" s="2"/>
      <c r="O165" s="2"/>
      <c r="P165" s="2"/>
      <c r="Q165" s="2"/>
      <c r="R165" s="2"/>
      <c r="S165" s="2"/>
      <c r="T165" s="2"/>
      <c r="U165" s="2"/>
      <c r="V165" s="2"/>
      <c r="W165" s="2"/>
    </row>
    <row r="166">
      <c r="A166" s="2"/>
      <c r="B166" s="2"/>
      <c r="C166" s="2"/>
      <c r="D166" s="2"/>
      <c r="E166" s="2"/>
      <c r="F166" s="2"/>
      <c r="G166" s="2"/>
      <c r="H166" s="2"/>
      <c r="I166" s="2"/>
      <c r="J166" s="2"/>
      <c r="K166" s="2"/>
      <c r="L166" s="2"/>
      <c r="M166" s="2"/>
      <c r="N166" s="2"/>
      <c r="O166" s="2"/>
      <c r="P166" s="2"/>
      <c r="Q166" s="2"/>
      <c r="R166" s="2"/>
      <c r="S166" s="2"/>
      <c r="T166" s="2"/>
      <c r="U166" s="2"/>
      <c r="V166" s="2"/>
      <c r="W166" s="2"/>
    </row>
    <row r="167">
      <c r="A167" s="2"/>
      <c r="B167" s="2"/>
      <c r="C167" s="2"/>
      <c r="D167" s="2"/>
      <c r="E167" s="2"/>
      <c r="F167" s="2"/>
      <c r="G167" s="2"/>
      <c r="H167" s="2"/>
      <c r="I167" s="2"/>
      <c r="J167" s="2"/>
      <c r="K167" s="2"/>
      <c r="L167" s="2"/>
      <c r="M167" s="2"/>
      <c r="N167" s="2"/>
      <c r="O167" s="2"/>
      <c r="P167" s="2"/>
      <c r="Q167" s="2"/>
      <c r="R167" s="2"/>
      <c r="S167" s="2"/>
      <c r="T167" s="2"/>
      <c r="U167" s="2"/>
      <c r="V167" s="2"/>
      <c r="W167" s="2"/>
    </row>
    <row r="168">
      <c r="A168" s="2"/>
      <c r="B168" s="2"/>
      <c r="C168" s="2"/>
      <c r="D168" s="2"/>
      <c r="E168" s="2"/>
      <c r="F168" s="2"/>
      <c r="G168" s="2"/>
      <c r="H168" s="2"/>
      <c r="I168" s="2"/>
      <c r="J168" s="2"/>
      <c r="K168" s="2"/>
      <c r="L168" s="2"/>
      <c r="M168" s="2"/>
      <c r="N168" s="2"/>
      <c r="O168" s="2"/>
      <c r="P168" s="2"/>
      <c r="Q168" s="2"/>
      <c r="R168" s="2"/>
      <c r="S168" s="2"/>
      <c r="T168" s="2"/>
      <c r="U168" s="2"/>
      <c r="V168" s="2"/>
      <c r="W168" s="2"/>
    </row>
    <row r="169">
      <c r="A169" s="2"/>
      <c r="B169" s="2"/>
      <c r="C169" s="2"/>
      <c r="D169" s="2"/>
      <c r="E169" s="2"/>
      <c r="F169" s="2"/>
      <c r="G169" s="2"/>
      <c r="H169" s="2"/>
      <c r="I169" s="2"/>
      <c r="J169" s="2"/>
      <c r="K169" s="2"/>
      <c r="L169" s="2"/>
      <c r="M169" s="2"/>
      <c r="N169" s="2"/>
      <c r="O169" s="2"/>
      <c r="P169" s="2"/>
      <c r="Q169" s="2"/>
      <c r="R169" s="2"/>
      <c r="S169" s="2"/>
      <c r="T169" s="2"/>
      <c r="U169" s="2"/>
      <c r="V169" s="2"/>
      <c r="W169" s="2"/>
    </row>
    <row r="170">
      <c r="A170" s="2"/>
      <c r="B170" s="2"/>
      <c r="C170" s="2"/>
      <c r="D170" s="2"/>
      <c r="E170" s="2"/>
      <c r="F170" s="2"/>
      <c r="G170" s="2"/>
      <c r="H170" s="2"/>
      <c r="I170" s="2"/>
      <c r="J170" s="2"/>
      <c r="K170" s="2"/>
      <c r="L170" s="2"/>
      <c r="M170" s="2"/>
      <c r="N170" s="2"/>
      <c r="O170" s="2"/>
      <c r="P170" s="2"/>
      <c r="Q170" s="2"/>
      <c r="R170" s="2"/>
      <c r="S170" s="2"/>
      <c r="T170" s="2"/>
      <c r="U170" s="2"/>
      <c r="V170" s="2"/>
      <c r="W170" s="2"/>
    </row>
    <row r="171">
      <c r="A171" s="2"/>
      <c r="B171" s="2"/>
      <c r="C171" s="2"/>
      <c r="D171" s="2"/>
      <c r="E171" s="2"/>
      <c r="F171" s="2"/>
      <c r="G171" s="2"/>
      <c r="H171" s="2"/>
      <c r="I171" s="2"/>
      <c r="J171" s="2"/>
      <c r="K171" s="2"/>
      <c r="L171" s="2"/>
      <c r="M171" s="2"/>
      <c r="N171" s="2"/>
      <c r="O171" s="2"/>
      <c r="P171" s="2"/>
      <c r="Q171" s="2"/>
      <c r="R171" s="2"/>
      <c r="S171" s="2"/>
      <c r="T171" s="2"/>
      <c r="U171" s="2"/>
      <c r="V171" s="2"/>
      <c r="W171" s="2"/>
    </row>
    <row r="172">
      <c r="A172" s="2"/>
      <c r="B172" s="2"/>
      <c r="C172" s="2"/>
      <c r="D172" s="2"/>
      <c r="E172" s="2"/>
      <c r="F172" s="2"/>
      <c r="G172" s="2"/>
      <c r="H172" s="2"/>
      <c r="I172" s="2"/>
      <c r="J172" s="2"/>
      <c r="K172" s="2"/>
      <c r="L172" s="2"/>
      <c r="M172" s="2"/>
      <c r="N172" s="2"/>
      <c r="O172" s="2"/>
      <c r="P172" s="2"/>
      <c r="Q172" s="2"/>
      <c r="R172" s="2"/>
      <c r="S172" s="2"/>
      <c r="T172" s="2"/>
      <c r="U172" s="2"/>
      <c r="V172" s="2"/>
      <c r="W172" s="2"/>
    </row>
    <row r="173">
      <c r="A173" s="2"/>
      <c r="B173" s="2"/>
      <c r="C173" s="2"/>
      <c r="D173" s="2"/>
      <c r="E173" s="2"/>
      <c r="F173" s="2"/>
      <c r="G173" s="2"/>
      <c r="H173" s="2"/>
      <c r="I173" s="2"/>
      <c r="J173" s="2"/>
      <c r="K173" s="2"/>
      <c r="L173" s="2"/>
      <c r="M173" s="2"/>
      <c r="N173" s="2"/>
      <c r="O173" s="2"/>
      <c r="P173" s="2"/>
      <c r="Q173" s="2"/>
      <c r="R173" s="2"/>
      <c r="S173" s="2"/>
      <c r="T173" s="2"/>
      <c r="U173" s="2"/>
      <c r="V173" s="2"/>
      <c r="W173" s="2"/>
    </row>
    <row r="174">
      <c r="A174" s="2"/>
      <c r="B174" s="2"/>
      <c r="C174" s="2"/>
      <c r="D174" s="2"/>
      <c r="E174" s="2"/>
      <c r="F174" s="2"/>
      <c r="G174" s="2"/>
      <c r="H174" s="2"/>
      <c r="I174" s="2"/>
      <c r="J174" s="2"/>
      <c r="K174" s="2"/>
      <c r="L174" s="2"/>
      <c r="M174" s="2"/>
      <c r="N174" s="2"/>
      <c r="O174" s="2"/>
      <c r="P174" s="2"/>
      <c r="Q174" s="2"/>
      <c r="R174" s="2"/>
      <c r="S174" s="2"/>
      <c r="T174" s="2"/>
      <c r="U174" s="2"/>
      <c r="V174" s="2"/>
      <c r="W174" s="2"/>
    </row>
    <row r="175">
      <c r="A175" s="2"/>
      <c r="B175" s="2"/>
      <c r="C175" s="2"/>
      <c r="D175" s="2"/>
      <c r="E175" s="2"/>
      <c r="F175" s="2"/>
      <c r="G175" s="2"/>
      <c r="H175" s="2"/>
      <c r="I175" s="2"/>
      <c r="J175" s="2"/>
      <c r="K175" s="2"/>
      <c r="L175" s="2"/>
      <c r="M175" s="2"/>
      <c r="N175" s="2"/>
      <c r="O175" s="2"/>
      <c r="P175" s="2"/>
      <c r="Q175" s="2"/>
      <c r="R175" s="2"/>
      <c r="S175" s="2"/>
      <c r="T175" s="2"/>
      <c r="U175" s="2"/>
      <c r="V175" s="2"/>
      <c r="W175" s="2"/>
    </row>
    <row r="176">
      <c r="A176" s="2"/>
      <c r="B176" s="2"/>
      <c r="C176" s="2"/>
      <c r="D176" s="2"/>
      <c r="E176" s="2"/>
      <c r="F176" s="2"/>
      <c r="G176" s="2"/>
      <c r="H176" s="2"/>
      <c r="I176" s="2"/>
      <c r="J176" s="2"/>
      <c r="K176" s="2"/>
      <c r="L176" s="2"/>
      <c r="M176" s="2"/>
      <c r="N176" s="2"/>
      <c r="O176" s="2"/>
      <c r="P176" s="2"/>
      <c r="Q176" s="2"/>
      <c r="R176" s="2"/>
      <c r="S176" s="2"/>
      <c r="T176" s="2"/>
      <c r="U176" s="2"/>
      <c r="V176" s="2"/>
      <c r="W176" s="2"/>
    </row>
    <row r="177">
      <c r="A177" s="2"/>
      <c r="B177" s="2"/>
      <c r="C177" s="2"/>
      <c r="D177" s="2"/>
      <c r="E177" s="2"/>
      <c r="F177" s="2"/>
      <c r="G177" s="2"/>
      <c r="H177" s="2"/>
      <c r="I177" s="2"/>
      <c r="J177" s="2"/>
      <c r="K177" s="2"/>
      <c r="L177" s="2"/>
      <c r="M177" s="2"/>
      <c r="N177" s="2"/>
      <c r="O177" s="2"/>
      <c r="P177" s="2"/>
      <c r="Q177" s="2"/>
      <c r="R177" s="2"/>
      <c r="S177" s="2"/>
      <c r="T177" s="2"/>
      <c r="U177" s="2"/>
      <c r="V177" s="2"/>
      <c r="W177" s="2"/>
    </row>
    <row r="178">
      <c r="A178" s="2"/>
      <c r="B178" s="2"/>
      <c r="C178" s="2"/>
      <c r="D178" s="2"/>
      <c r="E178" s="2"/>
      <c r="F178" s="2"/>
      <c r="G178" s="2"/>
      <c r="H178" s="2"/>
      <c r="I178" s="2"/>
      <c r="J178" s="2"/>
      <c r="K178" s="2"/>
      <c r="L178" s="2"/>
      <c r="M178" s="2"/>
      <c r="N178" s="2"/>
      <c r="O178" s="2"/>
      <c r="P178" s="2"/>
      <c r="Q178" s="2"/>
      <c r="R178" s="2"/>
      <c r="S178" s="2"/>
      <c r="T178" s="2"/>
      <c r="U178" s="2"/>
      <c r="V178" s="2"/>
      <c r="W178" s="2"/>
    </row>
    <row r="179">
      <c r="A179" s="2"/>
      <c r="B179" s="2"/>
      <c r="C179" s="2"/>
      <c r="D179" s="2"/>
      <c r="E179" s="2"/>
      <c r="F179" s="2"/>
      <c r="G179" s="2"/>
      <c r="H179" s="2"/>
      <c r="I179" s="2"/>
      <c r="J179" s="2"/>
      <c r="K179" s="2"/>
      <c r="L179" s="2"/>
      <c r="M179" s="2"/>
      <c r="N179" s="2"/>
      <c r="O179" s="2"/>
      <c r="P179" s="2"/>
      <c r="Q179" s="2"/>
      <c r="R179" s="2"/>
      <c r="S179" s="2"/>
      <c r="T179" s="2"/>
      <c r="U179" s="2"/>
      <c r="V179" s="2"/>
      <c r="W179" s="2"/>
    </row>
    <row r="180">
      <c r="A180" s="2"/>
      <c r="B180" s="2"/>
      <c r="C180" s="2"/>
      <c r="D180" s="2"/>
      <c r="E180" s="2"/>
      <c r="F180" s="2"/>
      <c r="G180" s="2"/>
      <c r="H180" s="2"/>
      <c r="I180" s="2"/>
      <c r="J180" s="2"/>
      <c r="K180" s="2"/>
      <c r="L180" s="2"/>
      <c r="M180" s="2"/>
      <c r="N180" s="2"/>
      <c r="O180" s="2"/>
      <c r="P180" s="2"/>
      <c r="Q180" s="2"/>
      <c r="R180" s="2"/>
      <c r="S180" s="2"/>
      <c r="T180" s="2"/>
      <c r="U180" s="2"/>
      <c r="V180" s="2"/>
      <c r="W180" s="2"/>
    </row>
    <row r="181">
      <c r="A181" s="2"/>
      <c r="B181" s="2"/>
      <c r="C181" s="2"/>
      <c r="D181" s="2"/>
      <c r="E181" s="2"/>
      <c r="F181" s="2"/>
      <c r="G181" s="2"/>
      <c r="H181" s="2"/>
      <c r="I181" s="2"/>
      <c r="J181" s="2"/>
      <c r="K181" s="2"/>
      <c r="L181" s="2"/>
      <c r="M181" s="2"/>
      <c r="N181" s="2"/>
      <c r="O181" s="2"/>
      <c r="P181" s="2"/>
      <c r="Q181" s="2"/>
      <c r="R181" s="2"/>
      <c r="S181" s="2"/>
      <c r="T181" s="2"/>
      <c r="U181" s="2"/>
      <c r="V181" s="2"/>
      <c r="W181" s="2"/>
    </row>
    <row r="182">
      <c r="A182" s="2"/>
      <c r="B182" s="2"/>
      <c r="C182" s="2"/>
      <c r="D182" s="2"/>
      <c r="E182" s="2"/>
      <c r="F182" s="2"/>
      <c r="G182" s="2"/>
      <c r="H182" s="2"/>
      <c r="I182" s="2"/>
      <c r="J182" s="2"/>
      <c r="K182" s="2"/>
      <c r="L182" s="2"/>
      <c r="M182" s="2"/>
      <c r="N182" s="2"/>
      <c r="O182" s="2"/>
      <c r="P182" s="2"/>
      <c r="Q182" s="2"/>
      <c r="R182" s="2"/>
      <c r="S182" s="2"/>
      <c r="T182" s="2"/>
      <c r="U182" s="2"/>
      <c r="V182" s="2"/>
      <c r="W182" s="2"/>
    </row>
    <row r="183">
      <c r="A183" s="2"/>
      <c r="B183" s="2"/>
      <c r="C183" s="2"/>
      <c r="D183" s="2"/>
      <c r="E183" s="2"/>
      <c r="F183" s="2"/>
      <c r="G183" s="2"/>
      <c r="H183" s="2"/>
      <c r="I183" s="2"/>
      <c r="J183" s="2"/>
      <c r="K183" s="2"/>
      <c r="L183" s="2"/>
      <c r="M183" s="2"/>
      <c r="N183" s="2"/>
      <c r="O183" s="2"/>
      <c r="P183" s="2"/>
      <c r="Q183" s="2"/>
      <c r="R183" s="2"/>
      <c r="S183" s="2"/>
      <c r="T183" s="2"/>
      <c r="U183" s="2"/>
      <c r="V183" s="2"/>
      <c r="W183" s="2"/>
    </row>
    <row r="184">
      <c r="A184" s="2"/>
      <c r="B184" s="2"/>
      <c r="C184" s="2"/>
      <c r="D184" s="2"/>
      <c r="E184" s="2"/>
      <c r="F184" s="2"/>
      <c r="G184" s="2"/>
      <c r="H184" s="2"/>
      <c r="I184" s="2"/>
      <c r="J184" s="2"/>
      <c r="K184" s="2"/>
      <c r="L184" s="2"/>
      <c r="M184" s="2"/>
      <c r="N184" s="2"/>
      <c r="O184" s="2"/>
      <c r="P184" s="2"/>
      <c r="Q184" s="2"/>
      <c r="R184" s="2"/>
      <c r="S184" s="2"/>
      <c r="T184" s="2"/>
      <c r="U184" s="2"/>
      <c r="V184" s="2"/>
      <c r="W184" s="2"/>
    </row>
    <row r="185">
      <c r="A185" s="2"/>
      <c r="B185" s="2"/>
      <c r="C185" s="2"/>
      <c r="D185" s="2"/>
      <c r="E185" s="2"/>
      <c r="F185" s="2"/>
      <c r="G185" s="2"/>
      <c r="H185" s="2"/>
      <c r="I185" s="2"/>
      <c r="J185" s="2"/>
      <c r="K185" s="2"/>
      <c r="L185" s="2"/>
      <c r="M185" s="2"/>
      <c r="N185" s="2"/>
      <c r="O185" s="2"/>
      <c r="P185" s="2"/>
      <c r="Q185" s="2"/>
      <c r="R185" s="2"/>
      <c r="S185" s="2"/>
      <c r="T185" s="2"/>
      <c r="U185" s="2"/>
      <c r="V185" s="2"/>
      <c r="W185" s="2"/>
    </row>
    <row r="186">
      <c r="A186" s="2"/>
      <c r="B186" s="2"/>
      <c r="C186" s="2"/>
      <c r="D186" s="2"/>
      <c r="E186" s="2"/>
      <c r="F186" s="2"/>
      <c r="G186" s="2"/>
      <c r="H186" s="2"/>
      <c r="I186" s="2"/>
      <c r="J186" s="2"/>
      <c r="K186" s="2"/>
      <c r="L186" s="2"/>
      <c r="M186" s="2"/>
      <c r="N186" s="2"/>
      <c r="O186" s="2"/>
      <c r="P186" s="2"/>
      <c r="Q186" s="2"/>
      <c r="R186" s="2"/>
      <c r="S186" s="2"/>
      <c r="T186" s="2"/>
      <c r="U186" s="2"/>
      <c r="V186" s="2"/>
      <c r="W186" s="2"/>
    </row>
    <row r="187">
      <c r="A187" s="2"/>
      <c r="B187" s="2"/>
      <c r="C187" s="2"/>
      <c r="D187" s="2"/>
      <c r="E187" s="2"/>
      <c r="F187" s="2"/>
      <c r="G187" s="2"/>
      <c r="H187" s="2"/>
      <c r="I187" s="2"/>
      <c r="J187" s="2"/>
      <c r="K187" s="2"/>
      <c r="L187" s="2"/>
      <c r="M187" s="2"/>
      <c r="N187" s="2"/>
      <c r="O187" s="2"/>
      <c r="P187" s="2"/>
      <c r="Q187" s="2"/>
      <c r="R187" s="2"/>
      <c r="S187" s="2"/>
      <c r="T187" s="2"/>
      <c r="U187" s="2"/>
      <c r="V187" s="2"/>
      <c r="W187" s="2"/>
    </row>
    <row r="188">
      <c r="A188" s="2"/>
      <c r="B188" s="2"/>
      <c r="C188" s="2"/>
      <c r="D188" s="2"/>
      <c r="E188" s="2"/>
      <c r="F188" s="2"/>
      <c r="G188" s="2"/>
      <c r="H188" s="2"/>
      <c r="I188" s="2"/>
      <c r="J188" s="2"/>
      <c r="K188" s="2"/>
      <c r="L188" s="2"/>
      <c r="M188" s="2"/>
      <c r="N188" s="2"/>
      <c r="O188" s="2"/>
      <c r="P188" s="2"/>
      <c r="Q188" s="2"/>
      <c r="R188" s="2"/>
      <c r="S188" s="2"/>
      <c r="T188" s="2"/>
      <c r="U188" s="2"/>
      <c r="V188" s="2"/>
      <c r="W188" s="2"/>
    </row>
    <row r="189">
      <c r="A189" s="2"/>
      <c r="B189" s="2"/>
      <c r="C189" s="2"/>
      <c r="D189" s="2"/>
      <c r="E189" s="2"/>
      <c r="F189" s="2"/>
      <c r="G189" s="2"/>
      <c r="H189" s="2"/>
      <c r="I189" s="2"/>
      <c r="J189" s="2"/>
      <c r="K189" s="2"/>
      <c r="L189" s="2"/>
      <c r="M189" s="2"/>
      <c r="N189" s="2"/>
      <c r="O189" s="2"/>
      <c r="P189" s="2"/>
      <c r="Q189" s="2"/>
      <c r="R189" s="2"/>
      <c r="S189" s="2"/>
      <c r="T189" s="2"/>
      <c r="U189" s="2"/>
      <c r="V189" s="2"/>
      <c r="W189" s="2"/>
    </row>
    <row r="190">
      <c r="A190" s="2"/>
      <c r="B190" s="2"/>
      <c r="C190" s="2"/>
      <c r="D190" s="2"/>
      <c r="E190" s="2"/>
      <c r="F190" s="2"/>
      <c r="G190" s="2"/>
      <c r="H190" s="2"/>
      <c r="I190" s="2"/>
      <c r="J190" s="2"/>
      <c r="K190" s="2"/>
      <c r="L190" s="2"/>
      <c r="M190" s="2"/>
      <c r="N190" s="2"/>
      <c r="O190" s="2"/>
      <c r="P190" s="2"/>
      <c r="Q190" s="2"/>
      <c r="R190" s="2"/>
      <c r="S190" s="2"/>
      <c r="T190" s="2"/>
      <c r="U190" s="2"/>
      <c r="V190" s="2"/>
      <c r="W190" s="2"/>
    </row>
    <row r="191">
      <c r="A191" s="2"/>
      <c r="B191" s="2"/>
      <c r="C191" s="2"/>
      <c r="D191" s="2"/>
      <c r="E191" s="2"/>
      <c r="F191" s="2"/>
      <c r="G191" s="2"/>
      <c r="H191" s="2"/>
      <c r="I191" s="2"/>
      <c r="J191" s="2"/>
      <c r="K191" s="2"/>
      <c r="L191" s="2"/>
      <c r="M191" s="2"/>
      <c r="N191" s="2"/>
      <c r="O191" s="2"/>
      <c r="P191" s="2"/>
      <c r="Q191" s="2"/>
      <c r="R191" s="2"/>
      <c r="S191" s="2"/>
      <c r="T191" s="2"/>
      <c r="U191" s="2"/>
      <c r="V191" s="2"/>
      <c r="W191" s="2"/>
    </row>
    <row r="192">
      <c r="A192" s="2"/>
      <c r="B192" s="2"/>
      <c r="C192" s="2"/>
      <c r="D192" s="2"/>
      <c r="E192" s="2"/>
      <c r="F192" s="2"/>
      <c r="G192" s="2"/>
      <c r="H192" s="2"/>
      <c r="I192" s="2"/>
      <c r="J192" s="2"/>
      <c r="K192" s="2"/>
      <c r="L192" s="2"/>
      <c r="M192" s="2"/>
      <c r="N192" s="2"/>
      <c r="O192" s="2"/>
      <c r="P192" s="2"/>
      <c r="Q192" s="2"/>
      <c r="R192" s="2"/>
      <c r="S192" s="2"/>
      <c r="T192" s="2"/>
      <c r="U192" s="2"/>
      <c r="V192" s="2"/>
      <c r="W192" s="2"/>
    </row>
    <row r="193">
      <c r="A193" s="2"/>
      <c r="B193" s="2"/>
      <c r="C193" s="2"/>
      <c r="D193" s="2"/>
      <c r="E193" s="2"/>
      <c r="F193" s="2"/>
      <c r="G193" s="2"/>
      <c r="H193" s="2"/>
      <c r="I193" s="2"/>
      <c r="J193" s="2"/>
      <c r="K193" s="2"/>
      <c r="L193" s="2"/>
      <c r="M193" s="2"/>
      <c r="N193" s="2"/>
      <c r="O193" s="2"/>
      <c r="P193" s="2"/>
      <c r="Q193" s="2"/>
      <c r="R193" s="2"/>
      <c r="S193" s="2"/>
      <c r="T193" s="2"/>
      <c r="U193" s="2"/>
      <c r="V193" s="2"/>
      <c r="W193" s="2"/>
    </row>
    <row r="194">
      <c r="A194" s="2"/>
      <c r="B194" s="2"/>
      <c r="C194" s="2"/>
      <c r="D194" s="2"/>
      <c r="E194" s="2"/>
      <c r="F194" s="2"/>
      <c r="G194" s="2"/>
      <c r="H194" s="2"/>
      <c r="I194" s="2"/>
      <c r="J194" s="2"/>
      <c r="K194" s="2"/>
      <c r="L194" s="2"/>
      <c r="M194" s="2"/>
      <c r="N194" s="2"/>
      <c r="O194" s="2"/>
      <c r="P194" s="2"/>
      <c r="Q194" s="2"/>
      <c r="R194" s="2"/>
      <c r="S194" s="2"/>
      <c r="T194" s="2"/>
      <c r="U194" s="2"/>
      <c r="V194" s="2"/>
      <c r="W194" s="2"/>
    </row>
    <row r="195">
      <c r="A195" s="2"/>
      <c r="B195" s="2"/>
      <c r="C195" s="2"/>
      <c r="D195" s="2"/>
      <c r="E195" s="2"/>
      <c r="F195" s="2"/>
      <c r="G195" s="2"/>
      <c r="H195" s="2"/>
      <c r="I195" s="2"/>
      <c r="J195" s="2"/>
      <c r="K195" s="2"/>
      <c r="L195" s="2"/>
      <c r="M195" s="2"/>
      <c r="N195" s="2"/>
      <c r="O195" s="2"/>
      <c r="P195" s="2"/>
      <c r="Q195" s="2"/>
      <c r="R195" s="2"/>
      <c r="S195" s="2"/>
      <c r="T195" s="2"/>
      <c r="U195" s="2"/>
      <c r="V195" s="2"/>
      <c r="W195" s="2"/>
    </row>
    <row r="196">
      <c r="A196" s="2"/>
      <c r="B196" s="2"/>
      <c r="C196" s="2"/>
      <c r="D196" s="2"/>
      <c r="E196" s="2"/>
      <c r="F196" s="2"/>
      <c r="G196" s="2"/>
      <c r="H196" s="2"/>
      <c r="I196" s="2"/>
      <c r="J196" s="2"/>
      <c r="K196" s="2"/>
      <c r="L196" s="2"/>
      <c r="M196" s="2"/>
      <c r="N196" s="2"/>
      <c r="O196" s="2"/>
      <c r="P196" s="2"/>
      <c r="Q196" s="2"/>
      <c r="R196" s="2"/>
      <c r="S196" s="2"/>
      <c r="T196" s="2"/>
      <c r="U196" s="2"/>
      <c r="V196" s="2"/>
      <c r="W196" s="2"/>
    </row>
    <row r="197">
      <c r="A197" s="2"/>
      <c r="B197" s="2"/>
      <c r="C197" s="2"/>
      <c r="D197" s="2"/>
      <c r="E197" s="2"/>
      <c r="F197" s="2"/>
      <c r="G197" s="2"/>
      <c r="H197" s="2"/>
      <c r="I197" s="2"/>
      <c r="J197" s="2"/>
      <c r="K197" s="2"/>
      <c r="L197" s="2"/>
      <c r="M197" s="2"/>
      <c r="N197" s="2"/>
      <c r="O197" s="2"/>
      <c r="P197" s="2"/>
      <c r="Q197" s="2"/>
      <c r="R197" s="2"/>
      <c r="S197" s="2"/>
      <c r="T197" s="2"/>
      <c r="U197" s="2"/>
      <c r="V197" s="2"/>
      <c r="W197" s="2"/>
    </row>
    <row r="198">
      <c r="A198" s="2"/>
      <c r="B198" s="2"/>
      <c r="C198" s="2"/>
      <c r="D198" s="2"/>
      <c r="E198" s="2"/>
      <c r="F198" s="2"/>
      <c r="G198" s="2"/>
      <c r="H198" s="2"/>
      <c r="I198" s="2"/>
      <c r="J198" s="2"/>
      <c r="K198" s="2"/>
      <c r="L198" s="2"/>
      <c r="M198" s="2"/>
      <c r="N198" s="2"/>
      <c r="O198" s="2"/>
      <c r="P198" s="2"/>
      <c r="Q198" s="2"/>
      <c r="R198" s="2"/>
      <c r="S198" s="2"/>
      <c r="T198" s="2"/>
      <c r="U198" s="2"/>
      <c r="V198" s="2"/>
      <c r="W198" s="2"/>
    </row>
    <row r="199">
      <c r="A199" s="2"/>
      <c r="B199" s="2"/>
      <c r="C199" s="2"/>
      <c r="D199" s="2"/>
      <c r="E199" s="2"/>
      <c r="F199" s="2"/>
      <c r="G199" s="2"/>
      <c r="H199" s="2"/>
      <c r="I199" s="2"/>
      <c r="J199" s="2"/>
      <c r="K199" s="2"/>
      <c r="L199" s="2"/>
      <c r="M199" s="2"/>
      <c r="N199" s="2"/>
      <c r="O199" s="2"/>
      <c r="P199" s="2"/>
      <c r="Q199" s="2"/>
      <c r="R199" s="2"/>
      <c r="S199" s="2"/>
      <c r="T199" s="2"/>
      <c r="U199" s="2"/>
      <c r="V199" s="2"/>
      <c r="W199" s="2"/>
    </row>
    <row r="200">
      <c r="A200" s="2"/>
      <c r="B200" s="2"/>
      <c r="C200" s="2"/>
      <c r="D200" s="2"/>
      <c r="E200" s="2"/>
      <c r="F200" s="2"/>
      <c r="G200" s="2"/>
      <c r="H200" s="2"/>
      <c r="I200" s="2"/>
      <c r="J200" s="2"/>
      <c r="K200" s="2"/>
      <c r="L200" s="2"/>
      <c r="M200" s="2"/>
      <c r="N200" s="2"/>
      <c r="O200" s="2"/>
      <c r="P200" s="2"/>
      <c r="Q200" s="2"/>
      <c r="R200" s="2"/>
      <c r="S200" s="2"/>
      <c r="T200" s="2"/>
      <c r="U200" s="2"/>
      <c r="V200" s="2"/>
      <c r="W200" s="2"/>
    </row>
    <row r="201">
      <c r="A201" s="2"/>
      <c r="B201" s="2"/>
      <c r="C201" s="2"/>
      <c r="D201" s="2"/>
      <c r="E201" s="2"/>
      <c r="F201" s="2"/>
      <c r="G201" s="2"/>
      <c r="H201" s="2"/>
      <c r="I201" s="2"/>
      <c r="J201" s="2"/>
      <c r="K201" s="2"/>
      <c r="L201" s="2"/>
      <c r="M201" s="2"/>
      <c r="N201" s="2"/>
      <c r="O201" s="2"/>
      <c r="P201" s="2"/>
      <c r="Q201" s="2"/>
      <c r="R201" s="2"/>
      <c r="S201" s="2"/>
      <c r="T201" s="2"/>
      <c r="U201" s="2"/>
      <c r="V201" s="2"/>
      <c r="W201" s="2"/>
    </row>
    <row r="202">
      <c r="A202" s="2"/>
      <c r="B202" s="2"/>
      <c r="C202" s="2"/>
      <c r="D202" s="2"/>
      <c r="E202" s="2"/>
      <c r="F202" s="2"/>
      <c r="G202" s="2"/>
      <c r="H202" s="2"/>
      <c r="I202" s="2"/>
      <c r="J202" s="2"/>
      <c r="K202" s="2"/>
      <c r="L202" s="2"/>
      <c r="M202" s="2"/>
      <c r="N202" s="2"/>
      <c r="O202" s="2"/>
      <c r="P202" s="2"/>
      <c r="Q202" s="2"/>
      <c r="R202" s="2"/>
      <c r="S202" s="2"/>
      <c r="T202" s="2"/>
      <c r="U202" s="2"/>
      <c r="V202" s="2"/>
      <c r="W202" s="2"/>
    </row>
    <row r="203">
      <c r="A203" s="2"/>
      <c r="B203" s="2"/>
      <c r="C203" s="2"/>
      <c r="D203" s="2"/>
      <c r="E203" s="2"/>
      <c r="F203" s="2"/>
      <c r="G203" s="2"/>
      <c r="H203" s="2"/>
      <c r="I203" s="2"/>
      <c r="J203" s="2"/>
      <c r="K203" s="2"/>
      <c r="L203" s="2"/>
      <c r="M203" s="2"/>
      <c r="N203" s="2"/>
      <c r="O203" s="2"/>
      <c r="P203" s="2"/>
      <c r="Q203" s="2"/>
      <c r="R203" s="2"/>
      <c r="S203" s="2"/>
      <c r="T203" s="2"/>
      <c r="U203" s="2"/>
      <c r="V203" s="2"/>
      <c r="W203" s="2"/>
    </row>
    <row r="204">
      <c r="A204" s="2"/>
      <c r="B204" s="2"/>
      <c r="C204" s="2"/>
      <c r="D204" s="2"/>
      <c r="E204" s="2"/>
      <c r="F204" s="2"/>
      <c r="G204" s="2"/>
      <c r="H204" s="2"/>
      <c r="I204" s="2"/>
      <c r="J204" s="2"/>
      <c r="K204" s="2"/>
      <c r="L204" s="2"/>
      <c r="M204" s="2"/>
      <c r="N204" s="2"/>
      <c r="O204" s="2"/>
      <c r="P204" s="2"/>
      <c r="Q204" s="2"/>
      <c r="R204" s="2"/>
      <c r="S204" s="2"/>
      <c r="T204" s="2"/>
      <c r="U204" s="2"/>
      <c r="V204" s="2"/>
      <c r="W204" s="2"/>
    </row>
    <row r="205">
      <c r="A205" s="2"/>
      <c r="B205" s="2"/>
      <c r="C205" s="2"/>
      <c r="D205" s="2"/>
      <c r="E205" s="2"/>
      <c r="F205" s="2"/>
      <c r="G205" s="2"/>
      <c r="H205" s="2"/>
      <c r="I205" s="2"/>
      <c r="J205" s="2"/>
      <c r="K205" s="2"/>
      <c r="L205" s="2"/>
      <c r="M205" s="2"/>
      <c r="N205" s="2"/>
      <c r="O205" s="2"/>
      <c r="P205" s="2"/>
      <c r="Q205" s="2"/>
      <c r="R205" s="2"/>
      <c r="S205" s="2"/>
      <c r="T205" s="2"/>
      <c r="U205" s="2"/>
      <c r="V205" s="2"/>
      <c r="W205" s="2"/>
    </row>
    <row r="206">
      <c r="A206" s="2"/>
      <c r="B206" s="2"/>
      <c r="C206" s="2"/>
      <c r="D206" s="2"/>
      <c r="E206" s="2"/>
      <c r="F206" s="2"/>
      <c r="G206" s="2"/>
      <c r="H206" s="2"/>
      <c r="I206" s="2"/>
      <c r="J206" s="2"/>
      <c r="K206" s="2"/>
      <c r="L206" s="2"/>
      <c r="M206" s="2"/>
      <c r="N206" s="2"/>
      <c r="O206" s="2"/>
      <c r="P206" s="2"/>
      <c r="Q206" s="2"/>
      <c r="R206" s="2"/>
      <c r="S206" s="2"/>
      <c r="T206" s="2"/>
      <c r="U206" s="2"/>
      <c r="V206" s="2"/>
      <c r="W206" s="2"/>
    </row>
    <row r="207">
      <c r="A207" s="2"/>
      <c r="B207" s="2"/>
      <c r="C207" s="2"/>
      <c r="D207" s="2"/>
      <c r="E207" s="2"/>
      <c r="F207" s="2"/>
      <c r="G207" s="2"/>
      <c r="H207" s="2"/>
      <c r="I207" s="2"/>
      <c r="J207" s="2"/>
      <c r="K207" s="2"/>
      <c r="L207" s="2"/>
      <c r="M207" s="2"/>
      <c r="N207" s="2"/>
      <c r="O207" s="2"/>
      <c r="P207" s="2"/>
      <c r="Q207" s="2"/>
      <c r="R207" s="2"/>
      <c r="S207" s="2"/>
      <c r="T207" s="2"/>
      <c r="U207" s="2"/>
      <c r="V207" s="2"/>
      <c r="W207" s="2"/>
    </row>
    <row r="208">
      <c r="A208" s="2"/>
      <c r="B208" s="2"/>
      <c r="C208" s="2"/>
      <c r="D208" s="2"/>
      <c r="E208" s="2"/>
      <c r="F208" s="2"/>
      <c r="G208" s="2"/>
      <c r="H208" s="2"/>
      <c r="I208" s="2"/>
      <c r="J208" s="2"/>
      <c r="K208" s="2"/>
      <c r="L208" s="2"/>
      <c r="M208" s="2"/>
      <c r="N208" s="2"/>
      <c r="O208" s="2"/>
      <c r="P208" s="2"/>
      <c r="Q208" s="2"/>
      <c r="R208" s="2"/>
      <c r="S208" s="2"/>
      <c r="T208" s="2"/>
      <c r="U208" s="2"/>
      <c r="V208" s="2"/>
      <c r="W208" s="2"/>
    </row>
    <row r="209">
      <c r="A209" s="2"/>
      <c r="B209" s="2"/>
      <c r="C209" s="2"/>
      <c r="D209" s="2"/>
      <c r="E209" s="2"/>
      <c r="F209" s="2"/>
      <c r="G209" s="2"/>
      <c r="H209" s="2"/>
      <c r="I209" s="2"/>
      <c r="J209" s="2"/>
      <c r="K209" s="2"/>
      <c r="L209" s="2"/>
      <c r="M209" s="2"/>
      <c r="N209" s="2"/>
      <c r="O209" s="2"/>
      <c r="P209" s="2"/>
      <c r="Q209" s="2"/>
      <c r="R209" s="2"/>
      <c r="S209" s="2"/>
      <c r="T209" s="2"/>
      <c r="U209" s="2"/>
      <c r="V209" s="2"/>
      <c r="W209" s="2"/>
    </row>
    <row r="210">
      <c r="A210" s="2"/>
      <c r="B210" s="2"/>
      <c r="C210" s="2"/>
      <c r="D210" s="2"/>
      <c r="E210" s="2"/>
      <c r="F210" s="2"/>
      <c r="G210" s="2"/>
      <c r="H210" s="2"/>
      <c r="I210" s="2"/>
      <c r="J210" s="2"/>
      <c r="K210" s="2"/>
      <c r="L210" s="2"/>
      <c r="M210" s="2"/>
      <c r="N210" s="2"/>
      <c r="O210" s="2"/>
      <c r="P210" s="2"/>
      <c r="Q210" s="2"/>
      <c r="R210" s="2"/>
      <c r="S210" s="2"/>
      <c r="T210" s="2"/>
      <c r="U210" s="2"/>
      <c r="V210" s="2"/>
      <c r="W210" s="2"/>
    </row>
    <row r="211">
      <c r="A211" s="2"/>
      <c r="B211" s="2"/>
      <c r="C211" s="2"/>
      <c r="D211" s="2"/>
      <c r="E211" s="2"/>
      <c r="F211" s="2"/>
      <c r="G211" s="2"/>
      <c r="H211" s="2"/>
      <c r="I211" s="2"/>
      <c r="J211" s="2"/>
      <c r="K211" s="2"/>
      <c r="L211" s="2"/>
      <c r="M211" s="2"/>
      <c r="N211" s="2"/>
      <c r="O211" s="2"/>
      <c r="P211" s="2"/>
      <c r="Q211" s="2"/>
      <c r="R211" s="2"/>
      <c r="S211" s="2"/>
      <c r="T211" s="2"/>
      <c r="U211" s="2"/>
      <c r="V211" s="2"/>
      <c r="W211" s="2"/>
    </row>
    <row r="212">
      <c r="A212" s="2"/>
      <c r="B212" s="2"/>
      <c r="C212" s="2"/>
      <c r="D212" s="2"/>
      <c r="E212" s="2"/>
      <c r="F212" s="2"/>
      <c r="G212" s="2"/>
      <c r="H212" s="2"/>
      <c r="I212" s="2"/>
      <c r="J212" s="2"/>
      <c r="K212" s="2"/>
      <c r="L212" s="2"/>
      <c r="M212" s="2"/>
      <c r="N212" s="2"/>
      <c r="O212" s="2"/>
      <c r="P212" s="2"/>
      <c r="Q212" s="2"/>
      <c r="R212" s="2"/>
      <c r="S212" s="2"/>
      <c r="T212" s="2"/>
      <c r="U212" s="2"/>
      <c r="V212" s="2"/>
      <c r="W212" s="2"/>
    </row>
    <row r="213">
      <c r="A213" s="2"/>
      <c r="B213" s="2"/>
      <c r="C213" s="2"/>
      <c r="D213" s="2"/>
      <c r="E213" s="2"/>
      <c r="F213" s="2"/>
      <c r="G213" s="2"/>
      <c r="H213" s="2"/>
      <c r="I213" s="2"/>
      <c r="J213" s="2"/>
      <c r="K213" s="2"/>
      <c r="L213" s="2"/>
      <c r="M213" s="2"/>
      <c r="N213" s="2"/>
      <c r="O213" s="2"/>
      <c r="P213" s="2"/>
      <c r="Q213" s="2"/>
      <c r="R213" s="2"/>
      <c r="S213" s="2"/>
      <c r="T213" s="2"/>
      <c r="U213" s="2"/>
      <c r="V213" s="2"/>
      <c r="W213" s="2"/>
    </row>
    <row r="214">
      <c r="A214" s="2"/>
      <c r="B214" s="2"/>
      <c r="C214" s="2"/>
      <c r="D214" s="2"/>
      <c r="E214" s="2"/>
      <c r="F214" s="2"/>
      <c r="G214" s="2"/>
      <c r="H214" s="2"/>
      <c r="I214" s="2"/>
      <c r="J214" s="2"/>
      <c r="K214" s="2"/>
      <c r="L214" s="2"/>
      <c r="M214" s="2"/>
      <c r="N214" s="2"/>
      <c r="O214" s="2"/>
      <c r="P214" s="2"/>
      <c r="Q214" s="2"/>
      <c r="R214" s="2"/>
      <c r="S214" s="2"/>
      <c r="T214" s="2"/>
      <c r="U214" s="2"/>
      <c r="V214" s="2"/>
      <c r="W214" s="2"/>
    </row>
    <row r="215">
      <c r="A215" s="2"/>
      <c r="B215" s="2"/>
      <c r="C215" s="2"/>
      <c r="D215" s="2"/>
      <c r="E215" s="2"/>
      <c r="F215" s="2"/>
      <c r="G215" s="2"/>
      <c r="H215" s="2"/>
      <c r="I215" s="2"/>
      <c r="J215" s="2"/>
      <c r="K215" s="2"/>
      <c r="L215" s="2"/>
      <c r="M215" s="2"/>
      <c r="N215" s="2"/>
      <c r="O215" s="2"/>
      <c r="P215" s="2"/>
      <c r="Q215" s="2"/>
      <c r="R215" s="2"/>
      <c r="S215" s="2"/>
      <c r="T215" s="2"/>
      <c r="U215" s="2"/>
      <c r="V215" s="2"/>
      <c r="W215" s="2"/>
    </row>
    <row r="216">
      <c r="A216" s="2"/>
      <c r="B216" s="2"/>
      <c r="C216" s="2"/>
      <c r="D216" s="2"/>
      <c r="E216" s="2"/>
      <c r="F216" s="2"/>
      <c r="G216" s="2"/>
      <c r="H216" s="2"/>
      <c r="I216" s="2"/>
      <c r="J216" s="2"/>
      <c r="K216" s="2"/>
      <c r="L216" s="2"/>
      <c r="M216" s="2"/>
      <c r="N216" s="2"/>
      <c r="O216" s="2"/>
      <c r="P216" s="2"/>
      <c r="Q216" s="2"/>
      <c r="R216" s="2"/>
      <c r="S216" s="2"/>
      <c r="T216" s="2"/>
      <c r="U216" s="2"/>
      <c r="V216" s="2"/>
      <c r="W216" s="2"/>
    </row>
    <row r="217">
      <c r="A217" s="2"/>
      <c r="B217" s="2"/>
      <c r="C217" s="2"/>
      <c r="D217" s="2"/>
      <c r="E217" s="2"/>
      <c r="F217" s="2"/>
      <c r="G217" s="2"/>
      <c r="H217" s="2"/>
      <c r="I217" s="2"/>
      <c r="J217" s="2"/>
      <c r="K217" s="2"/>
      <c r="L217" s="2"/>
      <c r="M217" s="2"/>
      <c r="N217" s="2"/>
      <c r="O217" s="2"/>
      <c r="P217" s="2"/>
      <c r="Q217" s="2"/>
      <c r="R217" s="2"/>
      <c r="S217" s="2"/>
      <c r="T217" s="2"/>
      <c r="U217" s="2"/>
      <c r="V217" s="2"/>
      <c r="W217" s="2"/>
    </row>
    <row r="218">
      <c r="A218" s="2"/>
      <c r="B218" s="2"/>
      <c r="C218" s="2"/>
      <c r="D218" s="2"/>
      <c r="E218" s="2"/>
      <c r="F218" s="2"/>
      <c r="G218" s="2"/>
      <c r="H218" s="2"/>
      <c r="I218" s="2"/>
      <c r="J218" s="2"/>
      <c r="K218" s="2"/>
      <c r="L218" s="2"/>
      <c r="M218" s="2"/>
      <c r="N218" s="2"/>
      <c r="O218" s="2"/>
      <c r="P218" s="2"/>
      <c r="Q218" s="2"/>
      <c r="R218" s="2"/>
      <c r="S218" s="2"/>
      <c r="T218" s="2"/>
      <c r="U218" s="2"/>
      <c r="V218" s="2"/>
      <c r="W218" s="2"/>
    </row>
    <row r="219">
      <c r="A219" s="2"/>
      <c r="B219" s="2"/>
      <c r="C219" s="2"/>
      <c r="D219" s="2"/>
      <c r="E219" s="2"/>
      <c r="F219" s="2"/>
      <c r="G219" s="2"/>
      <c r="H219" s="2"/>
      <c r="I219" s="2"/>
      <c r="J219" s="2"/>
      <c r="K219" s="2"/>
      <c r="L219" s="2"/>
      <c r="M219" s="2"/>
      <c r="N219" s="2"/>
      <c r="O219" s="2"/>
      <c r="P219" s="2"/>
      <c r="Q219" s="2"/>
      <c r="R219" s="2"/>
      <c r="S219" s="2"/>
      <c r="T219" s="2"/>
      <c r="U219" s="2"/>
      <c r="V219" s="2"/>
      <c r="W219" s="2"/>
    </row>
    <row r="220">
      <c r="A220" s="2"/>
      <c r="B220" s="2"/>
      <c r="C220" s="2"/>
      <c r="D220" s="2"/>
      <c r="E220" s="2"/>
      <c r="F220" s="2"/>
      <c r="G220" s="2"/>
      <c r="H220" s="2"/>
      <c r="I220" s="2"/>
      <c r="J220" s="2"/>
      <c r="K220" s="2"/>
      <c r="L220" s="2"/>
      <c r="M220" s="2"/>
      <c r="N220" s="2"/>
      <c r="O220" s="2"/>
      <c r="P220" s="2"/>
      <c r="Q220" s="2"/>
      <c r="R220" s="2"/>
      <c r="S220" s="2"/>
      <c r="T220" s="2"/>
      <c r="U220" s="2"/>
      <c r="V220" s="2"/>
      <c r="W220" s="2"/>
    </row>
    <row r="221">
      <c r="A221" s="2"/>
      <c r="B221" s="2"/>
      <c r="C221" s="2"/>
      <c r="D221" s="2"/>
      <c r="E221" s="2"/>
      <c r="F221" s="2"/>
      <c r="G221" s="2"/>
      <c r="H221" s="2"/>
      <c r="I221" s="2"/>
      <c r="J221" s="2"/>
      <c r="K221" s="2"/>
      <c r="L221" s="2"/>
      <c r="M221" s="2"/>
      <c r="N221" s="2"/>
      <c r="O221" s="2"/>
      <c r="P221" s="2"/>
      <c r="Q221" s="2"/>
      <c r="R221" s="2"/>
      <c r="S221" s="2"/>
      <c r="T221" s="2"/>
      <c r="U221" s="2"/>
      <c r="V221" s="2"/>
      <c r="W221" s="2"/>
    </row>
    <row r="222">
      <c r="A222" s="2"/>
      <c r="B222" s="2"/>
      <c r="C222" s="2"/>
      <c r="D222" s="2"/>
      <c r="E222" s="2"/>
      <c r="F222" s="2"/>
      <c r="G222" s="2"/>
      <c r="H222" s="2"/>
      <c r="I222" s="2"/>
      <c r="J222" s="2"/>
      <c r="K222" s="2"/>
      <c r="L222" s="2"/>
      <c r="M222" s="2"/>
      <c r="N222" s="2"/>
      <c r="O222" s="2"/>
      <c r="P222" s="2"/>
      <c r="Q222" s="2"/>
      <c r="R222" s="2"/>
      <c r="S222" s="2"/>
      <c r="T222" s="2"/>
      <c r="U222" s="2"/>
      <c r="V222" s="2"/>
      <c r="W222" s="2"/>
    </row>
    <row r="223">
      <c r="A223" s="2"/>
      <c r="B223" s="2"/>
      <c r="C223" s="2"/>
      <c r="D223" s="2"/>
      <c r="E223" s="2"/>
      <c r="F223" s="2"/>
      <c r="G223" s="2"/>
      <c r="H223" s="2"/>
      <c r="I223" s="2"/>
      <c r="J223" s="2"/>
      <c r="K223" s="2"/>
      <c r="L223" s="2"/>
      <c r="M223" s="2"/>
      <c r="N223" s="2"/>
      <c r="O223" s="2"/>
      <c r="P223" s="2"/>
      <c r="Q223" s="2"/>
      <c r="R223" s="2"/>
      <c r="S223" s="2"/>
      <c r="T223" s="2"/>
      <c r="U223" s="2"/>
      <c r="V223" s="2"/>
      <c r="W223" s="2"/>
    </row>
    <row r="224">
      <c r="A224" s="2"/>
      <c r="B224" s="2"/>
      <c r="C224" s="2"/>
      <c r="D224" s="2"/>
      <c r="E224" s="2"/>
      <c r="F224" s="2"/>
      <c r="G224" s="2"/>
      <c r="H224" s="2"/>
      <c r="I224" s="2"/>
      <c r="J224" s="2"/>
      <c r="K224" s="2"/>
      <c r="L224" s="2"/>
      <c r="M224" s="2"/>
      <c r="N224" s="2"/>
      <c r="O224" s="2"/>
      <c r="P224" s="2"/>
      <c r="Q224" s="2"/>
      <c r="R224" s="2"/>
      <c r="S224" s="2"/>
      <c r="T224" s="2"/>
      <c r="U224" s="2"/>
      <c r="V224" s="2"/>
      <c r="W224" s="2"/>
    </row>
    <row r="225">
      <c r="A225" s="2"/>
      <c r="B225" s="2"/>
      <c r="C225" s="2"/>
      <c r="D225" s="2"/>
      <c r="E225" s="2"/>
      <c r="F225" s="2"/>
      <c r="G225" s="2"/>
      <c r="H225" s="2"/>
      <c r="I225" s="2"/>
      <c r="J225" s="2"/>
      <c r="K225" s="2"/>
      <c r="L225" s="2"/>
      <c r="M225" s="2"/>
      <c r="N225" s="2"/>
      <c r="O225" s="2"/>
      <c r="P225" s="2"/>
      <c r="Q225" s="2"/>
      <c r="R225" s="2"/>
      <c r="S225" s="2"/>
      <c r="T225" s="2"/>
      <c r="U225" s="2"/>
      <c r="V225" s="2"/>
      <c r="W225" s="2"/>
    </row>
    <row r="226">
      <c r="A226" s="2"/>
      <c r="B226" s="2"/>
      <c r="C226" s="2"/>
      <c r="D226" s="2"/>
      <c r="E226" s="2"/>
      <c r="F226" s="2"/>
      <c r="G226" s="2"/>
      <c r="H226" s="2"/>
      <c r="I226" s="2"/>
      <c r="J226" s="2"/>
      <c r="K226" s="2"/>
      <c r="L226" s="2"/>
      <c r="M226" s="2"/>
      <c r="N226" s="2"/>
      <c r="O226" s="2"/>
      <c r="P226" s="2"/>
      <c r="Q226" s="2"/>
      <c r="R226" s="2"/>
      <c r="S226" s="2"/>
      <c r="T226" s="2"/>
      <c r="U226" s="2"/>
      <c r="V226" s="2"/>
      <c r="W226" s="2"/>
    </row>
    <row r="227">
      <c r="A227" s="2"/>
      <c r="B227" s="2"/>
      <c r="C227" s="2"/>
      <c r="D227" s="2"/>
      <c r="E227" s="2"/>
      <c r="F227" s="2"/>
      <c r="G227" s="2"/>
      <c r="H227" s="2"/>
      <c r="I227" s="2"/>
      <c r="J227" s="2"/>
      <c r="K227" s="2"/>
      <c r="L227" s="2"/>
      <c r="M227" s="2"/>
      <c r="N227" s="2"/>
      <c r="O227" s="2"/>
      <c r="P227" s="2"/>
      <c r="Q227" s="2"/>
      <c r="R227" s="2"/>
      <c r="S227" s="2"/>
      <c r="T227" s="2"/>
      <c r="U227" s="2"/>
      <c r="V227" s="2"/>
      <c r="W227" s="2"/>
    </row>
    <row r="228">
      <c r="A228" s="2"/>
      <c r="B228" s="2"/>
      <c r="C228" s="2"/>
      <c r="D228" s="2"/>
      <c r="E228" s="2"/>
      <c r="F228" s="2"/>
      <c r="G228" s="2"/>
      <c r="H228" s="2"/>
      <c r="I228" s="2"/>
      <c r="J228" s="2"/>
      <c r="K228" s="2"/>
      <c r="L228" s="2"/>
      <c r="M228" s="2"/>
      <c r="N228" s="2"/>
      <c r="O228" s="2"/>
      <c r="P228" s="2"/>
      <c r="Q228" s="2"/>
      <c r="R228" s="2"/>
      <c r="S228" s="2"/>
      <c r="T228" s="2"/>
      <c r="U228" s="2"/>
      <c r="V228" s="2"/>
      <c r="W228" s="2"/>
    </row>
    <row r="229">
      <c r="A229" s="2"/>
      <c r="B229" s="2"/>
      <c r="C229" s="2"/>
      <c r="D229" s="2"/>
      <c r="E229" s="2"/>
      <c r="F229" s="2"/>
      <c r="G229" s="2"/>
      <c r="H229" s="2"/>
      <c r="I229" s="2"/>
      <c r="J229" s="2"/>
      <c r="K229" s="2"/>
      <c r="L229" s="2"/>
      <c r="M229" s="2"/>
      <c r="N229" s="2"/>
      <c r="O229" s="2"/>
      <c r="P229" s="2"/>
      <c r="Q229" s="2"/>
      <c r="R229" s="2"/>
      <c r="S229" s="2"/>
      <c r="T229" s="2"/>
      <c r="U229" s="2"/>
      <c r="V229" s="2"/>
      <c r="W229" s="2"/>
    </row>
    <row r="230">
      <c r="A230" s="2"/>
      <c r="B230" s="2"/>
      <c r="C230" s="2"/>
      <c r="D230" s="2"/>
      <c r="E230" s="2"/>
      <c r="F230" s="2"/>
      <c r="G230" s="2"/>
      <c r="H230" s="2"/>
      <c r="I230" s="2"/>
      <c r="J230" s="2"/>
      <c r="K230" s="2"/>
      <c r="L230" s="2"/>
      <c r="M230" s="2"/>
      <c r="N230" s="2"/>
      <c r="O230" s="2"/>
      <c r="P230" s="2"/>
      <c r="Q230" s="2"/>
      <c r="R230" s="2"/>
      <c r="S230" s="2"/>
      <c r="T230" s="2"/>
      <c r="U230" s="2"/>
      <c r="V230" s="2"/>
      <c r="W230" s="2"/>
    </row>
    <row r="231">
      <c r="A231" s="2"/>
      <c r="B231" s="2"/>
      <c r="C231" s="2"/>
      <c r="D231" s="2"/>
      <c r="E231" s="2"/>
      <c r="F231" s="2"/>
      <c r="G231" s="2"/>
      <c r="H231" s="2"/>
      <c r="I231" s="2"/>
      <c r="J231" s="2"/>
      <c r="K231" s="2"/>
      <c r="L231" s="2"/>
      <c r="M231" s="2"/>
      <c r="N231" s="2"/>
      <c r="O231" s="2"/>
      <c r="P231" s="2"/>
      <c r="Q231" s="2"/>
      <c r="R231" s="2"/>
      <c r="S231" s="2"/>
      <c r="T231" s="2"/>
      <c r="U231" s="2"/>
      <c r="V231" s="2"/>
      <c r="W231" s="2"/>
    </row>
    <row r="232">
      <c r="A232" s="2"/>
      <c r="B232" s="2"/>
      <c r="C232" s="2"/>
      <c r="D232" s="2"/>
      <c r="E232" s="2"/>
      <c r="F232" s="2"/>
      <c r="G232" s="2"/>
      <c r="H232" s="2"/>
      <c r="I232" s="2"/>
      <c r="J232" s="2"/>
      <c r="K232" s="2"/>
      <c r="L232" s="2"/>
      <c r="M232" s="2"/>
      <c r="N232" s="2"/>
      <c r="O232" s="2"/>
      <c r="P232" s="2"/>
      <c r="Q232" s="2"/>
      <c r="R232" s="2"/>
      <c r="S232" s="2"/>
      <c r="T232" s="2"/>
      <c r="U232" s="2"/>
      <c r="V232" s="2"/>
      <c r="W232" s="2"/>
    </row>
    <row r="233">
      <c r="A233" s="2"/>
      <c r="B233" s="2"/>
      <c r="C233" s="2"/>
      <c r="D233" s="2"/>
      <c r="E233" s="2"/>
      <c r="F233" s="2"/>
      <c r="G233" s="2"/>
      <c r="H233" s="2"/>
      <c r="I233" s="2"/>
      <c r="J233" s="2"/>
      <c r="K233" s="2"/>
      <c r="L233" s="2"/>
      <c r="M233" s="2"/>
      <c r="N233" s="2"/>
      <c r="O233" s="2"/>
      <c r="P233" s="2"/>
      <c r="Q233" s="2"/>
      <c r="R233" s="2"/>
      <c r="S233" s="2"/>
      <c r="T233" s="2"/>
      <c r="U233" s="2"/>
      <c r="V233" s="2"/>
      <c r="W233" s="2"/>
    </row>
    <row r="234">
      <c r="A234" s="2"/>
      <c r="B234" s="2"/>
      <c r="C234" s="2"/>
      <c r="D234" s="2"/>
      <c r="E234" s="2"/>
      <c r="F234" s="2"/>
      <c r="G234" s="2"/>
      <c r="H234" s="2"/>
      <c r="I234" s="2"/>
      <c r="J234" s="2"/>
      <c r="K234" s="2"/>
      <c r="L234" s="2"/>
      <c r="M234" s="2"/>
      <c r="N234" s="2"/>
      <c r="O234" s="2"/>
      <c r="P234" s="2"/>
      <c r="Q234" s="2"/>
      <c r="R234" s="2"/>
      <c r="S234" s="2"/>
      <c r="T234" s="2"/>
      <c r="U234" s="2"/>
      <c r="V234" s="2"/>
      <c r="W234" s="2"/>
    </row>
    <row r="235">
      <c r="A235" s="2"/>
      <c r="B235" s="2"/>
      <c r="C235" s="2"/>
      <c r="D235" s="2"/>
      <c r="E235" s="2"/>
      <c r="F235" s="2"/>
      <c r="G235" s="2"/>
      <c r="H235" s="2"/>
      <c r="I235" s="2"/>
      <c r="J235" s="2"/>
      <c r="K235" s="2"/>
      <c r="L235" s="2"/>
      <c r="M235" s="2"/>
      <c r="N235" s="2"/>
      <c r="O235" s="2"/>
      <c r="P235" s="2"/>
      <c r="Q235" s="2"/>
      <c r="R235" s="2"/>
      <c r="S235" s="2"/>
      <c r="T235" s="2"/>
      <c r="U235" s="2"/>
      <c r="V235" s="2"/>
      <c r="W235" s="2"/>
    </row>
    <row r="236">
      <c r="A236" s="2"/>
      <c r="B236" s="2"/>
      <c r="C236" s="2"/>
      <c r="D236" s="2"/>
      <c r="E236" s="2"/>
      <c r="F236" s="2"/>
      <c r="G236" s="2"/>
      <c r="H236" s="2"/>
      <c r="I236" s="2"/>
      <c r="J236" s="2"/>
      <c r="K236" s="2"/>
      <c r="L236" s="2"/>
      <c r="M236" s="2"/>
      <c r="N236" s="2"/>
      <c r="O236" s="2"/>
      <c r="P236" s="2"/>
      <c r="Q236" s="2"/>
      <c r="R236" s="2"/>
      <c r="S236" s="2"/>
      <c r="T236" s="2"/>
      <c r="U236" s="2"/>
      <c r="V236" s="2"/>
      <c r="W236" s="2"/>
    </row>
    <row r="237">
      <c r="A237" s="2"/>
      <c r="B237" s="2"/>
      <c r="C237" s="2"/>
      <c r="D237" s="2"/>
      <c r="E237" s="2"/>
      <c r="F237" s="2"/>
      <c r="G237" s="2"/>
      <c r="H237" s="2"/>
      <c r="I237" s="2"/>
      <c r="J237" s="2"/>
      <c r="K237" s="2"/>
      <c r="L237" s="2"/>
      <c r="M237" s="2"/>
      <c r="N237" s="2"/>
      <c r="O237" s="2"/>
      <c r="P237" s="2"/>
      <c r="Q237" s="2"/>
      <c r="R237" s="2"/>
      <c r="S237" s="2"/>
      <c r="T237" s="2"/>
      <c r="U237" s="2"/>
      <c r="V237" s="2"/>
      <c r="W237" s="2"/>
    </row>
    <row r="238">
      <c r="A238" s="2"/>
      <c r="B238" s="2"/>
      <c r="C238" s="2"/>
      <c r="D238" s="2"/>
      <c r="E238" s="2"/>
      <c r="F238" s="2"/>
      <c r="G238" s="2"/>
      <c r="H238" s="2"/>
      <c r="I238" s="2"/>
      <c r="J238" s="2"/>
      <c r="K238" s="2"/>
      <c r="L238" s="2"/>
      <c r="M238" s="2"/>
      <c r="N238" s="2"/>
      <c r="O238" s="2"/>
      <c r="P238" s="2"/>
      <c r="Q238" s="2"/>
      <c r="R238" s="2"/>
      <c r="S238" s="2"/>
      <c r="T238" s="2"/>
      <c r="U238" s="2"/>
      <c r="V238" s="2"/>
      <c r="W238" s="2"/>
    </row>
    <row r="239">
      <c r="A239" s="2"/>
      <c r="B239" s="2"/>
      <c r="C239" s="2"/>
      <c r="D239" s="2"/>
      <c r="E239" s="2"/>
      <c r="F239" s="2"/>
      <c r="G239" s="2"/>
      <c r="H239" s="2"/>
      <c r="I239" s="2"/>
      <c r="J239" s="2"/>
      <c r="K239" s="2"/>
      <c r="L239" s="2"/>
      <c r="M239" s="2"/>
      <c r="N239" s="2"/>
      <c r="O239" s="2"/>
      <c r="P239" s="2"/>
      <c r="Q239" s="2"/>
      <c r="R239" s="2"/>
      <c r="S239" s="2"/>
      <c r="T239" s="2"/>
      <c r="U239" s="2"/>
      <c r="V239" s="2"/>
      <c r="W239" s="2"/>
    </row>
    <row r="240">
      <c r="A240" s="2"/>
      <c r="B240" s="2"/>
      <c r="C240" s="2"/>
      <c r="D240" s="2"/>
      <c r="E240" s="2"/>
      <c r="F240" s="2"/>
      <c r="G240" s="2"/>
      <c r="H240" s="2"/>
      <c r="I240" s="2"/>
      <c r="J240" s="2"/>
      <c r="K240" s="2"/>
      <c r="L240" s="2"/>
      <c r="M240" s="2"/>
      <c r="N240" s="2"/>
      <c r="O240" s="2"/>
      <c r="P240" s="2"/>
      <c r="Q240" s="2"/>
      <c r="R240" s="2"/>
      <c r="S240" s="2"/>
      <c r="T240" s="2"/>
      <c r="U240" s="2"/>
      <c r="V240" s="2"/>
      <c r="W240" s="2"/>
    </row>
    <row r="241">
      <c r="A241" s="2"/>
      <c r="B241" s="2"/>
      <c r="C241" s="2"/>
      <c r="D241" s="2"/>
      <c r="E241" s="2"/>
      <c r="F241" s="2"/>
      <c r="G241" s="2"/>
      <c r="H241" s="2"/>
      <c r="I241" s="2"/>
      <c r="J241" s="2"/>
      <c r="K241" s="2"/>
      <c r="L241" s="2"/>
      <c r="M241" s="2"/>
      <c r="N241" s="2"/>
      <c r="O241" s="2"/>
      <c r="P241" s="2"/>
      <c r="Q241" s="2"/>
      <c r="R241" s="2"/>
      <c r="S241" s="2"/>
      <c r="T241" s="2"/>
      <c r="U241" s="2"/>
      <c r="V241" s="2"/>
      <c r="W241" s="2"/>
    </row>
    <row r="242">
      <c r="A242" s="2"/>
      <c r="B242" s="2"/>
      <c r="C242" s="2"/>
      <c r="D242" s="2"/>
      <c r="E242" s="2"/>
      <c r="F242" s="2"/>
      <c r="G242" s="2"/>
      <c r="H242" s="2"/>
      <c r="I242" s="2"/>
      <c r="J242" s="2"/>
      <c r="K242" s="2"/>
      <c r="L242" s="2"/>
      <c r="M242" s="2"/>
      <c r="N242" s="2"/>
      <c r="O242" s="2"/>
      <c r="P242" s="2"/>
      <c r="Q242" s="2"/>
      <c r="R242" s="2"/>
      <c r="S242" s="2"/>
      <c r="T242" s="2"/>
      <c r="U242" s="2"/>
      <c r="V242" s="2"/>
      <c r="W242" s="2"/>
    </row>
    <row r="243">
      <c r="A243" s="2"/>
      <c r="B243" s="2"/>
      <c r="C243" s="2"/>
      <c r="D243" s="2"/>
      <c r="E243" s="2"/>
      <c r="F243" s="2"/>
      <c r="G243" s="2"/>
      <c r="H243" s="2"/>
      <c r="I243" s="2"/>
      <c r="J243" s="2"/>
      <c r="K243" s="2"/>
      <c r="L243" s="2"/>
      <c r="M243" s="2"/>
      <c r="N243" s="2"/>
      <c r="O243" s="2"/>
      <c r="P243" s="2"/>
      <c r="Q243" s="2"/>
      <c r="R243" s="2"/>
      <c r="S243" s="2"/>
      <c r="T243" s="2"/>
      <c r="U243" s="2"/>
      <c r="V243" s="2"/>
      <c r="W243" s="2"/>
    </row>
    <row r="244">
      <c r="A244" s="2"/>
      <c r="B244" s="2"/>
      <c r="C244" s="2"/>
      <c r="D244" s="2"/>
      <c r="E244" s="2"/>
      <c r="F244" s="2"/>
      <c r="G244" s="2"/>
      <c r="H244" s="2"/>
      <c r="I244" s="2"/>
      <c r="J244" s="2"/>
      <c r="K244" s="2"/>
      <c r="L244" s="2"/>
      <c r="M244" s="2"/>
      <c r="N244" s="2"/>
      <c r="O244" s="2"/>
      <c r="P244" s="2"/>
      <c r="Q244" s="2"/>
      <c r="R244" s="2"/>
      <c r="S244" s="2"/>
      <c r="T244" s="2"/>
      <c r="U244" s="2"/>
      <c r="V244" s="2"/>
      <c r="W244" s="2"/>
    </row>
    <row r="245">
      <c r="A245" s="2"/>
      <c r="B245" s="2"/>
      <c r="C245" s="2"/>
      <c r="D245" s="2"/>
      <c r="E245" s="2"/>
      <c r="F245" s="2"/>
      <c r="G245" s="2"/>
      <c r="H245" s="2"/>
      <c r="I245" s="2"/>
      <c r="J245" s="2"/>
      <c r="K245" s="2"/>
      <c r="L245" s="2"/>
      <c r="M245" s="2"/>
      <c r="N245" s="2"/>
      <c r="O245" s="2"/>
      <c r="P245" s="2"/>
      <c r="Q245" s="2"/>
      <c r="R245" s="2"/>
      <c r="S245" s="2"/>
      <c r="T245" s="2"/>
      <c r="U245" s="2"/>
      <c r="V245" s="2"/>
      <c r="W245" s="2"/>
    </row>
    <row r="246">
      <c r="A246" s="2"/>
      <c r="B246" s="2"/>
      <c r="C246" s="2"/>
      <c r="D246" s="2"/>
      <c r="E246" s="2"/>
      <c r="F246" s="2"/>
      <c r="G246" s="2"/>
      <c r="H246" s="2"/>
      <c r="I246" s="2"/>
      <c r="J246" s="2"/>
      <c r="K246" s="2"/>
      <c r="L246" s="2"/>
      <c r="M246" s="2"/>
      <c r="N246" s="2"/>
      <c r="O246" s="2"/>
      <c r="P246" s="2"/>
      <c r="Q246" s="2"/>
      <c r="R246" s="2"/>
      <c r="S246" s="2"/>
      <c r="T246" s="2"/>
      <c r="U246" s="2"/>
      <c r="V246" s="2"/>
      <c r="W246" s="2"/>
    </row>
    <row r="247">
      <c r="A247" s="2"/>
      <c r="B247" s="2"/>
      <c r="C247" s="2"/>
      <c r="D247" s="2"/>
      <c r="E247" s="2"/>
      <c r="F247" s="2"/>
      <c r="G247" s="2"/>
      <c r="H247" s="2"/>
      <c r="I247" s="2"/>
      <c r="J247" s="2"/>
      <c r="K247" s="2"/>
      <c r="L247" s="2"/>
      <c r="M247" s="2"/>
      <c r="N247" s="2"/>
      <c r="O247" s="2"/>
      <c r="P247" s="2"/>
      <c r="Q247" s="2"/>
      <c r="R247" s="2"/>
      <c r="S247" s="2"/>
      <c r="T247" s="2"/>
      <c r="U247" s="2"/>
      <c r="V247" s="2"/>
      <c r="W247" s="2"/>
    </row>
    <row r="248">
      <c r="A248" s="2"/>
      <c r="B248" s="2"/>
      <c r="C248" s="2"/>
      <c r="D248" s="2"/>
      <c r="E248" s="2"/>
      <c r="F248" s="2"/>
      <c r="G248" s="2"/>
      <c r="H248" s="2"/>
      <c r="I248" s="2"/>
      <c r="J248" s="2"/>
      <c r="K248" s="2"/>
      <c r="L248" s="2"/>
      <c r="M248" s="2"/>
      <c r="N248" s="2"/>
      <c r="O248" s="2"/>
      <c r="P248" s="2"/>
      <c r="Q248" s="2"/>
      <c r="R248" s="2"/>
      <c r="S248" s="2"/>
      <c r="T248" s="2"/>
      <c r="U248" s="2"/>
      <c r="V248" s="2"/>
      <c r="W248" s="2"/>
    </row>
    <row r="249">
      <c r="A249" s="2"/>
      <c r="B249" s="2"/>
      <c r="C249" s="2"/>
      <c r="D249" s="2"/>
      <c r="E249" s="2"/>
      <c r="F249" s="2"/>
      <c r="G249" s="2"/>
      <c r="H249" s="2"/>
      <c r="I249" s="2"/>
      <c r="J249" s="2"/>
      <c r="K249" s="2"/>
      <c r="L249" s="2"/>
      <c r="M249" s="2"/>
      <c r="N249" s="2"/>
      <c r="O249" s="2"/>
      <c r="P249" s="2"/>
      <c r="Q249" s="2"/>
      <c r="R249" s="2"/>
      <c r="S249" s="2"/>
      <c r="T249" s="2"/>
      <c r="U249" s="2"/>
      <c r="V249" s="2"/>
      <c r="W249" s="2"/>
    </row>
    <row r="250">
      <c r="A250" s="2"/>
      <c r="B250" s="2"/>
      <c r="C250" s="2"/>
      <c r="D250" s="2"/>
      <c r="E250" s="2"/>
      <c r="F250" s="2"/>
      <c r="G250" s="2"/>
      <c r="H250" s="2"/>
      <c r="I250" s="2"/>
      <c r="J250" s="2"/>
      <c r="K250" s="2"/>
      <c r="L250" s="2"/>
      <c r="M250" s="2"/>
      <c r="N250" s="2"/>
      <c r="O250" s="2"/>
      <c r="P250" s="2"/>
      <c r="Q250" s="2"/>
      <c r="R250" s="2"/>
      <c r="S250" s="2"/>
      <c r="T250" s="2"/>
      <c r="U250" s="2"/>
      <c r="V250" s="2"/>
      <c r="W250" s="2"/>
    </row>
    <row r="251">
      <c r="A251" s="2"/>
      <c r="B251" s="2"/>
      <c r="C251" s="2"/>
      <c r="D251" s="2"/>
      <c r="E251" s="2"/>
      <c r="F251" s="2"/>
      <c r="G251" s="2"/>
      <c r="H251" s="2"/>
      <c r="I251" s="2"/>
      <c r="J251" s="2"/>
      <c r="K251" s="2"/>
      <c r="L251" s="2"/>
      <c r="M251" s="2"/>
      <c r="N251" s="2"/>
      <c r="O251" s="2"/>
      <c r="P251" s="2"/>
      <c r="Q251" s="2"/>
      <c r="R251" s="2"/>
      <c r="S251" s="2"/>
      <c r="T251" s="2"/>
      <c r="U251" s="2"/>
      <c r="V251" s="2"/>
      <c r="W251" s="2"/>
    </row>
    <row r="252">
      <c r="A252" s="2"/>
      <c r="B252" s="2"/>
      <c r="C252" s="2"/>
      <c r="D252" s="2"/>
      <c r="E252" s="2"/>
      <c r="F252" s="2"/>
      <c r="G252" s="2"/>
      <c r="H252" s="2"/>
      <c r="I252" s="2"/>
      <c r="J252" s="2"/>
      <c r="K252" s="2"/>
      <c r="L252" s="2"/>
      <c r="M252" s="2"/>
      <c r="N252" s="2"/>
      <c r="O252" s="2"/>
      <c r="P252" s="2"/>
      <c r="Q252" s="2"/>
      <c r="R252" s="2"/>
      <c r="S252" s="2"/>
      <c r="T252" s="2"/>
      <c r="U252" s="2"/>
      <c r="V252" s="2"/>
      <c r="W252" s="2"/>
    </row>
    <row r="253">
      <c r="A253" s="2"/>
      <c r="B253" s="2"/>
      <c r="C253" s="2"/>
      <c r="D253" s="2"/>
      <c r="E253" s="2"/>
      <c r="F253" s="2"/>
      <c r="G253" s="2"/>
      <c r="H253" s="2"/>
      <c r="I253" s="2"/>
      <c r="J253" s="2"/>
      <c r="K253" s="2"/>
      <c r="L253" s="2"/>
      <c r="M253" s="2"/>
      <c r="N253" s="2"/>
      <c r="O253" s="2"/>
      <c r="P253" s="2"/>
      <c r="Q253" s="2"/>
      <c r="R253" s="2"/>
      <c r="S253" s="2"/>
      <c r="T253" s="2"/>
      <c r="U253" s="2"/>
      <c r="V253" s="2"/>
      <c r="W253" s="2"/>
    </row>
    <row r="254">
      <c r="A254" s="2"/>
      <c r="B254" s="2"/>
      <c r="C254" s="2"/>
      <c r="D254" s="2"/>
      <c r="E254" s="2"/>
      <c r="F254" s="2"/>
      <c r="G254" s="2"/>
      <c r="H254" s="2"/>
      <c r="I254" s="2"/>
      <c r="J254" s="2"/>
      <c r="K254" s="2"/>
      <c r="L254" s="2"/>
      <c r="M254" s="2"/>
      <c r="N254" s="2"/>
      <c r="O254" s="2"/>
      <c r="P254" s="2"/>
      <c r="Q254" s="2"/>
      <c r="R254" s="2"/>
      <c r="S254" s="2"/>
      <c r="T254" s="2"/>
      <c r="U254" s="2"/>
      <c r="V254" s="2"/>
      <c r="W254" s="2"/>
    </row>
    <row r="255">
      <c r="A255" s="2"/>
      <c r="B255" s="2"/>
      <c r="C255" s="2"/>
      <c r="D255" s="2"/>
      <c r="E255" s="2"/>
      <c r="F255" s="2"/>
      <c r="G255" s="2"/>
      <c r="H255" s="2"/>
      <c r="I255" s="2"/>
      <c r="J255" s="2"/>
      <c r="K255" s="2"/>
      <c r="L255" s="2"/>
      <c r="M255" s="2"/>
      <c r="N255" s="2"/>
      <c r="O255" s="2"/>
      <c r="P255" s="2"/>
      <c r="Q255" s="2"/>
      <c r="R255" s="2"/>
      <c r="S255" s="2"/>
      <c r="T255" s="2"/>
      <c r="U255" s="2"/>
      <c r="V255" s="2"/>
      <c r="W255" s="2"/>
    </row>
    <row r="256">
      <c r="A256" s="2"/>
      <c r="B256" s="2"/>
      <c r="C256" s="2"/>
      <c r="D256" s="2"/>
      <c r="E256" s="2"/>
      <c r="F256" s="2"/>
      <c r="G256" s="2"/>
      <c r="H256" s="2"/>
      <c r="I256" s="2"/>
      <c r="J256" s="2"/>
      <c r="K256" s="2"/>
      <c r="L256" s="2"/>
      <c r="M256" s="2"/>
      <c r="N256" s="2"/>
      <c r="O256" s="2"/>
      <c r="P256" s="2"/>
      <c r="Q256" s="2"/>
      <c r="R256" s="2"/>
      <c r="S256" s="2"/>
      <c r="T256" s="2"/>
      <c r="U256" s="2"/>
      <c r="V256" s="2"/>
      <c r="W256" s="2"/>
    </row>
    <row r="257">
      <c r="A257" s="2"/>
      <c r="B257" s="2"/>
      <c r="C257" s="2"/>
      <c r="D257" s="2"/>
      <c r="E257" s="2"/>
      <c r="F257" s="2"/>
      <c r="G257" s="2"/>
      <c r="H257" s="2"/>
      <c r="I257" s="2"/>
      <c r="J257" s="2"/>
      <c r="K257" s="2"/>
      <c r="L257" s="2"/>
      <c r="M257" s="2"/>
      <c r="N257" s="2"/>
      <c r="O257" s="2"/>
      <c r="P257" s="2"/>
      <c r="Q257" s="2"/>
      <c r="R257" s="2"/>
      <c r="S257" s="2"/>
      <c r="T257" s="2"/>
      <c r="U257" s="2"/>
      <c r="V257" s="2"/>
      <c r="W257" s="2"/>
    </row>
    <row r="258">
      <c r="A258" s="2"/>
      <c r="B258" s="2"/>
      <c r="C258" s="2"/>
      <c r="D258" s="2"/>
      <c r="E258" s="2"/>
      <c r="F258" s="2"/>
      <c r="G258" s="2"/>
      <c r="H258" s="2"/>
      <c r="I258" s="2"/>
      <c r="J258" s="2"/>
      <c r="K258" s="2"/>
      <c r="L258" s="2"/>
      <c r="M258" s="2"/>
      <c r="N258" s="2"/>
      <c r="O258" s="2"/>
      <c r="P258" s="2"/>
      <c r="Q258" s="2"/>
      <c r="R258" s="2"/>
      <c r="S258" s="2"/>
      <c r="T258" s="2"/>
      <c r="U258" s="2"/>
      <c r="V258" s="2"/>
      <c r="W258" s="2"/>
    </row>
    <row r="259">
      <c r="A259" s="2"/>
      <c r="B259" s="2"/>
      <c r="C259" s="2"/>
      <c r="D259" s="2"/>
      <c r="E259" s="2"/>
      <c r="F259" s="2"/>
      <c r="G259" s="2"/>
      <c r="H259" s="2"/>
      <c r="I259" s="2"/>
      <c r="J259" s="2"/>
      <c r="K259" s="2"/>
      <c r="L259" s="2"/>
      <c r="M259" s="2"/>
      <c r="N259" s="2"/>
      <c r="O259" s="2"/>
      <c r="P259" s="2"/>
      <c r="Q259" s="2"/>
      <c r="R259" s="2"/>
      <c r="S259" s="2"/>
      <c r="T259" s="2"/>
      <c r="U259" s="2"/>
      <c r="V259" s="2"/>
      <c r="W259" s="2"/>
    </row>
    <row r="260">
      <c r="A260" s="2"/>
      <c r="B260" s="2"/>
      <c r="C260" s="2"/>
      <c r="D260" s="2"/>
      <c r="E260" s="2"/>
      <c r="F260" s="2"/>
      <c r="G260" s="2"/>
      <c r="H260" s="2"/>
      <c r="I260" s="2"/>
      <c r="J260" s="2"/>
      <c r="K260" s="2"/>
      <c r="L260" s="2"/>
      <c r="M260" s="2"/>
      <c r="N260" s="2"/>
      <c r="O260" s="2"/>
      <c r="P260" s="2"/>
      <c r="Q260" s="2"/>
      <c r="R260" s="2"/>
      <c r="S260" s="2"/>
      <c r="T260" s="2"/>
      <c r="U260" s="2"/>
      <c r="V260" s="2"/>
      <c r="W260" s="2"/>
    </row>
    <row r="261">
      <c r="A261" s="2"/>
      <c r="B261" s="2"/>
      <c r="C261" s="2"/>
      <c r="D261" s="2"/>
      <c r="E261" s="2"/>
      <c r="F261" s="2"/>
      <c r="G261" s="2"/>
      <c r="H261" s="2"/>
      <c r="I261" s="2"/>
      <c r="J261" s="2"/>
      <c r="K261" s="2"/>
      <c r="L261" s="2"/>
      <c r="M261" s="2"/>
      <c r="N261" s="2"/>
      <c r="O261" s="2"/>
      <c r="P261" s="2"/>
      <c r="Q261" s="2"/>
      <c r="R261" s="2"/>
      <c r="S261" s="2"/>
      <c r="T261" s="2"/>
      <c r="U261" s="2"/>
      <c r="V261" s="2"/>
      <c r="W261" s="2"/>
    </row>
    <row r="262">
      <c r="A262" s="2"/>
      <c r="B262" s="2"/>
      <c r="C262" s="2"/>
      <c r="D262" s="2"/>
      <c r="E262" s="2"/>
      <c r="F262" s="2"/>
      <c r="G262" s="2"/>
      <c r="H262" s="2"/>
      <c r="I262" s="2"/>
      <c r="J262" s="2"/>
      <c r="K262" s="2"/>
      <c r="L262" s="2"/>
      <c r="M262" s="2"/>
      <c r="N262" s="2"/>
      <c r="O262" s="2"/>
      <c r="P262" s="2"/>
      <c r="Q262" s="2"/>
      <c r="R262" s="2"/>
      <c r="S262" s="2"/>
      <c r="T262" s="2"/>
      <c r="U262" s="2"/>
      <c r="V262" s="2"/>
      <c r="W262" s="2"/>
    </row>
    <row r="263">
      <c r="A263" s="2"/>
      <c r="B263" s="2"/>
      <c r="C263" s="2"/>
      <c r="D263" s="2"/>
      <c r="E263" s="2"/>
      <c r="F263" s="2"/>
      <c r="G263" s="2"/>
      <c r="H263" s="2"/>
      <c r="I263" s="2"/>
      <c r="J263" s="2"/>
      <c r="K263" s="2"/>
      <c r="L263" s="2"/>
      <c r="M263" s="2"/>
      <c r="N263" s="2"/>
      <c r="O263" s="2"/>
      <c r="P263" s="2"/>
      <c r="Q263" s="2"/>
      <c r="R263" s="2"/>
      <c r="S263" s="2"/>
      <c r="T263" s="2"/>
      <c r="U263" s="2"/>
      <c r="V263" s="2"/>
      <c r="W263" s="2"/>
    </row>
    <row r="264">
      <c r="A264" s="2"/>
      <c r="B264" s="2"/>
      <c r="C264" s="2"/>
      <c r="D264" s="2"/>
      <c r="E264" s="2"/>
      <c r="F264" s="2"/>
      <c r="G264" s="2"/>
      <c r="H264" s="2"/>
      <c r="I264" s="2"/>
      <c r="J264" s="2"/>
      <c r="K264" s="2"/>
      <c r="L264" s="2"/>
      <c r="M264" s="2"/>
      <c r="N264" s="2"/>
      <c r="O264" s="2"/>
      <c r="P264" s="2"/>
      <c r="Q264" s="2"/>
      <c r="R264" s="2"/>
      <c r="S264" s="2"/>
      <c r="T264" s="2"/>
      <c r="U264" s="2"/>
      <c r="V264" s="2"/>
      <c r="W264" s="2"/>
    </row>
    <row r="265">
      <c r="A265" s="2"/>
      <c r="B265" s="2"/>
      <c r="C265" s="2"/>
      <c r="D265" s="2"/>
      <c r="E265" s="2"/>
      <c r="F265" s="2"/>
      <c r="G265" s="2"/>
      <c r="H265" s="2"/>
      <c r="I265" s="2"/>
      <c r="J265" s="2"/>
      <c r="K265" s="2"/>
      <c r="L265" s="2"/>
      <c r="M265" s="2"/>
      <c r="N265" s="2"/>
      <c r="O265" s="2"/>
      <c r="P265" s="2"/>
      <c r="Q265" s="2"/>
      <c r="R265" s="2"/>
      <c r="S265" s="2"/>
      <c r="T265" s="2"/>
      <c r="U265" s="2"/>
      <c r="V265" s="2"/>
      <c r="W265" s="2"/>
    </row>
    <row r="266">
      <c r="A266" s="2"/>
      <c r="B266" s="2"/>
      <c r="C266" s="2"/>
      <c r="D266" s="2"/>
      <c r="E266" s="2"/>
      <c r="F266" s="2"/>
      <c r="G266" s="2"/>
      <c r="H266" s="2"/>
      <c r="I266" s="2"/>
      <c r="J266" s="2"/>
      <c r="K266" s="2"/>
      <c r="L266" s="2"/>
      <c r="M266" s="2"/>
      <c r="N266" s="2"/>
      <c r="O266" s="2"/>
      <c r="P266" s="2"/>
      <c r="Q266" s="2"/>
      <c r="R266" s="2"/>
      <c r="S266" s="2"/>
      <c r="T266" s="2"/>
      <c r="U266" s="2"/>
      <c r="V266" s="2"/>
      <c r="W266" s="2"/>
    </row>
    <row r="267">
      <c r="A267" s="2"/>
      <c r="B267" s="2"/>
      <c r="C267" s="2"/>
      <c r="D267" s="2"/>
      <c r="E267" s="2"/>
      <c r="F267" s="2"/>
      <c r="G267" s="2"/>
      <c r="H267" s="2"/>
      <c r="I267" s="2"/>
      <c r="J267" s="2"/>
      <c r="K267" s="2"/>
      <c r="L267" s="2"/>
      <c r="M267" s="2"/>
      <c r="N267" s="2"/>
      <c r="O267" s="2"/>
      <c r="P267" s="2"/>
      <c r="Q267" s="2"/>
      <c r="R267" s="2"/>
      <c r="S267" s="2"/>
      <c r="T267" s="2"/>
      <c r="U267" s="2"/>
      <c r="V267" s="2"/>
      <c r="W267" s="2"/>
    </row>
    <row r="268">
      <c r="A268" s="2"/>
      <c r="B268" s="2"/>
      <c r="C268" s="2"/>
      <c r="D268" s="2"/>
      <c r="E268" s="2"/>
      <c r="F268" s="2"/>
      <c r="G268" s="2"/>
      <c r="H268" s="2"/>
      <c r="I268" s="2"/>
      <c r="J268" s="2"/>
      <c r="K268" s="2"/>
      <c r="L268" s="2"/>
      <c r="M268" s="2"/>
      <c r="N268" s="2"/>
      <c r="O268" s="2"/>
      <c r="P268" s="2"/>
      <c r="Q268" s="2"/>
      <c r="R268" s="2"/>
      <c r="S268" s="2"/>
      <c r="T268" s="2"/>
      <c r="U268" s="2"/>
      <c r="V268" s="2"/>
      <c r="W268" s="2"/>
    </row>
    <row r="269">
      <c r="A269" s="2"/>
      <c r="B269" s="2"/>
      <c r="C269" s="2"/>
      <c r="D269" s="2"/>
      <c r="E269" s="2"/>
      <c r="F269" s="2"/>
      <c r="G269" s="2"/>
      <c r="H269" s="2"/>
      <c r="I269" s="2"/>
      <c r="J269" s="2"/>
      <c r="K269" s="2"/>
      <c r="L269" s="2"/>
      <c r="M269" s="2"/>
      <c r="N269" s="2"/>
      <c r="O269" s="2"/>
      <c r="P269" s="2"/>
      <c r="Q269" s="2"/>
      <c r="R269" s="2"/>
      <c r="S269" s="2"/>
      <c r="T269" s="2"/>
      <c r="U269" s="2"/>
      <c r="V269" s="2"/>
      <c r="W269" s="2"/>
    </row>
    <row r="270">
      <c r="A270" s="2"/>
      <c r="B270" s="2"/>
      <c r="C270" s="2"/>
      <c r="D270" s="2"/>
      <c r="E270" s="2"/>
      <c r="F270" s="2"/>
      <c r="G270" s="2"/>
      <c r="H270" s="2"/>
      <c r="I270" s="2"/>
      <c r="J270" s="2"/>
      <c r="K270" s="2"/>
      <c r="L270" s="2"/>
      <c r="M270" s="2"/>
      <c r="N270" s="2"/>
      <c r="O270" s="2"/>
      <c r="P270" s="2"/>
      <c r="Q270" s="2"/>
      <c r="R270" s="2"/>
      <c r="S270" s="2"/>
      <c r="T270" s="2"/>
      <c r="U270" s="2"/>
      <c r="V270" s="2"/>
      <c r="W270" s="2"/>
    </row>
    <row r="271">
      <c r="A271" s="2"/>
      <c r="B271" s="2"/>
      <c r="C271" s="2"/>
      <c r="D271" s="2"/>
      <c r="E271" s="2"/>
      <c r="F271" s="2"/>
      <c r="G271" s="2"/>
      <c r="H271" s="2"/>
      <c r="I271" s="2"/>
      <c r="J271" s="2"/>
      <c r="K271" s="2"/>
      <c r="L271" s="2"/>
      <c r="M271" s="2"/>
      <c r="N271" s="2"/>
      <c r="O271" s="2"/>
      <c r="P271" s="2"/>
      <c r="Q271" s="2"/>
      <c r="R271" s="2"/>
      <c r="S271" s="2"/>
      <c r="T271" s="2"/>
      <c r="U271" s="2"/>
      <c r="V271" s="2"/>
      <c r="W271" s="2"/>
    </row>
    <row r="272">
      <c r="A272" s="2"/>
      <c r="B272" s="2"/>
      <c r="C272" s="2"/>
      <c r="D272" s="2"/>
      <c r="E272" s="2"/>
      <c r="F272" s="2"/>
      <c r="G272" s="2"/>
      <c r="H272" s="2"/>
      <c r="I272" s="2"/>
      <c r="J272" s="2"/>
      <c r="K272" s="2"/>
      <c r="L272" s="2"/>
      <c r="M272" s="2"/>
      <c r="N272" s="2"/>
      <c r="O272" s="2"/>
      <c r="P272" s="2"/>
      <c r="Q272" s="2"/>
      <c r="R272" s="2"/>
      <c r="S272" s="2"/>
      <c r="T272" s="2"/>
      <c r="U272" s="2"/>
      <c r="V272" s="2"/>
      <c r="W272" s="2"/>
    </row>
    <row r="273">
      <c r="A273" s="2"/>
      <c r="B273" s="2"/>
      <c r="C273" s="2"/>
      <c r="D273" s="2"/>
      <c r="E273" s="2"/>
      <c r="F273" s="2"/>
      <c r="G273" s="2"/>
      <c r="H273" s="2"/>
      <c r="I273" s="2"/>
      <c r="J273" s="2"/>
      <c r="K273" s="2"/>
      <c r="L273" s="2"/>
      <c r="M273" s="2"/>
      <c r="N273" s="2"/>
      <c r="O273" s="2"/>
      <c r="P273" s="2"/>
      <c r="Q273" s="2"/>
      <c r="R273" s="2"/>
      <c r="S273" s="2"/>
      <c r="T273" s="2"/>
      <c r="U273" s="2"/>
      <c r="V273" s="2"/>
      <c r="W273" s="2"/>
    </row>
    <row r="274">
      <c r="A274" s="2"/>
      <c r="B274" s="2"/>
      <c r="C274" s="2"/>
      <c r="D274" s="2"/>
      <c r="E274" s="2"/>
      <c r="F274" s="2"/>
      <c r="G274" s="2"/>
      <c r="H274" s="2"/>
      <c r="I274" s="2"/>
      <c r="J274" s="2"/>
      <c r="K274" s="2"/>
      <c r="L274" s="2"/>
      <c r="M274" s="2"/>
      <c r="N274" s="2"/>
      <c r="O274" s="2"/>
      <c r="P274" s="2"/>
      <c r="Q274" s="2"/>
      <c r="R274" s="2"/>
      <c r="S274" s="2"/>
      <c r="T274" s="2"/>
      <c r="U274" s="2"/>
      <c r="V274" s="2"/>
      <c r="W274" s="2"/>
    </row>
    <row r="275">
      <c r="A275" s="2"/>
      <c r="B275" s="2"/>
      <c r="C275" s="2"/>
      <c r="D275" s="2"/>
      <c r="E275" s="2"/>
      <c r="F275" s="2"/>
      <c r="G275" s="2"/>
      <c r="H275" s="2"/>
      <c r="I275" s="2"/>
      <c r="J275" s="2"/>
      <c r="K275" s="2"/>
      <c r="L275" s="2"/>
      <c r="M275" s="2"/>
      <c r="N275" s="2"/>
      <c r="O275" s="2"/>
      <c r="P275" s="2"/>
      <c r="Q275" s="2"/>
      <c r="R275" s="2"/>
      <c r="S275" s="2"/>
      <c r="T275" s="2"/>
      <c r="U275" s="2"/>
      <c r="V275" s="2"/>
      <c r="W275" s="2"/>
    </row>
    <row r="276">
      <c r="A276" s="2"/>
      <c r="B276" s="2"/>
      <c r="C276" s="2"/>
      <c r="D276" s="2"/>
      <c r="E276" s="2"/>
      <c r="F276" s="2"/>
      <c r="G276" s="2"/>
      <c r="H276" s="2"/>
      <c r="I276" s="2"/>
      <c r="J276" s="2"/>
      <c r="K276" s="2"/>
      <c r="L276" s="2"/>
      <c r="M276" s="2"/>
      <c r="N276" s="2"/>
      <c r="O276" s="2"/>
      <c r="P276" s="2"/>
      <c r="Q276" s="2"/>
      <c r="R276" s="2"/>
      <c r="S276" s="2"/>
      <c r="T276" s="2"/>
      <c r="U276" s="2"/>
      <c r="V276" s="2"/>
      <c r="W276" s="2"/>
    </row>
    <row r="277">
      <c r="A277" s="2"/>
      <c r="B277" s="2"/>
      <c r="C277" s="2"/>
      <c r="D277" s="2"/>
      <c r="E277" s="2"/>
      <c r="F277" s="2"/>
      <c r="G277" s="2"/>
      <c r="H277" s="2"/>
      <c r="I277" s="2"/>
      <c r="J277" s="2"/>
      <c r="K277" s="2"/>
      <c r="L277" s="2"/>
      <c r="M277" s="2"/>
      <c r="N277" s="2"/>
      <c r="O277" s="2"/>
      <c r="P277" s="2"/>
      <c r="Q277" s="2"/>
      <c r="R277" s="2"/>
      <c r="S277" s="2"/>
      <c r="T277" s="2"/>
      <c r="U277" s="2"/>
      <c r="V277" s="2"/>
      <c r="W277" s="2"/>
    </row>
    <row r="278">
      <c r="A278" s="2"/>
      <c r="B278" s="2"/>
      <c r="C278" s="2"/>
      <c r="D278" s="2"/>
      <c r="E278" s="2"/>
      <c r="F278" s="2"/>
      <c r="G278" s="2"/>
      <c r="H278" s="2"/>
      <c r="I278" s="2"/>
      <c r="J278" s="2"/>
      <c r="K278" s="2"/>
      <c r="L278" s="2"/>
      <c r="M278" s="2"/>
      <c r="N278" s="2"/>
      <c r="O278" s="2"/>
      <c r="P278" s="2"/>
      <c r="Q278" s="2"/>
      <c r="R278" s="2"/>
      <c r="S278" s="2"/>
      <c r="T278" s="2"/>
      <c r="U278" s="2"/>
      <c r="V278" s="2"/>
      <c r="W278" s="2"/>
    </row>
    <row r="279">
      <c r="A279" s="2"/>
      <c r="B279" s="2"/>
      <c r="C279" s="2"/>
      <c r="D279" s="2"/>
      <c r="E279" s="2"/>
      <c r="F279" s="2"/>
      <c r="G279" s="2"/>
      <c r="H279" s="2"/>
      <c r="I279" s="2"/>
      <c r="J279" s="2"/>
      <c r="K279" s="2"/>
      <c r="L279" s="2"/>
      <c r="M279" s="2"/>
      <c r="N279" s="2"/>
      <c r="O279" s="2"/>
      <c r="P279" s="2"/>
      <c r="Q279" s="2"/>
      <c r="R279" s="2"/>
      <c r="S279" s="2"/>
      <c r="T279" s="2"/>
      <c r="U279" s="2"/>
      <c r="V279" s="2"/>
      <c r="W279" s="2"/>
    </row>
    <row r="280">
      <c r="A280" s="2"/>
      <c r="B280" s="2"/>
      <c r="C280" s="2"/>
      <c r="D280" s="2"/>
      <c r="E280" s="2"/>
      <c r="F280" s="2"/>
      <c r="G280" s="2"/>
      <c r="H280" s="2"/>
      <c r="I280" s="2"/>
      <c r="J280" s="2"/>
      <c r="K280" s="2"/>
      <c r="L280" s="2"/>
      <c r="M280" s="2"/>
      <c r="N280" s="2"/>
      <c r="O280" s="2"/>
      <c r="P280" s="2"/>
      <c r="Q280" s="2"/>
      <c r="R280" s="2"/>
      <c r="S280" s="2"/>
      <c r="T280" s="2"/>
      <c r="U280" s="2"/>
      <c r="V280" s="2"/>
      <c r="W280" s="2"/>
    </row>
    <row r="281">
      <c r="A281" s="2"/>
      <c r="B281" s="2"/>
      <c r="C281" s="2"/>
      <c r="D281" s="2"/>
      <c r="E281" s="2"/>
      <c r="F281" s="2"/>
      <c r="G281" s="2"/>
      <c r="H281" s="2"/>
      <c r="I281" s="2"/>
      <c r="J281" s="2"/>
      <c r="K281" s="2"/>
      <c r="L281" s="2"/>
      <c r="M281" s="2"/>
      <c r="N281" s="2"/>
      <c r="O281" s="2"/>
      <c r="P281" s="2"/>
      <c r="Q281" s="2"/>
      <c r="R281" s="2"/>
      <c r="S281" s="2"/>
      <c r="T281" s="2"/>
      <c r="U281" s="2"/>
      <c r="V281" s="2"/>
      <c r="W281" s="2"/>
    </row>
    <row r="282">
      <c r="A282" s="2"/>
      <c r="B282" s="2"/>
      <c r="C282" s="2"/>
      <c r="D282" s="2"/>
      <c r="E282" s="2"/>
      <c r="F282" s="2"/>
      <c r="G282" s="2"/>
      <c r="H282" s="2"/>
      <c r="I282" s="2"/>
      <c r="J282" s="2"/>
      <c r="K282" s="2"/>
      <c r="L282" s="2"/>
      <c r="M282" s="2"/>
      <c r="N282" s="2"/>
      <c r="O282" s="2"/>
      <c r="P282" s="2"/>
      <c r="Q282" s="2"/>
      <c r="R282" s="2"/>
      <c r="S282" s="2"/>
      <c r="T282" s="2"/>
      <c r="U282" s="2"/>
      <c r="V282" s="2"/>
      <c r="W282" s="2"/>
    </row>
    <row r="283">
      <c r="A283" s="2"/>
      <c r="B283" s="2"/>
      <c r="C283" s="2"/>
      <c r="D283" s="2"/>
      <c r="E283" s="2"/>
      <c r="F283" s="2"/>
      <c r="G283" s="2"/>
      <c r="H283" s="2"/>
      <c r="I283" s="2"/>
      <c r="J283" s="2"/>
      <c r="K283" s="2"/>
      <c r="L283" s="2"/>
      <c r="M283" s="2"/>
      <c r="N283" s="2"/>
      <c r="O283" s="2"/>
      <c r="P283" s="2"/>
      <c r="Q283" s="2"/>
      <c r="R283" s="2"/>
      <c r="S283" s="2"/>
      <c r="T283" s="2"/>
      <c r="U283" s="2"/>
      <c r="V283" s="2"/>
      <c r="W283" s="2"/>
    </row>
    <row r="284">
      <c r="A284" s="2"/>
      <c r="B284" s="2"/>
      <c r="C284" s="2"/>
      <c r="D284" s="2"/>
      <c r="E284" s="2"/>
      <c r="F284" s="2"/>
      <c r="G284" s="2"/>
      <c r="H284" s="2"/>
      <c r="I284" s="2"/>
      <c r="J284" s="2"/>
      <c r="K284" s="2"/>
      <c r="L284" s="2"/>
      <c r="M284" s="2"/>
      <c r="N284" s="2"/>
      <c r="O284" s="2"/>
      <c r="P284" s="2"/>
      <c r="Q284" s="2"/>
      <c r="R284" s="2"/>
      <c r="S284" s="2"/>
      <c r="T284" s="2"/>
      <c r="U284" s="2"/>
      <c r="V284" s="2"/>
      <c r="W284" s="2"/>
    </row>
    <row r="285">
      <c r="A285" s="2"/>
      <c r="B285" s="2"/>
      <c r="C285" s="2"/>
      <c r="D285" s="2"/>
      <c r="E285" s="2"/>
      <c r="F285" s="2"/>
      <c r="G285" s="2"/>
      <c r="H285" s="2"/>
      <c r="I285" s="2"/>
      <c r="J285" s="2"/>
      <c r="K285" s="2"/>
      <c r="L285" s="2"/>
      <c r="M285" s="2"/>
      <c r="N285" s="2"/>
      <c r="O285" s="2"/>
      <c r="P285" s="2"/>
      <c r="Q285" s="2"/>
      <c r="R285" s="2"/>
      <c r="S285" s="2"/>
      <c r="T285" s="2"/>
      <c r="U285" s="2"/>
      <c r="V285" s="2"/>
      <c r="W285" s="2"/>
    </row>
    <row r="286">
      <c r="A286" s="2"/>
      <c r="B286" s="2"/>
      <c r="C286" s="2"/>
      <c r="D286" s="2"/>
      <c r="E286" s="2"/>
      <c r="F286" s="2"/>
      <c r="G286" s="2"/>
      <c r="H286" s="2"/>
      <c r="I286" s="2"/>
      <c r="J286" s="2"/>
      <c r="K286" s="2"/>
      <c r="L286" s="2"/>
      <c r="M286" s="2"/>
      <c r="N286" s="2"/>
      <c r="O286" s="2"/>
      <c r="P286" s="2"/>
      <c r="Q286" s="2"/>
      <c r="R286" s="2"/>
      <c r="S286" s="2"/>
      <c r="T286" s="2"/>
      <c r="U286" s="2"/>
      <c r="V286" s="2"/>
      <c r="W286" s="2"/>
    </row>
    <row r="287">
      <c r="A287" s="2"/>
      <c r="B287" s="2"/>
      <c r="C287" s="2"/>
      <c r="D287" s="2"/>
      <c r="E287" s="2"/>
      <c r="F287" s="2"/>
      <c r="G287" s="2"/>
      <c r="H287" s="2"/>
      <c r="I287" s="2"/>
      <c r="J287" s="2"/>
      <c r="K287" s="2"/>
      <c r="L287" s="2"/>
      <c r="M287" s="2"/>
      <c r="N287" s="2"/>
      <c r="O287" s="2"/>
      <c r="P287" s="2"/>
      <c r="Q287" s="2"/>
      <c r="R287" s="2"/>
      <c r="S287" s="2"/>
      <c r="T287" s="2"/>
      <c r="U287" s="2"/>
      <c r="V287" s="2"/>
      <c r="W287" s="2"/>
    </row>
    <row r="288">
      <c r="A288" s="2"/>
      <c r="B288" s="2"/>
      <c r="C288" s="2"/>
      <c r="D288" s="2"/>
      <c r="E288" s="2"/>
      <c r="F288" s="2"/>
      <c r="G288" s="2"/>
      <c r="H288" s="2"/>
      <c r="I288" s="2"/>
      <c r="J288" s="2"/>
      <c r="K288" s="2"/>
      <c r="L288" s="2"/>
      <c r="M288" s="2"/>
      <c r="N288" s="2"/>
      <c r="O288" s="2"/>
      <c r="P288" s="2"/>
      <c r="Q288" s="2"/>
      <c r="R288" s="2"/>
      <c r="S288" s="2"/>
      <c r="T288" s="2"/>
      <c r="U288" s="2"/>
      <c r="V288" s="2"/>
      <c r="W288" s="2"/>
    </row>
    <row r="289">
      <c r="A289" s="2"/>
      <c r="B289" s="2"/>
      <c r="C289" s="2"/>
      <c r="D289" s="2"/>
      <c r="E289" s="2"/>
      <c r="F289" s="2"/>
      <c r="G289" s="2"/>
      <c r="H289" s="2"/>
      <c r="I289" s="2"/>
      <c r="J289" s="2"/>
      <c r="K289" s="2"/>
      <c r="L289" s="2"/>
      <c r="M289" s="2"/>
      <c r="N289" s="2"/>
      <c r="O289" s="2"/>
      <c r="P289" s="2"/>
      <c r="Q289" s="2"/>
      <c r="R289" s="2"/>
      <c r="S289" s="2"/>
      <c r="T289" s="2"/>
      <c r="U289" s="2"/>
      <c r="V289" s="2"/>
      <c r="W289" s="2"/>
    </row>
    <row r="290">
      <c r="A290" s="2"/>
      <c r="B290" s="2"/>
      <c r="C290" s="2"/>
      <c r="D290" s="2"/>
      <c r="E290" s="2"/>
      <c r="F290" s="2"/>
      <c r="G290" s="2"/>
      <c r="H290" s="2"/>
      <c r="I290" s="2"/>
      <c r="J290" s="2"/>
      <c r="K290" s="2"/>
      <c r="L290" s="2"/>
      <c r="M290" s="2"/>
      <c r="N290" s="2"/>
      <c r="O290" s="2"/>
      <c r="P290" s="2"/>
      <c r="Q290" s="2"/>
      <c r="R290" s="2"/>
      <c r="S290" s="2"/>
      <c r="T290" s="2"/>
      <c r="U290" s="2"/>
      <c r="V290" s="2"/>
      <c r="W290" s="2"/>
    </row>
    <row r="291">
      <c r="A291" s="2"/>
      <c r="B291" s="2"/>
      <c r="C291" s="2"/>
      <c r="D291" s="2"/>
      <c r="E291" s="2"/>
      <c r="F291" s="2"/>
      <c r="G291" s="2"/>
      <c r="H291" s="2"/>
      <c r="I291" s="2"/>
      <c r="J291" s="2"/>
      <c r="K291" s="2"/>
      <c r="L291" s="2"/>
      <c r="M291" s="2"/>
      <c r="N291" s="2"/>
      <c r="O291" s="2"/>
      <c r="P291" s="2"/>
      <c r="Q291" s="2"/>
      <c r="R291" s="2"/>
      <c r="S291" s="2"/>
      <c r="T291" s="2"/>
      <c r="U291" s="2"/>
      <c r="V291" s="2"/>
      <c r="W291" s="2"/>
    </row>
    <row r="292">
      <c r="A292" s="2"/>
      <c r="B292" s="2"/>
      <c r="C292" s="2"/>
      <c r="D292" s="2"/>
      <c r="E292" s="2"/>
      <c r="F292" s="2"/>
      <c r="G292" s="2"/>
      <c r="H292" s="2"/>
      <c r="I292" s="2"/>
      <c r="J292" s="2"/>
      <c r="K292" s="2"/>
      <c r="L292" s="2"/>
      <c r="M292" s="2"/>
      <c r="N292" s="2"/>
      <c r="O292" s="2"/>
      <c r="P292" s="2"/>
      <c r="Q292" s="2"/>
      <c r="R292" s="2"/>
      <c r="S292" s="2"/>
      <c r="T292" s="2"/>
      <c r="U292" s="2"/>
      <c r="V292" s="2"/>
      <c r="W292" s="2"/>
    </row>
    <row r="293">
      <c r="A293" s="2"/>
      <c r="B293" s="2"/>
      <c r="C293" s="2"/>
      <c r="D293" s="2"/>
      <c r="E293" s="2"/>
      <c r="F293" s="2"/>
      <c r="G293" s="2"/>
      <c r="H293" s="2"/>
      <c r="I293" s="2"/>
      <c r="J293" s="2"/>
      <c r="K293" s="2"/>
      <c r="L293" s="2"/>
      <c r="M293" s="2"/>
      <c r="N293" s="2"/>
      <c r="O293" s="2"/>
      <c r="P293" s="2"/>
      <c r="Q293" s="2"/>
      <c r="R293" s="2"/>
      <c r="S293" s="2"/>
      <c r="T293" s="2"/>
      <c r="U293" s="2"/>
      <c r="V293" s="2"/>
      <c r="W293" s="2"/>
    </row>
    <row r="294">
      <c r="A294" s="2"/>
      <c r="B294" s="2"/>
      <c r="C294" s="2"/>
      <c r="D294" s="2"/>
      <c r="E294" s="2"/>
      <c r="F294" s="2"/>
      <c r="G294" s="2"/>
      <c r="H294" s="2"/>
      <c r="I294" s="2"/>
      <c r="J294" s="2"/>
      <c r="K294" s="2"/>
      <c r="L294" s="2"/>
      <c r="M294" s="2"/>
      <c r="N294" s="2"/>
      <c r="O294" s="2"/>
      <c r="P294" s="2"/>
      <c r="Q294" s="2"/>
      <c r="R294" s="2"/>
      <c r="S294" s="2"/>
      <c r="T294" s="2"/>
      <c r="U294" s="2"/>
      <c r="V294" s="2"/>
      <c r="W294" s="2"/>
    </row>
    <row r="295">
      <c r="A295" s="2"/>
      <c r="B295" s="2"/>
      <c r="C295" s="2"/>
      <c r="D295" s="2"/>
      <c r="E295" s="2"/>
      <c r="F295" s="2"/>
      <c r="G295" s="2"/>
      <c r="H295" s="2"/>
      <c r="I295" s="2"/>
      <c r="J295" s="2"/>
      <c r="K295" s="2"/>
      <c r="L295" s="2"/>
      <c r="M295" s="2"/>
      <c r="N295" s="2"/>
      <c r="O295" s="2"/>
      <c r="P295" s="2"/>
      <c r="Q295" s="2"/>
      <c r="R295" s="2"/>
      <c r="S295" s="2"/>
      <c r="T295" s="2"/>
      <c r="U295" s="2"/>
      <c r="V295" s="2"/>
      <c r="W295" s="2"/>
    </row>
    <row r="296">
      <c r="A296" s="2"/>
      <c r="B296" s="2"/>
      <c r="C296" s="2"/>
      <c r="D296" s="2"/>
      <c r="E296" s="2"/>
      <c r="F296" s="2"/>
      <c r="G296" s="2"/>
      <c r="H296" s="2"/>
      <c r="I296" s="2"/>
      <c r="J296" s="2"/>
      <c r="K296" s="2"/>
      <c r="L296" s="2"/>
      <c r="M296" s="2"/>
      <c r="N296" s="2"/>
      <c r="O296" s="2"/>
      <c r="P296" s="2"/>
      <c r="Q296" s="2"/>
      <c r="R296" s="2"/>
      <c r="S296" s="2"/>
      <c r="T296" s="2"/>
      <c r="U296" s="2"/>
      <c r="V296" s="2"/>
      <c r="W296" s="2"/>
    </row>
    <row r="297">
      <c r="A297" s="2"/>
      <c r="B297" s="2"/>
      <c r="C297" s="2"/>
      <c r="D297" s="2"/>
      <c r="E297" s="2"/>
      <c r="F297" s="2"/>
      <c r="G297" s="2"/>
      <c r="H297" s="2"/>
      <c r="I297" s="2"/>
      <c r="J297" s="2"/>
      <c r="K297" s="2"/>
      <c r="L297" s="2"/>
      <c r="M297" s="2"/>
      <c r="N297" s="2"/>
      <c r="O297" s="2"/>
      <c r="P297" s="2"/>
      <c r="Q297" s="2"/>
      <c r="R297" s="2"/>
      <c r="S297" s="2"/>
      <c r="T297" s="2"/>
      <c r="U297" s="2"/>
      <c r="V297" s="2"/>
      <c r="W297" s="2"/>
    </row>
    <row r="298">
      <c r="A298" s="2"/>
      <c r="B298" s="2"/>
      <c r="C298" s="2"/>
      <c r="D298" s="2"/>
      <c r="E298" s="2"/>
      <c r="F298" s="2"/>
      <c r="G298" s="2"/>
      <c r="H298" s="2"/>
      <c r="I298" s="2"/>
      <c r="J298" s="2"/>
      <c r="K298" s="2"/>
      <c r="L298" s="2"/>
      <c r="M298" s="2"/>
      <c r="N298" s="2"/>
      <c r="O298" s="2"/>
      <c r="P298" s="2"/>
      <c r="Q298" s="2"/>
      <c r="R298" s="2"/>
      <c r="S298" s="2"/>
      <c r="T298" s="2"/>
      <c r="U298" s="2"/>
      <c r="V298" s="2"/>
      <c r="W298" s="2"/>
    </row>
    <row r="299">
      <c r="A299" s="2"/>
      <c r="B299" s="2"/>
      <c r="C299" s="2"/>
      <c r="D299" s="2"/>
      <c r="E299" s="2"/>
      <c r="F299" s="2"/>
      <c r="G299" s="2"/>
      <c r="H299" s="2"/>
      <c r="I299" s="2"/>
      <c r="J299" s="2"/>
      <c r="K299" s="2"/>
      <c r="L299" s="2"/>
      <c r="M299" s="2"/>
      <c r="N299" s="2"/>
      <c r="O299" s="2"/>
      <c r="P299" s="2"/>
      <c r="Q299" s="2"/>
      <c r="R299" s="2"/>
      <c r="S299" s="2"/>
      <c r="T299" s="2"/>
      <c r="U299" s="2"/>
      <c r="V299" s="2"/>
      <c r="W299" s="2"/>
    </row>
    <row r="300">
      <c r="A300" s="2"/>
      <c r="B300" s="2"/>
      <c r="C300" s="2"/>
      <c r="D300" s="2"/>
      <c r="E300" s="2"/>
      <c r="F300" s="2"/>
      <c r="G300" s="2"/>
      <c r="H300" s="2"/>
      <c r="I300" s="2"/>
      <c r="J300" s="2"/>
      <c r="K300" s="2"/>
      <c r="L300" s="2"/>
      <c r="M300" s="2"/>
      <c r="N300" s="2"/>
      <c r="O300" s="2"/>
      <c r="P300" s="2"/>
      <c r="Q300" s="2"/>
      <c r="R300" s="2"/>
      <c r="S300" s="2"/>
      <c r="T300" s="2"/>
      <c r="U300" s="2"/>
      <c r="V300" s="2"/>
      <c r="W300" s="2"/>
    </row>
    <row r="301">
      <c r="A301" s="2"/>
      <c r="B301" s="2"/>
      <c r="C301" s="2"/>
      <c r="D301" s="2"/>
      <c r="E301" s="2"/>
      <c r="F301" s="2"/>
      <c r="G301" s="2"/>
      <c r="H301" s="2"/>
      <c r="I301" s="2"/>
      <c r="J301" s="2"/>
      <c r="K301" s="2"/>
      <c r="L301" s="2"/>
      <c r="M301" s="2"/>
      <c r="N301" s="2"/>
      <c r="O301" s="2"/>
      <c r="P301" s="2"/>
      <c r="Q301" s="2"/>
      <c r="R301" s="2"/>
      <c r="S301" s="2"/>
      <c r="T301" s="2"/>
      <c r="U301" s="2"/>
      <c r="V301" s="2"/>
      <c r="W301" s="2"/>
    </row>
    <row r="302">
      <c r="A302" s="2"/>
      <c r="B302" s="2"/>
      <c r="C302" s="2"/>
      <c r="D302" s="2"/>
      <c r="E302" s="2"/>
      <c r="F302" s="2"/>
      <c r="G302" s="2"/>
      <c r="H302" s="2"/>
      <c r="I302" s="2"/>
      <c r="J302" s="2"/>
      <c r="K302" s="2"/>
      <c r="L302" s="2"/>
      <c r="M302" s="2"/>
      <c r="N302" s="2"/>
      <c r="O302" s="2"/>
      <c r="P302" s="2"/>
      <c r="Q302" s="2"/>
      <c r="R302" s="2"/>
      <c r="S302" s="2"/>
      <c r="T302" s="2"/>
      <c r="U302" s="2"/>
      <c r="V302" s="2"/>
      <c r="W302" s="2"/>
    </row>
    <row r="303">
      <c r="A303" s="2"/>
      <c r="B303" s="2"/>
      <c r="C303" s="2"/>
      <c r="D303" s="2"/>
      <c r="E303" s="2"/>
      <c r="F303" s="2"/>
      <c r="G303" s="2"/>
      <c r="H303" s="2"/>
      <c r="I303" s="2"/>
      <c r="J303" s="2"/>
      <c r="K303" s="2"/>
      <c r="L303" s="2"/>
      <c r="M303" s="2"/>
      <c r="N303" s="2"/>
      <c r="O303" s="2"/>
      <c r="P303" s="2"/>
      <c r="Q303" s="2"/>
      <c r="R303" s="2"/>
      <c r="S303" s="2"/>
      <c r="T303" s="2"/>
      <c r="U303" s="2"/>
      <c r="V303" s="2"/>
      <c r="W303" s="2"/>
    </row>
    <row r="304">
      <c r="A304" s="2"/>
      <c r="B304" s="2"/>
      <c r="C304" s="2"/>
      <c r="D304" s="2"/>
      <c r="E304" s="2"/>
      <c r="F304" s="2"/>
      <c r="G304" s="2"/>
      <c r="H304" s="2"/>
      <c r="I304" s="2"/>
      <c r="J304" s="2"/>
      <c r="K304" s="2"/>
      <c r="L304" s="2"/>
      <c r="M304" s="2"/>
      <c r="N304" s="2"/>
      <c r="O304" s="2"/>
      <c r="P304" s="2"/>
      <c r="Q304" s="2"/>
      <c r="R304" s="2"/>
      <c r="S304" s="2"/>
      <c r="T304" s="2"/>
      <c r="U304" s="2"/>
      <c r="V304" s="2"/>
      <c r="W304" s="2"/>
    </row>
    <row r="305">
      <c r="A305" s="2"/>
      <c r="B305" s="2"/>
      <c r="C305" s="2"/>
      <c r="D305" s="2"/>
      <c r="E305" s="2"/>
      <c r="F305" s="2"/>
      <c r="G305" s="2"/>
      <c r="H305" s="2"/>
      <c r="I305" s="2"/>
      <c r="J305" s="2"/>
      <c r="K305" s="2"/>
      <c r="L305" s="2"/>
      <c r="M305" s="2"/>
      <c r="N305" s="2"/>
      <c r="O305" s="2"/>
      <c r="P305" s="2"/>
      <c r="Q305" s="2"/>
      <c r="R305" s="2"/>
      <c r="S305" s="2"/>
      <c r="T305" s="2"/>
      <c r="U305" s="2"/>
      <c r="V305" s="2"/>
      <c r="W305" s="2"/>
    </row>
    <row r="306">
      <c r="A306" s="2"/>
      <c r="B306" s="2"/>
      <c r="C306" s="2"/>
      <c r="D306" s="2"/>
      <c r="E306" s="2"/>
      <c r="F306" s="2"/>
      <c r="G306" s="2"/>
      <c r="H306" s="2"/>
      <c r="I306" s="2"/>
      <c r="J306" s="2"/>
      <c r="K306" s="2"/>
      <c r="L306" s="2"/>
      <c r="M306" s="2"/>
      <c r="N306" s="2"/>
      <c r="O306" s="2"/>
      <c r="P306" s="2"/>
      <c r="Q306" s="2"/>
      <c r="R306" s="2"/>
      <c r="S306" s="2"/>
      <c r="T306" s="2"/>
      <c r="U306" s="2"/>
      <c r="V306" s="2"/>
      <c r="W306" s="2"/>
    </row>
    <row r="307">
      <c r="A307" s="2"/>
      <c r="B307" s="2"/>
      <c r="C307" s="2"/>
      <c r="D307" s="2"/>
      <c r="E307" s="2"/>
      <c r="F307" s="2"/>
      <c r="G307" s="2"/>
      <c r="H307" s="2"/>
      <c r="I307" s="2"/>
      <c r="J307" s="2"/>
      <c r="K307" s="2"/>
      <c r="L307" s="2"/>
      <c r="M307" s="2"/>
      <c r="N307" s="2"/>
      <c r="O307" s="2"/>
      <c r="P307" s="2"/>
      <c r="Q307" s="2"/>
      <c r="R307" s="2"/>
      <c r="S307" s="2"/>
      <c r="T307" s="2"/>
      <c r="U307" s="2"/>
      <c r="V307" s="2"/>
      <c r="W307" s="2"/>
    </row>
    <row r="308">
      <c r="A308" s="2"/>
      <c r="B308" s="2"/>
      <c r="C308" s="2"/>
      <c r="D308" s="2"/>
      <c r="E308" s="2"/>
      <c r="F308" s="2"/>
      <c r="G308" s="2"/>
      <c r="H308" s="2"/>
      <c r="I308" s="2"/>
      <c r="J308" s="2"/>
      <c r="K308" s="2"/>
      <c r="L308" s="2"/>
      <c r="M308" s="2"/>
      <c r="N308" s="2"/>
      <c r="O308" s="2"/>
      <c r="P308" s="2"/>
      <c r="Q308" s="2"/>
      <c r="R308" s="2"/>
      <c r="S308" s="2"/>
      <c r="T308" s="2"/>
      <c r="U308" s="2"/>
      <c r="V308" s="2"/>
      <c r="W308" s="2"/>
    </row>
    <row r="309">
      <c r="A309" s="2"/>
      <c r="B309" s="2"/>
      <c r="C309" s="2"/>
      <c r="D309" s="2"/>
      <c r="E309" s="2"/>
      <c r="F309" s="2"/>
      <c r="G309" s="2"/>
      <c r="H309" s="2"/>
      <c r="I309" s="2"/>
      <c r="J309" s="2"/>
      <c r="K309" s="2"/>
      <c r="L309" s="2"/>
      <c r="M309" s="2"/>
      <c r="N309" s="2"/>
      <c r="O309" s="2"/>
      <c r="P309" s="2"/>
      <c r="Q309" s="2"/>
      <c r="R309" s="2"/>
      <c r="S309" s="2"/>
      <c r="T309" s="2"/>
      <c r="U309" s="2"/>
      <c r="V309" s="2"/>
      <c r="W309" s="2"/>
    </row>
    <row r="310">
      <c r="A310" s="2"/>
      <c r="B310" s="2"/>
      <c r="C310" s="2"/>
      <c r="D310" s="2"/>
      <c r="E310" s="2"/>
      <c r="F310" s="2"/>
      <c r="G310" s="2"/>
      <c r="H310" s="2"/>
      <c r="I310" s="2"/>
      <c r="J310" s="2"/>
      <c r="K310" s="2"/>
      <c r="L310" s="2"/>
      <c r="M310" s="2"/>
      <c r="N310" s="2"/>
      <c r="O310" s="2"/>
      <c r="P310" s="2"/>
      <c r="Q310" s="2"/>
      <c r="R310" s="2"/>
      <c r="S310" s="2"/>
      <c r="T310" s="2"/>
      <c r="U310" s="2"/>
      <c r="V310" s="2"/>
      <c r="W310" s="2"/>
    </row>
    <row r="311">
      <c r="A311" s="2"/>
      <c r="B311" s="2"/>
      <c r="C311" s="2"/>
      <c r="D311" s="2"/>
      <c r="E311" s="2"/>
      <c r="F311" s="2"/>
      <c r="G311" s="2"/>
      <c r="H311" s="2"/>
      <c r="I311" s="2"/>
      <c r="J311" s="2"/>
      <c r="K311" s="2"/>
      <c r="L311" s="2"/>
      <c r="M311" s="2"/>
      <c r="N311" s="2"/>
      <c r="O311" s="2"/>
      <c r="P311" s="2"/>
      <c r="Q311" s="2"/>
      <c r="R311" s="2"/>
      <c r="S311" s="2"/>
      <c r="T311" s="2"/>
      <c r="U311" s="2"/>
      <c r="V311" s="2"/>
      <c r="W311" s="2"/>
    </row>
    <row r="312">
      <c r="A312" s="2"/>
      <c r="B312" s="2"/>
      <c r="C312" s="2"/>
      <c r="D312" s="2"/>
      <c r="E312" s="2"/>
      <c r="F312" s="2"/>
      <c r="G312" s="2"/>
      <c r="H312" s="2"/>
      <c r="I312" s="2"/>
      <c r="J312" s="2"/>
      <c r="K312" s="2"/>
      <c r="L312" s="2"/>
      <c r="M312" s="2"/>
      <c r="N312" s="2"/>
      <c r="O312" s="2"/>
      <c r="P312" s="2"/>
      <c r="Q312" s="2"/>
      <c r="R312" s="2"/>
      <c r="S312" s="2"/>
      <c r="T312" s="2"/>
      <c r="U312" s="2"/>
      <c r="V312" s="2"/>
      <c r="W312" s="2"/>
    </row>
    <row r="313">
      <c r="A313" s="2"/>
      <c r="B313" s="2"/>
      <c r="C313" s="2"/>
      <c r="D313" s="2"/>
      <c r="E313" s="2"/>
      <c r="F313" s="2"/>
      <c r="G313" s="2"/>
      <c r="H313" s="2"/>
      <c r="I313" s="2"/>
      <c r="J313" s="2"/>
      <c r="K313" s="2"/>
      <c r="L313" s="2"/>
      <c r="M313" s="2"/>
      <c r="N313" s="2"/>
      <c r="O313" s="2"/>
      <c r="P313" s="2"/>
      <c r="Q313" s="2"/>
      <c r="R313" s="2"/>
      <c r="S313" s="2"/>
      <c r="T313" s="2"/>
      <c r="U313" s="2"/>
      <c r="V313" s="2"/>
      <c r="W313" s="2"/>
    </row>
    <row r="314">
      <c r="A314" s="2"/>
      <c r="B314" s="2"/>
      <c r="C314" s="2"/>
      <c r="D314" s="2"/>
      <c r="E314" s="2"/>
      <c r="F314" s="2"/>
      <c r="G314" s="2"/>
      <c r="H314" s="2"/>
      <c r="I314" s="2"/>
      <c r="J314" s="2"/>
      <c r="K314" s="2"/>
      <c r="L314" s="2"/>
      <c r="M314" s="2"/>
      <c r="N314" s="2"/>
      <c r="O314" s="2"/>
      <c r="P314" s="2"/>
      <c r="Q314" s="2"/>
      <c r="R314" s="2"/>
      <c r="S314" s="2"/>
      <c r="T314" s="2"/>
      <c r="U314" s="2"/>
      <c r="V314" s="2"/>
      <c r="W314" s="2"/>
    </row>
    <row r="315">
      <c r="A315" s="2"/>
      <c r="B315" s="2"/>
      <c r="C315" s="2"/>
      <c r="D315" s="2"/>
      <c r="E315" s="2"/>
      <c r="F315" s="2"/>
      <c r="G315" s="2"/>
      <c r="H315" s="2"/>
      <c r="I315" s="2"/>
      <c r="J315" s="2"/>
      <c r="K315" s="2"/>
      <c r="L315" s="2"/>
      <c r="M315" s="2"/>
      <c r="N315" s="2"/>
      <c r="O315" s="2"/>
      <c r="P315" s="2"/>
      <c r="Q315" s="2"/>
      <c r="R315" s="2"/>
      <c r="S315" s="2"/>
      <c r="T315" s="2"/>
      <c r="U315" s="2"/>
      <c r="V315" s="2"/>
      <c r="W315" s="2"/>
    </row>
    <row r="316">
      <c r="A316" s="2"/>
      <c r="B316" s="2"/>
      <c r="C316" s="2"/>
      <c r="D316" s="2"/>
      <c r="E316" s="2"/>
      <c r="F316" s="2"/>
      <c r="G316" s="2"/>
      <c r="H316" s="2"/>
      <c r="I316" s="2"/>
      <c r="J316" s="2"/>
      <c r="K316" s="2"/>
      <c r="L316" s="2"/>
      <c r="M316" s="2"/>
      <c r="N316" s="2"/>
      <c r="O316" s="2"/>
      <c r="P316" s="2"/>
      <c r="Q316" s="2"/>
      <c r="R316" s="2"/>
      <c r="S316" s="2"/>
      <c r="T316" s="2"/>
      <c r="U316" s="2"/>
      <c r="V316" s="2"/>
      <c r="W316" s="2"/>
    </row>
    <row r="317">
      <c r="A317" s="2"/>
      <c r="B317" s="2"/>
      <c r="C317" s="2"/>
      <c r="D317" s="2"/>
      <c r="E317" s="2"/>
      <c r="F317" s="2"/>
      <c r="G317" s="2"/>
      <c r="H317" s="2"/>
      <c r="I317" s="2"/>
      <c r="J317" s="2"/>
      <c r="K317" s="2"/>
      <c r="L317" s="2"/>
      <c r="M317" s="2"/>
      <c r="N317" s="2"/>
      <c r="O317" s="2"/>
      <c r="P317" s="2"/>
      <c r="Q317" s="2"/>
      <c r="R317" s="2"/>
      <c r="S317" s="2"/>
      <c r="T317" s="2"/>
      <c r="U317" s="2"/>
      <c r="V317" s="2"/>
      <c r="W317" s="2"/>
    </row>
    <row r="318">
      <c r="A318" s="2"/>
      <c r="B318" s="2"/>
      <c r="C318" s="2"/>
      <c r="D318" s="2"/>
      <c r="E318" s="2"/>
      <c r="F318" s="2"/>
      <c r="G318" s="2"/>
      <c r="H318" s="2"/>
      <c r="I318" s="2"/>
      <c r="J318" s="2"/>
      <c r="K318" s="2"/>
      <c r="L318" s="2"/>
      <c r="M318" s="2"/>
      <c r="N318" s="2"/>
      <c r="O318" s="2"/>
      <c r="P318" s="2"/>
      <c r="Q318" s="2"/>
      <c r="R318" s="2"/>
      <c r="S318" s="2"/>
      <c r="T318" s="2"/>
      <c r="U318" s="2"/>
      <c r="V318" s="2"/>
      <c r="W318" s="2"/>
    </row>
    <row r="319">
      <c r="A319" s="2"/>
      <c r="B319" s="2"/>
      <c r="C319" s="2"/>
      <c r="D319" s="2"/>
      <c r="E319" s="2"/>
      <c r="F319" s="2"/>
      <c r="G319" s="2"/>
      <c r="H319" s="2"/>
      <c r="I319" s="2"/>
      <c r="J319" s="2"/>
      <c r="K319" s="2"/>
      <c r="L319" s="2"/>
      <c r="M319" s="2"/>
      <c r="N319" s="2"/>
      <c r="O319" s="2"/>
      <c r="P319" s="2"/>
      <c r="Q319" s="2"/>
      <c r="R319" s="2"/>
      <c r="S319" s="2"/>
      <c r="T319" s="2"/>
      <c r="U319" s="2"/>
      <c r="V319" s="2"/>
      <c r="W319" s="2"/>
    </row>
    <row r="320">
      <c r="A320" s="2"/>
      <c r="B320" s="2"/>
      <c r="C320" s="2"/>
      <c r="D320" s="2"/>
      <c r="E320" s="2"/>
      <c r="F320" s="2"/>
      <c r="G320" s="2"/>
      <c r="H320" s="2"/>
      <c r="I320" s="2"/>
      <c r="J320" s="2"/>
      <c r="K320" s="2"/>
      <c r="L320" s="2"/>
      <c r="M320" s="2"/>
      <c r="N320" s="2"/>
      <c r="O320" s="2"/>
      <c r="P320" s="2"/>
      <c r="Q320" s="2"/>
      <c r="R320" s="2"/>
      <c r="S320" s="2"/>
      <c r="T320" s="2"/>
      <c r="U320" s="2"/>
      <c r="V320" s="2"/>
      <c r="W320" s="2"/>
    </row>
    <row r="321">
      <c r="A321" s="2"/>
      <c r="B321" s="2"/>
      <c r="C321" s="2"/>
      <c r="D321" s="2"/>
      <c r="E321" s="2"/>
      <c r="F321" s="2"/>
      <c r="G321" s="2"/>
      <c r="H321" s="2"/>
      <c r="I321" s="2"/>
      <c r="J321" s="2"/>
      <c r="K321" s="2"/>
      <c r="L321" s="2"/>
      <c r="M321" s="2"/>
      <c r="N321" s="2"/>
      <c r="O321" s="2"/>
      <c r="P321" s="2"/>
      <c r="Q321" s="2"/>
      <c r="R321" s="2"/>
      <c r="S321" s="2"/>
      <c r="T321" s="2"/>
      <c r="U321" s="2"/>
      <c r="V321" s="2"/>
      <c r="W321" s="2"/>
    </row>
    <row r="322">
      <c r="A322" s="2"/>
      <c r="B322" s="2"/>
      <c r="C322" s="2"/>
      <c r="D322" s="2"/>
      <c r="E322" s="2"/>
      <c r="F322" s="2"/>
      <c r="G322" s="2"/>
      <c r="H322" s="2"/>
      <c r="I322" s="2"/>
      <c r="J322" s="2"/>
      <c r="K322" s="2"/>
      <c r="L322" s="2"/>
      <c r="M322" s="2"/>
      <c r="N322" s="2"/>
      <c r="O322" s="2"/>
      <c r="P322" s="2"/>
      <c r="Q322" s="2"/>
      <c r="R322" s="2"/>
      <c r="S322" s="2"/>
      <c r="T322" s="2"/>
      <c r="U322" s="2"/>
      <c r="V322" s="2"/>
      <c r="W322" s="2"/>
    </row>
    <row r="323">
      <c r="A323" s="2"/>
      <c r="B323" s="2"/>
      <c r="C323" s="2"/>
      <c r="D323" s="2"/>
      <c r="E323" s="2"/>
      <c r="F323" s="2"/>
      <c r="G323" s="2"/>
      <c r="H323" s="2"/>
      <c r="I323" s="2"/>
      <c r="J323" s="2"/>
      <c r="K323" s="2"/>
      <c r="L323" s="2"/>
      <c r="M323" s="2"/>
      <c r="N323" s="2"/>
      <c r="O323" s="2"/>
      <c r="P323" s="2"/>
      <c r="Q323" s="2"/>
      <c r="R323" s="2"/>
      <c r="S323" s="2"/>
      <c r="T323" s="2"/>
      <c r="U323" s="2"/>
      <c r="V323" s="2"/>
      <c r="W323" s="2"/>
    </row>
    <row r="324">
      <c r="A324" s="2"/>
      <c r="B324" s="2"/>
      <c r="C324" s="2"/>
      <c r="D324" s="2"/>
      <c r="E324" s="2"/>
      <c r="F324" s="2"/>
      <c r="G324" s="2"/>
      <c r="H324" s="2"/>
      <c r="I324" s="2"/>
      <c r="J324" s="2"/>
      <c r="K324" s="2"/>
      <c r="L324" s="2"/>
      <c r="M324" s="2"/>
      <c r="N324" s="2"/>
      <c r="O324" s="2"/>
      <c r="P324" s="2"/>
      <c r="Q324" s="2"/>
      <c r="R324" s="2"/>
      <c r="S324" s="2"/>
      <c r="T324" s="2"/>
      <c r="U324" s="2"/>
      <c r="V324" s="2"/>
      <c r="W324" s="2"/>
    </row>
    <row r="325">
      <c r="A325" s="2"/>
      <c r="B325" s="2"/>
      <c r="C325" s="2"/>
      <c r="D325" s="2"/>
      <c r="E325" s="2"/>
      <c r="F325" s="2"/>
      <c r="G325" s="2"/>
      <c r="H325" s="2"/>
      <c r="I325" s="2"/>
      <c r="J325" s="2"/>
      <c r="K325" s="2"/>
      <c r="L325" s="2"/>
      <c r="M325" s="2"/>
      <c r="N325" s="2"/>
      <c r="O325" s="2"/>
      <c r="P325" s="2"/>
      <c r="Q325" s="2"/>
      <c r="R325" s="2"/>
      <c r="S325" s="2"/>
      <c r="T325" s="2"/>
      <c r="U325" s="2"/>
      <c r="V325" s="2"/>
      <c r="W325" s="2"/>
    </row>
    <row r="326">
      <c r="A326" s="2"/>
      <c r="B326" s="2"/>
      <c r="C326" s="2"/>
      <c r="D326" s="2"/>
      <c r="E326" s="2"/>
      <c r="F326" s="2"/>
      <c r="G326" s="2"/>
      <c r="H326" s="2"/>
      <c r="I326" s="2"/>
      <c r="J326" s="2"/>
      <c r="K326" s="2"/>
      <c r="L326" s="2"/>
      <c r="M326" s="2"/>
      <c r="N326" s="2"/>
      <c r="O326" s="2"/>
      <c r="P326" s="2"/>
      <c r="Q326" s="2"/>
      <c r="R326" s="2"/>
      <c r="S326" s="2"/>
      <c r="T326" s="2"/>
      <c r="U326" s="2"/>
      <c r="V326" s="2"/>
      <c r="W326" s="2"/>
    </row>
    <row r="327">
      <c r="A327" s="2"/>
      <c r="B327" s="2"/>
      <c r="C327" s="2"/>
      <c r="D327" s="2"/>
      <c r="E327" s="2"/>
      <c r="F327" s="2"/>
      <c r="G327" s="2"/>
      <c r="H327" s="2"/>
      <c r="I327" s="2"/>
      <c r="J327" s="2"/>
      <c r="K327" s="2"/>
      <c r="L327" s="2"/>
      <c r="M327" s="2"/>
      <c r="N327" s="2"/>
      <c r="O327" s="2"/>
      <c r="P327" s="2"/>
      <c r="Q327" s="2"/>
      <c r="R327" s="2"/>
      <c r="S327" s="2"/>
      <c r="T327" s="2"/>
      <c r="U327" s="2"/>
      <c r="V327" s="2"/>
      <c r="W327" s="2"/>
    </row>
    <row r="328">
      <c r="A328" s="2"/>
      <c r="B328" s="2"/>
      <c r="C328" s="2"/>
      <c r="D328" s="2"/>
      <c r="E328" s="2"/>
      <c r="F328" s="2"/>
      <c r="G328" s="2"/>
      <c r="H328" s="2"/>
      <c r="I328" s="2"/>
      <c r="J328" s="2"/>
      <c r="K328" s="2"/>
      <c r="L328" s="2"/>
      <c r="M328" s="2"/>
      <c r="N328" s="2"/>
      <c r="O328" s="2"/>
      <c r="P328" s="2"/>
      <c r="Q328" s="2"/>
      <c r="R328" s="2"/>
      <c r="S328" s="2"/>
      <c r="T328" s="2"/>
      <c r="U328" s="2"/>
      <c r="V328" s="2"/>
      <c r="W328" s="2"/>
    </row>
    <row r="329">
      <c r="A329" s="2"/>
      <c r="B329" s="2"/>
      <c r="C329" s="2"/>
      <c r="D329" s="2"/>
      <c r="E329" s="2"/>
      <c r="F329" s="2"/>
      <c r="G329" s="2"/>
      <c r="H329" s="2"/>
      <c r="I329" s="2"/>
      <c r="J329" s="2"/>
      <c r="K329" s="2"/>
      <c r="L329" s="2"/>
      <c r="M329" s="2"/>
      <c r="N329" s="2"/>
      <c r="O329" s="2"/>
      <c r="P329" s="2"/>
      <c r="Q329" s="2"/>
      <c r="R329" s="2"/>
      <c r="S329" s="2"/>
      <c r="T329" s="2"/>
      <c r="U329" s="2"/>
      <c r="V329" s="2"/>
      <c r="W329" s="2"/>
    </row>
    <row r="330">
      <c r="A330" s="2"/>
      <c r="B330" s="2"/>
      <c r="C330" s="2"/>
      <c r="D330" s="2"/>
      <c r="E330" s="2"/>
      <c r="F330" s="2"/>
      <c r="G330" s="2"/>
      <c r="H330" s="2"/>
      <c r="I330" s="2"/>
      <c r="J330" s="2"/>
      <c r="K330" s="2"/>
      <c r="L330" s="2"/>
      <c r="M330" s="2"/>
      <c r="N330" s="2"/>
      <c r="O330" s="2"/>
      <c r="P330" s="2"/>
      <c r="Q330" s="2"/>
      <c r="R330" s="2"/>
      <c r="S330" s="2"/>
      <c r="T330" s="2"/>
      <c r="U330" s="2"/>
      <c r="V330" s="2"/>
      <c r="W330" s="2"/>
    </row>
    <row r="331">
      <c r="A331" s="2"/>
      <c r="B331" s="2"/>
      <c r="C331" s="2"/>
      <c r="D331" s="2"/>
      <c r="E331" s="2"/>
      <c r="F331" s="2"/>
      <c r="G331" s="2"/>
      <c r="H331" s="2"/>
      <c r="I331" s="2"/>
      <c r="J331" s="2"/>
      <c r="K331" s="2"/>
      <c r="L331" s="2"/>
      <c r="M331" s="2"/>
      <c r="N331" s="2"/>
      <c r="O331" s="2"/>
      <c r="P331" s="2"/>
      <c r="Q331" s="2"/>
      <c r="R331" s="2"/>
      <c r="S331" s="2"/>
      <c r="T331" s="2"/>
      <c r="U331" s="2"/>
      <c r="V331" s="2"/>
      <c r="W331" s="2"/>
    </row>
    <row r="332">
      <c r="A332" s="2"/>
      <c r="B332" s="2"/>
      <c r="C332" s="2"/>
      <c r="D332" s="2"/>
      <c r="E332" s="2"/>
      <c r="F332" s="2"/>
      <c r="G332" s="2"/>
      <c r="H332" s="2"/>
      <c r="I332" s="2"/>
      <c r="J332" s="2"/>
      <c r="K332" s="2"/>
      <c r="L332" s="2"/>
      <c r="M332" s="2"/>
      <c r="N332" s="2"/>
      <c r="O332" s="2"/>
      <c r="P332" s="2"/>
      <c r="Q332" s="2"/>
      <c r="R332" s="2"/>
      <c r="S332" s="2"/>
      <c r="T332" s="2"/>
      <c r="U332" s="2"/>
      <c r="V332" s="2"/>
      <c r="W332" s="2"/>
    </row>
    <row r="333">
      <c r="A333" s="2"/>
      <c r="B333" s="2"/>
      <c r="C333" s="2"/>
      <c r="D333" s="2"/>
      <c r="E333" s="2"/>
      <c r="F333" s="2"/>
      <c r="G333" s="2"/>
      <c r="H333" s="2"/>
      <c r="I333" s="2"/>
      <c r="J333" s="2"/>
      <c r="K333" s="2"/>
      <c r="L333" s="2"/>
      <c r="M333" s="2"/>
      <c r="N333" s="2"/>
      <c r="O333" s="2"/>
      <c r="P333" s="2"/>
      <c r="Q333" s="2"/>
      <c r="R333" s="2"/>
      <c r="S333" s="2"/>
      <c r="T333" s="2"/>
      <c r="U333" s="2"/>
      <c r="V333" s="2"/>
      <c r="W333" s="2"/>
    </row>
    <row r="334">
      <c r="A334" s="2"/>
      <c r="B334" s="2"/>
      <c r="C334" s="2"/>
      <c r="D334" s="2"/>
      <c r="E334" s="2"/>
      <c r="F334" s="2"/>
      <c r="G334" s="2"/>
      <c r="H334" s="2"/>
      <c r="I334" s="2"/>
      <c r="J334" s="2"/>
      <c r="K334" s="2"/>
      <c r="L334" s="2"/>
      <c r="M334" s="2"/>
      <c r="N334" s="2"/>
      <c r="O334" s="2"/>
      <c r="P334" s="2"/>
      <c r="Q334" s="2"/>
      <c r="R334" s="2"/>
      <c r="S334" s="2"/>
      <c r="T334" s="2"/>
      <c r="U334" s="2"/>
      <c r="V334" s="2"/>
      <c r="W334" s="2"/>
    </row>
    <row r="335">
      <c r="A335" s="2"/>
      <c r="B335" s="2"/>
      <c r="C335" s="2"/>
      <c r="D335" s="2"/>
      <c r="E335" s="2"/>
      <c r="F335" s="2"/>
      <c r="G335" s="2"/>
      <c r="H335" s="2"/>
      <c r="I335" s="2"/>
      <c r="J335" s="2"/>
      <c r="K335" s="2"/>
      <c r="L335" s="2"/>
      <c r="M335" s="2"/>
      <c r="N335" s="2"/>
      <c r="O335" s="2"/>
      <c r="P335" s="2"/>
      <c r="Q335" s="2"/>
      <c r="R335" s="2"/>
      <c r="S335" s="2"/>
      <c r="T335" s="2"/>
      <c r="U335" s="2"/>
      <c r="V335" s="2"/>
      <c r="W335" s="2"/>
    </row>
    <row r="336">
      <c r="A336" s="2"/>
      <c r="B336" s="2"/>
      <c r="C336" s="2"/>
      <c r="D336" s="2"/>
      <c r="E336" s="2"/>
      <c r="F336" s="2"/>
      <c r="G336" s="2"/>
      <c r="H336" s="2"/>
      <c r="I336" s="2"/>
      <c r="J336" s="2"/>
      <c r="K336" s="2"/>
      <c r="L336" s="2"/>
      <c r="M336" s="2"/>
      <c r="N336" s="2"/>
      <c r="O336" s="2"/>
      <c r="P336" s="2"/>
      <c r="Q336" s="2"/>
      <c r="R336" s="2"/>
      <c r="S336" s="2"/>
      <c r="T336" s="2"/>
      <c r="U336" s="2"/>
      <c r="V336" s="2"/>
      <c r="W336" s="2"/>
    </row>
    <row r="337">
      <c r="A337" s="2"/>
      <c r="B337" s="2"/>
      <c r="C337" s="2"/>
      <c r="D337" s="2"/>
      <c r="E337" s="2"/>
      <c r="F337" s="2"/>
      <c r="G337" s="2"/>
      <c r="H337" s="2"/>
      <c r="I337" s="2"/>
      <c r="J337" s="2"/>
      <c r="K337" s="2"/>
      <c r="L337" s="2"/>
      <c r="M337" s="2"/>
      <c r="N337" s="2"/>
      <c r="O337" s="2"/>
      <c r="P337" s="2"/>
      <c r="Q337" s="2"/>
      <c r="R337" s="2"/>
      <c r="S337" s="2"/>
      <c r="T337" s="2"/>
      <c r="U337" s="2"/>
      <c r="V337" s="2"/>
      <c r="W337" s="2"/>
    </row>
    <row r="338">
      <c r="A338" s="2"/>
      <c r="B338" s="2"/>
      <c r="C338" s="2"/>
      <c r="D338" s="2"/>
      <c r="E338" s="2"/>
      <c r="F338" s="2"/>
      <c r="G338" s="2"/>
      <c r="H338" s="2"/>
      <c r="I338" s="2"/>
      <c r="J338" s="2"/>
      <c r="K338" s="2"/>
      <c r="L338" s="2"/>
      <c r="M338" s="2"/>
      <c r="N338" s="2"/>
      <c r="O338" s="2"/>
      <c r="P338" s="2"/>
      <c r="Q338" s="2"/>
      <c r="R338" s="2"/>
      <c r="S338" s="2"/>
      <c r="T338" s="2"/>
      <c r="U338" s="2"/>
      <c r="V338" s="2"/>
      <c r="W338" s="2"/>
    </row>
    <row r="339">
      <c r="A339" s="2"/>
      <c r="B339" s="2"/>
      <c r="C339" s="2"/>
      <c r="D339" s="2"/>
      <c r="E339" s="2"/>
      <c r="F339" s="2"/>
      <c r="G339" s="2"/>
      <c r="H339" s="2"/>
      <c r="I339" s="2"/>
      <c r="J339" s="2"/>
      <c r="K339" s="2"/>
      <c r="L339" s="2"/>
      <c r="M339" s="2"/>
      <c r="N339" s="2"/>
      <c r="O339" s="2"/>
      <c r="P339" s="2"/>
      <c r="Q339" s="2"/>
      <c r="R339" s="2"/>
      <c r="S339" s="2"/>
      <c r="T339" s="2"/>
      <c r="U339" s="2"/>
      <c r="V339" s="2"/>
      <c r="W339" s="2"/>
    </row>
    <row r="340">
      <c r="A340" s="2"/>
      <c r="B340" s="2"/>
      <c r="C340" s="2"/>
      <c r="D340" s="2"/>
      <c r="E340" s="2"/>
      <c r="F340" s="2"/>
      <c r="G340" s="2"/>
      <c r="H340" s="2"/>
      <c r="I340" s="2"/>
      <c r="J340" s="2"/>
      <c r="K340" s="2"/>
      <c r="L340" s="2"/>
      <c r="M340" s="2"/>
      <c r="N340" s="2"/>
      <c r="O340" s="2"/>
      <c r="P340" s="2"/>
      <c r="Q340" s="2"/>
      <c r="R340" s="2"/>
      <c r="S340" s="2"/>
      <c r="T340" s="2"/>
      <c r="U340" s="2"/>
      <c r="V340" s="2"/>
      <c r="W340" s="2"/>
    </row>
    <row r="341">
      <c r="A341" s="2"/>
      <c r="B341" s="2"/>
      <c r="C341" s="2"/>
      <c r="D341" s="2"/>
      <c r="E341" s="2"/>
      <c r="F341" s="2"/>
      <c r="G341" s="2"/>
      <c r="H341" s="2"/>
      <c r="I341" s="2"/>
      <c r="J341" s="2"/>
      <c r="K341" s="2"/>
      <c r="L341" s="2"/>
      <c r="M341" s="2"/>
      <c r="N341" s="2"/>
      <c r="O341" s="2"/>
      <c r="P341" s="2"/>
      <c r="Q341" s="2"/>
      <c r="R341" s="2"/>
      <c r="S341" s="2"/>
      <c r="T341" s="2"/>
      <c r="U341" s="2"/>
      <c r="V341" s="2"/>
      <c r="W341" s="2"/>
    </row>
    <row r="342">
      <c r="A342" s="2"/>
      <c r="B342" s="2"/>
      <c r="C342" s="2"/>
      <c r="D342" s="2"/>
      <c r="E342" s="2"/>
      <c r="F342" s="2"/>
      <c r="G342" s="2"/>
      <c r="H342" s="2"/>
      <c r="I342" s="2"/>
      <c r="J342" s="2"/>
      <c r="K342" s="2"/>
      <c r="L342" s="2"/>
      <c r="M342" s="2"/>
      <c r="N342" s="2"/>
      <c r="O342" s="2"/>
      <c r="P342" s="2"/>
      <c r="Q342" s="2"/>
      <c r="R342" s="2"/>
      <c r="S342" s="2"/>
      <c r="T342" s="2"/>
      <c r="U342" s="2"/>
      <c r="V342" s="2"/>
      <c r="W342" s="2"/>
    </row>
    <row r="343">
      <c r="A343" s="2"/>
      <c r="B343" s="2"/>
      <c r="C343" s="2"/>
      <c r="D343" s="2"/>
      <c r="E343" s="2"/>
      <c r="F343" s="2"/>
      <c r="G343" s="2"/>
      <c r="H343" s="2"/>
      <c r="I343" s="2"/>
      <c r="J343" s="2"/>
      <c r="K343" s="2"/>
      <c r="L343" s="2"/>
      <c r="M343" s="2"/>
      <c r="N343" s="2"/>
      <c r="O343" s="2"/>
      <c r="P343" s="2"/>
      <c r="Q343" s="2"/>
      <c r="R343" s="2"/>
      <c r="S343" s="2"/>
      <c r="T343" s="2"/>
      <c r="U343" s="2"/>
      <c r="V343" s="2"/>
      <c r="W343" s="2"/>
    </row>
    <row r="344">
      <c r="A344" s="2"/>
      <c r="B344" s="2"/>
      <c r="C344" s="2"/>
      <c r="D344" s="2"/>
      <c r="E344" s="2"/>
      <c r="F344" s="2"/>
      <c r="G344" s="2"/>
      <c r="H344" s="2"/>
      <c r="I344" s="2"/>
      <c r="J344" s="2"/>
      <c r="K344" s="2"/>
      <c r="L344" s="2"/>
      <c r="M344" s="2"/>
      <c r="N344" s="2"/>
      <c r="O344" s="2"/>
      <c r="P344" s="2"/>
      <c r="Q344" s="2"/>
      <c r="R344" s="2"/>
      <c r="S344" s="2"/>
      <c r="T344" s="2"/>
      <c r="U344" s="2"/>
      <c r="V344" s="2"/>
      <c r="W344" s="2"/>
    </row>
    <row r="345">
      <c r="A345" s="2"/>
      <c r="B345" s="2"/>
      <c r="C345" s="2"/>
      <c r="D345" s="2"/>
      <c r="E345" s="2"/>
      <c r="F345" s="2"/>
      <c r="G345" s="2"/>
      <c r="H345" s="2"/>
      <c r="I345" s="2"/>
      <c r="J345" s="2"/>
      <c r="K345" s="2"/>
      <c r="L345" s="2"/>
      <c r="M345" s="2"/>
      <c r="N345" s="2"/>
      <c r="O345" s="2"/>
      <c r="P345" s="2"/>
      <c r="Q345" s="2"/>
      <c r="R345" s="2"/>
      <c r="S345" s="2"/>
      <c r="T345" s="2"/>
      <c r="U345" s="2"/>
      <c r="V345" s="2"/>
      <c r="W345" s="2"/>
    </row>
    <row r="346">
      <c r="A346" s="2"/>
      <c r="B346" s="2"/>
      <c r="C346" s="2"/>
      <c r="D346" s="2"/>
      <c r="E346" s="2"/>
      <c r="F346" s="2"/>
      <c r="G346" s="2"/>
      <c r="H346" s="2"/>
      <c r="I346" s="2"/>
      <c r="J346" s="2"/>
      <c r="K346" s="2"/>
      <c r="L346" s="2"/>
      <c r="M346" s="2"/>
      <c r="N346" s="2"/>
      <c r="O346" s="2"/>
      <c r="P346" s="2"/>
      <c r="Q346" s="2"/>
      <c r="R346" s="2"/>
      <c r="S346" s="2"/>
      <c r="T346" s="2"/>
      <c r="U346" s="2"/>
      <c r="V346" s="2"/>
      <c r="W346" s="2"/>
    </row>
    <row r="347">
      <c r="A347" s="2"/>
      <c r="B347" s="2"/>
      <c r="C347" s="2"/>
      <c r="D347" s="2"/>
      <c r="E347" s="2"/>
      <c r="F347" s="2"/>
      <c r="G347" s="2"/>
      <c r="H347" s="2"/>
      <c r="I347" s="2"/>
      <c r="J347" s="2"/>
      <c r="K347" s="2"/>
      <c r="L347" s="2"/>
      <c r="M347" s="2"/>
      <c r="N347" s="2"/>
      <c r="O347" s="2"/>
      <c r="P347" s="2"/>
      <c r="Q347" s="2"/>
      <c r="R347" s="2"/>
      <c r="S347" s="2"/>
      <c r="T347" s="2"/>
      <c r="U347" s="2"/>
      <c r="V347" s="2"/>
      <c r="W347" s="2"/>
    </row>
    <row r="348">
      <c r="A348" s="2"/>
      <c r="B348" s="2"/>
      <c r="C348" s="2"/>
      <c r="D348" s="2"/>
      <c r="E348" s="2"/>
      <c r="F348" s="2"/>
      <c r="G348" s="2"/>
      <c r="H348" s="2"/>
      <c r="I348" s="2"/>
      <c r="J348" s="2"/>
      <c r="K348" s="2"/>
      <c r="L348" s="2"/>
      <c r="M348" s="2"/>
      <c r="N348" s="2"/>
      <c r="O348" s="2"/>
      <c r="P348" s="2"/>
      <c r="Q348" s="2"/>
      <c r="R348" s="2"/>
      <c r="S348" s="2"/>
      <c r="T348" s="2"/>
      <c r="U348" s="2"/>
      <c r="V348" s="2"/>
      <c r="W348" s="2"/>
    </row>
    <row r="349">
      <c r="A349" s="2"/>
      <c r="B349" s="2"/>
      <c r="C349" s="2"/>
      <c r="D349" s="2"/>
      <c r="E349" s="2"/>
      <c r="F349" s="2"/>
      <c r="G349" s="2"/>
      <c r="H349" s="2"/>
      <c r="I349" s="2"/>
      <c r="J349" s="2"/>
      <c r="K349" s="2"/>
      <c r="L349" s="2"/>
      <c r="M349" s="2"/>
      <c r="N349" s="2"/>
      <c r="O349" s="2"/>
      <c r="P349" s="2"/>
      <c r="Q349" s="2"/>
      <c r="R349" s="2"/>
      <c r="S349" s="2"/>
      <c r="T349" s="2"/>
      <c r="U349" s="2"/>
      <c r="V349" s="2"/>
      <c r="W349" s="2"/>
    </row>
    <row r="350">
      <c r="A350" s="2"/>
      <c r="B350" s="2"/>
      <c r="C350" s="2"/>
      <c r="D350" s="2"/>
      <c r="E350" s="2"/>
      <c r="F350" s="2"/>
      <c r="G350" s="2"/>
      <c r="H350" s="2"/>
      <c r="I350" s="2"/>
      <c r="J350" s="2"/>
      <c r="K350" s="2"/>
      <c r="L350" s="2"/>
      <c r="M350" s="2"/>
      <c r="N350" s="2"/>
      <c r="O350" s="2"/>
      <c r="P350" s="2"/>
      <c r="Q350" s="2"/>
      <c r="R350" s="2"/>
      <c r="S350" s="2"/>
      <c r="T350" s="2"/>
      <c r="U350" s="2"/>
      <c r="V350" s="2"/>
      <c r="W350" s="2"/>
    </row>
    <row r="351">
      <c r="A351" s="2"/>
      <c r="B351" s="2"/>
      <c r="C351" s="2"/>
      <c r="D351" s="2"/>
      <c r="E351" s="2"/>
      <c r="F351" s="2"/>
      <c r="G351" s="2"/>
      <c r="H351" s="2"/>
      <c r="I351" s="2"/>
      <c r="J351" s="2"/>
      <c r="K351" s="2"/>
      <c r="L351" s="2"/>
      <c r="M351" s="2"/>
      <c r="N351" s="2"/>
      <c r="O351" s="2"/>
      <c r="P351" s="2"/>
      <c r="Q351" s="2"/>
      <c r="R351" s="2"/>
      <c r="S351" s="2"/>
      <c r="T351" s="2"/>
      <c r="U351" s="2"/>
      <c r="V351" s="2"/>
      <c r="W351" s="2"/>
    </row>
    <row r="352">
      <c r="A352" s="2"/>
      <c r="B352" s="2"/>
      <c r="C352" s="2"/>
      <c r="D352" s="2"/>
      <c r="E352" s="2"/>
      <c r="F352" s="2"/>
      <c r="G352" s="2"/>
      <c r="H352" s="2"/>
      <c r="I352" s="2"/>
      <c r="J352" s="2"/>
      <c r="K352" s="2"/>
      <c r="L352" s="2"/>
      <c r="M352" s="2"/>
      <c r="N352" s="2"/>
      <c r="O352" s="2"/>
      <c r="P352" s="2"/>
      <c r="Q352" s="2"/>
      <c r="R352" s="2"/>
      <c r="S352" s="2"/>
      <c r="T352" s="2"/>
      <c r="U352" s="2"/>
      <c r="V352" s="2"/>
      <c r="W352" s="2"/>
    </row>
    <row r="353">
      <c r="A353" s="2"/>
      <c r="B353" s="2"/>
      <c r="C353" s="2"/>
      <c r="D353" s="2"/>
      <c r="E353" s="2"/>
      <c r="F353" s="2"/>
      <c r="G353" s="2"/>
      <c r="H353" s="2"/>
      <c r="I353" s="2"/>
      <c r="J353" s="2"/>
      <c r="K353" s="2"/>
      <c r="L353" s="2"/>
      <c r="M353" s="2"/>
      <c r="N353" s="2"/>
      <c r="O353" s="2"/>
      <c r="P353" s="2"/>
      <c r="Q353" s="2"/>
      <c r="R353" s="2"/>
      <c r="S353" s="2"/>
      <c r="T353" s="2"/>
      <c r="U353" s="2"/>
      <c r="V353" s="2"/>
      <c r="W353" s="2"/>
    </row>
    <row r="354">
      <c r="A354" s="2"/>
      <c r="B354" s="2"/>
      <c r="C354" s="2"/>
      <c r="D354" s="2"/>
      <c r="E354" s="2"/>
      <c r="F354" s="2"/>
      <c r="G354" s="2"/>
      <c r="H354" s="2"/>
      <c r="I354" s="2"/>
      <c r="J354" s="2"/>
      <c r="K354" s="2"/>
      <c r="L354" s="2"/>
      <c r="M354" s="2"/>
      <c r="N354" s="2"/>
      <c r="O354" s="2"/>
      <c r="P354" s="2"/>
      <c r="Q354" s="2"/>
      <c r="R354" s="2"/>
      <c r="S354" s="2"/>
      <c r="T354" s="2"/>
      <c r="U354" s="2"/>
      <c r="V354" s="2"/>
      <c r="W354" s="2"/>
    </row>
    <row r="355">
      <c r="A355" s="2"/>
      <c r="B355" s="2"/>
      <c r="C355" s="2"/>
      <c r="D355" s="2"/>
      <c r="E355" s="2"/>
      <c r="F355" s="2"/>
      <c r="G355" s="2"/>
      <c r="H355" s="2"/>
      <c r="I355" s="2"/>
      <c r="J355" s="2"/>
      <c r="K355" s="2"/>
      <c r="L355" s="2"/>
      <c r="M355" s="2"/>
      <c r="N355" s="2"/>
      <c r="O355" s="2"/>
      <c r="P355" s="2"/>
      <c r="Q355" s="2"/>
      <c r="R355" s="2"/>
      <c r="S355" s="2"/>
      <c r="T355" s="2"/>
      <c r="U355" s="2"/>
      <c r="V355" s="2"/>
      <c r="W355" s="2"/>
    </row>
    <row r="356">
      <c r="A356" s="2"/>
      <c r="B356" s="2"/>
      <c r="C356" s="2"/>
      <c r="D356" s="2"/>
      <c r="E356" s="2"/>
      <c r="F356" s="2"/>
      <c r="G356" s="2"/>
      <c r="H356" s="2"/>
      <c r="I356" s="2"/>
      <c r="J356" s="2"/>
      <c r="K356" s="2"/>
      <c r="L356" s="2"/>
      <c r="M356" s="2"/>
      <c r="N356" s="2"/>
      <c r="O356" s="2"/>
      <c r="P356" s="2"/>
      <c r="Q356" s="2"/>
      <c r="R356" s="2"/>
      <c r="S356" s="2"/>
      <c r="T356" s="2"/>
      <c r="U356" s="2"/>
      <c r="V356" s="2"/>
      <c r="W356" s="2"/>
    </row>
    <row r="357">
      <c r="A357" s="2"/>
      <c r="B357" s="2"/>
      <c r="C357" s="2"/>
      <c r="D357" s="2"/>
      <c r="E357" s="2"/>
      <c r="F357" s="2"/>
      <c r="G357" s="2"/>
      <c r="H357" s="2"/>
      <c r="I357" s="2"/>
      <c r="J357" s="2"/>
      <c r="K357" s="2"/>
      <c r="L357" s="2"/>
      <c r="M357" s="2"/>
      <c r="N357" s="2"/>
      <c r="O357" s="2"/>
      <c r="P357" s="2"/>
      <c r="Q357" s="2"/>
      <c r="R357" s="2"/>
      <c r="S357" s="2"/>
      <c r="T357" s="2"/>
      <c r="U357" s="2"/>
      <c r="V357" s="2"/>
      <c r="W357" s="2"/>
    </row>
    <row r="358">
      <c r="A358" s="2"/>
      <c r="B358" s="2"/>
      <c r="C358" s="2"/>
      <c r="D358" s="2"/>
      <c r="E358" s="2"/>
      <c r="F358" s="2"/>
      <c r="G358" s="2"/>
      <c r="H358" s="2"/>
      <c r="I358" s="2"/>
      <c r="J358" s="2"/>
      <c r="K358" s="2"/>
      <c r="L358" s="2"/>
      <c r="M358" s="2"/>
      <c r="N358" s="2"/>
      <c r="O358" s="2"/>
      <c r="P358" s="2"/>
      <c r="Q358" s="2"/>
      <c r="R358" s="2"/>
      <c r="S358" s="2"/>
      <c r="T358" s="2"/>
      <c r="U358" s="2"/>
      <c r="V358" s="2"/>
      <c r="W358" s="2"/>
    </row>
    <row r="359">
      <c r="A359" s="2"/>
      <c r="B359" s="2"/>
      <c r="C359" s="2"/>
      <c r="D359" s="2"/>
      <c r="E359" s="2"/>
      <c r="F359" s="2"/>
      <c r="G359" s="2"/>
      <c r="H359" s="2"/>
      <c r="I359" s="2"/>
      <c r="J359" s="2"/>
      <c r="K359" s="2"/>
      <c r="L359" s="2"/>
      <c r="M359" s="2"/>
      <c r="N359" s="2"/>
      <c r="O359" s="2"/>
      <c r="P359" s="2"/>
      <c r="Q359" s="2"/>
      <c r="R359" s="2"/>
      <c r="S359" s="2"/>
      <c r="T359" s="2"/>
      <c r="U359" s="2"/>
      <c r="V359" s="2"/>
      <c r="W359" s="2"/>
    </row>
    <row r="360">
      <c r="A360" s="2"/>
      <c r="B360" s="2"/>
      <c r="C360" s="2"/>
      <c r="D360" s="2"/>
      <c r="E360" s="2"/>
      <c r="F360" s="2"/>
      <c r="G360" s="2"/>
      <c r="H360" s="2"/>
      <c r="I360" s="2"/>
      <c r="J360" s="2"/>
      <c r="K360" s="2"/>
      <c r="L360" s="2"/>
      <c r="M360" s="2"/>
      <c r="N360" s="2"/>
      <c r="O360" s="2"/>
      <c r="P360" s="2"/>
      <c r="Q360" s="2"/>
      <c r="R360" s="2"/>
      <c r="S360" s="2"/>
      <c r="T360" s="2"/>
      <c r="U360" s="2"/>
      <c r="V360" s="2"/>
      <c r="W360" s="2"/>
    </row>
    <row r="361">
      <c r="A361" s="2"/>
      <c r="B361" s="2"/>
      <c r="C361" s="2"/>
      <c r="D361" s="2"/>
      <c r="E361" s="2"/>
      <c r="F361" s="2"/>
      <c r="G361" s="2"/>
      <c r="H361" s="2"/>
      <c r="I361" s="2"/>
      <c r="J361" s="2"/>
      <c r="K361" s="2"/>
      <c r="L361" s="2"/>
      <c r="M361" s="2"/>
      <c r="N361" s="2"/>
      <c r="O361" s="2"/>
      <c r="P361" s="2"/>
      <c r="Q361" s="2"/>
      <c r="R361" s="2"/>
      <c r="S361" s="2"/>
      <c r="T361" s="2"/>
      <c r="U361" s="2"/>
      <c r="V361" s="2"/>
      <c r="W361" s="2"/>
    </row>
    <row r="362">
      <c r="A362" s="2"/>
      <c r="B362" s="2"/>
      <c r="C362" s="2"/>
      <c r="D362" s="2"/>
      <c r="E362" s="2"/>
      <c r="F362" s="2"/>
      <c r="G362" s="2"/>
      <c r="H362" s="2"/>
      <c r="I362" s="2"/>
      <c r="J362" s="2"/>
      <c r="K362" s="2"/>
      <c r="L362" s="2"/>
      <c r="M362" s="2"/>
      <c r="N362" s="2"/>
      <c r="O362" s="2"/>
      <c r="P362" s="2"/>
      <c r="Q362" s="2"/>
      <c r="R362" s="2"/>
      <c r="S362" s="2"/>
      <c r="T362" s="2"/>
      <c r="U362" s="2"/>
      <c r="V362" s="2"/>
      <c r="W362" s="2"/>
    </row>
    <row r="363">
      <c r="A363" s="2"/>
      <c r="B363" s="2"/>
      <c r="C363" s="2"/>
      <c r="D363" s="2"/>
      <c r="E363" s="2"/>
      <c r="F363" s="2"/>
      <c r="G363" s="2"/>
      <c r="H363" s="2"/>
      <c r="I363" s="2"/>
      <c r="J363" s="2"/>
      <c r="K363" s="2"/>
      <c r="L363" s="2"/>
      <c r="M363" s="2"/>
      <c r="N363" s="2"/>
      <c r="O363" s="2"/>
      <c r="P363" s="2"/>
      <c r="Q363" s="2"/>
      <c r="R363" s="2"/>
      <c r="S363" s="2"/>
      <c r="T363" s="2"/>
      <c r="U363" s="2"/>
      <c r="V363" s="2"/>
      <c r="W363" s="2"/>
    </row>
    <row r="364">
      <c r="A364" s="2"/>
      <c r="B364" s="2"/>
      <c r="C364" s="2"/>
      <c r="D364" s="2"/>
      <c r="E364" s="2"/>
      <c r="F364" s="2"/>
      <c r="G364" s="2"/>
      <c r="H364" s="2"/>
      <c r="I364" s="2"/>
      <c r="J364" s="2"/>
      <c r="K364" s="2"/>
      <c r="L364" s="2"/>
      <c r="M364" s="2"/>
      <c r="N364" s="2"/>
      <c r="O364" s="2"/>
      <c r="P364" s="2"/>
      <c r="Q364" s="2"/>
      <c r="R364" s="2"/>
      <c r="S364" s="2"/>
      <c r="T364" s="2"/>
      <c r="U364" s="2"/>
      <c r="V364" s="2"/>
      <c r="W364" s="2"/>
    </row>
    <row r="365">
      <c r="A365" s="2"/>
      <c r="B365" s="2"/>
      <c r="C365" s="2"/>
      <c r="D365" s="2"/>
      <c r="E365" s="2"/>
      <c r="F365" s="2"/>
      <c r="G365" s="2"/>
      <c r="H365" s="2"/>
      <c r="I365" s="2"/>
      <c r="J365" s="2"/>
      <c r="K365" s="2"/>
      <c r="L365" s="2"/>
      <c r="M365" s="2"/>
      <c r="N365" s="2"/>
      <c r="O365" s="2"/>
      <c r="P365" s="2"/>
      <c r="Q365" s="2"/>
      <c r="R365" s="2"/>
      <c r="S365" s="2"/>
      <c r="T365" s="2"/>
      <c r="U365" s="2"/>
      <c r="V365" s="2"/>
      <c r="W365" s="2"/>
    </row>
    <row r="366">
      <c r="A366" s="2"/>
      <c r="B366" s="2"/>
      <c r="C366" s="2"/>
      <c r="D366" s="2"/>
      <c r="E366" s="2"/>
      <c r="F366" s="2"/>
      <c r="G366" s="2"/>
      <c r="H366" s="2"/>
      <c r="I366" s="2"/>
      <c r="J366" s="2"/>
      <c r="K366" s="2"/>
      <c r="L366" s="2"/>
      <c r="M366" s="2"/>
      <c r="N366" s="2"/>
      <c r="O366" s="2"/>
      <c r="P366" s="2"/>
      <c r="Q366" s="2"/>
      <c r="R366" s="2"/>
      <c r="S366" s="2"/>
      <c r="T366" s="2"/>
      <c r="U366" s="2"/>
      <c r="V366" s="2"/>
      <c r="W366" s="2"/>
    </row>
    <row r="367">
      <c r="A367" s="2"/>
      <c r="B367" s="2"/>
      <c r="C367" s="2"/>
      <c r="D367" s="2"/>
      <c r="E367" s="2"/>
      <c r="F367" s="2"/>
      <c r="G367" s="2"/>
      <c r="H367" s="2"/>
      <c r="I367" s="2"/>
      <c r="J367" s="2"/>
      <c r="K367" s="2"/>
      <c r="L367" s="2"/>
      <c r="M367" s="2"/>
      <c r="N367" s="2"/>
      <c r="O367" s="2"/>
      <c r="P367" s="2"/>
      <c r="Q367" s="2"/>
      <c r="R367" s="2"/>
      <c r="S367" s="2"/>
      <c r="T367" s="2"/>
      <c r="U367" s="2"/>
      <c r="V367" s="2"/>
      <c r="W367" s="2"/>
    </row>
    <row r="368">
      <c r="A368" s="2"/>
      <c r="B368" s="2"/>
      <c r="C368" s="2"/>
      <c r="D368" s="2"/>
      <c r="E368" s="2"/>
      <c r="F368" s="2"/>
      <c r="G368" s="2"/>
      <c r="H368" s="2"/>
      <c r="I368" s="2"/>
      <c r="J368" s="2"/>
      <c r="K368" s="2"/>
      <c r="L368" s="2"/>
      <c r="M368" s="2"/>
      <c r="N368" s="2"/>
      <c r="O368" s="2"/>
      <c r="P368" s="2"/>
      <c r="Q368" s="2"/>
      <c r="R368" s="2"/>
      <c r="S368" s="2"/>
      <c r="T368" s="2"/>
      <c r="U368" s="2"/>
      <c r="V368" s="2"/>
      <c r="W368" s="2"/>
    </row>
    <row r="369">
      <c r="A369" s="2"/>
      <c r="B369" s="2"/>
      <c r="C369" s="2"/>
      <c r="D369" s="2"/>
      <c r="E369" s="2"/>
      <c r="F369" s="2"/>
      <c r="G369" s="2"/>
      <c r="H369" s="2"/>
      <c r="I369" s="2"/>
      <c r="J369" s="2"/>
      <c r="K369" s="2"/>
      <c r="L369" s="2"/>
      <c r="M369" s="2"/>
      <c r="N369" s="2"/>
      <c r="O369" s="2"/>
      <c r="P369" s="2"/>
      <c r="Q369" s="2"/>
      <c r="R369" s="2"/>
      <c r="S369" s="2"/>
      <c r="T369" s="2"/>
      <c r="U369" s="2"/>
      <c r="V369" s="2"/>
      <c r="W369" s="2"/>
    </row>
    <row r="370">
      <c r="A370" s="2"/>
      <c r="B370" s="2"/>
      <c r="C370" s="2"/>
      <c r="D370" s="2"/>
      <c r="E370" s="2"/>
      <c r="F370" s="2"/>
      <c r="G370" s="2"/>
      <c r="H370" s="2"/>
      <c r="I370" s="2"/>
      <c r="J370" s="2"/>
      <c r="K370" s="2"/>
      <c r="L370" s="2"/>
      <c r="M370" s="2"/>
      <c r="N370" s="2"/>
      <c r="O370" s="2"/>
      <c r="P370" s="2"/>
      <c r="Q370" s="2"/>
      <c r="R370" s="2"/>
      <c r="S370" s="2"/>
      <c r="T370" s="2"/>
      <c r="U370" s="2"/>
      <c r="V370" s="2"/>
      <c r="W370" s="2"/>
    </row>
    <row r="371">
      <c r="A371" s="2"/>
      <c r="B371" s="2"/>
      <c r="C371" s="2"/>
      <c r="D371" s="2"/>
      <c r="E371" s="2"/>
      <c r="F371" s="2"/>
      <c r="G371" s="2"/>
      <c r="H371" s="2"/>
      <c r="I371" s="2"/>
      <c r="J371" s="2"/>
      <c r="K371" s="2"/>
      <c r="L371" s="2"/>
      <c r="M371" s="2"/>
      <c r="N371" s="2"/>
      <c r="O371" s="2"/>
      <c r="P371" s="2"/>
      <c r="Q371" s="2"/>
      <c r="R371" s="2"/>
      <c r="S371" s="2"/>
      <c r="T371" s="2"/>
      <c r="U371" s="2"/>
      <c r="V371" s="2"/>
      <c r="W371" s="2"/>
    </row>
    <row r="372">
      <c r="A372" s="2"/>
      <c r="B372" s="2"/>
      <c r="C372" s="2"/>
      <c r="D372" s="2"/>
      <c r="E372" s="2"/>
      <c r="F372" s="2"/>
      <c r="G372" s="2"/>
      <c r="H372" s="2"/>
      <c r="I372" s="2"/>
      <c r="J372" s="2"/>
      <c r="K372" s="2"/>
      <c r="L372" s="2"/>
      <c r="M372" s="2"/>
      <c r="N372" s="2"/>
      <c r="O372" s="2"/>
      <c r="P372" s="2"/>
      <c r="Q372" s="2"/>
      <c r="R372" s="2"/>
      <c r="S372" s="2"/>
      <c r="T372" s="2"/>
      <c r="U372" s="2"/>
      <c r="V372" s="2"/>
      <c r="W372" s="2"/>
    </row>
    <row r="373">
      <c r="A373" s="2"/>
      <c r="B373" s="2"/>
      <c r="C373" s="2"/>
      <c r="D373" s="2"/>
      <c r="E373" s="2"/>
      <c r="F373" s="2"/>
      <c r="G373" s="2"/>
      <c r="H373" s="2"/>
      <c r="I373" s="2"/>
      <c r="J373" s="2"/>
      <c r="K373" s="2"/>
      <c r="L373" s="2"/>
      <c r="M373" s="2"/>
      <c r="N373" s="2"/>
      <c r="O373" s="2"/>
      <c r="P373" s="2"/>
      <c r="Q373" s="2"/>
      <c r="R373" s="2"/>
      <c r="S373" s="2"/>
      <c r="T373" s="2"/>
      <c r="U373" s="2"/>
      <c r="V373" s="2"/>
      <c r="W373" s="2"/>
    </row>
    <row r="374">
      <c r="A374" s="2"/>
      <c r="B374" s="2"/>
      <c r="C374" s="2"/>
      <c r="D374" s="2"/>
      <c r="E374" s="2"/>
      <c r="F374" s="2"/>
      <c r="G374" s="2"/>
      <c r="H374" s="2"/>
      <c r="I374" s="2"/>
      <c r="J374" s="2"/>
      <c r="K374" s="2"/>
      <c r="L374" s="2"/>
      <c r="M374" s="2"/>
      <c r="N374" s="2"/>
      <c r="O374" s="2"/>
      <c r="P374" s="2"/>
      <c r="Q374" s="2"/>
      <c r="R374" s="2"/>
      <c r="S374" s="2"/>
      <c r="T374" s="2"/>
      <c r="U374" s="2"/>
      <c r="V374" s="2"/>
      <c r="W374" s="2"/>
    </row>
    <row r="375">
      <c r="A375" s="2"/>
      <c r="B375" s="2"/>
      <c r="C375" s="2"/>
      <c r="D375" s="2"/>
      <c r="E375" s="2"/>
      <c r="F375" s="2"/>
      <c r="G375" s="2"/>
      <c r="H375" s="2"/>
      <c r="I375" s="2"/>
      <c r="J375" s="2"/>
      <c r="K375" s="2"/>
      <c r="L375" s="2"/>
      <c r="M375" s="2"/>
      <c r="N375" s="2"/>
      <c r="O375" s="2"/>
      <c r="P375" s="2"/>
      <c r="Q375" s="2"/>
      <c r="R375" s="2"/>
      <c r="S375" s="2"/>
      <c r="T375" s="2"/>
      <c r="U375" s="2"/>
      <c r="V375" s="2"/>
      <c r="W375" s="2"/>
    </row>
    <row r="376">
      <c r="A376" s="2"/>
      <c r="B376" s="2"/>
      <c r="C376" s="2"/>
      <c r="D376" s="2"/>
      <c r="E376" s="2"/>
      <c r="F376" s="2"/>
      <c r="G376" s="2"/>
      <c r="H376" s="2"/>
      <c r="I376" s="2"/>
      <c r="J376" s="2"/>
      <c r="K376" s="2"/>
      <c r="L376" s="2"/>
      <c r="M376" s="2"/>
      <c r="N376" s="2"/>
      <c r="O376" s="2"/>
      <c r="P376" s="2"/>
      <c r="Q376" s="2"/>
      <c r="R376" s="2"/>
      <c r="S376" s="2"/>
      <c r="T376" s="2"/>
      <c r="U376" s="2"/>
      <c r="V376" s="2"/>
      <c r="W376" s="2"/>
    </row>
    <row r="377">
      <c r="A377" s="2"/>
      <c r="B377" s="2"/>
      <c r="C377" s="2"/>
      <c r="D377" s="2"/>
      <c r="E377" s="2"/>
      <c r="F377" s="2"/>
      <c r="G377" s="2"/>
      <c r="H377" s="2"/>
      <c r="I377" s="2"/>
      <c r="J377" s="2"/>
      <c r="K377" s="2"/>
      <c r="L377" s="2"/>
      <c r="M377" s="2"/>
      <c r="N377" s="2"/>
      <c r="O377" s="2"/>
      <c r="P377" s="2"/>
      <c r="Q377" s="2"/>
      <c r="R377" s="2"/>
      <c r="S377" s="2"/>
      <c r="T377" s="2"/>
      <c r="U377" s="2"/>
      <c r="V377" s="2"/>
      <c r="W377" s="2"/>
    </row>
    <row r="378">
      <c r="A378" s="2"/>
      <c r="B378" s="2"/>
      <c r="C378" s="2"/>
      <c r="D378" s="2"/>
      <c r="E378" s="2"/>
      <c r="F378" s="2"/>
      <c r="G378" s="2"/>
      <c r="H378" s="2"/>
      <c r="I378" s="2"/>
      <c r="J378" s="2"/>
      <c r="K378" s="2"/>
      <c r="L378" s="2"/>
      <c r="M378" s="2"/>
      <c r="N378" s="2"/>
      <c r="O378" s="2"/>
      <c r="P378" s="2"/>
      <c r="Q378" s="2"/>
      <c r="R378" s="2"/>
      <c r="S378" s="2"/>
      <c r="T378" s="2"/>
      <c r="U378" s="2"/>
      <c r="V378" s="2"/>
      <c r="W378" s="2"/>
    </row>
    <row r="379">
      <c r="A379" s="2"/>
      <c r="B379" s="2"/>
      <c r="C379" s="2"/>
      <c r="D379" s="2"/>
      <c r="E379" s="2"/>
      <c r="F379" s="2"/>
      <c r="G379" s="2"/>
      <c r="H379" s="2"/>
      <c r="I379" s="2"/>
      <c r="J379" s="2"/>
      <c r="K379" s="2"/>
      <c r="L379" s="2"/>
      <c r="M379" s="2"/>
      <c r="N379" s="2"/>
      <c r="O379" s="2"/>
      <c r="P379" s="2"/>
      <c r="Q379" s="2"/>
      <c r="R379" s="2"/>
      <c r="S379" s="2"/>
      <c r="T379" s="2"/>
      <c r="U379" s="2"/>
      <c r="V379" s="2"/>
      <c r="W379" s="2"/>
    </row>
    <row r="380">
      <c r="A380" s="2"/>
      <c r="B380" s="2"/>
      <c r="C380" s="2"/>
      <c r="D380" s="2"/>
      <c r="E380" s="2"/>
      <c r="F380" s="2"/>
      <c r="G380" s="2"/>
      <c r="H380" s="2"/>
      <c r="I380" s="2"/>
      <c r="J380" s="2"/>
      <c r="K380" s="2"/>
      <c r="L380" s="2"/>
      <c r="M380" s="2"/>
      <c r="N380" s="2"/>
      <c r="O380" s="2"/>
      <c r="P380" s="2"/>
      <c r="Q380" s="2"/>
      <c r="R380" s="2"/>
      <c r="S380" s="2"/>
      <c r="T380" s="2"/>
      <c r="U380" s="2"/>
      <c r="V380" s="2"/>
      <c r="W380" s="2"/>
    </row>
    <row r="381">
      <c r="A381" s="2"/>
      <c r="B381" s="2"/>
      <c r="C381" s="2"/>
      <c r="D381" s="2"/>
      <c r="E381" s="2"/>
      <c r="F381" s="2"/>
      <c r="G381" s="2"/>
      <c r="H381" s="2"/>
      <c r="I381" s="2"/>
      <c r="J381" s="2"/>
      <c r="K381" s="2"/>
      <c r="L381" s="2"/>
      <c r="M381" s="2"/>
      <c r="N381" s="2"/>
      <c r="O381" s="2"/>
      <c r="P381" s="2"/>
      <c r="Q381" s="2"/>
      <c r="R381" s="2"/>
      <c r="S381" s="2"/>
      <c r="T381" s="2"/>
      <c r="U381" s="2"/>
      <c r="V381" s="2"/>
      <c r="W381" s="2"/>
    </row>
    <row r="382">
      <c r="A382" s="2"/>
      <c r="B382" s="2"/>
      <c r="C382" s="2"/>
      <c r="D382" s="2"/>
      <c r="E382" s="2"/>
      <c r="F382" s="2"/>
      <c r="G382" s="2"/>
      <c r="H382" s="2"/>
      <c r="I382" s="2"/>
      <c r="J382" s="2"/>
      <c r="K382" s="2"/>
      <c r="L382" s="2"/>
      <c r="M382" s="2"/>
      <c r="N382" s="2"/>
      <c r="O382" s="2"/>
      <c r="P382" s="2"/>
      <c r="Q382" s="2"/>
      <c r="R382" s="2"/>
      <c r="S382" s="2"/>
      <c r="T382" s="2"/>
      <c r="U382" s="2"/>
      <c r="V382" s="2"/>
      <c r="W382" s="2"/>
    </row>
    <row r="383">
      <c r="A383" s="2"/>
      <c r="B383" s="2"/>
      <c r="C383" s="2"/>
      <c r="D383" s="2"/>
      <c r="E383" s="2"/>
      <c r="F383" s="2"/>
      <c r="G383" s="2"/>
      <c r="H383" s="2"/>
      <c r="I383" s="2"/>
      <c r="J383" s="2"/>
      <c r="K383" s="2"/>
      <c r="L383" s="2"/>
      <c r="M383" s="2"/>
      <c r="N383" s="2"/>
      <c r="O383" s="2"/>
      <c r="P383" s="2"/>
      <c r="Q383" s="2"/>
      <c r="R383" s="2"/>
      <c r="S383" s="2"/>
      <c r="T383" s="2"/>
      <c r="U383" s="2"/>
      <c r="V383" s="2"/>
      <c r="W383" s="2"/>
    </row>
    <row r="384">
      <c r="A384" s="2"/>
      <c r="B384" s="2"/>
      <c r="C384" s="2"/>
      <c r="D384" s="2"/>
      <c r="E384" s="2"/>
      <c r="F384" s="2"/>
      <c r="G384" s="2"/>
      <c r="H384" s="2"/>
      <c r="I384" s="2"/>
      <c r="J384" s="2"/>
      <c r="K384" s="2"/>
      <c r="L384" s="2"/>
      <c r="M384" s="2"/>
      <c r="N384" s="2"/>
      <c r="O384" s="2"/>
      <c r="P384" s="2"/>
      <c r="Q384" s="2"/>
      <c r="R384" s="2"/>
      <c r="S384" s="2"/>
      <c r="T384" s="2"/>
      <c r="U384" s="2"/>
      <c r="V384" s="2"/>
      <c r="W384" s="2"/>
    </row>
    <row r="385">
      <c r="A385" s="2"/>
      <c r="B385" s="2"/>
      <c r="C385" s="2"/>
      <c r="D385" s="2"/>
      <c r="E385" s="2"/>
      <c r="F385" s="2"/>
      <c r="G385" s="2"/>
      <c r="H385" s="2"/>
      <c r="I385" s="2"/>
      <c r="J385" s="2"/>
      <c r="K385" s="2"/>
      <c r="L385" s="2"/>
      <c r="M385" s="2"/>
      <c r="N385" s="2"/>
      <c r="O385" s="2"/>
      <c r="P385" s="2"/>
      <c r="Q385" s="2"/>
      <c r="R385" s="2"/>
      <c r="S385" s="2"/>
      <c r="T385" s="2"/>
      <c r="U385" s="2"/>
      <c r="V385" s="2"/>
      <c r="W385" s="2"/>
    </row>
    <row r="386">
      <c r="A386" s="2"/>
      <c r="B386" s="2"/>
      <c r="C386" s="2"/>
      <c r="D386" s="2"/>
      <c r="E386" s="2"/>
      <c r="F386" s="2"/>
      <c r="G386" s="2"/>
      <c r="H386" s="2"/>
      <c r="I386" s="2"/>
      <c r="J386" s="2"/>
      <c r="K386" s="2"/>
      <c r="L386" s="2"/>
      <c r="M386" s="2"/>
      <c r="N386" s="2"/>
      <c r="O386" s="2"/>
      <c r="P386" s="2"/>
      <c r="Q386" s="2"/>
      <c r="R386" s="2"/>
      <c r="S386" s="2"/>
      <c r="T386" s="2"/>
      <c r="U386" s="2"/>
      <c r="V386" s="2"/>
      <c r="W386" s="2"/>
    </row>
    <row r="387">
      <c r="A387" s="2"/>
      <c r="B387" s="2"/>
      <c r="C387" s="2"/>
      <c r="D387" s="2"/>
      <c r="E387" s="2"/>
      <c r="F387" s="2"/>
      <c r="G387" s="2"/>
      <c r="H387" s="2"/>
      <c r="I387" s="2"/>
      <c r="J387" s="2"/>
      <c r="K387" s="2"/>
      <c r="L387" s="2"/>
      <c r="M387" s="2"/>
      <c r="N387" s="2"/>
      <c r="O387" s="2"/>
      <c r="P387" s="2"/>
      <c r="Q387" s="2"/>
      <c r="R387" s="2"/>
      <c r="S387" s="2"/>
      <c r="T387" s="2"/>
      <c r="U387" s="2"/>
      <c r="V387" s="2"/>
      <c r="W387" s="2"/>
    </row>
    <row r="388">
      <c r="A388" s="2"/>
      <c r="B388" s="2"/>
      <c r="C388" s="2"/>
      <c r="D388" s="2"/>
      <c r="E388" s="2"/>
      <c r="F388" s="2"/>
      <c r="G388" s="2"/>
      <c r="H388" s="2"/>
      <c r="I388" s="2"/>
      <c r="J388" s="2"/>
      <c r="K388" s="2"/>
      <c r="L388" s="2"/>
      <c r="M388" s="2"/>
      <c r="N388" s="2"/>
      <c r="O388" s="2"/>
      <c r="P388" s="2"/>
      <c r="Q388" s="2"/>
      <c r="R388" s="2"/>
      <c r="S388" s="2"/>
      <c r="T388" s="2"/>
      <c r="U388" s="2"/>
      <c r="V388" s="2"/>
      <c r="W388" s="2"/>
    </row>
    <row r="389">
      <c r="A389" s="2"/>
      <c r="B389" s="2"/>
      <c r="C389" s="2"/>
      <c r="D389" s="2"/>
      <c r="E389" s="2"/>
      <c r="F389" s="2"/>
      <c r="G389" s="2"/>
      <c r="H389" s="2"/>
      <c r="I389" s="2"/>
      <c r="J389" s="2"/>
      <c r="K389" s="2"/>
      <c r="L389" s="2"/>
      <c r="M389" s="2"/>
      <c r="N389" s="2"/>
      <c r="O389" s="2"/>
      <c r="P389" s="2"/>
      <c r="Q389" s="2"/>
      <c r="R389" s="2"/>
      <c r="S389" s="2"/>
      <c r="T389" s="2"/>
      <c r="U389" s="2"/>
      <c r="V389" s="2"/>
      <c r="W389" s="2"/>
    </row>
    <row r="390">
      <c r="A390" s="2"/>
      <c r="B390" s="2"/>
      <c r="C390" s="2"/>
      <c r="D390" s="2"/>
      <c r="E390" s="2"/>
      <c r="F390" s="2"/>
      <c r="G390" s="2"/>
      <c r="H390" s="2"/>
      <c r="I390" s="2"/>
      <c r="J390" s="2"/>
      <c r="K390" s="2"/>
      <c r="L390" s="2"/>
      <c r="M390" s="2"/>
      <c r="N390" s="2"/>
      <c r="O390" s="2"/>
      <c r="P390" s="2"/>
      <c r="Q390" s="2"/>
      <c r="R390" s="2"/>
      <c r="S390" s="2"/>
      <c r="T390" s="2"/>
      <c r="U390" s="2"/>
      <c r="V390" s="2"/>
      <c r="W390" s="2"/>
    </row>
    <row r="391">
      <c r="A391" s="2"/>
      <c r="B391" s="2"/>
      <c r="C391" s="2"/>
      <c r="D391" s="2"/>
      <c r="E391" s="2"/>
      <c r="F391" s="2"/>
      <c r="G391" s="2"/>
      <c r="H391" s="2"/>
      <c r="I391" s="2"/>
      <c r="J391" s="2"/>
      <c r="K391" s="2"/>
      <c r="L391" s="2"/>
      <c r="M391" s="2"/>
      <c r="N391" s="2"/>
      <c r="O391" s="2"/>
      <c r="P391" s="2"/>
      <c r="Q391" s="2"/>
      <c r="R391" s="2"/>
      <c r="S391" s="2"/>
      <c r="T391" s="2"/>
      <c r="U391" s="2"/>
      <c r="V391" s="2"/>
      <c r="W391" s="2"/>
    </row>
    <row r="392">
      <c r="A392" s="2"/>
      <c r="B392" s="2"/>
      <c r="C392" s="2"/>
      <c r="D392" s="2"/>
      <c r="E392" s="2"/>
      <c r="F392" s="2"/>
      <c r="G392" s="2"/>
      <c r="H392" s="2"/>
      <c r="I392" s="2"/>
      <c r="J392" s="2"/>
      <c r="K392" s="2"/>
      <c r="L392" s="2"/>
      <c r="M392" s="2"/>
      <c r="N392" s="2"/>
      <c r="O392" s="2"/>
      <c r="P392" s="2"/>
      <c r="Q392" s="2"/>
      <c r="R392" s="2"/>
      <c r="S392" s="2"/>
      <c r="T392" s="2"/>
      <c r="U392" s="2"/>
      <c r="V392" s="2"/>
      <c r="W392" s="2"/>
    </row>
    <row r="393">
      <c r="A393" s="2"/>
      <c r="B393" s="2"/>
      <c r="C393" s="2"/>
      <c r="D393" s="2"/>
      <c r="E393" s="2"/>
      <c r="F393" s="2"/>
      <c r="G393" s="2"/>
      <c r="H393" s="2"/>
      <c r="I393" s="2"/>
      <c r="J393" s="2"/>
      <c r="K393" s="2"/>
      <c r="L393" s="2"/>
      <c r="M393" s="2"/>
      <c r="N393" s="2"/>
      <c r="O393" s="2"/>
      <c r="P393" s="2"/>
      <c r="Q393" s="2"/>
      <c r="R393" s="2"/>
      <c r="S393" s="2"/>
      <c r="T393" s="2"/>
      <c r="U393" s="2"/>
      <c r="V393" s="2"/>
      <c r="W393" s="2"/>
    </row>
    <row r="394">
      <c r="A394" s="2"/>
      <c r="B394" s="2"/>
      <c r="C394" s="2"/>
      <c r="D394" s="2"/>
      <c r="E394" s="2"/>
      <c r="F394" s="2"/>
      <c r="G394" s="2"/>
      <c r="H394" s="2"/>
      <c r="I394" s="2"/>
      <c r="J394" s="2"/>
      <c r="K394" s="2"/>
      <c r="L394" s="2"/>
      <c r="M394" s="2"/>
      <c r="N394" s="2"/>
      <c r="O394" s="2"/>
      <c r="P394" s="2"/>
      <c r="Q394" s="2"/>
      <c r="R394" s="2"/>
      <c r="S394" s="2"/>
      <c r="T394" s="2"/>
      <c r="U394" s="2"/>
      <c r="V394" s="2"/>
      <c r="W394" s="2"/>
    </row>
    <row r="395">
      <c r="A395" s="2"/>
      <c r="B395" s="2"/>
      <c r="C395" s="2"/>
      <c r="D395" s="2"/>
      <c r="E395" s="2"/>
      <c r="F395" s="2"/>
      <c r="G395" s="2"/>
      <c r="H395" s="2"/>
      <c r="I395" s="2"/>
      <c r="J395" s="2"/>
      <c r="K395" s="2"/>
      <c r="L395" s="2"/>
      <c r="M395" s="2"/>
      <c r="N395" s="2"/>
      <c r="O395" s="2"/>
      <c r="P395" s="2"/>
      <c r="Q395" s="2"/>
      <c r="R395" s="2"/>
      <c r="S395" s="2"/>
      <c r="T395" s="2"/>
      <c r="U395" s="2"/>
      <c r="V395" s="2"/>
      <c r="W395" s="2"/>
    </row>
    <row r="396">
      <c r="A396" s="2"/>
      <c r="B396" s="2"/>
      <c r="C396" s="2"/>
      <c r="D396" s="2"/>
      <c r="E396" s="2"/>
      <c r="F396" s="2"/>
      <c r="G396" s="2"/>
      <c r="H396" s="2"/>
      <c r="I396" s="2"/>
      <c r="J396" s="2"/>
      <c r="K396" s="2"/>
      <c r="L396" s="2"/>
      <c r="M396" s="2"/>
      <c r="N396" s="2"/>
      <c r="O396" s="2"/>
      <c r="P396" s="2"/>
      <c r="Q396" s="2"/>
      <c r="R396" s="2"/>
      <c r="S396" s="2"/>
      <c r="T396" s="2"/>
      <c r="U396" s="2"/>
      <c r="V396" s="2"/>
      <c r="W396" s="2"/>
    </row>
    <row r="397">
      <c r="A397" s="2"/>
      <c r="B397" s="2"/>
      <c r="C397" s="2"/>
      <c r="D397" s="2"/>
      <c r="E397" s="2"/>
      <c r="F397" s="2"/>
      <c r="G397" s="2"/>
      <c r="H397" s="2"/>
      <c r="I397" s="2"/>
      <c r="J397" s="2"/>
      <c r="K397" s="2"/>
      <c r="L397" s="2"/>
      <c r="M397" s="2"/>
      <c r="N397" s="2"/>
      <c r="O397" s="2"/>
      <c r="P397" s="2"/>
      <c r="Q397" s="2"/>
      <c r="R397" s="2"/>
      <c r="S397" s="2"/>
      <c r="T397" s="2"/>
      <c r="U397" s="2"/>
      <c r="V397" s="2"/>
      <c r="W397" s="2"/>
    </row>
    <row r="398">
      <c r="A398" s="2"/>
      <c r="B398" s="2"/>
      <c r="C398" s="2"/>
      <c r="D398" s="2"/>
      <c r="E398" s="2"/>
      <c r="F398" s="2"/>
      <c r="G398" s="2"/>
      <c r="H398" s="2"/>
      <c r="I398" s="2"/>
      <c r="J398" s="2"/>
      <c r="K398" s="2"/>
      <c r="L398" s="2"/>
      <c r="M398" s="2"/>
      <c r="N398" s="2"/>
      <c r="O398" s="2"/>
      <c r="P398" s="2"/>
      <c r="Q398" s="2"/>
      <c r="R398" s="2"/>
      <c r="S398" s="2"/>
      <c r="T398" s="2"/>
      <c r="U398" s="2"/>
      <c r="V398" s="2"/>
      <c r="W398" s="2"/>
    </row>
    <row r="399">
      <c r="A399" s="2"/>
      <c r="B399" s="2"/>
      <c r="C399" s="2"/>
      <c r="D399" s="2"/>
      <c r="E399" s="2"/>
      <c r="F399" s="2"/>
      <c r="G399" s="2"/>
      <c r="H399" s="2"/>
      <c r="I399" s="2"/>
      <c r="J399" s="2"/>
      <c r="K399" s="2"/>
      <c r="L399" s="2"/>
      <c r="M399" s="2"/>
      <c r="N399" s="2"/>
      <c r="O399" s="2"/>
      <c r="P399" s="2"/>
      <c r="Q399" s="2"/>
      <c r="R399" s="2"/>
      <c r="S399" s="2"/>
      <c r="T399" s="2"/>
      <c r="U399" s="2"/>
      <c r="V399" s="2"/>
      <c r="W399" s="2"/>
    </row>
    <row r="400">
      <c r="A400" s="2"/>
      <c r="B400" s="2"/>
      <c r="C400" s="2"/>
      <c r="D400" s="2"/>
      <c r="E400" s="2"/>
      <c r="F400" s="2"/>
      <c r="G400" s="2"/>
      <c r="H400" s="2"/>
      <c r="I400" s="2"/>
      <c r="J400" s="2"/>
      <c r="K400" s="2"/>
      <c r="L400" s="2"/>
      <c r="M400" s="2"/>
      <c r="N400" s="2"/>
      <c r="O400" s="2"/>
      <c r="P400" s="2"/>
      <c r="Q400" s="2"/>
      <c r="R400" s="2"/>
      <c r="S400" s="2"/>
      <c r="T400" s="2"/>
      <c r="U400" s="2"/>
      <c r="V400" s="2"/>
      <c r="W400" s="2"/>
    </row>
    <row r="401">
      <c r="A401" s="2"/>
      <c r="B401" s="2"/>
      <c r="C401" s="2"/>
      <c r="D401" s="2"/>
      <c r="E401" s="2"/>
      <c r="F401" s="2"/>
      <c r="G401" s="2"/>
      <c r="H401" s="2"/>
      <c r="I401" s="2"/>
      <c r="J401" s="2"/>
      <c r="K401" s="2"/>
      <c r="L401" s="2"/>
      <c r="M401" s="2"/>
      <c r="N401" s="2"/>
      <c r="O401" s="2"/>
      <c r="P401" s="2"/>
      <c r="Q401" s="2"/>
      <c r="R401" s="2"/>
      <c r="S401" s="2"/>
      <c r="T401" s="2"/>
      <c r="U401" s="2"/>
      <c r="V401" s="2"/>
      <c r="W401" s="2"/>
    </row>
    <row r="402">
      <c r="A402" s="2"/>
      <c r="B402" s="2"/>
      <c r="C402" s="2"/>
      <c r="D402" s="2"/>
      <c r="E402" s="2"/>
      <c r="F402" s="2"/>
      <c r="G402" s="2"/>
      <c r="H402" s="2"/>
      <c r="I402" s="2"/>
      <c r="J402" s="2"/>
      <c r="K402" s="2"/>
      <c r="L402" s="2"/>
      <c r="M402" s="2"/>
      <c r="N402" s="2"/>
      <c r="O402" s="2"/>
      <c r="P402" s="2"/>
      <c r="Q402" s="2"/>
      <c r="R402" s="2"/>
      <c r="S402" s="2"/>
      <c r="T402" s="2"/>
      <c r="U402" s="2"/>
      <c r="V402" s="2"/>
      <c r="W402" s="2"/>
    </row>
    <row r="403">
      <c r="A403" s="2"/>
      <c r="B403" s="2"/>
      <c r="C403" s="2"/>
      <c r="D403" s="2"/>
      <c r="E403" s="2"/>
      <c r="F403" s="2"/>
      <c r="G403" s="2"/>
      <c r="H403" s="2"/>
      <c r="I403" s="2"/>
      <c r="J403" s="2"/>
      <c r="K403" s="2"/>
      <c r="L403" s="2"/>
      <c r="M403" s="2"/>
      <c r="N403" s="2"/>
      <c r="O403" s="2"/>
      <c r="P403" s="2"/>
      <c r="Q403" s="2"/>
      <c r="R403" s="2"/>
      <c r="S403" s="2"/>
      <c r="T403" s="2"/>
      <c r="U403" s="2"/>
      <c r="V403" s="2"/>
      <c r="W403" s="2"/>
    </row>
    <row r="404">
      <c r="A404" s="2"/>
      <c r="B404" s="2"/>
      <c r="C404" s="2"/>
      <c r="D404" s="2"/>
      <c r="E404" s="2"/>
      <c r="F404" s="2"/>
      <c r="G404" s="2"/>
      <c r="H404" s="2"/>
      <c r="I404" s="2"/>
      <c r="J404" s="2"/>
      <c r="K404" s="2"/>
      <c r="L404" s="2"/>
      <c r="M404" s="2"/>
      <c r="N404" s="2"/>
      <c r="O404" s="2"/>
      <c r="P404" s="2"/>
      <c r="Q404" s="2"/>
      <c r="R404" s="2"/>
      <c r="S404" s="2"/>
      <c r="T404" s="2"/>
      <c r="U404" s="2"/>
      <c r="V404" s="2"/>
      <c r="W404" s="2"/>
    </row>
    <row r="405">
      <c r="A405" s="2"/>
      <c r="B405" s="2"/>
      <c r="C405" s="2"/>
      <c r="D405" s="2"/>
      <c r="E405" s="2"/>
      <c r="F405" s="2"/>
      <c r="G405" s="2"/>
      <c r="H405" s="2"/>
      <c r="I405" s="2"/>
      <c r="J405" s="2"/>
      <c r="K405" s="2"/>
      <c r="L405" s="2"/>
      <c r="M405" s="2"/>
      <c r="N405" s="2"/>
      <c r="O405" s="2"/>
      <c r="P405" s="2"/>
      <c r="Q405" s="2"/>
      <c r="R405" s="2"/>
      <c r="S405" s="2"/>
      <c r="T405" s="2"/>
      <c r="U405" s="2"/>
      <c r="V405" s="2"/>
      <c r="W405" s="2"/>
    </row>
    <row r="406">
      <c r="A406" s="2"/>
      <c r="B406" s="2"/>
      <c r="C406" s="2"/>
      <c r="D406" s="2"/>
      <c r="E406" s="2"/>
      <c r="F406" s="2"/>
      <c r="G406" s="2"/>
      <c r="H406" s="2"/>
      <c r="I406" s="2"/>
      <c r="J406" s="2"/>
      <c r="K406" s="2"/>
      <c r="L406" s="2"/>
      <c r="M406" s="2"/>
      <c r="N406" s="2"/>
      <c r="O406" s="2"/>
      <c r="P406" s="2"/>
      <c r="Q406" s="2"/>
      <c r="R406" s="2"/>
      <c r="S406" s="2"/>
      <c r="T406" s="2"/>
      <c r="U406" s="2"/>
      <c r="V406" s="2"/>
      <c r="W406" s="2"/>
    </row>
    <row r="407">
      <c r="A407" s="2"/>
      <c r="B407" s="2"/>
      <c r="C407" s="2"/>
      <c r="D407" s="2"/>
      <c r="E407" s="2"/>
      <c r="F407" s="2"/>
      <c r="G407" s="2"/>
      <c r="H407" s="2"/>
      <c r="I407" s="2"/>
      <c r="J407" s="2"/>
      <c r="K407" s="2"/>
      <c r="L407" s="2"/>
      <c r="M407" s="2"/>
      <c r="N407" s="2"/>
      <c r="O407" s="2"/>
      <c r="P407" s="2"/>
      <c r="Q407" s="2"/>
      <c r="R407" s="2"/>
      <c r="S407" s="2"/>
      <c r="T407" s="2"/>
      <c r="U407" s="2"/>
      <c r="V407" s="2"/>
      <c r="W407" s="2"/>
    </row>
    <row r="408">
      <c r="A408" s="2"/>
      <c r="B408" s="2"/>
      <c r="C408" s="2"/>
      <c r="D408" s="2"/>
      <c r="E408" s="2"/>
      <c r="F408" s="2"/>
      <c r="G408" s="2"/>
      <c r="H408" s="2"/>
      <c r="I408" s="2"/>
      <c r="J408" s="2"/>
      <c r="K408" s="2"/>
      <c r="L408" s="2"/>
      <c r="M408" s="2"/>
      <c r="N408" s="2"/>
      <c r="O408" s="2"/>
      <c r="P408" s="2"/>
      <c r="Q408" s="2"/>
      <c r="R408" s="2"/>
      <c r="S408" s="2"/>
      <c r="T408" s="2"/>
      <c r="U408" s="2"/>
      <c r="V408" s="2"/>
      <c r="W408" s="2"/>
    </row>
    <row r="409">
      <c r="A409" s="2"/>
      <c r="B409" s="2"/>
      <c r="C409" s="2"/>
      <c r="D409" s="2"/>
      <c r="E409" s="2"/>
      <c r="F409" s="2"/>
      <c r="G409" s="2"/>
      <c r="H409" s="2"/>
      <c r="I409" s="2"/>
      <c r="J409" s="2"/>
      <c r="K409" s="2"/>
      <c r="L409" s="2"/>
      <c r="M409" s="2"/>
      <c r="N409" s="2"/>
      <c r="O409" s="2"/>
      <c r="P409" s="2"/>
      <c r="Q409" s="2"/>
      <c r="R409" s="2"/>
      <c r="S409" s="2"/>
      <c r="T409" s="2"/>
      <c r="U409" s="2"/>
      <c r="V409" s="2"/>
      <c r="W409" s="2"/>
    </row>
    <row r="410">
      <c r="A410" s="2"/>
      <c r="B410" s="2"/>
      <c r="C410" s="2"/>
      <c r="D410" s="2"/>
      <c r="E410" s="2"/>
      <c r="F410" s="2"/>
      <c r="G410" s="2"/>
      <c r="H410" s="2"/>
      <c r="I410" s="2"/>
      <c r="J410" s="2"/>
      <c r="K410" s="2"/>
      <c r="L410" s="2"/>
      <c r="M410" s="2"/>
      <c r="N410" s="2"/>
      <c r="O410" s="2"/>
      <c r="P410" s="2"/>
      <c r="Q410" s="2"/>
      <c r="R410" s="2"/>
      <c r="S410" s="2"/>
      <c r="T410" s="2"/>
      <c r="U410" s="2"/>
      <c r="V410" s="2"/>
      <c r="W410" s="2"/>
    </row>
    <row r="411">
      <c r="A411" s="2"/>
      <c r="B411" s="2"/>
      <c r="C411" s="2"/>
      <c r="D411" s="2"/>
      <c r="E411" s="2"/>
      <c r="F411" s="2"/>
      <c r="G411" s="2"/>
      <c r="H411" s="2"/>
      <c r="I411" s="2"/>
      <c r="J411" s="2"/>
      <c r="K411" s="2"/>
      <c r="L411" s="2"/>
      <c r="M411" s="2"/>
      <c r="N411" s="2"/>
      <c r="O411" s="2"/>
      <c r="P411" s="2"/>
      <c r="Q411" s="2"/>
      <c r="R411" s="2"/>
      <c r="S411" s="2"/>
      <c r="T411" s="2"/>
      <c r="U411" s="2"/>
      <c r="V411" s="2"/>
      <c r="W411" s="2"/>
    </row>
    <row r="412">
      <c r="A412" s="2"/>
      <c r="B412" s="2"/>
      <c r="C412" s="2"/>
      <c r="D412" s="2"/>
      <c r="E412" s="2"/>
      <c r="F412" s="2"/>
      <c r="G412" s="2"/>
      <c r="H412" s="2"/>
      <c r="I412" s="2"/>
      <c r="J412" s="2"/>
      <c r="K412" s="2"/>
      <c r="L412" s="2"/>
      <c r="M412" s="2"/>
      <c r="N412" s="2"/>
      <c r="O412" s="2"/>
      <c r="P412" s="2"/>
      <c r="Q412" s="2"/>
      <c r="R412" s="2"/>
      <c r="S412" s="2"/>
      <c r="T412" s="2"/>
      <c r="U412" s="2"/>
      <c r="V412" s="2"/>
      <c r="W412" s="2"/>
    </row>
    <row r="413">
      <c r="A413" s="2"/>
      <c r="B413" s="2"/>
      <c r="C413" s="2"/>
      <c r="D413" s="2"/>
      <c r="E413" s="2"/>
      <c r="F413" s="2"/>
      <c r="G413" s="2"/>
      <c r="H413" s="2"/>
      <c r="I413" s="2"/>
      <c r="J413" s="2"/>
      <c r="K413" s="2"/>
      <c r="L413" s="2"/>
      <c r="M413" s="2"/>
      <c r="N413" s="2"/>
      <c r="O413" s="2"/>
      <c r="P413" s="2"/>
      <c r="Q413" s="2"/>
      <c r="R413" s="2"/>
      <c r="S413" s="2"/>
      <c r="T413" s="2"/>
      <c r="U413" s="2"/>
      <c r="V413" s="2"/>
      <c r="W413" s="2"/>
    </row>
    <row r="414">
      <c r="A414" s="2"/>
      <c r="B414" s="2"/>
      <c r="C414" s="2"/>
      <c r="D414" s="2"/>
      <c r="E414" s="2"/>
      <c r="F414" s="2"/>
      <c r="G414" s="2"/>
      <c r="H414" s="2"/>
      <c r="I414" s="2"/>
      <c r="J414" s="2"/>
      <c r="K414" s="2"/>
      <c r="L414" s="2"/>
      <c r="M414" s="2"/>
      <c r="N414" s="2"/>
      <c r="O414" s="2"/>
      <c r="P414" s="2"/>
      <c r="Q414" s="2"/>
      <c r="R414" s="2"/>
      <c r="S414" s="2"/>
      <c r="T414" s="2"/>
      <c r="U414" s="2"/>
      <c r="V414" s="2"/>
      <c r="W414" s="2"/>
    </row>
    <row r="415">
      <c r="A415" s="2"/>
      <c r="B415" s="2"/>
      <c r="C415" s="2"/>
      <c r="D415" s="2"/>
      <c r="E415" s="2"/>
      <c r="F415" s="2"/>
      <c r="G415" s="2"/>
      <c r="H415" s="2"/>
      <c r="I415" s="2"/>
      <c r="J415" s="2"/>
      <c r="K415" s="2"/>
      <c r="L415" s="2"/>
      <c r="M415" s="2"/>
      <c r="N415" s="2"/>
      <c r="O415" s="2"/>
      <c r="P415" s="2"/>
      <c r="Q415" s="2"/>
      <c r="R415" s="2"/>
      <c r="S415" s="2"/>
      <c r="T415" s="2"/>
      <c r="U415" s="2"/>
      <c r="V415" s="2"/>
      <c r="W415" s="2"/>
    </row>
    <row r="416">
      <c r="A416" s="2"/>
      <c r="B416" s="2"/>
      <c r="C416" s="2"/>
      <c r="D416" s="2"/>
      <c r="E416" s="2"/>
      <c r="F416" s="2"/>
      <c r="G416" s="2"/>
      <c r="H416" s="2"/>
      <c r="I416" s="2"/>
      <c r="J416" s="2"/>
      <c r="K416" s="2"/>
      <c r="L416" s="2"/>
      <c r="M416" s="2"/>
      <c r="N416" s="2"/>
      <c r="O416" s="2"/>
      <c r="P416" s="2"/>
      <c r="Q416" s="2"/>
      <c r="R416" s="2"/>
      <c r="S416" s="2"/>
      <c r="T416" s="2"/>
      <c r="U416" s="2"/>
      <c r="V416" s="2"/>
      <c r="W416" s="2"/>
    </row>
    <row r="417">
      <c r="A417" s="2"/>
      <c r="B417" s="2"/>
      <c r="C417" s="2"/>
      <c r="D417" s="2"/>
      <c r="E417" s="2"/>
      <c r="F417" s="2"/>
      <c r="G417" s="2"/>
      <c r="H417" s="2"/>
      <c r="I417" s="2"/>
      <c r="J417" s="2"/>
      <c r="K417" s="2"/>
      <c r="L417" s="2"/>
      <c r="M417" s="2"/>
      <c r="N417" s="2"/>
      <c r="O417" s="2"/>
      <c r="P417" s="2"/>
      <c r="Q417" s="2"/>
      <c r="R417" s="2"/>
      <c r="S417" s="2"/>
      <c r="T417" s="2"/>
      <c r="U417" s="2"/>
      <c r="V417" s="2"/>
      <c r="W417" s="2"/>
    </row>
    <row r="418">
      <c r="A418" s="2"/>
      <c r="B418" s="2"/>
      <c r="C418" s="2"/>
      <c r="D418" s="2"/>
      <c r="E418" s="2"/>
      <c r="F418" s="2"/>
      <c r="G418" s="2"/>
      <c r="H418" s="2"/>
      <c r="I418" s="2"/>
      <c r="J418" s="2"/>
      <c r="K418" s="2"/>
      <c r="L418" s="2"/>
      <c r="M418" s="2"/>
      <c r="N418" s="2"/>
      <c r="O418" s="2"/>
      <c r="P418" s="2"/>
      <c r="Q418" s="2"/>
      <c r="R418" s="2"/>
      <c r="S418" s="2"/>
      <c r="T418" s="2"/>
      <c r="U418" s="2"/>
      <c r="V418" s="2"/>
      <c r="W418" s="2"/>
    </row>
    <row r="419">
      <c r="A419" s="2"/>
      <c r="B419" s="2"/>
      <c r="C419" s="2"/>
      <c r="D419" s="2"/>
      <c r="E419" s="2"/>
      <c r="F419" s="2"/>
      <c r="G419" s="2"/>
      <c r="H419" s="2"/>
      <c r="I419" s="2"/>
      <c r="J419" s="2"/>
      <c r="K419" s="2"/>
      <c r="L419" s="2"/>
      <c r="M419" s="2"/>
      <c r="N419" s="2"/>
      <c r="O419" s="2"/>
      <c r="P419" s="2"/>
      <c r="Q419" s="2"/>
      <c r="R419" s="2"/>
      <c r="S419" s="2"/>
      <c r="T419" s="2"/>
      <c r="U419" s="2"/>
      <c r="V419" s="2"/>
      <c r="W419" s="2"/>
    </row>
    <row r="420">
      <c r="A420" s="2"/>
      <c r="B420" s="2"/>
      <c r="C420" s="2"/>
      <c r="D420" s="2"/>
      <c r="E420" s="2"/>
      <c r="F420" s="2"/>
      <c r="G420" s="2"/>
      <c r="H420" s="2"/>
      <c r="I420" s="2"/>
      <c r="J420" s="2"/>
      <c r="K420" s="2"/>
      <c r="L420" s="2"/>
      <c r="M420" s="2"/>
      <c r="N420" s="2"/>
      <c r="O420" s="2"/>
      <c r="P420" s="2"/>
      <c r="Q420" s="2"/>
      <c r="R420" s="2"/>
      <c r="S420" s="2"/>
      <c r="T420" s="2"/>
      <c r="U420" s="2"/>
      <c r="V420" s="2"/>
      <c r="W420" s="2"/>
    </row>
    <row r="421">
      <c r="A421" s="2"/>
      <c r="B421" s="2"/>
      <c r="C421" s="2"/>
      <c r="D421" s="2"/>
      <c r="E421" s="2"/>
      <c r="F421" s="2"/>
      <c r="G421" s="2"/>
      <c r="H421" s="2"/>
      <c r="I421" s="2"/>
      <c r="J421" s="2"/>
      <c r="K421" s="2"/>
      <c r="L421" s="2"/>
      <c r="M421" s="2"/>
      <c r="N421" s="2"/>
      <c r="O421" s="2"/>
      <c r="P421" s="2"/>
      <c r="Q421" s="2"/>
      <c r="R421" s="2"/>
      <c r="S421" s="2"/>
      <c r="T421" s="2"/>
      <c r="U421" s="2"/>
      <c r="V421" s="2"/>
      <c r="W421" s="2"/>
    </row>
    <row r="422">
      <c r="A422" s="2"/>
      <c r="B422" s="2"/>
      <c r="C422" s="2"/>
      <c r="D422" s="2"/>
      <c r="E422" s="2"/>
      <c r="F422" s="2"/>
      <c r="G422" s="2"/>
      <c r="H422" s="2"/>
      <c r="I422" s="2"/>
      <c r="J422" s="2"/>
      <c r="K422" s="2"/>
      <c r="L422" s="2"/>
      <c r="M422" s="2"/>
      <c r="N422" s="2"/>
      <c r="O422" s="2"/>
      <c r="P422" s="2"/>
      <c r="Q422" s="2"/>
      <c r="R422" s="2"/>
      <c r="S422" s="2"/>
      <c r="T422" s="2"/>
      <c r="U422" s="2"/>
      <c r="V422" s="2"/>
      <c r="W422" s="2"/>
    </row>
    <row r="423">
      <c r="A423" s="2"/>
      <c r="B423" s="2"/>
      <c r="C423" s="2"/>
      <c r="D423" s="2"/>
      <c r="E423" s="2"/>
      <c r="F423" s="2"/>
      <c r="G423" s="2"/>
      <c r="H423" s="2"/>
      <c r="I423" s="2"/>
      <c r="J423" s="2"/>
      <c r="K423" s="2"/>
      <c r="L423" s="2"/>
      <c r="M423" s="2"/>
      <c r="N423" s="2"/>
      <c r="O423" s="2"/>
      <c r="P423" s="2"/>
      <c r="Q423" s="2"/>
      <c r="R423" s="2"/>
      <c r="S423" s="2"/>
      <c r="T423" s="2"/>
      <c r="U423" s="2"/>
      <c r="V423" s="2"/>
      <c r="W423" s="2"/>
    </row>
    <row r="424">
      <c r="A424" s="2"/>
      <c r="B424" s="2"/>
      <c r="C424" s="2"/>
      <c r="D424" s="2"/>
      <c r="E424" s="2"/>
      <c r="F424" s="2"/>
      <c r="G424" s="2"/>
      <c r="H424" s="2"/>
      <c r="I424" s="2"/>
      <c r="J424" s="2"/>
      <c r="K424" s="2"/>
      <c r="L424" s="2"/>
      <c r="M424" s="2"/>
      <c r="N424" s="2"/>
      <c r="O424" s="2"/>
      <c r="P424" s="2"/>
      <c r="Q424" s="2"/>
      <c r="R424" s="2"/>
      <c r="S424" s="2"/>
      <c r="T424" s="2"/>
      <c r="U424" s="2"/>
      <c r="V424" s="2"/>
      <c r="W424" s="2"/>
    </row>
    <row r="425">
      <c r="A425" s="2"/>
      <c r="B425" s="2"/>
      <c r="C425" s="2"/>
      <c r="D425" s="2"/>
      <c r="E425" s="2"/>
      <c r="F425" s="2"/>
      <c r="G425" s="2"/>
      <c r="H425" s="2"/>
      <c r="I425" s="2"/>
      <c r="J425" s="2"/>
      <c r="K425" s="2"/>
      <c r="L425" s="2"/>
      <c r="M425" s="2"/>
      <c r="N425" s="2"/>
      <c r="O425" s="2"/>
      <c r="P425" s="2"/>
      <c r="Q425" s="2"/>
      <c r="R425" s="2"/>
      <c r="S425" s="2"/>
      <c r="T425" s="2"/>
      <c r="U425" s="2"/>
      <c r="V425" s="2"/>
      <c r="W425" s="2"/>
    </row>
    <row r="426">
      <c r="A426" s="2"/>
      <c r="B426" s="2"/>
      <c r="C426" s="2"/>
      <c r="D426" s="2"/>
      <c r="E426" s="2"/>
      <c r="F426" s="2"/>
      <c r="G426" s="2"/>
      <c r="H426" s="2"/>
      <c r="I426" s="2"/>
      <c r="J426" s="2"/>
      <c r="K426" s="2"/>
      <c r="L426" s="2"/>
      <c r="M426" s="2"/>
      <c r="N426" s="2"/>
      <c r="O426" s="2"/>
      <c r="P426" s="2"/>
      <c r="Q426" s="2"/>
      <c r="R426" s="2"/>
      <c r="S426" s="2"/>
      <c r="T426" s="2"/>
      <c r="U426" s="2"/>
      <c r="V426" s="2"/>
      <c r="W426" s="2"/>
    </row>
    <row r="427">
      <c r="A427" s="2"/>
      <c r="B427" s="2"/>
      <c r="C427" s="2"/>
      <c r="D427" s="2"/>
      <c r="E427" s="2"/>
      <c r="F427" s="2"/>
      <c r="G427" s="2"/>
      <c r="H427" s="2"/>
      <c r="I427" s="2"/>
      <c r="J427" s="2"/>
      <c r="K427" s="2"/>
      <c r="L427" s="2"/>
      <c r="M427" s="2"/>
      <c r="N427" s="2"/>
      <c r="O427" s="2"/>
      <c r="P427" s="2"/>
      <c r="Q427" s="2"/>
      <c r="R427" s="2"/>
      <c r="S427" s="2"/>
      <c r="T427" s="2"/>
      <c r="U427" s="2"/>
      <c r="V427" s="2"/>
      <c r="W427" s="2"/>
    </row>
    <row r="428">
      <c r="A428" s="2"/>
      <c r="B428" s="2"/>
      <c r="C428" s="2"/>
      <c r="D428" s="2"/>
      <c r="E428" s="2"/>
      <c r="F428" s="2"/>
      <c r="G428" s="2"/>
      <c r="H428" s="2"/>
      <c r="I428" s="2"/>
      <c r="J428" s="2"/>
      <c r="K428" s="2"/>
      <c r="L428" s="2"/>
      <c r="M428" s="2"/>
      <c r="N428" s="2"/>
      <c r="O428" s="2"/>
      <c r="P428" s="2"/>
      <c r="Q428" s="2"/>
      <c r="R428" s="2"/>
      <c r="S428" s="2"/>
      <c r="T428" s="2"/>
      <c r="U428" s="2"/>
      <c r="V428" s="2"/>
      <c r="W428" s="2"/>
    </row>
    <row r="429">
      <c r="A429" s="2"/>
      <c r="B429" s="2"/>
      <c r="C429" s="2"/>
      <c r="D429" s="2"/>
      <c r="E429" s="2"/>
      <c r="F429" s="2"/>
      <c r="G429" s="2"/>
      <c r="H429" s="2"/>
      <c r="I429" s="2"/>
      <c r="J429" s="2"/>
      <c r="K429" s="2"/>
      <c r="L429" s="2"/>
      <c r="M429" s="2"/>
      <c r="N429" s="2"/>
      <c r="O429" s="2"/>
      <c r="P429" s="2"/>
      <c r="Q429" s="2"/>
      <c r="R429" s="2"/>
      <c r="S429" s="2"/>
      <c r="T429" s="2"/>
      <c r="U429" s="2"/>
      <c r="V429" s="2"/>
      <c r="W429" s="2"/>
    </row>
    <row r="430">
      <c r="A430" s="2"/>
      <c r="B430" s="2"/>
      <c r="C430" s="2"/>
      <c r="D430" s="2"/>
      <c r="E430" s="2"/>
      <c r="F430" s="2"/>
      <c r="G430" s="2"/>
      <c r="H430" s="2"/>
      <c r="I430" s="2"/>
      <c r="J430" s="2"/>
      <c r="K430" s="2"/>
      <c r="L430" s="2"/>
      <c r="M430" s="2"/>
      <c r="N430" s="2"/>
      <c r="O430" s="2"/>
      <c r="P430" s="2"/>
      <c r="Q430" s="2"/>
      <c r="R430" s="2"/>
      <c r="S430" s="2"/>
      <c r="T430" s="2"/>
      <c r="U430" s="2"/>
      <c r="V430" s="2"/>
      <c r="W430" s="2"/>
    </row>
    <row r="431">
      <c r="A431" s="2"/>
      <c r="B431" s="2"/>
      <c r="C431" s="2"/>
      <c r="D431" s="2"/>
      <c r="E431" s="2"/>
      <c r="F431" s="2"/>
      <c r="G431" s="2"/>
      <c r="H431" s="2"/>
      <c r="I431" s="2"/>
      <c r="J431" s="2"/>
      <c r="K431" s="2"/>
      <c r="L431" s="2"/>
      <c r="M431" s="2"/>
      <c r="N431" s="2"/>
      <c r="O431" s="2"/>
      <c r="P431" s="2"/>
      <c r="Q431" s="2"/>
      <c r="R431" s="2"/>
      <c r="S431" s="2"/>
      <c r="T431" s="2"/>
      <c r="U431" s="2"/>
      <c r="V431" s="2"/>
      <c r="W431" s="2"/>
    </row>
    <row r="432">
      <c r="A432" s="2"/>
      <c r="B432" s="2"/>
      <c r="C432" s="2"/>
      <c r="D432" s="2"/>
      <c r="E432" s="2"/>
      <c r="F432" s="2"/>
      <c r="G432" s="2"/>
      <c r="H432" s="2"/>
      <c r="I432" s="2"/>
      <c r="J432" s="2"/>
      <c r="K432" s="2"/>
      <c r="L432" s="2"/>
      <c r="M432" s="2"/>
      <c r="N432" s="2"/>
      <c r="O432" s="2"/>
      <c r="P432" s="2"/>
      <c r="Q432" s="2"/>
      <c r="R432" s="2"/>
      <c r="S432" s="2"/>
      <c r="T432" s="2"/>
      <c r="U432" s="2"/>
      <c r="V432" s="2"/>
      <c r="W432" s="2"/>
    </row>
    <row r="433">
      <c r="A433" s="2"/>
      <c r="B433" s="2"/>
      <c r="C433" s="2"/>
      <c r="D433" s="2"/>
      <c r="E433" s="2"/>
      <c r="F433" s="2"/>
      <c r="G433" s="2"/>
      <c r="H433" s="2"/>
      <c r="I433" s="2"/>
      <c r="J433" s="2"/>
      <c r="K433" s="2"/>
      <c r="L433" s="2"/>
      <c r="M433" s="2"/>
      <c r="N433" s="2"/>
      <c r="O433" s="2"/>
      <c r="P433" s="2"/>
      <c r="Q433" s="2"/>
      <c r="R433" s="2"/>
      <c r="S433" s="2"/>
      <c r="T433" s="2"/>
      <c r="U433" s="2"/>
      <c r="V433" s="2"/>
      <c r="W433" s="2"/>
    </row>
    <row r="434">
      <c r="A434" s="2"/>
      <c r="B434" s="2"/>
      <c r="C434" s="2"/>
      <c r="D434" s="2"/>
      <c r="E434" s="2"/>
      <c r="F434" s="2"/>
      <c r="G434" s="2"/>
      <c r="H434" s="2"/>
      <c r="I434" s="2"/>
      <c r="J434" s="2"/>
      <c r="K434" s="2"/>
      <c r="L434" s="2"/>
      <c r="M434" s="2"/>
      <c r="N434" s="2"/>
      <c r="O434" s="2"/>
      <c r="P434" s="2"/>
      <c r="Q434" s="2"/>
      <c r="R434" s="2"/>
      <c r="S434" s="2"/>
      <c r="T434" s="2"/>
      <c r="U434" s="2"/>
      <c r="V434" s="2"/>
      <c r="W434" s="2"/>
    </row>
    <row r="435">
      <c r="A435" s="2"/>
      <c r="B435" s="2"/>
      <c r="C435" s="2"/>
      <c r="D435" s="2"/>
      <c r="E435" s="2"/>
      <c r="F435" s="2"/>
      <c r="G435" s="2"/>
      <c r="H435" s="2"/>
      <c r="I435" s="2"/>
      <c r="J435" s="2"/>
      <c r="K435" s="2"/>
      <c r="L435" s="2"/>
      <c r="M435" s="2"/>
      <c r="N435" s="2"/>
      <c r="O435" s="2"/>
      <c r="P435" s="2"/>
      <c r="Q435" s="2"/>
      <c r="R435" s="2"/>
      <c r="S435" s="2"/>
      <c r="T435" s="2"/>
      <c r="U435" s="2"/>
      <c r="V435" s="2"/>
      <c r="W435" s="2"/>
    </row>
    <row r="436">
      <c r="A436" s="2"/>
      <c r="B436" s="2"/>
      <c r="C436" s="2"/>
      <c r="D436" s="2"/>
      <c r="E436" s="2"/>
      <c r="F436" s="2"/>
      <c r="G436" s="2"/>
      <c r="H436" s="2"/>
      <c r="I436" s="2"/>
      <c r="J436" s="2"/>
      <c r="K436" s="2"/>
      <c r="L436" s="2"/>
      <c r="M436" s="2"/>
      <c r="N436" s="2"/>
      <c r="O436" s="2"/>
      <c r="P436" s="2"/>
      <c r="Q436" s="2"/>
      <c r="R436" s="2"/>
      <c r="S436" s="2"/>
      <c r="T436" s="2"/>
      <c r="U436" s="2"/>
      <c r="V436" s="2"/>
      <c r="W436" s="2"/>
    </row>
    <row r="437">
      <c r="A437" s="2"/>
      <c r="B437" s="2"/>
      <c r="C437" s="2"/>
      <c r="D437" s="2"/>
      <c r="E437" s="2"/>
      <c r="F437" s="2"/>
      <c r="G437" s="2"/>
      <c r="H437" s="2"/>
      <c r="I437" s="2"/>
      <c r="J437" s="2"/>
      <c r="K437" s="2"/>
      <c r="L437" s="2"/>
      <c r="M437" s="2"/>
      <c r="N437" s="2"/>
      <c r="O437" s="2"/>
      <c r="P437" s="2"/>
      <c r="Q437" s="2"/>
      <c r="R437" s="2"/>
      <c r="S437" s="2"/>
      <c r="T437" s="2"/>
      <c r="U437" s="2"/>
      <c r="V437" s="2"/>
      <c r="W437" s="2"/>
    </row>
    <row r="438">
      <c r="A438" s="2"/>
      <c r="B438" s="2"/>
      <c r="C438" s="2"/>
      <c r="D438" s="2"/>
      <c r="E438" s="2"/>
      <c r="F438" s="2"/>
      <c r="G438" s="2"/>
      <c r="H438" s="2"/>
      <c r="I438" s="2"/>
      <c r="J438" s="2"/>
      <c r="K438" s="2"/>
      <c r="L438" s="2"/>
      <c r="M438" s="2"/>
      <c r="N438" s="2"/>
      <c r="O438" s="2"/>
      <c r="P438" s="2"/>
      <c r="Q438" s="2"/>
      <c r="R438" s="2"/>
      <c r="S438" s="2"/>
      <c r="T438" s="2"/>
      <c r="U438" s="2"/>
      <c r="V438" s="2"/>
      <c r="W438" s="2"/>
    </row>
    <row r="439">
      <c r="A439" s="2"/>
      <c r="B439" s="2"/>
      <c r="C439" s="2"/>
      <c r="D439" s="2"/>
      <c r="E439" s="2"/>
      <c r="F439" s="2"/>
      <c r="G439" s="2"/>
      <c r="H439" s="2"/>
      <c r="I439" s="2"/>
      <c r="J439" s="2"/>
      <c r="K439" s="2"/>
      <c r="L439" s="2"/>
      <c r="M439" s="2"/>
      <c r="N439" s="2"/>
      <c r="O439" s="2"/>
      <c r="P439" s="2"/>
      <c r="Q439" s="2"/>
      <c r="R439" s="2"/>
      <c r="S439" s="2"/>
      <c r="T439" s="2"/>
      <c r="U439" s="2"/>
      <c r="V439" s="2"/>
      <c r="W439" s="2"/>
    </row>
    <row r="440">
      <c r="A440" s="2"/>
      <c r="B440" s="2"/>
      <c r="C440" s="2"/>
      <c r="D440" s="2"/>
      <c r="E440" s="2"/>
      <c r="F440" s="2"/>
      <c r="G440" s="2"/>
      <c r="H440" s="2"/>
      <c r="I440" s="2"/>
      <c r="J440" s="2"/>
      <c r="K440" s="2"/>
      <c r="L440" s="2"/>
      <c r="M440" s="2"/>
      <c r="N440" s="2"/>
      <c r="O440" s="2"/>
      <c r="P440" s="2"/>
      <c r="Q440" s="2"/>
      <c r="R440" s="2"/>
      <c r="S440" s="2"/>
      <c r="T440" s="2"/>
      <c r="U440" s="2"/>
      <c r="V440" s="2"/>
      <c r="W440" s="2"/>
    </row>
    <row r="441">
      <c r="A441" s="2"/>
      <c r="B441" s="2"/>
      <c r="C441" s="2"/>
      <c r="D441" s="2"/>
      <c r="E441" s="2"/>
      <c r="F441" s="2"/>
      <c r="G441" s="2"/>
      <c r="H441" s="2"/>
      <c r="I441" s="2"/>
      <c r="J441" s="2"/>
      <c r="K441" s="2"/>
      <c r="L441" s="2"/>
      <c r="M441" s="2"/>
      <c r="N441" s="2"/>
      <c r="O441" s="2"/>
      <c r="P441" s="2"/>
      <c r="Q441" s="2"/>
      <c r="R441" s="2"/>
      <c r="S441" s="2"/>
      <c r="T441" s="2"/>
      <c r="U441" s="2"/>
      <c r="V441" s="2"/>
      <c r="W441" s="2"/>
    </row>
    <row r="442">
      <c r="A442" s="2"/>
      <c r="B442" s="2"/>
      <c r="C442" s="2"/>
      <c r="D442" s="2"/>
      <c r="E442" s="2"/>
      <c r="F442" s="2"/>
      <c r="G442" s="2"/>
      <c r="H442" s="2"/>
      <c r="I442" s="2"/>
      <c r="J442" s="2"/>
      <c r="K442" s="2"/>
      <c r="L442" s="2"/>
      <c r="M442" s="2"/>
      <c r="N442" s="2"/>
      <c r="O442" s="2"/>
      <c r="P442" s="2"/>
      <c r="Q442" s="2"/>
      <c r="R442" s="2"/>
      <c r="S442" s="2"/>
      <c r="T442" s="2"/>
      <c r="U442" s="2"/>
      <c r="V442" s="2"/>
      <c r="W442" s="2"/>
    </row>
    <row r="443">
      <c r="A443" s="2"/>
      <c r="B443" s="2"/>
      <c r="C443" s="2"/>
      <c r="D443" s="2"/>
      <c r="E443" s="2"/>
      <c r="F443" s="2"/>
      <c r="G443" s="2"/>
      <c r="H443" s="2"/>
      <c r="I443" s="2"/>
      <c r="J443" s="2"/>
      <c r="K443" s="2"/>
      <c r="L443" s="2"/>
      <c r="M443" s="2"/>
      <c r="N443" s="2"/>
      <c r="O443" s="2"/>
      <c r="P443" s="2"/>
      <c r="Q443" s="2"/>
      <c r="R443" s="2"/>
      <c r="S443" s="2"/>
      <c r="T443" s="2"/>
      <c r="U443" s="2"/>
      <c r="V443" s="2"/>
      <c r="W443" s="2"/>
    </row>
    <row r="444">
      <c r="A444" s="2"/>
      <c r="B444" s="2"/>
      <c r="C444" s="2"/>
      <c r="D444" s="2"/>
      <c r="E444" s="2"/>
      <c r="F444" s="2"/>
      <c r="G444" s="2"/>
      <c r="H444" s="2"/>
      <c r="I444" s="2"/>
      <c r="J444" s="2"/>
      <c r="K444" s="2"/>
      <c r="L444" s="2"/>
      <c r="M444" s="2"/>
      <c r="N444" s="2"/>
      <c r="O444" s="2"/>
      <c r="P444" s="2"/>
      <c r="Q444" s="2"/>
      <c r="R444" s="2"/>
      <c r="S444" s="2"/>
      <c r="T444" s="2"/>
      <c r="U444" s="2"/>
      <c r="V444" s="2"/>
      <c r="W444" s="2"/>
    </row>
    <row r="445">
      <c r="A445" s="2"/>
      <c r="B445" s="2"/>
      <c r="C445" s="2"/>
      <c r="D445" s="2"/>
      <c r="E445" s="2"/>
      <c r="F445" s="2"/>
      <c r="G445" s="2"/>
      <c r="H445" s="2"/>
      <c r="I445" s="2"/>
      <c r="J445" s="2"/>
      <c r="K445" s="2"/>
      <c r="L445" s="2"/>
      <c r="M445" s="2"/>
      <c r="N445" s="2"/>
      <c r="O445" s="2"/>
      <c r="P445" s="2"/>
      <c r="Q445" s="2"/>
      <c r="R445" s="2"/>
      <c r="S445" s="2"/>
      <c r="T445" s="2"/>
      <c r="U445" s="2"/>
      <c r="V445" s="2"/>
      <c r="W445" s="2"/>
    </row>
    <row r="446">
      <c r="A446" s="2"/>
      <c r="B446" s="2"/>
      <c r="C446" s="2"/>
      <c r="D446" s="2"/>
      <c r="E446" s="2"/>
      <c r="F446" s="2"/>
      <c r="G446" s="2"/>
      <c r="H446" s="2"/>
      <c r="I446" s="2"/>
      <c r="J446" s="2"/>
      <c r="K446" s="2"/>
      <c r="L446" s="2"/>
      <c r="M446" s="2"/>
      <c r="N446" s="2"/>
      <c r="O446" s="2"/>
      <c r="P446" s="2"/>
      <c r="Q446" s="2"/>
      <c r="R446" s="2"/>
      <c r="S446" s="2"/>
      <c r="T446" s="2"/>
      <c r="U446" s="2"/>
      <c r="V446" s="2"/>
      <c r="W446" s="2"/>
    </row>
    <row r="447">
      <c r="A447" s="2"/>
      <c r="B447" s="2"/>
      <c r="C447" s="2"/>
      <c r="D447" s="2"/>
      <c r="E447" s="2"/>
      <c r="F447" s="2"/>
      <c r="G447" s="2"/>
      <c r="H447" s="2"/>
      <c r="I447" s="2"/>
      <c r="J447" s="2"/>
      <c r="K447" s="2"/>
      <c r="L447" s="2"/>
      <c r="M447" s="2"/>
      <c r="N447" s="2"/>
      <c r="O447" s="2"/>
      <c r="P447" s="2"/>
      <c r="Q447" s="2"/>
      <c r="R447" s="2"/>
      <c r="S447" s="2"/>
      <c r="T447" s="2"/>
      <c r="U447" s="2"/>
      <c r="V447" s="2"/>
      <c r="W447" s="2"/>
    </row>
    <row r="448">
      <c r="A448" s="2"/>
      <c r="B448" s="2"/>
      <c r="C448" s="2"/>
      <c r="D448" s="2"/>
      <c r="E448" s="2"/>
      <c r="F448" s="2"/>
      <c r="G448" s="2"/>
      <c r="H448" s="2"/>
      <c r="I448" s="2"/>
      <c r="J448" s="2"/>
      <c r="K448" s="2"/>
      <c r="L448" s="2"/>
      <c r="M448" s="2"/>
      <c r="N448" s="2"/>
      <c r="O448" s="2"/>
      <c r="P448" s="2"/>
      <c r="Q448" s="2"/>
      <c r="R448" s="2"/>
      <c r="S448" s="2"/>
      <c r="T448" s="2"/>
      <c r="U448" s="2"/>
      <c r="V448" s="2"/>
      <c r="W448" s="2"/>
    </row>
    <row r="449">
      <c r="A449" s="2"/>
      <c r="B449" s="2"/>
      <c r="C449" s="2"/>
      <c r="D449" s="2"/>
      <c r="E449" s="2"/>
      <c r="F449" s="2"/>
      <c r="G449" s="2"/>
      <c r="H449" s="2"/>
      <c r="I449" s="2"/>
      <c r="J449" s="2"/>
      <c r="K449" s="2"/>
      <c r="L449" s="2"/>
      <c r="M449" s="2"/>
      <c r="N449" s="2"/>
      <c r="O449" s="2"/>
      <c r="P449" s="2"/>
      <c r="Q449" s="2"/>
      <c r="R449" s="2"/>
      <c r="S449" s="2"/>
      <c r="T449" s="2"/>
      <c r="U449" s="2"/>
      <c r="V449" s="2"/>
      <c r="W449" s="2"/>
    </row>
    <row r="450">
      <c r="A450" s="2"/>
      <c r="B450" s="2"/>
      <c r="C450" s="2"/>
      <c r="D450" s="2"/>
      <c r="E450" s="2"/>
      <c r="F450" s="2"/>
      <c r="G450" s="2"/>
      <c r="H450" s="2"/>
      <c r="I450" s="2"/>
      <c r="J450" s="2"/>
      <c r="K450" s="2"/>
      <c r="L450" s="2"/>
      <c r="M450" s="2"/>
      <c r="N450" s="2"/>
      <c r="O450" s="2"/>
      <c r="P450" s="2"/>
      <c r="Q450" s="2"/>
      <c r="R450" s="2"/>
      <c r="S450" s="2"/>
      <c r="T450" s="2"/>
      <c r="U450" s="2"/>
      <c r="V450" s="2"/>
      <c r="W450" s="2"/>
    </row>
    <row r="451">
      <c r="A451" s="2"/>
      <c r="B451" s="2"/>
      <c r="C451" s="2"/>
      <c r="D451" s="2"/>
      <c r="E451" s="2"/>
      <c r="F451" s="2"/>
      <c r="G451" s="2"/>
      <c r="H451" s="2"/>
      <c r="I451" s="2"/>
      <c r="J451" s="2"/>
      <c r="K451" s="2"/>
      <c r="L451" s="2"/>
      <c r="M451" s="2"/>
      <c r="N451" s="2"/>
      <c r="O451" s="2"/>
      <c r="P451" s="2"/>
      <c r="Q451" s="2"/>
      <c r="R451" s="2"/>
      <c r="S451" s="2"/>
      <c r="T451" s="2"/>
      <c r="U451" s="2"/>
      <c r="V451" s="2"/>
      <c r="W451" s="2"/>
    </row>
    <row r="452">
      <c r="A452" s="2"/>
      <c r="B452" s="2"/>
      <c r="C452" s="2"/>
      <c r="D452" s="2"/>
      <c r="E452" s="2"/>
      <c r="F452" s="2"/>
      <c r="G452" s="2"/>
      <c r="H452" s="2"/>
      <c r="I452" s="2"/>
      <c r="J452" s="2"/>
      <c r="K452" s="2"/>
      <c r="L452" s="2"/>
      <c r="M452" s="2"/>
      <c r="N452" s="2"/>
      <c r="O452" s="2"/>
      <c r="P452" s="2"/>
      <c r="Q452" s="2"/>
      <c r="R452" s="2"/>
      <c r="S452" s="2"/>
      <c r="T452" s="2"/>
      <c r="U452" s="2"/>
      <c r="V452" s="2"/>
      <c r="W452" s="2"/>
    </row>
    <row r="453">
      <c r="A453" s="2"/>
      <c r="B453" s="2"/>
      <c r="C453" s="2"/>
      <c r="D453" s="2"/>
      <c r="E453" s="2"/>
      <c r="F453" s="2"/>
      <c r="G453" s="2"/>
      <c r="H453" s="2"/>
      <c r="I453" s="2"/>
      <c r="J453" s="2"/>
      <c r="K453" s="2"/>
      <c r="L453" s="2"/>
      <c r="M453" s="2"/>
      <c r="N453" s="2"/>
      <c r="O453" s="2"/>
      <c r="P453" s="2"/>
      <c r="Q453" s="2"/>
      <c r="R453" s="2"/>
      <c r="S453" s="2"/>
      <c r="T453" s="2"/>
      <c r="U453" s="2"/>
      <c r="V453" s="2"/>
      <c r="W453" s="2"/>
    </row>
    <row r="454">
      <c r="A454" s="2"/>
      <c r="B454" s="2"/>
      <c r="C454" s="2"/>
      <c r="D454" s="2"/>
      <c r="E454" s="2"/>
      <c r="F454" s="2"/>
      <c r="G454" s="2"/>
      <c r="H454" s="2"/>
      <c r="I454" s="2"/>
      <c r="J454" s="2"/>
      <c r="K454" s="2"/>
      <c r="L454" s="2"/>
      <c r="M454" s="2"/>
      <c r="N454" s="2"/>
      <c r="O454" s="2"/>
      <c r="P454" s="2"/>
      <c r="Q454" s="2"/>
      <c r="R454" s="2"/>
      <c r="S454" s="2"/>
      <c r="T454" s="2"/>
      <c r="U454" s="2"/>
      <c r="V454" s="2"/>
      <c r="W454" s="2"/>
    </row>
    <row r="455">
      <c r="A455" s="2"/>
      <c r="B455" s="2"/>
      <c r="C455" s="2"/>
      <c r="D455" s="2"/>
      <c r="E455" s="2"/>
      <c r="F455" s="2"/>
      <c r="G455" s="2"/>
      <c r="H455" s="2"/>
      <c r="I455" s="2"/>
      <c r="J455" s="2"/>
      <c r="K455" s="2"/>
      <c r="L455" s="2"/>
      <c r="M455" s="2"/>
      <c r="N455" s="2"/>
      <c r="O455" s="2"/>
      <c r="P455" s="2"/>
      <c r="Q455" s="2"/>
      <c r="R455" s="2"/>
      <c r="S455" s="2"/>
      <c r="T455" s="2"/>
      <c r="U455" s="2"/>
      <c r="V455" s="2"/>
      <c r="W455" s="2"/>
    </row>
    <row r="456">
      <c r="A456" s="2"/>
      <c r="B456" s="2"/>
      <c r="C456" s="2"/>
      <c r="D456" s="2"/>
      <c r="E456" s="2"/>
      <c r="F456" s="2"/>
      <c r="G456" s="2"/>
      <c r="H456" s="2"/>
      <c r="I456" s="2"/>
      <c r="J456" s="2"/>
      <c r="K456" s="2"/>
      <c r="L456" s="2"/>
      <c r="M456" s="2"/>
      <c r="N456" s="2"/>
      <c r="O456" s="2"/>
      <c r="P456" s="2"/>
      <c r="Q456" s="2"/>
      <c r="R456" s="2"/>
      <c r="S456" s="2"/>
      <c r="T456" s="2"/>
      <c r="U456" s="2"/>
      <c r="V456" s="2"/>
      <c r="W456" s="2"/>
    </row>
    <row r="457">
      <c r="A457" s="2"/>
      <c r="B457" s="2"/>
      <c r="C457" s="2"/>
      <c r="D457" s="2"/>
      <c r="E457" s="2"/>
      <c r="F457" s="2"/>
      <c r="G457" s="2"/>
      <c r="H457" s="2"/>
      <c r="I457" s="2"/>
      <c r="J457" s="2"/>
      <c r="K457" s="2"/>
      <c r="L457" s="2"/>
      <c r="M457" s="2"/>
      <c r="N457" s="2"/>
      <c r="O457" s="2"/>
      <c r="P457" s="2"/>
      <c r="Q457" s="2"/>
      <c r="R457" s="2"/>
      <c r="S457" s="2"/>
      <c r="T457" s="2"/>
      <c r="U457" s="2"/>
      <c r="V457" s="2"/>
      <c r="W457" s="2"/>
    </row>
    <row r="458">
      <c r="A458" s="2"/>
      <c r="B458" s="2"/>
      <c r="C458" s="2"/>
      <c r="D458" s="2"/>
      <c r="E458" s="2"/>
      <c r="F458" s="2"/>
      <c r="G458" s="2"/>
      <c r="H458" s="2"/>
      <c r="I458" s="2"/>
      <c r="J458" s="2"/>
      <c r="K458" s="2"/>
      <c r="L458" s="2"/>
      <c r="M458" s="2"/>
      <c r="N458" s="2"/>
      <c r="O458" s="2"/>
      <c r="P458" s="2"/>
      <c r="Q458" s="2"/>
      <c r="R458" s="2"/>
      <c r="S458" s="2"/>
      <c r="T458" s="2"/>
      <c r="U458" s="2"/>
      <c r="V458" s="2"/>
      <c r="W458" s="2"/>
    </row>
    <row r="459">
      <c r="A459" s="2"/>
      <c r="B459" s="2"/>
      <c r="C459" s="2"/>
      <c r="D459" s="2"/>
      <c r="E459" s="2"/>
      <c r="F459" s="2"/>
      <c r="G459" s="2"/>
      <c r="H459" s="2"/>
      <c r="I459" s="2"/>
      <c r="J459" s="2"/>
      <c r="K459" s="2"/>
      <c r="L459" s="2"/>
      <c r="M459" s="2"/>
      <c r="N459" s="2"/>
      <c r="O459" s="2"/>
      <c r="P459" s="2"/>
      <c r="Q459" s="2"/>
      <c r="R459" s="2"/>
      <c r="S459" s="2"/>
      <c r="T459" s="2"/>
      <c r="U459" s="2"/>
      <c r="V459" s="2"/>
      <c r="W459" s="2"/>
    </row>
    <row r="460">
      <c r="A460" s="2"/>
      <c r="B460" s="2"/>
      <c r="C460" s="2"/>
      <c r="D460" s="2"/>
      <c r="E460" s="2"/>
      <c r="F460" s="2"/>
      <c r="G460" s="2"/>
      <c r="H460" s="2"/>
      <c r="I460" s="2"/>
      <c r="J460" s="2"/>
      <c r="K460" s="2"/>
      <c r="L460" s="2"/>
      <c r="M460" s="2"/>
      <c r="N460" s="2"/>
      <c r="O460" s="2"/>
      <c r="P460" s="2"/>
      <c r="Q460" s="2"/>
      <c r="R460" s="2"/>
      <c r="S460" s="2"/>
      <c r="T460" s="2"/>
      <c r="U460" s="2"/>
      <c r="V460" s="2"/>
      <c r="W460" s="2"/>
    </row>
    <row r="461">
      <c r="A461" s="2"/>
      <c r="B461" s="2"/>
      <c r="C461" s="2"/>
      <c r="D461" s="2"/>
      <c r="E461" s="2"/>
      <c r="F461" s="2"/>
      <c r="G461" s="2"/>
      <c r="H461" s="2"/>
      <c r="I461" s="2"/>
      <c r="J461" s="2"/>
      <c r="K461" s="2"/>
      <c r="L461" s="2"/>
      <c r="M461" s="2"/>
      <c r="N461" s="2"/>
      <c r="O461" s="2"/>
      <c r="P461" s="2"/>
      <c r="Q461" s="2"/>
      <c r="R461" s="2"/>
      <c r="S461" s="2"/>
      <c r="T461" s="2"/>
      <c r="U461" s="2"/>
      <c r="V461" s="2"/>
      <c r="W461" s="2"/>
    </row>
    <row r="462">
      <c r="A462" s="2"/>
      <c r="B462" s="2"/>
      <c r="C462" s="2"/>
      <c r="D462" s="2"/>
      <c r="E462" s="2"/>
      <c r="F462" s="2"/>
      <c r="G462" s="2"/>
      <c r="H462" s="2"/>
      <c r="I462" s="2"/>
      <c r="J462" s="2"/>
      <c r="K462" s="2"/>
      <c r="L462" s="2"/>
      <c r="M462" s="2"/>
      <c r="N462" s="2"/>
      <c r="O462" s="2"/>
      <c r="P462" s="2"/>
      <c r="Q462" s="2"/>
      <c r="R462" s="2"/>
      <c r="S462" s="2"/>
      <c r="T462" s="2"/>
      <c r="U462" s="2"/>
      <c r="V462" s="2"/>
      <c r="W462" s="2"/>
    </row>
    <row r="463">
      <c r="A463" s="2"/>
      <c r="B463" s="2"/>
      <c r="C463" s="2"/>
      <c r="D463" s="2"/>
      <c r="E463" s="2"/>
      <c r="F463" s="2"/>
      <c r="G463" s="2"/>
      <c r="H463" s="2"/>
      <c r="I463" s="2"/>
      <c r="J463" s="2"/>
      <c r="K463" s="2"/>
      <c r="L463" s="2"/>
      <c r="M463" s="2"/>
      <c r="N463" s="2"/>
      <c r="O463" s="2"/>
      <c r="P463" s="2"/>
      <c r="Q463" s="2"/>
      <c r="R463" s="2"/>
      <c r="S463" s="2"/>
      <c r="T463" s="2"/>
      <c r="U463" s="2"/>
      <c r="V463" s="2"/>
      <c r="W463" s="2"/>
    </row>
    <row r="464">
      <c r="A464" s="2"/>
      <c r="B464" s="2"/>
      <c r="C464" s="2"/>
      <c r="D464" s="2"/>
      <c r="E464" s="2"/>
      <c r="F464" s="2"/>
      <c r="G464" s="2"/>
      <c r="H464" s="2"/>
      <c r="I464" s="2"/>
      <c r="J464" s="2"/>
      <c r="K464" s="2"/>
      <c r="L464" s="2"/>
      <c r="M464" s="2"/>
      <c r="N464" s="2"/>
      <c r="O464" s="2"/>
      <c r="P464" s="2"/>
      <c r="Q464" s="2"/>
      <c r="R464" s="2"/>
      <c r="S464" s="2"/>
      <c r="T464" s="2"/>
      <c r="U464" s="2"/>
      <c r="V464" s="2"/>
      <c r="W464" s="2"/>
    </row>
    <row r="465">
      <c r="A465" s="2"/>
      <c r="B465" s="2"/>
      <c r="C465" s="2"/>
      <c r="D465" s="2"/>
      <c r="E465" s="2"/>
      <c r="F465" s="2"/>
      <c r="G465" s="2"/>
      <c r="H465" s="2"/>
      <c r="I465" s="2"/>
      <c r="J465" s="2"/>
      <c r="K465" s="2"/>
      <c r="L465" s="2"/>
      <c r="M465" s="2"/>
      <c r="N465" s="2"/>
      <c r="O465" s="2"/>
      <c r="P465" s="2"/>
      <c r="Q465" s="2"/>
      <c r="R465" s="2"/>
      <c r="S465" s="2"/>
      <c r="T465" s="2"/>
      <c r="U465" s="2"/>
      <c r="V465" s="2"/>
      <c r="W465" s="2"/>
    </row>
    <row r="466">
      <c r="A466" s="2"/>
      <c r="B466" s="2"/>
      <c r="C466" s="2"/>
      <c r="D466" s="2"/>
      <c r="E466" s="2"/>
      <c r="F466" s="2"/>
      <c r="G466" s="2"/>
      <c r="H466" s="2"/>
      <c r="I466" s="2"/>
      <c r="J466" s="2"/>
      <c r="K466" s="2"/>
      <c r="L466" s="2"/>
      <c r="M466" s="2"/>
      <c r="N466" s="2"/>
      <c r="O466" s="2"/>
      <c r="P466" s="2"/>
      <c r="Q466" s="2"/>
      <c r="R466" s="2"/>
      <c r="S466" s="2"/>
      <c r="T466" s="2"/>
      <c r="U466" s="2"/>
      <c r="V466" s="2"/>
      <c r="W466" s="2"/>
    </row>
    <row r="467">
      <c r="A467" s="2"/>
      <c r="B467" s="2"/>
      <c r="C467" s="2"/>
      <c r="D467" s="2"/>
      <c r="E467" s="2"/>
      <c r="F467" s="2"/>
      <c r="G467" s="2"/>
      <c r="H467" s="2"/>
      <c r="I467" s="2"/>
      <c r="J467" s="2"/>
      <c r="K467" s="2"/>
      <c r="L467" s="2"/>
      <c r="M467" s="2"/>
      <c r="N467" s="2"/>
      <c r="O467" s="2"/>
      <c r="P467" s="2"/>
      <c r="Q467" s="2"/>
      <c r="R467" s="2"/>
      <c r="S467" s="2"/>
      <c r="T467" s="2"/>
      <c r="U467" s="2"/>
      <c r="V467" s="2"/>
      <c r="W467" s="2"/>
    </row>
    <row r="468">
      <c r="A468" s="2"/>
      <c r="B468" s="2"/>
      <c r="C468" s="2"/>
      <c r="D468" s="2"/>
      <c r="E468" s="2"/>
      <c r="F468" s="2"/>
      <c r="G468" s="2"/>
      <c r="H468" s="2"/>
      <c r="I468" s="2"/>
      <c r="J468" s="2"/>
      <c r="K468" s="2"/>
      <c r="L468" s="2"/>
      <c r="M468" s="2"/>
      <c r="N468" s="2"/>
      <c r="O468" s="2"/>
      <c r="P468" s="2"/>
      <c r="Q468" s="2"/>
      <c r="R468" s="2"/>
      <c r="S468" s="2"/>
      <c r="T468" s="2"/>
      <c r="U468" s="2"/>
      <c r="V468" s="2"/>
      <c r="W468" s="2"/>
    </row>
    <row r="469">
      <c r="A469" s="2"/>
      <c r="B469" s="2"/>
      <c r="C469" s="2"/>
      <c r="D469" s="2"/>
      <c r="E469" s="2"/>
      <c r="F469" s="2"/>
      <c r="G469" s="2"/>
      <c r="H469" s="2"/>
      <c r="I469" s="2"/>
      <c r="J469" s="2"/>
      <c r="K469" s="2"/>
      <c r="L469" s="2"/>
      <c r="M469" s="2"/>
      <c r="N469" s="2"/>
      <c r="O469" s="2"/>
      <c r="P469" s="2"/>
      <c r="Q469" s="2"/>
      <c r="R469" s="2"/>
      <c r="S469" s="2"/>
      <c r="T469" s="2"/>
      <c r="U469" s="2"/>
      <c r="V469" s="2"/>
      <c r="W469" s="2"/>
    </row>
    <row r="470">
      <c r="A470" s="2"/>
      <c r="B470" s="2"/>
      <c r="C470" s="2"/>
      <c r="D470" s="2"/>
      <c r="E470" s="2"/>
      <c r="F470" s="2"/>
      <c r="G470" s="2"/>
      <c r="H470" s="2"/>
      <c r="I470" s="2"/>
      <c r="J470" s="2"/>
      <c r="K470" s="2"/>
      <c r="L470" s="2"/>
      <c r="M470" s="2"/>
      <c r="N470" s="2"/>
      <c r="O470" s="2"/>
      <c r="P470" s="2"/>
      <c r="Q470" s="2"/>
      <c r="R470" s="2"/>
      <c r="S470" s="2"/>
      <c r="T470" s="2"/>
      <c r="U470" s="2"/>
      <c r="V470" s="2"/>
      <c r="W470" s="2"/>
    </row>
    <row r="471">
      <c r="A471" s="2"/>
      <c r="B471" s="2"/>
      <c r="C471" s="2"/>
      <c r="D471" s="2"/>
      <c r="E471" s="2"/>
      <c r="F471" s="2"/>
      <c r="G471" s="2"/>
      <c r="H471" s="2"/>
      <c r="I471" s="2"/>
      <c r="J471" s="2"/>
      <c r="K471" s="2"/>
      <c r="L471" s="2"/>
      <c r="M471" s="2"/>
      <c r="N471" s="2"/>
      <c r="O471" s="2"/>
      <c r="P471" s="2"/>
      <c r="Q471" s="2"/>
      <c r="R471" s="2"/>
      <c r="S471" s="2"/>
      <c r="T471" s="2"/>
      <c r="U471" s="2"/>
      <c r="V471" s="2"/>
      <c r="W471" s="2"/>
    </row>
    <row r="472">
      <c r="A472" s="2"/>
      <c r="B472" s="2"/>
      <c r="C472" s="2"/>
      <c r="D472" s="2"/>
      <c r="E472" s="2"/>
      <c r="F472" s="2"/>
      <c r="G472" s="2"/>
      <c r="H472" s="2"/>
      <c r="I472" s="2"/>
      <c r="J472" s="2"/>
      <c r="K472" s="2"/>
      <c r="L472" s="2"/>
      <c r="M472" s="2"/>
      <c r="N472" s="2"/>
      <c r="O472" s="2"/>
      <c r="P472" s="2"/>
      <c r="Q472" s="2"/>
      <c r="R472" s="2"/>
      <c r="S472" s="2"/>
      <c r="T472" s="2"/>
      <c r="U472" s="2"/>
      <c r="V472" s="2"/>
      <c r="W472" s="2"/>
    </row>
    <row r="473">
      <c r="A473" s="2"/>
      <c r="B473" s="2"/>
      <c r="C473" s="2"/>
      <c r="D473" s="2"/>
      <c r="E473" s="2"/>
      <c r="F473" s="2"/>
      <c r="G473" s="2"/>
      <c r="H473" s="2"/>
      <c r="I473" s="2"/>
      <c r="J473" s="2"/>
      <c r="K473" s="2"/>
      <c r="L473" s="2"/>
      <c r="M473" s="2"/>
      <c r="N473" s="2"/>
      <c r="O473" s="2"/>
      <c r="P473" s="2"/>
      <c r="Q473" s="2"/>
      <c r="R473" s="2"/>
      <c r="S473" s="2"/>
      <c r="T473" s="2"/>
      <c r="U473" s="2"/>
      <c r="V473" s="2"/>
      <c r="W473" s="2"/>
    </row>
    <row r="474">
      <c r="A474" s="2"/>
      <c r="B474" s="2"/>
      <c r="C474" s="2"/>
      <c r="D474" s="2"/>
      <c r="E474" s="2"/>
      <c r="F474" s="2"/>
      <c r="G474" s="2"/>
      <c r="H474" s="2"/>
      <c r="I474" s="2"/>
      <c r="J474" s="2"/>
      <c r="K474" s="2"/>
      <c r="L474" s="2"/>
      <c r="M474" s="2"/>
      <c r="N474" s="2"/>
      <c r="O474" s="2"/>
      <c r="P474" s="2"/>
      <c r="Q474" s="2"/>
      <c r="R474" s="2"/>
      <c r="S474" s="2"/>
      <c r="T474" s="2"/>
      <c r="U474" s="2"/>
      <c r="V474" s="2"/>
      <c r="W474" s="2"/>
    </row>
    <row r="475">
      <c r="A475" s="2"/>
      <c r="B475" s="2"/>
      <c r="C475" s="2"/>
      <c r="D475" s="2"/>
      <c r="E475" s="2"/>
      <c r="F475" s="2"/>
      <c r="G475" s="2"/>
      <c r="H475" s="2"/>
      <c r="I475" s="2"/>
      <c r="J475" s="2"/>
      <c r="K475" s="2"/>
      <c r="L475" s="2"/>
      <c r="M475" s="2"/>
      <c r="N475" s="2"/>
      <c r="O475" s="2"/>
      <c r="P475" s="2"/>
      <c r="Q475" s="2"/>
      <c r="R475" s="2"/>
      <c r="S475" s="2"/>
      <c r="T475" s="2"/>
      <c r="U475" s="2"/>
      <c r="V475" s="2"/>
      <c r="W475" s="2"/>
    </row>
    <row r="476">
      <c r="A476" s="2"/>
      <c r="B476" s="2"/>
      <c r="C476" s="2"/>
      <c r="D476" s="2"/>
      <c r="E476" s="2"/>
      <c r="F476" s="2"/>
      <c r="G476" s="2"/>
      <c r="H476" s="2"/>
      <c r="I476" s="2"/>
      <c r="J476" s="2"/>
      <c r="K476" s="2"/>
      <c r="L476" s="2"/>
      <c r="M476" s="2"/>
      <c r="N476" s="2"/>
      <c r="O476" s="2"/>
      <c r="P476" s="2"/>
      <c r="Q476" s="2"/>
      <c r="R476" s="2"/>
      <c r="S476" s="2"/>
      <c r="T476" s="2"/>
      <c r="U476" s="2"/>
      <c r="V476" s="2"/>
      <c r="W476" s="2"/>
    </row>
    <row r="477">
      <c r="A477" s="2"/>
      <c r="B477" s="2"/>
      <c r="C477" s="2"/>
      <c r="D477" s="2"/>
      <c r="E477" s="2"/>
      <c r="F477" s="2"/>
      <c r="G477" s="2"/>
      <c r="H477" s="2"/>
      <c r="I477" s="2"/>
      <c r="J477" s="2"/>
      <c r="K477" s="2"/>
      <c r="L477" s="2"/>
      <c r="M477" s="2"/>
      <c r="N477" s="2"/>
      <c r="O477" s="2"/>
      <c r="P477" s="2"/>
      <c r="Q477" s="2"/>
      <c r="R477" s="2"/>
      <c r="S477" s="2"/>
      <c r="T477" s="2"/>
      <c r="U477" s="2"/>
      <c r="V477" s="2"/>
      <c r="W477" s="2"/>
    </row>
    <row r="478">
      <c r="A478" s="2"/>
      <c r="B478" s="2"/>
      <c r="C478" s="2"/>
      <c r="D478" s="2"/>
      <c r="E478" s="2"/>
      <c r="F478" s="2"/>
      <c r="G478" s="2"/>
      <c r="H478" s="2"/>
      <c r="I478" s="2"/>
      <c r="J478" s="2"/>
      <c r="K478" s="2"/>
      <c r="L478" s="2"/>
      <c r="M478" s="2"/>
      <c r="N478" s="2"/>
      <c r="O478" s="2"/>
      <c r="P478" s="2"/>
      <c r="Q478" s="2"/>
      <c r="R478" s="2"/>
      <c r="S478" s="2"/>
      <c r="T478" s="2"/>
      <c r="U478" s="2"/>
      <c r="V478" s="2"/>
      <c r="W478" s="2"/>
    </row>
    <row r="479">
      <c r="A479" s="2"/>
      <c r="B479" s="2"/>
      <c r="C479" s="2"/>
      <c r="D479" s="2"/>
      <c r="E479" s="2"/>
      <c r="F479" s="2"/>
      <c r="G479" s="2"/>
      <c r="H479" s="2"/>
      <c r="I479" s="2"/>
      <c r="J479" s="2"/>
      <c r="K479" s="2"/>
      <c r="L479" s="2"/>
      <c r="M479" s="2"/>
      <c r="N479" s="2"/>
      <c r="O479" s="2"/>
      <c r="P479" s="2"/>
      <c r="Q479" s="2"/>
      <c r="R479" s="2"/>
      <c r="S479" s="2"/>
      <c r="T479" s="2"/>
      <c r="U479" s="2"/>
      <c r="V479" s="2"/>
      <c r="W479" s="2"/>
    </row>
    <row r="480">
      <c r="A480" s="2"/>
      <c r="B480" s="2"/>
      <c r="C480" s="2"/>
      <c r="D480" s="2"/>
      <c r="E480" s="2"/>
      <c r="F480" s="2"/>
      <c r="G480" s="2"/>
      <c r="H480" s="2"/>
      <c r="I480" s="2"/>
      <c r="J480" s="2"/>
      <c r="K480" s="2"/>
      <c r="L480" s="2"/>
      <c r="M480" s="2"/>
      <c r="N480" s="2"/>
      <c r="O480" s="2"/>
      <c r="P480" s="2"/>
      <c r="Q480" s="2"/>
      <c r="R480" s="2"/>
      <c r="S480" s="2"/>
      <c r="T480" s="2"/>
      <c r="U480" s="2"/>
      <c r="V480" s="2"/>
      <c r="W480" s="2"/>
    </row>
    <row r="481">
      <c r="A481" s="2"/>
      <c r="B481" s="2"/>
      <c r="C481" s="2"/>
      <c r="D481" s="2"/>
      <c r="E481" s="2"/>
      <c r="F481" s="2"/>
      <c r="G481" s="2"/>
      <c r="H481" s="2"/>
      <c r="I481" s="2"/>
      <c r="J481" s="2"/>
      <c r="K481" s="2"/>
      <c r="L481" s="2"/>
      <c r="M481" s="2"/>
      <c r="N481" s="2"/>
      <c r="O481" s="2"/>
      <c r="P481" s="2"/>
      <c r="Q481" s="2"/>
      <c r="R481" s="2"/>
      <c r="S481" s="2"/>
      <c r="T481" s="2"/>
      <c r="U481" s="2"/>
      <c r="V481" s="2"/>
      <c r="W481" s="2"/>
    </row>
    <row r="482">
      <c r="A482" s="2"/>
      <c r="B482" s="2"/>
      <c r="C482" s="2"/>
      <c r="D482" s="2"/>
      <c r="E482" s="2"/>
      <c r="F482" s="2"/>
      <c r="G482" s="2"/>
      <c r="H482" s="2"/>
      <c r="I482" s="2"/>
      <c r="J482" s="2"/>
      <c r="K482" s="2"/>
      <c r="L482" s="2"/>
      <c r="M482" s="2"/>
      <c r="N482" s="2"/>
      <c r="O482" s="2"/>
      <c r="P482" s="2"/>
      <c r="Q482" s="2"/>
      <c r="R482" s="2"/>
      <c r="S482" s="2"/>
      <c r="T482" s="2"/>
      <c r="U482" s="2"/>
      <c r="V482" s="2"/>
      <c r="W482" s="2"/>
    </row>
    <row r="483">
      <c r="A483" s="2"/>
      <c r="B483" s="2"/>
      <c r="C483" s="2"/>
      <c r="D483" s="2"/>
      <c r="E483" s="2"/>
      <c r="F483" s="2"/>
      <c r="G483" s="2"/>
      <c r="H483" s="2"/>
      <c r="I483" s="2"/>
      <c r="J483" s="2"/>
      <c r="K483" s="2"/>
      <c r="L483" s="2"/>
      <c r="M483" s="2"/>
      <c r="N483" s="2"/>
      <c r="O483" s="2"/>
      <c r="P483" s="2"/>
      <c r="Q483" s="2"/>
      <c r="R483" s="2"/>
      <c r="S483" s="2"/>
      <c r="T483" s="2"/>
      <c r="U483" s="2"/>
      <c r="V483" s="2"/>
      <c r="W483" s="2"/>
    </row>
    <row r="484">
      <c r="A484" s="2"/>
      <c r="B484" s="2"/>
      <c r="C484" s="2"/>
      <c r="D484" s="2"/>
      <c r="E484" s="2"/>
      <c r="F484" s="2"/>
      <c r="G484" s="2"/>
      <c r="H484" s="2"/>
      <c r="I484" s="2"/>
      <c r="J484" s="2"/>
      <c r="K484" s="2"/>
      <c r="L484" s="2"/>
      <c r="M484" s="2"/>
      <c r="N484" s="2"/>
      <c r="O484" s="2"/>
      <c r="P484" s="2"/>
      <c r="Q484" s="2"/>
      <c r="R484" s="2"/>
      <c r="S484" s="2"/>
      <c r="T484" s="2"/>
      <c r="U484" s="2"/>
      <c r="V484" s="2"/>
      <c r="W484" s="2"/>
    </row>
    <row r="485">
      <c r="A485" s="2"/>
      <c r="B485" s="2"/>
      <c r="C485" s="2"/>
      <c r="D485" s="2"/>
      <c r="E485" s="2"/>
      <c r="F485" s="2"/>
      <c r="G485" s="2"/>
      <c r="H485" s="2"/>
      <c r="I485" s="2"/>
      <c r="J485" s="2"/>
      <c r="K485" s="2"/>
      <c r="L485" s="2"/>
      <c r="M485" s="2"/>
      <c r="N485" s="2"/>
      <c r="O485" s="2"/>
      <c r="P485" s="2"/>
      <c r="Q485" s="2"/>
      <c r="R485" s="2"/>
      <c r="S485" s="2"/>
      <c r="T485" s="2"/>
      <c r="U485" s="2"/>
      <c r="V485" s="2"/>
      <c r="W485" s="2"/>
    </row>
    <row r="486">
      <c r="A486" s="2"/>
      <c r="B486" s="2"/>
      <c r="C486" s="2"/>
      <c r="D486" s="2"/>
      <c r="E486" s="2"/>
      <c r="F486" s="2"/>
      <c r="G486" s="2"/>
      <c r="H486" s="2"/>
      <c r="I486" s="2"/>
      <c r="J486" s="2"/>
      <c r="K486" s="2"/>
      <c r="L486" s="2"/>
      <c r="M486" s="2"/>
      <c r="N486" s="2"/>
      <c r="O486" s="2"/>
      <c r="P486" s="2"/>
      <c r="Q486" s="2"/>
      <c r="R486" s="2"/>
      <c r="S486" s="2"/>
      <c r="T486" s="2"/>
      <c r="U486" s="2"/>
      <c r="V486" s="2"/>
      <c r="W486" s="2"/>
    </row>
    <row r="487">
      <c r="A487" s="2"/>
      <c r="B487" s="2"/>
      <c r="C487" s="2"/>
      <c r="D487" s="2"/>
      <c r="E487" s="2"/>
      <c r="F487" s="2"/>
      <c r="G487" s="2"/>
      <c r="H487" s="2"/>
      <c r="I487" s="2"/>
      <c r="J487" s="2"/>
      <c r="K487" s="2"/>
      <c r="L487" s="2"/>
      <c r="M487" s="2"/>
      <c r="N487" s="2"/>
      <c r="O487" s="2"/>
      <c r="P487" s="2"/>
      <c r="Q487" s="2"/>
      <c r="R487" s="2"/>
      <c r="S487" s="2"/>
      <c r="T487" s="2"/>
      <c r="U487" s="2"/>
      <c r="V487" s="2"/>
      <c r="W487" s="2"/>
    </row>
    <row r="488">
      <c r="A488" s="2"/>
      <c r="B488" s="2"/>
      <c r="C488" s="2"/>
      <c r="D488" s="2"/>
      <c r="E488" s="2"/>
      <c r="F488" s="2"/>
      <c r="G488" s="2"/>
      <c r="H488" s="2"/>
      <c r="I488" s="2"/>
      <c r="J488" s="2"/>
      <c r="K488" s="2"/>
      <c r="L488" s="2"/>
      <c r="M488" s="2"/>
      <c r="N488" s="2"/>
      <c r="O488" s="2"/>
      <c r="P488" s="2"/>
      <c r="Q488" s="2"/>
      <c r="R488" s="2"/>
      <c r="S488" s="2"/>
      <c r="T488" s="2"/>
      <c r="U488" s="2"/>
      <c r="V488" s="2"/>
      <c r="W488" s="2"/>
    </row>
    <row r="489">
      <c r="A489" s="2"/>
      <c r="B489" s="2"/>
      <c r="C489" s="2"/>
      <c r="D489" s="2"/>
      <c r="E489" s="2"/>
      <c r="F489" s="2"/>
      <c r="G489" s="2"/>
      <c r="H489" s="2"/>
      <c r="I489" s="2"/>
      <c r="J489" s="2"/>
      <c r="K489" s="2"/>
      <c r="L489" s="2"/>
      <c r="M489" s="2"/>
      <c r="N489" s="2"/>
      <c r="O489" s="2"/>
      <c r="P489" s="2"/>
      <c r="Q489" s="2"/>
      <c r="R489" s="2"/>
      <c r="S489" s="2"/>
      <c r="T489" s="2"/>
      <c r="U489" s="2"/>
      <c r="V489" s="2"/>
      <c r="W489" s="2"/>
    </row>
    <row r="490">
      <c r="A490" s="2"/>
      <c r="B490" s="2"/>
      <c r="C490" s="2"/>
      <c r="D490" s="2"/>
      <c r="E490" s="2"/>
      <c r="F490" s="2"/>
      <c r="G490" s="2"/>
      <c r="H490" s="2"/>
      <c r="I490" s="2"/>
      <c r="J490" s="2"/>
      <c r="K490" s="2"/>
      <c r="L490" s="2"/>
      <c r="M490" s="2"/>
      <c r="N490" s="2"/>
      <c r="O490" s="2"/>
      <c r="P490" s="2"/>
      <c r="Q490" s="2"/>
      <c r="R490" s="2"/>
      <c r="S490" s="2"/>
      <c r="T490" s="2"/>
      <c r="U490" s="2"/>
      <c r="V490" s="2"/>
      <c r="W490" s="2"/>
    </row>
    <row r="491">
      <c r="A491" s="2"/>
      <c r="B491" s="2"/>
      <c r="C491" s="2"/>
      <c r="D491" s="2"/>
      <c r="E491" s="2"/>
      <c r="F491" s="2"/>
      <c r="G491" s="2"/>
      <c r="H491" s="2"/>
      <c r="I491" s="2"/>
      <c r="J491" s="2"/>
      <c r="K491" s="2"/>
      <c r="L491" s="2"/>
      <c r="M491" s="2"/>
      <c r="N491" s="2"/>
      <c r="O491" s="2"/>
      <c r="P491" s="2"/>
      <c r="Q491" s="2"/>
      <c r="R491" s="2"/>
      <c r="S491" s="2"/>
      <c r="T491" s="2"/>
      <c r="U491" s="2"/>
      <c r="V491" s="2"/>
      <c r="W491" s="2"/>
    </row>
    <row r="492">
      <c r="A492" s="2"/>
      <c r="B492" s="2"/>
      <c r="C492" s="2"/>
      <c r="D492" s="2"/>
      <c r="E492" s="2"/>
      <c r="F492" s="2"/>
      <c r="G492" s="2"/>
      <c r="H492" s="2"/>
      <c r="I492" s="2"/>
      <c r="J492" s="2"/>
      <c r="K492" s="2"/>
      <c r="L492" s="2"/>
      <c r="M492" s="2"/>
      <c r="N492" s="2"/>
      <c r="O492" s="2"/>
      <c r="P492" s="2"/>
      <c r="Q492" s="2"/>
      <c r="R492" s="2"/>
      <c r="S492" s="2"/>
      <c r="T492" s="2"/>
      <c r="U492" s="2"/>
      <c r="V492" s="2"/>
      <c r="W492" s="2"/>
    </row>
    <row r="493">
      <c r="A493" s="2"/>
      <c r="B493" s="2"/>
      <c r="C493" s="2"/>
      <c r="D493" s="2"/>
      <c r="E493" s="2"/>
      <c r="F493" s="2"/>
      <c r="G493" s="2"/>
      <c r="H493" s="2"/>
      <c r="I493" s="2"/>
      <c r="J493" s="2"/>
      <c r="K493" s="2"/>
      <c r="L493" s="2"/>
      <c r="M493" s="2"/>
      <c r="N493" s="2"/>
      <c r="O493" s="2"/>
      <c r="P493" s="2"/>
      <c r="Q493" s="2"/>
      <c r="R493" s="2"/>
      <c r="S493" s="2"/>
      <c r="T493" s="2"/>
      <c r="U493" s="2"/>
      <c r="V493" s="2"/>
      <c r="W493" s="2"/>
    </row>
    <row r="494">
      <c r="A494" s="2"/>
      <c r="B494" s="2"/>
      <c r="C494" s="2"/>
      <c r="D494" s="2"/>
      <c r="E494" s="2"/>
      <c r="F494" s="2"/>
      <c r="G494" s="2"/>
      <c r="H494" s="2"/>
      <c r="I494" s="2"/>
      <c r="J494" s="2"/>
      <c r="K494" s="2"/>
      <c r="L494" s="2"/>
      <c r="M494" s="2"/>
      <c r="N494" s="2"/>
      <c r="O494" s="2"/>
      <c r="P494" s="2"/>
      <c r="Q494" s="2"/>
      <c r="R494" s="2"/>
      <c r="S494" s="2"/>
      <c r="T494" s="2"/>
      <c r="U494" s="2"/>
      <c r="V494" s="2"/>
      <c r="W494" s="2"/>
    </row>
    <row r="495">
      <c r="A495" s="2"/>
      <c r="B495" s="2"/>
      <c r="C495" s="2"/>
      <c r="D495" s="2"/>
      <c r="E495" s="2"/>
      <c r="F495" s="2"/>
      <c r="G495" s="2"/>
      <c r="H495" s="2"/>
      <c r="I495" s="2"/>
      <c r="J495" s="2"/>
      <c r="K495" s="2"/>
      <c r="L495" s="2"/>
      <c r="M495" s="2"/>
      <c r="N495" s="2"/>
      <c r="O495" s="2"/>
      <c r="P495" s="2"/>
      <c r="Q495" s="2"/>
      <c r="R495" s="2"/>
      <c r="S495" s="2"/>
      <c r="T495" s="2"/>
      <c r="U495" s="2"/>
      <c r="V495" s="2"/>
      <c r="W495" s="2"/>
    </row>
    <row r="496">
      <c r="A496" s="2"/>
      <c r="B496" s="2"/>
      <c r="C496" s="2"/>
      <c r="D496" s="2"/>
      <c r="E496" s="2"/>
      <c r="F496" s="2"/>
      <c r="G496" s="2"/>
      <c r="H496" s="2"/>
      <c r="I496" s="2"/>
      <c r="J496" s="2"/>
      <c r="K496" s="2"/>
      <c r="L496" s="2"/>
      <c r="M496" s="2"/>
      <c r="N496" s="2"/>
      <c r="O496" s="2"/>
      <c r="P496" s="2"/>
      <c r="Q496" s="2"/>
      <c r="R496" s="2"/>
      <c r="S496" s="2"/>
      <c r="T496" s="2"/>
      <c r="U496" s="2"/>
      <c r="V496" s="2"/>
      <c r="W496" s="2"/>
    </row>
    <row r="497">
      <c r="A497" s="2"/>
      <c r="B497" s="2"/>
      <c r="C497" s="2"/>
      <c r="D497" s="2"/>
      <c r="E497" s="2"/>
      <c r="F497" s="2"/>
      <c r="G497" s="2"/>
      <c r="H497" s="2"/>
      <c r="I497" s="2"/>
      <c r="J497" s="2"/>
      <c r="K497" s="2"/>
      <c r="L497" s="2"/>
      <c r="M497" s="2"/>
      <c r="N497" s="2"/>
      <c r="O497" s="2"/>
      <c r="P497" s="2"/>
      <c r="Q497" s="2"/>
      <c r="R497" s="2"/>
      <c r="S497" s="2"/>
      <c r="T497" s="2"/>
      <c r="U497" s="2"/>
      <c r="V497" s="2"/>
      <c r="W497" s="2"/>
    </row>
    <row r="498">
      <c r="A498" s="2"/>
      <c r="B498" s="2"/>
      <c r="C498" s="2"/>
      <c r="D498" s="2"/>
      <c r="E498" s="2"/>
      <c r="F498" s="2"/>
      <c r="G498" s="2"/>
      <c r="H498" s="2"/>
      <c r="I498" s="2"/>
      <c r="J498" s="2"/>
      <c r="K498" s="2"/>
      <c r="L498" s="2"/>
      <c r="M498" s="2"/>
      <c r="N498" s="2"/>
      <c r="O498" s="2"/>
      <c r="P498" s="2"/>
      <c r="Q498" s="2"/>
      <c r="R498" s="2"/>
      <c r="S498" s="2"/>
      <c r="T498" s="2"/>
      <c r="U498" s="2"/>
      <c r="V498" s="2"/>
      <c r="W498" s="2"/>
    </row>
    <row r="499">
      <c r="A499" s="2"/>
      <c r="B499" s="2"/>
      <c r="C499" s="2"/>
      <c r="D499" s="2"/>
      <c r="E499" s="2"/>
      <c r="F499" s="2"/>
      <c r="G499" s="2"/>
      <c r="H499" s="2"/>
      <c r="I499" s="2"/>
      <c r="J499" s="2"/>
      <c r="K499" s="2"/>
      <c r="L499" s="2"/>
      <c r="M499" s="2"/>
      <c r="N499" s="2"/>
      <c r="O499" s="2"/>
      <c r="P499" s="2"/>
      <c r="Q499" s="2"/>
      <c r="R499" s="2"/>
      <c r="S499" s="2"/>
      <c r="T499" s="2"/>
      <c r="U499" s="2"/>
      <c r="V499" s="2"/>
      <c r="W499" s="2"/>
    </row>
    <row r="500">
      <c r="A500" s="2"/>
      <c r="B500" s="2"/>
      <c r="C500" s="2"/>
      <c r="D500" s="2"/>
      <c r="E500" s="2"/>
      <c r="F500" s="2"/>
      <c r="G500" s="2"/>
      <c r="H500" s="2"/>
      <c r="I500" s="2"/>
      <c r="J500" s="2"/>
      <c r="K500" s="2"/>
      <c r="L500" s="2"/>
      <c r="M500" s="2"/>
      <c r="N500" s="2"/>
      <c r="O500" s="2"/>
      <c r="P500" s="2"/>
      <c r="Q500" s="2"/>
      <c r="R500" s="2"/>
      <c r="S500" s="2"/>
      <c r="T500" s="2"/>
      <c r="U500" s="2"/>
      <c r="V500" s="2"/>
      <c r="W500" s="2"/>
    </row>
    <row r="501">
      <c r="A501" s="2"/>
      <c r="B501" s="2"/>
      <c r="C501" s="2"/>
      <c r="D501" s="2"/>
      <c r="E501" s="2"/>
      <c r="F501" s="2"/>
      <c r="G501" s="2"/>
      <c r="H501" s="2"/>
      <c r="I501" s="2"/>
      <c r="J501" s="2"/>
      <c r="K501" s="2"/>
      <c r="L501" s="2"/>
      <c r="M501" s="2"/>
      <c r="N501" s="2"/>
      <c r="O501" s="2"/>
      <c r="P501" s="2"/>
      <c r="Q501" s="2"/>
      <c r="R501" s="2"/>
      <c r="S501" s="2"/>
      <c r="T501" s="2"/>
      <c r="U501" s="2"/>
      <c r="V501" s="2"/>
      <c r="W501" s="2"/>
    </row>
    <row r="502">
      <c r="A502" s="2"/>
      <c r="B502" s="2"/>
      <c r="C502" s="2"/>
      <c r="D502" s="2"/>
      <c r="E502" s="2"/>
      <c r="F502" s="2"/>
      <c r="G502" s="2"/>
      <c r="H502" s="2"/>
      <c r="I502" s="2"/>
      <c r="J502" s="2"/>
      <c r="K502" s="2"/>
      <c r="L502" s="2"/>
      <c r="M502" s="2"/>
      <c r="N502" s="2"/>
      <c r="O502" s="2"/>
      <c r="P502" s="2"/>
      <c r="Q502" s="2"/>
      <c r="R502" s="2"/>
      <c r="S502" s="2"/>
      <c r="T502" s="2"/>
      <c r="U502" s="2"/>
      <c r="V502" s="2"/>
      <c r="W502" s="2"/>
    </row>
    <row r="503">
      <c r="A503" s="2"/>
      <c r="B503" s="2"/>
      <c r="C503" s="2"/>
      <c r="D503" s="2"/>
      <c r="E503" s="2"/>
      <c r="F503" s="2"/>
      <c r="G503" s="2"/>
      <c r="H503" s="2"/>
      <c r="I503" s="2"/>
      <c r="J503" s="2"/>
      <c r="K503" s="2"/>
      <c r="L503" s="2"/>
      <c r="M503" s="2"/>
      <c r="N503" s="2"/>
      <c r="O503" s="2"/>
      <c r="P503" s="2"/>
      <c r="Q503" s="2"/>
      <c r="R503" s="2"/>
      <c r="S503" s="2"/>
      <c r="T503" s="2"/>
      <c r="U503" s="2"/>
      <c r="V503" s="2"/>
      <c r="W503" s="2"/>
    </row>
    <row r="504">
      <c r="A504" s="2"/>
      <c r="B504" s="2"/>
      <c r="C504" s="2"/>
      <c r="D504" s="2"/>
      <c r="E504" s="2"/>
      <c r="F504" s="2"/>
      <c r="G504" s="2"/>
      <c r="H504" s="2"/>
      <c r="I504" s="2"/>
      <c r="J504" s="2"/>
      <c r="K504" s="2"/>
      <c r="L504" s="2"/>
      <c r="M504" s="2"/>
      <c r="N504" s="2"/>
      <c r="O504" s="2"/>
      <c r="P504" s="2"/>
      <c r="Q504" s="2"/>
      <c r="R504" s="2"/>
      <c r="S504" s="2"/>
      <c r="T504" s="2"/>
      <c r="U504" s="2"/>
      <c r="V504" s="2"/>
      <c r="W504" s="2"/>
    </row>
    <row r="505">
      <c r="A505" s="2"/>
      <c r="B505" s="2"/>
      <c r="C505" s="2"/>
      <c r="D505" s="2"/>
      <c r="E505" s="2"/>
      <c r="F505" s="2"/>
      <c r="G505" s="2"/>
      <c r="H505" s="2"/>
      <c r="I505" s="2"/>
      <c r="J505" s="2"/>
      <c r="K505" s="2"/>
      <c r="L505" s="2"/>
      <c r="M505" s="2"/>
      <c r="N505" s="2"/>
      <c r="O505" s="2"/>
      <c r="P505" s="2"/>
      <c r="Q505" s="2"/>
      <c r="R505" s="2"/>
      <c r="S505" s="2"/>
      <c r="T505" s="2"/>
      <c r="U505" s="2"/>
      <c r="V505" s="2"/>
      <c r="W505" s="2"/>
    </row>
    <row r="506">
      <c r="A506" s="2"/>
      <c r="B506" s="2"/>
      <c r="C506" s="2"/>
      <c r="D506" s="2"/>
      <c r="E506" s="2"/>
      <c r="F506" s="2"/>
      <c r="G506" s="2"/>
      <c r="H506" s="2"/>
      <c r="I506" s="2"/>
      <c r="J506" s="2"/>
      <c r="K506" s="2"/>
      <c r="L506" s="2"/>
      <c r="M506" s="2"/>
      <c r="N506" s="2"/>
      <c r="O506" s="2"/>
      <c r="P506" s="2"/>
      <c r="Q506" s="2"/>
      <c r="R506" s="2"/>
      <c r="S506" s="2"/>
      <c r="T506" s="2"/>
      <c r="U506" s="2"/>
      <c r="V506" s="2"/>
      <c r="W506" s="2"/>
    </row>
    <row r="507">
      <c r="A507" s="2"/>
      <c r="B507" s="2"/>
      <c r="C507" s="2"/>
      <c r="D507" s="2"/>
      <c r="E507" s="2"/>
      <c r="F507" s="2"/>
      <c r="G507" s="2"/>
      <c r="H507" s="2"/>
      <c r="I507" s="2"/>
      <c r="J507" s="2"/>
      <c r="K507" s="2"/>
      <c r="L507" s="2"/>
      <c r="M507" s="2"/>
      <c r="N507" s="2"/>
      <c r="O507" s="2"/>
      <c r="P507" s="2"/>
      <c r="Q507" s="2"/>
      <c r="R507" s="2"/>
      <c r="S507" s="2"/>
      <c r="T507" s="2"/>
      <c r="U507" s="2"/>
      <c r="V507" s="2"/>
      <c r="W507" s="2"/>
    </row>
    <row r="508">
      <c r="A508" s="2"/>
      <c r="B508" s="2"/>
      <c r="C508" s="2"/>
      <c r="D508" s="2"/>
      <c r="E508" s="2"/>
      <c r="F508" s="2"/>
      <c r="G508" s="2"/>
      <c r="H508" s="2"/>
      <c r="I508" s="2"/>
      <c r="J508" s="2"/>
      <c r="K508" s="2"/>
      <c r="L508" s="2"/>
      <c r="M508" s="2"/>
      <c r="N508" s="2"/>
      <c r="O508" s="2"/>
      <c r="P508" s="2"/>
      <c r="Q508" s="2"/>
      <c r="R508" s="2"/>
      <c r="S508" s="2"/>
      <c r="T508" s="2"/>
      <c r="U508" s="2"/>
      <c r="V508" s="2"/>
      <c r="W508" s="2"/>
    </row>
    <row r="509">
      <c r="A509" s="2"/>
      <c r="B509" s="2"/>
      <c r="C509" s="2"/>
      <c r="D509" s="2"/>
      <c r="E509" s="2"/>
      <c r="F509" s="2"/>
      <c r="G509" s="2"/>
      <c r="H509" s="2"/>
      <c r="I509" s="2"/>
      <c r="J509" s="2"/>
      <c r="K509" s="2"/>
      <c r="L509" s="2"/>
      <c r="M509" s="2"/>
      <c r="N509" s="2"/>
      <c r="O509" s="2"/>
      <c r="P509" s="2"/>
      <c r="Q509" s="2"/>
      <c r="R509" s="2"/>
      <c r="S509" s="2"/>
      <c r="T509" s="2"/>
      <c r="U509" s="2"/>
      <c r="V509" s="2"/>
      <c r="W509" s="2"/>
    </row>
    <row r="510">
      <c r="A510" s="2"/>
      <c r="B510" s="2"/>
      <c r="C510" s="2"/>
      <c r="D510" s="2"/>
      <c r="E510" s="2"/>
      <c r="F510" s="2"/>
      <c r="G510" s="2"/>
      <c r="H510" s="2"/>
      <c r="I510" s="2"/>
      <c r="J510" s="2"/>
      <c r="K510" s="2"/>
      <c r="L510" s="2"/>
      <c r="M510" s="2"/>
      <c r="N510" s="2"/>
      <c r="O510" s="2"/>
      <c r="P510" s="2"/>
      <c r="Q510" s="2"/>
      <c r="R510" s="2"/>
      <c r="S510" s="2"/>
      <c r="T510" s="2"/>
      <c r="U510" s="2"/>
      <c r="V510" s="2"/>
      <c r="W510" s="2"/>
    </row>
    <row r="511">
      <c r="A511" s="2"/>
      <c r="B511" s="2"/>
      <c r="C511" s="2"/>
      <c r="D511" s="2"/>
      <c r="E511" s="2"/>
      <c r="F511" s="2"/>
      <c r="G511" s="2"/>
      <c r="H511" s="2"/>
      <c r="I511" s="2"/>
      <c r="J511" s="2"/>
      <c r="K511" s="2"/>
      <c r="L511" s="2"/>
      <c r="M511" s="2"/>
      <c r="N511" s="2"/>
      <c r="O511" s="2"/>
      <c r="P511" s="2"/>
      <c r="Q511" s="2"/>
      <c r="R511" s="2"/>
      <c r="S511" s="2"/>
      <c r="T511" s="2"/>
      <c r="U511" s="2"/>
      <c r="V511" s="2"/>
      <c r="W511" s="2"/>
    </row>
    <row r="512">
      <c r="A512" s="2"/>
      <c r="B512" s="2"/>
      <c r="C512" s="2"/>
      <c r="D512" s="2"/>
      <c r="E512" s="2"/>
      <c r="F512" s="2"/>
      <c r="G512" s="2"/>
      <c r="H512" s="2"/>
      <c r="I512" s="2"/>
      <c r="J512" s="2"/>
      <c r="K512" s="2"/>
      <c r="L512" s="2"/>
      <c r="M512" s="2"/>
      <c r="N512" s="2"/>
      <c r="O512" s="2"/>
      <c r="P512" s="2"/>
      <c r="Q512" s="2"/>
      <c r="R512" s="2"/>
      <c r="S512" s="2"/>
      <c r="T512" s="2"/>
      <c r="U512" s="2"/>
      <c r="V512" s="2"/>
      <c r="W512" s="2"/>
    </row>
    <row r="513">
      <c r="A513" s="2"/>
      <c r="B513" s="2"/>
      <c r="C513" s="2"/>
      <c r="D513" s="2"/>
      <c r="E513" s="2"/>
      <c r="F513" s="2"/>
      <c r="G513" s="2"/>
      <c r="H513" s="2"/>
      <c r="I513" s="2"/>
      <c r="J513" s="2"/>
      <c r="K513" s="2"/>
      <c r="L513" s="2"/>
      <c r="M513" s="2"/>
      <c r="N513" s="2"/>
      <c r="O513" s="2"/>
      <c r="P513" s="2"/>
      <c r="Q513" s="2"/>
      <c r="R513" s="2"/>
      <c r="S513" s="2"/>
      <c r="T513" s="2"/>
      <c r="U513" s="2"/>
      <c r="V513" s="2"/>
      <c r="W513" s="2"/>
    </row>
    <row r="514">
      <c r="A514" s="2"/>
      <c r="B514" s="2"/>
      <c r="C514" s="2"/>
      <c r="D514" s="2"/>
      <c r="E514" s="2"/>
      <c r="F514" s="2"/>
      <c r="G514" s="2"/>
      <c r="H514" s="2"/>
      <c r="I514" s="2"/>
      <c r="J514" s="2"/>
      <c r="K514" s="2"/>
      <c r="L514" s="2"/>
      <c r="M514" s="2"/>
      <c r="N514" s="2"/>
      <c r="O514" s="2"/>
      <c r="P514" s="2"/>
      <c r="Q514" s="2"/>
      <c r="R514" s="2"/>
      <c r="S514" s="2"/>
      <c r="T514" s="2"/>
      <c r="U514" s="2"/>
      <c r="V514" s="2"/>
      <c r="W514" s="2"/>
    </row>
    <row r="515">
      <c r="A515" s="2"/>
      <c r="B515" s="2"/>
      <c r="C515" s="2"/>
      <c r="D515" s="2"/>
      <c r="E515" s="2"/>
      <c r="F515" s="2"/>
      <c r="G515" s="2"/>
      <c r="H515" s="2"/>
      <c r="I515" s="2"/>
      <c r="J515" s="2"/>
      <c r="K515" s="2"/>
      <c r="L515" s="2"/>
      <c r="M515" s="2"/>
      <c r="N515" s="2"/>
      <c r="O515" s="2"/>
      <c r="P515" s="2"/>
      <c r="Q515" s="2"/>
      <c r="R515" s="2"/>
      <c r="S515" s="2"/>
      <c r="T515" s="2"/>
      <c r="U515" s="2"/>
      <c r="V515" s="2"/>
      <c r="W515" s="2"/>
    </row>
    <row r="516">
      <c r="A516" s="2"/>
      <c r="B516" s="2"/>
      <c r="C516" s="2"/>
      <c r="D516" s="2"/>
      <c r="E516" s="2"/>
      <c r="F516" s="2"/>
      <c r="G516" s="2"/>
      <c r="H516" s="2"/>
      <c r="I516" s="2"/>
      <c r="J516" s="2"/>
      <c r="K516" s="2"/>
      <c r="L516" s="2"/>
      <c r="M516" s="2"/>
      <c r="N516" s="2"/>
      <c r="O516" s="2"/>
      <c r="P516" s="2"/>
      <c r="Q516" s="2"/>
      <c r="R516" s="2"/>
      <c r="S516" s="2"/>
      <c r="T516" s="2"/>
      <c r="U516" s="2"/>
      <c r="V516" s="2"/>
      <c r="W516" s="2"/>
    </row>
    <row r="517">
      <c r="A517" s="2"/>
      <c r="B517" s="2"/>
      <c r="C517" s="2"/>
      <c r="D517" s="2"/>
      <c r="E517" s="2"/>
      <c r="F517" s="2"/>
      <c r="G517" s="2"/>
      <c r="H517" s="2"/>
      <c r="I517" s="2"/>
      <c r="J517" s="2"/>
      <c r="K517" s="2"/>
      <c r="L517" s="2"/>
      <c r="M517" s="2"/>
      <c r="N517" s="2"/>
      <c r="O517" s="2"/>
      <c r="P517" s="2"/>
      <c r="Q517" s="2"/>
      <c r="R517" s="2"/>
      <c r="S517" s="2"/>
      <c r="T517" s="2"/>
      <c r="U517" s="2"/>
      <c r="V517" s="2"/>
      <c r="W517" s="2"/>
    </row>
    <row r="518">
      <c r="A518" s="2"/>
      <c r="B518" s="2"/>
      <c r="C518" s="2"/>
      <c r="D518" s="2"/>
      <c r="E518" s="2"/>
      <c r="F518" s="2"/>
      <c r="G518" s="2"/>
      <c r="H518" s="2"/>
      <c r="I518" s="2"/>
      <c r="J518" s="2"/>
      <c r="K518" s="2"/>
      <c r="L518" s="2"/>
      <c r="M518" s="2"/>
      <c r="N518" s="2"/>
      <c r="O518" s="2"/>
      <c r="P518" s="2"/>
      <c r="Q518" s="2"/>
      <c r="R518" s="2"/>
      <c r="S518" s="2"/>
      <c r="T518" s="2"/>
      <c r="U518" s="2"/>
      <c r="V518" s="2"/>
      <c r="W518" s="2"/>
    </row>
    <row r="519">
      <c r="A519" s="2"/>
      <c r="B519" s="2"/>
      <c r="C519" s="2"/>
      <c r="D519" s="2"/>
      <c r="E519" s="2"/>
      <c r="F519" s="2"/>
      <c r="G519" s="2"/>
      <c r="H519" s="2"/>
      <c r="I519" s="2"/>
      <c r="J519" s="2"/>
      <c r="K519" s="2"/>
      <c r="L519" s="2"/>
      <c r="M519" s="2"/>
      <c r="N519" s="2"/>
      <c r="O519" s="2"/>
      <c r="P519" s="2"/>
      <c r="Q519" s="2"/>
      <c r="R519" s="2"/>
      <c r="S519" s="2"/>
      <c r="T519" s="2"/>
      <c r="U519" s="2"/>
      <c r="V519" s="2"/>
      <c r="W519" s="2"/>
    </row>
    <row r="520">
      <c r="A520" s="2"/>
      <c r="B520" s="2"/>
      <c r="C520" s="2"/>
      <c r="D520" s="2"/>
      <c r="E520" s="2"/>
      <c r="F520" s="2"/>
      <c r="G520" s="2"/>
      <c r="H520" s="2"/>
      <c r="I520" s="2"/>
      <c r="J520" s="2"/>
      <c r="K520" s="2"/>
      <c r="L520" s="2"/>
      <c r="M520" s="2"/>
      <c r="N520" s="2"/>
      <c r="O520" s="2"/>
      <c r="P520" s="2"/>
      <c r="Q520" s="2"/>
      <c r="R520" s="2"/>
      <c r="S520" s="2"/>
      <c r="T520" s="2"/>
      <c r="U520" s="2"/>
      <c r="V520" s="2"/>
      <c r="W520" s="2"/>
    </row>
    <row r="521">
      <c r="A521" s="2"/>
      <c r="B521" s="2"/>
      <c r="C521" s="2"/>
      <c r="D521" s="2"/>
      <c r="E521" s="2"/>
      <c r="F521" s="2"/>
      <c r="G521" s="2"/>
      <c r="H521" s="2"/>
      <c r="I521" s="2"/>
      <c r="J521" s="2"/>
      <c r="K521" s="2"/>
      <c r="L521" s="2"/>
      <c r="M521" s="2"/>
      <c r="N521" s="2"/>
      <c r="O521" s="2"/>
      <c r="P521" s="2"/>
      <c r="Q521" s="2"/>
      <c r="R521" s="2"/>
      <c r="S521" s="2"/>
      <c r="T521" s="2"/>
      <c r="U521" s="2"/>
      <c r="V521" s="2"/>
      <c r="W521" s="2"/>
    </row>
    <row r="522">
      <c r="A522" s="2"/>
      <c r="B522" s="2"/>
      <c r="C522" s="2"/>
      <c r="D522" s="2"/>
      <c r="E522" s="2"/>
      <c r="F522" s="2"/>
      <c r="G522" s="2"/>
      <c r="H522" s="2"/>
      <c r="I522" s="2"/>
      <c r="J522" s="2"/>
      <c r="K522" s="2"/>
      <c r="L522" s="2"/>
      <c r="M522" s="2"/>
      <c r="N522" s="2"/>
      <c r="O522" s="2"/>
      <c r="P522" s="2"/>
      <c r="Q522" s="2"/>
      <c r="R522" s="2"/>
      <c r="S522" s="2"/>
      <c r="T522" s="2"/>
      <c r="U522" s="2"/>
      <c r="V522" s="2"/>
      <c r="W522" s="2"/>
    </row>
    <row r="523">
      <c r="A523" s="2"/>
      <c r="B523" s="2"/>
      <c r="C523" s="2"/>
      <c r="D523" s="2"/>
      <c r="E523" s="2"/>
      <c r="F523" s="2"/>
      <c r="G523" s="2"/>
      <c r="H523" s="2"/>
      <c r="I523" s="2"/>
      <c r="J523" s="2"/>
      <c r="K523" s="2"/>
      <c r="L523" s="2"/>
      <c r="M523" s="2"/>
      <c r="N523" s="2"/>
      <c r="O523" s="2"/>
      <c r="P523" s="2"/>
      <c r="Q523" s="2"/>
      <c r="R523" s="2"/>
      <c r="S523" s="2"/>
      <c r="T523" s="2"/>
      <c r="U523" s="2"/>
      <c r="V523" s="2"/>
      <c r="W523" s="2"/>
    </row>
    <row r="524">
      <c r="A524" s="2"/>
      <c r="B524" s="2"/>
      <c r="C524" s="2"/>
      <c r="D524" s="2"/>
      <c r="E524" s="2"/>
      <c r="F524" s="2"/>
      <c r="G524" s="2"/>
      <c r="H524" s="2"/>
      <c r="I524" s="2"/>
      <c r="J524" s="2"/>
      <c r="K524" s="2"/>
      <c r="L524" s="2"/>
      <c r="M524" s="2"/>
      <c r="N524" s="2"/>
      <c r="O524" s="2"/>
      <c r="P524" s="2"/>
      <c r="Q524" s="2"/>
      <c r="R524" s="2"/>
      <c r="S524" s="2"/>
      <c r="T524" s="2"/>
      <c r="U524" s="2"/>
      <c r="V524" s="2"/>
      <c r="W524" s="2"/>
    </row>
    <row r="525">
      <c r="A525" s="2"/>
      <c r="B525" s="2"/>
      <c r="C525" s="2"/>
      <c r="D525" s="2"/>
      <c r="E525" s="2"/>
      <c r="F525" s="2"/>
      <c r="G525" s="2"/>
      <c r="H525" s="2"/>
      <c r="I525" s="2"/>
      <c r="J525" s="2"/>
      <c r="K525" s="2"/>
      <c r="L525" s="2"/>
      <c r="M525" s="2"/>
      <c r="N525" s="2"/>
      <c r="O525" s="2"/>
      <c r="P525" s="2"/>
      <c r="Q525" s="2"/>
      <c r="R525" s="2"/>
      <c r="S525" s="2"/>
      <c r="T525" s="2"/>
      <c r="U525" s="2"/>
      <c r="V525" s="2"/>
      <c r="W525" s="2"/>
    </row>
    <row r="526">
      <c r="A526" s="2"/>
      <c r="B526" s="2"/>
      <c r="C526" s="2"/>
      <c r="D526" s="2"/>
      <c r="E526" s="2"/>
      <c r="F526" s="2"/>
      <c r="G526" s="2"/>
      <c r="H526" s="2"/>
      <c r="I526" s="2"/>
      <c r="J526" s="2"/>
      <c r="K526" s="2"/>
      <c r="L526" s="2"/>
      <c r="M526" s="2"/>
      <c r="N526" s="2"/>
      <c r="O526" s="2"/>
      <c r="P526" s="2"/>
      <c r="Q526" s="2"/>
      <c r="R526" s="2"/>
      <c r="S526" s="2"/>
      <c r="T526" s="2"/>
      <c r="U526" s="2"/>
      <c r="V526" s="2"/>
      <c r="W526" s="2"/>
    </row>
    <row r="527">
      <c r="A527" s="2"/>
      <c r="B527" s="2"/>
      <c r="C527" s="2"/>
      <c r="D527" s="2"/>
      <c r="E527" s="2"/>
      <c r="F527" s="2"/>
      <c r="G527" s="2"/>
      <c r="H527" s="2"/>
      <c r="I527" s="2"/>
      <c r="J527" s="2"/>
      <c r="K527" s="2"/>
      <c r="L527" s="2"/>
      <c r="M527" s="2"/>
      <c r="N527" s="2"/>
      <c r="O527" s="2"/>
      <c r="P527" s="2"/>
      <c r="Q527" s="2"/>
      <c r="R527" s="2"/>
      <c r="S527" s="2"/>
      <c r="T527" s="2"/>
      <c r="U527" s="2"/>
      <c r="V527" s="2"/>
      <c r="W527" s="2"/>
    </row>
    <row r="528">
      <c r="A528" s="2"/>
      <c r="B528" s="2"/>
      <c r="C528" s="2"/>
      <c r="D528" s="2"/>
      <c r="E528" s="2"/>
      <c r="F528" s="2"/>
      <c r="G528" s="2"/>
      <c r="H528" s="2"/>
      <c r="I528" s="2"/>
      <c r="J528" s="2"/>
      <c r="K528" s="2"/>
      <c r="L528" s="2"/>
      <c r="M528" s="2"/>
      <c r="N528" s="2"/>
      <c r="O528" s="2"/>
      <c r="P528" s="2"/>
      <c r="Q528" s="2"/>
      <c r="R528" s="2"/>
      <c r="S528" s="2"/>
      <c r="T528" s="2"/>
      <c r="U528" s="2"/>
      <c r="V528" s="2"/>
      <c r="W528" s="2"/>
    </row>
    <row r="529">
      <c r="A529" s="2"/>
      <c r="B529" s="2"/>
      <c r="C529" s="2"/>
      <c r="D529" s="2"/>
      <c r="E529" s="2"/>
      <c r="F529" s="2"/>
      <c r="G529" s="2"/>
      <c r="H529" s="2"/>
      <c r="I529" s="2"/>
      <c r="J529" s="2"/>
      <c r="K529" s="2"/>
      <c r="L529" s="2"/>
      <c r="M529" s="2"/>
      <c r="N529" s="2"/>
      <c r="O529" s="2"/>
      <c r="P529" s="2"/>
      <c r="Q529" s="2"/>
      <c r="R529" s="2"/>
      <c r="S529" s="2"/>
      <c r="T529" s="2"/>
      <c r="U529" s="2"/>
      <c r="V529" s="2"/>
      <c r="W529" s="2"/>
    </row>
    <row r="530">
      <c r="A530" s="2"/>
      <c r="B530" s="2"/>
      <c r="C530" s="2"/>
      <c r="D530" s="2"/>
      <c r="E530" s="2"/>
      <c r="F530" s="2"/>
      <c r="G530" s="2"/>
      <c r="H530" s="2"/>
      <c r="I530" s="2"/>
      <c r="J530" s="2"/>
      <c r="K530" s="2"/>
      <c r="L530" s="2"/>
      <c r="M530" s="2"/>
      <c r="N530" s="2"/>
      <c r="O530" s="2"/>
      <c r="P530" s="2"/>
      <c r="Q530" s="2"/>
      <c r="R530" s="2"/>
      <c r="S530" s="2"/>
      <c r="T530" s="2"/>
      <c r="U530" s="2"/>
      <c r="V530" s="2"/>
      <c r="W530" s="2"/>
    </row>
    <row r="531">
      <c r="A531" s="2"/>
      <c r="B531" s="2"/>
      <c r="C531" s="2"/>
      <c r="D531" s="2"/>
      <c r="E531" s="2"/>
      <c r="F531" s="2"/>
      <c r="G531" s="2"/>
      <c r="H531" s="2"/>
      <c r="I531" s="2"/>
      <c r="J531" s="2"/>
      <c r="K531" s="2"/>
      <c r="L531" s="2"/>
      <c r="M531" s="2"/>
      <c r="N531" s="2"/>
      <c r="O531" s="2"/>
      <c r="P531" s="2"/>
      <c r="Q531" s="2"/>
      <c r="R531" s="2"/>
      <c r="S531" s="2"/>
      <c r="T531" s="2"/>
      <c r="U531" s="2"/>
      <c r="V531" s="2"/>
      <c r="W531" s="2"/>
    </row>
    <row r="532">
      <c r="A532" s="2"/>
      <c r="B532" s="2"/>
      <c r="C532" s="2"/>
      <c r="D532" s="2"/>
      <c r="E532" s="2"/>
      <c r="F532" s="2"/>
      <c r="G532" s="2"/>
      <c r="H532" s="2"/>
      <c r="I532" s="2"/>
      <c r="J532" s="2"/>
      <c r="K532" s="2"/>
      <c r="L532" s="2"/>
      <c r="M532" s="2"/>
      <c r="N532" s="2"/>
      <c r="O532" s="2"/>
      <c r="P532" s="2"/>
      <c r="Q532" s="2"/>
      <c r="R532" s="2"/>
      <c r="S532" s="2"/>
      <c r="T532" s="2"/>
      <c r="U532" s="2"/>
      <c r="V532" s="2"/>
      <c r="W532" s="2"/>
    </row>
    <row r="533">
      <c r="A533" s="2"/>
      <c r="B533" s="2"/>
      <c r="C533" s="2"/>
      <c r="D533" s="2"/>
      <c r="E533" s="2"/>
      <c r="F533" s="2"/>
      <c r="G533" s="2"/>
      <c r="H533" s="2"/>
      <c r="I533" s="2"/>
      <c r="J533" s="2"/>
      <c r="K533" s="2"/>
      <c r="L533" s="2"/>
      <c r="M533" s="2"/>
      <c r="N533" s="2"/>
      <c r="O533" s="2"/>
      <c r="P533" s="2"/>
      <c r="Q533" s="2"/>
      <c r="R533" s="2"/>
      <c r="S533" s="2"/>
      <c r="T533" s="2"/>
      <c r="U533" s="2"/>
      <c r="V533" s="2"/>
      <c r="W533" s="2"/>
    </row>
    <row r="534">
      <c r="A534" s="2"/>
      <c r="B534" s="2"/>
      <c r="C534" s="2"/>
      <c r="D534" s="2"/>
      <c r="E534" s="2"/>
      <c r="F534" s="2"/>
      <c r="G534" s="2"/>
      <c r="H534" s="2"/>
      <c r="I534" s="2"/>
      <c r="J534" s="2"/>
      <c r="K534" s="2"/>
      <c r="L534" s="2"/>
      <c r="M534" s="2"/>
      <c r="N534" s="2"/>
      <c r="O534" s="2"/>
      <c r="P534" s="2"/>
      <c r="Q534" s="2"/>
      <c r="R534" s="2"/>
      <c r="S534" s="2"/>
      <c r="T534" s="2"/>
      <c r="U534" s="2"/>
      <c r="V534" s="2"/>
      <c r="W534" s="2"/>
    </row>
    <row r="535">
      <c r="A535" s="2"/>
      <c r="B535" s="2"/>
      <c r="C535" s="2"/>
      <c r="D535" s="2"/>
      <c r="E535" s="2"/>
      <c r="F535" s="2"/>
      <c r="G535" s="2"/>
      <c r="H535" s="2"/>
      <c r="I535" s="2"/>
      <c r="J535" s="2"/>
      <c r="K535" s="2"/>
      <c r="L535" s="2"/>
      <c r="M535" s="2"/>
      <c r="N535" s="2"/>
      <c r="O535" s="2"/>
      <c r="P535" s="2"/>
      <c r="Q535" s="2"/>
      <c r="R535" s="2"/>
      <c r="S535" s="2"/>
      <c r="T535" s="2"/>
      <c r="U535" s="2"/>
      <c r="V535" s="2"/>
      <c r="W535" s="2"/>
    </row>
    <row r="536">
      <c r="A536" s="2"/>
      <c r="B536" s="2"/>
      <c r="C536" s="2"/>
      <c r="D536" s="2"/>
      <c r="E536" s="2"/>
      <c r="F536" s="2"/>
      <c r="G536" s="2"/>
      <c r="H536" s="2"/>
      <c r="I536" s="2"/>
      <c r="J536" s="2"/>
      <c r="K536" s="2"/>
      <c r="L536" s="2"/>
      <c r="M536" s="2"/>
      <c r="N536" s="2"/>
      <c r="O536" s="2"/>
      <c r="P536" s="2"/>
      <c r="Q536" s="2"/>
      <c r="R536" s="2"/>
      <c r="S536" s="2"/>
      <c r="T536" s="2"/>
      <c r="U536" s="2"/>
      <c r="V536" s="2"/>
      <c r="W536" s="2"/>
    </row>
    <row r="537">
      <c r="A537" s="2"/>
      <c r="B537" s="2"/>
      <c r="C537" s="2"/>
      <c r="D537" s="2"/>
      <c r="E537" s="2"/>
      <c r="F537" s="2"/>
      <c r="G537" s="2"/>
      <c r="H537" s="2"/>
      <c r="I537" s="2"/>
      <c r="J537" s="2"/>
      <c r="K537" s="2"/>
      <c r="L537" s="2"/>
      <c r="M537" s="2"/>
      <c r="N537" s="2"/>
      <c r="O537" s="2"/>
      <c r="P537" s="2"/>
      <c r="Q537" s="2"/>
      <c r="R537" s="2"/>
      <c r="S537" s="2"/>
      <c r="T537" s="2"/>
      <c r="U537" s="2"/>
      <c r="V537" s="2"/>
      <c r="W537" s="2"/>
    </row>
    <row r="538">
      <c r="A538" s="2"/>
      <c r="B538" s="2"/>
      <c r="C538" s="2"/>
      <c r="D538" s="2"/>
      <c r="E538" s="2"/>
      <c r="F538" s="2"/>
      <c r="G538" s="2"/>
      <c r="H538" s="2"/>
      <c r="I538" s="2"/>
      <c r="J538" s="2"/>
      <c r="K538" s="2"/>
      <c r="L538" s="2"/>
      <c r="M538" s="2"/>
      <c r="N538" s="2"/>
      <c r="O538" s="2"/>
      <c r="P538" s="2"/>
      <c r="Q538" s="2"/>
      <c r="R538" s="2"/>
      <c r="S538" s="2"/>
      <c r="T538" s="2"/>
      <c r="U538" s="2"/>
      <c r="V538" s="2"/>
      <c r="W538" s="2"/>
    </row>
    <row r="539">
      <c r="A539" s="2"/>
      <c r="B539" s="2"/>
      <c r="C539" s="2"/>
      <c r="D539" s="2"/>
      <c r="E539" s="2"/>
      <c r="F539" s="2"/>
      <c r="G539" s="2"/>
      <c r="H539" s="2"/>
      <c r="I539" s="2"/>
      <c r="J539" s="2"/>
      <c r="K539" s="2"/>
      <c r="L539" s="2"/>
      <c r="M539" s="2"/>
      <c r="N539" s="2"/>
      <c r="O539" s="2"/>
      <c r="P539" s="2"/>
      <c r="Q539" s="2"/>
      <c r="R539" s="2"/>
      <c r="S539" s="2"/>
      <c r="T539" s="2"/>
      <c r="U539" s="2"/>
      <c r="V539" s="2"/>
      <c r="W539" s="2"/>
    </row>
    <row r="540">
      <c r="A540" s="2"/>
      <c r="B540" s="2"/>
      <c r="C540" s="2"/>
      <c r="D540" s="2"/>
      <c r="E540" s="2"/>
      <c r="F540" s="2"/>
      <c r="G540" s="2"/>
      <c r="H540" s="2"/>
      <c r="I540" s="2"/>
      <c r="J540" s="2"/>
      <c r="K540" s="2"/>
      <c r="L540" s="2"/>
      <c r="M540" s="2"/>
      <c r="N540" s="2"/>
      <c r="O540" s="2"/>
      <c r="P540" s="2"/>
      <c r="Q540" s="2"/>
      <c r="R540" s="2"/>
      <c r="S540" s="2"/>
      <c r="T540" s="2"/>
      <c r="U540" s="2"/>
      <c r="V540" s="2"/>
      <c r="W540" s="2"/>
    </row>
    <row r="541">
      <c r="A541" s="2"/>
      <c r="B541" s="2"/>
      <c r="C541" s="2"/>
      <c r="D541" s="2"/>
      <c r="E541" s="2"/>
      <c r="F541" s="2"/>
      <c r="G541" s="2"/>
      <c r="H541" s="2"/>
      <c r="I541" s="2"/>
      <c r="J541" s="2"/>
      <c r="K541" s="2"/>
      <c r="L541" s="2"/>
      <c r="M541" s="2"/>
      <c r="N541" s="2"/>
      <c r="O541" s="2"/>
      <c r="P541" s="2"/>
      <c r="Q541" s="2"/>
      <c r="R541" s="2"/>
      <c r="S541" s="2"/>
      <c r="T541" s="2"/>
      <c r="U541" s="2"/>
      <c r="V541" s="2"/>
      <c r="W541" s="2"/>
    </row>
    <row r="542">
      <c r="A542" s="2"/>
      <c r="B542" s="2"/>
      <c r="C542" s="2"/>
      <c r="D542" s="2"/>
      <c r="E542" s="2"/>
      <c r="F542" s="2"/>
      <c r="G542" s="2"/>
      <c r="H542" s="2"/>
      <c r="I542" s="2"/>
      <c r="J542" s="2"/>
      <c r="K542" s="2"/>
      <c r="L542" s="2"/>
      <c r="M542" s="2"/>
      <c r="N542" s="2"/>
      <c r="O542" s="2"/>
      <c r="P542" s="2"/>
      <c r="Q542" s="2"/>
      <c r="R542" s="2"/>
      <c r="S542" s="2"/>
      <c r="T542" s="2"/>
      <c r="U542" s="2"/>
      <c r="V542" s="2"/>
      <c r="W542" s="2"/>
    </row>
    <row r="543">
      <c r="A543" s="2"/>
      <c r="B543" s="2"/>
      <c r="C543" s="2"/>
      <c r="D543" s="2"/>
      <c r="E543" s="2"/>
      <c r="F543" s="2"/>
      <c r="G543" s="2"/>
      <c r="H543" s="2"/>
      <c r="I543" s="2"/>
      <c r="J543" s="2"/>
      <c r="K543" s="2"/>
      <c r="L543" s="2"/>
      <c r="M543" s="2"/>
      <c r="N543" s="2"/>
      <c r="O543" s="2"/>
      <c r="P543" s="2"/>
      <c r="Q543" s="2"/>
      <c r="R543" s="2"/>
      <c r="S543" s="2"/>
      <c r="T543" s="2"/>
      <c r="U543" s="2"/>
      <c r="V543" s="2"/>
      <c r="W543" s="2"/>
    </row>
    <row r="544">
      <c r="A544" s="2"/>
      <c r="B544" s="2"/>
      <c r="C544" s="2"/>
      <c r="D544" s="2"/>
      <c r="E544" s="2"/>
      <c r="F544" s="2"/>
      <c r="G544" s="2"/>
      <c r="H544" s="2"/>
      <c r="I544" s="2"/>
      <c r="J544" s="2"/>
      <c r="K544" s="2"/>
      <c r="L544" s="2"/>
      <c r="M544" s="2"/>
      <c r="N544" s="2"/>
      <c r="O544" s="2"/>
      <c r="P544" s="2"/>
      <c r="Q544" s="2"/>
      <c r="R544" s="2"/>
      <c r="S544" s="2"/>
      <c r="T544" s="2"/>
      <c r="U544" s="2"/>
      <c r="V544" s="2"/>
      <c r="W544" s="2"/>
    </row>
    <row r="545">
      <c r="A545" s="2"/>
      <c r="B545" s="2"/>
      <c r="C545" s="2"/>
      <c r="D545" s="2"/>
      <c r="E545" s="2"/>
      <c r="F545" s="2"/>
      <c r="G545" s="2"/>
      <c r="H545" s="2"/>
      <c r="I545" s="2"/>
      <c r="J545" s="2"/>
      <c r="K545" s="2"/>
      <c r="L545" s="2"/>
      <c r="M545" s="2"/>
      <c r="N545" s="2"/>
      <c r="O545" s="2"/>
      <c r="P545" s="2"/>
      <c r="Q545" s="2"/>
      <c r="R545" s="2"/>
      <c r="S545" s="2"/>
      <c r="T545" s="2"/>
      <c r="U545" s="2"/>
      <c r="V545" s="2"/>
      <c r="W545" s="2"/>
    </row>
    <row r="546">
      <c r="A546" s="2"/>
      <c r="B546" s="2"/>
      <c r="C546" s="2"/>
      <c r="D546" s="2"/>
      <c r="E546" s="2"/>
      <c r="F546" s="2"/>
      <c r="G546" s="2"/>
      <c r="H546" s="2"/>
      <c r="I546" s="2"/>
      <c r="J546" s="2"/>
      <c r="K546" s="2"/>
      <c r="L546" s="2"/>
      <c r="M546" s="2"/>
      <c r="N546" s="2"/>
      <c r="O546" s="2"/>
      <c r="P546" s="2"/>
      <c r="Q546" s="2"/>
      <c r="R546" s="2"/>
      <c r="S546" s="2"/>
      <c r="T546" s="2"/>
      <c r="U546" s="2"/>
      <c r="V546" s="2"/>
      <c r="W546" s="2"/>
    </row>
    <row r="547">
      <c r="A547" s="2"/>
      <c r="B547" s="2"/>
      <c r="C547" s="2"/>
      <c r="D547" s="2"/>
      <c r="E547" s="2"/>
      <c r="F547" s="2"/>
      <c r="G547" s="2"/>
      <c r="H547" s="2"/>
      <c r="I547" s="2"/>
      <c r="J547" s="2"/>
      <c r="K547" s="2"/>
      <c r="L547" s="2"/>
      <c r="M547" s="2"/>
      <c r="N547" s="2"/>
      <c r="O547" s="2"/>
      <c r="P547" s="2"/>
      <c r="Q547" s="2"/>
      <c r="R547" s="2"/>
      <c r="S547" s="2"/>
      <c r="T547" s="2"/>
      <c r="U547" s="2"/>
      <c r="V547" s="2"/>
      <c r="W547" s="2"/>
    </row>
    <row r="548">
      <c r="A548" s="2"/>
      <c r="B548" s="2"/>
      <c r="C548" s="2"/>
      <c r="D548" s="2"/>
      <c r="E548" s="2"/>
      <c r="F548" s="2"/>
      <c r="G548" s="2"/>
      <c r="H548" s="2"/>
      <c r="I548" s="2"/>
      <c r="J548" s="2"/>
      <c r="K548" s="2"/>
      <c r="L548" s="2"/>
      <c r="M548" s="2"/>
      <c r="N548" s="2"/>
      <c r="O548" s="2"/>
      <c r="P548" s="2"/>
      <c r="Q548" s="2"/>
      <c r="R548" s="2"/>
      <c r="S548" s="2"/>
      <c r="T548" s="2"/>
      <c r="U548" s="2"/>
      <c r="V548" s="2"/>
      <c r="W548" s="2"/>
    </row>
    <row r="549">
      <c r="A549" s="2"/>
      <c r="B549" s="2"/>
      <c r="C549" s="2"/>
      <c r="D549" s="2"/>
      <c r="E549" s="2"/>
      <c r="F549" s="2"/>
      <c r="G549" s="2"/>
      <c r="H549" s="2"/>
      <c r="I549" s="2"/>
      <c r="J549" s="2"/>
      <c r="K549" s="2"/>
      <c r="L549" s="2"/>
      <c r="M549" s="2"/>
      <c r="N549" s="2"/>
      <c r="O549" s="2"/>
      <c r="P549" s="2"/>
      <c r="Q549" s="2"/>
      <c r="R549" s="2"/>
      <c r="S549" s="2"/>
      <c r="T549" s="2"/>
      <c r="U549" s="2"/>
      <c r="V549" s="2"/>
      <c r="W549" s="2"/>
    </row>
    <row r="550">
      <c r="A550" s="2"/>
      <c r="B550" s="2"/>
      <c r="C550" s="2"/>
      <c r="D550" s="2"/>
      <c r="E550" s="2"/>
      <c r="F550" s="2"/>
      <c r="G550" s="2"/>
      <c r="H550" s="2"/>
      <c r="I550" s="2"/>
      <c r="J550" s="2"/>
      <c r="K550" s="2"/>
      <c r="L550" s="2"/>
      <c r="M550" s="2"/>
      <c r="N550" s="2"/>
      <c r="O550" s="2"/>
      <c r="P550" s="2"/>
      <c r="Q550" s="2"/>
      <c r="R550" s="2"/>
      <c r="S550" s="2"/>
      <c r="T550" s="2"/>
      <c r="U550" s="2"/>
      <c r="V550" s="2"/>
      <c r="W550" s="2"/>
    </row>
    <row r="551">
      <c r="A551" s="2"/>
      <c r="B551" s="2"/>
      <c r="C551" s="2"/>
      <c r="D551" s="2"/>
      <c r="E551" s="2"/>
      <c r="F551" s="2"/>
      <c r="G551" s="2"/>
      <c r="H551" s="2"/>
      <c r="I551" s="2"/>
      <c r="J551" s="2"/>
      <c r="K551" s="2"/>
      <c r="L551" s="2"/>
      <c r="M551" s="2"/>
      <c r="N551" s="2"/>
      <c r="O551" s="2"/>
      <c r="P551" s="2"/>
      <c r="Q551" s="2"/>
      <c r="R551" s="2"/>
      <c r="S551" s="2"/>
      <c r="T551" s="2"/>
      <c r="U551" s="2"/>
      <c r="V551" s="2"/>
      <c r="W551" s="2"/>
    </row>
    <row r="552">
      <c r="A552" s="2"/>
      <c r="B552" s="2"/>
      <c r="C552" s="2"/>
      <c r="D552" s="2"/>
      <c r="E552" s="2"/>
      <c r="F552" s="2"/>
      <c r="G552" s="2"/>
      <c r="H552" s="2"/>
      <c r="I552" s="2"/>
      <c r="J552" s="2"/>
      <c r="K552" s="2"/>
      <c r="L552" s="2"/>
      <c r="M552" s="2"/>
      <c r="N552" s="2"/>
      <c r="O552" s="2"/>
      <c r="P552" s="2"/>
      <c r="Q552" s="2"/>
      <c r="R552" s="2"/>
      <c r="S552" s="2"/>
      <c r="T552" s="2"/>
      <c r="U552" s="2"/>
      <c r="V552" s="2"/>
      <c r="W552" s="2"/>
    </row>
    <row r="553">
      <c r="A553" s="2"/>
      <c r="B553" s="2"/>
      <c r="C553" s="2"/>
      <c r="D553" s="2"/>
      <c r="E553" s="2"/>
      <c r="F553" s="2"/>
      <c r="G553" s="2"/>
      <c r="H553" s="2"/>
      <c r="I553" s="2"/>
      <c r="J553" s="2"/>
      <c r="K553" s="2"/>
      <c r="L553" s="2"/>
      <c r="M553" s="2"/>
      <c r="N553" s="2"/>
      <c r="O553" s="2"/>
      <c r="P553" s="2"/>
      <c r="Q553" s="2"/>
      <c r="R553" s="2"/>
      <c r="S553" s="2"/>
      <c r="T553" s="2"/>
      <c r="U553" s="2"/>
      <c r="V553" s="2"/>
      <c r="W553" s="2"/>
    </row>
    <row r="554">
      <c r="A554" s="2"/>
      <c r="B554" s="2"/>
      <c r="C554" s="2"/>
      <c r="D554" s="2"/>
      <c r="E554" s="2"/>
      <c r="F554" s="2"/>
      <c r="G554" s="2"/>
      <c r="H554" s="2"/>
      <c r="I554" s="2"/>
      <c r="J554" s="2"/>
      <c r="K554" s="2"/>
      <c r="L554" s="2"/>
      <c r="M554" s="2"/>
      <c r="N554" s="2"/>
      <c r="O554" s="2"/>
      <c r="P554" s="2"/>
      <c r="Q554" s="2"/>
      <c r="R554" s="2"/>
      <c r="S554" s="2"/>
      <c r="T554" s="2"/>
      <c r="U554" s="2"/>
      <c r="V554" s="2"/>
      <c r="W554" s="2"/>
    </row>
    <row r="555">
      <c r="A555" s="2"/>
      <c r="B555" s="2"/>
      <c r="C555" s="2"/>
      <c r="D555" s="2"/>
      <c r="E555" s="2"/>
      <c r="F555" s="2"/>
      <c r="G555" s="2"/>
      <c r="H555" s="2"/>
      <c r="I555" s="2"/>
      <c r="J555" s="2"/>
      <c r="K555" s="2"/>
      <c r="L555" s="2"/>
      <c r="M555" s="2"/>
      <c r="N555" s="2"/>
      <c r="O555" s="2"/>
      <c r="P555" s="2"/>
      <c r="Q555" s="2"/>
      <c r="R555" s="2"/>
      <c r="S555" s="2"/>
      <c r="T555" s="2"/>
      <c r="U555" s="2"/>
      <c r="V555" s="2"/>
      <c r="W555" s="2"/>
    </row>
    <row r="556">
      <c r="A556" s="2"/>
      <c r="B556" s="2"/>
      <c r="C556" s="2"/>
      <c r="D556" s="2"/>
      <c r="E556" s="2"/>
      <c r="F556" s="2"/>
      <c r="G556" s="2"/>
      <c r="H556" s="2"/>
      <c r="I556" s="2"/>
      <c r="J556" s="2"/>
      <c r="K556" s="2"/>
      <c r="L556" s="2"/>
      <c r="M556" s="2"/>
      <c r="N556" s="2"/>
      <c r="O556" s="2"/>
      <c r="P556" s="2"/>
      <c r="Q556" s="2"/>
      <c r="R556" s="2"/>
      <c r="S556" s="2"/>
      <c r="T556" s="2"/>
      <c r="U556" s="2"/>
      <c r="V556" s="2"/>
      <c r="W556" s="2"/>
    </row>
    <row r="557">
      <c r="A557" s="2"/>
      <c r="B557" s="2"/>
      <c r="C557" s="2"/>
      <c r="D557" s="2"/>
      <c r="E557" s="2"/>
      <c r="F557" s="2"/>
      <c r="G557" s="2"/>
      <c r="H557" s="2"/>
      <c r="I557" s="2"/>
      <c r="J557" s="2"/>
      <c r="K557" s="2"/>
      <c r="L557" s="2"/>
      <c r="M557" s="2"/>
      <c r="N557" s="2"/>
      <c r="O557" s="2"/>
      <c r="P557" s="2"/>
      <c r="Q557" s="2"/>
      <c r="R557" s="2"/>
      <c r="S557" s="2"/>
      <c r="T557" s="2"/>
      <c r="U557" s="2"/>
      <c r="V557" s="2"/>
      <c r="W557" s="2"/>
    </row>
    <row r="558">
      <c r="A558" s="2"/>
      <c r="B558" s="2"/>
      <c r="C558" s="2"/>
      <c r="D558" s="2"/>
      <c r="E558" s="2"/>
      <c r="F558" s="2"/>
      <c r="G558" s="2"/>
      <c r="H558" s="2"/>
      <c r="I558" s="2"/>
      <c r="J558" s="2"/>
      <c r="K558" s="2"/>
      <c r="L558" s="2"/>
      <c r="M558" s="2"/>
      <c r="N558" s="2"/>
      <c r="O558" s="2"/>
      <c r="P558" s="2"/>
      <c r="Q558" s="2"/>
      <c r="R558" s="2"/>
      <c r="S558" s="2"/>
      <c r="T558" s="2"/>
      <c r="U558" s="2"/>
      <c r="V558" s="2"/>
      <c r="W558" s="2"/>
    </row>
    <row r="559">
      <c r="A559" s="2"/>
      <c r="B559" s="2"/>
      <c r="C559" s="2"/>
      <c r="D559" s="2"/>
      <c r="E559" s="2"/>
      <c r="F559" s="2"/>
      <c r="G559" s="2"/>
      <c r="H559" s="2"/>
      <c r="I559" s="2"/>
      <c r="J559" s="2"/>
      <c r="K559" s="2"/>
      <c r="L559" s="2"/>
      <c r="M559" s="2"/>
      <c r="N559" s="2"/>
      <c r="O559" s="2"/>
      <c r="P559" s="2"/>
      <c r="Q559" s="2"/>
      <c r="R559" s="2"/>
      <c r="S559" s="2"/>
      <c r="T559" s="2"/>
      <c r="U559" s="2"/>
      <c r="V559" s="2"/>
      <c r="W559" s="2"/>
    </row>
    <row r="560">
      <c r="A560" s="2"/>
      <c r="B560" s="2"/>
      <c r="C560" s="2"/>
      <c r="D560" s="2"/>
      <c r="E560" s="2"/>
      <c r="F560" s="2"/>
      <c r="G560" s="2"/>
      <c r="H560" s="2"/>
      <c r="I560" s="2"/>
      <c r="J560" s="2"/>
      <c r="K560" s="2"/>
      <c r="L560" s="2"/>
      <c r="M560" s="2"/>
      <c r="N560" s="2"/>
      <c r="O560" s="2"/>
      <c r="P560" s="2"/>
      <c r="Q560" s="2"/>
      <c r="R560" s="2"/>
      <c r="S560" s="2"/>
      <c r="T560" s="2"/>
      <c r="U560" s="2"/>
      <c r="V560" s="2"/>
      <c r="W560" s="2"/>
    </row>
    <row r="561">
      <c r="A561" s="2"/>
      <c r="B561" s="2"/>
      <c r="C561" s="2"/>
      <c r="D561" s="2"/>
      <c r="E561" s="2"/>
      <c r="F561" s="2"/>
      <c r="G561" s="2"/>
      <c r="H561" s="2"/>
      <c r="I561" s="2"/>
      <c r="J561" s="2"/>
      <c r="K561" s="2"/>
      <c r="L561" s="2"/>
      <c r="M561" s="2"/>
      <c r="N561" s="2"/>
      <c r="O561" s="2"/>
      <c r="P561" s="2"/>
      <c r="Q561" s="2"/>
      <c r="R561" s="2"/>
      <c r="S561" s="2"/>
      <c r="T561" s="2"/>
      <c r="U561" s="2"/>
      <c r="V561" s="2"/>
      <c r="W561" s="2"/>
    </row>
    <row r="562">
      <c r="A562" s="2"/>
      <c r="B562" s="2"/>
      <c r="C562" s="2"/>
      <c r="D562" s="2"/>
      <c r="E562" s="2"/>
      <c r="F562" s="2"/>
      <c r="G562" s="2"/>
      <c r="H562" s="2"/>
      <c r="I562" s="2"/>
      <c r="J562" s="2"/>
      <c r="K562" s="2"/>
      <c r="L562" s="2"/>
      <c r="M562" s="2"/>
      <c r="N562" s="2"/>
      <c r="O562" s="2"/>
      <c r="P562" s="2"/>
      <c r="Q562" s="2"/>
      <c r="R562" s="2"/>
      <c r="S562" s="2"/>
      <c r="T562" s="2"/>
      <c r="U562" s="2"/>
      <c r="V562" s="2"/>
      <c r="W562" s="2"/>
    </row>
    <row r="563">
      <c r="A563" s="2"/>
      <c r="B563" s="2"/>
      <c r="C563" s="2"/>
      <c r="D563" s="2"/>
      <c r="E563" s="2"/>
      <c r="F563" s="2"/>
      <c r="G563" s="2"/>
      <c r="H563" s="2"/>
      <c r="I563" s="2"/>
      <c r="J563" s="2"/>
      <c r="K563" s="2"/>
      <c r="L563" s="2"/>
      <c r="M563" s="2"/>
      <c r="N563" s="2"/>
      <c r="O563" s="2"/>
      <c r="P563" s="2"/>
      <c r="Q563" s="2"/>
      <c r="R563" s="2"/>
      <c r="S563" s="2"/>
      <c r="T563" s="2"/>
      <c r="U563" s="2"/>
      <c r="V563" s="2"/>
      <c r="W563" s="2"/>
    </row>
    <row r="564">
      <c r="A564" s="2"/>
      <c r="B564" s="2"/>
      <c r="C564" s="2"/>
      <c r="D564" s="2"/>
      <c r="E564" s="2"/>
      <c r="F564" s="2"/>
      <c r="G564" s="2"/>
      <c r="H564" s="2"/>
      <c r="I564" s="2"/>
      <c r="J564" s="2"/>
      <c r="K564" s="2"/>
      <c r="L564" s="2"/>
      <c r="M564" s="2"/>
      <c r="N564" s="2"/>
      <c r="O564" s="2"/>
      <c r="P564" s="2"/>
      <c r="Q564" s="2"/>
      <c r="R564" s="2"/>
      <c r="S564" s="2"/>
      <c r="T564" s="2"/>
      <c r="U564" s="2"/>
      <c r="V564" s="2"/>
      <c r="W564" s="2"/>
    </row>
    <row r="565">
      <c r="A565" s="2"/>
      <c r="B565" s="2"/>
      <c r="C565" s="2"/>
      <c r="D565" s="2"/>
      <c r="E565" s="2"/>
      <c r="F565" s="2"/>
      <c r="G565" s="2"/>
      <c r="H565" s="2"/>
      <c r="I565" s="2"/>
      <c r="J565" s="2"/>
      <c r="K565" s="2"/>
      <c r="L565" s="2"/>
      <c r="M565" s="2"/>
      <c r="N565" s="2"/>
      <c r="O565" s="2"/>
      <c r="P565" s="2"/>
      <c r="Q565" s="2"/>
      <c r="R565" s="2"/>
      <c r="S565" s="2"/>
      <c r="T565" s="2"/>
      <c r="U565" s="2"/>
      <c r="V565" s="2"/>
      <c r="W565" s="2"/>
    </row>
    <row r="566">
      <c r="A566" s="2"/>
      <c r="B566" s="2"/>
      <c r="C566" s="2"/>
      <c r="D566" s="2"/>
      <c r="E566" s="2"/>
      <c r="F566" s="2"/>
      <c r="G566" s="2"/>
      <c r="H566" s="2"/>
      <c r="I566" s="2"/>
      <c r="J566" s="2"/>
      <c r="K566" s="2"/>
      <c r="L566" s="2"/>
      <c r="M566" s="2"/>
      <c r="N566" s="2"/>
      <c r="O566" s="2"/>
      <c r="P566" s="2"/>
      <c r="Q566" s="2"/>
      <c r="R566" s="2"/>
      <c r="S566" s="2"/>
      <c r="T566" s="2"/>
      <c r="U566" s="2"/>
      <c r="V566" s="2"/>
      <c r="W566" s="2"/>
    </row>
    <row r="567">
      <c r="A567" s="2"/>
      <c r="B567" s="2"/>
      <c r="C567" s="2"/>
      <c r="D567" s="2"/>
      <c r="E567" s="2"/>
      <c r="F567" s="2"/>
      <c r="G567" s="2"/>
      <c r="H567" s="2"/>
      <c r="I567" s="2"/>
      <c r="J567" s="2"/>
      <c r="K567" s="2"/>
      <c r="L567" s="2"/>
      <c r="M567" s="2"/>
      <c r="N567" s="2"/>
      <c r="O567" s="2"/>
      <c r="P567" s="2"/>
      <c r="Q567" s="2"/>
      <c r="R567" s="2"/>
      <c r="S567" s="2"/>
      <c r="T567" s="2"/>
      <c r="U567" s="2"/>
      <c r="V567" s="2"/>
      <c r="W567" s="2"/>
    </row>
    <row r="568">
      <c r="A568" s="2"/>
      <c r="B568" s="2"/>
      <c r="C568" s="2"/>
      <c r="D568" s="2"/>
      <c r="E568" s="2"/>
      <c r="F568" s="2"/>
      <c r="G568" s="2"/>
      <c r="H568" s="2"/>
      <c r="I568" s="2"/>
      <c r="J568" s="2"/>
      <c r="K568" s="2"/>
      <c r="L568" s="2"/>
      <c r="M568" s="2"/>
      <c r="N568" s="2"/>
      <c r="O568" s="2"/>
      <c r="P568" s="2"/>
      <c r="Q568" s="2"/>
      <c r="R568" s="2"/>
      <c r="S568" s="2"/>
      <c r="T568" s="2"/>
      <c r="U568" s="2"/>
      <c r="V568" s="2"/>
      <c r="W568" s="2"/>
    </row>
    <row r="569">
      <c r="A569" s="2"/>
      <c r="B569" s="2"/>
      <c r="C569" s="2"/>
      <c r="D569" s="2"/>
      <c r="E569" s="2"/>
      <c r="F569" s="2"/>
      <c r="G569" s="2"/>
      <c r="H569" s="2"/>
      <c r="I569" s="2"/>
      <c r="J569" s="2"/>
      <c r="K569" s="2"/>
      <c r="L569" s="2"/>
      <c r="M569" s="2"/>
      <c r="N569" s="2"/>
      <c r="O569" s="2"/>
      <c r="P569" s="2"/>
      <c r="Q569" s="2"/>
      <c r="R569" s="2"/>
      <c r="S569" s="2"/>
      <c r="T569" s="2"/>
      <c r="U569" s="2"/>
      <c r="V569" s="2"/>
      <c r="W569" s="2"/>
    </row>
    <row r="570">
      <c r="A570" s="2"/>
      <c r="B570" s="2"/>
      <c r="C570" s="2"/>
      <c r="D570" s="2"/>
      <c r="E570" s="2"/>
      <c r="F570" s="2"/>
      <c r="G570" s="2"/>
      <c r="H570" s="2"/>
      <c r="I570" s="2"/>
      <c r="J570" s="2"/>
      <c r="K570" s="2"/>
      <c r="L570" s="2"/>
      <c r="M570" s="2"/>
      <c r="N570" s="2"/>
      <c r="O570" s="2"/>
      <c r="P570" s="2"/>
      <c r="Q570" s="2"/>
      <c r="R570" s="2"/>
      <c r="S570" s="2"/>
      <c r="T570" s="2"/>
      <c r="U570" s="2"/>
      <c r="V570" s="2"/>
      <c r="W570" s="2"/>
    </row>
    <row r="571">
      <c r="A571" s="2"/>
      <c r="B571" s="2"/>
      <c r="C571" s="2"/>
      <c r="D571" s="2"/>
      <c r="E571" s="2"/>
      <c r="F571" s="2"/>
      <c r="G571" s="2"/>
      <c r="H571" s="2"/>
      <c r="I571" s="2"/>
      <c r="J571" s="2"/>
      <c r="K571" s="2"/>
      <c r="L571" s="2"/>
      <c r="M571" s="2"/>
      <c r="N571" s="2"/>
      <c r="O571" s="2"/>
      <c r="P571" s="2"/>
      <c r="Q571" s="2"/>
      <c r="R571" s="2"/>
      <c r="S571" s="2"/>
      <c r="T571" s="2"/>
      <c r="U571" s="2"/>
      <c r="V571" s="2"/>
      <c r="W571" s="2"/>
    </row>
    <row r="572">
      <c r="A572" s="2"/>
      <c r="B572" s="2"/>
      <c r="C572" s="2"/>
      <c r="D572" s="2"/>
      <c r="E572" s="2"/>
      <c r="F572" s="2"/>
      <c r="G572" s="2"/>
      <c r="H572" s="2"/>
      <c r="I572" s="2"/>
      <c r="J572" s="2"/>
      <c r="K572" s="2"/>
      <c r="L572" s="2"/>
      <c r="M572" s="2"/>
      <c r="N572" s="2"/>
      <c r="O572" s="2"/>
      <c r="P572" s="2"/>
      <c r="Q572" s="2"/>
      <c r="R572" s="2"/>
      <c r="S572" s="2"/>
      <c r="T572" s="2"/>
      <c r="U572" s="2"/>
      <c r="V572" s="2"/>
      <c r="W572" s="2"/>
    </row>
    <row r="573">
      <c r="A573" s="2"/>
      <c r="B573" s="2"/>
      <c r="C573" s="2"/>
      <c r="D573" s="2"/>
      <c r="E573" s="2"/>
      <c r="F573" s="2"/>
      <c r="G573" s="2"/>
      <c r="H573" s="2"/>
      <c r="I573" s="2"/>
      <c r="J573" s="2"/>
      <c r="K573" s="2"/>
      <c r="L573" s="2"/>
      <c r="M573" s="2"/>
      <c r="N573" s="2"/>
      <c r="O573" s="2"/>
      <c r="P573" s="2"/>
      <c r="Q573" s="2"/>
      <c r="R573" s="2"/>
      <c r="S573" s="2"/>
      <c r="T573" s="2"/>
      <c r="U573" s="2"/>
      <c r="V573" s="2"/>
      <c r="W573" s="2"/>
    </row>
    <row r="574">
      <c r="A574" s="2"/>
      <c r="B574" s="2"/>
      <c r="C574" s="2"/>
      <c r="D574" s="2"/>
      <c r="E574" s="2"/>
      <c r="F574" s="2"/>
      <c r="G574" s="2"/>
      <c r="H574" s="2"/>
      <c r="I574" s="2"/>
      <c r="J574" s="2"/>
      <c r="K574" s="2"/>
      <c r="L574" s="2"/>
      <c r="M574" s="2"/>
      <c r="N574" s="2"/>
      <c r="O574" s="2"/>
      <c r="P574" s="2"/>
      <c r="Q574" s="2"/>
      <c r="R574" s="2"/>
      <c r="S574" s="2"/>
      <c r="T574" s="2"/>
      <c r="U574" s="2"/>
      <c r="V574" s="2"/>
      <c r="W574" s="2"/>
    </row>
    <row r="575">
      <c r="A575" s="2"/>
      <c r="B575" s="2"/>
      <c r="C575" s="2"/>
      <c r="D575" s="2"/>
      <c r="E575" s="2"/>
      <c r="F575" s="2"/>
      <c r="G575" s="2"/>
      <c r="H575" s="2"/>
      <c r="I575" s="2"/>
      <c r="J575" s="2"/>
      <c r="K575" s="2"/>
      <c r="L575" s="2"/>
      <c r="M575" s="2"/>
      <c r="N575" s="2"/>
      <c r="O575" s="2"/>
      <c r="P575" s="2"/>
      <c r="Q575" s="2"/>
      <c r="R575" s="2"/>
      <c r="S575" s="2"/>
      <c r="T575" s="2"/>
      <c r="U575" s="2"/>
      <c r="V575" s="2"/>
      <c r="W575" s="2"/>
    </row>
    <row r="576">
      <c r="A576" s="2"/>
      <c r="B576" s="2"/>
      <c r="C576" s="2"/>
      <c r="D576" s="2"/>
      <c r="E576" s="2"/>
      <c r="F576" s="2"/>
      <c r="G576" s="2"/>
      <c r="H576" s="2"/>
      <c r="I576" s="2"/>
      <c r="J576" s="2"/>
      <c r="K576" s="2"/>
      <c r="L576" s="2"/>
      <c r="M576" s="2"/>
      <c r="N576" s="2"/>
      <c r="O576" s="2"/>
      <c r="P576" s="2"/>
      <c r="Q576" s="2"/>
      <c r="R576" s="2"/>
      <c r="S576" s="2"/>
      <c r="T576" s="2"/>
      <c r="U576" s="2"/>
      <c r="V576" s="2"/>
      <c r="W576" s="2"/>
    </row>
    <row r="577">
      <c r="A577" s="2"/>
      <c r="B577" s="2"/>
      <c r="C577" s="2"/>
      <c r="D577" s="2"/>
      <c r="E577" s="2"/>
      <c r="F577" s="2"/>
      <c r="G577" s="2"/>
      <c r="H577" s="2"/>
      <c r="I577" s="2"/>
      <c r="J577" s="2"/>
      <c r="K577" s="2"/>
      <c r="L577" s="2"/>
      <c r="M577" s="2"/>
      <c r="N577" s="2"/>
      <c r="O577" s="2"/>
      <c r="P577" s="2"/>
      <c r="Q577" s="2"/>
      <c r="R577" s="2"/>
      <c r="S577" s="2"/>
      <c r="T577" s="2"/>
      <c r="U577" s="2"/>
      <c r="V577" s="2"/>
      <c r="W577" s="2"/>
    </row>
    <row r="578">
      <c r="A578" s="2"/>
      <c r="B578" s="2"/>
      <c r="C578" s="2"/>
      <c r="D578" s="2"/>
      <c r="E578" s="2"/>
      <c r="F578" s="2"/>
      <c r="G578" s="2"/>
      <c r="H578" s="2"/>
      <c r="I578" s="2"/>
      <c r="J578" s="2"/>
      <c r="K578" s="2"/>
      <c r="L578" s="2"/>
      <c r="M578" s="2"/>
      <c r="N578" s="2"/>
      <c r="O578" s="2"/>
      <c r="P578" s="2"/>
      <c r="Q578" s="2"/>
      <c r="R578" s="2"/>
      <c r="S578" s="2"/>
      <c r="T578" s="2"/>
      <c r="U578" s="2"/>
      <c r="V578" s="2"/>
      <c r="W578" s="2"/>
    </row>
    <row r="579">
      <c r="A579" s="2"/>
      <c r="B579" s="2"/>
      <c r="C579" s="2"/>
      <c r="D579" s="2"/>
      <c r="E579" s="2"/>
      <c r="F579" s="2"/>
      <c r="G579" s="2"/>
      <c r="H579" s="2"/>
      <c r="I579" s="2"/>
      <c r="J579" s="2"/>
      <c r="K579" s="2"/>
      <c r="L579" s="2"/>
      <c r="M579" s="2"/>
      <c r="N579" s="2"/>
      <c r="O579" s="2"/>
      <c r="P579" s="2"/>
      <c r="Q579" s="2"/>
      <c r="R579" s="2"/>
      <c r="S579" s="2"/>
      <c r="T579" s="2"/>
      <c r="U579" s="2"/>
      <c r="V579" s="2"/>
      <c r="W579" s="2"/>
    </row>
    <row r="580">
      <c r="A580" s="2"/>
      <c r="B580" s="2"/>
      <c r="C580" s="2"/>
      <c r="D580" s="2"/>
      <c r="E580" s="2"/>
      <c r="F580" s="2"/>
      <c r="G580" s="2"/>
      <c r="H580" s="2"/>
      <c r="I580" s="2"/>
      <c r="J580" s="2"/>
      <c r="K580" s="2"/>
      <c r="L580" s="2"/>
      <c r="M580" s="2"/>
      <c r="N580" s="2"/>
      <c r="O580" s="2"/>
      <c r="P580" s="2"/>
      <c r="Q580" s="2"/>
      <c r="R580" s="2"/>
      <c r="S580" s="2"/>
      <c r="T580" s="2"/>
      <c r="U580" s="2"/>
      <c r="V580" s="2"/>
      <c r="W580" s="2"/>
    </row>
    <row r="581">
      <c r="A581" s="2"/>
      <c r="B581" s="2"/>
      <c r="C581" s="2"/>
      <c r="D581" s="2"/>
      <c r="E581" s="2"/>
      <c r="F581" s="2"/>
      <c r="G581" s="2"/>
      <c r="H581" s="2"/>
      <c r="I581" s="2"/>
      <c r="J581" s="2"/>
      <c r="K581" s="2"/>
      <c r="L581" s="2"/>
      <c r="M581" s="2"/>
      <c r="N581" s="2"/>
      <c r="O581" s="2"/>
      <c r="P581" s="2"/>
      <c r="Q581" s="2"/>
      <c r="R581" s="2"/>
      <c r="S581" s="2"/>
      <c r="T581" s="2"/>
      <c r="U581" s="2"/>
      <c r="V581" s="2"/>
      <c r="W581" s="2"/>
    </row>
    <row r="582">
      <c r="A582" s="2"/>
      <c r="B582" s="2"/>
      <c r="C582" s="2"/>
      <c r="D582" s="2"/>
      <c r="E582" s="2"/>
      <c r="F582" s="2"/>
      <c r="G582" s="2"/>
      <c r="H582" s="2"/>
      <c r="I582" s="2"/>
      <c r="J582" s="2"/>
      <c r="K582" s="2"/>
      <c r="L582" s="2"/>
      <c r="M582" s="2"/>
      <c r="N582" s="2"/>
      <c r="O582" s="2"/>
      <c r="P582" s="2"/>
      <c r="Q582" s="2"/>
      <c r="R582" s="2"/>
      <c r="S582" s="2"/>
      <c r="T582" s="2"/>
      <c r="U582" s="2"/>
      <c r="V582" s="2"/>
      <c r="W582" s="2"/>
    </row>
    <row r="583">
      <c r="A583" s="2"/>
      <c r="B583" s="2"/>
      <c r="C583" s="2"/>
      <c r="D583" s="2"/>
      <c r="E583" s="2"/>
      <c r="F583" s="2"/>
      <c r="G583" s="2"/>
      <c r="H583" s="2"/>
      <c r="I583" s="2"/>
      <c r="J583" s="2"/>
      <c r="K583" s="2"/>
      <c r="L583" s="2"/>
      <c r="M583" s="2"/>
      <c r="N583" s="2"/>
      <c r="O583" s="2"/>
      <c r="P583" s="2"/>
      <c r="Q583" s="2"/>
      <c r="R583" s="2"/>
      <c r="S583" s="2"/>
      <c r="T583" s="2"/>
      <c r="U583" s="2"/>
      <c r="V583" s="2"/>
      <c r="W583" s="2"/>
    </row>
    <row r="584">
      <c r="A584" s="2"/>
      <c r="B584" s="2"/>
      <c r="C584" s="2"/>
      <c r="D584" s="2"/>
      <c r="E584" s="2"/>
      <c r="F584" s="2"/>
      <c r="G584" s="2"/>
      <c r="H584" s="2"/>
      <c r="I584" s="2"/>
      <c r="J584" s="2"/>
      <c r="K584" s="2"/>
      <c r="L584" s="2"/>
      <c r="M584" s="2"/>
      <c r="N584" s="2"/>
      <c r="O584" s="2"/>
      <c r="P584" s="2"/>
      <c r="Q584" s="2"/>
      <c r="R584" s="2"/>
      <c r="S584" s="2"/>
      <c r="T584" s="2"/>
      <c r="U584" s="2"/>
      <c r="V584" s="2"/>
      <c r="W584" s="2"/>
    </row>
    <row r="585">
      <c r="A585" s="2"/>
      <c r="B585" s="2"/>
      <c r="C585" s="2"/>
      <c r="D585" s="2"/>
      <c r="E585" s="2"/>
      <c r="F585" s="2"/>
      <c r="G585" s="2"/>
      <c r="H585" s="2"/>
      <c r="I585" s="2"/>
      <c r="J585" s="2"/>
      <c r="K585" s="2"/>
      <c r="L585" s="2"/>
      <c r="M585" s="2"/>
      <c r="N585" s="2"/>
      <c r="O585" s="2"/>
      <c r="P585" s="2"/>
      <c r="Q585" s="2"/>
      <c r="R585" s="2"/>
      <c r="S585" s="2"/>
      <c r="T585" s="2"/>
      <c r="U585" s="2"/>
      <c r="V585" s="2"/>
      <c r="W585" s="2"/>
    </row>
    <row r="586">
      <c r="A586" s="2"/>
      <c r="B586" s="2"/>
      <c r="C586" s="2"/>
      <c r="D586" s="2"/>
      <c r="E586" s="2"/>
      <c r="F586" s="2"/>
      <c r="G586" s="2"/>
      <c r="H586" s="2"/>
      <c r="I586" s="2"/>
      <c r="J586" s="2"/>
      <c r="K586" s="2"/>
      <c r="L586" s="2"/>
      <c r="M586" s="2"/>
      <c r="N586" s="2"/>
      <c r="O586" s="2"/>
      <c r="P586" s="2"/>
      <c r="Q586" s="2"/>
      <c r="R586" s="2"/>
      <c r="S586" s="2"/>
      <c r="T586" s="2"/>
      <c r="U586" s="2"/>
      <c r="V586" s="2"/>
      <c r="W586" s="2"/>
    </row>
    <row r="587">
      <c r="A587" s="2"/>
      <c r="B587" s="2"/>
      <c r="C587" s="2"/>
      <c r="D587" s="2"/>
      <c r="E587" s="2"/>
      <c r="F587" s="2"/>
      <c r="G587" s="2"/>
      <c r="H587" s="2"/>
      <c r="I587" s="2"/>
      <c r="J587" s="2"/>
      <c r="K587" s="2"/>
      <c r="L587" s="2"/>
      <c r="M587" s="2"/>
      <c r="N587" s="2"/>
      <c r="O587" s="2"/>
      <c r="P587" s="2"/>
      <c r="Q587" s="2"/>
      <c r="R587" s="2"/>
      <c r="S587" s="2"/>
      <c r="T587" s="2"/>
      <c r="U587" s="2"/>
      <c r="V587" s="2"/>
      <c r="W587" s="2"/>
    </row>
    <row r="588">
      <c r="A588" s="2"/>
      <c r="B588" s="2"/>
      <c r="C588" s="2"/>
      <c r="D588" s="2"/>
      <c r="E588" s="2"/>
      <c r="F588" s="2"/>
      <c r="G588" s="2"/>
      <c r="H588" s="2"/>
      <c r="I588" s="2"/>
      <c r="J588" s="2"/>
      <c r="K588" s="2"/>
      <c r="L588" s="2"/>
      <c r="M588" s="2"/>
      <c r="N588" s="2"/>
      <c r="O588" s="2"/>
      <c r="P588" s="2"/>
      <c r="Q588" s="2"/>
      <c r="R588" s="2"/>
      <c r="S588" s="2"/>
      <c r="T588" s="2"/>
      <c r="U588" s="2"/>
      <c r="V588" s="2"/>
      <c r="W588" s="2"/>
    </row>
    <row r="589">
      <c r="A589" s="2"/>
      <c r="B589" s="2"/>
      <c r="C589" s="2"/>
      <c r="D589" s="2"/>
      <c r="E589" s="2"/>
      <c r="F589" s="2"/>
      <c r="G589" s="2"/>
      <c r="H589" s="2"/>
      <c r="I589" s="2"/>
      <c r="J589" s="2"/>
      <c r="K589" s="2"/>
      <c r="L589" s="2"/>
      <c r="M589" s="2"/>
      <c r="N589" s="2"/>
      <c r="O589" s="2"/>
      <c r="P589" s="2"/>
      <c r="Q589" s="2"/>
      <c r="R589" s="2"/>
      <c r="S589" s="2"/>
      <c r="T589" s="2"/>
      <c r="U589" s="2"/>
      <c r="V589" s="2"/>
      <c r="W589" s="2"/>
    </row>
    <row r="590">
      <c r="A590" s="2"/>
      <c r="B590" s="2"/>
      <c r="C590" s="2"/>
      <c r="D590" s="2"/>
      <c r="E590" s="2"/>
      <c r="F590" s="2"/>
      <c r="G590" s="2"/>
      <c r="H590" s="2"/>
      <c r="I590" s="2"/>
      <c r="J590" s="2"/>
      <c r="K590" s="2"/>
      <c r="L590" s="2"/>
      <c r="M590" s="2"/>
      <c r="N590" s="2"/>
      <c r="O590" s="2"/>
      <c r="P590" s="2"/>
      <c r="Q590" s="2"/>
      <c r="R590" s="2"/>
      <c r="S590" s="2"/>
      <c r="T590" s="2"/>
      <c r="U590" s="2"/>
      <c r="V590" s="2"/>
      <c r="W590" s="2"/>
    </row>
    <row r="591">
      <c r="A591" s="2"/>
      <c r="B591" s="2"/>
      <c r="C591" s="2"/>
      <c r="D591" s="2"/>
      <c r="E591" s="2"/>
      <c r="F591" s="2"/>
      <c r="G591" s="2"/>
      <c r="H591" s="2"/>
      <c r="I591" s="2"/>
      <c r="J591" s="2"/>
      <c r="K591" s="2"/>
      <c r="L591" s="2"/>
      <c r="M591" s="2"/>
      <c r="N591" s="2"/>
      <c r="O591" s="2"/>
      <c r="P591" s="2"/>
      <c r="Q591" s="2"/>
      <c r="R591" s="2"/>
      <c r="S591" s="2"/>
      <c r="T591" s="2"/>
      <c r="U591" s="2"/>
      <c r="V591" s="2"/>
      <c r="W591" s="2"/>
    </row>
    <row r="592">
      <c r="A592" s="2"/>
      <c r="B592" s="2"/>
      <c r="C592" s="2"/>
      <c r="D592" s="2"/>
      <c r="E592" s="2"/>
      <c r="F592" s="2"/>
      <c r="G592" s="2"/>
      <c r="H592" s="2"/>
      <c r="I592" s="2"/>
      <c r="J592" s="2"/>
      <c r="K592" s="2"/>
      <c r="L592" s="2"/>
      <c r="M592" s="2"/>
      <c r="N592" s="2"/>
      <c r="O592" s="2"/>
      <c r="P592" s="2"/>
      <c r="Q592" s="2"/>
      <c r="R592" s="2"/>
      <c r="S592" s="2"/>
      <c r="T592" s="2"/>
      <c r="U592" s="2"/>
      <c r="V592" s="2"/>
      <c r="W592" s="2"/>
    </row>
    <row r="593">
      <c r="A593" s="2"/>
      <c r="B593" s="2"/>
      <c r="C593" s="2"/>
      <c r="D593" s="2"/>
      <c r="E593" s="2"/>
      <c r="F593" s="2"/>
      <c r="G593" s="2"/>
      <c r="H593" s="2"/>
      <c r="I593" s="2"/>
      <c r="J593" s="2"/>
      <c r="K593" s="2"/>
      <c r="L593" s="2"/>
      <c r="M593" s="2"/>
      <c r="N593" s="2"/>
      <c r="O593" s="2"/>
      <c r="P593" s="2"/>
      <c r="Q593" s="2"/>
      <c r="R593" s="2"/>
      <c r="S593" s="2"/>
      <c r="T593" s="2"/>
      <c r="U593" s="2"/>
      <c r="V593" s="2"/>
      <c r="W593" s="2"/>
    </row>
    <row r="594">
      <c r="A594" s="2"/>
      <c r="B594" s="2"/>
      <c r="C594" s="2"/>
      <c r="D594" s="2"/>
      <c r="E594" s="2"/>
      <c r="F594" s="2"/>
      <c r="G594" s="2"/>
      <c r="H594" s="2"/>
      <c r="I594" s="2"/>
      <c r="J594" s="2"/>
      <c r="K594" s="2"/>
      <c r="L594" s="2"/>
      <c r="M594" s="2"/>
      <c r="N594" s="2"/>
      <c r="O594" s="2"/>
      <c r="P594" s="2"/>
      <c r="Q594" s="2"/>
      <c r="R594" s="2"/>
      <c r="S594" s="2"/>
      <c r="T594" s="2"/>
      <c r="U594" s="2"/>
      <c r="V594" s="2"/>
      <c r="W594" s="2"/>
    </row>
    <row r="595">
      <c r="A595" s="2"/>
      <c r="B595" s="2"/>
      <c r="C595" s="2"/>
      <c r="D595" s="2"/>
      <c r="E595" s="2"/>
      <c r="F595" s="2"/>
      <c r="G595" s="2"/>
      <c r="H595" s="2"/>
      <c r="I595" s="2"/>
      <c r="J595" s="2"/>
      <c r="K595" s="2"/>
      <c r="L595" s="2"/>
      <c r="M595" s="2"/>
      <c r="N595" s="2"/>
      <c r="O595" s="2"/>
      <c r="P595" s="2"/>
      <c r="Q595" s="2"/>
      <c r="R595" s="2"/>
      <c r="S595" s="2"/>
      <c r="T595" s="2"/>
      <c r="U595" s="2"/>
      <c r="V595" s="2"/>
      <c r="W595" s="2"/>
    </row>
    <row r="596">
      <c r="A596" s="2"/>
      <c r="B596" s="2"/>
      <c r="C596" s="2"/>
      <c r="D596" s="2"/>
      <c r="E596" s="2"/>
      <c r="F596" s="2"/>
      <c r="G596" s="2"/>
      <c r="H596" s="2"/>
      <c r="I596" s="2"/>
      <c r="J596" s="2"/>
      <c r="K596" s="2"/>
      <c r="L596" s="2"/>
      <c r="M596" s="2"/>
      <c r="N596" s="2"/>
      <c r="O596" s="2"/>
      <c r="P596" s="2"/>
      <c r="Q596" s="2"/>
      <c r="R596" s="2"/>
      <c r="S596" s="2"/>
      <c r="T596" s="2"/>
      <c r="U596" s="2"/>
      <c r="V596" s="2"/>
      <c r="W596" s="2"/>
    </row>
    <row r="597">
      <c r="A597" s="2"/>
      <c r="B597" s="2"/>
      <c r="C597" s="2"/>
      <c r="D597" s="2"/>
      <c r="E597" s="2"/>
      <c r="F597" s="2"/>
      <c r="G597" s="2"/>
      <c r="H597" s="2"/>
      <c r="I597" s="2"/>
      <c r="J597" s="2"/>
      <c r="K597" s="2"/>
      <c r="L597" s="2"/>
      <c r="M597" s="2"/>
      <c r="N597" s="2"/>
      <c r="O597" s="2"/>
      <c r="P597" s="2"/>
      <c r="Q597" s="2"/>
      <c r="R597" s="2"/>
      <c r="S597" s="2"/>
      <c r="T597" s="2"/>
      <c r="U597" s="2"/>
      <c r="V597" s="2"/>
      <c r="W597" s="2"/>
    </row>
    <row r="598">
      <c r="A598" s="2"/>
      <c r="B598" s="2"/>
      <c r="C598" s="2"/>
      <c r="D598" s="2"/>
      <c r="E598" s="2"/>
      <c r="F598" s="2"/>
      <c r="G598" s="2"/>
      <c r="H598" s="2"/>
      <c r="I598" s="2"/>
      <c r="J598" s="2"/>
      <c r="K598" s="2"/>
      <c r="L598" s="2"/>
      <c r="M598" s="2"/>
      <c r="N598" s="2"/>
      <c r="O598" s="2"/>
      <c r="P598" s="2"/>
      <c r="Q598" s="2"/>
      <c r="R598" s="2"/>
      <c r="S598" s="2"/>
      <c r="T598" s="2"/>
      <c r="U598" s="2"/>
      <c r="V598" s="2"/>
      <c r="W598" s="2"/>
    </row>
    <row r="599">
      <c r="A599" s="2"/>
      <c r="B599" s="2"/>
      <c r="C599" s="2"/>
      <c r="D599" s="2"/>
      <c r="E599" s="2"/>
      <c r="F599" s="2"/>
      <c r="G599" s="2"/>
      <c r="H599" s="2"/>
      <c r="I599" s="2"/>
      <c r="J599" s="2"/>
      <c r="K599" s="2"/>
      <c r="L599" s="2"/>
      <c r="M599" s="2"/>
      <c r="N599" s="2"/>
      <c r="O599" s="2"/>
      <c r="P599" s="2"/>
      <c r="Q599" s="2"/>
      <c r="R599" s="2"/>
      <c r="S599" s="2"/>
      <c r="T599" s="2"/>
      <c r="U599" s="2"/>
      <c r="V599" s="2"/>
      <c r="W599" s="2"/>
    </row>
    <row r="600">
      <c r="A600" s="2"/>
      <c r="B600" s="2"/>
      <c r="C600" s="2"/>
      <c r="D600" s="2"/>
      <c r="E600" s="2"/>
      <c r="F600" s="2"/>
      <c r="G600" s="2"/>
      <c r="H600" s="2"/>
      <c r="I600" s="2"/>
      <c r="J600" s="2"/>
      <c r="K600" s="2"/>
      <c r="L600" s="2"/>
      <c r="M600" s="2"/>
      <c r="N600" s="2"/>
      <c r="O600" s="2"/>
      <c r="P600" s="2"/>
      <c r="Q600" s="2"/>
      <c r="R600" s="2"/>
      <c r="S600" s="2"/>
      <c r="T600" s="2"/>
      <c r="U600" s="2"/>
      <c r="V600" s="2"/>
      <c r="W600" s="2"/>
    </row>
    <row r="601">
      <c r="A601" s="2"/>
      <c r="B601" s="2"/>
      <c r="C601" s="2"/>
      <c r="D601" s="2"/>
      <c r="E601" s="2"/>
      <c r="F601" s="2"/>
      <c r="G601" s="2"/>
      <c r="H601" s="2"/>
      <c r="I601" s="2"/>
      <c r="J601" s="2"/>
      <c r="K601" s="2"/>
      <c r="L601" s="2"/>
      <c r="M601" s="2"/>
      <c r="N601" s="2"/>
      <c r="O601" s="2"/>
      <c r="P601" s="2"/>
      <c r="Q601" s="2"/>
      <c r="R601" s="2"/>
      <c r="S601" s="2"/>
      <c r="T601" s="2"/>
      <c r="U601" s="2"/>
      <c r="V601" s="2"/>
      <c r="W601" s="2"/>
    </row>
    <row r="602">
      <c r="A602" s="2"/>
      <c r="B602" s="2"/>
      <c r="C602" s="2"/>
      <c r="D602" s="2"/>
      <c r="E602" s="2"/>
      <c r="F602" s="2"/>
      <c r="G602" s="2"/>
      <c r="H602" s="2"/>
      <c r="I602" s="2"/>
      <c r="J602" s="2"/>
      <c r="K602" s="2"/>
      <c r="L602" s="2"/>
      <c r="M602" s="2"/>
      <c r="N602" s="2"/>
      <c r="O602" s="2"/>
      <c r="P602" s="2"/>
      <c r="Q602" s="2"/>
      <c r="R602" s="2"/>
      <c r="S602" s="2"/>
      <c r="T602" s="2"/>
      <c r="U602" s="2"/>
      <c r="V602" s="2"/>
      <c r="W602" s="2"/>
    </row>
    <row r="603">
      <c r="A603" s="2"/>
      <c r="B603" s="2"/>
      <c r="C603" s="2"/>
      <c r="D603" s="2"/>
      <c r="E603" s="2"/>
      <c r="F603" s="2"/>
      <c r="G603" s="2"/>
      <c r="H603" s="2"/>
      <c r="I603" s="2"/>
      <c r="J603" s="2"/>
      <c r="K603" s="2"/>
      <c r="L603" s="2"/>
      <c r="M603" s="2"/>
      <c r="N603" s="2"/>
      <c r="O603" s="2"/>
      <c r="P603" s="2"/>
      <c r="Q603" s="2"/>
      <c r="R603" s="2"/>
      <c r="S603" s="2"/>
      <c r="T603" s="2"/>
      <c r="U603" s="2"/>
      <c r="V603" s="2"/>
      <c r="W603" s="2"/>
    </row>
    <row r="604">
      <c r="A604" s="2"/>
      <c r="B604" s="2"/>
      <c r="C604" s="2"/>
      <c r="D604" s="2"/>
      <c r="E604" s="2"/>
      <c r="F604" s="2"/>
      <c r="G604" s="2"/>
      <c r="H604" s="2"/>
      <c r="I604" s="2"/>
      <c r="J604" s="2"/>
      <c r="K604" s="2"/>
      <c r="L604" s="2"/>
      <c r="M604" s="2"/>
      <c r="N604" s="2"/>
      <c r="O604" s="2"/>
      <c r="P604" s="2"/>
      <c r="Q604" s="2"/>
      <c r="R604" s="2"/>
      <c r="S604" s="2"/>
      <c r="T604" s="2"/>
      <c r="U604" s="2"/>
      <c r="V604" s="2"/>
      <c r="W604" s="2"/>
    </row>
    <row r="605">
      <c r="A605" s="2"/>
      <c r="B605" s="2"/>
      <c r="C605" s="2"/>
      <c r="D605" s="2"/>
      <c r="E605" s="2"/>
      <c r="F605" s="2"/>
      <c r="G605" s="2"/>
      <c r="H605" s="2"/>
      <c r="I605" s="2"/>
      <c r="J605" s="2"/>
      <c r="K605" s="2"/>
      <c r="L605" s="2"/>
      <c r="M605" s="2"/>
      <c r="N605" s="2"/>
      <c r="O605" s="2"/>
      <c r="P605" s="2"/>
      <c r="Q605" s="2"/>
      <c r="R605" s="2"/>
      <c r="S605" s="2"/>
      <c r="T605" s="2"/>
      <c r="U605" s="2"/>
      <c r="V605" s="2"/>
      <c r="W605" s="2"/>
    </row>
    <row r="606">
      <c r="A606" s="2"/>
      <c r="B606" s="2"/>
      <c r="C606" s="2"/>
      <c r="D606" s="2"/>
      <c r="E606" s="2"/>
      <c r="F606" s="2"/>
      <c r="G606" s="2"/>
      <c r="H606" s="2"/>
      <c r="I606" s="2"/>
      <c r="J606" s="2"/>
      <c r="K606" s="2"/>
      <c r="L606" s="2"/>
      <c r="M606" s="2"/>
      <c r="N606" s="2"/>
      <c r="O606" s="2"/>
      <c r="P606" s="2"/>
      <c r="Q606" s="2"/>
      <c r="R606" s="2"/>
      <c r="S606" s="2"/>
      <c r="T606" s="2"/>
      <c r="U606" s="2"/>
      <c r="V606" s="2"/>
      <c r="W606" s="2"/>
    </row>
    <row r="607">
      <c r="A607" s="2"/>
      <c r="B607" s="2"/>
      <c r="C607" s="2"/>
      <c r="D607" s="2"/>
      <c r="E607" s="2"/>
      <c r="F607" s="2"/>
      <c r="G607" s="2"/>
      <c r="H607" s="2"/>
      <c r="I607" s="2"/>
      <c r="J607" s="2"/>
      <c r="K607" s="2"/>
      <c r="L607" s="2"/>
      <c r="M607" s="2"/>
      <c r="N607" s="2"/>
      <c r="O607" s="2"/>
      <c r="P607" s="2"/>
      <c r="Q607" s="2"/>
      <c r="R607" s="2"/>
      <c r="S607" s="2"/>
      <c r="T607" s="2"/>
      <c r="U607" s="2"/>
      <c r="V607" s="2"/>
      <c r="W607" s="2"/>
    </row>
    <row r="608">
      <c r="A608" s="2"/>
      <c r="B608" s="2"/>
      <c r="C608" s="2"/>
      <c r="D608" s="2"/>
      <c r="E608" s="2"/>
      <c r="F608" s="2"/>
      <c r="G608" s="2"/>
      <c r="H608" s="2"/>
      <c r="I608" s="2"/>
      <c r="J608" s="2"/>
      <c r="K608" s="2"/>
      <c r="L608" s="2"/>
      <c r="M608" s="2"/>
      <c r="N608" s="2"/>
      <c r="O608" s="2"/>
      <c r="P608" s="2"/>
      <c r="Q608" s="2"/>
      <c r="R608" s="2"/>
      <c r="S608" s="2"/>
      <c r="T608" s="2"/>
      <c r="U608" s="2"/>
      <c r="V608" s="2"/>
      <c r="W608" s="2"/>
    </row>
    <row r="609">
      <c r="A609" s="2"/>
      <c r="B609" s="2"/>
      <c r="C609" s="2"/>
      <c r="D609" s="2"/>
      <c r="E609" s="2"/>
      <c r="F609" s="2"/>
      <c r="G609" s="2"/>
      <c r="H609" s="2"/>
      <c r="I609" s="2"/>
      <c r="J609" s="2"/>
      <c r="K609" s="2"/>
      <c r="L609" s="2"/>
      <c r="M609" s="2"/>
      <c r="N609" s="2"/>
      <c r="O609" s="2"/>
      <c r="P609" s="2"/>
      <c r="Q609" s="2"/>
      <c r="R609" s="2"/>
      <c r="S609" s="2"/>
      <c r="T609" s="2"/>
      <c r="U609" s="2"/>
      <c r="V609" s="2"/>
      <c r="W609" s="2"/>
    </row>
    <row r="610">
      <c r="A610" s="2"/>
      <c r="B610" s="2"/>
      <c r="C610" s="2"/>
      <c r="D610" s="2"/>
      <c r="E610" s="2"/>
      <c r="F610" s="2"/>
      <c r="G610" s="2"/>
      <c r="H610" s="2"/>
      <c r="I610" s="2"/>
      <c r="J610" s="2"/>
      <c r="K610" s="2"/>
      <c r="L610" s="2"/>
      <c r="M610" s="2"/>
      <c r="N610" s="2"/>
      <c r="O610" s="2"/>
      <c r="P610" s="2"/>
      <c r="Q610" s="2"/>
      <c r="R610" s="2"/>
      <c r="S610" s="2"/>
      <c r="T610" s="2"/>
      <c r="U610" s="2"/>
      <c r="V610" s="2"/>
      <c r="W610" s="2"/>
    </row>
    <row r="611">
      <c r="A611" s="2"/>
      <c r="B611" s="2"/>
      <c r="C611" s="2"/>
      <c r="D611" s="2"/>
      <c r="E611" s="2"/>
      <c r="F611" s="2"/>
      <c r="G611" s="2"/>
      <c r="H611" s="2"/>
      <c r="I611" s="2"/>
      <c r="J611" s="2"/>
      <c r="K611" s="2"/>
      <c r="L611" s="2"/>
      <c r="M611" s="2"/>
      <c r="N611" s="2"/>
      <c r="O611" s="2"/>
      <c r="P611" s="2"/>
      <c r="Q611" s="2"/>
      <c r="R611" s="2"/>
      <c r="S611" s="2"/>
      <c r="T611" s="2"/>
      <c r="U611" s="2"/>
      <c r="V611" s="2"/>
      <c r="W611" s="2"/>
    </row>
    <row r="612">
      <c r="A612" s="2"/>
      <c r="B612" s="2"/>
      <c r="C612" s="2"/>
      <c r="D612" s="2"/>
      <c r="E612" s="2"/>
      <c r="F612" s="2"/>
      <c r="G612" s="2"/>
      <c r="H612" s="2"/>
      <c r="I612" s="2"/>
      <c r="J612" s="2"/>
      <c r="K612" s="2"/>
      <c r="L612" s="2"/>
      <c r="M612" s="2"/>
      <c r="N612" s="2"/>
      <c r="O612" s="2"/>
      <c r="P612" s="2"/>
      <c r="Q612" s="2"/>
      <c r="R612" s="2"/>
      <c r="S612" s="2"/>
      <c r="T612" s="2"/>
      <c r="U612" s="2"/>
      <c r="V612" s="2"/>
      <c r="W612" s="2"/>
    </row>
    <row r="613">
      <c r="A613" s="2"/>
      <c r="B613" s="2"/>
      <c r="C613" s="2"/>
      <c r="D613" s="2"/>
      <c r="E613" s="2"/>
      <c r="F613" s="2"/>
      <c r="G613" s="2"/>
      <c r="H613" s="2"/>
      <c r="I613" s="2"/>
      <c r="J613" s="2"/>
      <c r="K613" s="2"/>
      <c r="L613" s="2"/>
      <c r="M613" s="2"/>
      <c r="N613" s="2"/>
      <c r="O613" s="2"/>
      <c r="P613" s="2"/>
      <c r="Q613" s="2"/>
      <c r="R613" s="2"/>
      <c r="S613" s="2"/>
      <c r="T613" s="2"/>
      <c r="U613" s="2"/>
      <c r="V613" s="2"/>
      <c r="W613" s="2"/>
    </row>
    <row r="614">
      <c r="A614" s="2"/>
      <c r="B614" s="2"/>
      <c r="C614" s="2"/>
      <c r="D614" s="2"/>
      <c r="E614" s="2"/>
      <c r="F614" s="2"/>
      <c r="G614" s="2"/>
      <c r="H614" s="2"/>
      <c r="I614" s="2"/>
      <c r="J614" s="2"/>
      <c r="K614" s="2"/>
      <c r="L614" s="2"/>
      <c r="M614" s="2"/>
      <c r="N614" s="2"/>
      <c r="O614" s="2"/>
      <c r="P614" s="2"/>
      <c r="Q614" s="2"/>
      <c r="R614" s="2"/>
      <c r="S614" s="2"/>
      <c r="T614" s="2"/>
      <c r="U614" s="2"/>
      <c r="V614" s="2"/>
      <c r="W614" s="2"/>
    </row>
    <row r="615">
      <c r="A615" s="2"/>
      <c r="B615" s="2"/>
      <c r="C615" s="2"/>
      <c r="D615" s="2"/>
      <c r="E615" s="2"/>
      <c r="F615" s="2"/>
      <c r="G615" s="2"/>
      <c r="H615" s="2"/>
      <c r="I615" s="2"/>
      <c r="J615" s="2"/>
      <c r="K615" s="2"/>
      <c r="L615" s="2"/>
      <c r="M615" s="2"/>
      <c r="N615" s="2"/>
      <c r="O615" s="2"/>
      <c r="P615" s="2"/>
      <c r="Q615" s="2"/>
      <c r="R615" s="2"/>
      <c r="S615" s="2"/>
      <c r="T615" s="2"/>
      <c r="U615" s="2"/>
      <c r="V615" s="2"/>
      <c r="W615" s="2"/>
    </row>
    <row r="616">
      <c r="A616" s="2"/>
      <c r="B616" s="2"/>
      <c r="C616" s="2"/>
      <c r="D616" s="2"/>
      <c r="E616" s="2"/>
      <c r="F616" s="2"/>
      <c r="G616" s="2"/>
      <c r="H616" s="2"/>
      <c r="I616" s="2"/>
      <c r="J616" s="2"/>
      <c r="K616" s="2"/>
      <c r="L616" s="2"/>
      <c r="M616" s="2"/>
      <c r="N616" s="2"/>
      <c r="O616" s="2"/>
      <c r="P616" s="2"/>
      <c r="Q616" s="2"/>
      <c r="R616" s="2"/>
      <c r="S616" s="2"/>
      <c r="T616" s="2"/>
      <c r="U616" s="2"/>
      <c r="V616" s="2"/>
      <c r="W616" s="2"/>
    </row>
    <row r="617">
      <c r="A617" s="2"/>
      <c r="B617" s="2"/>
      <c r="C617" s="2"/>
      <c r="D617" s="2"/>
      <c r="E617" s="2"/>
      <c r="F617" s="2"/>
      <c r="G617" s="2"/>
      <c r="H617" s="2"/>
      <c r="I617" s="2"/>
      <c r="J617" s="2"/>
      <c r="K617" s="2"/>
      <c r="L617" s="2"/>
      <c r="M617" s="2"/>
      <c r="N617" s="2"/>
      <c r="O617" s="2"/>
      <c r="P617" s="2"/>
      <c r="Q617" s="2"/>
      <c r="R617" s="2"/>
      <c r="S617" s="2"/>
      <c r="T617" s="2"/>
      <c r="U617" s="2"/>
      <c r="V617" s="2"/>
      <c r="W617" s="2"/>
    </row>
    <row r="618">
      <c r="A618" s="2"/>
      <c r="B618" s="2"/>
      <c r="C618" s="2"/>
      <c r="D618" s="2"/>
      <c r="E618" s="2"/>
      <c r="F618" s="2"/>
      <c r="G618" s="2"/>
      <c r="H618" s="2"/>
      <c r="I618" s="2"/>
      <c r="J618" s="2"/>
      <c r="K618" s="2"/>
      <c r="L618" s="2"/>
      <c r="M618" s="2"/>
      <c r="N618" s="2"/>
      <c r="O618" s="2"/>
      <c r="P618" s="2"/>
      <c r="Q618" s="2"/>
      <c r="R618" s="2"/>
      <c r="S618" s="2"/>
      <c r="T618" s="2"/>
      <c r="U618" s="2"/>
      <c r="V618" s="2"/>
      <c r="W618" s="2"/>
    </row>
    <row r="619">
      <c r="A619" s="2"/>
      <c r="B619" s="2"/>
      <c r="C619" s="2"/>
      <c r="D619" s="2"/>
      <c r="E619" s="2"/>
      <c r="F619" s="2"/>
      <c r="G619" s="2"/>
      <c r="H619" s="2"/>
      <c r="I619" s="2"/>
      <c r="J619" s="2"/>
      <c r="K619" s="2"/>
      <c r="L619" s="2"/>
      <c r="M619" s="2"/>
      <c r="N619" s="2"/>
      <c r="O619" s="2"/>
      <c r="P619" s="2"/>
      <c r="Q619" s="2"/>
      <c r="R619" s="2"/>
      <c r="S619" s="2"/>
      <c r="T619" s="2"/>
      <c r="U619" s="2"/>
      <c r="V619" s="2"/>
      <c r="W619" s="2"/>
    </row>
    <row r="620">
      <c r="A620" s="2"/>
      <c r="B620" s="2"/>
      <c r="C620" s="2"/>
      <c r="D620" s="2"/>
      <c r="E620" s="2"/>
      <c r="F620" s="2"/>
      <c r="G620" s="2"/>
      <c r="H620" s="2"/>
      <c r="I620" s="2"/>
      <c r="J620" s="2"/>
      <c r="K620" s="2"/>
      <c r="L620" s="2"/>
      <c r="M620" s="2"/>
      <c r="N620" s="2"/>
      <c r="O620" s="2"/>
      <c r="P620" s="2"/>
      <c r="Q620" s="2"/>
      <c r="R620" s="2"/>
      <c r="S620" s="2"/>
      <c r="T620" s="2"/>
      <c r="U620" s="2"/>
      <c r="V620" s="2"/>
      <c r="W620" s="2"/>
    </row>
    <row r="621">
      <c r="A621" s="2"/>
      <c r="B621" s="2"/>
      <c r="C621" s="2"/>
      <c r="D621" s="2"/>
      <c r="E621" s="2"/>
      <c r="F621" s="2"/>
      <c r="G621" s="2"/>
      <c r="H621" s="2"/>
      <c r="I621" s="2"/>
      <c r="J621" s="2"/>
      <c r="K621" s="2"/>
      <c r="L621" s="2"/>
      <c r="M621" s="2"/>
      <c r="N621" s="2"/>
      <c r="O621" s="2"/>
      <c r="P621" s="2"/>
      <c r="Q621" s="2"/>
      <c r="R621" s="2"/>
      <c r="S621" s="2"/>
      <c r="T621" s="2"/>
      <c r="U621" s="2"/>
      <c r="V621" s="2"/>
      <c r="W621" s="2"/>
    </row>
    <row r="622">
      <c r="A622" s="2"/>
      <c r="B622" s="2"/>
      <c r="C622" s="2"/>
      <c r="D622" s="2"/>
      <c r="E622" s="2"/>
      <c r="F622" s="2"/>
      <c r="G622" s="2"/>
      <c r="H622" s="2"/>
      <c r="I622" s="2"/>
      <c r="J622" s="2"/>
      <c r="K622" s="2"/>
      <c r="L622" s="2"/>
      <c r="M622" s="2"/>
      <c r="N622" s="2"/>
      <c r="O622" s="2"/>
      <c r="P622" s="2"/>
      <c r="Q622" s="2"/>
      <c r="R622" s="2"/>
      <c r="S622" s="2"/>
      <c r="T622" s="2"/>
      <c r="U622" s="2"/>
      <c r="V622" s="2"/>
      <c r="W622" s="2"/>
    </row>
    <row r="623">
      <c r="A623" s="2"/>
      <c r="B623" s="2"/>
      <c r="C623" s="2"/>
      <c r="D623" s="2"/>
      <c r="E623" s="2"/>
      <c r="F623" s="2"/>
      <c r="G623" s="2"/>
      <c r="H623" s="2"/>
      <c r="I623" s="2"/>
      <c r="J623" s="2"/>
      <c r="K623" s="2"/>
      <c r="L623" s="2"/>
      <c r="M623" s="2"/>
      <c r="N623" s="2"/>
      <c r="O623" s="2"/>
      <c r="P623" s="2"/>
      <c r="Q623" s="2"/>
      <c r="R623" s="2"/>
      <c r="S623" s="2"/>
      <c r="T623" s="2"/>
      <c r="U623" s="2"/>
      <c r="V623" s="2"/>
      <c r="W623" s="2"/>
    </row>
    <row r="624">
      <c r="A624" s="2"/>
      <c r="B624" s="2"/>
      <c r="C624" s="2"/>
      <c r="D624" s="2"/>
      <c r="E624" s="2"/>
      <c r="F624" s="2"/>
      <c r="G624" s="2"/>
      <c r="H624" s="2"/>
      <c r="I624" s="2"/>
      <c r="J624" s="2"/>
      <c r="K624" s="2"/>
      <c r="L624" s="2"/>
      <c r="M624" s="2"/>
      <c r="N624" s="2"/>
      <c r="O624" s="2"/>
      <c r="P624" s="2"/>
      <c r="Q624" s="2"/>
      <c r="R624" s="2"/>
      <c r="S624" s="2"/>
      <c r="T624" s="2"/>
      <c r="U624" s="2"/>
      <c r="V624" s="2"/>
      <c r="W624" s="2"/>
    </row>
    <row r="625">
      <c r="A625" s="2"/>
      <c r="B625" s="2"/>
      <c r="C625" s="2"/>
      <c r="D625" s="2"/>
      <c r="E625" s="2"/>
      <c r="F625" s="2"/>
      <c r="G625" s="2"/>
      <c r="H625" s="2"/>
      <c r="I625" s="2"/>
      <c r="J625" s="2"/>
      <c r="K625" s="2"/>
      <c r="L625" s="2"/>
      <c r="M625" s="2"/>
      <c r="N625" s="2"/>
      <c r="O625" s="2"/>
      <c r="P625" s="2"/>
      <c r="Q625" s="2"/>
      <c r="R625" s="2"/>
      <c r="S625" s="2"/>
      <c r="T625" s="2"/>
      <c r="U625" s="2"/>
      <c r="V625" s="2"/>
      <c r="W625" s="2"/>
    </row>
    <row r="626">
      <c r="A626" s="2"/>
      <c r="B626" s="2"/>
      <c r="C626" s="2"/>
      <c r="D626" s="2"/>
      <c r="E626" s="2"/>
      <c r="F626" s="2"/>
      <c r="G626" s="2"/>
      <c r="H626" s="2"/>
      <c r="I626" s="2"/>
      <c r="J626" s="2"/>
      <c r="K626" s="2"/>
      <c r="L626" s="2"/>
      <c r="M626" s="2"/>
      <c r="N626" s="2"/>
      <c r="O626" s="2"/>
      <c r="P626" s="2"/>
      <c r="Q626" s="2"/>
      <c r="R626" s="2"/>
      <c r="S626" s="2"/>
      <c r="T626" s="2"/>
      <c r="U626" s="2"/>
      <c r="V626" s="2"/>
      <c r="W626" s="2"/>
    </row>
    <row r="627">
      <c r="A627" s="2"/>
      <c r="B627" s="2"/>
      <c r="C627" s="2"/>
      <c r="D627" s="2"/>
      <c r="E627" s="2"/>
      <c r="F627" s="2"/>
      <c r="G627" s="2"/>
      <c r="H627" s="2"/>
      <c r="I627" s="2"/>
      <c r="J627" s="2"/>
      <c r="K627" s="2"/>
      <c r="L627" s="2"/>
      <c r="M627" s="2"/>
      <c r="N627" s="2"/>
      <c r="O627" s="2"/>
      <c r="P627" s="2"/>
      <c r="Q627" s="2"/>
      <c r="R627" s="2"/>
      <c r="S627" s="2"/>
      <c r="T627" s="2"/>
      <c r="U627" s="2"/>
      <c r="V627" s="2"/>
      <c r="W627" s="2"/>
    </row>
    <row r="628">
      <c r="A628" s="2"/>
      <c r="B628" s="2"/>
      <c r="C628" s="2"/>
      <c r="D628" s="2"/>
      <c r="E628" s="2"/>
      <c r="F628" s="2"/>
      <c r="G628" s="2"/>
      <c r="H628" s="2"/>
      <c r="I628" s="2"/>
      <c r="J628" s="2"/>
      <c r="K628" s="2"/>
      <c r="L628" s="2"/>
      <c r="M628" s="2"/>
      <c r="N628" s="2"/>
      <c r="O628" s="2"/>
      <c r="P628" s="2"/>
      <c r="Q628" s="2"/>
      <c r="R628" s="2"/>
      <c r="S628" s="2"/>
      <c r="T628" s="2"/>
      <c r="U628" s="2"/>
      <c r="V628" s="2"/>
      <c r="W628" s="2"/>
    </row>
    <row r="629">
      <c r="A629" s="2"/>
      <c r="B629" s="2"/>
      <c r="C629" s="2"/>
      <c r="D629" s="2"/>
      <c r="E629" s="2"/>
      <c r="F629" s="2"/>
      <c r="G629" s="2"/>
      <c r="H629" s="2"/>
      <c r="I629" s="2"/>
      <c r="J629" s="2"/>
      <c r="K629" s="2"/>
      <c r="L629" s="2"/>
      <c r="M629" s="2"/>
      <c r="N629" s="2"/>
      <c r="O629" s="2"/>
      <c r="P629" s="2"/>
      <c r="Q629" s="2"/>
      <c r="R629" s="2"/>
      <c r="S629" s="2"/>
      <c r="T629" s="2"/>
      <c r="U629" s="2"/>
      <c r="V629" s="2"/>
      <c r="W629" s="2"/>
    </row>
    <row r="630">
      <c r="A630" s="2"/>
      <c r="B630" s="2"/>
      <c r="C630" s="2"/>
      <c r="D630" s="2"/>
      <c r="E630" s="2"/>
      <c r="F630" s="2"/>
      <c r="G630" s="2"/>
      <c r="H630" s="2"/>
      <c r="I630" s="2"/>
      <c r="J630" s="2"/>
      <c r="K630" s="2"/>
      <c r="L630" s="2"/>
      <c r="M630" s="2"/>
      <c r="N630" s="2"/>
      <c r="O630" s="2"/>
      <c r="P630" s="2"/>
      <c r="Q630" s="2"/>
      <c r="R630" s="2"/>
      <c r="S630" s="2"/>
      <c r="T630" s="2"/>
      <c r="U630" s="2"/>
      <c r="V630" s="2"/>
      <c r="W630" s="2"/>
    </row>
    <row r="631">
      <c r="A631" s="2"/>
      <c r="B631" s="2"/>
      <c r="C631" s="2"/>
      <c r="D631" s="2"/>
      <c r="E631" s="2"/>
      <c r="F631" s="2"/>
      <c r="G631" s="2"/>
      <c r="H631" s="2"/>
      <c r="I631" s="2"/>
      <c r="J631" s="2"/>
      <c r="K631" s="2"/>
      <c r="L631" s="2"/>
      <c r="M631" s="2"/>
      <c r="N631" s="2"/>
      <c r="O631" s="2"/>
      <c r="P631" s="2"/>
      <c r="Q631" s="2"/>
      <c r="R631" s="2"/>
      <c r="S631" s="2"/>
      <c r="T631" s="2"/>
      <c r="U631" s="2"/>
      <c r="V631" s="2"/>
      <c r="W631" s="2"/>
    </row>
    <row r="632">
      <c r="A632" s="2"/>
      <c r="B632" s="2"/>
      <c r="C632" s="2"/>
      <c r="D632" s="2"/>
      <c r="E632" s="2"/>
      <c r="F632" s="2"/>
      <c r="G632" s="2"/>
      <c r="H632" s="2"/>
      <c r="I632" s="2"/>
      <c r="J632" s="2"/>
      <c r="K632" s="2"/>
      <c r="L632" s="2"/>
      <c r="M632" s="2"/>
      <c r="N632" s="2"/>
      <c r="O632" s="2"/>
      <c r="P632" s="2"/>
      <c r="Q632" s="2"/>
      <c r="R632" s="2"/>
      <c r="S632" s="2"/>
      <c r="T632" s="2"/>
      <c r="U632" s="2"/>
      <c r="V632" s="2"/>
      <c r="W632" s="2"/>
    </row>
    <row r="633">
      <c r="A633" s="2"/>
      <c r="B633" s="2"/>
      <c r="C633" s="2"/>
      <c r="D633" s="2"/>
      <c r="E633" s="2"/>
      <c r="F633" s="2"/>
      <c r="G633" s="2"/>
      <c r="H633" s="2"/>
      <c r="I633" s="2"/>
      <c r="J633" s="2"/>
      <c r="K633" s="2"/>
      <c r="L633" s="2"/>
      <c r="M633" s="2"/>
      <c r="N633" s="2"/>
      <c r="O633" s="2"/>
      <c r="P633" s="2"/>
      <c r="Q633" s="2"/>
      <c r="R633" s="2"/>
      <c r="S633" s="2"/>
      <c r="T633" s="2"/>
      <c r="U633" s="2"/>
      <c r="V633" s="2"/>
      <c r="W633" s="2"/>
    </row>
    <row r="634">
      <c r="A634" s="2"/>
      <c r="B634" s="2"/>
      <c r="C634" s="2"/>
      <c r="D634" s="2"/>
      <c r="E634" s="2"/>
      <c r="F634" s="2"/>
      <c r="G634" s="2"/>
      <c r="H634" s="2"/>
      <c r="I634" s="2"/>
      <c r="J634" s="2"/>
      <c r="K634" s="2"/>
      <c r="L634" s="2"/>
      <c r="M634" s="2"/>
      <c r="N634" s="2"/>
      <c r="O634" s="2"/>
      <c r="P634" s="2"/>
      <c r="Q634" s="2"/>
      <c r="R634" s="2"/>
      <c r="S634" s="2"/>
      <c r="T634" s="2"/>
      <c r="U634" s="2"/>
      <c r="V634" s="2"/>
      <c r="W634" s="2"/>
    </row>
    <row r="635">
      <c r="A635" s="2"/>
      <c r="B635" s="2"/>
      <c r="C635" s="2"/>
      <c r="D635" s="2"/>
      <c r="E635" s="2"/>
      <c r="F635" s="2"/>
      <c r="G635" s="2"/>
      <c r="H635" s="2"/>
      <c r="I635" s="2"/>
      <c r="J635" s="2"/>
      <c r="K635" s="2"/>
      <c r="L635" s="2"/>
      <c r="M635" s="2"/>
      <c r="N635" s="2"/>
      <c r="O635" s="2"/>
      <c r="P635" s="2"/>
      <c r="Q635" s="2"/>
      <c r="R635" s="2"/>
      <c r="S635" s="2"/>
      <c r="T635" s="2"/>
      <c r="U635" s="2"/>
      <c r="V635" s="2"/>
      <c r="W635" s="2"/>
    </row>
    <row r="636">
      <c r="A636" s="2"/>
      <c r="B636" s="2"/>
      <c r="C636" s="2"/>
      <c r="D636" s="2"/>
      <c r="E636" s="2"/>
      <c r="F636" s="2"/>
      <c r="G636" s="2"/>
      <c r="H636" s="2"/>
      <c r="I636" s="2"/>
      <c r="J636" s="2"/>
      <c r="K636" s="2"/>
      <c r="L636" s="2"/>
      <c r="M636" s="2"/>
      <c r="N636" s="2"/>
      <c r="O636" s="2"/>
      <c r="P636" s="2"/>
      <c r="Q636" s="2"/>
      <c r="R636" s="2"/>
      <c r="S636" s="2"/>
      <c r="T636" s="2"/>
      <c r="U636" s="2"/>
      <c r="V636" s="2"/>
      <c r="W636" s="2"/>
    </row>
    <row r="637">
      <c r="A637" s="2"/>
      <c r="B637" s="2"/>
      <c r="C637" s="2"/>
      <c r="D637" s="2"/>
      <c r="E637" s="2"/>
      <c r="F637" s="2"/>
      <c r="G637" s="2"/>
      <c r="H637" s="2"/>
      <c r="I637" s="2"/>
      <c r="J637" s="2"/>
      <c r="K637" s="2"/>
      <c r="L637" s="2"/>
      <c r="M637" s="2"/>
      <c r="N637" s="2"/>
      <c r="O637" s="2"/>
      <c r="P637" s="2"/>
      <c r="Q637" s="2"/>
      <c r="R637" s="2"/>
      <c r="S637" s="2"/>
      <c r="T637" s="2"/>
      <c r="U637" s="2"/>
      <c r="V637" s="2"/>
      <c r="W637" s="2"/>
    </row>
    <row r="638">
      <c r="A638" s="2"/>
      <c r="B638" s="2"/>
      <c r="C638" s="2"/>
      <c r="D638" s="2"/>
      <c r="E638" s="2"/>
      <c r="F638" s="2"/>
      <c r="G638" s="2"/>
      <c r="H638" s="2"/>
      <c r="I638" s="2"/>
      <c r="J638" s="2"/>
      <c r="K638" s="2"/>
      <c r="L638" s="2"/>
      <c r="M638" s="2"/>
      <c r="N638" s="2"/>
      <c r="O638" s="2"/>
      <c r="P638" s="2"/>
      <c r="Q638" s="2"/>
      <c r="R638" s="2"/>
      <c r="S638" s="2"/>
      <c r="T638" s="2"/>
      <c r="U638" s="2"/>
      <c r="V638" s="2"/>
      <c r="W638" s="2"/>
    </row>
    <row r="639">
      <c r="A639" s="2"/>
      <c r="B639" s="2"/>
      <c r="C639" s="2"/>
      <c r="D639" s="2"/>
      <c r="E639" s="2"/>
      <c r="F639" s="2"/>
      <c r="G639" s="2"/>
      <c r="H639" s="2"/>
      <c r="I639" s="2"/>
      <c r="J639" s="2"/>
      <c r="K639" s="2"/>
      <c r="L639" s="2"/>
      <c r="M639" s="2"/>
      <c r="N639" s="2"/>
      <c r="O639" s="2"/>
      <c r="P639" s="2"/>
      <c r="Q639" s="2"/>
      <c r="R639" s="2"/>
      <c r="S639" s="2"/>
      <c r="T639" s="2"/>
      <c r="U639" s="2"/>
      <c r="V639" s="2"/>
      <c r="W639" s="2"/>
    </row>
    <row r="640">
      <c r="A640" s="2"/>
      <c r="B640" s="2"/>
      <c r="C640" s="2"/>
      <c r="D640" s="2"/>
      <c r="E640" s="2"/>
      <c r="F640" s="2"/>
      <c r="G640" s="2"/>
      <c r="H640" s="2"/>
      <c r="I640" s="2"/>
      <c r="J640" s="2"/>
      <c r="K640" s="2"/>
      <c r="L640" s="2"/>
      <c r="M640" s="2"/>
      <c r="N640" s="2"/>
      <c r="O640" s="2"/>
      <c r="P640" s="2"/>
      <c r="Q640" s="2"/>
      <c r="R640" s="2"/>
      <c r="S640" s="2"/>
      <c r="T640" s="2"/>
      <c r="U640" s="2"/>
      <c r="V640" s="2"/>
      <c r="W640" s="2"/>
    </row>
    <row r="641">
      <c r="A641" s="2"/>
      <c r="B641" s="2"/>
      <c r="C641" s="2"/>
      <c r="D641" s="2"/>
      <c r="E641" s="2"/>
      <c r="F641" s="2"/>
      <c r="G641" s="2"/>
      <c r="H641" s="2"/>
      <c r="I641" s="2"/>
      <c r="J641" s="2"/>
      <c r="K641" s="2"/>
      <c r="L641" s="2"/>
      <c r="M641" s="2"/>
      <c r="N641" s="2"/>
      <c r="O641" s="2"/>
      <c r="P641" s="2"/>
      <c r="Q641" s="2"/>
      <c r="R641" s="2"/>
      <c r="S641" s="2"/>
      <c r="T641" s="2"/>
      <c r="U641" s="2"/>
      <c r="V641" s="2"/>
      <c r="W641" s="2"/>
    </row>
    <row r="642">
      <c r="A642" s="2"/>
      <c r="B642" s="2"/>
      <c r="C642" s="2"/>
      <c r="D642" s="2"/>
      <c r="E642" s="2"/>
      <c r="F642" s="2"/>
      <c r="G642" s="2"/>
      <c r="H642" s="2"/>
      <c r="I642" s="2"/>
      <c r="J642" s="2"/>
      <c r="K642" s="2"/>
      <c r="L642" s="2"/>
      <c r="M642" s="2"/>
      <c r="N642" s="2"/>
      <c r="O642" s="2"/>
      <c r="P642" s="2"/>
      <c r="Q642" s="2"/>
      <c r="R642" s="2"/>
      <c r="S642" s="2"/>
      <c r="T642" s="2"/>
      <c r="U642" s="2"/>
      <c r="V642" s="2"/>
      <c r="W642" s="2"/>
    </row>
    <row r="643">
      <c r="A643" s="2"/>
      <c r="B643" s="2"/>
      <c r="C643" s="2"/>
      <c r="D643" s="2"/>
      <c r="E643" s="2"/>
      <c r="F643" s="2"/>
      <c r="G643" s="2"/>
      <c r="H643" s="2"/>
      <c r="I643" s="2"/>
      <c r="J643" s="2"/>
      <c r="K643" s="2"/>
      <c r="L643" s="2"/>
      <c r="M643" s="2"/>
      <c r="N643" s="2"/>
      <c r="O643" s="2"/>
      <c r="P643" s="2"/>
      <c r="Q643" s="2"/>
      <c r="R643" s="2"/>
      <c r="S643" s="2"/>
      <c r="T643" s="2"/>
      <c r="U643" s="2"/>
      <c r="V643" s="2"/>
      <c r="W643" s="2"/>
    </row>
    <row r="644">
      <c r="A644" s="2"/>
      <c r="B644" s="2"/>
      <c r="C644" s="2"/>
      <c r="D644" s="2"/>
      <c r="E644" s="2"/>
      <c r="F644" s="2"/>
      <c r="G644" s="2"/>
      <c r="H644" s="2"/>
      <c r="I644" s="2"/>
      <c r="J644" s="2"/>
      <c r="K644" s="2"/>
      <c r="L644" s="2"/>
      <c r="M644" s="2"/>
      <c r="N644" s="2"/>
      <c r="O644" s="2"/>
      <c r="P644" s="2"/>
      <c r="Q644" s="2"/>
      <c r="R644" s="2"/>
      <c r="S644" s="2"/>
      <c r="T644" s="2"/>
      <c r="U644" s="2"/>
      <c r="V644" s="2"/>
      <c r="W644" s="2"/>
    </row>
    <row r="645">
      <c r="A645" s="2"/>
      <c r="B645" s="2"/>
      <c r="C645" s="2"/>
      <c r="D645" s="2"/>
      <c r="E645" s="2"/>
      <c r="F645" s="2"/>
      <c r="G645" s="2"/>
      <c r="H645" s="2"/>
      <c r="I645" s="2"/>
      <c r="J645" s="2"/>
      <c r="K645" s="2"/>
      <c r="L645" s="2"/>
      <c r="M645" s="2"/>
      <c r="N645" s="2"/>
      <c r="O645" s="2"/>
      <c r="P645" s="2"/>
      <c r="Q645" s="2"/>
      <c r="R645" s="2"/>
      <c r="S645" s="2"/>
      <c r="T645" s="2"/>
      <c r="U645" s="2"/>
      <c r="V645" s="2"/>
      <c r="W645" s="2"/>
    </row>
    <row r="646">
      <c r="A646" s="2"/>
      <c r="B646" s="2"/>
      <c r="C646" s="2"/>
      <c r="D646" s="2"/>
      <c r="E646" s="2"/>
      <c r="F646" s="2"/>
      <c r="G646" s="2"/>
      <c r="H646" s="2"/>
      <c r="I646" s="2"/>
      <c r="J646" s="2"/>
      <c r="K646" s="2"/>
      <c r="L646" s="2"/>
      <c r="M646" s="2"/>
      <c r="N646" s="2"/>
      <c r="O646" s="2"/>
      <c r="P646" s="2"/>
      <c r="Q646" s="2"/>
      <c r="R646" s="2"/>
      <c r="S646" s="2"/>
      <c r="T646" s="2"/>
      <c r="U646" s="2"/>
      <c r="V646" s="2"/>
      <c r="W646" s="2"/>
    </row>
    <row r="647">
      <c r="A647" s="2"/>
      <c r="B647" s="2"/>
      <c r="C647" s="2"/>
      <c r="D647" s="2"/>
      <c r="E647" s="2"/>
      <c r="F647" s="2"/>
      <c r="G647" s="2"/>
      <c r="H647" s="2"/>
      <c r="I647" s="2"/>
      <c r="J647" s="2"/>
      <c r="K647" s="2"/>
      <c r="L647" s="2"/>
      <c r="M647" s="2"/>
      <c r="N647" s="2"/>
      <c r="O647" s="2"/>
      <c r="P647" s="2"/>
      <c r="Q647" s="2"/>
      <c r="R647" s="2"/>
      <c r="S647" s="2"/>
      <c r="T647" s="2"/>
      <c r="U647" s="2"/>
      <c r="V647" s="2"/>
      <c r="W647" s="2"/>
    </row>
    <row r="648">
      <c r="A648" s="2"/>
      <c r="B648" s="2"/>
      <c r="C648" s="2"/>
      <c r="D648" s="2"/>
      <c r="E648" s="2"/>
      <c r="F648" s="2"/>
      <c r="G648" s="2"/>
      <c r="H648" s="2"/>
      <c r="I648" s="2"/>
      <c r="J648" s="2"/>
      <c r="K648" s="2"/>
      <c r="L648" s="2"/>
      <c r="M648" s="2"/>
      <c r="N648" s="2"/>
      <c r="O648" s="2"/>
      <c r="P648" s="2"/>
      <c r="Q648" s="2"/>
      <c r="R648" s="2"/>
      <c r="S648" s="2"/>
      <c r="T648" s="2"/>
      <c r="U648" s="2"/>
      <c r="V648" s="2"/>
      <c r="W648" s="2"/>
    </row>
    <row r="649">
      <c r="A649" s="2"/>
      <c r="B649" s="2"/>
      <c r="C649" s="2"/>
      <c r="D649" s="2"/>
      <c r="E649" s="2"/>
      <c r="F649" s="2"/>
      <c r="G649" s="2"/>
      <c r="H649" s="2"/>
      <c r="I649" s="2"/>
      <c r="J649" s="2"/>
      <c r="K649" s="2"/>
      <c r="L649" s="2"/>
      <c r="M649" s="2"/>
      <c r="N649" s="2"/>
      <c r="O649" s="2"/>
      <c r="P649" s="2"/>
      <c r="Q649" s="2"/>
      <c r="R649" s="2"/>
      <c r="S649" s="2"/>
      <c r="T649" s="2"/>
      <c r="U649" s="2"/>
      <c r="V649" s="2"/>
      <c r="W649" s="2"/>
    </row>
    <row r="650">
      <c r="A650" s="2"/>
      <c r="B650" s="2"/>
      <c r="C650" s="2"/>
      <c r="D650" s="2"/>
      <c r="E650" s="2"/>
      <c r="F650" s="2"/>
      <c r="G650" s="2"/>
      <c r="H650" s="2"/>
      <c r="I650" s="2"/>
      <c r="J650" s="2"/>
      <c r="K650" s="2"/>
      <c r="L650" s="2"/>
      <c r="M650" s="2"/>
      <c r="N650" s="2"/>
      <c r="O650" s="2"/>
      <c r="P650" s="2"/>
      <c r="Q650" s="2"/>
      <c r="R650" s="2"/>
      <c r="S650" s="2"/>
      <c r="T650" s="2"/>
      <c r="U650" s="2"/>
      <c r="V650" s="2"/>
      <c r="W650" s="2"/>
    </row>
    <row r="651">
      <c r="A651" s="2"/>
      <c r="B651" s="2"/>
      <c r="C651" s="2"/>
      <c r="D651" s="2"/>
      <c r="E651" s="2"/>
      <c r="F651" s="2"/>
      <c r="G651" s="2"/>
      <c r="H651" s="2"/>
      <c r="I651" s="2"/>
      <c r="J651" s="2"/>
      <c r="K651" s="2"/>
      <c r="L651" s="2"/>
      <c r="M651" s="2"/>
      <c r="N651" s="2"/>
      <c r="O651" s="2"/>
      <c r="P651" s="2"/>
      <c r="Q651" s="2"/>
      <c r="R651" s="2"/>
      <c r="S651" s="2"/>
      <c r="T651" s="2"/>
      <c r="U651" s="2"/>
      <c r="V651" s="2"/>
      <c r="W651" s="2"/>
    </row>
    <row r="652">
      <c r="A652" s="2"/>
      <c r="B652" s="2"/>
      <c r="C652" s="2"/>
      <c r="D652" s="2"/>
      <c r="E652" s="2"/>
      <c r="F652" s="2"/>
      <c r="G652" s="2"/>
      <c r="H652" s="2"/>
      <c r="I652" s="2"/>
      <c r="J652" s="2"/>
      <c r="K652" s="2"/>
      <c r="L652" s="2"/>
      <c r="M652" s="2"/>
      <c r="N652" s="2"/>
      <c r="O652" s="2"/>
      <c r="P652" s="2"/>
      <c r="Q652" s="2"/>
      <c r="R652" s="2"/>
      <c r="S652" s="2"/>
      <c r="T652" s="2"/>
      <c r="U652" s="2"/>
      <c r="V652" s="2"/>
      <c r="W652" s="2"/>
    </row>
    <row r="653">
      <c r="A653" s="2"/>
      <c r="B653" s="2"/>
      <c r="C653" s="2"/>
      <c r="D653" s="2"/>
      <c r="E653" s="2"/>
      <c r="F653" s="2"/>
      <c r="G653" s="2"/>
      <c r="H653" s="2"/>
      <c r="I653" s="2"/>
      <c r="J653" s="2"/>
      <c r="K653" s="2"/>
      <c r="L653" s="2"/>
      <c r="M653" s="2"/>
      <c r="N653" s="2"/>
      <c r="O653" s="2"/>
      <c r="P653" s="2"/>
      <c r="Q653" s="2"/>
      <c r="R653" s="2"/>
      <c r="S653" s="2"/>
      <c r="T653" s="2"/>
      <c r="U653" s="2"/>
      <c r="V653" s="2"/>
      <c r="W653" s="2"/>
    </row>
    <row r="654">
      <c r="A654" s="2"/>
      <c r="B654" s="2"/>
      <c r="C654" s="2"/>
      <c r="D654" s="2"/>
      <c r="E654" s="2"/>
      <c r="F654" s="2"/>
      <c r="G654" s="2"/>
      <c r="H654" s="2"/>
      <c r="I654" s="2"/>
      <c r="J654" s="2"/>
      <c r="K654" s="2"/>
      <c r="L654" s="2"/>
      <c r="M654" s="2"/>
      <c r="N654" s="2"/>
      <c r="O654" s="2"/>
      <c r="P654" s="2"/>
      <c r="Q654" s="2"/>
      <c r="R654" s="2"/>
      <c r="S654" s="2"/>
      <c r="T654" s="2"/>
      <c r="U654" s="2"/>
      <c r="V654" s="2"/>
      <c r="W654" s="2"/>
    </row>
    <row r="655">
      <c r="A655" s="2"/>
      <c r="B655" s="2"/>
      <c r="C655" s="2"/>
      <c r="D655" s="2"/>
      <c r="E655" s="2"/>
      <c r="F655" s="2"/>
      <c r="G655" s="2"/>
      <c r="H655" s="2"/>
      <c r="I655" s="2"/>
      <c r="J655" s="2"/>
      <c r="K655" s="2"/>
      <c r="L655" s="2"/>
      <c r="M655" s="2"/>
      <c r="N655" s="2"/>
      <c r="O655" s="2"/>
      <c r="P655" s="2"/>
      <c r="Q655" s="2"/>
      <c r="R655" s="2"/>
      <c r="S655" s="2"/>
      <c r="T655" s="2"/>
      <c r="U655" s="2"/>
      <c r="V655" s="2"/>
      <c r="W655" s="2"/>
    </row>
    <row r="656">
      <c r="A656" s="2"/>
      <c r="B656" s="2"/>
      <c r="C656" s="2"/>
      <c r="D656" s="2"/>
      <c r="E656" s="2"/>
      <c r="F656" s="2"/>
      <c r="G656" s="2"/>
      <c r="H656" s="2"/>
      <c r="I656" s="2"/>
      <c r="J656" s="2"/>
      <c r="K656" s="2"/>
      <c r="L656" s="2"/>
      <c r="M656" s="2"/>
      <c r="N656" s="2"/>
      <c r="O656" s="2"/>
      <c r="P656" s="2"/>
      <c r="Q656" s="2"/>
      <c r="R656" s="2"/>
      <c r="S656" s="2"/>
      <c r="T656" s="2"/>
      <c r="U656" s="2"/>
      <c r="V656" s="2"/>
      <c r="W656" s="2"/>
    </row>
    <row r="657">
      <c r="A657" s="2"/>
      <c r="B657" s="2"/>
      <c r="C657" s="2"/>
      <c r="D657" s="2"/>
      <c r="E657" s="2"/>
      <c r="F657" s="2"/>
      <c r="G657" s="2"/>
      <c r="H657" s="2"/>
      <c r="I657" s="2"/>
      <c r="J657" s="2"/>
      <c r="K657" s="2"/>
      <c r="L657" s="2"/>
      <c r="M657" s="2"/>
      <c r="N657" s="2"/>
      <c r="O657" s="2"/>
      <c r="P657" s="2"/>
      <c r="Q657" s="2"/>
      <c r="R657" s="2"/>
      <c r="S657" s="2"/>
      <c r="T657" s="2"/>
      <c r="U657" s="2"/>
      <c r="V657" s="2"/>
      <c r="W657" s="2"/>
    </row>
    <row r="658">
      <c r="A658" s="2"/>
      <c r="B658" s="2"/>
      <c r="C658" s="2"/>
      <c r="D658" s="2"/>
      <c r="E658" s="2"/>
      <c r="F658" s="2"/>
      <c r="G658" s="2"/>
      <c r="H658" s="2"/>
      <c r="I658" s="2"/>
      <c r="J658" s="2"/>
      <c r="K658" s="2"/>
      <c r="L658" s="2"/>
      <c r="M658" s="2"/>
      <c r="N658" s="2"/>
      <c r="O658" s="2"/>
      <c r="P658" s="2"/>
      <c r="Q658" s="2"/>
      <c r="R658" s="2"/>
      <c r="S658" s="2"/>
      <c r="T658" s="2"/>
      <c r="U658" s="2"/>
      <c r="V658" s="2"/>
      <c r="W658" s="2"/>
    </row>
    <row r="659">
      <c r="A659" s="2"/>
      <c r="B659" s="2"/>
      <c r="C659" s="2"/>
      <c r="D659" s="2"/>
      <c r="E659" s="2"/>
      <c r="F659" s="2"/>
      <c r="G659" s="2"/>
      <c r="H659" s="2"/>
      <c r="I659" s="2"/>
      <c r="J659" s="2"/>
      <c r="K659" s="2"/>
      <c r="L659" s="2"/>
      <c r="M659" s="2"/>
      <c r="N659" s="2"/>
      <c r="O659" s="2"/>
      <c r="P659" s="2"/>
      <c r="Q659" s="2"/>
      <c r="R659" s="2"/>
      <c r="S659" s="2"/>
      <c r="T659" s="2"/>
      <c r="U659" s="2"/>
      <c r="V659" s="2"/>
      <c r="W659" s="2"/>
    </row>
    <row r="660">
      <c r="A660" s="2"/>
      <c r="B660" s="2"/>
      <c r="C660" s="2"/>
      <c r="D660" s="2"/>
      <c r="E660" s="2"/>
      <c r="F660" s="2"/>
      <c r="G660" s="2"/>
      <c r="H660" s="2"/>
      <c r="I660" s="2"/>
      <c r="J660" s="2"/>
      <c r="K660" s="2"/>
      <c r="L660" s="2"/>
      <c r="M660" s="2"/>
      <c r="N660" s="2"/>
      <c r="O660" s="2"/>
      <c r="P660" s="2"/>
      <c r="Q660" s="2"/>
      <c r="R660" s="2"/>
      <c r="S660" s="2"/>
      <c r="T660" s="2"/>
      <c r="U660" s="2"/>
      <c r="V660" s="2"/>
      <c r="W660" s="2"/>
    </row>
    <row r="661">
      <c r="A661" s="2"/>
      <c r="B661" s="2"/>
      <c r="C661" s="2"/>
      <c r="D661" s="2"/>
      <c r="E661" s="2"/>
      <c r="F661" s="2"/>
      <c r="G661" s="2"/>
      <c r="H661" s="2"/>
      <c r="I661" s="2"/>
      <c r="J661" s="2"/>
      <c r="K661" s="2"/>
      <c r="L661" s="2"/>
      <c r="M661" s="2"/>
      <c r="N661" s="2"/>
      <c r="O661" s="2"/>
      <c r="P661" s="2"/>
      <c r="Q661" s="2"/>
      <c r="R661" s="2"/>
      <c r="S661" s="2"/>
      <c r="T661" s="2"/>
      <c r="U661" s="2"/>
      <c r="V661" s="2"/>
      <c r="W661" s="2"/>
    </row>
    <row r="662">
      <c r="A662" s="2"/>
      <c r="B662" s="2"/>
      <c r="C662" s="2"/>
      <c r="D662" s="2"/>
      <c r="E662" s="2"/>
      <c r="F662" s="2"/>
      <c r="G662" s="2"/>
      <c r="H662" s="2"/>
      <c r="I662" s="2"/>
      <c r="J662" s="2"/>
      <c r="K662" s="2"/>
      <c r="L662" s="2"/>
      <c r="M662" s="2"/>
      <c r="N662" s="2"/>
      <c r="O662" s="2"/>
      <c r="P662" s="2"/>
      <c r="Q662" s="2"/>
      <c r="R662" s="2"/>
      <c r="S662" s="2"/>
      <c r="T662" s="2"/>
      <c r="U662" s="2"/>
      <c r="V662" s="2"/>
      <c r="W662" s="2"/>
    </row>
    <row r="663">
      <c r="A663" s="2"/>
      <c r="B663" s="2"/>
      <c r="C663" s="2"/>
      <c r="D663" s="2"/>
      <c r="E663" s="2"/>
      <c r="F663" s="2"/>
      <c r="G663" s="2"/>
      <c r="H663" s="2"/>
      <c r="I663" s="2"/>
      <c r="J663" s="2"/>
      <c r="K663" s="2"/>
      <c r="L663" s="2"/>
      <c r="M663" s="2"/>
      <c r="N663" s="2"/>
      <c r="O663" s="2"/>
      <c r="P663" s="2"/>
      <c r="Q663" s="2"/>
      <c r="R663" s="2"/>
      <c r="S663" s="2"/>
      <c r="T663" s="2"/>
      <c r="U663" s="2"/>
      <c r="V663" s="2"/>
      <c r="W663" s="2"/>
    </row>
    <row r="664">
      <c r="A664" s="2"/>
      <c r="B664" s="2"/>
      <c r="C664" s="2"/>
      <c r="D664" s="2"/>
      <c r="E664" s="2"/>
      <c r="F664" s="2"/>
      <c r="G664" s="2"/>
      <c r="H664" s="2"/>
      <c r="I664" s="2"/>
      <c r="J664" s="2"/>
      <c r="K664" s="2"/>
      <c r="L664" s="2"/>
      <c r="M664" s="2"/>
      <c r="N664" s="2"/>
      <c r="O664" s="2"/>
      <c r="P664" s="2"/>
      <c r="Q664" s="2"/>
      <c r="R664" s="2"/>
      <c r="S664" s="2"/>
      <c r="T664" s="2"/>
      <c r="U664" s="2"/>
      <c r="V664" s="2"/>
      <c r="W664" s="2"/>
    </row>
    <row r="665">
      <c r="A665" s="2"/>
      <c r="B665" s="2"/>
      <c r="C665" s="2"/>
      <c r="D665" s="2"/>
      <c r="E665" s="2"/>
      <c r="F665" s="2"/>
      <c r="G665" s="2"/>
      <c r="H665" s="2"/>
      <c r="I665" s="2"/>
      <c r="J665" s="2"/>
      <c r="K665" s="2"/>
      <c r="L665" s="2"/>
      <c r="M665" s="2"/>
      <c r="N665" s="2"/>
      <c r="O665" s="2"/>
      <c r="P665" s="2"/>
      <c r="Q665" s="2"/>
      <c r="R665" s="2"/>
      <c r="S665" s="2"/>
      <c r="T665" s="2"/>
      <c r="U665" s="2"/>
      <c r="V665" s="2"/>
      <c r="W665" s="2"/>
    </row>
    <row r="666">
      <c r="A666" s="2"/>
      <c r="B666" s="2"/>
      <c r="C666" s="2"/>
      <c r="D666" s="2"/>
      <c r="E666" s="2"/>
      <c r="F666" s="2"/>
      <c r="G666" s="2"/>
      <c r="H666" s="2"/>
      <c r="I666" s="2"/>
      <c r="J666" s="2"/>
      <c r="K666" s="2"/>
      <c r="L666" s="2"/>
      <c r="M666" s="2"/>
      <c r="N666" s="2"/>
      <c r="O666" s="2"/>
      <c r="P666" s="2"/>
      <c r="Q666" s="2"/>
      <c r="R666" s="2"/>
      <c r="S666" s="2"/>
      <c r="T666" s="2"/>
      <c r="U666" s="2"/>
      <c r="V666" s="2"/>
      <c r="W666" s="2"/>
    </row>
    <row r="667">
      <c r="A667" s="2"/>
      <c r="B667" s="2"/>
      <c r="C667" s="2"/>
      <c r="D667" s="2"/>
      <c r="E667" s="2"/>
      <c r="F667" s="2"/>
      <c r="G667" s="2"/>
      <c r="H667" s="2"/>
      <c r="I667" s="2"/>
      <c r="J667" s="2"/>
      <c r="K667" s="2"/>
      <c r="L667" s="2"/>
      <c r="M667" s="2"/>
      <c r="N667" s="2"/>
      <c r="O667" s="2"/>
      <c r="P667" s="2"/>
      <c r="Q667" s="2"/>
      <c r="R667" s="2"/>
      <c r="S667" s="2"/>
      <c r="T667" s="2"/>
      <c r="U667" s="2"/>
      <c r="V667" s="2"/>
      <c r="W667" s="2"/>
    </row>
    <row r="668">
      <c r="A668" s="2"/>
      <c r="B668" s="2"/>
      <c r="C668" s="2"/>
      <c r="D668" s="2"/>
      <c r="E668" s="2"/>
      <c r="F668" s="2"/>
      <c r="G668" s="2"/>
      <c r="H668" s="2"/>
      <c r="I668" s="2"/>
      <c r="J668" s="2"/>
      <c r="K668" s="2"/>
      <c r="L668" s="2"/>
      <c r="M668" s="2"/>
      <c r="N668" s="2"/>
      <c r="O668" s="2"/>
      <c r="P668" s="2"/>
      <c r="Q668" s="2"/>
      <c r="R668" s="2"/>
      <c r="S668" s="2"/>
      <c r="T668" s="2"/>
      <c r="U668" s="2"/>
      <c r="V668" s="2"/>
      <c r="W668" s="2"/>
    </row>
    <row r="669">
      <c r="A669" s="2"/>
      <c r="B669" s="2"/>
      <c r="C669" s="2"/>
      <c r="D669" s="2"/>
      <c r="E669" s="2"/>
      <c r="F669" s="2"/>
      <c r="G669" s="2"/>
      <c r="H669" s="2"/>
      <c r="I669" s="2"/>
      <c r="J669" s="2"/>
      <c r="K669" s="2"/>
      <c r="L669" s="2"/>
      <c r="M669" s="2"/>
      <c r="N669" s="2"/>
      <c r="O669" s="2"/>
      <c r="P669" s="2"/>
      <c r="Q669" s="2"/>
      <c r="R669" s="2"/>
      <c r="S669" s="2"/>
      <c r="T669" s="2"/>
      <c r="U669" s="2"/>
      <c r="V669" s="2"/>
      <c r="W669" s="2"/>
    </row>
    <row r="670">
      <c r="A670" s="2"/>
      <c r="B670" s="2"/>
      <c r="C670" s="2"/>
      <c r="D670" s="2"/>
      <c r="E670" s="2"/>
      <c r="F670" s="2"/>
      <c r="G670" s="2"/>
      <c r="H670" s="2"/>
      <c r="I670" s="2"/>
      <c r="J670" s="2"/>
      <c r="K670" s="2"/>
      <c r="L670" s="2"/>
      <c r="M670" s="2"/>
      <c r="N670" s="2"/>
      <c r="O670" s="2"/>
      <c r="P670" s="2"/>
      <c r="Q670" s="2"/>
      <c r="R670" s="2"/>
      <c r="S670" s="2"/>
      <c r="T670" s="2"/>
      <c r="U670" s="2"/>
      <c r="V670" s="2"/>
      <c r="W670" s="2"/>
    </row>
    <row r="671">
      <c r="A671" s="2"/>
      <c r="B671" s="2"/>
      <c r="C671" s="2"/>
      <c r="D671" s="2"/>
      <c r="E671" s="2"/>
      <c r="F671" s="2"/>
      <c r="G671" s="2"/>
      <c r="H671" s="2"/>
      <c r="I671" s="2"/>
      <c r="J671" s="2"/>
      <c r="K671" s="2"/>
      <c r="L671" s="2"/>
      <c r="M671" s="2"/>
      <c r="N671" s="2"/>
      <c r="O671" s="2"/>
      <c r="P671" s="2"/>
      <c r="Q671" s="2"/>
      <c r="R671" s="2"/>
      <c r="S671" s="2"/>
      <c r="T671" s="2"/>
      <c r="U671" s="2"/>
      <c r="V671" s="2"/>
      <c r="W671" s="2"/>
    </row>
    <row r="672">
      <c r="A672" s="2"/>
      <c r="B672" s="2"/>
      <c r="C672" s="2"/>
      <c r="D672" s="2"/>
      <c r="E672" s="2"/>
      <c r="F672" s="2"/>
      <c r="G672" s="2"/>
      <c r="H672" s="2"/>
      <c r="I672" s="2"/>
      <c r="J672" s="2"/>
      <c r="K672" s="2"/>
      <c r="L672" s="2"/>
      <c r="M672" s="2"/>
      <c r="N672" s="2"/>
      <c r="O672" s="2"/>
      <c r="P672" s="2"/>
      <c r="Q672" s="2"/>
      <c r="R672" s="2"/>
      <c r="S672" s="2"/>
      <c r="T672" s="2"/>
      <c r="U672" s="2"/>
      <c r="V672" s="2"/>
      <c r="W672" s="2"/>
    </row>
    <row r="673">
      <c r="A673" s="2"/>
      <c r="B673" s="2"/>
      <c r="C673" s="2"/>
      <c r="D673" s="2"/>
      <c r="E673" s="2"/>
      <c r="F673" s="2"/>
      <c r="G673" s="2"/>
      <c r="H673" s="2"/>
      <c r="I673" s="2"/>
      <c r="J673" s="2"/>
      <c r="K673" s="2"/>
      <c r="L673" s="2"/>
      <c r="M673" s="2"/>
      <c r="N673" s="2"/>
      <c r="O673" s="2"/>
      <c r="P673" s="2"/>
      <c r="Q673" s="2"/>
      <c r="R673" s="2"/>
      <c r="S673" s="2"/>
      <c r="T673" s="2"/>
      <c r="U673" s="2"/>
      <c r="V673" s="2"/>
      <c r="W673" s="2"/>
    </row>
    <row r="674">
      <c r="A674" s="2"/>
      <c r="B674" s="2"/>
      <c r="C674" s="2"/>
      <c r="D674" s="2"/>
      <c r="E674" s="2"/>
      <c r="F674" s="2"/>
      <c r="G674" s="2"/>
      <c r="H674" s="2"/>
      <c r="I674" s="2"/>
      <c r="J674" s="2"/>
      <c r="K674" s="2"/>
      <c r="L674" s="2"/>
      <c r="M674" s="2"/>
      <c r="N674" s="2"/>
      <c r="O674" s="2"/>
      <c r="P674" s="2"/>
      <c r="Q674" s="2"/>
      <c r="R674" s="2"/>
      <c r="S674" s="2"/>
      <c r="T674" s="2"/>
      <c r="U674" s="2"/>
      <c r="V674" s="2"/>
      <c r="W674" s="2"/>
    </row>
    <row r="675">
      <c r="A675" s="2"/>
      <c r="B675" s="2"/>
      <c r="C675" s="2"/>
      <c r="D675" s="2"/>
      <c r="E675" s="2"/>
      <c r="F675" s="2"/>
      <c r="G675" s="2"/>
      <c r="H675" s="2"/>
      <c r="I675" s="2"/>
      <c r="J675" s="2"/>
      <c r="K675" s="2"/>
      <c r="L675" s="2"/>
      <c r="M675" s="2"/>
      <c r="N675" s="2"/>
      <c r="O675" s="2"/>
      <c r="P675" s="2"/>
      <c r="Q675" s="2"/>
      <c r="R675" s="2"/>
      <c r="S675" s="2"/>
      <c r="T675" s="2"/>
      <c r="U675" s="2"/>
      <c r="V675" s="2"/>
      <c r="W675" s="2"/>
    </row>
    <row r="676">
      <c r="A676" s="2"/>
      <c r="B676" s="2"/>
      <c r="C676" s="2"/>
      <c r="D676" s="2"/>
      <c r="E676" s="2"/>
      <c r="F676" s="2"/>
      <c r="G676" s="2"/>
      <c r="H676" s="2"/>
      <c r="I676" s="2"/>
      <c r="J676" s="2"/>
      <c r="K676" s="2"/>
      <c r="L676" s="2"/>
      <c r="M676" s="2"/>
      <c r="N676" s="2"/>
      <c r="O676" s="2"/>
      <c r="P676" s="2"/>
      <c r="Q676" s="2"/>
      <c r="R676" s="2"/>
      <c r="S676" s="2"/>
      <c r="T676" s="2"/>
      <c r="U676" s="2"/>
      <c r="V676" s="2"/>
      <c r="W676" s="2"/>
    </row>
    <row r="677">
      <c r="A677" s="2"/>
      <c r="B677" s="2"/>
      <c r="C677" s="2"/>
      <c r="D677" s="2"/>
      <c r="E677" s="2"/>
      <c r="F677" s="2"/>
      <c r="G677" s="2"/>
      <c r="H677" s="2"/>
      <c r="I677" s="2"/>
      <c r="J677" s="2"/>
      <c r="K677" s="2"/>
      <c r="L677" s="2"/>
      <c r="M677" s="2"/>
      <c r="N677" s="2"/>
      <c r="O677" s="2"/>
      <c r="P677" s="2"/>
      <c r="Q677" s="2"/>
      <c r="R677" s="2"/>
      <c r="S677" s="2"/>
      <c r="T677" s="2"/>
      <c r="U677" s="2"/>
      <c r="V677" s="2"/>
      <c r="W677" s="2"/>
    </row>
    <row r="678">
      <c r="A678" s="2"/>
      <c r="B678" s="2"/>
      <c r="C678" s="2"/>
      <c r="D678" s="2"/>
      <c r="E678" s="2"/>
      <c r="F678" s="2"/>
      <c r="G678" s="2"/>
      <c r="H678" s="2"/>
      <c r="I678" s="2"/>
      <c r="J678" s="2"/>
      <c r="K678" s="2"/>
      <c r="L678" s="2"/>
      <c r="M678" s="2"/>
      <c r="N678" s="2"/>
      <c r="O678" s="2"/>
      <c r="P678" s="2"/>
      <c r="Q678" s="2"/>
      <c r="R678" s="2"/>
      <c r="S678" s="2"/>
      <c r="T678" s="2"/>
      <c r="U678" s="2"/>
      <c r="V678" s="2"/>
      <c r="W678" s="2"/>
    </row>
    <row r="679">
      <c r="A679" s="2"/>
      <c r="B679" s="2"/>
      <c r="C679" s="2"/>
      <c r="D679" s="2"/>
      <c r="E679" s="2"/>
      <c r="F679" s="2"/>
      <c r="G679" s="2"/>
      <c r="H679" s="2"/>
      <c r="I679" s="2"/>
      <c r="J679" s="2"/>
      <c r="K679" s="2"/>
      <c r="L679" s="2"/>
      <c r="M679" s="2"/>
      <c r="N679" s="2"/>
      <c r="O679" s="2"/>
      <c r="P679" s="2"/>
      <c r="Q679" s="2"/>
      <c r="R679" s="2"/>
      <c r="S679" s="2"/>
      <c r="T679" s="2"/>
      <c r="U679" s="2"/>
      <c r="V679" s="2"/>
      <c r="W679" s="2"/>
    </row>
    <row r="680">
      <c r="A680" s="2"/>
      <c r="B680" s="2"/>
      <c r="C680" s="2"/>
      <c r="D680" s="2"/>
      <c r="E680" s="2"/>
      <c r="F680" s="2"/>
      <c r="G680" s="2"/>
      <c r="H680" s="2"/>
      <c r="I680" s="2"/>
      <c r="J680" s="2"/>
      <c r="K680" s="2"/>
      <c r="L680" s="2"/>
      <c r="M680" s="2"/>
      <c r="N680" s="2"/>
      <c r="O680" s="2"/>
      <c r="P680" s="2"/>
      <c r="Q680" s="2"/>
      <c r="R680" s="2"/>
      <c r="S680" s="2"/>
      <c r="T680" s="2"/>
      <c r="U680" s="2"/>
      <c r="V680" s="2"/>
      <c r="W680" s="2"/>
    </row>
    <row r="681">
      <c r="A681" s="2"/>
      <c r="B681" s="2"/>
      <c r="C681" s="2"/>
      <c r="D681" s="2"/>
      <c r="E681" s="2"/>
      <c r="F681" s="2"/>
      <c r="G681" s="2"/>
      <c r="H681" s="2"/>
      <c r="I681" s="2"/>
      <c r="J681" s="2"/>
      <c r="K681" s="2"/>
      <c r="L681" s="2"/>
      <c r="M681" s="2"/>
      <c r="N681" s="2"/>
      <c r="O681" s="2"/>
      <c r="P681" s="2"/>
      <c r="Q681" s="2"/>
      <c r="R681" s="2"/>
      <c r="S681" s="2"/>
      <c r="T681" s="2"/>
      <c r="U681" s="2"/>
      <c r="V681" s="2"/>
      <c r="W681" s="2"/>
    </row>
    <row r="682">
      <c r="A682" s="2"/>
      <c r="B682" s="2"/>
      <c r="C682" s="2"/>
      <c r="D682" s="2"/>
      <c r="E682" s="2"/>
      <c r="F682" s="2"/>
      <c r="G682" s="2"/>
      <c r="H682" s="2"/>
      <c r="I682" s="2"/>
      <c r="J682" s="2"/>
      <c r="K682" s="2"/>
      <c r="L682" s="2"/>
      <c r="M682" s="2"/>
      <c r="N682" s="2"/>
      <c r="O682" s="2"/>
      <c r="P682" s="2"/>
      <c r="Q682" s="2"/>
      <c r="R682" s="2"/>
      <c r="S682" s="2"/>
      <c r="T682" s="2"/>
      <c r="U682" s="2"/>
      <c r="V682" s="2"/>
      <c r="W682" s="2"/>
    </row>
    <row r="683">
      <c r="A683" s="2"/>
      <c r="B683" s="2"/>
      <c r="C683" s="2"/>
      <c r="D683" s="2"/>
      <c r="E683" s="2"/>
      <c r="F683" s="2"/>
      <c r="G683" s="2"/>
      <c r="H683" s="2"/>
      <c r="I683" s="2"/>
      <c r="J683" s="2"/>
      <c r="K683" s="2"/>
      <c r="L683" s="2"/>
      <c r="M683" s="2"/>
      <c r="N683" s="2"/>
      <c r="O683" s="2"/>
      <c r="P683" s="2"/>
      <c r="Q683" s="2"/>
      <c r="R683" s="2"/>
      <c r="S683" s="2"/>
      <c r="T683" s="2"/>
      <c r="U683" s="2"/>
      <c r="V683" s="2"/>
      <c r="W683" s="2"/>
    </row>
    <row r="684">
      <c r="A684" s="2"/>
      <c r="B684" s="2"/>
      <c r="C684" s="2"/>
      <c r="D684" s="2"/>
      <c r="E684" s="2"/>
      <c r="F684" s="2"/>
      <c r="G684" s="2"/>
      <c r="H684" s="2"/>
      <c r="I684" s="2"/>
      <c r="J684" s="2"/>
      <c r="K684" s="2"/>
      <c r="L684" s="2"/>
      <c r="M684" s="2"/>
      <c r="N684" s="2"/>
      <c r="O684" s="2"/>
      <c r="P684" s="2"/>
      <c r="Q684" s="2"/>
      <c r="R684" s="2"/>
      <c r="S684" s="2"/>
      <c r="T684" s="2"/>
      <c r="U684" s="2"/>
      <c r="V684" s="2"/>
      <c r="W684" s="2"/>
    </row>
    <row r="685">
      <c r="A685" s="2"/>
      <c r="B685" s="2"/>
      <c r="C685" s="2"/>
      <c r="D685" s="2"/>
      <c r="E685" s="2"/>
      <c r="F685" s="2"/>
      <c r="G685" s="2"/>
      <c r="H685" s="2"/>
      <c r="I685" s="2"/>
      <c r="J685" s="2"/>
      <c r="K685" s="2"/>
      <c r="L685" s="2"/>
      <c r="M685" s="2"/>
      <c r="N685" s="2"/>
      <c r="O685" s="2"/>
      <c r="P685" s="2"/>
      <c r="Q685" s="2"/>
      <c r="R685" s="2"/>
      <c r="S685" s="2"/>
      <c r="T685" s="2"/>
      <c r="U685" s="2"/>
      <c r="V685" s="2"/>
      <c r="W685" s="2"/>
    </row>
    <row r="686">
      <c r="A686" s="2"/>
      <c r="B686" s="2"/>
      <c r="C686" s="2"/>
      <c r="D686" s="2"/>
      <c r="E686" s="2"/>
      <c r="F686" s="2"/>
      <c r="G686" s="2"/>
      <c r="H686" s="2"/>
      <c r="I686" s="2"/>
      <c r="J686" s="2"/>
      <c r="K686" s="2"/>
      <c r="L686" s="2"/>
      <c r="M686" s="2"/>
      <c r="N686" s="2"/>
      <c r="O686" s="2"/>
      <c r="P686" s="2"/>
      <c r="Q686" s="2"/>
      <c r="R686" s="2"/>
      <c r="S686" s="2"/>
      <c r="T686" s="2"/>
      <c r="U686" s="2"/>
      <c r="V686" s="2"/>
      <c r="W686" s="2"/>
    </row>
    <row r="687">
      <c r="A687" s="2"/>
      <c r="B687" s="2"/>
      <c r="C687" s="2"/>
      <c r="D687" s="2"/>
      <c r="E687" s="2"/>
      <c r="F687" s="2"/>
      <c r="G687" s="2"/>
      <c r="H687" s="2"/>
      <c r="I687" s="2"/>
      <c r="J687" s="2"/>
      <c r="K687" s="2"/>
      <c r="L687" s="2"/>
      <c r="M687" s="2"/>
      <c r="N687" s="2"/>
      <c r="O687" s="2"/>
      <c r="P687" s="2"/>
      <c r="Q687" s="2"/>
      <c r="R687" s="2"/>
      <c r="S687" s="2"/>
      <c r="T687" s="2"/>
      <c r="U687" s="2"/>
      <c r="V687" s="2"/>
      <c r="W687" s="2"/>
    </row>
    <row r="688">
      <c r="A688" s="2"/>
      <c r="B688" s="2"/>
      <c r="C688" s="2"/>
      <c r="D688" s="2"/>
      <c r="E688" s="2"/>
      <c r="F688" s="2"/>
      <c r="G688" s="2"/>
      <c r="H688" s="2"/>
      <c r="I688" s="2"/>
      <c r="J688" s="2"/>
      <c r="K688" s="2"/>
      <c r="L688" s="2"/>
      <c r="M688" s="2"/>
      <c r="N688" s="2"/>
      <c r="O688" s="2"/>
      <c r="P688" s="2"/>
      <c r="Q688" s="2"/>
      <c r="R688" s="2"/>
      <c r="S688" s="2"/>
      <c r="T688" s="2"/>
      <c r="U688" s="2"/>
      <c r="V688" s="2"/>
      <c r="W688" s="2"/>
    </row>
    <row r="689">
      <c r="A689" s="2"/>
      <c r="B689" s="2"/>
      <c r="C689" s="2"/>
      <c r="D689" s="2"/>
      <c r="E689" s="2"/>
      <c r="F689" s="2"/>
      <c r="G689" s="2"/>
      <c r="H689" s="2"/>
      <c r="I689" s="2"/>
      <c r="J689" s="2"/>
      <c r="K689" s="2"/>
      <c r="L689" s="2"/>
      <c r="M689" s="2"/>
      <c r="N689" s="2"/>
      <c r="O689" s="2"/>
      <c r="P689" s="2"/>
      <c r="Q689" s="2"/>
      <c r="R689" s="2"/>
      <c r="S689" s="2"/>
      <c r="T689" s="2"/>
      <c r="U689" s="2"/>
      <c r="V689" s="2"/>
      <c r="W689" s="2"/>
    </row>
    <row r="690">
      <c r="A690" s="2"/>
      <c r="B690" s="2"/>
      <c r="C690" s="2"/>
      <c r="D690" s="2"/>
      <c r="E690" s="2"/>
      <c r="F690" s="2"/>
      <c r="G690" s="2"/>
      <c r="H690" s="2"/>
      <c r="I690" s="2"/>
      <c r="J690" s="2"/>
      <c r="K690" s="2"/>
      <c r="L690" s="2"/>
      <c r="M690" s="2"/>
      <c r="N690" s="2"/>
      <c r="O690" s="2"/>
      <c r="P690" s="2"/>
      <c r="Q690" s="2"/>
      <c r="R690" s="2"/>
      <c r="S690" s="2"/>
      <c r="T690" s="2"/>
      <c r="U690" s="2"/>
      <c r="V690" s="2"/>
      <c r="W690" s="2"/>
    </row>
    <row r="691">
      <c r="A691" s="2"/>
      <c r="B691" s="2"/>
      <c r="C691" s="2"/>
      <c r="D691" s="2"/>
      <c r="E691" s="2"/>
      <c r="F691" s="2"/>
      <c r="G691" s="2"/>
      <c r="H691" s="2"/>
      <c r="I691" s="2"/>
      <c r="J691" s="2"/>
      <c r="K691" s="2"/>
      <c r="L691" s="2"/>
      <c r="M691" s="2"/>
      <c r="N691" s="2"/>
      <c r="O691" s="2"/>
      <c r="P691" s="2"/>
      <c r="Q691" s="2"/>
      <c r="R691" s="2"/>
      <c r="S691" s="2"/>
      <c r="T691" s="2"/>
      <c r="U691" s="2"/>
      <c r="V691" s="2"/>
      <c r="W691" s="2"/>
    </row>
    <row r="692">
      <c r="A692" s="2"/>
      <c r="B692" s="2"/>
      <c r="C692" s="2"/>
      <c r="D692" s="2"/>
      <c r="E692" s="2"/>
      <c r="F692" s="2"/>
      <c r="G692" s="2"/>
      <c r="H692" s="2"/>
      <c r="I692" s="2"/>
      <c r="J692" s="2"/>
      <c r="K692" s="2"/>
      <c r="L692" s="2"/>
      <c r="M692" s="2"/>
      <c r="N692" s="2"/>
      <c r="O692" s="2"/>
      <c r="P692" s="2"/>
      <c r="Q692" s="2"/>
      <c r="R692" s="2"/>
      <c r="S692" s="2"/>
      <c r="T692" s="2"/>
      <c r="U692" s="2"/>
      <c r="V692" s="2"/>
      <c r="W692" s="2"/>
    </row>
    <row r="693">
      <c r="A693" s="2"/>
      <c r="B693" s="2"/>
      <c r="C693" s="2"/>
      <c r="D693" s="2"/>
      <c r="E693" s="2"/>
      <c r="F693" s="2"/>
      <c r="G693" s="2"/>
      <c r="H693" s="2"/>
      <c r="I693" s="2"/>
      <c r="J693" s="2"/>
      <c r="K693" s="2"/>
      <c r="L693" s="2"/>
      <c r="M693" s="2"/>
      <c r="N693" s="2"/>
      <c r="O693" s="2"/>
      <c r="P693" s="2"/>
      <c r="Q693" s="2"/>
      <c r="R693" s="2"/>
      <c r="S693" s="2"/>
      <c r="T693" s="2"/>
      <c r="U693" s="2"/>
      <c r="V693" s="2"/>
      <c r="W693" s="2"/>
    </row>
    <row r="694">
      <c r="A694" s="2"/>
      <c r="B694" s="2"/>
      <c r="C694" s="2"/>
      <c r="D694" s="2"/>
      <c r="E694" s="2"/>
      <c r="F694" s="2"/>
      <c r="G694" s="2"/>
      <c r="H694" s="2"/>
      <c r="I694" s="2"/>
      <c r="J694" s="2"/>
      <c r="K694" s="2"/>
      <c r="L694" s="2"/>
      <c r="M694" s="2"/>
      <c r="N694" s="2"/>
      <c r="O694" s="2"/>
      <c r="P694" s="2"/>
      <c r="Q694" s="2"/>
      <c r="R694" s="2"/>
      <c r="S694" s="2"/>
      <c r="T694" s="2"/>
      <c r="U694" s="2"/>
      <c r="V694" s="2"/>
      <c r="W694" s="2"/>
    </row>
    <row r="695">
      <c r="A695" s="2"/>
      <c r="B695" s="2"/>
      <c r="C695" s="2"/>
      <c r="D695" s="2"/>
      <c r="E695" s="2"/>
      <c r="F695" s="2"/>
      <c r="G695" s="2"/>
      <c r="H695" s="2"/>
      <c r="I695" s="2"/>
      <c r="J695" s="2"/>
      <c r="K695" s="2"/>
      <c r="L695" s="2"/>
      <c r="M695" s="2"/>
      <c r="N695" s="2"/>
      <c r="O695" s="2"/>
      <c r="P695" s="2"/>
      <c r="Q695" s="2"/>
      <c r="R695" s="2"/>
      <c r="S695" s="2"/>
      <c r="T695" s="2"/>
      <c r="U695" s="2"/>
      <c r="V695" s="2"/>
      <c r="W695" s="2"/>
    </row>
    <row r="696">
      <c r="A696" s="2"/>
      <c r="B696" s="2"/>
      <c r="C696" s="2"/>
      <c r="D696" s="2"/>
      <c r="E696" s="2"/>
      <c r="F696" s="2"/>
      <c r="G696" s="2"/>
      <c r="H696" s="2"/>
      <c r="I696" s="2"/>
      <c r="J696" s="2"/>
      <c r="K696" s="2"/>
      <c r="L696" s="2"/>
      <c r="M696" s="2"/>
      <c r="N696" s="2"/>
      <c r="O696" s="2"/>
      <c r="P696" s="2"/>
      <c r="Q696" s="2"/>
      <c r="R696" s="2"/>
      <c r="S696" s="2"/>
      <c r="T696" s="2"/>
      <c r="U696" s="2"/>
      <c r="V696" s="2"/>
      <c r="W696" s="2"/>
    </row>
    <row r="697">
      <c r="A697" s="2"/>
      <c r="B697" s="2"/>
      <c r="C697" s="2"/>
      <c r="D697" s="2"/>
      <c r="E697" s="2"/>
      <c r="F697" s="2"/>
      <c r="G697" s="2"/>
      <c r="H697" s="2"/>
      <c r="I697" s="2"/>
      <c r="J697" s="2"/>
      <c r="K697" s="2"/>
      <c r="L697" s="2"/>
      <c r="M697" s="2"/>
      <c r="N697" s="2"/>
      <c r="O697" s="2"/>
      <c r="P697" s="2"/>
      <c r="Q697" s="2"/>
      <c r="R697" s="2"/>
      <c r="S697" s="2"/>
      <c r="T697" s="2"/>
      <c r="U697" s="2"/>
      <c r="V697" s="2"/>
      <c r="W697" s="2"/>
    </row>
    <row r="698">
      <c r="A698" s="2"/>
      <c r="B698" s="2"/>
      <c r="C698" s="2"/>
      <c r="D698" s="2"/>
      <c r="E698" s="2"/>
      <c r="F698" s="2"/>
      <c r="G698" s="2"/>
      <c r="H698" s="2"/>
      <c r="I698" s="2"/>
      <c r="J698" s="2"/>
      <c r="K698" s="2"/>
      <c r="L698" s="2"/>
      <c r="M698" s="2"/>
      <c r="N698" s="2"/>
      <c r="O698" s="2"/>
      <c r="P698" s="2"/>
      <c r="Q698" s="2"/>
      <c r="R698" s="2"/>
      <c r="S698" s="2"/>
      <c r="T698" s="2"/>
      <c r="U698" s="2"/>
      <c r="V698" s="2"/>
      <c r="W698" s="2"/>
    </row>
    <row r="699">
      <c r="A699" s="2"/>
      <c r="B699" s="2"/>
      <c r="C699" s="2"/>
      <c r="D699" s="2"/>
      <c r="E699" s="2"/>
      <c r="F699" s="2"/>
      <c r="G699" s="2"/>
      <c r="H699" s="2"/>
      <c r="I699" s="2"/>
      <c r="J699" s="2"/>
      <c r="K699" s="2"/>
      <c r="L699" s="2"/>
      <c r="M699" s="2"/>
      <c r="N699" s="2"/>
      <c r="O699" s="2"/>
      <c r="P699" s="2"/>
      <c r="Q699" s="2"/>
      <c r="R699" s="2"/>
      <c r="S699" s="2"/>
      <c r="T699" s="2"/>
      <c r="U699" s="2"/>
      <c r="V699" s="2"/>
      <c r="W699" s="2"/>
    </row>
    <row r="700">
      <c r="A700" s="2"/>
      <c r="B700" s="2"/>
      <c r="C700" s="2"/>
      <c r="D700" s="2"/>
      <c r="E700" s="2"/>
      <c r="F700" s="2"/>
      <c r="G700" s="2"/>
      <c r="H700" s="2"/>
      <c r="I700" s="2"/>
      <c r="J700" s="2"/>
      <c r="K700" s="2"/>
      <c r="L700" s="2"/>
      <c r="M700" s="2"/>
      <c r="N700" s="2"/>
      <c r="O700" s="2"/>
      <c r="P700" s="2"/>
      <c r="Q700" s="2"/>
      <c r="R700" s="2"/>
      <c r="S700" s="2"/>
      <c r="T700" s="2"/>
      <c r="U700" s="2"/>
      <c r="V700" s="2"/>
      <c r="W700" s="2"/>
    </row>
    <row r="701">
      <c r="A701" s="2"/>
      <c r="B701" s="2"/>
      <c r="C701" s="2"/>
      <c r="D701" s="2"/>
      <c r="E701" s="2"/>
      <c r="F701" s="2"/>
      <c r="G701" s="2"/>
      <c r="H701" s="2"/>
      <c r="I701" s="2"/>
      <c r="J701" s="2"/>
      <c r="K701" s="2"/>
      <c r="L701" s="2"/>
      <c r="M701" s="2"/>
      <c r="N701" s="2"/>
      <c r="O701" s="2"/>
      <c r="P701" s="2"/>
      <c r="Q701" s="2"/>
      <c r="R701" s="2"/>
      <c r="S701" s="2"/>
      <c r="T701" s="2"/>
      <c r="U701" s="2"/>
      <c r="V701" s="2"/>
      <c r="W701" s="2"/>
    </row>
    <row r="702">
      <c r="A702" s="2"/>
      <c r="B702" s="2"/>
      <c r="C702" s="2"/>
      <c r="D702" s="2"/>
      <c r="E702" s="2"/>
      <c r="F702" s="2"/>
      <c r="G702" s="2"/>
      <c r="H702" s="2"/>
      <c r="I702" s="2"/>
      <c r="J702" s="2"/>
      <c r="K702" s="2"/>
      <c r="L702" s="2"/>
      <c r="M702" s="2"/>
      <c r="N702" s="2"/>
      <c r="O702" s="2"/>
      <c r="P702" s="2"/>
      <c r="Q702" s="2"/>
      <c r="R702" s="2"/>
      <c r="S702" s="2"/>
      <c r="T702" s="2"/>
      <c r="U702" s="2"/>
      <c r="V702" s="2"/>
      <c r="W702" s="2"/>
    </row>
    <row r="703">
      <c r="A703" s="2"/>
      <c r="B703" s="2"/>
      <c r="C703" s="2"/>
      <c r="D703" s="2"/>
      <c r="E703" s="2"/>
      <c r="F703" s="2"/>
      <c r="G703" s="2"/>
      <c r="H703" s="2"/>
      <c r="I703" s="2"/>
      <c r="J703" s="2"/>
      <c r="K703" s="2"/>
      <c r="L703" s="2"/>
      <c r="M703" s="2"/>
      <c r="N703" s="2"/>
      <c r="O703" s="2"/>
      <c r="P703" s="2"/>
      <c r="Q703" s="2"/>
      <c r="R703" s="2"/>
      <c r="S703" s="2"/>
      <c r="T703" s="2"/>
      <c r="U703" s="2"/>
      <c r="V703" s="2"/>
      <c r="W703" s="2"/>
    </row>
    <row r="704">
      <c r="A704" s="2"/>
      <c r="B704" s="2"/>
      <c r="C704" s="2"/>
      <c r="D704" s="2"/>
      <c r="E704" s="2"/>
      <c r="F704" s="2"/>
      <c r="G704" s="2"/>
      <c r="H704" s="2"/>
      <c r="I704" s="2"/>
      <c r="J704" s="2"/>
      <c r="K704" s="2"/>
      <c r="L704" s="2"/>
      <c r="M704" s="2"/>
      <c r="N704" s="2"/>
      <c r="O704" s="2"/>
      <c r="P704" s="2"/>
      <c r="Q704" s="2"/>
      <c r="R704" s="2"/>
      <c r="S704" s="2"/>
      <c r="T704" s="2"/>
      <c r="U704" s="2"/>
      <c r="V704" s="2"/>
      <c r="W704" s="2"/>
    </row>
    <row r="705">
      <c r="A705" s="2"/>
      <c r="B705" s="2"/>
      <c r="C705" s="2"/>
      <c r="D705" s="2"/>
      <c r="E705" s="2"/>
      <c r="F705" s="2"/>
      <c r="G705" s="2"/>
      <c r="H705" s="2"/>
      <c r="I705" s="2"/>
      <c r="J705" s="2"/>
      <c r="K705" s="2"/>
      <c r="L705" s="2"/>
      <c r="M705" s="2"/>
      <c r="N705" s="2"/>
      <c r="O705" s="2"/>
      <c r="P705" s="2"/>
      <c r="Q705" s="2"/>
      <c r="R705" s="2"/>
      <c r="S705" s="2"/>
      <c r="T705" s="2"/>
      <c r="U705" s="2"/>
      <c r="V705" s="2"/>
      <c r="W705" s="2"/>
    </row>
    <row r="706">
      <c r="A706" s="2"/>
      <c r="B706" s="2"/>
      <c r="C706" s="2"/>
      <c r="D706" s="2"/>
      <c r="E706" s="2"/>
      <c r="F706" s="2"/>
      <c r="G706" s="2"/>
      <c r="H706" s="2"/>
      <c r="I706" s="2"/>
      <c r="J706" s="2"/>
      <c r="K706" s="2"/>
      <c r="L706" s="2"/>
      <c r="M706" s="2"/>
      <c r="N706" s="2"/>
      <c r="O706" s="2"/>
      <c r="P706" s="2"/>
      <c r="Q706" s="2"/>
      <c r="R706" s="2"/>
      <c r="S706" s="2"/>
      <c r="T706" s="2"/>
      <c r="U706" s="2"/>
      <c r="V706" s="2"/>
      <c r="W706" s="2"/>
    </row>
    <row r="707">
      <c r="A707" s="2"/>
      <c r="B707" s="2"/>
      <c r="C707" s="2"/>
      <c r="D707" s="2"/>
      <c r="E707" s="2"/>
      <c r="F707" s="2"/>
      <c r="G707" s="2"/>
      <c r="H707" s="2"/>
      <c r="I707" s="2"/>
      <c r="J707" s="2"/>
      <c r="K707" s="2"/>
      <c r="L707" s="2"/>
      <c r="M707" s="2"/>
      <c r="N707" s="2"/>
      <c r="O707" s="2"/>
      <c r="P707" s="2"/>
      <c r="Q707" s="2"/>
      <c r="R707" s="2"/>
      <c r="S707" s="2"/>
      <c r="T707" s="2"/>
      <c r="U707" s="2"/>
      <c r="V707" s="2"/>
      <c r="W707" s="2"/>
    </row>
    <row r="708">
      <c r="A708" s="2"/>
      <c r="B708" s="2"/>
      <c r="C708" s="2"/>
      <c r="D708" s="2"/>
      <c r="E708" s="2"/>
      <c r="F708" s="2"/>
      <c r="G708" s="2"/>
      <c r="H708" s="2"/>
      <c r="I708" s="2"/>
      <c r="J708" s="2"/>
      <c r="K708" s="2"/>
      <c r="L708" s="2"/>
      <c r="M708" s="2"/>
      <c r="N708" s="2"/>
      <c r="O708" s="2"/>
      <c r="P708" s="2"/>
      <c r="Q708" s="2"/>
      <c r="R708" s="2"/>
      <c r="S708" s="2"/>
      <c r="T708" s="2"/>
      <c r="U708" s="2"/>
      <c r="V708" s="2"/>
      <c r="W708" s="2"/>
    </row>
    <row r="709">
      <c r="A709" s="2"/>
      <c r="B709" s="2"/>
      <c r="C709" s="2"/>
      <c r="D709" s="2"/>
      <c r="E709" s="2"/>
      <c r="F709" s="2"/>
      <c r="G709" s="2"/>
      <c r="H709" s="2"/>
      <c r="I709" s="2"/>
      <c r="J709" s="2"/>
      <c r="K709" s="2"/>
      <c r="L709" s="2"/>
      <c r="M709" s="2"/>
      <c r="N709" s="2"/>
      <c r="O709" s="2"/>
      <c r="P709" s="2"/>
      <c r="Q709" s="2"/>
      <c r="R709" s="2"/>
      <c r="S709" s="2"/>
      <c r="T709" s="2"/>
      <c r="U709" s="2"/>
      <c r="V709" s="2"/>
      <c r="W709" s="2"/>
    </row>
    <row r="710">
      <c r="A710" s="2"/>
      <c r="B710" s="2"/>
      <c r="C710" s="2"/>
      <c r="D710" s="2"/>
      <c r="E710" s="2"/>
      <c r="F710" s="2"/>
      <c r="G710" s="2"/>
      <c r="H710" s="2"/>
      <c r="I710" s="2"/>
      <c r="J710" s="2"/>
      <c r="K710" s="2"/>
      <c r="L710" s="2"/>
      <c r="M710" s="2"/>
      <c r="N710" s="2"/>
      <c r="O710" s="2"/>
      <c r="P710" s="2"/>
      <c r="Q710" s="2"/>
      <c r="R710" s="2"/>
      <c r="S710" s="2"/>
      <c r="T710" s="2"/>
      <c r="U710" s="2"/>
      <c r="V710" s="2"/>
      <c r="W710" s="2"/>
    </row>
    <row r="711">
      <c r="A711" s="2"/>
      <c r="B711" s="2"/>
      <c r="C711" s="2"/>
      <c r="D711" s="2"/>
      <c r="E711" s="2"/>
      <c r="F711" s="2"/>
      <c r="G711" s="2"/>
      <c r="H711" s="2"/>
      <c r="I711" s="2"/>
      <c r="J711" s="2"/>
      <c r="K711" s="2"/>
      <c r="L711" s="2"/>
      <c r="M711" s="2"/>
      <c r="N711" s="2"/>
      <c r="O711" s="2"/>
      <c r="P711" s="2"/>
      <c r="Q711" s="2"/>
      <c r="R711" s="2"/>
      <c r="S711" s="2"/>
      <c r="T711" s="2"/>
      <c r="U711" s="2"/>
      <c r="V711" s="2"/>
      <c r="W711" s="2"/>
    </row>
    <row r="712">
      <c r="A712" s="2"/>
      <c r="B712" s="2"/>
      <c r="C712" s="2"/>
      <c r="D712" s="2"/>
      <c r="E712" s="2"/>
      <c r="F712" s="2"/>
      <c r="G712" s="2"/>
      <c r="H712" s="2"/>
      <c r="I712" s="2"/>
      <c r="J712" s="2"/>
      <c r="K712" s="2"/>
      <c r="L712" s="2"/>
      <c r="M712" s="2"/>
      <c r="N712" s="2"/>
      <c r="O712" s="2"/>
      <c r="P712" s="2"/>
      <c r="Q712" s="2"/>
      <c r="R712" s="2"/>
      <c r="S712" s="2"/>
      <c r="T712" s="2"/>
      <c r="U712" s="2"/>
      <c r="V712" s="2"/>
      <c r="W712" s="2"/>
    </row>
    <row r="713">
      <c r="A713" s="2"/>
      <c r="B713" s="2"/>
      <c r="C713" s="2"/>
      <c r="D713" s="2"/>
      <c r="E713" s="2"/>
      <c r="F713" s="2"/>
      <c r="G713" s="2"/>
      <c r="H713" s="2"/>
      <c r="I713" s="2"/>
      <c r="J713" s="2"/>
      <c r="K713" s="2"/>
      <c r="L713" s="2"/>
      <c r="M713" s="2"/>
      <c r="N713" s="2"/>
      <c r="O713" s="2"/>
      <c r="P713" s="2"/>
      <c r="Q713" s="2"/>
      <c r="R713" s="2"/>
      <c r="S713" s="2"/>
      <c r="T713" s="2"/>
      <c r="U713" s="2"/>
      <c r="V713" s="2"/>
      <c r="W713" s="2"/>
    </row>
    <row r="714">
      <c r="A714" s="2"/>
      <c r="B714" s="2"/>
      <c r="C714" s="2"/>
      <c r="D714" s="2"/>
      <c r="E714" s="2"/>
      <c r="F714" s="2"/>
      <c r="G714" s="2"/>
      <c r="H714" s="2"/>
      <c r="I714" s="2"/>
      <c r="J714" s="2"/>
      <c r="K714" s="2"/>
      <c r="L714" s="2"/>
      <c r="M714" s="2"/>
      <c r="N714" s="2"/>
      <c r="O714" s="2"/>
      <c r="P714" s="2"/>
      <c r="Q714" s="2"/>
      <c r="R714" s="2"/>
      <c r="S714" s="2"/>
      <c r="T714" s="2"/>
      <c r="U714" s="2"/>
      <c r="V714" s="2"/>
      <c r="W714" s="2"/>
    </row>
    <row r="715">
      <c r="A715" s="2"/>
      <c r="B715" s="2"/>
      <c r="C715" s="2"/>
      <c r="D715" s="2"/>
      <c r="E715" s="2"/>
      <c r="F715" s="2"/>
      <c r="G715" s="2"/>
      <c r="H715" s="2"/>
      <c r="I715" s="2"/>
      <c r="J715" s="2"/>
      <c r="K715" s="2"/>
      <c r="L715" s="2"/>
      <c r="M715" s="2"/>
      <c r="N715" s="2"/>
      <c r="O715" s="2"/>
      <c r="P715" s="2"/>
      <c r="Q715" s="2"/>
      <c r="R715" s="2"/>
      <c r="S715" s="2"/>
      <c r="T715" s="2"/>
      <c r="U715" s="2"/>
      <c r="V715" s="2"/>
      <c r="W715" s="2"/>
    </row>
    <row r="716">
      <c r="A716" s="2"/>
      <c r="B716" s="2"/>
      <c r="C716" s="2"/>
      <c r="D716" s="2"/>
      <c r="E716" s="2"/>
      <c r="F716" s="2"/>
      <c r="G716" s="2"/>
      <c r="H716" s="2"/>
      <c r="I716" s="2"/>
      <c r="J716" s="2"/>
      <c r="K716" s="2"/>
      <c r="L716" s="2"/>
      <c r="M716" s="2"/>
      <c r="N716" s="2"/>
      <c r="O716" s="2"/>
      <c r="P716" s="2"/>
      <c r="Q716" s="2"/>
      <c r="R716" s="2"/>
      <c r="S716" s="2"/>
      <c r="T716" s="2"/>
      <c r="U716" s="2"/>
      <c r="V716" s="2"/>
      <c r="W716" s="2"/>
    </row>
    <row r="717">
      <c r="A717" s="2"/>
      <c r="B717" s="2"/>
      <c r="C717" s="2"/>
      <c r="D717" s="2"/>
      <c r="E717" s="2"/>
      <c r="F717" s="2"/>
      <c r="G717" s="2"/>
      <c r="H717" s="2"/>
      <c r="I717" s="2"/>
      <c r="J717" s="2"/>
      <c r="K717" s="2"/>
      <c r="L717" s="2"/>
      <c r="M717" s="2"/>
      <c r="N717" s="2"/>
      <c r="O717" s="2"/>
      <c r="P717" s="2"/>
      <c r="Q717" s="2"/>
      <c r="R717" s="2"/>
      <c r="S717" s="2"/>
      <c r="T717" s="2"/>
      <c r="U717" s="2"/>
      <c r="V717" s="2"/>
      <c r="W717" s="2"/>
    </row>
    <row r="718">
      <c r="A718" s="2"/>
      <c r="B718" s="2"/>
      <c r="C718" s="2"/>
      <c r="D718" s="2"/>
      <c r="E718" s="2"/>
      <c r="F718" s="2"/>
      <c r="G718" s="2"/>
      <c r="H718" s="2"/>
      <c r="I718" s="2"/>
      <c r="J718" s="2"/>
      <c r="K718" s="2"/>
      <c r="L718" s="2"/>
      <c r="M718" s="2"/>
      <c r="N718" s="2"/>
      <c r="O718" s="2"/>
      <c r="P718" s="2"/>
      <c r="Q718" s="2"/>
      <c r="R718" s="2"/>
      <c r="S718" s="2"/>
      <c r="T718" s="2"/>
      <c r="U718" s="2"/>
      <c r="V718" s="2"/>
      <c r="W718" s="2"/>
    </row>
    <row r="719">
      <c r="A719" s="2"/>
      <c r="B719" s="2"/>
      <c r="C719" s="2"/>
      <c r="D719" s="2"/>
      <c r="E719" s="2"/>
      <c r="F719" s="2"/>
      <c r="G719" s="2"/>
      <c r="H719" s="2"/>
      <c r="I719" s="2"/>
      <c r="J719" s="2"/>
      <c r="K719" s="2"/>
      <c r="L719" s="2"/>
      <c r="M719" s="2"/>
      <c r="N719" s="2"/>
      <c r="O719" s="2"/>
      <c r="P719" s="2"/>
      <c r="Q719" s="2"/>
      <c r="R719" s="2"/>
      <c r="S719" s="2"/>
      <c r="T719" s="2"/>
      <c r="U719" s="2"/>
      <c r="V719" s="2"/>
      <c r="W719" s="2"/>
    </row>
    <row r="720">
      <c r="A720" s="2"/>
      <c r="B720" s="2"/>
      <c r="C720" s="2"/>
      <c r="D720" s="2"/>
      <c r="E720" s="2"/>
      <c r="F720" s="2"/>
      <c r="G720" s="2"/>
      <c r="H720" s="2"/>
      <c r="I720" s="2"/>
      <c r="J720" s="2"/>
      <c r="K720" s="2"/>
      <c r="L720" s="2"/>
      <c r="M720" s="2"/>
      <c r="N720" s="2"/>
      <c r="O720" s="2"/>
      <c r="P720" s="2"/>
      <c r="Q720" s="2"/>
      <c r="R720" s="2"/>
      <c r="S720" s="2"/>
      <c r="T720" s="2"/>
      <c r="U720" s="2"/>
      <c r="V720" s="2"/>
      <c r="W720" s="2"/>
    </row>
    <row r="721">
      <c r="A721" s="2"/>
      <c r="B721" s="2"/>
      <c r="C721" s="2"/>
      <c r="D721" s="2"/>
      <c r="E721" s="2"/>
      <c r="F721" s="2"/>
      <c r="G721" s="2"/>
      <c r="H721" s="2"/>
      <c r="I721" s="2"/>
      <c r="J721" s="2"/>
      <c r="K721" s="2"/>
      <c r="L721" s="2"/>
      <c r="M721" s="2"/>
      <c r="N721" s="2"/>
      <c r="O721" s="2"/>
      <c r="P721" s="2"/>
      <c r="Q721" s="2"/>
      <c r="R721" s="2"/>
      <c r="S721" s="2"/>
      <c r="T721" s="2"/>
      <c r="U721" s="2"/>
      <c r="V721" s="2"/>
      <c r="W721" s="2"/>
    </row>
    <row r="722">
      <c r="A722" s="2"/>
      <c r="B722" s="2"/>
      <c r="C722" s="2"/>
      <c r="D722" s="2"/>
      <c r="E722" s="2"/>
      <c r="F722" s="2"/>
      <c r="G722" s="2"/>
      <c r="H722" s="2"/>
      <c r="I722" s="2"/>
      <c r="J722" s="2"/>
      <c r="K722" s="2"/>
      <c r="L722" s="2"/>
      <c r="M722" s="2"/>
      <c r="N722" s="2"/>
      <c r="O722" s="2"/>
      <c r="P722" s="2"/>
      <c r="Q722" s="2"/>
      <c r="R722" s="2"/>
      <c r="S722" s="2"/>
      <c r="T722" s="2"/>
      <c r="U722" s="2"/>
      <c r="V722" s="2"/>
      <c r="W722" s="2"/>
    </row>
    <row r="723">
      <c r="A723" s="2"/>
      <c r="B723" s="2"/>
      <c r="C723" s="2"/>
      <c r="D723" s="2"/>
      <c r="E723" s="2"/>
      <c r="F723" s="2"/>
      <c r="G723" s="2"/>
      <c r="H723" s="2"/>
      <c r="I723" s="2"/>
      <c r="J723" s="2"/>
      <c r="K723" s="2"/>
      <c r="L723" s="2"/>
      <c r="M723" s="2"/>
      <c r="N723" s="2"/>
      <c r="O723" s="2"/>
      <c r="P723" s="2"/>
      <c r="Q723" s="2"/>
      <c r="R723" s="2"/>
      <c r="S723" s="2"/>
      <c r="T723" s="2"/>
      <c r="U723" s="2"/>
      <c r="V723" s="2"/>
      <c r="W723" s="2"/>
    </row>
    <row r="724">
      <c r="A724" s="2"/>
      <c r="B724" s="2"/>
      <c r="C724" s="2"/>
      <c r="D724" s="2"/>
      <c r="E724" s="2"/>
      <c r="F724" s="2"/>
      <c r="G724" s="2"/>
      <c r="H724" s="2"/>
      <c r="I724" s="2"/>
      <c r="J724" s="2"/>
      <c r="K724" s="2"/>
      <c r="L724" s="2"/>
      <c r="M724" s="2"/>
      <c r="N724" s="2"/>
      <c r="O724" s="2"/>
      <c r="P724" s="2"/>
      <c r="Q724" s="2"/>
      <c r="R724" s="2"/>
      <c r="S724" s="2"/>
      <c r="T724" s="2"/>
      <c r="U724" s="2"/>
      <c r="V724" s="2"/>
      <c r="W724" s="2"/>
    </row>
    <row r="725">
      <c r="A725" s="2"/>
      <c r="B725" s="2"/>
      <c r="C725" s="2"/>
      <c r="D725" s="2"/>
      <c r="E725" s="2"/>
      <c r="F725" s="2"/>
      <c r="G725" s="2"/>
      <c r="H725" s="2"/>
      <c r="I725" s="2"/>
      <c r="J725" s="2"/>
      <c r="K725" s="2"/>
      <c r="L725" s="2"/>
      <c r="M725" s="2"/>
      <c r="N725" s="2"/>
      <c r="O725" s="2"/>
      <c r="P725" s="2"/>
      <c r="Q725" s="2"/>
      <c r="R725" s="2"/>
      <c r="S725" s="2"/>
      <c r="T725" s="2"/>
      <c r="U725" s="2"/>
      <c r="V725" s="2"/>
      <c r="W725" s="2"/>
    </row>
    <row r="726">
      <c r="A726" s="2"/>
      <c r="B726" s="2"/>
      <c r="C726" s="2"/>
      <c r="D726" s="2"/>
      <c r="E726" s="2"/>
      <c r="F726" s="2"/>
      <c r="G726" s="2"/>
      <c r="H726" s="2"/>
      <c r="I726" s="2"/>
      <c r="J726" s="2"/>
      <c r="K726" s="2"/>
      <c r="L726" s="2"/>
      <c r="M726" s="2"/>
      <c r="N726" s="2"/>
      <c r="O726" s="2"/>
      <c r="P726" s="2"/>
      <c r="Q726" s="2"/>
      <c r="R726" s="2"/>
      <c r="S726" s="2"/>
      <c r="T726" s="2"/>
      <c r="U726" s="2"/>
      <c r="V726" s="2"/>
      <c r="W726" s="2"/>
    </row>
    <row r="727">
      <c r="A727" s="2"/>
      <c r="B727" s="2"/>
      <c r="C727" s="2"/>
      <c r="D727" s="2"/>
      <c r="E727" s="2"/>
      <c r="F727" s="2"/>
      <c r="G727" s="2"/>
      <c r="H727" s="2"/>
      <c r="I727" s="2"/>
      <c r="J727" s="2"/>
      <c r="K727" s="2"/>
      <c r="L727" s="2"/>
      <c r="M727" s="2"/>
      <c r="N727" s="2"/>
      <c r="O727" s="2"/>
      <c r="P727" s="2"/>
      <c r="Q727" s="2"/>
      <c r="R727" s="2"/>
      <c r="S727" s="2"/>
      <c r="T727" s="2"/>
      <c r="U727" s="2"/>
      <c r="V727" s="2"/>
      <c r="W727" s="2"/>
    </row>
    <row r="728">
      <c r="A728" s="2"/>
      <c r="B728" s="2"/>
      <c r="C728" s="2"/>
      <c r="D728" s="2"/>
      <c r="E728" s="2"/>
      <c r="F728" s="2"/>
      <c r="G728" s="2"/>
      <c r="H728" s="2"/>
      <c r="I728" s="2"/>
      <c r="J728" s="2"/>
      <c r="K728" s="2"/>
      <c r="L728" s="2"/>
      <c r="M728" s="2"/>
      <c r="N728" s="2"/>
      <c r="O728" s="2"/>
      <c r="P728" s="2"/>
      <c r="Q728" s="2"/>
      <c r="R728" s="2"/>
      <c r="S728" s="2"/>
      <c r="T728" s="2"/>
      <c r="U728" s="2"/>
      <c r="V728" s="2"/>
      <c r="W728" s="2"/>
    </row>
    <row r="729">
      <c r="A729" s="2"/>
      <c r="B729" s="2"/>
      <c r="C729" s="2"/>
      <c r="D729" s="2"/>
      <c r="E729" s="2"/>
      <c r="F729" s="2"/>
      <c r="G729" s="2"/>
      <c r="H729" s="2"/>
      <c r="I729" s="2"/>
      <c r="J729" s="2"/>
      <c r="K729" s="2"/>
      <c r="L729" s="2"/>
      <c r="M729" s="2"/>
      <c r="N729" s="2"/>
      <c r="O729" s="2"/>
      <c r="P729" s="2"/>
      <c r="Q729" s="2"/>
      <c r="R729" s="2"/>
      <c r="S729" s="2"/>
      <c r="T729" s="2"/>
      <c r="U729" s="2"/>
      <c r="V729" s="2"/>
      <c r="W729" s="2"/>
    </row>
    <row r="730">
      <c r="A730" s="2"/>
      <c r="B730" s="2"/>
      <c r="C730" s="2"/>
      <c r="D730" s="2"/>
      <c r="E730" s="2"/>
      <c r="F730" s="2"/>
      <c r="G730" s="2"/>
      <c r="H730" s="2"/>
      <c r="I730" s="2"/>
      <c r="J730" s="2"/>
      <c r="K730" s="2"/>
      <c r="L730" s="2"/>
      <c r="M730" s="2"/>
      <c r="N730" s="2"/>
      <c r="O730" s="2"/>
      <c r="P730" s="2"/>
      <c r="Q730" s="2"/>
      <c r="R730" s="2"/>
      <c r="S730" s="2"/>
      <c r="T730" s="2"/>
      <c r="U730" s="2"/>
      <c r="V730" s="2"/>
      <c r="W730" s="2"/>
    </row>
    <row r="731">
      <c r="A731" s="2"/>
      <c r="B731" s="2"/>
      <c r="C731" s="2"/>
      <c r="D731" s="2"/>
      <c r="E731" s="2"/>
      <c r="F731" s="2"/>
      <c r="G731" s="2"/>
      <c r="H731" s="2"/>
      <c r="I731" s="2"/>
      <c r="J731" s="2"/>
      <c r="K731" s="2"/>
      <c r="L731" s="2"/>
      <c r="M731" s="2"/>
      <c r="N731" s="2"/>
      <c r="O731" s="2"/>
      <c r="P731" s="2"/>
      <c r="Q731" s="2"/>
      <c r="R731" s="2"/>
      <c r="S731" s="2"/>
      <c r="T731" s="2"/>
      <c r="U731" s="2"/>
      <c r="V731" s="2"/>
      <c r="W731" s="2"/>
    </row>
    <row r="732">
      <c r="A732" s="2"/>
      <c r="B732" s="2"/>
      <c r="C732" s="2"/>
      <c r="D732" s="2"/>
      <c r="E732" s="2"/>
      <c r="F732" s="2"/>
      <c r="G732" s="2"/>
      <c r="H732" s="2"/>
      <c r="I732" s="2"/>
      <c r="J732" s="2"/>
      <c r="K732" s="2"/>
      <c r="L732" s="2"/>
      <c r="M732" s="2"/>
      <c r="N732" s="2"/>
      <c r="O732" s="2"/>
      <c r="P732" s="2"/>
      <c r="Q732" s="2"/>
      <c r="R732" s="2"/>
      <c r="S732" s="2"/>
      <c r="T732" s="2"/>
      <c r="U732" s="2"/>
      <c r="V732" s="2"/>
      <c r="W732" s="2"/>
    </row>
    <row r="733">
      <c r="A733" s="2"/>
      <c r="B733" s="2"/>
      <c r="C733" s="2"/>
      <c r="D733" s="2"/>
      <c r="E733" s="2"/>
      <c r="F733" s="2"/>
      <c r="G733" s="2"/>
      <c r="H733" s="2"/>
      <c r="I733" s="2"/>
      <c r="J733" s="2"/>
      <c r="K733" s="2"/>
      <c r="L733" s="2"/>
      <c r="M733" s="2"/>
      <c r="N733" s="2"/>
      <c r="O733" s="2"/>
      <c r="P733" s="2"/>
      <c r="Q733" s="2"/>
      <c r="R733" s="2"/>
      <c r="S733" s="2"/>
      <c r="T733" s="2"/>
      <c r="U733" s="2"/>
      <c r="V733" s="2"/>
      <c r="W733" s="2"/>
    </row>
    <row r="734">
      <c r="A734" s="2"/>
      <c r="B734" s="2"/>
      <c r="C734" s="2"/>
      <c r="D734" s="2"/>
      <c r="E734" s="2"/>
      <c r="F734" s="2"/>
      <c r="G734" s="2"/>
      <c r="H734" s="2"/>
      <c r="I734" s="2"/>
      <c r="J734" s="2"/>
      <c r="K734" s="2"/>
      <c r="L734" s="2"/>
      <c r="M734" s="2"/>
      <c r="N734" s="2"/>
      <c r="O734" s="2"/>
      <c r="P734" s="2"/>
      <c r="Q734" s="2"/>
      <c r="R734" s="2"/>
      <c r="S734" s="2"/>
      <c r="T734" s="2"/>
      <c r="U734" s="2"/>
      <c r="V734" s="2"/>
      <c r="W734" s="2"/>
    </row>
    <row r="735">
      <c r="A735" s="2"/>
      <c r="B735" s="2"/>
      <c r="C735" s="2"/>
      <c r="D735" s="2"/>
      <c r="E735" s="2"/>
      <c r="F735" s="2"/>
      <c r="G735" s="2"/>
      <c r="H735" s="2"/>
      <c r="I735" s="2"/>
      <c r="J735" s="2"/>
      <c r="K735" s="2"/>
      <c r="L735" s="2"/>
      <c r="M735" s="2"/>
      <c r="N735" s="2"/>
      <c r="O735" s="2"/>
      <c r="P735" s="2"/>
      <c r="Q735" s="2"/>
      <c r="R735" s="2"/>
      <c r="S735" s="2"/>
      <c r="T735" s="2"/>
      <c r="U735" s="2"/>
      <c r="V735" s="2"/>
      <c r="W735" s="2"/>
    </row>
    <row r="736">
      <c r="A736" s="2"/>
      <c r="B736" s="2"/>
      <c r="C736" s="2"/>
      <c r="D736" s="2"/>
      <c r="E736" s="2"/>
      <c r="F736" s="2"/>
      <c r="G736" s="2"/>
      <c r="H736" s="2"/>
      <c r="I736" s="2"/>
      <c r="J736" s="2"/>
      <c r="K736" s="2"/>
      <c r="L736" s="2"/>
      <c r="M736" s="2"/>
      <c r="N736" s="2"/>
      <c r="O736" s="2"/>
      <c r="P736" s="2"/>
      <c r="Q736" s="2"/>
      <c r="R736" s="2"/>
      <c r="S736" s="2"/>
      <c r="T736" s="2"/>
      <c r="U736" s="2"/>
      <c r="V736" s="2"/>
      <c r="W736" s="2"/>
    </row>
    <row r="737">
      <c r="A737" s="2"/>
      <c r="B737" s="2"/>
      <c r="C737" s="2"/>
      <c r="D737" s="2"/>
      <c r="E737" s="2"/>
      <c r="F737" s="2"/>
      <c r="G737" s="2"/>
      <c r="H737" s="2"/>
      <c r="I737" s="2"/>
      <c r="J737" s="2"/>
      <c r="K737" s="2"/>
      <c r="L737" s="2"/>
      <c r="M737" s="2"/>
      <c r="N737" s="2"/>
      <c r="O737" s="2"/>
      <c r="P737" s="2"/>
      <c r="Q737" s="2"/>
      <c r="R737" s="2"/>
      <c r="S737" s="2"/>
      <c r="T737" s="2"/>
      <c r="U737" s="2"/>
      <c r="V737" s="2"/>
      <c r="W737" s="2"/>
    </row>
    <row r="738">
      <c r="A738" s="2"/>
      <c r="B738" s="2"/>
      <c r="C738" s="2"/>
      <c r="D738" s="2"/>
      <c r="E738" s="2"/>
      <c r="F738" s="2"/>
      <c r="G738" s="2"/>
      <c r="H738" s="2"/>
      <c r="I738" s="2"/>
      <c r="J738" s="2"/>
      <c r="K738" s="2"/>
      <c r="L738" s="2"/>
      <c r="M738" s="2"/>
      <c r="N738" s="2"/>
      <c r="O738" s="2"/>
      <c r="P738" s="2"/>
      <c r="Q738" s="2"/>
      <c r="R738" s="2"/>
      <c r="S738" s="2"/>
      <c r="T738" s="2"/>
      <c r="U738" s="2"/>
      <c r="V738" s="2"/>
      <c r="W738" s="2"/>
    </row>
    <row r="739">
      <c r="A739" s="2"/>
      <c r="B739" s="2"/>
      <c r="C739" s="2"/>
      <c r="D739" s="2"/>
      <c r="E739" s="2"/>
      <c r="F739" s="2"/>
      <c r="G739" s="2"/>
      <c r="H739" s="2"/>
      <c r="I739" s="2"/>
      <c r="J739" s="2"/>
      <c r="K739" s="2"/>
      <c r="L739" s="2"/>
      <c r="M739" s="2"/>
      <c r="N739" s="2"/>
      <c r="O739" s="2"/>
      <c r="P739" s="2"/>
      <c r="Q739" s="2"/>
      <c r="R739" s="2"/>
      <c r="S739" s="2"/>
      <c r="T739" s="2"/>
      <c r="U739" s="2"/>
      <c r="V739" s="2"/>
      <c r="W739" s="2"/>
    </row>
    <row r="740">
      <c r="A740" s="2"/>
      <c r="B740" s="2"/>
      <c r="C740" s="2"/>
      <c r="D740" s="2"/>
      <c r="E740" s="2"/>
      <c r="F740" s="2"/>
      <c r="G740" s="2"/>
      <c r="H740" s="2"/>
      <c r="I740" s="2"/>
      <c r="J740" s="2"/>
      <c r="K740" s="2"/>
      <c r="L740" s="2"/>
      <c r="M740" s="2"/>
      <c r="N740" s="2"/>
      <c r="O740" s="2"/>
      <c r="P740" s="2"/>
      <c r="Q740" s="2"/>
      <c r="R740" s="2"/>
      <c r="S740" s="2"/>
      <c r="T740" s="2"/>
      <c r="U740" s="2"/>
      <c r="V740" s="2"/>
      <c r="W740" s="2"/>
    </row>
    <row r="741">
      <c r="A741" s="2"/>
      <c r="B741" s="2"/>
      <c r="C741" s="2"/>
      <c r="D741" s="2"/>
      <c r="E741" s="2"/>
      <c r="F741" s="2"/>
      <c r="G741" s="2"/>
      <c r="H741" s="2"/>
      <c r="I741" s="2"/>
      <c r="J741" s="2"/>
      <c r="K741" s="2"/>
      <c r="L741" s="2"/>
      <c r="M741" s="2"/>
      <c r="N741" s="2"/>
      <c r="O741" s="2"/>
      <c r="P741" s="2"/>
      <c r="Q741" s="2"/>
      <c r="R741" s="2"/>
      <c r="S741" s="2"/>
      <c r="T741" s="2"/>
      <c r="U741" s="2"/>
      <c r="V741" s="2"/>
      <c r="W741" s="2"/>
    </row>
    <row r="742">
      <c r="A742" s="2"/>
      <c r="B742" s="2"/>
      <c r="C742" s="2"/>
      <c r="D742" s="2"/>
      <c r="E742" s="2"/>
      <c r="F742" s="2"/>
      <c r="G742" s="2"/>
      <c r="H742" s="2"/>
      <c r="I742" s="2"/>
      <c r="J742" s="2"/>
      <c r="K742" s="2"/>
      <c r="L742" s="2"/>
      <c r="M742" s="2"/>
      <c r="N742" s="2"/>
      <c r="O742" s="2"/>
      <c r="P742" s="2"/>
      <c r="Q742" s="2"/>
      <c r="R742" s="2"/>
      <c r="S742" s="2"/>
      <c r="T742" s="2"/>
      <c r="U742" s="2"/>
      <c r="V742" s="2"/>
      <c r="W742" s="2"/>
    </row>
    <row r="743">
      <c r="A743" s="2"/>
      <c r="B743" s="2"/>
      <c r="C743" s="2"/>
      <c r="D743" s="2"/>
      <c r="E743" s="2"/>
      <c r="F743" s="2"/>
      <c r="G743" s="2"/>
      <c r="H743" s="2"/>
      <c r="I743" s="2"/>
      <c r="J743" s="2"/>
      <c r="K743" s="2"/>
      <c r="L743" s="2"/>
      <c r="M743" s="2"/>
      <c r="N743" s="2"/>
      <c r="O743" s="2"/>
      <c r="P743" s="2"/>
      <c r="Q743" s="2"/>
      <c r="R743" s="2"/>
      <c r="S743" s="2"/>
      <c r="T743" s="2"/>
      <c r="U743" s="2"/>
      <c r="V743" s="2"/>
      <c r="W743" s="2"/>
    </row>
    <row r="744">
      <c r="A744" s="2"/>
      <c r="B744" s="2"/>
      <c r="C744" s="2"/>
      <c r="D744" s="2"/>
      <c r="E744" s="2"/>
      <c r="F744" s="2"/>
      <c r="G744" s="2"/>
      <c r="H744" s="2"/>
      <c r="I744" s="2"/>
      <c r="J744" s="2"/>
      <c r="K744" s="2"/>
      <c r="L744" s="2"/>
      <c r="M744" s="2"/>
      <c r="N744" s="2"/>
      <c r="O744" s="2"/>
      <c r="P744" s="2"/>
      <c r="Q744" s="2"/>
      <c r="R744" s="2"/>
      <c r="S744" s="2"/>
      <c r="T744" s="2"/>
      <c r="U744" s="2"/>
      <c r="V744" s="2"/>
      <c r="W744" s="2"/>
    </row>
    <row r="745">
      <c r="A745" s="2"/>
      <c r="B745" s="2"/>
      <c r="C745" s="2"/>
      <c r="D745" s="2"/>
      <c r="E745" s="2"/>
      <c r="F745" s="2"/>
      <c r="G745" s="2"/>
      <c r="H745" s="2"/>
      <c r="I745" s="2"/>
      <c r="J745" s="2"/>
      <c r="K745" s="2"/>
      <c r="L745" s="2"/>
      <c r="M745" s="2"/>
      <c r="N745" s="2"/>
      <c r="O745" s="2"/>
      <c r="P745" s="2"/>
      <c r="Q745" s="2"/>
      <c r="R745" s="2"/>
      <c r="S745" s="2"/>
      <c r="T745" s="2"/>
      <c r="U745" s="2"/>
      <c r="V745" s="2"/>
      <c r="W745" s="2"/>
    </row>
    <row r="746">
      <c r="A746" s="2"/>
      <c r="B746" s="2"/>
      <c r="C746" s="2"/>
      <c r="D746" s="2"/>
      <c r="E746" s="2"/>
      <c r="F746" s="2"/>
      <c r="G746" s="2"/>
      <c r="H746" s="2"/>
      <c r="I746" s="2"/>
      <c r="J746" s="2"/>
      <c r="K746" s="2"/>
      <c r="L746" s="2"/>
      <c r="M746" s="2"/>
      <c r="N746" s="2"/>
      <c r="O746" s="2"/>
      <c r="P746" s="2"/>
      <c r="Q746" s="2"/>
      <c r="R746" s="2"/>
      <c r="S746" s="2"/>
      <c r="T746" s="2"/>
      <c r="U746" s="2"/>
      <c r="V746" s="2"/>
      <c r="W746" s="2"/>
    </row>
    <row r="747">
      <c r="A747" s="2"/>
      <c r="B747" s="2"/>
      <c r="C747" s="2"/>
      <c r="D747" s="2"/>
      <c r="E747" s="2"/>
      <c r="F747" s="2"/>
      <c r="G747" s="2"/>
      <c r="H747" s="2"/>
      <c r="I747" s="2"/>
      <c r="J747" s="2"/>
      <c r="K747" s="2"/>
      <c r="L747" s="2"/>
      <c r="M747" s="2"/>
      <c r="N747" s="2"/>
      <c r="O747" s="2"/>
      <c r="P747" s="2"/>
      <c r="Q747" s="2"/>
      <c r="R747" s="2"/>
      <c r="S747" s="2"/>
      <c r="T747" s="2"/>
      <c r="U747" s="2"/>
      <c r="V747" s="2"/>
      <c r="W747" s="2"/>
    </row>
    <row r="748">
      <c r="A748" s="2"/>
      <c r="B748" s="2"/>
      <c r="C748" s="2"/>
      <c r="D748" s="2"/>
      <c r="E748" s="2"/>
      <c r="F748" s="2"/>
      <c r="G748" s="2"/>
      <c r="H748" s="2"/>
      <c r="I748" s="2"/>
      <c r="J748" s="2"/>
      <c r="K748" s="2"/>
      <c r="L748" s="2"/>
      <c r="M748" s="2"/>
      <c r="N748" s="2"/>
      <c r="O748" s="2"/>
      <c r="P748" s="2"/>
      <c r="Q748" s="2"/>
      <c r="R748" s="2"/>
      <c r="S748" s="2"/>
      <c r="T748" s="2"/>
      <c r="U748" s="2"/>
      <c r="V748" s="2"/>
      <c r="W748" s="2"/>
    </row>
    <row r="749">
      <c r="A749" s="2"/>
      <c r="B749" s="2"/>
      <c r="C749" s="2"/>
      <c r="D749" s="2"/>
      <c r="E749" s="2"/>
      <c r="F749" s="2"/>
      <c r="G749" s="2"/>
      <c r="H749" s="2"/>
      <c r="I749" s="2"/>
      <c r="J749" s="2"/>
      <c r="K749" s="2"/>
      <c r="L749" s="2"/>
      <c r="M749" s="2"/>
      <c r="N749" s="2"/>
      <c r="O749" s="2"/>
      <c r="P749" s="2"/>
      <c r="Q749" s="2"/>
      <c r="R749" s="2"/>
      <c r="S749" s="2"/>
      <c r="T749" s="2"/>
      <c r="U749" s="2"/>
      <c r="V749" s="2"/>
      <c r="W749" s="2"/>
    </row>
    <row r="750">
      <c r="A750" s="2"/>
      <c r="B750" s="2"/>
      <c r="C750" s="2"/>
      <c r="D750" s="2"/>
      <c r="E750" s="2"/>
      <c r="F750" s="2"/>
      <c r="G750" s="2"/>
      <c r="H750" s="2"/>
      <c r="I750" s="2"/>
      <c r="J750" s="2"/>
      <c r="K750" s="2"/>
      <c r="L750" s="2"/>
      <c r="M750" s="2"/>
      <c r="N750" s="2"/>
      <c r="O750" s="2"/>
      <c r="P750" s="2"/>
      <c r="Q750" s="2"/>
      <c r="R750" s="2"/>
      <c r="S750" s="2"/>
      <c r="T750" s="2"/>
      <c r="U750" s="2"/>
      <c r="V750" s="2"/>
      <c r="W750" s="2"/>
    </row>
    <row r="751">
      <c r="A751" s="2"/>
      <c r="B751" s="2"/>
      <c r="C751" s="2"/>
      <c r="D751" s="2"/>
      <c r="E751" s="2"/>
      <c r="F751" s="2"/>
      <c r="G751" s="2"/>
      <c r="H751" s="2"/>
      <c r="I751" s="2"/>
      <c r="J751" s="2"/>
      <c r="K751" s="2"/>
      <c r="L751" s="2"/>
      <c r="M751" s="2"/>
      <c r="N751" s="2"/>
      <c r="O751" s="2"/>
      <c r="P751" s="2"/>
      <c r="Q751" s="2"/>
      <c r="R751" s="2"/>
      <c r="S751" s="2"/>
      <c r="T751" s="2"/>
      <c r="U751" s="2"/>
      <c r="V751" s="2"/>
      <c r="W751" s="2"/>
    </row>
    <row r="752">
      <c r="A752" s="2"/>
      <c r="B752" s="2"/>
      <c r="C752" s="2"/>
      <c r="D752" s="2"/>
      <c r="E752" s="2"/>
      <c r="F752" s="2"/>
      <c r="G752" s="2"/>
      <c r="H752" s="2"/>
      <c r="I752" s="2"/>
      <c r="J752" s="2"/>
      <c r="K752" s="2"/>
      <c r="L752" s="2"/>
      <c r="M752" s="2"/>
      <c r="N752" s="2"/>
      <c r="O752" s="2"/>
      <c r="P752" s="2"/>
      <c r="Q752" s="2"/>
      <c r="R752" s="2"/>
      <c r="S752" s="2"/>
      <c r="T752" s="2"/>
      <c r="U752" s="2"/>
      <c r="V752" s="2"/>
      <c r="W752" s="2"/>
    </row>
    <row r="753">
      <c r="A753" s="2"/>
      <c r="B753" s="2"/>
      <c r="C753" s="2"/>
      <c r="D753" s="2"/>
      <c r="E753" s="2"/>
      <c r="F753" s="2"/>
      <c r="G753" s="2"/>
      <c r="H753" s="2"/>
      <c r="I753" s="2"/>
      <c r="J753" s="2"/>
      <c r="K753" s="2"/>
      <c r="L753" s="2"/>
      <c r="M753" s="2"/>
      <c r="N753" s="2"/>
      <c r="O753" s="2"/>
      <c r="P753" s="2"/>
      <c r="Q753" s="2"/>
      <c r="R753" s="2"/>
      <c r="S753" s="2"/>
      <c r="T753" s="2"/>
      <c r="U753" s="2"/>
      <c r="V753" s="2"/>
      <c r="W753" s="2"/>
    </row>
    <row r="754">
      <c r="A754" s="2"/>
      <c r="B754" s="2"/>
      <c r="C754" s="2"/>
      <c r="D754" s="2"/>
      <c r="E754" s="2"/>
      <c r="F754" s="2"/>
      <c r="G754" s="2"/>
      <c r="H754" s="2"/>
      <c r="I754" s="2"/>
      <c r="J754" s="2"/>
      <c r="K754" s="2"/>
      <c r="L754" s="2"/>
      <c r="M754" s="2"/>
      <c r="N754" s="2"/>
      <c r="O754" s="2"/>
      <c r="P754" s="2"/>
      <c r="Q754" s="2"/>
      <c r="R754" s="2"/>
      <c r="S754" s="2"/>
      <c r="T754" s="2"/>
      <c r="U754" s="2"/>
      <c r="V754" s="2"/>
      <c r="W754" s="2"/>
    </row>
    <row r="755">
      <c r="A755" s="2"/>
      <c r="B755" s="2"/>
      <c r="C755" s="2"/>
      <c r="D755" s="2"/>
      <c r="E755" s="2"/>
      <c r="F755" s="2"/>
      <c r="G755" s="2"/>
      <c r="H755" s="2"/>
      <c r="I755" s="2"/>
      <c r="J755" s="2"/>
      <c r="K755" s="2"/>
      <c r="L755" s="2"/>
      <c r="M755" s="2"/>
      <c r="N755" s="2"/>
      <c r="O755" s="2"/>
      <c r="P755" s="2"/>
      <c r="Q755" s="2"/>
      <c r="R755" s="2"/>
      <c r="S755" s="2"/>
      <c r="T755" s="2"/>
      <c r="U755" s="2"/>
      <c r="V755" s="2"/>
      <c r="W755" s="2"/>
    </row>
    <row r="756">
      <c r="A756" s="2"/>
      <c r="B756" s="2"/>
      <c r="C756" s="2"/>
      <c r="D756" s="2"/>
      <c r="E756" s="2"/>
      <c r="F756" s="2"/>
      <c r="G756" s="2"/>
      <c r="H756" s="2"/>
      <c r="I756" s="2"/>
      <c r="J756" s="2"/>
      <c r="K756" s="2"/>
      <c r="L756" s="2"/>
      <c r="M756" s="2"/>
      <c r="N756" s="2"/>
      <c r="O756" s="2"/>
      <c r="P756" s="2"/>
      <c r="Q756" s="2"/>
      <c r="R756" s="2"/>
      <c r="S756" s="2"/>
      <c r="T756" s="2"/>
      <c r="U756" s="2"/>
      <c r="V756" s="2"/>
      <c r="W756" s="2"/>
    </row>
    <row r="757">
      <c r="A757" s="2"/>
      <c r="B757" s="2"/>
      <c r="C757" s="2"/>
      <c r="D757" s="2"/>
      <c r="E757" s="2"/>
      <c r="F757" s="2"/>
      <c r="G757" s="2"/>
      <c r="H757" s="2"/>
      <c r="I757" s="2"/>
      <c r="J757" s="2"/>
      <c r="K757" s="2"/>
      <c r="L757" s="2"/>
      <c r="M757" s="2"/>
      <c r="N757" s="2"/>
      <c r="O757" s="2"/>
      <c r="P757" s="2"/>
      <c r="Q757" s="2"/>
      <c r="R757" s="2"/>
      <c r="S757" s="2"/>
      <c r="T757" s="2"/>
      <c r="U757" s="2"/>
      <c r="V757" s="2"/>
      <c r="W757" s="2"/>
    </row>
    <row r="758">
      <c r="A758" s="2"/>
      <c r="B758" s="2"/>
      <c r="C758" s="2"/>
      <c r="D758" s="2"/>
      <c r="E758" s="2"/>
      <c r="F758" s="2"/>
      <c r="G758" s="2"/>
      <c r="H758" s="2"/>
      <c r="I758" s="2"/>
      <c r="J758" s="2"/>
      <c r="K758" s="2"/>
      <c r="L758" s="2"/>
      <c r="M758" s="2"/>
      <c r="N758" s="2"/>
      <c r="O758" s="2"/>
      <c r="P758" s="2"/>
      <c r="Q758" s="2"/>
      <c r="R758" s="2"/>
      <c r="S758" s="2"/>
      <c r="T758" s="2"/>
      <c r="U758" s="2"/>
      <c r="V758" s="2"/>
      <c r="W758" s="2"/>
    </row>
    <row r="759">
      <c r="A759" s="2"/>
      <c r="B759" s="2"/>
      <c r="C759" s="2"/>
      <c r="D759" s="2"/>
      <c r="E759" s="2"/>
      <c r="F759" s="2"/>
      <c r="G759" s="2"/>
      <c r="H759" s="2"/>
      <c r="I759" s="2"/>
      <c r="J759" s="2"/>
      <c r="K759" s="2"/>
      <c r="L759" s="2"/>
      <c r="M759" s="2"/>
      <c r="N759" s="2"/>
      <c r="O759" s="2"/>
      <c r="P759" s="2"/>
      <c r="Q759" s="2"/>
      <c r="R759" s="2"/>
      <c r="S759" s="2"/>
      <c r="T759" s="2"/>
      <c r="U759" s="2"/>
      <c r="V759" s="2"/>
      <c r="W759" s="2"/>
    </row>
    <row r="760">
      <c r="A760" s="2"/>
      <c r="B760" s="2"/>
      <c r="C760" s="2"/>
      <c r="D760" s="2"/>
      <c r="E760" s="2"/>
      <c r="F760" s="2"/>
      <c r="G760" s="2"/>
      <c r="H760" s="2"/>
      <c r="I760" s="2"/>
      <c r="J760" s="2"/>
      <c r="K760" s="2"/>
      <c r="L760" s="2"/>
      <c r="M760" s="2"/>
      <c r="N760" s="2"/>
      <c r="O760" s="2"/>
      <c r="P760" s="2"/>
      <c r="Q760" s="2"/>
      <c r="R760" s="2"/>
      <c r="S760" s="2"/>
      <c r="T760" s="2"/>
      <c r="U760" s="2"/>
      <c r="V760" s="2"/>
      <c r="W760" s="2"/>
    </row>
    <row r="761">
      <c r="A761" s="2"/>
      <c r="B761" s="2"/>
      <c r="C761" s="2"/>
      <c r="D761" s="2"/>
      <c r="E761" s="2"/>
      <c r="F761" s="2"/>
      <c r="G761" s="2"/>
      <c r="H761" s="2"/>
      <c r="I761" s="2"/>
      <c r="J761" s="2"/>
      <c r="K761" s="2"/>
      <c r="L761" s="2"/>
      <c r="M761" s="2"/>
      <c r="N761" s="2"/>
      <c r="O761" s="2"/>
      <c r="P761" s="2"/>
      <c r="Q761" s="2"/>
      <c r="R761" s="2"/>
      <c r="S761" s="2"/>
      <c r="T761" s="2"/>
      <c r="U761" s="2"/>
      <c r="V761" s="2"/>
      <c r="W761" s="2"/>
    </row>
    <row r="762">
      <c r="A762" s="2"/>
      <c r="B762" s="2"/>
      <c r="C762" s="2"/>
      <c r="D762" s="2"/>
      <c r="E762" s="2"/>
      <c r="F762" s="2"/>
      <c r="G762" s="2"/>
      <c r="H762" s="2"/>
      <c r="I762" s="2"/>
      <c r="J762" s="2"/>
      <c r="K762" s="2"/>
      <c r="L762" s="2"/>
      <c r="M762" s="2"/>
      <c r="N762" s="2"/>
      <c r="O762" s="2"/>
      <c r="P762" s="2"/>
      <c r="Q762" s="2"/>
      <c r="R762" s="2"/>
      <c r="S762" s="2"/>
      <c r="T762" s="2"/>
      <c r="U762" s="2"/>
      <c r="V762" s="2"/>
      <c r="W762" s="2"/>
    </row>
    <row r="763">
      <c r="A763" s="2"/>
      <c r="B763" s="2"/>
      <c r="C763" s="2"/>
      <c r="D763" s="2"/>
      <c r="E763" s="2"/>
      <c r="F763" s="2"/>
      <c r="G763" s="2"/>
      <c r="H763" s="2"/>
      <c r="I763" s="2"/>
      <c r="J763" s="2"/>
      <c r="K763" s="2"/>
      <c r="L763" s="2"/>
      <c r="M763" s="2"/>
      <c r="N763" s="2"/>
      <c r="O763" s="2"/>
      <c r="P763" s="2"/>
      <c r="Q763" s="2"/>
      <c r="R763" s="2"/>
      <c r="S763" s="2"/>
      <c r="T763" s="2"/>
      <c r="U763" s="2"/>
      <c r="V763" s="2"/>
      <c r="W763" s="2"/>
    </row>
    <row r="764">
      <c r="A764" s="2"/>
      <c r="B764" s="2"/>
      <c r="C764" s="2"/>
      <c r="D764" s="2"/>
      <c r="E764" s="2"/>
      <c r="F764" s="2"/>
      <c r="G764" s="2"/>
      <c r="H764" s="2"/>
      <c r="I764" s="2"/>
      <c r="J764" s="2"/>
      <c r="K764" s="2"/>
      <c r="L764" s="2"/>
      <c r="M764" s="2"/>
      <c r="N764" s="2"/>
      <c r="O764" s="2"/>
      <c r="P764" s="2"/>
      <c r="Q764" s="2"/>
      <c r="R764" s="2"/>
      <c r="S764" s="2"/>
      <c r="T764" s="2"/>
      <c r="U764" s="2"/>
      <c r="V764" s="2"/>
      <c r="W764" s="2"/>
    </row>
    <row r="765">
      <c r="A765" s="2"/>
      <c r="B765" s="2"/>
      <c r="C765" s="2"/>
      <c r="D765" s="2"/>
      <c r="E765" s="2"/>
      <c r="F765" s="2"/>
      <c r="G765" s="2"/>
      <c r="H765" s="2"/>
      <c r="I765" s="2"/>
      <c r="J765" s="2"/>
      <c r="K765" s="2"/>
      <c r="L765" s="2"/>
      <c r="M765" s="2"/>
      <c r="N765" s="2"/>
      <c r="O765" s="2"/>
      <c r="P765" s="2"/>
      <c r="Q765" s="2"/>
      <c r="R765" s="2"/>
      <c r="S765" s="2"/>
      <c r="T765" s="2"/>
      <c r="U765" s="2"/>
      <c r="V765" s="2"/>
      <c r="W765" s="2"/>
    </row>
    <row r="766">
      <c r="A766" s="2"/>
      <c r="B766" s="2"/>
      <c r="C766" s="2"/>
      <c r="D766" s="2"/>
      <c r="E766" s="2"/>
      <c r="F766" s="2"/>
      <c r="G766" s="2"/>
      <c r="H766" s="2"/>
      <c r="I766" s="2"/>
      <c r="J766" s="2"/>
      <c r="K766" s="2"/>
      <c r="L766" s="2"/>
      <c r="M766" s="2"/>
      <c r="N766" s="2"/>
      <c r="O766" s="2"/>
      <c r="P766" s="2"/>
      <c r="Q766" s="2"/>
      <c r="R766" s="2"/>
      <c r="S766" s="2"/>
      <c r="T766" s="2"/>
      <c r="U766" s="2"/>
      <c r="V766" s="2"/>
      <c r="W766" s="2"/>
    </row>
    <row r="767">
      <c r="A767" s="2"/>
      <c r="B767" s="2"/>
      <c r="C767" s="2"/>
      <c r="D767" s="2"/>
      <c r="E767" s="2"/>
      <c r="F767" s="2"/>
      <c r="G767" s="2"/>
      <c r="H767" s="2"/>
      <c r="I767" s="2"/>
      <c r="J767" s="2"/>
      <c r="K767" s="2"/>
      <c r="L767" s="2"/>
      <c r="M767" s="2"/>
      <c r="N767" s="2"/>
      <c r="O767" s="2"/>
      <c r="P767" s="2"/>
      <c r="Q767" s="2"/>
      <c r="R767" s="2"/>
      <c r="S767" s="2"/>
      <c r="T767" s="2"/>
      <c r="U767" s="2"/>
      <c r="V767" s="2"/>
      <c r="W767" s="2"/>
    </row>
    <row r="768">
      <c r="A768" s="2"/>
      <c r="B768" s="2"/>
      <c r="C768" s="2"/>
      <c r="D768" s="2"/>
      <c r="E768" s="2"/>
      <c r="F768" s="2"/>
      <c r="G768" s="2"/>
      <c r="H768" s="2"/>
      <c r="I768" s="2"/>
      <c r="J768" s="2"/>
      <c r="K768" s="2"/>
      <c r="L768" s="2"/>
      <c r="M768" s="2"/>
      <c r="N768" s="2"/>
      <c r="O768" s="2"/>
      <c r="P768" s="2"/>
      <c r="Q768" s="2"/>
      <c r="R768" s="2"/>
      <c r="S768" s="2"/>
      <c r="T768" s="2"/>
      <c r="U768" s="2"/>
      <c r="V768" s="2"/>
      <c r="W768" s="2"/>
    </row>
    <row r="769">
      <c r="A769" s="2"/>
      <c r="B769" s="2"/>
      <c r="C769" s="2"/>
      <c r="D769" s="2"/>
      <c r="E769" s="2"/>
      <c r="F769" s="2"/>
      <c r="G769" s="2"/>
      <c r="H769" s="2"/>
      <c r="I769" s="2"/>
      <c r="J769" s="2"/>
      <c r="K769" s="2"/>
      <c r="L769" s="2"/>
      <c r="M769" s="2"/>
      <c r="N769" s="2"/>
      <c r="O769" s="2"/>
      <c r="P769" s="2"/>
      <c r="Q769" s="2"/>
      <c r="R769" s="2"/>
      <c r="S769" s="2"/>
      <c r="T769" s="2"/>
      <c r="U769" s="2"/>
      <c r="V769" s="2"/>
      <c r="W769" s="2"/>
    </row>
    <row r="770">
      <c r="A770" s="2"/>
      <c r="B770" s="2"/>
      <c r="C770" s="2"/>
      <c r="D770" s="2"/>
      <c r="E770" s="2"/>
      <c r="F770" s="2"/>
      <c r="G770" s="2"/>
      <c r="H770" s="2"/>
      <c r="I770" s="2"/>
      <c r="J770" s="2"/>
      <c r="K770" s="2"/>
      <c r="L770" s="2"/>
      <c r="M770" s="2"/>
      <c r="N770" s="2"/>
      <c r="O770" s="2"/>
      <c r="P770" s="2"/>
      <c r="Q770" s="2"/>
      <c r="R770" s="2"/>
      <c r="S770" s="2"/>
      <c r="T770" s="2"/>
      <c r="U770" s="2"/>
      <c r="V770" s="2"/>
      <c r="W770" s="2"/>
    </row>
    <row r="771">
      <c r="A771" s="2"/>
      <c r="B771" s="2"/>
      <c r="C771" s="2"/>
      <c r="D771" s="2"/>
      <c r="E771" s="2"/>
      <c r="F771" s="2"/>
      <c r="G771" s="2"/>
      <c r="H771" s="2"/>
      <c r="I771" s="2"/>
      <c r="J771" s="2"/>
      <c r="K771" s="2"/>
      <c r="L771" s="2"/>
      <c r="M771" s="2"/>
      <c r="N771" s="2"/>
      <c r="O771" s="2"/>
      <c r="P771" s="2"/>
      <c r="Q771" s="2"/>
      <c r="R771" s="2"/>
      <c r="S771" s="2"/>
      <c r="T771" s="2"/>
      <c r="U771" s="2"/>
      <c r="V771" s="2"/>
      <c r="W771" s="2"/>
    </row>
    <row r="772">
      <c r="A772" s="2"/>
      <c r="B772" s="2"/>
      <c r="C772" s="2"/>
      <c r="D772" s="2"/>
      <c r="E772" s="2"/>
      <c r="F772" s="2"/>
      <c r="G772" s="2"/>
      <c r="H772" s="2"/>
      <c r="I772" s="2"/>
      <c r="J772" s="2"/>
      <c r="K772" s="2"/>
      <c r="L772" s="2"/>
      <c r="M772" s="2"/>
      <c r="N772" s="2"/>
      <c r="O772" s="2"/>
      <c r="P772" s="2"/>
      <c r="Q772" s="2"/>
      <c r="R772" s="2"/>
      <c r="S772" s="2"/>
      <c r="T772" s="2"/>
      <c r="U772" s="2"/>
      <c r="V772" s="2"/>
      <c r="W772" s="2"/>
    </row>
    <row r="773">
      <c r="A773" s="2"/>
      <c r="B773" s="2"/>
      <c r="C773" s="2"/>
      <c r="D773" s="2"/>
      <c r="E773" s="2"/>
      <c r="F773" s="2"/>
      <c r="G773" s="2"/>
      <c r="H773" s="2"/>
      <c r="I773" s="2"/>
      <c r="J773" s="2"/>
      <c r="K773" s="2"/>
      <c r="L773" s="2"/>
      <c r="M773" s="2"/>
      <c r="N773" s="2"/>
      <c r="O773" s="2"/>
      <c r="P773" s="2"/>
      <c r="Q773" s="2"/>
      <c r="R773" s="2"/>
      <c r="S773" s="2"/>
      <c r="T773" s="2"/>
      <c r="U773" s="2"/>
      <c r="V773" s="2"/>
      <c r="W773" s="2"/>
    </row>
    <row r="774">
      <c r="A774" s="2"/>
      <c r="B774" s="2"/>
      <c r="C774" s="2"/>
      <c r="D774" s="2"/>
      <c r="E774" s="2"/>
      <c r="F774" s="2"/>
      <c r="G774" s="2"/>
      <c r="H774" s="2"/>
      <c r="I774" s="2"/>
      <c r="J774" s="2"/>
      <c r="K774" s="2"/>
      <c r="L774" s="2"/>
      <c r="M774" s="2"/>
      <c r="N774" s="2"/>
      <c r="O774" s="2"/>
      <c r="P774" s="2"/>
      <c r="Q774" s="2"/>
      <c r="R774" s="2"/>
      <c r="S774" s="2"/>
      <c r="T774" s="2"/>
      <c r="U774" s="2"/>
      <c r="V774" s="2"/>
      <c r="W774" s="2"/>
    </row>
    <row r="775">
      <c r="A775" s="2"/>
      <c r="B775" s="2"/>
      <c r="C775" s="2"/>
      <c r="D775" s="2"/>
      <c r="E775" s="2"/>
      <c r="F775" s="2"/>
      <c r="G775" s="2"/>
      <c r="H775" s="2"/>
      <c r="I775" s="2"/>
      <c r="J775" s="2"/>
      <c r="K775" s="2"/>
      <c r="L775" s="2"/>
      <c r="M775" s="2"/>
      <c r="N775" s="2"/>
      <c r="O775" s="2"/>
      <c r="P775" s="2"/>
      <c r="Q775" s="2"/>
      <c r="R775" s="2"/>
      <c r="S775" s="2"/>
      <c r="T775" s="2"/>
      <c r="U775" s="2"/>
      <c r="V775" s="2"/>
      <c r="W775" s="2"/>
    </row>
    <row r="776">
      <c r="A776" s="2"/>
      <c r="B776" s="2"/>
      <c r="C776" s="2"/>
      <c r="D776" s="2"/>
      <c r="E776" s="2"/>
      <c r="F776" s="2"/>
      <c r="G776" s="2"/>
      <c r="H776" s="2"/>
      <c r="I776" s="2"/>
      <c r="J776" s="2"/>
      <c r="K776" s="2"/>
      <c r="L776" s="2"/>
      <c r="M776" s="2"/>
      <c r="N776" s="2"/>
      <c r="O776" s="2"/>
      <c r="P776" s="2"/>
      <c r="Q776" s="2"/>
      <c r="R776" s="2"/>
      <c r="S776" s="2"/>
      <c r="T776" s="2"/>
      <c r="U776" s="2"/>
      <c r="V776" s="2"/>
      <c r="W776" s="2"/>
    </row>
    <row r="777">
      <c r="A777" s="2"/>
      <c r="B777" s="2"/>
      <c r="C777" s="2"/>
      <c r="D777" s="2"/>
      <c r="E777" s="2"/>
      <c r="F777" s="2"/>
      <c r="G777" s="2"/>
      <c r="H777" s="2"/>
      <c r="I777" s="2"/>
      <c r="J777" s="2"/>
      <c r="K777" s="2"/>
      <c r="L777" s="2"/>
      <c r="M777" s="2"/>
      <c r="N777" s="2"/>
      <c r="O777" s="2"/>
      <c r="P777" s="2"/>
      <c r="Q777" s="2"/>
      <c r="R777" s="2"/>
      <c r="S777" s="2"/>
      <c r="T777" s="2"/>
      <c r="U777" s="2"/>
      <c r="V777" s="2"/>
      <c r="W777" s="2"/>
    </row>
    <row r="778">
      <c r="A778" s="2"/>
      <c r="B778" s="2"/>
      <c r="C778" s="2"/>
      <c r="D778" s="2"/>
      <c r="E778" s="2"/>
      <c r="F778" s="2"/>
      <c r="G778" s="2"/>
      <c r="H778" s="2"/>
      <c r="I778" s="2"/>
      <c r="J778" s="2"/>
      <c r="K778" s="2"/>
      <c r="L778" s="2"/>
      <c r="M778" s="2"/>
      <c r="N778" s="2"/>
      <c r="O778" s="2"/>
      <c r="P778" s="2"/>
      <c r="Q778" s="2"/>
      <c r="R778" s="2"/>
      <c r="S778" s="2"/>
      <c r="T778" s="2"/>
      <c r="U778" s="2"/>
      <c r="V778" s="2"/>
      <c r="W778" s="2"/>
    </row>
    <row r="779">
      <c r="A779" s="2"/>
      <c r="B779" s="2"/>
      <c r="C779" s="2"/>
      <c r="D779" s="2"/>
      <c r="E779" s="2"/>
      <c r="F779" s="2"/>
      <c r="G779" s="2"/>
      <c r="H779" s="2"/>
      <c r="I779" s="2"/>
      <c r="J779" s="2"/>
      <c r="K779" s="2"/>
      <c r="L779" s="2"/>
      <c r="M779" s="2"/>
      <c r="N779" s="2"/>
      <c r="O779" s="2"/>
      <c r="P779" s="2"/>
      <c r="Q779" s="2"/>
      <c r="R779" s="2"/>
      <c r="S779" s="2"/>
      <c r="T779" s="2"/>
      <c r="U779" s="2"/>
      <c r="V779" s="2"/>
      <c r="W779" s="2"/>
    </row>
    <row r="780">
      <c r="A780" s="2"/>
      <c r="B780" s="2"/>
      <c r="C780" s="2"/>
      <c r="D780" s="2"/>
      <c r="E780" s="2"/>
      <c r="F780" s="2"/>
      <c r="G780" s="2"/>
      <c r="H780" s="2"/>
      <c r="I780" s="2"/>
      <c r="J780" s="2"/>
      <c r="K780" s="2"/>
      <c r="L780" s="2"/>
      <c r="M780" s="2"/>
      <c r="N780" s="2"/>
      <c r="O780" s="2"/>
      <c r="P780" s="2"/>
      <c r="Q780" s="2"/>
      <c r="R780" s="2"/>
      <c r="S780" s="2"/>
      <c r="T780" s="2"/>
      <c r="U780" s="2"/>
      <c r="V780" s="2"/>
      <c r="W780" s="2"/>
    </row>
    <row r="781">
      <c r="A781" s="2"/>
      <c r="B781" s="2"/>
      <c r="C781" s="2"/>
      <c r="D781" s="2"/>
      <c r="E781" s="2"/>
      <c r="F781" s="2"/>
      <c r="G781" s="2"/>
      <c r="H781" s="2"/>
      <c r="I781" s="2"/>
      <c r="J781" s="2"/>
      <c r="K781" s="2"/>
      <c r="L781" s="2"/>
      <c r="M781" s="2"/>
      <c r="N781" s="2"/>
      <c r="O781" s="2"/>
      <c r="P781" s="2"/>
      <c r="Q781" s="2"/>
      <c r="R781" s="2"/>
      <c r="S781" s="2"/>
      <c r="T781" s="2"/>
      <c r="U781" s="2"/>
      <c r="V781" s="2"/>
      <c r="W781" s="2"/>
    </row>
    <row r="782">
      <c r="A782" s="2"/>
      <c r="B782" s="2"/>
      <c r="C782" s="2"/>
      <c r="D782" s="2"/>
      <c r="E782" s="2"/>
      <c r="F782" s="2"/>
      <c r="G782" s="2"/>
      <c r="H782" s="2"/>
      <c r="I782" s="2"/>
      <c r="J782" s="2"/>
      <c r="K782" s="2"/>
      <c r="L782" s="2"/>
      <c r="M782" s="2"/>
      <c r="N782" s="2"/>
      <c r="O782" s="2"/>
      <c r="P782" s="2"/>
      <c r="Q782" s="2"/>
      <c r="R782" s="2"/>
      <c r="S782" s="2"/>
      <c r="T782" s="2"/>
      <c r="U782" s="2"/>
      <c r="V782" s="2"/>
      <c r="W782" s="2"/>
    </row>
    <row r="783">
      <c r="A783" s="2"/>
      <c r="B783" s="2"/>
      <c r="C783" s="2"/>
      <c r="D783" s="2"/>
      <c r="E783" s="2"/>
      <c r="F783" s="2"/>
      <c r="G783" s="2"/>
      <c r="H783" s="2"/>
      <c r="I783" s="2"/>
      <c r="J783" s="2"/>
      <c r="K783" s="2"/>
      <c r="L783" s="2"/>
      <c r="M783" s="2"/>
      <c r="N783" s="2"/>
      <c r="O783" s="2"/>
      <c r="P783" s="2"/>
      <c r="Q783" s="2"/>
      <c r="R783" s="2"/>
      <c r="S783" s="2"/>
      <c r="T783" s="2"/>
      <c r="U783" s="2"/>
      <c r="V783" s="2"/>
      <c r="W783" s="2"/>
    </row>
    <row r="784">
      <c r="A784" s="2"/>
      <c r="B784" s="2"/>
      <c r="C784" s="2"/>
      <c r="D784" s="2"/>
      <c r="E784" s="2"/>
      <c r="F784" s="2"/>
      <c r="G784" s="2"/>
      <c r="H784" s="2"/>
      <c r="I784" s="2"/>
      <c r="J784" s="2"/>
      <c r="K784" s="2"/>
      <c r="L784" s="2"/>
      <c r="M784" s="2"/>
      <c r="N784" s="2"/>
      <c r="O784" s="2"/>
      <c r="P784" s="2"/>
      <c r="Q784" s="2"/>
      <c r="R784" s="2"/>
      <c r="S784" s="2"/>
      <c r="T784" s="2"/>
      <c r="U784" s="2"/>
      <c r="V784" s="2"/>
      <c r="W784" s="2"/>
    </row>
    <row r="785">
      <c r="A785" s="2"/>
      <c r="B785" s="2"/>
      <c r="C785" s="2"/>
      <c r="D785" s="2"/>
      <c r="E785" s="2"/>
      <c r="F785" s="2"/>
      <c r="G785" s="2"/>
      <c r="H785" s="2"/>
      <c r="I785" s="2"/>
      <c r="J785" s="2"/>
      <c r="K785" s="2"/>
      <c r="L785" s="2"/>
      <c r="M785" s="2"/>
      <c r="N785" s="2"/>
      <c r="O785" s="2"/>
      <c r="P785" s="2"/>
      <c r="Q785" s="2"/>
      <c r="R785" s="2"/>
      <c r="S785" s="2"/>
      <c r="T785" s="2"/>
      <c r="U785" s="2"/>
      <c r="V785" s="2"/>
      <c r="W785" s="2"/>
    </row>
    <row r="786">
      <c r="A786" s="2"/>
      <c r="B786" s="2"/>
      <c r="C786" s="2"/>
      <c r="D786" s="2"/>
      <c r="E786" s="2"/>
      <c r="F786" s="2"/>
      <c r="G786" s="2"/>
      <c r="H786" s="2"/>
      <c r="I786" s="2"/>
      <c r="J786" s="2"/>
      <c r="K786" s="2"/>
      <c r="L786" s="2"/>
      <c r="M786" s="2"/>
      <c r="N786" s="2"/>
      <c r="O786" s="2"/>
      <c r="P786" s="2"/>
      <c r="Q786" s="2"/>
      <c r="R786" s="2"/>
      <c r="S786" s="2"/>
      <c r="T786" s="2"/>
      <c r="U786" s="2"/>
      <c r="V786" s="2"/>
      <c r="W786" s="2"/>
    </row>
    <row r="787">
      <c r="A787" s="2"/>
      <c r="B787" s="2"/>
      <c r="C787" s="2"/>
      <c r="D787" s="2"/>
      <c r="E787" s="2"/>
      <c r="F787" s="2"/>
      <c r="G787" s="2"/>
      <c r="H787" s="2"/>
      <c r="I787" s="2"/>
      <c r="J787" s="2"/>
      <c r="K787" s="2"/>
      <c r="L787" s="2"/>
      <c r="M787" s="2"/>
      <c r="N787" s="2"/>
      <c r="O787" s="2"/>
      <c r="P787" s="2"/>
      <c r="Q787" s="2"/>
      <c r="R787" s="2"/>
      <c r="S787" s="2"/>
      <c r="T787" s="2"/>
      <c r="U787" s="2"/>
      <c r="V787" s="2"/>
      <c r="W787" s="2"/>
    </row>
    <row r="788">
      <c r="A788" s="2"/>
      <c r="B788" s="2"/>
      <c r="C788" s="2"/>
      <c r="D788" s="2"/>
      <c r="E788" s="2"/>
      <c r="F788" s="2"/>
      <c r="G788" s="2"/>
      <c r="H788" s="2"/>
      <c r="I788" s="2"/>
      <c r="J788" s="2"/>
      <c r="K788" s="2"/>
      <c r="L788" s="2"/>
      <c r="M788" s="2"/>
      <c r="N788" s="2"/>
      <c r="O788" s="2"/>
      <c r="P788" s="2"/>
      <c r="Q788" s="2"/>
      <c r="R788" s="2"/>
      <c r="S788" s="2"/>
      <c r="T788" s="2"/>
      <c r="U788" s="2"/>
      <c r="V788" s="2"/>
      <c r="W788" s="2"/>
    </row>
    <row r="789">
      <c r="A789" s="2"/>
      <c r="B789" s="2"/>
      <c r="C789" s="2"/>
      <c r="D789" s="2"/>
      <c r="E789" s="2"/>
      <c r="F789" s="2"/>
      <c r="G789" s="2"/>
      <c r="H789" s="2"/>
      <c r="I789" s="2"/>
      <c r="J789" s="2"/>
      <c r="K789" s="2"/>
      <c r="L789" s="2"/>
      <c r="M789" s="2"/>
      <c r="N789" s="2"/>
      <c r="O789" s="2"/>
      <c r="P789" s="2"/>
      <c r="Q789" s="2"/>
      <c r="R789" s="2"/>
      <c r="S789" s="2"/>
      <c r="T789" s="2"/>
      <c r="U789" s="2"/>
      <c r="V789" s="2"/>
      <c r="W789" s="2"/>
    </row>
    <row r="790">
      <c r="A790" s="2"/>
      <c r="B790" s="2"/>
      <c r="C790" s="2"/>
      <c r="D790" s="2"/>
      <c r="E790" s="2"/>
      <c r="F790" s="2"/>
      <c r="G790" s="2"/>
      <c r="H790" s="2"/>
      <c r="I790" s="2"/>
      <c r="J790" s="2"/>
      <c r="K790" s="2"/>
      <c r="L790" s="2"/>
      <c r="M790" s="2"/>
      <c r="N790" s="2"/>
      <c r="O790" s="2"/>
      <c r="P790" s="2"/>
      <c r="Q790" s="2"/>
      <c r="R790" s="2"/>
      <c r="S790" s="2"/>
      <c r="T790" s="2"/>
      <c r="U790" s="2"/>
      <c r="V790" s="2"/>
      <c r="W790" s="2"/>
    </row>
    <row r="791">
      <c r="A791" s="2"/>
      <c r="B791" s="2"/>
      <c r="C791" s="2"/>
      <c r="D791" s="2"/>
      <c r="E791" s="2"/>
      <c r="F791" s="2"/>
      <c r="G791" s="2"/>
      <c r="H791" s="2"/>
      <c r="I791" s="2"/>
      <c r="J791" s="2"/>
      <c r="K791" s="2"/>
      <c r="L791" s="2"/>
      <c r="M791" s="2"/>
      <c r="N791" s="2"/>
      <c r="O791" s="2"/>
      <c r="P791" s="2"/>
      <c r="Q791" s="2"/>
      <c r="R791" s="2"/>
      <c r="S791" s="2"/>
      <c r="T791" s="2"/>
      <c r="U791" s="2"/>
      <c r="V791" s="2"/>
      <c r="W791" s="2"/>
    </row>
    <row r="792">
      <c r="A792" s="2"/>
      <c r="B792" s="2"/>
      <c r="C792" s="2"/>
      <c r="D792" s="2"/>
      <c r="E792" s="2"/>
      <c r="F792" s="2"/>
      <c r="G792" s="2"/>
      <c r="H792" s="2"/>
      <c r="I792" s="2"/>
      <c r="J792" s="2"/>
      <c r="K792" s="2"/>
      <c r="L792" s="2"/>
      <c r="M792" s="2"/>
      <c r="N792" s="2"/>
      <c r="O792" s="2"/>
      <c r="P792" s="2"/>
      <c r="Q792" s="2"/>
      <c r="R792" s="2"/>
      <c r="S792" s="2"/>
      <c r="T792" s="2"/>
      <c r="U792" s="2"/>
      <c r="V792" s="2"/>
      <c r="W792" s="2"/>
    </row>
    <row r="793">
      <c r="A793" s="2"/>
      <c r="B793" s="2"/>
      <c r="C793" s="2"/>
      <c r="D793" s="2"/>
      <c r="E793" s="2"/>
      <c r="F793" s="2"/>
      <c r="G793" s="2"/>
      <c r="H793" s="2"/>
      <c r="I793" s="2"/>
      <c r="J793" s="2"/>
      <c r="K793" s="2"/>
      <c r="L793" s="2"/>
      <c r="M793" s="2"/>
      <c r="N793" s="2"/>
      <c r="O793" s="2"/>
      <c r="P793" s="2"/>
      <c r="Q793" s="2"/>
      <c r="R793" s="2"/>
      <c r="S793" s="2"/>
      <c r="T793" s="2"/>
      <c r="U793" s="2"/>
      <c r="V793" s="2"/>
      <c r="W793" s="2"/>
    </row>
    <row r="794">
      <c r="A794" s="2"/>
      <c r="B794" s="2"/>
      <c r="C794" s="2"/>
      <c r="D794" s="2"/>
      <c r="E794" s="2"/>
      <c r="F794" s="2"/>
      <c r="G794" s="2"/>
      <c r="H794" s="2"/>
      <c r="I794" s="2"/>
      <c r="J794" s="2"/>
      <c r="K794" s="2"/>
      <c r="L794" s="2"/>
      <c r="M794" s="2"/>
      <c r="N794" s="2"/>
      <c r="O794" s="2"/>
      <c r="P794" s="2"/>
      <c r="Q794" s="2"/>
      <c r="R794" s="2"/>
      <c r="S794" s="2"/>
      <c r="T794" s="2"/>
      <c r="U794" s="2"/>
      <c r="V794" s="2"/>
      <c r="W794" s="2"/>
    </row>
    <row r="795">
      <c r="A795" s="2"/>
      <c r="B795" s="2"/>
      <c r="C795" s="2"/>
      <c r="D795" s="2"/>
      <c r="E795" s="2"/>
      <c r="F795" s="2"/>
      <c r="G795" s="2"/>
      <c r="H795" s="2"/>
      <c r="I795" s="2"/>
      <c r="J795" s="2"/>
      <c r="K795" s="2"/>
      <c r="L795" s="2"/>
      <c r="M795" s="2"/>
      <c r="N795" s="2"/>
      <c r="O795" s="2"/>
      <c r="P795" s="2"/>
      <c r="Q795" s="2"/>
      <c r="R795" s="2"/>
      <c r="S795" s="2"/>
      <c r="T795" s="2"/>
      <c r="U795" s="2"/>
      <c r="V795" s="2"/>
      <c r="W795" s="2"/>
    </row>
    <row r="796">
      <c r="A796" s="2"/>
      <c r="B796" s="2"/>
      <c r="C796" s="2"/>
      <c r="D796" s="2"/>
      <c r="E796" s="2"/>
      <c r="F796" s="2"/>
      <c r="G796" s="2"/>
      <c r="H796" s="2"/>
      <c r="I796" s="2"/>
      <c r="J796" s="2"/>
      <c r="K796" s="2"/>
      <c r="L796" s="2"/>
      <c r="M796" s="2"/>
      <c r="N796" s="2"/>
      <c r="O796" s="2"/>
      <c r="P796" s="2"/>
      <c r="Q796" s="2"/>
      <c r="R796" s="2"/>
      <c r="S796" s="2"/>
      <c r="T796" s="2"/>
      <c r="U796" s="2"/>
      <c r="V796" s="2"/>
      <c r="W796" s="2"/>
    </row>
    <row r="797">
      <c r="A797" s="2"/>
      <c r="B797" s="2"/>
      <c r="C797" s="2"/>
      <c r="D797" s="2"/>
      <c r="E797" s="2"/>
      <c r="F797" s="2"/>
      <c r="G797" s="2"/>
      <c r="H797" s="2"/>
      <c r="I797" s="2"/>
      <c r="J797" s="2"/>
      <c r="K797" s="2"/>
      <c r="L797" s="2"/>
      <c r="M797" s="2"/>
      <c r="N797" s="2"/>
      <c r="O797" s="2"/>
      <c r="P797" s="2"/>
      <c r="Q797" s="2"/>
      <c r="R797" s="2"/>
      <c r="S797" s="2"/>
      <c r="T797" s="2"/>
      <c r="U797" s="2"/>
      <c r="V797" s="2"/>
      <c r="W797" s="2"/>
    </row>
    <row r="798">
      <c r="A798" s="2"/>
      <c r="B798" s="2"/>
      <c r="C798" s="2"/>
      <c r="D798" s="2"/>
      <c r="E798" s="2"/>
      <c r="F798" s="2"/>
      <c r="G798" s="2"/>
      <c r="H798" s="2"/>
      <c r="I798" s="2"/>
      <c r="J798" s="2"/>
      <c r="K798" s="2"/>
      <c r="L798" s="2"/>
      <c r="M798" s="2"/>
      <c r="N798" s="2"/>
      <c r="O798" s="2"/>
      <c r="P798" s="2"/>
      <c r="Q798" s="2"/>
      <c r="R798" s="2"/>
      <c r="S798" s="2"/>
      <c r="T798" s="2"/>
      <c r="U798" s="2"/>
      <c r="V798" s="2"/>
      <c r="W798" s="2"/>
    </row>
    <row r="799">
      <c r="A799" s="2"/>
      <c r="B799" s="2"/>
      <c r="C799" s="2"/>
      <c r="D799" s="2"/>
      <c r="E799" s="2"/>
      <c r="F799" s="2"/>
      <c r="G799" s="2"/>
      <c r="H799" s="2"/>
      <c r="I799" s="2"/>
      <c r="J799" s="2"/>
      <c r="K799" s="2"/>
      <c r="L799" s="2"/>
      <c r="M799" s="2"/>
      <c r="N799" s="2"/>
      <c r="O799" s="2"/>
      <c r="P799" s="2"/>
      <c r="Q799" s="2"/>
      <c r="R799" s="2"/>
      <c r="S799" s="2"/>
      <c r="T799" s="2"/>
      <c r="U799" s="2"/>
      <c r="V799" s="2"/>
      <c r="W799" s="2"/>
    </row>
    <row r="800">
      <c r="A800" s="2"/>
      <c r="B800" s="2"/>
      <c r="C800" s="2"/>
      <c r="D800" s="2"/>
      <c r="E800" s="2"/>
      <c r="F800" s="2"/>
      <c r="G800" s="2"/>
      <c r="H800" s="2"/>
      <c r="I800" s="2"/>
      <c r="J800" s="2"/>
      <c r="K800" s="2"/>
      <c r="L800" s="2"/>
      <c r="M800" s="2"/>
      <c r="N800" s="2"/>
      <c r="O800" s="2"/>
      <c r="P800" s="2"/>
      <c r="Q800" s="2"/>
      <c r="R800" s="2"/>
      <c r="S800" s="2"/>
      <c r="T800" s="2"/>
      <c r="U800" s="2"/>
      <c r="V800" s="2"/>
      <c r="W800" s="2"/>
    </row>
    <row r="801">
      <c r="A801" s="2"/>
      <c r="B801" s="2"/>
      <c r="C801" s="2"/>
      <c r="D801" s="2"/>
      <c r="E801" s="2"/>
      <c r="F801" s="2"/>
      <c r="G801" s="2"/>
      <c r="H801" s="2"/>
      <c r="I801" s="2"/>
      <c r="J801" s="2"/>
      <c r="K801" s="2"/>
      <c r="L801" s="2"/>
      <c r="M801" s="2"/>
      <c r="N801" s="2"/>
      <c r="O801" s="2"/>
      <c r="P801" s="2"/>
      <c r="Q801" s="2"/>
      <c r="R801" s="2"/>
      <c r="S801" s="2"/>
      <c r="T801" s="2"/>
      <c r="U801" s="2"/>
      <c r="V801" s="2"/>
      <c r="W801" s="2"/>
    </row>
    <row r="802">
      <c r="A802" s="2"/>
      <c r="B802" s="2"/>
      <c r="C802" s="2"/>
      <c r="D802" s="2"/>
      <c r="E802" s="2"/>
      <c r="F802" s="2"/>
      <c r="G802" s="2"/>
      <c r="H802" s="2"/>
      <c r="I802" s="2"/>
      <c r="J802" s="2"/>
      <c r="K802" s="2"/>
      <c r="L802" s="2"/>
      <c r="M802" s="2"/>
      <c r="N802" s="2"/>
      <c r="O802" s="2"/>
      <c r="P802" s="2"/>
      <c r="Q802" s="2"/>
      <c r="R802" s="2"/>
      <c r="S802" s="2"/>
      <c r="T802" s="2"/>
      <c r="U802" s="2"/>
      <c r="V802" s="2"/>
      <c r="W802" s="2"/>
    </row>
    <row r="803">
      <c r="A803" s="2"/>
      <c r="B803" s="2"/>
      <c r="C803" s="2"/>
      <c r="D803" s="2"/>
      <c r="E803" s="2"/>
      <c r="F803" s="2"/>
      <c r="G803" s="2"/>
      <c r="H803" s="2"/>
      <c r="I803" s="2"/>
      <c r="J803" s="2"/>
      <c r="K803" s="2"/>
      <c r="L803" s="2"/>
      <c r="M803" s="2"/>
      <c r="N803" s="2"/>
      <c r="O803" s="2"/>
      <c r="P803" s="2"/>
      <c r="Q803" s="2"/>
      <c r="R803" s="2"/>
      <c r="S803" s="2"/>
      <c r="T803" s="2"/>
      <c r="U803" s="2"/>
      <c r="V803" s="2"/>
      <c r="W803" s="2"/>
    </row>
    <row r="804">
      <c r="A804" s="2"/>
      <c r="B804" s="2"/>
      <c r="C804" s="2"/>
      <c r="D804" s="2"/>
      <c r="E804" s="2"/>
      <c r="F804" s="2"/>
      <c r="G804" s="2"/>
      <c r="H804" s="2"/>
      <c r="I804" s="2"/>
      <c r="J804" s="2"/>
      <c r="K804" s="2"/>
      <c r="L804" s="2"/>
      <c r="M804" s="2"/>
      <c r="N804" s="2"/>
      <c r="O804" s="2"/>
      <c r="P804" s="2"/>
      <c r="Q804" s="2"/>
      <c r="R804" s="2"/>
      <c r="S804" s="2"/>
      <c r="T804" s="2"/>
      <c r="U804" s="2"/>
      <c r="V804" s="2"/>
      <c r="W804" s="2"/>
    </row>
    <row r="805">
      <c r="A805" s="2"/>
      <c r="B805" s="2"/>
      <c r="C805" s="2"/>
      <c r="D805" s="2"/>
      <c r="E805" s="2"/>
      <c r="F805" s="2"/>
      <c r="G805" s="2"/>
      <c r="H805" s="2"/>
      <c r="I805" s="2"/>
      <c r="J805" s="2"/>
      <c r="K805" s="2"/>
      <c r="L805" s="2"/>
      <c r="M805" s="2"/>
      <c r="N805" s="2"/>
      <c r="O805" s="2"/>
      <c r="P805" s="2"/>
      <c r="Q805" s="2"/>
      <c r="R805" s="2"/>
      <c r="S805" s="2"/>
      <c r="T805" s="2"/>
      <c r="U805" s="2"/>
      <c r="V805" s="2"/>
      <c r="W805" s="2"/>
    </row>
    <row r="806">
      <c r="A806" s="2"/>
      <c r="B806" s="2"/>
      <c r="C806" s="2"/>
      <c r="D806" s="2"/>
      <c r="E806" s="2"/>
      <c r="F806" s="2"/>
      <c r="G806" s="2"/>
      <c r="H806" s="2"/>
      <c r="I806" s="2"/>
      <c r="J806" s="2"/>
      <c r="K806" s="2"/>
      <c r="L806" s="2"/>
      <c r="M806" s="2"/>
      <c r="N806" s="2"/>
      <c r="O806" s="2"/>
      <c r="P806" s="2"/>
      <c r="Q806" s="2"/>
      <c r="R806" s="2"/>
      <c r="S806" s="2"/>
      <c r="T806" s="2"/>
      <c r="U806" s="2"/>
      <c r="V806" s="2"/>
      <c r="W806" s="2"/>
    </row>
    <row r="807">
      <c r="A807" s="2"/>
      <c r="B807" s="2"/>
      <c r="C807" s="2"/>
      <c r="D807" s="2"/>
      <c r="E807" s="2"/>
      <c r="F807" s="2"/>
      <c r="G807" s="2"/>
      <c r="H807" s="2"/>
      <c r="I807" s="2"/>
      <c r="J807" s="2"/>
      <c r="K807" s="2"/>
      <c r="L807" s="2"/>
      <c r="M807" s="2"/>
      <c r="N807" s="2"/>
      <c r="O807" s="2"/>
      <c r="P807" s="2"/>
      <c r="Q807" s="2"/>
      <c r="R807" s="2"/>
      <c r="S807" s="2"/>
      <c r="T807" s="2"/>
      <c r="U807" s="2"/>
      <c r="V807" s="2"/>
      <c r="W807" s="2"/>
    </row>
    <row r="808">
      <c r="A808" s="2"/>
      <c r="B808" s="2"/>
      <c r="C808" s="2"/>
      <c r="D808" s="2"/>
      <c r="E808" s="2"/>
      <c r="F808" s="2"/>
      <c r="G808" s="2"/>
      <c r="H808" s="2"/>
      <c r="I808" s="2"/>
      <c r="J808" s="2"/>
      <c r="K808" s="2"/>
      <c r="L808" s="2"/>
      <c r="M808" s="2"/>
      <c r="N808" s="2"/>
      <c r="O808" s="2"/>
      <c r="P808" s="2"/>
      <c r="Q808" s="2"/>
      <c r="R808" s="2"/>
      <c r="S808" s="2"/>
      <c r="T808" s="2"/>
      <c r="U808" s="2"/>
      <c r="V808" s="2"/>
      <c r="W808" s="2"/>
    </row>
    <row r="809">
      <c r="A809" s="2"/>
      <c r="B809" s="2"/>
      <c r="C809" s="2"/>
      <c r="D809" s="2"/>
      <c r="E809" s="2"/>
      <c r="F809" s="2"/>
      <c r="G809" s="2"/>
      <c r="H809" s="2"/>
      <c r="I809" s="2"/>
      <c r="J809" s="2"/>
      <c r="K809" s="2"/>
      <c r="L809" s="2"/>
      <c r="M809" s="2"/>
      <c r="N809" s="2"/>
      <c r="O809" s="2"/>
      <c r="P809" s="2"/>
      <c r="Q809" s="2"/>
      <c r="R809" s="2"/>
      <c r="S809" s="2"/>
      <c r="T809" s="2"/>
      <c r="U809" s="2"/>
      <c r="V809" s="2"/>
      <c r="W809" s="2"/>
    </row>
    <row r="810">
      <c r="A810" s="2"/>
      <c r="B810" s="2"/>
      <c r="C810" s="2"/>
      <c r="D810" s="2"/>
      <c r="E810" s="2"/>
      <c r="F810" s="2"/>
      <c r="G810" s="2"/>
      <c r="H810" s="2"/>
      <c r="I810" s="2"/>
      <c r="J810" s="2"/>
      <c r="K810" s="2"/>
      <c r="L810" s="2"/>
      <c r="M810" s="2"/>
      <c r="N810" s="2"/>
      <c r="O810" s="2"/>
      <c r="P810" s="2"/>
      <c r="Q810" s="2"/>
      <c r="R810" s="2"/>
      <c r="S810" s="2"/>
      <c r="T810" s="2"/>
      <c r="U810" s="2"/>
      <c r="V810" s="2"/>
      <c r="W810" s="2"/>
    </row>
    <row r="811">
      <c r="A811" s="2"/>
      <c r="B811" s="2"/>
      <c r="C811" s="2"/>
      <c r="D811" s="2"/>
      <c r="E811" s="2"/>
      <c r="F811" s="2"/>
      <c r="G811" s="2"/>
      <c r="H811" s="2"/>
      <c r="I811" s="2"/>
      <c r="J811" s="2"/>
      <c r="K811" s="2"/>
      <c r="L811" s="2"/>
      <c r="M811" s="2"/>
      <c r="N811" s="2"/>
      <c r="O811" s="2"/>
      <c r="P811" s="2"/>
      <c r="Q811" s="2"/>
      <c r="R811" s="2"/>
      <c r="S811" s="2"/>
      <c r="T811" s="2"/>
      <c r="U811" s="2"/>
      <c r="V811" s="2"/>
      <c r="W811" s="2"/>
    </row>
    <row r="812">
      <c r="A812" s="2"/>
      <c r="B812" s="2"/>
      <c r="C812" s="2"/>
      <c r="D812" s="2"/>
      <c r="E812" s="2"/>
      <c r="F812" s="2"/>
      <c r="G812" s="2"/>
      <c r="H812" s="2"/>
      <c r="I812" s="2"/>
      <c r="J812" s="2"/>
      <c r="K812" s="2"/>
      <c r="L812" s="2"/>
      <c r="M812" s="2"/>
      <c r="N812" s="2"/>
      <c r="O812" s="2"/>
      <c r="P812" s="2"/>
      <c r="Q812" s="2"/>
      <c r="R812" s="2"/>
      <c r="S812" s="2"/>
      <c r="T812" s="2"/>
      <c r="U812" s="2"/>
      <c r="V812" s="2"/>
      <c r="W812" s="2"/>
    </row>
    <row r="813">
      <c r="A813" s="2"/>
      <c r="B813" s="2"/>
      <c r="C813" s="2"/>
      <c r="D813" s="2"/>
      <c r="E813" s="2"/>
      <c r="F813" s="2"/>
      <c r="G813" s="2"/>
      <c r="H813" s="2"/>
      <c r="I813" s="2"/>
      <c r="J813" s="2"/>
      <c r="K813" s="2"/>
      <c r="L813" s="2"/>
      <c r="M813" s="2"/>
      <c r="N813" s="2"/>
      <c r="O813" s="2"/>
      <c r="P813" s="2"/>
      <c r="Q813" s="2"/>
      <c r="R813" s="2"/>
      <c r="S813" s="2"/>
      <c r="T813" s="2"/>
      <c r="U813" s="2"/>
      <c r="V813" s="2"/>
      <c r="W813" s="2"/>
    </row>
    <row r="814">
      <c r="A814" s="2"/>
      <c r="B814" s="2"/>
      <c r="C814" s="2"/>
      <c r="D814" s="2"/>
      <c r="E814" s="2"/>
      <c r="F814" s="2"/>
      <c r="G814" s="2"/>
      <c r="H814" s="2"/>
      <c r="I814" s="2"/>
      <c r="J814" s="2"/>
      <c r="K814" s="2"/>
      <c r="L814" s="2"/>
      <c r="M814" s="2"/>
      <c r="N814" s="2"/>
      <c r="O814" s="2"/>
      <c r="P814" s="2"/>
      <c r="Q814" s="2"/>
      <c r="R814" s="2"/>
      <c r="S814" s="2"/>
      <c r="T814" s="2"/>
      <c r="U814" s="2"/>
      <c r="V814" s="2"/>
      <c r="W814" s="2"/>
    </row>
    <row r="815">
      <c r="A815" s="2"/>
      <c r="B815" s="2"/>
      <c r="C815" s="2"/>
      <c r="D815" s="2"/>
      <c r="E815" s="2"/>
      <c r="F815" s="2"/>
      <c r="G815" s="2"/>
      <c r="H815" s="2"/>
      <c r="I815" s="2"/>
      <c r="J815" s="2"/>
      <c r="K815" s="2"/>
      <c r="L815" s="2"/>
      <c r="M815" s="2"/>
      <c r="N815" s="2"/>
      <c r="O815" s="2"/>
      <c r="P815" s="2"/>
      <c r="Q815" s="2"/>
      <c r="R815" s="2"/>
      <c r="S815" s="2"/>
      <c r="T815" s="2"/>
      <c r="U815" s="2"/>
      <c r="V815" s="2"/>
      <c r="W815" s="2"/>
    </row>
    <row r="816">
      <c r="A816" s="2"/>
      <c r="B816" s="2"/>
      <c r="C816" s="2"/>
      <c r="D816" s="2"/>
      <c r="E816" s="2"/>
      <c r="F816" s="2"/>
      <c r="G816" s="2"/>
      <c r="H816" s="2"/>
      <c r="I816" s="2"/>
      <c r="J816" s="2"/>
      <c r="K816" s="2"/>
      <c r="L816" s="2"/>
      <c r="M816" s="2"/>
      <c r="N816" s="2"/>
      <c r="O816" s="2"/>
      <c r="P816" s="2"/>
      <c r="Q816" s="2"/>
      <c r="R816" s="2"/>
      <c r="S816" s="2"/>
      <c r="T816" s="2"/>
      <c r="U816" s="2"/>
      <c r="V816" s="2"/>
      <c r="W816" s="2"/>
    </row>
    <row r="817">
      <c r="A817" s="2"/>
      <c r="B817" s="2"/>
      <c r="C817" s="2"/>
      <c r="D817" s="2"/>
      <c r="E817" s="2"/>
      <c r="F817" s="2"/>
      <c r="G817" s="2"/>
      <c r="H817" s="2"/>
      <c r="I817" s="2"/>
      <c r="J817" s="2"/>
      <c r="K817" s="2"/>
      <c r="L817" s="2"/>
      <c r="M817" s="2"/>
      <c r="N817" s="2"/>
      <c r="O817" s="2"/>
      <c r="P817" s="2"/>
      <c r="Q817" s="2"/>
      <c r="R817" s="2"/>
      <c r="S817" s="2"/>
      <c r="T817" s="2"/>
      <c r="U817" s="2"/>
      <c r="V817" s="2"/>
      <c r="W817" s="2"/>
    </row>
    <row r="818">
      <c r="A818" s="2"/>
      <c r="B818" s="2"/>
      <c r="C818" s="2"/>
      <c r="D818" s="2"/>
      <c r="E818" s="2"/>
      <c r="F818" s="2"/>
      <c r="G818" s="2"/>
      <c r="H818" s="2"/>
      <c r="I818" s="2"/>
      <c r="J818" s="2"/>
      <c r="K818" s="2"/>
      <c r="L818" s="2"/>
      <c r="M818" s="2"/>
      <c r="N818" s="2"/>
      <c r="O818" s="2"/>
      <c r="P818" s="2"/>
      <c r="Q818" s="2"/>
      <c r="R818" s="2"/>
      <c r="S818" s="2"/>
      <c r="T818" s="2"/>
      <c r="U818" s="2"/>
      <c r="V818" s="2"/>
      <c r="W818" s="2"/>
    </row>
    <row r="819">
      <c r="A819" s="2"/>
      <c r="B819" s="2"/>
      <c r="C819" s="2"/>
      <c r="D819" s="2"/>
      <c r="E819" s="2"/>
      <c r="F819" s="2"/>
      <c r="G819" s="2"/>
      <c r="H819" s="2"/>
      <c r="I819" s="2"/>
      <c r="J819" s="2"/>
      <c r="K819" s="2"/>
      <c r="L819" s="2"/>
      <c r="M819" s="2"/>
      <c r="N819" s="2"/>
      <c r="O819" s="2"/>
      <c r="P819" s="2"/>
      <c r="Q819" s="2"/>
      <c r="R819" s="2"/>
      <c r="S819" s="2"/>
      <c r="T819" s="2"/>
      <c r="U819" s="2"/>
      <c r="V819" s="2"/>
      <c r="W819" s="2"/>
    </row>
    <row r="820">
      <c r="A820" s="2"/>
      <c r="B820" s="2"/>
      <c r="C820" s="2"/>
      <c r="D820" s="2"/>
      <c r="E820" s="2"/>
      <c r="F820" s="2"/>
      <c r="G820" s="2"/>
      <c r="H820" s="2"/>
      <c r="I820" s="2"/>
      <c r="J820" s="2"/>
      <c r="K820" s="2"/>
      <c r="L820" s="2"/>
      <c r="M820" s="2"/>
      <c r="N820" s="2"/>
      <c r="O820" s="2"/>
      <c r="P820" s="2"/>
      <c r="Q820" s="2"/>
      <c r="R820" s="2"/>
      <c r="S820" s="2"/>
      <c r="T820" s="2"/>
      <c r="U820" s="2"/>
      <c r="V820" s="2"/>
      <c r="W820" s="2"/>
    </row>
    <row r="821">
      <c r="A821" s="2"/>
      <c r="B821" s="2"/>
      <c r="C821" s="2"/>
      <c r="D821" s="2"/>
      <c r="E821" s="2"/>
      <c r="F821" s="2"/>
      <c r="G821" s="2"/>
      <c r="H821" s="2"/>
      <c r="I821" s="2"/>
      <c r="J821" s="2"/>
      <c r="K821" s="2"/>
      <c r="L821" s="2"/>
      <c r="M821" s="2"/>
      <c r="N821" s="2"/>
      <c r="O821" s="2"/>
      <c r="P821" s="2"/>
      <c r="Q821" s="2"/>
      <c r="R821" s="2"/>
      <c r="S821" s="2"/>
      <c r="T821" s="2"/>
      <c r="U821" s="2"/>
      <c r="V821" s="2"/>
      <c r="W821" s="2"/>
    </row>
    <row r="822">
      <c r="A822" s="2"/>
      <c r="B822" s="2"/>
      <c r="C822" s="2"/>
      <c r="D822" s="2"/>
      <c r="E822" s="2"/>
      <c r="F822" s="2"/>
      <c r="G822" s="2"/>
      <c r="H822" s="2"/>
      <c r="I822" s="2"/>
      <c r="J822" s="2"/>
      <c r="K822" s="2"/>
      <c r="L822" s="2"/>
      <c r="M822" s="2"/>
      <c r="N822" s="2"/>
      <c r="O822" s="2"/>
      <c r="P822" s="2"/>
      <c r="Q822" s="2"/>
      <c r="R822" s="2"/>
      <c r="S822" s="2"/>
      <c r="T822" s="2"/>
      <c r="U822" s="2"/>
      <c r="V822" s="2"/>
      <c r="W822" s="2"/>
    </row>
    <row r="823">
      <c r="A823" s="2"/>
      <c r="B823" s="2"/>
      <c r="C823" s="2"/>
      <c r="D823" s="2"/>
      <c r="E823" s="2"/>
      <c r="F823" s="2"/>
      <c r="G823" s="2"/>
      <c r="H823" s="2"/>
      <c r="I823" s="2"/>
      <c r="J823" s="2"/>
      <c r="K823" s="2"/>
      <c r="L823" s="2"/>
      <c r="M823" s="2"/>
      <c r="N823" s="2"/>
      <c r="O823" s="2"/>
      <c r="P823" s="2"/>
      <c r="Q823" s="2"/>
      <c r="R823" s="2"/>
      <c r="S823" s="2"/>
      <c r="T823" s="2"/>
      <c r="U823" s="2"/>
      <c r="V823" s="2"/>
      <c r="W823" s="2"/>
    </row>
    <row r="824">
      <c r="A824" s="2"/>
      <c r="B824" s="2"/>
      <c r="C824" s="2"/>
      <c r="D824" s="2"/>
      <c r="E824" s="2"/>
      <c r="F824" s="2"/>
      <c r="G824" s="2"/>
      <c r="H824" s="2"/>
      <c r="I824" s="2"/>
      <c r="J824" s="2"/>
      <c r="K824" s="2"/>
      <c r="L824" s="2"/>
      <c r="M824" s="2"/>
      <c r="N824" s="2"/>
      <c r="O824" s="2"/>
      <c r="P824" s="2"/>
      <c r="Q824" s="2"/>
      <c r="R824" s="2"/>
      <c r="S824" s="2"/>
      <c r="T824" s="2"/>
      <c r="U824" s="2"/>
      <c r="V824" s="2"/>
      <c r="W824" s="2"/>
    </row>
    <row r="825">
      <c r="A825" s="2"/>
      <c r="B825" s="2"/>
      <c r="C825" s="2"/>
      <c r="D825" s="2"/>
      <c r="E825" s="2"/>
      <c r="F825" s="2"/>
      <c r="G825" s="2"/>
      <c r="H825" s="2"/>
      <c r="I825" s="2"/>
      <c r="J825" s="2"/>
      <c r="K825" s="2"/>
      <c r="L825" s="2"/>
      <c r="M825" s="2"/>
      <c r="N825" s="2"/>
      <c r="O825" s="2"/>
      <c r="P825" s="2"/>
      <c r="Q825" s="2"/>
      <c r="R825" s="2"/>
      <c r="S825" s="2"/>
      <c r="T825" s="2"/>
      <c r="U825" s="2"/>
      <c r="V825" s="2"/>
      <c r="W825" s="2"/>
    </row>
    <row r="826">
      <c r="A826" s="2"/>
      <c r="B826" s="2"/>
      <c r="C826" s="2"/>
      <c r="D826" s="2"/>
      <c r="E826" s="2"/>
      <c r="F826" s="2"/>
      <c r="G826" s="2"/>
      <c r="H826" s="2"/>
      <c r="I826" s="2"/>
      <c r="J826" s="2"/>
      <c r="K826" s="2"/>
      <c r="L826" s="2"/>
      <c r="M826" s="2"/>
      <c r="N826" s="2"/>
      <c r="O826" s="2"/>
      <c r="P826" s="2"/>
      <c r="Q826" s="2"/>
      <c r="R826" s="2"/>
      <c r="S826" s="2"/>
      <c r="T826" s="2"/>
      <c r="U826" s="2"/>
      <c r="V826" s="2"/>
      <c r="W826" s="2"/>
    </row>
    <row r="827">
      <c r="A827" s="2"/>
      <c r="B827" s="2"/>
      <c r="C827" s="2"/>
      <c r="D827" s="2"/>
      <c r="E827" s="2"/>
      <c r="F827" s="2"/>
      <c r="G827" s="2"/>
      <c r="H827" s="2"/>
      <c r="I827" s="2"/>
      <c r="J827" s="2"/>
      <c r="K827" s="2"/>
      <c r="L827" s="2"/>
      <c r="M827" s="2"/>
      <c r="N827" s="2"/>
      <c r="O827" s="2"/>
      <c r="P827" s="2"/>
      <c r="Q827" s="2"/>
      <c r="R827" s="2"/>
      <c r="S827" s="2"/>
      <c r="T827" s="2"/>
      <c r="U827" s="2"/>
      <c r="V827" s="2"/>
      <c r="W827" s="2"/>
    </row>
    <row r="828">
      <c r="A828" s="2"/>
      <c r="B828" s="2"/>
      <c r="C828" s="2"/>
      <c r="D828" s="2"/>
      <c r="E828" s="2"/>
      <c r="F828" s="2"/>
      <c r="G828" s="2"/>
      <c r="H828" s="2"/>
      <c r="I828" s="2"/>
      <c r="J828" s="2"/>
      <c r="K828" s="2"/>
      <c r="L828" s="2"/>
      <c r="M828" s="2"/>
      <c r="N828" s="2"/>
      <c r="O828" s="2"/>
      <c r="P828" s="2"/>
      <c r="Q828" s="2"/>
      <c r="R828" s="2"/>
      <c r="S828" s="2"/>
      <c r="T828" s="2"/>
      <c r="U828" s="2"/>
      <c r="V828" s="2"/>
      <c r="W828" s="2"/>
    </row>
    <row r="829">
      <c r="A829" s="2"/>
      <c r="B829" s="2"/>
      <c r="C829" s="2"/>
      <c r="D829" s="2"/>
      <c r="E829" s="2"/>
      <c r="F829" s="2"/>
      <c r="G829" s="2"/>
      <c r="H829" s="2"/>
      <c r="I829" s="2"/>
      <c r="J829" s="2"/>
      <c r="K829" s="2"/>
      <c r="L829" s="2"/>
      <c r="M829" s="2"/>
      <c r="N829" s="2"/>
      <c r="O829" s="2"/>
      <c r="P829" s="2"/>
      <c r="Q829" s="2"/>
      <c r="R829" s="2"/>
      <c r="S829" s="2"/>
      <c r="T829" s="2"/>
      <c r="U829" s="2"/>
      <c r="V829" s="2"/>
      <c r="W829" s="2"/>
    </row>
    <row r="830">
      <c r="A830" s="2"/>
      <c r="B830" s="2"/>
      <c r="C830" s="2"/>
      <c r="D830" s="2"/>
      <c r="E830" s="2"/>
      <c r="F830" s="2"/>
      <c r="G830" s="2"/>
      <c r="H830" s="2"/>
      <c r="I830" s="2"/>
      <c r="J830" s="2"/>
      <c r="K830" s="2"/>
      <c r="L830" s="2"/>
      <c r="M830" s="2"/>
      <c r="N830" s="2"/>
      <c r="O830" s="2"/>
      <c r="P830" s="2"/>
      <c r="Q830" s="2"/>
      <c r="R830" s="2"/>
      <c r="S830" s="2"/>
      <c r="T830" s="2"/>
      <c r="U830" s="2"/>
      <c r="V830" s="2"/>
      <c r="W830" s="2"/>
    </row>
    <row r="831">
      <c r="A831" s="2"/>
      <c r="B831" s="2"/>
      <c r="C831" s="2"/>
      <c r="D831" s="2"/>
      <c r="E831" s="2"/>
      <c r="F831" s="2"/>
      <c r="G831" s="2"/>
      <c r="H831" s="2"/>
      <c r="I831" s="2"/>
      <c r="J831" s="2"/>
      <c r="K831" s="2"/>
      <c r="L831" s="2"/>
      <c r="M831" s="2"/>
      <c r="N831" s="2"/>
      <c r="O831" s="2"/>
      <c r="P831" s="2"/>
      <c r="Q831" s="2"/>
      <c r="R831" s="2"/>
      <c r="S831" s="2"/>
      <c r="T831" s="2"/>
      <c r="U831" s="2"/>
      <c r="V831" s="2"/>
      <c r="W831" s="2"/>
    </row>
    <row r="832">
      <c r="A832" s="2"/>
      <c r="B832" s="2"/>
      <c r="C832" s="2"/>
      <c r="D832" s="2"/>
      <c r="E832" s="2"/>
      <c r="F832" s="2"/>
      <c r="G832" s="2"/>
      <c r="H832" s="2"/>
      <c r="I832" s="2"/>
      <c r="J832" s="2"/>
      <c r="K832" s="2"/>
      <c r="L832" s="2"/>
      <c r="M832" s="2"/>
      <c r="N832" s="2"/>
      <c r="O832" s="2"/>
      <c r="P832" s="2"/>
      <c r="Q832" s="2"/>
      <c r="R832" s="2"/>
      <c r="S832" s="2"/>
      <c r="T832" s="2"/>
      <c r="U832" s="2"/>
      <c r="V832" s="2"/>
      <c r="W832" s="2"/>
    </row>
    <row r="833">
      <c r="A833" s="2"/>
      <c r="B833" s="2"/>
      <c r="C833" s="2"/>
      <c r="D833" s="2"/>
      <c r="E833" s="2"/>
      <c r="F833" s="2"/>
      <c r="G833" s="2"/>
      <c r="H833" s="2"/>
      <c r="I833" s="2"/>
      <c r="J833" s="2"/>
      <c r="K833" s="2"/>
      <c r="L833" s="2"/>
      <c r="M833" s="2"/>
      <c r="N833" s="2"/>
      <c r="O833" s="2"/>
      <c r="P833" s="2"/>
      <c r="Q833" s="2"/>
      <c r="R833" s="2"/>
      <c r="S833" s="2"/>
      <c r="T833" s="2"/>
      <c r="U833" s="2"/>
      <c r="V833" s="2"/>
      <c r="W833" s="2"/>
    </row>
    <row r="834">
      <c r="A834" s="2"/>
      <c r="B834" s="2"/>
      <c r="C834" s="2"/>
      <c r="D834" s="2"/>
      <c r="E834" s="2"/>
      <c r="F834" s="2"/>
      <c r="G834" s="2"/>
      <c r="H834" s="2"/>
      <c r="I834" s="2"/>
      <c r="J834" s="2"/>
      <c r="K834" s="2"/>
      <c r="L834" s="2"/>
      <c r="M834" s="2"/>
      <c r="N834" s="2"/>
      <c r="O834" s="2"/>
      <c r="P834" s="2"/>
      <c r="Q834" s="2"/>
      <c r="R834" s="2"/>
      <c r="S834" s="2"/>
      <c r="T834" s="2"/>
      <c r="U834" s="2"/>
      <c r="V834" s="2"/>
      <c r="W834" s="2"/>
    </row>
    <row r="835">
      <c r="A835" s="2"/>
      <c r="B835" s="2"/>
      <c r="C835" s="2"/>
      <c r="D835" s="2"/>
      <c r="E835" s="2"/>
      <c r="F835" s="2"/>
      <c r="G835" s="2"/>
      <c r="H835" s="2"/>
      <c r="I835" s="2"/>
      <c r="J835" s="2"/>
      <c r="K835" s="2"/>
      <c r="L835" s="2"/>
      <c r="M835" s="2"/>
      <c r="N835" s="2"/>
      <c r="O835" s="2"/>
      <c r="P835" s="2"/>
      <c r="Q835" s="2"/>
      <c r="R835" s="2"/>
      <c r="S835" s="2"/>
      <c r="T835" s="2"/>
      <c r="U835" s="2"/>
      <c r="V835" s="2"/>
      <c r="W835" s="2"/>
    </row>
    <row r="836">
      <c r="A836" s="2"/>
      <c r="B836" s="2"/>
      <c r="C836" s="2"/>
      <c r="D836" s="2"/>
      <c r="E836" s="2"/>
      <c r="F836" s="2"/>
      <c r="G836" s="2"/>
      <c r="H836" s="2"/>
      <c r="I836" s="2"/>
      <c r="J836" s="2"/>
      <c r="K836" s="2"/>
      <c r="L836" s="2"/>
      <c r="M836" s="2"/>
      <c r="N836" s="2"/>
      <c r="O836" s="2"/>
      <c r="P836" s="2"/>
      <c r="Q836" s="2"/>
      <c r="R836" s="2"/>
      <c r="S836" s="2"/>
      <c r="T836" s="2"/>
      <c r="U836" s="2"/>
      <c r="V836" s="2"/>
      <c r="W836" s="2"/>
    </row>
    <row r="837">
      <c r="A837" s="2"/>
      <c r="B837" s="2"/>
      <c r="C837" s="2"/>
      <c r="D837" s="2"/>
      <c r="E837" s="2"/>
      <c r="F837" s="2"/>
      <c r="G837" s="2"/>
      <c r="H837" s="2"/>
      <c r="I837" s="2"/>
      <c r="J837" s="2"/>
      <c r="K837" s="2"/>
      <c r="L837" s="2"/>
      <c r="M837" s="2"/>
      <c r="N837" s="2"/>
      <c r="O837" s="2"/>
      <c r="P837" s="2"/>
      <c r="Q837" s="2"/>
      <c r="R837" s="2"/>
      <c r="S837" s="2"/>
      <c r="T837" s="2"/>
      <c r="U837" s="2"/>
      <c r="V837" s="2"/>
      <c r="W837" s="2"/>
    </row>
    <row r="838">
      <c r="A838" s="2"/>
      <c r="B838" s="2"/>
      <c r="C838" s="2"/>
      <c r="D838" s="2"/>
      <c r="E838" s="2"/>
      <c r="F838" s="2"/>
      <c r="G838" s="2"/>
      <c r="H838" s="2"/>
      <c r="I838" s="2"/>
      <c r="J838" s="2"/>
      <c r="K838" s="2"/>
      <c r="L838" s="2"/>
      <c r="M838" s="2"/>
      <c r="N838" s="2"/>
      <c r="O838" s="2"/>
      <c r="P838" s="2"/>
      <c r="Q838" s="2"/>
      <c r="R838" s="2"/>
      <c r="S838" s="2"/>
      <c r="T838" s="2"/>
      <c r="U838" s="2"/>
      <c r="V838" s="2"/>
      <c r="W838" s="2"/>
    </row>
    <row r="839">
      <c r="A839" s="2"/>
      <c r="B839" s="2"/>
      <c r="C839" s="2"/>
      <c r="D839" s="2"/>
      <c r="E839" s="2"/>
      <c r="F839" s="2"/>
      <c r="G839" s="2"/>
      <c r="H839" s="2"/>
      <c r="I839" s="2"/>
      <c r="J839" s="2"/>
      <c r="K839" s="2"/>
      <c r="L839" s="2"/>
      <c r="M839" s="2"/>
      <c r="N839" s="2"/>
      <c r="O839" s="2"/>
      <c r="P839" s="2"/>
      <c r="Q839" s="2"/>
      <c r="R839" s="2"/>
      <c r="S839" s="2"/>
      <c r="T839" s="2"/>
      <c r="U839" s="2"/>
      <c r="V839" s="2"/>
      <c r="W839" s="2"/>
    </row>
    <row r="840">
      <c r="A840" s="2"/>
      <c r="B840" s="2"/>
      <c r="C840" s="2"/>
      <c r="D840" s="2"/>
      <c r="E840" s="2"/>
      <c r="F840" s="2"/>
      <c r="G840" s="2"/>
      <c r="H840" s="2"/>
      <c r="I840" s="2"/>
      <c r="J840" s="2"/>
      <c r="K840" s="2"/>
      <c r="L840" s="2"/>
      <c r="M840" s="2"/>
      <c r="N840" s="2"/>
      <c r="O840" s="2"/>
      <c r="P840" s="2"/>
      <c r="Q840" s="2"/>
      <c r="R840" s="2"/>
      <c r="S840" s="2"/>
      <c r="T840" s="2"/>
      <c r="U840" s="2"/>
      <c r="V840" s="2"/>
      <c r="W840" s="2"/>
    </row>
    <row r="841">
      <c r="A841" s="2"/>
      <c r="B841" s="2"/>
      <c r="C841" s="2"/>
      <c r="D841" s="2"/>
      <c r="E841" s="2"/>
      <c r="F841" s="2"/>
      <c r="G841" s="2"/>
      <c r="H841" s="2"/>
      <c r="I841" s="2"/>
      <c r="J841" s="2"/>
      <c r="K841" s="2"/>
      <c r="L841" s="2"/>
      <c r="M841" s="2"/>
      <c r="N841" s="2"/>
      <c r="O841" s="2"/>
      <c r="P841" s="2"/>
      <c r="Q841" s="2"/>
      <c r="R841" s="2"/>
      <c r="S841" s="2"/>
      <c r="T841" s="2"/>
      <c r="U841" s="2"/>
      <c r="V841" s="2"/>
      <c r="W841" s="2"/>
    </row>
    <row r="842">
      <c r="A842" s="2"/>
      <c r="B842" s="2"/>
      <c r="C842" s="2"/>
      <c r="D842" s="2"/>
      <c r="E842" s="2"/>
      <c r="F842" s="2"/>
      <c r="G842" s="2"/>
      <c r="H842" s="2"/>
      <c r="I842" s="2"/>
      <c r="J842" s="2"/>
      <c r="K842" s="2"/>
      <c r="L842" s="2"/>
      <c r="M842" s="2"/>
      <c r="N842" s="2"/>
      <c r="O842" s="2"/>
      <c r="P842" s="2"/>
      <c r="Q842" s="2"/>
      <c r="R842" s="2"/>
      <c r="S842" s="2"/>
      <c r="T842" s="2"/>
      <c r="U842" s="2"/>
      <c r="V842" s="2"/>
      <c r="W842" s="2"/>
    </row>
    <row r="843">
      <c r="A843" s="2"/>
      <c r="B843" s="2"/>
      <c r="C843" s="2"/>
      <c r="D843" s="2"/>
      <c r="E843" s="2"/>
      <c r="F843" s="2"/>
      <c r="G843" s="2"/>
      <c r="H843" s="2"/>
      <c r="I843" s="2"/>
      <c r="J843" s="2"/>
      <c r="K843" s="2"/>
      <c r="L843" s="2"/>
      <c r="M843" s="2"/>
      <c r="N843" s="2"/>
      <c r="O843" s="2"/>
      <c r="P843" s="2"/>
      <c r="Q843" s="2"/>
      <c r="R843" s="2"/>
      <c r="S843" s="2"/>
      <c r="T843" s="2"/>
      <c r="U843" s="2"/>
      <c r="V843" s="2"/>
      <c r="W843" s="2"/>
    </row>
    <row r="844">
      <c r="A844" s="2"/>
      <c r="B844" s="2"/>
      <c r="C844" s="2"/>
      <c r="D844" s="2"/>
      <c r="E844" s="2"/>
      <c r="F844" s="2"/>
      <c r="G844" s="2"/>
      <c r="H844" s="2"/>
      <c r="I844" s="2"/>
      <c r="J844" s="2"/>
      <c r="K844" s="2"/>
      <c r="L844" s="2"/>
      <c r="M844" s="2"/>
      <c r="N844" s="2"/>
      <c r="O844" s="2"/>
      <c r="P844" s="2"/>
      <c r="Q844" s="2"/>
      <c r="R844" s="2"/>
      <c r="S844" s="2"/>
      <c r="T844" s="2"/>
      <c r="U844" s="2"/>
      <c r="V844" s="2"/>
      <c r="W844" s="2"/>
    </row>
    <row r="845">
      <c r="A845" s="2"/>
      <c r="B845" s="2"/>
      <c r="C845" s="2"/>
      <c r="D845" s="2"/>
      <c r="E845" s="2"/>
      <c r="F845" s="2"/>
      <c r="G845" s="2"/>
      <c r="H845" s="2"/>
      <c r="I845" s="2"/>
      <c r="J845" s="2"/>
      <c r="K845" s="2"/>
      <c r="L845" s="2"/>
      <c r="M845" s="2"/>
      <c r="N845" s="2"/>
      <c r="O845" s="2"/>
      <c r="P845" s="2"/>
      <c r="Q845" s="2"/>
      <c r="R845" s="2"/>
      <c r="S845" s="2"/>
      <c r="T845" s="2"/>
      <c r="U845" s="2"/>
      <c r="V845" s="2"/>
      <c r="W845" s="2"/>
    </row>
    <row r="846">
      <c r="A846" s="2"/>
      <c r="B846" s="2"/>
      <c r="C846" s="2"/>
      <c r="D846" s="2"/>
      <c r="E846" s="2"/>
      <c r="F846" s="2"/>
      <c r="G846" s="2"/>
      <c r="H846" s="2"/>
      <c r="I846" s="2"/>
      <c r="J846" s="2"/>
      <c r="K846" s="2"/>
      <c r="L846" s="2"/>
      <c r="M846" s="2"/>
      <c r="N846" s="2"/>
      <c r="O846" s="2"/>
      <c r="P846" s="2"/>
      <c r="Q846" s="2"/>
      <c r="R846" s="2"/>
      <c r="S846" s="2"/>
      <c r="T846" s="2"/>
      <c r="U846" s="2"/>
      <c r="V846" s="2"/>
      <c r="W846" s="2"/>
    </row>
    <row r="847">
      <c r="A847" s="2"/>
      <c r="B847" s="2"/>
      <c r="C847" s="2"/>
      <c r="D847" s="2"/>
      <c r="E847" s="2"/>
      <c r="F847" s="2"/>
      <c r="G847" s="2"/>
      <c r="H847" s="2"/>
      <c r="I847" s="2"/>
      <c r="J847" s="2"/>
      <c r="K847" s="2"/>
      <c r="L847" s="2"/>
      <c r="M847" s="2"/>
      <c r="N847" s="2"/>
      <c r="O847" s="2"/>
      <c r="P847" s="2"/>
      <c r="Q847" s="2"/>
      <c r="R847" s="2"/>
      <c r="S847" s="2"/>
      <c r="T847" s="2"/>
      <c r="U847" s="2"/>
      <c r="V847" s="2"/>
      <c r="W847" s="2"/>
    </row>
    <row r="848">
      <c r="A848" s="2"/>
      <c r="B848" s="2"/>
      <c r="C848" s="2"/>
      <c r="D848" s="2"/>
      <c r="E848" s="2"/>
      <c r="F848" s="2"/>
      <c r="G848" s="2"/>
      <c r="H848" s="2"/>
      <c r="I848" s="2"/>
      <c r="J848" s="2"/>
      <c r="K848" s="2"/>
      <c r="L848" s="2"/>
      <c r="M848" s="2"/>
      <c r="N848" s="2"/>
      <c r="O848" s="2"/>
      <c r="P848" s="2"/>
      <c r="Q848" s="2"/>
      <c r="R848" s="2"/>
      <c r="S848" s="2"/>
      <c r="T848" s="2"/>
      <c r="U848" s="2"/>
      <c r="V848" s="2"/>
      <c r="W848" s="2"/>
    </row>
    <row r="849">
      <c r="A849" s="2"/>
      <c r="B849" s="2"/>
      <c r="C849" s="2"/>
      <c r="D849" s="2"/>
      <c r="E849" s="2"/>
      <c r="F849" s="2"/>
      <c r="G849" s="2"/>
      <c r="H849" s="2"/>
      <c r="I849" s="2"/>
      <c r="J849" s="2"/>
      <c r="K849" s="2"/>
      <c r="L849" s="2"/>
      <c r="M849" s="2"/>
      <c r="N849" s="2"/>
      <c r="O849" s="2"/>
      <c r="P849" s="2"/>
      <c r="Q849" s="2"/>
      <c r="R849" s="2"/>
      <c r="S849" s="2"/>
      <c r="T849" s="2"/>
      <c r="U849" s="2"/>
      <c r="V849" s="2"/>
      <c r="W849" s="2"/>
    </row>
    <row r="850">
      <c r="A850" s="2"/>
      <c r="B850" s="2"/>
      <c r="C850" s="2"/>
      <c r="D850" s="2"/>
      <c r="E850" s="2"/>
      <c r="F850" s="2"/>
      <c r="G850" s="2"/>
      <c r="H850" s="2"/>
      <c r="I850" s="2"/>
      <c r="J850" s="2"/>
      <c r="K850" s="2"/>
      <c r="L850" s="2"/>
      <c r="M850" s="2"/>
      <c r="N850" s="2"/>
      <c r="O850" s="2"/>
      <c r="P850" s="2"/>
      <c r="Q850" s="2"/>
      <c r="R850" s="2"/>
      <c r="S850" s="2"/>
      <c r="T850" s="2"/>
      <c r="U850" s="2"/>
      <c r="V850" s="2"/>
      <c r="W850" s="2"/>
    </row>
    <row r="851">
      <c r="A851" s="2"/>
      <c r="B851" s="2"/>
      <c r="C851" s="2"/>
      <c r="D851" s="2"/>
      <c r="E851" s="2"/>
      <c r="F851" s="2"/>
      <c r="G851" s="2"/>
      <c r="H851" s="2"/>
      <c r="I851" s="2"/>
      <c r="J851" s="2"/>
      <c r="K851" s="2"/>
      <c r="L851" s="2"/>
      <c r="M851" s="2"/>
      <c r="N851" s="2"/>
      <c r="O851" s="2"/>
      <c r="P851" s="2"/>
      <c r="Q851" s="2"/>
      <c r="R851" s="2"/>
      <c r="S851" s="2"/>
      <c r="T851" s="2"/>
      <c r="U851" s="2"/>
      <c r="V851" s="2"/>
      <c r="W851" s="2"/>
    </row>
    <row r="852">
      <c r="A852" s="2"/>
      <c r="B852" s="2"/>
      <c r="C852" s="2"/>
      <c r="D852" s="2"/>
      <c r="E852" s="2"/>
      <c r="F852" s="2"/>
      <c r="G852" s="2"/>
      <c r="H852" s="2"/>
      <c r="I852" s="2"/>
      <c r="J852" s="2"/>
      <c r="K852" s="2"/>
      <c r="L852" s="2"/>
      <c r="M852" s="2"/>
      <c r="N852" s="2"/>
      <c r="O852" s="2"/>
      <c r="P852" s="2"/>
      <c r="Q852" s="2"/>
      <c r="R852" s="2"/>
      <c r="S852" s="2"/>
      <c r="T852" s="2"/>
      <c r="U852" s="2"/>
      <c r="V852" s="2"/>
      <c r="W852" s="2"/>
    </row>
    <row r="853">
      <c r="A853" s="2"/>
      <c r="B853" s="2"/>
      <c r="C853" s="2"/>
      <c r="D853" s="2"/>
      <c r="E853" s="2"/>
      <c r="F853" s="2"/>
      <c r="G853" s="2"/>
      <c r="H853" s="2"/>
      <c r="I853" s="2"/>
      <c r="J853" s="2"/>
      <c r="K853" s="2"/>
      <c r="L853" s="2"/>
      <c r="M853" s="2"/>
      <c r="N853" s="2"/>
      <c r="O853" s="2"/>
      <c r="P853" s="2"/>
      <c r="Q853" s="2"/>
      <c r="R853" s="2"/>
      <c r="S853" s="2"/>
      <c r="T853" s="2"/>
      <c r="U853" s="2"/>
      <c r="V853" s="2"/>
      <c r="W853" s="2"/>
    </row>
    <row r="854">
      <c r="A854" s="2"/>
      <c r="B854" s="2"/>
      <c r="C854" s="2"/>
      <c r="D854" s="2"/>
      <c r="E854" s="2"/>
      <c r="F854" s="2"/>
      <c r="G854" s="2"/>
      <c r="H854" s="2"/>
      <c r="I854" s="2"/>
      <c r="J854" s="2"/>
      <c r="K854" s="2"/>
      <c r="L854" s="2"/>
      <c r="M854" s="2"/>
      <c r="N854" s="2"/>
      <c r="O854" s="2"/>
      <c r="P854" s="2"/>
      <c r="Q854" s="2"/>
      <c r="R854" s="2"/>
      <c r="S854" s="2"/>
      <c r="T854" s="2"/>
      <c r="U854" s="2"/>
      <c r="V854" s="2"/>
      <c r="W854" s="2"/>
    </row>
    <row r="855">
      <c r="A855" s="2"/>
      <c r="B855" s="2"/>
      <c r="C855" s="2"/>
      <c r="D855" s="2"/>
      <c r="E855" s="2"/>
      <c r="F855" s="2"/>
      <c r="G855" s="2"/>
      <c r="H855" s="2"/>
      <c r="I855" s="2"/>
      <c r="J855" s="2"/>
      <c r="K855" s="2"/>
      <c r="L855" s="2"/>
      <c r="M855" s="2"/>
      <c r="N855" s="2"/>
      <c r="O855" s="2"/>
      <c r="P855" s="2"/>
      <c r="Q855" s="2"/>
      <c r="R855" s="2"/>
      <c r="S855" s="2"/>
      <c r="T855" s="2"/>
      <c r="U855" s="2"/>
      <c r="V855" s="2"/>
      <c r="W855" s="2"/>
    </row>
    <row r="856">
      <c r="A856" s="2"/>
      <c r="B856" s="2"/>
      <c r="C856" s="2"/>
      <c r="D856" s="2"/>
      <c r="E856" s="2"/>
      <c r="F856" s="2"/>
      <c r="G856" s="2"/>
      <c r="H856" s="2"/>
      <c r="I856" s="2"/>
      <c r="J856" s="2"/>
      <c r="K856" s="2"/>
      <c r="L856" s="2"/>
      <c r="M856" s="2"/>
      <c r="N856" s="2"/>
      <c r="O856" s="2"/>
      <c r="P856" s="2"/>
      <c r="Q856" s="2"/>
      <c r="R856" s="2"/>
      <c r="S856" s="2"/>
      <c r="T856" s="2"/>
      <c r="U856" s="2"/>
      <c r="V856" s="2"/>
      <c r="W856" s="2"/>
    </row>
    <row r="857">
      <c r="A857" s="2"/>
      <c r="B857" s="2"/>
      <c r="C857" s="2"/>
      <c r="D857" s="2"/>
      <c r="E857" s="2"/>
      <c r="F857" s="2"/>
      <c r="G857" s="2"/>
      <c r="H857" s="2"/>
      <c r="I857" s="2"/>
      <c r="J857" s="2"/>
      <c r="K857" s="2"/>
      <c r="L857" s="2"/>
      <c r="M857" s="2"/>
      <c r="N857" s="2"/>
      <c r="O857" s="2"/>
      <c r="P857" s="2"/>
      <c r="Q857" s="2"/>
      <c r="R857" s="2"/>
      <c r="S857" s="2"/>
      <c r="T857" s="2"/>
      <c r="U857" s="2"/>
      <c r="V857" s="2"/>
      <c r="W857" s="2"/>
    </row>
    <row r="858">
      <c r="A858" s="2"/>
      <c r="B858" s="2"/>
      <c r="C858" s="2"/>
      <c r="D858" s="2"/>
      <c r="E858" s="2"/>
      <c r="F858" s="2"/>
      <c r="G858" s="2"/>
      <c r="H858" s="2"/>
      <c r="I858" s="2"/>
      <c r="J858" s="2"/>
      <c r="K858" s="2"/>
      <c r="L858" s="2"/>
      <c r="M858" s="2"/>
      <c r="N858" s="2"/>
      <c r="O858" s="2"/>
      <c r="P858" s="2"/>
      <c r="Q858" s="2"/>
      <c r="R858" s="2"/>
      <c r="S858" s="2"/>
      <c r="T858" s="2"/>
      <c r="U858" s="2"/>
      <c r="V858" s="2"/>
      <c r="W858" s="2"/>
    </row>
    <row r="859">
      <c r="A859" s="2"/>
      <c r="B859" s="2"/>
      <c r="C859" s="2"/>
      <c r="D859" s="2"/>
      <c r="E859" s="2"/>
      <c r="F859" s="2"/>
      <c r="G859" s="2"/>
      <c r="H859" s="2"/>
      <c r="I859" s="2"/>
      <c r="J859" s="2"/>
      <c r="K859" s="2"/>
      <c r="L859" s="2"/>
      <c r="M859" s="2"/>
      <c r="N859" s="2"/>
      <c r="O859" s="2"/>
      <c r="P859" s="2"/>
      <c r="Q859" s="2"/>
      <c r="R859" s="2"/>
      <c r="S859" s="2"/>
      <c r="T859" s="2"/>
      <c r="U859" s="2"/>
      <c r="V859" s="2"/>
      <c r="W859" s="2"/>
    </row>
    <row r="860">
      <c r="A860" s="2"/>
      <c r="B860" s="2"/>
      <c r="C860" s="2"/>
      <c r="D860" s="2"/>
      <c r="E860" s="2"/>
      <c r="F860" s="2"/>
      <c r="G860" s="2"/>
      <c r="H860" s="2"/>
      <c r="I860" s="2"/>
      <c r="J860" s="2"/>
      <c r="K860" s="2"/>
      <c r="L860" s="2"/>
      <c r="M860" s="2"/>
      <c r="N860" s="2"/>
      <c r="O860" s="2"/>
      <c r="P860" s="2"/>
      <c r="Q860" s="2"/>
      <c r="R860" s="2"/>
      <c r="S860" s="2"/>
      <c r="T860" s="2"/>
      <c r="U860" s="2"/>
      <c r="V860" s="2"/>
      <c r="W860" s="2"/>
    </row>
    <row r="861">
      <c r="A861" s="2"/>
      <c r="B861" s="2"/>
      <c r="C861" s="2"/>
      <c r="D861" s="2"/>
      <c r="E861" s="2"/>
      <c r="F861" s="2"/>
      <c r="G861" s="2"/>
      <c r="H861" s="2"/>
      <c r="I861" s="2"/>
      <c r="J861" s="2"/>
      <c r="K861" s="2"/>
      <c r="L861" s="2"/>
      <c r="M861" s="2"/>
      <c r="N861" s="2"/>
      <c r="O861" s="2"/>
      <c r="P861" s="2"/>
      <c r="Q861" s="2"/>
      <c r="R861" s="2"/>
      <c r="S861" s="2"/>
      <c r="T861" s="2"/>
      <c r="U861" s="2"/>
      <c r="V861" s="2"/>
      <c r="W861" s="2"/>
    </row>
    <row r="862">
      <c r="A862" s="2"/>
      <c r="B862" s="2"/>
      <c r="C862" s="2"/>
      <c r="D862" s="2"/>
      <c r="E862" s="2"/>
      <c r="F862" s="2"/>
      <c r="G862" s="2"/>
      <c r="H862" s="2"/>
      <c r="I862" s="2"/>
      <c r="J862" s="2"/>
      <c r="K862" s="2"/>
      <c r="L862" s="2"/>
      <c r="M862" s="2"/>
      <c r="N862" s="2"/>
      <c r="O862" s="2"/>
      <c r="P862" s="2"/>
      <c r="Q862" s="2"/>
      <c r="R862" s="2"/>
      <c r="S862" s="2"/>
      <c r="T862" s="2"/>
      <c r="U862" s="2"/>
      <c r="V862" s="2"/>
      <c r="W862" s="2"/>
    </row>
    <row r="863">
      <c r="A863" s="2"/>
      <c r="B863" s="2"/>
      <c r="C863" s="2"/>
      <c r="D863" s="2"/>
      <c r="E863" s="2"/>
      <c r="F863" s="2"/>
      <c r="G863" s="2"/>
      <c r="H863" s="2"/>
      <c r="I863" s="2"/>
      <c r="J863" s="2"/>
      <c r="K863" s="2"/>
      <c r="L863" s="2"/>
      <c r="M863" s="2"/>
      <c r="N863" s="2"/>
      <c r="O863" s="2"/>
      <c r="P863" s="2"/>
      <c r="Q863" s="2"/>
      <c r="R863" s="2"/>
      <c r="S863" s="2"/>
      <c r="T863" s="2"/>
      <c r="U863" s="2"/>
      <c r="V863" s="2"/>
      <c r="W863" s="2"/>
    </row>
    <row r="864">
      <c r="A864" s="2"/>
      <c r="B864" s="2"/>
      <c r="C864" s="2"/>
      <c r="D864" s="2"/>
      <c r="E864" s="2"/>
      <c r="F864" s="2"/>
      <c r="G864" s="2"/>
      <c r="H864" s="2"/>
      <c r="I864" s="2"/>
      <c r="J864" s="2"/>
      <c r="K864" s="2"/>
      <c r="L864" s="2"/>
      <c r="M864" s="2"/>
      <c r="N864" s="2"/>
      <c r="O864" s="2"/>
      <c r="P864" s="2"/>
      <c r="Q864" s="2"/>
      <c r="R864" s="2"/>
      <c r="S864" s="2"/>
      <c r="T864" s="2"/>
      <c r="U864" s="2"/>
      <c r="V864" s="2"/>
      <c r="W864" s="2"/>
    </row>
    <row r="865">
      <c r="A865" s="2"/>
      <c r="B865" s="2"/>
      <c r="C865" s="2"/>
      <c r="D865" s="2"/>
      <c r="E865" s="2"/>
      <c r="F865" s="2"/>
      <c r="G865" s="2"/>
      <c r="H865" s="2"/>
      <c r="I865" s="2"/>
      <c r="J865" s="2"/>
      <c r="K865" s="2"/>
      <c r="L865" s="2"/>
      <c r="M865" s="2"/>
      <c r="N865" s="2"/>
      <c r="O865" s="2"/>
      <c r="P865" s="2"/>
      <c r="Q865" s="2"/>
      <c r="R865" s="2"/>
      <c r="S865" s="2"/>
      <c r="T865" s="2"/>
      <c r="U865" s="2"/>
      <c r="V865" s="2"/>
      <c r="W865" s="2"/>
    </row>
    <row r="866">
      <c r="A866" s="2"/>
      <c r="B866" s="2"/>
      <c r="C866" s="2"/>
      <c r="D866" s="2"/>
      <c r="E866" s="2"/>
      <c r="F866" s="2"/>
      <c r="G866" s="2"/>
      <c r="H866" s="2"/>
      <c r="I866" s="2"/>
      <c r="J866" s="2"/>
      <c r="K866" s="2"/>
      <c r="L866" s="2"/>
      <c r="M866" s="2"/>
      <c r="N866" s="2"/>
      <c r="O866" s="2"/>
      <c r="P866" s="2"/>
      <c r="Q866" s="2"/>
      <c r="R866" s="2"/>
      <c r="S866" s="2"/>
      <c r="T866" s="2"/>
      <c r="U866" s="2"/>
      <c r="V866" s="2"/>
      <c r="W866" s="2"/>
    </row>
    <row r="867">
      <c r="A867" s="2"/>
      <c r="B867" s="2"/>
      <c r="C867" s="2"/>
      <c r="D867" s="2"/>
      <c r="E867" s="2"/>
      <c r="F867" s="2"/>
      <c r="G867" s="2"/>
      <c r="H867" s="2"/>
      <c r="I867" s="2"/>
      <c r="J867" s="2"/>
      <c r="K867" s="2"/>
      <c r="L867" s="2"/>
      <c r="M867" s="2"/>
      <c r="N867" s="2"/>
      <c r="O867" s="2"/>
      <c r="P867" s="2"/>
      <c r="Q867" s="2"/>
      <c r="R867" s="2"/>
      <c r="S867" s="2"/>
      <c r="T867" s="2"/>
      <c r="U867" s="2"/>
      <c r="V867" s="2"/>
      <c r="W867" s="2"/>
    </row>
    <row r="868">
      <c r="A868" s="2"/>
      <c r="B868" s="2"/>
      <c r="C868" s="2"/>
      <c r="D868" s="2"/>
      <c r="E868" s="2"/>
      <c r="F868" s="2"/>
      <c r="G868" s="2"/>
      <c r="H868" s="2"/>
      <c r="I868" s="2"/>
      <c r="J868" s="2"/>
      <c r="K868" s="2"/>
      <c r="L868" s="2"/>
      <c r="M868" s="2"/>
      <c r="N868" s="2"/>
      <c r="O868" s="2"/>
      <c r="P868" s="2"/>
      <c r="Q868" s="2"/>
      <c r="R868" s="2"/>
      <c r="S868" s="2"/>
      <c r="T868" s="2"/>
      <c r="U868" s="2"/>
      <c r="V868" s="2"/>
      <c r="W868" s="2"/>
    </row>
    <row r="869">
      <c r="A869" s="2"/>
      <c r="B869" s="2"/>
      <c r="C869" s="2"/>
      <c r="D869" s="2"/>
      <c r="E869" s="2"/>
      <c r="F869" s="2"/>
      <c r="G869" s="2"/>
      <c r="H869" s="2"/>
      <c r="I869" s="2"/>
      <c r="J869" s="2"/>
      <c r="K869" s="2"/>
      <c r="L869" s="2"/>
      <c r="M869" s="2"/>
      <c r="N869" s="2"/>
      <c r="O869" s="2"/>
      <c r="P869" s="2"/>
      <c r="Q869" s="2"/>
      <c r="R869" s="2"/>
      <c r="S869" s="2"/>
      <c r="T869" s="2"/>
      <c r="U869" s="2"/>
      <c r="V869" s="2"/>
      <c r="W869" s="2"/>
    </row>
    <row r="870">
      <c r="A870" s="2"/>
      <c r="B870" s="2"/>
      <c r="C870" s="2"/>
      <c r="D870" s="2"/>
      <c r="E870" s="2"/>
      <c r="F870" s="2"/>
      <c r="G870" s="2"/>
      <c r="H870" s="2"/>
      <c r="I870" s="2"/>
      <c r="J870" s="2"/>
      <c r="K870" s="2"/>
      <c r="L870" s="2"/>
      <c r="M870" s="2"/>
      <c r="N870" s="2"/>
      <c r="O870" s="2"/>
      <c r="P870" s="2"/>
      <c r="Q870" s="2"/>
      <c r="R870" s="2"/>
      <c r="S870" s="2"/>
      <c r="T870" s="2"/>
      <c r="U870" s="2"/>
      <c r="V870" s="2"/>
      <c r="W870" s="2"/>
    </row>
    <row r="871">
      <c r="A871" s="2"/>
      <c r="B871" s="2"/>
      <c r="C871" s="2"/>
      <c r="D871" s="2"/>
      <c r="E871" s="2"/>
      <c r="F871" s="2"/>
      <c r="G871" s="2"/>
      <c r="H871" s="2"/>
      <c r="I871" s="2"/>
      <c r="J871" s="2"/>
      <c r="K871" s="2"/>
      <c r="L871" s="2"/>
      <c r="M871" s="2"/>
      <c r="N871" s="2"/>
      <c r="O871" s="2"/>
      <c r="P871" s="2"/>
      <c r="Q871" s="2"/>
      <c r="R871" s="2"/>
      <c r="S871" s="2"/>
      <c r="T871" s="2"/>
      <c r="U871" s="2"/>
      <c r="V871" s="2"/>
      <c r="W871" s="2"/>
    </row>
    <row r="872">
      <c r="A872" s="2"/>
      <c r="B872" s="2"/>
      <c r="C872" s="2"/>
      <c r="D872" s="2"/>
      <c r="E872" s="2"/>
      <c r="F872" s="2"/>
      <c r="G872" s="2"/>
      <c r="H872" s="2"/>
      <c r="I872" s="2"/>
      <c r="J872" s="2"/>
      <c r="K872" s="2"/>
      <c r="L872" s="2"/>
      <c r="M872" s="2"/>
      <c r="N872" s="2"/>
      <c r="O872" s="2"/>
      <c r="P872" s="2"/>
      <c r="Q872" s="2"/>
      <c r="R872" s="2"/>
      <c r="S872" s="2"/>
      <c r="T872" s="2"/>
      <c r="U872" s="2"/>
      <c r="V872" s="2"/>
      <c r="W872" s="2"/>
    </row>
    <row r="873">
      <c r="A873" s="2"/>
      <c r="B873" s="2"/>
      <c r="C873" s="2"/>
      <c r="D873" s="2"/>
      <c r="E873" s="2"/>
      <c r="F873" s="2"/>
      <c r="G873" s="2"/>
      <c r="H873" s="2"/>
      <c r="I873" s="2"/>
      <c r="J873" s="2"/>
      <c r="K873" s="2"/>
      <c r="L873" s="2"/>
      <c r="M873" s="2"/>
      <c r="N873" s="2"/>
      <c r="O873" s="2"/>
      <c r="P873" s="2"/>
      <c r="Q873" s="2"/>
      <c r="R873" s="2"/>
      <c r="S873" s="2"/>
      <c r="T873" s="2"/>
      <c r="U873" s="2"/>
      <c r="V873" s="2"/>
      <c r="W873" s="2"/>
    </row>
    <row r="874">
      <c r="A874" s="2"/>
      <c r="B874" s="2"/>
      <c r="C874" s="2"/>
      <c r="D874" s="2"/>
      <c r="E874" s="2"/>
      <c r="F874" s="2"/>
      <c r="G874" s="2"/>
      <c r="H874" s="2"/>
      <c r="I874" s="2"/>
      <c r="J874" s="2"/>
      <c r="K874" s="2"/>
      <c r="L874" s="2"/>
      <c r="M874" s="2"/>
      <c r="N874" s="2"/>
      <c r="O874" s="2"/>
      <c r="P874" s="2"/>
      <c r="Q874" s="2"/>
      <c r="R874" s="2"/>
      <c r="S874" s="2"/>
      <c r="T874" s="2"/>
      <c r="U874" s="2"/>
      <c r="V874" s="2"/>
      <c r="W874" s="2"/>
    </row>
    <row r="875">
      <c r="A875" s="2"/>
      <c r="B875" s="2"/>
      <c r="C875" s="2"/>
      <c r="D875" s="2"/>
      <c r="E875" s="2"/>
      <c r="F875" s="2"/>
      <c r="G875" s="2"/>
      <c r="H875" s="2"/>
      <c r="I875" s="2"/>
      <c r="J875" s="2"/>
      <c r="K875" s="2"/>
      <c r="L875" s="2"/>
      <c r="M875" s="2"/>
      <c r="N875" s="2"/>
      <c r="O875" s="2"/>
      <c r="P875" s="2"/>
      <c r="Q875" s="2"/>
      <c r="R875" s="2"/>
      <c r="S875" s="2"/>
      <c r="T875" s="2"/>
      <c r="U875" s="2"/>
      <c r="V875" s="2"/>
      <c r="W875" s="2"/>
    </row>
    <row r="876">
      <c r="A876" s="2"/>
      <c r="B876" s="2"/>
      <c r="C876" s="2"/>
      <c r="D876" s="2"/>
      <c r="E876" s="2"/>
      <c r="F876" s="2"/>
      <c r="G876" s="2"/>
      <c r="H876" s="2"/>
      <c r="I876" s="2"/>
      <c r="J876" s="2"/>
      <c r="K876" s="2"/>
      <c r="L876" s="2"/>
      <c r="M876" s="2"/>
      <c r="N876" s="2"/>
      <c r="O876" s="2"/>
      <c r="P876" s="2"/>
      <c r="Q876" s="2"/>
      <c r="R876" s="2"/>
      <c r="S876" s="2"/>
      <c r="T876" s="2"/>
      <c r="U876" s="2"/>
      <c r="V876" s="2"/>
      <c r="W876" s="2"/>
    </row>
    <row r="877">
      <c r="A877" s="2"/>
      <c r="B877" s="2"/>
      <c r="C877" s="2"/>
      <c r="D877" s="2"/>
      <c r="E877" s="2"/>
      <c r="F877" s="2"/>
      <c r="G877" s="2"/>
      <c r="H877" s="2"/>
      <c r="I877" s="2"/>
      <c r="J877" s="2"/>
      <c r="K877" s="2"/>
      <c r="L877" s="2"/>
      <c r="M877" s="2"/>
      <c r="N877" s="2"/>
      <c r="O877" s="2"/>
      <c r="P877" s="2"/>
      <c r="Q877" s="2"/>
      <c r="R877" s="2"/>
      <c r="S877" s="2"/>
      <c r="T877" s="2"/>
      <c r="U877" s="2"/>
      <c r="V877" s="2"/>
      <c r="W877" s="2"/>
    </row>
    <row r="878">
      <c r="A878" s="2"/>
      <c r="B878" s="2"/>
      <c r="C878" s="2"/>
      <c r="D878" s="2"/>
      <c r="E878" s="2"/>
      <c r="F878" s="2"/>
      <c r="G878" s="2"/>
      <c r="H878" s="2"/>
      <c r="I878" s="2"/>
      <c r="J878" s="2"/>
      <c r="K878" s="2"/>
      <c r="L878" s="2"/>
      <c r="M878" s="2"/>
      <c r="N878" s="2"/>
      <c r="O878" s="2"/>
      <c r="P878" s="2"/>
      <c r="Q878" s="2"/>
      <c r="R878" s="2"/>
      <c r="S878" s="2"/>
      <c r="T878" s="2"/>
      <c r="U878" s="2"/>
      <c r="V878" s="2"/>
      <c r="W878" s="2"/>
    </row>
    <row r="879">
      <c r="A879" s="2"/>
      <c r="B879" s="2"/>
      <c r="C879" s="2"/>
      <c r="D879" s="2"/>
      <c r="E879" s="2"/>
      <c r="F879" s="2"/>
      <c r="G879" s="2"/>
      <c r="H879" s="2"/>
      <c r="I879" s="2"/>
      <c r="J879" s="2"/>
      <c r="K879" s="2"/>
      <c r="L879" s="2"/>
      <c r="M879" s="2"/>
      <c r="N879" s="2"/>
      <c r="O879" s="2"/>
      <c r="P879" s="2"/>
      <c r="Q879" s="2"/>
      <c r="R879" s="2"/>
      <c r="S879" s="2"/>
      <c r="T879" s="2"/>
      <c r="U879" s="2"/>
      <c r="V879" s="2"/>
      <c r="W879" s="2"/>
    </row>
    <row r="880">
      <c r="A880" s="2"/>
      <c r="B880" s="2"/>
      <c r="C880" s="2"/>
      <c r="D880" s="2"/>
      <c r="E880" s="2"/>
      <c r="F880" s="2"/>
      <c r="G880" s="2"/>
      <c r="H880" s="2"/>
      <c r="I880" s="2"/>
      <c r="J880" s="2"/>
      <c r="K880" s="2"/>
      <c r="L880" s="2"/>
      <c r="M880" s="2"/>
      <c r="N880" s="2"/>
      <c r="O880" s="2"/>
      <c r="P880" s="2"/>
      <c r="Q880" s="2"/>
      <c r="R880" s="2"/>
      <c r="S880" s="2"/>
      <c r="T880" s="2"/>
      <c r="U880" s="2"/>
      <c r="V880" s="2"/>
      <c r="W880" s="2"/>
    </row>
    <row r="881">
      <c r="A881" s="2"/>
      <c r="B881" s="2"/>
      <c r="C881" s="2"/>
      <c r="D881" s="2"/>
      <c r="E881" s="2"/>
      <c r="F881" s="2"/>
      <c r="G881" s="2"/>
      <c r="H881" s="2"/>
      <c r="I881" s="2"/>
      <c r="J881" s="2"/>
      <c r="K881" s="2"/>
      <c r="L881" s="2"/>
      <c r="M881" s="2"/>
      <c r="N881" s="2"/>
      <c r="O881" s="2"/>
      <c r="P881" s="2"/>
      <c r="Q881" s="2"/>
      <c r="R881" s="2"/>
      <c r="S881" s="2"/>
      <c r="T881" s="2"/>
      <c r="U881" s="2"/>
      <c r="V881" s="2"/>
      <c r="W881" s="2"/>
    </row>
    <row r="882">
      <c r="A882" s="2"/>
      <c r="B882" s="2"/>
      <c r="C882" s="2"/>
      <c r="D882" s="2"/>
      <c r="E882" s="2"/>
      <c r="F882" s="2"/>
      <c r="G882" s="2"/>
      <c r="H882" s="2"/>
      <c r="I882" s="2"/>
      <c r="J882" s="2"/>
      <c r="K882" s="2"/>
      <c r="L882" s="2"/>
      <c r="M882" s="2"/>
      <c r="N882" s="2"/>
      <c r="O882" s="2"/>
      <c r="P882" s="2"/>
      <c r="Q882" s="2"/>
      <c r="R882" s="2"/>
      <c r="S882" s="2"/>
      <c r="T882" s="2"/>
      <c r="U882" s="2"/>
      <c r="V882" s="2"/>
      <c r="W882" s="2"/>
    </row>
    <row r="883">
      <c r="A883" s="2"/>
      <c r="B883" s="2"/>
      <c r="C883" s="2"/>
      <c r="D883" s="2"/>
      <c r="E883" s="2"/>
      <c r="F883" s="2"/>
      <c r="G883" s="2"/>
      <c r="H883" s="2"/>
      <c r="I883" s="2"/>
      <c r="J883" s="2"/>
      <c r="K883" s="2"/>
      <c r="L883" s="2"/>
      <c r="M883" s="2"/>
      <c r="N883" s="2"/>
      <c r="O883" s="2"/>
      <c r="P883" s="2"/>
      <c r="Q883" s="2"/>
      <c r="R883" s="2"/>
      <c r="S883" s="2"/>
      <c r="T883" s="2"/>
      <c r="U883" s="2"/>
      <c r="V883" s="2"/>
      <c r="W883" s="2"/>
    </row>
    <row r="884">
      <c r="A884" s="2"/>
      <c r="B884" s="2"/>
      <c r="C884" s="2"/>
      <c r="D884" s="2"/>
      <c r="E884" s="2"/>
      <c r="F884" s="2"/>
      <c r="G884" s="2"/>
      <c r="H884" s="2"/>
      <c r="I884" s="2"/>
      <c r="J884" s="2"/>
      <c r="K884" s="2"/>
      <c r="L884" s="2"/>
      <c r="M884" s="2"/>
      <c r="N884" s="2"/>
      <c r="O884" s="2"/>
      <c r="P884" s="2"/>
      <c r="Q884" s="2"/>
      <c r="R884" s="2"/>
      <c r="S884" s="2"/>
      <c r="T884" s="2"/>
      <c r="U884" s="2"/>
      <c r="V884" s="2"/>
      <c r="W884" s="2"/>
    </row>
    <row r="885">
      <c r="A885" s="2"/>
      <c r="B885" s="2"/>
      <c r="C885" s="2"/>
      <c r="D885" s="2"/>
      <c r="E885" s="2"/>
      <c r="F885" s="2"/>
      <c r="G885" s="2"/>
      <c r="H885" s="2"/>
      <c r="I885" s="2"/>
      <c r="J885" s="2"/>
      <c r="K885" s="2"/>
      <c r="L885" s="2"/>
      <c r="M885" s="2"/>
      <c r="N885" s="2"/>
      <c r="O885" s="2"/>
      <c r="P885" s="2"/>
      <c r="Q885" s="2"/>
      <c r="R885" s="2"/>
      <c r="S885" s="2"/>
      <c r="T885" s="2"/>
      <c r="U885" s="2"/>
      <c r="V885" s="2"/>
      <c r="W885" s="2"/>
    </row>
    <row r="886">
      <c r="A886" s="2"/>
      <c r="B886" s="2"/>
      <c r="C886" s="2"/>
      <c r="D886" s="2"/>
      <c r="E886" s="2"/>
      <c r="F886" s="2"/>
      <c r="G886" s="2"/>
      <c r="H886" s="2"/>
      <c r="I886" s="2"/>
      <c r="J886" s="2"/>
      <c r="K886" s="2"/>
      <c r="L886" s="2"/>
      <c r="M886" s="2"/>
      <c r="N886" s="2"/>
      <c r="O886" s="2"/>
      <c r="P886" s="2"/>
      <c r="Q886" s="2"/>
      <c r="R886" s="2"/>
      <c r="S886" s="2"/>
      <c r="T886" s="2"/>
      <c r="U886" s="2"/>
      <c r="V886" s="2"/>
      <c r="W886" s="2"/>
    </row>
    <row r="887">
      <c r="A887" s="2"/>
      <c r="B887" s="2"/>
      <c r="C887" s="2"/>
      <c r="D887" s="2"/>
      <c r="E887" s="2"/>
      <c r="F887" s="2"/>
      <c r="G887" s="2"/>
      <c r="H887" s="2"/>
      <c r="I887" s="2"/>
      <c r="J887" s="2"/>
      <c r="K887" s="2"/>
      <c r="L887" s="2"/>
      <c r="M887" s="2"/>
      <c r="N887" s="2"/>
      <c r="O887" s="2"/>
      <c r="P887" s="2"/>
      <c r="Q887" s="2"/>
      <c r="R887" s="2"/>
      <c r="S887" s="2"/>
      <c r="T887" s="2"/>
      <c r="U887" s="2"/>
      <c r="V887" s="2"/>
      <c r="W887" s="2"/>
    </row>
    <row r="888">
      <c r="A888" s="2"/>
      <c r="B888" s="2"/>
      <c r="C888" s="2"/>
      <c r="D888" s="2"/>
      <c r="E888" s="2"/>
      <c r="F888" s="2"/>
      <c r="G888" s="2"/>
      <c r="H888" s="2"/>
      <c r="I888" s="2"/>
      <c r="J888" s="2"/>
      <c r="K888" s="2"/>
      <c r="L888" s="2"/>
      <c r="M888" s="2"/>
      <c r="N888" s="2"/>
      <c r="O888" s="2"/>
      <c r="P888" s="2"/>
      <c r="Q888" s="2"/>
      <c r="R888" s="2"/>
      <c r="S888" s="2"/>
      <c r="T888" s="2"/>
      <c r="U888" s="2"/>
      <c r="V888" s="2"/>
      <c r="W888" s="2"/>
    </row>
    <row r="889">
      <c r="A889" s="2"/>
      <c r="B889" s="2"/>
      <c r="C889" s="2"/>
      <c r="D889" s="2"/>
      <c r="E889" s="2"/>
      <c r="F889" s="2"/>
      <c r="G889" s="2"/>
      <c r="H889" s="2"/>
      <c r="I889" s="2"/>
      <c r="J889" s="2"/>
      <c r="K889" s="2"/>
      <c r="L889" s="2"/>
      <c r="M889" s="2"/>
      <c r="N889" s="2"/>
      <c r="O889" s="2"/>
      <c r="P889" s="2"/>
      <c r="Q889" s="2"/>
      <c r="R889" s="2"/>
      <c r="S889" s="2"/>
      <c r="T889" s="2"/>
      <c r="U889" s="2"/>
      <c r="V889" s="2"/>
      <c r="W889" s="2"/>
    </row>
    <row r="890">
      <c r="A890" s="2"/>
      <c r="B890" s="2"/>
      <c r="C890" s="2"/>
      <c r="D890" s="2"/>
      <c r="E890" s="2"/>
      <c r="F890" s="2"/>
      <c r="G890" s="2"/>
      <c r="H890" s="2"/>
      <c r="I890" s="2"/>
      <c r="J890" s="2"/>
      <c r="K890" s="2"/>
      <c r="L890" s="2"/>
      <c r="M890" s="2"/>
      <c r="N890" s="2"/>
      <c r="O890" s="2"/>
      <c r="P890" s="2"/>
      <c r="Q890" s="2"/>
      <c r="R890" s="2"/>
      <c r="S890" s="2"/>
      <c r="T890" s="2"/>
      <c r="U890" s="2"/>
      <c r="V890" s="2"/>
      <c r="W890" s="2"/>
    </row>
    <row r="891">
      <c r="A891" s="2"/>
      <c r="B891" s="2"/>
      <c r="C891" s="2"/>
      <c r="D891" s="2"/>
      <c r="E891" s="2"/>
      <c r="F891" s="2"/>
      <c r="G891" s="2"/>
      <c r="H891" s="2"/>
      <c r="I891" s="2"/>
      <c r="J891" s="2"/>
      <c r="K891" s="2"/>
      <c r="L891" s="2"/>
      <c r="M891" s="2"/>
      <c r="N891" s="2"/>
      <c r="O891" s="2"/>
      <c r="P891" s="2"/>
      <c r="Q891" s="2"/>
      <c r="R891" s="2"/>
      <c r="S891" s="2"/>
      <c r="T891" s="2"/>
      <c r="U891" s="2"/>
      <c r="V891" s="2"/>
      <c r="W891" s="2"/>
    </row>
    <row r="892">
      <c r="A892" s="2"/>
      <c r="B892" s="2"/>
      <c r="C892" s="2"/>
      <c r="D892" s="2"/>
      <c r="E892" s="2"/>
      <c r="F892" s="2"/>
      <c r="G892" s="2"/>
      <c r="H892" s="2"/>
      <c r="I892" s="2"/>
      <c r="J892" s="2"/>
      <c r="K892" s="2"/>
      <c r="L892" s="2"/>
      <c r="M892" s="2"/>
      <c r="N892" s="2"/>
      <c r="O892" s="2"/>
      <c r="P892" s="2"/>
      <c r="Q892" s="2"/>
      <c r="R892" s="2"/>
      <c r="S892" s="2"/>
      <c r="T892" s="2"/>
      <c r="U892" s="2"/>
      <c r="V892" s="2"/>
      <c r="W892" s="2"/>
    </row>
    <row r="893">
      <c r="A893" s="2"/>
      <c r="B893" s="2"/>
      <c r="C893" s="2"/>
      <c r="D893" s="2"/>
      <c r="E893" s="2"/>
      <c r="F893" s="2"/>
      <c r="G893" s="2"/>
      <c r="H893" s="2"/>
      <c r="I893" s="2"/>
      <c r="J893" s="2"/>
      <c r="K893" s="2"/>
      <c r="L893" s="2"/>
      <c r="M893" s="2"/>
      <c r="N893" s="2"/>
      <c r="O893" s="2"/>
      <c r="P893" s="2"/>
      <c r="Q893" s="2"/>
      <c r="R893" s="2"/>
      <c r="S893" s="2"/>
      <c r="T893" s="2"/>
      <c r="U893" s="2"/>
      <c r="V893" s="2"/>
      <c r="W893" s="2"/>
    </row>
    <row r="894">
      <c r="A894" s="2"/>
      <c r="B894" s="2"/>
      <c r="C894" s="2"/>
      <c r="D894" s="2"/>
      <c r="E894" s="2"/>
      <c r="F894" s="2"/>
      <c r="G894" s="2"/>
      <c r="H894" s="2"/>
      <c r="I894" s="2"/>
      <c r="J894" s="2"/>
      <c r="K894" s="2"/>
      <c r="L894" s="2"/>
      <c r="M894" s="2"/>
      <c r="N894" s="2"/>
      <c r="O894" s="2"/>
      <c r="P894" s="2"/>
      <c r="Q894" s="2"/>
      <c r="R894" s="2"/>
      <c r="S894" s="2"/>
      <c r="T894" s="2"/>
      <c r="U894" s="2"/>
      <c r="V894" s="2"/>
      <c r="W894" s="2"/>
    </row>
    <row r="895">
      <c r="A895" s="2"/>
      <c r="B895" s="2"/>
      <c r="C895" s="2"/>
      <c r="D895" s="2"/>
      <c r="E895" s="2"/>
      <c r="F895" s="2"/>
      <c r="G895" s="2"/>
      <c r="H895" s="2"/>
      <c r="I895" s="2"/>
      <c r="J895" s="2"/>
      <c r="K895" s="2"/>
      <c r="L895" s="2"/>
      <c r="M895" s="2"/>
      <c r="N895" s="2"/>
      <c r="O895" s="2"/>
      <c r="P895" s="2"/>
      <c r="Q895" s="2"/>
      <c r="R895" s="2"/>
      <c r="S895" s="2"/>
      <c r="T895" s="2"/>
      <c r="U895" s="2"/>
      <c r="V895" s="2"/>
      <c r="W895" s="2"/>
    </row>
    <row r="896">
      <c r="A896" s="2"/>
      <c r="B896" s="2"/>
      <c r="C896" s="2"/>
      <c r="D896" s="2"/>
      <c r="E896" s="2"/>
      <c r="F896" s="2"/>
      <c r="G896" s="2"/>
      <c r="H896" s="2"/>
      <c r="I896" s="2"/>
      <c r="J896" s="2"/>
      <c r="K896" s="2"/>
      <c r="L896" s="2"/>
      <c r="M896" s="2"/>
      <c r="N896" s="2"/>
      <c r="O896" s="2"/>
      <c r="P896" s="2"/>
      <c r="Q896" s="2"/>
      <c r="R896" s="2"/>
      <c r="S896" s="2"/>
      <c r="T896" s="2"/>
      <c r="U896" s="2"/>
      <c r="V896" s="2"/>
      <c r="W896" s="2"/>
    </row>
    <row r="897">
      <c r="A897" s="2"/>
      <c r="B897" s="2"/>
      <c r="C897" s="2"/>
      <c r="D897" s="2"/>
      <c r="E897" s="2"/>
      <c r="F897" s="2"/>
      <c r="G897" s="2"/>
      <c r="H897" s="2"/>
      <c r="I897" s="2"/>
      <c r="J897" s="2"/>
      <c r="K897" s="2"/>
      <c r="L897" s="2"/>
      <c r="M897" s="2"/>
      <c r="N897" s="2"/>
      <c r="O897" s="2"/>
      <c r="P897" s="2"/>
      <c r="Q897" s="2"/>
      <c r="R897" s="2"/>
      <c r="S897" s="2"/>
      <c r="T897" s="2"/>
      <c r="U897" s="2"/>
      <c r="V897" s="2"/>
      <c r="W897" s="2"/>
    </row>
    <row r="898">
      <c r="A898" s="2"/>
      <c r="B898" s="2"/>
      <c r="C898" s="2"/>
      <c r="D898" s="2"/>
      <c r="E898" s="2"/>
      <c r="F898" s="2"/>
      <c r="G898" s="2"/>
      <c r="H898" s="2"/>
      <c r="I898" s="2"/>
      <c r="J898" s="2"/>
      <c r="K898" s="2"/>
      <c r="L898" s="2"/>
      <c r="M898" s="2"/>
      <c r="N898" s="2"/>
      <c r="O898" s="2"/>
      <c r="P898" s="2"/>
      <c r="Q898" s="2"/>
      <c r="R898" s="2"/>
      <c r="S898" s="2"/>
      <c r="T898" s="2"/>
      <c r="U898" s="2"/>
      <c r="V898" s="2"/>
      <c r="W898" s="2"/>
    </row>
    <row r="899">
      <c r="A899" s="2"/>
      <c r="B899" s="2"/>
      <c r="C899" s="2"/>
      <c r="D899" s="2"/>
      <c r="E899" s="2"/>
      <c r="F899" s="2"/>
      <c r="G899" s="2"/>
      <c r="H899" s="2"/>
      <c r="I899" s="2"/>
      <c r="J899" s="2"/>
      <c r="K899" s="2"/>
      <c r="L899" s="2"/>
      <c r="M899" s="2"/>
      <c r="N899" s="2"/>
      <c r="O899" s="2"/>
      <c r="P899" s="2"/>
      <c r="Q899" s="2"/>
      <c r="R899" s="2"/>
      <c r="S899" s="2"/>
      <c r="T899" s="2"/>
      <c r="U899" s="2"/>
      <c r="V899" s="2"/>
      <c r="W899" s="2"/>
    </row>
    <row r="900">
      <c r="A900" s="2"/>
      <c r="B900" s="2"/>
      <c r="C900" s="2"/>
      <c r="D900" s="2"/>
      <c r="E900" s="2"/>
      <c r="F900" s="2"/>
      <c r="G900" s="2"/>
      <c r="H900" s="2"/>
      <c r="I900" s="2"/>
      <c r="J900" s="2"/>
      <c r="K900" s="2"/>
      <c r="L900" s="2"/>
      <c r="M900" s="2"/>
      <c r="N900" s="2"/>
      <c r="O900" s="2"/>
      <c r="P900" s="2"/>
      <c r="Q900" s="2"/>
      <c r="R900" s="2"/>
      <c r="S900" s="2"/>
      <c r="T900" s="2"/>
      <c r="U900" s="2"/>
      <c r="V900" s="2"/>
      <c r="W900" s="2"/>
    </row>
    <row r="901">
      <c r="A901" s="2"/>
      <c r="B901" s="2"/>
      <c r="C901" s="2"/>
      <c r="D901" s="2"/>
      <c r="E901" s="2"/>
      <c r="F901" s="2"/>
      <c r="G901" s="2"/>
      <c r="H901" s="2"/>
      <c r="I901" s="2"/>
      <c r="J901" s="2"/>
      <c r="K901" s="2"/>
      <c r="L901" s="2"/>
      <c r="M901" s="2"/>
      <c r="N901" s="2"/>
      <c r="O901" s="2"/>
      <c r="P901" s="2"/>
      <c r="Q901" s="2"/>
      <c r="R901" s="2"/>
      <c r="S901" s="2"/>
      <c r="T901" s="2"/>
      <c r="U901" s="2"/>
      <c r="V901" s="2"/>
      <c r="W901" s="2"/>
    </row>
    <row r="902">
      <c r="A902" s="2"/>
      <c r="B902" s="2"/>
      <c r="C902" s="2"/>
      <c r="D902" s="2"/>
      <c r="E902" s="2"/>
      <c r="F902" s="2"/>
      <c r="G902" s="2"/>
      <c r="H902" s="2"/>
      <c r="I902" s="2"/>
      <c r="J902" s="2"/>
      <c r="K902" s="2"/>
      <c r="L902" s="2"/>
      <c r="M902" s="2"/>
      <c r="N902" s="2"/>
      <c r="O902" s="2"/>
      <c r="P902" s="2"/>
      <c r="Q902" s="2"/>
      <c r="R902" s="2"/>
      <c r="S902" s="2"/>
      <c r="T902" s="2"/>
      <c r="U902" s="2"/>
      <c r="V902" s="2"/>
      <c r="W902" s="2"/>
    </row>
    <row r="903">
      <c r="A903" s="2"/>
      <c r="B903" s="2"/>
      <c r="C903" s="2"/>
      <c r="D903" s="2"/>
      <c r="E903" s="2"/>
      <c r="F903" s="2"/>
      <c r="G903" s="2"/>
      <c r="H903" s="2"/>
      <c r="I903" s="2"/>
      <c r="J903" s="2"/>
      <c r="K903" s="2"/>
      <c r="L903" s="2"/>
      <c r="M903" s="2"/>
      <c r="N903" s="2"/>
      <c r="O903" s="2"/>
      <c r="P903" s="2"/>
      <c r="Q903" s="2"/>
      <c r="R903" s="2"/>
      <c r="S903" s="2"/>
      <c r="T903" s="2"/>
      <c r="U903" s="2"/>
      <c r="V903" s="2"/>
      <c r="W903" s="2"/>
    </row>
    <row r="904">
      <c r="A904" s="2"/>
      <c r="B904" s="2"/>
      <c r="C904" s="2"/>
      <c r="D904" s="2"/>
      <c r="E904" s="2"/>
      <c r="F904" s="2"/>
      <c r="G904" s="2"/>
      <c r="H904" s="2"/>
      <c r="I904" s="2"/>
      <c r="J904" s="2"/>
      <c r="K904" s="2"/>
      <c r="L904" s="2"/>
      <c r="M904" s="2"/>
      <c r="N904" s="2"/>
      <c r="O904" s="2"/>
      <c r="P904" s="2"/>
      <c r="Q904" s="2"/>
      <c r="R904" s="2"/>
      <c r="S904" s="2"/>
      <c r="T904" s="2"/>
      <c r="U904" s="2"/>
      <c r="V904" s="2"/>
      <c r="W904" s="2"/>
    </row>
    <row r="905">
      <c r="A905" s="2"/>
      <c r="B905" s="2"/>
      <c r="C905" s="2"/>
      <c r="D905" s="2"/>
      <c r="E905" s="2"/>
      <c r="F905" s="2"/>
      <c r="G905" s="2"/>
      <c r="H905" s="2"/>
      <c r="I905" s="2"/>
      <c r="J905" s="2"/>
      <c r="K905" s="2"/>
      <c r="L905" s="2"/>
      <c r="M905" s="2"/>
      <c r="N905" s="2"/>
      <c r="O905" s="2"/>
      <c r="P905" s="2"/>
      <c r="Q905" s="2"/>
      <c r="R905" s="2"/>
      <c r="S905" s="2"/>
      <c r="T905" s="2"/>
      <c r="U905" s="2"/>
      <c r="V905" s="2"/>
      <c r="W905" s="2"/>
    </row>
    <row r="906">
      <c r="A906" s="2"/>
      <c r="B906" s="2"/>
      <c r="C906" s="2"/>
      <c r="D906" s="2"/>
      <c r="E906" s="2"/>
      <c r="F906" s="2"/>
      <c r="G906" s="2"/>
      <c r="H906" s="2"/>
      <c r="I906" s="2"/>
      <c r="J906" s="2"/>
      <c r="K906" s="2"/>
      <c r="L906" s="2"/>
      <c r="M906" s="2"/>
      <c r="N906" s="2"/>
      <c r="O906" s="2"/>
      <c r="P906" s="2"/>
      <c r="Q906" s="2"/>
      <c r="R906" s="2"/>
      <c r="S906" s="2"/>
      <c r="T906" s="2"/>
      <c r="U906" s="2"/>
      <c r="V906" s="2"/>
      <c r="W906" s="2"/>
    </row>
    <row r="907">
      <c r="A907" s="2"/>
      <c r="B907" s="2"/>
      <c r="C907" s="2"/>
      <c r="D907" s="2"/>
      <c r="E907" s="2"/>
      <c r="F907" s="2"/>
      <c r="G907" s="2"/>
      <c r="H907" s="2"/>
      <c r="I907" s="2"/>
      <c r="J907" s="2"/>
      <c r="K907" s="2"/>
      <c r="L907" s="2"/>
      <c r="M907" s="2"/>
      <c r="N907" s="2"/>
      <c r="O907" s="2"/>
      <c r="P907" s="2"/>
      <c r="Q907" s="2"/>
      <c r="R907" s="2"/>
      <c r="S907" s="2"/>
      <c r="T907" s="2"/>
      <c r="U907" s="2"/>
      <c r="V907" s="2"/>
      <c r="W907" s="2"/>
    </row>
    <row r="908">
      <c r="A908" s="2"/>
      <c r="B908" s="2"/>
      <c r="C908" s="2"/>
      <c r="D908" s="2"/>
      <c r="E908" s="2"/>
      <c r="F908" s="2"/>
      <c r="G908" s="2"/>
      <c r="H908" s="2"/>
      <c r="I908" s="2"/>
      <c r="J908" s="2"/>
      <c r="K908" s="2"/>
      <c r="L908" s="2"/>
      <c r="M908" s="2"/>
      <c r="N908" s="2"/>
      <c r="O908" s="2"/>
      <c r="P908" s="2"/>
      <c r="Q908" s="2"/>
      <c r="R908" s="2"/>
      <c r="S908" s="2"/>
      <c r="T908" s="2"/>
      <c r="U908" s="2"/>
      <c r="V908" s="2"/>
      <c r="W908" s="2"/>
    </row>
    <row r="909">
      <c r="A909" s="2"/>
      <c r="B909" s="2"/>
      <c r="C909" s="2"/>
      <c r="D909" s="2"/>
      <c r="E909" s="2"/>
      <c r="F909" s="2"/>
      <c r="G909" s="2"/>
      <c r="H909" s="2"/>
      <c r="I909" s="2"/>
      <c r="J909" s="2"/>
      <c r="K909" s="2"/>
      <c r="L909" s="2"/>
      <c r="M909" s="2"/>
      <c r="N909" s="2"/>
      <c r="O909" s="2"/>
      <c r="P909" s="2"/>
      <c r="Q909" s="2"/>
      <c r="R909" s="2"/>
      <c r="S909" s="2"/>
      <c r="T909" s="2"/>
      <c r="U909" s="2"/>
      <c r="V909" s="2"/>
      <c r="W909" s="2"/>
    </row>
    <row r="910">
      <c r="A910" s="2"/>
      <c r="B910" s="2"/>
      <c r="C910" s="2"/>
      <c r="D910" s="2"/>
      <c r="E910" s="2"/>
      <c r="F910" s="2"/>
      <c r="G910" s="2"/>
      <c r="H910" s="2"/>
      <c r="I910" s="2"/>
      <c r="J910" s="2"/>
      <c r="K910" s="2"/>
      <c r="L910" s="2"/>
      <c r="M910" s="2"/>
      <c r="N910" s="2"/>
      <c r="O910" s="2"/>
      <c r="P910" s="2"/>
      <c r="Q910" s="2"/>
      <c r="R910" s="2"/>
      <c r="S910" s="2"/>
      <c r="T910" s="2"/>
      <c r="U910" s="2"/>
      <c r="V910" s="2"/>
      <c r="W910" s="2"/>
    </row>
    <row r="911">
      <c r="A911" s="2"/>
      <c r="B911" s="2"/>
      <c r="C911" s="2"/>
      <c r="D911" s="2"/>
      <c r="E911" s="2"/>
      <c r="F911" s="2"/>
      <c r="G911" s="2"/>
      <c r="H911" s="2"/>
      <c r="I911" s="2"/>
      <c r="J911" s="2"/>
      <c r="K911" s="2"/>
      <c r="L911" s="2"/>
      <c r="M911" s="2"/>
      <c r="N911" s="2"/>
      <c r="O911" s="2"/>
      <c r="P911" s="2"/>
      <c r="Q911" s="2"/>
      <c r="R911" s="2"/>
      <c r="S911" s="2"/>
      <c r="T911" s="2"/>
      <c r="U911" s="2"/>
      <c r="V911" s="2"/>
      <c r="W911" s="2"/>
    </row>
    <row r="912">
      <c r="A912" s="2"/>
      <c r="B912" s="2"/>
      <c r="C912" s="2"/>
      <c r="D912" s="2"/>
      <c r="E912" s="2"/>
      <c r="F912" s="2"/>
      <c r="G912" s="2"/>
      <c r="H912" s="2"/>
      <c r="I912" s="2"/>
      <c r="J912" s="2"/>
      <c r="K912" s="2"/>
      <c r="L912" s="2"/>
      <c r="M912" s="2"/>
      <c r="N912" s="2"/>
      <c r="O912" s="2"/>
      <c r="P912" s="2"/>
      <c r="Q912" s="2"/>
      <c r="R912" s="2"/>
      <c r="S912" s="2"/>
      <c r="T912" s="2"/>
      <c r="U912" s="2"/>
      <c r="V912" s="2"/>
      <c r="W912" s="2"/>
    </row>
    <row r="913">
      <c r="A913" s="2"/>
      <c r="B913" s="2"/>
      <c r="C913" s="2"/>
      <c r="D913" s="2"/>
      <c r="E913" s="2"/>
      <c r="F913" s="2"/>
      <c r="G913" s="2"/>
      <c r="H913" s="2"/>
      <c r="I913" s="2"/>
      <c r="J913" s="2"/>
      <c r="K913" s="2"/>
      <c r="L913" s="2"/>
      <c r="M913" s="2"/>
      <c r="N913" s="2"/>
      <c r="O913" s="2"/>
      <c r="P913" s="2"/>
      <c r="Q913" s="2"/>
      <c r="R913" s="2"/>
      <c r="S913" s="2"/>
      <c r="T913" s="2"/>
      <c r="U913" s="2"/>
      <c r="V913" s="2"/>
      <c r="W913" s="2"/>
    </row>
    <row r="914">
      <c r="A914" s="2"/>
      <c r="B914" s="2"/>
      <c r="C914" s="2"/>
      <c r="D914" s="2"/>
      <c r="E914" s="2"/>
      <c r="F914" s="2"/>
      <c r="G914" s="2"/>
      <c r="H914" s="2"/>
      <c r="I914" s="2"/>
      <c r="J914" s="2"/>
      <c r="K914" s="2"/>
      <c r="L914" s="2"/>
      <c r="M914" s="2"/>
      <c r="N914" s="2"/>
      <c r="O914" s="2"/>
      <c r="P914" s="2"/>
      <c r="Q914" s="2"/>
      <c r="R914" s="2"/>
      <c r="S914" s="2"/>
      <c r="T914" s="2"/>
      <c r="U914" s="2"/>
      <c r="V914" s="2"/>
      <c r="W914" s="2"/>
    </row>
    <row r="915">
      <c r="A915" s="2"/>
      <c r="B915" s="2"/>
      <c r="C915" s="2"/>
      <c r="D915" s="2"/>
      <c r="E915" s="2"/>
      <c r="F915" s="2"/>
      <c r="G915" s="2"/>
      <c r="H915" s="2"/>
      <c r="I915" s="2"/>
      <c r="J915" s="2"/>
      <c r="K915" s="2"/>
      <c r="L915" s="2"/>
      <c r="M915" s="2"/>
      <c r="N915" s="2"/>
      <c r="O915" s="2"/>
      <c r="P915" s="2"/>
      <c r="Q915" s="2"/>
      <c r="R915" s="2"/>
      <c r="S915" s="2"/>
      <c r="T915" s="2"/>
      <c r="U915" s="2"/>
      <c r="V915" s="2"/>
      <c r="W915" s="2"/>
    </row>
    <row r="916">
      <c r="A916" s="2"/>
      <c r="B916" s="2"/>
      <c r="C916" s="2"/>
      <c r="D916" s="2"/>
      <c r="E916" s="2"/>
      <c r="F916" s="2"/>
      <c r="G916" s="2"/>
      <c r="H916" s="2"/>
      <c r="I916" s="2"/>
      <c r="J916" s="2"/>
      <c r="K916" s="2"/>
      <c r="L916" s="2"/>
      <c r="M916" s="2"/>
      <c r="N916" s="2"/>
      <c r="O916" s="2"/>
      <c r="P916" s="2"/>
      <c r="Q916" s="2"/>
      <c r="R916" s="2"/>
      <c r="S916" s="2"/>
      <c r="T916" s="2"/>
      <c r="U916" s="2"/>
      <c r="V916" s="2"/>
      <c r="W916" s="2"/>
    </row>
    <row r="917">
      <c r="A917" s="2"/>
      <c r="B917" s="2"/>
      <c r="C917" s="2"/>
      <c r="D917" s="2"/>
      <c r="E917" s="2"/>
      <c r="F917" s="2"/>
      <c r="G917" s="2"/>
      <c r="H917" s="2"/>
      <c r="I917" s="2"/>
      <c r="J917" s="2"/>
      <c r="K917" s="2"/>
      <c r="L917" s="2"/>
      <c r="M917" s="2"/>
      <c r="N917" s="2"/>
      <c r="O917" s="2"/>
      <c r="P917" s="2"/>
      <c r="Q917" s="2"/>
      <c r="R917" s="2"/>
      <c r="S917" s="2"/>
      <c r="T917" s="2"/>
      <c r="U917" s="2"/>
      <c r="V917" s="2"/>
      <c r="W917" s="2"/>
    </row>
    <row r="918">
      <c r="A918" s="2"/>
      <c r="B918" s="2"/>
      <c r="C918" s="2"/>
      <c r="D918" s="2"/>
      <c r="E918" s="2"/>
      <c r="F918" s="2"/>
      <c r="G918" s="2"/>
      <c r="H918" s="2"/>
      <c r="I918" s="2"/>
      <c r="J918" s="2"/>
      <c r="K918" s="2"/>
      <c r="L918" s="2"/>
      <c r="M918" s="2"/>
      <c r="N918" s="2"/>
      <c r="O918" s="2"/>
      <c r="P918" s="2"/>
      <c r="Q918" s="2"/>
      <c r="R918" s="2"/>
      <c r="S918" s="2"/>
      <c r="T918" s="2"/>
      <c r="U918" s="2"/>
      <c r="V918" s="2"/>
      <c r="W918" s="2"/>
    </row>
    <row r="919">
      <c r="A919" s="2"/>
      <c r="B919" s="2"/>
      <c r="C919" s="2"/>
      <c r="D919" s="2"/>
      <c r="E919" s="2"/>
      <c r="F919" s="2"/>
      <c r="G919" s="2"/>
      <c r="H919" s="2"/>
      <c r="I919" s="2"/>
      <c r="J919" s="2"/>
      <c r="K919" s="2"/>
      <c r="L919" s="2"/>
      <c r="M919" s="2"/>
      <c r="N919" s="2"/>
      <c r="O919" s="2"/>
      <c r="P919" s="2"/>
      <c r="Q919" s="2"/>
      <c r="R919" s="2"/>
      <c r="S919" s="2"/>
      <c r="T919" s="2"/>
      <c r="U919" s="2"/>
      <c r="V919" s="2"/>
      <c r="W919" s="2"/>
    </row>
    <row r="920">
      <c r="A920" s="2"/>
      <c r="B920" s="2"/>
      <c r="C920" s="2"/>
      <c r="D920" s="2"/>
      <c r="E920" s="2"/>
      <c r="F920" s="2"/>
      <c r="G920" s="2"/>
      <c r="H920" s="2"/>
      <c r="I920" s="2"/>
      <c r="J920" s="2"/>
      <c r="K920" s="2"/>
      <c r="L920" s="2"/>
      <c r="M920" s="2"/>
      <c r="N920" s="2"/>
      <c r="O920" s="2"/>
      <c r="P920" s="2"/>
      <c r="Q920" s="2"/>
      <c r="R920" s="2"/>
      <c r="S920" s="2"/>
      <c r="T920" s="2"/>
      <c r="U920" s="2"/>
      <c r="V920" s="2"/>
      <c r="W920" s="2"/>
    </row>
    <row r="921">
      <c r="A921" s="2"/>
      <c r="B921" s="2"/>
      <c r="C921" s="2"/>
      <c r="D921" s="2"/>
      <c r="E921" s="2"/>
      <c r="F921" s="2"/>
      <c r="G921" s="2"/>
      <c r="H921" s="2"/>
      <c r="I921" s="2"/>
      <c r="J921" s="2"/>
      <c r="K921" s="2"/>
      <c r="L921" s="2"/>
      <c r="M921" s="2"/>
      <c r="N921" s="2"/>
      <c r="O921" s="2"/>
      <c r="P921" s="2"/>
      <c r="Q921" s="2"/>
      <c r="R921" s="2"/>
      <c r="S921" s="2"/>
      <c r="T921" s="2"/>
      <c r="U921" s="2"/>
      <c r="V921" s="2"/>
      <c r="W921" s="2"/>
    </row>
    <row r="922">
      <c r="A922" s="2"/>
      <c r="B922" s="2"/>
      <c r="C922" s="2"/>
      <c r="D922" s="2"/>
      <c r="E922" s="2"/>
      <c r="F922" s="2"/>
      <c r="G922" s="2"/>
      <c r="H922" s="2"/>
      <c r="I922" s="2"/>
      <c r="J922" s="2"/>
      <c r="K922" s="2"/>
      <c r="L922" s="2"/>
      <c r="M922" s="2"/>
      <c r="N922" s="2"/>
      <c r="O922" s="2"/>
      <c r="P922" s="2"/>
      <c r="Q922" s="2"/>
      <c r="R922" s="2"/>
      <c r="S922" s="2"/>
      <c r="T922" s="2"/>
      <c r="U922" s="2"/>
      <c r="V922" s="2"/>
      <c r="W922" s="2"/>
    </row>
    <row r="923">
      <c r="A923" s="2"/>
      <c r="B923" s="2"/>
      <c r="C923" s="2"/>
      <c r="D923" s="2"/>
      <c r="E923" s="2"/>
      <c r="F923" s="2"/>
      <c r="G923" s="2"/>
      <c r="H923" s="2"/>
      <c r="I923" s="2"/>
      <c r="J923" s="2"/>
      <c r="K923" s="2"/>
      <c r="L923" s="2"/>
      <c r="M923" s="2"/>
      <c r="N923" s="2"/>
      <c r="O923" s="2"/>
      <c r="P923" s="2"/>
      <c r="Q923" s="2"/>
      <c r="R923" s="2"/>
      <c r="S923" s="2"/>
      <c r="T923" s="2"/>
      <c r="U923" s="2"/>
      <c r="V923" s="2"/>
      <c r="W923" s="2"/>
    </row>
    <row r="924">
      <c r="A924" s="2"/>
      <c r="B924" s="2"/>
      <c r="C924" s="2"/>
      <c r="D924" s="2"/>
      <c r="E924" s="2"/>
      <c r="F924" s="2"/>
      <c r="G924" s="2"/>
      <c r="H924" s="2"/>
      <c r="I924" s="2"/>
      <c r="J924" s="2"/>
      <c r="K924" s="2"/>
      <c r="L924" s="2"/>
      <c r="M924" s="2"/>
      <c r="N924" s="2"/>
      <c r="O924" s="2"/>
      <c r="P924" s="2"/>
      <c r="Q924" s="2"/>
      <c r="R924" s="2"/>
      <c r="S924" s="2"/>
      <c r="T924" s="2"/>
      <c r="U924" s="2"/>
      <c r="V924" s="2"/>
      <c r="W924" s="2"/>
    </row>
    <row r="925">
      <c r="A925" s="2"/>
      <c r="B925" s="2"/>
      <c r="C925" s="2"/>
      <c r="D925" s="2"/>
      <c r="E925" s="2"/>
      <c r="F925" s="2"/>
      <c r="G925" s="2"/>
      <c r="H925" s="2"/>
      <c r="I925" s="2"/>
      <c r="J925" s="2"/>
      <c r="K925" s="2"/>
      <c r="L925" s="2"/>
      <c r="M925" s="2"/>
      <c r="N925" s="2"/>
      <c r="O925" s="2"/>
      <c r="P925" s="2"/>
      <c r="Q925" s="2"/>
      <c r="R925" s="2"/>
      <c r="S925" s="2"/>
      <c r="T925" s="2"/>
      <c r="U925" s="2"/>
      <c r="V925" s="2"/>
      <c r="W925" s="2"/>
    </row>
    <row r="926">
      <c r="A926" s="2"/>
      <c r="B926" s="2"/>
      <c r="C926" s="2"/>
      <c r="D926" s="2"/>
      <c r="E926" s="2"/>
      <c r="F926" s="2"/>
      <c r="G926" s="2"/>
      <c r="H926" s="2"/>
      <c r="I926" s="2"/>
      <c r="J926" s="2"/>
      <c r="K926" s="2"/>
      <c r="L926" s="2"/>
      <c r="M926" s="2"/>
      <c r="N926" s="2"/>
      <c r="O926" s="2"/>
      <c r="P926" s="2"/>
      <c r="Q926" s="2"/>
      <c r="R926" s="2"/>
      <c r="S926" s="2"/>
      <c r="T926" s="2"/>
      <c r="U926" s="2"/>
      <c r="V926" s="2"/>
      <c r="W926" s="2"/>
    </row>
    <row r="927">
      <c r="A927" s="2"/>
      <c r="B927" s="2"/>
      <c r="C927" s="2"/>
      <c r="D927" s="2"/>
      <c r="E927" s="2"/>
      <c r="F927" s="2"/>
      <c r="G927" s="2"/>
      <c r="H927" s="2"/>
      <c r="I927" s="2"/>
      <c r="J927" s="2"/>
      <c r="K927" s="2"/>
      <c r="L927" s="2"/>
      <c r="M927" s="2"/>
      <c r="N927" s="2"/>
      <c r="O927" s="2"/>
      <c r="P927" s="2"/>
      <c r="Q927" s="2"/>
      <c r="R927" s="2"/>
      <c r="S927" s="2"/>
      <c r="T927" s="2"/>
      <c r="U927" s="2"/>
      <c r="V927" s="2"/>
      <c r="W927" s="2"/>
    </row>
    <row r="928">
      <c r="A928" s="2"/>
      <c r="B928" s="2"/>
      <c r="C928" s="2"/>
      <c r="D928" s="2"/>
      <c r="E928" s="2"/>
      <c r="F928" s="2"/>
      <c r="G928" s="2"/>
      <c r="H928" s="2"/>
      <c r="I928" s="2"/>
      <c r="J928" s="2"/>
      <c r="K928" s="2"/>
      <c r="L928" s="2"/>
      <c r="M928" s="2"/>
      <c r="N928" s="2"/>
      <c r="O928" s="2"/>
      <c r="P928" s="2"/>
      <c r="Q928" s="2"/>
      <c r="R928" s="2"/>
      <c r="S928" s="2"/>
      <c r="T928" s="2"/>
      <c r="U928" s="2"/>
      <c r="V928" s="2"/>
      <c r="W928" s="2"/>
    </row>
    <row r="929">
      <c r="A929" s="2"/>
      <c r="B929" s="2"/>
      <c r="C929" s="2"/>
      <c r="D929" s="2"/>
      <c r="E929" s="2"/>
      <c r="F929" s="2"/>
      <c r="G929" s="2"/>
      <c r="H929" s="2"/>
      <c r="I929" s="2"/>
      <c r="J929" s="2"/>
      <c r="K929" s="2"/>
      <c r="L929" s="2"/>
      <c r="M929" s="2"/>
      <c r="N929" s="2"/>
      <c r="O929" s="2"/>
      <c r="P929" s="2"/>
      <c r="Q929" s="2"/>
      <c r="R929" s="2"/>
      <c r="S929" s="2"/>
      <c r="T929" s="2"/>
      <c r="U929" s="2"/>
      <c r="V929" s="2"/>
      <c r="W929" s="2"/>
    </row>
    <row r="930">
      <c r="A930" s="2"/>
      <c r="B930" s="2"/>
      <c r="C930" s="2"/>
      <c r="D930" s="2"/>
      <c r="E930" s="2"/>
      <c r="F930" s="2"/>
      <c r="G930" s="2"/>
      <c r="H930" s="2"/>
      <c r="I930" s="2"/>
      <c r="J930" s="2"/>
      <c r="K930" s="2"/>
      <c r="L930" s="2"/>
      <c r="M930" s="2"/>
      <c r="N930" s="2"/>
      <c r="O930" s="2"/>
      <c r="P930" s="2"/>
      <c r="Q930" s="2"/>
      <c r="R930" s="2"/>
      <c r="S930" s="2"/>
      <c r="T930" s="2"/>
      <c r="U930" s="2"/>
      <c r="V930" s="2"/>
      <c r="W930" s="2"/>
    </row>
    <row r="931">
      <c r="A931" s="2"/>
      <c r="B931" s="2"/>
      <c r="C931" s="2"/>
      <c r="D931" s="2"/>
      <c r="E931" s="2"/>
      <c r="F931" s="2"/>
      <c r="G931" s="2"/>
      <c r="H931" s="2"/>
      <c r="I931" s="2"/>
      <c r="J931" s="2"/>
      <c r="K931" s="2"/>
      <c r="L931" s="2"/>
      <c r="M931" s="2"/>
      <c r="N931" s="2"/>
      <c r="O931" s="2"/>
      <c r="P931" s="2"/>
      <c r="Q931" s="2"/>
      <c r="R931" s="2"/>
      <c r="S931" s="2"/>
      <c r="T931" s="2"/>
      <c r="U931" s="2"/>
      <c r="V931" s="2"/>
      <c r="W931" s="2"/>
    </row>
    <row r="932">
      <c r="A932" s="2"/>
      <c r="B932" s="2"/>
      <c r="C932" s="2"/>
      <c r="D932" s="2"/>
      <c r="E932" s="2"/>
      <c r="F932" s="2"/>
      <c r="G932" s="2"/>
      <c r="H932" s="2"/>
      <c r="I932" s="2"/>
      <c r="J932" s="2"/>
      <c r="K932" s="2"/>
      <c r="L932" s="2"/>
      <c r="M932" s="2"/>
      <c r="N932" s="2"/>
      <c r="O932" s="2"/>
      <c r="P932" s="2"/>
      <c r="Q932" s="2"/>
      <c r="R932" s="2"/>
      <c r="S932" s="2"/>
      <c r="T932" s="2"/>
      <c r="U932" s="2"/>
      <c r="V932" s="2"/>
      <c r="W932" s="2"/>
    </row>
    <row r="933">
      <c r="A933" s="2"/>
      <c r="B933" s="2"/>
      <c r="C933" s="2"/>
      <c r="D933" s="2"/>
      <c r="E933" s="2"/>
      <c r="F933" s="2"/>
      <c r="G933" s="2"/>
      <c r="H933" s="2"/>
      <c r="I933" s="2"/>
      <c r="J933" s="2"/>
      <c r="K933" s="2"/>
      <c r="L933" s="2"/>
      <c r="M933" s="2"/>
      <c r="N933" s="2"/>
      <c r="O933" s="2"/>
      <c r="P933" s="2"/>
      <c r="Q933" s="2"/>
      <c r="R933" s="2"/>
      <c r="S933" s="2"/>
      <c r="T933" s="2"/>
      <c r="U933" s="2"/>
      <c r="V933" s="2"/>
      <c r="W933" s="2"/>
    </row>
    <row r="934">
      <c r="A934" s="2"/>
      <c r="B934" s="2"/>
      <c r="C934" s="2"/>
      <c r="D934" s="2"/>
      <c r="E934" s="2"/>
      <c r="F934" s="2"/>
      <c r="G934" s="2"/>
      <c r="H934" s="2"/>
      <c r="I934" s="2"/>
      <c r="J934" s="2"/>
      <c r="K934" s="2"/>
      <c r="L934" s="2"/>
      <c r="M934" s="2"/>
      <c r="N934" s="2"/>
      <c r="O934" s="2"/>
      <c r="P934" s="2"/>
      <c r="Q934" s="2"/>
      <c r="R934" s="2"/>
      <c r="S934" s="2"/>
      <c r="T934" s="2"/>
      <c r="U934" s="2"/>
      <c r="V934" s="2"/>
      <c r="W934" s="2"/>
    </row>
    <row r="935">
      <c r="A935" s="2"/>
      <c r="B935" s="2"/>
      <c r="C935" s="2"/>
      <c r="D935" s="2"/>
      <c r="E935" s="2"/>
      <c r="F935" s="2"/>
      <c r="G935" s="2"/>
      <c r="H935" s="2"/>
      <c r="I935" s="2"/>
      <c r="J935" s="2"/>
      <c r="K935" s="2"/>
      <c r="L935" s="2"/>
      <c r="M935" s="2"/>
      <c r="N935" s="2"/>
      <c r="O935" s="2"/>
      <c r="P935" s="2"/>
      <c r="Q935" s="2"/>
      <c r="R935" s="2"/>
      <c r="S935" s="2"/>
      <c r="T935" s="2"/>
      <c r="U935" s="2"/>
      <c r="V935" s="2"/>
      <c r="W935" s="2"/>
    </row>
    <row r="936">
      <c r="A936" s="2"/>
      <c r="B936" s="2"/>
      <c r="C936" s="2"/>
      <c r="D936" s="2"/>
      <c r="E936" s="2"/>
      <c r="F936" s="2"/>
      <c r="G936" s="2"/>
      <c r="H936" s="2"/>
      <c r="I936" s="2"/>
      <c r="J936" s="2"/>
      <c r="K936" s="2"/>
      <c r="L936" s="2"/>
      <c r="M936" s="2"/>
      <c r="N936" s="2"/>
      <c r="O936" s="2"/>
      <c r="P936" s="2"/>
      <c r="Q936" s="2"/>
      <c r="R936" s="2"/>
      <c r="S936" s="2"/>
      <c r="T936" s="2"/>
      <c r="U936" s="2"/>
      <c r="V936" s="2"/>
      <c r="W936" s="2"/>
    </row>
    <row r="937">
      <c r="A937" s="2"/>
      <c r="B937" s="2"/>
      <c r="C937" s="2"/>
      <c r="D937" s="2"/>
      <c r="E937" s="2"/>
      <c r="F937" s="2"/>
      <c r="G937" s="2"/>
      <c r="H937" s="2"/>
      <c r="I937" s="2"/>
      <c r="J937" s="2"/>
      <c r="K937" s="2"/>
      <c r="L937" s="2"/>
      <c r="M937" s="2"/>
      <c r="N937" s="2"/>
      <c r="O937" s="2"/>
      <c r="P937" s="2"/>
      <c r="Q937" s="2"/>
      <c r="R937" s="2"/>
      <c r="S937" s="2"/>
      <c r="T937" s="2"/>
      <c r="U937" s="2"/>
      <c r="V937" s="2"/>
      <c r="W937" s="2"/>
    </row>
    <row r="938">
      <c r="A938" s="2"/>
      <c r="B938" s="2"/>
      <c r="C938" s="2"/>
      <c r="D938" s="2"/>
      <c r="E938" s="2"/>
      <c r="F938" s="2"/>
      <c r="G938" s="2"/>
      <c r="H938" s="2"/>
      <c r="I938" s="2"/>
      <c r="J938" s="2"/>
      <c r="K938" s="2"/>
      <c r="L938" s="2"/>
      <c r="M938" s="2"/>
      <c r="N938" s="2"/>
      <c r="O938" s="2"/>
      <c r="P938" s="2"/>
      <c r="Q938" s="2"/>
      <c r="R938" s="2"/>
      <c r="S938" s="2"/>
      <c r="T938" s="2"/>
      <c r="U938" s="2"/>
      <c r="V938" s="2"/>
      <c r="W938" s="2"/>
    </row>
    <row r="939">
      <c r="A939" s="2"/>
      <c r="B939" s="2"/>
      <c r="C939" s="2"/>
      <c r="D939" s="2"/>
      <c r="E939" s="2"/>
      <c r="F939" s="2"/>
      <c r="G939" s="2"/>
      <c r="H939" s="2"/>
      <c r="I939" s="2"/>
      <c r="J939" s="2"/>
      <c r="K939" s="2"/>
      <c r="L939" s="2"/>
      <c r="M939" s="2"/>
      <c r="N939" s="2"/>
      <c r="O939" s="2"/>
      <c r="P939" s="2"/>
      <c r="Q939" s="2"/>
      <c r="R939" s="2"/>
      <c r="S939" s="2"/>
      <c r="T939" s="2"/>
      <c r="U939" s="2"/>
      <c r="V939" s="2"/>
      <c r="W939" s="2"/>
    </row>
    <row r="940">
      <c r="A940" s="2"/>
      <c r="B940" s="2"/>
      <c r="C940" s="2"/>
      <c r="D940" s="2"/>
      <c r="E940" s="2"/>
      <c r="F940" s="2"/>
      <c r="G940" s="2"/>
      <c r="H940" s="2"/>
      <c r="I940" s="2"/>
      <c r="J940" s="2"/>
      <c r="K940" s="2"/>
      <c r="L940" s="2"/>
      <c r="M940" s="2"/>
      <c r="N940" s="2"/>
      <c r="O940" s="2"/>
      <c r="P940" s="2"/>
      <c r="Q940" s="2"/>
      <c r="R940" s="2"/>
      <c r="S940" s="2"/>
      <c r="T940" s="2"/>
      <c r="U940" s="2"/>
      <c r="V940" s="2"/>
      <c r="W940" s="2"/>
    </row>
    <row r="941">
      <c r="A941" s="2"/>
      <c r="B941" s="2"/>
      <c r="C941" s="2"/>
      <c r="D941" s="2"/>
      <c r="E941" s="2"/>
      <c r="F941" s="2"/>
      <c r="G941" s="2"/>
      <c r="H941" s="2"/>
      <c r="I941" s="2"/>
      <c r="J941" s="2"/>
      <c r="K941" s="2"/>
      <c r="L941" s="2"/>
      <c r="M941" s="2"/>
      <c r="N941" s="2"/>
      <c r="O941" s="2"/>
      <c r="P941" s="2"/>
      <c r="Q941" s="2"/>
      <c r="R941" s="2"/>
      <c r="S941" s="2"/>
      <c r="T941" s="2"/>
      <c r="U941" s="2"/>
      <c r="V941" s="2"/>
      <c r="W941" s="2"/>
    </row>
    <row r="942">
      <c r="A942" s="2"/>
      <c r="B942" s="2"/>
      <c r="C942" s="2"/>
      <c r="D942" s="2"/>
      <c r="E942" s="2"/>
      <c r="F942" s="2"/>
      <c r="G942" s="2"/>
      <c r="H942" s="2"/>
      <c r="I942" s="2"/>
      <c r="J942" s="2"/>
      <c r="K942" s="2"/>
      <c r="L942" s="2"/>
      <c r="M942" s="2"/>
      <c r="N942" s="2"/>
      <c r="O942" s="2"/>
      <c r="P942" s="2"/>
      <c r="Q942" s="2"/>
      <c r="R942" s="2"/>
      <c r="S942" s="2"/>
      <c r="T942" s="2"/>
      <c r="U942" s="2"/>
      <c r="V942" s="2"/>
      <c r="W942" s="2"/>
    </row>
    <row r="943">
      <c r="A943" s="2"/>
      <c r="B943" s="2"/>
      <c r="C943" s="2"/>
      <c r="D943" s="2"/>
      <c r="E943" s="2"/>
      <c r="F943" s="2"/>
      <c r="G943" s="2"/>
      <c r="H943" s="2"/>
      <c r="I943" s="2"/>
      <c r="J943" s="2"/>
      <c r="K943" s="2"/>
      <c r="L943" s="2"/>
      <c r="M943" s="2"/>
      <c r="N943" s="2"/>
      <c r="O943" s="2"/>
      <c r="P943" s="2"/>
      <c r="Q943" s="2"/>
      <c r="R943" s="2"/>
      <c r="S943" s="2"/>
      <c r="T943" s="2"/>
      <c r="U943" s="2"/>
      <c r="V943" s="2"/>
      <c r="W943" s="2"/>
    </row>
    <row r="944">
      <c r="A944" s="2"/>
      <c r="B944" s="2"/>
      <c r="C944" s="2"/>
      <c r="D944" s="2"/>
      <c r="E944" s="2"/>
      <c r="F944" s="2"/>
      <c r="G944" s="2"/>
      <c r="H944" s="2"/>
      <c r="I944" s="2"/>
      <c r="J944" s="2"/>
      <c r="K944" s="2"/>
      <c r="L944" s="2"/>
      <c r="M944" s="2"/>
      <c r="N944" s="2"/>
      <c r="O944" s="2"/>
      <c r="P944" s="2"/>
      <c r="Q944" s="2"/>
      <c r="R944" s="2"/>
      <c r="S944" s="2"/>
      <c r="T944" s="2"/>
      <c r="U944" s="2"/>
      <c r="V944" s="2"/>
      <c r="W944" s="2"/>
    </row>
    <row r="945">
      <c r="A945" s="2"/>
      <c r="B945" s="2"/>
      <c r="C945" s="2"/>
      <c r="D945" s="2"/>
      <c r="E945" s="2"/>
      <c r="F945" s="2"/>
      <c r="G945" s="2"/>
      <c r="H945" s="2"/>
      <c r="I945" s="2"/>
      <c r="J945" s="2"/>
      <c r="K945" s="2"/>
      <c r="L945" s="2"/>
      <c r="M945" s="2"/>
      <c r="N945" s="2"/>
      <c r="O945" s="2"/>
      <c r="P945" s="2"/>
      <c r="Q945" s="2"/>
      <c r="R945" s="2"/>
      <c r="S945" s="2"/>
      <c r="T945" s="2"/>
      <c r="U945" s="2"/>
      <c r="V945" s="2"/>
      <c r="W945" s="2"/>
    </row>
    <row r="946">
      <c r="A946" s="2"/>
      <c r="B946" s="2"/>
      <c r="C946" s="2"/>
      <c r="D946" s="2"/>
      <c r="E946" s="2"/>
      <c r="F946" s="2"/>
      <c r="G946" s="2"/>
      <c r="H946" s="2"/>
      <c r="I946" s="2"/>
      <c r="J946" s="2"/>
      <c r="K946" s="2"/>
      <c r="L946" s="2"/>
      <c r="M946" s="2"/>
      <c r="N946" s="2"/>
      <c r="O946" s="2"/>
      <c r="P946" s="2"/>
      <c r="Q946" s="2"/>
      <c r="R946" s="2"/>
      <c r="S946" s="2"/>
      <c r="T946" s="2"/>
      <c r="U946" s="2"/>
      <c r="V946" s="2"/>
      <c r="W946" s="2"/>
    </row>
    <row r="947">
      <c r="A947" s="2"/>
      <c r="B947" s="2"/>
      <c r="C947" s="2"/>
      <c r="D947" s="2"/>
      <c r="E947" s="2"/>
      <c r="F947" s="2"/>
      <c r="G947" s="2"/>
      <c r="H947" s="2"/>
      <c r="I947" s="2"/>
      <c r="J947" s="2"/>
      <c r="K947" s="2"/>
      <c r="L947" s="2"/>
      <c r="M947" s="2"/>
      <c r="N947" s="2"/>
      <c r="O947" s="2"/>
      <c r="P947" s="2"/>
      <c r="Q947" s="2"/>
      <c r="R947" s="2"/>
      <c r="S947" s="2"/>
      <c r="T947" s="2"/>
      <c r="U947" s="2"/>
      <c r="V947" s="2"/>
      <c r="W947" s="2"/>
    </row>
    <row r="948">
      <c r="A948" s="2"/>
      <c r="B948" s="2"/>
      <c r="C948" s="2"/>
      <c r="D948" s="2"/>
      <c r="E948" s="2"/>
      <c r="F948" s="2"/>
      <c r="G948" s="2"/>
      <c r="H948" s="2"/>
      <c r="I948" s="2"/>
      <c r="J948" s="2"/>
      <c r="K948" s="2"/>
      <c r="L948" s="2"/>
      <c r="M948" s="2"/>
      <c r="N948" s="2"/>
      <c r="O948" s="2"/>
      <c r="P948" s="2"/>
      <c r="Q948" s="2"/>
      <c r="R948" s="2"/>
      <c r="S948" s="2"/>
      <c r="T948" s="2"/>
      <c r="U948" s="2"/>
      <c r="V948" s="2"/>
      <c r="W948" s="2"/>
    </row>
    <row r="949">
      <c r="A949" s="2"/>
      <c r="B949" s="2"/>
      <c r="C949" s="2"/>
      <c r="D949" s="2"/>
      <c r="E949" s="2"/>
      <c r="F949" s="2"/>
      <c r="G949" s="2"/>
      <c r="H949" s="2"/>
      <c r="I949" s="2"/>
      <c r="J949" s="2"/>
      <c r="K949" s="2"/>
      <c r="L949" s="2"/>
      <c r="M949" s="2"/>
      <c r="N949" s="2"/>
      <c r="O949" s="2"/>
      <c r="P949" s="2"/>
      <c r="Q949" s="2"/>
      <c r="R949" s="2"/>
      <c r="S949" s="2"/>
      <c r="T949" s="2"/>
      <c r="U949" s="2"/>
      <c r="V949" s="2"/>
      <c r="W949" s="2"/>
    </row>
    <row r="950">
      <c r="A950" s="2"/>
      <c r="B950" s="2"/>
      <c r="C950" s="2"/>
      <c r="D950" s="2"/>
      <c r="E950" s="2"/>
      <c r="F950" s="2"/>
      <c r="G950" s="2"/>
      <c r="H950" s="2"/>
      <c r="I950" s="2"/>
      <c r="J950" s="2"/>
      <c r="K950" s="2"/>
      <c r="L950" s="2"/>
      <c r="M950" s="2"/>
      <c r="N950" s="2"/>
      <c r="O950" s="2"/>
      <c r="P950" s="2"/>
      <c r="Q950" s="2"/>
      <c r="R950" s="2"/>
      <c r="S950" s="2"/>
      <c r="T950" s="2"/>
      <c r="U950" s="2"/>
      <c r="V950" s="2"/>
      <c r="W950" s="2"/>
    </row>
    <row r="951">
      <c r="A951" s="2"/>
      <c r="B951" s="2"/>
      <c r="C951" s="2"/>
      <c r="D951" s="2"/>
      <c r="E951" s="2"/>
      <c r="F951" s="2"/>
      <c r="G951" s="2"/>
      <c r="H951" s="2"/>
      <c r="I951" s="2"/>
      <c r="J951" s="2"/>
      <c r="K951" s="2"/>
      <c r="L951" s="2"/>
      <c r="M951" s="2"/>
      <c r="N951" s="2"/>
      <c r="O951" s="2"/>
      <c r="P951" s="2"/>
      <c r="Q951" s="2"/>
      <c r="R951" s="2"/>
      <c r="S951" s="2"/>
      <c r="T951" s="2"/>
      <c r="U951" s="2"/>
      <c r="V951" s="2"/>
      <c r="W951" s="2"/>
    </row>
    <row r="952">
      <c r="A952" s="2"/>
      <c r="B952" s="2"/>
      <c r="C952" s="2"/>
      <c r="D952" s="2"/>
      <c r="E952" s="2"/>
      <c r="F952" s="2"/>
      <c r="G952" s="2"/>
      <c r="H952" s="2"/>
      <c r="I952" s="2"/>
      <c r="J952" s="2"/>
      <c r="K952" s="2"/>
      <c r="L952" s="2"/>
      <c r="M952" s="2"/>
      <c r="N952" s="2"/>
      <c r="O952" s="2"/>
      <c r="P952" s="2"/>
      <c r="Q952" s="2"/>
      <c r="R952" s="2"/>
      <c r="S952" s="2"/>
      <c r="T952" s="2"/>
      <c r="U952" s="2"/>
      <c r="V952" s="2"/>
      <c r="W952" s="2"/>
    </row>
    <row r="953">
      <c r="A953" s="2"/>
      <c r="B953" s="2"/>
      <c r="C953" s="2"/>
      <c r="D953" s="2"/>
      <c r="E953" s="2"/>
      <c r="F953" s="2"/>
      <c r="G953" s="2"/>
      <c r="H953" s="2"/>
      <c r="I953" s="2"/>
      <c r="J953" s="2"/>
      <c r="K953" s="2"/>
      <c r="L953" s="2"/>
      <c r="M953" s="2"/>
      <c r="N953" s="2"/>
      <c r="O953" s="2"/>
      <c r="P953" s="2"/>
      <c r="Q953" s="2"/>
      <c r="R953" s="2"/>
      <c r="S953" s="2"/>
      <c r="T953" s="2"/>
      <c r="U953" s="2"/>
      <c r="V953" s="2"/>
      <c r="W953" s="2"/>
    </row>
    <row r="954">
      <c r="A954" s="2"/>
      <c r="B954" s="2"/>
      <c r="C954" s="2"/>
      <c r="D954" s="2"/>
      <c r="E954" s="2"/>
      <c r="F954" s="2"/>
      <c r="G954" s="2"/>
      <c r="H954" s="2"/>
      <c r="I954" s="2"/>
      <c r="J954" s="2"/>
      <c r="K954" s="2"/>
      <c r="L954" s="2"/>
      <c r="M954" s="2"/>
      <c r="N954" s="2"/>
      <c r="O954" s="2"/>
      <c r="P954" s="2"/>
      <c r="Q954" s="2"/>
      <c r="R954" s="2"/>
      <c r="S954" s="2"/>
      <c r="T954" s="2"/>
      <c r="U954" s="2"/>
      <c r="V954" s="2"/>
      <c r="W954" s="2"/>
    </row>
    <row r="955">
      <c r="A955" s="2"/>
      <c r="B955" s="2"/>
      <c r="C955" s="2"/>
      <c r="D955" s="2"/>
      <c r="E955" s="2"/>
      <c r="F955" s="2"/>
      <c r="G955" s="2"/>
      <c r="H955" s="2"/>
      <c r="I955" s="2"/>
      <c r="J955" s="2"/>
      <c r="K955" s="2"/>
      <c r="L955" s="2"/>
      <c r="M955" s="2"/>
      <c r="N955" s="2"/>
      <c r="O955" s="2"/>
      <c r="P955" s="2"/>
      <c r="Q955" s="2"/>
      <c r="R955" s="2"/>
      <c r="S955" s="2"/>
      <c r="T955" s="2"/>
      <c r="U955" s="2"/>
      <c r="V955" s="2"/>
      <c r="W955" s="2"/>
    </row>
    <row r="956">
      <c r="A956" s="2"/>
      <c r="B956" s="2"/>
      <c r="C956" s="2"/>
      <c r="D956" s="2"/>
      <c r="E956" s="2"/>
      <c r="F956" s="2"/>
      <c r="G956" s="2"/>
      <c r="H956" s="2"/>
      <c r="I956" s="2"/>
      <c r="J956" s="2"/>
      <c r="K956" s="2"/>
      <c r="L956" s="2"/>
      <c r="M956" s="2"/>
      <c r="N956" s="2"/>
      <c r="O956" s="2"/>
      <c r="P956" s="2"/>
      <c r="Q956" s="2"/>
      <c r="R956" s="2"/>
      <c r="S956" s="2"/>
      <c r="T956" s="2"/>
      <c r="U956" s="2"/>
      <c r="V956" s="2"/>
      <c r="W956" s="2"/>
    </row>
    <row r="957">
      <c r="A957" s="2"/>
      <c r="B957" s="2"/>
      <c r="C957" s="2"/>
      <c r="D957" s="2"/>
      <c r="E957" s="2"/>
      <c r="F957" s="2"/>
      <c r="G957" s="2"/>
      <c r="H957" s="2"/>
      <c r="I957" s="2"/>
      <c r="J957" s="2"/>
      <c r="K957" s="2"/>
      <c r="L957" s="2"/>
      <c r="M957" s="2"/>
      <c r="N957" s="2"/>
      <c r="O957" s="2"/>
      <c r="P957" s="2"/>
      <c r="Q957" s="2"/>
      <c r="R957" s="2"/>
      <c r="S957" s="2"/>
      <c r="T957" s="2"/>
      <c r="U957" s="2"/>
      <c r="V957" s="2"/>
      <c r="W957" s="2"/>
    </row>
    <row r="958">
      <c r="A958" s="2"/>
      <c r="B958" s="2"/>
      <c r="C958" s="2"/>
      <c r="D958" s="2"/>
      <c r="E958" s="2"/>
      <c r="F958" s="2"/>
      <c r="G958" s="2"/>
      <c r="H958" s="2"/>
      <c r="I958" s="2"/>
      <c r="J958" s="2"/>
      <c r="K958" s="2"/>
      <c r="L958" s="2"/>
      <c r="M958" s="2"/>
      <c r="N958" s="2"/>
      <c r="O958" s="2"/>
      <c r="P958" s="2"/>
      <c r="Q958" s="2"/>
      <c r="R958" s="2"/>
      <c r="S958" s="2"/>
      <c r="T958" s="2"/>
      <c r="U958" s="2"/>
      <c r="V958" s="2"/>
      <c r="W958" s="2"/>
    </row>
    <row r="959">
      <c r="A959" s="2"/>
      <c r="B959" s="2"/>
      <c r="C959" s="2"/>
      <c r="D959" s="2"/>
      <c r="E959" s="2"/>
      <c r="F959" s="2"/>
      <c r="G959" s="2"/>
      <c r="H959" s="2"/>
      <c r="I959" s="2"/>
      <c r="J959" s="2"/>
      <c r="K959" s="2"/>
      <c r="L959" s="2"/>
      <c r="M959" s="2"/>
      <c r="N959" s="2"/>
      <c r="O959" s="2"/>
      <c r="P959" s="2"/>
      <c r="Q959" s="2"/>
      <c r="R959" s="2"/>
      <c r="S959" s="2"/>
      <c r="T959" s="2"/>
      <c r="U959" s="2"/>
      <c r="V959" s="2"/>
      <c r="W959" s="2"/>
    </row>
    <row r="960">
      <c r="A960" s="2"/>
      <c r="B960" s="2"/>
      <c r="C960" s="2"/>
      <c r="D960" s="2"/>
      <c r="E960" s="2"/>
      <c r="F960" s="2"/>
      <c r="G960" s="2"/>
      <c r="H960" s="2"/>
      <c r="I960" s="2"/>
      <c r="J960" s="2"/>
      <c r="K960" s="2"/>
      <c r="L960" s="2"/>
      <c r="M960" s="2"/>
      <c r="N960" s="2"/>
      <c r="O960" s="2"/>
      <c r="P960" s="2"/>
      <c r="Q960" s="2"/>
      <c r="R960" s="2"/>
      <c r="S960" s="2"/>
      <c r="T960" s="2"/>
      <c r="U960" s="2"/>
      <c r="V960" s="2"/>
      <c r="W960" s="2"/>
    </row>
    <row r="961">
      <c r="A961" s="2"/>
      <c r="B961" s="2"/>
      <c r="C961" s="2"/>
      <c r="D961" s="2"/>
      <c r="E961" s="2"/>
      <c r="F961" s="2"/>
      <c r="G961" s="2"/>
      <c r="H961" s="2"/>
      <c r="I961" s="2"/>
      <c r="J961" s="2"/>
      <c r="K961" s="2"/>
      <c r="L961" s="2"/>
      <c r="M961" s="2"/>
      <c r="N961" s="2"/>
      <c r="O961" s="2"/>
      <c r="P961" s="2"/>
      <c r="Q961" s="2"/>
      <c r="R961" s="2"/>
      <c r="S961" s="2"/>
      <c r="T961" s="2"/>
      <c r="U961" s="2"/>
      <c r="V961" s="2"/>
      <c r="W961" s="2"/>
    </row>
    <row r="962">
      <c r="A962" s="2"/>
      <c r="B962" s="2"/>
      <c r="C962" s="2"/>
      <c r="D962" s="2"/>
      <c r="E962" s="2"/>
      <c r="F962" s="2"/>
      <c r="G962" s="2"/>
      <c r="H962" s="2"/>
      <c r="I962" s="2"/>
      <c r="J962" s="2"/>
      <c r="K962" s="2"/>
      <c r="L962" s="2"/>
      <c r="M962" s="2"/>
      <c r="N962" s="2"/>
      <c r="O962" s="2"/>
      <c r="P962" s="2"/>
      <c r="Q962" s="2"/>
      <c r="R962" s="2"/>
      <c r="S962" s="2"/>
      <c r="T962" s="2"/>
      <c r="U962" s="2"/>
      <c r="V962" s="2"/>
      <c r="W962" s="2"/>
    </row>
    <row r="963">
      <c r="A963" s="2"/>
      <c r="B963" s="2"/>
      <c r="C963" s="2"/>
      <c r="D963" s="2"/>
      <c r="E963" s="2"/>
      <c r="F963" s="2"/>
      <c r="G963" s="2"/>
      <c r="H963" s="2"/>
      <c r="I963" s="2"/>
      <c r="J963" s="2"/>
      <c r="K963" s="2"/>
      <c r="L963" s="2"/>
      <c r="M963" s="2"/>
      <c r="N963" s="2"/>
      <c r="O963" s="2"/>
      <c r="P963" s="2"/>
      <c r="Q963" s="2"/>
      <c r="R963" s="2"/>
      <c r="S963" s="2"/>
      <c r="T963" s="2"/>
      <c r="U963" s="2"/>
      <c r="V963" s="2"/>
      <c r="W963" s="2"/>
    </row>
    <row r="964">
      <c r="A964" s="2"/>
      <c r="B964" s="2"/>
      <c r="C964" s="2"/>
      <c r="D964" s="2"/>
      <c r="E964" s="2"/>
      <c r="F964" s="2"/>
      <c r="G964" s="2"/>
      <c r="H964" s="2"/>
      <c r="I964" s="2"/>
      <c r="J964" s="2"/>
      <c r="K964" s="2"/>
      <c r="L964" s="2"/>
      <c r="M964" s="2"/>
      <c r="N964" s="2"/>
      <c r="O964" s="2"/>
      <c r="P964" s="2"/>
      <c r="Q964" s="2"/>
      <c r="R964" s="2"/>
      <c r="S964" s="2"/>
      <c r="T964" s="2"/>
      <c r="U964" s="2"/>
      <c r="V964" s="2"/>
      <c r="W964" s="2"/>
    </row>
    <row r="965">
      <c r="A965" s="2"/>
      <c r="B965" s="2"/>
      <c r="C965" s="2"/>
      <c r="D965" s="2"/>
      <c r="E965" s="2"/>
      <c r="F965" s="2"/>
      <c r="G965" s="2"/>
      <c r="H965" s="2"/>
      <c r="I965" s="2"/>
      <c r="J965" s="2"/>
      <c r="K965" s="2"/>
      <c r="L965" s="2"/>
      <c r="M965" s="2"/>
      <c r="N965" s="2"/>
      <c r="O965" s="2"/>
      <c r="P965" s="2"/>
      <c r="Q965" s="2"/>
      <c r="R965" s="2"/>
      <c r="S965" s="2"/>
      <c r="T965" s="2"/>
      <c r="U965" s="2"/>
      <c r="V965" s="2"/>
      <c r="W965" s="2"/>
    </row>
    <row r="966">
      <c r="A966" s="2"/>
      <c r="B966" s="2"/>
      <c r="C966" s="2"/>
      <c r="D966" s="2"/>
      <c r="E966" s="2"/>
      <c r="F966" s="2"/>
      <c r="G966" s="2"/>
      <c r="H966" s="2"/>
      <c r="I966" s="2"/>
      <c r="J966" s="2"/>
      <c r="K966" s="2"/>
      <c r="L966" s="2"/>
      <c r="M966" s="2"/>
      <c r="N966" s="2"/>
      <c r="O966" s="2"/>
      <c r="P966" s="2"/>
      <c r="Q966" s="2"/>
      <c r="R966" s="2"/>
      <c r="S966" s="2"/>
      <c r="T966" s="2"/>
      <c r="U966" s="2"/>
      <c r="V966" s="2"/>
      <c r="W966" s="2"/>
    </row>
    <row r="967">
      <c r="A967" s="2"/>
      <c r="B967" s="2"/>
      <c r="C967" s="2"/>
      <c r="D967" s="2"/>
      <c r="E967" s="2"/>
      <c r="F967" s="2"/>
      <c r="G967" s="2"/>
      <c r="H967" s="2"/>
      <c r="I967" s="2"/>
      <c r="J967" s="2"/>
      <c r="K967" s="2"/>
      <c r="L967" s="2"/>
      <c r="M967" s="2"/>
      <c r="N967" s="2"/>
      <c r="O967" s="2"/>
      <c r="P967" s="2"/>
      <c r="Q967" s="2"/>
      <c r="R967" s="2"/>
      <c r="S967" s="2"/>
      <c r="T967" s="2"/>
      <c r="U967" s="2"/>
      <c r="V967" s="2"/>
      <c r="W967" s="2"/>
    </row>
    <row r="968">
      <c r="A968" s="2"/>
      <c r="B968" s="2"/>
      <c r="C968" s="2"/>
      <c r="D968" s="2"/>
      <c r="E968" s="2"/>
      <c r="F968" s="2"/>
      <c r="G968" s="2"/>
      <c r="H968" s="2"/>
      <c r="I968" s="2"/>
      <c r="J968" s="2"/>
      <c r="K968" s="2"/>
      <c r="L968" s="2"/>
      <c r="M968" s="2"/>
      <c r="N968" s="2"/>
      <c r="O968" s="2"/>
      <c r="P968" s="2"/>
      <c r="Q968" s="2"/>
      <c r="R968" s="2"/>
      <c r="S968" s="2"/>
      <c r="T968" s="2"/>
      <c r="U968" s="2"/>
      <c r="V968" s="2"/>
      <c r="W968" s="2"/>
    </row>
    <row r="969">
      <c r="A969" s="2"/>
      <c r="B969" s="2"/>
      <c r="C969" s="2"/>
      <c r="D969" s="2"/>
      <c r="E969" s="2"/>
      <c r="F969" s="2"/>
      <c r="G969" s="2"/>
      <c r="H969" s="2"/>
      <c r="I969" s="2"/>
      <c r="J969" s="2"/>
      <c r="K969" s="2"/>
      <c r="L969" s="2"/>
      <c r="M969" s="2"/>
      <c r="N969" s="2"/>
      <c r="O969" s="2"/>
      <c r="P969" s="2"/>
      <c r="Q969" s="2"/>
      <c r="R969" s="2"/>
      <c r="S969" s="2"/>
      <c r="T969" s="2"/>
      <c r="U969" s="2"/>
      <c r="V969" s="2"/>
      <c r="W969" s="2"/>
    </row>
    <row r="970">
      <c r="A970" s="2"/>
      <c r="B970" s="2"/>
      <c r="C970" s="2"/>
      <c r="D970" s="2"/>
      <c r="E970" s="2"/>
      <c r="F970" s="2"/>
      <c r="G970" s="2"/>
      <c r="H970" s="2"/>
      <c r="I970" s="2"/>
      <c r="J970" s="2"/>
      <c r="K970" s="2"/>
      <c r="L970" s="2"/>
      <c r="M970" s="2"/>
      <c r="N970" s="2"/>
      <c r="O970" s="2"/>
      <c r="P970" s="2"/>
      <c r="Q970" s="2"/>
      <c r="R970" s="2"/>
      <c r="S970" s="2"/>
      <c r="T970" s="2"/>
      <c r="U970" s="2"/>
      <c r="V970" s="2"/>
      <c r="W970" s="2"/>
    </row>
    <row r="971">
      <c r="A971" s="2"/>
      <c r="B971" s="2"/>
      <c r="C971" s="2"/>
      <c r="D971" s="2"/>
      <c r="E971" s="2"/>
      <c r="F971" s="2"/>
      <c r="G971" s="2"/>
      <c r="H971" s="2"/>
      <c r="I971" s="2"/>
      <c r="J971" s="2"/>
      <c r="K971" s="2"/>
      <c r="L971" s="2"/>
      <c r="M971" s="2"/>
      <c r="N971" s="2"/>
      <c r="O971" s="2"/>
      <c r="P971" s="2"/>
      <c r="Q971" s="2"/>
      <c r="R971" s="2"/>
      <c r="S971" s="2"/>
      <c r="T971" s="2"/>
      <c r="U971" s="2"/>
      <c r="V971" s="2"/>
      <c r="W971" s="2"/>
    </row>
    <row r="972">
      <c r="A972" s="2"/>
      <c r="B972" s="2"/>
      <c r="C972" s="2"/>
      <c r="D972" s="2"/>
      <c r="E972" s="2"/>
      <c r="F972" s="2"/>
      <c r="G972" s="2"/>
      <c r="H972" s="2"/>
      <c r="I972" s="2"/>
      <c r="J972" s="2"/>
      <c r="K972" s="2"/>
      <c r="L972" s="2"/>
      <c r="M972" s="2"/>
      <c r="N972" s="2"/>
      <c r="O972" s="2"/>
      <c r="P972" s="2"/>
      <c r="Q972" s="2"/>
      <c r="R972" s="2"/>
      <c r="S972" s="2"/>
      <c r="T972" s="2"/>
      <c r="U972" s="2"/>
      <c r="V972" s="2"/>
      <c r="W972" s="2"/>
    </row>
    <row r="973">
      <c r="A973" s="2"/>
      <c r="B973" s="2"/>
      <c r="C973" s="2"/>
      <c r="D973" s="2"/>
      <c r="E973" s="2"/>
      <c r="F973" s="2"/>
      <c r="G973" s="2"/>
      <c r="H973" s="2"/>
      <c r="I973" s="2"/>
      <c r="J973" s="2"/>
      <c r="K973" s="2"/>
      <c r="L973" s="2"/>
      <c r="M973" s="2"/>
      <c r="N973" s="2"/>
      <c r="O973" s="2"/>
      <c r="P973" s="2"/>
      <c r="Q973" s="2"/>
      <c r="R973" s="2"/>
      <c r="S973" s="2"/>
      <c r="T973" s="2"/>
      <c r="U973" s="2"/>
      <c r="V973" s="2"/>
      <c r="W973" s="2"/>
    </row>
    <row r="974">
      <c r="A974" s="2"/>
      <c r="B974" s="2"/>
      <c r="C974" s="2"/>
      <c r="D974" s="2"/>
      <c r="E974" s="2"/>
      <c r="F974" s="2"/>
      <c r="G974" s="2"/>
      <c r="H974" s="2"/>
      <c r="I974" s="2"/>
      <c r="J974" s="2"/>
      <c r="K974" s="2"/>
      <c r="L974" s="2"/>
      <c r="M974" s="2"/>
      <c r="N974" s="2"/>
      <c r="O974" s="2"/>
      <c r="P974" s="2"/>
      <c r="Q974" s="2"/>
      <c r="R974" s="2"/>
      <c r="S974" s="2"/>
      <c r="T974" s="2"/>
      <c r="U974" s="2"/>
      <c r="V974" s="2"/>
      <c r="W974" s="2"/>
    </row>
    <row r="975">
      <c r="A975" s="2"/>
      <c r="B975" s="2"/>
      <c r="C975" s="2"/>
      <c r="D975" s="2"/>
      <c r="E975" s="2"/>
      <c r="F975" s="2"/>
      <c r="G975" s="2"/>
      <c r="H975" s="2"/>
      <c r="I975" s="2"/>
      <c r="J975" s="2"/>
      <c r="K975" s="2"/>
      <c r="L975" s="2"/>
      <c r="M975" s="2"/>
      <c r="N975" s="2"/>
      <c r="O975" s="2"/>
      <c r="P975" s="2"/>
      <c r="Q975" s="2"/>
      <c r="R975" s="2"/>
      <c r="S975" s="2"/>
      <c r="T975" s="2"/>
      <c r="U975" s="2"/>
      <c r="V975" s="2"/>
      <c r="W975" s="2"/>
    </row>
    <row r="976">
      <c r="A976" s="2"/>
      <c r="B976" s="2"/>
      <c r="C976" s="2"/>
      <c r="D976" s="2"/>
      <c r="E976" s="2"/>
      <c r="F976" s="2"/>
      <c r="G976" s="2"/>
      <c r="H976" s="2"/>
      <c r="I976" s="2"/>
      <c r="J976" s="2"/>
      <c r="K976" s="2"/>
      <c r="L976" s="2"/>
      <c r="M976" s="2"/>
      <c r="N976" s="2"/>
      <c r="O976" s="2"/>
      <c r="P976" s="2"/>
      <c r="Q976" s="2"/>
      <c r="R976" s="2"/>
      <c r="S976" s="2"/>
      <c r="T976" s="2"/>
      <c r="U976" s="2"/>
      <c r="V976" s="2"/>
      <c r="W976" s="2"/>
    </row>
    <row r="977">
      <c r="A977" s="2"/>
      <c r="B977" s="2"/>
      <c r="C977" s="2"/>
      <c r="D977" s="2"/>
      <c r="E977" s="2"/>
      <c r="F977" s="2"/>
      <c r="G977" s="2"/>
      <c r="H977" s="2"/>
      <c r="I977" s="2"/>
      <c r="J977" s="2"/>
      <c r="K977" s="2"/>
      <c r="L977" s="2"/>
      <c r="M977" s="2"/>
      <c r="N977" s="2"/>
      <c r="O977" s="2"/>
      <c r="P977" s="2"/>
      <c r="Q977" s="2"/>
      <c r="R977" s="2"/>
      <c r="S977" s="2"/>
      <c r="T977" s="2"/>
      <c r="U977" s="2"/>
      <c r="V977" s="2"/>
      <c r="W977" s="2"/>
    </row>
    <row r="978">
      <c r="A978" s="2"/>
      <c r="B978" s="2"/>
      <c r="C978" s="2"/>
      <c r="D978" s="2"/>
      <c r="E978" s="2"/>
      <c r="F978" s="2"/>
      <c r="G978" s="2"/>
      <c r="H978" s="2"/>
      <c r="I978" s="2"/>
      <c r="J978" s="2"/>
      <c r="K978" s="2"/>
      <c r="L978" s="2"/>
      <c r="M978" s="2"/>
      <c r="N978" s="2"/>
      <c r="O978" s="2"/>
      <c r="P978" s="2"/>
      <c r="Q978" s="2"/>
      <c r="R978" s="2"/>
      <c r="S978" s="2"/>
      <c r="T978" s="2"/>
      <c r="U978" s="2"/>
      <c r="V978" s="2"/>
      <c r="W978" s="2"/>
    </row>
    <row r="979">
      <c r="A979" s="2"/>
      <c r="B979" s="2"/>
      <c r="C979" s="2"/>
      <c r="D979" s="2"/>
      <c r="E979" s="2"/>
      <c r="F979" s="2"/>
      <c r="G979" s="2"/>
      <c r="H979" s="2"/>
      <c r="I979" s="2"/>
      <c r="J979" s="2"/>
      <c r="K979" s="2"/>
      <c r="L979" s="2"/>
      <c r="M979" s="2"/>
      <c r="N979" s="2"/>
      <c r="O979" s="2"/>
      <c r="P979" s="2"/>
      <c r="Q979" s="2"/>
      <c r="R979" s="2"/>
      <c r="S979" s="2"/>
      <c r="T979" s="2"/>
      <c r="U979" s="2"/>
      <c r="V979" s="2"/>
      <c r="W979" s="2"/>
    </row>
    <row r="980">
      <c r="A980" s="2"/>
      <c r="B980" s="2"/>
      <c r="C980" s="2"/>
      <c r="D980" s="2"/>
      <c r="E980" s="2"/>
      <c r="F980" s="2"/>
      <c r="G980" s="2"/>
      <c r="H980" s="2"/>
      <c r="I980" s="2"/>
      <c r="J980" s="2"/>
      <c r="K980" s="2"/>
      <c r="L980" s="2"/>
      <c r="M980" s="2"/>
      <c r="N980" s="2"/>
      <c r="O980" s="2"/>
      <c r="P980" s="2"/>
      <c r="Q980" s="2"/>
      <c r="R980" s="2"/>
      <c r="S980" s="2"/>
      <c r="T980" s="2"/>
      <c r="U980" s="2"/>
      <c r="V980" s="2"/>
      <c r="W980" s="2"/>
    </row>
    <row r="981">
      <c r="A981" s="2"/>
      <c r="B981" s="2"/>
      <c r="C981" s="2"/>
      <c r="D981" s="2"/>
      <c r="E981" s="2"/>
      <c r="F981" s="2"/>
      <c r="G981" s="2"/>
      <c r="H981" s="2"/>
      <c r="I981" s="2"/>
      <c r="J981" s="2"/>
      <c r="K981" s="2"/>
      <c r="L981" s="2"/>
      <c r="M981" s="2"/>
      <c r="N981" s="2"/>
      <c r="O981" s="2"/>
      <c r="P981" s="2"/>
      <c r="Q981" s="2"/>
      <c r="R981" s="2"/>
      <c r="S981" s="2"/>
      <c r="T981" s="2"/>
      <c r="U981" s="2"/>
      <c r="V981" s="2"/>
      <c r="W981" s="2"/>
    </row>
    <row r="982">
      <c r="A982" s="2"/>
      <c r="B982" s="2"/>
      <c r="C982" s="2"/>
      <c r="D982" s="2"/>
      <c r="E982" s="2"/>
      <c r="F982" s="2"/>
      <c r="G982" s="2"/>
      <c r="H982" s="2"/>
      <c r="I982" s="2"/>
      <c r="J982" s="2"/>
      <c r="K982" s="2"/>
      <c r="L982" s="2"/>
      <c r="M982" s="2"/>
      <c r="N982" s="2"/>
      <c r="O982" s="2"/>
      <c r="P982" s="2"/>
      <c r="Q982" s="2"/>
      <c r="R982" s="2"/>
      <c r="S982" s="2"/>
      <c r="T982" s="2"/>
      <c r="U982" s="2"/>
      <c r="V982" s="2"/>
      <c r="W982" s="2"/>
    </row>
    <row r="983">
      <c r="A983" s="2"/>
      <c r="B983" s="2"/>
      <c r="C983" s="2"/>
      <c r="D983" s="2"/>
      <c r="E983" s="2"/>
      <c r="F983" s="2"/>
      <c r="G983" s="2"/>
      <c r="H983" s="2"/>
      <c r="I983" s="2"/>
      <c r="J983" s="2"/>
      <c r="K983" s="2"/>
      <c r="L983" s="2"/>
      <c r="M983" s="2"/>
      <c r="N983" s="2"/>
      <c r="O983" s="2"/>
      <c r="P983" s="2"/>
      <c r="Q983" s="2"/>
      <c r="R983" s="2"/>
      <c r="S983" s="2"/>
      <c r="T983" s="2"/>
      <c r="U983" s="2"/>
      <c r="V983" s="2"/>
      <c r="W983" s="2"/>
    </row>
    <row r="984">
      <c r="A984" s="2"/>
      <c r="B984" s="2"/>
      <c r="C984" s="2"/>
      <c r="D984" s="2"/>
      <c r="E984" s="2"/>
      <c r="F984" s="2"/>
      <c r="G984" s="2"/>
      <c r="H984" s="2"/>
      <c r="I984" s="2"/>
      <c r="J984" s="2"/>
      <c r="K984" s="2"/>
      <c r="L984" s="2"/>
      <c r="M984" s="2"/>
      <c r="N984" s="2"/>
      <c r="O984" s="2"/>
      <c r="P984" s="2"/>
      <c r="Q984" s="2"/>
      <c r="R984" s="2"/>
      <c r="S984" s="2"/>
      <c r="T984" s="2"/>
      <c r="U984" s="2"/>
      <c r="V984" s="2"/>
      <c r="W984" s="2"/>
    </row>
    <row r="985">
      <c r="A985" s="2"/>
      <c r="B985" s="2"/>
      <c r="C985" s="2"/>
      <c r="D985" s="2"/>
      <c r="E985" s="2"/>
      <c r="F985" s="2"/>
      <c r="G985" s="2"/>
      <c r="H985" s="2"/>
      <c r="I985" s="2"/>
      <c r="J985" s="2"/>
      <c r="K985" s="2"/>
      <c r="L985" s="2"/>
      <c r="M985" s="2"/>
      <c r="N985" s="2"/>
      <c r="O985" s="2"/>
      <c r="P985" s="2"/>
      <c r="Q985" s="2"/>
      <c r="R985" s="2"/>
      <c r="S985" s="2"/>
      <c r="T985" s="2"/>
      <c r="U985" s="2"/>
      <c r="V985" s="2"/>
      <c r="W985" s="2"/>
    </row>
    <row r="986">
      <c r="A986" s="2"/>
      <c r="B986" s="2"/>
      <c r="C986" s="2"/>
      <c r="D986" s="2"/>
      <c r="E986" s="2"/>
      <c r="F986" s="2"/>
      <c r="G986" s="2"/>
      <c r="H986" s="2"/>
      <c r="I986" s="2"/>
      <c r="J986" s="2"/>
      <c r="K986" s="2"/>
      <c r="L986" s="2"/>
      <c r="M986" s="2"/>
      <c r="N986" s="2"/>
      <c r="O986" s="2"/>
      <c r="P986" s="2"/>
      <c r="Q986" s="2"/>
      <c r="R986" s="2"/>
      <c r="S986" s="2"/>
      <c r="T986" s="2"/>
      <c r="U986" s="2"/>
      <c r="V986" s="2"/>
      <c r="W986" s="2"/>
    </row>
    <row r="987">
      <c r="A987" s="2"/>
      <c r="B987" s="2"/>
      <c r="C987" s="2"/>
      <c r="D987" s="2"/>
      <c r="E987" s="2"/>
      <c r="F987" s="2"/>
      <c r="G987" s="2"/>
      <c r="H987" s="2"/>
      <c r="I987" s="2"/>
      <c r="J987" s="2"/>
      <c r="K987" s="2"/>
      <c r="L987" s="2"/>
      <c r="M987" s="2"/>
      <c r="N987" s="2"/>
      <c r="O987" s="2"/>
      <c r="P987" s="2"/>
      <c r="Q987" s="2"/>
      <c r="R987" s="2"/>
      <c r="S987" s="2"/>
      <c r="T987" s="2"/>
      <c r="U987" s="2"/>
      <c r="V987" s="2"/>
      <c r="W987" s="2"/>
    </row>
    <row r="988">
      <c r="A988" s="2"/>
      <c r="B988" s="2"/>
      <c r="C988" s="2"/>
      <c r="D988" s="2"/>
      <c r="E988" s="2"/>
      <c r="F988" s="2"/>
      <c r="G988" s="2"/>
      <c r="H988" s="2"/>
      <c r="I988" s="2"/>
      <c r="J988" s="2"/>
      <c r="K988" s="2"/>
      <c r="L988" s="2"/>
      <c r="M988" s="2"/>
      <c r="N988" s="2"/>
      <c r="O988" s="2"/>
      <c r="P988" s="2"/>
      <c r="Q988" s="2"/>
      <c r="R988" s="2"/>
      <c r="S988" s="2"/>
      <c r="T988" s="2"/>
      <c r="U988" s="2"/>
      <c r="V988" s="2"/>
      <c r="W988" s="2"/>
    </row>
    <row r="989">
      <c r="A989" s="2"/>
      <c r="B989" s="2"/>
      <c r="C989" s="2"/>
      <c r="D989" s="2"/>
      <c r="E989" s="2"/>
      <c r="F989" s="2"/>
      <c r="G989" s="2"/>
      <c r="H989" s="2"/>
      <c r="I989" s="2"/>
      <c r="J989" s="2"/>
      <c r="K989" s="2"/>
      <c r="L989" s="2"/>
      <c r="M989" s="2"/>
      <c r="N989" s="2"/>
      <c r="O989" s="2"/>
      <c r="P989" s="2"/>
      <c r="Q989" s="2"/>
      <c r="R989" s="2"/>
      <c r="S989" s="2"/>
      <c r="T989" s="2"/>
      <c r="U989" s="2"/>
      <c r="V989" s="2"/>
      <c r="W989" s="2"/>
    </row>
    <row r="990">
      <c r="A990" s="2"/>
      <c r="B990" s="2"/>
      <c r="C990" s="2"/>
      <c r="D990" s="2"/>
      <c r="E990" s="2"/>
      <c r="F990" s="2"/>
      <c r="G990" s="2"/>
      <c r="H990" s="2"/>
      <c r="I990" s="2"/>
      <c r="J990" s="2"/>
      <c r="K990" s="2"/>
      <c r="L990" s="2"/>
      <c r="M990" s="2"/>
      <c r="N990" s="2"/>
      <c r="O990" s="2"/>
      <c r="P990" s="2"/>
      <c r="Q990" s="2"/>
      <c r="R990" s="2"/>
      <c r="S990" s="2"/>
      <c r="T990" s="2"/>
      <c r="U990" s="2"/>
      <c r="V990" s="2"/>
      <c r="W990" s="2"/>
    </row>
    <row r="991">
      <c r="A991" s="2"/>
      <c r="B991" s="2"/>
      <c r="C991" s="2"/>
      <c r="D991" s="2"/>
      <c r="E991" s="2"/>
      <c r="F991" s="2"/>
      <c r="G991" s="2"/>
      <c r="H991" s="2"/>
      <c r="I991" s="2"/>
      <c r="J991" s="2"/>
      <c r="K991" s="2"/>
      <c r="L991" s="2"/>
      <c r="M991" s="2"/>
      <c r="N991" s="2"/>
      <c r="O991" s="2"/>
      <c r="P991" s="2"/>
      <c r="Q991" s="2"/>
      <c r="R991" s="2"/>
      <c r="S991" s="2"/>
      <c r="T991" s="2"/>
      <c r="U991" s="2"/>
      <c r="V991" s="2"/>
      <c r="W991" s="2"/>
    </row>
    <row r="992">
      <c r="A992" s="2"/>
      <c r="B992" s="2"/>
      <c r="C992" s="2"/>
      <c r="D992" s="2"/>
      <c r="E992" s="2"/>
      <c r="F992" s="2"/>
      <c r="G992" s="2"/>
      <c r="H992" s="2"/>
      <c r="I992" s="2"/>
      <c r="J992" s="2"/>
      <c r="K992" s="2"/>
      <c r="L992" s="2"/>
      <c r="M992" s="2"/>
      <c r="N992" s="2"/>
      <c r="O992" s="2"/>
      <c r="P992" s="2"/>
      <c r="Q992" s="2"/>
      <c r="R992" s="2"/>
      <c r="S992" s="2"/>
      <c r="T992" s="2"/>
      <c r="U992" s="2"/>
      <c r="V992" s="2"/>
      <c r="W992" s="2"/>
    </row>
    <row r="993">
      <c r="A993" s="2"/>
      <c r="B993" s="2"/>
      <c r="C993" s="2"/>
      <c r="D993" s="2"/>
      <c r="E993" s="2"/>
      <c r="F993" s="2"/>
      <c r="G993" s="2"/>
      <c r="H993" s="2"/>
      <c r="I993" s="2"/>
      <c r="J993" s="2"/>
      <c r="K993" s="2"/>
      <c r="L993" s="2"/>
      <c r="M993" s="2"/>
      <c r="N993" s="2"/>
      <c r="O993" s="2"/>
      <c r="P993" s="2"/>
      <c r="Q993" s="2"/>
      <c r="R993" s="2"/>
      <c r="S993" s="2"/>
      <c r="T993" s="2"/>
      <c r="U993" s="2"/>
      <c r="V993" s="2"/>
      <c r="W993" s="2"/>
    </row>
    <row r="994">
      <c r="A994" s="2"/>
      <c r="B994" s="2"/>
      <c r="C994" s="2"/>
      <c r="D994" s="2"/>
      <c r="E994" s="2"/>
      <c r="F994" s="2"/>
      <c r="G994" s="2"/>
      <c r="H994" s="2"/>
      <c r="I994" s="2"/>
      <c r="J994" s="2"/>
      <c r="K994" s="2"/>
      <c r="L994" s="2"/>
      <c r="M994" s="2"/>
      <c r="N994" s="2"/>
      <c r="O994" s="2"/>
      <c r="P994" s="2"/>
      <c r="Q994" s="2"/>
      <c r="R994" s="2"/>
      <c r="S994" s="2"/>
      <c r="T994" s="2"/>
      <c r="U994" s="2"/>
      <c r="V994" s="2"/>
      <c r="W994" s="2"/>
    </row>
    <row r="995">
      <c r="A995" s="2"/>
      <c r="B995" s="2"/>
      <c r="C995" s="2"/>
      <c r="D995" s="2"/>
      <c r="E995" s="2"/>
      <c r="F995" s="2"/>
      <c r="G995" s="2"/>
      <c r="H995" s="2"/>
      <c r="I995" s="2"/>
      <c r="J995" s="2"/>
      <c r="K995" s="2"/>
      <c r="L995" s="2"/>
      <c r="M995" s="2"/>
      <c r="N995" s="2"/>
      <c r="O995" s="2"/>
      <c r="P995" s="2"/>
      <c r="Q995" s="2"/>
      <c r="R995" s="2"/>
      <c r="S995" s="2"/>
      <c r="T995" s="2"/>
      <c r="U995" s="2"/>
      <c r="V995" s="2"/>
      <c r="W995" s="2"/>
    </row>
    <row r="996">
      <c r="A996" s="2"/>
      <c r="B996" s="2"/>
      <c r="C996" s="2"/>
      <c r="D996" s="2"/>
      <c r="E996" s="2"/>
      <c r="F996" s="2"/>
      <c r="G996" s="2"/>
      <c r="H996" s="2"/>
      <c r="I996" s="2"/>
      <c r="J996" s="2"/>
      <c r="K996" s="2"/>
      <c r="L996" s="2"/>
      <c r="M996" s="2"/>
      <c r="N996" s="2"/>
      <c r="O996" s="2"/>
      <c r="P996" s="2"/>
      <c r="Q996" s="2"/>
      <c r="R996" s="2"/>
      <c r="S996" s="2"/>
      <c r="T996" s="2"/>
      <c r="U996" s="2"/>
      <c r="V996" s="2"/>
      <c r="W996" s="2"/>
    </row>
    <row r="997">
      <c r="A997" s="2"/>
      <c r="B997" s="2"/>
      <c r="C997" s="2"/>
      <c r="D997" s="2"/>
      <c r="E997" s="2"/>
      <c r="F997" s="2"/>
      <c r="G997" s="2"/>
      <c r="H997" s="2"/>
      <c r="I997" s="2"/>
      <c r="J997" s="2"/>
      <c r="K997" s="2"/>
      <c r="L997" s="2"/>
      <c r="M997" s="2"/>
      <c r="N997" s="2"/>
      <c r="O997" s="2"/>
      <c r="P997" s="2"/>
      <c r="Q997" s="2"/>
      <c r="R997" s="2"/>
      <c r="S997" s="2"/>
      <c r="T997" s="2"/>
      <c r="U997" s="2"/>
      <c r="V997" s="2"/>
      <c r="W997" s="2"/>
    </row>
    <row r="998">
      <c r="A998" s="2"/>
      <c r="B998" s="2"/>
      <c r="C998" s="2"/>
      <c r="D998" s="2"/>
      <c r="E998" s="2"/>
      <c r="F998" s="2"/>
      <c r="G998" s="2"/>
      <c r="H998" s="2"/>
      <c r="I998" s="2"/>
      <c r="J998" s="2"/>
      <c r="K998" s="2"/>
      <c r="L998" s="2"/>
      <c r="M998" s="2"/>
      <c r="N998" s="2"/>
      <c r="O998" s="2"/>
      <c r="P998" s="2"/>
      <c r="Q998" s="2"/>
      <c r="R998" s="2"/>
      <c r="S998" s="2"/>
      <c r="T998" s="2"/>
      <c r="U998" s="2"/>
      <c r="V998" s="2"/>
      <c r="W998" s="2"/>
    </row>
    <row r="999">
      <c r="A999" s="2"/>
      <c r="B999" s="2"/>
      <c r="C999" s="2"/>
      <c r="D999" s="2"/>
      <c r="E999" s="2"/>
      <c r="F999" s="2"/>
      <c r="G999" s="2"/>
      <c r="H999" s="2"/>
      <c r="I999" s="2"/>
      <c r="J999" s="2"/>
      <c r="K999" s="2"/>
      <c r="L999" s="2"/>
      <c r="M999" s="2"/>
      <c r="N999" s="2"/>
      <c r="O999" s="2"/>
      <c r="P999" s="2"/>
      <c r="Q999" s="2"/>
      <c r="R999" s="2"/>
      <c r="S999" s="2"/>
      <c r="T999" s="2"/>
      <c r="U999" s="2"/>
      <c r="V999" s="2"/>
      <c r="W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row>
  </sheetData>
  <drawing r:id="rId1"/>
  <tableParts count="2">
    <tablePart r:id="rId4"/>
    <tablePart r:id="rId5"/>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ht="22.5" customHeight="1">
      <c r="A1" s="1" t="s">
        <v>0</v>
      </c>
      <c r="B1" s="1" t="s">
        <v>1</v>
      </c>
      <c r="C1" s="1" t="s">
        <v>2</v>
      </c>
      <c r="D1" s="1" t="s">
        <v>3</v>
      </c>
      <c r="E1" s="1" t="s">
        <v>577</v>
      </c>
      <c r="F1" s="2"/>
      <c r="G1" s="1" t="s">
        <v>0</v>
      </c>
      <c r="H1" s="1" t="s">
        <v>5</v>
      </c>
      <c r="I1" s="1" t="s">
        <v>6</v>
      </c>
      <c r="J1" s="1" t="s">
        <v>7</v>
      </c>
      <c r="K1" s="1" t="s">
        <v>4</v>
      </c>
      <c r="L1" s="2"/>
      <c r="M1" s="2"/>
      <c r="N1" s="2"/>
      <c r="O1" s="2"/>
      <c r="P1" s="2"/>
      <c r="Q1" s="2"/>
      <c r="R1" s="2"/>
    </row>
    <row r="2" ht="22.5" customHeight="1">
      <c r="A2" s="3">
        <v>1.0</v>
      </c>
      <c r="B2" s="3" t="s">
        <v>3342</v>
      </c>
      <c r="C2" s="3" t="s">
        <v>3343</v>
      </c>
      <c r="D2" s="3" t="s">
        <v>3344</v>
      </c>
      <c r="E2" s="3" t="s">
        <v>3345</v>
      </c>
      <c r="F2" s="2"/>
      <c r="G2" s="3" t="str">
        <f>IFERROR(__xludf.DUMMYFUNCTION("GOOGLETRANSLATE(A2, ""it"", ""en"")"),"1")</f>
        <v>1</v>
      </c>
      <c r="H2" s="3" t="str">
        <f>IFERROR(__xludf.DUMMYFUNCTION("GOOGLETRANSLATE(B2, ""it"", ""en"")"),"What is the primary objective of shinty?")</f>
        <v>What is the primary objective of shinty?</v>
      </c>
      <c r="I2" s="3" t="str">
        <f>IFERROR(__xludf.DUMMYFUNCTION("GOOGLETRANSLATE(C2, ""it"", ""en"")"),"A. To score goals by hitting the ball into the net B. To hit the opponent's goal C. To block the ball with hands D. To throw the ball into the goal")</f>
        <v>A. To score goals by hitting the ball into the net B. To hit the opponent's goal C. To block the ball with hands D. To throw the ball into the goal</v>
      </c>
      <c r="J2" s="3" t="str">
        <f>IFERROR(__xludf.DUMMYFUNCTION("GOOGLETRANSLATE(D2, ""it"", ""en"")"),"To score goals by hitting the ball into the net")</f>
        <v>To score goals by hitting the ball into the net</v>
      </c>
      <c r="K2" s="3" t="str">
        <f>IFERROR(__xludf.DUMMYFUNCTION("GOOGLETRANSLATE(E2, ""it"", ""en"")"),"The main goal of shinty is to score by striking the ball into the opponent's net.")</f>
        <v>The main goal of shinty is to score by striking the ball into the opponent's net.</v>
      </c>
      <c r="L2" s="2"/>
      <c r="M2" s="2"/>
      <c r="N2" s="2"/>
      <c r="O2" s="2"/>
      <c r="P2" s="2"/>
      <c r="Q2" s="2"/>
      <c r="R2" s="2"/>
    </row>
    <row r="3" ht="22.5" customHeight="1">
      <c r="A3" s="3">
        <v>2.0</v>
      </c>
      <c r="B3" s="3" t="s">
        <v>3346</v>
      </c>
      <c r="C3" s="3" t="s">
        <v>3347</v>
      </c>
      <c r="D3" s="3">
        <v>12.0</v>
      </c>
      <c r="E3" s="3" t="s">
        <v>3348</v>
      </c>
      <c r="F3" s="2"/>
      <c r="G3" s="3" t="str">
        <f>IFERROR(__xludf.DUMMYFUNCTION("GOOGLETRANSLATE(A3, ""it"", ""en"")"),"2")</f>
        <v>2</v>
      </c>
      <c r="H3" s="3" t="str">
        <f>IFERROR(__xludf.DUMMYFUNCTION("GOOGLETRANSLATE(B3, ""it"", ""en"")"),"How many players are on a shinty team?")</f>
        <v>How many players are on a shinty team?</v>
      </c>
      <c r="I3" s="3" t="str">
        <f>IFERROR(__xludf.DUMMYFUNCTION("GOOGLETRANSLATE(C3, ""it"", ""en"")"),"A. 7 B. 10 C. 12 D. 14")</f>
        <v>A. 7 B. 10 C. 12 D. 14</v>
      </c>
      <c r="J3" s="3" t="str">
        <f>IFERROR(__xludf.DUMMYFUNCTION("GOOGLETRANSLATE(D3, ""it"", ""en"")"),"12")</f>
        <v>12</v>
      </c>
      <c r="K3" s="3" t="str">
        <f>IFERROR(__xludf.DUMMYFUNCTION("GOOGLETRANSLATE(E3, ""it"", ""en"")"),"A shinty team consists of 12 players.")</f>
        <v>A shinty team consists of 12 players.</v>
      </c>
      <c r="L3" s="2"/>
      <c r="M3" s="2"/>
      <c r="N3" s="2"/>
      <c r="O3" s="2"/>
      <c r="P3" s="2"/>
      <c r="Q3" s="2"/>
      <c r="R3" s="2"/>
    </row>
    <row r="4" ht="22.5" customHeight="1">
      <c r="A4" s="3">
        <v>3.0</v>
      </c>
      <c r="B4" s="3" t="s">
        <v>3349</v>
      </c>
      <c r="C4" s="3" t="s">
        <v>3350</v>
      </c>
      <c r="D4" s="3" t="s">
        <v>3351</v>
      </c>
      <c r="E4" s="3" t="s">
        <v>3352</v>
      </c>
      <c r="F4" s="2"/>
      <c r="G4" s="3" t="str">
        <f>IFERROR(__xludf.DUMMYFUNCTION("GOOGLETRANSLATE(A4, ""it"", ""en"")"),"3")</f>
        <v>3</v>
      </c>
      <c r="H4" s="3" t="str">
        <f>IFERROR(__xludf.DUMMYFUNCTION("GOOGLETRANSLATE(B4, ""it"", ""en"")"),"What equipment is used to hit the ball in shinty?")</f>
        <v>What equipment is used to hit the ball in shinty?</v>
      </c>
      <c r="I4" s="3" t="str">
        <f>IFERROR(__xludf.DUMMYFUNCTION("GOOGLETRANSLATE(C4, ""it"", ""en"")"),"A. A stick called a caman B. A racket C. A bat D. A paddle")</f>
        <v>A. A stick called a caman B. A racket C. A bat D. A paddle</v>
      </c>
      <c r="J4" s="3" t="str">
        <f>IFERROR(__xludf.DUMMYFUNCTION("GOOGLETRANSLATE(D4, ""it"", ""en"")"),"A stick called a caman")</f>
        <v>A stick called a caman</v>
      </c>
      <c r="K4" s="3" t="str">
        <f>IFERROR(__xludf.DUMMYFUNCTION("GOOGLETRANSLATE(E4, ""it"", ""en"")"),"Players use a caman to hit the ball.")</f>
        <v>Players use a caman to hit the ball.</v>
      </c>
      <c r="L4" s="2"/>
      <c r="M4" s="2"/>
      <c r="N4" s="2"/>
      <c r="O4" s="2"/>
      <c r="P4" s="2"/>
      <c r="Q4" s="2"/>
      <c r="R4" s="2"/>
    </row>
    <row r="5" ht="22.5" customHeight="1">
      <c r="A5" s="3">
        <v>4.0</v>
      </c>
      <c r="B5" s="3" t="s">
        <v>3353</v>
      </c>
      <c r="C5" s="3" t="s">
        <v>3354</v>
      </c>
      <c r="D5" s="3" t="s">
        <v>3355</v>
      </c>
      <c r="E5" s="3" t="s">
        <v>3356</v>
      </c>
      <c r="F5" s="2"/>
      <c r="G5" s="3" t="str">
        <f>IFERROR(__xludf.DUMMYFUNCTION("GOOGLETRANSLATE(A5, ""it"", ""en"")"),"4")</f>
        <v>4</v>
      </c>
      <c r="H5" s="3" t="str">
        <f>IFERROR(__xludf.DUMMYFUNCTION("GOOGLETRANSLATE(B5, ""it"", ""en"")"),"What is the ball used in shinty called?")</f>
        <v>What is the ball used in shinty called?</v>
      </c>
      <c r="I5" s="3" t="str">
        <f>IFERROR(__xludf.DUMMYFUNCTION("GOOGLETRANSLATE(C5, ""it"", ""en"")"),"A. Puck B. Shinty Ball C. Quoit D. Sliotar")</f>
        <v>A. Puck B. Shinty Ball C. Quoit D. Sliotar</v>
      </c>
      <c r="J5" s="3" t="str">
        <f>IFERROR(__xludf.DUMMYFUNCTION("GOOGLETRANSLATE(D5, ""it"", ""en"")"),"Shinty Ball")</f>
        <v>Shinty Ball</v>
      </c>
      <c r="K5" s="3" t="str">
        <f>IFERROR(__xludf.DUMMYFUNCTION("GOOGLETRANSLATE(E5, ""it"", ""en"")"),"The ball used is specifically called a shinty ball.")</f>
        <v>The ball used is specifically called a shinty ball.</v>
      </c>
      <c r="L5" s="2"/>
      <c r="M5" s="2"/>
      <c r="N5" s="2"/>
      <c r="O5" s="2"/>
      <c r="P5" s="2"/>
      <c r="Q5" s="2"/>
      <c r="R5" s="2"/>
    </row>
    <row r="6" ht="22.5" customHeight="1">
      <c r="A6" s="3">
        <v>5.0</v>
      </c>
      <c r="B6" s="3" t="s">
        <v>3357</v>
      </c>
      <c r="C6" s="3" t="s">
        <v>3358</v>
      </c>
      <c r="D6" s="3" t="s">
        <v>3359</v>
      </c>
      <c r="E6" s="3" t="s">
        <v>3360</v>
      </c>
      <c r="F6" s="2"/>
      <c r="G6" s="3" t="str">
        <f>IFERROR(__xludf.DUMMYFUNCTION("GOOGLETRANSLATE(A6, ""it"", ""en"")"),"5")</f>
        <v>5</v>
      </c>
      <c r="H6" s="3" t="str">
        <f>IFERROR(__xludf.DUMMYFUNCTION("GOOGLETRANSLATE(B6, ""it"", ""en"")"),"Can players use their hands to touch the ball in shinty?")</f>
        <v>Can players use their hands to touch the ball in shinty?</v>
      </c>
      <c r="I6" s="3" t="str">
        <f>IFERROR(__xludf.DUMMYFUNCTION("GOOGLETRANSLATE(C6, ""it"", ""en"")"),"A. Yes B. No C. Only the goalkeeper can use hands D. Only in certain areas")</f>
        <v>A. Yes B. No C. Only the goalkeeper can use hands D. Only in certain areas</v>
      </c>
      <c r="J6" s="3" t="str">
        <f>IFERROR(__xludf.DUMMYFUNCTION("GOOGLETRANSLATE(D6, ""it"", ""en"")"),"Only the goalkeeper can use hands")</f>
        <v>Only the goalkeeper can use hands</v>
      </c>
      <c r="K6" s="3" t="str">
        <f>IFERROR(__xludf.DUMMYFUNCTION("GOOGLETRANSLATE(E6, ""it"", ""en"")"),"Only the goalkeeper can use their hands within the designated area.")</f>
        <v>Only the goalkeeper can use their hands within the designated area.</v>
      </c>
      <c r="L6" s="2"/>
      <c r="M6" s="2"/>
      <c r="N6" s="2"/>
      <c r="O6" s="2"/>
      <c r="P6" s="2"/>
      <c r="Q6" s="2"/>
      <c r="R6" s="2"/>
    </row>
    <row r="7" ht="22.5" customHeight="1">
      <c r="A7" s="3">
        <v>6.0</v>
      </c>
      <c r="B7" s="3" t="s">
        <v>3361</v>
      </c>
      <c r="C7" s="3" t="s">
        <v>3362</v>
      </c>
      <c r="D7" s="3" t="s">
        <v>3363</v>
      </c>
      <c r="E7" s="3" t="s">
        <v>3364</v>
      </c>
      <c r="F7" s="2"/>
      <c r="G7" s="3" t="str">
        <f>IFERROR(__xludf.DUMMYFUNCTION("GOOGLETRANSLATE(A7, ""it"", ""en"")"),"6")</f>
        <v>6</v>
      </c>
      <c r="H7" s="3" t="str">
        <f>IFERROR(__xludf.DUMMYFUNCTION("GOOGLETRANSLATE(B7, ""it"", ""en"")"),"How long does a shinty match last?")</f>
        <v>How long does a shinty match last?</v>
      </c>
      <c r="I7" s="3" t="str">
        <f>IFERROR(__xludf.DUMMYFUNCTION("GOOGLETRANSLATE(C7, ""it"", ""en"")"),"A. 60 minutes B. 70 minutes C. 80 minutes D. 90 minutes")</f>
        <v>A. 60 minutes B. 70 minutes C. 80 minutes D. 90 minutes</v>
      </c>
      <c r="J7" s="3" t="str">
        <f>IFERROR(__xludf.DUMMYFUNCTION("GOOGLETRANSLATE(D7, ""it"", ""en"")"),"90 minutes")</f>
        <v>90 minutes</v>
      </c>
      <c r="K7" s="3" t="str">
        <f>IFERROR(__xludf.DUMMYFUNCTION("GOOGLETRANSLATE(E7, ""it"", ""en"")"),"A shinty match lasts 90 minutes")</f>
        <v>A shinty match lasts 90 minutes</v>
      </c>
      <c r="L7" s="2"/>
      <c r="M7" s="2"/>
      <c r="N7" s="2"/>
      <c r="O7" s="2"/>
      <c r="P7" s="2"/>
      <c r="Q7" s="2"/>
      <c r="R7" s="2"/>
    </row>
    <row r="8" ht="22.5" customHeight="1">
      <c r="A8" s="3">
        <v>7.0</v>
      </c>
      <c r="B8" s="3" t="s">
        <v>3365</v>
      </c>
      <c r="C8" s="3" t="s">
        <v>3366</v>
      </c>
      <c r="D8" s="3" t="s">
        <v>3367</v>
      </c>
      <c r="E8" s="3" t="s">
        <v>3368</v>
      </c>
      <c r="F8" s="2"/>
      <c r="G8" s="3" t="str">
        <f>IFERROR(__xludf.DUMMYFUNCTION("GOOGLETRANSLATE(A8, ""it"", ""en"")"),"7")</f>
        <v>7</v>
      </c>
      <c r="H8" s="3" t="str">
        <f>IFERROR(__xludf.DUMMYFUNCTION("GOOGLETRANSLATE(B8, ""it"", ""en"")"),"What is the role of the goalkeeper in shinty?")</f>
        <v>What is the role of the goalkeeper in shinty?</v>
      </c>
      <c r="I8" s="3" t="str">
        <f>IFERROR(__xludf.DUMMYFUNCTION("GOOGLETRANSLATE(C8, ""it"", ""en"")"),"A. To defend the goal and use hands B. To assist in attack C. To score goals D. To block opponents with the coach")</f>
        <v>A. To defend the goal and use hands B. To assist in attack C. To score goals D. To block opponents with the coach</v>
      </c>
      <c r="J8" s="3" t="str">
        <f>IFERROR(__xludf.DUMMYFUNCTION("GOOGLETRANSLATE(D8, ""it"", ""en"")"),"To defend the goal and use hands")</f>
        <v>To defend the goal and use hands</v>
      </c>
      <c r="K8" s="3" t="str">
        <f>IFERROR(__xludf.DUMMYFUNCTION("GOOGLETRANSLATE(E8, ""it"", ""en"")"),"The goalkeeper protects the goal and can use their hands within the penalty area.")</f>
        <v>The goalkeeper protects the goal and can use their hands within the penalty area.</v>
      </c>
      <c r="L8" s="2"/>
      <c r="M8" s="2"/>
      <c r="N8" s="2"/>
      <c r="O8" s="2"/>
      <c r="P8" s="2"/>
      <c r="Q8" s="2"/>
      <c r="R8" s="2"/>
    </row>
    <row r="9" ht="22.5" customHeight="1">
      <c r="A9" s="3">
        <v>8.0</v>
      </c>
      <c r="B9" s="3" t="s">
        <v>3369</v>
      </c>
      <c r="C9" s="3" t="s">
        <v>3370</v>
      </c>
      <c r="D9" s="3" t="s">
        <v>3371</v>
      </c>
      <c r="E9" s="3" t="s">
        <v>3372</v>
      </c>
      <c r="F9" s="2"/>
      <c r="G9" s="3" t="str">
        <f>IFERROR(__xludf.DUMMYFUNCTION("GOOGLETRANSLATE(A9, ""it"", ""en"")"),"8")</f>
        <v>8</v>
      </c>
      <c r="H9" s="3" t="str">
        <f>IFERROR(__xludf.DUMMYFUNCTION("GOOGLETRANSLATE(B9, ""it"", ""en"")"),"What is not allowed in shinty?")</f>
        <v>What is not allowed in shinty?</v>
      </c>
      <c r="I9" s="3" t="str">
        <f>IFERROR(__xludf.DUMMYFUNCTION("GOOGLETRANSLATE(C9, ""it"", ""en"")"),"A. Striking the ball with the caman B. Blocking the ball with the caman C. Using the caman to strike an opponent D. Passing the ball")</f>
        <v>A. Striking the ball with the caman B. Blocking the ball with the caman C. Using the caman to strike an opponent D. Passing the ball</v>
      </c>
      <c r="J9" s="3" t="str">
        <f>IFERROR(__xludf.DUMMYFUNCTION("GOOGLETRANSLATE(D9, ""it"", ""en"")"),"Using the cam to strike an opponent")</f>
        <v>Using the cam to strike an opponent</v>
      </c>
      <c r="K9" s="3" t="str">
        <f>IFERROR(__xludf.DUMMYFUNCTION("GOOGLETRANSLATE(E9, ""it"", ""en"")"),"It is illegal to use the cam to hit an opponent.")</f>
        <v>It is illegal to use the cam to hit an opponent.</v>
      </c>
      <c r="L9" s="2"/>
      <c r="M9" s="2"/>
      <c r="N9" s="2"/>
      <c r="O9" s="2"/>
      <c r="P9" s="2"/>
      <c r="Q9" s="2"/>
      <c r="R9" s="2"/>
    </row>
    <row r="10" ht="22.5" customHeight="1">
      <c r="A10" s="3">
        <v>9.0</v>
      </c>
      <c r="B10" s="3" t="s">
        <v>3373</v>
      </c>
      <c r="C10" s="3" t="s">
        <v>3374</v>
      </c>
      <c r="D10" s="3" t="s">
        <v>3375</v>
      </c>
      <c r="E10" s="3" t="s">
        <v>3376</v>
      </c>
      <c r="F10" s="2"/>
      <c r="G10" s="3" t="str">
        <f>IFERROR(__xludf.DUMMYFUNCTION("GOOGLETRANSLATE(A10, ""it"", ""en"")"),"9")</f>
        <v>9</v>
      </c>
      <c r="H10" s="3" t="str">
        <f>IFERROR(__xludf.DUMMYFUNCTION("GOOGLETRANSLATE(B10, ""it"", ""en"")"),"What is the penalty for a foul in shinty?")</f>
        <v>What is the penalty for a foul in shinty?</v>
      </c>
      <c r="I10" s="3" t="str">
        <f>IFERROR(__xludf.DUMMYFUNCTION("GOOGLETRANSLATE(C10, ""it"", ""en"")"),"A. A free hit for the opponent B. Yellow card C. Immediate suspension D. The opponent gets a point")</f>
        <v>A. A free hit for the opponent B. Yellow card C. Immediate suspension D. The opponent gets a point</v>
      </c>
      <c r="J10" s="3" t="str">
        <f>IFERROR(__xludf.DUMMYFUNCTION("GOOGLETRANSLATE(D10, ""it"", ""en"")"),"A free hit for the opponent")</f>
        <v>A free hit for the opponent</v>
      </c>
      <c r="K10" s="3" t="str">
        <f>IFERROR(__xludf.DUMMYFUNCTION("GOOGLETRANSLATE(E10, ""it"", ""en"")"),"Fouls result in a free hit for the opposing team.")</f>
        <v>Fouls result in a free hit for the opposing team.</v>
      </c>
      <c r="L10" s="2"/>
      <c r="M10" s="2"/>
      <c r="N10" s="2"/>
      <c r="O10" s="2"/>
      <c r="P10" s="2"/>
      <c r="Q10" s="2"/>
      <c r="R10" s="2"/>
    </row>
    <row r="11" ht="22.5" customHeight="1">
      <c r="A11" s="3">
        <v>10.0</v>
      </c>
      <c r="B11" s="3" t="s">
        <v>3377</v>
      </c>
      <c r="C11" s="3" t="s">
        <v>3378</v>
      </c>
      <c r="D11" s="3" t="s">
        <v>3379</v>
      </c>
      <c r="E11" s="3" t="s">
        <v>3380</v>
      </c>
      <c r="F11" s="2"/>
      <c r="G11" s="3" t="str">
        <f>IFERROR(__xludf.DUMMYFUNCTION("GOOGLETRANSLATE(A11, ""it"", ""en"")"),"10")</f>
        <v>10</v>
      </c>
      <c r="H11" s="3" t="str">
        <f>IFERROR(__xludf.DUMMYFUNCTION("GOOGLETRANSLATE(B11, ""it"", ""en"")"),"Where is shinty primarily played?")</f>
        <v>Where is shinty primarily played?</v>
      </c>
      <c r="I11" s="3" t="str">
        <f>IFERROR(__xludf.DUMMYFUNCTION("GOOGLETRANSLATE(C11, ""it"", ""en"")"),"A. Ireland B. England C. Scotland D. Wales")</f>
        <v>A. Ireland B. England C. Scotland D. Wales</v>
      </c>
      <c r="J11" s="3" t="str">
        <f>IFERROR(__xludf.DUMMYFUNCTION("GOOGLETRANSLATE(D11, ""it"", ""en"")"),"Scotland")</f>
        <v>Scotland</v>
      </c>
      <c r="K11" s="3" t="str">
        <f>IFERROR(__xludf.DUMMYFUNCTION("GOOGLETRANSLATE(E11, ""it"", ""en"")"),"Shinty is predominantly played in Scotland.")</f>
        <v>Shinty is predominantly played in Scotland.</v>
      </c>
      <c r="L11" s="2"/>
      <c r="M11" s="2"/>
      <c r="N11" s="2"/>
      <c r="O11" s="2"/>
      <c r="P11" s="2"/>
      <c r="Q11" s="2"/>
      <c r="R11" s="2"/>
    </row>
    <row r="12" ht="22.5" customHeight="1">
      <c r="A12" s="3">
        <v>11.0</v>
      </c>
      <c r="B12" s="3" t="s">
        <v>3381</v>
      </c>
      <c r="C12" s="3" t="s">
        <v>3382</v>
      </c>
      <c r="D12" s="3" t="s">
        <v>3383</v>
      </c>
      <c r="E12" s="3" t="s">
        <v>3384</v>
      </c>
      <c r="F12" s="2"/>
      <c r="G12" s="3" t="str">
        <f>IFERROR(__xludf.DUMMYFUNCTION("GOOGLETRANSLATE(A12, ""it"", ""en"")"),"11")</f>
        <v>11</v>
      </c>
      <c r="H12" s="3" t="str">
        <f>IFERROR(__xludf.DUMMYFUNCTION("GOOGLETRANSLATE(B12, ""it"", ""en"")"),"How does a shinty match begin?")</f>
        <v>How does a shinty match begin?</v>
      </c>
      <c r="I12" s="3" t="str">
        <f>IFERROR(__xludf.DUMMYFUNCTION("GOOGLETRANSLATE(C12, ""it"", ""en"")"),"A. With a coin toss B. With a throw-in C. With a hit-in D. With a ball placed at the center")</f>
        <v>A. With a coin toss B. With a throw-in C. With a hit-in D. With a ball placed at the center</v>
      </c>
      <c r="J12" s="3" t="str">
        <f>IFERROR(__xludf.DUMMYFUNCTION("GOOGLETRANSLATE(D12, ""it"", ""en"")"),"With a ball placed at the center")</f>
        <v>With a ball placed at the center</v>
      </c>
      <c r="K12" s="3" t="str">
        <f>IFERROR(__xludf.DUMMYFUNCTION("GOOGLETRANSLATE(E12, ""it"", ""en"")"),"The game begins with a hit from the center spot.")</f>
        <v>The game begins with a hit from the center spot.</v>
      </c>
      <c r="L12" s="2"/>
      <c r="M12" s="2"/>
      <c r="N12" s="2"/>
      <c r="O12" s="2"/>
      <c r="P12" s="2"/>
      <c r="Q12" s="2"/>
      <c r="R12" s="2"/>
    </row>
    <row r="13" ht="22.5" customHeight="1">
      <c r="A13" s="3">
        <v>12.0</v>
      </c>
      <c r="B13" s="3" t="s">
        <v>3385</v>
      </c>
      <c r="C13" s="3" t="s">
        <v>3386</v>
      </c>
      <c r="D13" s="3">
        <v>5.0</v>
      </c>
      <c r="E13" s="3" t="s">
        <v>3387</v>
      </c>
      <c r="F13" s="2"/>
      <c r="G13" s="3" t="str">
        <f>IFERROR(__xludf.DUMMYFUNCTION("GOOGLETRANSLATE(A13, ""it"", ""en"")"),"12")</f>
        <v>12</v>
      </c>
      <c r="H13" s="3" t="str">
        <f>IFERROR(__xludf.DUMMYFUNCTION("GOOGLETRANSLATE(B13, ""it"", ""en"")"),"What is the maximum number of substitutions allowed in shinty?")</f>
        <v>What is the maximum number of substitutions allowed in shinty?</v>
      </c>
      <c r="I13" s="3" t="str">
        <f>IFERROR(__xludf.DUMMYFUNCTION("GOOGLETRANSLATE(C13, ""it"", ""en"")"),"A. 3 B. 4 C. 5 D. Unlimited")</f>
        <v>A. 3 B. 4 C. 5 D. Unlimited</v>
      </c>
      <c r="J13" s="3" t="str">
        <f>IFERROR(__xludf.DUMMYFUNCTION("GOOGLETRANSLATE(D13, ""it"", ""en"")"),"5")</f>
        <v>5</v>
      </c>
      <c r="K13" s="3" t="str">
        <f>IFERROR(__xludf.DUMMYFUNCTION("GOOGLETRANSLATE(E13, ""it"", ""en"")"),"Teams are allowed up to 5 substitutions per match.")</f>
        <v>Teams are allowed up to 5 substitutions per match.</v>
      </c>
      <c r="L13" s="2"/>
      <c r="M13" s="2"/>
      <c r="N13" s="2"/>
      <c r="O13" s="2"/>
      <c r="P13" s="2"/>
      <c r="Q13" s="2"/>
      <c r="R13" s="2"/>
    </row>
    <row r="14" ht="22.5" customHeight="1">
      <c r="A14" s="3">
        <v>13.0</v>
      </c>
      <c r="B14" s="3" t="s">
        <v>3388</v>
      </c>
      <c r="C14" s="3" t="s">
        <v>3389</v>
      </c>
      <c r="D14" s="3" t="s">
        <v>3390</v>
      </c>
      <c r="E14" s="3" t="s">
        <v>3391</v>
      </c>
      <c r="F14" s="2"/>
      <c r="G14" s="3" t="str">
        <f>IFERROR(__xludf.DUMMYFUNCTION("GOOGLETRANSLATE(A14, ""it"", ""en"")"),"13")</f>
        <v>13</v>
      </c>
      <c r="H14" s="3" t="str">
        <f>IFERROR(__xludf.DUMMYFUNCTION("GOOGLETRANSLATE(B14, ""it"", ""en"")"),"What is the minimum distance required for a free hit?")</f>
        <v>What is the minimum distance required for a free hit?</v>
      </c>
      <c r="I14" s="3" t="str">
        <f>IFERROR(__xludf.DUMMYFUNCTION("GOOGLETRANSLATE(C14, ""it"", ""en"")"),"A. 2 yards B. 5 yards C. 10 yards D. 15 yards")</f>
        <v>A. 2 yards B. 5 yards C. 10 yards D. 15 yards</v>
      </c>
      <c r="J14" s="3" t="str">
        <f>IFERROR(__xludf.DUMMYFUNCTION("GOOGLETRANSLATE(D14, ""it"", ""en"")"),"5 yards")</f>
        <v>5 yards</v>
      </c>
      <c r="K14" s="3" t="str">
        <f>IFERROR(__xludf.DUMMYFUNCTION("GOOGLETRANSLATE(E14, ""it"", ""en"")"),"Players must be at least 5 yards away during a free hit.")</f>
        <v>Players must be at least 5 yards away during a free hit.</v>
      </c>
      <c r="L14" s="2"/>
      <c r="M14" s="2"/>
      <c r="N14" s="2"/>
      <c r="O14" s="2"/>
      <c r="P14" s="2"/>
      <c r="Q14" s="2"/>
      <c r="R14" s="2"/>
    </row>
    <row r="15" ht="22.5" customHeight="1">
      <c r="A15" s="3">
        <v>14.0</v>
      </c>
      <c r="B15" s="3" t="s">
        <v>3392</v>
      </c>
      <c r="C15" s="3" t="s">
        <v>3393</v>
      </c>
      <c r="D15" s="3" t="s">
        <v>3394</v>
      </c>
      <c r="E15" s="3" t="s">
        <v>3395</v>
      </c>
      <c r="F15" s="2"/>
      <c r="G15" s="3" t="str">
        <f>IFERROR(__xludf.DUMMYFUNCTION("GOOGLETRANSLATE(A15, ""it"", ""en"")"),"14")</f>
        <v>14</v>
      </c>
      <c r="H15" s="3" t="str">
        <f>IFERROR(__xludf.DUMMYFUNCTION("GOOGLETRANSLATE(B15, ""it"", ""en"")"),"What happens if the ball goes out of bounds?")</f>
        <v>What happens if the ball goes out of bounds?</v>
      </c>
      <c r="I15" s="3" t="str">
        <f>IFERROR(__xludf.DUMMYFUNCTION("GOOGLETRANSLATE(C15, ""it"", ""en"")"),"A. The opposing team gets a hit-in B. A penalty is awarded C. Play continues D. A throw-in occurs")</f>
        <v>A. The opposing team gets a hit-in B. A penalty is awarded C. Play continues D. A throw-in occurs</v>
      </c>
      <c r="J15" s="3" t="str">
        <f>IFERROR(__xludf.DUMMYFUNCTION("GOOGLETRANSLATE(D15, ""it"", ""en"")"),"The opposing team gets a hit-in")</f>
        <v>The opposing team gets a hit-in</v>
      </c>
      <c r="K15" s="3" t="str">
        <f>IFERROR(__xludf.DUMMYFUNCTION("GOOGLETRANSLATE(E15, ""it"", ""en"")"),"The team that didn't touch it last takes a hit-in.")</f>
        <v>The team that didn't touch it last takes a hit-in.</v>
      </c>
      <c r="L15" s="2"/>
      <c r="M15" s="2"/>
      <c r="N15" s="2"/>
      <c r="O15" s="2"/>
      <c r="P15" s="2"/>
      <c r="Q15" s="2"/>
      <c r="R15" s="2"/>
    </row>
    <row r="16" ht="22.5" customHeight="1">
      <c r="A16" s="3">
        <v>15.0</v>
      </c>
      <c r="B16" s="3" t="s">
        <v>3396</v>
      </c>
      <c r="C16" s="3" t="s">
        <v>3397</v>
      </c>
      <c r="D16" s="3" t="s">
        <v>3398</v>
      </c>
      <c r="E16" s="3" t="s">
        <v>3399</v>
      </c>
      <c r="F16" s="2"/>
      <c r="G16" s="3" t="str">
        <f>IFERROR(__xludf.DUMMYFUNCTION("GOOGLETRANSLATE(A16, ""it"", ""en"")"),"15")</f>
        <v>15</v>
      </c>
      <c r="H16" s="3" t="str">
        <f>IFERROR(__xludf.DUMMYFUNCTION("GOOGLETRANSLATE(B16, ""it"", ""en"")"),"Can players use both sides of the cam?")</f>
        <v>Can players use both sides of the cam?</v>
      </c>
      <c r="I16" s="3" t="str">
        <f>IFERROR(__xludf.DUMMYFUNCTION("GOOGLETRANSLATE(C16, ""it"", ""en"")"),"A. Yes B. No C. Only for defensive moves D. Only for attacking moves")</f>
        <v>A. Yes B. No C. Only for defensive moves D. Only for attacking moves</v>
      </c>
      <c r="J16" s="3" t="str">
        <f>IFERROR(__xludf.DUMMYFUNCTION("GOOGLETRANSLATE(D16, ""it"", ""en"")"),"Yes")</f>
        <v>Yes</v>
      </c>
      <c r="K16" s="3" t="str">
        <f>IFERROR(__xludf.DUMMYFUNCTION("GOOGLETRANSLATE(E16, ""it"", ""en"")"),"Players are allowed to use both sides of the caman to play the ball.")</f>
        <v>Players are allowed to use both sides of the caman to play the ball.</v>
      </c>
      <c r="L16" s="2"/>
      <c r="M16" s="2"/>
      <c r="N16" s="2"/>
      <c r="O16" s="2"/>
      <c r="P16" s="2"/>
      <c r="Q16" s="2"/>
      <c r="R16" s="2"/>
    </row>
    <row r="17" ht="22.5" customHeight="1">
      <c r="A17" s="3">
        <v>16.0</v>
      </c>
      <c r="B17" s="3" t="s">
        <v>3400</v>
      </c>
      <c r="C17" s="3" t="s">
        <v>3401</v>
      </c>
      <c r="D17" s="3" t="s">
        <v>3402</v>
      </c>
      <c r="E17" s="3" t="s">
        <v>3403</v>
      </c>
      <c r="F17" s="2"/>
      <c r="G17" s="3" t="str">
        <f>IFERROR(__xludf.DUMMYFUNCTION("GOOGLETRANSLATE(A17, ""it"", ""en"")"),"16")</f>
        <v>16</v>
      </c>
      <c r="H17" s="3" t="str">
        <f>IFERROR(__xludf.DUMMYFUNCTION("GOOGLETRANSLATE(B17, ""it"", ""en"")"),"What is the width of a standard shinty goal?")</f>
        <v>What is the width of a standard shinty goal?</v>
      </c>
      <c r="I17" s="3" t="str">
        <f>IFERROR(__xludf.DUMMYFUNCTION("GOOGLETRANSLATE(C17, ""it"", ""en"")"),"A. 6 feet B. 10 feet C. 12 feet D. 14 feet")</f>
        <v>A. 6 feet B. 10 feet C. 12 feet D. 14 feet</v>
      </c>
      <c r="J17" s="3" t="str">
        <f>IFERROR(__xludf.DUMMYFUNCTION("GOOGLETRANSLATE(D17, ""it"", ""en"")"),"12 feet")</f>
        <v>12 feet</v>
      </c>
      <c r="K17" s="3" t="str">
        <f>IFERROR(__xludf.DUMMYFUNCTION("GOOGLETRANSLATE(E17, ""it"", ""en"")"),"A standard shinty goal is 12 feet wide.")</f>
        <v>A standard shinty goal is 12 feet wide.</v>
      </c>
      <c r="L17" s="2"/>
      <c r="M17" s="2"/>
      <c r="N17" s="2"/>
      <c r="O17" s="2"/>
      <c r="P17" s="2"/>
      <c r="Q17" s="2"/>
      <c r="R17" s="2"/>
    </row>
    <row r="18" ht="22.5" customHeight="1">
      <c r="A18" s="3">
        <v>17.0</v>
      </c>
      <c r="B18" s="3" t="s">
        <v>3404</v>
      </c>
      <c r="C18" s="3" t="s">
        <v>3405</v>
      </c>
      <c r="D18" s="3" t="s">
        <v>3406</v>
      </c>
      <c r="E18" s="3" t="s">
        <v>3407</v>
      </c>
      <c r="F18" s="2"/>
      <c r="G18" s="3" t="str">
        <f>IFERROR(__xludf.DUMMYFUNCTION("GOOGLETRANSLATE(A18, ""it"", ""en"")"),"17")</f>
        <v>17</v>
      </c>
      <c r="H18" s="3" t="str">
        <f>IFERROR(__xludf.DUMMYFUNCTION("GOOGLETRANSLATE(B18, ""it"", ""en"")"),"What is the height of a standard shinty goal?")</f>
        <v>What is the height of a standard shinty goal?</v>
      </c>
      <c r="I18" s="3" t="str">
        <f>IFERROR(__xludf.DUMMYFUNCTION("GOOGLETRANSLATE(C18, ""it"", ""en"")"),"A. 6 feet B. 8 feet C. 10 feet D. 12 feet")</f>
        <v>A. 6 feet B. 8 feet C. 10 feet D. 12 feet</v>
      </c>
      <c r="J18" s="3" t="str">
        <f>IFERROR(__xludf.DUMMYFUNCTION("GOOGLETRANSLATE(D18, ""it"", ""en"")"),"10 feet")</f>
        <v>10 feet</v>
      </c>
      <c r="K18" s="3" t="str">
        <f>IFERROR(__xludf.DUMMYFUNCTION("GOOGLETRANSLATE(E18, ""it"", ""en"")"),"A standard shinty goal is 10 feet high.")</f>
        <v>A standard shinty goal is 10 feet high.</v>
      </c>
      <c r="L18" s="2"/>
      <c r="M18" s="2"/>
      <c r="N18" s="2"/>
      <c r="O18" s="2"/>
      <c r="P18" s="2"/>
      <c r="Q18" s="2"/>
      <c r="R18" s="2"/>
    </row>
    <row r="19" ht="22.5" customHeight="1">
      <c r="A19" s="3">
        <v>18.0</v>
      </c>
      <c r="B19" s="3" t="s">
        <v>3408</v>
      </c>
      <c r="C19" s="3" t="s">
        <v>101</v>
      </c>
      <c r="D19" s="3">
        <v>2.0</v>
      </c>
      <c r="E19" s="3" t="s">
        <v>3409</v>
      </c>
      <c r="F19" s="2"/>
      <c r="G19" s="3" t="str">
        <f>IFERROR(__xludf.DUMMYFUNCTION("GOOGLETRANSLATE(A19, ""it"", ""en"")"),"18")</f>
        <v>18</v>
      </c>
      <c r="H19" s="3" t="str">
        <f>IFERROR(__xludf.DUMMYFUNCTION("GOOGLETRANSLATE(B19, ""it"", ""en"")"),"How many referees are used in a shinty match?")</f>
        <v>How many referees are used in a shinty match?</v>
      </c>
      <c r="I19" s="3" t="str">
        <f>IFERROR(__xludf.DUMMYFUNCTION("GOOGLETRANSLATE(C19, ""it"", ""en"")"),"A. 1 B. 2 C. 3 D. 4")</f>
        <v>A. 1 B. 2 C. 3 D. 4</v>
      </c>
      <c r="J19" s="3" t="str">
        <f>IFERROR(__xludf.DUMMYFUNCTION("GOOGLETRANSLATE(D19, ""it"", ""en"")"),"2")</f>
        <v>2</v>
      </c>
      <c r="K19" s="3" t="str">
        <f>IFERROR(__xludf.DUMMYFUNCTION("GOOGLETRANSLATE(E19, ""it"", ""en"")"),"Two referees officiated at shinty match.")</f>
        <v>Two referees officiated at shinty match.</v>
      </c>
      <c r="L19" s="2"/>
      <c r="M19" s="2"/>
      <c r="N19" s="2"/>
      <c r="O19" s="2"/>
      <c r="P19" s="2"/>
      <c r="Q19" s="2"/>
      <c r="R19" s="2"/>
    </row>
    <row r="20" ht="22.5" customHeight="1">
      <c r="A20" s="3">
        <v>19.0</v>
      </c>
      <c r="B20" s="3" t="s">
        <v>3410</v>
      </c>
      <c r="C20" s="3" t="s">
        <v>3411</v>
      </c>
      <c r="D20" s="3" t="s">
        <v>3412</v>
      </c>
      <c r="E20" s="3" t="s">
        <v>3413</v>
      </c>
      <c r="F20" s="2"/>
      <c r="G20" s="3" t="str">
        <f>IFERROR(__xludf.DUMMYFUNCTION("GOOGLETRANSLATE(A20, ""it"", ""en"")"),"19")</f>
        <v>19</v>
      </c>
      <c r="H20" s="3" t="str">
        <f>IFERROR(__xludf.DUMMYFUNCTION("GOOGLETRANSLATE(B20, ""it"", ""en"")"),"What is the purpose of the center circle in shinty?")</f>
        <v>What is the purpose of the center circle in shinty?</v>
      </c>
      <c r="I20" s="3" t="str">
        <f>IFERROR(__xludf.DUMMYFUNCTION("GOOGLETRANSLATE(C20, ""it"", ""en"")"),"A. For the starting hit B. For penalties C. For substitutions D. To mark the goalkeeper's area")</f>
        <v>A. For the starting hit B. For penalties C. For substitutions D. To mark the goalkeeper's area</v>
      </c>
      <c r="J20" s="3" t="str">
        <f>IFERROR(__xludf.DUMMYFUNCTION("GOOGLETRANSLATE(D20, ""it"", ""en"")"),"For the starting hit")</f>
        <v>For the starting hit</v>
      </c>
      <c r="K20" s="3" t="str">
        <f>IFERROR(__xludf.DUMMYFUNCTION("GOOGLETRANSLATE(E20, ""it"", ""en"")"),"The center circle is used to mark the starting point of the game.")</f>
        <v>The center circle is used to mark the starting point of the game.</v>
      </c>
      <c r="L20" s="2"/>
      <c r="M20" s="2"/>
      <c r="N20" s="2"/>
      <c r="O20" s="2"/>
      <c r="P20" s="2"/>
      <c r="Q20" s="2"/>
      <c r="R20" s="2"/>
    </row>
    <row r="21" ht="22.5" customHeight="1">
      <c r="A21" s="3">
        <v>20.0</v>
      </c>
      <c r="B21" s="3" t="s">
        <v>3414</v>
      </c>
      <c r="C21" s="3" t="s">
        <v>3415</v>
      </c>
      <c r="D21" s="3" t="s">
        <v>3398</v>
      </c>
      <c r="E21" s="3" t="s">
        <v>3416</v>
      </c>
      <c r="F21" s="2"/>
      <c r="G21" s="3" t="str">
        <f>IFERROR(__xludf.DUMMYFUNCTION("GOOGLETRANSLATE(A21, ""it"", ""en"")"),"20")</f>
        <v>20</v>
      </c>
      <c r="H21" s="3" t="str">
        <f>IFERROR(__xludf.DUMMYFUNCTION("GOOGLETRANSLATE(B21, ""it"", ""en"")"),"Is body checking allowed in shinty?")</f>
        <v>Is body checking allowed in shinty?</v>
      </c>
      <c r="I21" s="3" t="str">
        <f>IFERROR(__xludf.DUMMYFUNCTION("GOOGLETRANSLATE(C21, ""it"", ""en"")"),"A. Yes B. No C. Only accidental body-checking is allowed D. Only the goalkeeper can body-check")</f>
        <v>A. Yes B. No C. Only accidental body-checking is allowed D. Only the goalkeeper can body-check</v>
      </c>
      <c r="J21" s="3" t="str">
        <f>IFERROR(__xludf.DUMMYFUNCTION("GOOGLETRANSLATE(D21, ""it"", ""en"")"),"Yes")</f>
        <v>Yes</v>
      </c>
      <c r="K21" s="3" t="str">
        <f>IFERROR(__xludf.DUMMYFUNCTION("GOOGLETRANSLATE(E21, ""it"", ""en"")"),"Body-checking is allowed as long as it is not dangerous.")</f>
        <v>Body-checking is allowed as long as it is not dangerous.</v>
      </c>
      <c r="L21" s="2"/>
      <c r="M21" s="2"/>
      <c r="N21" s="2"/>
      <c r="O21" s="2"/>
      <c r="P21" s="2"/>
      <c r="Q21" s="2"/>
      <c r="R21" s="2"/>
    </row>
    <row r="22" ht="22.5" customHeight="1">
      <c r="A22" s="3">
        <v>21.0</v>
      </c>
      <c r="B22" s="3" t="s">
        <v>3417</v>
      </c>
      <c r="C22" s="3" t="s">
        <v>3418</v>
      </c>
      <c r="D22" s="3" t="s">
        <v>3419</v>
      </c>
      <c r="E22" s="3" t="s">
        <v>3420</v>
      </c>
      <c r="F22" s="2"/>
      <c r="G22" s="3" t="str">
        <f>IFERROR(__xludf.DUMMYFUNCTION("GOOGLETRANSLATE(A22, ""it"", ""en"")"),"21")</f>
        <v>21</v>
      </c>
      <c r="H22" s="3" t="str">
        <f>IFERROR(__xludf.DUMMYFUNCTION("GOOGLETRANSLATE(B22, ""it"", ""en"")"),"What happens if there is a tie in a tournament match?")</f>
        <v>What happens if there is a tie in a tournament match?</v>
      </c>
      <c r="I22" s="3" t="str">
        <f>IFERROR(__xludf.DUMMYFUNCTION("GOOGLETRANSLATE(C22, ""it"", ""en"")"),"A. Extra time is played B. The match is replayed C. The winner is decided by penalties D. The team with the most fouls loses")</f>
        <v>A. Extra time is played B. The match is replayed C. The winner is decided by penalties D. The team with the most fouls loses</v>
      </c>
      <c r="J22" s="3" t="str">
        <f>IFERROR(__xludf.DUMMYFUNCTION("GOOGLETRANSLATE(D22, ""it"", ""en"")"),"Extra time is played")</f>
        <v>Extra time is played</v>
      </c>
      <c r="K22" s="3" t="str">
        <f>IFERROR(__xludf.DUMMYFUNCTION("GOOGLETRANSLATE(E22, ""it"", ""en"")"),"If a match ends in a draw")</f>
        <v>If a match ends in a draw</v>
      </c>
      <c r="L22" s="2"/>
      <c r="M22" s="2"/>
      <c r="N22" s="2"/>
      <c r="O22" s="2"/>
      <c r="P22" s="2"/>
      <c r="Q22" s="2"/>
      <c r="R22" s="2"/>
    </row>
    <row r="23" ht="22.5" customHeight="1">
      <c r="A23" s="3">
        <v>22.0</v>
      </c>
      <c r="B23" s="3" t="s">
        <v>3421</v>
      </c>
      <c r="C23" s="3" t="s">
        <v>3422</v>
      </c>
      <c r="D23" s="3" t="s">
        <v>3398</v>
      </c>
      <c r="E23" s="3" t="s">
        <v>3423</v>
      </c>
      <c r="F23" s="2"/>
      <c r="G23" s="3" t="str">
        <f>IFERROR(__xludf.DUMMYFUNCTION("GOOGLETRANSLATE(A23, ""it"", ""en"")"),"22")</f>
        <v>22</v>
      </c>
      <c r="H23" s="3" t="str">
        <f>IFERROR(__xludf.DUMMYFUNCTION("GOOGLETRANSLATE(B23, ""it"", ""en"")"),"Can players block shots with their cam?")</f>
        <v>Can players block shots with their cam?</v>
      </c>
      <c r="I23" s="3" t="str">
        <f>IFERROR(__xludf.DUMMYFUNCTION("GOOGLETRANSLATE(C23, ""it"", ""en"")"),"A. Yes B. No C. Only defenders can D. Only the goalkeeper can")</f>
        <v>A. Yes B. No C. Only defenders can D. Only the goalkeeper can</v>
      </c>
      <c r="J23" s="3" t="str">
        <f>IFERROR(__xludf.DUMMYFUNCTION("GOOGLETRANSLATE(D23, ""it"", ""en"")"),"Yes")</f>
        <v>Yes</v>
      </c>
      <c r="K23" s="3" t="str">
        <f>IFERROR(__xludf.DUMMYFUNCTION("GOOGLETRANSLATE(E23, ""it"", ""en"")"),"Blocking with the caman is permitted.")</f>
        <v>Blocking with the caman is permitted.</v>
      </c>
      <c r="L23" s="2"/>
      <c r="M23" s="2"/>
      <c r="N23" s="2"/>
      <c r="O23" s="2"/>
      <c r="P23" s="2"/>
      <c r="Q23" s="2"/>
      <c r="R23" s="2"/>
    </row>
    <row r="24" ht="22.5" customHeight="1">
      <c r="A24" s="3">
        <v>23.0</v>
      </c>
      <c r="B24" s="3" t="s">
        <v>3424</v>
      </c>
      <c r="C24" s="3" t="s">
        <v>3425</v>
      </c>
      <c r="D24" s="3" t="s">
        <v>3426</v>
      </c>
      <c r="E24" s="3" t="s">
        <v>3427</v>
      </c>
      <c r="F24" s="2"/>
      <c r="G24" s="3" t="str">
        <f>IFERROR(__xludf.DUMMYFUNCTION("GOOGLETRANSLATE(A24, ""it"", ""en"")"),"23")</f>
        <v>23</v>
      </c>
      <c r="H24" s="3" t="str">
        <f>IFERROR(__xludf.DUMMYFUNCTION("GOOGLETRANSLATE(B24, ""it"", ""en"")"),"What is the typical diameter of a shinty ball?")</f>
        <v>What is the typical diameter of a shinty ball?</v>
      </c>
      <c r="I24" s="3" t="str">
        <f>IFERROR(__xludf.DUMMYFUNCTION("GOOGLETRANSLATE(C24, ""it"", ""en"")"),"A. 2 inches B. 2.5 inches C. 3 inches D. 3.5 inches")</f>
        <v>A. 2 inches B. 2.5 inches C. 3 inches D. 3.5 inches</v>
      </c>
      <c r="J24" s="3" t="str">
        <f>IFERROR(__xludf.DUMMYFUNCTION("GOOGLETRANSLATE(D24, ""it"", ""en"")"),"3 inches")</f>
        <v>3 inches</v>
      </c>
      <c r="K24" s="3" t="str">
        <f>IFERROR(__xludf.DUMMYFUNCTION("GOOGLETRANSLATE(E24, ""it"", ""en"")"),"A shinty ball typically has a diameter of 3 inches.")</f>
        <v>A shinty ball typically has a diameter of 3 inches.</v>
      </c>
      <c r="L24" s="2"/>
      <c r="M24" s="2"/>
      <c r="N24" s="2"/>
      <c r="O24" s="2"/>
      <c r="P24" s="2"/>
      <c r="Q24" s="2"/>
      <c r="R24" s="2"/>
    </row>
    <row r="25" ht="22.5" customHeight="1">
      <c r="A25" s="3">
        <v>24.0</v>
      </c>
      <c r="B25" s="3" t="s">
        <v>3428</v>
      </c>
      <c r="C25" s="3" t="s">
        <v>3429</v>
      </c>
      <c r="D25" s="3" t="s">
        <v>3430</v>
      </c>
      <c r="E25" s="3" t="s">
        <v>3431</v>
      </c>
      <c r="F25" s="2"/>
      <c r="G25" s="3" t="str">
        <f>IFERROR(__xludf.DUMMYFUNCTION("GOOGLETRANSLATE(A25, ""it"", ""en"")"),"24")</f>
        <v>24</v>
      </c>
      <c r="H25" s="3" t="str">
        <f>IFERROR(__xludf.DUMMYFUNCTION("GOOGLETRANSLATE(B25, ""it"", ""en"")"),"What is a penalty hit in shinty?")</f>
        <v>What is a penalty hit in shinty?</v>
      </c>
      <c r="I25" s="3" t="str">
        <f>IFERROR(__xludf.DUMMYFUNCTION("GOOGLETRANSLATE(C25, ""it"", ""en"")"),"A. A direct shot at goal B. An indirect shot at goal C. A hit from the side D. A hit after a foul")</f>
        <v>A. A direct shot at goal B. An indirect shot at goal C. A hit from the side D. A hit after a foul</v>
      </c>
      <c r="J25" s="3" t="str">
        <f>IFERROR(__xludf.DUMMYFUNCTION("GOOGLETRANSLATE(D25, ""it"", ""en"")"),"A direct shot at goal")</f>
        <v>A direct shot at goal</v>
      </c>
      <c r="K25" s="3" t="str">
        <f>IFERROR(__xludf.DUMMYFUNCTION("GOOGLETRANSLATE(E25, ""it"", ""en"")"),"A penalty hit is awarded for serious fouls near the goal.")</f>
        <v>A penalty hit is awarded for serious fouls near the goal.</v>
      </c>
      <c r="L25" s="2"/>
      <c r="M25" s="2"/>
      <c r="N25" s="2"/>
      <c r="O25" s="2"/>
      <c r="P25" s="2"/>
      <c r="Q25" s="2"/>
      <c r="R25" s="2"/>
    </row>
    <row r="26" ht="22.5" customHeight="1">
      <c r="A26" s="3">
        <v>25.0</v>
      </c>
      <c r="B26" s="3" t="s">
        <v>3432</v>
      </c>
      <c r="C26" s="3" t="s">
        <v>3433</v>
      </c>
      <c r="D26" s="3" t="s">
        <v>3434</v>
      </c>
      <c r="E26" s="3" t="s">
        <v>3435</v>
      </c>
      <c r="F26" s="2"/>
      <c r="G26" s="3" t="str">
        <f>IFERROR(__xludf.DUMMYFUNCTION("GOOGLETRANSLATE(A26, ""it"", ""en"")"),"25")</f>
        <v>25</v>
      </c>
      <c r="H26" s="3" t="str">
        <f>IFERROR(__xludf.DUMMYFUNCTION("GOOGLETRANSLATE(B26, ""it"", ""en"")"),"How far is the penalty spot from the goal?")</f>
        <v>How far is the penalty spot from the goal?</v>
      </c>
      <c r="I26" s="3" t="str">
        <f>IFERROR(__xludf.DUMMYFUNCTION("GOOGLETRANSLATE(C26, ""it"", ""en"")"),"A. 10 yards B. 15 yards C. 20 yards D. 25 yards")</f>
        <v>A. 10 yards B. 15 yards C. 20 yards D. 25 yards</v>
      </c>
      <c r="J26" s="3" t="str">
        <f>IFERROR(__xludf.DUMMYFUNCTION("GOOGLETRANSLATE(D26, ""it"", ""en"")"),"20 yards")</f>
        <v>20 yards</v>
      </c>
      <c r="K26" s="3" t="str">
        <f>IFERROR(__xludf.DUMMYFUNCTION("GOOGLETRANSLATE(E26, ""it"", ""en"")"),"The penalty spot is located 20 yards from the goal.")</f>
        <v>The penalty spot is located 20 yards from the goal.</v>
      </c>
      <c r="L26" s="2"/>
      <c r="M26" s="2"/>
      <c r="N26" s="2"/>
      <c r="O26" s="2"/>
      <c r="P26" s="2"/>
      <c r="Q26" s="2"/>
      <c r="R26" s="2"/>
    </row>
    <row r="27" ht="22.5" customHeight="1">
      <c r="A27" s="3">
        <v>26.0</v>
      </c>
      <c r="B27" s="3" t="s">
        <v>3436</v>
      </c>
      <c r="C27" s="3" t="s">
        <v>3437</v>
      </c>
      <c r="D27" s="3" t="s">
        <v>1209</v>
      </c>
      <c r="E27" s="3" t="s">
        <v>3438</v>
      </c>
      <c r="F27" s="2"/>
      <c r="G27" s="3" t="str">
        <f>IFERROR(__xludf.DUMMYFUNCTION("GOOGLETRANSLATE(A27, ""it"", ""en"")"),"26")</f>
        <v>26</v>
      </c>
      <c r="H27" s="3" t="str">
        <f>IFERROR(__xludf.DUMMYFUNCTION("GOOGLETRANSLATE(B27, ""it"", ""en"")"),"Is offside a rule in shinty?")</f>
        <v>Is offside a rule in shinty?</v>
      </c>
      <c r="I27" s="3" t="str">
        <f>IFERROR(__xludf.DUMMYFUNCTION("GOOGLETRANSLATE(C27, ""it"", ""en"")"),"A. Yes B. No C. Only in the penalty area D. Only in the attacking half")</f>
        <v>A. Yes B. No C. Only in the penalty area D. Only in the attacking half</v>
      </c>
      <c r="J27" s="3" t="str">
        <f>IFERROR(__xludf.DUMMYFUNCTION("GOOGLETRANSLATE(D27, ""it"", ""en"")"),"No")</f>
        <v>No</v>
      </c>
      <c r="K27" s="3" t="str">
        <f>IFERROR(__xludf.DUMMYFUNCTION("GOOGLETRANSLATE(E27, ""it"", ""en"")"),"There is no offside rule in shinty.")</f>
        <v>There is no offside rule in shinty.</v>
      </c>
      <c r="L27" s="2"/>
      <c r="M27" s="2"/>
      <c r="N27" s="2"/>
      <c r="O27" s="2"/>
      <c r="P27" s="2"/>
      <c r="Q27" s="2"/>
      <c r="R27" s="2"/>
    </row>
    <row r="28" ht="22.5" customHeight="1">
      <c r="A28" s="3">
        <v>27.0</v>
      </c>
      <c r="B28" s="3" t="s">
        <v>3439</v>
      </c>
      <c r="C28" s="3" t="s">
        <v>3440</v>
      </c>
      <c r="D28" s="3" t="s">
        <v>3441</v>
      </c>
      <c r="E28" s="3" t="s">
        <v>3442</v>
      </c>
      <c r="F28" s="2"/>
      <c r="G28" s="3" t="str">
        <f>IFERROR(__xludf.DUMMYFUNCTION("GOOGLETRANSLATE(A28, ""it"", ""en"")"),"27")</f>
        <v>27</v>
      </c>
      <c r="H28" s="3" t="str">
        <f>IFERROR(__xludf.DUMMYFUNCTION("GOOGLETRANSLATE(B28, ""it"", ""en"")"),"What type of footwear is recommended for shinty?")</f>
        <v>What type of footwear is recommended for shinty?</v>
      </c>
      <c r="I28" s="3" t="str">
        <f>IFERROR(__xludf.DUMMYFUNCTION("GOOGLETRANSLATE(C28, ""it"", ""en"")"),"A. Cleats B. Sneakers C. Spiked shoes D. Boots with studs")</f>
        <v>A. Cleats B. Sneakers C. Spiked shoes D. Boots with studs</v>
      </c>
      <c r="J28" s="3" t="str">
        <f>IFERROR(__xludf.DUMMYFUNCTION("GOOGLETRANSLATE(D28, ""it"", ""en"")"),"Cleats")</f>
        <v>Cleats</v>
      </c>
      <c r="K28" s="3" t="str">
        <f>IFERROR(__xludf.DUMMYFUNCTION("GOOGLETRANSLATE(E28, ""it"", ""en"")"),"Players typically wear cleats for better grip on the field.")</f>
        <v>Players typically wear cleats for better grip on the field.</v>
      </c>
      <c r="L28" s="2"/>
      <c r="M28" s="2"/>
      <c r="N28" s="2"/>
      <c r="O28" s="2"/>
      <c r="P28" s="2"/>
      <c r="Q28" s="2"/>
      <c r="R28" s="2"/>
    </row>
    <row r="29" ht="22.5" customHeight="1">
      <c r="A29" s="3">
        <v>28.0</v>
      </c>
      <c r="B29" s="3" t="s">
        <v>3443</v>
      </c>
      <c r="C29" s="3" t="s">
        <v>3444</v>
      </c>
      <c r="D29" s="3" t="s">
        <v>3445</v>
      </c>
      <c r="E29" s="3" t="s">
        <v>3446</v>
      </c>
      <c r="F29" s="2"/>
      <c r="G29" s="3" t="str">
        <f>IFERROR(__xludf.DUMMYFUNCTION("GOOGLETRANSLATE(A29, ""it"", ""en"")"),"28")</f>
        <v>28</v>
      </c>
      <c r="H29" s="3" t="str">
        <f>IFERROR(__xludf.DUMMYFUNCTION("GOOGLETRANSLATE(B29, ""it"", ""en"")"),"What color is typically used for the shinty ball?")</f>
        <v>What color is typically used for the shinty ball?</v>
      </c>
      <c r="I29" s="3" t="str">
        <f>IFERROR(__xludf.DUMMYFUNCTION("GOOGLETRANSLATE(C29, ""it"", ""en"")"),"A. White B. Yellow C. Red D. Blue")</f>
        <v>A. White B. Yellow C. Red D. Blue</v>
      </c>
      <c r="J29" s="3" t="str">
        <f>IFERROR(__xludf.DUMMYFUNCTION("GOOGLETRANSLATE(D29, ""it"", ""en"")"),"White")</f>
        <v>White</v>
      </c>
      <c r="K29" s="3" t="str">
        <f>IFERROR(__xludf.DUMMYFUNCTION("GOOGLETRANSLATE(E29, ""it"", ""en"")"),"Shinty balls are commonly white for visibility.")</f>
        <v>Shinty balls are commonly white for visibility.</v>
      </c>
      <c r="L29" s="2"/>
      <c r="M29" s="2"/>
      <c r="N29" s="2"/>
      <c r="O29" s="2"/>
      <c r="P29" s="2"/>
      <c r="Q29" s="2"/>
      <c r="R29" s="2"/>
    </row>
    <row r="30" ht="22.5" customHeight="1">
      <c r="A30" s="3">
        <v>29.0</v>
      </c>
      <c r="B30" s="3" t="s">
        <v>3447</v>
      </c>
      <c r="C30" s="3" t="s">
        <v>3448</v>
      </c>
      <c r="D30" s="3" t="s">
        <v>3449</v>
      </c>
      <c r="E30" s="3" t="s">
        <v>3450</v>
      </c>
      <c r="F30" s="2"/>
      <c r="G30" s="3" t="str">
        <f>IFERROR(__xludf.DUMMYFUNCTION("GOOGLETRANSLATE(A30, ""it"", ""en"")"),"29")</f>
        <v>29</v>
      </c>
      <c r="H30" s="3" t="str">
        <f>IFERROR(__xludf.DUMMYFUNCTION("GOOGLETRANSLATE(B30, ""it"", ""en"")"),"How is the winner determined in shinty?")</f>
        <v>How is the winner determined in shinty?</v>
      </c>
      <c r="I30" s="3" t="str">
        <f>IFERROR(__xludf.DUMMYFUNCTION("GOOGLETRANSLATE(C30, ""it"", ""en"")"),"A. The team with the most goals B. The team with the most possession C. The team with fewer fouls D. The team with the best defense")</f>
        <v>A. The team with the most goals B. The team with the most possession C. The team with fewer fouls D. The team with the best defense</v>
      </c>
      <c r="J30" s="3" t="str">
        <f>IFERROR(__xludf.DUMMYFUNCTION("GOOGLETRANSLATE(D30, ""it"", ""en"")"),"The team with the most goals")</f>
        <v>The team with the most goals</v>
      </c>
      <c r="K30" s="3" t="str">
        <f>IFERROR(__xludf.DUMMYFUNCTION("GOOGLETRANSLATE(E30, ""it"", ""en"")"),"The winner is the team that scores the most goals.")</f>
        <v>The winner is the team that scores the most goals.</v>
      </c>
      <c r="L30" s="2"/>
      <c r="M30" s="2"/>
      <c r="N30" s="2"/>
      <c r="O30" s="2"/>
      <c r="P30" s="2"/>
      <c r="Q30" s="2"/>
      <c r="R30" s="2"/>
    </row>
    <row r="31" ht="22.5" customHeight="1">
      <c r="A31" s="3">
        <v>30.0</v>
      </c>
      <c r="B31" s="3" t="s">
        <v>3451</v>
      </c>
      <c r="C31" s="3" t="s">
        <v>3452</v>
      </c>
      <c r="D31" s="3" t="s">
        <v>3453</v>
      </c>
      <c r="E31" s="3" t="s">
        <v>3454</v>
      </c>
      <c r="F31" s="2"/>
      <c r="G31" s="3" t="str">
        <f>IFERROR(__xludf.DUMMYFUNCTION("GOOGLETRANSLATE(A31, ""it"", ""en"")"),"30")</f>
        <v>30</v>
      </c>
      <c r="H31" s="3" t="str">
        <f>IFERROR(__xludf.DUMMYFUNCTION("GOOGLETRANSLATE(B31, ""it"", ""en"")"),"What is the role of the half-back in shinty?")</f>
        <v>What is the role of the half-back in shinty?</v>
      </c>
      <c r="I31" s="3" t="str">
        <f>IFERROR(__xludf.DUMMYFUNCTION("GOOGLETRANSLATE(C31, ""it"", ""en"")"),"A. To attack and score B. To defend and support the forwards C. To only defend the goal D. To referee the match")</f>
        <v>A. To attack and score B. To defend and support the forwards C. To only defend the goal D. To referee the match</v>
      </c>
      <c r="J31" s="3" t="str">
        <f>IFERROR(__xludf.DUMMYFUNCTION("GOOGLETRANSLATE(D31, ""it"", ""en"")"),"To defend and support the forwards")</f>
        <v>To defend and support the forwards</v>
      </c>
      <c r="K31" s="3" t="str">
        <f>IFERROR(__xludf.DUMMYFUNCTION("GOOGLETRANSLATE(E31, ""it"", ""en"")"),"Half-backs are key in transitioning between defense and attack.")</f>
        <v>Half-backs are key in transitioning between defense and attack.</v>
      </c>
      <c r="L31" s="2"/>
      <c r="M31" s="2"/>
      <c r="N31" s="2"/>
      <c r="O31" s="2"/>
      <c r="P31" s="2"/>
      <c r="Q31" s="2"/>
      <c r="R31" s="2"/>
    </row>
    <row r="32" ht="22.5" customHeight="1">
      <c r="A32" s="3">
        <v>31.0</v>
      </c>
      <c r="B32" s="3" t="s">
        <v>3455</v>
      </c>
      <c r="C32" s="3" t="s">
        <v>3456</v>
      </c>
      <c r="D32" s="3" t="s">
        <v>3457</v>
      </c>
      <c r="E32" s="3" t="s">
        <v>3458</v>
      </c>
      <c r="F32" s="2"/>
      <c r="G32" s="3" t="str">
        <f>IFERROR(__xludf.DUMMYFUNCTION("GOOGLETRANSLATE(A32, ""it"", ""en"")"),"31")</f>
        <v>31</v>
      </c>
      <c r="H32" s="3" t="str">
        <f>IFERROR(__xludf.DUMMYFUNCTION("GOOGLETRANSLATE(B32, ""it"", ""en"")"),"What is the length of a standard shinty pitch?")</f>
        <v>What is the length of a standard shinty pitch?</v>
      </c>
      <c r="I32" s="3" t="str">
        <f>IFERROR(__xludf.DUMMYFUNCTION("GOOGLETRANSLATE(C32, ""it"", ""en"")"),"A. 100-120 yards B. 120-140 yards C. 140-160 yards D. 160-180 yards")</f>
        <v>A. 100-120 yards B. 120-140 yards C. 140-160 yards D. 160-180 yards</v>
      </c>
      <c r="J32" s="3" t="str">
        <f>IFERROR(__xludf.DUMMYFUNCTION("GOOGLETRANSLATE(D32, ""it"", ""en"")"),"140-160 yards")</f>
        <v>140-160 yards</v>
      </c>
      <c r="K32" s="3" t="str">
        <f>IFERROR(__xludf.DUMMYFUNCTION("GOOGLETRANSLATE(E32, ""it"", ""en"")"),"A shinty pitch is typically between 140 and 160 yards long.")</f>
        <v>A shinty pitch is typically between 140 and 160 yards long.</v>
      </c>
      <c r="L32" s="2"/>
      <c r="M32" s="2"/>
      <c r="N32" s="2"/>
      <c r="O32" s="2"/>
      <c r="P32" s="2"/>
      <c r="Q32" s="2"/>
      <c r="R32" s="2"/>
    </row>
    <row r="33" ht="22.5" customHeight="1">
      <c r="A33" s="3">
        <v>32.0</v>
      </c>
      <c r="B33" s="3" t="s">
        <v>3459</v>
      </c>
      <c r="C33" s="3" t="s">
        <v>3460</v>
      </c>
      <c r="D33" s="3" t="s">
        <v>3461</v>
      </c>
      <c r="E33" s="3" t="s">
        <v>3462</v>
      </c>
      <c r="F33" s="2"/>
      <c r="G33" s="3" t="str">
        <f>IFERROR(__xludf.DUMMYFUNCTION("GOOGLETRANSLATE(A33, ""it"", ""en"")"),"32")</f>
        <v>32</v>
      </c>
      <c r="H33" s="3" t="str">
        <f>IFERROR(__xludf.DUMMYFUNCTION("GOOGLETRANSLATE(B33, ""it"", ""en"")"),"What is the maximum width of a shiny pitch?")</f>
        <v>What is the maximum width of a shiny pitch?</v>
      </c>
      <c r="I33" s="3" t="str">
        <f>IFERROR(__xludf.DUMMYFUNCTION("GOOGLETRANSLATE(C33, ""it"", ""en"")"),"A. 60 yards B. 70 yards C. 80 yards D. 90 yards")</f>
        <v>A. 60 yards B. 70 yards C. 80 yards D. 90 yards</v>
      </c>
      <c r="J33" s="3" t="str">
        <f>IFERROR(__xludf.DUMMYFUNCTION("GOOGLETRANSLATE(D33, ""it"", ""en"")"),"80 yards")</f>
        <v>80 yards</v>
      </c>
      <c r="K33" s="3" t="str">
        <f>IFERROR(__xludf.DUMMYFUNCTION("GOOGLETRANSLATE(E33, ""it"", ""en"")"),"The maximum width of a shiny pitch is 80 yards.")</f>
        <v>The maximum width of a shiny pitch is 80 yards.</v>
      </c>
      <c r="L33" s="2"/>
      <c r="M33" s="2"/>
      <c r="N33" s="2"/>
      <c r="O33" s="2"/>
      <c r="P33" s="2"/>
      <c r="Q33" s="2"/>
      <c r="R33" s="2"/>
    </row>
    <row r="34" ht="22.5" customHeight="1">
      <c r="A34" s="3">
        <v>33.0</v>
      </c>
      <c r="B34" s="3" t="s">
        <v>3463</v>
      </c>
      <c r="C34" s="3" t="s">
        <v>3464</v>
      </c>
      <c r="D34" s="3" t="s">
        <v>3398</v>
      </c>
      <c r="E34" s="3" t="s">
        <v>3465</v>
      </c>
      <c r="F34" s="2"/>
      <c r="G34" s="3" t="str">
        <f>IFERROR(__xludf.DUMMYFUNCTION("GOOGLETRANSLATE(A34, ""it"", ""en"")"),"33")</f>
        <v>33</v>
      </c>
      <c r="H34" s="3" t="str">
        <f>IFERROR(__xludf.DUMMYFUNCTION("GOOGLETRANSLATE(B34, ""it"", ""en"")"),"Can players kick the ball in shinty?")</f>
        <v>Can players kick the ball in shinty?</v>
      </c>
      <c r="I34" s="3" t="str">
        <f>IFERROR(__xludf.DUMMYFUNCTION("GOOGLETRANSLATE(C34, ""it"", ""en"")"),"A. Yes B. No C. Only in the penalty area D. Only for defensive purposes")</f>
        <v>A. Yes B. No C. Only in the penalty area D. Only for defensive purposes</v>
      </c>
      <c r="J34" s="3" t="str">
        <f>IFERROR(__xludf.DUMMYFUNCTION("GOOGLETRANSLATE(D34, ""it"", ""en"")"),"Yes")</f>
        <v>Yes</v>
      </c>
      <c r="K34" s="3" t="str">
        <f>IFERROR(__xludf.DUMMYFUNCTION("GOOGLETRANSLATE(E34, ""it"", ""en"")"),"Players can kick the ball")</f>
        <v>Players can kick the ball</v>
      </c>
      <c r="L34" s="2"/>
      <c r="M34" s="2"/>
      <c r="N34" s="2"/>
      <c r="O34" s="2"/>
      <c r="P34" s="2"/>
      <c r="Q34" s="2"/>
      <c r="R34" s="2"/>
    </row>
    <row r="35" ht="22.5" customHeight="1">
      <c r="A35" s="3">
        <v>34.0</v>
      </c>
      <c r="B35" s="3" t="s">
        <v>3466</v>
      </c>
      <c r="C35" s="3" t="s">
        <v>3467</v>
      </c>
      <c r="D35" s="3" t="s">
        <v>3468</v>
      </c>
      <c r="E35" s="3" t="s">
        <v>3469</v>
      </c>
      <c r="F35" s="2"/>
      <c r="G35" s="3" t="str">
        <f>IFERROR(__xludf.DUMMYFUNCTION("GOOGLETRANSLATE(A35, ""it"", ""en"")"),"34")</f>
        <v>34</v>
      </c>
      <c r="H35" s="3" t="str">
        <f>IFERROR(__xludf.DUMMYFUNCTION("GOOGLETRANSLATE(B35, ""it"", ""en"")"),"What is the role of a forward in shinty?")</f>
        <v>What is the role of a forward in shinty?</v>
      </c>
      <c r="I35" s="3" t="str">
        <f>IFERROR(__xludf.DUMMYFUNCTION("GOOGLETRANSLATE(C35, ""it"", ""en"")"),"A. To defend the goal B. To assist the midfield C. To score goals D. To block opponents")</f>
        <v>A. To defend the goal B. To assist the midfield C. To score goals D. To block opponents</v>
      </c>
      <c r="J35" s="3" t="str">
        <f>IFERROR(__xludf.DUMMYFUNCTION("GOOGLETRANSLATE(D35, ""it"", ""en"")"),"To score goals")</f>
        <v>To score goals</v>
      </c>
      <c r="K35" s="3" t="str">
        <f>IFERROR(__xludf.DUMMYFUNCTION("GOOGLETRANSLATE(E35, ""it"", ""en"")"),"Forwards are primarily responsible for scoring.")</f>
        <v>Forwards are primarily responsible for scoring.</v>
      </c>
      <c r="L35" s="2"/>
      <c r="M35" s="2"/>
      <c r="N35" s="2"/>
      <c r="O35" s="2"/>
      <c r="P35" s="2"/>
      <c r="Q35" s="2"/>
      <c r="R35" s="2"/>
    </row>
    <row r="36" ht="22.5" customHeight="1">
      <c r="A36" s="3">
        <v>35.0</v>
      </c>
      <c r="B36" s="3" t="s">
        <v>3470</v>
      </c>
      <c r="C36" s="3" t="s">
        <v>3471</v>
      </c>
      <c r="D36" s="3" t="s">
        <v>3472</v>
      </c>
      <c r="E36" s="3" t="s">
        <v>3473</v>
      </c>
      <c r="F36" s="2"/>
      <c r="G36" s="3" t="str">
        <f>IFERROR(__xludf.DUMMYFUNCTION("GOOGLETRANSLATE(A36, ""it"", ""en"")"),"35")</f>
        <v>35</v>
      </c>
      <c r="H36" s="3" t="str">
        <f>IFERROR(__xludf.DUMMYFUNCTION("GOOGLETRANSLATE(B36, ""it"", ""en"")"),"What is a ""hit-in"" in shinty?")</f>
        <v>What is a "hit-in" in shinty?</v>
      </c>
      <c r="I36" s="3" t="str">
        <f>IFERROR(__xludf.DUMMYFUNCTION("GOOGLETRANSLATE(C36, ""it"", ""en"")"),"A. A hit taken from the sideline B. A shot at goal C. A pass between teammates D. A defensive move")</f>
        <v>A. A hit taken from the sideline B. A shot at goal C. A pass between teammates D. A defensive move</v>
      </c>
      <c r="J36" s="3" t="str">
        <f>IFERROR(__xludf.DUMMYFUNCTION("GOOGLETRANSLATE(D36, ""it"", ""en"")"),"A hit taken from the sideline")</f>
        <v>A hit taken from the sideline</v>
      </c>
      <c r="K36" s="3" t="str">
        <f>IFERROR(__xludf.DUMMYFUNCTION("GOOGLETRANSLATE(E36, ""it"", ""en"")"),"A hit-in is awarded when the ball goes out of play.")</f>
        <v>A hit-in is awarded when the ball goes out of play.</v>
      </c>
      <c r="L36" s="2"/>
      <c r="M36" s="2"/>
      <c r="N36" s="2"/>
      <c r="O36" s="2"/>
      <c r="P36" s="2"/>
      <c r="Q36" s="2"/>
      <c r="R36" s="2"/>
    </row>
    <row r="37" ht="22.5" customHeight="1">
      <c r="A37" s="3">
        <v>36.0</v>
      </c>
      <c r="B37" s="3" t="s">
        <v>3474</v>
      </c>
      <c r="C37" s="3" t="s">
        <v>101</v>
      </c>
      <c r="D37" s="3">
        <v>2.0</v>
      </c>
      <c r="E37" s="3" t="s">
        <v>3475</v>
      </c>
      <c r="F37" s="2"/>
      <c r="G37" s="3" t="str">
        <f>IFERROR(__xludf.DUMMYFUNCTION("GOOGLETRANSLATE(A37, ""it"", ""en"")"),"36")</f>
        <v>36</v>
      </c>
      <c r="H37" s="3" t="str">
        <f>IFERROR(__xludf.DUMMYFUNCTION("GOOGLETRANSLATE(B37, ""it"", ""en"")"),"How many halves are in a shinty match?")</f>
        <v>How many halves are in a shinty match?</v>
      </c>
      <c r="I37" s="3" t="str">
        <f>IFERROR(__xludf.DUMMYFUNCTION("GOOGLETRANSLATE(C37, ""it"", ""en"")"),"A. 1 B. 2 C. 3 D. 4")</f>
        <v>A. 1 B. 2 C. 3 D. 4</v>
      </c>
      <c r="J37" s="3" t="str">
        <f>IFERROR(__xludf.DUMMYFUNCTION("GOOGLETRANSLATE(D37, ""it"", ""en"")"),"2")</f>
        <v>2</v>
      </c>
      <c r="K37" s="3" t="str">
        <f>IFERROR(__xludf.DUMMYFUNCTION("GOOGLETRANSLATE(E37, ""it"", ""en"")"),"Shiny matches are divided into two halves.")</f>
        <v>Shiny matches are divided into two halves.</v>
      </c>
      <c r="L37" s="2"/>
      <c r="M37" s="2"/>
      <c r="N37" s="2"/>
      <c r="O37" s="2"/>
      <c r="P37" s="2"/>
      <c r="Q37" s="2"/>
      <c r="R37" s="2"/>
    </row>
    <row r="38" ht="22.5" customHeight="1">
      <c r="A38" s="3">
        <v>37.0</v>
      </c>
      <c r="B38" s="3" t="s">
        <v>3476</v>
      </c>
      <c r="C38" s="3" t="s">
        <v>3477</v>
      </c>
      <c r="D38" s="3" t="s">
        <v>3478</v>
      </c>
      <c r="E38" s="3" t="s">
        <v>3479</v>
      </c>
      <c r="F38" s="2"/>
      <c r="G38" s="3" t="str">
        <f>IFERROR(__xludf.DUMMYFUNCTION("GOOGLETRANSLATE(A38, ""it"", ""en"")"),"37")</f>
        <v>37</v>
      </c>
      <c r="H38" s="3" t="str">
        <f>IFERROR(__xludf.DUMMYFUNCTION("GOOGLETRANSLATE(B38, ""it"", ""en"")"),"What is the term for hitting the ball in the air with a caman?")</f>
        <v>What is the term for hitting the ball in the air with a caman?</v>
      </c>
      <c r="I38" s="3" t="str">
        <f>IFERROR(__xludf.DUMMYFUNCTION("GOOGLETRANSLATE(C38, ""it"", ""en"")"),"A. Volley B. Drive C. Chip D. Hit")</f>
        <v>A. Volley B. Drive C. Chip D. Hit</v>
      </c>
      <c r="J38" s="3" t="str">
        <f>IFERROR(__xludf.DUMMYFUNCTION("GOOGLETRANSLATE(D38, ""it"", ""en"")"),"Volley")</f>
        <v>Volley</v>
      </c>
      <c r="K38" s="3" t="str">
        <f>IFERROR(__xludf.DUMMYFUNCTION("GOOGLETRANSLATE(E38, ""it"", ""en"")"),"Striking the ball while it is in the air is called a volley.")</f>
        <v>Striking the ball while it is in the air is called a volley.</v>
      </c>
      <c r="L38" s="2"/>
      <c r="M38" s="2"/>
      <c r="N38" s="2"/>
      <c r="O38" s="2"/>
      <c r="P38" s="2"/>
      <c r="Q38" s="2"/>
      <c r="R38" s="2"/>
    </row>
    <row r="39" ht="22.5" customHeight="1">
      <c r="A39" s="3">
        <v>38.0</v>
      </c>
      <c r="B39" s="3" t="s">
        <v>3480</v>
      </c>
      <c r="C39" s="3" t="s">
        <v>3481</v>
      </c>
      <c r="D39" s="3" t="s">
        <v>3398</v>
      </c>
      <c r="E39" s="3" t="s">
        <v>3482</v>
      </c>
      <c r="F39" s="2"/>
      <c r="G39" s="3" t="str">
        <f>IFERROR(__xludf.DUMMYFUNCTION("GOOGLETRANSLATE(A39, ""it"", ""en"")"),"38")</f>
        <v>38</v>
      </c>
      <c r="H39" s="3" t="str">
        <f>IFERROR(__xludf.DUMMYFUNCTION("GOOGLETRANSLATE(B39, ""it"", ""en"")"),"Can players use their body to shield the ball in shinty?")</f>
        <v>Can players use their body to shield the ball in shinty?</v>
      </c>
      <c r="I39" s="3" t="str">
        <f>IFERROR(__xludf.DUMMYFUNCTION("GOOGLETRANSLATE(C39, ""it"", ""en"")"),"A. Yes B. No C. Only forwards can D. Only defenders can")</f>
        <v>A. Yes B. No C. Only forwards can D. Only defenders can</v>
      </c>
      <c r="J39" s="3" t="str">
        <f>IFERROR(__xludf.DUMMYFUNCTION("GOOGLETRANSLATE(D39, ""it"", ""en"")"),"Yes")</f>
        <v>Yes</v>
      </c>
      <c r="K39" s="3" t="str">
        <f>IFERROR(__xludf.DUMMYFUNCTION("GOOGLETRANSLATE(E39, ""it"", ""en"")"),"Shielding the ball with the body is allowed.")</f>
        <v>Shielding the ball with the body is allowed.</v>
      </c>
      <c r="L39" s="2"/>
      <c r="M39" s="2"/>
      <c r="N39" s="2"/>
      <c r="O39" s="2"/>
      <c r="P39" s="2"/>
      <c r="Q39" s="2"/>
      <c r="R39" s="2"/>
    </row>
    <row r="40" ht="22.5" customHeight="1">
      <c r="A40" s="3">
        <v>39.0</v>
      </c>
      <c r="B40" s="3" t="s">
        <v>3483</v>
      </c>
      <c r="C40" s="3" t="s">
        <v>3484</v>
      </c>
      <c r="D40" s="3" t="s">
        <v>3485</v>
      </c>
      <c r="E40" s="3" t="s">
        <v>3486</v>
      </c>
      <c r="F40" s="2"/>
      <c r="G40" s="3" t="str">
        <f>IFERROR(__xludf.DUMMYFUNCTION("GOOGLETRANSLATE(A40, ""it"", ""en"")"),"39")</f>
        <v>39</v>
      </c>
      <c r="H40" s="3" t="str">
        <f>IFERROR(__xludf.DUMMYFUNCTION("GOOGLETRANSLATE(B40, ""it"", ""en"")"),"What is the role of a full-back in shinty?")</f>
        <v>What is the role of a full-back in shinty?</v>
      </c>
      <c r="I40" s="3" t="str">
        <f>IFERROR(__xludf.DUMMYFUNCTION("GOOGLETRANSLATE(C40, ""it"", ""en"")"),"A. To score goals B. To defend against opposing forwards C. To referee the game D. To block penalties")</f>
        <v>A. To score goals B. To defend against opposing forwards C. To referee the game D. To block penalties</v>
      </c>
      <c r="J40" s="3" t="str">
        <f>IFERROR(__xludf.DUMMYFUNCTION("GOOGLETRANSLATE(D40, ""it"", ""en"")"),"To defend against opposing forwards")</f>
        <v>To defend against opposing forwards</v>
      </c>
      <c r="K40" s="3" t="str">
        <f>IFERROR(__xludf.DUMMYFUNCTION("GOOGLETRANSLATE(E40, ""it"", ""en"")"),"Full-backs protect their goal from attacks.")</f>
        <v>Full-backs protect their goal from attacks.</v>
      </c>
      <c r="L40" s="2"/>
      <c r="M40" s="2"/>
      <c r="N40" s="2"/>
      <c r="O40" s="2"/>
      <c r="P40" s="2"/>
      <c r="Q40" s="2"/>
      <c r="R40" s="2"/>
    </row>
    <row r="41" ht="22.5" customHeight="1">
      <c r="A41" s="3">
        <v>40.0</v>
      </c>
      <c r="B41" s="3" t="s">
        <v>3487</v>
      </c>
      <c r="C41" s="3" t="s">
        <v>3488</v>
      </c>
      <c r="D41" s="3" t="s">
        <v>3398</v>
      </c>
      <c r="E41" s="3" t="s">
        <v>3489</v>
      </c>
      <c r="F41" s="2"/>
      <c r="G41" s="3" t="str">
        <f>IFERROR(__xludf.DUMMYFUNCTION("GOOGLETRANSLATE(A41, ""it"", ""en"")"),"40")</f>
        <v>40</v>
      </c>
      <c r="H41" s="3" t="str">
        <f>IFERROR(__xludf.DUMMYFUNCTION("GOOGLETRANSLATE(B41, ""it"", ""en"")"),"Is a draw possible in a league match of shinty?")</f>
        <v>Is a draw possible in a league match of shinty?</v>
      </c>
      <c r="I41" s="3" t="str">
        <f>IFERROR(__xludf.DUMMYFUNCTION("GOOGLETRANSLATE(C41, ""it"", ""en"")"),"A. Yes B. No C. Only after extra time D. Only in friendly matches")</f>
        <v>A. Yes B. No C. Only after extra time D. Only in friendly matches</v>
      </c>
      <c r="J41" s="3" t="str">
        <f>IFERROR(__xludf.DUMMYFUNCTION("GOOGLETRANSLATE(D41, ""it"", ""en"")"),"Yes")</f>
        <v>Yes</v>
      </c>
      <c r="K41" s="3" t="str">
        <f>IFERROR(__xludf.DUMMYFUNCTION("GOOGLETRANSLATE(E41, ""it"", ""en"")"),"League matches can end in a draw.")</f>
        <v>League matches can end in a draw.</v>
      </c>
      <c r="L41" s="2"/>
      <c r="M41" s="2"/>
      <c r="N41" s="2"/>
      <c r="O41" s="2"/>
      <c r="P41" s="2"/>
      <c r="Q41" s="2"/>
      <c r="R41" s="2"/>
    </row>
    <row r="42" ht="22.5" customHeight="1">
      <c r="A42" s="3">
        <v>41.0</v>
      </c>
      <c r="B42" s="3" t="s">
        <v>3490</v>
      </c>
      <c r="C42" s="3" t="s">
        <v>3491</v>
      </c>
      <c r="D42" s="3" t="s">
        <v>3492</v>
      </c>
      <c r="E42" s="3" t="s">
        <v>3493</v>
      </c>
      <c r="F42" s="2"/>
      <c r="G42" s="3" t="str">
        <f>IFERROR(__xludf.DUMMYFUNCTION("GOOGLETRANSLATE(A42, ""it"", ""en"")"),"41")</f>
        <v>41</v>
      </c>
      <c r="H42" s="3" t="str">
        <f>IFERROR(__xludf.DUMMYFUNCTION("GOOGLETRANSLATE(B42, ""it"", ""en"")"),"What is the area around the goal called in shinty?")</f>
        <v>What is the area around the goal called in shinty?</v>
      </c>
      <c r="I42" s="3" t="str">
        <f>IFERROR(__xludf.DUMMYFUNCTION("GOOGLETRANSLATE(C42, ""it"", ""en"")"),"A. Penalty box B. Goal circle C. Goal crease D. Scoring zone")</f>
        <v>A. Penalty box B. Goal circle C. Goal crease D. Scoring zone</v>
      </c>
      <c r="J42" s="3" t="str">
        <f>IFERROR(__xludf.DUMMYFUNCTION("GOOGLETRANSLATE(D42, ""it"", ""en"")"),"Goal crease")</f>
        <v>Goal crease</v>
      </c>
      <c r="K42" s="3" t="str">
        <f>IFERROR(__xludf.DUMMYFUNCTION("GOOGLETRANSLATE(E42, ""it"", ""en"")"),"The goal crease is the area surrounding the goal.")</f>
        <v>The goal crease is the area surrounding the goal.</v>
      </c>
      <c r="L42" s="2"/>
      <c r="M42" s="2"/>
      <c r="N42" s="2"/>
      <c r="O42" s="2"/>
      <c r="P42" s="2"/>
      <c r="Q42" s="2"/>
      <c r="R42" s="2"/>
    </row>
    <row r="43" ht="22.5" customHeight="1">
      <c r="A43" s="3">
        <v>42.0</v>
      </c>
      <c r="B43" s="3" t="s">
        <v>3494</v>
      </c>
      <c r="C43" s="3" t="s">
        <v>3495</v>
      </c>
      <c r="D43" s="3" t="s">
        <v>3496</v>
      </c>
      <c r="E43" s="3" t="s">
        <v>3497</v>
      </c>
      <c r="F43" s="2"/>
      <c r="G43" s="3" t="str">
        <f>IFERROR(__xludf.DUMMYFUNCTION("GOOGLETRANSLATE(A43, ""it"", ""en"")"),"42")</f>
        <v>42</v>
      </c>
      <c r="H43" s="3" t="str">
        <f>IFERROR(__xludf.DUMMYFUNCTION("GOOGLETRANSLATE(B43, ""it"", ""en"")"),"What is not permitted during a shinty match?")</f>
        <v>What is not permitted during a shinty match?</v>
      </c>
      <c r="I43" s="3" t="str">
        <f>IFERROR(__xludf.DUMMYFUNCTION("GOOGLETRANSLATE(C43, ""it"", ""en"")"),"A. Blocking shots with the caman B. Kicking the ball C. Playing dangerously D. Hitting the ball with the caman")</f>
        <v>A. Blocking shots with the caman B. Kicking the ball C. Playing dangerously D. Hitting the ball with the caman</v>
      </c>
      <c r="J43" s="3" t="str">
        <f>IFERROR(__xludf.DUMMYFUNCTION("GOOGLETRANSLATE(D43, ""it"", ""en"")"),"Playing dangerously")</f>
        <v>Playing dangerously</v>
      </c>
      <c r="K43" s="3" t="str">
        <f>IFERROR(__xludf.DUMMYFUNCTION("GOOGLETRANSLATE(E43, ""it"", ""en"")"),"Playing dangerously is prohibited in shinty.")</f>
        <v>Playing dangerously is prohibited in shinty.</v>
      </c>
      <c r="L43" s="2"/>
      <c r="M43" s="2"/>
      <c r="N43" s="2"/>
      <c r="O43" s="2"/>
      <c r="P43" s="2"/>
      <c r="Q43" s="2"/>
      <c r="R43" s="2"/>
    </row>
    <row r="44" ht="22.5" customHeight="1">
      <c r="A44" s="3">
        <v>43.0</v>
      </c>
      <c r="B44" s="3" t="s">
        <v>3498</v>
      </c>
      <c r="C44" s="3" t="s">
        <v>186</v>
      </c>
      <c r="D44" s="3">
        <v>3.0</v>
      </c>
      <c r="E44" s="3" t="s">
        <v>3499</v>
      </c>
      <c r="F44" s="2"/>
      <c r="G44" s="3" t="str">
        <f>IFERROR(__xludf.DUMMYFUNCTION("GOOGLETRANSLATE(A44, ""it"", ""en"")"),"43")</f>
        <v>43</v>
      </c>
      <c r="H44" s="3" t="str">
        <f>IFERROR(__xludf.DUMMYFUNCTION("GOOGLETRANSLATE(B44, ""it"", ""en"")"),"How many goals are scored for a ""hat trick"" in shinty?")</f>
        <v>How many goals are scored for a "hat trick" in shinty?</v>
      </c>
      <c r="I44" s="3" t="str">
        <f>IFERROR(__xludf.DUMMYFUNCTION("GOOGLETRANSLATE(C44, ""it"", ""en"")"),"A. 2 B. 3 C. 4 D. 5")</f>
        <v>A. 2 B. 3 C. 4 D. 5</v>
      </c>
      <c r="J44" s="3" t="str">
        <f>IFERROR(__xludf.DUMMYFUNCTION("GOOGLETRANSLATE(D44, ""it"", ""en"")"),"3")</f>
        <v>3</v>
      </c>
      <c r="K44" s="3" t="str">
        <f>IFERROR(__xludf.DUMMYFUNCTION("GOOGLETRANSLATE(E44, ""it"", ""en"")"),"A hat trick is achieved by scoring three goals in a match.")</f>
        <v>A hat trick is achieved by scoring three goals in a match.</v>
      </c>
      <c r="L44" s="2"/>
      <c r="M44" s="2"/>
      <c r="N44" s="2"/>
      <c r="O44" s="2"/>
      <c r="P44" s="2"/>
      <c r="Q44" s="2"/>
      <c r="R44" s="2"/>
    </row>
    <row r="45" ht="22.5" customHeight="1">
      <c r="A45" s="3">
        <v>44.0</v>
      </c>
      <c r="B45" s="3" t="s">
        <v>3500</v>
      </c>
      <c r="C45" s="3" t="s">
        <v>3501</v>
      </c>
      <c r="D45" s="3" t="s">
        <v>3502</v>
      </c>
      <c r="E45" s="3" t="s">
        <v>3503</v>
      </c>
      <c r="F45" s="2"/>
      <c r="G45" s="3" t="str">
        <f>IFERROR(__xludf.DUMMYFUNCTION("GOOGLETRANSLATE(A45, ""it"", ""en"")"),"44")</f>
        <v>44</v>
      </c>
      <c r="H45" s="3" t="str">
        <f>IFERROR(__xludf.DUMMYFUNCTION("GOOGLETRANSLATE(B45, ""it"", ""en"")"),"What is the maximum allowed length of a cam?")</f>
        <v>What is the maximum allowed length of a cam?</v>
      </c>
      <c r="I45" s="3" t="str">
        <f>IFERROR(__xludf.DUMMYFUNCTION("GOOGLETRANSLATE(C45, ""it"", ""en"")"),"A. 36 inches B. 42 inches C. 48 inches D. 54 inches")</f>
        <v>A. 36 inches B. 42 inches C. 48 inches D. 54 inches</v>
      </c>
      <c r="J45" s="3" t="str">
        <f>IFERROR(__xludf.DUMMYFUNCTION("GOOGLETRANSLATE(D45, ""it"", ""en"")"),"42 inches")</f>
        <v>42 inches</v>
      </c>
      <c r="K45" s="3" t="str">
        <f>IFERROR(__xludf.DUMMYFUNCTION("GOOGLETRANSLATE(E45, ""it"", ""en"")"),"A caman can be up to 42 inches long.")</f>
        <v>A caman can be up to 42 inches long.</v>
      </c>
      <c r="L45" s="2"/>
      <c r="M45" s="2"/>
      <c r="N45" s="2"/>
      <c r="O45" s="2"/>
      <c r="P45" s="2"/>
      <c r="Q45" s="2"/>
      <c r="R45" s="2"/>
    </row>
    <row r="46" ht="22.5" customHeight="1">
      <c r="A46" s="3">
        <v>45.0</v>
      </c>
      <c r="B46" s="3" t="s">
        <v>3504</v>
      </c>
      <c r="C46" s="3" t="s">
        <v>3505</v>
      </c>
      <c r="D46" s="3" t="s">
        <v>3506</v>
      </c>
      <c r="E46" s="3" t="s">
        <v>3507</v>
      </c>
      <c r="F46" s="2"/>
      <c r="G46" s="3" t="str">
        <f>IFERROR(__xludf.DUMMYFUNCTION("GOOGLETRANSLATE(A46, ""it"", ""en"")"),"45")</f>
        <v>45</v>
      </c>
      <c r="H46" s="3" t="str">
        <f>IFERROR(__xludf.DUMMYFUNCTION("GOOGLETRANSLATE(B46, ""it"", ""en"")"),"Can substitutions be made at any time in shinty?")</f>
        <v>Can substitutions be made at any time in shinty?</v>
      </c>
      <c r="I46" s="3" t="str">
        <f>IFERROR(__xludf.DUMMYFUNCTION("GOOGLETRANSLATE(C46, ""it"", ""en"")"),"A. Yes B. No C. Only during a stoppage D. Only at halftime")</f>
        <v>A. Yes B. No C. Only during a stoppage D. Only at halftime</v>
      </c>
      <c r="J46" s="3" t="str">
        <f>IFERROR(__xludf.DUMMYFUNCTION("GOOGLETRANSLATE(D46, ""it"", ""en"")"),"Only during a stoppage")</f>
        <v>Only during a stoppage</v>
      </c>
      <c r="K46" s="3" t="str">
        <f>IFERROR(__xludf.DUMMYFUNCTION("GOOGLETRANSLATE(E46, ""it"", ""en"")"),"Substitutions are allowed only during stoppages.")</f>
        <v>Substitutions are allowed only during stoppages.</v>
      </c>
      <c r="L46" s="2"/>
      <c r="M46" s="2"/>
      <c r="N46" s="2"/>
      <c r="O46" s="2"/>
      <c r="P46" s="2"/>
      <c r="Q46" s="2"/>
      <c r="R46" s="2"/>
    </row>
    <row r="47" ht="22.5" customHeight="1">
      <c r="A47" s="3">
        <v>46.0</v>
      </c>
      <c r="B47" s="3" t="s">
        <v>3508</v>
      </c>
      <c r="C47" s="3" t="s">
        <v>3509</v>
      </c>
      <c r="D47" s="3" t="s">
        <v>3510</v>
      </c>
      <c r="E47" s="3" t="s">
        <v>3511</v>
      </c>
      <c r="F47" s="2"/>
      <c r="G47" s="3" t="str">
        <f>IFERROR(__xludf.DUMMYFUNCTION("GOOGLETRANSLATE(A47, ""it"", ""en"")"),"46")</f>
        <v>46</v>
      </c>
      <c r="H47" s="3" t="str">
        <f>IFERROR(__xludf.DUMMYFUNCTION("GOOGLETRANSLATE(B47, ""it"", ""en"")"),"What happens after a foul near the goal in shinty?")</f>
        <v>What happens after a foul near the goal in shinty?</v>
      </c>
      <c r="I47" s="3" t="str">
        <f>IFERROR(__xludf.DUMMYFUNCTION("GOOGLETRANSLATE(C47, ""it"", ""en"")"),"A. A penalty hit is awarded B. A free hit is taken from midfield C. A throw-in is given D. The match restarts with a hit-in")</f>
        <v>A. A penalty hit is awarded B. A free hit is taken from midfield C. A throw-in is given D. The match restarts with a hit-in</v>
      </c>
      <c r="J47" s="3" t="str">
        <f>IFERROR(__xludf.DUMMYFUNCTION("GOOGLETRANSLATE(D47, ""it"", ""en"")"),"A penalty hit is awarded")</f>
        <v>A penalty hit is awarded</v>
      </c>
      <c r="K47" s="3" t="str">
        <f>IFERROR(__xludf.DUMMYFUNCTION("GOOGLETRANSLATE(E47, ""it"", ""en"")"),"Fouls near the goal result in a penalty hit.")</f>
        <v>Fouls near the goal result in a penalty hit.</v>
      </c>
      <c r="L47" s="2"/>
      <c r="M47" s="2"/>
      <c r="N47" s="2"/>
      <c r="O47" s="2"/>
      <c r="P47" s="2"/>
      <c r="Q47" s="2"/>
      <c r="R47" s="2"/>
    </row>
    <row r="48" ht="22.5" customHeight="1">
      <c r="A48" s="3">
        <v>47.0</v>
      </c>
      <c r="B48" s="3" t="s">
        <v>3512</v>
      </c>
      <c r="C48" s="3" t="s">
        <v>3513</v>
      </c>
      <c r="D48" s="3" t="s">
        <v>3514</v>
      </c>
      <c r="E48" s="3" t="s">
        <v>3515</v>
      </c>
      <c r="F48" s="2"/>
      <c r="G48" s="3" t="str">
        <f>IFERROR(__xludf.DUMMYFUNCTION("GOOGLETRANSLATE(A48, ""it"", ""en"")"),"47")</f>
        <v>47</v>
      </c>
      <c r="H48" s="3" t="str">
        <f>IFERROR(__xludf.DUMMYFUNCTION("GOOGLETRANSLATE(B48, ""it"", ""en"")"),"What does the referee carry during a shinty match?")</f>
        <v>What does the referee carry during a shinty match?</v>
      </c>
      <c r="I48" s="3" t="str">
        <f>IFERROR(__xludf.DUMMYFUNCTION("GOOGLETRANSLATE(C48, ""it"", ""en"")"),"A. A whistle and a stopwatch B. A flag and a whistle C. A caman and a whistle D. A rulebook and a stopwatch")</f>
        <v>A. A whistle and a stopwatch B. A flag and a whistle C. A caman and a whistle D. A rulebook and a stopwatch</v>
      </c>
      <c r="J48" s="3" t="str">
        <f>IFERROR(__xludf.DUMMYFUNCTION("GOOGLETRANSLATE(D48, ""it"", ""en"")"),"A whistle and a stopwatch")</f>
        <v>A whistle and a stopwatch</v>
      </c>
      <c r="K48" s="3" t="str">
        <f>IFERROR(__xludf.DUMMYFUNCTION("GOOGLETRANSLATE(E48, ""it"", ""en"")"),"The referee uses a whistle to control the game and a stopwatch to track time.")</f>
        <v>The referee uses a whistle to control the game and a stopwatch to track time.</v>
      </c>
      <c r="L48" s="2"/>
      <c r="M48" s="2"/>
      <c r="N48" s="2"/>
      <c r="O48" s="2"/>
      <c r="P48" s="2"/>
      <c r="Q48" s="2"/>
      <c r="R48" s="2"/>
    </row>
    <row r="49" ht="22.5" customHeight="1">
      <c r="A49" s="3">
        <v>48.0</v>
      </c>
      <c r="B49" s="3" t="s">
        <v>3516</v>
      </c>
      <c r="C49" s="3" t="s">
        <v>3517</v>
      </c>
      <c r="D49" s="3" t="s">
        <v>3518</v>
      </c>
      <c r="E49" s="3" t="s">
        <v>3519</v>
      </c>
      <c r="F49" s="2"/>
      <c r="G49" s="3" t="str">
        <f>IFERROR(__xludf.DUMMYFUNCTION("GOOGLETRANSLATE(A49, ""it"", ""en"")"),"48")</f>
        <v>48</v>
      </c>
      <c r="H49" s="3" t="str">
        <f>IFERROR(__xludf.DUMMYFUNCTION("GOOGLETRANSLATE(B49, ""it"", ""en"")"),"What type of match ball is used in shinty?")</f>
        <v>What type of match ball is used in shinty?</v>
      </c>
      <c r="I49" s="3" t="str">
        <f>IFERROR(__xludf.DUMMYFUNCTION("GOOGLETRANSLATE(C49, ""it"", ""en"")"),"A. Rubber-coated leather ball B. Plastic ball C. Wooden ball D. Metal ball")</f>
        <v>A. Rubber-coated leather ball B. Plastic ball C. Wooden ball D. Metal ball</v>
      </c>
      <c r="J49" s="3" t="str">
        <f>IFERROR(__xludf.DUMMYFUNCTION("GOOGLETRANSLATE(D49, ""it"", ""en"")"),"Rubber-coated leather ball")</f>
        <v>Rubber-coated leather ball</v>
      </c>
      <c r="K49" s="3" t="str">
        <f>IFERROR(__xludf.DUMMYFUNCTION("GOOGLETRANSLATE(E49, ""it"", ""en"")"),"A shinty ball is typically made of rubber-coated leather.")</f>
        <v>A shinty ball is typically made of rubber-coated leather.</v>
      </c>
      <c r="L49" s="2"/>
      <c r="M49" s="2"/>
      <c r="N49" s="2"/>
      <c r="O49" s="2"/>
      <c r="P49" s="2"/>
      <c r="Q49" s="2"/>
      <c r="R49" s="2"/>
    </row>
    <row r="50" ht="22.5" customHeight="1">
      <c r="A50" s="3">
        <v>49.0</v>
      </c>
      <c r="B50" s="3" t="s">
        <v>3520</v>
      </c>
      <c r="C50" s="3" t="s">
        <v>3521</v>
      </c>
      <c r="D50" s="3" t="s">
        <v>3522</v>
      </c>
      <c r="E50" s="3" t="s">
        <v>3523</v>
      </c>
      <c r="F50" s="2"/>
      <c r="G50" s="3" t="str">
        <f>IFERROR(__xludf.DUMMYFUNCTION("GOOGLETRANSLATE(A50, ""it"", ""en"")"),"49")</f>
        <v>49</v>
      </c>
      <c r="H50" s="3" t="str">
        <f>IFERROR(__xludf.DUMMYFUNCTION("GOOGLETRANSLATE(B50, ""it"", ""en"")"),"What is the penalty for dangerous play in shinty?")</f>
        <v>What is the penalty for dangerous play in shinty?</v>
      </c>
      <c r="I50" s="3" t="str">
        <f>IFERROR(__xludf.DUMMYFUNCTION("GOOGLETRANSLATE(C50, ""it"", ""en"")"),"A. A yellow card B. A free hit C. Immediate suspension D. A penalty hit")</f>
        <v>A. A yellow card B. A free hit C. Immediate suspension D. A penalty hit</v>
      </c>
      <c r="J50" s="3" t="str">
        <f>IFERROR(__xludf.DUMMYFUNCTION("GOOGLETRANSLATE(D50, ""it"", ""en"")"),"A free hit")</f>
        <v>A free hit</v>
      </c>
      <c r="K50" s="3" t="str">
        <f>IFERROR(__xludf.DUMMYFUNCTION("GOOGLETRANSLATE(E50, ""it"", ""en"")"),"Dangerous play results in a free hit for the opposing team.")</f>
        <v>Dangerous play results in a free hit for the opposing team.</v>
      </c>
      <c r="L50" s="2"/>
      <c r="M50" s="2"/>
      <c r="N50" s="2"/>
      <c r="O50" s="2"/>
      <c r="P50" s="2"/>
      <c r="Q50" s="2"/>
      <c r="R50" s="2"/>
    </row>
    <row r="51" ht="22.5" customHeight="1">
      <c r="A51" s="3">
        <v>50.0</v>
      </c>
      <c r="B51" s="3" t="s">
        <v>3524</v>
      </c>
      <c r="C51" s="3" t="s">
        <v>3525</v>
      </c>
      <c r="D51" s="3" t="s">
        <v>3526</v>
      </c>
      <c r="E51" s="3" t="s">
        <v>3527</v>
      </c>
      <c r="F51" s="2"/>
      <c r="G51" s="3" t="str">
        <f>IFERROR(__xludf.DUMMYFUNCTION("GOOGLETRANSLATE(A51, ""it"", ""en"")"),"50")</f>
        <v>50</v>
      </c>
      <c r="H51" s="3" t="str">
        <f>IFERROR(__xludf.DUMMYFUNCTION("GOOGLETRANSLATE(B51, ""it"", ""en"")"),"What is the maximum time a goalkeeper can hold the ball?")</f>
        <v>What is the maximum time a goalkeeper can hold the ball?</v>
      </c>
      <c r="I51" s="3" t="str">
        <f>IFERROR(__xludf.DUMMYFUNCTION("GOOGLETRANSLATE(C51, ""it"", ""en"")"),"A. 5 seconds B. 10 seconds C. 15 seconds D. No time limit")</f>
        <v>A. 5 seconds B. 10 seconds C. 15 seconds D. No time limit</v>
      </c>
      <c r="J51" s="3" t="str">
        <f>IFERROR(__xludf.DUMMYFUNCTION("GOOGLETRANSLATE(D51, ""it"", ""en"")"),"5 seconds")</f>
        <v>5 seconds</v>
      </c>
      <c r="K51" s="3" t="str">
        <f>IFERROR(__xludf.DUMMYFUNCTION("GOOGLETRANSLATE(E51, ""it"", ""en"")"),"Goalkeepers can hold the ball for a maximum of 5 seconds.")</f>
        <v>Goalkeepers can hold the ball for a maximum of 5 seconds.</v>
      </c>
      <c r="L51" s="2"/>
      <c r="M51" s="2"/>
      <c r="N51" s="2"/>
      <c r="O51" s="2"/>
      <c r="P51" s="2"/>
      <c r="Q51" s="2"/>
      <c r="R51" s="2"/>
    </row>
    <row r="52" ht="22.5" customHeight="1">
      <c r="A52" s="3">
        <v>51.0</v>
      </c>
      <c r="B52" s="3" t="s">
        <v>3528</v>
      </c>
      <c r="C52" s="3" t="s">
        <v>2844</v>
      </c>
      <c r="D52" s="3">
        <v>2.0</v>
      </c>
      <c r="E52" s="3" t="s">
        <v>3529</v>
      </c>
      <c r="F52" s="2"/>
      <c r="G52" s="3" t="str">
        <f>IFERROR(__xludf.DUMMYFUNCTION("GOOGLETRANSLATE(A52, ""it"", ""en"")"),"51")</f>
        <v>51</v>
      </c>
      <c r="H52" s="3" t="str">
        <f>IFERROR(__xludf.DUMMYFUNCTION("GOOGLETRANSLATE(B52, ""it"", ""en"")"),"How many referees are on the sideline in shinty?")</f>
        <v>How many referees are on the sideline in shinty?</v>
      </c>
      <c r="I52" s="3" t="str">
        <f>IFERROR(__xludf.DUMMYFUNCTION("GOOGLETRANSLATE(C52, ""it"", ""en"")"),"A. 0 B. 1 C. 2 D. 3")</f>
        <v>A. 0 B. 1 C. 2 D. 3</v>
      </c>
      <c r="J52" s="3" t="str">
        <f>IFERROR(__xludf.DUMMYFUNCTION("GOOGLETRANSLATE(D52, ""it"", ""en"")"),"2")</f>
        <v>2</v>
      </c>
      <c r="K52" s="3" t="str">
        <f>IFERROR(__xludf.DUMMYFUNCTION("GOOGLETRANSLATE(E52, ""it"", ""en"")"),"Two referees assist from the sidelines.")</f>
        <v>Two referees assist from the sidelines.</v>
      </c>
      <c r="L52" s="2"/>
      <c r="M52" s="2"/>
      <c r="N52" s="2"/>
      <c r="O52" s="2"/>
      <c r="P52" s="2"/>
      <c r="Q52" s="2"/>
      <c r="R52" s="2"/>
    </row>
    <row r="53" ht="22.5" customHeight="1">
      <c r="A53" s="3">
        <v>52.0</v>
      </c>
      <c r="B53" s="3" t="s">
        <v>3530</v>
      </c>
      <c r="C53" s="3" t="s">
        <v>3531</v>
      </c>
      <c r="D53" s="3" t="s">
        <v>3398</v>
      </c>
      <c r="E53" s="3" t="s">
        <v>3532</v>
      </c>
      <c r="F53" s="2"/>
      <c r="G53" s="3" t="str">
        <f>IFERROR(__xludf.DUMMYFUNCTION("GOOGLETRANSLATE(A53, ""it"", ""en"")"),"52")</f>
        <v>52</v>
      </c>
      <c r="H53" s="3" t="str">
        <f>IFERROR(__xludf.DUMMYFUNCTION("GOOGLETRANSLATE(B53, ""it"", ""en"")"),"Can the ball be played off the ground in shinty?")</f>
        <v>Can the ball be played off the ground in shinty?</v>
      </c>
      <c r="I53" s="3" t="str">
        <f>IFERROR(__xludf.DUMMYFUNCTION("GOOGLETRANSLATE(C53, ""it"", ""en"")"),"A. Yes B. No C. Only in the defensive area D. Only in the attacking area")</f>
        <v>A. Yes B. No C. Only in the defensive area D. Only in the attacking area</v>
      </c>
      <c r="J53" s="3" t="str">
        <f>IFERROR(__xludf.DUMMYFUNCTION("GOOGLETRANSLATE(D53, ""it"", ""en"")"),"Yes")</f>
        <v>Yes</v>
      </c>
      <c r="K53" s="3" t="str">
        <f>IFERROR(__xludf.DUMMYFUNCTION("GOOGLETRANSLATE(E53, ""it"", ""en"")"),"The ball can be played off the ground using the caman.")</f>
        <v>The ball can be played off the ground using the caman.</v>
      </c>
      <c r="L53" s="2"/>
      <c r="M53" s="2"/>
      <c r="N53" s="2"/>
      <c r="O53" s="2"/>
      <c r="P53" s="2"/>
      <c r="Q53" s="2"/>
      <c r="R53" s="2"/>
    </row>
    <row r="54" ht="22.5" customHeight="1">
      <c r="A54" s="3">
        <v>53.0</v>
      </c>
      <c r="B54" s="3" t="s">
        <v>3533</v>
      </c>
      <c r="C54" s="3" t="s">
        <v>3534</v>
      </c>
      <c r="D54" s="3" t="s">
        <v>3535</v>
      </c>
      <c r="E54" s="3" t="s">
        <v>3536</v>
      </c>
      <c r="F54" s="2"/>
      <c r="G54" s="3" t="str">
        <f>IFERROR(__xludf.DUMMYFUNCTION("GOOGLETRANSLATE(A54, ""it"", ""en"")"),"53")</f>
        <v>53</v>
      </c>
      <c r="H54" s="3" t="str">
        <f>IFERROR(__xludf.DUMMYFUNCTION("GOOGLETRANSLATE(B54, ""it"", ""en"")"),"What color is the referee's uniform in shiny?")</f>
        <v>What color is the referee's uniform in shiny?</v>
      </c>
      <c r="I54" s="3" t="str">
        <f>IFERROR(__xludf.DUMMYFUNCTION("GOOGLETRANSLATE(C54, ""it"", ""en"")"),"A. White B. Black C. Yellow D. Red")</f>
        <v>A. White B. Black C. Yellow D. Red</v>
      </c>
      <c r="J54" s="3" t="str">
        <f>IFERROR(__xludf.DUMMYFUNCTION("GOOGLETRANSLATE(D54, ""it"", ""en"")"),"Black")</f>
        <v>Black</v>
      </c>
      <c r="K54" s="3" t="str">
        <f>IFERROR(__xludf.DUMMYFUNCTION("GOOGLETRANSLATE(E54, ""it"", ""en"")"),"Referees typically wear black uniforms.")</f>
        <v>Referees typically wear black uniforms.</v>
      </c>
      <c r="L54" s="2"/>
      <c r="M54" s="2"/>
      <c r="N54" s="2"/>
      <c r="O54" s="2"/>
      <c r="P54" s="2"/>
      <c r="Q54" s="2"/>
      <c r="R54" s="2"/>
    </row>
    <row r="55" ht="22.5" customHeight="1">
      <c r="A55" s="3">
        <v>54.0</v>
      </c>
      <c r="B55" s="3" t="s">
        <v>3537</v>
      </c>
      <c r="C55" s="3" t="s">
        <v>3538</v>
      </c>
      <c r="D55" s="3" t="s">
        <v>3539</v>
      </c>
      <c r="E55" s="3" t="s">
        <v>3540</v>
      </c>
      <c r="F55" s="2"/>
      <c r="G55" s="3" t="str">
        <f>IFERROR(__xludf.DUMMYFUNCTION("GOOGLETRANSLATE(A55, ""it"", ""en"")"),"54")</f>
        <v>54</v>
      </c>
      <c r="H55" s="3" t="str">
        <f>IFERROR(__xludf.DUMMYFUNCTION("GOOGLETRANSLATE(B55, ""it"", ""en"")"),"What is the standard duration of extra time in shinty?")</f>
        <v>What is the standard duration of extra time in shinty?</v>
      </c>
      <c r="I55" s="3" t="str">
        <f>IFERROR(__xludf.DUMMYFUNCTION("GOOGLETRANSLATE(C55, ""it"", ""en"")"),"A. 10 minutes B. 15 minutes C. 20 minutes D. 30 minutes")</f>
        <v>A. 10 minutes B. 15 minutes C. 20 minutes D. 30 minutes</v>
      </c>
      <c r="J55" s="3" t="str">
        <f>IFERROR(__xludf.DUMMYFUNCTION("GOOGLETRANSLATE(D55, ""it"", ""en"")"),"15 minutes")</f>
        <v>15 minutes</v>
      </c>
      <c r="K55" s="3" t="str">
        <f>IFERROR(__xludf.DUMMYFUNCTION("GOOGLETRANSLATE(E55, ""it"", ""en"")"),"Extra time usually lasts 15 minutes.")</f>
        <v>Extra time usually lasts 15 minutes.</v>
      </c>
      <c r="L55" s="2"/>
      <c r="M55" s="2"/>
      <c r="N55" s="2"/>
      <c r="O55" s="2"/>
      <c r="P55" s="2"/>
      <c r="Q55" s="2"/>
      <c r="R55" s="2"/>
    </row>
    <row r="56" ht="22.5" customHeight="1">
      <c r="A56" s="3">
        <v>55.0</v>
      </c>
      <c r="B56" s="3" t="s">
        <v>3541</v>
      </c>
      <c r="C56" s="3" t="s">
        <v>3542</v>
      </c>
      <c r="D56" s="3" t="s">
        <v>1209</v>
      </c>
      <c r="E56" s="3" t="s">
        <v>3543</v>
      </c>
      <c r="F56" s="2"/>
      <c r="G56" s="3" t="str">
        <f>IFERROR(__xludf.DUMMYFUNCTION("GOOGLETRANSLATE(A56, ""it"", ""en"")"),"55")</f>
        <v>55</v>
      </c>
      <c r="H56" s="3" t="str">
        <f>IFERROR(__xludf.DUMMYFUNCTION("GOOGLETRANSLATE(B56, ""it"", ""en"")"),"Is a helmet mandatory in shinty?")</f>
        <v>Is a helmet mandatory in shinty?</v>
      </c>
      <c r="I56" s="3" t="str">
        <f>IFERROR(__xludf.DUMMYFUNCTION("GOOGLETRANSLATE(C56, ""it"", ""en"")"),"A. Yes B. No C. Only for goalkeepers D. Only for youth players")</f>
        <v>A. Yes B. No C. Only for goalkeepers D. Only for youth players</v>
      </c>
      <c r="J56" s="3" t="str">
        <f>IFERROR(__xludf.DUMMYFUNCTION("GOOGLETRANSLATE(D56, ""it"", ""en"")"),"No")</f>
        <v>No</v>
      </c>
      <c r="K56" s="3" t="str">
        <f>IFERROR(__xludf.DUMMYFUNCTION("GOOGLETRANSLATE(E56, ""it"", ""en"")"),"Helmets are not mandatory in shinty")</f>
        <v>Helmets are not mandatory in shinty</v>
      </c>
      <c r="L56" s="2"/>
      <c r="M56" s="2"/>
      <c r="N56" s="2"/>
      <c r="O56" s="2"/>
      <c r="P56" s="2"/>
      <c r="Q56" s="2"/>
      <c r="R56" s="2"/>
    </row>
    <row r="57" ht="22.5" customHeight="1">
      <c r="A57" s="3">
        <v>56.0</v>
      </c>
      <c r="B57" s="3" t="s">
        <v>3544</v>
      </c>
      <c r="C57" s="3" t="s">
        <v>3545</v>
      </c>
      <c r="D57" s="3" t="s">
        <v>3546</v>
      </c>
      <c r="E57" s="3" t="s">
        <v>3547</v>
      </c>
      <c r="F57" s="2"/>
      <c r="G57" s="3" t="str">
        <f>IFERROR(__xludf.DUMMYFUNCTION("GOOGLETRANSLATE(A57, ""it"", ""en"")"),"56")</f>
        <v>56</v>
      </c>
      <c r="H57" s="3" t="str">
        <f>IFERROR(__xludf.DUMMYFUNCTION("GOOGLETRANSLATE(B57, ""it"", ""en"")"),"What is the term for a high shot in shinty?")</f>
        <v>What is the term for a high shot in shinty?</v>
      </c>
      <c r="I57" s="3" t="str">
        <f>IFERROR(__xludf.DUMMYFUNCTION("GOOGLETRANSLATE(C57, ""it"", ""en"")"),"A. A drive B. A lob C. A flick D. A chip")</f>
        <v>A. A drive B. A lob C. A flick D. A chip</v>
      </c>
      <c r="J57" s="3" t="str">
        <f>IFERROR(__xludf.DUMMYFUNCTION("GOOGLETRANSLATE(D57, ""it"", ""en"")"),"A lob")</f>
        <v>A lob</v>
      </c>
      <c r="K57" s="3" t="str">
        <f>IFERROR(__xludf.DUMMYFUNCTION("GOOGLETRANSLATE(E57, ""it"", ""en"")"),"A high shot in shinty is called a lob.")</f>
        <v>A high shot in shinty is called a lob.</v>
      </c>
      <c r="L57" s="2"/>
      <c r="M57" s="2"/>
      <c r="N57" s="2"/>
      <c r="O57" s="2"/>
      <c r="P57" s="2"/>
      <c r="Q57" s="2"/>
      <c r="R57" s="2"/>
    </row>
    <row r="58" ht="22.5" customHeight="1">
      <c r="A58" s="3">
        <v>57.0</v>
      </c>
      <c r="B58" s="3" t="s">
        <v>3548</v>
      </c>
      <c r="C58" s="3" t="s">
        <v>3549</v>
      </c>
      <c r="D58" s="3" t="s">
        <v>3550</v>
      </c>
      <c r="E58" s="3" t="s">
        <v>3551</v>
      </c>
      <c r="F58" s="2"/>
      <c r="G58" s="3" t="str">
        <f>IFERROR(__xludf.DUMMYFUNCTION("GOOGLETRANSLATE(A58, ""it"", ""en"")"),"57")</f>
        <v>57</v>
      </c>
      <c r="H58" s="3" t="str">
        <f>IFERROR(__xludf.DUMMYFUNCTION("GOOGLETRANSLATE(B58, ""it"", ""en"")"),"What material is a traditional caman made of?")</f>
        <v>What material is a traditional caman made of?</v>
      </c>
      <c r="I58" s="3" t="str">
        <f>IFERROR(__xludf.DUMMYFUNCTION("GOOGLETRANSLATE(C58, ""it"", ""en"")"),"A. Metal B. Plastic C. Wood D. Fiberglass")</f>
        <v>A. Metal B. Plastic C. Wood D. Fiberglass</v>
      </c>
      <c r="J58" s="3" t="str">
        <f>IFERROR(__xludf.DUMMYFUNCTION("GOOGLETRANSLATE(D58, ""it"", ""en"")"),"Wood")</f>
        <v>Wood</v>
      </c>
      <c r="K58" s="3" t="str">
        <f>IFERROR(__xludf.DUMMYFUNCTION("GOOGLETRANSLATE(E58, ""it"", ""en"")"),"Traditional camans are made of wood.")</f>
        <v>Traditional camans are made of wood.</v>
      </c>
      <c r="L58" s="2"/>
      <c r="M58" s="2"/>
      <c r="N58" s="2"/>
      <c r="O58" s="2"/>
      <c r="P58" s="2"/>
      <c r="Q58" s="2"/>
      <c r="R58" s="2"/>
    </row>
    <row r="59" ht="22.5" customHeight="1">
      <c r="A59" s="3">
        <v>58.0</v>
      </c>
      <c r="B59" s="3" t="s">
        <v>3552</v>
      </c>
      <c r="C59" s="3" t="s">
        <v>3553</v>
      </c>
      <c r="D59" s="3" t="s">
        <v>1209</v>
      </c>
      <c r="E59" s="3" t="s">
        <v>3554</v>
      </c>
      <c r="F59" s="2"/>
      <c r="G59" s="3" t="str">
        <f>IFERROR(__xludf.DUMMYFUNCTION("GOOGLETRANSLATE(A59, ""it"", ""en"")"),"58")</f>
        <v>58</v>
      </c>
      <c r="H59" s="3" t="str">
        <f>IFERROR(__xludf.DUMMYFUNCTION("GOOGLETRANSLATE(B59, ""it"", ""en"")"),"Can a player score directly from a hit-in?")</f>
        <v>Can a player score directly from a hit-in?</v>
      </c>
      <c r="I59" s="3" t="str">
        <f>IFERROR(__xludf.DUMMYFUNCTION("GOOGLETRANSLATE(C59, ""it"", ""en"")"),"A. Yes B. No C. Only if it is a penalty hit D. Only if it is in extra time")</f>
        <v>A. Yes B. No C. Only if it is a penalty hit D. Only if it is in extra time</v>
      </c>
      <c r="J59" s="3" t="str">
        <f>IFERROR(__xludf.DUMMYFUNCTION("GOOGLETRANSLATE(D59, ""it"", ""en"")"),"No")</f>
        <v>No</v>
      </c>
      <c r="K59" s="3" t="str">
        <f>IFERROR(__xludf.DUMMYFUNCTION("GOOGLETRANSLATE(E59, ""it"", ""en"")"),"A player cannot score directly from a hit-in.")</f>
        <v>A player cannot score directly from a hit-in.</v>
      </c>
      <c r="L59" s="2"/>
      <c r="M59" s="2"/>
      <c r="N59" s="2"/>
      <c r="O59" s="2"/>
      <c r="P59" s="2"/>
      <c r="Q59" s="2"/>
      <c r="R59" s="2"/>
    </row>
    <row r="60" ht="22.5" customHeight="1">
      <c r="A60" s="3">
        <v>59.0</v>
      </c>
      <c r="B60" s="3" t="s">
        <v>3555</v>
      </c>
      <c r="C60" s="3" t="s">
        <v>3556</v>
      </c>
      <c r="D60" s="3" t="s">
        <v>3557</v>
      </c>
      <c r="E60" s="3" t="s">
        <v>3558</v>
      </c>
      <c r="F60" s="2"/>
      <c r="G60" s="3" t="str">
        <f>IFERROR(__xludf.DUMMYFUNCTION("GOOGLETRANSLATE(A60, ""it"", ""en"")"),"59")</f>
        <v>59</v>
      </c>
      <c r="H60" s="3" t="str">
        <f>IFERROR(__xludf.DUMMYFUNCTION("GOOGLETRANSLATE(B60, ""it"", ""en"")"),"What is the signal for a foul in shine?")</f>
        <v>What is the signal for a foul in shine?</v>
      </c>
      <c r="I60" s="3" t="str">
        <f>IFERROR(__xludf.DUMMYFUNCTION("GOOGLETRANSLATE(C60, ""it"", ""en"")"),"A. A raised flag B. A whistle blow C. A shout from the referee D. A hand gesture")</f>
        <v>A. A raised flag B. A whistle blow C. A shout from the referee D. A hand gesture</v>
      </c>
      <c r="J60" s="3" t="str">
        <f>IFERROR(__xludf.DUMMYFUNCTION("GOOGLETRANSLATE(D60, ""it"", ""en"")"),"A whistle blow")</f>
        <v>A whistle blow</v>
      </c>
      <c r="K60" s="3" t="str">
        <f>IFERROR(__xludf.DUMMYFUNCTION("GOOGLETRANSLATE(E60, ""it"", ""en"")"),"The referee signals fouls with a whistle blow.")</f>
        <v>The referee signals fouls with a whistle blow.</v>
      </c>
      <c r="L60" s="2"/>
      <c r="M60" s="2"/>
      <c r="N60" s="2"/>
      <c r="O60" s="2"/>
      <c r="P60" s="2"/>
      <c r="Q60" s="2"/>
      <c r="R60" s="2"/>
    </row>
    <row r="61" ht="22.5" customHeight="1">
      <c r="A61" s="3">
        <v>60.0</v>
      </c>
      <c r="B61" s="3" t="s">
        <v>3559</v>
      </c>
      <c r="C61" s="3" t="s">
        <v>3560</v>
      </c>
      <c r="D61" s="3" t="s">
        <v>3561</v>
      </c>
      <c r="E61" s="3" t="s">
        <v>3562</v>
      </c>
      <c r="F61" s="2"/>
      <c r="G61" s="3" t="str">
        <f>IFERROR(__xludf.DUMMYFUNCTION("GOOGLETRANSLATE(A61, ""it"", ""en"")"),"60")</f>
        <v>60</v>
      </c>
      <c r="H61" s="3" t="str">
        <f>IFERROR(__xludf.DUMMYFUNCTION("GOOGLETRANSLATE(B61, ""it"", ""en"")"),"What is the key difference between shinty and field hockey?")</f>
        <v>What is the key difference between shinty and field hockey?</v>
      </c>
      <c r="I61" s="3" t="str">
        <f>IFERROR(__xludf.DUMMYFUNCTION("GOOGLETRANSLATE(C61, ""it"", ""en"")"),"A. The ball is smaller in shinty B. The use of both sides of the stick C. The absence of a penalty area D. The number of players")</f>
        <v>A. The ball is smaller in shinty B. The use of both sides of the stick C. The absence of a penalty area D. The number of players</v>
      </c>
      <c r="J61" s="3" t="str">
        <f>IFERROR(__xludf.DUMMYFUNCTION("GOOGLETRANSLATE(D61, ""it"", ""en"")"),"The use of both sides of the stick")</f>
        <v>The use of both sides of the stick</v>
      </c>
      <c r="K61" s="3" t="str">
        <f>IFERROR(__xludf.DUMMYFUNCTION("GOOGLETRANSLATE(E61, ""it"", ""en"")"),"In shinty")</f>
        <v>In shinty</v>
      </c>
      <c r="L61" s="2"/>
      <c r="M61" s="2"/>
      <c r="N61" s="2"/>
      <c r="O61" s="2"/>
      <c r="P61" s="2"/>
      <c r="Q61" s="2"/>
      <c r="R61" s="2"/>
    </row>
    <row r="62" ht="22.5" customHeight="1">
      <c r="A62" s="3">
        <v>61.0</v>
      </c>
      <c r="B62" s="3" t="s">
        <v>3563</v>
      </c>
      <c r="C62" s="3" t="s">
        <v>3564</v>
      </c>
      <c r="D62" s="3" t="s">
        <v>3565</v>
      </c>
      <c r="E62" s="3" t="s">
        <v>3566</v>
      </c>
      <c r="F62" s="2"/>
      <c r="G62" s="3" t="str">
        <f>IFERROR(__xludf.DUMMYFUNCTION("GOOGLETRANSLATE(A62, ""it"", ""en"")"),"61")</f>
        <v>61</v>
      </c>
      <c r="H62" s="3" t="str">
        <f>IFERROR(__xludf.DUMMYFUNCTION("GOOGLETRANSLATE(B62, ""it"", ""en"")"),"What is the maximum weight of a shinty ball?")</f>
        <v>What is the maximum weight of a shinty ball?</v>
      </c>
      <c r="I62" s="3" t="str">
        <f>IFERROR(__xludf.DUMMYFUNCTION("GOOGLETRANSLATE(C62, ""it"", ""en"")"),"A. 100 grams B. 125 grams C. 150 grams D. 200 grams")</f>
        <v>A. 100 grams B. 125 grams C. 150 grams D. 200 grams</v>
      </c>
      <c r="J62" s="3" t="str">
        <f>IFERROR(__xludf.DUMMYFUNCTION("GOOGLETRANSLATE(D62, ""it"", ""en"")"),"125 grams")</f>
        <v>125 grams</v>
      </c>
      <c r="K62" s="3" t="str">
        <f>IFERROR(__xludf.DUMMYFUNCTION("GOOGLETRANSLATE(E62, ""it"", ""en"")"),"A shinty ball can weigh up to 125 grams.")</f>
        <v>A shinty ball can weigh up to 125 grams.</v>
      </c>
      <c r="L62" s="2"/>
      <c r="M62" s="2"/>
      <c r="N62" s="2"/>
      <c r="O62" s="2"/>
      <c r="P62" s="2"/>
      <c r="Q62" s="2"/>
      <c r="R62" s="2"/>
    </row>
    <row r="63" ht="22.5" customHeight="1">
      <c r="A63" s="3">
        <v>62.0</v>
      </c>
      <c r="B63" s="3" t="s">
        <v>3567</v>
      </c>
      <c r="C63" s="3" t="s">
        <v>3568</v>
      </c>
      <c r="D63" s="3" t="s">
        <v>1209</v>
      </c>
      <c r="E63" s="3" t="s">
        <v>3569</v>
      </c>
      <c r="F63" s="2"/>
      <c r="G63" s="3" t="str">
        <f>IFERROR(__xludf.DUMMYFUNCTION("GOOGLETRANSLATE(A63, ""it"", ""en"")"),"62")</f>
        <v>62</v>
      </c>
      <c r="H63" s="3" t="str">
        <f>IFERROR(__xludf.DUMMYFUNCTION("GOOGLETRANSLATE(B63, ""it"", ""en"")"),"Can a player block an opponent's caman in shinty?")</f>
        <v>Can a player block an opponent's caman in shinty?</v>
      </c>
      <c r="I63" s="3" t="str">
        <f>IFERROR(__xludf.DUMMYFUNCTION("GOOGLETRANSLATE(C63, ""it"", ""en"")"),"A. Yes B. No C. Only in defensive moves D. Only in attacking moves")</f>
        <v>A. Yes B. No C. Only in defensive moves D. Only in attacking moves</v>
      </c>
      <c r="J63" s="3" t="str">
        <f>IFERROR(__xludf.DUMMYFUNCTION("GOOGLETRANSLATE(D63, ""it"", ""en"")"),"No")</f>
        <v>No</v>
      </c>
      <c r="K63" s="3" t="str">
        <f>IFERROR(__xludf.DUMMYFUNCTION("GOOGLETRANSLATE(E63, ""it"", ""en"")"),"Blocking an opponent's caman is not allowed.")</f>
        <v>Blocking an opponent's caman is not allowed.</v>
      </c>
      <c r="L63" s="2"/>
      <c r="M63" s="2"/>
      <c r="N63" s="2"/>
      <c r="O63" s="2"/>
      <c r="P63" s="2"/>
      <c r="Q63" s="2"/>
      <c r="R63" s="2"/>
    </row>
    <row r="64" ht="22.5" customHeight="1">
      <c r="A64" s="3">
        <v>63.0</v>
      </c>
      <c r="B64" s="3" t="s">
        <v>3570</v>
      </c>
      <c r="C64" s="3" t="s">
        <v>3571</v>
      </c>
      <c r="D64" s="3" t="s">
        <v>3572</v>
      </c>
      <c r="E64" s="3" t="s">
        <v>3573</v>
      </c>
      <c r="F64" s="2"/>
      <c r="G64" s="3" t="str">
        <f>IFERROR(__xludf.DUMMYFUNCTION("GOOGLETRANSLATE(A64, ""it"", ""en"")"),"63")</f>
        <v>63</v>
      </c>
      <c r="H64" s="3" t="str">
        <f>IFERROR(__xludf.DUMMYFUNCTION("GOOGLETRANSLATE(B64, ""it"", ""en"")"),"What happens if the ball hits the referee in shinty?")</f>
        <v>What happens if the ball hits the referee in shinty?</v>
      </c>
      <c r="I64" s="3" t="str">
        <f>IFERROR(__xludf.DUMMYFUNCTION("GOOGLETRANSLATE(C64, ""it"", ""en"")"),"A. Play continues B. A free hit is awarded C. The match is stopped D. A penalty is awarded")</f>
        <v>A. Play continues B. A free hit is awarded C. The match is stopped D. A penalty is awarded</v>
      </c>
      <c r="J64" s="3" t="str">
        <f>IFERROR(__xludf.DUMMYFUNCTION("GOOGLETRANSLATE(D64, ""it"", ""en"")"),"Play continues")</f>
        <v>Play continues</v>
      </c>
      <c r="K64" s="3" t="str">
        <f>IFERROR(__xludf.DUMMYFUNCTION("GOOGLETRANSLATE(E64, ""it"", ""en"")"),"The ball remains in play if it hits the referee.")</f>
        <v>The ball remains in play if it hits the referee.</v>
      </c>
      <c r="L64" s="2"/>
      <c r="M64" s="2"/>
      <c r="N64" s="2"/>
      <c r="O64" s="2"/>
      <c r="P64" s="2"/>
      <c r="Q64" s="2"/>
      <c r="R64" s="2"/>
    </row>
    <row r="65" ht="22.5" customHeight="1">
      <c r="A65" s="3">
        <v>64.0</v>
      </c>
      <c r="B65" s="3" t="s">
        <v>3574</v>
      </c>
      <c r="C65" s="3" t="s">
        <v>3575</v>
      </c>
      <c r="D65" s="3" t="s">
        <v>3576</v>
      </c>
      <c r="E65" s="3" t="s">
        <v>3577</v>
      </c>
      <c r="F65" s="2"/>
      <c r="G65" s="3" t="str">
        <f>IFERROR(__xludf.DUMMYFUNCTION("GOOGLETRANSLATE(A65, ""it"", ""en"")"),"64")</f>
        <v>64</v>
      </c>
      <c r="H65" s="3" t="str">
        <f>IFERROR(__xludf.DUMMYFUNCTION("GOOGLETRANSLATE(B65, ""it"", ""en"")"),"What is the proper stance for hitting the ball in shinty?")</f>
        <v>What is the proper stance for hitting the ball in shinty?</v>
      </c>
      <c r="I65" s="3" t="str">
        <f>IFERROR(__xludf.DUMMYFUNCTION("GOOGLETRANSLATE(C65, ""it"", ""en"")"),"A. Feet close together B. One foot forward and knees bent C. Standing upright D. Leaning backward")</f>
        <v>A. Feet close together B. One foot forward and knees bent C. Standing upright D. Leaning backward</v>
      </c>
      <c r="J65" s="3" t="str">
        <f>IFERROR(__xludf.DUMMYFUNCTION("GOOGLETRANSLATE(D65, ""it"", ""en"")"),"One foot forward and knees bent")</f>
        <v>One foot forward and knees bent</v>
      </c>
      <c r="K65" s="3" t="str">
        <f>IFERROR(__xludf.DUMMYFUNCTION("GOOGLETRANSLATE(E65, ""it"", ""en"")"),"Players adopt this stance for better control and power.")</f>
        <v>Players adopt this stance for better control and power.</v>
      </c>
      <c r="L65" s="2"/>
      <c r="M65" s="2"/>
      <c r="N65" s="2"/>
      <c r="O65" s="2"/>
      <c r="P65" s="2"/>
      <c r="Q65" s="2"/>
      <c r="R65" s="2"/>
    </row>
    <row r="66" ht="22.5" customHeight="1">
      <c r="A66" s="3">
        <v>65.0</v>
      </c>
      <c r="B66" s="3" t="s">
        <v>3578</v>
      </c>
      <c r="C66" s="3" t="s">
        <v>3579</v>
      </c>
      <c r="D66" s="3" t="s">
        <v>3580</v>
      </c>
      <c r="E66" s="3" t="s">
        <v>3581</v>
      </c>
      <c r="F66" s="2"/>
      <c r="G66" s="3" t="str">
        <f>IFERROR(__xludf.DUMMYFUNCTION("GOOGLETRANSLATE(A66, ""it"", ""en"")"),"65")</f>
        <v>65</v>
      </c>
      <c r="H66" s="3" t="str">
        <f>IFERROR(__xludf.DUMMYFUNCTION("GOOGLETRANSLATE(B66, ""it"", ""en"")"),"What is the term for dribbling in shinty?")</f>
        <v>What is the term for dribbling in shinty?</v>
      </c>
      <c r="I66" s="3" t="str">
        <f>IFERROR(__xludf.DUMMYFUNCTION("GOOGLETRANSLATE(C66, ""it"", ""en"")"),"A. Dragging B. Flicking C. Shoveling D. Shintying")</f>
        <v>A. Dragging B. Flicking C. Shoveling D. Shintying</v>
      </c>
      <c r="J66" s="3" t="str">
        <f>IFERROR(__xludf.DUMMYFUNCTION("GOOGLETRANSLATE(D66, ""it"", ""en"")"),"Dragging")</f>
        <v>Dragging</v>
      </c>
      <c r="K66" s="3" t="str">
        <f>IFERROR(__xludf.DUMMYFUNCTION("GOOGLETRANSLATE(E66, ""it"", ""en"")"),"Dribbling is commonly referred to as dragging in shinty.")</f>
        <v>Dribbling is commonly referred to as dragging in shinty.</v>
      </c>
      <c r="L66" s="2"/>
      <c r="M66" s="2"/>
      <c r="N66" s="2"/>
      <c r="O66" s="2"/>
      <c r="P66" s="2"/>
      <c r="Q66" s="2"/>
      <c r="R66" s="2"/>
    </row>
    <row r="67" ht="22.5" customHeight="1">
      <c r="A67" s="3">
        <v>66.0</v>
      </c>
      <c r="B67" s="3" t="s">
        <v>3582</v>
      </c>
      <c r="C67" s="3" t="s">
        <v>3583</v>
      </c>
      <c r="D67" s="3" t="s">
        <v>3584</v>
      </c>
      <c r="E67" s="3" t="s">
        <v>3585</v>
      </c>
      <c r="F67" s="2"/>
      <c r="G67" s="3" t="str">
        <f>IFERROR(__xludf.DUMMYFUNCTION("GOOGLETRANSLATE(A67, ""it"", ""en"")"),"66")</f>
        <v>66</v>
      </c>
      <c r="H67" s="3" t="str">
        <f>IFERROR(__xludf.DUMMYFUNCTION("GOOGLETRANSLATE(B67, ""it"", ""en"")"),"What is the role of the midfielders in shinty?")</f>
        <v>What is the role of the midfielders in shinty?</v>
      </c>
      <c r="I67" s="3" t="str">
        <f>IFERROR(__xludf.DUMMYFUNCTION("GOOGLETRANSLATE(C67, ""it"", ""en"")"),"A. To defend the goal B. To score goals C. To transition between defense and attack D. To officiate the match")</f>
        <v>A. To defend the goal B. To score goals C. To transition between defense and attack D. To officiate the match</v>
      </c>
      <c r="J67" s="3" t="str">
        <f>IFERROR(__xludf.DUMMYFUNCTION("GOOGLETRANSLATE(D67, ""it"", ""en"")"),"To transition between defense and attack")</f>
        <v>To transition between defense and attack</v>
      </c>
      <c r="K67" s="3" t="str">
        <f>IFERROR(__xludf.DUMMYFUNCTION("GOOGLETRANSLATE(E67, ""it"", ""en"")"),"Midfielders are crucial in connecting the defense and attack.")</f>
        <v>Midfielders are crucial in connecting the defense and attack.</v>
      </c>
      <c r="L67" s="2"/>
      <c r="M67" s="2"/>
      <c r="N67" s="2"/>
      <c r="O67" s="2"/>
      <c r="P67" s="2"/>
      <c r="Q67" s="2"/>
      <c r="R67" s="2"/>
    </row>
    <row r="68" ht="22.5" customHeight="1">
      <c r="A68" s="3">
        <v>67.0</v>
      </c>
      <c r="B68" s="3" t="s">
        <v>3586</v>
      </c>
      <c r="C68" s="3" t="s">
        <v>3587</v>
      </c>
      <c r="D68" s="3" t="s">
        <v>3588</v>
      </c>
      <c r="E68" s="3" t="s">
        <v>3589</v>
      </c>
      <c r="F68" s="2"/>
      <c r="G68" s="3" t="str">
        <f>IFERROR(__xludf.DUMMYFUNCTION("GOOGLETRANSLATE(A68, ""it"", ""en"")"),"67")</f>
        <v>67</v>
      </c>
      <c r="H68" s="3" t="str">
        <f>IFERROR(__xludf.DUMMYFUNCTION("GOOGLETRANSLATE(B68, ""it"", ""en"")"),"What is the typical length of the halftime break in shinty?")</f>
        <v>What is the typical length of the halftime break in shinty?</v>
      </c>
      <c r="I68" s="3" t="str">
        <f>IFERROR(__xludf.DUMMYFUNCTION("GOOGLETRANSLATE(C68, ""it"", ""en"")"),"A. 5 minutes B. 10 minutes C. 15 minutes D. 20 minutes")</f>
        <v>A. 5 minutes B. 10 minutes C. 15 minutes D. 20 minutes</v>
      </c>
      <c r="J68" s="3" t="str">
        <f>IFERROR(__xludf.DUMMYFUNCTION("GOOGLETRANSLATE(D68, ""it"", ""en"")"),"10 minutes")</f>
        <v>10 minutes</v>
      </c>
      <c r="K68" s="3" t="str">
        <f>IFERROR(__xludf.DUMMYFUNCTION("GOOGLETRANSLATE(E68, ""it"", ""en"")"),"The halftime break in shinty typically lasts 10 minutes.")</f>
        <v>The halftime break in shinty typically lasts 10 minutes.</v>
      </c>
      <c r="L68" s="2"/>
      <c r="M68" s="2"/>
      <c r="N68" s="2"/>
      <c r="O68" s="2"/>
      <c r="P68" s="2"/>
      <c r="Q68" s="2"/>
      <c r="R68" s="2"/>
    </row>
    <row r="69" ht="22.5" customHeight="1">
      <c r="A69" s="3">
        <v>68.0</v>
      </c>
      <c r="B69" s="3" t="s">
        <v>3590</v>
      </c>
      <c r="C69" s="3" t="s">
        <v>3591</v>
      </c>
      <c r="D69" s="3" t="s">
        <v>3398</v>
      </c>
      <c r="E69" s="3" t="s">
        <v>3592</v>
      </c>
      <c r="F69" s="2"/>
      <c r="G69" s="3" t="str">
        <f>IFERROR(__xludf.DUMMYFUNCTION("GOOGLETRANSLATE(A69, ""it"", ""en"")"),"68")</f>
        <v>68</v>
      </c>
      <c r="H69" s="3" t="str">
        <f>IFERROR(__xludf.DUMMYFUNCTION("GOOGLETRANSLATE(B69, ""it"", ""en"")"),"Can a shinty goalkeeper score a goal?")</f>
        <v>Can a shinty goalkeeper score a goal?</v>
      </c>
      <c r="I69" s="3" t="str">
        <f>IFERROR(__xludf.DUMMYFUNCTION("GOOGLETRANSLATE(C69, ""it"", ""en"")"),"A. Yes B. No C. Only in penalty situations D. Only in extra time")</f>
        <v>A. Yes B. No C. Only in penalty situations D. Only in extra time</v>
      </c>
      <c r="J69" s="3" t="str">
        <f>IFERROR(__xludf.DUMMYFUNCTION("GOOGLETRANSLATE(D69, ""it"", ""en"")"),"Yes")</f>
        <v>Yes</v>
      </c>
      <c r="K69" s="3" t="str">
        <f>IFERROR(__xludf.DUMMYFUNCTION("GOOGLETRANSLATE(E69, ""it"", ""en"")"),"Goalkeepers can score if they strike the ball into the opponent's net.")</f>
        <v>Goalkeepers can score if they strike the ball into the opponent's net.</v>
      </c>
      <c r="L69" s="2"/>
      <c r="M69" s="2"/>
      <c r="N69" s="2"/>
      <c r="O69" s="2"/>
      <c r="P69" s="2"/>
      <c r="Q69" s="2"/>
      <c r="R69" s="2"/>
    </row>
    <row r="70" ht="22.5" customHeight="1">
      <c r="A70" s="3">
        <v>69.0</v>
      </c>
      <c r="B70" s="3" t="s">
        <v>3593</v>
      </c>
      <c r="C70" s="3" t="s">
        <v>3594</v>
      </c>
      <c r="D70" s="3" t="s">
        <v>3595</v>
      </c>
      <c r="E70" s="3" t="s">
        <v>3596</v>
      </c>
      <c r="F70" s="2"/>
      <c r="G70" s="3" t="str">
        <f>IFERROR(__xludf.DUMMYFUNCTION("GOOGLETRANSLATE(A70, ""it"", ""en"")"),"69")</f>
        <v>69</v>
      </c>
      <c r="H70" s="3" t="str">
        <f>IFERROR(__xludf.DUMMYFUNCTION("GOOGLETRANSLATE(B70, ""it"", ""en"")"),"What is the signal for a goal in shinty?")</f>
        <v>What is the signal for a goal in shinty?</v>
      </c>
      <c r="I70" s="3" t="str">
        <f>IFERROR(__xludf.DUMMYFUNCTION("GOOGLETRANSLATE(C70, ""it"", ""en"")"),"A. A whistle blow B. A raised hand C. Pointing to the center circle D. A flag wave")</f>
        <v>A. A whistle blow B. A raised hand C. Pointing to the center circle D. A flag wave</v>
      </c>
      <c r="J70" s="3" t="str">
        <f>IFERROR(__xludf.DUMMYFUNCTION("GOOGLETRANSLATE(D70, ""it"", ""en"")"),"Pointing to the center circle")</f>
        <v>Pointing to the center circle</v>
      </c>
      <c r="K70" s="3" t="str">
        <f>IFERROR(__xludf.DUMMYFUNCTION("GOOGLETRANSLATE(E70, ""it"", ""en"")"),"The referee signals a goal by pointing to the center circle.")</f>
        <v>The referee signals a goal by pointing to the center circle.</v>
      </c>
      <c r="L70" s="2"/>
      <c r="M70" s="2"/>
      <c r="N70" s="2"/>
      <c r="O70" s="2"/>
      <c r="P70" s="2"/>
      <c r="Q70" s="2"/>
      <c r="R70" s="2"/>
    </row>
    <row r="71" ht="22.5" customHeight="1">
      <c r="A71" s="3">
        <v>70.0</v>
      </c>
      <c r="B71" s="3" t="s">
        <v>3597</v>
      </c>
      <c r="C71" s="3" t="s">
        <v>3598</v>
      </c>
      <c r="D71" s="3" t="s">
        <v>3599</v>
      </c>
      <c r="E71" s="3" t="s">
        <v>3600</v>
      </c>
      <c r="F71" s="2"/>
      <c r="G71" s="3" t="str">
        <f>IFERROR(__xludf.DUMMYFUNCTION("GOOGLETRANSLATE(A71, ""it"", ""en"")"),"70")</f>
        <v>70</v>
      </c>
      <c r="H71" s="3" t="str">
        <f>IFERROR(__xludf.DUMMYFUNCTION("GOOGLETRANSLATE(B71, ""it"", ""en"")"),"How is a tied match resolved in a knockout tournament?")</f>
        <v>How is a tied match resolved in a knockout tournament?</v>
      </c>
      <c r="I71" s="3" t="str">
        <f>IFERROR(__xludf.DUMMYFUNCTION("GOOGLETRANSLATE(C71, ""it"", ""en"")"),"A. Replay the match B. Decide by coin toss C. Extra time followed by penalties D. Extra time only")</f>
        <v>A. Replay the match B. Decide by coin toss C. Extra time followed by penalties D. Extra time only</v>
      </c>
      <c r="J71" s="3" t="str">
        <f>IFERROR(__xludf.DUMMYFUNCTION("GOOGLETRANSLATE(D71, ""it"", ""en"")"),"Extra time followed by penalties")</f>
        <v>Extra time followed by penalties</v>
      </c>
      <c r="K71" s="3" t="str">
        <f>IFERROR(__xludf.DUMMYFUNCTION("GOOGLETRANSLATE(E71, ""it"", ""en"")"),"If necessary")</f>
        <v>If necessary</v>
      </c>
      <c r="L71" s="2"/>
      <c r="M71" s="2"/>
      <c r="N71" s="2"/>
      <c r="O71" s="2"/>
      <c r="P71" s="2"/>
      <c r="Q71" s="2"/>
      <c r="R71" s="2"/>
    </row>
    <row r="72" ht="22.5" customHeight="1">
      <c r="A72" s="3">
        <v>71.0</v>
      </c>
      <c r="B72" s="3" t="s">
        <v>3601</v>
      </c>
      <c r="C72" s="3" t="s">
        <v>3602</v>
      </c>
      <c r="D72" s="3" t="s">
        <v>3603</v>
      </c>
      <c r="E72" s="3" t="s">
        <v>3604</v>
      </c>
      <c r="F72" s="2"/>
      <c r="G72" s="3" t="str">
        <f>IFERROR(__xludf.DUMMYFUNCTION("GOOGLETRANSLATE(A72, ""it"", ""en"")"),"71")</f>
        <v>71</v>
      </c>
      <c r="H72" s="3" t="str">
        <f>IFERROR(__xludf.DUMMYFUNCTION("GOOGLETRANSLATE(B72, ""it"", ""en"")"),"What is a caman traditionally shaped like?")</f>
        <v>What is a caman traditionally shaped like?</v>
      </c>
      <c r="I72" s="3" t="str">
        <f>IFERROR(__xludf.DUMMYFUNCTION("GOOGLETRANSLATE(C72, ""it"", ""en"")"),"A. A T shape B. A J shape C. A L shape D. A C shape")</f>
        <v>A. A T shape B. A J shape C. A L shape D. A C shape</v>
      </c>
      <c r="J72" s="3" t="str">
        <f>IFERROR(__xludf.DUMMYFUNCTION("GOOGLETRANSLATE(D72, ""it"", ""en"")"),"A J shape")</f>
        <v>A J shape</v>
      </c>
      <c r="K72" s="3" t="str">
        <f>IFERROR(__xludf.DUMMYFUNCTION("GOOGLETRANSLATE(E72, ""it"", ""en"")"),"A caman is shaped like a ""J"" for effective ball control.")</f>
        <v>A caman is shaped like a "J" for effective ball control.</v>
      </c>
      <c r="L72" s="2"/>
      <c r="M72" s="2"/>
      <c r="N72" s="2"/>
      <c r="O72" s="2"/>
      <c r="P72" s="2"/>
      <c r="Q72" s="2"/>
      <c r="R72" s="2"/>
    </row>
    <row r="73" ht="22.5" customHeight="1">
      <c r="A73" s="3">
        <v>72.0</v>
      </c>
      <c r="B73" s="3" t="s">
        <v>3605</v>
      </c>
      <c r="C73" s="3" t="s">
        <v>3606</v>
      </c>
      <c r="D73" s="3" t="s">
        <v>3607</v>
      </c>
      <c r="E73" s="3" t="s">
        <v>3608</v>
      </c>
      <c r="F73" s="2"/>
      <c r="G73" s="3" t="str">
        <f>IFERROR(__xludf.DUMMYFUNCTION("GOOGLETRANSLATE(A73, ""it"", ""en"")"),"72")</f>
        <v>72</v>
      </c>
      <c r="H73" s="3" t="str">
        <f>IFERROR(__xludf.DUMMYFUNCTION("GOOGLETRANSLATE(B73, ""it"", ""en"")"),"What is the term for a long-range shot in shinty?")</f>
        <v>What is the term for a long-range shot in shinty?</v>
      </c>
      <c r="I73" s="3" t="str">
        <f>IFERROR(__xludf.DUMMYFUNCTION("GOOGLETRANSLATE(C73, ""it"", ""en"")"),"A. Drive B. Smash C. Flick D. Volley")</f>
        <v>A. Drive B. Smash C. Flick D. Volley</v>
      </c>
      <c r="J73" s="3" t="str">
        <f>IFERROR(__xludf.DUMMYFUNCTION("GOOGLETRANSLATE(D73, ""it"", ""en"")"),"Drive")</f>
        <v>Drive</v>
      </c>
      <c r="K73" s="3" t="str">
        <f>IFERROR(__xludf.DUMMYFUNCTION("GOOGLETRANSLATE(E73, ""it"", ""en"")"),"A long-range shot is commonly referred to as a drive.")</f>
        <v>A long-range shot is commonly referred to as a drive.</v>
      </c>
      <c r="L73" s="2"/>
      <c r="M73" s="2"/>
      <c r="N73" s="2"/>
      <c r="O73" s="2"/>
      <c r="P73" s="2"/>
      <c r="Q73" s="2"/>
      <c r="R73" s="2"/>
    </row>
    <row r="74" ht="22.5" customHeight="1">
      <c r="A74" s="3">
        <v>73.0</v>
      </c>
      <c r="B74" s="3" t="s">
        <v>3609</v>
      </c>
      <c r="C74" s="3" t="s">
        <v>3610</v>
      </c>
      <c r="D74" s="3" t="s">
        <v>3611</v>
      </c>
      <c r="E74" s="3" t="s">
        <v>3612</v>
      </c>
      <c r="F74" s="2"/>
      <c r="G74" s="3" t="str">
        <f>IFERROR(__xludf.DUMMYFUNCTION("GOOGLETRANSLATE(A74, ""it"", ""en"")"),"73")</f>
        <v>73</v>
      </c>
      <c r="H74" s="3" t="str">
        <f>IFERROR(__xludf.DUMMYFUNCTION("GOOGLETRANSLATE(B74, ""it"", ""en"")"),"What happens if a player receives two yellow cards in shinty?")</f>
        <v>What happens if a player receives two yellow cards in shinty?</v>
      </c>
      <c r="I74" s="3" t="str">
        <f>IFERROR(__xludf.DUMMYFUNCTION("GOOGLETRANSLATE(C74, ""it"", ""en"")"),"A. Immediate suspension B. A red card is issued C. A free hit for the opposing team D. They must leave for 5 minutes")</f>
        <v>A. Immediate suspension B. A red card is issued C. A free hit for the opposing team D. They must leave for 5 minutes</v>
      </c>
      <c r="J74" s="3" t="str">
        <f>IFERROR(__xludf.DUMMYFUNCTION("GOOGLETRANSLATE(D74, ""it"", ""en"")"),"A red card is issued")</f>
        <v>A red card is issued</v>
      </c>
      <c r="K74" s="3" t="str">
        <f>IFERROR(__xludf.DUMMYFUNCTION("GOOGLETRANSLATE(E74, ""it"", ""en"")"),"Two yellow cards result in a red card and dismissal.")</f>
        <v>Two yellow cards result in a red card and dismissal.</v>
      </c>
      <c r="L74" s="2"/>
      <c r="M74" s="2"/>
      <c r="N74" s="2"/>
      <c r="O74" s="2"/>
      <c r="P74" s="2"/>
      <c r="Q74" s="2"/>
      <c r="R74" s="2"/>
    </row>
    <row r="75" ht="22.5" customHeight="1">
      <c r="A75" s="3">
        <v>74.0</v>
      </c>
      <c r="B75" s="3" t="s">
        <v>3613</v>
      </c>
      <c r="C75" s="3" t="s">
        <v>3614</v>
      </c>
      <c r="D75" s="3" t="s">
        <v>3615</v>
      </c>
      <c r="E75" s="3" t="s">
        <v>3616</v>
      </c>
      <c r="F75" s="2"/>
      <c r="G75" s="3" t="str">
        <f>IFERROR(__xludf.DUMMYFUNCTION("GOOGLETRANSLATE(A75, ""it"", ""en"")"),"74")</f>
        <v>74</v>
      </c>
      <c r="H75" s="3" t="str">
        <f>IFERROR(__xludf.DUMMYFUNCTION("GOOGLETRANSLATE(B75, ""it"", ""en"")"),"What is the maximum penalty for dangerous play?")</f>
        <v>What is the maximum penalty for dangerous play?</v>
      </c>
      <c r="I75" s="3" t="str">
        <f>IFERROR(__xludf.DUMMYFUNCTION("GOOGLETRANSLATE(C75, ""it"", ""en"")"),"A. A yellow card B. A free hit C. A red card D. A penalty hit")</f>
        <v>A. A yellow card B. A free hit C. A red card D. A penalty hit</v>
      </c>
      <c r="J75" s="3" t="str">
        <f>IFERROR(__xludf.DUMMYFUNCTION("GOOGLETRANSLATE(D75, ""it"", ""en"")"),"A red card")</f>
        <v>A red card</v>
      </c>
      <c r="K75" s="3" t="str">
        <f>IFERROR(__xludf.DUMMYFUNCTION("GOOGLETRANSLATE(E75, ""it"", ""en"")"),"Dangerous play can result in a red card.")</f>
        <v>Dangerous play can result in a red card.</v>
      </c>
      <c r="L75" s="2"/>
      <c r="M75" s="2"/>
      <c r="N75" s="2"/>
      <c r="O75" s="2"/>
      <c r="P75" s="2"/>
      <c r="Q75" s="2"/>
      <c r="R75" s="2"/>
    </row>
    <row r="76" ht="22.5" customHeight="1">
      <c r="A76" s="3">
        <v>75.0</v>
      </c>
      <c r="B76" s="3" t="s">
        <v>3617</v>
      </c>
      <c r="C76" s="3" t="s">
        <v>3618</v>
      </c>
      <c r="D76" s="3" t="s">
        <v>3619</v>
      </c>
      <c r="E76" s="3" t="s">
        <v>3620</v>
      </c>
      <c r="F76" s="2"/>
      <c r="G76" s="3" t="str">
        <f>IFERROR(__xludf.DUMMYFUNCTION("GOOGLETRANSLATE(A76, ""it"", ""en"")"),"75")</f>
        <v>75</v>
      </c>
      <c r="H76" s="3" t="str">
        <f>IFERROR(__xludf.DUMMYFUNCTION("GOOGLETRANSLATE(B76, ""it"", ""en"")"),"What is the diameter of the goal crease in shinty?")</f>
        <v>What is the diameter of the goal crease in shinty?</v>
      </c>
      <c r="I76" s="3" t="str">
        <f>IFERROR(__xludf.DUMMYFUNCTION("GOOGLETRANSLATE(C76, ""it"", ""en"")"),"A. 5 yards B. 10 yards C. 12 yards D. 15 yards")</f>
        <v>A. 5 yards B. 10 yards C. 12 yards D. 15 yards</v>
      </c>
      <c r="J76" s="3" t="str">
        <f>IFERROR(__xludf.DUMMYFUNCTION("GOOGLETRANSLATE(D76, ""it"", ""en"")"),"10 yards")</f>
        <v>10 yards</v>
      </c>
      <c r="K76" s="3" t="str">
        <f>IFERROR(__xludf.DUMMYFUNCTION("GOOGLETRANSLATE(E76, ""it"", ""en"")"),"The goal crease has a diameter of 10 yards.")</f>
        <v>The goal crease has a diameter of 10 yards.</v>
      </c>
      <c r="L76" s="2"/>
      <c r="M76" s="2"/>
      <c r="N76" s="2"/>
      <c r="O76" s="2"/>
      <c r="P76" s="2"/>
      <c r="Q76" s="2"/>
      <c r="R76" s="2"/>
    </row>
    <row r="77" ht="22.5" customHeight="1">
      <c r="A77" s="3">
        <v>76.0</v>
      </c>
      <c r="B77" s="3" t="s">
        <v>3621</v>
      </c>
      <c r="C77" s="3" t="s">
        <v>3622</v>
      </c>
      <c r="D77" s="3" t="s">
        <v>3398</v>
      </c>
      <c r="E77" s="3" t="s">
        <v>3623</v>
      </c>
      <c r="F77" s="2"/>
      <c r="G77" s="3" t="str">
        <f>IFERROR(__xludf.DUMMYFUNCTION("GOOGLETRANSLATE(A77, ""it"", ""en"")"),"76")</f>
        <v>76</v>
      </c>
      <c r="H77" s="3" t="str">
        <f>IFERROR(__xludf.DUMMYFUNCTION("GOOGLETRANSLATE(B77, ""it"", ""en"")"),"Can the ball be played over shoulder height in shinty?")</f>
        <v>Can the ball be played over shoulder height in shinty?</v>
      </c>
      <c r="I77" s="3" t="str">
        <f>IFERROR(__xludf.DUMMYFUNCTION("GOOGLETRANSLATE(C77, ""it"", ""en"")"),"A. Yes B. No C. Only by goalkeepers D. Only with permission of the referee")</f>
        <v>A. Yes B. No C. Only by goalkeepers D. Only with permission of the referee</v>
      </c>
      <c r="J77" s="3" t="str">
        <f>IFERROR(__xludf.DUMMYFUNCTION("GOOGLETRANSLATE(D77, ""it"", ""en"")"),"Yes")</f>
        <v>Yes</v>
      </c>
      <c r="K77" s="3" t="str">
        <f>IFERROR(__xludf.DUMMYFUNCTION("GOOGLETRANSLATE(E77, ""it"", ""en"")"),"The ball can be played above shoulder height with proper control.")</f>
        <v>The ball can be played above shoulder height with proper control.</v>
      </c>
      <c r="L77" s="2"/>
      <c r="M77" s="2"/>
      <c r="N77" s="2"/>
      <c r="O77" s="2"/>
      <c r="P77" s="2"/>
      <c r="Q77" s="2"/>
      <c r="R77" s="2"/>
    </row>
    <row r="78" ht="22.5" customHeight="1">
      <c r="A78" s="3">
        <v>77.0</v>
      </c>
      <c r="B78" s="3" t="s">
        <v>3624</v>
      </c>
      <c r="C78" s="3" t="s">
        <v>3625</v>
      </c>
      <c r="D78" s="3" t="s">
        <v>3626</v>
      </c>
      <c r="E78" s="3" t="s">
        <v>3627</v>
      </c>
      <c r="F78" s="2"/>
      <c r="G78" s="3" t="str">
        <f>IFERROR(__xludf.DUMMYFUNCTION("GOOGLETRANSLATE(A78, ""it"", ""en"")"),"77")</f>
        <v>77</v>
      </c>
      <c r="H78" s="3" t="str">
        <f>IFERROR(__xludf.DUMMYFUNCTION("GOOGLETRANSLATE(B78, ""it"", ""en"")"),"What is the responsibility of the linesmen in shinty?")</f>
        <v>What is the responsibility of the linesmen in shinty?</v>
      </c>
      <c r="I78" s="3" t="str">
        <f>IFERROR(__xludf.DUMMYFUNCTION("GOOGLETRANSLATE(C78, ""it"", ""en"")"),"A. To score goals B. To mark the pitch C. To assist the referees D. To keep time")</f>
        <v>A. To score goals B. To mark the pitch C. To assist the referees D. To keep time</v>
      </c>
      <c r="J78" s="3" t="str">
        <f>IFERROR(__xludf.DUMMYFUNCTION("GOOGLETRANSLATE(D78, ""it"", ""en"")"),"To assist the referees")</f>
        <v>To assist the referees</v>
      </c>
      <c r="K78" s="3" t="str">
        <f>IFERROR(__xludf.DUMMYFUNCTION("GOOGLETRANSLATE(E78, ""it"", ""en"")"),"Linesmen help referees in making decisions.")</f>
        <v>Linesmen help referees in making decisions.</v>
      </c>
      <c r="L78" s="2"/>
      <c r="M78" s="2"/>
      <c r="N78" s="2"/>
      <c r="O78" s="2"/>
      <c r="P78" s="2"/>
      <c r="Q78" s="2"/>
      <c r="R78" s="2"/>
    </row>
    <row r="79" ht="22.5" customHeight="1">
      <c r="A79" s="3">
        <v>78.0</v>
      </c>
      <c r="B79" s="3" t="s">
        <v>3628</v>
      </c>
      <c r="C79" s="3" t="s">
        <v>3629</v>
      </c>
      <c r="D79" s="3" t="s">
        <v>3630</v>
      </c>
      <c r="E79" s="3" t="s">
        <v>3631</v>
      </c>
      <c r="F79" s="2"/>
      <c r="G79" s="3" t="str">
        <f>IFERROR(__xludf.DUMMYFUNCTION("GOOGLETRANSLATE(A79, ""it"", ""en"")"),"78")</f>
        <v>78</v>
      </c>
      <c r="H79" s="3" t="str">
        <f>IFERROR(__xludf.DUMMYFUNCTION("GOOGLETRANSLATE(B79, ""it"", ""en"")"),"What type of surface is shinty usually played on?")</f>
        <v>What type of surface is shinty usually played on?</v>
      </c>
      <c r="I79" s="3" t="str">
        <f>IFERROR(__xludf.DUMMYFUNCTION("GOOGLETRANSLATE(C79, ""it"", ""en"")"),"A. Clay B. Grass C. Artificial turf D. Concrete")</f>
        <v>A. Clay B. Grass C. Artificial turf D. Concrete</v>
      </c>
      <c r="J79" s="3" t="str">
        <f>IFERROR(__xludf.DUMMYFUNCTION("GOOGLETRANSLATE(D79, ""it"", ""en"")"),"Grass")</f>
        <v>Grass</v>
      </c>
      <c r="K79" s="3" t="str">
        <f>IFERROR(__xludf.DUMMYFUNCTION("GOOGLETRANSLATE(E79, ""it"", ""en"")"),"Shinty is traditionally played on grass fields.")</f>
        <v>Shinty is traditionally played on grass fields.</v>
      </c>
      <c r="L79" s="2"/>
      <c r="M79" s="2"/>
      <c r="N79" s="2"/>
      <c r="O79" s="2"/>
      <c r="P79" s="2"/>
      <c r="Q79" s="2"/>
      <c r="R79" s="2"/>
    </row>
    <row r="80" ht="22.5" customHeight="1">
      <c r="A80" s="3">
        <v>79.0</v>
      </c>
      <c r="B80" s="3" t="s">
        <v>3632</v>
      </c>
      <c r="C80" s="3" t="s">
        <v>3633</v>
      </c>
      <c r="D80" s="3" t="s">
        <v>3634</v>
      </c>
      <c r="E80" s="3" t="s">
        <v>3635</v>
      </c>
      <c r="F80" s="2"/>
      <c r="G80" s="3" t="str">
        <f>IFERROR(__xludf.DUMMYFUNCTION("GOOGLETRANSLATE(A80, ""it"", ""en"")"),"79")</f>
        <v>79</v>
      </c>
      <c r="H80" s="3" t="str">
        <f>IFERROR(__xludf.DUMMYFUNCTION("GOOGLETRANSLATE(B80, ""it"", ""en"")"),"What is the outcome if a team is short on players?")</f>
        <v>What is the outcome if a team is short on players?</v>
      </c>
      <c r="I80" s="3" t="str">
        <f>IFERROR(__xludf.DUMMYFUNCTION("GOOGLETRANSLATE(C80, ""it"", ""en"")"),"A. The match is forfeited B. The match continues with fewer players C. The opposing team is given extra players D. The match is rescheduled")</f>
        <v>A. The match is forfeited B. The match continues with fewer players C. The opposing team is given extra players D. The match is rescheduled</v>
      </c>
      <c r="J80" s="3" t="str">
        <f>IFERROR(__xludf.DUMMYFUNCTION("GOOGLETRANSLATE(D80, ""it"", ""en"")"),"The match continues with fewer players")</f>
        <v>The match continues with fewer players</v>
      </c>
      <c r="K80" s="3" t="str">
        <f>IFERROR(__xludf.DUMMYFUNCTION("GOOGLETRANSLATE(E80, ""it"", ""en"")"),"Teams can play short if necessary.")</f>
        <v>Teams can play short if necessary.</v>
      </c>
      <c r="L80" s="2"/>
      <c r="M80" s="2"/>
      <c r="N80" s="2"/>
      <c r="O80" s="2"/>
      <c r="P80" s="2"/>
      <c r="Q80" s="2"/>
      <c r="R80" s="2"/>
    </row>
    <row r="81" ht="22.5" customHeight="1">
      <c r="A81" s="3">
        <v>80.0</v>
      </c>
      <c r="B81" s="3" t="s">
        <v>3636</v>
      </c>
      <c r="C81" s="3" t="s">
        <v>3637</v>
      </c>
      <c r="D81" s="3" t="s">
        <v>3638</v>
      </c>
      <c r="E81" s="3" t="s">
        <v>3639</v>
      </c>
      <c r="F81" s="2"/>
      <c r="G81" s="3" t="str">
        <f>IFERROR(__xludf.DUMMYFUNCTION("GOOGLETRANSLATE(A81, ""it"", ""en"")"),"80")</f>
        <v>80</v>
      </c>
      <c r="H81" s="3" t="str">
        <f>IFERROR(__xludf.DUMMYFUNCTION("GOOGLETRANSLATE(B81, ""it"", ""en"")"),"What is the proper term for stopping the ball with the caman in shinty?")</f>
        <v>What is the proper term for stopping the ball with the caman in shinty?</v>
      </c>
      <c r="I81" s="3" t="str">
        <f>IFERROR(__xludf.DUMMYFUNCTION("GOOGLETRANSLATE(C81, ""it"", ""en"")"),"A. Trapping B. Catching C. Blocking D. Interception")</f>
        <v>A. Trapping B. Catching C. Blocking D. Interception</v>
      </c>
      <c r="J81" s="3" t="str">
        <f>IFERROR(__xludf.DUMMYFUNCTION("GOOGLETRANSLATE(D81, ""it"", ""en"")"),"Trapping")</f>
        <v>Trapping</v>
      </c>
      <c r="K81" s="3" t="str">
        <f>IFERROR(__xludf.DUMMYFUNCTION("GOOGLETRANSLATE(E81, ""it"", ""en"")"),"Trapping is used to stop the ball effectively.")</f>
        <v>Trapping is used to stop the ball effectively.</v>
      </c>
      <c r="L81" s="2"/>
      <c r="M81" s="2"/>
      <c r="N81" s="2"/>
      <c r="O81" s="2"/>
      <c r="P81" s="2"/>
      <c r="Q81" s="2"/>
      <c r="R81" s="2"/>
    </row>
    <row r="82" ht="22.5" customHeight="1">
      <c r="A82" s="3">
        <v>81.0</v>
      </c>
      <c r="B82" s="3" t="s">
        <v>3640</v>
      </c>
      <c r="C82" s="3" t="s">
        <v>3641</v>
      </c>
      <c r="D82" s="3" t="s">
        <v>3642</v>
      </c>
      <c r="E82" s="3" t="s">
        <v>3643</v>
      </c>
      <c r="F82" s="2"/>
      <c r="G82" s="3" t="str">
        <f>IFERROR(__xludf.DUMMYFUNCTION("GOOGLETRANSLATE(A82, ""it"", ""en"")"),"81")</f>
        <v>81</v>
      </c>
      <c r="H82" s="3" t="str">
        <f>IFERROR(__xludf.DUMMYFUNCTION("GOOGLETRANSLATE(B82, ""it"", ""en"")"),"What happens if the ball is not visible during play?")</f>
        <v>What happens if the ball is not visible during play?</v>
      </c>
      <c r="I82" s="3" t="str">
        <f>IFERROR(__xludf.DUMMYFUNCTION("GOOGLETRANSLATE(C82, ""it"", ""en"")"),"A. Play is paused B. The ball is replaced C. The game continues D. The match is restarted")</f>
        <v>A. Play is paused B. The ball is replaced C. The game continues D. The match is restarted</v>
      </c>
      <c r="J82" s="3" t="str">
        <f>IFERROR(__xludf.DUMMYFUNCTION("GOOGLETRANSLATE(D82, ""it"", ""en"")"),"The ball is replaced")</f>
        <v>The ball is replaced</v>
      </c>
      <c r="K82" s="3" t="str">
        <f>IFERROR(__xludf.DUMMYFUNCTION("GOOGLETRANSLATE(E82, ""it"", ""en"")"),"A new ball is provided if the original becomes unplayable.")</f>
        <v>A new ball is provided if the original becomes unplayable.</v>
      </c>
      <c r="L82" s="2"/>
      <c r="M82" s="2"/>
      <c r="N82" s="2"/>
      <c r="O82" s="2"/>
      <c r="P82" s="2"/>
      <c r="Q82" s="2"/>
      <c r="R82" s="2"/>
    </row>
    <row r="83" ht="22.5" customHeight="1">
      <c r="A83" s="3">
        <v>82.0</v>
      </c>
      <c r="B83" s="3" t="s">
        <v>3644</v>
      </c>
      <c r="C83" s="3" t="s">
        <v>3645</v>
      </c>
      <c r="D83" s="3" t="s">
        <v>3646</v>
      </c>
      <c r="E83" s="3" t="s">
        <v>3647</v>
      </c>
      <c r="F83" s="2"/>
      <c r="G83" s="3" t="str">
        <f>IFERROR(__xludf.DUMMYFUNCTION("GOOGLETRANSLATE(A83, ""it"", ""en"")"),"82")</f>
        <v>82</v>
      </c>
      <c r="H83" s="3" t="str">
        <f>IFERROR(__xludf.DUMMYFUNCTION("GOOGLETRANSLATE(B83, ""it"", ""en"")"),"What is the role of the umpire in shinty?")</f>
        <v>What is the role of the umpire in shinty?</v>
      </c>
      <c r="I83" s="3" t="str">
        <f>IFERROR(__xludf.DUMMYFUNCTION("GOOGLETRANSLATE(C83, ""it"", ""en"")"),"A. To score goals B. To manage substitutions C. To oversee fair play D. To time the match")</f>
        <v>A. To score goals B. To manage substitutions C. To oversee fair play D. To time the match</v>
      </c>
      <c r="J83" s="3" t="str">
        <f>IFERROR(__xludf.DUMMYFUNCTION("GOOGLETRANSLATE(D83, ""it"", ""en"")"),"To oversee fair play")</f>
        <v>To oversee fair play</v>
      </c>
      <c r="K83" s="3" t="str">
        <f>IFERROR(__xludf.DUMMYFUNCTION("GOOGLETRANSLATE(E83, ""it"", ""en"")"),"Umpires ensure that the game is played fairly.")</f>
        <v>Umpires ensure that the game is played fairly.</v>
      </c>
      <c r="L83" s="2"/>
      <c r="M83" s="2"/>
      <c r="N83" s="2"/>
      <c r="O83" s="2"/>
      <c r="P83" s="2"/>
      <c r="Q83" s="2"/>
      <c r="R83" s="2"/>
    </row>
    <row r="84" ht="22.5" customHeight="1">
      <c r="A84" s="3">
        <v>83.0</v>
      </c>
      <c r="B84" s="3" t="s">
        <v>3648</v>
      </c>
      <c r="C84" s="3" t="s">
        <v>3649</v>
      </c>
      <c r="D84" s="3" t="s">
        <v>3650</v>
      </c>
      <c r="E84" s="3" t="s">
        <v>3651</v>
      </c>
      <c r="F84" s="2"/>
      <c r="G84" s="3" t="str">
        <f>IFERROR(__xludf.DUMMYFUNCTION("GOOGLETRANSLATE(A84, ""it"", ""en"")"),"83")</f>
        <v>83</v>
      </c>
      <c r="H84" s="3" t="str">
        <f>IFERROR(__xludf.DUMMYFUNCTION("GOOGLETRANSLATE(B84, ""it"", ""en"")"),"What is the key defensive strategy in shinty?")</f>
        <v>What is the key defensive strategy in shinty?</v>
      </c>
      <c r="I84" s="3" t="str">
        <f>IFERROR(__xludf.DUMMYFUNCTION("GOOGLETRANSLATE(C84, ""it"", ""en"")"),"A. Pressing B. Marking opponents C. Zone defense D. Counterattacking")</f>
        <v>A. Pressing B. Marking opponents C. Zone defense D. Counterattacking</v>
      </c>
      <c r="J84" s="3" t="str">
        <f>IFERROR(__xludf.DUMMYFUNCTION("GOOGLETRANSLATE(D84, ""it"", ""en"")"),"Marking opponents")</f>
        <v>Marking opponents</v>
      </c>
      <c r="K84" s="3" t="str">
        <f>IFERROR(__xludf.DUMMYFUNCTION("GOOGLETRANSLATE(E84, ""it"", ""en"")"),"Defenders focus on marking opponents to prevent goals.")</f>
        <v>Defenders focus on marking opponents to prevent goals.</v>
      </c>
      <c r="L84" s="2"/>
      <c r="M84" s="2"/>
      <c r="N84" s="2"/>
      <c r="O84" s="2"/>
      <c r="P84" s="2"/>
      <c r="Q84" s="2"/>
      <c r="R84" s="2"/>
    </row>
    <row r="85" ht="22.5" customHeight="1">
      <c r="A85" s="3">
        <v>84.0</v>
      </c>
      <c r="B85" s="3" t="s">
        <v>3652</v>
      </c>
      <c r="C85" s="3" t="s">
        <v>3653</v>
      </c>
      <c r="D85" s="3" t="s">
        <v>3654</v>
      </c>
      <c r="E85" s="3" t="s">
        <v>3655</v>
      </c>
      <c r="F85" s="2"/>
      <c r="G85" s="3" t="str">
        <f>IFERROR(__xludf.DUMMYFUNCTION("GOOGLETRANSLATE(A85, ""it"", ""en"")"),"84")</f>
        <v>84</v>
      </c>
      <c r="H85" s="3" t="str">
        <f>IFERROR(__xludf.DUMMYFUNCTION("GOOGLETRANSLATE(B85, ""it"", ""en"")"),"How does a shinty player handle a bouncing ball?")</f>
        <v>How does a shinty player handle a bouncing ball?</v>
      </c>
      <c r="I85" s="3" t="str">
        <f>IFERROR(__xludf.DUMMYFUNCTION("GOOGLETRANSLATE(C85, ""it"", ""en"")"),"A. Kick it B. Stop it with the caman C. Hit it mid-air D. Let it drop")</f>
        <v>A. Kick it B. Stop it with the caman C. Hit it mid-air D. Let it drop</v>
      </c>
      <c r="J85" s="3" t="str">
        <f>IFERROR(__xludf.DUMMYFUNCTION("GOOGLETRANSLATE(D85, ""it"", ""en"")"),"Stop it with the caman")</f>
        <v>Stop it with the caman</v>
      </c>
      <c r="K85" s="3" t="str">
        <f>IFERROR(__xludf.DUMMYFUNCTION("GOOGLETRANSLATE(E85, ""it"", ""en"")"),"The caman is used to control bouncing balls.")</f>
        <v>The caman is used to control bouncing balls.</v>
      </c>
      <c r="L85" s="2"/>
      <c r="M85" s="2"/>
      <c r="N85" s="2"/>
      <c r="O85" s="2"/>
      <c r="P85" s="2"/>
      <c r="Q85" s="2"/>
      <c r="R85" s="2"/>
    </row>
    <row r="86" ht="22.5" customHeight="1">
      <c r="A86" s="3">
        <v>85.0</v>
      </c>
      <c r="B86" s="3" t="s">
        <v>3656</v>
      </c>
      <c r="C86" s="3" t="s">
        <v>3657</v>
      </c>
      <c r="D86" s="3" t="s">
        <v>3658</v>
      </c>
      <c r="E86" s="3" t="s">
        <v>3659</v>
      </c>
      <c r="F86" s="2"/>
      <c r="G86" s="3" t="str">
        <f>IFERROR(__xludf.DUMMYFUNCTION("GOOGLETRANSLATE(A86, ""it"", ""en"")"),"85")</f>
        <v>85</v>
      </c>
      <c r="H86" s="3" t="str">
        <f>IFERROR(__xludf.DUMMYFUNCTION("GOOGLETRANSLATE(B86, ""it"", ""en"")"),"What is a defensive hit in shinty called?")</f>
        <v>What is a defensive hit in shinty called?</v>
      </c>
      <c r="I86" s="3" t="str">
        <f>IFERROR(__xludf.DUMMYFUNCTION("GOOGLETRANSLATE(C86, ""it"", ""en"")"),"A. Clearance B. Drive C. Chip D. Volley")</f>
        <v>A. Clearance B. Drive C. Chip D. Volley</v>
      </c>
      <c r="J86" s="3" t="str">
        <f>IFERROR(__xludf.DUMMYFUNCTION("GOOGLETRANSLATE(D86, ""it"", ""en"")"),"Clearance")</f>
        <v>Clearance</v>
      </c>
      <c r="K86" s="3" t="str">
        <f>IFERROR(__xludf.DUMMYFUNCTION("GOOGLETRANSLATE(E86, ""it"", ""en"")"),"A clearance is used to send the ball away from the goal area.")</f>
        <v>A clearance is used to send the ball away from the goal area.</v>
      </c>
      <c r="L86" s="2"/>
      <c r="M86" s="2"/>
      <c r="N86" s="2"/>
      <c r="O86" s="2"/>
      <c r="P86" s="2"/>
      <c r="Q86" s="2"/>
      <c r="R86" s="2"/>
    </row>
    <row r="87" ht="22.5" customHeight="1">
      <c r="A87" s="3">
        <v>86.0</v>
      </c>
      <c r="B87" s="3" t="s">
        <v>3660</v>
      </c>
      <c r="C87" s="3" t="s">
        <v>3661</v>
      </c>
      <c r="D87" s="3" t="s">
        <v>3662</v>
      </c>
      <c r="E87" s="3" t="s">
        <v>3663</v>
      </c>
      <c r="F87" s="2"/>
      <c r="G87" s="3" t="str">
        <f>IFERROR(__xludf.DUMMYFUNCTION("GOOGLETRANSLATE(A87, ""it"", ""en"")"),"86")</f>
        <v>86</v>
      </c>
      <c r="H87" s="3" t="str">
        <f>IFERROR(__xludf.DUMMYFUNCTION("GOOGLETRANSLATE(B87, ""it"", ""en"")"),"What is the term for excessive force in shinty?")</f>
        <v>What is the term for excessive force in shinty?</v>
      </c>
      <c r="I87" s="3" t="str">
        <f>IFERROR(__xludf.DUMMYFUNCTION("GOOGLETRANSLATE(C87, ""it"", ""en"")"),"A. Aggressive play B. Dangerous play C. Reckless play D. Foul play")</f>
        <v>A. Aggressive play B. Dangerous play C. Reckless play D. Foul play</v>
      </c>
      <c r="J87" s="3" t="str">
        <f>IFERROR(__xludf.DUMMYFUNCTION("GOOGLETRANSLATE(D87, ""it"", ""en"")"),"Dangerous play")</f>
        <v>Dangerous play</v>
      </c>
      <c r="K87" s="3" t="str">
        <f>IFERROR(__xludf.DUMMYFUNCTION("GOOGLETRANSLATE(E87, ""it"", ""en"")"),"Excessive force is classified as dangerous play.")</f>
        <v>Excessive force is classified as dangerous play.</v>
      </c>
      <c r="L87" s="2"/>
      <c r="M87" s="2"/>
      <c r="N87" s="2"/>
      <c r="O87" s="2"/>
      <c r="P87" s="2"/>
      <c r="Q87" s="2"/>
      <c r="R87" s="2"/>
    </row>
    <row r="88" ht="22.5" customHeight="1">
      <c r="A88" s="3">
        <v>87.0</v>
      </c>
      <c r="B88" s="3" t="s">
        <v>3664</v>
      </c>
      <c r="C88" s="3" t="s">
        <v>3665</v>
      </c>
      <c r="D88" s="3">
        <v>9.0</v>
      </c>
      <c r="E88" s="3" t="s">
        <v>3666</v>
      </c>
      <c r="F88" s="2"/>
      <c r="G88" s="3" t="str">
        <f>IFERROR(__xludf.DUMMYFUNCTION("GOOGLETRANSLATE(A88, ""it"", ""en"")"),"87")</f>
        <v>87</v>
      </c>
      <c r="H88" s="3" t="str">
        <f>IFERROR(__xludf.DUMMYFUNCTION("GOOGLETRANSLATE(B88, ""it"", ""en"")"),"What is the minimum number of players required to start a shinty match?")</f>
        <v>What is the minimum number of players required to start a shinty match?</v>
      </c>
      <c r="I88" s="3" t="str">
        <f>IFERROR(__xludf.DUMMYFUNCTION("GOOGLETRANSLATE(C88, ""it"", ""en"")"),"A. 7 B. 8 C. 9 D. 10")</f>
        <v>A. 7 B. 8 C. 9 D. 10</v>
      </c>
      <c r="J88" s="3" t="str">
        <f>IFERROR(__xludf.DUMMYFUNCTION("GOOGLETRANSLATE(D88, ""it"", ""en"")"),"9")</f>
        <v>9</v>
      </c>
      <c r="K88" s="3" t="str">
        <f>IFERROR(__xludf.DUMMYFUNCTION("GOOGLETRANSLATE(E88, ""it"", ""en"")"),"A team must have at least 9 players to start a match.")</f>
        <v>A team must have at least 9 players to start a match.</v>
      </c>
      <c r="L88" s="2"/>
      <c r="M88" s="2"/>
      <c r="N88" s="2"/>
      <c r="O88" s="2"/>
      <c r="P88" s="2"/>
      <c r="Q88" s="2"/>
      <c r="R88" s="2"/>
    </row>
    <row r="89" ht="22.5" customHeight="1">
      <c r="A89" s="3">
        <v>88.0</v>
      </c>
      <c r="B89" s="3" t="s">
        <v>3667</v>
      </c>
      <c r="C89" s="3" t="s">
        <v>3668</v>
      </c>
      <c r="D89" s="3" t="s">
        <v>3669</v>
      </c>
      <c r="E89" s="3" t="s">
        <v>3670</v>
      </c>
      <c r="F89" s="2"/>
      <c r="G89" s="3" t="str">
        <f>IFERROR(__xludf.DUMMYFUNCTION("GOOGLETRANSLATE(A89, ""it"", ""en"")"),"88")</f>
        <v>88</v>
      </c>
      <c r="H89" s="3" t="str">
        <f>IFERROR(__xludf.DUMMYFUNCTION("GOOGLETRANSLATE(B89, ""it"", ""en"")"),"What is the distance for a hit-in from the sideline?")</f>
        <v>What is the distance for a hit-in from the sideline?</v>
      </c>
      <c r="I89" s="3" t="str">
        <f>IFERROR(__xludf.DUMMYFUNCTION("GOOGLETRANSLATE(C89, ""it"", ""en"")"),"A. 1 yard B. 2 yards C. 3 yards D. 5 yards")</f>
        <v>A. 1 yard B. 2 yards C. 3 yards D. 5 yards</v>
      </c>
      <c r="J89" s="3" t="str">
        <f>IFERROR(__xludf.DUMMYFUNCTION("GOOGLETRANSLATE(D89, ""it"", ""en"")"),"2 yards")</f>
        <v>2 yards</v>
      </c>
      <c r="K89" s="3" t="str">
        <f>IFERROR(__xludf.DUMMYFUNCTION("GOOGLETRANSLATE(E89, ""it"", ""en"")"),"The ball must be hit-in from a spot 2 yards from the sideline.")</f>
        <v>The ball must be hit-in from a spot 2 yards from the sideline.</v>
      </c>
      <c r="L89" s="2"/>
      <c r="M89" s="2"/>
      <c r="N89" s="2"/>
      <c r="O89" s="2"/>
      <c r="P89" s="2"/>
      <c r="Q89" s="2"/>
      <c r="R89" s="2"/>
    </row>
    <row r="90" ht="22.5" customHeight="1">
      <c r="A90" s="3">
        <v>89.0</v>
      </c>
      <c r="B90" s="3" t="s">
        <v>3671</v>
      </c>
      <c r="C90" s="3" t="s">
        <v>3672</v>
      </c>
      <c r="D90" s="3" t="s">
        <v>3673</v>
      </c>
      <c r="E90" s="3" t="s">
        <v>3674</v>
      </c>
      <c r="F90" s="2"/>
      <c r="G90" s="3" t="str">
        <f>IFERROR(__xludf.DUMMYFUNCTION("GOOGLETRANSLATE(A90, ""it"", ""en"")"),"89")</f>
        <v>89</v>
      </c>
      <c r="H90" s="3" t="str">
        <f>IFERROR(__xludf.DUMMYFUNCTION("GOOGLETRANSLATE(B90, ""it"", ""en"")"),"What happens if a team deliberately delays the match?")</f>
        <v>What happens if a team deliberately delays the match?</v>
      </c>
      <c r="I90" s="3" t="str">
        <f>IFERROR(__xludf.DUMMYFUNCTION("GOOGLETRANSLATE(C90, ""it"", ""en"")"),"A. A penalty is awarded B. A free hit is given C. A warning is issued D. A player is sent off")</f>
        <v>A. A penalty is awarded B. A free hit is given C. A warning is issued D. A player is sent off</v>
      </c>
      <c r="J90" s="3" t="str">
        <f>IFERROR(__xludf.DUMMYFUNCTION("GOOGLETRANSLATE(D90, ""it"", ""en"")"),"A free hit is given")</f>
        <v>A free hit is given</v>
      </c>
      <c r="K90" s="3" t="str">
        <f>IFERROR(__xludf.DUMMYFUNCTION("GOOGLETRANSLATE(E90, ""it"", ""en"")"),"Delaying the match results in a free hit for the opposition.")</f>
        <v>Delaying the match results in a free hit for the opposition.</v>
      </c>
      <c r="L90" s="2"/>
      <c r="M90" s="2"/>
      <c r="N90" s="2"/>
      <c r="O90" s="2"/>
      <c r="P90" s="2"/>
      <c r="Q90" s="2"/>
      <c r="R90" s="2"/>
    </row>
    <row r="91" ht="22.5" customHeight="1">
      <c r="A91" s="3">
        <v>90.0</v>
      </c>
      <c r="B91" s="3" t="s">
        <v>3675</v>
      </c>
      <c r="C91" s="3" t="s">
        <v>3676</v>
      </c>
      <c r="D91" s="3" t="s">
        <v>3677</v>
      </c>
      <c r="E91" s="3" t="s">
        <v>3678</v>
      </c>
      <c r="F91" s="2"/>
      <c r="G91" s="3" t="str">
        <f>IFERROR(__xludf.DUMMYFUNCTION("GOOGLETRANSLATE(A91, ""it"", ""en"")"),"90")</f>
        <v>90</v>
      </c>
      <c r="H91" s="3" t="str">
        <f>IFERROR(__xludf.DUMMYFUNCTION("GOOGLETRANSLATE(B91, ""it"", ""en"")"),"What is the term for a direct hit at goal in shinty?")</f>
        <v>What is the term for a direct hit at goal in shinty?</v>
      </c>
      <c r="I91" s="3" t="str">
        <f>IFERROR(__xludf.DUMMYFUNCTION("GOOGLETRANSLATE(C91, ""it"", ""en"")"),"A. Strike B. Shot C. Drive D. Smash")</f>
        <v>A. Strike B. Shot C. Drive D. Smash</v>
      </c>
      <c r="J91" s="3" t="str">
        <f>IFERROR(__xludf.DUMMYFUNCTION("GOOGLETRANSLATE(D91, ""it"", ""en"")"),"Shot")</f>
        <v>Shot</v>
      </c>
      <c r="K91" s="3" t="str">
        <f>IFERROR(__xludf.DUMMYFUNCTION("GOOGLETRANSLATE(E91, ""it"", ""en"")"),"A direct hit at goal is called a shot.")</f>
        <v>A direct hit at goal is called a shot.</v>
      </c>
      <c r="L91" s="2"/>
      <c r="M91" s="2"/>
      <c r="N91" s="2"/>
      <c r="O91" s="2"/>
      <c r="P91" s="2"/>
      <c r="Q91" s="2"/>
      <c r="R91" s="2"/>
    </row>
    <row r="92" ht="22.5" customHeight="1">
      <c r="A92" s="3">
        <v>91.0</v>
      </c>
      <c r="B92" s="3" t="s">
        <v>3679</v>
      </c>
      <c r="C92" s="3" t="s">
        <v>55</v>
      </c>
      <c r="D92" s="3">
        <v>4.0</v>
      </c>
      <c r="E92" s="3" t="s">
        <v>3680</v>
      </c>
      <c r="F92" s="2"/>
      <c r="G92" s="3" t="str">
        <f>IFERROR(__xludf.DUMMYFUNCTION("GOOGLETRANSLATE(A92, ""it"", ""en"")"),"91")</f>
        <v>91</v>
      </c>
      <c r="H92" s="3" t="str">
        <f>IFERROR(__xludf.DUMMYFUNCTION("GOOGLETRANSLATE(B92, ""it"", ""en"")"),"What is the maximum number of players a team can have on the bench?")</f>
        <v>What is the maximum number of players a team can have on the bench?</v>
      </c>
      <c r="I92" s="3" t="str">
        <f>IFERROR(__xludf.DUMMYFUNCTION("GOOGLETRANSLATE(C92, ""it"", ""en"")"),"A. 3 B. 4 C. 5 D. 6")</f>
        <v>A. 3 B. 4 C. 5 D. 6</v>
      </c>
      <c r="J92" s="3" t="str">
        <f>IFERROR(__xludf.DUMMYFUNCTION("GOOGLETRANSLATE(D92, ""it"", ""en"")"),"4")</f>
        <v>4</v>
      </c>
      <c r="K92" s="3" t="str">
        <f>IFERROR(__xludf.DUMMYFUNCTION("GOOGLETRANSLATE(E92, ""it"", ""en"")"),"Teams can have up to 4 substitutes on the bench.")</f>
        <v>Teams can have up to 4 substitutes on the bench.</v>
      </c>
      <c r="L92" s="2"/>
      <c r="M92" s="2"/>
      <c r="N92" s="2"/>
      <c r="O92" s="2"/>
      <c r="P92" s="2"/>
      <c r="Q92" s="2"/>
      <c r="R92" s="2"/>
    </row>
    <row r="93" ht="22.5" customHeight="1">
      <c r="A93" s="3">
        <v>92.0</v>
      </c>
      <c r="B93" s="3" t="s">
        <v>3681</v>
      </c>
      <c r="C93" s="3" t="s">
        <v>3682</v>
      </c>
      <c r="D93" s="3" t="s">
        <v>3683</v>
      </c>
      <c r="E93" s="3" t="s">
        <v>3684</v>
      </c>
      <c r="F93" s="2"/>
      <c r="G93" s="3" t="str">
        <f>IFERROR(__xludf.DUMMYFUNCTION("GOOGLETRANSLATE(A93, ""it"", ""en"")"),"92")</f>
        <v>92</v>
      </c>
      <c r="H93" s="3" t="str">
        <f>IFERROR(__xludf.DUMMYFUNCTION("GOOGLETRANSLATE(B93, ""it"", ""en"")"),"What happens if the ball bursts during play?")</f>
        <v>What happens if the ball bursts during play?</v>
      </c>
      <c r="I93" s="3" t="str">
        <f>IFERROR(__xludf.DUMMYFUNCTION("GOOGLETRANSLATE(C93, ""it"", ""en"")"),"A. Play continues B. The referee replaces the ball C. The match is paused and restarted D. The opposing team gets a free hit")</f>
        <v>A. Play continues B. The referee replaces the ball C. The match is paused and restarted D. The opposing team gets a free hit</v>
      </c>
      <c r="J93" s="3" t="str">
        <f>IFERROR(__xludf.DUMMYFUNCTION("GOOGLETRANSLATE(D93, ""it"", ""en"")"),"The referee replaces the ball")</f>
        <v>The referee replaces the ball</v>
      </c>
      <c r="K93" s="3" t="str">
        <f>IFERROR(__xludf.DUMMYFUNCTION("GOOGLETRANSLATE(E93, ""it"", ""en"")"),"The referee stops play to replace the damaged ball.")</f>
        <v>The referee stops play to replace the damaged ball.</v>
      </c>
      <c r="L93" s="2"/>
      <c r="M93" s="2"/>
      <c r="N93" s="2"/>
      <c r="O93" s="2"/>
      <c r="P93" s="2"/>
      <c r="Q93" s="2"/>
      <c r="R93" s="2"/>
    </row>
    <row r="94" ht="22.5" customHeight="1">
      <c r="A94" s="3">
        <v>93.0</v>
      </c>
      <c r="B94" s="3" t="s">
        <v>3685</v>
      </c>
      <c r="C94" s="3" t="s">
        <v>3686</v>
      </c>
      <c r="D94" s="3" t="s">
        <v>3687</v>
      </c>
      <c r="E94" s="3" t="s">
        <v>3688</v>
      </c>
      <c r="F94" s="2"/>
      <c r="G94" s="3" t="str">
        <f>IFERROR(__xludf.DUMMYFUNCTION("GOOGLETRANSLATE(A94, ""it"", ""en"")"),"93")</f>
        <v>93</v>
      </c>
      <c r="H94" s="3" t="str">
        <f>IFERROR(__xludf.DUMMYFUNCTION("GOOGLETRANSLATE(B94, ""it"", ""en"")"),"What is the proper grip for holding a caman?")</f>
        <v>What is the proper grip for holding a caman?</v>
      </c>
      <c r="I94" s="3" t="str">
        <f>IFERROR(__xludf.DUMMYFUNCTION("GOOGLETRANSLATE(C94, ""it"", ""en"")"),"A. Hands close together B. One hand at the top and one at the middle C. Both hands on the bottom D. One hand on the caman")</f>
        <v>A. Hands close together B. One hand at the top and one at the middle C. Both hands on the bottom D. One hand on the caman</v>
      </c>
      <c r="J94" s="3" t="str">
        <f>IFERROR(__xludf.DUMMYFUNCTION("GOOGLETRANSLATE(D94, ""it"", ""en"")"),"One hand at the top and one at the middle")</f>
        <v>One hand at the top and one at the middle</v>
      </c>
      <c r="K94" s="3" t="str">
        <f>IFERROR(__xludf.DUMMYFUNCTION("GOOGLETRANSLATE(E94, ""it"", ""en"")"),"This grip provides better control and leverage.")</f>
        <v>This grip provides better control and leverage.</v>
      </c>
      <c r="L94" s="2"/>
      <c r="M94" s="2"/>
      <c r="N94" s="2"/>
      <c r="O94" s="2"/>
      <c r="P94" s="2"/>
      <c r="Q94" s="2"/>
      <c r="R94" s="2"/>
    </row>
    <row r="95" ht="22.5" customHeight="1">
      <c r="A95" s="3">
        <v>94.0</v>
      </c>
      <c r="B95" s="3" t="s">
        <v>3689</v>
      </c>
      <c r="C95" s="3" t="s">
        <v>3690</v>
      </c>
      <c r="D95" s="3" t="s">
        <v>3691</v>
      </c>
      <c r="E95" s="3" t="s">
        <v>3692</v>
      </c>
      <c r="F95" s="2"/>
      <c r="G95" s="3" t="str">
        <f>IFERROR(__xludf.DUMMYFUNCTION("GOOGLETRANSLATE(A95, ""it"", ""en"")"),"94")</f>
        <v>94</v>
      </c>
      <c r="H95" s="3" t="str">
        <f>IFERROR(__xludf.DUMMYFUNCTION("GOOGLETRANSLATE(B95, ""it"", ""en"")"),"How are points scored in shinty?")</f>
        <v>How are points scored in shinty?</v>
      </c>
      <c r="I95" s="3" t="str">
        <f>IFERROR(__xludf.DUMMYFUNCTION("GOOGLETRANSLATE(C95, ""it"", ""en"")"),"A. By hitting the ball into the goal B. By blocking the ball C. By holding possession D. By dribbling into the goal")</f>
        <v>A. By hitting the ball into the goal B. By blocking the ball C. By holding possession D. By dribbling into the goal</v>
      </c>
      <c r="J95" s="3" t="str">
        <f>IFERROR(__xludf.DUMMYFUNCTION("GOOGLETRANSLATE(D95, ""it"", ""en"")"),"By hitting the ball into the goal")</f>
        <v>By hitting the ball into the goal</v>
      </c>
      <c r="K95" s="3" t="str">
        <f>IFERROR(__xludf.DUMMYFUNCTION("GOOGLETRANSLATE(E95, ""it"", ""en"")"),"Goals are scored by striking the ball into the opponent's net.")</f>
        <v>Goals are scored by striking the ball into the opponent's net.</v>
      </c>
      <c r="L95" s="2"/>
      <c r="M95" s="2"/>
      <c r="N95" s="2"/>
      <c r="O95" s="2"/>
      <c r="P95" s="2"/>
      <c r="Q95" s="2"/>
      <c r="R95" s="2"/>
    </row>
    <row r="96" ht="22.5" customHeight="1">
      <c r="A96" s="3">
        <v>95.0</v>
      </c>
      <c r="B96" s="3" t="s">
        <v>3693</v>
      </c>
      <c r="C96" s="3" t="s">
        <v>3694</v>
      </c>
      <c r="D96" s="3" t="s">
        <v>3522</v>
      </c>
      <c r="E96" s="3" t="s">
        <v>3695</v>
      </c>
      <c r="F96" s="2"/>
      <c r="G96" s="3" t="str">
        <f>IFERROR(__xludf.DUMMYFUNCTION("GOOGLETRANSLATE(A96, ""it"", ""en"")"),"95")</f>
        <v>95</v>
      </c>
      <c r="H96" s="3" t="str">
        <f>IFERROR(__xludf.DUMMYFUNCTION("GOOGLETRANSLATE(B96, ""it"", ""en"")"),"What is the penalty for deliberate handball by an outfield player?")</f>
        <v>What is the penalty for deliberate handball by an outfield player?</v>
      </c>
      <c r="I96" s="3" t="str">
        <f>IFERROR(__xludf.DUMMYFUNCTION("GOOGLETRANSLATE(C96, ""it"", ""en"")"),"A. A free hit B. A penalty hit C. Immediate suspension D. A yellow card")</f>
        <v>A. A free hit B. A penalty hit C. Immediate suspension D. A yellow card</v>
      </c>
      <c r="J96" s="3" t="str">
        <f>IFERROR(__xludf.DUMMYFUNCTION("GOOGLETRANSLATE(D96, ""it"", ""en"")"),"A free hit")</f>
        <v>A free hit</v>
      </c>
      <c r="K96" s="3" t="str">
        <f>IFERROR(__xludf.DUMMYFUNCTION("GOOGLETRANSLATE(E96, ""it"", ""en"")"),"Deliberate handball results in a free hit for the opponent.")</f>
        <v>Deliberate handball results in a free hit for the opponent.</v>
      </c>
      <c r="L96" s="2"/>
      <c r="M96" s="2"/>
      <c r="N96" s="2"/>
      <c r="O96" s="2"/>
      <c r="P96" s="2"/>
      <c r="Q96" s="2"/>
      <c r="R96" s="2"/>
    </row>
    <row r="97" ht="22.5" customHeight="1">
      <c r="A97" s="3">
        <v>96.0</v>
      </c>
      <c r="B97" s="3" t="s">
        <v>3696</v>
      </c>
      <c r="C97" s="3" t="s">
        <v>3697</v>
      </c>
      <c r="D97" s="3" t="s">
        <v>1209</v>
      </c>
      <c r="E97" s="3" t="s">
        <v>3698</v>
      </c>
      <c r="F97" s="2"/>
      <c r="G97" s="3" t="str">
        <f>IFERROR(__xludf.DUMMYFUNCTION("GOOGLETRANSLATE(A97, ""it"", ""en"")"),"96")</f>
        <v>96</v>
      </c>
      <c r="H97" s="3" t="str">
        <f>IFERROR(__xludf.DUMMYFUNCTION("GOOGLETRANSLATE(B97, ""it"", ""en"")"),"Can players wear jewelry during a shinty match?")</f>
        <v>Can players wear jewelry during a shinty match?</v>
      </c>
      <c r="I97" s="3" t="str">
        <f>IFERROR(__xludf.DUMMYFUNCTION("GOOGLETRANSLATE(C97, ""it"", ""en"")"),"A. Yes B. No C. Only rings are allowed D. Only necklaces are allowed")</f>
        <v>A. Yes B. No C. Only rings are allowed D. Only necklaces are allowed</v>
      </c>
      <c r="J97" s="3" t="str">
        <f>IFERROR(__xludf.DUMMYFUNCTION("GOOGLETRANSLATE(D97, ""it"", ""en"")"),"No")</f>
        <v>No</v>
      </c>
      <c r="K97" s="3" t="str">
        <f>IFERROR(__xludf.DUMMYFUNCTION("GOOGLETRANSLATE(E97, ""it"", ""en"")"),"Players are prohibited from wearing jewelry for safety reasons.")</f>
        <v>Players are prohibited from wearing jewelry for safety reasons.</v>
      </c>
      <c r="L97" s="2"/>
      <c r="M97" s="2"/>
      <c r="N97" s="2"/>
      <c r="O97" s="2"/>
      <c r="P97" s="2"/>
      <c r="Q97" s="2"/>
      <c r="R97" s="2"/>
    </row>
    <row r="98" ht="22.5" customHeight="1">
      <c r="A98" s="3">
        <v>97.0</v>
      </c>
      <c r="B98" s="3" t="s">
        <v>3699</v>
      </c>
      <c r="C98" s="3" t="s">
        <v>3700</v>
      </c>
      <c r="D98" s="3" t="s">
        <v>3701</v>
      </c>
      <c r="E98" s="3" t="s">
        <v>3702</v>
      </c>
      <c r="F98" s="2"/>
      <c r="G98" s="3" t="str">
        <f>IFERROR(__xludf.DUMMYFUNCTION("GOOGLETRANSLATE(A98, ""it"", ""en"")"),"97")</f>
        <v>97</v>
      </c>
      <c r="H98" s="3" t="str">
        <f>IFERROR(__xludf.DUMMYFUNCTION("GOOGLETRANSLATE(B98, ""it"", ""en"")"),"What is the role of the captain in shinty?")</f>
        <v>What is the role of the captain in shinty?</v>
      </c>
      <c r="I98" s="3" t="str">
        <f>IFERROR(__xludf.DUMMYFUNCTION("GOOGLETRANSLATE(C98, ""it"", ""en"")"),"A. To assist the referee B. To lead the team and communicate with officials C. To manage substitutions D. To decide the tactics")</f>
        <v>A. To assist the referee B. To lead the team and communicate with officials C. To manage substitutions D. To decide the tactics</v>
      </c>
      <c r="J98" s="3" t="str">
        <f>IFERROR(__xludf.DUMMYFUNCTION("GOOGLETRANSLATE(D98, ""it"", ""en"")"),"To lead the team and communicate with officials")</f>
        <v>To lead the team and communicate with officials</v>
      </c>
      <c r="K98" s="3" t="str">
        <f>IFERROR(__xludf.DUMMYFUNCTION("GOOGLETRANSLATE(E98, ""it"", ""en"")"),"The captain represents the team in discussions with referees.")</f>
        <v>The captain represents the team in discussions with referees.</v>
      </c>
      <c r="L98" s="2"/>
      <c r="M98" s="2"/>
      <c r="N98" s="2"/>
      <c r="O98" s="2"/>
      <c r="P98" s="2"/>
      <c r="Q98" s="2"/>
      <c r="R98" s="2"/>
    </row>
    <row r="99" ht="22.5" customHeight="1">
      <c r="A99" s="3">
        <v>98.0</v>
      </c>
      <c r="B99" s="3" t="s">
        <v>3703</v>
      </c>
      <c r="C99" s="3" t="s">
        <v>3704</v>
      </c>
      <c r="D99" s="3" t="s">
        <v>3705</v>
      </c>
      <c r="E99" s="3" t="s">
        <v>3706</v>
      </c>
      <c r="F99" s="2"/>
      <c r="G99" s="3" t="str">
        <f>IFERROR(__xludf.DUMMYFUNCTION("GOOGLETRANSLATE(A99, ""it"", ""en"")"),"98")</f>
        <v>98</v>
      </c>
      <c r="H99" s="3" t="str">
        <f>IFERROR(__xludf.DUMMYFUNCTION("GOOGLETRANSLATE(B99, ""it"", ""en"")"),"What is a ""flick"" in shinty?")</f>
        <v>What is a "flick" in shinty?</v>
      </c>
      <c r="I99" s="3" t="str">
        <f>IFERROR(__xludf.DUMMYFUNCTION("GOOGLETRANSLATE(C99, ""it"", ""en"")"),"A. A short pass B. A high lob C. A defensive move D. A quick upward strike")</f>
        <v>A. A short pass B. A high lob C. A defensive move D. A quick upward strike</v>
      </c>
      <c r="J99" s="3" t="str">
        <f>IFERROR(__xludf.DUMMYFUNCTION("GOOGLETRANSLATE(D99, ""it"", ""en"")"),"A quick upward strike")</f>
        <v>A quick upward strike</v>
      </c>
      <c r="K99" s="3" t="str">
        <f>IFERROR(__xludf.DUMMYFUNCTION("GOOGLETRANSLATE(E99, ""it"", ""en"")"),"A flick is used to lift the ball quickly.")</f>
        <v>A flick is used to lift the ball quickly.</v>
      </c>
      <c r="L99" s="2"/>
      <c r="M99" s="2"/>
      <c r="N99" s="2"/>
      <c r="O99" s="2"/>
      <c r="P99" s="2"/>
      <c r="Q99" s="2"/>
      <c r="R99" s="2"/>
    </row>
    <row r="100" ht="22.5" customHeight="1">
      <c r="A100" s="3">
        <v>99.0</v>
      </c>
      <c r="B100" s="3" t="s">
        <v>3707</v>
      </c>
      <c r="C100" s="3" t="s">
        <v>3708</v>
      </c>
      <c r="D100" s="3" t="s">
        <v>3709</v>
      </c>
      <c r="E100" s="3" t="s">
        <v>3710</v>
      </c>
      <c r="F100" s="2"/>
      <c r="G100" s="3" t="str">
        <f>IFERROR(__xludf.DUMMYFUNCTION("GOOGLETRANSLATE(A100, ""it"", ""en"")"),"99")</f>
        <v>99</v>
      </c>
      <c r="H100" s="3" t="str">
        <f>IFERROR(__xludf.DUMMYFUNCTION("GOOGLETRANSLATE(B100, ""it"", ""en"")"),"How is a penalty hit taken in shinty?")</f>
        <v>How is a penalty hit taken in shinty?</v>
      </c>
      <c r="I100" s="3" t="str">
        <f>IFERROR(__xludf.DUMMYFUNCTION("GOOGLETRANSLATE(C100, ""it"", ""en"")"),"A. By striking the ball from the penalty spot B. By flicking the ball into the air C. By rolling the ball first D. By passing to a teammate")</f>
        <v>A. By striking the ball from the penalty spot B. By flicking the ball into the air C. By rolling the ball first D. By passing to a teammate</v>
      </c>
      <c r="J100" s="3" t="str">
        <f>IFERROR(__xludf.DUMMYFUNCTION("GOOGLETRANSLATE(D100, ""it"", ""en"")"),"By striking the ball from the penalty spot")</f>
        <v>By striking the ball from the penalty spot</v>
      </c>
      <c r="K100" s="3" t="str">
        <f>IFERROR(__xludf.DUMMYFUNCTION("GOOGLETRANSLATE(E100, ""it"", ""en"")"),"The penalty hit is taken directly from the spot.")</f>
        <v>The penalty hit is taken directly from the spot.</v>
      </c>
      <c r="L100" s="2"/>
      <c r="M100" s="2"/>
      <c r="N100" s="2"/>
      <c r="O100" s="2"/>
      <c r="P100" s="2"/>
      <c r="Q100" s="2"/>
      <c r="R100" s="2"/>
    </row>
    <row r="101" ht="22.5" customHeight="1">
      <c r="A101" s="3">
        <v>100.0</v>
      </c>
      <c r="B101" s="3" t="s">
        <v>3711</v>
      </c>
      <c r="C101" s="3" t="s">
        <v>3712</v>
      </c>
      <c r="D101" s="3">
        <v>12.0</v>
      </c>
      <c r="E101" s="3" t="s">
        <v>3713</v>
      </c>
      <c r="F101" s="2"/>
      <c r="G101" s="3" t="str">
        <f>IFERROR(__xludf.DUMMYFUNCTION("GOOGLETRANSLATE(A101, ""it"", ""en"")"),"100")</f>
        <v>100</v>
      </c>
      <c r="H101" s="3" t="str">
        <f>IFERROR(__xludf.DUMMYFUNCTION("GOOGLETRANSLATE(B101, ""it"", ""en"")"),"What is the maximum number of players allowed on a shinty team?")</f>
        <v>What is the maximum number of players allowed on a shinty team?</v>
      </c>
      <c r="I101" s="3" t="str">
        <f>IFERROR(__xludf.DUMMYFUNCTION("GOOGLETRANSLATE(C101, ""it"", ""en"")"),"A. 11 B. 12 C. 13 D. 14")</f>
        <v>A. 11 B. 12 C. 13 D. 14</v>
      </c>
      <c r="J101" s="3" t="str">
        <f>IFERROR(__xludf.DUMMYFUNCTION("GOOGLETRANSLATE(D101, ""it"", ""en"")"),"12")</f>
        <v>12</v>
      </c>
      <c r="K101" s="3" t="str">
        <f>IFERROR(__xludf.DUMMYFUNCTION("GOOGLETRANSLATE(E101, ""it"", ""en"")"),"A full shinty team consists of 12 players on the field.")</f>
        <v>A full shinty team consists of 12 players on the field.</v>
      </c>
      <c r="L101" s="2"/>
      <c r="M101" s="2"/>
      <c r="N101" s="2"/>
      <c r="O101" s="2"/>
      <c r="P101" s="2"/>
      <c r="Q101" s="2"/>
      <c r="R101" s="2"/>
    </row>
    <row r="102" ht="22.5" customHeight="1">
      <c r="A102" s="3">
        <v>101.0</v>
      </c>
      <c r="B102" s="3" t="s">
        <v>3714</v>
      </c>
      <c r="C102" s="3" t="s">
        <v>3389</v>
      </c>
      <c r="D102" s="3" t="s">
        <v>3390</v>
      </c>
      <c r="E102" s="3" t="s">
        <v>3715</v>
      </c>
      <c r="F102" s="2"/>
      <c r="G102" s="3" t="str">
        <f>IFERROR(__xludf.DUMMYFUNCTION("GOOGLETRANSLATE(A102, ""it"", ""en"")"),"101")</f>
        <v>101</v>
      </c>
      <c r="H102" s="3" t="str">
        <f>IFERROR(__xludf.DUMMYFUNCTION("GOOGLETRANSLATE(B102, ""it"", ""en"")"),"What is the minimum distance for opponents during a free hit?")</f>
        <v>What is the minimum distance for opponents during a free hit?</v>
      </c>
      <c r="I102" s="3" t="str">
        <f>IFERROR(__xludf.DUMMYFUNCTION("GOOGLETRANSLATE(C102, ""it"", ""en"")"),"A. 2 yards B. 5 yards C. 10 yards D. 15 yards")</f>
        <v>A. 2 yards B. 5 yards C. 10 yards D. 15 yards</v>
      </c>
      <c r="J102" s="3" t="str">
        <f>IFERROR(__xludf.DUMMYFUNCTION("GOOGLETRANSLATE(D102, ""it"", ""en"")"),"5 yards")</f>
        <v>5 yards</v>
      </c>
      <c r="K102" s="3" t="str">
        <f>IFERROR(__xludf.DUMMYFUNCTION("GOOGLETRANSLATE(E102, ""it"", ""en"")"),"Opponents must stand at least 5 yards away during a free hit.")</f>
        <v>Opponents must stand at least 5 yards away during a free hit.</v>
      </c>
      <c r="L102" s="2"/>
      <c r="M102" s="2"/>
      <c r="N102" s="2"/>
      <c r="O102" s="2"/>
      <c r="P102" s="2"/>
      <c r="Q102" s="2"/>
      <c r="R102" s="2"/>
    </row>
    <row r="103" ht="22.5" customHeight="1">
      <c r="A103" s="3">
        <v>102.0</v>
      </c>
      <c r="B103" s="3" t="s">
        <v>3716</v>
      </c>
      <c r="C103" s="3" t="s">
        <v>3717</v>
      </c>
      <c r="D103" s="3" t="s">
        <v>3398</v>
      </c>
      <c r="E103" s="3" t="s">
        <v>3718</v>
      </c>
      <c r="F103" s="2"/>
      <c r="G103" s="3" t="str">
        <f>IFERROR(__xludf.DUMMYFUNCTION("GOOGLETRANSLATE(A103, ""it"", ""en"")"),"102")</f>
        <v>102</v>
      </c>
      <c r="H103" s="3" t="str">
        <f>IFERROR(__xludf.DUMMYFUNCTION("GOOGLETRANSLATE(B103, ""it"", ""en"")"),"Can a shinty match end early?")</f>
        <v>Can a shinty match end early?</v>
      </c>
      <c r="I103" s="3" t="str">
        <f>IFERROR(__xludf.DUMMYFUNCTION("GOOGLETRANSLATE(C103, ""it"", ""en"")"),"A. Yes B. if both teams agree C. Yes D. if the referee decides")</f>
        <v>A. Yes B. if both teams agree C. Yes D. if the referee decides</v>
      </c>
      <c r="J103" s="3" t="str">
        <f>IFERROR(__xludf.DUMMYFUNCTION("GOOGLETRANSLATE(D103, ""it"", ""en"")"),"Yes")</f>
        <v>Yes</v>
      </c>
      <c r="K103" s="3" t="str">
        <f>IFERROR(__xludf.DUMMYFUNCTION("GOOGLETRANSLATE(E103, ""it"", ""en"")"),"due to weather conditions")</f>
        <v>due to weather conditions</v>
      </c>
      <c r="L103" s="2"/>
      <c r="M103" s="2"/>
      <c r="N103" s="2"/>
      <c r="O103" s="2"/>
      <c r="P103" s="2"/>
      <c r="Q103" s="2"/>
      <c r="R103" s="2"/>
    </row>
    <row r="104" ht="22.5" customHeight="1">
      <c r="A104" s="3">
        <v>103.0</v>
      </c>
      <c r="B104" s="3" t="s">
        <v>3719</v>
      </c>
      <c r="C104" s="3" t="s">
        <v>3720</v>
      </c>
      <c r="D104" s="3" t="s">
        <v>3721</v>
      </c>
      <c r="E104" s="3" t="s">
        <v>3722</v>
      </c>
      <c r="F104" s="2"/>
      <c r="G104" s="3" t="str">
        <f>IFERROR(__xludf.DUMMYFUNCTION("GOOGLETRANSLATE(A104, ""it"", ""en"")"),"103")</f>
        <v>103</v>
      </c>
      <c r="H104" s="3" t="str">
        <f>IFERROR(__xludf.DUMMYFUNCTION("GOOGLETRANSLATE(B104, ""it"", ""en"")"),"What is the duration of a youth shinty match?")</f>
        <v>What is the duration of a youth shinty match?</v>
      </c>
      <c r="I104" s="3" t="str">
        <f>IFERROR(__xludf.DUMMYFUNCTION("GOOGLETRANSLATE(C104, ""it"", ""en"")"),"A. 40 minutes B. 50 minutes C. 60 minutes D. 70 minutes")</f>
        <v>A. 40 minutes B. 50 minutes C. 60 minutes D. 70 minutes</v>
      </c>
      <c r="J104" s="3" t="str">
        <f>IFERROR(__xludf.DUMMYFUNCTION("GOOGLETRANSLATE(D104, ""it"", ""en"")"),"50 minutes")</f>
        <v>50 minutes</v>
      </c>
      <c r="K104" s="3" t="str">
        <f>IFERROR(__xludf.DUMMYFUNCTION("GOOGLETRANSLATE(E104, ""it"", ""en"")"),"Youth matches are typically shorter and last 50 minutes.")</f>
        <v>Youth matches are typically shorter and last 50 minutes.</v>
      </c>
      <c r="L104" s="2"/>
      <c r="M104" s="2"/>
      <c r="N104" s="2"/>
      <c r="O104" s="2"/>
      <c r="P104" s="2"/>
      <c r="Q104" s="2"/>
      <c r="R104" s="2"/>
    </row>
    <row r="105" ht="22.5" customHeight="1">
      <c r="A105" s="3">
        <v>104.0</v>
      </c>
      <c r="B105" s="3" t="s">
        <v>3723</v>
      </c>
      <c r="C105" s="3" t="s">
        <v>3724</v>
      </c>
      <c r="D105" s="3" t="s">
        <v>3725</v>
      </c>
      <c r="E105" s="3" t="s">
        <v>3726</v>
      </c>
      <c r="F105" s="2"/>
      <c r="G105" s="3" t="str">
        <f>IFERROR(__xludf.DUMMYFUNCTION("GOOGLETRANSLATE(A105, ""it"", ""en"")"),"104")</f>
        <v>104</v>
      </c>
      <c r="H105" s="3" t="str">
        <f>IFERROR(__xludf.DUMMYFUNCTION("GOOGLETRANSLATE(B105, ""it"", ""en"")"),"What happens if a player commits repeated fouls?")</f>
        <v>What happens if a player commits repeated fouls?</v>
      </c>
      <c r="I105" s="3" t="str">
        <f>IFERROR(__xludf.DUMMYFUNCTION("GOOGLETRANSLATE(C105, ""it"", ""en"")"),"A. They are given a warning B. They are shown a yellow card C. They are sent off D. The opposing team gets a penalty")</f>
        <v>A. They are given a warning B. They are shown a yellow card C. They are sent off D. The opposing team gets a penalty</v>
      </c>
      <c r="J105" s="3" t="str">
        <f>IFERROR(__xludf.DUMMYFUNCTION("GOOGLETRANSLATE(D105, ""it"", ""en"")"),"They are shown a yellow card")</f>
        <v>They are shown a yellow card</v>
      </c>
      <c r="K105" s="3" t="str">
        <f>IFERROR(__xludf.DUMMYFUNCTION("GOOGLETRANSLATE(E105, ""it"", ""en"")"),"Repeated fouls lead to a yellow card.")</f>
        <v>Repeated fouls lead to a yellow card.</v>
      </c>
      <c r="L105" s="2"/>
      <c r="M105" s="2"/>
      <c r="N105" s="2"/>
      <c r="O105" s="2"/>
      <c r="P105" s="2"/>
      <c r="Q105" s="2"/>
      <c r="R105" s="2"/>
    </row>
    <row r="106" ht="22.5" customHeight="1">
      <c r="A106" s="3">
        <v>105.0</v>
      </c>
      <c r="B106" s="3" t="s">
        <v>3727</v>
      </c>
      <c r="C106" s="3" t="s">
        <v>3728</v>
      </c>
      <c r="D106" s="3" t="s">
        <v>3398</v>
      </c>
      <c r="E106" s="3" t="s">
        <v>3729</v>
      </c>
      <c r="F106" s="2"/>
      <c r="G106" s="3" t="str">
        <f>IFERROR(__xludf.DUMMYFUNCTION("GOOGLETRANSLATE(A106, ""it"", ""en"")"),"105")</f>
        <v>105</v>
      </c>
      <c r="H106" s="3" t="str">
        <f>IFERROR(__xludf.DUMMYFUNCTION("GOOGLETRANSLATE(B106, ""it"", ""en"")"),"Can players wear gloves during a shinty match?")</f>
        <v>Can players wear gloves during a shinty match?</v>
      </c>
      <c r="I106" s="3" t="str">
        <f>IFERROR(__xludf.DUMMYFUNCTION("GOOGLETRANSLATE(C106, ""it"", ""en"")"),"A. Yes B. No C. Only in cold weather D. Only goalkeepers can")</f>
        <v>A. Yes B. No C. Only in cold weather D. Only goalkeepers can</v>
      </c>
      <c r="J106" s="3" t="str">
        <f>IFERROR(__xludf.DUMMYFUNCTION("GOOGLETRANSLATE(D106, ""it"", ""en"")"),"Yes")</f>
        <v>Yes</v>
      </c>
      <c r="K106" s="3" t="str">
        <f>IFERROR(__xludf.DUMMYFUNCTION("GOOGLETRANSLATE(E106, ""it"", ""en"")"),"Gloves are allowed but must not give unfair advantage.")</f>
        <v>Gloves are allowed but must not give unfair advantage.</v>
      </c>
      <c r="L106" s="2"/>
      <c r="M106" s="2"/>
      <c r="N106" s="2"/>
      <c r="O106" s="2"/>
      <c r="P106" s="2"/>
      <c r="Q106" s="2"/>
      <c r="R106" s="2"/>
    </row>
    <row r="107" ht="22.5" customHeight="1">
      <c r="A107" s="3">
        <v>106.0</v>
      </c>
      <c r="B107" s="3" t="s">
        <v>3730</v>
      </c>
      <c r="C107" s="3" t="s">
        <v>3731</v>
      </c>
      <c r="D107" s="3" t="s">
        <v>3650</v>
      </c>
      <c r="E107" s="3" t="s">
        <v>3732</v>
      </c>
      <c r="F107" s="2"/>
      <c r="G107" s="3" t="str">
        <f>IFERROR(__xludf.DUMMYFUNCTION("GOOGLETRANSLATE(A107, ""it"", ""en"")"),"106")</f>
        <v>106</v>
      </c>
      <c r="H107" s="3" t="str">
        <f>IFERROR(__xludf.DUMMYFUNCTION("GOOGLETRANSLATE(B107, ""it"", ""en"")"),"What is the primary defensive tactic in shinty?")</f>
        <v>What is the primary defensive tactic in shinty?</v>
      </c>
      <c r="I107" s="3" t="str">
        <f>IFERROR(__xludf.DUMMYFUNCTION("GOOGLETRANSLATE(C107, ""it"", ""en"")"),"A. Blocking shots B. Marking opponents C. Tackling aggressively D. Clearing the ball")</f>
        <v>A. Blocking shots B. Marking opponents C. Tackling aggressively D. Clearing the ball</v>
      </c>
      <c r="J107" s="3" t="str">
        <f>IFERROR(__xludf.DUMMYFUNCTION("GOOGLETRANSLATE(D107, ""it"", ""en"")"),"Marking opponents")</f>
        <v>Marking opponents</v>
      </c>
      <c r="K107" s="3" t="str">
        <f>IFERROR(__xludf.DUMMYFUNCTION("GOOGLETRANSLATE(E107, ""it"", ""en"")"),"Marking is the key defensive strategy to prevent scoring opportunities.")</f>
        <v>Marking is the key defensive strategy to prevent scoring opportunities.</v>
      </c>
      <c r="L107" s="2"/>
      <c r="M107" s="2"/>
      <c r="N107" s="2"/>
      <c r="O107" s="2"/>
      <c r="P107" s="2"/>
      <c r="Q107" s="2"/>
      <c r="R107" s="2"/>
    </row>
    <row r="108" ht="22.5" customHeight="1">
      <c r="A108" s="3">
        <v>107.0</v>
      </c>
      <c r="B108" s="3" t="s">
        <v>3733</v>
      </c>
      <c r="C108" s="3" t="s">
        <v>3734</v>
      </c>
      <c r="D108" s="3" t="s">
        <v>3735</v>
      </c>
      <c r="E108" s="3" t="s">
        <v>3736</v>
      </c>
      <c r="F108" s="2"/>
      <c r="G108" s="3" t="str">
        <f>IFERROR(__xludf.DUMMYFUNCTION("GOOGLETRANSLATE(A108, ""it"", ""en"")"),"107")</f>
        <v>107</v>
      </c>
      <c r="H108" s="3" t="str">
        <f>IFERROR(__xludf.DUMMYFUNCTION("GOOGLETRANSLATE(B108, ""it"", ""en"")"),"What is a ""chip"" in shinty?")</f>
        <v>What is a "chip" in shinty?</v>
      </c>
      <c r="I108" s="3" t="str">
        <f>IFERROR(__xludf.DUMMYFUNCTION("GOOGLETRANSLATE(C108, ""it"", ""en"")"),"A. A short pass B. A high C. soft strike D. A defensive block")</f>
        <v>A. A short pass B. A high C. soft strike D. A defensive block</v>
      </c>
      <c r="J108" s="3" t="str">
        <f>IFERROR(__xludf.DUMMYFUNCTION("GOOGLETRANSLATE(D108, ""it"", ""en"")"),"A goal-scoring shot")</f>
        <v>A goal-scoring shot</v>
      </c>
      <c r="K108" s="3" t="str">
        <f>IFERROR(__xludf.DUMMYFUNCTION("GOOGLETRANSLATE(E108, ""it"", ""en"")"),"A high")</f>
        <v>A high</v>
      </c>
      <c r="L108" s="2"/>
      <c r="M108" s="2"/>
      <c r="N108" s="2"/>
      <c r="O108" s="2"/>
      <c r="P108" s="2"/>
      <c r="Q108" s="2"/>
      <c r="R108" s="2"/>
    </row>
    <row r="109" ht="22.5" customHeight="1">
      <c r="A109" s="3">
        <v>108.0</v>
      </c>
      <c r="B109" s="3" t="s">
        <v>3737</v>
      </c>
      <c r="C109" s="3" t="s">
        <v>3738</v>
      </c>
      <c r="D109" s="3" t="s">
        <v>3739</v>
      </c>
      <c r="E109" s="3" t="s">
        <v>3740</v>
      </c>
      <c r="F109" s="2"/>
      <c r="G109" s="3" t="str">
        <f>IFERROR(__xludf.DUMMYFUNCTION("GOOGLETRANSLATE(A109, ""it"", ""en"")"),"108")</f>
        <v>108</v>
      </c>
      <c r="H109" s="3" t="str">
        <f>IFERROR(__xludf.DUMMYFUNCTION("GOOGLETRANSLATE(B109, ""it"", ""en"")"),"How is a player disciplined for dangerous play?")</f>
        <v>How is a player disciplined for dangerous play?</v>
      </c>
      <c r="I109" s="3" t="str">
        <f>IFERROR(__xludf.DUMMYFUNCTION("GOOGLETRANSLATE(C109, ""it"", ""en"")"),"A. A free hit is awarded to the opponent B. A yellow card is shown C. A red card is shown D. They are sent off for 5 minutes")</f>
        <v>A. A free hit is awarded to the opponent B. A yellow card is shown C. A red card is shown D. They are sent off for 5 minutes</v>
      </c>
      <c r="J109" s="3" t="str">
        <f>IFERROR(__xludf.DUMMYFUNCTION("GOOGLETRANSLATE(D109, ""it"", ""en"")"),"A yellow card is shown")</f>
        <v>A yellow card is shown</v>
      </c>
      <c r="K109" s="3" t="str">
        <f>IFERROR(__xludf.DUMMYFUNCTION("GOOGLETRANSLATE(E109, ""it"", ""en"")"),"Dangerous play typically results in a yellow card.")</f>
        <v>Dangerous play typically results in a yellow card.</v>
      </c>
      <c r="L109" s="2"/>
      <c r="M109" s="2"/>
      <c r="N109" s="2"/>
      <c r="O109" s="2"/>
      <c r="P109" s="2"/>
      <c r="Q109" s="2"/>
      <c r="R109" s="2"/>
    </row>
    <row r="110" ht="22.5" customHeight="1">
      <c r="A110" s="3">
        <v>109.0</v>
      </c>
      <c r="B110" s="3" t="s">
        <v>3410</v>
      </c>
      <c r="C110" s="3" t="s">
        <v>3741</v>
      </c>
      <c r="D110" s="3" t="s">
        <v>3742</v>
      </c>
      <c r="E110" s="3" t="s">
        <v>3743</v>
      </c>
      <c r="F110" s="2"/>
      <c r="G110" s="3" t="str">
        <f>IFERROR(__xludf.DUMMYFUNCTION("GOOGLETRANSLATE(A110, ""it"", ""en"")"),"109")</f>
        <v>109</v>
      </c>
      <c r="H110" s="3" t="str">
        <f>IFERROR(__xludf.DUMMYFUNCTION("GOOGLETRANSLATE(B110, ""it"", ""en"")"),"What is the purpose of the center circle in shinty?")</f>
        <v>What is the purpose of the center circle in shinty?</v>
      </c>
      <c r="I110" s="3" t="str">
        <f>IFERROR(__xludf.DUMMYFUNCTION("GOOGLETRANSLATE(C110, ""it"", ""en"")"),"A. To mark the start of play B. To define the penalty area C. To indicate substitutions D. To set the offside rule")</f>
        <v>A. To mark the start of play B. To define the penalty area C. To indicate substitutions D. To set the offside rule</v>
      </c>
      <c r="J110" s="3" t="str">
        <f>IFERROR(__xludf.DUMMYFUNCTION("GOOGLETRANSLATE(D110, ""it"", ""en"")"),"To mark the start of play")</f>
        <v>To mark the start of play</v>
      </c>
      <c r="K110" s="3" t="str">
        <f>IFERROR(__xludf.DUMMYFUNCTION("GOOGLETRANSLATE(E110, ""it"", ""en"")"),"The center circle is where play begins at the start of each half.")</f>
        <v>The center circle is where play begins at the start of each half.</v>
      </c>
      <c r="L110" s="2"/>
      <c r="M110" s="2"/>
      <c r="N110" s="2"/>
      <c r="O110" s="2"/>
      <c r="P110" s="2"/>
      <c r="Q110" s="2"/>
      <c r="R110" s="2"/>
    </row>
    <row r="111" ht="22.5" customHeight="1">
      <c r="A111" s="3">
        <v>110.0</v>
      </c>
      <c r="B111" s="3" t="s">
        <v>3744</v>
      </c>
      <c r="C111" s="3" t="s">
        <v>3745</v>
      </c>
      <c r="D111" s="3" t="s">
        <v>3746</v>
      </c>
      <c r="E111" s="3" t="s">
        <v>3747</v>
      </c>
      <c r="F111" s="2"/>
      <c r="G111" s="3" t="str">
        <f>IFERROR(__xludf.DUMMYFUNCTION("GOOGLETRANSLATE(A111, ""it"", ""en"")"),"110")</f>
        <v>110</v>
      </c>
      <c r="H111" s="3" t="str">
        <f>IFERROR(__xludf.DUMMYFUNCTION("GOOGLETRANSLATE(B111, ""it"", ""en"")"),"What is the significance of the toss before the match?")</f>
        <v>What is the significance of the toss before the match?</v>
      </c>
      <c r="I111" s="3" t="str">
        <f>IFERROR(__xludf.DUMMYFUNCTION("GOOGLETRANSLATE(C111, ""it"", ""en"")"),"A. To choose the referee B. To decide the first possession C. To select the goal to defend D. To determine the match duration")</f>
        <v>A. To choose the referee B. To decide the first possession C. To select the goal to defend D. To determine the match duration</v>
      </c>
      <c r="J111" s="3" t="str">
        <f>IFERROR(__xludf.DUMMYFUNCTION("GOOGLETRANSLATE(D111, ""it"", ""en"")"),"To decide the first possession")</f>
        <v>To decide the first possession</v>
      </c>
      <c r="K111" s="3" t="str">
        <f>IFERROR(__xludf.DUMMYFUNCTION("GOOGLETRANSLATE(E111, ""it"", ""en"")"),"The toss determines which team starts with the ball.")</f>
        <v>The toss determines which team starts with the ball.</v>
      </c>
      <c r="L111" s="2"/>
      <c r="M111" s="2"/>
      <c r="N111" s="2"/>
      <c r="O111" s="2"/>
      <c r="P111" s="2"/>
      <c r="Q111" s="2"/>
      <c r="R111" s="2"/>
    </row>
    <row r="112" ht="22.5" customHeight="1">
      <c r="A112" s="3">
        <v>111.0</v>
      </c>
      <c r="B112" s="3" t="s">
        <v>3748</v>
      </c>
      <c r="C112" s="3" t="s">
        <v>3749</v>
      </c>
      <c r="D112" s="3" t="s">
        <v>1209</v>
      </c>
      <c r="E112" s="3" t="s">
        <v>3750</v>
      </c>
      <c r="F112" s="2"/>
      <c r="G112" s="3" t="str">
        <f>IFERROR(__xludf.DUMMYFUNCTION("GOOGLETRANSLATE(A112, ""it"", ""en"")"),"111")</f>
        <v>111</v>
      </c>
      <c r="H112" s="3" t="str">
        <f>IFERROR(__xludf.DUMMYFUNCTION("GOOGLETRANSLATE(B112, ""it"", ""en"")"),"Can a player score a goal with their body?")</f>
        <v>Can a player score a goal with their body?</v>
      </c>
      <c r="I112" s="3" t="str">
        <f>IFERROR(__xludf.DUMMYFUNCTION("GOOGLETRANSLATE(C112, ""it"", ""en"")"),"A. Yes B. No C. Only by accident D. Only in extra time")</f>
        <v>A. Yes B. No C. Only by accident D. Only in extra time</v>
      </c>
      <c r="J112" s="3" t="str">
        <f>IFERROR(__xludf.DUMMYFUNCTION("GOOGLETRANSLATE(D112, ""it"", ""en"")"),"No")</f>
        <v>No</v>
      </c>
      <c r="K112" s="3" t="str">
        <f>IFERROR(__xludf.DUMMYFUNCTION("GOOGLETRANSLATE(E112, ""it"", ""en"")"),"A goal must be scored using the caman")</f>
        <v>A goal must be scored using the caman</v>
      </c>
      <c r="L112" s="2"/>
      <c r="M112" s="2"/>
      <c r="N112" s="2"/>
      <c r="O112" s="2"/>
      <c r="P112" s="2"/>
      <c r="Q112" s="2"/>
      <c r="R112" s="2"/>
    </row>
    <row r="113" ht="22.5" customHeight="1">
      <c r="A113" s="3">
        <v>112.0</v>
      </c>
      <c r="B113" s="3" t="s">
        <v>3751</v>
      </c>
      <c r="C113" s="3" t="s">
        <v>3752</v>
      </c>
      <c r="D113" s="3" t="s">
        <v>3753</v>
      </c>
      <c r="E113" s="3" t="s">
        <v>3754</v>
      </c>
      <c r="F113" s="2"/>
      <c r="G113" s="3" t="str">
        <f>IFERROR(__xludf.DUMMYFUNCTION("GOOGLETRANSLATE(A113, ""it"", ""en"")"),"112")</f>
        <v>112</v>
      </c>
      <c r="H113" s="3" t="str">
        <f>IFERROR(__xludf.DUMMYFUNCTION("GOOGLETRANSLATE(B113, ""it"", ""en"")"),"What happens if a goal is disallowed?")</f>
        <v>What happens if a goal is disallowed?</v>
      </c>
      <c r="I113" s="3" t="str">
        <f>IFERROR(__xludf.DUMMYFUNCTION("GOOGLETRANSLATE(C113, ""it"", ""en"")"),"A. The match restarts with a throw-in B. The match restarts with a free hit C. The referee gives a penalty D. The match restarts with a hit-in")</f>
        <v>A. The match restarts with a throw-in B. The match restarts with a free hit C. The referee gives a penalty D. The match restarts with a hit-in</v>
      </c>
      <c r="J113" s="3" t="str">
        <f>IFERROR(__xludf.DUMMYFUNCTION("GOOGLETRANSLATE(D113, ""it"", ""en"")"),"The match restarts with a free hit")</f>
        <v>The match restarts with a free hit</v>
      </c>
      <c r="K113" s="3" t="str">
        <f>IFERROR(__xludf.DUMMYFUNCTION("GOOGLETRANSLATE(E113, ""it"", ""en"")"),"Disallowed goals lead to a free hit for the defending team.")</f>
        <v>Disallowed goals lead to a free hit for the defending team.</v>
      </c>
      <c r="L113" s="2"/>
      <c r="M113" s="2"/>
      <c r="N113" s="2"/>
      <c r="O113" s="2"/>
      <c r="P113" s="2"/>
      <c r="Q113" s="2"/>
      <c r="R113" s="2"/>
    </row>
    <row r="114" ht="22.5" customHeight="1">
      <c r="A114" s="3">
        <v>113.0</v>
      </c>
      <c r="B114" s="3" t="s">
        <v>3755</v>
      </c>
      <c r="C114" s="3" t="s">
        <v>3756</v>
      </c>
      <c r="D114" s="3" t="s">
        <v>3757</v>
      </c>
      <c r="E114" s="3" t="s">
        <v>3758</v>
      </c>
      <c r="F114" s="2"/>
      <c r="G114" s="3" t="str">
        <f>IFERROR(__xludf.DUMMYFUNCTION("GOOGLETRANSLATE(A114, ""it"", ""en"")"),"113")</f>
        <v>113</v>
      </c>
      <c r="H114" s="3" t="str">
        <f>IFERROR(__xludf.DUMMYFUNCTION("GOOGLETRANSLATE(B114, ""it"", ""en"")"),"What is the key skill required for a forward in shinty?")</f>
        <v>What is the key skill required for a forward in shinty?</v>
      </c>
      <c r="I114" s="3" t="str">
        <f>IFERROR(__xludf.DUMMYFUNCTION("GOOGLETRANSLATE(C114, ""it"", ""en"")"),"A. Defensive marking B. Goal-scoring ability C. Refereeing skills D. Passing accuracy")</f>
        <v>A. Defensive marking B. Goal-scoring ability C. Refereeing skills D. Passing accuracy</v>
      </c>
      <c r="J114" s="3" t="str">
        <f>IFERROR(__xludf.DUMMYFUNCTION("GOOGLETRANSLATE(D114, ""it"", ""en"")"),"Goal-scoring ability")</f>
        <v>Goal-scoring ability</v>
      </c>
      <c r="K114" s="3" t="str">
        <f>IFERROR(__xludf.DUMMYFUNCTION("GOOGLETRANSLATE(E114, ""it"", ""en"")"),"Forwards need to excel in scoring goals.")</f>
        <v>Forwards need to excel in scoring goals.</v>
      </c>
      <c r="L114" s="2"/>
      <c r="M114" s="2"/>
      <c r="N114" s="2"/>
      <c r="O114" s="2"/>
      <c r="P114" s="2"/>
      <c r="Q114" s="2"/>
      <c r="R114" s="2"/>
    </row>
    <row r="115" ht="22.5" customHeight="1">
      <c r="A115" s="3">
        <v>114.0</v>
      </c>
      <c r="B115" s="3" t="s">
        <v>3759</v>
      </c>
      <c r="C115" s="3" t="s">
        <v>3760</v>
      </c>
      <c r="D115" s="3" t="s">
        <v>3761</v>
      </c>
      <c r="E115" s="3" t="s">
        <v>3762</v>
      </c>
      <c r="F115" s="2"/>
      <c r="G115" s="3" t="str">
        <f>IFERROR(__xludf.DUMMYFUNCTION("GOOGLETRANSLATE(A115, ""it"", ""en"")"),"114")</f>
        <v>114</v>
      </c>
      <c r="H115" s="3" t="str">
        <f>IFERROR(__xludf.DUMMYFUNCTION("GOOGLETRANSLATE(B115, ""it"", ""en"")"),"What is the role of a referee's assistant in shinty?")</f>
        <v>What is the role of a referee's assistant in shinty?</v>
      </c>
      <c r="I115" s="3" t="str">
        <f>IFERROR(__xludf.DUMMYFUNCTION("GOOGLETRANSLATE(C115, ""it"", ""en"")"),"A. To manage player discipline B. To assist with offsides C. To monitor the sidelines and assist with decisions D. To keep time")</f>
        <v>A. To manage player discipline B. To assist with offsides C. To monitor the sidelines and assist with decisions D. To keep time</v>
      </c>
      <c r="J115" s="3" t="str">
        <f>IFERROR(__xludf.DUMMYFUNCTION("GOOGLETRANSLATE(D115, ""it"", ""en"")"),"To monitor the sidelines and assist with decisions")</f>
        <v>To monitor the sidelines and assist with decisions</v>
      </c>
      <c r="K115" s="3" t="str">
        <f>IFERROR(__xludf.DUMMYFUNCTION("GOOGLETRANSLATE(E115, ""it"", ""en"")"),"Referee's assistants ensure fairness on the sidelines.")</f>
        <v>Referee's assistants ensure fairness on the sidelines.</v>
      </c>
      <c r="L115" s="2"/>
      <c r="M115" s="2"/>
      <c r="N115" s="2"/>
      <c r="O115" s="2"/>
      <c r="P115" s="2"/>
      <c r="Q115" s="2"/>
      <c r="R115" s="2"/>
    </row>
    <row r="116" ht="22.5" customHeight="1">
      <c r="A116" s="3">
        <v>115.0</v>
      </c>
      <c r="B116" s="3" t="s">
        <v>3763</v>
      </c>
      <c r="C116" s="3" t="s">
        <v>3764</v>
      </c>
      <c r="D116" s="3" t="s">
        <v>3765</v>
      </c>
      <c r="E116" s="3" t="s">
        <v>3766</v>
      </c>
      <c r="F116" s="2"/>
      <c r="G116" s="3" t="str">
        <f>IFERROR(__xludf.DUMMYFUNCTION("GOOGLETRANSLATE(A116, ""it"", ""en"")"),"115")</f>
        <v>115</v>
      </c>
      <c r="H116" s="3" t="str">
        <f>IFERROR(__xludf.DUMMYFUNCTION("GOOGLETRANSLATE(B116, ""it"", ""en"")"),"What is the maximum allowed length of a shinty pitch?")</f>
        <v>What is the maximum allowed length of a shinty pitch?</v>
      </c>
      <c r="I116" s="3" t="str">
        <f>IFERROR(__xludf.DUMMYFUNCTION("GOOGLETRANSLATE(C116, ""it"", ""en"")"),"A. 160 yards B. 180 yards C. 200 yards D. 220 yards")</f>
        <v>A. 160 yards B. 180 yards C. 200 yards D. 220 yards</v>
      </c>
      <c r="J116" s="3" t="str">
        <f>IFERROR(__xludf.DUMMYFUNCTION("GOOGLETRANSLATE(D116, ""it"", ""en"")"),"180 yards")</f>
        <v>180 yards</v>
      </c>
      <c r="K116" s="3" t="str">
        <f>IFERROR(__xludf.DUMMYFUNCTION("GOOGLETRANSLATE(E116, ""it"", ""en"")"),"A shinty pitch can be up to 180 yards long.")</f>
        <v>A shinty pitch can be up to 180 yards long.</v>
      </c>
      <c r="L116" s="2"/>
      <c r="M116" s="2"/>
      <c r="N116" s="2"/>
      <c r="O116" s="2"/>
      <c r="P116" s="2"/>
      <c r="Q116" s="2"/>
      <c r="R116" s="2"/>
    </row>
    <row r="117" ht="22.5" customHeight="1">
      <c r="A117" s="3">
        <v>116.0</v>
      </c>
      <c r="B117" s="3" t="s">
        <v>3767</v>
      </c>
      <c r="C117" s="3" t="s">
        <v>3768</v>
      </c>
      <c r="D117" s="3" t="s">
        <v>3769</v>
      </c>
      <c r="E117" s="3" t="s">
        <v>3770</v>
      </c>
      <c r="F117" s="2"/>
      <c r="G117" s="3" t="str">
        <f>IFERROR(__xludf.DUMMYFUNCTION("GOOGLETRANSLATE(A117, ""it"", ""en"")"),"116")</f>
        <v>116</v>
      </c>
      <c r="H117" s="3" t="str">
        <f>IFERROR(__xludf.DUMMYFUNCTION("GOOGLETRANSLATE(B117, ""it"", ""en"")"),"What material is modern protective gear made of in shinty?")</f>
        <v>What material is modern protective gear made of in shinty?</v>
      </c>
      <c r="I117" s="3" t="str">
        <f>IFERROR(__xludf.DUMMYFUNCTION("GOOGLETRANSLATE(C117, ""it"", ""en"")"),"A. Wood B. Metal C. Plastic and foam D. Fiberglass")</f>
        <v>A. Wood B. Metal C. Plastic and foam D. Fiberglass</v>
      </c>
      <c r="J117" s="3" t="str">
        <f>IFERROR(__xludf.DUMMYFUNCTION("GOOGLETRANSLATE(D117, ""it"", ""en"")"),"Plastic and foam")</f>
        <v>Plastic and foam</v>
      </c>
      <c r="K117" s="3" t="str">
        <f>IFERROR(__xludf.DUMMYFUNCTION("GOOGLETRANSLATE(E117, ""it"", ""en"")"),"Modern protective gear is lightweight and durable.")</f>
        <v>Modern protective gear is lightweight and durable.</v>
      </c>
      <c r="L117" s="2"/>
      <c r="M117" s="2"/>
      <c r="N117" s="2"/>
      <c r="O117" s="2"/>
      <c r="P117" s="2"/>
      <c r="Q117" s="2"/>
      <c r="R117" s="2"/>
    </row>
    <row r="118" ht="22.5" customHeight="1">
      <c r="A118" s="3">
        <v>117.0</v>
      </c>
      <c r="B118" s="3" t="s">
        <v>3771</v>
      </c>
      <c r="C118" s="3" t="s">
        <v>3772</v>
      </c>
      <c r="D118" s="3" t="s">
        <v>3773</v>
      </c>
      <c r="E118" s="3" t="s">
        <v>3774</v>
      </c>
      <c r="F118" s="2"/>
      <c r="G118" s="3" t="str">
        <f>IFERROR(__xludf.DUMMYFUNCTION("GOOGLETRANSLATE(A118, ""it"", ""en"")"),"117")</f>
        <v>117</v>
      </c>
      <c r="H118" s="3" t="str">
        <f>IFERROR(__xludf.DUMMYFUNCTION("GOOGLETRANSLATE(B118, ""it"", ""en"")"),"What happens if the caman is broken during play?")</f>
        <v>What happens if the caman is broken during play?</v>
      </c>
      <c r="I118" s="3" t="str">
        <f>IFERROR(__xludf.DUMMYFUNCTION("GOOGLETRANSLATE(C118, ""it"", ""en"")"),"A. The player must leave the field B. The player must use a spare cam C. The referee stops play D. The opposing team gets a free hit")</f>
        <v>A. The player must leave the field B. The player must use a spare cam C. The referee stops play D. The opposing team gets a free hit</v>
      </c>
      <c r="J118" s="3" t="str">
        <f>IFERROR(__xludf.DUMMYFUNCTION("GOOGLETRANSLATE(D118, ""it"", ""en"")"),"The player must use a spare caman")</f>
        <v>The player must use a spare caman</v>
      </c>
      <c r="K118" s="3" t="str">
        <f>IFERROR(__xludf.DUMMYFUNCTION("GOOGLETRANSLATE(E118, ""it"", ""en"")"),"Players must replace broken equipment immediately.")</f>
        <v>Players must replace broken equipment immediately.</v>
      </c>
      <c r="L118" s="2"/>
      <c r="M118" s="2"/>
      <c r="N118" s="2"/>
      <c r="O118" s="2"/>
      <c r="P118" s="2"/>
      <c r="Q118" s="2"/>
      <c r="R118" s="2"/>
    </row>
    <row r="119" ht="22.5" customHeight="1">
      <c r="A119" s="3">
        <v>118.0</v>
      </c>
      <c r="B119" s="3" t="s">
        <v>3775</v>
      </c>
      <c r="C119" s="3" t="s">
        <v>3776</v>
      </c>
      <c r="D119" s="3" t="s">
        <v>1209</v>
      </c>
      <c r="E119" s="3" t="s">
        <v>3777</v>
      </c>
      <c r="F119" s="2"/>
      <c r="G119" s="3" t="str">
        <f>IFERROR(__xludf.DUMMYFUNCTION("GOOGLETRANSLATE(A119, ""it"", ""en"")"),"118")</f>
        <v>118</v>
      </c>
      <c r="H119" s="3" t="str">
        <f>IFERROR(__xludf.DUMMYFUNCTION("GOOGLETRANSLATE(B119, ""it"", ""en"")"),"Can a player re-enter the game after being substituted in shinty?")</f>
        <v>Can a player re-enter the game after being substituted in shinty?</v>
      </c>
      <c r="I119" s="3" t="str">
        <f>IFERROR(__xludf.DUMMYFUNCTION("GOOGLETRANSLATE(C119, ""it"", ""en"")"),"A. Yes B. No C. Only if approved by the referee D. Only in extra time")</f>
        <v>A. Yes B. No C. Only if approved by the referee D. Only in extra time</v>
      </c>
      <c r="J119" s="3" t="str">
        <f>IFERROR(__xludf.DUMMYFUNCTION("GOOGLETRANSLATE(D119, ""it"", ""en"")"),"No")</f>
        <v>No</v>
      </c>
      <c r="K119" s="3" t="str">
        <f>IFERROR(__xludf.DUMMYFUNCTION("GOOGLETRANSLATE(E119, ""it"", ""en"")"),"Once substituted")</f>
        <v>Once substituted</v>
      </c>
      <c r="L119" s="2"/>
      <c r="M119" s="2"/>
      <c r="N119" s="2"/>
      <c r="O119" s="2"/>
      <c r="P119" s="2"/>
      <c r="Q119" s="2"/>
      <c r="R119" s="2"/>
    </row>
    <row r="120" ht="22.5" customHeight="1">
      <c r="A120" s="3">
        <v>119.0</v>
      </c>
      <c r="B120" s="3" t="s">
        <v>3778</v>
      </c>
      <c r="C120" s="3" t="s">
        <v>3779</v>
      </c>
      <c r="D120" s="3" t="s">
        <v>3522</v>
      </c>
      <c r="E120" s="3" t="s">
        <v>3780</v>
      </c>
      <c r="F120" s="2"/>
      <c r="G120" s="3" t="str">
        <f>IFERROR(__xludf.DUMMYFUNCTION("GOOGLETRANSLATE(A120, ""it"", ""en"")"),"119")</f>
        <v>119</v>
      </c>
      <c r="H120" s="3" t="str">
        <f>IFERROR(__xludf.DUMMYFUNCTION("GOOGLETRANSLATE(B120, ""it"", ""en"")"),"What is the penalty for time-wasting in shinty?")</f>
        <v>What is the penalty for time-wasting in shinty?</v>
      </c>
      <c r="I120" s="3" t="str">
        <f>IFERROR(__xludf.DUMMYFUNCTION("GOOGLETRANSLATE(C120, ""it"", ""en"")"),"A. A yellow card B. A free hit C. A red card D. Loss of possession")</f>
        <v>A. A yellow card B. A free hit C. A red card D. Loss of possession</v>
      </c>
      <c r="J120" s="3" t="str">
        <f>IFERROR(__xludf.DUMMYFUNCTION("GOOGLETRANSLATE(D120, ""it"", ""en"")"),"A free hit")</f>
        <v>A free hit</v>
      </c>
      <c r="K120" s="3" t="str">
        <f>IFERROR(__xludf.DUMMYFUNCTION("GOOGLETRANSLATE(E120, ""it"", ""en"")"),"Time-wasting results in a free hit for the opposition.")</f>
        <v>Time-wasting results in a free hit for the opposition.</v>
      </c>
      <c r="L120" s="2"/>
      <c r="M120" s="2"/>
      <c r="N120" s="2"/>
      <c r="O120" s="2"/>
      <c r="P120" s="2"/>
      <c r="Q120" s="2"/>
      <c r="R120" s="2"/>
    </row>
    <row r="121" ht="22.5" customHeight="1">
      <c r="A121" s="3">
        <v>120.0</v>
      </c>
      <c r="B121" s="3" t="s">
        <v>3781</v>
      </c>
      <c r="C121" s="3" t="s">
        <v>3782</v>
      </c>
      <c r="D121" s="3" t="s">
        <v>3783</v>
      </c>
      <c r="E121" s="3" t="s">
        <v>3784</v>
      </c>
      <c r="F121" s="2"/>
      <c r="G121" s="3" t="str">
        <f>IFERROR(__xludf.DUMMYFUNCTION("GOOGLETRANSLATE(A121, ""it"", ""en"")"),"120")</f>
        <v>120</v>
      </c>
      <c r="H121" s="3" t="str">
        <f>IFERROR(__xludf.DUMMYFUNCTION("GOOGLETRANSLATE(B121, ""it"", ""en"")"),"What is a common strategy for attackers in shinty?")</f>
        <v>What is a common strategy for attackers in shinty?</v>
      </c>
      <c r="I121" s="3" t="str">
        <f>IFERROR(__xludf.DUMMYFUNCTION("GOOGLETRANSLATE(C121, ""it"", ""en"")"),"A. Man-marking B. Passing and movement C. Defensive clearing D. Holding possession")</f>
        <v>A. Man-marking B. Passing and movement C. Defensive clearing D. Holding possession</v>
      </c>
      <c r="J121" s="3" t="str">
        <f>IFERROR(__xludf.DUMMYFUNCTION("GOOGLETRANSLATE(D121, ""it"", ""en"")"),"Passing and movement")</f>
        <v>Passing and movement</v>
      </c>
      <c r="K121" s="3" t="str">
        <f>IFERROR(__xludf.DUMMYFUNCTION("GOOGLETRANSLATE(E121, ""it"", ""en"")"),"Attackers focus on quick passes and movement to create scoring opportunities.")</f>
        <v>Attackers focus on quick passes and movement to create scoring opportunities.</v>
      </c>
      <c r="L121" s="2"/>
      <c r="M121" s="2"/>
      <c r="N121" s="2"/>
      <c r="O121" s="2"/>
      <c r="P121" s="2"/>
      <c r="Q121" s="2"/>
      <c r="R121" s="2"/>
    </row>
    <row r="122" ht="22.5" customHeight="1">
      <c r="A122" s="3">
        <v>121.0</v>
      </c>
      <c r="B122" s="3" t="s">
        <v>3785</v>
      </c>
      <c r="C122" s="3" t="s">
        <v>3786</v>
      </c>
      <c r="D122" s="3" t="s">
        <v>3402</v>
      </c>
      <c r="E122" s="3" t="s">
        <v>3787</v>
      </c>
      <c r="F122" s="2"/>
      <c r="G122" s="3" t="str">
        <f>IFERROR(__xludf.DUMMYFUNCTION("GOOGLETRANSLATE(A122, ""it"", ""en"")"),"121")</f>
        <v>121</v>
      </c>
      <c r="H122" s="3" t="str">
        <f>IFERROR(__xludf.DUMMYFUNCTION("GOOGLETRANSLATE(B122, ""it"", ""en"")"),"What is the standard width of a shinty goal?")</f>
        <v>What is the standard width of a shinty goal?</v>
      </c>
      <c r="I122" s="3" t="str">
        <f>IFERROR(__xludf.DUMMYFUNCTION("GOOGLETRANSLATE(C122, ""it"", ""en"")"),"A. 8 feet B. 10 feet C. 12 feet D. 14 feet")</f>
        <v>A. 8 feet B. 10 feet C. 12 feet D. 14 feet</v>
      </c>
      <c r="J122" s="3" t="str">
        <f>IFERROR(__xludf.DUMMYFUNCTION("GOOGLETRANSLATE(D122, ""it"", ""en"")"),"12 feet")</f>
        <v>12 feet</v>
      </c>
      <c r="K122" s="3" t="str">
        <f>IFERROR(__xludf.DUMMYFUNCTION("GOOGLETRANSLATE(E122, ""it"", ""en"")"),"Shinty goals are typically 12 feet wide.")</f>
        <v>Shinty goals are typically 12 feet wide.</v>
      </c>
      <c r="L122" s="2"/>
      <c r="M122" s="2"/>
      <c r="N122" s="2"/>
      <c r="O122" s="2"/>
      <c r="P122" s="2"/>
      <c r="Q122" s="2"/>
      <c r="R122" s="2"/>
    </row>
    <row r="123" ht="22.5" customHeight="1">
      <c r="A123" s="3">
        <v>122.0</v>
      </c>
      <c r="B123" s="3" t="s">
        <v>3788</v>
      </c>
      <c r="C123" s="3" t="s">
        <v>3405</v>
      </c>
      <c r="D123" s="3" t="s">
        <v>3406</v>
      </c>
      <c r="E123" s="3" t="s">
        <v>3789</v>
      </c>
      <c r="F123" s="2"/>
      <c r="G123" s="3" t="str">
        <f>IFERROR(__xludf.DUMMYFUNCTION("GOOGLETRANSLATE(A123, ""it"", ""en"")"),"122")</f>
        <v>122</v>
      </c>
      <c r="H123" s="3" t="str">
        <f>IFERROR(__xludf.DUMMYFUNCTION("GOOGLETRANSLATE(B123, ""it"", ""en"")"),"What is the standard height of a shinty goal?")</f>
        <v>What is the standard height of a shinty goal?</v>
      </c>
      <c r="I123" s="3" t="str">
        <f>IFERROR(__xludf.DUMMYFUNCTION("GOOGLETRANSLATE(C123, ""it"", ""en"")"),"A. 6 feet B. 8 feet C. 10 feet D. 12 feet")</f>
        <v>A. 6 feet B. 8 feet C. 10 feet D. 12 feet</v>
      </c>
      <c r="J123" s="3" t="str">
        <f>IFERROR(__xludf.DUMMYFUNCTION("GOOGLETRANSLATE(D123, ""it"", ""en"")"),"10 feet")</f>
        <v>10 feet</v>
      </c>
      <c r="K123" s="3" t="str">
        <f>IFERROR(__xludf.DUMMYFUNCTION("GOOGLETRANSLATE(E123, ""it"", ""en"")"),"Shinty goals are typically 10 feet high.")</f>
        <v>Shinty goals are typically 10 feet high.</v>
      </c>
      <c r="L123" s="2"/>
      <c r="M123" s="2"/>
      <c r="N123" s="2"/>
      <c r="O123" s="2"/>
      <c r="P123" s="2"/>
      <c r="Q123" s="2"/>
      <c r="R123" s="2"/>
    </row>
    <row r="124" ht="22.5" customHeight="1">
      <c r="A124" s="3">
        <v>123.0</v>
      </c>
      <c r="B124" s="3" t="s">
        <v>3790</v>
      </c>
      <c r="C124" s="3" t="s">
        <v>3791</v>
      </c>
      <c r="D124" s="3" t="s">
        <v>3792</v>
      </c>
      <c r="E124" s="3" t="s">
        <v>3793</v>
      </c>
      <c r="F124" s="2"/>
      <c r="G124" s="3" t="str">
        <f>IFERROR(__xludf.DUMMYFUNCTION("GOOGLETRANSLATE(A124, ""it"", ""en"")"),"123")</f>
        <v>123</v>
      </c>
      <c r="H124" s="3" t="str">
        <f>IFERROR(__xludf.DUMMYFUNCTION("GOOGLETRANSLATE(B124, ""it"", ""en"")"),"What happens when the ball goes out of play on the sideline?")</f>
        <v>What happens when the ball goes out of play on the sideline?</v>
      </c>
      <c r="I124" s="3" t="str">
        <f>IFERROR(__xludf.DUMMYFUNCTION("GOOGLETRANSLATE(C124, ""it"", ""en"")"),"A. A hit-in is awarded B. A free hit is given C. A penalty hit is awarded D. The game is restarted with a throw-in")</f>
        <v>A. A hit-in is awarded B. A free hit is given C. A penalty hit is awarded D. The game is restarted with a throw-in</v>
      </c>
      <c r="J124" s="3" t="str">
        <f>IFERROR(__xludf.DUMMYFUNCTION("GOOGLETRANSLATE(D124, ""it"", ""en"")"),"A hit-in is awarded")</f>
        <v>A hit-in is awarded</v>
      </c>
      <c r="K124" s="3" t="str">
        <f>IFERROR(__xludf.DUMMYFUNCTION("GOOGLETRANSLATE(E124, ""it"", ""en"")"),"A hit-in is used to restart play from the sideline.")</f>
        <v>A hit-in is used to restart play from the sideline.</v>
      </c>
      <c r="L124" s="2"/>
      <c r="M124" s="2"/>
      <c r="N124" s="2"/>
      <c r="O124" s="2"/>
      <c r="P124" s="2"/>
      <c r="Q124" s="2"/>
      <c r="R124" s="2"/>
    </row>
    <row r="125" ht="22.5" customHeight="1">
      <c r="A125" s="3">
        <v>124.0</v>
      </c>
      <c r="B125" s="3" t="s">
        <v>3794</v>
      </c>
      <c r="C125" s="3" t="s">
        <v>3795</v>
      </c>
      <c r="D125" s="3" t="s">
        <v>1209</v>
      </c>
      <c r="E125" s="3" t="s">
        <v>3796</v>
      </c>
      <c r="F125" s="2"/>
      <c r="G125" s="3" t="str">
        <f>IFERROR(__xludf.DUMMYFUNCTION("GOOGLETRANSLATE(A125, ""it"", ""en"")"),"124")</f>
        <v>124</v>
      </c>
      <c r="H125" s="3" t="str">
        <f>IFERROR(__xludf.DUMMYFUNCTION("GOOGLETRANSLATE(B125, ""it"", ""en"")"),"Can a goalkeeper use their hands outside the goal crease in shinty?")</f>
        <v>Can a goalkeeper use their hands outside the goal crease in shinty?</v>
      </c>
      <c r="I125" s="3" t="str">
        <f>IFERROR(__xludf.DUMMYFUNCTION("GOOGLETRANSLATE(C125, ""it"", ""en"")"),"A. Yes B. No C. Only to stop a goal D. Only if the referee allows")</f>
        <v>A. Yes B. No C. Only to stop a goal D. Only if the referee allows</v>
      </c>
      <c r="J125" s="3" t="str">
        <f>IFERROR(__xludf.DUMMYFUNCTION("GOOGLETRANSLATE(D125, ""it"", ""en"")"),"No")</f>
        <v>No</v>
      </c>
      <c r="K125" s="3" t="str">
        <f>IFERROR(__xludf.DUMMYFUNCTION("GOOGLETRANSLATE(E125, ""it"", ""en"")"),"Goalkeepers cannot use their hands outside the goal crease.")</f>
        <v>Goalkeepers cannot use their hands outside the goal crease.</v>
      </c>
      <c r="L125" s="2"/>
      <c r="M125" s="2"/>
      <c r="N125" s="2"/>
      <c r="O125" s="2"/>
      <c r="P125" s="2"/>
      <c r="Q125" s="2"/>
      <c r="R125" s="2"/>
    </row>
    <row r="126" ht="22.5" customHeight="1">
      <c r="A126" s="3">
        <v>125.0</v>
      </c>
      <c r="B126" s="3" t="s">
        <v>3797</v>
      </c>
      <c r="C126" s="3" t="s">
        <v>3798</v>
      </c>
      <c r="D126" s="3">
        <v>16.0</v>
      </c>
      <c r="E126" s="3" t="s">
        <v>3799</v>
      </c>
      <c r="F126" s="2"/>
      <c r="G126" s="3" t="str">
        <f>IFERROR(__xludf.DUMMYFUNCTION("GOOGLETRANSLATE(A126, ""it"", ""en"")"),"125")</f>
        <v>125</v>
      </c>
      <c r="H126" s="3" t="str">
        <f>IFERROR(__xludf.DUMMYFUNCTION("GOOGLETRANSLATE(B126, ""it"", ""en"")"),"What is the minimum age for senior-level shinty players?")</f>
        <v>What is the minimum age for senior-level shinty players?</v>
      </c>
      <c r="I126" s="3" t="str">
        <f>IFERROR(__xludf.DUMMYFUNCTION("GOOGLETRANSLATE(C126, ""it"", ""en"")"),"A. 14 B. 16 C. 18 D. 21")</f>
        <v>A. 14 B. 16 C. 18 D. 21</v>
      </c>
      <c r="J126" s="3" t="str">
        <f>IFERROR(__xludf.DUMMYFUNCTION("GOOGLETRANSLATE(D126, ""it"", ""en"")"),"16")</f>
        <v>16</v>
      </c>
      <c r="K126" s="3" t="str">
        <f>IFERROR(__xludf.DUMMYFUNCTION("GOOGLETRANSLATE(E126, ""it"", ""en"")"),"Players must be at least 16 years old to compete at the senior level.")</f>
        <v>Players must be at least 16 years old to compete at the senior level.</v>
      </c>
      <c r="L126" s="2"/>
      <c r="M126" s="2"/>
      <c r="N126" s="2"/>
      <c r="O126" s="2"/>
      <c r="P126" s="2"/>
      <c r="Q126" s="2"/>
      <c r="R126" s="2"/>
    </row>
    <row r="127" ht="22.5" customHeight="1">
      <c r="A127" s="3">
        <v>126.0</v>
      </c>
      <c r="B127" s="3" t="s">
        <v>3800</v>
      </c>
      <c r="C127" s="3" t="s">
        <v>3801</v>
      </c>
      <c r="D127" s="3" t="s">
        <v>3802</v>
      </c>
      <c r="E127" s="3" t="s">
        <v>3803</v>
      </c>
      <c r="F127" s="2"/>
      <c r="G127" s="3" t="str">
        <f>IFERROR(__xludf.DUMMYFUNCTION("GOOGLETRANSLATE(A127, ""it"", ""en"")"),"126")</f>
        <v>126</v>
      </c>
      <c r="H127" s="3" t="str">
        <f>IFERROR(__xludf.DUMMYFUNCTION("GOOGLETRANSLATE(B127, ""it"", ""en"")"),"What happens if both teams score the same number of goals?")</f>
        <v>What happens if both teams score the same number of goals?</v>
      </c>
      <c r="I127" s="3" t="str">
        <f>IFERROR(__xludf.DUMMYFUNCTION("GOOGLETRANSLATE(C127, ""it"", ""en"")"),"A. The match is drawn B. Extra time is played C. A penalty shootout is held D. A rematch is scheduled")</f>
        <v>A. The match is drawn B. Extra time is played C. A penalty shootout is held D. A rematch is scheduled</v>
      </c>
      <c r="J127" s="3" t="str">
        <f>IFERROR(__xludf.DUMMYFUNCTION("GOOGLETRANSLATE(D127, ""it"", ""en"")"),"The match is drawn")</f>
        <v>The match is drawn</v>
      </c>
      <c r="K127" s="3" t="str">
        <f>IFERROR(__xludf.DUMMYFUNCTION("GOOGLETRANSLATE(E127, ""it"", ""en"")"),"In regular matches")</f>
        <v>In regular matches</v>
      </c>
      <c r="L127" s="2"/>
      <c r="M127" s="2"/>
      <c r="N127" s="2"/>
      <c r="O127" s="2"/>
      <c r="P127" s="2"/>
      <c r="Q127" s="2"/>
      <c r="R127" s="2"/>
    </row>
    <row r="128" ht="22.5" customHeight="1">
      <c r="A128" s="3">
        <v>127.0</v>
      </c>
      <c r="B128" s="3" t="s">
        <v>3804</v>
      </c>
      <c r="C128" s="3" t="s">
        <v>3805</v>
      </c>
      <c r="D128" s="3" t="s">
        <v>3806</v>
      </c>
      <c r="E128" s="3" t="s">
        <v>3807</v>
      </c>
      <c r="F128" s="2"/>
      <c r="G128" s="3" t="str">
        <f>IFERROR(__xludf.DUMMYFUNCTION("GOOGLETRANSLATE(A128, ""it"", ""en"")"),"127")</f>
        <v>127</v>
      </c>
      <c r="H128" s="3" t="str">
        <f>IFERROR(__xludf.DUMMYFUNCTION("GOOGLETRANSLATE(B128, ""it"", ""en"")"),"What is the referee's primary duty in shinty?")</f>
        <v>What is the referee's primary duty in shinty?</v>
      </c>
      <c r="I128" s="3" t="str">
        <f>IFERROR(__xludf.DUMMYFUNCTION("GOOGLETRANSLATE(C128, ""it"", ""en"")"),"A. To enforce the rules B. To score goals C. To coach the players D. To manage substitutions")</f>
        <v>A. To enforce the rules B. To score goals C. To coach the players D. To manage substitutions</v>
      </c>
      <c r="J128" s="3" t="str">
        <f>IFERROR(__xludf.DUMMYFUNCTION("GOOGLETRANSLATE(D128, ""it"", ""en"")"),"To enforce the rules")</f>
        <v>To enforce the rules</v>
      </c>
      <c r="K128" s="3" t="str">
        <f>IFERROR(__xludf.DUMMYFUNCTION("GOOGLETRANSLATE(E128, ""it"", ""en"")"),"The referee ensures the match follows the rules.")</f>
        <v>The referee ensures the match follows the rules.</v>
      </c>
      <c r="L128" s="2"/>
      <c r="M128" s="2"/>
      <c r="N128" s="2"/>
      <c r="O128" s="2"/>
      <c r="P128" s="2"/>
      <c r="Q128" s="2"/>
      <c r="R128" s="2"/>
    </row>
    <row r="129" ht="22.5" customHeight="1">
      <c r="A129" s="3">
        <v>128.0</v>
      </c>
      <c r="B129" s="3" t="s">
        <v>3808</v>
      </c>
      <c r="C129" s="3" t="s">
        <v>3809</v>
      </c>
      <c r="D129" s="3" t="s">
        <v>3810</v>
      </c>
      <c r="E129" s="3" t="s">
        <v>3811</v>
      </c>
      <c r="F129" s="2"/>
      <c r="G129" s="3" t="str">
        <f>IFERROR(__xludf.DUMMYFUNCTION("GOOGLETRANSLATE(A129, ""it"", ""en"")"),"128")</f>
        <v>128</v>
      </c>
      <c r="H129" s="3" t="str">
        <f>IFERROR(__xludf.DUMMYFUNCTION("GOOGLETRANSLATE(B129, ""it"", ""en"")"),"What is the typical duration of a women's shinty match?")</f>
        <v>What is the typical duration of a women's shinty match?</v>
      </c>
      <c r="I129" s="3" t="str">
        <f>IFERROR(__xludf.DUMMYFUNCTION("GOOGLETRANSLATE(C129, ""it"", ""en"")"),"A. 50 minutes B. 60 minutes C. 70 minutes D. 80 minutes")</f>
        <v>A. 50 minutes B. 60 minutes C. 70 minutes D. 80 minutes</v>
      </c>
      <c r="J129" s="3" t="str">
        <f>IFERROR(__xludf.DUMMYFUNCTION("GOOGLETRANSLATE(D129, ""it"", ""en"")"),"70 minutes")</f>
        <v>70 minutes</v>
      </c>
      <c r="K129" s="3" t="str">
        <f>IFERROR(__xludf.DUMMYFUNCTION("GOOGLETRANSLATE(E129, ""it"", ""en"")"),"A women's shinty match typically lasts 70 minutes.")</f>
        <v>A women's shinty match typically lasts 70 minutes.</v>
      </c>
      <c r="L129" s="2"/>
      <c r="M129" s="2"/>
      <c r="N129" s="2"/>
      <c r="O129" s="2"/>
      <c r="P129" s="2"/>
      <c r="Q129" s="2"/>
      <c r="R129" s="2"/>
    </row>
    <row r="130" ht="22.5" customHeight="1">
      <c r="A130" s="3">
        <v>129.0</v>
      </c>
      <c r="B130" s="3" t="s">
        <v>3812</v>
      </c>
      <c r="C130" s="3" t="s">
        <v>3813</v>
      </c>
      <c r="D130" s="3" t="s">
        <v>3814</v>
      </c>
      <c r="E130" s="3" t="s">
        <v>3815</v>
      </c>
      <c r="F130" s="2"/>
      <c r="G130" s="3" t="str">
        <f>IFERROR(__xludf.DUMMYFUNCTION("GOOGLETRANSLATE(A130, ""it"", ""en"")"),"129")</f>
        <v>129</v>
      </c>
      <c r="H130" s="3" t="str">
        <f>IFERROR(__xludf.DUMMYFUNCTION("GOOGLETRANSLATE(B130, ""it"", ""en"")"),"What is the purpose of a caman's curved head?")</f>
        <v>What is the purpose of a caman's curved head?</v>
      </c>
      <c r="I130" s="3" t="str">
        <f>IFERROR(__xludf.DUMMYFUNCTION("GOOGLETRANSLATE(C130, ""it"", ""en"")"),"A. To control the ball B. To increase swing power C. To prevent fouls D. To mark players")</f>
        <v>A. To control the ball B. To increase swing power C. To prevent fouls D. To mark players</v>
      </c>
      <c r="J130" s="3" t="str">
        <f>IFERROR(__xludf.DUMMYFUNCTION("GOOGLETRANSLATE(D130, ""it"", ""en"")"),"To control the ball")</f>
        <v>To control the ball</v>
      </c>
      <c r="K130" s="3" t="str">
        <f>IFERROR(__xludf.DUMMYFUNCTION("GOOGLETRANSLATE(E130, ""it"", ""en"")"),"The curved head helps players maneuver the ball effectively.")</f>
        <v>The curved head helps players maneuver the ball effectively.</v>
      </c>
      <c r="L130" s="2"/>
      <c r="M130" s="2"/>
      <c r="N130" s="2"/>
      <c r="O130" s="2"/>
      <c r="P130" s="2"/>
      <c r="Q130" s="2"/>
      <c r="R130" s="2"/>
    </row>
    <row r="131" ht="22.5" customHeight="1">
      <c r="A131" s="3">
        <v>130.0</v>
      </c>
      <c r="B131" s="3" t="s">
        <v>3816</v>
      </c>
      <c r="C131" s="3" t="s">
        <v>3817</v>
      </c>
      <c r="D131" s="3" t="s">
        <v>3818</v>
      </c>
      <c r="E131" s="3" t="s">
        <v>3819</v>
      </c>
      <c r="F131" s="2"/>
      <c r="G131" s="3" t="str">
        <f>IFERROR(__xludf.DUMMYFUNCTION("GOOGLETRANSLATE(A131, ""it"", ""en"")"),"130")</f>
        <v>130</v>
      </c>
      <c r="H131" s="3" t="str">
        <f>IFERROR(__xludf.DUMMYFUNCTION("GOOGLETRANSLATE(B131, ""it"", ""en"")"),"How does a referee signal the end of the match?")</f>
        <v>How does a referee signal the end of the match?</v>
      </c>
      <c r="I131" s="3" t="str">
        <f>IFERROR(__xludf.DUMMYFUNCTION("GOOGLETRANSLATE(C131, ""it"", ""en"")"),"A. Blows the whistle once B. Blows the whistle twice C. Raises both hands D. Rings a bell")</f>
        <v>A. Blows the whistle once B. Blows the whistle twice C. Raises both hands D. Rings a bell</v>
      </c>
      <c r="J131" s="3" t="str">
        <f>IFERROR(__xludf.DUMMYFUNCTION("GOOGLETRANSLATE(D131, ""it"", ""en"")"),"Blow the whistle twice")</f>
        <v>Blow the whistle twice</v>
      </c>
      <c r="K131" s="3" t="str">
        <f>IFERROR(__xludf.DUMMYFUNCTION("GOOGLETRANSLATE(E131, ""it"", ""en"")"),"The referee blows the whistle twice to signal the end of the match.")</f>
        <v>The referee blows the whistle twice to signal the end of the match.</v>
      </c>
      <c r="L131" s="2"/>
      <c r="M131" s="2"/>
      <c r="N131" s="2"/>
      <c r="O131" s="2"/>
      <c r="P131" s="2"/>
      <c r="Q131" s="2"/>
      <c r="R131" s="2"/>
    </row>
    <row r="132" ht="22.5" customHeight="1">
      <c r="A132" s="3">
        <v>131.0</v>
      </c>
      <c r="B132" s="3" t="s">
        <v>3820</v>
      </c>
      <c r="C132" s="3" t="s">
        <v>101</v>
      </c>
      <c r="D132" s="3">
        <v>2.0</v>
      </c>
      <c r="E132" s="3" t="s">
        <v>3821</v>
      </c>
      <c r="F132" s="2"/>
      <c r="G132" s="3" t="str">
        <f>IFERROR(__xludf.DUMMYFUNCTION("GOOGLETRANSLATE(A132, ""it"", ""en"")"),"131")</f>
        <v>131</v>
      </c>
      <c r="H132" s="3" t="str">
        <f>IFERROR(__xludf.DUMMYFUNCTION("GOOGLETRANSLATE(B132, ""it"", ""en"")"),"What is the maximum number of yellow cards a player can receive before a red card?")</f>
        <v>What is the maximum number of yellow cards a player can receive before a red card?</v>
      </c>
      <c r="I132" s="3" t="str">
        <f>IFERROR(__xludf.DUMMYFUNCTION("GOOGLETRANSLATE(C132, ""it"", ""en"")"),"A. 1 B. 2 C. 3 D. 4")</f>
        <v>A. 1 B. 2 C. 3 D. 4</v>
      </c>
      <c r="J132" s="3" t="str">
        <f>IFERROR(__xludf.DUMMYFUNCTION("GOOGLETRANSLATE(D132, ""it"", ""en"")"),"2")</f>
        <v>2</v>
      </c>
      <c r="K132" s="3" t="str">
        <f>IFERROR(__xludf.DUMMYFUNCTION("GOOGLETRANSLATE(E132, ""it"", ""en"")"),"A player is shown a red card after receiving two yellow cards.")</f>
        <v>A player is shown a red card after receiving two yellow cards.</v>
      </c>
      <c r="L132" s="2"/>
      <c r="M132" s="2"/>
      <c r="N132" s="2"/>
      <c r="O132" s="2"/>
      <c r="P132" s="2"/>
      <c r="Q132" s="2"/>
      <c r="R132" s="2"/>
    </row>
    <row r="133" ht="22.5" customHeight="1">
      <c r="A133" s="3">
        <v>132.0</v>
      </c>
      <c r="B133" s="3" t="s">
        <v>3822</v>
      </c>
      <c r="C133" s="3" t="s">
        <v>3823</v>
      </c>
      <c r="D133" s="3" t="s">
        <v>3398</v>
      </c>
      <c r="E133" s="3" t="s">
        <v>3824</v>
      </c>
      <c r="F133" s="2"/>
      <c r="G133" s="3" t="str">
        <f>IFERROR(__xludf.DUMMYFUNCTION("GOOGLETRANSLATE(A133, ""it"", ""en"")"),"132")</f>
        <v>132</v>
      </c>
      <c r="H133" s="3" t="str">
        <f>IFERROR(__xludf.DUMMYFUNCTION("GOOGLETRANSLATE(B133, ""it"", ""en"")"),"Can a player change their actions during the match?")</f>
        <v>Can a player change their actions during the match?</v>
      </c>
      <c r="I133" s="3" t="str">
        <f>IFERROR(__xludf.DUMMYFUNCTION("GOOGLETRANSLATE(C133, ""it"", ""en"")"),"A. Yes B. No C. Only if the referee approves D. Only during halftime")</f>
        <v>A. Yes B. No C. Only if the referee approves D. Only during halftime</v>
      </c>
      <c r="J133" s="3" t="str">
        <f>IFERROR(__xludf.DUMMYFUNCTION("GOOGLETRANSLATE(D133, ""it"", ""en"")"),"Yes")</f>
        <v>Yes</v>
      </c>
      <c r="K133" s="3" t="str">
        <f>IFERROR(__xludf.DUMMYFUNCTION("GOOGLETRANSLATE(E133, ""it"", ""en"")"),"Players can replace their caman if necessary.")</f>
        <v>Players can replace their caman if necessary.</v>
      </c>
      <c r="L133" s="2"/>
      <c r="M133" s="2"/>
      <c r="N133" s="2"/>
      <c r="O133" s="2"/>
      <c r="P133" s="2"/>
      <c r="Q133" s="2"/>
      <c r="R133" s="2"/>
    </row>
    <row r="134" ht="22.5" customHeight="1">
      <c r="A134" s="3">
        <v>133.0</v>
      </c>
      <c r="B134" s="3" t="s">
        <v>3825</v>
      </c>
      <c r="C134" s="3" t="s">
        <v>3826</v>
      </c>
      <c r="D134" s="3" t="s">
        <v>3827</v>
      </c>
      <c r="E134" s="3" t="s">
        <v>3828</v>
      </c>
      <c r="F134" s="2"/>
      <c r="G134" s="3" t="str">
        <f>IFERROR(__xludf.DUMMYFUNCTION("GOOGLETRANSLATE(A134, ""it"", ""en"")"),"133")</f>
        <v>133</v>
      </c>
      <c r="H134" s="3" t="str">
        <f>IFERROR(__xludf.DUMMYFUNCTION("GOOGLETRANSLATE(B134, ""it"", ""en"")"),"What is the term for a shot that deflects off another player into the goal?")</f>
        <v>What is the term for a shot that deflects off another player into the goal?</v>
      </c>
      <c r="I134" s="3" t="str">
        <f>IFERROR(__xludf.DUMMYFUNCTION("GOOGLETRANSLATE(C134, ""it"", ""en"")"),"A. Own goal B. Deflected shot C. Lucky strike D. Redirected goal")</f>
        <v>A. Own goal B. Deflected shot C. Lucky strike D. Redirected goal</v>
      </c>
      <c r="J134" s="3" t="str">
        <f>IFERROR(__xludf.DUMMYFUNCTION("GOOGLETRANSLATE(D134, ""it"", ""en"")"),"Deflected shot")</f>
        <v>Deflected shot</v>
      </c>
      <c r="K134" s="3" t="str">
        <f>IFERROR(__xludf.DUMMYFUNCTION("GOOGLETRANSLATE(E134, ""it"", ""en"")"),"A goal resulting from a deflection is called a deflected shot.")</f>
        <v>A goal resulting from a deflection is called a deflected shot.</v>
      </c>
      <c r="L134" s="2"/>
      <c r="M134" s="2"/>
      <c r="N134" s="2"/>
      <c r="O134" s="2"/>
      <c r="P134" s="2"/>
      <c r="Q134" s="2"/>
      <c r="R134" s="2"/>
    </row>
    <row r="135" ht="22.5" customHeight="1">
      <c r="A135" s="3">
        <v>134.0</v>
      </c>
      <c r="B135" s="3" t="s">
        <v>3829</v>
      </c>
      <c r="C135" s="3" t="s">
        <v>3830</v>
      </c>
      <c r="D135" s="3" t="s">
        <v>3572</v>
      </c>
      <c r="E135" s="3" t="s">
        <v>3831</v>
      </c>
      <c r="F135" s="2"/>
      <c r="G135" s="3" t="str">
        <f>IFERROR(__xludf.DUMMYFUNCTION("GOOGLETRANSLATE(A135, ""it"", ""en"")"),"134")</f>
        <v>134</v>
      </c>
      <c r="H135" s="3" t="str">
        <f>IFERROR(__xludf.DUMMYFUNCTION("GOOGLETRANSLATE(B135, ""it"", ""en"")"),"What happens if the ball hits the goalpost and bounces back?")</f>
        <v>What happens if the ball hits the goalpost and bounces back?</v>
      </c>
      <c r="I135" s="3" t="str">
        <f>IFERROR(__xludf.DUMMYFUNCTION("GOOGLETRANSLATE(C135, ""it"", ""en"")"),"A. Play continues B. The defending team gets a free hit C. The attacking team gets a penalty D. The referee stops the game")</f>
        <v>A. Play continues B. The defending team gets a free hit C. The attacking team gets a penalty D. The referee stops the game</v>
      </c>
      <c r="J135" s="3" t="str">
        <f>IFERROR(__xludf.DUMMYFUNCTION("GOOGLETRANSLATE(D135, ""it"", ""en"")"),"Play continues")</f>
        <v>Play continues</v>
      </c>
      <c r="K135" s="3" t="str">
        <f>IFERROR(__xludf.DUMMYFUNCTION("GOOGLETRANSLATE(E135, ""it"", ""en"")"),"The ball remains in play after hitting the goalpost.")</f>
        <v>The ball remains in play after hitting the goalpost.</v>
      </c>
      <c r="L135" s="2"/>
      <c r="M135" s="2"/>
      <c r="N135" s="2"/>
      <c r="O135" s="2"/>
      <c r="P135" s="2"/>
      <c r="Q135" s="2"/>
      <c r="R135" s="2"/>
    </row>
    <row r="136" ht="22.5" customHeight="1">
      <c r="A136" s="3">
        <v>135.0</v>
      </c>
      <c r="B136" s="3" t="s">
        <v>3832</v>
      </c>
      <c r="C136" s="3" t="s">
        <v>3833</v>
      </c>
      <c r="D136" s="3">
        <v>12.0</v>
      </c>
      <c r="E136" s="3" t="s">
        <v>3834</v>
      </c>
      <c r="F136" s="2"/>
      <c r="G136" s="3" t="str">
        <f>IFERROR(__xludf.DUMMYFUNCTION("GOOGLETRANSLATE(A136, ""it"", ""en"")"),"135")</f>
        <v>135</v>
      </c>
      <c r="H136" s="3" t="str">
        <f>IFERROR(__xludf.DUMMYFUNCTION("GOOGLETRANSLATE(B136, ""it"", ""en"")"),"What is the maximum number of players allowed on a shinty field?")</f>
        <v>What is the maximum number of players allowed on a shinty field?</v>
      </c>
      <c r="I136" s="3" t="str">
        <f>IFERROR(__xludf.DUMMYFUNCTION("GOOGLETRANSLATE(C136, ""it"", ""en"")"),"A. 12 B. 14 C. 16 D. 18")</f>
        <v>A. 12 B. 14 C. 16 D. 18</v>
      </c>
      <c r="J136" s="3" t="str">
        <f>IFERROR(__xludf.DUMMYFUNCTION("GOOGLETRANSLATE(D136, ""it"", ""en"")"),"12")</f>
        <v>12</v>
      </c>
      <c r="K136" s="3" t="str">
        <f>IFERROR(__xludf.DUMMYFUNCTION("GOOGLETRANSLATE(E136, ""it"", ""en"")"),"Each team fields a maximum of 12 players during a match.")</f>
        <v>Each team fields a maximum of 12 players during a match.</v>
      </c>
      <c r="L136" s="2"/>
      <c r="M136" s="2"/>
      <c r="N136" s="2"/>
      <c r="O136" s="2"/>
      <c r="P136" s="2"/>
      <c r="Q136" s="2"/>
      <c r="R136" s="2"/>
    </row>
    <row r="137" ht="22.5" customHeight="1">
      <c r="A137" s="3">
        <v>136.0</v>
      </c>
      <c r="B137" s="3" t="s">
        <v>3835</v>
      </c>
      <c r="C137" s="3" t="s">
        <v>3836</v>
      </c>
      <c r="D137" s="3" t="s">
        <v>3492</v>
      </c>
      <c r="E137" s="3" t="s">
        <v>3837</v>
      </c>
      <c r="F137" s="2"/>
      <c r="G137" s="3" t="str">
        <f>IFERROR(__xludf.DUMMYFUNCTION("GOOGLETRANSLATE(A137, ""it"", ""en"")"),"136")</f>
        <v>136</v>
      </c>
      <c r="H137" s="3" t="str">
        <f>IFERROR(__xludf.DUMMYFUNCTION("GOOGLETRANSLATE(B137, ""it"", ""en"")"),"What is the name of the defensive area in shinty?")</f>
        <v>What is the name of the defensive area in shinty?</v>
      </c>
      <c r="I137" s="3" t="str">
        <f>IFERROR(__xludf.DUMMYFUNCTION("GOOGLETRANSLATE(C137, ""it"", ""en"")"),"A. Goal crease B. Defensive circle C. Keeper's zone D. Penalty arc")</f>
        <v>A. Goal crease B. Defensive circle C. Keeper's zone D. Penalty arc</v>
      </c>
      <c r="J137" s="3" t="str">
        <f>IFERROR(__xludf.DUMMYFUNCTION("GOOGLETRANSLATE(D137, ""it"", ""en"")"),"Goal crease")</f>
        <v>Goal crease</v>
      </c>
      <c r="K137" s="3" t="str">
        <f>IFERROR(__xludf.DUMMYFUNCTION("GOOGLETRANSLATE(E137, ""it"", ""en"")"),"The defensive area around the goal is called the goal crease.")</f>
        <v>The defensive area around the goal is called the goal crease.</v>
      </c>
      <c r="L137" s="2"/>
      <c r="M137" s="2"/>
      <c r="N137" s="2"/>
      <c r="O137" s="2"/>
      <c r="P137" s="2"/>
      <c r="Q137" s="2"/>
      <c r="R137" s="2"/>
    </row>
    <row r="138" ht="22.5" customHeight="1">
      <c r="A138" s="3">
        <v>137.0</v>
      </c>
      <c r="B138" s="3" t="s">
        <v>3838</v>
      </c>
      <c r="C138" s="3" t="s">
        <v>3839</v>
      </c>
      <c r="D138" s="3" t="s">
        <v>3840</v>
      </c>
      <c r="E138" s="3" t="s">
        <v>3841</v>
      </c>
      <c r="F138" s="2"/>
      <c r="G138" s="3" t="str">
        <f>IFERROR(__xludf.DUMMYFUNCTION("GOOGLETRANSLATE(A138, ""it"", ""en"")"),"137")</f>
        <v>137</v>
      </c>
      <c r="H138" s="3" t="str">
        <f>IFERROR(__xludf.DUMMYFUNCTION("GOOGLETRANSLATE(B138, ""it"", ""en"")"),"What happens if a shinty match is abandoned?")</f>
        <v>What happens if a shinty match is abandoned?</v>
      </c>
      <c r="I138" s="3" t="str">
        <f>IFERROR(__xludf.DUMMYFUNCTION("GOOGLETRANSLATE(C138, ""it"", ""en"")"),"A. The match is replayed B. The team leading wins C. The score at abandonment stands D. The result is determined by officials")</f>
        <v>A. The match is replayed B. The team leading wins C. The score at abandonment stands D. The result is determined by officials</v>
      </c>
      <c r="J138" s="3" t="str">
        <f>IFERROR(__xludf.DUMMYFUNCTION("GOOGLETRANSLATE(D138, ""it"", ""en"")"),"The match is replayed")</f>
        <v>The match is replayed</v>
      </c>
      <c r="K138" s="3" t="str">
        <f>IFERROR(__xludf.DUMMYFUNCTION("GOOGLETRANSLATE(E138, ""it"", ""en"")"),"Abandoned matches are typically replayed.")</f>
        <v>Abandoned matches are typically replayed.</v>
      </c>
      <c r="L138" s="2"/>
      <c r="M138" s="2"/>
      <c r="N138" s="2"/>
      <c r="O138" s="2"/>
      <c r="P138" s="2"/>
      <c r="Q138" s="2"/>
      <c r="R138" s="2"/>
    </row>
    <row r="139" ht="22.5" customHeight="1">
      <c r="A139" s="3">
        <v>138.0</v>
      </c>
      <c r="B139" s="3" t="s">
        <v>3842</v>
      </c>
      <c r="C139" s="3" t="s">
        <v>3843</v>
      </c>
      <c r="D139" s="3" t="s">
        <v>3844</v>
      </c>
      <c r="E139" s="3" t="s">
        <v>3845</v>
      </c>
      <c r="F139" s="2"/>
      <c r="G139" s="3" t="str">
        <f>IFERROR(__xludf.DUMMYFUNCTION("GOOGLETRANSLATE(A139, ""it"", ""en"")"),"138")</f>
        <v>138</v>
      </c>
      <c r="H139" s="3" t="str">
        <f>IFERROR(__xludf.DUMMYFUNCTION("GOOGLETRANSLATE(B139, ""it"", ""en"")"),"What is the purpose of a goal judge in shinty?")</f>
        <v>What is the purpose of a goal judge in shinty?</v>
      </c>
      <c r="I139" s="3" t="str">
        <f>IFERROR(__xludf.DUMMYFUNCTION("GOOGLETRANSLATE(C139, ""it"", ""en"")"),"A. To assist with offsides B. To determine if the ball crosses the goal line C. To mark fouls D. To oversee substitutions")</f>
        <v>A. To assist with offsides B. To determine if the ball crosses the goal line C. To mark fouls D. To oversee substitutions</v>
      </c>
      <c r="J139" s="3" t="str">
        <f>IFERROR(__xludf.DUMMYFUNCTION("GOOGLETRANSLATE(D139, ""it"", ""en"")"),"To determine if the ball crosses the goal line")</f>
        <v>To determine if the ball crosses the goal line</v>
      </c>
      <c r="K139" s="3" t="str">
        <f>IFERROR(__xludf.DUMMYFUNCTION("GOOGLETRANSLATE(E139, ""it"", ""en"")"),"Goal judges help decide whether a goal has been scored.")</f>
        <v>Goal judges help decide whether a goal has been scored.</v>
      </c>
      <c r="L139" s="2"/>
      <c r="M139" s="2"/>
      <c r="N139" s="2"/>
      <c r="O139" s="2"/>
      <c r="P139" s="2"/>
      <c r="Q139" s="2"/>
      <c r="R139" s="2"/>
    </row>
    <row r="140" ht="22.5" customHeight="1">
      <c r="A140" s="3">
        <v>139.0</v>
      </c>
      <c r="B140" s="3" t="s">
        <v>3846</v>
      </c>
      <c r="C140" s="3" t="s">
        <v>3847</v>
      </c>
      <c r="D140" s="3" t="s">
        <v>3848</v>
      </c>
      <c r="E140" s="3" t="s">
        <v>3849</v>
      </c>
      <c r="F140" s="2"/>
      <c r="G140" s="3" t="str">
        <f>IFERROR(__xludf.DUMMYFUNCTION("GOOGLETRANSLATE(A140, ""it"", ""en"")"),"139")</f>
        <v>139</v>
      </c>
      <c r="H140" s="3" t="str">
        <f>IFERROR(__xludf.DUMMYFUNCTION("GOOGLETRANSLATE(B140, ""it"", ""en"")"),"What is the main use of the flat side of the caman?")</f>
        <v>What is the main use of the flat side of the caman?</v>
      </c>
      <c r="I140" s="3" t="str">
        <f>IFERROR(__xludf.DUMMYFUNCTION("GOOGLETRANSLATE(C140, ""it"", ""en"")"),"A. To block the ball B. To hit the ball C. To stop the ball D. To pass the ball")</f>
        <v>A. To block the ball B. To hit the ball C. To stop the ball D. To pass the ball</v>
      </c>
      <c r="J140" s="3" t="str">
        <f>IFERROR(__xludf.DUMMYFUNCTION("GOOGLETRANSLATE(D140, ""it"", ""en"")"),"To block the ball")</f>
        <v>To block the ball</v>
      </c>
      <c r="K140" s="3" t="str">
        <f>IFERROR(__xludf.DUMMYFUNCTION("GOOGLETRANSLATE(E140, ""it"", ""en"")"),"The flat side is used primarily for blocking.")</f>
        <v>The flat side is used primarily for blocking.</v>
      </c>
      <c r="L140" s="2"/>
      <c r="M140" s="2"/>
      <c r="N140" s="2"/>
      <c r="O140" s="2"/>
      <c r="P140" s="2"/>
      <c r="Q140" s="2"/>
      <c r="R140" s="2"/>
    </row>
    <row r="141" ht="22.5" customHeight="1">
      <c r="A141" s="3">
        <v>140.0</v>
      </c>
      <c r="B141" s="3" t="s">
        <v>3850</v>
      </c>
      <c r="C141" s="3" t="s">
        <v>3851</v>
      </c>
      <c r="D141" s="3" t="s">
        <v>3852</v>
      </c>
      <c r="E141" s="3" t="s">
        <v>3853</v>
      </c>
      <c r="F141" s="2"/>
      <c r="G141" s="3" t="str">
        <f>IFERROR(__xludf.DUMMYFUNCTION("GOOGLETRANSLATE(A141, ""it"", ""en"")"),"140")</f>
        <v>140</v>
      </c>
      <c r="H141" s="3" t="str">
        <f>IFERROR(__xludf.DUMMYFUNCTION("GOOGLETRANSLATE(B141, ""it"", ""en"")"),"What does the term ""swinging"" refer to in shinty?")</f>
        <v>What does the term "swinging" refer to in shinty?</v>
      </c>
      <c r="I141" s="3" t="str">
        <f>IFERROR(__xludf.DUMMYFUNCTION("GOOGLETRANSLATE(C141, ""it"", ""en"")"),"A. A passing technique B. A goal-scoring move C. A foul involving a dangerous caman movement D. A style of play")</f>
        <v>A. A passing technique B. A goal-scoring move C. A foul involving a dangerous caman movement D. A style of play</v>
      </c>
      <c r="J141" s="3" t="str">
        <f>IFERROR(__xludf.DUMMYFUNCTION("GOOGLETRANSLATE(D141, ""it"", ""en"")"),"A foul involving a dangerous caman movement")</f>
        <v>A foul involving a dangerous caman movement</v>
      </c>
      <c r="K141" s="3" t="str">
        <f>IFERROR(__xludf.DUMMYFUNCTION("GOOGLETRANSLATE(E141, ""it"", ""en"")"),"Swinging is a foul involving reckless use of the caman.")</f>
        <v>Swinging is a foul involving reckless use of the caman.</v>
      </c>
      <c r="L141" s="2"/>
      <c r="M141" s="2"/>
      <c r="N141" s="2"/>
      <c r="O141" s="2"/>
      <c r="P141" s="2"/>
      <c r="Q141" s="2"/>
      <c r="R141" s="2"/>
    </row>
    <row r="142" ht="22.5" customHeight="1">
      <c r="A142" s="3">
        <v>141.0</v>
      </c>
      <c r="B142" s="3" t="s">
        <v>3854</v>
      </c>
      <c r="C142" s="3" t="s">
        <v>3855</v>
      </c>
      <c r="D142" s="3" t="s">
        <v>3638</v>
      </c>
      <c r="E142" s="3" t="s">
        <v>3856</v>
      </c>
      <c r="F142" s="2"/>
      <c r="G142" s="3" t="str">
        <f>IFERROR(__xludf.DUMMYFUNCTION("GOOGLETRANSLATE(A142, ""it"", ""en"")"),"141")</f>
        <v>141</v>
      </c>
      <c r="H142" s="3" t="str">
        <f>IFERROR(__xludf.DUMMYFUNCTION("GOOGLETRANSLATE(B142, ""it"", ""en"")"),"What is the term for stopping a high ball in shinty?")</f>
        <v>What is the term for stopping a high ball in shinty?</v>
      </c>
      <c r="I142" s="3" t="str">
        <f>IFERROR(__xludf.DUMMYFUNCTION("GOOGLETRANSLATE(C142, ""it"", ""en"")"),"A. Catching B. Blocking C. Trapping D. Volleying")</f>
        <v>A. Catching B. Blocking C. Trapping D. Volleying</v>
      </c>
      <c r="J142" s="3" t="str">
        <f>IFERROR(__xludf.DUMMYFUNCTION("GOOGLETRANSLATE(D142, ""it"", ""en"")"),"Trapping")</f>
        <v>Trapping</v>
      </c>
      <c r="K142" s="3" t="str">
        <f>IFERROR(__xludf.DUMMYFUNCTION("GOOGLETRANSLATE(E142, ""it"", ""en"")"),"Trapping is the act of stopping a high ball.")</f>
        <v>Trapping is the act of stopping a high ball.</v>
      </c>
      <c r="L142" s="2"/>
      <c r="M142" s="2"/>
      <c r="N142" s="2"/>
      <c r="O142" s="2"/>
      <c r="P142" s="2"/>
      <c r="Q142" s="2"/>
      <c r="R142" s="2"/>
    </row>
    <row r="143" ht="22.5" customHeight="1">
      <c r="A143" s="3">
        <v>142.0</v>
      </c>
      <c r="B143" s="3" t="s">
        <v>3857</v>
      </c>
      <c r="C143" s="3" t="s">
        <v>3858</v>
      </c>
      <c r="D143" s="3" t="s">
        <v>3859</v>
      </c>
      <c r="E143" s="3" t="s">
        <v>3860</v>
      </c>
      <c r="F143" s="2"/>
      <c r="G143" s="3" t="str">
        <f>IFERROR(__xludf.DUMMYFUNCTION("GOOGLETRANSLATE(A143, ""it"", ""en"")"),"142")</f>
        <v>142</v>
      </c>
      <c r="H143" s="3" t="str">
        <f>IFERROR(__xludf.DUMMYFUNCTION("GOOGLETRANSLATE(B143, ""it"", ""en"")"),"What is the signal for extra time in shinty?")</f>
        <v>What is the signal for extra time in shinty?</v>
      </c>
      <c r="I143" s="3" t="str">
        <f>IFERROR(__xludf.DUMMYFUNCTION("GOOGLETRANSLATE(C143, ""it"", ""en"")"),"A. A whistle blow B. An announcement by the referee C. Hand gestures by the referee D. A flag wave")</f>
        <v>A. A whistle blow B. An announcement by the referee C. Hand gestures by the referee D. A flag wave</v>
      </c>
      <c r="J143" s="3" t="str">
        <f>IFERROR(__xludf.DUMMYFUNCTION("GOOGLETRANSLATE(D143, ""it"", ""en"")"),"An announcement by the referee")</f>
        <v>An announcement by the referee</v>
      </c>
      <c r="K143" s="3" t="str">
        <f>IFERROR(__xludf.DUMMYFUNCTION("GOOGLETRANSLATE(E143, ""it"", ""en"")"),"The referee announces extra time verbally.")</f>
        <v>The referee announces extra time verbally.</v>
      </c>
      <c r="L143" s="2"/>
      <c r="M143" s="2"/>
      <c r="N143" s="2"/>
      <c r="O143" s="2"/>
      <c r="P143" s="2"/>
      <c r="Q143" s="2"/>
      <c r="R143" s="2"/>
    </row>
    <row r="144" ht="22.5" customHeight="1">
      <c r="A144" s="3">
        <v>143.0</v>
      </c>
      <c r="B144" s="3" t="s">
        <v>3861</v>
      </c>
      <c r="C144" s="3" t="s">
        <v>3862</v>
      </c>
      <c r="D144" s="3" t="s">
        <v>3506</v>
      </c>
      <c r="E144" s="3" t="s">
        <v>3863</v>
      </c>
      <c r="F144" s="2"/>
      <c r="G144" s="3" t="str">
        <f>IFERROR(__xludf.DUMMYFUNCTION("GOOGLETRANSLATE(A144, ""it"", ""en"")"),"143")</f>
        <v>143</v>
      </c>
      <c r="H144" s="3" t="str">
        <f>IFERROR(__xludf.DUMMYFUNCTION("GOOGLETRANSLATE(B144, ""it"", ""en"")"),"Can a team substitute the goalkeeper during play?")</f>
        <v>Can a team substitute the goalkeeper during play?</v>
      </c>
      <c r="I144" s="3" t="str">
        <f>IFERROR(__xludf.DUMMYFUNCTION("GOOGLETRANSLATE(C144, ""it"", ""en"")"),"A. Yes B. No C. Only in case of injury D. Only during a stoppage")</f>
        <v>A. Yes B. No C. Only in case of injury D. Only during a stoppage</v>
      </c>
      <c r="J144" s="3" t="str">
        <f>IFERROR(__xludf.DUMMYFUNCTION("GOOGLETRANSLATE(D144, ""it"", ""en"")"),"Only during a stoppage")</f>
        <v>Only during a stoppage</v>
      </c>
      <c r="K144" s="3" t="str">
        <f>IFERROR(__xludf.DUMMYFUNCTION("GOOGLETRANSLATE(E144, ""it"", ""en"")"),"Goalkeepers can be substituted only during stoppages.")</f>
        <v>Goalkeepers can be substituted only during stoppages.</v>
      </c>
      <c r="L144" s="2"/>
      <c r="M144" s="2"/>
      <c r="N144" s="2"/>
      <c r="O144" s="2"/>
      <c r="P144" s="2"/>
      <c r="Q144" s="2"/>
      <c r="R144" s="2"/>
    </row>
    <row r="145" ht="22.5" customHeight="1">
      <c r="A145" s="3">
        <v>144.0</v>
      </c>
      <c r="B145" s="3" t="s">
        <v>3864</v>
      </c>
      <c r="C145" s="3" t="s">
        <v>3865</v>
      </c>
      <c r="D145" s="3" t="s">
        <v>3866</v>
      </c>
      <c r="E145" s="3" t="s">
        <v>3867</v>
      </c>
      <c r="F145" s="2"/>
      <c r="G145" s="3" t="str">
        <f>IFERROR(__xludf.DUMMYFUNCTION("GOOGLETRANSLATE(A145, ""it"", ""en"")"),"144")</f>
        <v>144</v>
      </c>
      <c r="H145" s="3" t="str">
        <f>IFERROR(__xludf.DUMMYFUNCTION("GOOGLETRANSLATE(B145, ""it"", ""en"")"),"What is the purpose of the ""knot"" at the end of the caman handle?")</f>
        <v>What is the purpose of the "knot" at the end of the caman handle?</v>
      </c>
      <c r="I145" s="3" t="str">
        <f>IFERROR(__xludf.DUMMYFUNCTION("GOOGLETRANSLATE(C145, ""it"", ""en"")"),"A. To improve grip B. To increase weight C. To mark the player's position D. To make it easier to control")</f>
        <v>A. To improve grip B. To increase weight C. To mark the player's position D. To make it easier to control</v>
      </c>
      <c r="J145" s="3" t="str">
        <f>IFERROR(__xludf.DUMMYFUNCTION("GOOGLETRANSLATE(D145, ""it"", ""en"")"),"To improve grip")</f>
        <v>To improve grip</v>
      </c>
      <c r="K145" s="3" t="str">
        <f>IFERROR(__xludf.DUMMYFUNCTION("GOOGLETRANSLATE(E145, ""it"", ""en"")"),"The knot enhances the player's grip on the caman.")</f>
        <v>The knot enhances the player's grip on the caman.</v>
      </c>
      <c r="L145" s="2"/>
      <c r="M145" s="2"/>
      <c r="N145" s="2"/>
      <c r="O145" s="2"/>
      <c r="P145" s="2"/>
      <c r="Q145" s="2"/>
      <c r="R145" s="2"/>
    </row>
    <row r="146" ht="22.5" customHeight="1">
      <c r="A146" s="3">
        <v>145.0</v>
      </c>
      <c r="B146" s="3" t="s">
        <v>3868</v>
      </c>
      <c r="C146" s="3" t="s">
        <v>3869</v>
      </c>
      <c r="D146" s="3" t="s">
        <v>3870</v>
      </c>
      <c r="E146" s="3" t="s">
        <v>3871</v>
      </c>
      <c r="F146" s="2"/>
      <c r="G146" s="3" t="str">
        <f>IFERROR(__xludf.DUMMYFUNCTION("GOOGLETRANSLATE(A146, ""it"", ""en"")"),"145")</f>
        <v>145</v>
      </c>
      <c r="H146" s="3" t="str">
        <f>IFERROR(__xludf.DUMMYFUNCTION("GOOGLETRANSLATE(B146, ""it"", ""en"")"),"What is the role of a wing forward in shinty?")</f>
        <v>What is the role of a wing forward in shinty?</v>
      </c>
      <c r="I146" s="3" t="str">
        <f>IFERROR(__xludf.DUMMYFUNCTION("GOOGLETRANSLATE(C146, ""it"", ""en"")"),"A. To assist in defense B. To cover midfield C. To create scoring opportunities D. To referee the game")</f>
        <v>A. To assist in defense B. To cover midfield C. To create scoring opportunities D. To referee the game</v>
      </c>
      <c r="J146" s="3" t="str">
        <f>IFERROR(__xludf.DUMMYFUNCTION("GOOGLETRANSLATE(D146, ""it"", ""en"")"),"To create scoring opportunities")</f>
        <v>To create scoring opportunities</v>
      </c>
      <c r="K146" s="3" t="str">
        <f>IFERROR(__xludf.DUMMYFUNCTION("GOOGLETRANSLATE(E146, ""it"", ""en"")"),"Wing forwards focus on setting up and scoring goals.")</f>
        <v>Wing forwards focus on setting up and scoring goals.</v>
      </c>
      <c r="L146" s="2"/>
      <c r="M146" s="2"/>
      <c r="N146" s="2"/>
      <c r="O146" s="2"/>
      <c r="P146" s="2"/>
      <c r="Q146" s="2"/>
      <c r="R146" s="2"/>
    </row>
    <row r="147" ht="22.5" customHeight="1">
      <c r="A147" s="3">
        <v>146.0</v>
      </c>
      <c r="B147" s="3" t="s">
        <v>3872</v>
      </c>
      <c r="C147" s="3" t="s">
        <v>3873</v>
      </c>
      <c r="D147" s="3" t="s">
        <v>3874</v>
      </c>
      <c r="E147" s="3" t="s">
        <v>3875</v>
      </c>
      <c r="F147" s="2"/>
      <c r="G147" s="3" t="str">
        <f>IFERROR(__xludf.DUMMYFUNCTION("GOOGLETRANSLATE(A147, ""it"", ""en"")"),"146")</f>
        <v>146</v>
      </c>
      <c r="H147" s="3" t="str">
        <f>IFERROR(__xludf.DUMMYFUNCTION("GOOGLETRANSLATE(B147, ""it"", ""en"")"),"What does the term ""center"" refer to in shinty?")</f>
        <v>What does the term "center" refer to in shinty?</v>
      </c>
      <c r="I147" s="3" t="str">
        <f>IFERROR(__xludf.DUMMYFUNCTION("GOOGLETRANSLATE(C147, ""it"", ""en"")"),"A. The midfield area B. The goalpost C. The referee D. The ball")</f>
        <v>A. The midfield area B. The goalpost C. The referee D. The ball</v>
      </c>
      <c r="J147" s="3" t="str">
        <f>IFERROR(__xludf.DUMMYFUNCTION("GOOGLETRANSLATE(D147, ""it"", ""en"")"),"The midfield area")</f>
        <v>The midfield area</v>
      </c>
      <c r="K147" s="3" t="str">
        <f>IFERROR(__xludf.DUMMYFUNCTION("GOOGLETRANSLATE(E147, ""it"", ""en"")"),"The center is the key area where midfielders operate.")</f>
        <v>The center is the key area where midfielders operate.</v>
      </c>
      <c r="L147" s="2"/>
      <c r="M147" s="2"/>
      <c r="N147" s="2"/>
      <c r="O147" s="2"/>
      <c r="P147" s="2"/>
      <c r="Q147" s="2"/>
      <c r="R147" s="2"/>
    </row>
    <row r="148" ht="22.5" customHeight="1">
      <c r="A148" s="3">
        <v>147.0</v>
      </c>
      <c r="B148" s="3" t="s">
        <v>3876</v>
      </c>
      <c r="C148" s="3" t="s">
        <v>3877</v>
      </c>
      <c r="D148" s="3" t="s">
        <v>3878</v>
      </c>
      <c r="E148" s="3" t="s">
        <v>3879</v>
      </c>
      <c r="F148" s="2"/>
      <c r="G148" s="3" t="str">
        <f>IFERROR(__xludf.DUMMYFUNCTION("GOOGLETRANSLATE(A148, ""it"", ""en"")"),"147")</f>
        <v>147</v>
      </c>
      <c r="H148" s="3" t="str">
        <f>IFERROR(__xludf.DUMMYFUNCTION("GOOGLETRANSLATE(B148, ""it"", ""en"")"),"What is the minimum length of a shiny pitch?")</f>
        <v>What is the minimum length of a shiny pitch?</v>
      </c>
      <c r="I148" s="3" t="str">
        <f>IFERROR(__xludf.DUMMYFUNCTION("GOOGLETRANSLATE(C148, ""it"", ""en"")"),"A. 100 yards B. 120 yards C. 140 yards D. 160 yards")</f>
        <v>A. 100 yards B. 120 yards C. 140 yards D. 160 yards</v>
      </c>
      <c r="J148" s="3" t="str">
        <f>IFERROR(__xludf.DUMMYFUNCTION("GOOGLETRANSLATE(D148, ""it"", ""en"")"),"140 yards")</f>
        <v>140 yards</v>
      </c>
      <c r="K148" s="3" t="str">
        <f>IFERROR(__xludf.DUMMYFUNCTION("GOOGLETRANSLATE(E148, ""it"", ""en"")"),"A shinty pitch must be at least 140 yards long.")</f>
        <v>A shinty pitch must be at least 140 yards long.</v>
      </c>
      <c r="L148" s="2"/>
      <c r="M148" s="2"/>
      <c r="N148" s="2"/>
      <c r="O148" s="2"/>
      <c r="P148" s="2"/>
      <c r="Q148" s="2"/>
      <c r="R148" s="2"/>
    </row>
    <row r="149" ht="22.5" customHeight="1">
      <c r="A149" s="3">
        <v>148.0</v>
      </c>
      <c r="B149" s="3" t="s">
        <v>3880</v>
      </c>
      <c r="C149" s="3" t="s">
        <v>3881</v>
      </c>
      <c r="D149" s="3" t="s">
        <v>3882</v>
      </c>
      <c r="E149" s="3" t="s">
        <v>3883</v>
      </c>
      <c r="F149" s="2"/>
      <c r="G149" s="3" t="str">
        <f>IFERROR(__xludf.DUMMYFUNCTION("GOOGLETRANSLATE(A149, ""it"", ""en"")"),"148")</f>
        <v>148</v>
      </c>
      <c r="H149" s="3" t="str">
        <f>IFERROR(__xludf.DUMMYFUNCTION("GOOGLETRANSLATE(B149, ""it"", ""en"")"),"What happens if the ball is intentionally kicked into the goal?")</f>
        <v>What happens if the ball is intentionally kicked into the goal?</v>
      </c>
      <c r="I149" s="3" t="str">
        <f>IFERROR(__xludf.DUMMYFUNCTION("GOOGLETRANSLATE(C149, ""it"", ""en"")"),"A. The goal counts B. The goal is disallowed C. The attacking team gets a penalty D. The defending team gets a free hit")</f>
        <v>A. The goal counts B. The goal is disallowed C. The attacking team gets a penalty D. The defending team gets a free hit</v>
      </c>
      <c r="J149" s="3" t="str">
        <f>IFERROR(__xludf.DUMMYFUNCTION("GOOGLETRANSLATE(D149, ""it"", ""en"")"),"The goal is disallowed")</f>
        <v>The goal is disallowed</v>
      </c>
      <c r="K149" s="3" t="str">
        <f>IFERROR(__xludf.DUMMYFUNCTION("GOOGLETRANSLATE(E149, ""it"", ""en"")"),"Goals cannot be scored by intentionally kicking the ball.")</f>
        <v>Goals cannot be scored by intentionally kicking the ball.</v>
      </c>
      <c r="L149" s="2"/>
      <c r="M149" s="2"/>
      <c r="N149" s="2"/>
      <c r="O149" s="2"/>
      <c r="P149" s="2"/>
      <c r="Q149" s="2"/>
      <c r="R149" s="2"/>
    </row>
    <row r="150" ht="22.5" customHeight="1">
      <c r="A150" s="3">
        <v>149.0</v>
      </c>
      <c r="B150" s="3" t="s">
        <v>3884</v>
      </c>
      <c r="C150" s="3" t="s">
        <v>3885</v>
      </c>
      <c r="D150" s="3" t="s">
        <v>3886</v>
      </c>
      <c r="E150" s="3" t="s">
        <v>3887</v>
      </c>
      <c r="F150" s="2"/>
      <c r="G150" s="3" t="str">
        <f>IFERROR(__xludf.DUMMYFUNCTION("GOOGLETRANSLATE(A150, ""it"", ""en"")"),"149")</f>
        <v>149</v>
      </c>
      <c r="H150" s="3" t="str">
        <f>IFERROR(__xludf.DUMMYFUNCTION("GOOGLETRANSLATE(B150, ""it"", ""en"")"),"What is the purpose of the caman's tapered end?")</f>
        <v>What is the purpose of the caman's tapered end?</v>
      </c>
      <c r="I150" s="3" t="str">
        <f>IFERROR(__xludf.DUMMYFUNCTION("GOOGLETRANSLATE(C150, ""it"", ""en"")"),"A. To increase swing speed B. To control high balls C. To provide a striking surface D. To make it lighter")</f>
        <v>A. To increase swing speed B. To control high balls C. To provide a striking surface D. To make it lighter</v>
      </c>
      <c r="J150" s="3" t="str">
        <f>IFERROR(__xludf.DUMMYFUNCTION("GOOGLETRANSLATE(D150, ""it"", ""en"")"),"To control high balls")</f>
        <v>To control high balls</v>
      </c>
      <c r="K150" s="3" t="str">
        <f>IFERROR(__xludf.DUMMYFUNCTION("GOOGLETRANSLATE(E150, ""it"", ""en"")"),"The tapered end helps in managing high balls effectively.")</f>
        <v>The tapered end helps in managing high balls effectively.</v>
      </c>
      <c r="L150" s="2"/>
      <c r="M150" s="2"/>
      <c r="N150" s="2"/>
      <c r="O150" s="2"/>
      <c r="P150" s="2"/>
      <c r="Q150" s="2"/>
      <c r="R150" s="2"/>
    </row>
    <row r="151" ht="22.5" customHeight="1">
      <c r="A151" s="3">
        <v>150.0</v>
      </c>
      <c r="B151" s="3" t="s">
        <v>3888</v>
      </c>
      <c r="C151" s="3" t="s">
        <v>3889</v>
      </c>
      <c r="D151" s="3" t="s">
        <v>3398</v>
      </c>
      <c r="E151" s="3" t="s">
        <v>3890</v>
      </c>
      <c r="F151" s="2"/>
      <c r="G151" s="3" t="str">
        <f>IFERROR(__xludf.DUMMYFUNCTION("GOOGLETRANSLATE(A151, ""it"", ""en"")"),"150")</f>
        <v>150</v>
      </c>
      <c r="H151" s="3" t="str">
        <f>IFERROR(__xludf.DUMMYFUNCTION("GOOGLETRANSLATE(B151, ""it"", ""en"")"),"Can a match official overrule a goal judge's decision?")</f>
        <v>Can a match official overrule a goal judge's decision?</v>
      </c>
      <c r="I151" s="3" t="str">
        <f>IFERROR(__xludf.DUMMYFUNCTION("GOOGLETRANSLATE(C151, ""it"", ""en"")"),"A. Yes B. No C. Only with video evidence D. Only with the team's consent")</f>
        <v>A. Yes B. No C. Only with video evidence D. Only with the team's consent</v>
      </c>
      <c r="J151" s="3" t="str">
        <f>IFERROR(__xludf.DUMMYFUNCTION("GOOGLETRANSLATE(D151, ""it"", ""en"")"),"Yes")</f>
        <v>Yes</v>
      </c>
      <c r="K151" s="3" t="str">
        <f>IFERROR(__xludf.DUMMYFUNCTION("GOOGLETRANSLATE(E151, ""it"", ""en"")"),"Match officials can overrule goal judges if necessary.")</f>
        <v>Match officials can overrule goal judges if necessary.</v>
      </c>
      <c r="L151" s="2"/>
      <c r="M151" s="2"/>
      <c r="N151" s="2"/>
      <c r="O151" s="2"/>
      <c r="P151" s="2"/>
      <c r="Q151" s="2"/>
      <c r="R151" s="2"/>
    </row>
    <row r="152">
      <c r="A152" s="2"/>
      <c r="B152" s="2"/>
      <c r="C152" s="2"/>
      <c r="D152" s="2"/>
      <c r="E152" s="2"/>
      <c r="F152" s="2"/>
      <c r="G152" s="2"/>
      <c r="H152" s="2"/>
      <c r="I152" s="2"/>
      <c r="J152" s="2"/>
      <c r="K152" s="2"/>
      <c r="L152" s="2"/>
      <c r="M152" s="2"/>
      <c r="N152" s="2"/>
      <c r="O152" s="2"/>
      <c r="P152" s="2"/>
      <c r="Q152" s="2"/>
      <c r="R152" s="2"/>
    </row>
    <row r="153">
      <c r="A153" s="2"/>
      <c r="B153" s="2"/>
      <c r="C153" s="2"/>
      <c r="D153" s="2"/>
      <c r="E153" s="2"/>
      <c r="F153" s="2"/>
      <c r="G153" s="2"/>
      <c r="H153" s="2"/>
      <c r="I153" s="2"/>
      <c r="J153" s="2"/>
      <c r="K153" s="2"/>
      <c r="L153" s="2"/>
      <c r="M153" s="2"/>
      <c r="N153" s="2"/>
      <c r="O153" s="2"/>
      <c r="P153" s="2"/>
      <c r="Q153" s="2"/>
      <c r="R153" s="2"/>
    </row>
    <row r="154">
      <c r="A154" s="2"/>
      <c r="B154" s="2"/>
      <c r="C154" s="2"/>
      <c r="D154" s="2"/>
      <c r="E154" s="2"/>
      <c r="F154" s="2"/>
      <c r="G154" s="2"/>
      <c r="H154" s="2"/>
      <c r="I154" s="2"/>
      <c r="J154" s="2"/>
      <c r="K154" s="2"/>
      <c r="L154" s="2"/>
      <c r="M154" s="2"/>
      <c r="N154" s="2"/>
      <c r="O154" s="2"/>
      <c r="P154" s="2"/>
      <c r="Q154" s="2"/>
      <c r="R154" s="2"/>
    </row>
    <row r="155">
      <c r="A155" s="2"/>
      <c r="B155" s="2"/>
      <c r="C155" s="2"/>
      <c r="D155" s="2"/>
      <c r="E155" s="2"/>
      <c r="F155" s="2"/>
      <c r="G155" s="2"/>
      <c r="H155" s="2"/>
      <c r="I155" s="2"/>
      <c r="J155" s="2"/>
      <c r="K155" s="2"/>
      <c r="L155" s="2"/>
      <c r="M155" s="2"/>
      <c r="N155" s="2"/>
      <c r="O155" s="2"/>
      <c r="P155" s="2"/>
      <c r="Q155" s="2"/>
      <c r="R155" s="2"/>
    </row>
    <row r="156">
      <c r="A156" s="2"/>
      <c r="B156" s="2"/>
      <c r="C156" s="2"/>
      <c r="D156" s="2"/>
      <c r="E156" s="2"/>
      <c r="F156" s="2"/>
      <c r="G156" s="2"/>
      <c r="H156" s="2"/>
      <c r="I156" s="2"/>
      <c r="J156" s="2"/>
      <c r="K156" s="2"/>
      <c r="L156" s="2"/>
      <c r="M156" s="2"/>
      <c r="N156" s="2"/>
      <c r="O156" s="2"/>
      <c r="P156" s="2"/>
      <c r="Q156" s="2"/>
      <c r="R156" s="2"/>
    </row>
    <row r="157">
      <c r="A157" s="2"/>
      <c r="B157" s="2"/>
      <c r="C157" s="2"/>
      <c r="D157" s="2"/>
      <c r="E157" s="2"/>
      <c r="F157" s="2"/>
      <c r="G157" s="2"/>
      <c r="H157" s="2"/>
      <c r="I157" s="2"/>
      <c r="J157" s="2"/>
      <c r="K157" s="2"/>
      <c r="L157" s="2"/>
      <c r="M157" s="2"/>
      <c r="N157" s="2"/>
      <c r="O157" s="2"/>
      <c r="P157" s="2"/>
      <c r="Q157" s="2"/>
      <c r="R157" s="2"/>
    </row>
    <row r="158">
      <c r="A158" s="2"/>
      <c r="B158" s="2"/>
      <c r="C158" s="2"/>
      <c r="D158" s="2"/>
      <c r="E158" s="2"/>
      <c r="F158" s="2"/>
      <c r="G158" s="2"/>
      <c r="H158" s="2"/>
      <c r="I158" s="2"/>
      <c r="J158" s="2"/>
      <c r="K158" s="2"/>
      <c r="L158" s="2"/>
      <c r="M158" s="2"/>
      <c r="N158" s="2"/>
      <c r="O158" s="2"/>
      <c r="P158" s="2"/>
      <c r="Q158" s="2"/>
      <c r="R158" s="2"/>
    </row>
    <row r="159">
      <c r="A159" s="2"/>
      <c r="B159" s="2"/>
      <c r="C159" s="2"/>
      <c r="D159" s="2"/>
      <c r="E159" s="2"/>
      <c r="F159" s="2"/>
      <c r="G159" s="2"/>
      <c r="H159" s="2"/>
      <c r="I159" s="2"/>
      <c r="J159" s="2"/>
      <c r="K159" s="2"/>
      <c r="L159" s="2"/>
      <c r="M159" s="2"/>
      <c r="N159" s="2"/>
      <c r="O159" s="2"/>
      <c r="P159" s="2"/>
      <c r="Q159" s="2"/>
      <c r="R159" s="2"/>
    </row>
    <row r="160">
      <c r="A160" s="2"/>
      <c r="B160" s="2"/>
      <c r="C160" s="2"/>
      <c r="D160" s="2"/>
      <c r="E160" s="2"/>
      <c r="F160" s="2"/>
      <c r="G160" s="2"/>
      <c r="H160" s="2"/>
      <c r="I160" s="2"/>
      <c r="J160" s="2"/>
      <c r="K160" s="2"/>
      <c r="L160" s="2"/>
      <c r="M160" s="2"/>
      <c r="N160" s="2"/>
      <c r="O160" s="2"/>
      <c r="P160" s="2"/>
      <c r="Q160" s="2"/>
      <c r="R160" s="2"/>
    </row>
    <row r="161">
      <c r="A161" s="2"/>
      <c r="B161" s="2"/>
      <c r="C161" s="2"/>
      <c r="D161" s="2"/>
      <c r="E161" s="2"/>
      <c r="F161" s="2"/>
      <c r="G161" s="2"/>
      <c r="H161" s="2"/>
      <c r="I161" s="2"/>
      <c r="J161" s="2"/>
      <c r="K161" s="2"/>
      <c r="L161" s="2"/>
      <c r="M161" s="2"/>
      <c r="N161" s="2"/>
      <c r="O161" s="2"/>
      <c r="P161" s="2"/>
      <c r="Q161" s="2"/>
      <c r="R161" s="2"/>
    </row>
    <row r="162">
      <c r="A162" s="2"/>
      <c r="B162" s="2"/>
      <c r="C162" s="2"/>
      <c r="D162" s="2"/>
      <c r="E162" s="2"/>
      <c r="F162" s="2"/>
      <c r="G162" s="2"/>
      <c r="H162" s="2"/>
      <c r="I162" s="2"/>
      <c r="J162" s="2"/>
      <c r="K162" s="2"/>
      <c r="L162" s="2"/>
      <c r="M162" s="2"/>
      <c r="N162" s="2"/>
      <c r="O162" s="2"/>
      <c r="P162" s="2"/>
      <c r="Q162" s="2"/>
      <c r="R162" s="2"/>
    </row>
    <row r="163">
      <c r="A163" s="2"/>
      <c r="B163" s="2"/>
      <c r="C163" s="2"/>
      <c r="D163" s="2"/>
      <c r="E163" s="2"/>
      <c r="F163" s="2"/>
      <c r="G163" s="2"/>
      <c r="H163" s="2"/>
      <c r="I163" s="2"/>
      <c r="J163" s="2"/>
      <c r="K163" s="2"/>
      <c r="L163" s="2"/>
      <c r="M163" s="2"/>
      <c r="N163" s="2"/>
      <c r="O163" s="2"/>
      <c r="P163" s="2"/>
      <c r="Q163" s="2"/>
      <c r="R163" s="2"/>
    </row>
    <row r="164">
      <c r="A164" s="2"/>
      <c r="B164" s="2"/>
      <c r="C164" s="2"/>
      <c r="D164" s="2"/>
      <c r="E164" s="2"/>
      <c r="F164" s="2"/>
      <c r="G164" s="2"/>
      <c r="H164" s="2"/>
      <c r="I164" s="2"/>
      <c r="J164" s="2"/>
      <c r="K164" s="2"/>
      <c r="L164" s="2"/>
      <c r="M164" s="2"/>
      <c r="N164" s="2"/>
      <c r="O164" s="2"/>
      <c r="P164" s="2"/>
      <c r="Q164" s="2"/>
      <c r="R164" s="2"/>
    </row>
    <row r="165">
      <c r="A165" s="2"/>
      <c r="B165" s="2"/>
      <c r="C165" s="2"/>
      <c r="D165" s="2"/>
      <c r="E165" s="2"/>
      <c r="F165" s="2"/>
      <c r="G165" s="2"/>
      <c r="H165" s="2"/>
      <c r="I165" s="2"/>
      <c r="J165" s="2"/>
      <c r="K165" s="2"/>
      <c r="L165" s="2"/>
      <c r="M165" s="2"/>
      <c r="N165" s="2"/>
      <c r="O165" s="2"/>
      <c r="P165" s="2"/>
      <c r="Q165" s="2"/>
      <c r="R165" s="2"/>
    </row>
    <row r="166">
      <c r="A166" s="2"/>
      <c r="B166" s="2"/>
      <c r="C166" s="2"/>
      <c r="D166" s="2"/>
      <c r="E166" s="2"/>
      <c r="F166" s="2"/>
      <c r="G166" s="2"/>
      <c r="H166" s="2"/>
      <c r="I166" s="2"/>
      <c r="J166" s="2"/>
      <c r="K166" s="2"/>
      <c r="L166" s="2"/>
      <c r="M166" s="2"/>
      <c r="N166" s="2"/>
      <c r="O166" s="2"/>
      <c r="P166" s="2"/>
      <c r="Q166" s="2"/>
      <c r="R166" s="2"/>
    </row>
    <row r="167">
      <c r="A167" s="2"/>
      <c r="B167" s="2"/>
      <c r="C167" s="2"/>
      <c r="D167" s="2"/>
      <c r="E167" s="2"/>
      <c r="F167" s="2"/>
      <c r="G167" s="2"/>
      <c r="H167" s="2"/>
      <c r="I167" s="2"/>
      <c r="J167" s="2"/>
      <c r="K167" s="2"/>
      <c r="L167" s="2"/>
      <c r="M167" s="2"/>
      <c r="N167" s="2"/>
      <c r="O167" s="2"/>
      <c r="P167" s="2"/>
      <c r="Q167" s="2"/>
      <c r="R167" s="2"/>
    </row>
    <row r="168">
      <c r="A168" s="2"/>
      <c r="B168" s="2"/>
      <c r="C168" s="2"/>
      <c r="D168" s="2"/>
      <c r="E168" s="2"/>
      <c r="F168" s="2"/>
      <c r="G168" s="2"/>
      <c r="H168" s="2"/>
      <c r="I168" s="2"/>
      <c r="J168" s="2"/>
      <c r="K168" s="2"/>
      <c r="L168" s="2"/>
      <c r="M168" s="2"/>
      <c r="N168" s="2"/>
      <c r="O168" s="2"/>
      <c r="P168" s="2"/>
      <c r="Q168" s="2"/>
      <c r="R168" s="2"/>
    </row>
    <row r="169">
      <c r="A169" s="2"/>
      <c r="B169" s="2"/>
      <c r="C169" s="2"/>
      <c r="D169" s="2"/>
      <c r="E169" s="2"/>
      <c r="F169" s="2"/>
      <c r="G169" s="2"/>
      <c r="H169" s="2"/>
      <c r="I169" s="2"/>
      <c r="J169" s="2"/>
      <c r="K169" s="2"/>
      <c r="L169" s="2"/>
      <c r="M169" s="2"/>
      <c r="N169" s="2"/>
      <c r="O169" s="2"/>
      <c r="P169" s="2"/>
      <c r="Q169" s="2"/>
      <c r="R169" s="2"/>
    </row>
    <row r="170">
      <c r="A170" s="2"/>
      <c r="B170" s="2"/>
      <c r="C170" s="2"/>
      <c r="D170" s="2"/>
      <c r="E170" s="2"/>
      <c r="F170" s="2"/>
      <c r="G170" s="2"/>
      <c r="H170" s="2"/>
      <c r="I170" s="2"/>
      <c r="J170" s="2"/>
      <c r="K170" s="2"/>
      <c r="L170" s="2"/>
      <c r="M170" s="2"/>
      <c r="N170" s="2"/>
      <c r="O170" s="2"/>
      <c r="P170" s="2"/>
      <c r="Q170" s="2"/>
      <c r="R170" s="2"/>
    </row>
    <row r="171">
      <c r="A171" s="2"/>
      <c r="B171" s="2"/>
      <c r="C171" s="2"/>
      <c r="D171" s="2"/>
      <c r="E171" s="2"/>
      <c r="F171" s="2"/>
      <c r="G171" s="2"/>
      <c r="H171" s="2"/>
      <c r="I171" s="2"/>
      <c r="J171" s="2"/>
      <c r="K171" s="2"/>
      <c r="L171" s="2"/>
      <c r="M171" s="2"/>
      <c r="N171" s="2"/>
      <c r="O171" s="2"/>
      <c r="P171" s="2"/>
      <c r="Q171" s="2"/>
      <c r="R171" s="2"/>
    </row>
    <row r="172">
      <c r="A172" s="2"/>
      <c r="B172" s="2"/>
      <c r="C172" s="2"/>
      <c r="D172" s="2"/>
      <c r="E172" s="2"/>
      <c r="F172" s="2"/>
      <c r="G172" s="2"/>
      <c r="H172" s="2"/>
      <c r="I172" s="2"/>
      <c r="J172" s="2"/>
      <c r="K172" s="2"/>
      <c r="L172" s="2"/>
      <c r="M172" s="2"/>
      <c r="N172" s="2"/>
      <c r="O172" s="2"/>
      <c r="P172" s="2"/>
      <c r="Q172" s="2"/>
      <c r="R172" s="2"/>
    </row>
    <row r="173">
      <c r="A173" s="2"/>
      <c r="B173" s="2"/>
      <c r="C173" s="2"/>
      <c r="D173" s="2"/>
      <c r="E173" s="2"/>
      <c r="F173" s="2"/>
      <c r="G173" s="2"/>
      <c r="H173" s="2"/>
      <c r="I173" s="2"/>
      <c r="J173" s="2"/>
      <c r="K173" s="2"/>
      <c r="L173" s="2"/>
      <c r="M173" s="2"/>
      <c r="N173" s="2"/>
      <c r="O173" s="2"/>
      <c r="P173" s="2"/>
      <c r="Q173" s="2"/>
      <c r="R173" s="2"/>
    </row>
    <row r="174">
      <c r="A174" s="2"/>
      <c r="B174" s="2"/>
      <c r="C174" s="2"/>
      <c r="D174" s="2"/>
      <c r="E174" s="2"/>
      <c r="F174" s="2"/>
      <c r="G174" s="2"/>
      <c r="H174" s="2"/>
      <c r="I174" s="2"/>
      <c r="J174" s="2"/>
      <c r="K174" s="2"/>
      <c r="L174" s="2"/>
      <c r="M174" s="2"/>
      <c r="N174" s="2"/>
      <c r="O174" s="2"/>
      <c r="P174" s="2"/>
      <c r="Q174" s="2"/>
      <c r="R174" s="2"/>
    </row>
    <row r="175">
      <c r="A175" s="2"/>
      <c r="B175" s="2"/>
      <c r="C175" s="2"/>
      <c r="D175" s="2"/>
      <c r="E175" s="2"/>
      <c r="F175" s="2"/>
      <c r="G175" s="2"/>
      <c r="H175" s="2"/>
      <c r="I175" s="2"/>
      <c r="J175" s="2"/>
      <c r="K175" s="2"/>
      <c r="L175" s="2"/>
      <c r="M175" s="2"/>
      <c r="N175" s="2"/>
      <c r="O175" s="2"/>
      <c r="P175" s="2"/>
      <c r="Q175" s="2"/>
      <c r="R175" s="2"/>
    </row>
    <row r="176">
      <c r="A176" s="2"/>
      <c r="B176" s="2"/>
      <c r="C176" s="2"/>
      <c r="D176" s="2"/>
      <c r="E176" s="2"/>
      <c r="F176" s="2"/>
      <c r="G176" s="2"/>
      <c r="H176" s="2"/>
      <c r="I176" s="2"/>
      <c r="J176" s="2"/>
      <c r="K176" s="2"/>
      <c r="L176" s="2"/>
      <c r="M176" s="2"/>
      <c r="N176" s="2"/>
      <c r="O176" s="2"/>
      <c r="P176" s="2"/>
      <c r="Q176" s="2"/>
      <c r="R176" s="2"/>
    </row>
    <row r="177">
      <c r="A177" s="2"/>
      <c r="B177" s="2"/>
      <c r="C177" s="2"/>
      <c r="D177" s="2"/>
      <c r="E177" s="2"/>
      <c r="F177" s="2"/>
      <c r="G177" s="2"/>
      <c r="H177" s="2"/>
      <c r="I177" s="2"/>
      <c r="J177" s="2"/>
      <c r="K177" s="2"/>
      <c r="L177" s="2"/>
      <c r="M177" s="2"/>
      <c r="N177" s="2"/>
      <c r="O177" s="2"/>
      <c r="P177" s="2"/>
      <c r="Q177" s="2"/>
      <c r="R177" s="2"/>
    </row>
    <row r="178">
      <c r="A178" s="2"/>
      <c r="B178" s="2"/>
      <c r="C178" s="2"/>
      <c r="D178" s="2"/>
      <c r="E178" s="2"/>
      <c r="F178" s="2"/>
      <c r="G178" s="2"/>
      <c r="H178" s="2"/>
      <c r="I178" s="2"/>
      <c r="J178" s="2"/>
      <c r="K178" s="2"/>
      <c r="L178" s="2"/>
      <c r="M178" s="2"/>
      <c r="N178" s="2"/>
      <c r="O178" s="2"/>
      <c r="P178" s="2"/>
      <c r="Q178" s="2"/>
      <c r="R178" s="2"/>
    </row>
    <row r="179">
      <c r="A179" s="2"/>
      <c r="B179" s="2"/>
      <c r="C179" s="2"/>
      <c r="D179" s="2"/>
      <c r="E179" s="2"/>
      <c r="F179" s="2"/>
      <c r="G179" s="2"/>
      <c r="H179" s="2"/>
      <c r="I179" s="2"/>
      <c r="J179" s="2"/>
      <c r="K179" s="2"/>
      <c r="L179" s="2"/>
      <c r="M179" s="2"/>
      <c r="N179" s="2"/>
      <c r="O179" s="2"/>
      <c r="P179" s="2"/>
      <c r="Q179" s="2"/>
      <c r="R179" s="2"/>
    </row>
    <row r="180">
      <c r="A180" s="2"/>
      <c r="B180" s="2"/>
      <c r="C180" s="2"/>
      <c r="D180" s="2"/>
      <c r="E180" s="2"/>
      <c r="F180" s="2"/>
      <c r="G180" s="2"/>
      <c r="H180" s="2"/>
      <c r="I180" s="2"/>
      <c r="J180" s="2"/>
      <c r="K180" s="2"/>
      <c r="L180" s="2"/>
      <c r="M180" s="2"/>
      <c r="N180" s="2"/>
      <c r="O180" s="2"/>
      <c r="P180" s="2"/>
      <c r="Q180" s="2"/>
      <c r="R180" s="2"/>
    </row>
    <row r="181">
      <c r="A181" s="2"/>
      <c r="B181" s="2"/>
      <c r="C181" s="2"/>
      <c r="D181" s="2"/>
      <c r="E181" s="2"/>
      <c r="F181" s="2"/>
      <c r="G181" s="2"/>
      <c r="H181" s="2"/>
      <c r="I181" s="2"/>
      <c r="J181" s="2"/>
      <c r="K181" s="2"/>
      <c r="L181" s="2"/>
      <c r="M181" s="2"/>
      <c r="N181" s="2"/>
      <c r="O181" s="2"/>
      <c r="P181" s="2"/>
      <c r="Q181" s="2"/>
      <c r="R181" s="2"/>
    </row>
    <row r="182">
      <c r="A182" s="2"/>
      <c r="B182" s="2"/>
      <c r="C182" s="2"/>
      <c r="D182" s="2"/>
      <c r="E182" s="2"/>
      <c r="F182" s="2"/>
      <c r="G182" s="2"/>
      <c r="H182" s="2"/>
      <c r="I182" s="2"/>
      <c r="J182" s="2"/>
      <c r="K182" s="2"/>
      <c r="L182" s="2"/>
      <c r="M182" s="2"/>
      <c r="N182" s="2"/>
      <c r="O182" s="2"/>
      <c r="P182" s="2"/>
      <c r="Q182" s="2"/>
      <c r="R182" s="2"/>
    </row>
    <row r="183">
      <c r="A183" s="2"/>
      <c r="B183" s="2"/>
      <c r="C183" s="2"/>
      <c r="D183" s="2"/>
      <c r="E183" s="2"/>
      <c r="F183" s="2"/>
      <c r="G183" s="2"/>
      <c r="H183" s="2"/>
      <c r="I183" s="2"/>
      <c r="J183" s="2"/>
      <c r="K183" s="2"/>
      <c r="L183" s="2"/>
      <c r="M183" s="2"/>
      <c r="N183" s="2"/>
      <c r="O183" s="2"/>
      <c r="P183" s="2"/>
      <c r="Q183" s="2"/>
      <c r="R183" s="2"/>
    </row>
    <row r="184">
      <c r="A184" s="2"/>
      <c r="B184" s="2"/>
      <c r="C184" s="2"/>
      <c r="D184" s="2"/>
      <c r="E184" s="2"/>
      <c r="F184" s="2"/>
      <c r="G184" s="2"/>
      <c r="H184" s="2"/>
      <c r="I184" s="2"/>
      <c r="J184" s="2"/>
      <c r="K184" s="2"/>
      <c r="L184" s="2"/>
      <c r="M184" s="2"/>
      <c r="N184" s="2"/>
      <c r="O184" s="2"/>
      <c r="P184" s="2"/>
      <c r="Q184" s="2"/>
      <c r="R184" s="2"/>
    </row>
    <row r="185">
      <c r="A185" s="2"/>
      <c r="B185" s="2"/>
      <c r="C185" s="2"/>
      <c r="D185" s="2"/>
      <c r="E185" s="2"/>
      <c r="F185" s="2"/>
      <c r="G185" s="2"/>
      <c r="H185" s="2"/>
      <c r="I185" s="2"/>
      <c r="J185" s="2"/>
      <c r="K185" s="2"/>
      <c r="L185" s="2"/>
      <c r="M185" s="2"/>
      <c r="N185" s="2"/>
      <c r="O185" s="2"/>
      <c r="P185" s="2"/>
      <c r="Q185" s="2"/>
      <c r="R185" s="2"/>
    </row>
    <row r="186">
      <c r="A186" s="2"/>
      <c r="B186" s="2"/>
      <c r="C186" s="2"/>
      <c r="D186" s="2"/>
      <c r="E186" s="2"/>
      <c r="F186" s="2"/>
      <c r="G186" s="2"/>
      <c r="H186" s="2"/>
      <c r="I186" s="2"/>
      <c r="J186" s="2"/>
      <c r="K186" s="2"/>
      <c r="L186" s="2"/>
      <c r="M186" s="2"/>
      <c r="N186" s="2"/>
      <c r="O186" s="2"/>
      <c r="P186" s="2"/>
      <c r="Q186" s="2"/>
      <c r="R186" s="2"/>
    </row>
    <row r="187">
      <c r="A187" s="2"/>
      <c r="B187" s="2"/>
      <c r="C187" s="2"/>
      <c r="D187" s="2"/>
      <c r="E187" s="2"/>
      <c r="F187" s="2"/>
      <c r="G187" s="2"/>
      <c r="H187" s="2"/>
      <c r="I187" s="2"/>
      <c r="J187" s="2"/>
      <c r="K187" s="2"/>
      <c r="L187" s="2"/>
      <c r="M187" s="2"/>
      <c r="N187" s="2"/>
      <c r="O187" s="2"/>
      <c r="P187" s="2"/>
      <c r="Q187" s="2"/>
      <c r="R187" s="2"/>
    </row>
    <row r="188">
      <c r="A188" s="2"/>
      <c r="B188" s="2"/>
      <c r="C188" s="2"/>
      <c r="D188" s="2"/>
      <c r="E188" s="2"/>
      <c r="F188" s="2"/>
      <c r="G188" s="2"/>
      <c r="H188" s="2"/>
      <c r="I188" s="2"/>
      <c r="J188" s="2"/>
      <c r="K188" s="2"/>
      <c r="L188" s="2"/>
      <c r="M188" s="2"/>
      <c r="N188" s="2"/>
      <c r="O188" s="2"/>
      <c r="P188" s="2"/>
      <c r="Q188" s="2"/>
      <c r="R188" s="2"/>
    </row>
    <row r="189">
      <c r="A189" s="2"/>
      <c r="B189" s="2"/>
      <c r="C189" s="2"/>
      <c r="D189" s="2"/>
      <c r="E189" s="2"/>
      <c r="F189" s="2"/>
      <c r="G189" s="2"/>
      <c r="H189" s="2"/>
      <c r="I189" s="2"/>
      <c r="J189" s="2"/>
      <c r="K189" s="2"/>
      <c r="L189" s="2"/>
      <c r="M189" s="2"/>
      <c r="N189" s="2"/>
      <c r="O189" s="2"/>
      <c r="P189" s="2"/>
      <c r="Q189" s="2"/>
      <c r="R189" s="2"/>
    </row>
    <row r="190">
      <c r="A190" s="2"/>
      <c r="B190" s="2"/>
      <c r="C190" s="2"/>
      <c r="D190" s="2"/>
      <c r="E190" s="2"/>
      <c r="F190" s="2"/>
      <c r="G190" s="2"/>
      <c r="H190" s="2"/>
      <c r="I190" s="2"/>
      <c r="J190" s="2"/>
      <c r="K190" s="2"/>
      <c r="L190" s="2"/>
      <c r="M190" s="2"/>
      <c r="N190" s="2"/>
      <c r="O190" s="2"/>
      <c r="P190" s="2"/>
      <c r="Q190" s="2"/>
      <c r="R190" s="2"/>
    </row>
    <row r="191">
      <c r="A191" s="2"/>
      <c r="B191" s="2"/>
      <c r="C191" s="2"/>
      <c r="D191" s="2"/>
      <c r="E191" s="2"/>
      <c r="F191" s="2"/>
      <c r="G191" s="2"/>
      <c r="H191" s="2"/>
      <c r="I191" s="2"/>
      <c r="J191" s="2"/>
      <c r="K191" s="2"/>
      <c r="L191" s="2"/>
      <c r="M191" s="2"/>
      <c r="N191" s="2"/>
      <c r="O191" s="2"/>
      <c r="P191" s="2"/>
      <c r="Q191" s="2"/>
      <c r="R191" s="2"/>
    </row>
    <row r="192">
      <c r="A192" s="2"/>
      <c r="B192" s="2"/>
      <c r="C192" s="2"/>
      <c r="D192" s="2"/>
      <c r="E192" s="2"/>
      <c r="F192" s="2"/>
      <c r="G192" s="2"/>
      <c r="H192" s="2"/>
      <c r="I192" s="2"/>
      <c r="J192" s="2"/>
      <c r="K192" s="2"/>
      <c r="L192" s="2"/>
      <c r="M192" s="2"/>
      <c r="N192" s="2"/>
      <c r="O192" s="2"/>
      <c r="P192" s="2"/>
      <c r="Q192" s="2"/>
      <c r="R192" s="2"/>
    </row>
    <row r="193">
      <c r="A193" s="2"/>
      <c r="B193" s="2"/>
      <c r="C193" s="2"/>
      <c r="D193" s="2"/>
      <c r="E193" s="2"/>
      <c r="F193" s="2"/>
      <c r="G193" s="2"/>
      <c r="H193" s="2"/>
      <c r="I193" s="2"/>
      <c r="J193" s="2"/>
      <c r="K193" s="2"/>
      <c r="L193" s="2"/>
      <c r="M193" s="2"/>
      <c r="N193" s="2"/>
      <c r="O193" s="2"/>
      <c r="P193" s="2"/>
      <c r="Q193" s="2"/>
      <c r="R193" s="2"/>
    </row>
    <row r="194">
      <c r="A194" s="2"/>
      <c r="B194" s="2"/>
      <c r="C194" s="2"/>
      <c r="D194" s="2"/>
      <c r="E194" s="2"/>
      <c r="F194" s="2"/>
      <c r="G194" s="2"/>
      <c r="H194" s="2"/>
      <c r="I194" s="2"/>
      <c r="J194" s="2"/>
      <c r="K194" s="2"/>
      <c r="L194" s="2"/>
      <c r="M194" s="2"/>
      <c r="N194" s="2"/>
      <c r="O194" s="2"/>
      <c r="P194" s="2"/>
      <c r="Q194" s="2"/>
      <c r="R194" s="2"/>
    </row>
    <row r="195">
      <c r="A195" s="2"/>
      <c r="B195" s="2"/>
      <c r="C195" s="2"/>
      <c r="D195" s="2"/>
      <c r="E195" s="2"/>
      <c r="F195" s="2"/>
      <c r="G195" s="2"/>
      <c r="H195" s="2"/>
      <c r="I195" s="2"/>
      <c r="J195" s="2"/>
      <c r="K195" s="2"/>
      <c r="L195" s="2"/>
      <c r="M195" s="2"/>
      <c r="N195" s="2"/>
      <c r="O195" s="2"/>
      <c r="P195" s="2"/>
      <c r="Q195" s="2"/>
      <c r="R195" s="2"/>
    </row>
    <row r="196">
      <c r="A196" s="2"/>
      <c r="B196" s="2"/>
      <c r="C196" s="2"/>
      <c r="D196" s="2"/>
      <c r="E196" s="2"/>
      <c r="F196" s="2"/>
      <c r="G196" s="2"/>
      <c r="H196" s="2"/>
      <c r="I196" s="2"/>
      <c r="J196" s="2"/>
      <c r="K196" s="2"/>
      <c r="L196" s="2"/>
      <c r="M196" s="2"/>
      <c r="N196" s="2"/>
      <c r="O196" s="2"/>
      <c r="P196" s="2"/>
      <c r="Q196" s="2"/>
      <c r="R196" s="2"/>
    </row>
    <row r="197">
      <c r="A197" s="2"/>
      <c r="B197" s="2"/>
      <c r="C197" s="2"/>
      <c r="D197" s="2"/>
      <c r="E197" s="2"/>
      <c r="F197" s="2"/>
      <c r="G197" s="2"/>
      <c r="H197" s="2"/>
      <c r="I197" s="2"/>
      <c r="J197" s="2"/>
      <c r="K197" s="2"/>
      <c r="L197" s="2"/>
      <c r="M197" s="2"/>
      <c r="N197" s="2"/>
      <c r="O197" s="2"/>
      <c r="P197" s="2"/>
      <c r="Q197" s="2"/>
      <c r="R197" s="2"/>
    </row>
    <row r="198">
      <c r="A198" s="2"/>
      <c r="B198" s="2"/>
      <c r="C198" s="2"/>
      <c r="D198" s="2"/>
      <c r="E198" s="2"/>
      <c r="F198" s="2"/>
      <c r="G198" s="2"/>
      <c r="H198" s="2"/>
      <c r="I198" s="2"/>
      <c r="J198" s="2"/>
      <c r="K198" s="2"/>
      <c r="L198" s="2"/>
      <c r="M198" s="2"/>
      <c r="N198" s="2"/>
      <c r="O198" s="2"/>
      <c r="P198" s="2"/>
      <c r="Q198" s="2"/>
      <c r="R198" s="2"/>
    </row>
    <row r="199">
      <c r="A199" s="2"/>
      <c r="B199" s="2"/>
      <c r="C199" s="2"/>
      <c r="D199" s="2"/>
      <c r="E199" s="2"/>
      <c r="F199" s="2"/>
      <c r="G199" s="2"/>
      <c r="H199" s="2"/>
      <c r="I199" s="2"/>
      <c r="J199" s="2"/>
      <c r="K199" s="2"/>
      <c r="L199" s="2"/>
      <c r="M199" s="2"/>
      <c r="N199" s="2"/>
      <c r="O199" s="2"/>
      <c r="P199" s="2"/>
      <c r="Q199" s="2"/>
      <c r="R199" s="2"/>
    </row>
    <row r="200">
      <c r="A200" s="2"/>
      <c r="B200" s="2"/>
      <c r="C200" s="2"/>
      <c r="D200" s="2"/>
      <c r="E200" s="2"/>
      <c r="F200" s="2"/>
      <c r="G200" s="2"/>
      <c r="H200" s="2"/>
      <c r="I200" s="2"/>
      <c r="J200" s="2"/>
      <c r="K200" s="2"/>
      <c r="L200" s="2"/>
      <c r="M200" s="2"/>
      <c r="N200" s="2"/>
      <c r="O200" s="2"/>
      <c r="P200" s="2"/>
      <c r="Q200" s="2"/>
      <c r="R200" s="2"/>
    </row>
    <row r="201">
      <c r="A201" s="2"/>
      <c r="B201" s="2"/>
      <c r="C201" s="2"/>
      <c r="D201" s="2"/>
      <c r="E201" s="2"/>
      <c r="F201" s="2"/>
      <c r="G201" s="2"/>
      <c r="H201" s="2"/>
      <c r="I201" s="2"/>
      <c r="J201" s="2"/>
      <c r="K201" s="2"/>
      <c r="L201" s="2"/>
      <c r="M201" s="2"/>
      <c r="N201" s="2"/>
      <c r="O201" s="2"/>
      <c r="P201" s="2"/>
      <c r="Q201" s="2"/>
      <c r="R201" s="2"/>
    </row>
    <row r="202">
      <c r="A202" s="2"/>
      <c r="B202" s="2"/>
      <c r="C202" s="2"/>
      <c r="D202" s="2"/>
      <c r="E202" s="2"/>
      <c r="F202" s="2"/>
      <c r="G202" s="2"/>
      <c r="H202" s="2"/>
      <c r="I202" s="2"/>
      <c r="J202" s="2"/>
      <c r="K202" s="2"/>
      <c r="L202" s="2"/>
      <c r="M202" s="2"/>
      <c r="N202" s="2"/>
      <c r="O202" s="2"/>
      <c r="P202" s="2"/>
      <c r="Q202" s="2"/>
      <c r="R202" s="2"/>
    </row>
    <row r="203">
      <c r="A203" s="2"/>
      <c r="B203" s="2"/>
      <c r="C203" s="2"/>
      <c r="D203" s="2"/>
      <c r="E203" s="2"/>
      <c r="F203" s="2"/>
      <c r="G203" s="2"/>
      <c r="H203" s="2"/>
      <c r="I203" s="2"/>
      <c r="J203" s="2"/>
      <c r="K203" s="2"/>
      <c r="L203" s="2"/>
      <c r="M203" s="2"/>
      <c r="N203" s="2"/>
      <c r="O203" s="2"/>
      <c r="P203" s="2"/>
      <c r="Q203" s="2"/>
      <c r="R203" s="2"/>
    </row>
    <row r="204">
      <c r="A204" s="2"/>
      <c r="B204" s="2"/>
      <c r="C204" s="2"/>
      <c r="D204" s="2"/>
      <c r="E204" s="2"/>
      <c r="F204" s="2"/>
      <c r="G204" s="2"/>
      <c r="H204" s="2"/>
      <c r="I204" s="2"/>
      <c r="J204" s="2"/>
      <c r="K204" s="2"/>
      <c r="L204" s="2"/>
      <c r="M204" s="2"/>
      <c r="N204" s="2"/>
      <c r="O204" s="2"/>
      <c r="P204" s="2"/>
      <c r="Q204" s="2"/>
      <c r="R204" s="2"/>
    </row>
    <row r="205">
      <c r="A205" s="2"/>
      <c r="B205" s="2"/>
      <c r="C205" s="2"/>
      <c r="D205" s="2"/>
      <c r="E205" s="2"/>
      <c r="F205" s="2"/>
      <c r="G205" s="2"/>
      <c r="H205" s="2"/>
      <c r="I205" s="2"/>
      <c r="J205" s="2"/>
      <c r="K205" s="2"/>
      <c r="L205" s="2"/>
      <c r="M205" s="2"/>
      <c r="N205" s="2"/>
      <c r="O205" s="2"/>
      <c r="P205" s="2"/>
      <c r="Q205" s="2"/>
      <c r="R205" s="2"/>
    </row>
    <row r="206">
      <c r="A206" s="2"/>
      <c r="B206" s="2"/>
      <c r="C206" s="2"/>
      <c r="D206" s="2"/>
      <c r="E206" s="2"/>
      <c r="F206" s="2"/>
      <c r="G206" s="2"/>
      <c r="H206" s="2"/>
      <c r="I206" s="2"/>
      <c r="J206" s="2"/>
      <c r="K206" s="2"/>
      <c r="L206" s="2"/>
      <c r="M206" s="2"/>
      <c r="N206" s="2"/>
      <c r="O206" s="2"/>
      <c r="P206" s="2"/>
      <c r="Q206" s="2"/>
      <c r="R206" s="2"/>
    </row>
    <row r="207">
      <c r="A207" s="2"/>
      <c r="B207" s="2"/>
      <c r="C207" s="2"/>
      <c r="D207" s="2"/>
      <c r="E207" s="2"/>
      <c r="F207" s="2"/>
      <c r="G207" s="2"/>
      <c r="H207" s="2"/>
      <c r="I207" s="2"/>
      <c r="J207" s="2"/>
      <c r="K207" s="2"/>
      <c r="L207" s="2"/>
      <c r="M207" s="2"/>
      <c r="N207" s="2"/>
      <c r="O207" s="2"/>
      <c r="P207" s="2"/>
      <c r="Q207" s="2"/>
      <c r="R207" s="2"/>
    </row>
    <row r="208">
      <c r="A208" s="2"/>
      <c r="B208" s="2"/>
      <c r="C208" s="2"/>
      <c r="D208" s="2"/>
      <c r="E208" s="2"/>
      <c r="F208" s="2"/>
      <c r="G208" s="2"/>
      <c r="H208" s="2"/>
      <c r="I208" s="2"/>
      <c r="J208" s="2"/>
      <c r="K208" s="2"/>
      <c r="L208" s="2"/>
      <c r="M208" s="2"/>
      <c r="N208" s="2"/>
      <c r="O208" s="2"/>
      <c r="P208" s="2"/>
      <c r="Q208" s="2"/>
      <c r="R208" s="2"/>
    </row>
    <row r="209">
      <c r="A209" s="2"/>
      <c r="B209" s="2"/>
      <c r="C209" s="2"/>
      <c r="D209" s="2"/>
      <c r="E209" s="2"/>
      <c r="F209" s="2"/>
      <c r="G209" s="2"/>
      <c r="H209" s="2"/>
      <c r="I209" s="2"/>
      <c r="J209" s="2"/>
      <c r="K209" s="2"/>
      <c r="L209" s="2"/>
      <c r="M209" s="2"/>
      <c r="N209" s="2"/>
      <c r="O209" s="2"/>
      <c r="P209" s="2"/>
      <c r="Q209" s="2"/>
      <c r="R209" s="2"/>
    </row>
    <row r="210">
      <c r="A210" s="2"/>
      <c r="B210" s="2"/>
      <c r="C210" s="2"/>
      <c r="D210" s="2"/>
      <c r="E210" s="2"/>
      <c r="F210" s="2"/>
      <c r="G210" s="2"/>
      <c r="H210" s="2"/>
      <c r="I210" s="2"/>
      <c r="J210" s="2"/>
      <c r="K210" s="2"/>
      <c r="L210" s="2"/>
      <c r="M210" s="2"/>
      <c r="N210" s="2"/>
      <c r="O210" s="2"/>
      <c r="P210" s="2"/>
      <c r="Q210" s="2"/>
      <c r="R210" s="2"/>
    </row>
    <row r="211">
      <c r="A211" s="2"/>
      <c r="B211" s="2"/>
      <c r="C211" s="2"/>
      <c r="D211" s="2"/>
      <c r="E211" s="2"/>
      <c r="F211" s="2"/>
      <c r="G211" s="2"/>
      <c r="H211" s="2"/>
      <c r="I211" s="2"/>
      <c r="J211" s="2"/>
      <c r="K211" s="2"/>
      <c r="L211" s="2"/>
      <c r="M211" s="2"/>
      <c r="N211" s="2"/>
      <c r="O211" s="2"/>
      <c r="P211" s="2"/>
      <c r="Q211" s="2"/>
      <c r="R211" s="2"/>
    </row>
    <row r="212">
      <c r="A212" s="2"/>
      <c r="B212" s="2"/>
      <c r="C212" s="2"/>
      <c r="D212" s="2"/>
      <c r="E212" s="2"/>
      <c r="F212" s="2"/>
      <c r="G212" s="2"/>
      <c r="H212" s="2"/>
      <c r="I212" s="2"/>
      <c r="J212" s="2"/>
      <c r="K212" s="2"/>
      <c r="L212" s="2"/>
      <c r="M212" s="2"/>
      <c r="N212" s="2"/>
      <c r="O212" s="2"/>
      <c r="P212" s="2"/>
      <c r="Q212" s="2"/>
      <c r="R212" s="2"/>
    </row>
    <row r="213">
      <c r="A213" s="2"/>
      <c r="B213" s="2"/>
      <c r="C213" s="2"/>
      <c r="D213" s="2"/>
      <c r="E213" s="2"/>
      <c r="F213" s="2"/>
      <c r="G213" s="2"/>
      <c r="H213" s="2"/>
      <c r="I213" s="2"/>
      <c r="J213" s="2"/>
      <c r="K213" s="2"/>
      <c r="L213" s="2"/>
      <c r="M213" s="2"/>
      <c r="N213" s="2"/>
      <c r="O213" s="2"/>
      <c r="P213" s="2"/>
      <c r="Q213" s="2"/>
      <c r="R213" s="2"/>
    </row>
    <row r="214">
      <c r="A214" s="2"/>
      <c r="B214" s="2"/>
      <c r="C214" s="2"/>
      <c r="D214" s="2"/>
      <c r="E214" s="2"/>
      <c r="F214" s="2"/>
      <c r="G214" s="2"/>
      <c r="H214" s="2"/>
      <c r="I214" s="2"/>
      <c r="J214" s="2"/>
      <c r="K214" s="2"/>
      <c r="L214" s="2"/>
      <c r="M214" s="2"/>
      <c r="N214" s="2"/>
      <c r="O214" s="2"/>
      <c r="P214" s="2"/>
      <c r="Q214" s="2"/>
      <c r="R214" s="2"/>
    </row>
    <row r="215">
      <c r="A215" s="2"/>
      <c r="B215" s="2"/>
      <c r="C215" s="2"/>
      <c r="D215" s="2"/>
      <c r="E215" s="2"/>
      <c r="F215" s="2"/>
      <c r="G215" s="2"/>
      <c r="H215" s="2"/>
      <c r="I215" s="2"/>
      <c r="J215" s="2"/>
      <c r="K215" s="2"/>
      <c r="L215" s="2"/>
      <c r="M215" s="2"/>
      <c r="N215" s="2"/>
      <c r="O215" s="2"/>
      <c r="P215" s="2"/>
      <c r="Q215" s="2"/>
      <c r="R215" s="2"/>
    </row>
    <row r="216">
      <c r="A216" s="2"/>
      <c r="B216" s="2"/>
      <c r="C216" s="2"/>
      <c r="D216" s="2"/>
      <c r="E216" s="2"/>
      <c r="F216" s="2"/>
      <c r="G216" s="2"/>
      <c r="H216" s="2"/>
      <c r="I216" s="2"/>
      <c r="J216" s="2"/>
      <c r="K216" s="2"/>
      <c r="L216" s="2"/>
      <c r="M216" s="2"/>
      <c r="N216" s="2"/>
      <c r="O216" s="2"/>
      <c r="P216" s="2"/>
      <c r="Q216" s="2"/>
      <c r="R216" s="2"/>
    </row>
    <row r="217">
      <c r="A217" s="2"/>
      <c r="B217" s="2"/>
      <c r="C217" s="2"/>
      <c r="D217" s="2"/>
      <c r="E217" s="2"/>
      <c r="F217" s="2"/>
      <c r="G217" s="2"/>
      <c r="H217" s="2"/>
      <c r="I217" s="2"/>
      <c r="J217" s="2"/>
      <c r="K217" s="2"/>
      <c r="L217" s="2"/>
      <c r="M217" s="2"/>
      <c r="N217" s="2"/>
      <c r="O217" s="2"/>
      <c r="P217" s="2"/>
      <c r="Q217" s="2"/>
      <c r="R217" s="2"/>
    </row>
    <row r="218">
      <c r="A218" s="2"/>
      <c r="B218" s="2"/>
      <c r="C218" s="2"/>
      <c r="D218" s="2"/>
      <c r="E218" s="2"/>
      <c r="F218" s="2"/>
      <c r="G218" s="2"/>
      <c r="H218" s="2"/>
      <c r="I218" s="2"/>
      <c r="J218" s="2"/>
      <c r="K218" s="2"/>
      <c r="L218" s="2"/>
      <c r="M218" s="2"/>
      <c r="N218" s="2"/>
      <c r="O218" s="2"/>
      <c r="P218" s="2"/>
      <c r="Q218" s="2"/>
      <c r="R218" s="2"/>
    </row>
    <row r="219">
      <c r="A219" s="2"/>
      <c r="B219" s="2"/>
      <c r="C219" s="2"/>
      <c r="D219" s="2"/>
      <c r="E219" s="2"/>
      <c r="F219" s="2"/>
      <c r="G219" s="2"/>
      <c r="H219" s="2"/>
      <c r="I219" s="2"/>
      <c r="J219" s="2"/>
      <c r="K219" s="2"/>
      <c r="L219" s="2"/>
      <c r="M219" s="2"/>
      <c r="N219" s="2"/>
      <c r="O219" s="2"/>
      <c r="P219" s="2"/>
      <c r="Q219" s="2"/>
      <c r="R219" s="2"/>
    </row>
    <row r="220">
      <c r="A220" s="2"/>
      <c r="B220" s="2"/>
      <c r="C220" s="2"/>
      <c r="D220" s="2"/>
      <c r="E220" s="2"/>
      <c r="F220" s="2"/>
      <c r="G220" s="2"/>
      <c r="H220" s="2"/>
      <c r="I220" s="2"/>
      <c r="J220" s="2"/>
      <c r="K220" s="2"/>
      <c r="L220" s="2"/>
      <c r="M220" s="2"/>
      <c r="N220" s="2"/>
      <c r="O220" s="2"/>
      <c r="P220" s="2"/>
      <c r="Q220" s="2"/>
      <c r="R220" s="2"/>
    </row>
    <row r="221">
      <c r="A221" s="2"/>
      <c r="B221" s="2"/>
      <c r="C221" s="2"/>
      <c r="D221" s="2"/>
      <c r="E221" s="2"/>
      <c r="F221" s="2"/>
      <c r="G221" s="2"/>
      <c r="H221" s="2"/>
      <c r="I221" s="2"/>
      <c r="J221" s="2"/>
      <c r="K221" s="2"/>
      <c r="L221" s="2"/>
      <c r="M221" s="2"/>
      <c r="N221" s="2"/>
      <c r="O221" s="2"/>
      <c r="P221" s="2"/>
      <c r="Q221" s="2"/>
      <c r="R221" s="2"/>
    </row>
    <row r="222">
      <c r="A222" s="2"/>
      <c r="B222" s="2"/>
      <c r="C222" s="2"/>
      <c r="D222" s="2"/>
      <c r="E222" s="2"/>
      <c r="F222" s="2"/>
      <c r="G222" s="2"/>
      <c r="H222" s="2"/>
      <c r="I222" s="2"/>
      <c r="J222" s="2"/>
      <c r="K222" s="2"/>
      <c r="L222" s="2"/>
      <c r="M222" s="2"/>
      <c r="N222" s="2"/>
      <c r="O222" s="2"/>
      <c r="P222" s="2"/>
      <c r="Q222" s="2"/>
      <c r="R222" s="2"/>
    </row>
    <row r="223">
      <c r="A223" s="2"/>
      <c r="B223" s="2"/>
      <c r="C223" s="2"/>
      <c r="D223" s="2"/>
      <c r="E223" s="2"/>
      <c r="F223" s="2"/>
      <c r="G223" s="2"/>
      <c r="H223" s="2"/>
      <c r="I223" s="2"/>
      <c r="J223" s="2"/>
      <c r="K223" s="2"/>
      <c r="L223" s="2"/>
      <c r="M223" s="2"/>
      <c r="N223" s="2"/>
      <c r="O223" s="2"/>
      <c r="P223" s="2"/>
      <c r="Q223" s="2"/>
      <c r="R223" s="2"/>
    </row>
    <row r="224">
      <c r="A224" s="2"/>
      <c r="B224" s="2"/>
      <c r="C224" s="2"/>
      <c r="D224" s="2"/>
      <c r="E224" s="2"/>
      <c r="F224" s="2"/>
      <c r="G224" s="2"/>
      <c r="H224" s="2"/>
      <c r="I224" s="2"/>
      <c r="J224" s="2"/>
      <c r="K224" s="2"/>
      <c r="L224" s="2"/>
      <c r="M224" s="2"/>
      <c r="N224" s="2"/>
      <c r="O224" s="2"/>
      <c r="P224" s="2"/>
      <c r="Q224" s="2"/>
      <c r="R224" s="2"/>
    </row>
    <row r="225">
      <c r="A225" s="2"/>
      <c r="B225" s="2"/>
      <c r="C225" s="2"/>
      <c r="D225" s="2"/>
      <c r="E225" s="2"/>
      <c r="F225" s="2"/>
      <c r="G225" s="2"/>
      <c r="H225" s="2"/>
      <c r="I225" s="2"/>
      <c r="J225" s="2"/>
      <c r="K225" s="2"/>
      <c r="L225" s="2"/>
      <c r="M225" s="2"/>
      <c r="N225" s="2"/>
      <c r="O225" s="2"/>
      <c r="P225" s="2"/>
      <c r="Q225" s="2"/>
      <c r="R225" s="2"/>
    </row>
    <row r="226">
      <c r="A226" s="2"/>
      <c r="B226" s="2"/>
      <c r="C226" s="2"/>
      <c r="D226" s="2"/>
      <c r="E226" s="2"/>
      <c r="F226" s="2"/>
      <c r="G226" s="2"/>
      <c r="H226" s="2"/>
      <c r="I226" s="2"/>
      <c r="J226" s="2"/>
      <c r="K226" s="2"/>
      <c r="L226" s="2"/>
      <c r="M226" s="2"/>
      <c r="N226" s="2"/>
      <c r="O226" s="2"/>
      <c r="P226" s="2"/>
      <c r="Q226" s="2"/>
      <c r="R226" s="2"/>
    </row>
    <row r="227">
      <c r="A227" s="2"/>
      <c r="B227" s="2"/>
      <c r="C227" s="2"/>
      <c r="D227" s="2"/>
      <c r="E227" s="2"/>
      <c r="F227" s="2"/>
      <c r="G227" s="2"/>
      <c r="H227" s="2"/>
      <c r="I227" s="2"/>
      <c r="J227" s="2"/>
      <c r="K227" s="2"/>
      <c r="L227" s="2"/>
      <c r="M227" s="2"/>
      <c r="N227" s="2"/>
      <c r="O227" s="2"/>
      <c r="P227" s="2"/>
      <c r="Q227" s="2"/>
      <c r="R227" s="2"/>
    </row>
    <row r="228">
      <c r="A228" s="2"/>
      <c r="B228" s="2"/>
      <c r="C228" s="2"/>
      <c r="D228" s="2"/>
      <c r="E228" s="2"/>
      <c r="F228" s="2"/>
      <c r="G228" s="2"/>
      <c r="H228" s="2"/>
      <c r="I228" s="2"/>
      <c r="J228" s="2"/>
      <c r="K228" s="2"/>
      <c r="L228" s="2"/>
      <c r="M228" s="2"/>
      <c r="N228" s="2"/>
      <c r="O228" s="2"/>
      <c r="P228" s="2"/>
      <c r="Q228" s="2"/>
      <c r="R228" s="2"/>
    </row>
    <row r="229">
      <c r="A229" s="2"/>
      <c r="B229" s="2"/>
      <c r="C229" s="2"/>
      <c r="D229" s="2"/>
      <c r="E229" s="2"/>
      <c r="F229" s="2"/>
      <c r="G229" s="2"/>
      <c r="H229" s="2"/>
      <c r="I229" s="2"/>
      <c r="J229" s="2"/>
      <c r="K229" s="2"/>
      <c r="L229" s="2"/>
      <c r="M229" s="2"/>
      <c r="N229" s="2"/>
      <c r="O229" s="2"/>
      <c r="P229" s="2"/>
      <c r="Q229" s="2"/>
      <c r="R229" s="2"/>
    </row>
    <row r="230">
      <c r="A230" s="2"/>
      <c r="B230" s="2"/>
      <c r="C230" s="2"/>
      <c r="D230" s="2"/>
      <c r="E230" s="2"/>
      <c r="F230" s="2"/>
      <c r="G230" s="2"/>
      <c r="H230" s="2"/>
      <c r="I230" s="2"/>
      <c r="J230" s="2"/>
      <c r="K230" s="2"/>
      <c r="L230" s="2"/>
      <c r="M230" s="2"/>
      <c r="N230" s="2"/>
      <c r="O230" s="2"/>
      <c r="P230" s="2"/>
      <c r="Q230" s="2"/>
      <c r="R230" s="2"/>
    </row>
    <row r="231">
      <c r="A231" s="2"/>
      <c r="B231" s="2"/>
      <c r="C231" s="2"/>
      <c r="D231" s="2"/>
      <c r="E231" s="2"/>
      <c r="F231" s="2"/>
      <c r="G231" s="2"/>
      <c r="H231" s="2"/>
      <c r="I231" s="2"/>
      <c r="J231" s="2"/>
      <c r="K231" s="2"/>
      <c r="L231" s="2"/>
      <c r="M231" s="2"/>
      <c r="N231" s="2"/>
      <c r="O231" s="2"/>
      <c r="P231" s="2"/>
      <c r="Q231" s="2"/>
      <c r="R231" s="2"/>
    </row>
    <row r="232">
      <c r="A232" s="2"/>
      <c r="B232" s="2"/>
      <c r="C232" s="2"/>
      <c r="D232" s="2"/>
      <c r="E232" s="2"/>
      <c r="F232" s="2"/>
      <c r="G232" s="2"/>
      <c r="H232" s="2"/>
      <c r="I232" s="2"/>
      <c r="J232" s="2"/>
      <c r="K232" s="2"/>
      <c r="L232" s="2"/>
      <c r="M232" s="2"/>
      <c r="N232" s="2"/>
      <c r="O232" s="2"/>
      <c r="P232" s="2"/>
      <c r="Q232" s="2"/>
      <c r="R232" s="2"/>
    </row>
    <row r="233">
      <c r="A233" s="2"/>
      <c r="B233" s="2"/>
      <c r="C233" s="2"/>
      <c r="D233" s="2"/>
      <c r="E233" s="2"/>
      <c r="F233" s="2"/>
      <c r="G233" s="2"/>
      <c r="H233" s="2"/>
      <c r="I233" s="2"/>
      <c r="J233" s="2"/>
      <c r="K233" s="2"/>
      <c r="L233" s="2"/>
      <c r="M233" s="2"/>
      <c r="N233" s="2"/>
      <c r="O233" s="2"/>
      <c r="P233" s="2"/>
      <c r="Q233" s="2"/>
      <c r="R233" s="2"/>
    </row>
    <row r="234">
      <c r="A234" s="2"/>
      <c r="B234" s="2"/>
      <c r="C234" s="2"/>
      <c r="D234" s="2"/>
      <c r="E234" s="2"/>
      <c r="F234" s="2"/>
      <c r="G234" s="2"/>
      <c r="H234" s="2"/>
      <c r="I234" s="2"/>
      <c r="J234" s="2"/>
      <c r="K234" s="2"/>
      <c r="L234" s="2"/>
      <c r="M234" s="2"/>
      <c r="N234" s="2"/>
      <c r="O234" s="2"/>
      <c r="P234" s="2"/>
      <c r="Q234" s="2"/>
      <c r="R234" s="2"/>
    </row>
    <row r="235">
      <c r="A235" s="2"/>
      <c r="B235" s="2"/>
      <c r="C235" s="2"/>
      <c r="D235" s="2"/>
      <c r="E235" s="2"/>
      <c r="F235" s="2"/>
      <c r="G235" s="2"/>
      <c r="H235" s="2"/>
      <c r="I235" s="2"/>
      <c r="J235" s="2"/>
      <c r="K235" s="2"/>
      <c r="L235" s="2"/>
      <c r="M235" s="2"/>
      <c r="N235" s="2"/>
      <c r="O235" s="2"/>
      <c r="P235" s="2"/>
      <c r="Q235" s="2"/>
      <c r="R235" s="2"/>
    </row>
    <row r="236">
      <c r="A236" s="2"/>
      <c r="B236" s="2"/>
      <c r="C236" s="2"/>
      <c r="D236" s="2"/>
      <c r="E236" s="2"/>
      <c r="F236" s="2"/>
      <c r="G236" s="2"/>
      <c r="H236" s="2"/>
      <c r="I236" s="2"/>
      <c r="J236" s="2"/>
      <c r="K236" s="2"/>
      <c r="L236" s="2"/>
      <c r="M236" s="2"/>
      <c r="N236" s="2"/>
      <c r="O236" s="2"/>
      <c r="P236" s="2"/>
      <c r="Q236" s="2"/>
      <c r="R236" s="2"/>
    </row>
    <row r="237">
      <c r="A237" s="2"/>
      <c r="B237" s="2"/>
      <c r="C237" s="2"/>
      <c r="D237" s="2"/>
      <c r="E237" s="2"/>
      <c r="F237" s="2"/>
      <c r="G237" s="2"/>
      <c r="H237" s="2"/>
      <c r="I237" s="2"/>
      <c r="J237" s="2"/>
      <c r="K237" s="2"/>
      <c r="L237" s="2"/>
      <c r="M237" s="2"/>
      <c r="N237" s="2"/>
      <c r="O237" s="2"/>
      <c r="P237" s="2"/>
      <c r="Q237" s="2"/>
      <c r="R237" s="2"/>
    </row>
    <row r="238">
      <c r="A238" s="2"/>
      <c r="B238" s="2"/>
      <c r="C238" s="2"/>
      <c r="D238" s="2"/>
      <c r="E238" s="2"/>
      <c r="F238" s="2"/>
      <c r="G238" s="2"/>
      <c r="H238" s="2"/>
      <c r="I238" s="2"/>
      <c r="J238" s="2"/>
      <c r="K238" s="2"/>
      <c r="L238" s="2"/>
      <c r="M238" s="2"/>
      <c r="N238" s="2"/>
      <c r="O238" s="2"/>
      <c r="P238" s="2"/>
      <c r="Q238" s="2"/>
      <c r="R238" s="2"/>
    </row>
    <row r="239">
      <c r="A239" s="2"/>
      <c r="B239" s="2"/>
      <c r="C239" s="2"/>
      <c r="D239" s="2"/>
      <c r="E239" s="2"/>
      <c r="F239" s="2"/>
      <c r="G239" s="2"/>
      <c r="H239" s="2"/>
      <c r="I239" s="2"/>
      <c r="J239" s="2"/>
      <c r="K239" s="2"/>
      <c r="L239" s="2"/>
      <c r="M239" s="2"/>
      <c r="N239" s="2"/>
      <c r="O239" s="2"/>
      <c r="P239" s="2"/>
      <c r="Q239" s="2"/>
      <c r="R239" s="2"/>
    </row>
    <row r="240">
      <c r="A240" s="2"/>
      <c r="B240" s="2"/>
      <c r="C240" s="2"/>
      <c r="D240" s="2"/>
      <c r="E240" s="2"/>
      <c r="F240" s="2"/>
      <c r="G240" s="2"/>
      <c r="H240" s="2"/>
      <c r="I240" s="2"/>
      <c r="J240" s="2"/>
      <c r="K240" s="2"/>
      <c r="L240" s="2"/>
      <c r="M240" s="2"/>
      <c r="N240" s="2"/>
      <c r="O240" s="2"/>
      <c r="P240" s="2"/>
      <c r="Q240" s="2"/>
      <c r="R240" s="2"/>
    </row>
    <row r="241">
      <c r="A241" s="2"/>
      <c r="B241" s="2"/>
      <c r="C241" s="2"/>
      <c r="D241" s="2"/>
      <c r="E241" s="2"/>
      <c r="F241" s="2"/>
      <c r="G241" s="2"/>
      <c r="H241" s="2"/>
      <c r="I241" s="2"/>
      <c r="J241" s="2"/>
      <c r="K241" s="2"/>
      <c r="L241" s="2"/>
      <c r="M241" s="2"/>
      <c r="N241" s="2"/>
      <c r="O241" s="2"/>
      <c r="P241" s="2"/>
      <c r="Q241" s="2"/>
      <c r="R241" s="2"/>
    </row>
    <row r="242">
      <c r="A242" s="2"/>
      <c r="B242" s="2"/>
      <c r="C242" s="2"/>
      <c r="D242" s="2"/>
      <c r="E242" s="2"/>
      <c r="F242" s="2"/>
      <c r="G242" s="2"/>
      <c r="H242" s="2"/>
      <c r="I242" s="2"/>
      <c r="J242" s="2"/>
      <c r="K242" s="2"/>
      <c r="L242" s="2"/>
      <c r="M242" s="2"/>
      <c r="N242" s="2"/>
      <c r="O242" s="2"/>
      <c r="P242" s="2"/>
      <c r="Q242" s="2"/>
      <c r="R242" s="2"/>
    </row>
    <row r="243">
      <c r="A243" s="2"/>
      <c r="B243" s="2"/>
      <c r="C243" s="2"/>
      <c r="D243" s="2"/>
      <c r="E243" s="2"/>
      <c r="F243" s="2"/>
      <c r="G243" s="2"/>
      <c r="H243" s="2"/>
      <c r="I243" s="2"/>
      <c r="J243" s="2"/>
      <c r="K243" s="2"/>
      <c r="L243" s="2"/>
      <c r="M243" s="2"/>
      <c r="N243" s="2"/>
      <c r="O243" s="2"/>
      <c r="P243" s="2"/>
      <c r="Q243" s="2"/>
      <c r="R243" s="2"/>
    </row>
    <row r="244">
      <c r="A244" s="2"/>
      <c r="B244" s="2"/>
      <c r="C244" s="2"/>
      <c r="D244" s="2"/>
      <c r="E244" s="2"/>
      <c r="F244" s="2"/>
      <c r="G244" s="2"/>
      <c r="H244" s="2"/>
      <c r="I244" s="2"/>
      <c r="J244" s="2"/>
      <c r="K244" s="2"/>
      <c r="L244" s="2"/>
      <c r="M244" s="2"/>
      <c r="N244" s="2"/>
      <c r="O244" s="2"/>
      <c r="P244" s="2"/>
      <c r="Q244" s="2"/>
      <c r="R244" s="2"/>
    </row>
    <row r="245">
      <c r="A245" s="2"/>
      <c r="B245" s="2"/>
      <c r="C245" s="2"/>
      <c r="D245" s="2"/>
      <c r="E245" s="2"/>
      <c r="F245" s="2"/>
      <c r="G245" s="2"/>
      <c r="H245" s="2"/>
      <c r="I245" s="2"/>
      <c r="J245" s="2"/>
      <c r="K245" s="2"/>
      <c r="L245" s="2"/>
      <c r="M245" s="2"/>
      <c r="N245" s="2"/>
      <c r="O245" s="2"/>
      <c r="P245" s="2"/>
      <c r="Q245" s="2"/>
      <c r="R245" s="2"/>
    </row>
    <row r="246">
      <c r="A246" s="2"/>
      <c r="B246" s="2"/>
      <c r="C246" s="2"/>
      <c r="D246" s="2"/>
      <c r="E246" s="2"/>
      <c r="F246" s="2"/>
      <c r="G246" s="2"/>
      <c r="H246" s="2"/>
      <c r="I246" s="2"/>
      <c r="J246" s="2"/>
      <c r="K246" s="2"/>
      <c r="L246" s="2"/>
      <c r="M246" s="2"/>
      <c r="N246" s="2"/>
      <c r="O246" s="2"/>
      <c r="P246" s="2"/>
      <c r="Q246" s="2"/>
      <c r="R246" s="2"/>
    </row>
    <row r="247">
      <c r="A247" s="2"/>
      <c r="B247" s="2"/>
      <c r="C247" s="2"/>
      <c r="D247" s="2"/>
      <c r="E247" s="2"/>
      <c r="F247" s="2"/>
      <c r="G247" s="2"/>
      <c r="H247" s="2"/>
      <c r="I247" s="2"/>
      <c r="J247" s="2"/>
      <c r="K247" s="2"/>
      <c r="L247" s="2"/>
      <c r="M247" s="2"/>
      <c r="N247" s="2"/>
      <c r="O247" s="2"/>
      <c r="P247" s="2"/>
      <c r="Q247" s="2"/>
      <c r="R247" s="2"/>
    </row>
    <row r="248">
      <c r="A248" s="2"/>
      <c r="B248" s="2"/>
      <c r="C248" s="2"/>
      <c r="D248" s="2"/>
      <c r="E248" s="2"/>
      <c r="F248" s="2"/>
      <c r="G248" s="2"/>
      <c r="H248" s="2"/>
      <c r="I248" s="2"/>
      <c r="J248" s="2"/>
      <c r="K248" s="2"/>
      <c r="L248" s="2"/>
      <c r="M248" s="2"/>
      <c r="N248" s="2"/>
      <c r="O248" s="2"/>
      <c r="P248" s="2"/>
      <c r="Q248" s="2"/>
      <c r="R248" s="2"/>
    </row>
    <row r="249">
      <c r="A249" s="2"/>
      <c r="B249" s="2"/>
      <c r="C249" s="2"/>
      <c r="D249" s="2"/>
      <c r="E249" s="2"/>
      <c r="F249" s="2"/>
      <c r="G249" s="2"/>
      <c r="H249" s="2"/>
      <c r="I249" s="2"/>
      <c r="J249" s="2"/>
      <c r="K249" s="2"/>
      <c r="L249" s="2"/>
      <c r="M249" s="2"/>
      <c r="N249" s="2"/>
      <c r="O249" s="2"/>
      <c r="P249" s="2"/>
      <c r="Q249" s="2"/>
      <c r="R249" s="2"/>
    </row>
    <row r="250">
      <c r="A250" s="2"/>
      <c r="B250" s="2"/>
      <c r="C250" s="2"/>
      <c r="D250" s="2"/>
      <c r="E250" s="2"/>
      <c r="F250" s="2"/>
      <c r="G250" s="2"/>
      <c r="H250" s="2"/>
      <c r="I250" s="2"/>
      <c r="J250" s="2"/>
      <c r="K250" s="2"/>
      <c r="L250" s="2"/>
      <c r="M250" s="2"/>
      <c r="N250" s="2"/>
      <c r="O250" s="2"/>
      <c r="P250" s="2"/>
      <c r="Q250" s="2"/>
      <c r="R250" s="2"/>
    </row>
    <row r="251">
      <c r="A251" s="2"/>
      <c r="B251" s="2"/>
      <c r="C251" s="2"/>
      <c r="D251" s="2"/>
      <c r="E251" s="2"/>
      <c r="F251" s="2"/>
      <c r="G251" s="2"/>
      <c r="H251" s="2"/>
      <c r="I251" s="2"/>
      <c r="J251" s="2"/>
      <c r="K251" s="2"/>
      <c r="L251" s="2"/>
      <c r="M251" s="2"/>
      <c r="N251" s="2"/>
      <c r="O251" s="2"/>
      <c r="P251" s="2"/>
      <c r="Q251" s="2"/>
      <c r="R251" s="2"/>
    </row>
    <row r="252">
      <c r="A252" s="2"/>
      <c r="B252" s="2"/>
      <c r="C252" s="2"/>
      <c r="D252" s="2"/>
      <c r="E252" s="2"/>
      <c r="F252" s="2"/>
      <c r="G252" s="2"/>
      <c r="H252" s="2"/>
      <c r="I252" s="2"/>
      <c r="J252" s="2"/>
      <c r="K252" s="2"/>
      <c r="L252" s="2"/>
      <c r="M252" s="2"/>
      <c r="N252" s="2"/>
      <c r="O252" s="2"/>
      <c r="P252" s="2"/>
      <c r="Q252" s="2"/>
      <c r="R252" s="2"/>
    </row>
    <row r="253">
      <c r="A253" s="2"/>
      <c r="B253" s="2"/>
      <c r="C253" s="2"/>
      <c r="D253" s="2"/>
      <c r="E253" s="2"/>
      <c r="F253" s="2"/>
      <c r="G253" s="2"/>
      <c r="H253" s="2"/>
      <c r="I253" s="2"/>
      <c r="J253" s="2"/>
      <c r="K253" s="2"/>
      <c r="L253" s="2"/>
      <c r="M253" s="2"/>
      <c r="N253" s="2"/>
      <c r="O253" s="2"/>
      <c r="P253" s="2"/>
      <c r="Q253" s="2"/>
      <c r="R253" s="2"/>
    </row>
    <row r="254">
      <c r="A254" s="2"/>
      <c r="B254" s="2"/>
      <c r="C254" s="2"/>
      <c r="D254" s="2"/>
      <c r="E254" s="2"/>
      <c r="F254" s="2"/>
      <c r="G254" s="2"/>
      <c r="H254" s="2"/>
      <c r="I254" s="2"/>
      <c r="J254" s="2"/>
      <c r="K254" s="2"/>
      <c r="L254" s="2"/>
      <c r="M254" s="2"/>
      <c r="N254" s="2"/>
      <c r="O254" s="2"/>
      <c r="P254" s="2"/>
      <c r="Q254" s="2"/>
      <c r="R254" s="2"/>
    </row>
    <row r="255">
      <c r="A255" s="2"/>
      <c r="B255" s="2"/>
      <c r="C255" s="2"/>
      <c r="D255" s="2"/>
      <c r="E255" s="2"/>
      <c r="F255" s="2"/>
      <c r="G255" s="2"/>
      <c r="H255" s="2"/>
      <c r="I255" s="2"/>
      <c r="J255" s="2"/>
      <c r="K255" s="2"/>
      <c r="L255" s="2"/>
      <c r="M255" s="2"/>
      <c r="N255" s="2"/>
      <c r="O255" s="2"/>
      <c r="P255" s="2"/>
      <c r="Q255" s="2"/>
      <c r="R255" s="2"/>
    </row>
    <row r="256">
      <c r="A256" s="2"/>
      <c r="B256" s="2"/>
      <c r="C256" s="2"/>
      <c r="D256" s="2"/>
      <c r="E256" s="2"/>
      <c r="F256" s="2"/>
      <c r="G256" s="2"/>
      <c r="H256" s="2"/>
      <c r="I256" s="2"/>
      <c r="J256" s="2"/>
      <c r="K256" s="2"/>
      <c r="L256" s="2"/>
      <c r="M256" s="2"/>
      <c r="N256" s="2"/>
      <c r="O256" s="2"/>
      <c r="P256" s="2"/>
      <c r="Q256" s="2"/>
      <c r="R256" s="2"/>
    </row>
    <row r="257">
      <c r="A257" s="2"/>
      <c r="B257" s="2"/>
      <c r="C257" s="2"/>
      <c r="D257" s="2"/>
      <c r="E257" s="2"/>
      <c r="F257" s="2"/>
      <c r="G257" s="2"/>
      <c r="H257" s="2"/>
      <c r="I257" s="2"/>
      <c r="J257" s="2"/>
      <c r="K257" s="2"/>
      <c r="L257" s="2"/>
      <c r="M257" s="2"/>
      <c r="N257" s="2"/>
      <c r="O257" s="2"/>
      <c r="P257" s="2"/>
      <c r="Q257" s="2"/>
      <c r="R257" s="2"/>
    </row>
    <row r="258">
      <c r="A258" s="2"/>
      <c r="B258" s="2"/>
      <c r="C258" s="2"/>
      <c r="D258" s="2"/>
      <c r="E258" s="2"/>
      <c r="F258" s="2"/>
      <c r="G258" s="2"/>
      <c r="H258" s="2"/>
      <c r="I258" s="2"/>
      <c r="J258" s="2"/>
      <c r="K258" s="2"/>
      <c r="L258" s="2"/>
      <c r="M258" s="2"/>
      <c r="N258" s="2"/>
      <c r="O258" s="2"/>
      <c r="P258" s="2"/>
      <c r="Q258" s="2"/>
      <c r="R258" s="2"/>
    </row>
    <row r="259">
      <c r="A259" s="2"/>
      <c r="B259" s="2"/>
      <c r="C259" s="2"/>
      <c r="D259" s="2"/>
      <c r="E259" s="2"/>
      <c r="F259" s="2"/>
      <c r="G259" s="2"/>
      <c r="H259" s="2"/>
      <c r="I259" s="2"/>
      <c r="J259" s="2"/>
      <c r="K259" s="2"/>
      <c r="L259" s="2"/>
      <c r="M259" s="2"/>
      <c r="N259" s="2"/>
      <c r="O259" s="2"/>
      <c r="P259" s="2"/>
      <c r="Q259" s="2"/>
      <c r="R259" s="2"/>
    </row>
    <row r="260">
      <c r="A260" s="2"/>
      <c r="B260" s="2"/>
      <c r="C260" s="2"/>
      <c r="D260" s="2"/>
      <c r="E260" s="2"/>
      <c r="F260" s="2"/>
      <c r="G260" s="2"/>
      <c r="H260" s="2"/>
      <c r="I260" s="2"/>
      <c r="J260" s="2"/>
      <c r="K260" s="2"/>
      <c r="L260" s="2"/>
      <c r="M260" s="2"/>
      <c r="N260" s="2"/>
      <c r="O260" s="2"/>
      <c r="P260" s="2"/>
      <c r="Q260" s="2"/>
      <c r="R260" s="2"/>
    </row>
    <row r="261">
      <c r="A261" s="2"/>
      <c r="B261" s="2"/>
      <c r="C261" s="2"/>
      <c r="D261" s="2"/>
      <c r="E261" s="2"/>
      <c r="F261" s="2"/>
      <c r="G261" s="2"/>
      <c r="H261" s="2"/>
      <c r="I261" s="2"/>
      <c r="J261" s="2"/>
      <c r="K261" s="2"/>
      <c r="L261" s="2"/>
      <c r="M261" s="2"/>
      <c r="N261" s="2"/>
      <c r="O261" s="2"/>
      <c r="P261" s="2"/>
      <c r="Q261" s="2"/>
      <c r="R261" s="2"/>
    </row>
    <row r="262">
      <c r="A262" s="2"/>
      <c r="B262" s="2"/>
      <c r="C262" s="2"/>
      <c r="D262" s="2"/>
      <c r="E262" s="2"/>
      <c r="F262" s="2"/>
      <c r="G262" s="2"/>
      <c r="H262" s="2"/>
      <c r="I262" s="2"/>
      <c r="J262" s="2"/>
      <c r="K262" s="2"/>
      <c r="L262" s="2"/>
      <c r="M262" s="2"/>
      <c r="N262" s="2"/>
      <c r="O262" s="2"/>
      <c r="P262" s="2"/>
      <c r="Q262" s="2"/>
      <c r="R262" s="2"/>
    </row>
    <row r="263">
      <c r="A263" s="2"/>
      <c r="B263" s="2"/>
      <c r="C263" s="2"/>
      <c r="D263" s="2"/>
      <c r="E263" s="2"/>
      <c r="F263" s="2"/>
      <c r="G263" s="2"/>
      <c r="H263" s="2"/>
      <c r="I263" s="2"/>
      <c r="J263" s="2"/>
      <c r="K263" s="2"/>
      <c r="L263" s="2"/>
      <c r="M263" s="2"/>
      <c r="N263" s="2"/>
      <c r="O263" s="2"/>
      <c r="P263" s="2"/>
      <c r="Q263" s="2"/>
      <c r="R263" s="2"/>
    </row>
    <row r="264">
      <c r="A264" s="2"/>
      <c r="B264" s="2"/>
      <c r="C264" s="2"/>
      <c r="D264" s="2"/>
      <c r="E264" s="2"/>
      <c r="F264" s="2"/>
      <c r="G264" s="2"/>
      <c r="H264" s="2"/>
      <c r="I264" s="2"/>
      <c r="J264" s="2"/>
      <c r="K264" s="2"/>
      <c r="L264" s="2"/>
      <c r="M264" s="2"/>
      <c r="N264" s="2"/>
      <c r="O264" s="2"/>
      <c r="P264" s="2"/>
      <c r="Q264" s="2"/>
      <c r="R264" s="2"/>
    </row>
    <row r="265">
      <c r="A265" s="2"/>
      <c r="B265" s="2"/>
      <c r="C265" s="2"/>
      <c r="D265" s="2"/>
      <c r="E265" s="2"/>
      <c r="F265" s="2"/>
      <c r="G265" s="2"/>
      <c r="H265" s="2"/>
      <c r="I265" s="2"/>
      <c r="J265" s="2"/>
      <c r="K265" s="2"/>
      <c r="L265" s="2"/>
      <c r="M265" s="2"/>
      <c r="N265" s="2"/>
      <c r="O265" s="2"/>
      <c r="P265" s="2"/>
      <c r="Q265" s="2"/>
      <c r="R265" s="2"/>
    </row>
    <row r="266">
      <c r="A266" s="2"/>
      <c r="B266" s="2"/>
      <c r="C266" s="2"/>
      <c r="D266" s="2"/>
      <c r="E266" s="2"/>
      <c r="F266" s="2"/>
      <c r="G266" s="2"/>
      <c r="H266" s="2"/>
      <c r="I266" s="2"/>
      <c r="J266" s="2"/>
      <c r="K266" s="2"/>
      <c r="L266" s="2"/>
      <c r="M266" s="2"/>
      <c r="N266" s="2"/>
      <c r="O266" s="2"/>
      <c r="P266" s="2"/>
      <c r="Q266" s="2"/>
      <c r="R266" s="2"/>
    </row>
    <row r="267">
      <c r="A267" s="2"/>
      <c r="B267" s="2"/>
      <c r="C267" s="2"/>
      <c r="D267" s="2"/>
      <c r="E267" s="2"/>
      <c r="F267" s="2"/>
      <c r="G267" s="2"/>
      <c r="H267" s="2"/>
      <c r="I267" s="2"/>
      <c r="J267" s="2"/>
      <c r="K267" s="2"/>
      <c r="L267" s="2"/>
      <c r="M267" s="2"/>
      <c r="N267" s="2"/>
      <c r="O267" s="2"/>
      <c r="P267" s="2"/>
      <c r="Q267" s="2"/>
      <c r="R267" s="2"/>
    </row>
    <row r="268">
      <c r="A268" s="2"/>
      <c r="B268" s="2"/>
      <c r="C268" s="2"/>
      <c r="D268" s="2"/>
      <c r="E268" s="2"/>
      <c r="F268" s="2"/>
      <c r="G268" s="2"/>
      <c r="H268" s="2"/>
      <c r="I268" s="2"/>
      <c r="J268" s="2"/>
      <c r="K268" s="2"/>
      <c r="L268" s="2"/>
      <c r="M268" s="2"/>
      <c r="N268" s="2"/>
      <c r="O268" s="2"/>
      <c r="P268" s="2"/>
      <c r="Q268" s="2"/>
      <c r="R268" s="2"/>
    </row>
    <row r="269">
      <c r="A269" s="2"/>
      <c r="B269" s="2"/>
      <c r="C269" s="2"/>
      <c r="D269" s="2"/>
      <c r="E269" s="2"/>
      <c r="F269" s="2"/>
      <c r="G269" s="2"/>
      <c r="H269" s="2"/>
      <c r="I269" s="2"/>
      <c r="J269" s="2"/>
      <c r="K269" s="2"/>
      <c r="L269" s="2"/>
      <c r="M269" s="2"/>
      <c r="N269" s="2"/>
      <c r="O269" s="2"/>
      <c r="P269" s="2"/>
      <c r="Q269" s="2"/>
      <c r="R269" s="2"/>
    </row>
    <row r="270">
      <c r="A270" s="2"/>
      <c r="B270" s="2"/>
      <c r="C270" s="2"/>
      <c r="D270" s="2"/>
      <c r="E270" s="2"/>
      <c r="F270" s="2"/>
      <c r="G270" s="2"/>
      <c r="H270" s="2"/>
      <c r="I270" s="2"/>
      <c r="J270" s="2"/>
      <c r="K270" s="2"/>
      <c r="L270" s="2"/>
      <c r="M270" s="2"/>
      <c r="N270" s="2"/>
      <c r="O270" s="2"/>
      <c r="P270" s="2"/>
      <c r="Q270" s="2"/>
      <c r="R270" s="2"/>
    </row>
    <row r="271">
      <c r="A271" s="2"/>
      <c r="B271" s="2"/>
      <c r="C271" s="2"/>
      <c r="D271" s="2"/>
      <c r="E271" s="2"/>
      <c r="F271" s="2"/>
      <c r="G271" s="2"/>
      <c r="H271" s="2"/>
      <c r="I271" s="2"/>
      <c r="J271" s="2"/>
      <c r="K271" s="2"/>
      <c r="L271" s="2"/>
      <c r="M271" s="2"/>
      <c r="N271" s="2"/>
      <c r="O271" s="2"/>
      <c r="P271" s="2"/>
      <c r="Q271" s="2"/>
      <c r="R271" s="2"/>
    </row>
    <row r="272">
      <c r="A272" s="2"/>
      <c r="B272" s="2"/>
      <c r="C272" s="2"/>
      <c r="D272" s="2"/>
      <c r="E272" s="2"/>
      <c r="F272" s="2"/>
      <c r="G272" s="2"/>
      <c r="H272" s="2"/>
      <c r="I272" s="2"/>
      <c r="J272" s="2"/>
      <c r="K272" s="2"/>
      <c r="L272" s="2"/>
      <c r="M272" s="2"/>
      <c r="N272" s="2"/>
      <c r="O272" s="2"/>
      <c r="P272" s="2"/>
      <c r="Q272" s="2"/>
      <c r="R272" s="2"/>
    </row>
    <row r="273">
      <c r="A273" s="2"/>
      <c r="B273" s="2"/>
      <c r="C273" s="2"/>
      <c r="D273" s="2"/>
      <c r="E273" s="2"/>
      <c r="F273" s="2"/>
      <c r="G273" s="2"/>
      <c r="H273" s="2"/>
      <c r="I273" s="2"/>
      <c r="J273" s="2"/>
      <c r="K273" s="2"/>
      <c r="L273" s="2"/>
      <c r="M273" s="2"/>
      <c r="N273" s="2"/>
      <c r="O273" s="2"/>
      <c r="P273" s="2"/>
      <c r="Q273" s="2"/>
      <c r="R273" s="2"/>
    </row>
    <row r="274">
      <c r="A274" s="2"/>
      <c r="B274" s="2"/>
      <c r="C274" s="2"/>
      <c r="D274" s="2"/>
      <c r="E274" s="2"/>
      <c r="F274" s="2"/>
      <c r="G274" s="2"/>
      <c r="H274" s="2"/>
      <c r="I274" s="2"/>
      <c r="J274" s="2"/>
      <c r="K274" s="2"/>
      <c r="L274" s="2"/>
      <c r="M274" s="2"/>
      <c r="N274" s="2"/>
      <c r="O274" s="2"/>
      <c r="P274" s="2"/>
      <c r="Q274" s="2"/>
      <c r="R274" s="2"/>
    </row>
    <row r="275">
      <c r="A275" s="2"/>
      <c r="B275" s="2"/>
      <c r="C275" s="2"/>
      <c r="D275" s="2"/>
      <c r="E275" s="2"/>
      <c r="F275" s="2"/>
      <c r="G275" s="2"/>
      <c r="H275" s="2"/>
      <c r="I275" s="2"/>
      <c r="J275" s="2"/>
      <c r="K275" s="2"/>
      <c r="L275" s="2"/>
      <c r="M275" s="2"/>
      <c r="N275" s="2"/>
      <c r="O275" s="2"/>
      <c r="P275" s="2"/>
      <c r="Q275" s="2"/>
      <c r="R275" s="2"/>
    </row>
    <row r="276">
      <c r="A276" s="2"/>
      <c r="B276" s="2"/>
      <c r="C276" s="2"/>
      <c r="D276" s="2"/>
      <c r="E276" s="2"/>
      <c r="F276" s="2"/>
      <c r="G276" s="2"/>
      <c r="H276" s="2"/>
      <c r="I276" s="2"/>
      <c r="J276" s="2"/>
      <c r="K276" s="2"/>
      <c r="L276" s="2"/>
      <c r="M276" s="2"/>
      <c r="N276" s="2"/>
      <c r="O276" s="2"/>
      <c r="P276" s="2"/>
      <c r="Q276" s="2"/>
      <c r="R276" s="2"/>
    </row>
    <row r="277">
      <c r="A277" s="2"/>
      <c r="B277" s="2"/>
      <c r="C277" s="2"/>
      <c r="D277" s="2"/>
      <c r="E277" s="2"/>
      <c r="F277" s="2"/>
      <c r="G277" s="2"/>
      <c r="H277" s="2"/>
      <c r="I277" s="2"/>
      <c r="J277" s="2"/>
      <c r="K277" s="2"/>
      <c r="L277" s="2"/>
      <c r="M277" s="2"/>
      <c r="N277" s="2"/>
      <c r="O277" s="2"/>
      <c r="P277" s="2"/>
      <c r="Q277" s="2"/>
      <c r="R277" s="2"/>
    </row>
    <row r="278">
      <c r="A278" s="2"/>
      <c r="B278" s="2"/>
      <c r="C278" s="2"/>
      <c r="D278" s="2"/>
      <c r="E278" s="2"/>
      <c r="F278" s="2"/>
      <c r="G278" s="2"/>
      <c r="H278" s="2"/>
      <c r="I278" s="2"/>
      <c r="J278" s="2"/>
      <c r="K278" s="2"/>
      <c r="L278" s="2"/>
      <c r="M278" s="2"/>
      <c r="N278" s="2"/>
      <c r="O278" s="2"/>
      <c r="P278" s="2"/>
      <c r="Q278" s="2"/>
      <c r="R278" s="2"/>
    </row>
    <row r="279">
      <c r="A279" s="2"/>
      <c r="B279" s="2"/>
      <c r="C279" s="2"/>
      <c r="D279" s="2"/>
      <c r="E279" s="2"/>
      <c r="F279" s="2"/>
      <c r="G279" s="2"/>
      <c r="H279" s="2"/>
      <c r="I279" s="2"/>
      <c r="J279" s="2"/>
      <c r="K279" s="2"/>
      <c r="L279" s="2"/>
      <c r="M279" s="2"/>
      <c r="N279" s="2"/>
      <c r="O279" s="2"/>
      <c r="P279" s="2"/>
      <c r="Q279" s="2"/>
      <c r="R279" s="2"/>
    </row>
    <row r="280">
      <c r="A280" s="2"/>
      <c r="B280" s="2"/>
      <c r="C280" s="2"/>
      <c r="D280" s="2"/>
      <c r="E280" s="2"/>
      <c r="F280" s="2"/>
      <c r="G280" s="2"/>
      <c r="H280" s="2"/>
      <c r="I280" s="2"/>
      <c r="J280" s="2"/>
      <c r="K280" s="2"/>
      <c r="L280" s="2"/>
      <c r="M280" s="2"/>
      <c r="N280" s="2"/>
      <c r="O280" s="2"/>
      <c r="P280" s="2"/>
      <c r="Q280" s="2"/>
      <c r="R280" s="2"/>
    </row>
    <row r="281">
      <c r="A281" s="2"/>
      <c r="B281" s="2"/>
      <c r="C281" s="2"/>
      <c r="D281" s="2"/>
      <c r="E281" s="2"/>
      <c r="F281" s="2"/>
      <c r="G281" s="2"/>
      <c r="H281" s="2"/>
      <c r="I281" s="2"/>
      <c r="J281" s="2"/>
      <c r="K281" s="2"/>
      <c r="L281" s="2"/>
      <c r="M281" s="2"/>
      <c r="N281" s="2"/>
      <c r="O281" s="2"/>
      <c r="P281" s="2"/>
      <c r="Q281" s="2"/>
      <c r="R281" s="2"/>
    </row>
    <row r="282">
      <c r="A282" s="2"/>
      <c r="B282" s="2"/>
      <c r="C282" s="2"/>
      <c r="D282" s="2"/>
      <c r="E282" s="2"/>
      <c r="F282" s="2"/>
      <c r="G282" s="2"/>
      <c r="H282" s="2"/>
      <c r="I282" s="2"/>
      <c r="J282" s="2"/>
      <c r="K282" s="2"/>
      <c r="L282" s="2"/>
      <c r="M282" s="2"/>
      <c r="N282" s="2"/>
      <c r="O282" s="2"/>
      <c r="P282" s="2"/>
      <c r="Q282" s="2"/>
      <c r="R282" s="2"/>
    </row>
    <row r="283">
      <c r="A283" s="2"/>
      <c r="B283" s="2"/>
      <c r="C283" s="2"/>
      <c r="D283" s="2"/>
      <c r="E283" s="2"/>
      <c r="F283" s="2"/>
      <c r="G283" s="2"/>
      <c r="H283" s="2"/>
      <c r="I283" s="2"/>
      <c r="J283" s="2"/>
      <c r="K283" s="2"/>
      <c r="L283" s="2"/>
      <c r="M283" s="2"/>
      <c r="N283" s="2"/>
      <c r="O283" s="2"/>
      <c r="P283" s="2"/>
      <c r="Q283" s="2"/>
      <c r="R283" s="2"/>
    </row>
    <row r="284">
      <c r="A284" s="2"/>
      <c r="B284" s="2"/>
      <c r="C284" s="2"/>
      <c r="D284" s="2"/>
      <c r="E284" s="2"/>
      <c r="F284" s="2"/>
      <c r="G284" s="2"/>
      <c r="H284" s="2"/>
      <c r="I284" s="2"/>
      <c r="J284" s="2"/>
      <c r="K284" s="2"/>
      <c r="L284" s="2"/>
      <c r="M284" s="2"/>
      <c r="N284" s="2"/>
      <c r="O284" s="2"/>
      <c r="P284" s="2"/>
      <c r="Q284" s="2"/>
      <c r="R284" s="2"/>
    </row>
    <row r="285">
      <c r="A285" s="2"/>
      <c r="B285" s="2"/>
      <c r="C285" s="2"/>
      <c r="D285" s="2"/>
      <c r="E285" s="2"/>
      <c r="F285" s="2"/>
      <c r="G285" s="2"/>
      <c r="H285" s="2"/>
      <c r="I285" s="2"/>
      <c r="J285" s="2"/>
      <c r="K285" s="2"/>
      <c r="L285" s="2"/>
      <c r="M285" s="2"/>
      <c r="N285" s="2"/>
      <c r="O285" s="2"/>
      <c r="P285" s="2"/>
      <c r="Q285" s="2"/>
      <c r="R285" s="2"/>
    </row>
    <row r="286">
      <c r="A286" s="2"/>
      <c r="B286" s="2"/>
      <c r="C286" s="2"/>
      <c r="D286" s="2"/>
      <c r="E286" s="2"/>
      <c r="F286" s="2"/>
      <c r="G286" s="2"/>
      <c r="H286" s="2"/>
      <c r="I286" s="2"/>
      <c r="J286" s="2"/>
      <c r="K286" s="2"/>
      <c r="L286" s="2"/>
      <c r="M286" s="2"/>
      <c r="N286" s="2"/>
      <c r="O286" s="2"/>
      <c r="P286" s="2"/>
      <c r="Q286" s="2"/>
      <c r="R286" s="2"/>
    </row>
    <row r="287">
      <c r="A287" s="2"/>
      <c r="B287" s="2"/>
      <c r="C287" s="2"/>
      <c r="D287" s="2"/>
      <c r="E287" s="2"/>
      <c r="F287" s="2"/>
      <c r="G287" s="2"/>
      <c r="H287" s="2"/>
      <c r="I287" s="2"/>
      <c r="J287" s="2"/>
      <c r="K287" s="2"/>
      <c r="L287" s="2"/>
      <c r="M287" s="2"/>
      <c r="N287" s="2"/>
      <c r="O287" s="2"/>
      <c r="P287" s="2"/>
      <c r="Q287" s="2"/>
      <c r="R287" s="2"/>
    </row>
    <row r="288">
      <c r="A288" s="2"/>
      <c r="B288" s="2"/>
      <c r="C288" s="2"/>
      <c r="D288" s="2"/>
      <c r="E288" s="2"/>
      <c r="F288" s="2"/>
      <c r="G288" s="2"/>
      <c r="H288" s="2"/>
      <c r="I288" s="2"/>
      <c r="J288" s="2"/>
      <c r="K288" s="2"/>
      <c r="L288" s="2"/>
      <c r="M288" s="2"/>
      <c r="N288" s="2"/>
      <c r="O288" s="2"/>
      <c r="P288" s="2"/>
      <c r="Q288" s="2"/>
      <c r="R288" s="2"/>
    </row>
    <row r="289">
      <c r="A289" s="2"/>
      <c r="B289" s="2"/>
      <c r="C289" s="2"/>
      <c r="D289" s="2"/>
      <c r="E289" s="2"/>
      <c r="F289" s="2"/>
      <c r="G289" s="2"/>
      <c r="H289" s="2"/>
      <c r="I289" s="2"/>
      <c r="J289" s="2"/>
      <c r="K289" s="2"/>
      <c r="L289" s="2"/>
      <c r="M289" s="2"/>
      <c r="N289" s="2"/>
      <c r="O289" s="2"/>
      <c r="P289" s="2"/>
      <c r="Q289" s="2"/>
      <c r="R289" s="2"/>
    </row>
    <row r="290">
      <c r="A290" s="2"/>
      <c r="B290" s="2"/>
      <c r="C290" s="2"/>
      <c r="D290" s="2"/>
      <c r="E290" s="2"/>
      <c r="F290" s="2"/>
      <c r="G290" s="2"/>
      <c r="H290" s="2"/>
      <c r="I290" s="2"/>
      <c r="J290" s="2"/>
      <c r="K290" s="2"/>
      <c r="L290" s="2"/>
      <c r="M290" s="2"/>
      <c r="N290" s="2"/>
      <c r="O290" s="2"/>
      <c r="P290" s="2"/>
      <c r="Q290" s="2"/>
      <c r="R290" s="2"/>
    </row>
    <row r="291">
      <c r="A291" s="2"/>
      <c r="B291" s="2"/>
      <c r="C291" s="2"/>
      <c r="D291" s="2"/>
      <c r="E291" s="2"/>
      <c r="F291" s="2"/>
      <c r="G291" s="2"/>
      <c r="H291" s="2"/>
      <c r="I291" s="2"/>
      <c r="J291" s="2"/>
      <c r="K291" s="2"/>
      <c r="L291" s="2"/>
      <c r="M291" s="2"/>
      <c r="N291" s="2"/>
      <c r="O291" s="2"/>
      <c r="P291" s="2"/>
      <c r="Q291" s="2"/>
      <c r="R291" s="2"/>
    </row>
    <row r="292">
      <c r="A292" s="2"/>
      <c r="B292" s="2"/>
      <c r="C292" s="2"/>
      <c r="D292" s="2"/>
      <c r="E292" s="2"/>
      <c r="F292" s="2"/>
      <c r="G292" s="2"/>
      <c r="H292" s="2"/>
      <c r="I292" s="2"/>
      <c r="J292" s="2"/>
      <c r="K292" s="2"/>
      <c r="L292" s="2"/>
      <c r="M292" s="2"/>
      <c r="N292" s="2"/>
      <c r="O292" s="2"/>
      <c r="P292" s="2"/>
      <c r="Q292" s="2"/>
      <c r="R292" s="2"/>
    </row>
    <row r="293">
      <c r="A293" s="2"/>
      <c r="B293" s="2"/>
      <c r="C293" s="2"/>
      <c r="D293" s="2"/>
      <c r="E293" s="2"/>
      <c r="F293" s="2"/>
      <c r="G293" s="2"/>
      <c r="H293" s="2"/>
      <c r="I293" s="2"/>
      <c r="J293" s="2"/>
      <c r="K293" s="2"/>
      <c r="L293" s="2"/>
      <c r="M293" s="2"/>
      <c r="N293" s="2"/>
      <c r="O293" s="2"/>
      <c r="P293" s="2"/>
      <c r="Q293" s="2"/>
      <c r="R293" s="2"/>
    </row>
    <row r="294">
      <c r="A294" s="2"/>
      <c r="B294" s="2"/>
      <c r="C294" s="2"/>
      <c r="D294" s="2"/>
      <c r="E294" s="2"/>
      <c r="F294" s="2"/>
      <c r="G294" s="2"/>
      <c r="H294" s="2"/>
      <c r="I294" s="2"/>
      <c r="J294" s="2"/>
      <c r="K294" s="2"/>
      <c r="L294" s="2"/>
      <c r="M294" s="2"/>
      <c r="N294" s="2"/>
      <c r="O294" s="2"/>
      <c r="P294" s="2"/>
      <c r="Q294" s="2"/>
      <c r="R294" s="2"/>
    </row>
    <row r="295">
      <c r="A295" s="2"/>
      <c r="B295" s="2"/>
      <c r="C295" s="2"/>
      <c r="D295" s="2"/>
      <c r="E295" s="2"/>
      <c r="F295" s="2"/>
      <c r="G295" s="2"/>
      <c r="H295" s="2"/>
      <c r="I295" s="2"/>
      <c r="J295" s="2"/>
      <c r="K295" s="2"/>
      <c r="L295" s="2"/>
      <c r="M295" s="2"/>
      <c r="N295" s="2"/>
      <c r="O295" s="2"/>
      <c r="P295" s="2"/>
      <c r="Q295" s="2"/>
      <c r="R295" s="2"/>
    </row>
    <row r="296">
      <c r="A296" s="2"/>
      <c r="B296" s="2"/>
      <c r="C296" s="2"/>
      <c r="D296" s="2"/>
      <c r="E296" s="2"/>
      <c r="F296" s="2"/>
      <c r="G296" s="2"/>
      <c r="H296" s="2"/>
      <c r="I296" s="2"/>
      <c r="J296" s="2"/>
      <c r="K296" s="2"/>
      <c r="L296" s="2"/>
      <c r="M296" s="2"/>
      <c r="N296" s="2"/>
      <c r="O296" s="2"/>
      <c r="P296" s="2"/>
      <c r="Q296" s="2"/>
      <c r="R296" s="2"/>
    </row>
    <row r="297">
      <c r="A297" s="2"/>
      <c r="B297" s="2"/>
      <c r="C297" s="2"/>
      <c r="D297" s="2"/>
      <c r="E297" s="2"/>
      <c r="F297" s="2"/>
      <c r="G297" s="2"/>
      <c r="H297" s="2"/>
      <c r="I297" s="2"/>
      <c r="J297" s="2"/>
      <c r="K297" s="2"/>
      <c r="L297" s="2"/>
      <c r="M297" s="2"/>
      <c r="N297" s="2"/>
      <c r="O297" s="2"/>
      <c r="P297" s="2"/>
      <c r="Q297" s="2"/>
      <c r="R297" s="2"/>
    </row>
    <row r="298">
      <c r="A298" s="2"/>
      <c r="B298" s="2"/>
      <c r="C298" s="2"/>
      <c r="D298" s="2"/>
      <c r="E298" s="2"/>
      <c r="F298" s="2"/>
      <c r="G298" s="2"/>
      <c r="H298" s="2"/>
      <c r="I298" s="2"/>
      <c r="J298" s="2"/>
      <c r="K298" s="2"/>
      <c r="L298" s="2"/>
      <c r="M298" s="2"/>
      <c r="N298" s="2"/>
      <c r="O298" s="2"/>
      <c r="P298" s="2"/>
      <c r="Q298" s="2"/>
      <c r="R298" s="2"/>
    </row>
    <row r="299">
      <c r="A299" s="2"/>
      <c r="B299" s="2"/>
      <c r="C299" s="2"/>
      <c r="D299" s="2"/>
      <c r="E299" s="2"/>
      <c r="F299" s="2"/>
      <c r="G299" s="2"/>
      <c r="H299" s="2"/>
      <c r="I299" s="2"/>
      <c r="J299" s="2"/>
      <c r="K299" s="2"/>
      <c r="L299" s="2"/>
      <c r="M299" s="2"/>
      <c r="N299" s="2"/>
      <c r="O299" s="2"/>
      <c r="P299" s="2"/>
      <c r="Q299" s="2"/>
      <c r="R299" s="2"/>
    </row>
    <row r="300">
      <c r="A300" s="2"/>
      <c r="B300" s="2"/>
      <c r="C300" s="2"/>
      <c r="D300" s="2"/>
      <c r="E300" s="2"/>
      <c r="F300" s="2"/>
      <c r="G300" s="2"/>
      <c r="H300" s="2"/>
      <c r="I300" s="2"/>
      <c r="J300" s="2"/>
      <c r="K300" s="2"/>
      <c r="L300" s="2"/>
      <c r="M300" s="2"/>
      <c r="N300" s="2"/>
      <c r="O300" s="2"/>
      <c r="P300" s="2"/>
      <c r="Q300" s="2"/>
      <c r="R300" s="2"/>
    </row>
    <row r="301">
      <c r="A301" s="2"/>
      <c r="B301" s="2"/>
      <c r="C301" s="2"/>
      <c r="D301" s="2"/>
      <c r="E301" s="2"/>
      <c r="F301" s="2"/>
      <c r="G301" s="2"/>
      <c r="H301" s="2"/>
      <c r="I301" s="2"/>
      <c r="J301" s="2"/>
      <c r="K301" s="2"/>
      <c r="L301" s="2"/>
      <c r="M301" s="2"/>
      <c r="N301" s="2"/>
      <c r="O301" s="2"/>
      <c r="P301" s="2"/>
      <c r="Q301" s="2"/>
      <c r="R301" s="2"/>
    </row>
    <row r="302">
      <c r="A302" s="2"/>
      <c r="B302" s="2"/>
      <c r="C302" s="2"/>
      <c r="D302" s="2"/>
      <c r="E302" s="2"/>
      <c r="F302" s="2"/>
      <c r="G302" s="2"/>
      <c r="H302" s="2"/>
      <c r="I302" s="2"/>
      <c r="J302" s="2"/>
      <c r="K302" s="2"/>
      <c r="L302" s="2"/>
      <c r="M302" s="2"/>
      <c r="N302" s="2"/>
      <c r="O302" s="2"/>
      <c r="P302" s="2"/>
      <c r="Q302" s="2"/>
      <c r="R302" s="2"/>
    </row>
    <row r="303">
      <c r="A303" s="2"/>
      <c r="B303" s="2"/>
      <c r="C303" s="2"/>
      <c r="D303" s="2"/>
      <c r="E303" s="2"/>
      <c r="F303" s="2"/>
      <c r="G303" s="2"/>
      <c r="H303" s="2"/>
      <c r="I303" s="2"/>
      <c r="J303" s="2"/>
      <c r="K303" s="2"/>
      <c r="L303" s="2"/>
      <c r="M303" s="2"/>
      <c r="N303" s="2"/>
      <c r="O303" s="2"/>
      <c r="P303" s="2"/>
      <c r="Q303" s="2"/>
      <c r="R303" s="2"/>
    </row>
    <row r="304">
      <c r="A304" s="2"/>
      <c r="B304" s="2"/>
      <c r="C304" s="2"/>
      <c r="D304" s="2"/>
      <c r="E304" s="2"/>
      <c r="F304" s="2"/>
      <c r="G304" s="2"/>
      <c r="H304" s="2"/>
      <c r="I304" s="2"/>
      <c r="J304" s="2"/>
      <c r="K304" s="2"/>
      <c r="L304" s="2"/>
      <c r="M304" s="2"/>
      <c r="N304" s="2"/>
      <c r="O304" s="2"/>
      <c r="P304" s="2"/>
      <c r="Q304" s="2"/>
      <c r="R304" s="2"/>
    </row>
    <row r="305">
      <c r="A305" s="2"/>
      <c r="B305" s="2"/>
      <c r="C305" s="2"/>
      <c r="D305" s="2"/>
      <c r="E305" s="2"/>
      <c r="F305" s="2"/>
      <c r="G305" s="2"/>
      <c r="H305" s="2"/>
      <c r="I305" s="2"/>
      <c r="J305" s="2"/>
      <c r="K305" s="2"/>
      <c r="L305" s="2"/>
      <c r="M305" s="2"/>
      <c r="N305" s="2"/>
      <c r="O305" s="2"/>
      <c r="P305" s="2"/>
      <c r="Q305" s="2"/>
      <c r="R305" s="2"/>
    </row>
    <row r="306">
      <c r="A306" s="2"/>
      <c r="B306" s="2"/>
      <c r="C306" s="2"/>
      <c r="D306" s="2"/>
      <c r="E306" s="2"/>
      <c r="F306" s="2"/>
      <c r="G306" s="2"/>
      <c r="H306" s="2"/>
      <c r="I306" s="2"/>
      <c r="J306" s="2"/>
      <c r="K306" s="2"/>
      <c r="L306" s="2"/>
      <c r="M306" s="2"/>
      <c r="N306" s="2"/>
      <c r="O306" s="2"/>
      <c r="P306" s="2"/>
      <c r="Q306" s="2"/>
      <c r="R306" s="2"/>
    </row>
    <row r="307">
      <c r="A307" s="2"/>
      <c r="B307" s="2"/>
      <c r="C307" s="2"/>
      <c r="D307" s="2"/>
      <c r="E307" s="2"/>
      <c r="F307" s="2"/>
      <c r="G307" s="2"/>
      <c r="H307" s="2"/>
      <c r="I307" s="2"/>
      <c r="J307" s="2"/>
      <c r="K307" s="2"/>
      <c r="L307" s="2"/>
      <c r="M307" s="2"/>
      <c r="N307" s="2"/>
      <c r="O307" s="2"/>
      <c r="P307" s="2"/>
      <c r="Q307" s="2"/>
      <c r="R307" s="2"/>
    </row>
    <row r="308">
      <c r="A308" s="2"/>
      <c r="B308" s="2"/>
      <c r="C308" s="2"/>
      <c r="D308" s="2"/>
      <c r="E308" s="2"/>
      <c r="F308" s="2"/>
      <c r="G308" s="2"/>
      <c r="H308" s="2"/>
      <c r="I308" s="2"/>
      <c r="J308" s="2"/>
      <c r="K308" s="2"/>
      <c r="L308" s="2"/>
      <c r="M308" s="2"/>
      <c r="N308" s="2"/>
      <c r="O308" s="2"/>
      <c r="P308" s="2"/>
      <c r="Q308" s="2"/>
      <c r="R308" s="2"/>
    </row>
    <row r="309">
      <c r="A309" s="2"/>
      <c r="B309" s="2"/>
      <c r="C309" s="2"/>
      <c r="D309" s="2"/>
      <c r="E309" s="2"/>
      <c r="F309" s="2"/>
      <c r="G309" s="2"/>
      <c r="H309" s="2"/>
      <c r="I309" s="2"/>
      <c r="J309" s="2"/>
      <c r="K309" s="2"/>
      <c r="L309" s="2"/>
      <c r="M309" s="2"/>
      <c r="N309" s="2"/>
      <c r="O309" s="2"/>
      <c r="P309" s="2"/>
      <c r="Q309" s="2"/>
      <c r="R309" s="2"/>
    </row>
    <row r="310">
      <c r="A310" s="2"/>
      <c r="B310" s="2"/>
      <c r="C310" s="2"/>
      <c r="D310" s="2"/>
      <c r="E310" s="2"/>
      <c r="F310" s="2"/>
      <c r="G310" s="2"/>
      <c r="H310" s="2"/>
      <c r="I310" s="2"/>
      <c r="J310" s="2"/>
      <c r="K310" s="2"/>
      <c r="L310" s="2"/>
      <c r="M310" s="2"/>
      <c r="N310" s="2"/>
      <c r="O310" s="2"/>
      <c r="P310" s="2"/>
      <c r="Q310" s="2"/>
      <c r="R310" s="2"/>
    </row>
    <row r="311">
      <c r="A311" s="2"/>
      <c r="B311" s="2"/>
      <c r="C311" s="2"/>
      <c r="D311" s="2"/>
      <c r="E311" s="2"/>
      <c r="F311" s="2"/>
      <c r="G311" s="2"/>
      <c r="H311" s="2"/>
      <c r="I311" s="2"/>
      <c r="J311" s="2"/>
      <c r="K311" s="2"/>
      <c r="L311" s="2"/>
      <c r="M311" s="2"/>
      <c r="N311" s="2"/>
      <c r="O311" s="2"/>
      <c r="P311" s="2"/>
      <c r="Q311" s="2"/>
      <c r="R311" s="2"/>
    </row>
    <row r="312">
      <c r="A312" s="2"/>
      <c r="B312" s="2"/>
      <c r="C312" s="2"/>
      <c r="D312" s="2"/>
      <c r="E312" s="2"/>
      <c r="F312" s="2"/>
      <c r="G312" s="2"/>
      <c r="H312" s="2"/>
      <c r="I312" s="2"/>
      <c r="J312" s="2"/>
      <c r="K312" s="2"/>
      <c r="L312" s="2"/>
      <c r="M312" s="2"/>
      <c r="N312" s="2"/>
      <c r="O312" s="2"/>
      <c r="P312" s="2"/>
      <c r="Q312" s="2"/>
      <c r="R312" s="2"/>
    </row>
    <row r="313">
      <c r="A313" s="2"/>
      <c r="B313" s="2"/>
      <c r="C313" s="2"/>
      <c r="D313" s="2"/>
      <c r="E313" s="2"/>
      <c r="F313" s="2"/>
      <c r="G313" s="2"/>
      <c r="H313" s="2"/>
      <c r="I313" s="2"/>
      <c r="J313" s="2"/>
      <c r="K313" s="2"/>
      <c r="L313" s="2"/>
      <c r="M313" s="2"/>
      <c r="N313" s="2"/>
      <c r="O313" s="2"/>
      <c r="P313" s="2"/>
      <c r="Q313" s="2"/>
      <c r="R313" s="2"/>
    </row>
    <row r="314">
      <c r="A314" s="2"/>
      <c r="B314" s="2"/>
      <c r="C314" s="2"/>
      <c r="D314" s="2"/>
      <c r="E314" s="2"/>
      <c r="F314" s="2"/>
      <c r="G314" s="2"/>
      <c r="H314" s="2"/>
      <c r="I314" s="2"/>
      <c r="J314" s="2"/>
      <c r="K314" s="2"/>
      <c r="L314" s="2"/>
      <c r="M314" s="2"/>
      <c r="N314" s="2"/>
      <c r="O314" s="2"/>
      <c r="P314" s="2"/>
      <c r="Q314" s="2"/>
      <c r="R314" s="2"/>
    </row>
    <row r="315">
      <c r="A315" s="2"/>
      <c r="B315" s="2"/>
      <c r="C315" s="2"/>
      <c r="D315" s="2"/>
      <c r="E315" s="2"/>
      <c r="F315" s="2"/>
      <c r="G315" s="2"/>
      <c r="H315" s="2"/>
      <c r="I315" s="2"/>
      <c r="J315" s="2"/>
      <c r="K315" s="2"/>
      <c r="L315" s="2"/>
      <c r="M315" s="2"/>
      <c r="N315" s="2"/>
      <c r="O315" s="2"/>
      <c r="P315" s="2"/>
      <c r="Q315" s="2"/>
      <c r="R315" s="2"/>
    </row>
    <row r="316">
      <c r="A316" s="2"/>
      <c r="B316" s="2"/>
      <c r="C316" s="2"/>
      <c r="D316" s="2"/>
      <c r="E316" s="2"/>
      <c r="F316" s="2"/>
      <c r="G316" s="2"/>
      <c r="H316" s="2"/>
      <c r="I316" s="2"/>
      <c r="J316" s="2"/>
      <c r="K316" s="2"/>
      <c r="L316" s="2"/>
      <c r="M316" s="2"/>
      <c r="N316" s="2"/>
      <c r="O316" s="2"/>
      <c r="P316" s="2"/>
      <c r="Q316" s="2"/>
      <c r="R316" s="2"/>
    </row>
    <row r="317">
      <c r="A317" s="2"/>
      <c r="B317" s="2"/>
      <c r="C317" s="2"/>
      <c r="D317" s="2"/>
      <c r="E317" s="2"/>
      <c r="F317" s="2"/>
      <c r="G317" s="2"/>
      <c r="H317" s="2"/>
      <c r="I317" s="2"/>
      <c r="J317" s="2"/>
      <c r="K317" s="2"/>
      <c r="L317" s="2"/>
      <c r="M317" s="2"/>
      <c r="N317" s="2"/>
      <c r="O317" s="2"/>
      <c r="P317" s="2"/>
      <c r="Q317" s="2"/>
      <c r="R317" s="2"/>
    </row>
    <row r="318">
      <c r="A318" s="2"/>
      <c r="B318" s="2"/>
      <c r="C318" s="2"/>
      <c r="D318" s="2"/>
      <c r="E318" s="2"/>
      <c r="F318" s="2"/>
      <c r="G318" s="2"/>
      <c r="H318" s="2"/>
      <c r="I318" s="2"/>
      <c r="J318" s="2"/>
      <c r="K318" s="2"/>
      <c r="L318" s="2"/>
      <c r="M318" s="2"/>
      <c r="N318" s="2"/>
      <c r="O318" s="2"/>
      <c r="P318" s="2"/>
      <c r="Q318" s="2"/>
      <c r="R318" s="2"/>
    </row>
    <row r="319">
      <c r="A319" s="2"/>
      <c r="B319" s="2"/>
      <c r="C319" s="2"/>
      <c r="D319" s="2"/>
      <c r="E319" s="2"/>
      <c r="F319" s="2"/>
      <c r="G319" s="2"/>
      <c r="H319" s="2"/>
      <c r="I319" s="2"/>
      <c r="J319" s="2"/>
      <c r="K319" s="2"/>
      <c r="L319" s="2"/>
      <c r="M319" s="2"/>
      <c r="N319" s="2"/>
      <c r="O319" s="2"/>
      <c r="P319" s="2"/>
      <c r="Q319" s="2"/>
      <c r="R319" s="2"/>
    </row>
    <row r="320">
      <c r="A320" s="2"/>
      <c r="B320" s="2"/>
      <c r="C320" s="2"/>
      <c r="D320" s="2"/>
      <c r="E320" s="2"/>
      <c r="F320" s="2"/>
      <c r="G320" s="2"/>
      <c r="H320" s="2"/>
      <c r="I320" s="2"/>
      <c r="J320" s="2"/>
      <c r="K320" s="2"/>
      <c r="L320" s="2"/>
      <c r="M320" s="2"/>
      <c r="N320" s="2"/>
      <c r="O320" s="2"/>
      <c r="P320" s="2"/>
      <c r="Q320" s="2"/>
      <c r="R320" s="2"/>
    </row>
    <row r="321">
      <c r="A321" s="2"/>
      <c r="B321" s="2"/>
      <c r="C321" s="2"/>
      <c r="D321" s="2"/>
      <c r="E321" s="2"/>
      <c r="F321" s="2"/>
      <c r="G321" s="2"/>
      <c r="H321" s="2"/>
      <c r="I321" s="2"/>
      <c r="J321" s="2"/>
      <c r="K321" s="2"/>
      <c r="L321" s="2"/>
      <c r="M321" s="2"/>
      <c r="N321" s="2"/>
      <c r="O321" s="2"/>
      <c r="P321" s="2"/>
      <c r="Q321" s="2"/>
      <c r="R321" s="2"/>
    </row>
    <row r="322">
      <c r="A322" s="2"/>
      <c r="B322" s="2"/>
      <c r="C322" s="2"/>
      <c r="D322" s="2"/>
      <c r="E322" s="2"/>
      <c r="F322" s="2"/>
      <c r="G322" s="2"/>
      <c r="H322" s="2"/>
      <c r="I322" s="2"/>
      <c r="J322" s="2"/>
      <c r="K322" s="2"/>
      <c r="L322" s="2"/>
      <c r="M322" s="2"/>
      <c r="N322" s="2"/>
      <c r="O322" s="2"/>
      <c r="P322" s="2"/>
      <c r="Q322" s="2"/>
      <c r="R322" s="2"/>
    </row>
    <row r="323">
      <c r="A323" s="2"/>
      <c r="B323" s="2"/>
      <c r="C323" s="2"/>
      <c r="D323" s="2"/>
      <c r="E323" s="2"/>
      <c r="F323" s="2"/>
      <c r="G323" s="2"/>
      <c r="H323" s="2"/>
      <c r="I323" s="2"/>
      <c r="J323" s="2"/>
      <c r="K323" s="2"/>
      <c r="L323" s="2"/>
      <c r="M323" s="2"/>
      <c r="N323" s="2"/>
      <c r="O323" s="2"/>
      <c r="P323" s="2"/>
      <c r="Q323" s="2"/>
      <c r="R323" s="2"/>
    </row>
    <row r="324">
      <c r="A324" s="2"/>
      <c r="B324" s="2"/>
      <c r="C324" s="2"/>
      <c r="D324" s="2"/>
      <c r="E324" s="2"/>
      <c r="F324" s="2"/>
      <c r="G324" s="2"/>
      <c r="H324" s="2"/>
      <c r="I324" s="2"/>
      <c r="J324" s="2"/>
      <c r="K324" s="2"/>
      <c r="L324" s="2"/>
      <c r="M324" s="2"/>
      <c r="N324" s="2"/>
      <c r="O324" s="2"/>
      <c r="P324" s="2"/>
      <c r="Q324" s="2"/>
      <c r="R324" s="2"/>
    </row>
    <row r="325">
      <c r="A325" s="2"/>
      <c r="B325" s="2"/>
      <c r="C325" s="2"/>
      <c r="D325" s="2"/>
      <c r="E325" s="2"/>
      <c r="F325" s="2"/>
      <c r="G325" s="2"/>
      <c r="H325" s="2"/>
      <c r="I325" s="2"/>
      <c r="J325" s="2"/>
      <c r="K325" s="2"/>
      <c r="L325" s="2"/>
      <c r="M325" s="2"/>
      <c r="N325" s="2"/>
      <c r="O325" s="2"/>
      <c r="P325" s="2"/>
      <c r="Q325" s="2"/>
      <c r="R325" s="2"/>
    </row>
    <row r="326">
      <c r="A326" s="2"/>
      <c r="B326" s="2"/>
      <c r="C326" s="2"/>
      <c r="D326" s="2"/>
      <c r="E326" s="2"/>
      <c r="F326" s="2"/>
      <c r="G326" s="2"/>
      <c r="H326" s="2"/>
      <c r="I326" s="2"/>
      <c r="J326" s="2"/>
      <c r="K326" s="2"/>
      <c r="L326" s="2"/>
      <c r="M326" s="2"/>
      <c r="N326" s="2"/>
      <c r="O326" s="2"/>
      <c r="P326" s="2"/>
      <c r="Q326" s="2"/>
      <c r="R326" s="2"/>
    </row>
    <row r="327">
      <c r="A327" s="2"/>
      <c r="B327" s="2"/>
      <c r="C327" s="2"/>
      <c r="D327" s="2"/>
      <c r="E327" s="2"/>
      <c r="F327" s="2"/>
      <c r="G327" s="2"/>
      <c r="H327" s="2"/>
      <c r="I327" s="2"/>
      <c r="J327" s="2"/>
      <c r="K327" s="2"/>
      <c r="L327" s="2"/>
      <c r="M327" s="2"/>
      <c r="N327" s="2"/>
      <c r="O327" s="2"/>
      <c r="P327" s="2"/>
      <c r="Q327" s="2"/>
      <c r="R327" s="2"/>
    </row>
    <row r="328">
      <c r="A328" s="2"/>
      <c r="B328" s="2"/>
      <c r="C328" s="2"/>
      <c r="D328" s="2"/>
      <c r="E328" s="2"/>
      <c r="F328" s="2"/>
      <c r="G328" s="2"/>
      <c r="H328" s="2"/>
      <c r="I328" s="2"/>
      <c r="J328" s="2"/>
      <c r="K328" s="2"/>
      <c r="L328" s="2"/>
      <c r="M328" s="2"/>
      <c r="N328" s="2"/>
      <c r="O328" s="2"/>
      <c r="P328" s="2"/>
      <c r="Q328" s="2"/>
      <c r="R328" s="2"/>
    </row>
    <row r="329">
      <c r="A329" s="2"/>
      <c r="B329" s="2"/>
      <c r="C329" s="2"/>
      <c r="D329" s="2"/>
      <c r="E329" s="2"/>
      <c r="F329" s="2"/>
      <c r="G329" s="2"/>
      <c r="H329" s="2"/>
      <c r="I329" s="2"/>
      <c r="J329" s="2"/>
      <c r="K329" s="2"/>
      <c r="L329" s="2"/>
      <c r="M329" s="2"/>
      <c r="N329" s="2"/>
      <c r="O329" s="2"/>
      <c r="P329" s="2"/>
      <c r="Q329" s="2"/>
      <c r="R329" s="2"/>
    </row>
    <row r="330">
      <c r="A330" s="2"/>
      <c r="B330" s="2"/>
      <c r="C330" s="2"/>
      <c r="D330" s="2"/>
      <c r="E330" s="2"/>
      <c r="F330" s="2"/>
      <c r="G330" s="2"/>
      <c r="H330" s="2"/>
      <c r="I330" s="2"/>
      <c r="J330" s="2"/>
      <c r="K330" s="2"/>
      <c r="L330" s="2"/>
      <c r="M330" s="2"/>
      <c r="N330" s="2"/>
      <c r="O330" s="2"/>
      <c r="P330" s="2"/>
      <c r="Q330" s="2"/>
      <c r="R330" s="2"/>
    </row>
    <row r="331">
      <c r="A331" s="2"/>
      <c r="B331" s="2"/>
      <c r="C331" s="2"/>
      <c r="D331" s="2"/>
      <c r="E331" s="2"/>
      <c r="F331" s="2"/>
      <c r="G331" s="2"/>
      <c r="H331" s="2"/>
      <c r="I331" s="2"/>
      <c r="J331" s="2"/>
      <c r="K331" s="2"/>
      <c r="L331" s="2"/>
      <c r="M331" s="2"/>
      <c r="N331" s="2"/>
      <c r="O331" s="2"/>
      <c r="P331" s="2"/>
      <c r="Q331" s="2"/>
      <c r="R331" s="2"/>
    </row>
    <row r="332">
      <c r="A332" s="2"/>
      <c r="B332" s="2"/>
      <c r="C332" s="2"/>
      <c r="D332" s="2"/>
      <c r="E332" s="2"/>
      <c r="F332" s="2"/>
      <c r="G332" s="2"/>
      <c r="H332" s="2"/>
      <c r="I332" s="2"/>
      <c r="J332" s="2"/>
      <c r="K332" s="2"/>
      <c r="L332" s="2"/>
      <c r="M332" s="2"/>
      <c r="N332" s="2"/>
      <c r="O332" s="2"/>
      <c r="P332" s="2"/>
      <c r="Q332" s="2"/>
      <c r="R332" s="2"/>
    </row>
    <row r="333">
      <c r="A333" s="2"/>
      <c r="B333" s="2"/>
      <c r="C333" s="2"/>
      <c r="D333" s="2"/>
      <c r="E333" s="2"/>
      <c r="F333" s="2"/>
      <c r="G333" s="2"/>
      <c r="H333" s="2"/>
      <c r="I333" s="2"/>
      <c r="J333" s="2"/>
      <c r="K333" s="2"/>
      <c r="L333" s="2"/>
      <c r="M333" s="2"/>
      <c r="N333" s="2"/>
      <c r="O333" s="2"/>
      <c r="P333" s="2"/>
      <c r="Q333" s="2"/>
      <c r="R333" s="2"/>
    </row>
    <row r="334">
      <c r="A334" s="2"/>
      <c r="B334" s="2"/>
      <c r="C334" s="2"/>
      <c r="D334" s="2"/>
      <c r="E334" s="2"/>
      <c r="F334" s="2"/>
      <c r="G334" s="2"/>
      <c r="H334" s="2"/>
      <c r="I334" s="2"/>
      <c r="J334" s="2"/>
      <c r="K334" s="2"/>
      <c r="L334" s="2"/>
      <c r="M334" s="2"/>
      <c r="N334" s="2"/>
      <c r="O334" s="2"/>
      <c r="P334" s="2"/>
      <c r="Q334" s="2"/>
      <c r="R334" s="2"/>
    </row>
    <row r="335">
      <c r="A335" s="2"/>
      <c r="B335" s="2"/>
      <c r="C335" s="2"/>
      <c r="D335" s="2"/>
      <c r="E335" s="2"/>
      <c r="F335" s="2"/>
      <c r="G335" s="2"/>
      <c r="H335" s="2"/>
      <c r="I335" s="2"/>
      <c r="J335" s="2"/>
      <c r="K335" s="2"/>
      <c r="L335" s="2"/>
      <c r="M335" s="2"/>
      <c r="N335" s="2"/>
      <c r="O335" s="2"/>
      <c r="P335" s="2"/>
      <c r="Q335" s="2"/>
      <c r="R335" s="2"/>
    </row>
    <row r="336">
      <c r="A336" s="2"/>
      <c r="B336" s="2"/>
      <c r="C336" s="2"/>
      <c r="D336" s="2"/>
      <c r="E336" s="2"/>
      <c r="F336" s="2"/>
      <c r="G336" s="2"/>
      <c r="H336" s="2"/>
      <c r="I336" s="2"/>
      <c r="J336" s="2"/>
      <c r="K336" s="2"/>
      <c r="L336" s="2"/>
      <c r="M336" s="2"/>
      <c r="N336" s="2"/>
      <c r="O336" s="2"/>
      <c r="P336" s="2"/>
      <c r="Q336" s="2"/>
      <c r="R336" s="2"/>
    </row>
    <row r="337">
      <c r="A337" s="2"/>
      <c r="B337" s="2"/>
      <c r="C337" s="2"/>
      <c r="D337" s="2"/>
      <c r="E337" s="2"/>
      <c r="F337" s="2"/>
      <c r="G337" s="2"/>
      <c r="H337" s="2"/>
      <c r="I337" s="2"/>
      <c r="J337" s="2"/>
      <c r="K337" s="2"/>
      <c r="L337" s="2"/>
      <c r="M337" s="2"/>
      <c r="N337" s="2"/>
      <c r="O337" s="2"/>
      <c r="P337" s="2"/>
      <c r="Q337" s="2"/>
      <c r="R337" s="2"/>
    </row>
    <row r="338">
      <c r="A338" s="2"/>
      <c r="B338" s="2"/>
      <c r="C338" s="2"/>
      <c r="D338" s="2"/>
      <c r="E338" s="2"/>
      <c r="F338" s="2"/>
      <c r="G338" s="2"/>
      <c r="H338" s="2"/>
      <c r="I338" s="2"/>
      <c r="J338" s="2"/>
      <c r="K338" s="2"/>
      <c r="L338" s="2"/>
      <c r="M338" s="2"/>
      <c r="N338" s="2"/>
      <c r="O338" s="2"/>
      <c r="P338" s="2"/>
      <c r="Q338" s="2"/>
      <c r="R338" s="2"/>
    </row>
    <row r="339">
      <c r="A339" s="2"/>
      <c r="B339" s="2"/>
      <c r="C339" s="2"/>
      <c r="D339" s="2"/>
      <c r="E339" s="2"/>
      <c r="F339" s="2"/>
      <c r="G339" s="2"/>
      <c r="H339" s="2"/>
      <c r="I339" s="2"/>
      <c r="J339" s="2"/>
      <c r="K339" s="2"/>
      <c r="L339" s="2"/>
      <c r="M339" s="2"/>
      <c r="N339" s="2"/>
      <c r="O339" s="2"/>
      <c r="P339" s="2"/>
      <c r="Q339" s="2"/>
      <c r="R339" s="2"/>
    </row>
    <row r="340">
      <c r="A340" s="2"/>
      <c r="B340" s="2"/>
      <c r="C340" s="2"/>
      <c r="D340" s="2"/>
      <c r="E340" s="2"/>
      <c r="F340" s="2"/>
      <c r="G340" s="2"/>
      <c r="H340" s="2"/>
      <c r="I340" s="2"/>
      <c r="J340" s="2"/>
      <c r="K340" s="2"/>
      <c r="L340" s="2"/>
      <c r="M340" s="2"/>
      <c r="N340" s="2"/>
      <c r="O340" s="2"/>
      <c r="P340" s="2"/>
      <c r="Q340" s="2"/>
      <c r="R340" s="2"/>
    </row>
    <row r="341">
      <c r="A341" s="2"/>
      <c r="B341" s="2"/>
      <c r="C341" s="2"/>
      <c r="D341" s="2"/>
      <c r="E341" s="2"/>
      <c r="F341" s="2"/>
      <c r="G341" s="2"/>
      <c r="H341" s="2"/>
      <c r="I341" s="2"/>
      <c r="J341" s="2"/>
      <c r="K341" s="2"/>
      <c r="L341" s="2"/>
      <c r="M341" s="2"/>
      <c r="N341" s="2"/>
      <c r="O341" s="2"/>
      <c r="P341" s="2"/>
      <c r="Q341" s="2"/>
      <c r="R341" s="2"/>
    </row>
    <row r="342">
      <c r="A342" s="2"/>
      <c r="B342" s="2"/>
      <c r="C342" s="2"/>
      <c r="D342" s="2"/>
      <c r="E342" s="2"/>
      <c r="F342" s="2"/>
      <c r="G342" s="2"/>
      <c r="H342" s="2"/>
      <c r="I342" s="2"/>
      <c r="J342" s="2"/>
      <c r="K342" s="2"/>
      <c r="L342" s="2"/>
      <c r="M342" s="2"/>
      <c r="N342" s="2"/>
      <c r="O342" s="2"/>
      <c r="P342" s="2"/>
      <c r="Q342" s="2"/>
      <c r="R342" s="2"/>
    </row>
    <row r="343">
      <c r="A343" s="2"/>
      <c r="B343" s="2"/>
      <c r="C343" s="2"/>
      <c r="D343" s="2"/>
      <c r="E343" s="2"/>
      <c r="F343" s="2"/>
      <c r="G343" s="2"/>
      <c r="H343" s="2"/>
      <c r="I343" s="2"/>
      <c r="J343" s="2"/>
      <c r="K343" s="2"/>
      <c r="L343" s="2"/>
      <c r="M343" s="2"/>
      <c r="N343" s="2"/>
      <c r="O343" s="2"/>
      <c r="P343" s="2"/>
      <c r="Q343" s="2"/>
      <c r="R343" s="2"/>
    </row>
    <row r="344">
      <c r="A344" s="2"/>
      <c r="B344" s="2"/>
      <c r="C344" s="2"/>
      <c r="D344" s="2"/>
      <c r="E344" s="2"/>
      <c r="F344" s="2"/>
      <c r="G344" s="2"/>
      <c r="H344" s="2"/>
      <c r="I344" s="2"/>
      <c r="J344" s="2"/>
      <c r="K344" s="2"/>
      <c r="L344" s="2"/>
      <c r="M344" s="2"/>
      <c r="N344" s="2"/>
      <c r="O344" s="2"/>
      <c r="P344" s="2"/>
      <c r="Q344" s="2"/>
      <c r="R344" s="2"/>
    </row>
    <row r="345">
      <c r="A345" s="2"/>
      <c r="B345" s="2"/>
      <c r="C345" s="2"/>
      <c r="D345" s="2"/>
      <c r="E345" s="2"/>
      <c r="F345" s="2"/>
      <c r="G345" s="2"/>
      <c r="H345" s="2"/>
      <c r="I345" s="2"/>
      <c r="J345" s="2"/>
      <c r="K345" s="2"/>
      <c r="L345" s="2"/>
      <c r="M345" s="2"/>
      <c r="N345" s="2"/>
      <c r="O345" s="2"/>
      <c r="P345" s="2"/>
      <c r="Q345" s="2"/>
      <c r="R345" s="2"/>
    </row>
    <row r="346">
      <c r="A346" s="2"/>
      <c r="B346" s="2"/>
      <c r="C346" s="2"/>
      <c r="D346" s="2"/>
      <c r="E346" s="2"/>
      <c r="F346" s="2"/>
      <c r="G346" s="2"/>
      <c r="H346" s="2"/>
      <c r="I346" s="2"/>
      <c r="J346" s="2"/>
      <c r="K346" s="2"/>
      <c r="L346" s="2"/>
      <c r="M346" s="2"/>
      <c r="N346" s="2"/>
      <c r="O346" s="2"/>
      <c r="P346" s="2"/>
      <c r="Q346" s="2"/>
      <c r="R346" s="2"/>
    </row>
    <row r="347">
      <c r="A347" s="2"/>
      <c r="B347" s="2"/>
      <c r="C347" s="2"/>
      <c r="D347" s="2"/>
      <c r="E347" s="2"/>
      <c r="F347" s="2"/>
      <c r="G347" s="2"/>
      <c r="H347" s="2"/>
      <c r="I347" s="2"/>
      <c r="J347" s="2"/>
      <c r="K347" s="2"/>
      <c r="L347" s="2"/>
      <c r="M347" s="2"/>
      <c r="N347" s="2"/>
      <c r="O347" s="2"/>
      <c r="P347" s="2"/>
      <c r="Q347" s="2"/>
      <c r="R347" s="2"/>
    </row>
    <row r="348">
      <c r="A348" s="2"/>
      <c r="B348" s="2"/>
      <c r="C348" s="2"/>
      <c r="D348" s="2"/>
      <c r="E348" s="2"/>
      <c r="F348" s="2"/>
      <c r="G348" s="2"/>
      <c r="H348" s="2"/>
      <c r="I348" s="2"/>
      <c r="J348" s="2"/>
      <c r="K348" s="2"/>
      <c r="L348" s="2"/>
      <c r="M348" s="2"/>
      <c r="N348" s="2"/>
      <c r="O348" s="2"/>
      <c r="P348" s="2"/>
      <c r="Q348" s="2"/>
      <c r="R348" s="2"/>
    </row>
    <row r="349">
      <c r="A349" s="2"/>
      <c r="B349" s="2"/>
      <c r="C349" s="2"/>
      <c r="D349" s="2"/>
      <c r="E349" s="2"/>
      <c r="F349" s="2"/>
      <c r="G349" s="2"/>
      <c r="H349" s="2"/>
      <c r="I349" s="2"/>
      <c r="J349" s="2"/>
      <c r="K349" s="2"/>
      <c r="L349" s="2"/>
      <c r="M349" s="2"/>
      <c r="N349" s="2"/>
      <c r="O349" s="2"/>
      <c r="P349" s="2"/>
      <c r="Q349" s="2"/>
      <c r="R349" s="2"/>
    </row>
    <row r="350">
      <c r="A350" s="2"/>
      <c r="B350" s="2"/>
      <c r="C350" s="2"/>
      <c r="D350" s="2"/>
      <c r="E350" s="2"/>
      <c r="F350" s="2"/>
      <c r="G350" s="2"/>
      <c r="H350" s="2"/>
      <c r="I350" s="2"/>
      <c r="J350" s="2"/>
      <c r="K350" s="2"/>
      <c r="L350" s="2"/>
      <c r="M350" s="2"/>
      <c r="N350" s="2"/>
      <c r="O350" s="2"/>
      <c r="P350" s="2"/>
      <c r="Q350" s="2"/>
      <c r="R350" s="2"/>
    </row>
    <row r="351">
      <c r="A351" s="2"/>
      <c r="B351" s="2"/>
      <c r="C351" s="2"/>
      <c r="D351" s="2"/>
      <c r="E351" s="2"/>
      <c r="F351" s="2"/>
      <c r="G351" s="2"/>
      <c r="H351" s="2"/>
      <c r="I351" s="2"/>
      <c r="J351" s="2"/>
      <c r="K351" s="2"/>
      <c r="L351" s="2"/>
      <c r="M351" s="2"/>
      <c r="N351" s="2"/>
      <c r="O351" s="2"/>
      <c r="P351" s="2"/>
      <c r="Q351" s="2"/>
      <c r="R351" s="2"/>
    </row>
    <row r="352">
      <c r="A352" s="2"/>
      <c r="B352" s="2"/>
      <c r="C352" s="2"/>
      <c r="D352" s="2"/>
      <c r="E352" s="2"/>
      <c r="F352" s="2"/>
      <c r="G352" s="2"/>
      <c r="H352" s="2"/>
      <c r="I352" s="2"/>
      <c r="J352" s="2"/>
      <c r="K352" s="2"/>
      <c r="L352" s="2"/>
      <c r="M352" s="2"/>
      <c r="N352" s="2"/>
      <c r="O352" s="2"/>
      <c r="P352" s="2"/>
      <c r="Q352" s="2"/>
      <c r="R352" s="2"/>
    </row>
    <row r="353">
      <c r="A353" s="2"/>
      <c r="B353" s="2"/>
      <c r="C353" s="2"/>
      <c r="D353" s="2"/>
      <c r="E353" s="2"/>
      <c r="F353" s="2"/>
      <c r="G353" s="2"/>
      <c r="H353" s="2"/>
      <c r="I353" s="2"/>
      <c r="J353" s="2"/>
      <c r="K353" s="2"/>
      <c r="L353" s="2"/>
      <c r="M353" s="2"/>
      <c r="N353" s="2"/>
      <c r="O353" s="2"/>
      <c r="P353" s="2"/>
      <c r="Q353" s="2"/>
      <c r="R353" s="2"/>
    </row>
    <row r="354">
      <c r="A354" s="2"/>
      <c r="B354" s="2"/>
      <c r="C354" s="2"/>
      <c r="D354" s="2"/>
      <c r="E354" s="2"/>
      <c r="F354" s="2"/>
      <c r="G354" s="2"/>
      <c r="H354" s="2"/>
      <c r="I354" s="2"/>
      <c r="J354" s="2"/>
      <c r="K354" s="2"/>
      <c r="L354" s="2"/>
      <c r="M354" s="2"/>
      <c r="N354" s="2"/>
      <c r="O354" s="2"/>
      <c r="P354" s="2"/>
      <c r="Q354" s="2"/>
      <c r="R354" s="2"/>
    </row>
    <row r="355">
      <c r="A355" s="2"/>
      <c r="B355" s="2"/>
      <c r="C355" s="2"/>
      <c r="D355" s="2"/>
      <c r="E355" s="2"/>
      <c r="F355" s="2"/>
      <c r="G355" s="2"/>
      <c r="H355" s="2"/>
      <c r="I355" s="2"/>
      <c r="J355" s="2"/>
      <c r="K355" s="2"/>
      <c r="L355" s="2"/>
      <c r="M355" s="2"/>
      <c r="N355" s="2"/>
      <c r="O355" s="2"/>
      <c r="P355" s="2"/>
      <c r="Q355" s="2"/>
      <c r="R355" s="2"/>
    </row>
    <row r="356">
      <c r="A356" s="2"/>
      <c r="B356" s="2"/>
      <c r="C356" s="2"/>
      <c r="D356" s="2"/>
      <c r="E356" s="2"/>
      <c r="F356" s="2"/>
      <c r="G356" s="2"/>
      <c r="H356" s="2"/>
      <c r="I356" s="2"/>
      <c r="J356" s="2"/>
      <c r="K356" s="2"/>
      <c r="L356" s="2"/>
      <c r="M356" s="2"/>
      <c r="N356" s="2"/>
      <c r="O356" s="2"/>
      <c r="P356" s="2"/>
      <c r="Q356" s="2"/>
      <c r="R356" s="2"/>
    </row>
    <row r="357">
      <c r="A357" s="2"/>
      <c r="B357" s="2"/>
      <c r="C357" s="2"/>
      <c r="D357" s="2"/>
      <c r="E357" s="2"/>
      <c r="F357" s="2"/>
      <c r="G357" s="2"/>
      <c r="H357" s="2"/>
      <c r="I357" s="2"/>
      <c r="J357" s="2"/>
      <c r="K357" s="2"/>
      <c r="L357" s="2"/>
      <c r="M357" s="2"/>
      <c r="N357" s="2"/>
      <c r="O357" s="2"/>
      <c r="P357" s="2"/>
      <c r="Q357" s="2"/>
      <c r="R357" s="2"/>
    </row>
    <row r="358">
      <c r="A358" s="2"/>
      <c r="B358" s="2"/>
      <c r="C358" s="2"/>
      <c r="D358" s="2"/>
      <c r="E358" s="2"/>
      <c r="F358" s="2"/>
      <c r="G358" s="2"/>
      <c r="H358" s="2"/>
      <c r="I358" s="2"/>
      <c r="J358" s="2"/>
      <c r="K358" s="2"/>
      <c r="L358" s="2"/>
      <c r="M358" s="2"/>
      <c r="N358" s="2"/>
      <c r="O358" s="2"/>
      <c r="P358" s="2"/>
      <c r="Q358" s="2"/>
      <c r="R358" s="2"/>
    </row>
    <row r="359">
      <c r="A359" s="2"/>
      <c r="B359" s="2"/>
      <c r="C359" s="2"/>
      <c r="D359" s="2"/>
      <c r="E359" s="2"/>
      <c r="F359" s="2"/>
      <c r="G359" s="2"/>
      <c r="H359" s="2"/>
      <c r="I359" s="2"/>
      <c r="J359" s="2"/>
      <c r="K359" s="2"/>
      <c r="L359" s="2"/>
      <c r="M359" s="2"/>
      <c r="N359" s="2"/>
      <c r="O359" s="2"/>
      <c r="P359" s="2"/>
      <c r="Q359" s="2"/>
      <c r="R359" s="2"/>
    </row>
    <row r="360">
      <c r="A360" s="2"/>
      <c r="B360" s="2"/>
      <c r="C360" s="2"/>
      <c r="D360" s="2"/>
      <c r="E360" s="2"/>
      <c r="F360" s="2"/>
      <c r="G360" s="2"/>
      <c r="H360" s="2"/>
      <c r="I360" s="2"/>
      <c r="J360" s="2"/>
      <c r="K360" s="2"/>
      <c r="L360" s="2"/>
      <c r="M360" s="2"/>
      <c r="N360" s="2"/>
      <c r="O360" s="2"/>
      <c r="P360" s="2"/>
      <c r="Q360" s="2"/>
      <c r="R360" s="2"/>
    </row>
    <row r="361">
      <c r="A361" s="2"/>
      <c r="B361" s="2"/>
      <c r="C361" s="2"/>
      <c r="D361" s="2"/>
      <c r="E361" s="2"/>
      <c r="F361" s="2"/>
      <c r="G361" s="2"/>
      <c r="H361" s="2"/>
      <c r="I361" s="2"/>
      <c r="J361" s="2"/>
      <c r="K361" s="2"/>
      <c r="L361" s="2"/>
      <c r="M361" s="2"/>
      <c r="N361" s="2"/>
      <c r="O361" s="2"/>
      <c r="P361" s="2"/>
      <c r="Q361" s="2"/>
      <c r="R361" s="2"/>
    </row>
    <row r="362">
      <c r="A362" s="2"/>
      <c r="B362" s="2"/>
      <c r="C362" s="2"/>
      <c r="D362" s="2"/>
      <c r="E362" s="2"/>
      <c r="F362" s="2"/>
      <c r="G362" s="2"/>
      <c r="H362" s="2"/>
      <c r="I362" s="2"/>
      <c r="J362" s="2"/>
      <c r="K362" s="2"/>
      <c r="L362" s="2"/>
      <c r="M362" s="2"/>
      <c r="N362" s="2"/>
      <c r="O362" s="2"/>
      <c r="P362" s="2"/>
      <c r="Q362" s="2"/>
      <c r="R362" s="2"/>
    </row>
    <row r="363">
      <c r="A363" s="2"/>
      <c r="B363" s="2"/>
      <c r="C363" s="2"/>
      <c r="D363" s="2"/>
      <c r="E363" s="2"/>
      <c r="F363" s="2"/>
      <c r="G363" s="2"/>
      <c r="H363" s="2"/>
      <c r="I363" s="2"/>
      <c r="J363" s="2"/>
      <c r="K363" s="2"/>
      <c r="L363" s="2"/>
      <c r="M363" s="2"/>
      <c r="N363" s="2"/>
      <c r="O363" s="2"/>
      <c r="P363" s="2"/>
      <c r="Q363" s="2"/>
      <c r="R363" s="2"/>
    </row>
    <row r="364">
      <c r="A364" s="2"/>
      <c r="B364" s="2"/>
      <c r="C364" s="2"/>
      <c r="D364" s="2"/>
      <c r="E364" s="2"/>
      <c r="F364" s="2"/>
      <c r="G364" s="2"/>
      <c r="H364" s="2"/>
      <c r="I364" s="2"/>
      <c r="J364" s="2"/>
      <c r="K364" s="2"/>
      <c r="L364" s="2"/>
      <c r="M364" s="2"/>
      <c r="N364" s="2"/>
      <c r="O364" s="2"/>
      <c r="P364" s="2"/>
      <c r="Q364" s="2"/>
      <c r="R364" s="2"/>
    </row>
    <row r="365">
      <c r="A365" s="2"/>
      <c r="B365" s="2"/>
      <c r="C365" s="2"/>
      <c r="D365" s="2"/>
      <c r="E365" s="2"/>
      <c r="F365" s="2"/>
      <c r="G365" s="2"/>
      <c r="H365" s="2"/>
      <c r="I365" s="2"/>
      <c r="J365" s="2"/>
      <c r="K365" s="2"/>
      <c r="L365" s="2"/>
      <c r="M365" s="2"/>
      <c r="N365" s="2"/>
      <c r="O365" s="2"/>
      <c r="P365" s="2"/>
      <c r="Q365" s="2"/>
      <c r="R365" s="2"/>
    </row>
    <row r="366">
      <c r="A366" s="2"/>
      <c r="B366" s="2"/>
      <c r="C366" s="2"/>
      <c r="D366" s="2"/>
      <c r="E366" s="2"/>
      <c r="F366" s="2"/>
      <c r="G366" s="2"/>
      <c r="H366" s="2"/>
      <c r="I366" s="2"/>
      <c r="J366" s="2"/>
      <c r="K366" s="2"/>
      <c r="L366" s="2"/>
      <c r="M366" s="2"/>
      <c r="N366" s="2"/>
      <c r="O366" s="2"/>
      <c r="P366" s="2"/>
      <c r="Q366" s="2"/>
      <c r="R366" s="2"/>
    </row>
    <row r="367">
      <c r="A367" s="2"/>
      <c r="B367" s="2"/>
      <c r="C367" s="2"/>
      <c r="D367" s="2"/>
      <c r="E367" s="2"/>
      <c r="F367" s="2"/>
      <c r="G367" s="2"/>
      <c r="H367" s="2"/>
      <c r="I367" s="2"/>
      <c r="J367" s="2"/>
      <c r="K367" s="2"/>
      <c r="L367" s="2"/>
      <c r="M367" s="2"/>
      <c r="N367" s="2"/>
      <c r="O367" s="2"/>
      <c r="P367" s="2"/>
      <c r="Q367" s="2"/>
      <c r="R367" s="2"/>
    </row>
    <row r="368">
      <c r="A368" s="2"/>
      <c r="B368" s="2"/>
      <c r="C368" s="2"/>
      <c r="D368" s="2"/>
      <c r="E368" s="2"/>
      <c r="F368" s="2"/>
      <c r="G368" s="2"/>
      <c r="H368" s="2"/>
      <c r="I368" s="2"/>
      <c r="J368" s="2"/>
      <c r="K368" s="2"/>
      <c r="L368" s="2"/>
      <c r="M368" s="2"/>
      <c r="N368" s="2"/>
      <c r="O368" s="2"/>
      <c r="P368" s="2"/>
      <c r="Q368" s="2"/>
      <c r="R368" s="2"/>
    </row>
    <row r="369">
      <c r="A369" s="2"/>
      <c r="B369" s="2"/>
      <c r="C369" s="2"/>
      <c r="D369" s="2"/>
      <c r="E369" s="2"/>
      <c r="F369" s="2"/>
      <c r="G369" s="2"/>
      <c r="H369" s="2"/>
      <c r="I369" s="2"/>
      <c r="J369" s="2"/>
      <c r="K369" s="2"/>
      <c r="L369" s="2"/>
      <c r="M369" s="2"/>
      <c r="N369" s="2"/>
      <c r="O369" s="2"/>
      <c r="P369" s="2"/>
      <c r="Q369" s="2"/>
      <c r="R369" s="2"/>
    </row>
    <row r="370">
      <c r="A370" s="2"/>
      <c r="B370" s="2"/>
      <c r="C370" s="2"/>
      <c r="D370" s="2"/>
      <c r="E370" s="2"/>
      <c r="F370" s="2"/>
      <c r="G370" s="2"/>
      <c r="H370" s="2"/>
      <c r="I370" s="2"/>
      <c r="J370" s="2"/>
      <c r="K370" s="2"/>
      <c r="L370" s="2"/>
      <c r="M370" s="2"/>
      <c r="N370" s="2"/>
      <c r="O370" s="2"/>
      <c r="P370" s="2"/>
      <c r="Q370" s="2"/>
      <c r="R370" s="2"/>
    </row>
    <row r="371">
      <c r="A371" s="2"/>
      <c r="B371" s="2"/>
      <c r="C371" s="2"/>
      <c r="D371" s="2"/>
      <c r="E371" s="2"/>
      <c r="F371" s="2"/>
      <c r="G371" s="2"/>
      <c r="H371" s="2"/>
      <c r="I371" s="2"/>
      <c r="J371" s="2"/>
      <c r="K371" s="2"/>
      <c r="L371" s="2"/>
      <c r="M371" s="2"/>
      <c r="N371" s="2"/>
      <c r="O371" s="2"/>
      <c r="P371" s="2"/>
      <c r="Q371" s="2"/>
      <c r="R371" s="2"/>
    </row>
    <row r="372">
      <c r="A372" s="2"/>
      <c r="B372" s="2"/>
      <c r="C372" s="2"/>
      <c r="D372" s="2"/>
      <c r="E372" s="2"/>
      <c r="F372" s="2"/>
      <c r="G372" s="2"/>
      <c r="H372" s="2"/>
      <c r="I372" s="2"/>
      <c r="J372" s="2"/>
      <c r="K372" s="2"/>
      <c r="L372" s="2"/>
      <c r="M372" s="2"/>
      <c r="N372" s="2"/>
      <c r="O372" s="2"/>
      <c r="P372" s="2"/>
      <c r="Q372" s="2"/>
      <c r="R372" s="2"/>
    </row>
    <row r="373">
      <c r="A373" s="2"/>
      <c r="B373" s="2"/>
      <c r="C373" s="2"/>
      <c r="D373" s="2"/>
      <c r="E373" s="2"/>
      <c r="F373" s="2"/>
      <c r="G373" s="2"/>
      <c r="H373" s="2"/>
      <c r="I373" s="2"/>
      <c r="J373" s="2"/>
      <c r="K373" s="2"/>
      <c r="L373" s="2"/>
      <c r="M373" s="2"/>
      <c r="N373" s="2"/>
      <c r="O373" s="2"/>
      <c r="P373" s="2"/>
      <c r="Q373" s="2"/>
      <c r="R373" s="2"/>
    </row>
    <row r="374">
      <c r="A374" s="2"/>
      <c r="B374" s="2"/>
      <c r="C374" s="2"/>
      <c r="D374" s="2"/>
      <c r="E374" s="2"/>
      <c r="F374" s="2"/>
      <c r="G374" s="2"/>
      <c r="H374" s="2"/>
      <c r="I374" s="2"/>
      <c r="J374" s="2"/>
      <c r="K374" s="2"/>
      <c r="L374" s="2"/>
      <c r="M374" s="2"/>
      <c r="N374" s="2"/>
      <c r="O374" s="2"/>
      <c r="P374" s="2"/>
      <c r="Q374" s="2"/>
      <c r="R374" s="2"/>
    </row>
    <row r="375">
      <c r="A375" s="2"/>
      <c r="B375" s="2"/>
      <c r="C375" s="2"/>
      <c r="D375" s="2"/>
      <c r="E375" s="2"/>
      <c r="F375" s="2"/>
      <c r="G375" s="2"/>
      <c r="H375" s="2"/>
      <c r="I375" s="2"/>
      <c r="J375" s="2"/>
      <c r="K375" s="2"/>
      <c r="L375" s="2"/>
      <c r="M375" s="2"/>
      <c r="N375" s="2"/>
      <c r="O375" s="2"/>
      <c r="P375" s="2"/>
      <c r="Q375" s="2"/>
      <c r="R375" s="2"/>
    </row>
    <row r="376">
      <c r="A376" s="2"/>
      <c r="B376" s="2"/>
      <c r="C376" s="2"/>
      <c r="D376" s="2"/>
      <c r="E376" s="2"/>
      <c r="F376" s="2"/>
      <c r="G376" s="2"/>
      <c r="H376" s="2"/>
      <c r="I376" s="2"/>
      <c r="J376" s="2"/>
      <c r="K376" s="2"/>
      <c r="L376" s="2"/>
      <c r="M376" s="2"/>
      <c r="N376" s="2"/>
      <c r="O376" s="2"/>
      <c r="P376" s="2"/>
      <c r="Q376" s="2"/>
      <c r="R376" s="2"/>
    </row>
    <row r="377">
      <c r="A377" s="2"/>
      <c r="B377" s="2"/>
      <c r="C377" s="2"/>
      <c r="D377" s="2"/>
      <c r="E377" s="2"/>
      <c r="F377" s="2"/>
      <c r="G377" s="2"/>
      <c r="H377" s="2"/>
      <c r="I377" s="2"/>
      <c r="J377" s="2"/>
      <c r="K377" s="2"/>
      <c r="L377" s="2"/>
      <c r="M377" s="2"/>
      <c r="N377" s="2"/>
      <c r="O377" s="2"/>
      <c r="P377" s="2"/>
      <c r="Q377" s="2"/>
      <c r="R377" s="2"/>
    </row>
    <row r="378">
      <c r="A378" s="2"/>
      <c r="B378" s="2"/>
      <c r="C378" s="2"/>
      <c r="D378" s="2"/>
      <c r="E378" s="2"/>
      <c r="F378" s="2"/>
      <c r="G378" s="2"/>
      <c r="H378" s="2"/>
      <c r="I378" s="2"/>
      <c r="J378" s="2"/>
      <c r="K378" s="2"/>
      <c r="L378" s="2"/>
      <c r="M378" s="2"/>
      <c r="N378" s="2"/>
      <c r="O378" s="2"/>
      <c r="P378" s="2"/>
      <c r="Q378" s="2"/>
      <c r="R378" s="2"/>
    </row>
    <row r="379">
      <c r="A379" s="2"/>
      <c r="B379" s="2"/>
      <c r="C379" s="2"/>
      <c r="D379" s="2"/>
      <c r="E379" s="2"/>
      <c r="F379" s="2"/>
      <c r="G379" s="2"/>
      <c r="H379" s="2"/>
      <c r="I379" s="2"/>
      <c r="J379" s="2"/>
      <c r="K379" s="2"/>
      <c r="L379" s="2"/>
      <c r="M379" s="2"/>
      <c r="N379" s="2"/>
      <c r="O379" s="2"/>
      <c r="P379" s="2"/>
      <c r="Q379" s="2"/>
      <c r="R379" s="2"/>
    </row>
    <row r="380">
      <c r="A380" s="2"/>
      <c r="B380" s="2"/>
      <c r="C380" s="2"/>
      <c r="D380" s="2"/>
      <c r="E380" s="2"/>
      <c r="F380" s="2"/>
      <c r="G380" s="2"/>
      <c r="H380" s="2"/>
      <c r="I380" s="2"/>
      <c r="J380" s="2"/>
      <c r="K380" s="2"/>
      <c r="L380" s="2"/>
      <c r="M380" s="2"/>
      <c r="N380" s="2"/>
      <c r="O380" s="2"/>
      <c r="P380" s="2"/>
      <c r="Q380" s="2"/>
      <c r="R380" s="2"/>
    </row>
    <row r="381">
      <c r="A381" s="2"/>
      <c r="B381" s="2"/>
      <c r="C381" s="2"/>
      <c r="D381" s="2"/>
      <c r="E381" s="2"/>
      <c r="F381" s="2"/>
      <c r="G381" s="2"/>
      <c r="H381" s="2"/>
      <c r="I381" s="2"/>
      <c r="J381" s="2"/>
      <c r="K381" s="2"/>
      <c r="L381" s="2"/>
      <c r="M381" s="2"/>
      <c r="N381" s="2"/>
      <c r="O381" s="2"/>
      <c r="P381" s="2"/>
      <c r="Q381" s="2"/>
      <c r="R381" s="2"/>
    </row>
    <row r="382">
      <c r="A382" s="2"/>
      <c r="B382" s="2"/>
      <c r="C382" s="2"/>
      <c r="D382" s="2"/>
      <c r="E382" s="2"/>
      <c r="F382" s="2"/>
      <c r="G382" s="2"/>
      <c r="H382" s="2"/>
      <c r="I382" s="2"/>
      <c r="J382" s="2"/>
      <c r="K382" s="2"/>
      <c r="L382" s="2"/>
      <c r="M382" s="2"/>
      <c r="N382" s="2"/>
      <c r="O382" s="2"/>
      <c r="P382" s="2"/>
      <c r="Q382" s="2"/>
      <c r="R382" s="2"/>
    </row>
    <row r="383">
      <c r="A383" s="2"/>
      <c r="B383" s="2"/>
      <c r="C383" s="2"/>
      <c r="D383" s="2"/>
      <c r="E383" s="2"/>
      <c r="F383" s="2"/>
      <c r="G383" s="2"/>
      <c r="H383" s="2"/>
      <c r="I383" s="2"/>
      <c r="J383" s="2"/>
      <c r="K383" s="2"/>
      <c r="L383" s="2"/>
      <c r="M383" s="2"/>
      <c r="N383" s="2"/>
      <c r="O383" s="2"/>
      <c r="P383" s="2"/>
      <c r="Q383" s="2"/>
      <c r="R383" s="2"/>
    </row>
    <row r="384">
      <c r="A384" s="2"/>
      <c r="B384" s="2"/>
      <c r="C384" s="2"/>
      <c r="D384" s="2"/>
      <c r="E384" s="2"/>
      <c r="F384" s="2"/>
      <c r="G384" s="2"/>
      <c r="H384" s="2"/>
      <c r="I384" s="2"/>
      <c r="J384" s="2"/>
      <c r="K384" s="2"/>
      <c r="L384" s="2"/>
      <c r="M384" s="2"/>
      <c r="N384" s="2"/>
      <c r="O384" s="2"/>
      <c r="P384" s="2"/>
      <c r="Q384" s="2"/>
      <c r="R384" s="2"/>
    </row>
    <row r="385">
      <c r="A385" s="2"/>
      <c r="B385" s="2"/>
      <c r="C385" s="2"/>
      <c r="D385" s="2"/>
      <c r="E385" s="2"/>
      <c r="F385" s="2"/>
      <c r="G385" s="2"/>
      <c r="H385" s="2"/>
      <c r="I385" s="2"/>
      <c r="J385" s="2"/>
      <c r="K385" s="2"/>
      <c r="L385" s="2"/>
      <c r="M385" s="2"/>
      <c r="N385" s="2"/>
      <c r="O385" s="2"/>
      <c r="P385" s="2"/>
      <c r="Q385" s="2"/>
      <c r="R385" s="2"/>
    </row>
    <row r="386">
      <c r="A386" s="2"/>
      <c r="B386" s="2"/>
      <c r="C386" s="2"/>
      <c r="D386" s="2"/>
      <c r="E386" s="2"/>
      <c r="F386" s="2"/>
      <c r="G386" s="2"/>
      <c r="H386" s="2"/>
      <c r="I386" s="2"/>
      <c r="J386" s="2"/>
      <c r="K386" s="2"/>
      <c r="L386" s="2"/>
      <c r="M386" s="2"/>
      <c r="N386" s="2"/>
      <c r="O386" s="2"/>
      <c r="P386" s="2"/>
      <c r="Q386" s="2"/>
      <c r="R386" s="2"/>
    </row>
    <row r="387">
      <c r="A387" s="2"/>
      <c r="B387" s="2"/>
      <c r="C387" s="2"/>
      <c r="D387" s="2"/>
      <c r="E387" s="2"/>
      <c r="F387" s="2"/>
      <c r="G387" s="2"/>
      <c r="H387" s="2"/>
      <c r="I387" s="2"/>
      <c r="J387" s="2"/>
      <c r="K387" s="2"/>
      <c r="L387" s="2"/>
      <c r="M387" s="2"/>
      <c r="N387" s="2"/>
      <c r="O387" s="2"/>
      <c r="P387" s="2"/>
      <c r="Q387" s="2"/>
      <c r="R387" s="2"/>
    </row>
    <row r="388">
      <c r="A388" s="2"/>
      <c r="B388" s="2"/>
      <c r="C388" s="2"/>
      <c r="D388" s="2"/>
      <c r="E388" s="2"/>
      <c r="F388" s="2"/>
      <c r="G388" s="2"/>
      <c r="H388" s="2"/>
      <c r="I388" s="2"/>
      <c r="J388" s="2"/>
      <c r="K388" s="2"/>
      <c r="L388" s="2"/>
      <c r="M388" s="2"/>
      <c r="N388" s="2"/>
      <c r="O388" s="2"/>
      <c r="P388" s="2"/>
      <c r="Q388" s="2"/>
      <c r="R388" s="2"/>
    </row>
    <row r="389">
      <c r="A389" s="2"/>
      <c r="B389" s="2"/>
      <c r="C389" s="2"/>
      <c r="D389" s="2"/>
      <c r="E389" s="2"/>
      <c r="F389" s="2"/>
      <c r="G389" s="2"/>
      <c r="H389" s="2"/>
      <c r="I389" s="2"/>
      <c r="J389" s="2"/>
      <c r="K389" s="2"/>
      <c r="L389" s="2"/>
      <c r="M389" s="2"/>
      <c r="N389" s="2"/>
      <c r="O389" s="2"/>
      <c r="P389" s="2"/>
      <c r="Q389" s="2"/>
      <c r="R389" s="2"/>
    </row>
    <row r="390">
      <c r="A390" s="2"/>
      <c r="B390" s="2"/>
      <c r="C390" s="2"/>
      <c r="D390" s="2"/>
      <c r="E390" s="2"/>
      <c r="F390" s="2"/>
      <c r="G390" s="2"/>
      <c r="H390" s="2"/>
      <c r="I390" s="2"/>
      <c r="J390" s="2"/>
      <c r="K390" s="2"/>
      <c r="L390" s="2"/>
      <c r="M390" s="2"/>
      <c r="N390" s="2"/>
      <c r="O390" s="2"/>
      <c r="P390" s="2"/>
      <c r="Q390" s="2"/>
      <c r="R390" s="2"/>
    </row>
    <row r="391">
      <c r="A391" s="2"/>
      <c r="B391" s="2"/>
      <c r="C391" s="2"/>
      <c r="D391" s="2"/>
      <c r="E391" s="2"/>
      <c r="F391" s="2"/>
      <c r="G391" s="2"/>
      <c r="H391" s="2"/>
      <c r="I391" s="2"/>
      <c r="J391" s="2"/>
      <c r="K391" s="2"/>
      <c r="L391" s="2"/>
      <c r="M391" s="2"/>
      <c r="N391" s="2"/>
      <c r="O391" s="2"/>
      <c r="P391" s="2"/>
      <c r="Q391" s="2"/>
      <c r="R391" s="2"/>
    </row>
    <row r="392">
      <c r="A392" s="2"/>
      <c r="B392" s="2"/>
      <c r="C392" s="2"/>
      <c r="D392" s="2"/>
      <c r="E392" s="2"/>
      <c r="F392" s="2"/>
      <c r="G392" s="2"/>
      <c r="H392" s="2"/>
      <c r="I392" s="2"/>
      <c r="J392" s="2"/>
      <c r="K392" s="2"/>
      <c r="L392" s="2"/>
      <c r="M392" s="2"/>
      <c r="N392" s="2"/>
      <c r="O392" s="2"/>
      <c r="P392" s="2"/>
      <c r="Q392" s="2"/>
      <c r="R392" s="2"/>
    </row>
    <row r="393">
      <c r="A393" s="2"/>
      <c r="B393" s="2"/>
      <c r="C393" s="2"/>
      <c r="D393" s="2"/>
      <c r="E393" s="2"/>
      <c r="F393" s="2"/>
      <c r="G393" s="2"/>
      <c r="H393" s="2"/>
      <c r="I393" s="2"/>
      <c r="J393" s="2"/>
      <c r="K393" s="2"/>
      <c r="L393" s="2"/>
      <c r="M393" s="2"/>
      <c r="N393" s="2"/>
      <c r="O393" s="2"/>
      <c r="P393" s="2"/>
      <c r="Q393" s="2"/>
      <c r="R393" s="2"/>
    </row>
    <row r="394">
      <c r="A394" s="2"/>
      <c r="B394" s="2"/>
      <c r="C394" s="2"/>
      <c r="D394" s="2"/>
      <c r="E394" s="2"/>
      <c r="F394" s="2"/>
      <c r="G394" s="2"/>
      <c r="H394" s="2"/>
      <c r="I394" s="2"/>
      <c r="J394" s="2"/>
      <c r="K394" s="2"/>
      <c r="L394" s="2"/>
      <c r="M394" s="2"/>
      <c r="N394" s="2"/>
      <c r="O394" s="2"/>
      <c r="P394" s="2"/>
      <c r="Q394" s="2"/>
      <c r="R394" s="2"/>
    </row>
    <row r="395">
      <c r="A395" s="2"/>
      <c r="B395" s="2"/>
      <c r="C395" s="2"/>
      <c r="D395" s="2"/>
      <c r="E395" s="2"/>
      <c r="F395" s="2"/>
      <c r="G395" s="2"/>
      <c r="H395" s="2"/>
      <c r="I395" s="2"/>
      <c r="J395" s="2"/>
      <c r="K395" s="2"/>
      <c r="L395" s="2"/>
      <c r="M395" s="2"/>
      <c r="N395" s="2"/>
      <c r="O395" s="2"/>
      <c r="P395" s="2"/>
      <c r="Q395" s="2"/>
      <c r="R395" s="2"/>
    </row>
    <row r="396">
      <c r="A396" s="2"/>
      <c r="B396" s="2"/>
      <c r="C396" s="2"/>
      <c r="D396" s="2"/>
      <c r="E396" s="2"/>
      <c r="F396" s="2"/>
      <c r="G396" s="2"/>
      <c r="H396" s="2"/>
      <c r="I396" s="2"/>
      <c r="J396" s="2"/>
      <c r="K396" s="2"/>
      <c r="L396" s="2"/>
      <c r="M396" s="2"/>
      <c r="N396" s="2"/>
      <c r="O396" s="2"/>
      <c r="P396" s="2"/>
      <c r="Q396" s="2"/>
      <c r="R396" s="2"/>
    </row>
    <row r="397">
      <c r="A397" s="2"/>
      <c r="B397" s="2"/>
      <c r="C397" s="2"/>
      <c r="D397" s="2"/>
      <c r="E397" s="2"/>
      <c r="F397" s="2"/>
      <c r="G397" s="2"/>
      <c r="H397" s="2"/>
      <c r="I397" s="2"/>
      <c r="J397" s="2"/>
      <c r="K397" s="2"/>
      <c r="L397" s="2"/>
      <c r="M397" s="2"/>
      <c r="N397" s="2"/>
      <c r="O397" s="2"/>
      <c r="P397" s="2"/>
      <c r="Q397" s="2"/>
      <c r="R397" s="2"/>
    </row>
    <row r="398">
      <c r="A398" s="2"/>
      <c r="B398" s="2"/>
      <c r="C398" s="2"/>
      <c r="D398" s="2"/>
      <c r="E398" s="2"/>
      <c r="F398" s="2"/>
      <c r="G398" s="2"/>
      <c r="H398" s="2"/>
      <c r="I398" s="2"/>
      <c r="J398" s="2"/>
      <c r="K398" s="2"/>
      <c r="L398" s="2"/>
      <c r="M398" s="2"/>
      <c r="N398" s="2"/>
      <c r="O398" s="2"/>
      <c r="P398" s="2"/>
      <c r="Q398" s="2"/>
      <c r="R398" s="2"/>
    </row>
    <row r="399">
      <c r="A399" s="2"/>
      <c r="B399" s="2"/>
      <c r="C399" s="2"/>
      <c r="D399" s="2"/>
      <c r="E399" s="2"/>
      <c r="F399" s="2"/>
      <c r="G399" s="2"/>
      <c r="H399" s="2"/>
      <c r="I399" s="2"/>
      <c r="J399" s="2"/>
      <c r="K399" s="2"/>
      <c r="L399" s="2"/>
      <c r="M399" s="2"/>
      <c r="N399" s="2"/>
      <c r="O399" s="2"/>
      <c r="P399" s="2"/>
      <c r="Q399" s="2"/>
      <c r="R399" s="2"/>
    </row>
    <row r="400">
      <c r="A400" s="2"/>
      <c r="B400" s="2"/>
      <c r="C400" s="2"/>
      <c r="D400" s="2"/>
      <c r="E400" s="2"/>
      <c r="F400" s="2"/>
      <c r="G400" s="2"/>
      <c r="H400" s="2"/>
      <c r="I400" s="2"/>
      <c r="J400" s="2"/>
      <c r="K400" s="2"/>
      <c r="L400" s="2"/>
      <c r="M400" s="2"/>
      <c r="N400" s="2"/>
      <c r="O400" s="2"/>
      <c r="P400" s="2"/>
      <c r="Q400" s="2"/>
      <c r="R400" s="2"/>
    </row>
    <row r="401">
      <c r="A401" s="2"/>
      <c r="B401" s="2"/>
      <c r="C401" s="2"/>
      <c r="D401" s="2"/>
      <c r="E401" s="2"/>
      <c r="F401" s="2"/>
      <c r="G401" s="2"/>
      <c r="H401" s="2"/>
      <c r="I401" s="2"/>
      <c r="J401" s="2"/>
      <c r="K401" s="2"/>
      <c r="L401" s="2"/>
      <c r="M401" s="2"/>
      <c r="N401" s="2"/>
      <c r="O401" s="2"/>
      <c r="P401" s="2"/>
      <c r="Q401" s="2"/>
      <c r="R401" s="2"/>
    </row>
    <row r="402">
      <c r="A402" s="2"/>
      <c r="B402" s="2"/>
      <c r="C402" s="2"/>
      <c r="D402" s="2"/>
      <c r="E402" s="2"/>
      <c r="F402" s="2"/>
      <c r="G402" s="2"/>
      <c r="H402" s="2"/>
      <c r="I402" s="2"/>
      <c r="J402" s="2"/>
      <c r="K402" s="2"/>
      <c r="L402" s="2"/>
      <c r="M402" s="2"/>
      <c r="N402" s="2"/>
      <c r="O402" s="2"/>
      <c r="P402" s="2"/>
      <c r="Q402" s="2"/>
      <c r="R402" s="2"/>
    </row>
    <row r="403">
      <c r="A403" s="2"/>
      <c r="B403" s="2"/>
      <c r="C403" s="2"/>
      <c r="D403" s="2"/>
      <c r="E403" s="2"/>
      <c r="F403" s="2"/>
      <c r="G403" s="2"/>
      <c r="H403" s="2"/>
      <c r="I403" s="2"/>
      <c r="J403" s="2"/>
      <c r="K403" s="2"/>
      <c r="L403" s="2"/>
      <c r="M403" s="2"/>
      <c r="N403" s="2"/>
      <c r="O403" s="2"/>
      <c r="P403" s="2"/>
      <c r="Q403" s="2"/>
      <c r="R403" s="2"/>
    </row>
    <row r="404">
      <c r="A404" s="2"/>
      <c r="B404" s="2"/>
      <c r="C404" s="2"/>
      <c r="D404" s="2"/>
      <c r="E404" s="2"/>
      <c r="F404" s="2"/>
      <c r="G404" s="2"/>
      <c r="H404" s="2"/>
      <c r="I404" s="2"/>
      <c r="J404" s="2"/>
      <c r="K404" s="2"/>
      <c r="L404" s="2"/>
      <c r="M404" s="2"/>
      <c r="N404" s="2"/>
      <c r="O404" s="2"/>
      <c r="P404" s="2"/>
      <c r="Q404" s="2"/>
      <c r="R404" s="2"/>
    </row>
    <row r="405">
      <c r="A405" s="2"/>
      <c r="B405" s="2"/>
      <c r="C405" s="2"/>
      <c r="D405" s="2"/>
      <c r="E405" s="2"/>
      <c r="F405" s="2"/>
      <c r="G405" s="2"/>
      <c r="H405" s="2"/>
      <c r="I405" s="2"/>
      <c r="J405" s="2"/>
      <c r="K405" s="2"/>
      <c r="L405" s="2"/>
      <c r="M405" s="2"/>
      <c r="N405" s="2"/>
      <c r="O405" s="2"/>
      <c r="P405" s="2"/>
      <c r="Q405" s="2"/>
      <c r="R405" s="2"/>
    </row>
    <row r="406">
      <c r="A406" s="2"/>
      <c r="B406" s="2"/>
      <c r="C406" s="2"/>
      <c r="D406" s="2"/>
      <c r="E406" s="2"/>
      <c r="F406" s="2"/>
      <c r="G406" s="2"/>
      <c r="H406" s="2"/>
      <c r="I406" s="2"/>
      <c r="J406" s="2"/>
      <c r="K406" s="2"/>
      <c r="L406" s="2"/>
      <c r="M406" s="2"/>
      <c r="N406" s="2"/>
      <c r="O406" s="2"/>
      <c r="P406" s="2"/>
      <c r="Q406" s="2"/>
      <c r="R406" s="2"/>
    </row>
    <row r="407">
      <c r="A407" s="2"/>
      <c r="B407" s="2"/>
      <c r="C407" s="2"/>
      <c r="D407" s="2"/>
      <c r="E407" s="2"/>
      <c r="F407" s="2"/>
      <c r="G407" s="2"/>
      <c r="H407" s="2"/>
      <c r="I407" s="2"/>
      <c r="J407" s="2"/>
      <c r="K407" s="2"/>
      <c r="L407" s="2"/>
      <c r="M407" s="2"/>
      <c r="N407" s="2"/>
      <c r="O407" s="2"/>
      <c r="P407" s="2"/>
      <c r="Q407" s="2"/>
      <c r="R407" s="2"/>
    </row>
    <row r="408">
      <c r="A408" s="2"/>
      <c r="B408" s="2"/>
      <c r="C408" s="2"/>
      <c r="D408" s="2"/>
      <c r="E408" s="2"/>
      <c r="F408" s="2"/>
      <c r="G408" s="2"/>
      <c r="H408" s="2"/>
      <c r="I408" s="2"/>
      <c r="J408" s="2"/>
      <c r="K408" s="2"/>
      <c r="L408" s="2"/>
      <c r="M408" s="2"/>
      <c r="N408" s="2"/>
      <c r="O408" s="2"/>
      <c r="P408" s="2"/>
      <c r="Q408" s="2"/>
      <c r="R408" s="2"/>
    </row>
    <row r="409">
      <c r="A409" s="2"/>
      <c r="B409" s="2"/>
      <c r="C409" s="2"/>
      <c r="D409" s="2"/>
      <c r="E409" s="2"/>
      <c r="F409" s="2"/>
      <c r="G409" s="2"/>
      <c r="H409" s="2"/>
      <c r="I409" s="2"/>
      <c r="J409" s="2"/>
      <c r="K409" s="2"/>
      <c r="L409" s="2"/>
      <c r="M409" s="2"/>
      <c r="N409" s="2"/>
      <c r="O409" s="2"/>
      <c r="P409" s="2"/>
      <c r="Q409" s="2"/>
      <c r="R409" s="2"/>
    </row>
    <row r="410">
      <c r="A410" s="2"/>
      <c r="B410" s="2"/>
      <c r="C410" s="2"/>
      <c r="D410" s="2"/>
      <c r="E410" s="2"/>
      <c r="F410" s="2"/>
      <c r="G410" s="2"/>
      <c r="H410" s="2"/>
      <c r="I410" s="2"/>
      <c r="J410" s="2"/>
      <c r="K410" s="2"/>
      <c r="L410" s="2"/>
      <c r="M410" s="2"/>
      <c r="N410" s="2"/>
      <c r="O410" s="2"/>
      <c r="P410" s="2"/>
      <c r="Q410" s="2"/>
      <c r="R410" s="2"/>
    </row>
    <row r="411">
      <c r="A411" s="2"/>
      <c r="B411" s="2"/>
      <c r="C411" s="2"/>
      <c r="D411" s="2"/>
      <c r="E411" s="2"/>
      <c r="F411" s="2"/>
      <c r="G411" s="2"/>
      <c r="H411" s="2"/>
      <c r="I411" s="2"/>
      <c r="J411" s="2"/>
      <c r="K411" s="2"/>
      <c r="L411" s="2"/>
      <c r="M411" s="2"/>
      <c r="N411" s="2"/>
      <c r="O411" s="2"/>
      <c r="P411" s="2"/>
      <c r="Q411" s="2"/>
      <c r="R411" s="2"/>
    </row>
    <row r="412">
      <c r="A412" s="2"/>
      <c r="B412" s="2"/>
      <c r="C412" s="2"/>
      <c r="D412" s="2"/>
      <c r="E412" s="2"/>
      <c r="F412" s="2"/>
      <c r="G412" s="2"/>
      <c r="H412" s="2"/>
      <c r="I412" s="2"/>
      <c r="J412" s="2"/>
      <c r="K412" s="2"/>
      <c r="L412" s="2"/>
      <c r="M412" s="2"/>
      <c r="N412" s="2"/>
      <c r="O412" s="2"/>
      <c r="P412" s="2"/>
      <c r="Q412" s="2"/>
      <c r="R412" s="2"/>
    </row>
    <row r="413">
      <c r="A413" s="2"/>
      <c r="B413" s="2"/>
      <c r="C413" s="2"/>
      <c r="D413" s="2"/>
      <c r="E413" s="2"/>
      <c r="F413" s="2"/>
      <c r="G413" s="2"/>
      <c r="H413" s="2"/>
      <c r="I413" s="2"/>
      <c r="J413" s="2"/>
      <c r="K413" s="2"/>
      <c r="L413" s="2"/>
      <c r="M413" s="2"/>
      <c r="N413" s="2"/>
      <c r="O413" s="2"/>
      <c r="P413" s="2"/>
      <c r="Q413" s="2"/>
      <c r="R413" s="2"/>
    </row>
    <row r="414">
      <c r="A414" s="2"/>
      <c r="B414" s="2"/>
      <c r="C414" s="2"/>
      <c r="D414" s="2"/>
      <c r="E414" s="2"/>
      <c r="F414" s="2"/>
      <c r="G414" s="2"/>
      <c r="H414" s="2"/>
      <c r="I414" s="2"/>
      <c r="J414" s="2"/>
      <c r="K414" s="2"/>
      <c r="L414" s="2"/>
      <c r="M414" s="2"/>
      <c r="N414" s="2"/>
      <c r="O414" s="2"/>
      <c r="P414" s="2"/>
      <c r="Q414" s="2"/>
      <c r="R414" s="2"/>
    </row>
    <row r="415">
      <c r="A415" s="2"/>
      <c r="B415" s="2"/>
      <c r="C415" s="2"/>
      <c r="D415" s="2"/>
      <c r="E415" s="2"/>
      <c r="F415" s="2"/>
      <c r="G415" s="2"/>
      <c r="H415" s="2"/>
      <c r="I415" s="2"/>
      <c r="J415" s="2"/>
      <c r="K415" s="2"/>
      <c r="L415" s="2"/>
      <c r="M415" s="2"/>
      <c r="N415" s="2"/>
      <c r="O415" s="2"/>
      <c r="P415" s="2"/>
      <c r="Q415" s="2"/>
      <c r="R415" s="2"/>
    </row>
    <row r="416">
      <c r="A416" s="2"/>
      <c r="B416" s="2"/>
      <c r="C416" s="2"/>
      <c r="D416" s="2"/>
      <c r="E416" s="2"/>
      <c r="F416" s="2"/>
      <c r="G416" s="2"/>
      <c r="H416" s="2"/>
      <c r="I416" s="2"/>
      <c r="J416" s="2"/>
      <c r="K416" s="2"/>
      <c r="L416" s="2"/>
      <c r="M416" s="2"/>
      <c r="N416" s="2"/>
      <c r="O416" s="2"/>
      <c r="P416" s="2"/>
      <c r="Q416" s="2"/>
      <c r="R416" s="2"/>
    </row>
    <row r="417">
      <c r="A417" s="2"/>
      <c r="B417" s="2"/>
      <c r="C417" s="2"/>
      <c r="D417" s="2"/>
      <c r="E417" s="2"/>
      <c r="F417" s="2"/>
      <c r="G417" s="2"/>
      <c r="H417" s="2"/>
      <c r="I417" s="2"/>
      <c r="J417" s="2"/>
      <c r="K417" s="2"/>
      <c r="L417" s="2"/>
      <c r="M417" s="2"/>
      <c r="N417" s="2"/>
      <c r="O417" s="2"/>
      <c r="P417" s="2"/>
      <c r="Q417" s="2"/>
      <c r="R417" s="2"/>
    </row>
    <row r="418">
      <c r="A418" s="2"/>
      <c r="B418" s="2"/>
      <c r="C418" s="2"/>
      <c r="D418" s="2"/>
      <c r="E418" s="2"/>
      <c r="F418" s="2"/>
      <c r="G418" s="2"/>
      <c r="H418" s="2"/>
      <c r="I418" s="2"/>
      <c r="J418" s="2"/>
      <c r="K418" s="2"/>
      <c r="L418" s="2"/>
      <c r="M418" s="2"/>
      <c r="N418" s="2"/>
      <c r="O418" s="2"/>
      <c r="P418" s="2"/>
      <c r="Q418" s="2"/>
      <c r="R418" s="2"/>
    </row>
    <row r="419">
      <c r="A419" s="2"/>
      <c r="B419" s="2"/>
      <c r="C419" s="2"/>
      <c r="D419" s="2"/>
      <c r="E419" s="2"/>
      <c r="F419" s="2"/>
      <c r="G419" s="2"/>
      <c r="H419" s="2"/>
      <c r="I419" s="2"/>
      <c r="J419" s="2"/>
      <c r="K419" s="2"/>
      <c r="L419" s="2"/>
      <c r="M419" s="2"/>
      <c r="N419" s="2"/>
      <c r="O419" s="2"/>
      <c r="P419" s="2"/>
      <c r="Q419" s="2"/>
      <c r="R419" s="2"/>
    </row>
    <row r="420">
      <c r="A420" s="2"/>
      <c r="B420" s="2"/>
      <c r="C420" s="2"/>
      <c r="D420" s="2"/>
      <c r="E420" s="2"/>
      <c r="F420" s="2"/>
      <c r="G420" s="2"/>
      <c r="H420" s="2"/>
      <c r="I420" s="2"/>
      <c r="J420" s="2"/>
      <c r="K420" s="2"/>
      <c r="L420" s="2"/>
      <c r="M420" s="2"/>
      <c r="N420" s="2"/>
      <c r="O420" s="2"/>
      <c r="P420" s="2"/>
      <c r="Q420" s="2"/>
      <c r="R420" s="2"/>
    </row>
    <row r="421">
      <c r="A421" s="2"/>
      <c r="B421" s="2"/>
      <c r="C421" s="2"/>
      <c r="D421" s="2"/>
      <c r="E421" s="2"/>
      <c r="F421" s="2"/>
      <c r="G421" s="2"/>
      <c r="H421" s="2"/>
      <c r="I421" s="2"/>
      <c r="J421" s="2"/>
      <c r="K421" s="2"/>
      <c r="L421" s="2"/>
      <c r="M421" s="2"/>
      <c r="N421" s="2"/>
      <c r="O421" s="2"/>
      <c r="P421" s="2"/>
      <c r="Q421" s="2"/>
      <c r="R421" s="2"/>
    </row>
    <row r="422">
      <c r="A422" s="2"/>
      <c r="B422" s="2"/>
      <c r="C422" s="2"/>
      <c r="D422" s="2"/>
      <c r="E422" s="2"/>
      <c r="F422" s="2"/>
      <c r="G422" s="2"/>
      <c r="H422" s="2"/>
      <c r="I422" s="2"/>
      <c r="J422" s="2"/>
      <c r="K422" s="2"/>
      <c r="L422" s="2"/>
      <c r="M422" s="2"/>
      <c r="N422" s="2"/>
      <c r="O422" s="2"/>
      <c r="P422" s="2"/>
      <c r="Q422" s="2"/>
      <c r="R422" s="2"/>
    </row>
    <row r="423">
      <c r="A423" s="2"/>
      <c r="B423" s="2"/>
      <c r="C423" s="2"/>
      <c r="D423" s="2"/>
      <c r="E423" s="2"/>
      <c r="F423" s="2"/>
      <c r="G423" s="2"/>
      <c r="H423" s="2"/>
      <c r="I423" s="2"/>
      <c r="J423" s="2"/>
      <c r="K423" s="2"/>
      <c r="L423" s="2"/>
      <c r="M423" s="2"/>
      <c r="N423" s="2"/>
      <c r="O423" s="2"/>
      <c r="P423" s="2"/>
      <c r="Q423" s="2"/>
      <c r="R423" s="2"/>
    </row>
    <row r="424">
      <c r="A424" s="2"/>
      <c r="B424" s="2"/>
      <c r="C424" s="2"/>
      <c r="D424" s="2"/>
      <c r="E424" s="2"/>
      <c r="F424" s="2"/>
      <c r="G424" s="2"/>
      <c r="H424" s="2"/>
      <c r="I424" s="2"/>
      <c r="J424" s="2"/>
      <c r="K424" s="2"/>
      <c r="L424" s="2"/>
      <c r="M424" s="2"/>
      <c r="N424" s="2"/>
      <c r="O424" s="2"/>
      <c r="P424" s="2"/>
      <c r="Q424" s="2"/>
      <c r="R424" s="2"/>
    </row>
    <row r="425">
      <c r="A425" s="2"/>
      <c r="B425" s="2"/>
      <c r="C425" s="2"/>
      <c r="D425" s="2"/>
      <c r="E425" s="2"/>
      <c r="F425" s="2"/>
      <c r="G425" s="2"/>
      <c r="H425" s="2"/>
      <c r="I425" s="2"/>
      <c r="J425" s="2"/>
      <c r="K425" s="2"/>
      <c r="L425" s="2"/>
      <c r="M425" s="2"/>
      <c r="N425" s="2"/>
      <c r="O425" s="2"/>
      <c r="P425" s="2"/>
      <c r="Q425" s="2"/>
      <c r="R425" s="2"/>
    </row>
    <row r="426">
      <c r="A426" s="2"/>
      <c r="B426" s="2"/>
      <c r="C426" s="2"/>
      <c r="D426" s="2"/>
      <c r="E426" s="2"/>
      <c r="F426" s="2"/>
      <c r="G426" s="2"/>
      <c r="H426" s="2"/>
      <c r="I426" s="2"/>
      <c r="J426" s="2"/>
      <c r="K426" s="2"/>
      <c r="L426" s="2"/>
      <c r="M426" s="2"/>
      <c r="N426" s="2"/>
      <c r="O426" s="2"/>
      <c r="P426" s="2"/>
      <c r="Q426" s="2"/>
      <c r="R426" s="2"/>
    </row>
    <row r="427">
      <c r="A427" s="2"/>
      <c r="B427" s="2"/>
      <c r="C427" s="2"/>
      <c r="D427" s="2"/>
      <c r="E427" s="2"/>
      <c r="F427" s="2"/>
      <c r="G427" s="2"/>
      <c r="H427" s="2"/>
      <c r="I427" s="2"/>
      <c r="J427" s="2"/>
      <c r="K427" s="2"/>
      <c r="L427" s="2"/>
      <c r="M427" s="2"/>
      <c r="N427" s="2"/>
      <c r="O427" s="2"/>
      <c r="P427" s="2"/>
      <c r="Q427" s="2"/>
      <c r="R427" s="2"/>
    </row>
    <row r="428">
      <c r="A428" s="2"/>
      <c r="B428" s="2"/>
      <c r="C428" s="2"/>
      <c r="D428" s="2"/>
      <c r="E428" s="2"/>
      <c r="F428" s="2"/>
      <c r="G428" s="2"/>
      <c r="H428" s="2"/>
      <c r="I428" s="2"/>
      <c r="J428" s="2"/>
      <c r="K428" s="2"/>
      <c r="L428" s="2"/>
      <c r="M428" s="2"/>
      <c r="N428" s="2"/>
      <c r="O428" s="2"/>
      <c r="P428" s="2"/>
      <c r="Q428" s="2"/>
      <c r="R428" s="2"/>
    </row>
    <row r="429">
      <c r="A429" s="2"/>
      <c r="B429" s="2"/>
      <c r="C429" s="2"/>
      <c r="D429" s="2"/>
      <c r="E429" s="2"/>
      <c r="F429" s="2"/>
      <c r="G429" s="2"/>
      <c r="H429" s="2"/>
      <c r="I429" s="2"/>
      <c r="J429" s="2"/>
      <c r="K429" s="2"/>
      <c r="L429" s="2"/>
      <c r="M429" s="2"/>
      <c r="N429" s="2"/>
      <c r="O429" s="2"/>
      <c r="P429" s="2"/>
      <c r="Q429" s="2"/>
      <c r="R429" s="2"/>
    </row>
    <row r="430">
      <c r="A430" s="2"/>
      <c r="B430" s="2"/>
      <c r="C430" s="2"/>
      <c r="D430" s="2"/>
      <c r="E430" s="2"/>
      <c r="F430" s="2"/>
      <c r="G430" s="2"/>
      <c r="H430" s="2"/>
      <c r="I430" s="2"/>
      <c r="J430" s="2"/>
      <c r="K430" s="2"/>
      <c r="L430" s="2"/>
      <c r="M430" s="2"/>
      <c r="N430" s="2"/>
      <c r="O430" s="2"/>
      <c r="P430" s="2"/>
      <c r="Q430" s="2"/>
      <c r="R430" s="2"/>
    </row>
    <row r="431">
      <c r="A431" s="2"/>
      <c r="B431" s="2"/>
      <c r="C431" s="2"/>
      <c r="D431" s="2"/>
      <c r="E431" s="2"/>
      <c r="F431" s="2"/>
      <c r="G431" s="2"/>
      <c r="H431" s="2"/>
      <c r="I431" s="2"/>
      <c r="J431" s="2"/>
      <c r="K431" s="2"/>
      <c r="L431" s="2"/>
      <c r="M431" s="2"/>
      <c r="N431" s="2"/>
      <c r="O431" s="2"/>
      <c r="P431" s="2"/>
      <c r="Q431" s="2"/>
      <c r="R431" s="2"/>
    </row>
    <row r="432">
      <c r="A432" s="2"/>
      <c r="B432" s="2"/>
      <c r="C432" s="2"/>
      <c r="D432" s="2"/>
      <c r="E432" s="2"/>
      <c r="F432" s="2"/>
      <c r="G432" s="2"/>
      <c r="H432" s="2"/>
      <c r="I432" s="2"/>
      <c r="J432" s="2"/>
      <c r="K432" s="2"/>
      <c r="L432" s="2"/>
      <c r="M432" s="2"/>
      <c r="N432" s="2"/>
      <c r="O432" s="2"/>
      <c r="P432" s="2"/>
      <c r="Q432" s="2"/>
      <c r="R432" s="2"/>
    </row>
    <row r="433">
      <c r="A433" s="2"/>
      <c r="B433" s="2"/>
      <c r="C433" s="2"/>
      <c r="D433" s="2"/>
      <c r="E433" s="2"/>
      <c r="F433" s="2"/>
      <c r="G433" s="2"/>
      <c r="H433" s="2"/>
      <c r="I433" s="2"/>
      <c r="J433" s="2"/>
      <c r="K433" s="2"/>
      <c r="L433" s="2"/>
      <c r="M433" s="2"/>
      <c r="N433" s="2"/>
      <c r="O433" s="2"/>
      <c r="P433" s="2"/>
      <c r="Q433" s="2"/>
      <c r="R433" s="2"/>
    </row>
    <row r="434">
      <c r="A434" s="2"/>
      <c r="B434" s="2"/>
      <c r="C434" s="2"/>
      <c r="D434" s="2"/>
      <c r="E434" s="2"/>
      <c r="F434" s="2"/>
      <c r="G434" s="2"/>
      <c r="H434" s="2"/>
      <c r="I434" s="2"/>
      <c r="J434" s="2"/>
      <c r="K434" s="2"/>
      <c r="L434" s="2"/>
      <c r="M434" s="2"/>
      <c r="N434" s="2"/>
      <c r="O434" s="2"/>
      <c r="P434" s="2"/>
      <c r="Q434" s="2"/>
      <c r="R434" s="2"/>
    </row>
    <row r="435">
      <c r="A435" s="2"/>
      <c r="B435" s="2"/>
      <c r="C435" s="2"/>
      <c r="D435" s="2"/>
      <c r="E435" s="2"/>
      <c r="F435" s="2"/>
      <c r="G435" s="2"/>
      <c r="H435" s="2"/>
      <c r="I435" s="2"/>
      <c r="J435" s="2"/>
      <c r="K435" s="2"/>
      <c r="L435" s="2"/>
      <c r="M435" s="2"/>
      <c r="N435" s="2"/>
      <c r="O435" s="2"/>
      <c r="P435" s="2"/>
      <c r="Q435" s="2"/>
      <c r="R435" s="2"/>
    </row>
    <row r="436">
      <c r="A436" s="2"/>
      <c r="B436" s="2"/>
      <c r="C436" s="2"/>
      <c r="D436" s="2"/>
      <c r="E436" s="2"/>
      <c r="F436" s="2"/>
      <c r="G436" s="2"/>
      <c r="H436" s="2"/>
      <c r="I436" s="2"/>
      <c r="J436" s="2"/>
      <c r="K436" s="2"/>
      <c r="L436" s="2"/>
      <c r="M436" s="2"/>
      <c r="N436" s="2"/>
      <c r="O436" s="2"/>
      <c r="P436" s="2"/>
      <c r="Q436" s="2"/>
      <c r="R436" s="2"/>
    </row>
    <row r="437">
      <c r="A437" s="2"/>
      <c r="B437" s="2"/>
      <c r="C437" s="2"/>
      <c r="D437" s="2"/>
      <c r="E437" s="2"/>
      <c r="F437" s="2"/>
      <c r="G437" s="2"/>
      <c r="H437" s="2"/>
      <c r="I437" s="2"/>
      <c r="J437" s="2"/>
      <c r="K437" s="2"/>
      <c r="L437" s="2"/>
      <c r="M437" s="2"/>
      <c r="N437" s="2"/>
      <c r="O437" s="2"/>
      <c r="P437" s="2"/>
      <c r="Q437" s="2"/>
      <c r="R437" s="2"/>
    </row>
    <row r="438">
      <c r="A438" s="2"/>
      <c r="B438" s="2"/>
      <c r="C438" s="2"/>
      <c r="D438" s="2"/>
      <c r="E438" s="2"/>
      <c r="F438" s="2"/>
      <c r="G438" s="2"/>
      <c r="H438" s="2"/>
      <c r="I438" s="2"/>
      <c r="J438" s="2"/>
      <c r="K438" s="2"/>
      <c r="L438" s="2"/>
      <c r="M438" s="2"/>
      <c r="N438" s="2"/>
      <c r="O438" s="2"/>
      <c r="P438" s="2"/>
      <c r="Q438" s="2"/>
      <c r="R438" s="2"/>
    </row>
    <row r="439">
      <c r="A439" s="2"/>
      <c r="B439" s="2"/>
      <c r="C439" s="2"/>
      <c r="D439" s="2"/>
      <c r="E439" s="2"/>
      <c r="F439" s="2"/>
      <c r="G439" s="2"/>
      <c r="H439" s="2"/>
      <c r="I439" s="2"/>
      <c r="J439" s="2"/>
      <c r="K439" s="2"/>
      <c r="L439" s="2"/>
      <c r="M439" s="2"/>
      <c r="N439" s="2"/>
      <c r="O439" s="2"/>
      <c r="P439" s="2"/>
      <c r="Q439" s="2"/>
      <c r="R439" s="2"/>
    </row>
    <row r="440">
      <c r="A440" s="2"/>
      <c r="B440" s="2"/>
      <c r="C440" s="2"/>
      <c r="D440" s="2"/>
      <c r="E440" s="2"/>
      <c r="F440" s="2"/>
      <c r="G440" s="2"/>
      <c r="H440" s="2"/>
      <c r="I440" s="2"/>
      <c r="J440" s="2"/>
      <c r="K440" s="2"/>
      <c r="L440" s="2"/>
      <c r="M440" s="2"/>
      <c r="N440" s="2"/>
      <c r="O440" s="2"/>
      <c r="P440" s="2"/>
      <c r="Q440" s="2"/>
      <c r="R440" s="2"/>
    </row>
    <row r="441">
      <c r="A441" s="2"/>
      <c r="B441" s="2"/>
      <c r="C441" s="2"/>
      <c r="D441" s="2"/>
      <c r="E441" s="2"/>
      <c r="F441" s="2"/>
      <c r="G441" s="2"/>
      <c r="H441" s="2"/>
      <c r="I441" s="2"/>
      <c r="J441" s="2"/>
      <c r="K441" s="2"/>
      <c r="L441" s="2"/>
      <c r="M441" s="2"/>
      <c r="N441" s="2"/>
      <c r="O441" s="2"/>
      <c r="P441" s="2"/>
      <c r="Q441" s="2"/>
      <c r="R441" s="2"/>
    </row>
    <row r="442">
      <c r="A442" s="2"/>
      <c r="B442" s="2"/>
      <c r="C442" s="2"/>
      <c r="D442" s="2"/>
      <c r="E442" s="2"/>
      <c r="F442" s="2"/>
      <c r="G442" s="2"/>
      <c r="H442" s="2"/>
      <c r="I442" s="2"/>
      <c r="J442" s="2"/>
      <c r="K442" s="2"/>
      <c r="L442" s="2"/>
      <c r="M442" s="2"/>
      <c r="N442" s="2"/>
      <c r="O442" s="2"/>
      <c r="P442" s="2"/>
      <c r="Q442" s="2"/>
      <c r="R442" s="2"/>
    </row>
    <row r="443">
      <c r="A443" s="2"/>
      <c r="B443" s="2"/>
      <c r="C443" s="2"/>
      <c r="D443" s="2"/>
      <c r="E443" s="2"/>
      <c r="F443" s="2"/>
      <c r="G443" s="2"/>
      <c r="H443" s="2"/>
      <c r="I443" s="2"/>
      <c r="J443" s="2"/>
      <c r="K443" s="2"/>
      <c r="L443" s="2"/>
      <c r="M443" s="2"/>
      <c r="N443" s="2"/>
      <c r="O443" s="2"/>
      <c r="P443" s="2"/>
      <c r="Q443" s="2"/>
      <c r="R443" s="2"/>
    </row>
    <row r="444">
      <c r="A444" s="2"/>
      <c r="B444" s="2"/>
      <c r="C444" s="2"/>
      <c r="D444" s="2"/>
      <c r="E444" s="2"/>
      <c r="F444" s="2"/>
      <c r="G444" s="2"/>
      <c r="H444" s="2"/>
      <c r="I444" s="2"/>
      <c r="J444" s="2"/>
      <c r="K444" s="2"/>
      <c r="L444" s="2"/>
      <c r="M444" s="2"/>
      <c r="N444" s="2"/>
      <c r="O444" s="2"/>
      <c r="P444" s="2"/>
      <c r="Q444" s="2"/>
      <c r="R444" s="2"/>
    </row>
    <row r="445">
      <c r="A445" s="2"/>
      <c r="B445" s="2"/>
      <c r="C445" s="2"/>
      <c r="D445" s="2"/>
      <c r="E445" s="2"/>
      <c r="F445" s="2"/>
      <c r="G445" s="2"/>
      <c r="H445" s="2"/>
      <c r="I445" s="2"/>
      <c r="J445" s="2"/>
      <c r="K445" s="2"/>
      <c r="L445" s="2"/>
      <c r="M445" s="2"/>
      <c r="N445" s="2"/>
      <c r="O445" s="2"/>
      <c r="P445" s="2"/>
      <c r="Q445" s="2"/>
      <c r="R445" s="2"/>
    </row>
    <row r="446">
      <c r="A446" s="2"/>
      <c r="B446" s="2"/>
      <c r="C446" s="2"/>
      <c r="D446" s="2"/>
      <c r="E446" s="2"/>
      <c r="F446" s="2"/>
      <c r="G446" s="2"/>
      <c r="H446" s="2"/>
      <c r="I446" s="2"/>
      <c r="J446" s="2"/>
      <c r="K446" s="2"/>
      <c r="L446" s="2"/>
      <c r="M446" s="2"/>
      <c r="N446" s="2"/>
      <c r="O446" s="2"/>
      <c r="P446" s="2"/>
      <c r="Q446" s="2"/>
      <c r="R446" s="2"/>
    </row>
    <row r="447">
      <c r="A447" s="2"/>
      <c r="B447" s="2"/>
      <c r="C447" s="2"/>
      <c r="D447" s="2"/>
      <c r="E447" s="2"/>
      <c r="F447" s="2"/>
      <c r="G447" s="2"/>
      <c r="H447" s="2"/>
      <c r="I447" s="2"/>
      <c r="J447" s="2"/>
      <c r="K447" s="2"/>
      <c r="L447" s="2"/>
      <c r="M447" s="2"/>
      <c r="N447" s="2"/>
      <c r="O447" s="2"/>
      <c r="P447" s="2"/>
      <c r="Q447" s="2"/>
      <c r="R447" s="2"/>
    </row>
    <row r="448">
      <c r="A448" s="2"/>
      <c r="B448" s="2"/>
      <c r="C448" s="2"/>
      <c r="D448" s="2"/>
      <c r="E448" s="2"/>
      <c r="F448" s="2"/>
      <c r="G448" s="2"/>
      <c r="H448" s="2"/>
      <c r="I448" s="2"/>
      <c r="J448" s="2"/>
      <c r="K448" s="2"/>
      <c r="L448" s="2"/>
      <c r="M448" s="2"/>
      <c r="N448" s="2"/>
      <c r="O448" s="2"/>
      <c r="P448" s="2"/>
      <c r="Q448" s="2"/>
      <c r="R448" s="2"/>
    </row>
    <row r="449">
      <c r="A449" s="2"/>
      <c r="B449" s="2"/>
      <c r="C449" s="2"/>
      <c r="D449" s="2"/>
      <c r="E449" s="2"/>
      <c r="F449" s="2"/>
      <c r="G449" s="2"/>
      <c r="H449" s="2"/>
      <c r="I449" s="2"/>
      <c r="J449" s="2"/>
      <c r="K449" s="2"/>
      <c r="L449" s="2"/>
      <c r="M449" s="2"/>
      <c r="N449" s="2"/>
      <c r="O449" s="2"/>
      <c r="P449" s="2"/>
      <c r="Q449" s="2"/>
      <c r="R449" s="2"/>
    </row>
    <row r="450">
      <c r="A450" s="2"/>
      <c r="B450" s="2"/>
      <c r="C450" s="2"/>
      <c r="D450" s="2"/>
      <c r="E450" s="2"/>
      <c r="F450" s="2"/>
      <c r="G450" s="2"/>
      <c r="H450" s="2"/>
      <c r="I450" s="2"/>
      <c r="J450" s="2"/>
      <c r="K450" s="2"/>
      <c r="L450" s="2"/>
      <c r="M450" s="2"/>
      <c r="N450" s="2"/>
      <c r="O450" s="2"/>
      <c r="P450" s="2"/>
      <c r="Q450" s="2"/>
      <c r="R450" s="2"/>
    </row>
    <row r="451">
      <c r="A451" s="2"/>
      <c r="B451" s="2"/>
      <c r="C451" s="2"/>
      <c r="D451" s="2"/>
      <c r="E451" s="2"/>
      <c r="F451" s="2"/>
      <c r="G451" s="2"/>
      <c r="H451" s="2"/>
      <c r="I451" s="2"/>
      <c r="J451" s="2"/>
      <c r="K451" s="2"/>
      <c r="L451" s="2"/>
      <c r="M451" s="2"/>
      <c r="N451" s="2"/>
      <c r="O451" s="2"/>
      <c r="P451" s="2"/>
      <c r="Q451" s="2"/>
      <c r="R451" s="2"/>
    </row>
    <row r="452">
      <c r="A452" s="2"/>
      <c r="B452" s="2"/>
      <c r="C452" s="2"/>
      <c r="D452" s="2"/>
      <c r="E452" s="2"/>
      <c r="F452" s="2"/>
      <c r="G452" s="2"/>
      <c r="H452" s="2"/>
      <c r="I452" s="2"/>
      <c r="J452" s="2"/>
      <c r="K452" s="2"/>
      <c r="L452" s="2"/>
      <c r="M452" s="2"/>
      <c r="N452" s="2"/>
      <c r="O452" s="2"/>
      <c r="P452" s="2"/>
      <c r="Q452" s="2"/>
      <c r="R452" s="2"/>
    </row>
    <row r="453">
      <c r="A453" s="2"/>
      <c r="B453" s="2"/>
      <c r="C453" s="2"/>
      <c r="D453" s="2"/>
      <c r="E453" s="2"/>
      <c r="F453" s="2"/>
      <c r="G453" s="2"/>
      <c r="H453" s="2"/>
      <c r="I453" s="2"/>
      <c r="J453" s="2"/>
      <c r="K453" s="2"/>
      <c r="L453" s="2"/>
      <c r="M453" s="2"/>
      <c r="N453" s="2"/>
      <c r="O453" s="2"/>
      <c r="P453" s="2"/>
      <c r="Q453" s="2"/>
      <c r="R453" s="2"/>
    </row>
    <row r="454">
      <c r="A454" s="2"/>
      <c r="B454" s="2"/>
      <c r="C454" s="2"/>
      <c r="D454" s="2"/>
      <c r="E454" s="2"/>
      <c r="F454" s="2"/>
      <c r="G454" s="2"/>
      <c r="H454" s="2"/>
      <c r="I454" s="2"/>
      <c r="J454" s="2"/>
      <c r="K454" s="2"/>
      <c r="L454" s="2"/>
      <c r="M454" s="2"/>
      <c r="N454" s="2"/>
      <c r="O454" s="2"/>
      <c r="P454" s="2"/>
      <c r="Q454" s="2"/>
      <c r="R454" s="2"/>
    </row>
    <row r="455">
      <c r="A455" s="2"/>
      <c r="B455" s="2"/>
      <c r="C455" s="2"/>
      <c r="D455" s="2"/>
      <c r="E455" s="2"/>
      <c r="F455" s="2"/>
      <c r="G455" s="2"/>
      <c r="H455" s="2"/>
      <c r="I455" s="2"/>
      <c r="J455" s="2"/>
      <c r="K455" s="2"/>
      <c r="L455" s="2"/>
      <c r="M455" s="2"/>
      <c r="N455" s="2"/>
      <c r="O455" s="2"/>
      <c r="P455" s="2"/>
      <c r="Q455" s="2"/>
      <c r="R455" s="2"/>
    </row>
    <row r="456">
      <c r="A456" s="2"/>
      <c r="B456" s="2"/>
      <c r="C456" s="2"/>
      <c r="D456" s="2"/>
      <c r="E456" s="2"/>
      <c r="F456" s="2"/>
      <c r="G456" s="2"/>
      <c r="H456" s="2"/>
      <c r="I456" s="2"/>
      <c r="J456" s="2"/>
      <c r="K456" s="2"/>
      <c r="L456" s="2"/>
      <c r="M456" s="2"/>
      <c r="N456" s="2"/>
      <c r="O456" s="2"/>
      <c r="P456" s="2"/>
      <c r="Q456" s="2"/>
      <c r="R456" s="2"/>
    </row>
    <row r="457">
      <c r="A457" s="2"/>
      <c r="B457" s="2"/>
      <c r="C457" s="2"/>
      <c r="D457" s="2"/>
      <c r="E457" s="2"/>
      <c r="F457" s="2"/>
      <c r="G457" s="2"/>
      <c r="H457" s="2"/>
      <c r="I457" s="2"/>
      <c r="J457" s="2"/>
      <c r="K457" s="2"/>
      <c r="L457" s="2"/>
      <c r="M457" s="2"/>
      <c r="N457" s="2"/>
      <c r="O457" s="2"/>
      <c r="P457" s="2"/>
      <c r="Q457" s="2"/>
      <c r="R457" s="2"/>
    </row>
    <row r="458">
      <c r="A458" s="2"/>
      <c r="B458" s="2"/>
      <c r="C458" s="2"/>
      <c r="D458" s="2"/>
      <c r="E458" s="2"/>
      <c r="F458" s="2"/>
      <c r="G458" s="2"/>
      <c r="H458" s="2"/>
      <c r="I458" s="2"/>
      <c r="J458" s="2"/>
      <c r="K458" s="2"/>
      <c r="L458" s="2"/>
      <c r="M458" s="2"/>
      <c r="N458" s="2"/>
      <c r="O458" s="2"/>
      <c r="P458" s="2"/>
      <c r="Q458" s="2"/>
      <c r="R458" s="2"/>
    </row>
    <row r="459">
      <c r="A459" s="2"/>
      <c r="B459" s="2"/>
      <c r="C459" s="2"/>
      <c r="D459" s="2"/>
      <c r="E459" s="2"/>
      <c r="F459" s="2"/>
      <c r="G459" s="2"/>
      <c r="H459" s="2"/>
      <c r="I459" s="2"/>
      <c r="J459" s="2"/>
      <c r="K459" s="2"/>
      <c r="L459" s="2"/>
      <c r="M459" s="2"/>
      <c r="N459" s="2"/>
      <c r="O459" s="2"/>
      <c r="P459" s="2"/>
      <c r="Q459" s="2"/>
      <c r="R459" s="2"/>
    </row>
    <row r="460">
      <c r="A460" s="2"/>
      <c r="B460" s="2"/>
      <c r="C460" s="2"/>
      <c r="D460" s="2"/>
      <c r="E460" s="2"/>
      <c r="F460" s="2"/>
      <c r="G460" s="2"/>
      <c r="H460" s="2"/>
      <c r="I460" s="2"/>
      <c r="J460" s="2"/>
      <c r="K460" s="2"/>
      <c r="L460" s="2"/>
      <c r="M460" s="2"/>
      <c r="N460" s="2"/>
      <c r="O460" s="2"/>
      <c r="P460" s="2"/>
      <c r="Q460" s="2"/>
      <c r="R460" s="2"/>
    </row>
    <row r="461">
      <c r="A461" s="2"/>
      <c r="B461" s="2"/>
      <c r="C461" s="2"/>
      <c r="D461" s="2"/>
      <c r="E461" s="2"/>
      <c r="F461" s="2"/>
      <c r="G461" s="2"/>
      <c r="H461" s="2"/>
      <c r="I461" s="2"/>
      <c r="J461" s="2"/>
      <c r="K461" s="2"/>
      <c r="L461" s="2"/>
      <c r="M461" s="2"/>
      <c r="N461" s="2"/>
      <c r="O461" s="2"/>
      <c r="P461" s="2"/>
      <c r="Q461" s="2"/>
      <c r="R461" s="2"/>
    </row>
    <row r="462">
      <c r="A462" s="2"/>
      <c r="B462" s="2"/>
      <c r="C462" s="2"/>
      <c r="D462" s="2"/>
      <c r="E462" s="2"/>
      <c r="F462" s="2"/>
      <c r="G462" s="2"/>
      <c r="H462" s="2"/>
      <c r="I462" s="2"/>
      <c r="J462" s="2"/>
      <c r="K462" s="2"/>
      <c r="L462" s="2"/>
      <c r="M462" s="2"/>
      <c r="N462" s="2"/>
      <c r="O462" s="2"/>
      <c r="P462" s="2"/>
      <c r="Q462" s="2"/>
      <c r="R462" s="2"/>
    </row>
    <row r="463">
      <c r="A463" s="2"/>
      <c r="B463" s="2"/>
      <c r="C463" s="2"/>
      <c r="D463" s="2"/>
      <c r="E463" s="2"/>
      <c r="F463" s="2"/>
      <c r="G463" s="2"/>
      <c r="H463" s="2"/>
      <c r="I463" s="2"/>
      <c r="J463" s="2"/>
      <c r="K463" s="2"/>
      <c r="L463" s="2"/>
      <c r="M463" s="2"/>
      <c r="N463" s="2"/>
      <c r="O463" s="2"/>
      <c r="P463" s="2"/>
      <c r="Q463" s="2"/>
      <c r="R463" s="2"/>
    </row>
    <row r="464">
      <c r="A464" s="2"/>
      <c r="B464" s="2"/>
      <c r="C464" s="2"/>
      <c r="D464" s="2"/>
      <c r="E464" s="2"/>
      <c r="F464" s="2"/>
      <c r="G464" s="2"/>
      <c r="H464" s="2"/>
      <c r="I464" s="2"/>
      <c r="J464" s="2"/>
      <c r="K464" s="2"/>
      <c r="L464" s="2"/>
      <c r="M464" s="2"/>
      <c r="N464" s="2"/>
      <c r="O464" s="2"/>
      <c r="P464" s="2"/>
      <c r="Q464" s="2"/>
      <c r="R464" s="2"/>
    </row>
    <row r="465">
      <c r="A465" s="2"/>
      <c r="B465" s="2"/>
      <c r="C465" s="2"/>
      <c r="D465" s="2"/>
      <c r="E465" s="2"/>
      <c r="F465" s="2"/>
      <c r="G465" s="2"/>
      <c r="H465" s="2"/>
      <c r="I465" s="2"/>
      <c r="J465" s="2"/>
      <c r="K465" s="2"/>
      <c r="L465" s="2"/>
      <c r="M465" s="2"/>
      <c r="N465" s="2"/>
      <c r="O465" s="2"/>
      <c r="P465" s="2"/>
      <c r="Q465" s="2"/>
      <c r="R465" s="2"/>
    </row>
    <row r="466">
      <c r="A466" s="2"/>
      <c r="B466" s="2"/>
      <c r="C466" s="2"/>
      <c r="D466" s="2"/>
      <c r="E466" s="2"/>
      <c r="F466" s="2"/>
      <c r="G466" s="2"/>
      <c r="H466" s="2"/>
      <c r="I466" s="2"/>
      <c r="J466" s="2"/>
      <c r="K466" s="2"/>
      <c r="L466" s="2"/>
      <c r="M466" s="2"/>
      <c r="N466" s="2"/>
      <c r="O466" s="2"/>
      <c r="P466" s="2"/>
      <c r="Q466" s="2"/>
      <c r="R466" s="2"/>
    </row>
    <row r="467">
      <c r="A467" s="2"/>
      <c r="B467" s="2"/>
      <c r="C467" s="2"/>
      <c r="D467" s="2"/>
      <c r="E467" s="2"/>
      <c r="F467" s="2"/>
      <c r="G467" s="2"/>
      <c r="H467" s="2"/>
      <c r="I467" s="2"/>
      <c r="J467" s="2"/>
      <c r="K467" s="2"/>
      <c r="L467" s="2"/>
      <c r="M467" s="2"/>
      <c r="N467" s="2"/>
      <c r="O467" s="2"/>
      <c r="P467" s="2"/>
      <c r="Q467" s="2"/>
      <c r="R467" s="2"/>
    </row>
    <row r="468">
      <c r="A468" s="2"/>
      <c r="B468" s="2"/>
      <c r="C468" s="2"/>
      <c r="D468" s="2"/>
      <c r="E468" s="2"/>
      <c r="F468" s="2"/>
      <c r="G468" s="2"/>
      <c r="H468" s="2"/>
      <c r="I468" s="2"/>
      <c r="J468" s="2"/>
      <c r="K468" s="2"/>
      <c r="L468" s="2"/>
      <c r="M468" s="2"/>
      <c r="N468" s="2"/>
      <c r="O468" s="2"/>
      <c r="P468" s="2"/>
      <c r="Q468" s="2"/>
      <c r="R468" s="2"/>
    </row>
    <row r="469">
      <c r="A469" s="2"/>
      <c r="B469" s="2"/>
      <c r="C469" s="2"/>
      <c r="D469" s="2"/>
      <c r="E469" s="2"/>
      <c r="F469" s="2"/>
      <c r="G469" s="2"/>
      <c r="H469" s="2"/>
      <c r="I469" s="2"/>
      <c r="J469" s="2"/>
      <c r="K469" s="2"/>
      <c r="L469" s="2"/>
      <c r="M469" s="2"/>
      <c r="N469" s="2"/>
      <c r="O469" s="2"/>
      <c r="P469" s="2"/>
      <c r="Q469" s="2"/>
      <c r="R469" s="2"/>
    </row>
    <row r="470">
      <c r="A470" s="2"/>
      <c r="B470" s="2"/>
      <c r="C470" s="2"/>
      <c r="D470" s="2"/>
      <c r="E470" s="2"/>
      <c r="F470" s="2"/>
      <c r="G470" s="2"/>
      <c r="H470" s="2"/>
      <c r="I470" s="2"/>
      <c r="J470" s="2"/>
      <c r="K470" s="2"/>
      <c r="L470" s="2"/>
      <c r="M470" s="2"/>
      <c r="N470" s="2"/>
      <c r="O470" s="2"/>
      <c r="P470" s="2"/>
      <c r="Q470" s="2"/>
      <c r="R470" s="2"/>
    </row>
    <row r="471">
      <c r="A471" s="2"/>
      <c r="B471" s="2"/>
      <c r="C471" s="2"/>
      <c r="D471" s="2"/>
      <c r="E471" s="2"/>
      <c r="F471" s="2"/>
      <c r="G471" s="2"/>
      <c r="H471" s="2"/>
      <c r="I471" s="2"/>
      <c r="J471" s="2"/>
      <c r="K471" s="2"/>
      <c r="L471" s="2"/>
      <c r="M471" s="2"/>
      <c r="N471" s="2"/>
      <c r="O471" s="2"/>
      <c r="P471" s="2"/>
      <c r="Q471" s="2"/>
      <c r="R471" s="2"/>
    </row>
    <row r="472">
      <c r="A472" s="2"/>
      <c r="B472" s="2"/>
      <c r="C472" s="2"/>
      <c r="D472" s="2"/>
      <c r="E472" s="2"/>
      <c r="F472" s="2"/>
      <c r="G472" s="2"/>
      <c r="H472" s="2"/>
      <c r="I472" s="2"/>
      <c r="J472" s="2"/>
      <c r="K472" s="2"/>
      <c r="L472" s="2"/>
      <c r="M472" s="2"/>
      <c r="N472" s="2"/>
      <c r="O472" s="2"/>
      <c r="P472" s="2"/>
      <c r="Q472" s="2"/>
      <c r="R472" s="2"/>
    </row>
    <row r="473">
      <c r="A473" s="2"/>
      <c r="B473" s="2"/>
      <c r="C473" s="2"/>
      <c r="D473" s="2"/>
      <c r="E473" s="2"/>
      <c r="F473" s="2"/>
      <c r="G473" s="2"/>
      <c r="H473" s="2"/>
      <c r="I473" s="2"/>
      <c r="J473" s="2"/>
      <c r="K473" s="2"/>
      <c r="L473" s="2"/>
      <c r="M473" s="2"/>
      <c r="N473" s="2"/>
      <c r="O473" s="2"/>
      <c r="P473" s="2"/>
      <c r="Q473" s="2"/>
      <c r="R473" s="2"/>
    </row>
    <row r="474">
      <c r="A474" s="2"/>
      <c r="B474" s="2"/>
      <c r="C474" s="2"/>
      <c r="D474" s="2"/>
      <c r="E474" s="2"/>
      <c r="F474" s="2"/>
      <c r="G474" s="2"/>
      <c r="H474" s="2"/>
      <c r="I474" s="2"/>
      <c r="J474" s="2"/>
      <c r="K474" s="2"/>
      <c r="L474" s="2"/>
      <c r="M474" s="2"/>
      <c r="N474" s="2"/>
      <c r="O474" s="2"/>
      <c r="P474" s="2"/>
      <c r="Q474" s="2"/>
      <c r="R474" s="2"/>
    </row>
    <row r="475">
      <c r="A475" s="2"/>
      <c r="B475" s="2"/>
      <c r="C475" s="2"/>
      <c r="D475" s="2"/>
      <c r="E475" s="2"/>
      <c r="F475" s="2"/>
      <c r="G475" s="2"/>
      <c r="H475" s="2"/>
      <c r="I475" s="2"/>
      <c r="J475" s="2"/>
      <c r="K475" s="2"/>
      <c r="L475" s="2"/>
      <c r="M475" s="2"/>
      <c r="N475" s="2"/>
      <c r="O475" s="2"/>
      <c r="P475" s="2"/>
      <c r="Q475" s="2"/>
      <c r="R475" s="2"/>
    </row>
    <row r="476">
      <c r="A476" s="2"/>
      <c r="B476" s="2"/>
      <c r="C476" s="2"/>
      <c r="D476" s="2"/>
      <c r="E476" s="2"/>
      <c r="F476" s="2"/>
      <c r="G476" s="2"/>
      <c r="H476" s="2"/>
      <c r="I476" s="2"/>
      <c r="J476" s="2"/>
      <c r="K476" s="2"/>
      <c r="L476" s="2"/>
      <c r="M476" s="2"/>
      <c r="N476" s="2"/>
      <c r="O476" s="2"/>
      <c r="P476" s="2"/>
      <c r="Q476" s="2"/>
      <c r="R476" s="2"/>
    </row>
    <row r="477">
      <c r="A477" s="2"/>
      <c r="B477" s="2"/>
      <c r="C477" s="2"/>
      <c r="D477" s="2"/>
      <c r="E477" s="2"/>
      <c r="F477" s="2"/>
      <c r="G477" s="2"/>
      <c r="H477" s="2"/>
      <c r="I477" s="2"/>
      <c r="J477" s="2"/>
      <c r="K477" s="2"/>
      <c r="L477" s="2"/>
      <c r="M477" s="2"/>
      <c r="N477" s="2"/>
      <c r="O477" s="2"/>
      <c r="P477" s="2"/>
      <c r="Q477" s="2"/>
      <c r="R477" s="2"/>
    </row>
    <row r="478">
      <c r="A478" s="2"/>
      <c r="B478" s="2"/>
      <c r="C478" s="2"/>
      <c r="D478" s="2"/>
      <c r="E478" s="2"/>
      <c r="F478" s="2"/>
      <c r="G478" s="2"/>
      <c r="H478" s="2"/>
      <c r="I478" s="2"/>
      <c r="J478" s="2"/>
      <c r="K478" s="2"/>
      <c r="L478" s="2"/>
      <c r="M478" s="2"/>
      <c r="N478" s="2"/>
      <c r="O478" s="2"/>
      <c r="P478" s="2"/>
      <c r="Q478" s="2"/>
      <c r="R478" s="2"/>
    </row>
    <row r="479">
      <c r="A479" s="2"/>
      <c r="B479" s="2"/>
      <c r="C479" s="2"/>
      <c r="D479" s="2"/>
      <c r="E479" s="2"/>
      <c r="F479" s="2"/>
      <c r="G479" s="2"/>
      <c r="H479" s="2"/>
      <c r="I479" s="2"/>
      <c r="J479" s="2"/>
      <c r="K479" s="2"/>
      <c r="L479" s="2"/>
      <c r="M479" s="2"/>
      <c r="N479" s="2"/>
      <c r="O479" s="2"/>
      <c r="P479" s="2"/>
      <c r="Q479" s="2"/>
      <c r="R479" s="2"/>
    </row>
    <row r="480">
      <c r="A480" s="2"/>
      <c r="B480" s="2"/>
      <c r="C480" s="2"/>
      <c r="D480" s="2"/>
      <c r="E480" s="2"/>
      <c r="F480" s="2"/>
      <c r="G480" s="2"/>
      <c r="H480" s="2"/>
      <c r="I480" s="2"/>
      <c r="J480" s="2"/>
      <c r="K480" s="2"/>
      <c r="L480" s="2"/>
      <c r="M480" s="2"/>
      <c r="N480" s="2"/>
      <c r="O480" s="2"/>
      <c r="P480" s="2"/>
      <c r="Q480" s="2"/>
      <c r="R480" s="2"/>
    </row>
    <row r="481">
      <c r="A481" s="2"/>
      <c r="B481" s="2"/>
      <c r="C481" s="2"/>
      <c r="D481" s="2"/>
      <c r="E481" s="2"/>
      <c r="F481" s="2"/>
      <c r="G481" s="2"/>
      <c r="H481" s="2"/>
      <c r="I481" s="2"/>
      <c r="J481" s="2"/>
      <c r="K481" s="2"/>
      <c r="L481" s="2"/>
      <c r="M481" s="2"/>
      <c r="N481" s="2"/>
      <c r="O481" s="2"/>
      <c r="P481" s="2"/>
      <c r="Q481" s="2"/>
      <c r="R481" s="2"/>
    </row>
    <row r="482">
      <c r="A482" s="2"/>
      <c r="B482" s="2"/>
      <c r="C482" s="2"/>
      <c r="D482" s="2"/>
      <c r="E482" s="2"/>
      <c r="F482" s="2"/>
      <c r="G482" s="2"/>
      <c r="H482" s="2"/>
      <c r="I482" s="2"/>
      <c r="J482" s="2"/>
      <c r="K482" s="2"/>
      <c r="L482" s="2"/>
      <c r="M482" s="2"/>
      <c r="N482" s="2"/>
      <c r="O482" s="2"/>
      <c r="P482" s="2"/>
      <c r="Q482" s="2"/>
      <c r="R482" s="2"/>
    </row>
    <row r="483">
      <c r="A483" s="2"/>
      <c r="B483" s="2"/>
      <c r="C483" s="2"/>
      <c r="D483" s="2"/>
      <c r="E483" s="2"/>
      <c r="F483" s="2"/>
      <c r="G483" s="2"/>
      <c r="H483" s="2"/>
      <c r="I483" s="2"/>
      <c r="J483" s="2"/>
      <c r="K483" s="2"/>
      <c r="L483" s="2"/>
      <c r="M483" s="2"/>
      <c r="N483" s="2"/>
      <c r="O483" s="2"/>
      <c r="P483" s="2"/>
      <c r="Q483" s="2"/>
      <c r="R483" s="2"/>
    </row>
    <row r="484">
      <c r="A484" s="2"/>
      <c r="B484" s="2"/>
      <c r="C484" s="2"/>
      <c r="D484" s="2"/>
      <c r="E484" s="2"/>
      <c r="F484" s="2"/>
      <c r="G484" s="2"/>
      <c r="H484" s="2"/>
      <c r="I484" s="2"/>
      <c r="J484" s="2"/>
      <c r="K484" s="2"/>
      <c r="L484" s="2"/>
      <c r="M484" s="2"/>
      <c r="N484" s="2"/>
      <c r="O484" s="2"/>
      <c r="P484" s="2"/>
      <c r="Q484" s="2"/>
      <c r="R484" s="2"/>
    </row>
    <row r="485">
      <c r="A485" s="2"/>
      <c r="B485" s="2"/>
      <c r="C485" s="2"/>
      <c r="D485" s="2"/>
      <c r="E485" s="2"/>
      <c r="F485" s="2"/>
      <c r="G485" s="2"/>
      <c r="H485" s="2"/>
      <c r="I485" s="2"/>
      <c r="J485" s="2"/>
      <c r="K485" s="2"/>
      <c r="L485" s="2"/>
      <c r="M485" s="2"/>
      <c r="N485" s="2"/>
      <c r="O485" s="2"/>
      <c r="P485" s="2"/>
      <c r="Q485" s="2"/>
      <c r="R485" s="2"/>
    </row>
    <row r="486">
      <c r="A486" s="2"/>
      <c r="B486" s="2"/>
      <c r="C486" s="2"/>
      <c r="D486" s="2"/>
      <c r="E486" s="2"/>
      <c r="F486" s="2"/>
      <c r="G486" s="2"/>
      <c r="H486" s="2"/>
      <c r="I486" s="2"/>
      <c r="J486" s="2"/>
      <c r="K486" s="2"/>
      <c r="L486" s="2"/>
      <c r="M486" s="2"/>
      <c r="N486" s="2"/>
      <c r="O486" s="2"/>
      <c r="P486" s="2"/>
      <c r="Q486" s="2"/>
      <c r="R486" s="2"/>
    </row>
    <row r="487">
      <c r="A487" s="2"/>
      <c r="B487" s="2"/>
      <c r="C487" s="2"/>
      <c r="D487" s="2"/>
      <c r="E487" s="2"/>
      <c r="F487" s="2"/>
      <c r="G487" s="2"/>
      <c r="H487" s="2"/>
      <c r="I487" s="2"/>
      <c r="J487" s="2"/>
      <c r="K487" s="2"/>
      <c r="L487" s="2"/>
      <c r="M487" s="2"/>
      <c r="N487" s="2"/>
      <c r="O487" s="2"/>
      <c r="P487" s="2"/>
      <c r="Q487" s="2"/>
      <c r="R487" s="2"/>
    </row>
    <row r="488">
      <c r="A488" s="2"/>
      <c r="B488" s="2"/>
      <c r="C488" s="2"/>
      <c r="D488" s="2"/>
      <c r="E488" s="2"/>
      <c r="F488" s="2"/>
      <c r="G488" s="2"/>
      <c r="H488" s="2"/>
      <c r="I488" s="2"/>
      <c r="J488" s="2"/>
      <c r="K488" s="2"/>
      <c r="L488" s="2"/>
      <c r="M488" s="2"/>
      <c r="N488" s="2"/>
      <c r="O488" s="2"/>
      <c r="P488" s="2"/>
      <c r="Q488" s="2"/>
      <c r="R488" s="2"/>
    </row>
    <row r="489">
      <c r="A489" s="2"/>
      <c r="B489" s="2"/>
      <c r="C489" s="2"/>
      <c r="D489" s="2"/>
      <c r="E489" s="2"/>
      <c r="F489" s="2"/>
      <c r="G489" s="2"/>
      <c r="H489" s="2"/>
      <c r="I489" s="2"/>
      <c r="J489" s="2"/>
      <c r="K489" s="2"/>
      <c r="L489" s="2"/>
      <c r="M489" s="2"/>
      <c r="N489" s="2"/>
      <c r="O489" s="2"/>
      <c r="P489" s="2"/>
      <c r="Q489" s="2"/>
      <c r="R489" s="2"/>
    </row>
    <row r="490">
      <c r="A490" s="2"/>
      <c r="B490" s="2"/>
      <c r="C490" s="2"/>
      <c r="D490" s="2"/>
      <c r="E490" s="2"/>
      <c r="F490" s="2"/>
      <c r="G490" s="2"/>
      <c r="H490" s="2"/>
      <c r="I490" s="2"/>
      <c r="J490" s="2"/>
      <c r="K490" s="2"/>
      <c r="L490" s="2"/>
      <c r="M490" s="2"/>
      <c r="N490" s="2"/>
      <c r="O490" s="2"/>
      <c r="P490" s="2"/>
      <c r="Q490" s="2"/>
      <c r="R490" s="2"/>
    </row>
    <row r="491">
      <c r="A491" s="2"/>
      <c r="B491" s="2"/>
      <c r="C491" s="2"/>
      <c r="D491" s="2"/>
      <c r="E491" s="2"/>
      <c r="F491" s="2"/>
      <c r="G491" s="2"/>
      <c r="H491" s="2"/>
      <c r="I491" s="2"/>
      <c r="J491" s="2"/>
      <c r="K491" s="2"/>
      <c r="L491" s="2"/>
      <c r="M491" s="2"/>
      <c r="N491" s="2"/>
      <c r="O491" s="2"/>
      <c r="P491" s="2"/>
      <c r="Q491" s="2"/>
      <c r="R491" s="2"/>
    </row>
    <row r="492">
      <c r="A492" s="2"/>
      <c r="B492" s="2"/>
      <c r="C492" s="2"/>
      <c r="D492" s="2"/>
      <c r="E492" s="2"/>
      <c r="F492" s="2"/>
      <c r="G492" s="2"/>
      <c r="H492" s="2"/>
      <c r="I492" s="2"/>
      <c r="J492" s="2"/>
      <c r="K492" s="2"/>
      <c r="L492" s="2"/>
      <c r="M492" s="2"/>
      <c r="N492" s="2"/>
      <c r="O492" s="2"/>
      <c r="P492" s="2"/>
      <c r="Q492" s="2"/>
      <c r="R492" s="2"/>
    </row>
    <row r="493">
      <c r="A493" s="2"/>
      <c r="B493" s="2"/>
      <c r="C493" s="2"/>
      <c r="D493" s="2"/>
      <c r="E493" s="2"/>
      <c r="F493" s="2"/>
      <c r="G493" s="2"/>
      <c r="H493" s="2"/>
      <c r="I493" s="2"/>
      <c r="J493" s="2"/>
      <c r="K493" s="2"/>
      <c r="L493" s="2"/>
      <c r="M493" s="2"/>
      <c r="N493" s="2"/>
      <c r="O493" s="2"/>
      <c r="P493" s="2"/>
      <c r="Q493" s="2"/>
      <c r="R493" s="2"/>
    </row>
    <row r="494">
      <c r="A494" s="2"/>
      <c r="B494" s="2"/>
      <c r="C494" s="2"/>
      <c r="D494" s="2"/>
      <c r="E494" s="2"/>
      <c r="F494" s="2"/>
      <c r="G494" s="2"/>
      <c r="H494" s="2"/>
      <c r="I494" s="2"/>
      <c r="J494" s="2"/>
      <c r="K494" s="2"/>
      <c r="L494" s="2"/>
      <c r="M494" s="2"/>
      <c r="N494" s="2"/>
      <c r="O494" s="2"/>
      <c r="P494" s="2"/>
      <c r="Q494" s="2"/>
      <c r="R494" s="2"/>
    </row>
    <row r="495">
      <c r="A495" s="2"/>
      <c r="B495" s="2"/>
      <c r="C495" s="2"/>
      <c r="D495" s="2"/>
      <c r="E495" s="2"/>
      <c r="F495" s="2"/>
      <c r="G495" s="2"/>
      <c r="H495" s="2"/>
      <c r="I495" s="2"/>
      <c r="J495" s="2"/>
      <c r="K495" s="2"/>
      <c r="L495" s="2"/>
      <c r="M495" s="2"/>
      <c r="N495" s="2"/>
      <c r="O495" s="2"/>
      <c r="P495" s="2"/>
      <c r="Q495" s="2"/>
      <c r="R495" s="2"/>
    </row>
    <row r="496">
      <c r="A496" s="2"/>
      <c r="B496" s="2"/>
      <c r="C496" s="2"/>
      <c r="D496" s="2"/>
      <c r="E496" s="2"/>
      <c r="F496" s="2"/>
      <c r="G496" s="2"/>
      <c r="H496" s="2"/>
      <c r="I496" s="2"/>
      <c r="J496" s="2"/>
      <c r="K496" s="2"/>
      <c r="L496" s="2"/>
      <c r="M496" s="2"/>
      <c r="N496" s="2"/>
      <c r="O496" s="2"/>
      <c r="P496" s="2"/>
      <c r="Q496" s="2"/>
      <c r="R496" s="2"/>
    </row>
    <row r="497">
      <c r="A497" s="2"/>
      <c r="B497" s="2"/>
      <c r="C497" s="2"/>
      <c r="D497" s="2"/>
      <c r="E497" s="2"/>
      <c r="F497" s="2"/>
      <c r="G497" s="2"/>
      <c r="H497" s="2"/>
      <c r="I497" s="2"/>
      <c r="J497" s="2"/>
      <c r="K497" s="2"/>
      <c r="L497" s="2"/>
      <c r="M497" s="2"/>
      <c r="N497" s="2"/>
      <c r="O497" s="2"/>
      <c r="P497" s="2"/>
      <c r="Q497" s="2"/>
      <c r="R497" s="2"/>
    </row>
    <row r="498">
      <c r="A498" s="2"/>
      <c r="B498" s="2"/>
      <c r="C498" s="2"/>
      <c r="D498" s="2"/>
      <c r="E498" s="2"/>
      <c r="F498" s="2"/>
      <c r="G498" s="2"/>
      <c r="H498" s="2"/>
      <c r="I498" s="2"/>
      <c r="J498" s="2"/>
      <c r="K498" s="2"/>
      <c r="L498" s="2"/>
      <c r="M498" s="2"/>
      <c r="N498" s="2"/>
      <c r="O498" s="2"/>
      <c r="P498" s="2"/>
      <c r="Q498" s="2"/>
      <c r="R498" s="2"/>
    </row>
    <row r="499">
      <c r="A499" s="2"/>
      <c r="B499" s="2"/>
      <c r="C499" s="2"/>
      <c r="D499" s="2"/>
      <c r="E499" s="2"/>
      <c r="F499" s="2"/>
      <c r="G499" s="2"/>
      <c r="H499" s="2"/>
      <c r="I499" s="2"/>
      <c r="J499" s="2"/>
      <c r="K499" s="2"/>
      <c r="L499" s="2"/>
      <c r="M499" s="2"/>
      <c r="N499" s="2"/>
      <c r="O499" s="2"/>
      <c r="P499" s="2"/>
      <c r="Q499" s="2"/>
      <c r="R499" s="2"/>
    </row>
    <row r="500">
      <c r="A500" s="2"/>
      <c r="B500" s="2"/>
      <c r="C500" s="2"/>
      <c r="D500" s="2"/>
      <c r="E500" s="2"/>
      <c r="F500" s="2"/>
      <c r="G500" s="2"/>
      <c r="H500" s="2"/>
      <c r="I500" s="2"/>
      <c r="J500" s="2"/>
      <c r="K500" s="2"/>
      <c r="L500" s="2"/>
      <c r="M500" s="2"/>
      <c r="N500" s="2"/>
      <c r="O500" s="2"/>
      <c r="P500" s="2"/>
      <c r="Q500" s="2"/>
      <c r="R500" s="2"/>
    </row>
    <row r="501">
      <c r="A501" s="2"/>
      <c r="B501" s="2"/>
      <c r="C501" s="2"/>
      <c r="D501" s="2"/>
      <c r="E501" s="2"/>
      <c r="F501" s="2"/>
      <c r="G501" s="2"/>
      <c r="H501" s="2"/>
      <c r="I501" s="2"/>
      <c r="J501" s="2"/>
      <c r="K501" s="2"/>
      <c r="L501" s="2"/>
      <c r="M501" s="2"/>
      <c r="N501" s="2"/>
      <c r="O501" s="2"/>
      <c r="P501" s="2"/>
      <c r="Q501" s="2"/>
      <c r="R501" s="2"/>
    </row>
    <row r="502">
      <c r="A502" s="2"/>
      <c r="B502" s="2"/>
      <c r="C502" s="2"/>
      <c r="D502" s="2"/>
      <c r="E502" s="2"/>
      <c r="F502" s="2"/>
      <c r="G502" s="2"/>
      <c r="H502" s="2"/>
      <c r="I502" s="2"/>
      <c r="J502" s="2"/>
      <c r="K502" s="2"/>
      <c r="L502" s="2"/>
      <c r="M502" s="2"/>
      <c r="N502" s="2"/>
      <c r="O502" s="2"/>
      <c r="P502" s="2"/>
      <c r="Q502" s="2"/>
      <c r="R502" s="2"/>
    </row>
    <row r="503">
      <c r="A503" s="2"/>
      <c r="B503" s="2"/>
      <c r="C503" s="2"/>
      <c r="D503" s="2"/>
      <c r="E503" s="2"/>
      <c r="F503" s="2"/>
      <c r="G503" s="2"/>
      <c r="H503" s="2"/>
      <c r="I503" s="2"/>
      <c r="J503" s="2"/>
      <c r="K503" s="2"/>
      <c r="L503" s="2"/>
      <c r="M503" s="2"/>
      <c r="N503" s="2"/>
      <c r="O503" s="2"/>
      <c r="P503" s="2"/>
      <c r="Q503" s="2"/>
      <c r="R503" s="2"/>
    </row>
    <row r="504">
      <c r="A504" s="2"/>
      <c r="B504" s="2"/>
      <c r="C504" s="2"/>
      <c r="D504" s="2"/>
      <c r="E504" s="2"/>
      <c r="F504" s="2"/>
      <c r="G504" s="2"/>
      <c r="H504" s="2"/>
      <c r="I504" s="2"/>
      <c r="J504" s="2"/>
      <c r="K504" s="2"/>
      <c r="L504" s="2"/>
      <c r="M504" s="2"/>
      <c r="N504" s="2"/>
      <c r="O504" s="2"/>
      <c r="P504" s="2"/>
      <c r="Q504" s="2"/>
      <c r="R504" s="2"/>
    </row>
    <row r="505">
      <c r="A505" s="2"/>
      <c r="B505" s="2"/>
      <c r="C505" s="2"/>
      <c r="D505" s="2"/>
      <c r="E505" s="2"/>
      <c r="F505" s="2"/>
      <c r="G505" s="2"/>
      <c r="H505" s="2"/>
      <c r="I505" s="2"/>
      <c r="J505" s="2"/>
      <c r="K505" s="2"/>
      <c r="L505" s="2"/>
      <c r="M505" s="2"/>
      <c r="N505" s="2"/>
      <c r="O505" s="2"/>
      <c r="P505" s="2"/>
      <c r="Q505" s="2"/>
      <c r="R505" s="2"/>
    </row>
    <row r="506">
      <c r="A506" s="2"/>
      <c r="B506" s="2"/>
      <c r="C506" s="2"/>
      <c r="D506" s="2"/>
      <c r="E506" s="2"/>
      <c r="F506" s="2"/>
      <c r="G506" s="2"/>
      <c r="H506" s="2"/>
      <c r="I506" s="2"/>
      <c r="J506" s="2"/>
      <c r="K506" s="2"/>
      <c r="L506" s="2"/>
      <c r="M506" s="2"/>
      <c r="N506" s="2"/>
      <c r="O506" s="2"/>
      <c r="P506" s="2"/>
      <c r="Q506" s="2"/>
      <c r="R506" s="2"/>
    </row>
    <row r="507">
      <c r="A507" s="2"/>
      <c r="B507" s="2"/>
      <c r="C507" s="2"/>
      <c r="D507" s="2"/>
      <c r="E507" s="2"/>
      <c r="F507" s="2"/>
      <c r="G507" s="2"/>
      <c r="H507" s="2"/>
      <c r="I507" s="2"/>
      <c r="J507" s="2"/>
      <c r="K507" s="2"/>
      <c r="L507" s="2"/>
      <c r="M507" s="2"/>
      <c r="N507" s="2"/>
      <c r="O507" s="2"/>
      <c r="P507" s="2"/>
      <c r="Q507" s="2"/>
      <c r="R507" s="2"/>
    </row>
    <row r="508">
      <c r="A508" s="2"/>
      <c r="B508" s="2"/>
      <c r="C508" s="2"/>
      <c r="D508" s="2"/>
      <c r="E508" s="2"/>
      <c r="F508" s="2"/>
      <c r="G508" s="2"/>
      <c r="H508" s="2"/>
      <c r="I508" s="2"/>
      <c r="J508" s="2"/>
      <c r="K508" s="2"/>
      <c r="L508" s="2"/>
      <c r="M508" s="2"/>
      <c r="N508" s="2"/>
      <c r="O508" s="2"/>
      <c r="P508" s="2"/>
      <c r="Q508" s="2"/>
      <c r="R508" s="2"/>
    </row>
    <row r="509">
      <c r="A509" s="2"/>
      <c r="B509" s="2"/>
      <c r="C509" s="2"/>
      <c r="D509" s="2"/>
      <c r="E509" s="2"/>
      <c r="F509" s="2"/>
      <c r="G509" s="2"/>
      <c r="H509" s="2"/>
      <c r="I509" s="2"/>
      <c r="J509" s="2"/>
      <c r="K509" s="2"/>
      <c r="L509" s="2"/>
      <c r="M509" s="2"/>
      <c r="N509" s="2"/>
      <c r="O509" s="2"/>
      <c r="P509" s="2"/>
      <c r="Q509" s="2"/>
      <c r="R509" s="2"/>
    </row>
    <row r="510">
      <c r="A510" s="2"/>
      <c r="B510" s="2"/>
      <c r="C510" s="2"/>
      <c r="D510" s="2"/>
      <c r="E510" s="2"/>
      <c r="F510" s="2"/>
      <c r="G510" s="2"/>
      <c r="H510" s="2"/>
      <c r="I510" s="2"/>
      <c r="J510" s="2"/>
      <c r="K510" s="2"/>
      <c r="L510" s="2"/>
      <c r="M510" s="2"/>
      <c r="N510" s="2"/>
      <c r="O510" s="2"/>
      <c r="P510" s="2"/>
      <c r="Q510" s="2"/>
      <c r="R510" s="2"/>
    </row>
    <row r="511">
      <c r="A511" s="2"/>
      <c r="B511" s="2"/>
      <c r="C511" s="2"/>
      <c r="D511" s="2"/>
      <c r="E511" s="2"/>
      <c r="F511" s="2"/>
      <c r="G511" s="2"/>
      <c r="H511" s="2"/>
      <c r="I511" s="2"/>
      <c r="J511" s="2"/>
      <c r="K511" s="2"/>
      <c r="L511" s="2"/>
      <c r="M511" s="2"/>
      <c r="N511" s="2"/>
      <c r="O511" s="2"/>
      <c r="P511" s="2"/>
      <c r="Q511" s="2"/>
      <c r="R511" s="2"/>
    </row>
    <row r="512">
      <c r="A512" s="2"/>
      <c r="B512" s="2"/>
      <c r="C512" s="2"/>
      <c r="D512" s="2"/>
      <c r="E512" s="2"/>
      <c r="F512" s="2"/>
      <c r="G512" s="2"/>
      <c r="H512" s="2"/>
      <c r="I512" s="2"/>
      <c r="J512" s="2"/>
      <c r="K512" s="2"/>
      <c r="L512" s="2"/>
      <c r="M512" s="2"/>
      <c r="N512" s="2"/>
      <c r="O512" s="2"/>
      <c r="P512" s="2"/>
      <c r="Q512" s="2"/>
      <c r="R512" s="2"/>
    </row>
    <row r="513">
      <c r="A513" s="2"/>
      <c r="B513" s="2"/>
      <c r="C513" s="2"/>
      <c r="D513" s="2"/>
      <c r="E513" s="2"/>
      <c r="F513" s="2"/>
      <c r="G513" s="2"/>
      <c r="H513" s="2"/>
      <c r="I513" s="2"/>
      <c r="J513" s="2"/>
      <c r="K513" s="2"/>
      <c r="L513" s="2"/>
      <c r="M513" s="2"/>
      <c r="N513" s="2"/>
      <c r="O513" s="2"/>
      <c r="P513" s="2"/>
      <c r="Q513" s="2"/>
      <c r="R513" s="2"/>
    </row>
    <row r="514">
      <c r="A514" s="2"/>
      <c r="B514" s="2"/>
      <c r="C514" s="2"/>
      <c r="D514" s="2"/>
      <c r="E514" s="2"/>
      <c r="F514" s="2"/>
      <c r="G514" s="2"/>
      <c r="H514" s="2"/>
      <c r="I514" s="2"/>
      <c r="J514" s="2"/>
      <c r="K514" s="2"/>
      <c r="L514" s="2"/>
      <c r="M514" s="2"/>
      <c r="N514" s="2"/>
      <c r="O514" s="2"/>
      <c r="P514" s="2"/>
      <c r="Q514" s="2"/>
      <c r="R514" s="2"/>
    </row>
    <row r="515">
      <c r="A515" s="2"/>
      <c r="B515" s="2"/>
      <c r="C515" s="2"/>
      <c r="D515" s="2"/>
      <c r="E515" s="2"/>
      <c r="F515" s="2"/>
      <c r="G515" s="2"/>
      <c r="H515" s="2"/>
      <c r="I515" s="2"/>
      <c r="J515" s="2"/>
      <c r="K515" s="2"/>
      <c r="L515" s="2"/>
      <c r="M515" s="2"/>
      <c r="N515" s="2"/>
      <c r="O515" s="2"/>
      <c r="P515" s="2"/>
      <c r="Q515" s="2"/>
      <c r="R515" s="2"/>
    </row>
    <row r="516">
      <c r="A516" s="2"/>
      <c r="B516" s="2"/>
      <c r="C516" s="2"/>
      <c r="D516" s="2"/>
      <c r="E516" s="2"/>
      <c r="F516" s="2"/>
      <c r="G516" s="2"/>
      <c r="H516" s="2"/>
      <c r="I516" s="2"/>
      <c r="J516" s="2"/>
      <c r="K516" s="2"/>
      <c r="L516" s="2"/>
      <c r="M516" s="2"/>
      <c r="N516" s="2"/>
      <c r="O516" s="2"/>
      <c r="P516" s="2"/>
      <c r="Q516" s="2"/>
      <c r="R516" s="2"/>
    </row>
    <row r="517">
      <c r="A517" s="2"/>
      <c r="B517" s="2"/>
      <c r="C517" s="2"/>
      <c r="D517" s="2"/>
      <c r="E517" s="2"/>
      <c r="F517" s="2"/>
      <c r="G517" s="2"/>
      <c r="H517" s="2"/>
      <c r="I517" s="2"/>
      <c r="J517" s="2"/>
      <c r="K517" s="2"/>
      <c r="L517" s="2"/>
      <c r="M517" s="2"/>
      <c r="N517" s="2"/>
      <c r="O517" s="2"/>
      <c r="P517" s="2"/>
      <c r="Q517" s="2"/>
      <c r="R517" s="2"/>
    </row>
    <row r="518">
      <c r="A518" s="2"/>
      <c r="B518" s="2"/>
      <c r="C518" s="2"/>
      <c r="D518" s="2"/>
      <c r="E518" s="2"/>
      <c r="F518" s="2"/>
      <c r="G518" s="2"/>
      <c r="H518" s="2"/>
      <c r="I518" s="2"/>
      <c r="J518" s="2"/>
      <c r="K518" s="2"/>
      <c r="L518" s="2"/>
      <c r="M518" s="2"/>
      <c r="N518" s="2"/>
      <c r="O518" s="2"/>
      <c r="P518" s="2"/>
      <c r="Q518" s="2"/>
      <c r="R518" s="2"/>
    </row>
    <row r="519">
      <c r="A519" s="2"/>
      <c r="B519" s="2"/>
      <c r="C519" s="2"/>
      <c r="D519" s="2"/>
      <c r="E519" s="2"/>
      <c r="F519" s="2"/>
      <c r="G519" s="2"/>
      <c r="H519" s="2"/>
      <c r="I519" s="2"/>
      <c r="J519" s="2"/>
      <c r="K519" s="2"/>
      <c r="L519" s="2"/>
      <c r="M519" s="2"/>
      <c r="N519" s="2"/>
      <c r="O519" s="2"/>
      <c r="P519" s="2"/>
      <c r="Q519" s="2"/>
      <c r="R519" s="2"/>
    </row>
    <row r="520">
      <c r="A520" s="2"/>
      <c r="B520" s="2"/>
      <c r="C520" s="2"/>
      <c r="D520" s="2"/>
      <c r="E520" s="2"/>
      <c r="F520" s="2"/>
      <c r="G520" s="2"/>
      <c r="H520" s="2"/>
      <c r="I520" s="2"/>
      <c r="J520" s="2"/>
      <c r="K520" s="2"/>
      <c r="L520" s="2"/>
      <c r="M520" s="2"/>
      <c r="N520" s="2"/>
      <c r="O520" s="2"/>
      <c r="P520" s="2"/>
      <c r="Q520" s="2"/>
      <c r="R520" s="2"/>
    </row>
    <row r="521">
      <c r="A521" s="2"/>
      <c r="B521" s="2"/>
      <c r="C521" s="2"/>
      <c r="D521" s="2"/>
      <c r="E521" s="2"/>
      <c r="F521" s="2"/>
      <c r="G521" s="2"/>
      <c r="H521" s="2"/>
      <c r="I521" s="2"/>
      <c r="J521" s="2"/>
      <c r="K521" s="2"/>
      <c r="L521" s="2"/>
      <c r="M521" s="2"/>
      <c r="N521" s="2"/>
      <c r="O521" s="2"/>
      <c r="P521" s="2"/>
      <c r="Q521" s="2"/>
      <c r="R521" s="2"/>
    </row>
    <row r="522">
      <c r="A522" s="2"/>
      <c r="B522" s="2"/>
      <c r="C522" s="2"/>
      <c r="D522" s="2"/>
      <c r="E522" s="2"/>
      <c r="F522" s="2"/>
      <c r="G522" s="2"/>
      <c r="H522" s="2"/>
      <c r="I522" s="2"/>
      <c r="J522" s="2"/>
      <c r="K522" s="2"/>
      <c r="L522" s="2"/>
      <c r="M522" s="2"/>
      <c r="N522" s="2"/>
      <c r="O522" s="2"/>
      <c r="P522" s="2"/>
      <c r="Q522" s="2"/>
      <c r="R522" s="2"/>
    </row>
    <row r="523">
      <c r="A523" s="2"/>
      <c r="B523" s="2"/>
      <c r="C523" s="2"/>
      <c r="D523" s="2"/>
      <c r="E523" s="2"/>
      <c r="F523" s="2"/>
      <c r="G523" s="2"/>
      <c r="H523" s="2"/>
      <c r="I523" s="2"/>
      <c r="J523" s="2"/>
      <c r="K523" s="2"/>
      <c r="L523" s="2"/>
      <c r="M523" s="2"/>
      <c r="N523" s="2"/>
      <c r="O523" s="2"/>
      <c r="P523" s="2"/>
      <c r="Q523" s="2"/>
      <c r="R523" s="2"/>
    </row>
    <row r="524">
      <c r="A524" s="2"/>
      <c r="B524" s="2"/>
      <c r="C524" s="2"/>
      <c r="D524" s="2"/>
      <c r="E524" s="2"/>
      <c r="F524" s="2"/>
      <c r="G524" s="2"/>
      <c r="H524" s="2"/>
      <c r="I524" s="2"/>
      <c r="J524" s="2"/>
      <c r="K524" s="2"/>
      <c r="L524" s="2"/>
      <c r="M524" s="2"/>
      <c r="N524" s="2"/>
      <c r="O524" s="2"/>
      <c r="P524" s="2"/>
      <c r="Q524" s="2"/>
      <c r="R524" s="2"/>
    </row>
    <row r="525">
      <c r="A525" s="2"/>
      <c r="B525" s="2"/>
      <c r="C525" s="2"/>
      <c r="D525" s="2"/>
      <c r="E525" s="2"/>
      <c r="F525" s="2"/>
      <c r="G525" s="2"/>
      <c r="H525" s="2"/>
      <c r="I525" s="2"/>
      <c r="J525" s="2"/>
      <c r="K525" s="2"/>
      <c r="L525" s="2"/>
      <c r="M525" s="2"/>
      <c r="N525" s="2"/>
      <c r="O525" s="2"/>
      <c r="P525" s="2"/>
      <c r="Q525" s="2"/>
      <c r="R525" s="2"/>
    </row>
    <row r="526">
      <c r="A526" s="2"/>
      <c r="B526" s="2"/>
      <c r="C526" s="2"/>
      <c r="D526" s="2"/>
      <c r="E526" s="2"/>
      <c r="F526" s="2"/>
      <c r="G526" s="2"/>
      <c r="H526" s="2"/>
      <c r="I526" s="2"/>
      <c r="J526" s="2"/>
      <c r="K526" s="2"/>
      <c r="L526" s="2"/>
      <c r="M526" s="2"/>
      <c r="N526" s="2"/>
      <c r="O526" s="2"/>
      <c r="P526" s="2"/>
      <c r="Q526" s="2"/>
      <c r="R526" s="2"/>
    </row>
    <row r="527">
      <c r="A527" s="2"/>
      <c r="B527" s="2"/>
      <c r="C527" s="2"/>
      <c r="D527" s="2"/>
      <c r="E527" s="2"/>
      <c r="F527" s="2"/>
      <c r="G527" s="2"/>
      <c r="H527" s="2"/>
      <c r="I527" s="2"/>
      <c r="J527" s="2"/>
      <c r="K527" s="2"/>
      <c r="L527" s="2"/>
      <c r="M527" s="2"/>
      <c r="N527" s="2"/>
      <c r="O527" s="2"/>
      <c r="P527" s="2"/>
      <c r="Q527" s="2"/>
      <c r="R527" s="2"/>
    </row>
    <row r="528">
      <c r="A528" s="2"/>
      <c r="B528" s="2"/>
      <c r="C528" s="2"/>
      <c r="D528" s="2"/>
      <c r="E528" s="2"/>
      <c r="F528" s="2"/>
      <c r="G528" s="2"/>
      <c r="H528" s="2"/>
      <c r="I528" s="2"/>
      <c r="J528" s="2"/>
      <c r="K528" s="2"/>
      <c r="L528" s="2"/>
      <c r="M528" s="2"/>
      <c r="N528" s="2"/>
      <c r="O528" s="2"/>
      <c r="P528" s="2"/>
      <c r="Q528" s="2"/>
      <c r="R528" s="2"/>
    </row>
    <row r="529">
      <c r="A529" s="2"/>
      <c r="B529" s="2"/>
      <c r="C529" s="2"/>
      <c r="D529" s="2"/>
      <c r="E529" s="2"/>
      <c r="F529" s="2"/>
      <c r="G529" s="2"/>
      <c r="H529" s="2"/>
      <c r="I529" s="2"/>
      <c r="J529" s="2"/>
      <c r="K529" s="2"/>
      <c r="L529" s="2"/>
      <c r="M529" s="2"/>
      <c r="N529" s="2"/>
      <c r="O529" s="2"/>
      <c r="P529" s="2"/>
      <c r="Q529" s="2"/>
      <c r="R529" s="2"/>
    </row>
    <row r="530">
      <c r="A530" s="2"/>
      <c r="B530" s="2"/>
      <c r="C530" s="2"/>
      <c r="D530" s="2"/>
      <c r="E530" s="2"/>
      <c r="F530" s="2"/>
      <c r="G530" s="2"/>
      <c r="H530" s="2"/>
      <c r="I530" s="2"/>
      <c r="J530" s="2"/>
      <c r="K530" s="2"/>
      <c r="L530" s="2"/>
      <c r="M530" s="2"/>
      <c r="N530" s="2"/>
      <c r="O530" s="2"/>
      <c r="P530" s="2"/>
      <c r="Q530" s="2"/>
      <c r="R530" s="2"/>
    </row>
    <row r="531">
      <c r="A531" s="2"/>
      <c r="B531" s="2"/>
      <c r="C531" s="2"/>
      <c r="D531" s="2"/>
      <c r="E531" s="2"/>
      <c r="F531" s="2"/>
      <c r="G531" s="2"/>
      <c r="H531" s="2"/>
      <c r="I531" s="2"/>
      <c r="J531" s="2"/>
      <c r="K531" s="2"/>
      <c r="L531" s="2"/>
      <c r="M531" s="2"/>
      <c r="N531" s="2"/>
      <c r="O531" s="2"/>
      <c r="P531" s="2"/>
      <c r="Q531" s="2"/>
      <c r="R531" s="2"/>
    </row>
    <row r="532">
      <c r="A532" s="2"/>
      <c r="B532" s="2"/>
      <c r="C532" s="2"/>
      <c r="D532" s="2"/>
      <c r="E532" s="2"/>
      <c r="F532" s="2"/>
      <c r="G532" s="2"/>
      <c r="H532" s="2"/>
      <c r="I532" s="2"/>
      <c r="J532" s="2"/>
      <c r="K532" s="2"/>
      <c r="L532" s="2"/>
      <c r="M532" s="2"/>
      <c r="N532" s="2"/>
      <c r="O532" s="2"/>
      <c r="P532" s="2"/>
      <c r="Q532" s="2"/>
      <c r="R532" s="2"/>
    </row>
    <row r="533">
      <c r="A533" s="2"/>
      <c r="B533" s="2"/>
      <c r="C533" s="2"/>
      <c r="D533" s="2"/>
      <c r="E533" s="2"/>
      <c r="F533" s="2"/>
      <c r="G533" s="2"/>
      <c r="H533" s="2"/>
      <c r="I533" s="2"/>
      <c r="J533" s="2"/>
      <c r="K533" s="2"/>
      <c r="L533" s="2"/>
      <c r="M533" s="2"/>
      <c r="N533" s="2"/>
      <c r="O533" s="2"/>
      <c r="P533" s="2"/>
      <c r="Q533" s="2"/>
      <c r="R533" s="2"/>
    </row>
    <row r="534">
      <c r="A534" s="2"/>
      <c r="B534" s="2"/>
      <c r="C534" s="2"/>
      <c r="D534" s="2"/>
      <c r="E534" s="2"/>
      <c r="F534" s="2"/>
      <c r="G534" s="2"/>
      <c r="H534" s="2"/>
      <c r="I534" s="2"/>
      <c r="J534" s="2"/>
      <c r="K534" s="2"/>
      <c r="L534" s="2"/>
      <c r="M534" s="2"/>
      <c r="N534" s="2"/>
      <c r="O534" s="2"/>
      <c r="P534" s="2"/>
      <c r="Q534" s="2"/>
      <c r="R534" s="2"/>
    </row>
    <row r="535">
      <c r="A535" s="2"/>
      <c r="B535" s="2"/>
      <c r="C535" s="2"/>
      <c r="D535" s="2"/>
      <c r="E535" s="2"/>
      <c r="F535" s="2"/>
      <c r="G535" s="2"/>
      <c r="H535" s="2"/>
      <c r="I535" s="2"/>
      <c r="J535" s="2"/>
      <c r="K535" s="2"/>
      <c r="L535" s="2"/>
      <c r="M535" s="2"/>
      <c r="N535" s="2"/>
      <c r="O535" s="2"/>
      <c r="P535" s="2"/>
      <c r="Q535" s="2"/>
      <c r="R535" s="2"/>
    </row>
    <row r="536">
      <c r="A536" s="2"/>
      <c r="B536" s="2"/>
      <c r="C536" s="2"/>
      <c r="D536" s="2"/>
      <c r="E536" s="2"/>
      <c r="F536" s="2"/>
      <c r="G536" s="2"/>
      <c r="H536" s="2"/>
      <c r="I536" s="2"/>
      <c r="J536" s="2"/>
      <c r="K536" s="2"/>
      <c r="L536" s="2"/>
      <c r="M536" s="2"/>
      <c r="N536" s="2"/>
      <c r="O536" s="2"/>
      <c r="P536" s="2"/>
      <c r="Q536" s="2"/>
      <c r="R536" s="2"/>
    </row>
    <row r="537">
      <c r="A537" s="2"/>
      <c r="B537" s="2"/>
      <c r="C537" s="2"/>
      <c r="D537" s="2"/>
      <c r="E537" s="2"/>
      <c r="F537" s="2"/>
      <c r="G537" s="2"/>
      <c r="H537" s="2"/>
      <c r="I537" s="2"/>
      <c r="J537" s="2"/>
      <c r="K537" s="2"/>
      <c r="L537" s="2"/>
      <c r="M537" s="2"/>
      <c r="N537" s="2"/>
      <c r="O537" s="2"/>
      <c r="P537" s="2"/>
      <c r="Q537" s="2"/>
      <c r="R537" s="2"/>
    </row>
    <row r="538">
      <c r="A538" s="2"/>
      <c r="B538" s="2"/>
      <c r="C538" s="2"/>
      <c r="D538" s="2"/>
      <c r="E538" s="2"/>
      <c r="F538" s="2"/>
      <c r="G538" s="2"/>
      <c r="H538" s="2"/>
      <c r="I538" s="2"/>
      <c r="J538" s="2"/>
      <c r="K538" s="2"/>
      <c r="L538" s="2"/>
      <c r="M538" s="2"/>
      <c r="N538" s="2"/>
      <c r="O538" s="2"/>
      <c r="P538" s="2"/>
      <c r="Q538" s="2"/>
      <c r="R538" s="2"/>
    </row>
    <row r="539">
      <c r="A539" s="2"/>
      <c r="B539" s="2"/>
      <c r="C539" s="2"/>
      <c r="D539" s="2"/>
      <c r="E539" s="2"/>
      <c r="F539" s="2"/>
      <c r="G539" s="2"/>
      <c r="H539" s="2"/>
      <c r="I539" s="2"/>
      <c r="J539" s="2"/>
      <c r="K539" s="2"/>
      <c r="L539" s="2"/>
      <c r="M539" s="2"/>
      <c r="N539" s="2"/>
      <c r="O539" s="2"/>
      <c r="P539" s="2"/>
      <c r="Q539" s="2"/>
      <c r="R539" s="2"/>
    </row>
    <row r="540">
      <c r="A540" s="2"/>
      <c r="B540" s="2"/>
      <c r="C540" s="2"/>
      <c r="D540" s="2"/>
      <c r="E540" s="2"/>
      <c r="F540" s="2"/>
      <c r="G540" s="2"/>
      <c r="H540" s="2"/>
      <c r="I540" s="2"/>
      <c r="J540" s="2"/>
      <c r="K540" s="2"/>
      <c r="L540" s="2"/>
      <c r="M540" s="2"/>
      <c r="N540" s="2"/>
      <c r="O540" s="2"/>
      <c r="P540" s="2"/>
      <c r="Q540" s="2"/>
      <c r="R540" s="2"/>
    </row>
    <row r="541">
      <c r="A541" s="2"/>
      <c r="B541" s="2"/>
      <c r="C541" s="2"/>
      <c r="D541" s="2"/>
      <c r="E541" s="2"/>
      <c r="F541" s="2"/>
      <c r="G541" s="2"/>
      <c r="H541" s="2"/>
      <c r="I541" s="2"/>
      <c r="J541" s="2"/>
      <c r="K541" s="2"/>
      <c r="L541" s="2"/>
      <c r="M541" s="2"/>
      <c r="N541" s="2"/>
      <c r="O541" s="2"/>
      <c r="P541" s="2"/>
      <c r="Q541" s="2"/>
      <c r="R541" s="2"/>
    </row>
    <row r="542">
      <c r="A542" s="2"/>
      <c r="B542" s="2"/>
      <c r="C542" s="2"/>
      <c r="D542" s="2"/>
      <c r="E542" s="2"/>
      <c r="F542" s="2"/>
      <c r="G542" s="2"/>
      <c r="H542" s="2"/>
      <c r="I542" s="2"/>
      <c r="J542" s="2"/>
      <c r="K542" s="2"/>
      <c r="L542" s="2"/>
      <c r="M542" s="2"/>
      <c r="N542" s="2"/>
      <c r="O542" s="2"/>
      <c r="P542" s="2"/>
      <c r="Q542" s="2"/>
      <c r="R542" s="2"/>
    </row>
    <row r="543">
      <c r="A543" s="2"/>
      <c r="B543" s="2"/>
      <c r="C543" s="2"/>
      <c r="D543" s="2"/>
      <c r="E543" s="2"/>
      <c r="F543" s="2"/>
      <c r="G543" s="2"/>
      <c r="H543" s="2"/>
      <c r="I543" s="2"/>
      <c r="J543" s="2"/>
      <c r="K543" s="2"/>
      <c r="L543" s="2"/>
      <c r="M543" s="2"/>
      <c r="N543" s="2"/>
      <c r="O543" s="2"/>
      <c r="P543" s="2"/>
      <c r="Q543" s="2"/>
      <c r="R543" s="2"/>
    </row>
    <row r="544">
      <c r="A544" s="2"/>
      <c r="B544" s="2"/>
      <c r="C544" s="2"/>
      <c r="D544" s="2"/>
      <c r="E544" s="2"/>
      <c r="F544" s="2"/>
      <c r="G544" s="2"/>
      <c r="H544" s="2"/>
      <c r="I544" s="2"/>
      <c r="J544" s="2"/>
      <c r="K544" s="2"/>
      <c r="L544" s="2"/>
      <c r="M544" s="2"/>
      <c r="N544" s="2"/>
      <c r="O544" s="2"/>
      <c r="P544" s="2"/>
      <c r="Q544" s="2"/>
      <c r="R544" s="2"/>
    </row>
    <row r="545">
      <c r="A545" s="2"/>
      <c r="B545" s="2"/>
      <c r="C545" s="2"/>
      <c r="D545" s="2"/>
      <c r="E545" s="2"/>
      <c r="F545" s="2"/>
      <c r="G545" s="2"/>
      <c r="H545" s="2"/>
      <c r="I545" s="2"/>
      <c r="J545" s="2"/>
      <c r="K545" s="2"/>
      <c r="L545" s="2"/>
      <c r="M545" s="2"/>
      <c r="N545" s="2"/>
      <c r="O545" s="2"/>
      <c r="P545" s="2"/>
      <c r="Q545" s="2"/>
      <c r="R545" s="2"/>
    </row>
    <row r="546">
      <c r="A546" s="2"/>
      <c r="B546" s="2"/>
      <c r="C546" s="2"/>
      <c r="D546" s="2"/>
      <c r="E546" s="2"/>
      <c r="F546" s="2"/>
      <c r="G546" s="2"/>
      <c r="H546" s="2"/>
      <c r="I546" s="2"/>
      <c r="J546" s="2"/>
      <c r="K546" s="2"/>
      <c r="L546" s="2"/>
      <c r="M546" s="2"/>
      <c r="N546" s="2"/>
      <c r="O546" s="2"/>
      <c r="P546" s="2"/>
      <c r="Q546" s="2"/>
      <c r="R546" s="2"/>
    </row>
    <row r="547">
      <c r="A547" s="2"/>
      <c r="B547" s="2"/>
      <c r="C547" s="2"/>
      <c r="D547" s="2"/>
      <c r="E547" s="2"/>
      <c r="F547" s="2"/>
      <c r="G547" s="2"/>
      <c r="H547" s="2"/>
      <c r="I547" s="2"/>
      <c r="J547" s="2"/>
      <c r="K547" s="2"/>
      <c r="L547" s="2"/>
      <c r="M547" s="2"/>
      <c r="N547" s="2"/>
      <c r="O547" s="2"/>
      <c r="P547" s="2"/>
      <c r="Q547" s="2"/>
      <c r="R547" s="2"/>
    </row>
    <row r="548">
      <c r="A548" s="2"/>
      <c r="B548" s="2"/>
      <c r="C548" s="2"/>
      <c r="D548" s="2"/>
      <c r="E548" s="2"/>
      <c r="F548" s="2"/>
      <c r="G548" s="2"/>
      <c r="H548" s="2"/>
      <c r="I548" s="2"/>
      <c r="J548" s="2"/>
      <c r="K548" s="2"/>
      <c r="L548" s="2"/>
      <c r="M548" s="2"/>
      <c r="N548" s="2"/>
      <c r="O548" s="2"/>
      <c r="P548" s="2"/>
      <c r="Q548" s="2"/>
      <c r="R548" s="2"/>
    </row>
    <row r="549">
      <c r="A549" s="2"/>
      <c r="B549" s="2"/>
      <c r="C549" s="2"/>
      <c r="D549" s="2"/>
      <c r="E549" s="2"/>
      <c r="F549" s="2"/>
      <c r="G549" s="2"/>
      <c r="H549" s="2"/>
      <c r="I549" s="2"/>
      <c r="J549" s="2"/>
      <c r="K549" s="2"/>
      <c r="L549" s="2"/>
      <c r="M549" s="2"/>
      <c r="N549" s="2"/>
      <c r="O549" s="2"/>
      <c r="P549" s="2"/>
      <c r="Q549" s="2"/>
      <c r="R549" s="2"/>
    </row>
    <row r="550">
      <c r="A550" s="2"/>
      <c r="B550" s="2"/>
      <c r="C550" s="2"/>
      <c r="D550" s="2"/>
      <c r="E550" s="2"/>
      <c r="F550" s="2"/>
      <c r="G550" s="2"/>
      <c r="H550" s="2"/>
      <c r="I550" s="2"/>
      <c r="J550" s="2"/>
      <c r="K550" s="2"/>
      <c r="L550" s="2"/>
      <c r="M550" s="2"/>
      <c r="N550" s="2"/>
      <c r="O550" s="2"/>
      <c r="P550" s="2"/>
      <c r="Q550" s="2"/>
      <c r="R550" s="2"/>
    </row>
    <row r="551">
      <c r="A551" s="2"/>
      <c r="B551" s="2"/>
      <c r="C551" s="2"/>
      <c r="D551" s="2"/>
      <c r="E551" s="2"/>
      <c r="F551" s="2"/>
      <c r="G551" s="2"/>
      <c r="H551" s="2"/>
      <c r="I551" s="2"/>
      <c r="J551" s="2"/>
      <c r="K551" s="2"/>
      <c r="L551" s="2"/>
      <c r="M551" s="2"/>
      <c r="N551" s="2"/>
      <c r="O551" s="2"/>
      <c r="P551" s="2"/>
      <c r="Q551" s="2"/>
      <c r="R551" s="2"/>
    </row>
    <row r="552">
      <c r="A552" s="2"/>
      <c r="B552" s="2"/>
      <c r="C552" s="2"/>
      <c r="D552" s="2"/>
      <c r="E552" s="2"/>
      <c r="F552" s="2"/>
      <c r="G552" s="2"/>
      <c r="H552" s="2"/>
      <c r="I552" s="2"/>
      <c r="J552" s="2"/>
      <c r="K552" s="2"/>
      <c r="L552" s="2"/>
      <c r="M552" s="2"/>
      <c r="N552" s="2"/>
      <c r="O552" s="2"/>
      <c r="P552" s="2"/>
      <c r="Q552" s="2"/>
      <c r="R552" s="2"/>
    </row>
    <row r="553">
      <c r="A553" s="2"/>
      <c r="B553" s="2"/>
      <c r="C553" s="2"/>
      <c r="D553" s="2"/>
      <c r="E553" s="2"/>
      <c r="F553" s="2"/>
      <c r="G553" s="2"/>
      <c r="H553" s="2"/>
      <c r="I553" s="2"/>
      <c r="J553" s="2"/>
      <c r="K553" s="2"/>
      <c r="L553" s="2"/>
      <c r="M553" s="2"/>
      <c r="N553" s="2"/>
      <c r="O553" s="2"/>
      <c r="P553" s="2"/>
      <c r="Q553" s="2"/>
      <c r="R553" s="2"/>
    </row>
    <row r="554">
      <c r="A554" s="2"/>
      <c r="B554" s="2"/>
      <c r="C554" s="2"/>
      <c r="D554" s="2"/>
      <c r="E554" s="2"/>
      <c r="F554" s="2"/>
      <c r="G554" s="2"/>
      <c r="H554" s="2"/>
      <c r="I554" s="2"/>
      <c r="J554" s="2"/>
      <c r="K554" s="2"/>
      <c r="L554" s="2"/>
      <c r="M554" s="2"/>
      <c r="N554" s="2"/>
      <c r="O554" s="2"/>
      <c r="P554" s="2"/>
      <c r="Q554" s="2"/>
      <c r="R554" s="2"/>
    </row>
    <row r="555">
      <c r="A555" s="2"/>
      <c r="B555" s="2"/>
      <c r="C555" s="2"/>
      <c r="D555" s="2"/>
      <c r="E555" s="2"/>
      <c r="F555" s="2"/>
      <c r="G555" s="2"/>
      <c r="H555" s="2"/>
      <c r="I555" s="2"/>
      <c r="J555" s="2"/>
      <c r="K555" s="2"/>
      <c r="L555" s="2"/>
      <c r="M555" s="2"/>
      <c r="N555" s="2"/>
      <c r="O555" s="2"/>
      <c r="P555" s="2"/>
      <c r="Q555" s="2"/>
      <c r="R555" s="2"/>
    </row>
    <row r="556">
      <c r="A556" s="2"/>
      <c r="B556" s="2"/>
      <c r="C556" s="2"/>
      <c r="D556" s="2"/>
      <c r="E556" s="2"/>
      <c r="F556" s="2"/>
      <c r="G556" s="2"/>
      <c r="H556" s="2"/>
      <c r="I556" s="2"/>
      <c r="J556" s="2"/>
      <c r="K556" s="2"/>
      <c r="L556" s="2"/>
      <c r="M556" s="2"/>
      <c r="N556" s="2"/>
      <c r="O556" s="2"/>
      <c r="P556" s="2"/>
      <c r="Q556" s="2"/>
      <c r="R556" s="2"/>
    </row>
    <row r="557">
      <c r="A557" s="2"/>
      <c r="B557" s="2"/>
      <c r="C557" s="2"/>
      <c r="D557" s="2"/>
      <c r="E557" s="2"/>
      <c r="F557" s="2"/>
      <c r="G557" s="2"/>
      <c r="H557" s="2"/>
      <c r="I557" s="2"/>
      <c r="J557" s="2"/>
      <c r="K557" s="2"/>
      <c r="L557" s="2"/>
      <c r="M557" s="2"/>
      <c r="N557" s="2"/>
      <c r="O557" s="2"/>
      <c r="P557" s="2"/>
      <c r="Q557" s="2"/>
      <c r="R557" s="2"/>
    </row>
    <row r="558">
      <c r="A558" s="2"/>
      <c r="B558" s="2"/>
      <c r="C558" s="2"/>
      <c r="D558" s="2"/>
      <c r="E558" s="2"/>
      <c r="F558" s="2"/>
      <c r="G558" s="2"/>
      <c r="H558" s="2"/>
      <c r="I558" s="2"/>
      <c r="J558" s="2"/>
      <c r="K558" s="2"/>
      <c r="L558" s="2"/>
      <c r="M558" s="2"/>
      <c r="N558" s="2"/>
      <c r="O558" s="2"/>
      <c r="P558" s="2"/>
      <c r="Q558" s="2"/>
      <c r="R558" s="2"/>
    </row>
    <row r="559">
      <c r="A559" s="2"/>
      <c r="B559" s="2"/>
      <c r="C559" s="2"/>
      <c r="D559" s="2"/>
      <c r="E559" s="2"/>
      <c r="F559" s="2"/>
      <c r="G559" s="2"/>
      <c r="H559" s="2"/>
      <c r="I559" s="2"/>
      <c r="J559" s="2"/>
      <c r="K559" s="2"/>
      <c r="L559" s="2"/>
      <c r="M559" s="2"/>
      <c r="N559" s="2"/>
      <c r="O559" s="2"/>
      <c r="P559" s="2"/>
      <c r="Q559" s="2"/>
      <c r="R559" s="2"/>
    </row>
    <row r="560">
      <c r="A560" s="2"/>
      <c r="B560" s="2"/>
      <c r="C560" s="2"/>
      <c r="D560" s="2"/>
      <c r="E560" s="2"/>
      <c r="F560" s="2"/>
      <c r="G560" s="2"/>
      <c r="H560" s="2"/>
      <c r="I560" s="2"/>
      <c r="J560" s="2"/>
      <c r="K560" s="2"/>
      <c r="L560" s="2"/>
      <c r="M560" s="2"/>
      <c r="N560" s="2"/>
      <c r="O560" s="2"/>
      <c r="P560" s="2"/>
      <c r="Q560" s="2"/>
      <c r="R560" s="2"/>
    </row>
    <row r="561">
      <c r="A561" s="2"/>
      <c r="B561" s="2"/>
      <c r="C561" s="2"/>
      <c r="D561" s="2"/>
      <c r="E561" s="2"/>
      <c r="F561" s="2"/>
      <c r="G561" s="2"/>
      <c r="H561" s="2"/>
      <c r="I561" s="2"/>
      <c r="J561" s="2"/>
      <c r="K561" s="2"/>
      <c r="L561" s="2"/>
      <c r="M561" s="2"/>
      <c r="N561" s="2"/>
      <c r="O561" s="2"/>
      <c r="P561" s="2"/>
      <c r="Q561" s="2"/>
      <c r="R561" s="2"/>
    </row>
    <row r="562">
      <c r="A562" s="2"/>
      <c r="B562" s="2"/>
      <c r="C562" s="2"/>
      <c r="D562" s="2"/>
      <c r="E562" s="2"/>
      <c r="F562" s="2"/>
      <c r="G562" s="2"/>
      <c r="H562" s="2"/>
      <c r="I562" s="2"/>
      <c r="J562" s="2"/>
      <c r="K562" s="2"/>
      <c r="L562" s="2"/>
      <c r="M562" s="2"/>
      <c r="N562" s="2"/>
      <c r="O562" s="2"/>
      <c r="P562" s="2"/>
      <c r="Q562" s="2"/>
      <c r="R562" s="2"/>
    </row>
    <row r="563">
      <c r="A563" s="2"/>
      <c r="B563" s="2"/>
      <c r="C563" s="2"/>
      <c r="D563" s="2"/>
      <c r="E563" s="2"/>
      <c r="F563" s="2"/>
      <c r="G563" s="2"/>
      <c r="H563" s="2"/>
      <c r="I563" s="2"/>
      <c r="J563" s="2"/>
      <c r="K563" s="2"/>
      <c r="L563" s="2"/>
      <c r="M563" s="2"/>
      <c r="N563" s="2"/>
      <c r="O563" s="2"/>
      <c r="P563" s="2"/>
      <c r="Q563" s="2"/>
      <c r="R563" s="2"/>
    </row>
    <row r="564">
      <c r="A564" s="2"/>
      <c r="B564" s="2"/>
      <c r="C564" s="2"/>
      <c r="D564" s="2"/>
      <c r="E564" s="2"/>
      <c r="F564" s="2"/>
      <c r="G564" s="2"/>
      <c r="H564" s="2"/>
      <c r="I564" s="2"/>
      <c r="J564" s="2"/>
      <c r="K564" s="2"/>
      <c r="L564" s="2"/>
      <c r="M564" s="2"/>
      <c r="N564" s="2"/>
      <c r="O564" s="2"/>
      <c r="P564" s="2"/>
      <c r="Q564" s="2"/>
      <c r="R564" s="2"/>
    </row>
    <row r="565">
      <c r="A565" s="2"/>
      <c r="B565" s="2"/>
      <c r="C565" s="2"/>
      <c r="D565" s="2"/>
      <c r="E565" s="2"/>
      <c r="F565" s="2"/>
      <c r="G565" s="2"/>
      <c r="H565" s="2"/>
      <c r="I565" s="2"/>
      <c r="J565" s="2"/>
      <c r="K565" s="2"/>
      <c r="L565" s="2"/>
      <c r="M565" s="2"/>
      <c r="N565" s="2"/>
      <c r="O565" s="2"/>
      <c r="P565" s="2"/>
      <c r="Q565" s="2"/>
      <c r="R565" s="2"/>
    </row>
    <row r="566">
      <c r="A566" s="2"/>
      <c r="B566" s="2"/>
      <c r="C566" s="2"/>
      <c r="D566" s="2"/>
      <c r="E566" s="2"/>
      <c r="F566" s="2"/>
      <c r="G566" s="2"/>
      <c r="H566" s="2"/>
      <c r="I566" s="2"/>
      <c r="J566" s="2"/>
      <c r="K566" s="2"/>
      <c r="L566" s="2"/>
      <c r="M566" s="2"/>
      <c r="N566" s="2"/>
      <c r="O566" s="2"/>
      <c r="P566" s="2"/>
      <c r="Q566" s="2"/>
      <c r="R566" s="2"/>
    </row>
    <row r="567">
      <c r="A567" s="2"/>
      <c r="B567" s="2"/>
      <c r="C567" s="2"/>
      <c r="D567" s="2"/>
      <c r="E567" s="2"/>
      <c r="F567" s="2"/>
      <c r="G567" s="2"/>
      <c r="H567" s="2"/>
      <c r="I567" s="2"/>
      <c r="J567" s="2"/>
      <c r="K567" s="2"/>
      <c r="L567" s="2"/>
      <c r="M567" s="2"/>
      <c r="N567" s="2"/>
      <c r="O567" s="2"/>
      <c r="P567" s="2"/>
      <c r="Q567" s="2"/>
      <c r="R567" s="2"/>
    </row>
    <row r="568">
      <c r="A568" s="2"/>
      <c r="B568" s="2"/>
      <c r="C568" s="2"/>
      <c r="D568" s="2"/>
      <c r="E568" s="2"/>
      <c r="F568" s="2"/>
      <c r="G568" s="2"/>
      <c r="H568" s="2"/>
      <c r="I568" s="2"/>
      <c r="J568" s="2"/>
      <c r="K568" s="2"/>
      <c r="L568" s="2"/>
      <c r="M568" s="2"/>
      <c r="N568" s="2"/>
      <c r="O568" s="2"/>
      <c r="P568" s="2"/>
      <c r="Q568" s="2"/>
      <c r="R568" s="2"/>
    </row>
    <row r="569">
      <c r="A569" s="2"/>
      <c r="B569" s="2"/>
      <c r="C569" s="2"/>
      <c r="D569" s="2"/>
      <c r="E569" s="2"/>
      <c r="F569" s="2"/>
      <c r="G569" s="2"/>
      <c r="H569" s="2"/>
      <c r="I569" s="2"/>
      <c r="J569" s="2"/>
      <c r="K569" s="2"/>
      <c r="L569" s="2"/>
      <c r="M569" s="2"/>
      <c r="N569" s="2"/>
      <c r="O569" s="2"/>
      <c r="P569" s="2"/>
      <c r="Q569" s="2"/>
      <c r="R569" s="2"/>
    </row>
    <row r="570">
      <c r="A570" s="2"/>
      <c r="B570" s="2"/>
      <c r="C570" s="2"/>
      <c r="D570" s="2"/>
      <c r="E570" s="2"/>
      <c r="F570" s="2"/>
      <c r="G570" s="2"/>
      <c r="H570" s="2"/>
      <c r="I570" s="2"/>
      <c r="J570" s="2"/>
      <c r="K570" s="2"/>
      <c r="L570" s="2"/>
      <c r="M570" s="2"/>
      <c r="N570" s="2"/>
      <c r="O570" s="2"/>
      <c r="P570" s="2"/>
      <c r="Q570" s="2"/>
      <c r="R570" s="2"/>
    </row>
    <row r="571">
      <c r="A571" s="2"/>
      <c r="B571" s="2"/>
      <c r="C571" s="2"/>
      <c r="D571" s="2"/>
      <c r="E571" s="2"/>
      <c r="F571" s="2"/>
      <c r="G571" s="2"/>
      <c r="H571" s="2"/>
      <c r="I571" s="2"/>
      <c r="J571" s="2"/>
      <c r="K571" s="2"/>
      <c r="L571" s="2"/>
      <c r="M571" s="2"/>
      <c r="N571" s="2"/>
      <c r="O571" s="2"/>
      <c r="P571" s="2"/>
      <c r="Q571" s="2"/>
      <c r="R571" s="2"/>
    </row>
    <row r="572">
      <c r="A572" s="2"/>
      <c r="B572" s="2"/>
      <c r="C572" s="2"/>
      <c r="D572" s="2"/>
      <c r="E572" s="2"/>
      <c r="F572" s="2"/>
      <c r="G572" s="2"/>
      <c r="H572" s="2"/>
      <c r="I572" s="2"/>
      <c r="J572" s="2"/>
      <c r="K572" s="2"/>
      <c r="L572" s="2"/>
      <c r="M572" s="2"/>
      <c r="N572" s="2"/>
      <c r="O572" s="2"/>
      <c r="P572" s="2"/>
      <c r="Q572" s="2"/>
      <c r="R572" s="2"/>
    </row>
    <row r="573">
      <c r="A573" s="2"/>
      <c r="B573" s="2"/>
      <c r="C573" s="2"/>
      <c r="D573" s="2"/>
      <c r="E573" s="2"/>
      <c r="F573" s="2"/>
      <c r="G573" s="2"/>
      <c r="H573" s="2"/>
      <c r="I573" s="2"/>
      <c r="J573" s="2"/>
      <c r="K573" s="2"/>
      <c r="L573" s="2"/>
      <c r="M573" s="2"/>
      <c r="N573" s="2"/>
      <c r="O573" s="2"/>
      <c r="P573" s="2"/>
      <c r="Q573" s="2"/>
      <c r="R573" s="2"/>
    </row>
    <row r="574">
      <c r="A574" s="2"/>
      <c r="B574" s="2"/>
      <c r="C574" s="2"/>
      <c r="D574" s="2"/>
      <c r="E574" s="2"/>
      <c r="F574" s="2"/>
      <c r="G574" s="2"/>
      <c r="H574" s="2"/>
      <c r="I574" s="2"/>
      <c r="J574" s="2"/>
      <c r="K574" s="2"/>
      <c r="L574" s="2"/>
      <c r="M574" s="2"/>
      <c r="N574" s="2"/>
      <c r="O574" s="2"/>
      <c r="P574" s="2"/>
      <c r="Q574" s="2"/>
      <c r="R574" s="2"/>
    </row>
    <row r="575">
      <c r="A575" s="2"/>
      <c r="B575" s="2"/>
      <c r="C575" s="2"/>
      <c r="D575" s="2"/>
      <c r="E575" s="2"/>
      <c r="F575" s="2"/>
      <c r="G575" s="2"/>
      <c r="H575" s="2"/>
      <c r="I575" s="2"/>
      <c r="J575" s="2"/>
      <c r="K575" s="2"/>
      <c r="L575" s="2"/>
      <c r="M575" s="2"/>
      <c r="N575" s="2"/>
      <c r="O575" s="2"/>
      <c r="P575" s="2"/>
      <c r="Q575" s="2"/>
      <c r="R575" s="2"/>
    </row>
    <row r="576">
      <c r="A576" s="2"/>
      <c r="B576" s="2"/>
      <c r="C576" s="2"/>
      <c r="D576" s="2"/>
      <c r="E576" s="2"/>
      <c r="F576" s="2"/>
      <c r="G576" s="2"/>
      <c r="H576" s="2"/>
      <c r="I576" s="2"/>
      <c r="J576" s="2"/>
      <c r="K576" s="2"/>
      <c r="L576" s="2"/>
      <c r="M576" s="2"/>
      <c r="N576" s="2"/>
      <c r="O576" s="2"/>
      <c r="P576" s="2"/>
      <c r="Q576" s="2"/>
      <c r="R576" s="2"/>
    </row>
    <row r="577">
      <c r="A577" s="2"/>
      <c r="B577" s="2"/>
      <c r="C577" s="2"/>
      <c r="D577" s="2"/>
      <c r="E577" s="2"/>
      <c r="F577" s="2"/>
      <c r="G577" s="2"/>
      <c r="H577" s="2"/>
      <c r="I577" s="2"/>
      <c r="J577" s="2"/>
      <c r="K577" s="2"/>
      <c r="L577" s="2"/>
      <c r="M577" s="2"/>
      <c r="N577" s="2"/>
      <c r="O577" s="2"/>
      <c r="P577" s="2"/>
      <c r="Q577" s="2"/>
      <c r="R577" s="2"/>
    </row>
    <row r="578">
      <c r="A578" s="2"/>
      <c r="B578" s="2"/>
      <c r="C578" s="2"/>
      <c r="D578" s="2"/>
      <c r="E578" s="2"/>
      <c r="F578" s="2"/>
      <c r="G578" s="2"/>
      <c r="H578" s="2"/>
      <c r="I578" s="2"/>
      <c r="J578" s="2"/>
      <c r="K578" s="2"/>
      <c r="L578" s="2"/>
      <c r="M578" s="2"/>
      <c r="N578" s="2"/>
      <c r="O578" s="2"/>
      <c r="P578" s="2"/>
      <c r="Q578" s="2"/>
      <c r="R578" s="2"/>
    </row>
    <row r="579">
      <c r="A579" s="2"/>
      <c r="B579" s="2"/>
      <c r="C579" s="2"/>
      <c r="D579" s="2"/>
      <c r="E579" s="2"/>
      <c r="F579" s="2"/>
      <c r="G579" s="2"/>
      <c r="H579" s="2"/>
      <c r="I579" s="2"/>
      <c r="J579" s="2"/>
      <c r="K579" s="2"/>
      <c r="L579" s="2"/>
      <c r="M579" s="2"/>
      <c r="N579" s="2"/>
      <c r="O579" s="2"/>
      <c r="P579" s="2"/>
      <c r="Q579" s="2"/>
      <c r="R579" s="2"/>
    </row>
    <row r="580">
      <c r="A580" s="2"/>
      <c r="B580" s="2"/>
      <c r="C580" s="2"/>
      <c r="D580" s="2"/>
      <c r="E580" s="2"/>
      <c r="F580" s="2"/>
      <c r="G580" s="2"/>
      <c r="H580" s="2"/>
      <c r="I580" s="2"/>
      <c r="J580" s="2"/>
      <c r="K580" s="2"/>
      <c r="L580" s="2"/>
      <c r="M580" s="2"/>
      <c r="N580" s="2"/>
      <c r="O580" s="2"/>
      <c r="P580" s="2"/>
      <c r="Q580" s="2"/>
      <c r="R580" s="2"/>
    </row>
    <row r="581">
      <c r="A581" s="2"/>
      <c r="B581" s="2"/>
      <c r="C581" s="2"/>
      <c r="D581" s="2"/>
      <c r="E581" s="2"/>
      <c r="F581" s="2"/>
      <c r="G581" s="2"/>
      <c r="H581" s="2"/>
      <c r="I581" s="2"/>
      <c r="J581" s="2"/>
      <c r="K581" s="2"/>
      <c r="L581" s="2"/>
      <c r="M581" s="2"/>
      <c r="N581" s="2"/>
      <c r="O581" s="2"/>
      <c r="P581" s="2"/>
      <c r="Q581" s="2"/>
      <c r="R581" s="2"/>
    </row>
    <row r="582">
      <c r="A582" s="2"/>
      <c r="B582" s="2"/>
      <c r="C582" s="2"/>
      <c r="D582" s="2"/>
      <c r="E582" s="2"/>
      <c r="F582" s="2"/>
      <c r="G582" s="2"/>
      <c r="H582" s="2"/>
      <c r="I582" s="2"/>
      <c r="J582" s="2"/>
      <c r="K582" s="2"/>
      <c r="L582" s="2"/>
      <c r="M582" s="2"/>
      <c r="N582" s="2"/>
      <c r="O582" s="2"/>
      <c r="P582" s="2"/>
      <c r="Q582" s="2"/>
      <c r="R582" s="2"/>
    </row>
    <row r="583">
      <c r="A583" s="2"/>
      <c r="B583" s="2"/>
      <c r="C583" s="2"/>
      <c r="D583" s="2"/>
      <c r="E583" s="2"/>
      <c r="F583" s="2"/>
      <c r="G583" s="2"/>
      <c r="H583" s="2"/>
      <c r="I583" s="2"/>
      <c r="J583" s="2"/>
      <c r="K583" s="2"/>
      <c r="L583" s="2"/>
      <c r="M583" s="2"/>
      <c r="N583" s="2"/>
      <c r="O583" s="2"/>
      <c r="P583" s="2"/>
      <c r="Q583" s="2"/>
      <c r="R583" s="2"/>
    </row>
    <row r="584">
      <c r="A584" s="2"/>
      <c r="B584" s="2"/>
      <c r="C584" s="2"/>
      <c r="D584" s="2"/>
      <c r="E584" s="2"/>
      <c r="F584" s="2"/>
      <c r="G584" s="2"/>
      <c r="H584" s="2"/>
      <c r="I584" s="2"/>
      <c r="J584" s="2"/>
      <c r="K584" s="2"/>
      <c r="L584" s="2"/>
      <c r="M584" s="2"/>
      <c r="N584" s="2"/>
      <c r="O584" s="2"/>
      <c r="P584" s="2"/>
      <c r="Q584" s="2"/>
      <c r="R584" s="2"/>
    </row>
    <row r="585">
      <c r="A585" s="2"/>
      <c r="B585" s="2"/>
      <c r="C585" s="2"/>
      <c r="D585" s="2"/>
      <c r="E585" s="2"/>
      <c r="F585" s="2"/>
      <c r="G585" s="2"/>
      <c r="H585" s="2"/>
      <c r="I585" s="2"/>
      <c r="J585" s="2"/>
      <c r="K585" s="2"/>
      <c r="L585" s="2"/>
      <c r="M585" s="2"/>
      <c r="N585" s="2"/>
      <c r="O585" s="2"/>
      <c r="P585" s="2"/>
      <c r="Q585" s="2"/>
      <c r="R585" s="2"/>
    </row>
    <row r="586">
      <c r="A586" s="2"/>
      <c r="B586" s="2"/>
      <c r="C586" s="2"/>
      <c r="D586" s="2"/>
      <c r="E586" s="2"/>
      <c r="F586" s="2"/>
      <c r="G586" s="2"/>
      <c r="H586" s="2"/>
      <c r="I586" s="2"/>
      <c r="J586" s="2"/>
      <c r="K586" s="2"/>
      <c r="L586" s="2"/>
      <c r="M586" s="2"/>
      <c r="N586" s="2"/>
      <c r="O586" s="2"/>
      <c r="P586" s="2"/>
      <c r="Q586" s="2"/>
      <c r="R586" s="2"/>
    </row>
    <row r="587">
      <c r="A587" s="2"/>
      <c r="B587" s="2"/>
      <c r="C587" s="2"/>
      <c r="D587" s="2"/>
      <c r="E587" s="2"/>
      <c r="F587" s="2"/>
      <c r="G587" s="2"/>
      <c r="H587" s="2"/>
      <c r="I587" s="2"/>
      <c r="J587" s="2"/>
      <c r="K587" s="2"/>
      <c r="L587" s="2"/>
      <c r="M587" s="2"/>
      <c r="N587" s="2"/>
      <c r="O587" s="2"/>
      <c r="P587" s="2"/>
      <c r="Q587" s="2"/>
      <c r="R587" s="2"/>
    </row>
    <row r="588">
      <c r="A588" s="2"/>
      <c r="B588" s="2"/>
      <c r="C588" s="2"/>
      <c r="D588" s="2"/>
      <c r="E588" s="2"/>
      <c r="F588" s="2"/>
      <c r="G588" s="2"/>
      <c r="H588" s="2"/>
      <c r="I588" s="2"/>
      <c r="J588" s="2"/>
      <c r="K588" s="2"/>
      <c r="L588" s="2"/>
      <c r="M588" s="2"/>
      <c r="N588" s="2"/>
      <c r="O588" s="2"/>
      <c r="P588" s="2"/>
      <c r="Q588" s="2"/>
      <c r="R588" s="2"/>
    </row>
    <row r="589">
      <c r="A589" s="2"/>
      <c r="B589" s="2"/>
      <c r="C589" s="2"/>
      <c r="D589" s="2"/>
      <c r="E589" s="2"/>
      <c r="F589" s="2"/>
      <c r="G589" s="2"/>
      <c r="H589" s="2"/>
      <c r="I589" s="2"/>
      <c r="J589" s="2"/>
      <c r="K589" s="2"/>
      <c r="L589" s="2"/>
      <c r="M589" s="2"/>
      <c r="N589" s="2"/>
      <c r="O589" s="2"/>
      <c r="P589" s="2"/>
      <c r="Q589" s="2"/>
      <c r="R589" s="2"/>
    </row>
    <row r="590">
      <c r="A590" s="2"/>
      <c r="B590" s="2"/>
      <c r="C590" s="2"/>
      <c r="D590" s="2"/>
      <c r="E590" s="2"/>
      <c r="F590" s="2"/>
      <c r="G590" s="2"/>
      <c r="H590" s="2"/>
      <c r="I590" s="2"/>
      <c r="J590" s="2"/>
      <c r="K590" s="2"/>
      <c r="L590" s="2"/>
      <c r="M590" s="2"/>
      <c r="N590" s="2"/>
      <c r="O590" s="2"/>
      <c r="P590" s="2"/>
      <c r="Q590" s="2"/>
      <c r="R590" s="2"/>
    </row>
    <row r="591">
      <c r="A591" s="2"/>
      <c r="B591" s="2"/>
      <c r="C591" s="2"/>
      <c r="D591" s="2"/>
      <c r="E591" s="2"/>
      <c r="F591" s="2"/>
      <c r="G591" s="2"/>
      <c r="H591" s="2"/>
      <c r="I591" s="2"/>
      <c r="J591" s="2"/>
      <c r="K591" s="2"/>
      <c r="L591" s="2"/>
      <c r="M591" s="2"/>
      <c r="N591" s="2"/>
      <c r="O591" s="2"/>
      <c r="P591" s="2"/>
      <c r="Q591" s="2"/>
      <c r="R591" s="2"/>
    </row>
    <row r="592">
      <c r="A592" s="2"/>
      <c r="B592" s="2"/>
      <c r="C592" s="2"/>
      <c r="D592" s="2"/>
      <c r="E592" s="2"/>
      <c r="F592" s="2"/>
      <c r="G592" s="2"/>
      <c r="H592" s="2"/>
      <c r="I592" s="2"/>
      <c r="J592" s="2"/>
      <c r="K592" s="2"/>
      <c r="L592" s="2"/>
      <c r="M592" s="2"/>
      <c r="N592" s="2"/>
      <c r="O592" s="2"/>
      <c r="P592" s="2"/>
      <c r="Q592" s="2"/>
      <c r="R592" s="2"/>
    </row>
    <row r="593">
      <c r="A593" s="2"/>
      <c r="B593" s="2"/>
      <c r="C593" s="2"/>
      <c r="D593" s="2"/>
      <c r="E593" s="2"/>
      <c r="F593" s="2"/>
      <c r="G593" s="2"/>
      <c r="H593" s="2"/>
      <c r="I593" s="2"/>
      <c r="J593" s="2"/>
      <c r="K593" s="2"/>
      <c r="L593" s="2"/>
      <c r="M593" s="2"/>
      <c r="N593" s="2"/>
      <c r="O593" s="2"/>
      <c r="P593" s="2"/>
      <c r="Q593" s="2"/>
      <c r="R593" s="2"/>
    </row>
    <row r="594">
      <c r="A594" s="2"/>
      <c r="B594" s="2"/>
      <c r="C594" s="2"/>
      <c r="D594" s="2"/>
      <c r="E594" s="2"/>
      <c r="F594" s="2"/>
      <c r="G594" s="2"/>
      <c r="H594" s="2"/>
      <c r="I594" s="2"/>
      <c r="J594" s="2"/>
      <c r="K594" s="2"/>
      <c r="L594" s="2"/>
      <c r="M594" s="2"/>
      <c r="N594" s="2"/>
      <c r="O594" s="2"/>
      <c r="P594" s="2"/>
      <c r="Q594" s="2"/>
      <c r="R594" s="2"/>
    </row>
    <row r="595">
      <c r="A595" s="2"/>
      <c r="B595" s="2"/>
      <c r="C595" s="2"/>
      <c r="D595" s="2"/>
      <c r="E595" s="2"/>
      <c r="F595" s="2"/>
      <c r="G595" s="2"/>
      <c r="H595" s="2"/>
      <c r="I595" s="2"/>
      <c r="J595" s="2"/>
      <c r="K595" s="2"/>
      <c r="L595" s="2"/>
      <c r="M595" s="2"/>
      <c r="N595" s="2"/>
      <c r="O595" s="2"/>
      <c r="P595" s="2"/>
      <c r="Q595" s="2"/>
      <c r="R595" s="2"/>
    </row>
    <row r="596">
      <c r="A596" s="2"/>
      <c r="B596" s="2"/>
      <c r="C596" s="2"/>
      <c r="D596" s="2"/>
      <c r="E596" s="2"/>
      <c r="F596" s="2"/>
      <c r="G596" s="2"/>
      <c r="H596" s="2"/>
      <c r="I596" s="2"/>
      <c r="J596" s="2"/>
      <c r="K596" s="2"/>
      <c r="L596" s="2"/>
      <c r="M596" s="2"/>
      <c r="N596" s="2"/>
      <c r="O596" s="2"/>
      <c r="P596" s="2"/>
      <c r="Q596" s="2"/>
      <c r="R596" s="2"/>
    </row>
    <row r="597">
      <c r="A597" s="2"/>
      <c r="B597" s="2"/>
      <c r="C597" s="2"/>
      <c r="D597" s="2"/>
      <c r="E597" s="2"/>
      <c r="F597" s="2"/>
      <c r="G597" s="2"/>
      <c r="H597" s="2"/>
      <c r="I597" s="2"/>
      <c r="J597" s="2"/>
      <c r="K597" s="2"/>
      <c r="L597" s="2"/>
      <c r="M597" s="2"/>
      <c r="N597" s="2"/>
      <c r="O597" s="2"/>
      <c r="P597" s="2"/>
      <c r="Q597" s="2"/>
      <c r="R597" s="2"/>
    </row>
    <row r="598">
      <c r="A598" s="2"/>
      <c r="B598" s="2"/>
      <c r="C598" s="2"/>
      <c r="D598" s="2"/>
      <c r="E598" s="2"/>
      <c r="F598" s="2"/>
      <c r="G598" s="2"/>
      <c r="H598" s="2"/>
      <c r="I598" s="2"/>
      <c r="J598" s="2"/>
      <c r="K598" s="2"/>
      <c r="L598" s="2"/>
      <c r="M598" s="2"/>
      <c r="N598" s="2"/>
      <c r="O598" s="2"/>
      <c r="P598" s="2"/>
      <c r="Q598" s="2"/>
      <c r="R598" s="2"/>
    </row>
    <row r="599">
      <c r="A599" s="2"/>
      <c r="B599" s="2"/>
      <c r="C599" s="2"/>
      <c r="D599" s="2"/>
      <c r="E599" s="2"/>
      <c r="F599" s="2"/>
      <c r="G599" s="2"/>
      <c r="H599" s="2"/>
      <c r="I599" s="2"/>
      <c r="J599" s="2"/>
      <c r="K599" s="2"/>
      <c r="L599" s="2"/>
      <c r="M599" s="2"/>
      <c r="N599" s="2"/>
      <c r="O599" s="2"/>
      <c r="P599" s="2"/>
      <c r="Q599" s="2"/>
      <c r="R599" s="2"/>
    </row>
    <row r="600">
      <c r="A600" s="2"/>
      <c r="B600" s="2"/>
      <c r="C600" s="2"/>
      <c r="D600" s="2"/>
      <c r="E600" s="2"/>
      <c r="F600" s="2"/>
      <c r="G600" s="2"/>
      <c r="H600" s="2"/>
      <c r="I600" s="2"/>
      <c r="J600" s="2"/>
      <c r="K600" s="2"/>
      <c r="L600" s="2"/>
      <c r="M600" s="2"/>
      <c r="N600" s="2"/>
      <c r="O600" s="2"/>
      <c r="P600" s="2"/>
      <c r="Q600" s="2"/>
      <c r="R600" s="2"/>
    </row>
    <row r="601">
      <c r="A601" s="2"/>
      <c r="B601" s="2"/>
      <c r="C601" s="2"/>
      <c r="D601" s="2"/>
      <c r="E601" s="2"/>
      <c r="F601" s="2"/>
      <c r="G601" s="2"/>
      <c r="H601" s="2"/>
      <c r="I601" s="2"/>
      <c r="J601" s="2"/>
      <c r="K601" s="2"/>
      <c r="L601" s="2"/>
      <c r="M601" s="2"/>
      <c r="N601" s="2"/>
      <c r="O601" s="2"/>
      <c r="P601" s="2"/>
      <c r="Q601" s="2"/>
      <c r="R601" s="2"/>
    </row>
    <row r="602">
      <c r="A602" s="2"/>
      <c r="B602" s="2"/>
      <c r="C602" s="2"/>
      <c r="D602" s="2"/>
      <c r="E602" s="2"/>
      <c r="F602" s="2"/>
      <c r="G602" s="2"/>
      <c r="H602" s="2"/>
      <c r="I602" s="2"/>
      <c r="J602" s="2"/>
      <c r="K602" s="2"/>
      <c r="L602" s="2"/>
      <c r="M602" s="2"/>
      <c r="N602" s="2"/>
      <c r="O602" s="2"/>
      <c r="P602" s="2"/>
      <c r="Q602" s="2"/>
      <c r="R602" s="2"/>
    </row>
    <row r="603">
      <c r="A603" s="2"/>
      <c r="B603" s="2"/>
      <c r="C603" s="2"/>
      <c r="D603" s="2"/>
      <c r="E603" s="2"/>
      <c r="F603" s="2"/>
      <c r="G603" s="2"/>
      <c r="H603" s="2"/>
      <c r="I603" s="2"/>
      <c r="J603" s="2"/>
      <c r="K603" s="2"/>
      <c r="L603" s="2"/>
      <c r="M603" s="2"/>
      <c r="N603" s="2"/>
      <c r="O603" s="2"/>
      <c r="P603" s="2"/>
      <c r="Q603" s="2"/>
      <c r="R603" s="2"/>
    </row>
    <row r="604">
      <c r="A604" s="2"/>
      <c r="B604" s="2"/>
      <c r="C604" s="2"/>
      <c r="D604" s="2"/>
      <c r="E604" s="2"/>
      <c r="F604" s="2"/>
      <c r="G604" s="2"/>
      <c r="H604" s="2"/>
      <c r="I604" s="2"/>
      <c r="J604" s="2"/>
      <c r="K604" s="2"/>
      <c r="L604" s="2"/>
      <c r="M604" s="2"/>
      <c r="N604" s="2"/>
      <c r="O604" s="2"/>
      <c r="P604" s="2"/>
      <c r="Q604" s="2"/>
      <c r="R604" s="2"/>
    </row>
    <row r="605">
      <c r="A605" s="2"/>
      <c r="B605" s="2"/>
      <c r="C605" s="2"/>
      <c r="D605" s="2"/>
      <c r="E605" s="2"/>
      <c r="F605" s="2"/>
      <c r="G605" s="2"/>
      <c r="H605" s="2"/>
      <c r="I605" s="2"/>
      <c r="J605" s="2"/>
      <c r="K605" s="2"/>
      <c r="L605" s="2"/>
      <c r="M605" s="2"/>
      <c r="N605" s="2"/>
      <c r="O605" s="2"/>
      <c r="P605" s="2"/>
      <c r="Q605" s="2"/>
      <c r="R605" s="2"/>
    </row>
    <row r="606">
      <c r="A606" s="2"/>
      <c r="B606" s="2"/>
      <c r="C606" s="2"/>
      <c r="D606" s="2"/>
      <c r="E606" s="2"/>
      <c r="F606" s="2"/>
      <c r="G606" s="2"/>
      <c r="H606" s="2"/>
      <c r="I606" s="2"/>
      <c r="J606" s="2"/>
      <c r="K606" s="2"/>
      <c r="L606" s="2"/>
      <c r="M606" s="2"/>
      <c r="N606" s="2"/>
      <c r="O606" s="2"/>
      <c r="P606" s="2"/>
      <c r="Q606" s="2"/>
      <c r="R606" s="2"/>
    </row>
    <row r="607">
      <c r="A607" s="2"/>
      <c r="B607" s="2"/>
      <c r="C607" s="2"/>
      <c r="D607" s="2"/>
      <c r="E607" s="2"/>
      <c r="F607" s="2"/>
      <c r="G607" s="2"/>
      <c r="H607" s="2"/>
      <c r="I607" s="2"/>
      <c r="J607" s="2"/>
      <c r="K607" s="2"/>
      <c r="L607" s="2"/>
      <c r="M607" s="2"/>
      <c r="N607" s="2"/>
      <c r="O607" s="2"/>
      <c r="P607" s="2"/>
      <c r="Q607" s="2"/>
      <c r="R607" s="2"/>
    </row>
    <row r="608">
      <c r="A608" s="2"/>
      <c r="B608" s="2"/>
      <c r="C608" s="2"/>
      <c r="D608" s="2"/>
      <c r="E608" s="2"/>
      <c r="F608" s="2"/>
      <c r="G608" s="2"/>
      <c r="H608" s="2"/>
      <c r="I608" s="2"/>
      <c r="J608" s="2"/>
      <c r="K608" s="2"/>
      <c r="L608" s="2"/>
      <c r="M608" s="2"/>
      <c r="N608" s="2"/>
      <c r="O608" s="2"/>
      <c r="P608" s="2"/>
      <c r="Q608" s="2"/>
      <c r="R608" s="2"/>
    </row>
    <row r="609">
      <c r="A609" s="2"/>
      <c r="B609" s="2"/>
      <c r="C609" s="2"/>
      <c r="D609" s="2"/>
      <c r="E609" s="2"/>
      <c r="F609" s="2"/>
      <c r="G609" s="2"/>
      <c r="H609" s="2"/>
      <c r="I609" s="2"/>
      <c r="J609" s="2"/>
      <c r="K609" s="2"/>
      <c r="L609" s="2"/>
      <c r="M609" s="2"/>
      <c r="N609" s="2"/>
      <c r="O609" s="2"/>
      <c r="P609" s="2"/>
      <c r="Q609" s="2"/>
      <c r="R609" s="2"/>
    </row>
    <row r="610">
      <c r="A610" s="2"/>
      <c r="B610" s="2"/>
      <c r="C610" s="2"/>
      <c r="D610" s="2"/>
      <c r="E610" s="2"/>
      <c r="F610" s="2"/>
      <c r="G610" s="2"/>
      <c r="H610" s="2"/>
      <c r="I610" s="2"/>
      <c r="J610" s="2"/>
      <c r="K610" s="2"/>
      <c r="L610" s="2"/>
      <c r="M610" s="2"/>
      <c r="N610" s="2"/>
      <c r="O610" s="2"/>
      <c r="P610" s="2"/>
      <c r="Q610" s="2"/>
      <c r="R610" s="2"/>
    </row>
    <row r="611">
      <c r="A611" s="2"/>
      <c r="B611" s="2"/>
      <c r="C611" s="2"/>
      <c r="D611" s="2"/>
      <c r="E611" s="2"/>
      <c r="F611" s="2"/>
      <c r="G611" s="2"/>
      <c r="H611" s="2"/>
      <c r="I611" s="2"/>
      <c r="J611" s="2"/>
      <c r="K611" s="2"/>
      <c r="L611" s="2"/>
      <c r="M611" s="2"/>
      <c r="N611" s="2"/>
      <c r="O611" s="2"/>
      <c r="P611" s="2"/>
      <c r="Q611" s="2"/>
      <c r="R611" s="2"/>
    </row>
    <row r="612">
      <c r="A612" s="2"/>
      <c r="B612" s="2"/>
      <c r="C612" s="2"/>
      <c r="D612" s="2"/>
      <c r="E612" s="2"/>
      <c r="F612" s="2"/>
      <c r="G612" s="2"/>
      <c r="H612" s="2"/>
      <c r="I612" s="2"/>
      <c r="J612" s="2"/>
      <c r="K612" s="2"/>
      <c r="L612" s="2"/>
      <c r="M612" s="2"/>
      <c r="N612" s="2"/>
      <c r="O612" s="2"/>
      <c r="P612" s="2"/>
      <c r="Q612" s="2"/>
      <c r="R612" s="2"/>
    </row>
    <row r="613">
      <c r="A613" s="2"/>
      <c r="B613" s="2"/>
      <c r="C613" s="2"/>
      <c r="D613" s="2"/>
      <c r="E613" s="2"/>
      <c r="F613" s="2"/>
      <c r="G613" s="2"/>
      <c r="H613" s="2"/>
      <c r="I613" s="2"/>
      <c r="J613" s="2"/>
      <c r="K613" s="2"/>
      <c r="L613" s="2"/>
      <c r="M613" s="2"/>
      <c r="N613" s="2"/>
      <c r="O613" s="2"/>
      <c r="P613" s="2"/>
      <c r="Q613" s="2"/>
      <c r="R613" s="2"/>
    </row>
    <row r="614">
      <c r="A614" s="2"/>
      <c r="B614" s="2"/>
      <c r="C614" s="2"/>
      <c r="D614" s="2"/>
      <c r="E614" s="2"/>
      <c r="F614" s="2"/>
      <c r="G614" s="2"/>
      <c r="H614" s="2"/>
      <c r="I614" s="2"/>
      <c r="J614" s="2"/>
      <c r="K614" s="2"/>
      <c r="L614" s="2"/>
      <c r="M614" s="2"/>
      <c r="N614" s="2"/>
      <c r="O614" s="2"/>
      <c r="P614" s="2"/>
      <c r="Q614" s="2"/>
      <c r="R614" s="2"/>
    </row>
    <row r="615">
      <c r="A615" s="2"/>
      <c r="B615" s="2"/>
      <c r="C615" s="2"/>
      <c r="D615" s="2"/>
      <c r="E615" s="2"/>
      <c r="F615" s="2"/>
      <c r="G615" s="2"/>
      <c r="H615" s="2"/>
      <c r="I615" s="2"/>
      <c r="J615" s="2"/>
      <c r="K615" s="2"/>
      <c r="L615" s="2"/>
      <c r="M615" s="2"/>
      <c r="N615" s="2"/>
      <c r="O615" s="2"/>
      <c r="P615" s="2"/>
      <c r="Q615" s="2"/>
      <c r="R615" s="2"/>
    </row>
    <row r="616">
      <c r="A616" s="2"/>
      <c r="B616" s="2"/>
      <c r="C616" s="2"/>
      <c r="D616" s="2"/>
      <c r="E616" s="2"/>
      <c r="F616" s="2"/>
      <c r="G616" s="2"/>
      <c r="H616" s="2"/>
      <c r="I616" s="2"/>
      <c r="J616" s="2"/>
      <c r="K616" s="2"/>
      <c r="L616" s="2"/>
      <c r="M616" s="2"/>
      <c r="N616" s="2"/>
      <c r="O616" s="2"/>
      <c r="P616" s="2"/>
      <c r="Q616" s="2"/>
      <c r="R616" s="2"/>
    </row>
    <row r="617">
      <c r="A617" s="2"/>
      <c r="B617" s="2"/>
      <c r="C617" s="2"/>
      <c r="D617" s="2"/>
      <c r="E617" s="2"/>
      <c r="F617" s="2"/>
      <c r="G617" s="2"/>
      <c r="H617" s="2"/>
      <c r="I617" s="2"/>
      <c r="J617" s="2"/>
      <c r="K617" s="2"/>
      <c r="L617" s="2"/>
      <c r="M617" s="2"/>
      <c r="N617" s="2"/>
      <c r="O617" s="2"/>
      <c r="P617" s="2"/>
      <c r="Q617" s="2"/>
      <c r="R617" s="2"/>
    </row>
    <row r="618">
      <c r="A618" s="2"/>
      <c r="B618" s="2"/>
      <c r="C618" s="2"/>
      <c r="D618" s="2"/>
      <c r="E618" s="2"/>
      <c r="F618" s="2"/>
      <c r="G618" s="2"/>
      <c r="H618" s="2"/>
      <c r="I618" s="2"/>
      <c r="J618" s="2"/>
      <c r="K618" s="2"/>
      <c r="L618" s="2"/>
      <c r="M618" s="2"/>
      <c r="N618" s="2"/>
      <c r="O618" s="2"/>
      <c r="P618" s="2"/>
      <c r="Q618" s="2"/>
      <c r="R618" s="2"/>
    </row>
    <row r="619">
      <c r="A619" s="2"/>
      <c r="B619" s="2"/>
      <c r="C619" s="2"/>
      <c r="D619" s="2"/>
      <c r="E619" s="2"/>
      <c r="F619" s="2"/>
      <c r="G619" s="2"/>
      <c r="H619" s="2"/>
      <c r="I619" s="2"/>
      <c r="J619" s="2"/>
      <c r="K619" s="2"/>
      <c r="L619" s="2"/>
      <c r="M619" s="2"/>
      <c r="N619" s="2"/>
      <c r="O619" s="2"/>
      <c r="P619" s="2"/>
      <c r="Q619" s="2"/>
      <c r="R619" s="2"/>
    </row>
    <row r="620">
      <c r="A620" s="2"/>
      <c r="B620" s="2"/>
      <c r="C620" s="2"/>
      <c r="D620" s="2"/>
      <c r="E620" s="2"/>
      <c r="F620" s="2"/>
      <c r="G620" s="2"/>
      <c r="H620" s="2"/>
      <c r="I620" s="2"/>
      <c r="J620" s="2"/>
      <c r="K620" s="2"/>
      <c r="L620" s="2"/>
      <c r="M620" s="2"/>
      <c r="N620" s="2"/>
      <c r="O620" s="2"/>
      <c r="P620" s="2"/>
      <c r="Q620" s="2"/>
      <c r="R620" s="2"/>
    </row>
    <row r="621">
      <c r="A621" s="2"/>
      <c r="B621" s="2"/>
      <c r="C621" s="2"/>
      <c r="D621" s="2"/>
      <c r="E621" s="2"/>
      <c r="F621" s="2"/>
      <c r="G621" s="2"/>
      <c r="H621" s="2"/>
      <c r="I621" s="2"/>
      <c r="J621" s="2"/>
      <c r="K621" s="2"/>
      <c r="L621" s="2"/>
      <c r="M621" s="2"/>
      <c r="N621" s="2"/>
      <c r="O621" s="2"/>
      <c r="P621" s="2"/>
      <c r="Q621" s="2"/>
      <c r="R621" s="2"/>
    </row>
    <row r="622">
      <c r="A622" s="2"/>
      <c r="B622" s="2"/>
      <c r="C622" s="2"/>
      <c r="D622" s="2"/>
      <c r="E622" s="2"/>
      <c r="F622" s="2"/>
      <c r="G622" s="2"/>
      <c r="H622" s="2"/>
      <c r="I622" s="2"/>
      <c r="J622" s="2"/>
      <c r="K622" s="2"/>
      <c r="L622" s="2"/>
      <c r="M622" s="2"/>
      <c r="N622" s="2"/>
      <c r="O622" s="2"/>
      <c r="P622" s="2"/>
      <c r="Q622" s="2"/>
      <c r="R622" s="2"/>
    </row>
    <row r="623">
      <c r="A623" s="2"/>
      <c r="B623" s="2"/>
      <c r="C623" s="2"/>
      <c r="D623" s="2"/>
      <c r="E623" s="2"/>
      <c r="F623" s="2"/>
      <c r="G623" s="2"/>
      <c r="H623" s="2"/>
      <c r="I623" s="2"/>
      <c r="J623" s="2"/>
      <c r="K623" s="2"/>
      <c r="L623" s="2"/>
      <c r="M623" s="2"/>
      <c r="N623" s="2"/>
      <c r="O623" s="2"/>
      <c r="P623" s="2"/>
      <c r="Q623" s="2"/>
      <c r="R623" s="2"/>
    </row>
    <row r="624">
      <c r="A624" s="2"/>
      <c r="B624" s="2"/>
      <c r="C624" s="2"/>
      <c r="D624" s="2"/>
      <c r="E624" s="2"/>
      <c r="F624" s="2"/>
      <c r="G624" s="2"/>
      <c r="H624" s="2"/>
      <c r="I624" s="2"/>
      <c r="J624" s="2"/>
      <c r="K624" s="2"/>
      <c r="L624" s="2"/>
      <c r="M624" s="2"/>
      <c r="N624" s="2"/>
      <c r="O624" s="2"/>
      <c r="P624" s="2"/>
      <c r="Q624" s="2"/>
      <c r="R624" s="2"/>
    </row>
    <row r="625">
      <c r="A625" s="2"/>
      <c r="B625" s="2"/>
      <c r="C625" s="2"/>
      <c r="D625" s="2"/>
      <c r="E625" s="2"/>
      <c r="F625" s="2"/>
      <c r="G625" s="2"/>
      <c r="H625" s="2"/>
      <c r="I625" s="2"/>
      <c r="J625" s="2"/>
      <c r="K625" s="2"/>
      <c r="L625" s="2"/>
      <c r="M625" s="2"/>
      <c r="N625" s="2"/>
      <c r="O625" s="2"/>
      <c r="P625" s="2"/>
      <c r="Q625" s="2"/>
      <c r="R625" s="2"/>
    </row>
    <row r="626">
      <c r="A626" s="2"/>
      <c r="B626" s="2"/>
      <c r="C626" s="2"/>
      <c r="D626" s="2"/>
      <c r="E626" s="2"/>
      <c r="F626" s="2"/>
      <c r="G626" s="2"/>
      <c r="H626" s="2"/>
      <c r="I626" s="2"/>
      <c r="J626" s="2"/>
      <c r="K626" s="2"/>
      <c r="L626" s="2"/>
      <c r="M626" s="2"/>
      <c r="N626" s="2"/>
      <c r="O626" s="2"/>
      <c r="P626" s="2"/>
      <c r="Q626" s="2"/>
      <c r="R626" s="2"/>
    </row>
    <row r="627">
      <c r="A627" s="2"/>
      <c r="B627" s="2"/>
      <c r="C627" s="2"/>
      <c r="D627" s="2"/>
      <c r="E627" s="2"/>
      <c r="F627" s="2"/>
      <c r="G627" s="2"/>
      <c r="H627" s="2"/>
      <c r="I627" s="2"/>
      <c r="J627" s="2"/>
      <c r="K627" s="2"/>
      <c r="L627" s="2"/>
      <c r="M627" s="2"/>
      <c r="N627" s="2"/>
      <c r="O627" s="2"/>
      <c r="P627" s="2"/>
      <c r="Q627" s="2"/>
      <c r="R627" s="2"/>
    </row>
    <row r="628">
      <c r="A628" s="2"/>
      <c r="B628" s="2"/>
      <c r="C628" s="2"/>
      <c r="D628" s="2"/>
      <c r="E628" s="2"/>
      <c r="F628" s="2"/>
      <c r="G628" s="2"/>
      <c r="H628" s="2"/>
      <c r="I628" s="2"/>
      <c r="J628" s="2"/>
      <c r="K628" s="2"/>
      <c r="L628" s="2"/>
      <c r="M628" s="2"/>
      <c r="N628" s="2"/>
      <c r="O628" s="2"/>
      <c r="P628" s="2"/>
      <c r="Q628" s="2"/>
      <c r="R628" s="2"/>
    </row>
    <row r="629">
      <c r="A629" s="2"/>
      <c r="B629" s="2"/>
      <c r="C629" s="2"/>
      <c r="D629" s="2"/>
      <c r="E629" s="2"/>
      <c r="F629" s="2"/>
      <c r="G629" s="2"/>
      <c r="H629" s="2"/>
      <c r="I629" s="2"/>
      <c r="J629" s="2"/>
      <c r="K629" s="2"/>
      <c r="L629" s="2"/>
      <c r="M629" s="2"/>
      <c r="N629" s="2"/>
      <c r="O629" s="2"/>
      <c r="P629" s="2"/>
      <c r="Q629" s="2"/>
      <c r="R629" s="2"/>
    </row>
    <row r="630">
      <c r="A630" s="2"/>
      <c r="B630" s="2"/>
      <c r="C630" s="2"/>
      <c r="D630" s="2"/>
      <c r="E630" s="2"/>
      <c r="F630" s="2"/>
      <c r="G630" s="2"/>
      <c r="H630" s="2"/>
      <c r="I630" s="2"/>
      <c r="J630" s="2"/>
      <c r="K630" s="2"/>
      <c r="L630" s="2"/>
      <c r="M630" s="2"/>
      <c r="N630" s="2"/>
      <c r="O630" s="2"/>
      <c r="P630" s="2"/>
      <c r="Q630" s="2"/>
      <c r="R630" s="2"/>
    </row>
    <row r="631">
      <c r="A631" s="2"/>
      <c r="B631" s="2"/>
      <c r="C631" s="2"/>
      <c r="D631" s="2"/>
      <c r="E631" s="2"/>
      <c r="F631" s="2"/>
      <c r="G631" s="2"/>
      <c r="H631" s="2"/>
      <c r="I631" s="2"/>
      <c r="J631" s="2"/>
      <c r="K631" s="2"/>
      <c r="L631" s="2"/>
      <c r="M631" s="2"/>
      <c r="N631" s="2"/>
      <c r="O631" s="2"/>
      <c r="P631" s="2"/>
      <c r="Q631" s="2"/>
      <c r="R631" s="2"/>
    </row>
    <row r="632">
      <c r="A632" s="2"/>
      <c r="B632" s="2"/>
      <c r="C632" s="2"/>
      <c r="D632" s="2"/>
      <c r="E632" s="2"/>
      <c r="F632" s="2"/>
      <c r="G632" s="2"/>
      <c r="H632" s="2"/>
      <c r="I632" s="2"/>
      <c r="J632" s="2"/>
      <c r="K632" s="2"/>
      <c r="L632" s="2"/>
      <c r="M632" s="2"/>
      <c r="N632" s="2"/>
      <c r="O632" s="2"/>
      <c r="P632" s="2"/>
      <c r="Q632" s="2"/>
      <c r="R632" s="2"/>
    </row>
    <row r="633">
      <c r="A633" s="2"/>
      <c r="B633" s="2"/>
      <c r="C633" s="2"/>
      <c r="D633" s="2"/>
      <c r="E633" s="2"/>
      <c r="F633" s="2"/>
      <c r="G633" s="2"/>
      <c r="H633" s="2"/>
      <c r="I633" s="2"/>
      <c r="J633" s="2"/>
      <c r="K633" s="2"/>
      <c r="L633" s="2"/>
      <c r="M633" s="2"/>
      <c r="N633" s="2"/>
      <c r="O633" s="2"/>
      <c r="P633" s="2"/>
      <c r="Q633" s="2"/>
      <c r="R633" s="2"/>
    </row>
    <row r="634">
      <c r="A634" s="2"/>
      <c r="B634" s="2"/>
      <c r="C634" s="2"/>
      <c r="D634" s="2"/>
      <c r="E634" s="2"/>
      <c r="F634" s="2"/>
      <c r="G634" s="2"/>
      <c r="H634" s="2"/>
      <c r="I634" s="2"/>
      <c r="J634" s="2"/>
      <c r="K634" s="2"/>
      <c r="L634" s="2"/>
      <c r="M634" s="2"/>
      <c r="N634" s="2"/>
      <c r="O634" s="2"/>
      <c r="P634" s="2"/>
      <c r="Q634" s="2"/>
      <c r="R634" s="2"/>
    </row>
    <row r="635">
      <c r="A635" s="2"/>
      <c r="B635" s="2"/>
      <c r="C635" s="2"/>
      <c r="D635" s="2"/>
      <c r="E635" s="2"/>
      <c r="F635" s="2"/>
      <c r="G635" s="2"/>
      <c r="H635" s="2"/>
      <c r="I635" s="2"/>
      <c r="J635" s="2"/>
      <c r="K635" s="2"/>
      <c r="L635" s="2"/>
      <c r="M635" s="2"/>
      <c r="N635" s="2"/>
      <c r="O635" s="2"/>
      <c r="P635" s="2"/>
      <c r="Q635" s="2"/>
      <c r="R635" s="2"/>
    </row>
    <row r="636">
      <c r="A636" s="2"/>
      <c r="B636" s="2"/>
      <c r="C636" s="2"/>
      <c r="D636" s="2"/>
      <c r="E636" s="2"/>
      <c r="F636" s="2"/>
      <c r="G636" s="2"/>
      <c r="H636" s="2"/>
      <c r="I636" s="2"/>
      <c r="J636" s="2"/>
      <c r="K636" s="2"/>
      <c r="L636" s="2"/>
      <c r="M636" s="2"/>
      <c r="N636" s="2"/>
      <c r="O636" s="2"/>
      <c r="P636" s="2"/>
      <c r="Q636" s="2"/>
      <c r="R636" s="2"/>
    </row>
    <row r="637">
      <c r="A637" s="2"/>
      <c r="B637" s="2"/>
      <c r="C637" s="2"/>
      <c r="D637" s="2"/>
      <c r="E637" s="2"/>
      <c r="F637" s="2"/>
      <c r="G637" s="2"/>
      <c r="H637" s="2"/>
      <c r="I637" s="2"/>
      <c r="J637" s="2"/>
      <c r="K637" s="2"/>
      <c r="L637" s="2"/>
      <c r="M637" s="2"/>
      <c r="N637" s="2"/>
      <c r="O637" s="2"/>
      <c r="P637" s="2"/>
      <c r="Q637" s="2"/>
      <c r="R637" s="2"/>
    </row>
    <row r="638">
      <c r="A638" s="2"/>
      <c r="B638" s="2"/>
      <c r="C638" s="2"/>
      <c r="D638" s="2"/>
      <c r="E638" s="2"/>
      <c r="F638" s="2"/>
      <c r="G638" s="2"/>
      <c r="H638" s="2"/>
      <c r="I638" s="2"/>
      <c r="J638" s="2"/>
      <c r="K638" s="2"/>
      <c r="L638" s="2"/>
      <c r="M638" s="2"/>
      <c r="N638" s="2"/>
      <c r="O638" s="2"/>
      <c r="P638" s="2"/>
      <c r="Q638" s="2"/>
      <c r="R638" s="2"/>
    </row>
    <row r="639">
      <c r="A639" s="2"/>
      <c r="B639" s="2"/>
      <c r="C639" s="2"/>
      <c r="D639" s="2"/>
      <c r="E639" s="2"/>
      <c r="F639" s="2"/>
      <c r="G639" s="2"/>
      <c r="H639" s="2"/>
      <c r="I639" s="2"/>
      <c r="J639" s="2"/>
      <c r="K639" s="2"/>
      <c r="L639" s="2"/>
      <c r="M639" s="2"/>
      <c r="N639" s="2"/>
      <c r="O639" s="2"/>
      <c r="P639" s="2"/>
      <c r="Q639" s="2"/>
      <c r="R639" s="2"/>
    </row>
    <row r="640">
      <c r="A640" s="2"/>
      <c r="B640" s="2"/>
      <c r="C640" s="2"/>
      <c r="D640" s="2"/>
      <c r="E640" s="2"/>
      <c r="F640" s="2"/>
      <c r="G640" s="2"/>
      <c r="H640" s="2"/>
      <c r="I640" s="2"/>
      <c r="J640" s="2"/>
      <c r="K640" s="2"/>
      <c r="L640" s="2"/>
      <c r="M640" s="2"/>
      <c r="N640" s="2"/>
      <c r="O640" s="2"/>
      <c r="P640" s="2"/>
      <c r="Q640" s="2"/>
      <c r="R640" s="2"/>
    </row>
    <row r="641">
      <c r="A641" s="2"/>
      <c r="B641" s="2"/>
      <c r="C641" s="2"/>
      <c r="D641" s="2"/>
      <c r="E641" s="2"/>
      <c r="F641" s="2"/>
      <c r="G641" s="2"/>
      <c r="H641" s="2"/>
      <c r="I641" s="2"/>
      <c r="J641" s="2"/>
      <c r="K641" s="2"/>
      <c r="L641" s="2"/>
      <c r="M641" s="2"/>
      <c r="N641" s="2"/>
      <c r="O641" s="2"/>
      <c r="P641" s="2"/>
      <c r="Q641" s="2"/>
      <c r="R641" s="2"/>
    </row>
    <row r="642">
      <c r="A642" s="2"/>
      <c r="B642" s="2"/>
      <c r="C642" s="2"/>
      <c r="D642" s="2"/>
      <c r="E642" s="2"/>
      <c r="F642" s="2"/>
      <c r="G642" s="2"/>
      <c r="H642" s="2"/>
      <c r="I642" s="2"/>
      <c r="J642" s="2"/>
      <c r="K642" s="2"/>
      <c r="L642" s="2"/>
      <c r="M642" s="2"/>
      <c r="N642" s="2"/>
      <c r="O642" s="2"/>
      <c r="P642" s="2"/>
      <c r="Q642" s="2"/>
      <c r="R642" s="2"/>
    </row>
    <row r="643">
      <c r="A643" s="2"/>
      <c r="B643" s="2"/>
      <c r="C643" s="2"/>
      <c r="D643" s="2"/>
      <c r="E643" s="2"/>
      <c r="F643" s="2"/>
      <c r="G643" s="2"/>
      <c r="H643" s="2"/>
      <c r="I643" s="2"/>
      <c r="J643" s="2"/>
      <c r="K643" s="2"/>
      <c r="L643" s="2"/>
      <c r="M643" s="2"/>
      <c r="N643" s="2"/>
      <c r="O643" s="2"/>
      <c r="P643" s="2"/>
      <c r="Q643" s="2"/>
      <c r="R643" s="2"/>
    </row>
    <row r="644">
      <c r="A644" s="2"/>
      <c r="B644" s="2"/>
      <c r="C644" s="2"/>
      <c r="D644" s="2"/>
      <c r="E644" s="2"/>
      <c r="F644" s="2"/>
      <c r="G644" s="2"/>
      <c r="H644" s="2"/>
      <c r="I644" s="2"/>
      <c r="J644" s="2"/>
      <c r="K644" s="2"/>
      <c r="L644" s="2"/>
      <c r="M644" s="2"/>
      <c r="N644" s="2"/>
      <c r="O644" s="2"/>
      <c r="P644" s="2"/>
      <c r="Q644" s="2"/>
      <c r="R644" s="2"/>
    </row>
    <row r="645">
      <c r="A645" s="2"/>
      <c r="B645" s="2"/>
      <c r="C645" s="2"/>
      <c r="D645" s="2"/>
      <c r="E645" s="2"/>
      <c r="F645" s="2"/>
      <c r="G645" s="2"/>
      <c r="H645" s="2"/>
      <c r="I645" s="2"/>
      <c r="J645" s="2"/>
      <c r="K645" s="2"/>
      <c r="L645" s="2"/>
      <c r="M645" s="2"/>
      <c r="N645" s="2"/>
      <c r="O645" s="2"/>
      <c r="P645" s="2"/>
      <c r="Q645" s="2"/>
      <c r="R645" s="2"/>
    </row>
    <row r="646">
      <c r="A646" s="2"/>
      <c r="B646" s="2"/>
      <c r="C646" s="2"/>
      <c r="D646" s="2"/>
      <c r="E646" s="2"/>
      <c r="F646" s="2"/>
      <c r="G646" s="2"/>
      <c r="H646" s="2"/>
      <c r="I646" s="2"/>
      <c r="J646" s="2"/>
      <c r="K646" s="2"/>
      <c r="L646" s="2"/>
      <c r="M646" s="2"/>
      <c r="N646" s="2"/>
      <c r="O646" s="2"/>
      <c r="P646" s="2"/>
      <c r="Q646" s="2"/>
      <c r="R646" s="2"/>
    </row>
    <row r="647">
      <c r="A647" s="2"/>
      <c r="B647" s="2"/>
      <c r="C647" s="2"/>
      <c r="D647" s="2"/>
      <c r="E647" s="2"/>
      <c r="F647" s="2"/>
      <c r="G647" s="2"/>
      <c r="H647" s="2"/>
      <c r="I647" s="2"/>
      <c r="J647" s="2"/>
      <c r="K647" s="2"/>
      <c r="L647" s="2"/>
      <c r="M647" s="2"/>
      <c r="N647" s="2"/>
      <c r="O647" s="2"/>
      <c r="P647" s="2"/>
      <c r="Q647" s="2"/>
      <c r="R647" s="2"/>
    </row>
    <row r="648">
      <c r="A648" s="2"/>
      <c r="B648" s="2"/>
      <c r="C648" s="2"/>
      <c r="D648" s="2"/>
      <c r="E648" s="2"/>
      <c r="F648" s="2"/>
      <c r="G648" s="2"/>
      <c r="H648" s="2"/>
      <c r="I648" s="2"/>
      <c r="J648" s="2"/>
      <c r="K648" s="2"/>
      <c r="L648" s="2"/>
      <c r="M648" s="2"/>
      <c r="N648" s="2"/>
      <c r="O648" s="2"/>
      <c r="P648" s="2"/>
      <c r="Q648" s="2"/>
      <c r="R648" s="2"/>
    </row>
    <row r="649">
      <c r="A649" s="2"/>
      <c r="B649" s="2"/>
      <c r="C649" s="2"/>
      <c r="D649" s="2"/>
      <c r="E649" s="2"/>
      <c r="F649" s="2"/>
      <c r="G649" s="2"/>
      <c r="H649" s="2"/>
      <c r="I649" s="2"/>
      <c r="J649" s="2"/>
      <c r="K649" s="2"/>
      <c r="L649" s="2"/>
      <c r="M649" s="2"/>
      <c r="N649" s="2"/>
      <c r="O649" s="2"/>
      <c r="P649" s="2"/>
      <c r="Q649" s="2"/>
      <c r="R649" s="2"/>
    </row>
    <row r="650">
      <c r="A650" s="2"/>
      <c r="B650" s="2"/>
      <c r="C650" s="2"/>
      <c r="D650" s="2"/>
      <c r="E650" s="2"/>
      <c r="F650" s="2"/>
      <c r="G650" s="2"/>
      <c r="H650" s="2"/>
      <c r="I650" s="2"/>
      <c r="J650" s="2"/>
      <c r="K650" s="2"/>
      <c r="L650" s="2"/>
      <c r="M650" s="2"/>
      <c r="N650" s="2"/>
      <c r="O650" s="2"/>
      <c r="P650" s="2"/>
      <c r="Q650" s="2"/>
      <c r="R650" s="2"/>
    </row>
    <row r="651">
      <c r="A651" s="2"/>
      <c r="B651" s="2"/>
      <c r="C651" s="2"/>
      <c r="D651" s="2"/>
      <c r="E651" s="2"/>
      <c r="F651" s="2"/>
      <c r="G651" s="2"/>
      <c r="H651" s="2"/>
      <c r="I651" s="2"/>
      <c r="J651" s="2"/>
      <c r="K651" s="2"/>
      <c r="L651" s="2"/>
      <c r="M651" s="2"/>
      <c r="N651" s="2"/>
      <c r="O651" s="2"/>
      <c r="P651" s="2"/>
      <c r="Q651" s="2"/>
      <c r="R651" s="2"/>
    </row>
    <row r="652">
      <c r="A652" s="2"/>
      <c r="B652" s="2"/>
      <c r="C652" s="2"/>
      <c r="D652" s="2"/>
      <c r="E652" s="2"/>
      <c r="F652" s="2"/>
      <c r="G652" s="2"/>
      <c r="H652" s="2"/>
      <c r="I652" s="2"/>
      <c r="J652" s="2"/>
      <c r="K652" s="2"/>
      <c r="L652" s="2"/>
      <c r="M652" s="2"/>
      <c r="N652" s="2"/>
      <c r="O652" s="2"/>
      <c r="P652" s="2"/>
      <c r="Q652" s="2"/>
      <c r="R652" s="2"/>
    </row>
    <row r="653">
      <c r="A653" s="2"/>
      <c r="B653" s="2"/>
      <c r="C653" s="2"/>
      <c r="D653" s="2"/>
      <c r="E653" s="2"/>
      <c r="F653" s="2"/>
      <c r="G653" s="2"/>
      <c r="H653" s="2"/>
      <c r="I653" s="2"/>
      <c r="J653" s="2"/>
      <c r="K653" s="2"/>
      <c r="L653" s="2"/>
      <c r="M653" s="2"/>
      <c r="N653" s="2"/>
      <c r="O653" s="2"/>
      <c r="P653" s="2"/>
      <c r="Q653" s="2"/>
      <c r="R653" s="2"/>
    </row>
    <row r="654">
      <c r="A654" s="2"/>
      <c r="B654" s="2"/>
      <c r="C654" s="2"/>
      <c r="D654" s="2"/>
      <c r="E654" s="2"/>
      <c r="F654" s="2"/>
      <c r="G654" s="2"/>
      <c r="H654" s="2"/>
      <c r="I654" s="2"/>
      <c r="J654" s="2"/>
      <c r="K654" s="2"/>
      <c r="L654" s="2"/>
      <c r="M654" s="2"/>
      <c r="N654" s="2"/>
      <c r="O654" s="2"/>
      <c r="P654" s="2"/>
      <c r="Q654" s="2"/>
      <c r="R654" s="2"/>
    </row>
    <row r="655">
      <c r="A655" s="2"/>
      <c r="B655" s="2"/>
      <c r="C655" s="2"/>
      <c r="D655" s="2"/>
      <c r="E655" s="2"/>
      <c r="F655" s="2"/>
      <c r="G655" s="2"/>
      <c r="H655" s="2"/>
      <c r="I655" s="2"/>
      <c r="J655" s="2"/>
      <c r="K655" s="2"/>
      <c r="L655" s="2"/>
      <c r="M655" s="2"/>
      <c r="N655" s="2"/>
      <c r="O655" s="2"/>
      <c r="P655" s="2"/>
      <c r="Q655" s="2"/>
      <c r="R655" s="2"/>
    </row>
    <row r="656">
      <c r="A656" s="2"/>
      <c r="B656" s="2"/>
      <c r="C656" s="2"/>
      <c r="D656" s="2"/>
      <c r="E656" s="2"/>
      <c r="F656" s="2"/>
      <c r="G656" s="2"/>
      <c r="H656" s="2"/>
      <c r="I656" s="2"/>
      <c r="J656" s="2"/>
      <c r="K656" s="2"/>
      <c r="L656" s="2"/>
      <c r="M656" s="2"/>
      <c r="N656" s="2"/>
      <c r="O656" s="2"/>
      <c r="P656" s="2"/>
      <c r="Q656" s="2"/>
      <c r="R656" s="2"/>
    </row>
    <row r="657">
      <c r="A657" s="2"/>
      <c r="B657" s="2"/>
      <c r="C657" s="2"/>
      <c r="D657" s="2"/>
      <c r="E657" s="2"/>
      <c r="F657" s="2"/>
      <c r="G657" s="2"/>
      <c r="H657" s="2"/>
      <c r="I657" s="2"/>
      <c r="J657" s="2"/>
      <c r="K657" s="2"/>
      <c r="L657" s="2"/>
      <c r="M657" s="2"/>
      <c r="N657" s="2"/>
      <c r="O657" s="2"/>
      <c r="P657" s="2"/>
      <c r="Q657" s="2"/>
      <c r="R657" s="2"/>
    </row>
    <row r="658">
      <c r="A658" s="2"/>
      <c r="B658" s="2"/>
      <c r="C658" s="2"/>
      <c r="D658" s="2"/>
      <c r="E658" s="2"/>
      <c r="F658" s="2"/>
      <c r="G658" s="2"/>
      <c r="H658" s="2"/>
      <c r="I658" s="2"/>
      <c r="J658" s="2"/>
      <c r="K658" s="2"/>
      <c r="L658" s="2"/>
      <c r="M658" s="2"/>
      <c r="N658" s="2"/>
      <c r="O658" s="2"/>
      <c r="P658" s="2"/>
      <c r="Q658" s="2"/>
      <c r="R658" s="2"/>
    </row>
    <row r="659">
      <c r="A659" s="2"/>
      <c r="B659" s="2"/>
      <c r="C659" s="2"/>
      <c r="D659" s="2"/>
      <c r="E659" s="2"/>
      <c r="F659" s="2"/>
      <c r="G659" s="2"/>
      <c r="H659" s="2"/>
      <c r="I659" s="2"/>
      <c r="J659" s="2"/>
      <c r="K659" s="2"/>
      <c r="L659" s="2"/>
      <c r="M659" s="2"/>
      <c r="N659" s="2"/>
      <c r="O659" s="2"/>
      <c r="P659" s="2"/>
      <c r="Q659" s="2"/>
      <c r="R659" s="2"/>
    </row>
    <row r="660">
      <c r="A660" s="2"/>
      <c r="B660" s="2"/>
      <c r="C660" s="2"/>
      <c r="D660" s="2"/>
      <c r="E660" s="2"/>
      <c r="F660" s="2"/>
      <c r="G660" s="2"/>
      <c r="H660" s="2"/>
      <c r="I660" s="2"/>
      <c r="J660" s="2"/>
      <c r="K660" s="2"/>
      <c r="L660" s="2"/>
      <c r="M660" s="2"/>
      <c r="N660" s="2"/>
      <c r="O660" s="2"/>
      <c r="P660" s="2"/>
      <c r="Q660" s="2"/>
      <c r="R660" s="2"/>
    </row>
    <row r="661">
      <c r="A661" s="2"/>
      <c r="B661" s="2"/>
      <c r="C661" s="2"/>
      <c r="D661" s="2"/>
      <c r="E661" s="2"/>
      <c r="F661" s="2"/>
      <c r="G661" s="2"/>
      <c r="H661" s="2"/>
      <c r="I661" s="2"/>
      <c r="J661" s="2"/>
      <c r="K661" s="2"/>
      <c r="L661" s="2"/>
      <c r="M661" s="2"/>
      <c r="N661" s="2"/>
      <c r="O661" s="2"/>
      <c r="P661" s="2"/>
      <c r="Q661" s="2"/>
      <c r="R661" s="2"/>
    </row>
    <row r="662">
      <c r="A662" s="2"/>
      <c r="B662" s="2"/>
      <c r="C662" s="2"/>
      <c r="D662" s="2"/>
      <c r="E662" s="2"/>
      <c r="F662" s="2"/>
      <c r="G662" s="2"/>
      <c r="H662" s="2"/>
      <c r="I662" s="2"/>
      <c r="J662" s="2"/>
      <c r="K662" s="2"/>
      <c r="L662" s="2"/>
      <c r="M662" s="2"/>
      <c r="N662" s="2"/>
      <c r="O662" s="2"/>
      <c r="P662" s="2"/>
      <c r="Q662" s="2"/>
      <c r="R662" s="2"/>
    </row>
    <row r="663">
      <c r="A663" s="2"/>
      <c r="B663" s="2"/>
      <c r="C663" s="2"/>
      <c r="D663" s="2"/>
      <c r="E663" s="2"/>
      <c r="F663" s="2"/>
      <c r="G663" s="2"/>
      <c r="H663" s="2"/>
      <c r="I663" s="2"/>
      <c r="J663" s="2"/>
      <c r="K663" s="2"/>
      <c r="L663" s="2"/>
      <c r="M663" s="2"/>
      <c r="N663" s="2"/>
      <c r="O663" s="2"/>
      <c r="P663" s="2"/>
      <c r="Q663" s="2"/>
      <c r="R663" s="2"/>
    </row>
    <row r="664">
      <c r="A664" s="2"/>
      <c r="B664" s="2"/>
      <c r="C664" s="2"/>
      <c r="D664" s="2"/>
      <c r="E664" s="2"/>
      <c r="F664" s="2"/>
      <c r="G664" s="2"/>
      <c r="H664" s="2"/>
      <c r="I664" s="2"/>
      <c r="J664" s="2"/>
      <c r="K664" s="2"/>
      <c r="L664" s="2"/>
      <c r="M664" s="2"/>
      <c r="N664" s="2"/>
      <c r="O664" s="2"/>
      <c r="P664" s="2"/>
      <c r="Q664" s="2"/>
      <c r="R664" s="2"/>
    </row>
    <row r="665">
      <c r="A665" s="2"/>
      <c r="B665" s="2"/>
      <c r="C665" s="2"/>
      <c r="D665" s="2"/>
      <c r="E665" s="2"/>
      <c r="F665" s="2"/>
      <c r="G665" s="2"/>
      <c r="H665" s="2"/>
      <c r="I665" s="2"/>
      <c r="J665" s="2"/>
      <c r="K665" s="2"/>
      <c r="L665" s="2"/>
      <c r="M665" s="2"/>
      <c r="N665" s="2"/>
      <c r="O665" s="2"/>
      <c r="P665" s="2"/>
      <c r="Q665" s="2"/>
      <c r="R665" s="2"/>
    </row>
    <row r="666">
      <c r="A666" s="2"/>
      <c r="B666" s="2"/>
      <c r="C666" s="2"/>
      <c r="D666" s="2"/>
      <c r="E666" s="2"/>
      <c r="F666" s="2"/>
      <c r="G666" s="2"/>
      <c r="H666" s="2"/>
      <c r="I666" s="2"/>
      <c r="J666" s="2"/>
      <c r="K666" s="2"/>
      <c r="L666" s="2"/>
      <c r="M666" s="2"/>
      <c r="N666" s="2"/>
      <c r="O666" s="2"/>
      <c r="P666" s="2"/>
      <c r="Q666" s="2"/>
      <c r="R666" s="2"/>
    </row>
    <row r="667">
      <c r="A667" s="2"/>
      <c r="B667" s="2"/>
      <c r="C667" s="2"/>
      <c r="D667" s="2"/>
      <c r="E667" s="2"/>
      <c r="F667" s="2"/>
      <c r="G667" s="2"/>
      <c r="H667" s="2"/>
      <c r="I667" s="2"/>
      <c r="J667" s="2"/>
      <c r="K667" s="2"/>
      <c r="L667" s="2"/>
      <c r="M667" s="2"/>
      <c r="N667" s="2"/>
      <c r="O667" s="2"/>
      <c r="P667" s="2"/>
      <c r="Q667" s="2"/>
      <c r="R667" s="2"/>
    </row>
    <row r="668">
      <c r="A668" s="2"/>
      <c r="B668" s="2"/>
      <c r="C668" s="2"/>
      <c r="D668" s="2"/>
      <c r="E668" s="2"/>
      <c r="F668" s="2"/>
      <c r="G668" s="2"/>
      <c r="H668" s="2"/>
      <c r="I668" s="2"/>
      <c r="J668" s="2"/>
      <c r="K668" s="2"/>
      <c r="L668" s="2"/>
      <c r="M668" s="2"/>
      <c r="N668" s="2"/>
      <c r="O668" s="2"/>
      <c r="P668" s="2"/>
      <c r="Q668" s="2"/>
      <c r="R668" s="2"/>
    </row>
    <row r="669">
      <c r="A669" s="2"/>
      <c r="B669" s="2"/>
      <c r="C669" s="2"/>
      <c r="D669" s="2"/>
      <c r="E669" s="2"/>
      <c r="F669" s="2"/>
      <c r="G669" s="2"/>
      <c r="H669" s="2"/>
      <c r="I669" s="2"/>
      <c r="J669" s="2"/>
      <c r="K669" s="2"/>
      <c r="L669" s="2"/>
      <c r="M669" s="2"/>
      <c r="N669" s="2"/>
      <c r="O669" s="2"/>
      <c r="P669" s="2"/>
      <c r="Q669" s="2"/>
      <c r="R669" s="2"/>
    </row>
    <row r="670">
      <c r="A670" s="2"/>
      <c r="B670" s="2"/>
      <c r="C670" s="2"/>
      <c r="D670" s="2"/>
      <c r="E670" s="2"/>
      <c r="F670" s="2"/>
      <c r="G670" s="2"/>
      <c r="H670" s="2"/>
      <c r="I670" s="2"/>
      <c r="J670" s="2"/>
      <c r="K670" s="2"/>
      <c r="L670" s="2"/>
      <c r="M670" s="2"/>
      <c r="N670" s="2"/>
      <c r="O670" s="2"/>
      <c r="P670" s="2"/>
      <c r="Q670" s="2"/>
      <c r="R670" s="2"/>
    </row>
    <row r="671">
      <c r="A671" s="2"/>
      <c r="B671" s="2"/>
      <c r="C671" s="2"/>
      <c r="D671" s="2"/>
      <c r="E671" s="2"/>
      <c r="F671" s="2"/>
      <c r="G671" s="2"/>
      <c r="H671" s="2"/>
      <c r="I671" s="2"/>
      <c r="J671" s="2"/>
      <c r="K671" s="2"/>
      <c r="L671" s="2"/>
      <c r="M671" s="2"/>
      <c r="N671" s="2"/>
      <c r="O671" s="2"/>
      <c r="P671" s="2"/>
      <c r="Q671" s="2"/>
      <c r="R671" s="2"/>
    </row>
    <row r="672">
      <c r="A672" s="2"/>
      <c r="B672" s="2"/>
      <c r="C672" s="2"/>
      <c r="D672" s="2"/>
      <c r="E672" s="2"/>
      <c r="F672" s="2"/>
      <c r="G672" s="2"/>
      <c r="H672" s="2"/>
      <c r="I672" s="2"/>
      <c r="J672" s="2"/>
      <c r="K672" s="2"/>
      <c r="L672" s="2"/>
      <c r="M672" s="2"/>
      <c r="N672" s="2"/>
      <c r="O672" s="2"/>
      <c r="P672" s="2"/>
      <c r="Q672" s="2"/>
      <c r="R672" s="2"/>
    </row>
    <row r="673">
      <c r="A673" s="2"/>
      <c r="B673" s="2"/>
      <c r="C673" s="2"/>
      <c r="D673" s="2"/>
      <c r="E673" s="2"/>
      <c r="F673" s="2"/>
      <c r="G673" s="2"/>
      <c r="H673" s="2"/>
      <c r="I673" s="2"/>
      <c r="J673" s="2"/>
      <c r="K673" s="2"/>
      <c r="L673" s="2"/>
      <c r="M673" s="2"/>
      <c r="N673" s="2"/>
      <c r="O673" s="2"/>
      <c r="P673" s="2"/>
      <c r="Q673" s="2"/>
      <c r="R673" s="2"/>
    </row>
    <row r="674">
      <c r="A674" s="2"/>
      <c r="B674" s="2"/>
      <c r="C674" s="2"/>
      <c r="D674" s="2"/>
      <c r="E674" s="2"/>
      <c r="F674" s="2"/>
      <c r="G674" s="2"/>
      <c r="H674" s="2"/>
      <c r="I674" s="2"/>
      <c r="J674" s="2"/>
      <c r="K674" s="2"/>
      <c r="L674" s="2"/>
      <c r="M674" s="2"/>
      <c r="N674" s="2"/>
      <c r="O674" s="2"/>
      <c r="P674" s="2"/>
      <c r="Q674" s="2"/>
      <c r="R674" s="2"/>
    </row>
    <row r="675">
      <c r="A675" s="2"/>
      <c r="B675" s="2"/>
      <c r="C675" s="2"/>
      <c r="D675" s="2"/>
      <c r="E675" s="2"/>
      <c r="F675" s="2"/>
      <c r="G675" s="2"/>
      <c r="H675" s="2"/>
      <c r="I675" s="2"/>
      <c r="J675" s="2"/>
      <c r="K675" s="2"/>
      <c r="L675" s="2"/>
      <c r="M675" s="2"/>
      <c r="N675" s="2"/>
      <c r="O675" s="2"/>
      <c r="P675" s="2"/>
      <c r="Q675" s="2"/>
      <c r="R675" s="2"/>
    </row>
    <row r="676">
      <c r="A676" s="2"/>
      <c r="B676" s="2"/>
      <c r="C676" s="2"/>
      <c r="D676" s="2"/>
      <c r="E676" s="2"/>
      <c r="F676" s="2"/>
      <c r="G676" s="2"/>
      <c r="H676" s="2"/>
      <c r="I676" s="2"/>
      <c r="J676" s="2"/>
      <c r="K676" s="2"/>
      <c r="L676" s="2"/>
      <c r="M676" s="2"/>
      <c r="N676" s="2"/>
      <c r="O676" s="2"/>
      <c r="P676" s="2"/>
      <c r="Q676" s="2"/>
      <c r="R676" s="2"/>
    </row>
    <row r="677">
      <c r="A677" s="2"/>
      <c r="B677" s="2"/>
      <c r="C677" s="2"/>
      <c r="D677" s="2"/>
      <c r="E677" s="2"/>
      <c r="F677" s="2"/>
      <c r="G677" s="2"/>
      <c r="H677" s="2"/>
      <c r="I677" s="2"/>
      <c r="J677" s="2"/>
      <c r="K677" s="2"/>
      <c r="L677" s="2"/>
      <c r="M677" s="2"/>
      <c r="N677" s="2"/>
      <c r="O677" s="2"/>
      <c r="P677" s="2"/>
      <c r="Q677" s="2"/>
      <c r="R677" s="2"/>
    </row>
    <row r="678">
      <c r="A678" s="2"/>
      <c r="B678" s="2"/>
      <c r="C678" s="2"/>
      <c r="D678" s="2"/>
      <c r="E678" s="2"/>
      <c r="F678" s="2"/>
      <c r="G678" s="2"/>
      <c r="H678" s="2"/>
      <c r="I678" s="2"/>
      <c r="J678" s="2"/>
      <c r="K678" s="2"/>
      <c r="L678" s="2"/>
      <c r="M678" s="2"/>
      <c r="N678" s="2"/>
      <c r="O678" s="2"/>
      <c r="P678" s="2"/>
      <c r="Q678" s="2"/>
      <c r="R678" s="2"/>
    </row>
    <row r="679">
      <c r="A679" s="2"/>
      <c r="B679" s="2"/>
      <c r="C679" s="2"/>
      <c r="D679" s="2"/>
      <c r="E679" s="2"/>
      <c r="F679" s="2"/>
      <c r="G679" s="2"/>
      <c r="H679" s="2"/>
      <c r="I679" s="2"/>
      <c r="J679" s="2"/>
      <c r="K679" s="2"/>
      <c r="L679" s="2"/>
      <c r="M679" s="2"/>
      <c r="N679" s="2"/>
      <c r="O679" s="2"/>
      <c r="P679" s="2"/>
      <c r="Q679" s="2"/>
      <c r="R679" s="2"/>
    </row>
    <row r="680">
      <c r="A680" s="2"/>
      <c r="B680" s="2"/>
      <c r="C680" s="2"/>
      <c r="D680" s="2"/>
      <c r="E680" s="2"/>
      <c r="F680" s="2"/>
      <c r="G680" s="2"/>
      <c r="H680" s="2"/>
      <c r="I680" s="2"/>
      <c r="J680" s="2"/>
      <c r="K680" s="2"/>
      <c r="L680" s="2"/>
      <c r="M680" s="2"/>
      <c r="N680" s="2"/>
      <c r="O680" s="2"/>
      <c r="P680" s="2"/>
      <c r="Q680" s="2"/>
      <c r="R680" s="2"/>
    </row>
    <row r="681">
      <c r="A681" s="2"/>
      <c r="B681" s="2"/>
      <c r="C681" s="2"/>
      <c r="D681" s="2"/>
      <c r="E681" s="2"/>
      <c r="F681" s="2"/>
      <c r="G681" s="2"/>
      <c r="H681" s="2"/>
      <c r="I681" s="2"/>
      <c r="J681" s="2"/>
      <c r="K681" s="2"/>
      <c r="L681" s="2"/>
      <c r="M681" s="2"/>
      <c r="N681" s="2"/>
      <c r="O681" s="2"/>
      <c r="P681" s="2"/>
      <c r="Q681" s="2"/>
      <c r="R681" s="2"/>
    </row>
    <row r="682">
      <c r="A682" s="2"/>
      <c r="B682" s="2"/>
      <c r="C682" s="2"/>
      <c r="D682" s="2"/>
      <c r="E682" s="2"/>
      <c r="F682" s="2"/>
      <c r="G682" s="2"/>
      <c r="H682" s="2"/>
      <c r="I682" s="2"/>
      <c r="J682" s="2"/>
      <c r="K682" s="2"/>
      <c r="L682" s="2"/>
      <c r="M682" s="2"/>
      <c r="N682" s="2"/>
      <c r="O682" s="2"/>
      <c r="P682" s="2"/>
      <c r="Q682" s="2"/>
      <c r="R682" s="2"/>
    </row>
    <row r="683">
      <c r="A683" s="2"/>
      <c r="B683" s="2"/>
      <c r="C683" s="2"/>
      <c r="D683" s="2"/>
      <c r="E683" s="2"/>
      <c r="F683" s="2"/>
      <c r="G683" s="2"/>
      <c r="H683" s="2"/>
      <c r="I683" s="2"/>
      <c r="J683" s="2"/>
      <c r="K683" s="2"/>
      <c r="L683" s="2"/>
      <c r="M683" s="2"/>
      <c r="N683" s="2"/>
      <c r="O683" s="2"/>
      <c r="P683" s="2"/>
      <c r="Q683" s="2"/>
      <c r="R683" s="2"/>
    </row>
    <row r="684">
      <c r="A684" s="2"/>
      <c r="B684" s="2"/>
      <c r="C684" s="2"/>
      <c r="D684" s="2"/>
      <c r="E684" s="2"/>
      <c r="F684" s="2"/>
      <c r="G684" s="2"/>
      <c r="H684" s="2"/>
      <c r="I684" s="2"/>
      <c r="J684" s="2"/>
      <c r="K684" s="2"/>
      <c r="L684" s="2"/>
      <c r="M684" s="2"/>
      <c r="N684" s="2"/>
      <c r="O684" s="2"/>
      <c r="P684" s="2"/>
      <c r="Q684" s="2"/>
      <c r="R684" s="2"/>
    </row>
    <row r="685">
      <c r="A685" s="2"/>
      <c r="B685" s="2"/>
      <c r="C685" s="2"/>
      <c r="D685" s="2"/>
      <c r="E685" s="2"/>
      <c r="F685" s="2"/>
      <c r="G685" s="2"/>
      <c r="H685" s="2"/>
      <c r="I685" s="2"/>
      <c r="J685" s="2"/>
      <c r="K685" s="2"/>
      <c r="L685" s="2"/>
      <c r="M685" s="2"/>
      <c r="N685" s="2"/>
      <c r="O685" s="2"/>
      <c r="P685" s="2"/>
      <c r="Q685" s="2"/>
      <c r="R685" s="2"/>
    </row>
    <row r="686">
      <c r="A686" s="2"/>
      <c r="B686" s="2"/>
      <c r="C686" s="2"/>
      <c r="D686" s="2"/>
      <c r="E686" s="2"/>
      <c r="F686" s="2"/>
      <c r="G686" s="2"/>
      <c r="H686" s="2"/>
      <c r="I686" s="2"/>
      <c r="J686" s="2"/>
      <c r="K686" s="2"/>
      <c r="L686" s="2"/>
      <c r="M686" s="2"/>
      <c r="N686" s="2"/>
      <c r="O686" s="2"/>
      <c r="P686" s="2"/>
      <c r="Q686" s="2"/>
      <c r="R686" s="2"/>
    </row>
    <row r="687">
      <c r="A687" s="2"/>
      <c r="B687" s="2"/>
      <c r="C687" s="2"/>
      <c r="D687" s="2"/>
      <c r="E687" s="2"/>
      <c r="F687" s="2"/>
      <c r="G687" s="2"/>
      <c r="H687" s="2"/>
      <c r="I687" s="2"/>
      <c r="J687" s="2"/>
      <c r="K687" s="2"/>
      <c r="L687" s="2"/>
      <c r="M687" s="2"/>
      <c r="N687" s="2"/>
      <c r="O687" s="2"/>
      <c r="P687" s="2"/>
      <c r="Q687" s="2"/>
      <c r="R687" s="2"/>
    </row>
    <row r="688">
      <c r="A688" s="2"/>
      <c r="B688" s="2"/>
      <c r="C688" s="2"/>
      <c r="D688" s="2"/>
      <c r="E688" s="2"/>
      <c r="F688" s="2"/>
      <c r="G688" s="2"/>
      <c r="H688" s="2"/>
      <c r="I688" s="2"/>
      <c r="J688" s="2"/>
      <c r="K688" s="2"/>
      <c r="L688" s="2"/>
      <c r="M688" s="2"/>
      <c r="N688" s="2"/>
      <c r="O688" s="2"/>
      <c r="P688" s="2"/>
      <c r="Q688" s="2"/>
      <c r="R688" s="2"/>
    </row>
    <row r="689">
      <c r="A689" s="2"/>
      <c r="B689" s="2"/>
      <c r="C689" s="2"/>
      <c r="D689" s="2"/>
      <c r="E689" s="2"/>
      <c r="F689" s="2"/>
      <c r="G689" s="2"/>
      <c r="H689" s="2"/>
      <c r="I689" s="2"/>
      <c r="J689" s="2"/>
      <c r="K689" s="2"/>
      <c r="L689" s="2"/>
      <c r="M689" s="2"/>
      <c r="N689" s="2"/>
      <c r="O689" s="2"/>
      <c r="P689" s="2"/>
      <c r="Q689" s="2"/>
      <c r="R689" s="2"/>
    </row>
    <row r="690">
      <c r="A690" s="2"/>
      <c r="B690" s="2"/>
      <c r="C690" s="2"/>
      <c r="D690" s="2"/>
      <c r="E690" s="2"/>
      <c r="F690" s="2"/>
      <c r="G690" s="2"/>
      <c r="H690" s="2"/>
      <c r="I690" s="2"/>
      <c r="J690" s="2"/>
      <c r="K690" s="2"/>
      <c r="L690" s="2"/>
      <c r="M690" s="2"/>
      <c r="N690" s="2"/>
      <c r="O690" s="2"/>
      <c r="P690" s="2"/>
      <c r="Q690" s="2"/>
      <c r="R690" s="2"/>
    </row>
    <row r="691">
      <c r="A691" s="2"/>
      <c r="B691" s="2"/>
      <c r="C691" s="2"/>
      <c r="D691" s="2"/>
      <c r="E691" s="2"/>
      <c r="F691" s="2"/>
      <c r="G691" s="2"/>
      <c r="H691" s="2"/>
      <c r="I691" s="2"/>
      <c r="J691" s="2"/>
      <c r="K691" s="2"/>
      <c r="L691" s="2"/>
      <c r="M691" s="2"/>
      <c r="N691" s="2"/>
      <c r="O691" s="2"/>
      <c r="P691" s="2"/>
      <c r="Q691" s="2"/>
      <c r="R691" s="2"/>
    </row>
    <row r="692">
      <c r="A692" s="2"/>
      <c r="B692" s="2"/>
      <c r="C692" s="2"/>
      <c r="D692" s="2"/>
      <c r="E692" s="2"/>
      <c r="F692" s="2"/>
      <c r="G692" s="2"/>
      <c r="H692" s="2"/>
      <c r="I692" s="2"/>
      <c r="J692" s="2"/>
      <c r="K692" s="2"/>
      <c r="L692" s="2"/>
      <c r="M692" s="2"/>
      <c r="N692" s="2"/>
      <c r="O692" s="2"/>
      <c r="P692" s="2"/>
      <c r="Q692" s="2"/>
      <c r="R692" s="2"/>
    </row>
    <row r="693">
      <c r="A693" s="2"/>
      <c r="B693" s="2"/>
      <c r="C693" s="2"/>
      <c r="D693" s="2"/>
      <c r="E693" s="2"/>
      <c r="F693" s="2"/>
      <c r="G693" s="2"/>
      <c r="H693" s="2"/>
      <c r="I693" s="2"/>
      <c r="J693" s="2"/>
      <c r="K693" s="2"/>
      <c r="L693" s="2"/>
      <c r="M693" s="2"/>
      <c r="N693" s="2"/>
      <c r="O693" s="2"/>
      <c r="P693" s="2"/>
      <c r="Q693" s="2"/>
      <c r="R693" s="2"/>
    </row>
    <row r="694">
      <c r="A694" s="2"/>
      <c r="B694" s="2"/>
      <c r="C694" s="2"/>
      <c r="D694" s="2"/>
      <c r="E694" s="2"/>
      <c r="F694" s="2"/>
      <c r="G694" s="2"/>
      <c r="H694" s="2"/>
      <c r="I694" s="2"/>
      <c r="J694" s="2"/>
      <c r="K694" s="2"/>
      <c r="L694" s="2"/>
      <c r="M694" s="2"/>
      <c r="N694" s="2"/>
      <c r="O694" s="2"/>
      <c r="P694" s="2"/>
      <c r="Q694" s="2"/>
      <c r="R694" s="2"/>
    </row>
    <row r="695">
      <c r="A695" s="2"/>
      <c r="B695" s="2"/>
      <c r="C695" s="2"/>
      <c r="D695" s="2"/>
      <c r="E695" s="2"/>
      <c r="F695" s="2"/>
      <c r="G695" s="2"/>
      <c r="H695" s="2"/>
      <c r="I695" s="2"/>
      <c r="J695" s="2"/>
      <c r="K695" s="2"/>
      <c r="L695" s="2"/>
      <c r="M695" s="2"/>
      <c r="N695" s="2"/>
      <c r="O695" s="2"/>
      <c r="P695" s="2"/>
      <c r="Q695" s="2"/>
      <c r="R695" s="2"/>
    </row>
    <row r="696">
      <c r="A696" s="2"/>
      <c r="B696" s="2"/>
      <c r="C696" s="2"/>
      <c r="D696" s="2"/>
      <c r="E696" s="2"/>
      <c r="F696" s="2"/>
      <c r="G696" s="2"/>
      <c r="H696" s="2"/>
      <c r="I696" s="2"/>
      <c r="J696" s="2"/>
      <c r="K696" s="2"/>
      <c r="L696" s="2"/>
      <c r="M696" s="2"/>
      <c r="N696" s="2"/>
      <c r="O696" s="2"/>
      <c r="P696" s="2"/>
      <c r="Q696" s="2"/>
      <c r="R696" s="2"/>
    </row>
    <row r="697">
      <c r="A697" s="2"/>
      <c r="B697" s="2"/>
      <c r="C697" s="2"/>
      <c r="D697" s="2"/>
      <c r="E697" s="2"/>
      <c r="F697" s="2"/>
      <c r="G697" s="2"/>
      <c r="H697" s="2"/>
      <c r="I697" s="2"/>
      <c r="J697" s="2"/>
      <c r="K697" s="2"/>
      <c r="L697" s="2"/>
      <c r="M697" s="2"/>
      <c r="N697" s="2"/>
      <c r="O697" s="2"/>
      <c r="P697" s="2"/>
      <c r="Q697" s="2"/>
      <c r="R697" s="2"/>
    </row>
    <row r="698">
      <c r="A698" s="2"/>
      <c r="B698" s="2"/>
      <c r="C698" s="2"/>
      <c r="D698" s="2"/>
      <c r="E698" s="2"/>
      <c r="F698" s="2"/>
      <c r="G698" s="2"/>
      <c r="H698" s="2"/>
      <c r="I698" s="2"/>
      <c r="J698" s="2"/>
      <c r="K698" s="2"/>
      <c r="L698" s="2"/>
      <c r="M698" s="2"/>
      <c r="N698" s="2"/>
      <c r="O698" s="2"/>
      <c r="P698" s="2"/>
      <c r="Q698" s="2"/>
      <c r="R698" s="2"/>
    </row>
    <row r="699">
      <c r="A699" s="2"/>
      <c r="B699" s="2"/>
      <c r="C699" s="2"/>
      <c r="D699" s="2"/>
      <c r="E699" s="2"/>
      <c r="F699" s="2"/>
      <c r="G699" s="2"/>
      <c r="H699" s="2"/>
      <c r="I699" s="2"/>
      <c r="J699" s="2"/>
      <c r="K699" s="2"/>
      <c r="L699" s="2"/>
      <c r="M699" s="2"/>
      <c r="N699" s="2"/>
      <c r="O699" s="2"/>
      <c r="P699" s="2"/>
      <c r="Q699" s="2"/>
      <c r="R699" s="2"/>
    </row>
    <row r="700">
      <c r="A700" s="2"/>
      <c r="B700" s="2"/>
      <c r="C700" s="2"/>
      <c r="D700" s="2"/>
      <c r="E700" s="2"/>
      <c r="F700" s="2"/>
      <c r="G700" s="2"/>
      <c r="H700" s="2"/>
      <c r="I700" s="2"/>
      <c r="J700" s="2"/>
      <c r="K700" s="2"/>
      <c r="L700" s="2"/>
      <c r="M700" s="2"/>
      <c r="N700" s="2"/>
      <c r="O700" s="2"/>
      <c r="P700" s="2"/>
      <c r="Q700" s="2"/>
      <c r="R700" s="2"/>
    </row>
    <row r="701">
      <c r="A701" s="2"/>
      <c r="B701" s="2"/>
      <c r="C701" s="2"/>
      <c r="D701" s="2"/>
      <c r="E701" s="2"/>
      <c r="F701" s="2"/>
      <c r="G701" s="2"/>
      <c r="H701" s="2"/>
      <c r="I701" s="2"/>
      <c r="J701" s="2"/>
      <c r="K701" s="2"/>
      <c r="L701" s="2"/>
      <c r="M701" s="2"/>
      <c r="N701" s="2"/>
      <c r="O701" s="2"/>
      <c r="P701" s="2"/>
      <c r="Q701" s="2"/>
      <c r="R701" s="2"/>
    </row>
    <row r="702">
      <c r="A702" s="2"/>
      <c r="B702" s="2"/>
      <c r="C702" s="2"/>
      <c r="D702" s="2"/>
      <c r="E702" s="2"/>
      <c r="F702" s="2"/>
      <c r="G702" s="2"/>
      <c r="H702" s="2"/>
      <c r="I702" s="2"/>
      <c r="J702" s="2"/>
      <c r="K702" s="2"/>
      <c r="L702" s="2"/>
      <c r="M702" s="2"/>
      <c r="N702" s="2"/>
      <c r="O702" s="2"/>
      <c r="P702" s="2"/>
      <c r="Q702" s="2"/>
      <c r="R702" s="2"/>
    </row>
    <row r="703">
      <c r="A703" s="2"/>
      <c r="B703" s="2"/>
      <c r="C703" s="2"/>
      <c r="D703" s="2"/>
      <c r="E703" s="2"/>
      <c r="F703" s="2"/>
      <c r="G703" s="2"/>
      <c r="H703" s="2"/>
      <c r="I703" s="2"/>
      <c r="J703" s="2"/>
      <c r="K703" s="2"/>
      <c r="L703" s="2"/>
      <c r="M703" s="2"/>
      <c r="N703" s="2"/>
      <c r="O703" s="2"/>
      <c r="P703" s="2"/>
      <c r="Q703" s="2"/>
      <c r="R703" s="2"/>
    </row>
    <row r="704">
      <c r="A704" s="2"/>
      <c r="B704" s="2"/>
      <c r="C704" s="2"/>
      <c r="D704" s="2"/>
      <c r="E704" s="2"/>
      <c r="F704" s="2"/>
      <c r="G704" s="2"/>
      <c r="H704" s="2"/>
      <c r="I704" s="2"/>
      <c r="J704" s="2"/>
      <c r="K704" s="2"/>
      <c r="L704" s="2"/>
      <c r="M704" s="2"/>
      <c r="N704" s="2"/>
      <c r="O704" s="2"/>
      <c r="P704" s="2"/>
      <c r="Q704" s="2"/>
      <c r="R704" s="2"/>
    </row>
    <row r="705">
      <c r="A705" s="2"/>
      <c r="B705" s="2"/>
      <c r="C705" s="2"/>
      <c r="D705" s="2"/>
      <c r="E705" s="2"/>
      <c r="F705" s="2"/>
      <c r="G705" s="2"/>
      <c r="H705" s="2"/>
      <c r="I705" s="2"/>
      <c r="J705" s="2"/>
      <c r="K705" s="2"/>
      <c r="L705" s="2"/>
      <c r="M705" s="2"/>
      <c r="N705" s="2"/>
      <c r="O705" s="2"/>
      <c r="P705" s="2"/>
      <c r="Q705" s="2"/>
      <c r="R705" s="2"/>
    </row>
    <row r="706">
      <c r="A706" s="2"/>
      <c r="B706" s="2"/>
      <c r="C706" s="2"/>
      <c r="D706" s="2"/>
      <c r="E706" s="2"/>
      <c r="F706" s="2"/>
      <c r="G706" s="2"/>
      <c r="H706" s="2"/>
      <c r="I706" s="2"/>
      <c r="J706" s="2"/>
      <c r="K706" s="2"/>
      <c r="L706" s="2"/>
      <c r="M706" s="2"/>
      <c r="N706" s="2"/>
      <c r="O706" s="2"/>
      <c r="P706" s="2"/>
      <c r="Q706" s="2"/>
      <c r="R706" s="2"/>
    </row>
    <row r="707">
      <c r="A707" s="2"/>
      <c r="B707" s="2"/>
      <c r="C707" s="2"/>
      <c r="D707" s="2"/>
      <c r="E707" s="2"/>
      <c r="F707" s="2"/>
      <c r="G707" s="2"/>
      <c r="H707" s="2"/>
      <c r="I707" s="2"/>
      <c r="J707" s="2"/>
      <c r="K707" s="2"/>
      <c r="L707" s="2"/>
      <c r="M707" s="2"/>
      <c r="N707" s="2"/>
      <c r="O707" s="2"/>
      <c r="P707" s="2"/>
      <c r="Q707" s="2"/>
      <c r="R707" s="2"/>
    </row>
    <row r="708">
      <c r="A708" s="2"/>
      <c r="B708" s="2"/>
      <c r="C708" s="2"/>
      <c r="D708" s="2"/>
      <c r="E708" s="2"/>
      <c r="F708" s="2"/>
      <c r="G708" s="2"/>
      <c r="H708" s="2"/>
      <c r="I708" s="2"/>
      <c r="J708" s="2"/>
      <c r="K708" s="2"/>
      <c r="L708" s="2"/>
      <c r="M708" s="2"/>
      <c r="N708" s="2"/>
      <c r="O708" s="2"/>
      <c r="P708" s="2"/>
      <c r="Q708" s="2"/>
      <c r="R708" s="2"/>
    </row>
    <row r="709">
      <c r="A709" s="2"/>
      <c r="B709" s="2"/>
      <c r="C709" s="2"/>
      <c r="D709" s="2"/>
      <c r="E709" s="2"/>
      <c r="F709" s="2"/>
      <c r="G709" s="2"/>
      <c r="H709" s="2"/>
      <c r="I709" s="2"/>
      <c r="J709" s="2"/>
      <c r="K709" s="2"/>
      <c r="L709" s="2"/>
      <c r="M709" s="2"/>
      <c r="N709" s="2"/>
      <c r="O709" s="2"/>
      <c r="P709" s="2"/>
      <c r="Q709" s="2"/>
      <c r="R709" s="2"/>
    </row>
    <row r="710">
      <c r="A710" s="2"/>
      <c r="B710" s="2"/>
      <c r="C710" s="2"/>
      <c r="D710" s="2"/>
      <c r="E710" s="2"/>
      <c r="F710" s="2"/>
      <c r="G710" s="2"/>
      <c r="H710" s="2"/>
      <c r="I710" s="2"/>
      <c r="J710" s="2"/>
      <c r="K710" s="2"/>
      <c r="L710" s="2"/>
      <c r="M710" s="2"/>
      <c r="N710" s="2"/>
      <c r="O710" s="2"/>
      <c r="P710" s="2"/>
      <c r="Q710" s="2"/>
      <c r="R710" s="2"/>
    </row>
    <row r="711">
      <c r="A711" s="2"/>
      <c r="B711" s="2"/>
      <c r="C711" s="2"/>
      <c r="D711" s="2"/>
      <c r="E711" s="2"/>
      <c r="F711" s="2"/>
      <c r="G711" s="2"/>
      <c r="H711" s="2"/>
      <c r="I711" s="2"/>
      <c r="J711" s="2"/>
      <c r="K711" s="2"/>
      <c r="L711" s="2"/>
      <c r="M711" s="2"/>
      <c r="N711" s="2"/>
      <c r="O711" s="2"/>
      <c r="P711" s="2"/>
      <c r="Q711" s="2"/>
      <c r="R711" s="2"/>
    </row>
    <row r="712">
      <c r="A712" s="2"/>
      <c r="B712" s="2"/>
      <c r="C712" s="2"/>
      <c r="D712" s="2"/>
      <c r="E712" s="2"/>
      <c r="F712" s="2"/>
      <c r="G712" s="2"/>
      <c r="H712" s="2"/>
      <c r="I712" s="2"/>
      <c r="J712" s="2"/>
      <c r="K712" s="2"/>
      <c r="L712" s="2"/>
      <c r="M712" s="2"/>
      <c r="N712" s="2"/>
      <c r="O712" s="2"/>
      <c r="P712" s="2"/>
      <c r="Q712" s="2"/>
      <c r="R712" s="2"/>
    </row>
    <row r="713">
      <c r="A713" s="2"/>
      <c r="B713" s="2"/>
      <c r="C713" s="2"/>
      <c r="D713" s="2"/>
      <c r="E713" s="2"/>
      <c r="F713" s="2"/>
      <c r="G713" s="2"/>
      <c r="H713" s="2"/>
      <c r="I713" s="2"/>
      <c r="J713" s="2"/>
      <c r="K713" s="2"/>
      <c r="L713" s="2"/>
      <c r="M713" s="2"/>
      <c r="N713" s="2"/>
      <c r="O713" s="2"/>
      <c r="P713" s="2"/>
      <c r="Q713" s="2"/>
      <c r="R713" s="2"/>
    </row>
    <row r="714">
      <c r="A714" s="2"/>
      <c r="B714" s="2"/>
      <c r="C714" s="2"/>
      <c r="D714" s="2"/>
      <c r="E714" s="2"/>
      <c r="F714" s="2"/>
      <c r="G714" s="2"/>
      <c r="H714" s="2"/>
      <c r="I714" s="2"/>
      <c r="J714" s="2"/>
      <c r="K714" s="2"/>
      <c r="L714" s="2"/>
      <c r="M714" s="2"/>
      <c r="N714" s="2"/>
      <c r="O714" s="2"/>
      <c r="P714" s="2"/>
      <c r="Q714" s="2"/>
      <c r="R714" s="2"/>
    </row>
    <row r="715">
      <c r="A715" s="2"/>
      <c r="B715" s="2"/>
      <c r="C715" s="2"/>
      <c r="D715" s="2"/>
      <c r="E715" s="2"/>
      <c r="F715" s="2"/>
      <c r="G715" s="2"/>
      <c r="H715" s="2"/>
      <c r="I715" s="2"/>
      <c r="J715" s="2"/>
      <c r="K715" s="2"/>
      <c r="L715" s="2"/>
      <c r="M715" s="2"/>
      <c r="N715" s="2"/>
      <c r="O715" s="2"/>
      <c r="P715" s="2"/>
      <c r="Q715" s="2"/>
      <c r="R715" s="2"/>
    </row>
    <row r="716">
      <c r="A716" s="2"/>
      <c r="B716" s="2"/>
      <c r="C716" s="2"/>
      <c r="D716" s="2"/>
      <c r="E716" s="2"/>
      <c r="F716" s="2"/>
      <c r="G716" s="2"/>
      <c r="H716" s="2"/>
      <c r="I716" s="2"/>
      <c r="J716" s="2"/>
      <c r="K716" s="2"/>
      <c r="L716" s="2"/>
      <c r="M716" s="2"/>
      <c r="N716" s="2"/>
      <c r="O716" s="2"/>
      <c r="P716" s="2"/>
      <c r="Q716" s="2"/>
      <c r="R716" s="2"/>
    </row>
    <row r="717">
      <c r="A717" s="2"/>
      <c r="B717" s="2"/>
      <c r="C717" s="2"/>
      <c r="D717" s="2"/>
      <c r="E717" s="2"/>
      <c r="F717" s="2"/>
      <c r="G717" s="2"/>
      <c r="H717" s="2"/>
      <c r="I717" s="2"/>
      <c r="J717" s="2"/>
      <c r="K717" s="2"/>
      <c r="L717" s="2"/>
      <c r="M717" s="2"/>
      <c r="N717" s="2"/>
      <c r="O717" s="2"/>
      <c r="P717" s="2"/>
      <c r="Q717" s="2"/>
      <c r="R717" s="2"/>
    </row>
    <row r="718">
      <c r="A718" s="2"/>
      <c r="B718" s="2"/>
      <c r="C718" s="2"/>
      <c r="D718" s="2"/>
      <c r="E718" s="2"/>
      <c r="F718" s="2"/>
      <c r="G718" s="2"/>
      <c r="H718" s="2"/>
      <c r="I718" s="2"/>
      <c r="J718" s="2"/>
      <c r="K718" s="2"/>
      <c r="L718" s="2"/>
      <c r="M718" s="2"/>
      <c r="N718" s="2"/>
      <c r="O718" s="2"/>
      <c r="P718" s="2"/>
      <c r="Q718" s="2"/>
      <c r="R718" s="2"/>
    </row>
    <row r="719">
      <c r="A719" s="2"/>
      <c r="B719" s="2"/>
      <c r="C719" s="2"/>
      <c r="D719" s="2"/>
      <c r="E719" s="2"/>
      <c r="F719" s="2"/>
      <c r="G719" s="2"/>
      <c r="H719" s="2"/>
      <c r="I719" s="2"/>
      <c r="J719" s="2"/>
      <c r="K719" s="2"/>
      <c r="L719" s="2"/>
      <c r="M719" s="2"/>
      <c r="N719" s="2"/>
      <c r="O719" s="2"/>
      <c r="P719" s="2"/>
      <c r="Q719" s="2"/>
      <c r="R719" s="2"/>
    </row>
    <row r="720">
      <c r="A720" s="2"/>
      <c r="B720" s="2"/>
      <c r="C720" s="2"/>
      <c r="D720" s="2"/>
      <c r="E720" s="2"/>
      <c r="F720" s="2"/>
      <c r="G720" s="2"/>
      <c r="H720" s="2"/>
      <c r="I720" s="2"/>
      <c r="J720" s="2"/>
      <c r="K720" s="2"/>
      <c r="L720" s="2"/>
      <c r="M720" s="2"/>
      <c r="N720" s="2"/>
      <c r="O720" s="2"/>
      <c r="P720" s="2"/>
      <c r="Q720" s="2"/>
      <c r="R720" s="2"/>
    </row>
    <row r="721">
      <c r="A721" s="2"/>
      <c r="B721" s="2"/>
      <c r="C721" s="2"/>
      <c r="D721" s="2"/>
      <c r="E721" s="2"/>
      <c r="F721" s="2"/>
      <c r="G721" s="2"/>
      <c r="H721" s="2"/>
      <c r="I721" s="2"/>
      <c r="J721" s="2"/>
      <c r="K721" s="2"/>
      <c r="L721" s="2"/>
      <c r="M721" s="2"/>
      <c r="N721" s="2"/>
      <c r="O721" s="2"/>
      <c r="P721" s="2"/>
      <c r="Q721" s="2"/>
      <c r="R721" s="2"/>
    </row>
    <row r="722">
      <c r="A722" s="2"/>
      <c r="B722" s="2"/>
      <c r="C722" s="2"/>
      <c r="D722" s="2"/>
      <c r="E722" s="2"/>
      <c r="F722" s="2"/>
      <c r="G722" s="2"/>
      <c r="H722" s="2"/>
      <c r="I722" s="2"/>
      <c r="J722" s="2"/>
      <c r="K722" s="2"/>
      <c r="L722" s="2"/>
      <c r="M722" s="2"/>
      <c r="N722" s="2"/>
      <c r="O722" s="2"/>
      <c r="P722" s="2"/>
      <c r="Q722" s="2"/>
      <c r="R722" s="2"/>
    </row>
    <row r="723">
      <c r="A723" s="2"/>
      <c r="B723" s="2"/>
      <c r="C723" s="2"/>
      <c r="D723" s="2"/>
      <c r="E723" s="2"/>
      <c r="F723" s="2"/>
      <c r="G723" s="2"/>
      <c r="H723" s="2"/>
      <c r="I723" s="2"/>
      <c r="J723" s="2"/>
      <c r="K723" s="2"/>
      <c r="L723" s="2"/>
      <c r="M723" s="2"/>
      <c r="N723" s="2"/>
      <c r="O723" s="2"/>
      <c r="P723" s="2"/>
      <c r="Q723" s="2"/>
      <c r="R723" s="2"/>
    </row>
    <row r="724">
      <c r="A724" s="2"/>
      <c r="B724" s="2"/>
      <c r="C724" s="2"/>
      <c r="D724" s="2"/>
      <c r="E724" s="2"/>
      <c r="F724" s="2"/>
      <c r="G724" s="2"/>
      <c r="H724" s="2"/>
      <c r="I724" s="2"/>
      <c r="J724" s="2"/>
      <c r="K724" s="2"/>
      <c r="L724" s="2"/>
      <c r="M724" s="2"/>
      <c r="N724" s="2"/>
      <c r="O724" s="2"/>
      <c r="P724" s="2"/>
      <c r="Q724" s="2"/>
      <c r="R724" s="2"/>
    </row>
    <row r="725">
      <c r="A725" s="2"/>
      <c r="B725" s="2"/>
      <c r="C725" s="2"/>
      <c r="D725" s="2"/>
      <c r="E725" s="2"/>
      <c r="F725" s="2"/>
      <c r="G725" s="2"/>
      <c r="H725" s="2"/>
      <c r="I725" s="2"/>
      <c r="J725" s="2"/>
      <c r="K725" s="2"/>
      <c r="L725" s="2"/>
      <c r="M725" s="2"/>
      <c r="N725" s="2"/>
      <c r="O725" s="2"/>
      <c r="P725" s="2"/>
      <c r="Q725" s="2"/>
      <c r="R725" s="2"/>
    </row>
    <row r="726">
      <c r="A726" s="2"/>
      <c r="B726" s="2"/>
      <c r="C726" s="2"/>
      <c r="D726" s="2"/>
      <c r="E726" s="2"/>
      <c r="F726" s="2"/>
      <c r="G726" s="2"/>
      <c r="H726" s="2"/>
      <c r="I726" s="2"/>
      <c r="J726" s="2"/>
      <c r="K726" s="2"/>
      <c r="L726" s="2"/>
      <c r="M726" s="2"/>
      <c r="N726" s="2"/>
      <c r="O726" s="2"/>
      <c r="P726" s="2"/>
      <c r="Q726" s="2"/>
      <c r="R726" s="2"/>
    </row>
    <row r="727">
      <c r="A727" s="2"/>
      <c r="B727" s="2"/>
      <c r="C727" s="2"/>
      <c r="D727" s="2"/>
      <c r="E727" s="2"/>
      <c r="F727" s="2"/>
      <c r="G727" s="2"/>
      <c r="H727" s="2"/>
      <c r="I727" s="2"/>
      <c r="J727" s="2"/>
      <c r="K727" s="2"/>
      <c r="L727" s="2"/>
      <c r="M727" s="2"/>
      <c r="N727" s="2"/>
      <c r="O727" s="2"/>
      <c r="P727" s="2"/>
      <c r="Q727" s="2"/>
      <c r="R727" s="2"/>
    </row>
    <row r="728">
      <c r="A728" s="2"/>
      <c r="B728" s="2"/>
      <c r="C728" s="2"/>
      <c r="D728" s="2"/>
      <c r="E728" s="2"/>
      <c r="F728" s="2"/>
      <c r="G728" s="2"/>
      <c r="H728" s="2"/>
      <c r="I728" s="2"/>
      <c r="J728" s="2"/>
      <c r="K728" s="2"/>
      <c r="L728" s="2"/>
      <c r="M728" s="2"/>
      <c r="N728" s="2"/>
      <c r="O728" s="2"/>
      <c r="P728" s="2"/>
      <c r="Q728" s="2"/>
      <c r="R728" s="2"/>
    </row>
    <row r="729">
      <c r="A729" s="2"/>
      <c r="B729" s="2"/>
      <c r="C729" s="2"/>
      <c r="D729" s="2"/>
      <c r="E729" s="2"/>
      <c r="F729" s="2"/>
      <c r="G729" s="2"/>
      <c r="H729" s="2"/>
      <c r="I729" s="2"/>
      <c r="J729" s="2"/>
      <c r="K729" s="2"/>
      <c r="L729" s="2"/>
      <c r="M729" s="2"/>
      <c r="N729" s="2"/>
      <c r="O729" s="2"/>
      <c r="P729" s="2"/>
      <c r="Q729" s="2"/>
      <c r="R729" s="2"/>
    </row>
    <row r="730">
      <c r="A730" s="2"/>
      <c r="B730" s="2"/>
      <c r="C730" s="2"/>
      <c r="D730" s="2"/>
      <c r="E730" s="2"/>
      <c r="F730" s="2"/>
      <c r="G730" s="2"/>
      <c r="H730" s="2"/>
      <c r="I730" s="2"/>
      <c r="J730" s="2"/>
      <c r="K730" s="2"/>
      <c r="L730" s="2"/>
      <c r="M730" s="2"/>
      <c r="N730" s="2"/>
      <c r="O730" s="2"/>
      <c r="P730" s="2"/>
      <c r="Q730" s="2"/>
      <c r="R730" s="2"/>
    </row>
    <row r="731">
      <c r="A731" s="2"/>
      <c r="B731" s="2"/>
      <c r="C731" s="2"/>
      <c r="D731" s="2"/>
      <c r="E731" s="2"/>
      <c r="F731" s="2"/>
      <c r="G731" s="2"/>
      <c r="H731" s="2"/>
      <c r="I731" s="2"/>
      <c r="J731" s="2"/>
      <c r="K731" s="2"/>
      <c r="L731" s="2"/>
      <c r="M731" s="2"/>
      <c r="N731" s="2"/>
      <c r="O731" s="2"/>
      <c r="P731" s="2"/>
      <c r="Q731" s="2"/>
      <c r="R731" s="2"/>
    </row>
    <row r="732">
      <c r="A732" s="2"/>
      <c r="B732" s="2"/>
      <c r="C732" s="2"/>
      <c r="D732" s="2"/>
      <c r="E732" s="2"/>
      <c r="F732" s="2"/>
      <c r="G732" s="2"/>
      <c r="H732" s="2"/>
      <c r="I732" s="2"/>
      <c r="J732" s="2"/>
      <c r="K732" s="2"/>
      <c r="L732" s="2"/>
      <c r="M732" s="2"/>
      <c r="N732" s="2"/>
      <c r="O732" s="2"/>
      <c r="P732" s="2"/>
      <c r="Q732" s="2"/>
      <c r="R732" s="2"/>
    </row>
    <row r="733">
      <c r="A733" s="2"/>
      <c r="B733" s="2"/>
      <c r="C733" s="2"/>
      <c r="D733" s="2"/>
      <c r="E733" s="2"/>
      <c r="F733" s="2"/>
      <c r="G733" s="2"/>
      <c r="H733" s="2"/>
      <c r="I733" s="2"/>
      <c r="J733" s="2"/>
      <c r="K733" s="2"/>
      <c r="L733" s="2"/>
      <c r="M733" s="2"/>
      <c r="N733" s="2"/>
      <c r="O733" s="2"/>
      <c r="P733" s="2"/>
      <c r="Q733" s="2"/>
      <c r="R733" s="2"/>
    </row>
    <row r="734">
      <c r="A734" s="2"/>
      <c r="B734" s="2"/>
      <c r="C734" s="2"/>
      <c r="D734" s="2"/>
      <c r="E734" s="2"/>
      <c r="F734" s="2"/>
      <c r="G734" s="2"/>
      <c r="H734" s="2"/>
      <c r="I734" s="2"/>
      <c r="J734" s="2"/>
      <c r="K734" s="2"/>
      <c r="L734" s="2"/>
      <c r="M734" s="2"/>
      <c r="N734" s="2"/>
      <c r="O734" s="2"/>
      <c r="P734" s="2"/>
      <c r="Q734" s="2"/>
      <c r="R734" s="2"/>
    </row>
    <row r="735">
      <c r="A735" s="2"/>
      <c r="B735" s="2"/>
      <c r="C735" s="2"/>
      <c r="D735" s="2"/>
      <c r="E735" s="2"/>
      <c r="F735" s="2"/>
      <c r="G735" s="2"/>
      <c r="H735" s="2"/>
      <c r="I735" s="2"/>
      <c r="J735" s="2"/>
      <c r="K735" s="2"/>
      <c r="L735" s="2"/>
      <c r="M735" s="2"/>
      <c r="N735" s="2"/>
      <c r="O735" s="2"/>
      <c r="P735" s="2"/>
      <c r="Q735" s="2"/>
      <c r="R735" s="2"/>
    </row>
    <row r="736">
      <c r="A736" s="2"/>
      <c r="B736" s="2"/>
      <c r="C736" s="2"/>
      <c r="D736" s="2"/>
      <c r="E736" s="2"/>
      <c r="F736" s="2"/>
      <c r="G736" s="2"/>
      <c r="H736" s="2"/>
      <c r="I736" s="2"/>
      <c r="J736" s="2"/>
      <c r="K736" s="2"/>
      <c r="L736" s="2"/>
      <c r="M736" s="2"/>
      <c r="N736" s="2"/>
      <c r="O736" s="2"/>
      <c r="P736" s="2"/>
      <c r="Q736" s="2"/>
      <c r="R736" s="2"/>
    </row>
    <row r="737">
      <c r="A737" s="2"/>
      <c r="B737" s="2"/>
      <c r="C737" s="2"/>
      <c r="D737" s="2"/>
      <c r="E737" s="2"/>
      <c r="F737" s="2"/>
      <c r="G737" s="2"/>
      <c r="H737" s="2"/>
      <c r="I737" s="2"/>
      <c r="J737" s="2"/>
      <c r="K737" s="2"/>
      <c r="L737" s="2"/>
      <c r="M737" s="2"/>
      <c r="N737" s="2"/>
      <c r="O737" s="2"/>
      <c r="P737" s="2"/>
      <c r="Q737" s="2"/>
      <c r="R737" s="2"/>
    </row>
    <row r="738">
      <c r="A738" s="2"/>
      <c r="B738" s="2"/>
      <c r="C738" s="2"/>
      <c r="D738" s="2"/>
      <c r="E738" s="2"/>
      <c r="F738" s="2"/>
      <c r="G738" s="2"/>
      <c r="H738" s="2"/>
      <c r="I738" s="2"/>
      <c r="J738" s="2"/>
      <c r="K738" s="2"/>
      <c r="L738" s="2"/>
      <c r="M738" s="2"/>
      <c r="N738" s="2"/>
      <c r="O738" s="2"/>
      <c r="P738" s="2"/>
      <c r="Q738" s="2"/>
      <c r="R738" s="2"/>
    </row>
    <row r="739">
      <c r="A739" s="2"/>
      <c r="B739" s="2"/>
      <c r="C739" s="2"/>
      <c r="D739" s="2"/>
      <c r="E739" s="2"/>
      <c r="F739" s="2"/>
      <c r="G739" s="2"/>
      <c r="H739" s="2"/>
      <c r="I739" s="2"/>
      <c r="J739" s="2"/>
      <c r="K739" s="2"/>
      <c r="L739" s="2"/>
      <c r="M739" s="2"/>
      <c r="N739" s="2"/>
      <c r="O739" s="2"/>
      <c r="P739" s="2"/>
      <c r="Q739" s="2"/>
      <c r="R739" s="2"/>
    </row>
    <row r="740">
      <c r="A740" s="2"/>
      <c r="B740" s="2"/>
      <c r="C740" s="2"/>
      <c r="D740" s="2"/>
      <c r="E740" s="2"/>
      <c r="F740" s="2"/>
      <c r="G740" s="2"/>
      <c r="H740" s="2"/>
      <c r="I740" s="2"/>
      <c r="J740" s="2"/>
      <c r="K740" s="2"/>
      <c r="L740" s="2"/>
      <c r="M740" s="2"/>
      <c r="N740" s="2"/>
      <c r="O740" s="2"/>
      <c r="P740" s="2"/>
      <c r="Q740" s="2"/>
      <c r="R740" s="2"/>
    </row>
    <row r="741">
      <c r="A741" s="2"/>
      <c r="B741" s="2"/>
      <c r="C741" s="2"/>
      <c r="D741" s="2"/>
      <c r="E741" s="2"/>
      <c r="F741" s="2"/>
      <c r="G741" s="2"/>
      <c r="H741" s="2"/>
      <c r="I741" s="2"/>
      <c r="J741" s="2"/>
      <c r="K741" s="2"/>
      <c r="L741" s="2"/>
      <c r="M741" s="2"/>
      <c r="N741" s="2"/>
      <c r="O741" s="2"/>
      <c r="P741" s="2"/>
      <c r="Q741" s="2"/>
      <c r="R741" s="2"/>
    </row>
    <row r="742">
      <c r="A742" s="2"/>
      <c r="B742" s="2"/>
      <c r="C742" s="2"/>
      <c r="D742" s="2"/>
      <c r="E742" s="2"/>
      <c r="F742" s="2"/>
      <c r="G742" s="2"/>
      <c r="H742" s="2"/>
      <c r="I742" s="2"/>
      <c r="J742" s="2"/>
      <c r="K742" s="2"/>
      <c r="L742" s="2"/>
      <c r="M742" s="2"/>
      <c r="N742" s="2"/>
      <c r="O742" s="2"/>
      <c r="P742" s="2"/>
      <c r="Q742" s="2"/>
      <c r="R742" s="2"/>
    </row>
    <row r="743">
      <c r="A743" s="2"/>
      <c r="B743" s="2"/>
      <c r="C743" s="2"/>
      <c r="D743" s="2"/>
      <c r="E743" s="2"/>
      <c r="F743" s="2"/>
      <c r="G743" s="2"/>
      <c r="H743" s="2"/>
      <c r="I743" s="2"/>
      <c r="J743" s="2"/>
      <c r="K743" s="2"/>
      <c r="L743" s="2"/>
      <c r="M743" s="2"/>
      <c r="N743" s="2"/>
      <c r="O743" s="2"/>
      <c r="P743" s="2"/>
      <c r="Q743" s="2"/>
      <c r="R743" s="2"/>
    </row>
    <row r="744">
      <c r="A744" s="2"/>
      <c r="B744" s="2"/>
      <c r="C744" s="2"/>
      <c r="D744" s="2"/>
      <c r="E744" s="2"/>
      <c r="F744" s="2"/>
      <c r="G744" s="2"/>
      <c r="H744" s="2"/>
      <c r="I744" s="2"/>
      <c r="J744" s="2"/>
      <c r="K744" s="2"/>
      <c r="L744" s="2"/>
      <c r="M744" s="2"/>
      <c r="N744" s="2"/>
      <c r="O744" s="2"/>
      <c r="P744" s="2"/>
      <c r="Q744" s="2"/>
      <c r="R744" s="2"/>
    </row>
    <row r="745">
      <c r="A745" s="2"/>
      <c r="B745" s="2"/>
      <c r="C745" s="2"/>
      <c r="D745" s="2"/>
      <c r="E745" s="2"/>
      <c r="F745" s="2"/>
      <c r="G745" s="2"/>
      <c r="H745" s="2"/>
      <c r="I745" s="2"/>
      <c r="J745" s="2"/>
      <c r="K745" s="2"/>
      <c r="L745" s="2"/>
      <c r="M745" s="2"/>
      <c r="N745" s="2"/>
      <c r="O745" s="2"/>
      <c r="P745" s="2"/>
      <c r="Q745" s="2"/>
      <c r="R745" s="2"/>
    </row>
    <row r="746">
      <c r="A746" s="2"/>
      <c r="B746" s="2"/>
      <c r="C746" s="2"/>
      <c r="D746" s="2"/>
      <c r="E746" s="2"/>
      <c r="F746" s="2"/>
      <c r="G746" s="2"/>
      <c r="H746" s="2"/>
      <c r="I746" s="2"/>
      <c r="J746" s="2"/>
      <c r="K746" s="2"/>
      <c r="L746" s="2"/>
      <c r="M746" s="2"/>
      <c r="N746" s="2"/>
      <c r="O746" s="2"/>
      <c r="P746" s="2"/>
      <c r="Q746" s="2"/>
      <c r="R746" s="2"/>
    </row>
    <row r="747">
      <c r="A747" s="2"/>
      <c r="B747" s="2"/>
      <c r="C747" s="2"/>
      <c r="D747" s="2"/>
      <c r="E747" s="2"/>
      <c r="F747" s="2"/>
      <c r="G747" s="2"/>
      <c r="H747" s="2"/>
      <c r="I747" s="2"/>
      <c r="J747" s="2"/>
      <c r="K747" s="2"/>
      <c r="L747" s="2"/>
      <c r="M747" s="2"/>
      <c r="N747" s="2"/>
      <c r="O747" s="2"/>
      <c r="P747" s="2"/>
      <c r="Q747" s="2"/>
      <c r="R747" s="2"/>
    </row>
    <row r="748">
      <c r="A748" s="2"/>
      <c r="B748" s="2"/>
      <c r="C748" s="2"/>
      <c r="D748" s="2"/>
      <c r="E748" s="2"/>
      <c r="F748" s="2"/>
      <c r="G748" s="2"/>
      <c r="H748" s="2"/>
      <c r="I748" s="2"/>
      <c r="J748" s="2"/>
      <c r="K748" s="2"/>
      <c r="L748" s="2"/>
      <c r="M748" s="2"/>
      <c r="N748" s="2"/>
      <c r="O748" s="2"/>
      <c r="P748" s="2"/>
      <c r="Q748" s="2"/>
      <c r="R748" s="2"/>
    </row>
    <row r="749">
      <c r="A749" s="2"/>
      <c r="B749" s="2"/>
      <c r="C749" s="2"/>
      <c r="D749" s="2"/>
      <c r="E749" s="2"/>
      <c r="F749" s="2"/>
      <c r="G749" s="2"/>
      <c r="H749" s="2"/>
      <c r="I749" s="2"/>
      <c r="J749" s="2"/>
      <c r="K749" s="2"/>
      <c r="L749" s="2"/>
      <c r="M749" s="2"/>
      <c r="N749" s="2"/>
      <c r="O749" s="2"/>
      <c r="P749" s="2"/>
      <c r="Q749" s="2"/>
      <c r="R749" s="2"/>
    </row>
    <row r="750">
      <c r="A750" s="2"/>
      <c r="B750" s="2"/>
      <c r="C750" s="2"/>
      <c r="D750" s="2"/>
      <c r="E750" s="2"/>
      <c r="F750" s="2"/>
      <c r="G750" s="2"/>
      <c r="H750" s="2"/>
      <c r="I750" s="2"/>
      <c r="J750" s="2"/>
      <c r="K750" s="2"/>
      <c r="L750" s="2"/>
      <c r="M750" s="2"/>
      <c r="N750" s="2"/>
      <c r="O750" s="2"/>
      <c r="P750" s="2"/>
      <c r="Q750" s="2"/>
      <c r="R750" s="2"/>
    </row>
    <row r="751">
      <c r="A751" s="2"/>
      <c r="B751" s="2"/>
      <c r="C751" s="2"/>
      <c r="D751" s="2"/>
      <c r="E751" s="2"/>
      <c r="F751" s="2"/>
      <c r="G751" s="2"/>
      <c r="H751" s="2"/>
      <c r="I751" s="2"/>
      <c r="J751" s="2"/>
      <c r="K751" s="2"/>
      <c r="L751" s="2"/>
      <c r="M751" s="2"/>
      <c r="N751" s="2"/>
      <c r="O751" s="2"/>
      <c r="P751" s="2"/>
      <c r="Q751" s="2"/>
      <c r="R751" s="2"/>
    </row>
    <row r="752">
      <c r="A752" s="2"/>
      <c r="B752" s="2"/>
      <c r="C752" s="2"/>
      <c r="D752" s="2"/>
      <c r="E752" s="2"/>
      <c r="F752" s="2"/>
      <c r="G752" s="2"/>
      <c r="H752" s="2"/>
      <c r="I752" s="2"/>
      <c r="J752" s="2"/>
      <c r="K752" s="2"/>
      <c r="L752" s="2"/>
      <c r="M752" s="2"/>
      <c r="N752" s="2"/>
      <c r="O752" s="2"/>
      <c r="P752" s="2"/>
      <c r="Q752" s="2"/>
      <c r="R752" s="2"/>
    </row>
    <row r="753">
      <c r="A753" s="2"/>
      <c r="B753" s="2"/>
      <c r="C753" s="2"/>
      <c r="D753" s="2"/>
      <c r="E753" s="2"/>
      <c r="F753" s="2"/>
      <c r="G753" s="2"/>
      <c r="H753" s="2"/>
      <c r="I753" s="2"/>
      <c r="J753" s="2"/>
      <c r="K753" s="2"/>
      <c r="L753" s="2"/>
      <c r="M753" s="2"/>
      <c r="N753" s="2"/>
      <c r="O753" s="2"/>
      <c r="P753" s="2"/>
      <c r="Q753" s="2"/>
      <c r="R753" s="2"/>
    </row>
    <row r="754">
      <c r="A754" s="2"/>
      <c r="B754" s="2"/>
      <c r="C754" s="2"/>
      <c r="D754" s="2"/>
      <c r="E754" s="2"/>
      <c r="F754" s="2"/>
      <c r="G754" s="2"/>
      <c r="H754" s="2"/>
      <c r="I754" s="2"/>
      <c r="J754" s="2"/>
      <c r="K754" s="2"/>
      <c r="L754" s="2"/>
      <c r="M754" s="2"/>
      <c r="N754" s="2"/>
      <c r="O754" s="2"/>
      <c r="P754" s="2"/>
      <c r="Q754" s="2"/>
      <c r="R754" s="2"/>
    </row>
    <row r="755">
      <c r="A755" s="2"/>
      <c r="B755" s="2"/>
      <c r="C755" s="2"/>
      <c r="D755" s="2"/>
      <c r="E755" s="2"/>
      <c r="F755" s="2"/>
      <c r="G755" s="2"/>
      <c r="H755" s="2"/>
      <c r="I755" s="2"/>
      <c r="J755" s="2"/>
      <c r="K755" s="2"/>
      <c r="L755" s="2"/>
      <c r="M755" s="2"/>
      <c r="N755" s="2"/>
      <c r="O755" s="2"/>
      <c r="P755" s="2"/>
      <c r="Q755" s="2"/>
      <c r="R755" s="2"/>
    </row>
    <row r="756">
      <c r="A756" s="2"/>
      <c r="B756" s="2"/>
      <c r="C756" s="2"/>
      <c r="D756" s="2"/>
      <c r="E756" s="2"/>
      <c r="F756" s="2"/>
      <c r="G756" s="2"/>
      <c r="H756" s="2"/>
      <c r="I756" s="2"/>
      <c r="J756" s="2"/>
      <c r="K756" s="2"/>
      <c r="L756" s="2"/>
      <c r="M756" s="2"/>
      <c r="N756" s="2"/>
      <c r="O756" s="2"/>
      <c r="P756" s="2"/>
      <c r="Q756" s="2"/>
      <c r="R756" s="2"/>
    </row>
    <row r="757">
      <c r="A757" s="2"/>
      <c r="B757" s="2"/>
      <c r="C757" s="2"/>
      <c r="D757" s="2"/>
      <c r="E757" s="2"/>
      <c r="F757" s="2"/>
      <c r="G757" s="2"/>
      <c r="H757" s="2"/>
      <c r="I757" s="2"/>
      <c r="J757" s="2"/>
      <c r="K757" s="2"/>
      <c r="L757" s="2"/>
      <c r="M757" s="2"/>
      <c r="N757" s="2"/>
      <c r="O757" s="2"/>
      <c r="P757" s="2"/>
      <c r="Q757" s="2"/>
      <c r="R757" s="2"/>
    </row>
    <row r="758">
      <c r="A758" s="2"/>
      <c r="B758" s="2"/>
      <c r="C758" s="2"/>
      <c r="D758" s="2"/>
      <c r="E758" s="2"/>
      <c r="F758" s="2"/>
      <c r="G758" s="2"/>
      <c r="H758" s="2"/>
      <c r="I758" s="2"/>
      <c r="J758" s="2"/>
      <c r="K758" s="2"/>
      <c r="L758" s="2"/>
      <c r="M758" s="2"/>
      <c r="N758" s="2"/>
      <c r="O758" s="2"/>
      <c r="P758" s="2"/>
      <c r="Q758" s="2"/>
      <c r="R758" s="2"/>
    </row>
    <row r="759">
      <c r="A759" s="2"/>
      <c r="B759" s="2"/>
      <c r="C759" s="2"/>
      <c r="D759" s="2"/>
      <c r="E759" s="2"/>
      <c r="F759" s="2"/>
      <c r="G759" s="2"/>
      <c r="H759" s="2"/>
      <c r="I759" s="2"/>
      <c r="J759" s="2"/>
      <c r="K759" s="2"/>
      <c r="L759" s="2"/>
      <c r="M759" s="2"/>
      <c r="N759" s="2"/>
      <c r="O759" s="2"/>
      <c r="P759" s="2"/>
      <c r="Q759" s="2"/>
      <c r="R759" s="2"/>
    </row>
    <row r="760">
      <c r="A760" s="2"/>
      <c r="B760" s="2"/>
      <c r="C760" s="2"/>
      <c r="D760" s="2"/>
      <c r="E760" s="2"/>
      <c r="F760" s="2"/>
      <c r="G760" s="2"/>
      <c r="H760" s="2"/>
      <c r="I760" s="2"/>
      <c r="J760" s="2"/>
      <c r="K760" s="2"/>
      <c r="L760" s="2"/>
      <c r="M760" s="2"/>
      <c r="N760" s="2"/>
      <c r="O760" s="2"/>
      <c r="P760" s="2"/>
      <c r="Q760" s="2"/>
      <c r="R760" s="2"/>
    </row>
    <row r="761">
      <c r="A761" s="2"/>
      <c r="B761" s="2"/>
      <c r="C761" s="2"/>
      <c r="D761" s="2"/>
      <c r="E761" s="2"/>
      <c r="F761" s="2"/>
      <c r="G761" s="2"/>
      <c r="H761" s="2"/>
      <c r="I761" s="2"/>
      <c r="J761" s="2"/>
      <c r="K761" s="2"/>
      <c r="L761" s="2"/>
      <c r="M761" s="2"/>
      <c r="N761" s="2"/>
      <c r="O761" s="2"/>
      <c r="P761" s="2"/>
      <c r="Q761" s="2"/>
      <c r="R761" s="2"/>
    </row>
    <row r="762">
      <c r="A762" s="2"/>
      <c r="B762" s="2"/>
      <c r="C762" s="2"/>
      <c r="D762" s="2"/>
      <c r="E762" s="2"/>
      <c r="F762" s="2"/>
      <c r="G762" s="2"/>
      <c r="H762" s="2"/>
      <c r="I762" s="2"/>
      <c r="J762" s="2"/>
      <c r="K762" s="2"/>
      <c r="L762" s="2"/>
      <c r="M762" s="2"/>
      <c r="N762" s="2"/>
      <c r="O762" s="2"/>
      <c r="P762" s="2"/>
      <c r="Q762" s="2"/>
      <c r="R762" s="2"/>
    </row>
    <row r="763">
      <c r="A763" s="2"/>
      <c r="B763" s="2"/>
      <c r="C763" s="2"/>
      <c r="D763" s="2"/>
      <c r="E763" s="2"/>
      <c r="F763" s="2"/>
      <c r="G763" s="2"/>
      <c r="H763" s="2"/>
      <c r="I763" s="2"/>
      <c r="J763" s="2"/>
      <c r="K763" s="2"/>
      <c r="L763" s="2"/>
      <c r="M763" s="2"/>
      <c r="N763" s="2"/>
      <c r="O763" s="2"/>
      <c r="P763" s="2"/>
      <c r="Q763" s="2"/>
      <c r="R763" s="2"/>
    </row>
    <row r="764">
      <c r="A764" s="2"/>
      <c r="B764" s="2"/>
      <c r="C764" s="2"/>
      <c r="D764" s="2"/>
      <c r="E764" s="2"/>
      <c r="F764" s="2"/>
      <c r="G764" s="2"/>
      <c r="H764" s="2"/>
      <c r="I764" s="2"/>
      <c r="J764" s="2"/>
      <c r="K764" s="2"/>
      <c r="L764" s="2"/>
      <c r="M764" s="2"/>
      <c r="N764" s="2"/>
      <c r="O764" s="2"/>
      <c r="P764" s="2"/>
      <c r="Q764" s="2"/>
      <c r="R764" s="2"/>
    </row>
    <row r="765">
      <c r="A765" s="2"/>
      <c r="B765" s="2"/>
      <c r="C765" s="2"/>
      <c r="D765" s="2"/>
      <c r="E765" s="2"/>
      <c r="F765" s="2"/>
      <c r="G765" s="2"/>
      <c r="H765" s="2"/>
      <c r="I765" s="2"/>
      <c r="J765" s="2"/>
      <c r="K765" s="2"/>
      <c r="L765" s="2"/>
      <c r="M765" s="2"/>
      <c r="N765" s="2"/>
      <c r="O765" s="2"/>
      <c r="P765" s="2"/>
      <c r="Q765" s="2"/>
      <c r="R765" s="2"/>
    </row>
    <row r="766">
      <c r="A766" s="2"/>
      <c r="B766" s="2"/>
      <c r="C766" s="2"/>
      <c r="D766" s="2"/>
      <c r="E766" s="2"/>
      <c r="F766" s="2"/>
      <c r="G766" s="2"/>
      <c r="H766" s="2"/>
      <c r="I766" s="2"/>
      <c r="J766" s="2"/>
      <c r="K766" s="2"/>
      <c r="L766" s="2"/>
      <c r="M766" s="2"/>
      <c r="N766" s="2"/>
      <c r="O766" s="2"/>
      <c r="P766" s="2"/>
      <c r="Q766" s="2"/>
      <c r="R766" s="2"/>
    </row>
    <row r="767">
      <c r="A767" s="2"/>
      <c r="B767" s="2"/>
      <c r="C767" s="2"/>
      <c r="D767" s="2"/>
      <c r="E767" s="2"/>
      <c r="F767" s="2"/>
      <c r="G767" s="2"/>
      <c r="H767" s="2"/>
      <c r="I767" s="2"/>
      <c r="J767" s="2"/>
      <c r="K767" s="2"/>
      <c r="L767" s="2"/>
      <c r="M767" s="2"/>
      <c r="N767" s="2"/>
      <c r="O767" s="2"/>
      <c r="P767" s="2"/>
      <c r="Q767" s="2"/>
      <c r="R767" s="2"/>
    </row>
    <row r="768">
      <c r="A768" s="2"/>
      <c r="B768" s="2"/>
      <c r="C768" s="2"/>
      <c r="D768" s="2"/>
      <c r="E768" s="2"/>
      <c r="F768" s="2"/>
      <c r="G768" s="2"/>
      <c r="H768" s="2"/>
      <c r="I768" s="2"/>
      <c r="J768" s="2"/>
      <c r="K768" s="2"/>
      <c r="L768" s="2"/>
      <c r="M768" s="2"/>
      <c r="N768" s="2"/>
      <c r="O768" s="2"/>
      <c r="P768" s="2"/>
      <c r="Q768" s="2"/>
      <c r="R768" s="2"/>
    </row>
    <row r="769">
      <c r="A769" s="2"/>
      <c r="B769" s="2"/>
      <c r="C769" s="2"/>
      <c r="D769" s="2"/>
      <c r="E769" s="2"/>
      <c r="F769" s="2"/>
      <c r="G769" s="2"/>
      <c r="H769" s="2"/>
      <c r="I769" s="2"/>
      <c r="J769" s="2"/>
      <c r="K769" s="2"/>
      <c r="L769" s="2"/>
      <c r="M769" s="2"/>
      <c r="N769" s="2"/>
      <c r="O769" s="2"/>
      <c r="P769" s="2"/>
      <c r="Q769" s="2"/>
      <c r="R769" s="2"/>
    </row>
    <row r="770">
      <c r="A770" s="2"/>
      <c r="B770" s="2"/>
      <c r="C770" s="2"/>
      <c r="D770" s="2"/>
      <c r="E770" s="2"/>
      <c r="F770" s="2"/>
      <c r="G770" s="2"/>
      <c r="H770" s="2"/>
      <c r="I770" s="2"/>
      <c r="J770" s="2"/>
      <c r="K770" s="2"/>
      <c r="L770" s="2"/>
      <c r="M770" s="2"/>
      <c r="N770" s="2"/>
      <c r="O770" s="2"/>
      <c r="P770" s="2"/>
      <c r="Q770" s="2"/>
      <c r="R770" s="2"/>
    </row>
    <row r="771">
      <c r="A771" s="2"/>
      <c r="B771" s="2"/>
      <c r="C771" s="2"/>
      <c r="D771" s="2"/>
      <c r="E771" s="2"/>
      <c r="F771" s="2"/>
      <c r="G771" s="2"/>
      <c r="H771" s="2"/>
      <c r="I771" s="2"/>
      <c r="J771" s="2"/>
      <c r="K771" s="2"/>
      <c r="L771" s="2"/>
      <c r="M771" s="2"/>
      <c r="N771" s="2"/>
      <c r="O771" s="2"/>
      <c r="P771" s="2"/>
      <c r="Q771" s="2"/>
      <c r="R771" s="2"/>
    </row>
    <row r="772">
      <c r="A772" s="2"/>
      <c r="B772" s="2"/>
      <c r="C772" s="2"/>
      <c r="D772" s="2"/>
      <c r="E772" s="2"/>
      <c r="F772" s="2"/>
      <c r="G772" s="2"/>
      <c r="H772" s="2"/>
      <c r="I772" s="2"/>
      <c r="J772" s="2"/>
      <c r="K772" s="2"/>
      <c r="L772" s="2"/>
      <c r="M772" s="2"/>
      <c r="N772" s="2"/>
      <c r="O772" s="2"/>
      <c r="P772" s="2"/>
      <c r="Q772" s="2"/>
      <c r="R772" s="2"/>
    </row>
    <row r="773">
      <c r="A773" s="2"/>
      <c r="B773" s="2"/>
      <c r="C773" s="2"/>
      <c r="D773" s="2"/>
      <c r="E773" s="2"/>
      <c r="F773" s="2"/>
      <c r="G773" s="2"/>
      <c r="H773" s="2"/>
      <c r="I773" s="2"/>
      <c r="J773" s="2"/>
      <c r="K773" s="2"/>
      <c r="L773" s="2"/>
      <c r="M773" s="2"/>
      <c r="N773" s="2"/>
      <c r="O773" s="2"/>
      <c r="P773" s="2"/>
      <c r="Q773" s="2"/>
      <c r="R773" s="2"/>
    </row>
    <row r="774">
      <c r="A774" s="2"/>
      <c r="B774" s="2"/>
      <c r="C774" s="2"/>
      <c r="D774" s="2"/>
      <c r="E774" s="2"/>
      <c r="F774" s="2"/>
      <c r="G774" s="2"/>
      <c r="H774" s="2"/>
      <c r="I774" s="2"/>
      <c r="J774" s="2"/>
      <c r="K774" s="2"/>
      <c r="L774" s="2"/>
      <c r="M774" s="2"/>
      <c r="N774" s="2"/>
      <c r="O774" s="2"/>
      <c r="P774" s="2"/>
      <c r="Q774" s="2"/>
      <c r="R774" s="2"/>
    </row>
    <row r="775">
      <c r="A775" s="2"/>
      <c r="B775" s="2"/>
      <c r="C775" s="2"/>
      <c r="D775" s="2"/>
      <c r="E775" s="2"/>
      <c r="F775" s="2"/>
      <c r="G775" s="2"/>
      <c r="H775" s="2"/>
      <c r="I775" s="2"/>
      <c r="J775" s="2"/>
      <c r="K775" s="2"/>
      <c r="L775" s="2"/>
      <c r="M775" s="2"/>
      <c r="N775" s="2"/>
      <c r="O775" s="2"/>
      <c r="P775" s="2"/>
      <c r="Q775" s="2"/>
      <c r="R775" s="2"/>
    </row>
    <row r="776">
      <c r="A776" s="2"/>
      <c r="B776" s="2"/>
      <c r="C776" s="2"/>
      <c r="D776" s="2"/>
      <c r="E776" s="2"/>
      <c r="F776" s="2"/>
      <c r="G776" s="2"/>
      <c r="H776" s="2"/>
      <c r="I776" s="2"/>
      <c r="J776" s="2"/>
      <c r="K776" s="2"/>
      <c r="L776" s="2"/>
      <c r="M776" s="2"/>
      <c r="N776" s="2"/>
      <c r="O776" s="2"/>
      <c r="P776" s="2"/>
      <c r="Q776" s="2"/>
      <c r="R776" s="2"/>
    </row>
    <row r="777">
      <c r="A777" s="2"/>
      <c r="B777" s="2"/>
      <c r="C777" s="2"/>
      <c r="D777" s="2"/>
      <c r="E777" s="2"/>
      <c r="F777" s="2"/>
      <c r="G777" s="2"/>
      <c r="H777" s="2"/>
      <c r="I777" s="2"/>
      <c r="J777" s="2"/>
      <c r="K777" s="2"/>
      <c r="L777" s="2"/>
      <c r="M777" s="2"/>
      <c r="N777" s="2"/>
      <c r="O777" s="2"/>
      <c r="P777" s="2"/>
      <c r="Q777" s="2"/>
      <c r="R777" s="2"/>
    </row>
    <row r="778">
      <c r="A778" s="2"/>
      <c r="B778" s="2"/>
      <c r="C778" s="2"/>
      <c r="D778" s="2"/>
      <c r="E778" s="2"/>
      <c r="F778" s="2"/>
      <c r="G778" s="2"/>
      <c r="H778" s="2"/>
      <c r="I778" s="2"/>
      <c r="J778" s="2"/>
      <c r="K778" s="2"/>
      <c r="L778" s="2"/>
      <c r="M778" s="2"/>
      <c r="N778" s="2"/>
      <c r="O778" s="2"/>
      <c r="P778" s="2"/>
      <c r="Q778" s="2"/>
      <c r="R778" s="2"/>
    </row>
    <row r="779">
      <c r="A779" s="2"/>
      <c r="B779" s="2"/>
      <c r="C779" s="2"/>
      <c r="D779" s="2"/>
      <c r="E779" s="2"/>
      <c r="F779" s="2"/>
      <c r="G779" s="2"/>
      <c r="H779" s="2"/>
      <c r="I779" s="2"/>
      <c r="J779" s="2"/>
      <c r="K779" s="2"/>
      <c r="L779" s="2"/>
      <c r="M779" s="2"/>
      <c r="N779" s="2"/>
      <c r="O779" s="2"/>
      <c r="P779" s="2"/>
      <c r="Q779" s="2"/>
      <c r="R779" s="2"/>
    </row>
    <row r="780">
      <c r="A780" s="2"/>
      <c r="B780" s="2"/>
      <c r="C780" s="2"/>
      <c r="D780" s="2"/>
      <c r="E780" s="2"/>
      <c r="F780" s="2"/>
      <c r="G780" s="2"/>
      <c r="H780" s="2"/>
      <c r="I780" s="2"/>
      <c r="J780" s="2"/>
      <c r="K780" s="2"/>
      <c r="L780" s="2"/>
      <c r="M780" s="2"/>
      <c r="N780" s="2"/>
      <c r="O780" s="2"/>
      <c r="P780" s="2"/>
      <c r="Q780" s="2"/>
      <c r="R780" s="2"/>
    </row>
    <row r="781">
      <c r="A781" s="2"/>
      <c r="B781" s="2"/>
      <c r="C781" s="2"/>
      <c r="D781" s="2"/>
      <c r="E781" s="2"/>
      <c r="F781" s="2"/>
      <c r="G781" s="2"/>
      <c r="H781" s="2"/>
      <c r="I781" s="2"/>
      <c r="J781" s="2"/>
      <c r="K781" s="2"/>
      <c r="L781" s="2"/>
      <c r="M781" s="2"/>
      <c r="N781" s="2"/>
      <c r="O781" s="2"/>
      <c r="P781" s="2"/>
      <c r="Q781" s="2"/>
      <c r="R781" s="2"/>
    </row>
    <row r="782">
      <c r="A782" s="2"/>
      <c r="B782" s="2"/>
      <c r="C782" s="2"/>
      <c r="D782" s="2"/>
      <c r="E782" s="2"/>
      <c r="F782" s="2"/>
      <c r="G782" s="2"/>
      <c r="H782" s="2"/>
      <c r="I782" s="2"/>
      <c r="J782" s="2"/>
      <c r="K782" s="2"/>
      <c r="L782" s="2"/>
      <c r="M782" s="2"/>
      <c r="N782" s="2"/>
      <c r="O782" s="2"/>
      <c r="P782" s="2"/>
      <c r="Q782" s="2"/>
      <c r="R782" s="2"/>
    </row>
    <row r="783">
      <c r="A783" s="2"/>
      <c r="B783" s="2"/>
      <c r="C783" s="2"/>
      <c r="D783" s="2"/>
      <c r="E783" s="2"/>
      <c r="F783" s="2"/>
      <c r="G783" s="2"/>
      <c r="H783" s="2"/>
      <c r="I783" s="2"/>
      <c r="J783" s="2"/>
      <c r="K783" s="2"/>
      <c r="L783" s="2"/>
      <c r="M783" s="2"/>
      <c r="N783" s="2"/>
      <c r="O783" s="2"/>
      <c r="P783" s="2"/>
      <c r="Q783" s="2"/>
      <c r="R783" s="2"/>
    </row>
    <row r="784">
      <c r="A784" s="2"/>
      <c r="B784" s="2"/>
      <c r="C784" s="2"/>
      <c r="D784" s="2"/>
      <c r="E784" s="2"/>
      <c r="F784" s="2"/>
      <c r="G784" s="2"/>
      <c r="H784" s="2"/>
      <c r="I784" s="2"/>
      <c r="J784" s="2"/>
      <c r="K784" s="2"/>
      <c r="L784" s="2"/>
      <c r="M784" s="2"/>
      <c r="N784" s="2"/>
      <c r="O784" s="2"/>
      <c r="P784" s="2"/>
      <c r="Q784" s="2"/>
      <c r="R784" s="2"/>
    </row>
    <row r="785">
      <c r="A785" s="2"/>
      <c r="B785" s="2"/>
      <c r="C785" s="2"/>
      <c r="D785" s="2"/>
      <c r="E785" s="2"/>
      <c r="F785" s="2"/>
      <c r="G785" s="2"/>
      <c r="H785" s="2"/>
      <c r="I785" s="2"/>
      <c r="J785" s="2"/>
      <c r="K785" s="2"/>
      <c r="L785" s="2"/>
      <c r="M785" s="2"/>
      <c r="N785" s="2"/>
      <c r="O785" s="2"/>
      <c r="P785" s="2"/>
      <c r="Q785" s="2"/>
      <c r="R785" s="2"/>
    </row>
    <row r="786">
      <c r="A786" s="2"/>
      <c r="B786" s="2"/>
      <c r="C786" s="2"/>
      <c r="D786" s="2"/>
      <c r="E786" s="2"/>
      <c r="F786" s="2"/>
      <c r="G786" s="2"/>
      <c r="H786" s="2"/>
      <c r="I786" s="2"/>
      <c r="J786" s="2"/>
      <c r="K786" s="2"/>
      <c r="L786" s="2"/>
      <c r="M786" s="2"/>
      <c r="N786" s="2"/>
      <c r="O786" s="2"/>
      <c r="P786" s="2"/>
      <c r="Q786" s="2"/>
      <c r="R786" s="2"/>
    </row>
    <row r="787">
      <c r="A787" s="2"/>
      <c r="B787" s="2"/>
      <c r="C787" s="2"/>
      <c r="D787" s="2"/>
      <c r="E787" s="2"/>
      <c r="F787" s="2"/>
      <c r="G787" s="2"/>
      <c r="H787" s="2"/>
      <c r="I787" s="2"/>
      <c r="J787" s="2"/>
      <c r="K787" s="2"/>
      <c r="L787" s="2"/>
      <c r="M787" s="2"/>
      <c r="N787" s="2"/>
      <c r="O787" s="2"/>
      <c r="P787" s="2"/>
      <c r="Q787" s="2"/>
      <c r="R787" s="2"/>
    </row>
    <row r="788">
      <c r="A788" s="2"/>
      <c r="B788" s="2"/>
      <c r="C788" s="2"/>
      <c r="D788" s="2"/>
      <c r="E788" s="2"/>
      <c r="F788" s="2"/>
      <c r="G788" s="2"/>
      <c r="H788" s="2"/>
      <c r="I788" s="2"/>
      <c r="J788" s="2"/>
      <c r="K788" s="2"/>
      <c r="L788" s="2"/>
      <c r="M788" s="2"/>
      <c r="N788" s="2"/>
      <c r="O788" s="2"/>
      <c r="P788" s="2"/>
      <c r="Q788" s="2"/>
      <c r="R788" s="2"/>
    </row>
    <row r="789">
      <c r="A789" s="2"/>
      <c r="B789" s="2"/>
      <c r="C789" s="2"/>
      <c r="D789" s="2"/>
      <c r="E789" s="2"/>
      <c r="F789" s="2"/>
      <c r="G789" s="2"/>
      <c r="H789" s="2"/>
      <c r="I789" s="2"/>
      <c r="J789" s="2"/>
      <c r="K789" s="2"/>
      <c r="L789" s="2"/>
      <c r="M789" s="2"/>
      <c r="N789" s="2"/>
      <c r="O789" s="2"/>
      <c r="P789" s="2"/>
      <c r="Q789" s="2"/>
      <c r="R789" s="2"/>
    </row>
    <row r="790">
      <c r="A790" s="2"/>
      <c r="B790" s="2"/>
      <c r="C790" s="2"/>
      <c r="D790" s="2"/>
      <c r="E790" s="2"/>
      <c r="F790" s="2"/>
      <c r="G790" s="2"/>
      <c r="H790" s="2"/>
      <c r="I790" s="2"/>
      <c r="J790" s="2"/>
      <c r="K790" s="2"/>
      <c r="L790" s="2"/>
      <c r="M790" s="2"/>
      <c r="N790" s="2"/>
      <c r="O790" s="2"/>
      <c r="P790" s="2"/>
      <c r="Q790" s="2"/>
      <c r="R790" s="2"/>
    </row>
    <row r="791">
      <c r="A791" s="2"/>
      <c r="B791" s="2"/>
      <c r="C791" s="2"/>
      <c r="D791" s="2"/>
      <c r="E791" s="2"/>
      <c r="F791" s="2"/>
      <c r="G791" s="2"/>
      <c r="H791" s="2"/>
      <c r="I791" s="2"/>
      <c r="J791" s="2"/>
      <c r="K791" s="2"/>
      <c r="L791" s="2"/>
      <c r="M791" s="2"/>
      <c r="N791" s="2"/>
      <c r="O791" s="2"/>
      <c r="P791" s="2"/>
      <c r="Q791" s="2"/>
      <c r="R791" s="2"/>
    </row>
    <row r="792">
      <c r="A792" s="2"/>
      <c r="B792" s="2"/>
      <c r="C792" s="2"/>
      <c r="D792" s="2"/>
      <c r="E792" s="2"/>
      <c r="F792" s="2"/>
      <c r="G792" s="2"/>
      <c r="H792" s="2"/>
      <c r="I792" s="2"/>
      <c r="J792" s="2"/>
      <c r="K792" s="2"/>
      <c r="L792" s="2"/>
      <c r="M792" s="2"/>
      <c r="N792" s="2"/>
      <c r="O792" s="2"/>
      <c r="P792" s="2"/>
      <c r="Q792" s="2"/>
      <c r="R792" s="2"/>
    </row>
    <row r="793">
      <c r="A793" s="2"/>
      <c r="B793" s="2"/>
      <c r="C793" s="2"/>
      <c r="D793" s="2"/>
      <c r="E793" s="2"/>
      <c r="F793" s="2"/>
      <c r="G793" s="2"/>
      <c r="H793" s="2"/>
      <c r="I793" s="2"/>
      <c r="J793" s="2"/>
      <c r="K793" s="2"/>
      <c r="L793" s="2"/>
      <c r="M793" s="2"/>
      <c r="N793" s="2"/>
      <c r="O793" s="2"/>
      <c r="P793" s="2"/>
      <c r="Q793" s="2"/>
      <c r="R793" s="2"/>
    </row>
    <row r="794">
      <c r="A794" s="2"/>
      <c r="B794" s="2"/>
      <c r="C794" s="2"/>
      <c r="D794" s="2"/>
      <c r="E794" s="2"/>
      <c r="F794" s="2"/>
      <c r="G794" s="2"/>
      <c r="H794" s="2"/>
      <c r="I794" s="2"/>
      <c r="J794" s="2"/>
      <c r="K794" s="2"/>
      <c r="L794" s="2"/>
      <c r="M794" s="2"/>
      <c r="N794" s="2"/>
      <c r="O794" s="2"/>
      <c r="P794" s="2"/>
      <c r="Q794" s="2"/>
      <c r="R794" s="2"/>
    </row>
    <row r="795">
      <c r="A795" s="2"/>
      <c r="B795" s="2"/>
      <c r="C795" s="2"/>
      <c r="D795" s="2"/>
      <c r="E795" s="2"/>
      <c r="F795" s="2"/>
      <c r="G795" s="2"/>
      <c r="H795" s="2"/>
      <c r="I795" s="2"/>
      <c r="J795" s="2"/>
      <c r="K795" s="2"/>
      <c r="L795" s="2"/>
      <c r="M795" s="2"/>
      <c r="N795" s="2"/>
      <c r="O795" s="2"/>
      <c r="P795" s="2"/>
      <c r="Q795" s="2"/>
      <c r="R795" s="2"/>
    </row>
    <row r="796">
      <c r="A796" s="2"/>
      <c r="B796" s="2"/>
      <c r="C796" s="2"/>
      <c r="D796" s="2"/>
      <c r="E796" s="2"/>
      <c r="F796" s="2"/>
      <c r="G796" s="2"/>
      <c r="H796" s="2"/>
      <c r="I796" s="2"/>
      <c r="J796" s="2"/>
      <c r="K796" s="2"/>
      <c r="L796" s="2"/>
      <c r="M796" s="2"/>
      <c r="N796" s="2"/>
      <c r="O796" s="2"/>
      <c r="P796" s="2"/>
      <c r="Q796" s="2"/>
      <c r="R796" s="2"/>
    </row>
    <row r="797">
      <c r="A797" s="2"/>
      <c r="B797" s="2"/>
      <c r="C797" s="2"/>
      <c r="D797" s="2"/>
      <c r="E797" s="2"/>
      <c r="F797" s="2"/>
      <c r="G797" s="2"/>
      <c r="H797" s="2"/>
      <c r="I797" s="2"/>
      <c r="J797" s="2"/>
      <c r="K797" s="2"/>
      <c r="L797" s="2"/>
      <c r="M797" s="2"/>
      <c r="N797" s="2"/>
      <c r="O797" s="2"/>
      <c r="P797" s="2"/>
      <c r="Q797" s="2"/>
      <c r="R797" s="2"/>
    </row>
    <row r="798">
      <c r="A798" s="2"/>
      <c r="B798" s="2"/>
      <c r="C798" s="2"/>
      <c r="D798" s="2"/>
      <c r="E798" s="2"/>
      <c r="F798" s="2"/>
      <c r="G798" s="2"/>
      <c r="H798" s="2"/>
      <c r="I798" s="2"/>
      <c r="J798" s="2"/>
      <c r="K798" s="2"/>
      <c r="L798" s="2"/>
      <c r="M798" s="2"/>
      <c r="N798" s="2"/>
      <c r="O798" s="2"/>
      <c r="P798" s="2"/>
      <c r="Q798" s="2"/>
      <c r="R798" s="2"/>
    </row>
    <row r="799">
      <c r="A799" s="2"/>
      <c r="B799" s="2"/>
      <c r="C799" s="2"/>
      <c r="D799" s="2"/>
      <c r="E799" s="2"/>
      <c r="F799" s="2"/>
      <c r="G799" s="2"/>
      <c r="H799" s="2"/>
      <c r="I799" s="2"/>
      <c r="J799" s="2"/>
      <c r="K799" s="2"/>
      <c r="L799" s="2"/>
      <c r="M799" s="2"/>
      <c r="N799" s="2"/>
      <c r="O799" s="2"/>
      <c r="P799" s="2"/>
      <c r="Q799" s="2"/>
      <c r="R799" s="2"/>
    </row>
    <row r="800">
      <c r="A800" s="2"/>
      <c r="B800" s="2"/>
      <c r="C800" s="2"/>
      <c r="D800" s="2"/>
      <c r="E800" s="2"/>
      <c r="F800" s="2"/>
      <c r="G800" s="2"/>
      <c r="H800" s="2"/>
      <c r="I800" s="2"/>
      <c r="J800" s="2"/>
      <c r="K800" s="2"/>
      <c r="L800" s="2"/>
      <c r="M800" s="2"/>
      <c r="N800" s="2"/>
      <c r="O800" s="2"/>
      <c r="P800" s="2"/>
      <c r="Q800" s="2"/>
      <c r="R800" s="2"/>
    </row>
    <row r="801">
      <c r="A801" s="2"/>
      <c r="B801" s="2"/>
      <c r="C801" s="2"/>
      <c r="D801" s="2"/>
      <c r="E801" s="2"/>
      <c r="F801" s="2"/>
      <c r="G801" s="2"/>
      <c r="H801" s="2"/>
      <c r="I801" s="2"/>
      <c r="J801" s="2"/>
      <c r="K801" s="2"/>
      <c r="L801" s="2"/>
      <c r="M801" s="2"/>
      <c r="N801" s="2"/>
      <c r="O801" s="2"/>
      <c r="P801" s="2"/>
      <c r="Q801" s="2"/>
      <c r="R801" s="2"/>
    </row>
    <row r="802">
      <c r="A802" s="2"/>
      <c r="B802" s="2"/>
      <c r="C802" s="2"/>
      <c r="D802" s="2"/>
      <c r="E802" s="2"/>
      <c r="F802" s="2"/>
      <c r="G802" s="2"/>
      <c r="H802" s="2"/>
      <c r="I802" s="2"/>
      <c r="J802" s="2"/>
      <c r="K802" s="2"/>
      <c r="L802" s="2"/>
      <c r="M802" s="2"/>
      <c r="N802" s="2"/>
      <c r="O802" s="2"/>
      <c r="P802" s="2"/>
      <c r="Q802" s="2"/>
      <c r="R802" s="2"/>
    </row>
    <row r="803">
      <c r="A803" s="2"/>
      <c r="B803" s="2"/>
      <c r="C803" s="2"/>
      <c r="D803" s="2"/>
      <c r="E803" s="2"/>
      <c r="F803" s="2"/>
      <c r="G803" s="2"/>
      <c r="H803" s="2"/>
      <c r="I803" s="2"/>
      <c r="J803" s="2"/>
      <c r="K803" s="2"/>
      <c r="L803" s="2"/>
      <c r="M803" s="2"/>
      <c r="N803" s="2"/>
      <c r="O803" s="2"/>
      <c r="P803" s="2"/>
      <c r="Q803" s="2"/>
      <c r="R803" s="2"/>
    </row>
    <row r="804">
      <c r="A804" s="2"/>
      <c r="B804" s="2"/>
      <c r="C804" s="2"/>
      <c r="D804" s="2"/>
      <c r="E804" s="2"/>
      <c r="F804" s="2"/>
      <c r="G804" s="2"/>
      <c r="H804" s="2"/>
      <c r="I804" s="2"/>
      <c r="J804" s="2"/>
      <c r="K804" s="2"/>
      <c r="L804" s="2"/>
      <c r="M804" s="2"/>
      <c r="N804" s="2"/>
      <c r="O804" s="2"/>
      <c r="P804" s="2"/>
      <c r="Q804" s="2"/>
      <c r="R804" s="2"/>
    </row>
    <row r="805">
      <c r="A805" s="2"/>
      <c r="B805" s="2"/>
      <c r="C805" s="2"/>
      <c r="D805" s="2"/>
      <c r="E805" s="2"/>
      <c r="F805" s="2"/>
      <c r="G805" s="2"/>
      <c r="H805" s="2"/>
      <c r="I805" s="2"/>
      <c r="J805" s="2"/>
      <c r="K805" s="2"/>
      <c r="L805" s="2"/>
      <c r="M805" s="2"/>
      <c r="N805" s="2"/>
      <c r="O805" s="2"/>
      <c r="P805" s="2"/>
      <c r="Q805" s="2"/>
      <c r="R805" s="2"/>
    </row>
    <row r="806">
      <c r="A806" s="2"/>
      <c r="B806" s="2"/>
      <c r="C806" s="2"/>
      <c r="D806" s="2"/>
      <c r="E806" s="2"/>
      <c r="F806" s="2"/>
      <c r="G806" s="2"/>
      <c r="H806" s="2"/>
      <c r="I806" s="2"/>
      <c r="J806" s="2"/>
      <c r="K806" s="2"/>
      <c r="L806" s="2"/>
      <c r="M806" s="2"/>
      <c r="N806" s="2"/>
      <c r="O806" s="2"/>
      <c r="P806" s="2"/>
      <c r="Q806" s="2"/>
      <c r="R806" s="2"/>
    </row>
    <row r="807">
      <c r="A807" s="2"/>
      <c r="B807" s="2"/>
      <c r="C807" s="2"/>
      <c r="D807" s="2"/>
      <c r="E807" s="2"/>
      <c r="F807" s="2"/>
      <c r="G807" s="2"/>
      <c r="H807" s="2"/>
      <c r="I807" s="2"/>
      <c r="J807" s="2"/>
      <c r="K807" s="2"/>
      <c r="L807" s="2"/>
      <c r="M807" s="2"/>
      <c r="N807" s="2"/>
      <c r="O807" s="2"/>
      <c r="P807" s="2"/>
      <c r="Q807" s="2"/>
      <c r="R807" s="2"/>
    </row>
    <row r="808">
      <c r="A808" s="2"/>
      <c r="B808" s="2"/>
      <c r="C808" s="2"/>
      <c r="D808" s="2"/>
      <c r="E808" s="2"/>
      <c r="F808" s="2"/>
      <c r="G808" s="2"/>
      <c r="H808" s="2"/>
      <c r="I808" s="2"/>
      <c r="J808" s="2"/>
      <c r="K808" s="2"/>
      <c r="L808" s="2"/>
      <c r="M808" s="2"/>
      <c r="N808" s="2"/>
      <c r="O808" s="2"/>
      <c r="P808" s="2"/>
      <c r="Q808" s="2"/>
      <c r="R808" s="2"/>
    </row>
    <row r="809">
      <c r="A809" s="2"/>
      <c r="B809" s="2"/>
      <c r="C809" s="2"/>
      <c r="D809" s="2"/>
      <c r="E809" s="2"/>
      <c r="F809" s="2"/>
      <c r="G809" s="2"/>
      <c r="H809" s="2"/>
      <c r="I809" s="2"/>
      <c r="J809" s="2"/>
      <c r="K809" s="2"/>
      <c r="L809" s="2"/>
      <c r="M809" s="2"/>
      <c r="N809" s="2"/>
      <c r="O809" s="2"/>
      <c r="P809" s="2"/>
      <c r="Q809" s="2"/>
      <c r="R809" s="2"/>
    </row>
    <row r="810">
      <c r="A810" s="2"/>
      <c r="B810" s="2"/>
      <c r="C810" s="2"/>
      <c r="D810" s="2"/>
      <c r="E810" s="2"/>
      <c r="F810" s="2"/>
      <c r="G810" s="2"/>
      <c r="H810" s="2"/>
      <c r="I810" s="2"/>
      <c r="J810" s="2"/>
      <c r="K810" s="2"/>
      <c r="L810" s="2"/>
      <c r="M810" s="2"/>
      <c r="N810" s="2"/>
      <c r="O810" s="2"/>
      <c r="P810" s="2"/>
      <c r="Q810" s="2"/>
      <c r="R810" s="2"/>
    </row>
    <row r="811">
      <c r="A811" s="2"/>
      <c r="B811" s="2"/>
      <c r="C811" s="2"/>
      <c r="D811" s="2"/>
      <c r="E811" s="2"/>
      <c r="F811" s="2"/>
      <c r="G811" s="2"/>
      <c r="H811" s="2"/>
      <c r="I811" s="2"/>
      <c r="J811" s="2"/>
      <c r="K811" s="2"/>
      <c r="L811" s="2"/>
      <c r="M811" s="2"/>
      <c r="N811" s="2"/>
      <c r="O811" s="2"/>
      <c r="P811" s="2"/>
      <c r="Q811" s="2"/>
      <c r="R811" s="2"/>
    </row>
    <row r="812">
      <c r="A812" s="2"/>
      <c r="B812" s="2"/>
      <c r="C812" s="2"/>
      <c r="D812" s="2"/>
      <c r="E812" s="2"/>
      <c r="F812" s="2"/>
      <c r="G812" s="2"/>
      <c r="H812" s="2"/>
      <c r="I812" s="2"/>
      <c r="J812" s="2"/>
      <c r="K812" s="2"/>
      <c r="L812" s="2"/>
      <c r="M812" s="2"/>
      <c r="N812" s="2"/>
      <c r="O812" s="2"/>
      <c r="P812" s="2"/>
      <c r="Q812" s="2"/>
      <c r="R812" s="2"/>
    </row>
    <row r="813">
      <c r="A813" s="2"/>
      <c r="B813" s="2"/>
      <c r="C813" s="2"/>
      <c r="D813" s="2"/>
      <c r="E813" s="2"/>
      <c r="F813" s="2"/>
      <c r="G813" s="2"/>
      <c r="H813" s="2"/>
      <c r="I813" s="2"/>
      <c r="J813" s="2"/>
      <c r="K813" s="2"/>
      <c r="L813" s="2"/>
      <c r="M813" s="2"/>
      <c r="N813" s="2"/>
      <c r="O813" s="2"/>
      <c r="P813" s="2"/>
      <c r="Q813" s="2"/>
      <c r="R813" s="2"/>
    </row>
    <row r="814">
      <c r="A814" s="2"/>
      <c r="B814" s="2"/>
      <c r="C814" s="2"/>
      <c r="D814" s="2"/>
      <c r="E814" s="2"/>
      <c r="F814" s="2"/>
      <c r="G814" s="2"/>
      <c r="H814" s="2"/>
      <c r="I814" s="2"/>
      <c r="J814" s="2"/>
      <c r="K814" s="2"/>
      <c r="L814" s="2"/>
      <c r="M814" s="2"/>
      <c r="N814" s="2"/>
      <c r="O814" s="2"/>
      <c r="P814" s="2"/>
      <c r="Q814" s="2"/>
      <c r="R814" s="2"/>
    </row>
    <row r="815">
      <c r="A815" s="2"/>
      <c r="B815" s="2"/>
      <c r="C815" s="2"/>
      <c r="D815" s="2"/>
      <c r="E815" s="2"/>
      <c r="F815" s="2"/>
      <c r="G815" s="2"/>
      <c r="H815" s="2"/>
      <c r="I815" s="2"/>
      <c r="J815" s="2"/>
      <c r="K815" s="2"/>
      <c r="L815" s="2"/>
      <c r="M815" s="2"/>
      <c r="N815" s="2"/>
      <c r="O815" s="2"/>
      <c r="P815" s="2"/>
      <c r="Q815" s="2"/>
      <c r="R815" s="2"/>
    </row>
    <row r="816">
      <c r="A816" s="2"/>
      <c r="B816" s="2"/>
      <c r="C816" s="2"/>
      <c r="D816" s="2"/>
      <c r="E816" s="2"/>
      <c r="F816" s="2"/>
      <c r="G816" s="2"/>
      <c r="H816" s="2"/>
      <c r="I816" s="2"/>
      <c r="J816" s="2"/>
      <c r="K816" s="2"/>
      <c r="L816" s="2"/>
      <c r="M816" s="2"/>
      <c r="N816" s="2"/>
      <c r="O816" s="2"/>
      <c r="P816" s="2"/>
      <c r="Q816" s="2"/>
      <c r="R816" s="2"/>
    </row>
    <row r="817">
      <c r="A817" s="2"/>
      <c r="B817" s="2"/>
      <c r="C817" s="2"/>
      <c r="D817" s="2"/>
      <c r="E817" s="2"/>
      <c r="F817" s="2"/>
      <c r="G817" s="2"/>
      <c r="H817" s="2"/>
      <c r="I817" s="2"/>
      <c r="J817" s="2"/>
      <c r="K817" s="2"/>
      <c r="L817" s="2"/>
      <c r="M817" s="2"/>
      <c r="N817" s="2"/>
      <c r="O817" s="2"/>
      <c r="P817" s="2"/>
      <c r="Q817" s="2"/>
      <c r="R817" s="2"/>
    </row>
    <row r="818">
      <c r="A818" s="2"/>
      <c r="B818" s="2"/>
      <c r="C818" s="2"/>
      <c r="D818" s="2"/>
      <c r="E818" s="2"/>
      <c r="F818" s="2"/>
      <c r="G818" s="2"/>
      <c r="H818" s="2"/>
      <c r="I818" s="2"/>
      <c r="J818" s="2"/>
      <c r="K818" s="2"/>
      <c r="L818" s="2"/>
      <c r="M818" s="2"/>
      <c r="N818" s="2"/>
      <c r="O818" s="2"/>
      <c r="P818" s="2"/>
      <c r="Q818" s="2"/>
      <c r="R818" s="2"/>
    </row>
    <row r="819">
      <c r="A819" s="2"/>
      <c r="B819" s="2"/>
      <c r="C819" s="2"/>
      <c r="D819" s="2"/>
      <c r="E819" s="2"/>
      <c r="F819" s="2"/>
      <c r="G819" s="2"/>
      <c r="H819" s="2"/>
      <c r="I819" s="2"/>
      <c r="J819" s="2"/>
      <c r="K819" s="2"/>
      <c r="L819" s="2"/>
      <c r="M819" s="2"/>
      <c r="N819" s="2"/>
      <c r="O819" s="2"/>
      <c r="P819" s="2"/>
      <c r="Q819" s="2"/>
      <c r="R819" s="2"/>
    </row>
    <row r="820">
      <c r="A820" s="2"/>
      <c r="B820" s="2"/>
      <c r="C820" s="2"/>
      <c r="D820" s="2"/>
      <c r="E820" s="2"/>
      <c r="F820" s="2"/>
      <c r="G820" s="2"/>
      <c r="H820" s="2"/>
      <c r="I820" s="2"/>
      <c r="J820" s="2"/>
      <c r="K820" s="2"/>
      <c r="L820" s="2"/>
      <c r="M820" s="2"/>
      <c r="N820" s="2"/>
      <c r="O820" s="2"/>
      <c r="P820" s="2"/>
      <c r="Q820" s="2"/>
      <c r="R820" s="2"/>
    </row>
    <row r="821">
      <c r="A821" s="2"/>
      <c r="B821" s="2"/>
      <c r="C821" s="2"/>
      <c r="D821" s="2"/>
      <c r="E821" s="2"/>
      <c r="F821" s="2"/>
      <c r="G821" s="2"/>
      <c r="H821" s="2"/>
      <c r="I821" s="2"/>
      <c r="J821" s="2"/>
      <c r="K821" s="2"/>
      <c r="L821" s="2"/>
      <c r="M821" s="2"/>
      <c r="N821" s="2"/>
      <c r="O821" s="2"/>
      <c r="P821" s="2"/>
      <c r="Q821" s="2"/>
      <c r="R821" s="2"/>
    </row>
    <row r="822">
      <c r="A822" s="2"/>
      <c r="B822" s="2"/>
      <c r="C822" s="2"/>
      <c r="D822" s="2"/>
      <c r="E822" s="2"/>
      <c r="F822" s="2"/>
      <c r="G822" s="2"/>
      <c r="H822" s="2"/>
      <c r="I822" s="2"/>
      <c r="J822" s="2"/>
      <c r="K822" s="2"/>
      <c r="L822" s="2"/>
      <c r="M822" s="2"/>
      <c r="N822" s="2"/>
      <c r="O822" s="2"/>
      <c r="P822" s="2"/>
      <c r="Q822" s="2"/>
      <c r="R822" s="2"/>
    </row>
    <row r="823">
      <c r="A823" s="2"/>
      <c r="B823" s="2"/>
      <c r="C823" s="2"/>
      <c r="D823" s="2"/>
      <c r="E823" s="2"/>
      <c r="F823" s="2"/>
      <c r="G823" s="2"/>
      <c r="H823" s="2"/>
      <c r="I823" s="2"/>
      <c r="J823" s="2"/>
      <c r="K823" s="2"/>
      <c r="L823" s="2"/>
      <c r="M823" s="2"/>
      <c r="N823" s="2"/>
      <c r="O823" s="2"/>
      <c r="P823" s="2"/>
      <c r="Q823" s="2"/>
      <c r="R823" s="2"/>
    </row>
    <row r="824">
      <c r="A824" s="2"/>
      <c r="B824" s="2"/>
      <c r="C824" s="2"/>
      <c r="D824" s="2"/>
      <c r="E824" s="2"/>
      <c r="F824" s="2"/>
      <c r="G824" s="2"/>
      <c r="H824" s="2"/>
      <c r="I824" s="2"/>
      <c r="J824" s="2"/>
      <c r="K824" s="2"/>
      <c r="L824" s="2"/>
      <c r="M824" s="2"/>
      <c r="N824" s="2"/>
      <c r="O824" s="2"/>
      <c r="P824" s="2"/>
      <c r="Q824" s="2"/>
      <c r="R824" s="2"/>
    </row>
    <row r="825">
      <c r="A825" s="2"/>
      <c r="B825" s="2"/>
      <c r="C825" s="2"/>
      <c r="D825" s="2"/>
      <c r="E825" s="2"/>
      <c r="F825" s="2"/>
      <c r="G825" s="2"/>
      <c r="H825" s="2"/>
      <c r="I825" s="2"/>
      <c r="J825" s="2"/>
      <c r="K825" s="2"/>
      <c r="L825" s="2"/>
      <c r="M825" s="2"/>
      <c r="N825" s="2"/>
      <c r="O825" s="2"/>
      <c r="P825" s="2"/>
      <c r="Q825" s="2"/>
      <c r="R825" s="2"/>
    </row>
    <row r="826">
      <c r="A826" s="2"/>
      <c r="B826" s="2"/>
      <c r="C826" s="2"/>
      <c r="D826" s="2"/>
      <c r="E826" s="2"/>
      <c r="F826" s="2"/>
      <c r="G826" s="2"/>
      <c r="H826" s="2"/>
      <c r="I826" s="2"/>
      <c r="J826" s="2"/>
      <c r="K826" s="2"/>
      <c r="L826" s="2"/>
      <c r="M826" s="2"/>
      <c r="N826" s="2"/>
      <c r="O826" s="2"/>
      <c r="P826" s="2"/>
      <c r="Q826" s="2"/>
      <c r="R826" s="2"/>
    </row>
    <row r="827">
      <c r="A827" s="2"/>
      <c r="B827" s="2"/>
      <c r="C827" s="2"/>
      <c r="D827" s="2"/>
      <c r="E827" s="2"/>
      <c r="F827" s="2"/>
      <c r="G827" s="2"/>
      <c r="H827" s="2"/>
      <c r="I827" s="2"/>
      <c r="J827" s="2"/>
      <c r="K827" s="2"/>
      <c r="L827" s="2"/>
      <c r="M827" s="2"/>
      <c r="N827" s="2"/>
      <c r="O827" s="2"/>
      <c r="P827" s="2"/>
      <c r="Q827" s="2"/>
      <c r="R827" s="2"/>
    </row>
    <row r="828">
      <c r="A828" s="2"/>
      <c r="B828" s="2"/>
      <c r="C828" s="2"/>
      <c r="D828" s="2"/>
      <c r="E828" s="2"/>
      <c r="F828" s="2"/>
      <c r="G828" s="2"/>
      <c r="H828" s="2"/>
      <c r="I828" s="2"/>
      <c r="J828" s="2"/>
      <c r="K828" s="2"/>
      <c r="L828" s="2"/>
      <c r="M828" s="2"/>
      <c r="N828" s="2"/>
      <c r="O828" s="2"/>
      <c r="P828" s="2"/>
      <c r="Q828" s="2"/>
      <c r="R828" s="2"/>
    </row>
    <row r="829">
      <c r="A829" s="2"/>
      <c r="B829" s="2"/>
      <c r="C829" s="2"/>
      <c r="D829" s="2"/>
      <c r="E829" s="2"/>
      <c r="F829" s="2"/>
      <c r="G829" s="2"/>
      <c r="H829" s="2"/>
      <c r="I829" s="2"/>
      <c r="J829" s="2"/>
      <c r="K829" s="2"/>
      <c r="L829" s="2"/>
      <c r="M829" s="2"/>
      <c r="N829" s="2"/>
      <c r="O829" s="2"/>
      <c r="P829" s="2"/>
      <c r="Q829" s="2"/>
      <c r="R829" s="2"/>
    </row>
    <row r="830">
      <c r="A830" s="2"/>
      <c r="B830" s="2"/>
      <c r="C830" s="2"/>
      <c r="D830" s="2"/>
      <c r="E830" s="2"/>
      <c r="F830" s="2"/>
      <c r="G830" s="2"/>
      <c r="H830" s="2"/>
      <c r="I830" s="2"/>
      <c r="J830" s="2"/>
      <c r="K830" s="2"/>
      <c r="L830" s="2"/>
      <c r="M830" s="2"/>
      <c r="N830" s="2"/>
      <c r="O830" s="2"/>
      <c r="P830" s="2"/>
      <c r="Q830" s="2"/>
      <c r="R830" s="2"/>
    </row>
    <row r="831">
      <c r="A831" s="2"/>
      <c r="B831" s="2"/>
      <c r="C831" s="2"/>
      <c r="D831" s="2"/>
      <c r="E831" s="2"/>
      <c r="F831" s="2"/>
      <c r="G831" s="2"/>
      <c r="H831" s="2"/>
      <c r="I831" s="2"/>
      <c r="J831" s="2"/>
      <c r="K831" s="2"/>
      <c r="L831" s="2"/>
      <c r="M831" s="2"/>
      <c r="N831" s="2"/>
      <c r="O831" s="2"/>
      <c r="P831" s="2"/>
      <c r="Q831" s="2"/>
      <c r="R831" s="2"/>
    </row>
    <row r="832">
      <c r="A832" s="2"/>
      <c r="B832" s="2"/>
      <c r="C832" s="2"/>
      <c r="D832" s="2"/>
      <c r="E832" s="2"/>
      <c r="F832" s="2"/>
      <c r="G832" s="2"/>
      <c r="H832" s="2"/>
      <c r="I832" s="2"/>
      <c r="J832" s="2"/>
      <c r="K832" s="2"/>
      <c r="L832" s="2"/>
      <c r="M832" s="2"/>
      <c r="N832" s="2"/>
      <c r="O832" s="2"/>
      <c r="P832" s="2"/>
      <c r="Q832" s="2"/>
      <c r="R832" s="2"/>
    </row>
    <row r="833">
      <c r="A833" s="2"/>
      <c r="B833" s="2"/>
      <c r="C833" s="2"/>
      <c r="D833" s="2"/>
      <c r="E833" s="2"/>
      <c r="F833" s="2"/>
      <c r="G833" s="2"/>
      <c r="H833" s="2"/>
      <c r="I833" s="2"/>
      <c r="J833" s="2"/>
      <c r="K833" s="2"/>
      <c r="L833" s="2"/>
      <c r="M833" s="2"/>
      <c r="N833" s="2"/>
      <c r="O833" s="2"/>
      <c r="P833" s="2"/>
      <c r="Q833" s="2"/>
      <c r="R833" s="2"/>
    </row>
    <row r="834">
      <c r="A834" s="2"/>
      <c r="B834" s="2"/>
      <c r="C834" s="2"/>
      <c r="D834" s="2"/>
      <c r="E834" s="2"/>
      <c r="F834" s="2"/>
      <c r="G834" s="2"/>
      <c r="H834" s="2"/>
      <c r="I834" s="2"/>
      <c r="J834" s="2"/>
      <c r="K834" s="2"/>
      <c r="L834" s="2"/>
      <c r="M834" s="2"/>
      <c r="N834" s="2"/>
      <c r="O834" s="2"/>
      <c r="P834" s="2"/>
      <c r="Q834" s="2"/>
      <c r="R834" s="2"/>
    </row>
    <row r="835">
      <c r="A835" s="2"/>
      <c r="B835" s="2"/>
      <c r="C835" s="2"/>
      <c r="D835" s="2"/>
      <c r="E835" s="2"/>
      <c r="F835" s="2"/>
      <c r="G835" s="2"/>
      <c r="H835" s="2"/>
      <c r="I835" s="2"/>
      <c r="J835" s="2"/>
      <c r="K835" s="2"/>
      <c r="L835" s="2"/>
      <c r="M835" s="2"/>
      <c r="N835" s="2"/>
      <c r="O835" s="2"/>
      <c r="P835" s="2"/>
      <c r="Q835" s="2"/>
      <c r="R835" s="2"/>
    </row>
    <row r="836">
      <c r="A836" s="2"/>
      <c r="B836" s="2"/>
      <c r="C836" s="2"/>
      <c r="D836" s="2"/>
      <c r="E836" s="2"/>
      <c r="F836" s="2"/>
      <c r="G836" s="2"/>
      <c r="H836" s="2"/>
      <c r="I836" s="2"/>
      <c r="J836" s="2"/>
      <c r="K836" s="2"/>
      <c r="L836" s="2"/>
      <c r="M836" s="2"/>
      <c r="N836" s="2"/>
      <c r="O836" s="2"/>
      <c r="P836" s="2"/>
      <c r="Q836" s="2"/>
      <c r="R836" s="2"/>
    </row>
    <row r="837">
      <c r="A837" s="2"/>
      <c r="B837" s="2"/>
      <c r="C837" s="2"/>
      <c r="D837" s="2"/>
      <c r="E837" s="2"/>
      <c r="F837" s="2"/>
      <c r="G837" s="2"/>
      <c r="H837" s="2"/>
      <c r="I837" s="2"/>
      <c r="J837" s="2"/>
      <c r="K837" s="2"/>
      <c r="L837" s="2"/>
      <c r="M837" s="2"/>
      <c r="N837" s="2"/>
      <c r="O837" s="2"/>
      <c r="P837" s="2"/>
      <c r="Q837" s="2"/>
      <c r="R837" s="2"/>
    </row>
    <row r="838">
      <c r="A838" s="2"/>
      <c r="B838" s="2"/>
      <c r="C838" s="2"/>
      <c r="D838" s="2"/>
      <c r="E838" s="2"/>
      <c r="F838" s="2"/>
      <c r="G838" s="2"/>
      <c r="H838" s="2"/>
      <c r="I838" s="2"/>
      <c r="J838" s="2"/>
      <c r="K838" s="2"/>
      <c r="L838" s="2"/>
      <c r="M838" s="2"/>
      <c r="N838" s="2"/>
      <c r="O838" s="2"/>
      <c r="P838" s="2"/>
      <c r="Q838" s="2"/>
      <c r="R838" s="2"/>
    </row>
    <row r="839">
      <c r="A839" s="2"/>
      <c r="B839" s="2"/>
      <c r="C839" s="2"/>
      <c r="D839" s="2"/>
      <c r="E839" s="2"/>
      <c r="F839" s="2"/>
      <c r="G839" s="2"/>
      <c r="H839" s="2"/>
      <c r="I839" s="2"/>
      <c r="J839" s="2"/>
      <c r="K839" s="2"/>
      <c r="L839" s="2"/>
      <c r="M839" s="2"/>
      <c r="N839" s="2"/>
      <c r="O839" s="2"/>
      <c r="P839" s="2"/>
      <c r="Q839" s="2"/>
      <c r="R839" s="2"/>
    </row>
    <row r="840">
      <c r="A840" s="2"/>
      <c r="B840" s="2"/>
      <c r="C840" s="2"/>
      <c r="D840" s="2"/>
      <c r="E840" s="2"/>
      <c r="F840" s="2"/>
      <c r="G840" s="2"/>
      <c r="H840" s="2"/>
      <c r="I840" s="2"/>
      <c r="J840" s="2"/>
      <c r="K840" s="2"/>
      <c r="L840" s="2"/>
      <c r="M840" s="2"/>
      <c r="N840" s="2"/>
      <c r="O840" s="2"/>
      <c r="P840" s="2"/>
      <c r="Q840" s="2"/>
      <c r="R840" s="2"/>
    </row>
    <row r="841">
      <c r="A841" s="2"/>
      <c r="B841" s="2"/>
      <c r="C841" s="2"/>
      <c r="D841" s="2"/>
      <c r="E841" s="2"/>
      <c r="F841" s="2"/>
      <c r="G841" s="2"/>
      <c r="H841" s="2"/>
      <c r="I841" s="2"/>
      <c r="J841" s="2"/>
      <c r="K841" s="2"/>
      <c r="L841" s="2"/>
      <c r="M841" s="2"/>
      <c r="N841" s="2"/>
      <c r="O841" s="2"/>
      <c r="P841" s="2"/>
      <c r="Q841" s="2"/>
      <c r="R841" s="2"/>
    </row>
    <row r="842">
      <c r="A842" s="2"/>
      <c r="B842" s="2"/>
      <c r="C842" s="2"/>
      <c r="D842" s="2"/>
      <c r="E842" s="2"/>
      <c r="F842" s="2"/>
      <c r="G842" s="2"/>
      <c r="H842" s="2"/>
      <c r="I842" s="2"/>
      <c r="J842" s="2"/>
      <c r="K842" s="2"/>
      <c r="L842" s="2"/>
      <c r="M842" s="2"/>
      <c r="N842" s="2"/>
      <c r="O842" s="2"/>
      <c r="P842" s="2"/>
      <c r="Q842" s="2"/>
      <c r="R842" s="2"/>
    </row>
    <row r="843">
      <c r="A843" s="2"/>
      <c r="B843" s="2"/>
      <c r="C843" s="2"/>
      <c r="D843" s="2"/>
      <c r="E843" s="2"/>
      <c r="F843" s="2"/>
      <c r="G843" s="2"/>
      <c r="H843" s="2"/>
      <c r="I843" s="2"/>
      <c r="J843" s="2"/>
      <c r="K843" s="2"/>
      <c r="L843" s="2"/>
      <c r="M843" s="2"/>
      <c r="N843" s="2"/>
      <c r="O843" s="2"/>
      <c r="P843" s="2"/>
      <c r="Q843" s="2"/>
      <c r="R843" s="2"/>
    </row>
    <row r="844">
      <c r="A844" s="2"/>
      <c r="B844" s="2"/>
      <c r="C844" s="2"/>
      <c r="D844" s="2"/>
      <c r="E844" s="2"/>
      <c r="F844" s="2"/>
      <c r="G844" s="2"/>
      <c r="H844" s="2"/>
      <c r="I844" s="2"/>
      <c r="J844" s="2"/>
      <c r="K844" s="2"/>
      <c r="L844" s="2"/>
      <c r="M844" s="2"/>
      <c r="N844" s="2"/>
      <c r="O844" s="2"/>
      <c r="P844" s="2"/>
      <c r="Q844" s="2"/>
      <c r="R844" s="2"/>
    </row>
    <row r="845">
      <c r="A845" s="2"/>
      <c r="B845" s="2"/>
      <c r="C845" s="2"/>
      <c r="D845" s="2"/>
      <c r="E845" s="2"/>
      <c r="F845" s="2"/>
      <c r="G845" s="2"/>
      <c r="H845" s="2"/>
      <c r="I845" s="2"/>
      <c r="J845" s="2"/>
      <c r="K845" s="2"/>
      <c r="L845" s="2"/>
      <c r="M845" s="2"/>
      <c r="N845" s="2"/>
      <c r="O845" s="2"/>
      <c r="P845" s="2"/>
      <c r="Q845" s="2"/>
      <c r="R845" s="2"/>
    </row>
    <row r="846">
      <c r="A846" s="2"/>
      <c r="B846" s="2"/>
      <c r="C846" s="2"/>
      <c r="D846" s="2"/>
      <c r="E846" s="2"/>
      <c r="F846" s="2"/>
      <c r="G846" s="2"/>
      <c r="H846" s="2"/>
      <c r="I846" s="2"/>
      <c r="J846" s="2"/>
      <c r="K846" s="2"/>
      <c r="L846" s="2"/>
      <c r="M846" s="2"/>
      <c r="N846" s="2"/>
      <c r="O846" s="2"/>
      <c r="P846" s="2"/>
      <c r="Q846" s="2"/>
      <c r="R846" s="2"/>
    </row>
    <row r="847">
      <c r="A847" s="2"/>
      <c r="B847" s="2"/>
      <c r="C847" s="2"/>
      <c r="D847" s="2"/>
      <c r="E847" s="2"/>
      <c r="F847" s="2"/>
      <c r="G847" s="2"/>
      <c r="H847" s="2"/>
      <c r="I847" s="2"/>
      <c r="J847" s="2"/>
      <c r="K847" s="2"/>
      <c r="L847" s="2"/>
      <c r="M847" s="2"/>
      <c r="N847" s="2"/>
      <c r="O847" s="2"/>
      <c r="P847" s="2"/>
      <c r="Q847" s="2"/>
      <c r="R847" s="2"/>
    </row>
    <row r="848">
      <c r="A848" s="2"/>
      <c r="B848" s="2"/>
      <c r="C848" s="2"/>
      <c r="D848" s="2"/>
      <c r="E848" s="2"/>
      <c r="F848" s="2"/>
      <c r="G848" s="2"/>
      <c r="H848" s="2"/>
      <c r="I848" s="2"/>
      <c r="J848" s="2"/>
      <c r="K848" s="2"/>
      <c r="L848" s="2"/>
      <c r="M848" s="2"/>
      <c r="N848" s="2"/>
      <c r="O848" s="2"/>
      <c r="P848" s="2"/>
      <c r="Q848" s="2"/>
      <c r="R848" s="2"/>
    </row>
    <row r="849">
      <c r="A849" s="2"/>
      <c r="B849" s="2"/>
      <c r="C849" s="2"/>
      <c r="D849" s="2"/>
      <c r="E849" s="2"/>
      <c r="F849" s="2"/>
      <c r="G849" s="2"/>
      <c r="H849" s="2"/>
      <c r="I849" s="2"/>
      <c r="J849" s="2"/>
      <c r="K849" s="2"/>
      <c r="L849" s="2"/>
      <c r="M849" s="2"/>
      <c r="N849" s="2"/>
      <c r="O849" s="2"/>
      <c r="P849" s="2"/>
      <c r="Q849" s="2"/>
      <c r="R849" s="2"/>
    </row>
    <row r="850">
      <c r="A850" s="2"/>
      <c r="B850" s="2"/>
      <c r="C850" s="2"/>
      <c r="D850" s="2"/>
      <c r="E850" s="2"/>
      <c r="F850" s="2"/>
      <c r="G850" s="2"/>
      <c r="H850" s="2"/>
      <c r="I850" s="2"/>
      <c r="J850" s="2"/>
      <c r="K850" s="2"/>
      <c r="L850" s="2"/>
      <c r="M850" s="2"/>
      <c r="N850" s="2"/>
      <c r="O850" s="2"/>
      <c r="P850" s="2"/>
      <c r="Q850" s="2"/>
      <c r="R850" s="2"/>
    </row>
    <row r="851">
      <c r="A851" s="2"/>
      <c r="B851" s="2"/>
      <c r="C851" s="2"/>
      <c r="D851" s="2"/>
      <c r="E851" s="2"/>
      <c r="F851" s="2"/>
      <c r="G851" s="2"/>
      <c r="H851" s="2"/>
      <c r="I851" s="2"/>
      <c r="J851" s="2"/>
      <c r="K851" s="2"/>
      <c r="L851" s="2"/>
      <c r="M851" s="2"/>
      <c r="N851" s="2"/>
      <c r="O851" s="2"/>
      <c r="P851" s="2"/>
      <c r="Q851" s="2"/>
      <c r="R851" s="2"/>
    </row>
    <row r="852">
      <c r="A852" s="2"/>
      <c r="B852" s="2"/>
      <c r="C852" s="2"/>
      <c r="D852" s="2"/>
      <c r="E852" s="2"/>
      <c r="F852" s="2"/>
      <c r="G852" s="2"/>
      <c r="H852" s="2"/>
      <c r="I852" s="2"/>
      <c r="J852" s="2"/>
      <c r="K852" s="2"/>
      <c r="L852" s="2"/>
      <c r="M852" s="2"/>
      <c r="N852" s="2"/>
      <c r="O852" s="2"/>
      <c r="P852" s="2"/>
      <c r="Q852" s="2"/>
      <c r="R852" s="2"/>
    </row>
    <row r="853">
      <c r="A853" s="2"/>
      <c r="B853" s="2"/>
      <c r="C853" s="2"/>
      <c r="D853" s="2"/>
      <c r="E853" s="2"/>
      <c r="F853" s="2"/>
      <c r="G853" s="2"/>
      <c r="H853" s="2"/>
      <c r="I853" s="2"/>
      <c r="J853" s="2"/>
      <c r="K853" s="2"/>
      <c r="L853" s="2"/>
      <c r="M853" s="2"/>
      <c r="N853" s="2"/>
      <c r="O853" s="2"/>
      <c r="P853" s="2"/>
      <c r="Q853" s="2"/>
      <c r="R853" s="2"/>
    </row>
    <row r="854">
      <c r="A854" s="2"/>
      <c r="B854" s="2"/>
      <c r="C854" s="2"/>
      <c r="D854" s="2"/>
      <c r="E854" s="2"/>
      <c r="F854" s="2"/>
      <c r="G854" s="2"/>
      <c r="H854" s="2"/>
      <c r="I854" s="2"/>
      <c r="J854" s="2"/>
      <c r="K854" s="2"/>
      <c r="L854" s="2"/>
      <c r="M854" s="2"/>
      <c r="N854" s="2"/>
      <c r="O854" s="2"/>
      <c r="P854" s="2"/>
      <c r="Q854" s="2"/>
      <c r="R854" s="2"/>
    </row>
    <row r="855">
      <c r="A855" s="2"/>
      <c r="B855" s="2"/>
      <c r="C855" s="2"/>
      <c r="D855" s="2"/>
      <c r="E855" s="2"/>
      <c r="F855" s="2"/>
      <c r="G855" s="2"/>
      <c r="H855" s="2"/>
      <c r="I855" s="2"/>
      <c r="J855" s="2"/>
      <c r="K855" s="2"/>
      <c r="L855" s="2"/>
      <c r="M855" s="2"/>
      <c r="N855" s="2"/>
      <c r="O855" s="2"/>
      <c r="P855" s="2"/>
      <c r="Q855" s="2"/>
      <c r="R855" s="2"/>
    </row>
    <row r="856">
      <c r="A856" s="2"/>
      <c r="B856" s="2"/>
      <c r="C856" s="2"/>
      <c r="D856" s="2"/>
      <c r="E856" s="2"/>
      <c r="F856" s="2"/>
      <c r="G856" s="2"/>
      <c r="H856" s="2"/>
      <c r="I856" s="2"/>
      <c r="J856" s="2"/>
      <c r="K856" s="2"/>
      <c r="L856" s="2"/>
      <c r="M856" s="2"/>
      <c r="N856" s="2"/>
      <c r="O856" s="2"/>
      <c r="P856" s="2"/>
      <c r="Q856" s="2"/>
      <c r="R856" s="2"/>
    </row>
    <row r="857">
      <c r="A857" s="2"/>
      <c r="B857" s="2"/>
      <c r="C857" s="2"/>
      <c r="D857" s="2"/>
      <c r="E857" s="2"/>
      <c r="F857" s="2"/>
      <c r="G857" s="2"/>
      <c r="H857" s="2"/>
      <c r="I857" s="2"/>
      <c r="J857" s="2"/>
      <c r="K857" s="2"/>
      <c r="L857" s="2"/>
      <c r="M857" s="2"/>
      <c r="N857" s="2"/>
      <c r="O857" s="2"/>
      <c r="P857" s="2"/>
      <c r="Q857" s="2"/>
      <c r="R857" s="2"/>
    </row>
    <row r="858">
      <c r="A858" s="2"/>
      <c r="B858" s="2"/>
      <c r="C858" s="2"/>
      <c r="D858" s="2"/>
      <c r="E858" s="2"/>
      <c r="F858" s="2"/>
      <c r="G858" s="2"/>
      <c r="H858" s="2"/>
      <c r="I858" s="2"/>
      <c r="J858" s="2"/>
      <c r="K858" s="2"/>
      <c r="L858" s="2"/>
      <c r="M858" s="2"/>
      <c r="N858" s="2"/>
      <c r="O858" s="2"/>
      <c r="P858" s="2"/>
      <c r="Q858" s="2"/>
      <c r="R858" s="2"/>
    </row>
    <row r="859">
      <c r="A859" s="2"/>
      <c r="B859" s="2"/>
      <c r="C859" s="2"/>
      <c r="D859" s="2"/>
      <c r="E859" s="2"/>
      <c r="F859" s="2"/>
      <c r="G859" s="2"/>
      <c r="H859" s="2"/>
      <c r="I859" s="2"/>
      <c r="J859" s="2"/>
      <c r="K859" s="2"/>
      <c r="L859" s="2"/>
      <c r="M859" s="2"/>
      <c r="N859" s="2"/>
      <c r="O859" s="2"/>
      <c r="P859" s="2"/>
      <c r="Q859" s="2"/>
      <c r="R859" s="2"/>
    </row>
    <row r="860">
      <c r="A860" s="2"/>
      <c r="B860" s="2"/>
      <c r="C860" s="2"/>
      <c r="D860" s="2"/>
      <c r="E860" s="2"/>
      <c r="F860" s="2"/>
      <c r="G860" s="2"/>
      <c r="H860" s="2"/>
      <c r="I860" s="2"/>
      <c r="J860" s="2"/>
      <c r="K860" s="2"/>
      <c r="L860" s="2"/>
      <c r="M860" s="2"/>
      <c r="N860" s="2"/>
      <c r="O860" s="2"/>
      <c r="P860" s="2"/>
      <c r="Q860" s="2"/>
      <c r="R860" s="2"/>
    </row>
    <row r="861">
      <c r="A861" s="2"/>
      <c r="B861" s="2"/>
      <c r="C861" s="2"/>
      <c r="D861" s="2"/>
      <c r="E861" s="2"/>
      <c r="F861" s="2"/>
      <c r="G861" s="2"/>
      <c r="H861" s="2"/>
      <c r="I861" s="2"/>
      <c r="J861" s="2"/>
      <c r="K861" s="2"/>
      <c r="L861" s="2"/>
      <c r="M861" s="2"/>
      <c r="N861" s="2"/>
      <c r="O861" s="2"/>
      <c r="P861" s="2"/>
      <c r="Q861" s="2"/>
      <c r="R861" s="2"/>
    </row>
    <row r="862">
      <c r="A862" s="2"/>
      <c r="B862" s="2"/>
      <c r="C862" s="2"/>
      <c r="D862" s="2"/>
      <c r="E862" s="2"/>
      <c r="F862" s="2"/>
      <c r="G862" s="2"/>
      <c r="H862" s="2"/>
      <c r="I862" s="2"/>
      <c r="J862" s="2"/>
      <c r="K862" s="2"/>
      <c r="L862" s="2"/>
      <c r="M862" s="2"/>
      <c r="N862" s="2"/>
      <c r="O862" s="2"/>
      <c r="P862" s="2"/>
      <c r="Q862" s="2"/>
      <c r="R862" s="2"/>
    </row>
    <row r="863">
      <c r="A863" s="2"/>
      <c r="B863" s="2"/>
      <c r="C863" s="2"/>
      <c r="D863" s="2"/>
      <c r="E863" s="2"/>
      <c r="F863" s="2"/>
      <c r="G863" s="2"/>
      <c r="H863" s="2"/>
      <c r="I863" s="2"/>
      <c r="J863" s="2"/>
      <c r="K863" s="2"/>
      <c r="L863" s="2"/>
      <c r="M863" s="2"/>
      <c r="N863" s="2"/>
      <c r="O863" s="2"/>
      <c r="P863" s="2"/>
      <c r="Q863" s="2"/>
      <c r="R863" s="2"/>
    </row>
    <row r="864">
      <c r="A864" s="2"/>
      <c r="B864" s="2"/>
      <c r="C864" s="2"/>
      <c r="D864" s="2"/>
      <c r="E864" s="2"/>
      <c r="F864" s="2"/>
      <c r="G864" s="2"/>
      <c r="H864" s="2"/>
      <c r="I864" s="2"/>
      <c r="J864" s="2"/>
      <c r="K864" s="2"/>
      <c r="L864" s="2"/>
      <c r="M864" s="2"/>
      <c r="N864" s="2"/>
      <c r="O864" s="2"/>
      <c r="P864" s="2"/>
      <c r="Q864" s="2"/>
      <c r="R864" s="2"/>
    </row>
    <row r="865">
      <c r="A865" s="2"/>
      <c r="B865" s="2"/>
      <c r="C865" s="2"/>
      <c r="D865" s="2"/>
      <c r="E865" s="2"/>
      <c r="F865" s="2"/>
      <c r="G865" s="2"/>
      <c r="H865" s="2"/>
      <c r="I865" s="2"/>
      <c r="J865" s="2"/>
      <c r="K865" s="2"/>
      <c r="L865" s="2"/>
      <c r="M865" s="2"/>
      <c r="N865" s="2"/>
      <c r="O865" s="2"/>
      <c r="P865" s="2"/>
      <c r="Q865" s="2"/>
      <c r="R865" s="2"/>
    </row>
    <row r="866">
      <c r="A866" s="2"/>
      <c r="B866" s="2"/>
      <c r="C866" s="2"/>
      <c r="D866" s="2"/>
      <c r="E866" s="2"/>
      <c r="F866" s="2"/>
      <c r="G866" s="2"/>
      <c r="H866" s="2"/>
      <c r="I866" s="2"/>
      <c r="J866" s="2"/>
      <c r="K866" s="2"/>
      <c r="L866" s="2"/>
      <c r="M866" s="2"/>
      <c r="N866" s="2"/>
      <c r="O866" s="2"/>
      <c r="P866" s="2"/>
      <c r="Q866" s="2"/>
      <c r="R866" s="2"/>
    </row>
    <row r="867">
      <c r="A867" s="2"/>
      <c r="B867" s="2"/>
      <c r="C867" s="2"/>
      <c r="D867" s="2"/>
      <c r="E867" s="2"/>
      <c r="F867" s="2"/>
      <c r="G867" s="2"/>
      <c r="H867" s="2"/>
      <c r="I867" s="2"/>
      <c r="J867" s="2"/>
      <c r="K867" s="2"/>
      <c r="L867" s="2"/>
      <c r="M867" s="2"/>
      <c r="N867" s="2"/>
      <c r="O867" s="2"/>
      <c r="P867" s="2"/>
      <c r="Q867" s="2"/>
      <c r="R867" s="2"/>
    </row>
    <row r="868">
      <c r="A868" s="2"/>
      <c r="B868" s="2"/>
      <c r="C868" s="2"/>
      <c r="D868" s="2"/>
      <c r="E868" s="2"/>
      <c r="F868" s="2"/>
      <c r="G868" s="2"/>
      <c r="H868" s="2"/>
      <c r="I868" s="2"/>
      <c r="J868" s="2"/>
      <c r="K868" s="2"/>
      <c r="L868" s="2"/>
      <c r="M868" s="2"/>
      <c r="N868" s="2"/>
      <c r="O868" s="2"/>
      <c r="P868" s="2"/>
      <c r="Q868" s="2"/>
      <c r="R868" s="2"/>
    </row>
    <row r="869">
      <c r="A869" s="2"/>
      <c r="B869" s="2"/>
      <c r="C869" s="2"/>
      <c r="D869" s="2"/>
      <c r="E869" s="2"/>
      <c r="F869" s="2"/>
      <c r="G869" s="2"/>
      <c r="H869" s="2"/>
      <c r="I869" s="2"/>
      <c r="J869" s="2"/>
      <c r="K869" s="2"/>
      <c r="L869" s="2"/>
      <c r="M869" s="2"/>
      <c r="N869" s="2"/>
      <c r="O869" s="2"/>
      <c r="P869" s="2"/>
      <c r="Q869" s="2"/>
      <c r="R869" s="2"/>
    </row>
    <row r="870">
      <c r="A870" s="2"/>
      <c r="B870" s="2"/>
      <c r="C870" s="2"/>
      <c r="D870" s="2"/>
      <c r="E870" s="2"/>
      <c r="F870" s="2"/>
      <c r="G870" s="2"/>
      <c r="H870" s="2"/>
      <c r="I870" s="2"/>
      <c r="J870" s="2"/>
      <c r="K870" s="2"/>
      <c r="L870" s="2"/>
      <c r="M870" s="2"/>
      <c r="N870" s="2"/>
      <c r="O870" s="2"/>
      <c r="P870" s="2"/>
      <c r="Q870" s="2"/>
      <c r="R870" s="2"/>
    </row>
    <row r="871">
      <c r="A871" s="2"/>
      <c r="B871" s="2"/>
      <c r="C871" s="2"/>
      <c r="D871" s="2"/>
      <c r="E871" s="2"/>
      <c r="F871" s="2"/>
      <c r="G871" s="2"/>
      <c r="H871" s="2"/>
      <c r="I871" s="2"/>
      <c r="J871" s="2"/>
      <c r="K871" s="2"/>
      <c r="L871" s="2"/>
      <c r="M871" s="2"/>
      <c r="N871" s="2"/>
      <c r="O871" s="2"/>
      <c r="P871" s="2"/>
      <c r="Q871" s="2"/>
      <c r="R871" s="2"/>
    </row>
    <row r="872">
      <c r="A872" s="2"/>
      <c r="B872" s="2"/>
      <c r="C872" s="2"/>
      <c r="D872" s="2"/>
      <c r="E872" s="2"/>
      <c r="F872" s="2"/>
      <c r="G872" s="2"/>
      <c r="H872" s="2"/>
      <c r="I872" s="2"/>
      <c r="J872" s="2"/>
      <c r="K872" s="2"/>
      <c r="L872" s="2"/>
      <c r="M872" s="2"/>
      <c r="N872" s="2"/>
      <c r="O872" s="2"/>
      <c r="P872" s="2"/>
      <c r="Q872" s="2"/>
      <c r="R872" s="2"/>
    </row>
    <row r="873">
      <c r="A873" s="2"/>
      <c r="B873" s="2"/>
      <c r="C873" s="2"/>
      <c r="D873" s="2"/>
      <c r="E873" s="2"/>
      <c r="F873" s="2"/>
      <c r="G873" s="2"/>
      <c r="H873" s="2"/>
      <c r="I873" s="2"/>
      <c r="J873" s="2"/>
      <c r="K873" s="2"/>
      <c r="L873" s="2"/>
      <c r="M873" s="2"/>
      <c r="N873" s="2"/>
      <c r="O873" s="2"/>
      <c r="P873" s="2"/>
      <c r="Q873" s="2"/>
      <c r="R873" s="2"/>
    </row>
    <row r="874">
      <c r="A874" s="2"/>
      <c r="B874" s="2"/>
      <c r="C874" s="2"/>
      <c r="D874" s="2"/>
      <c r="E874" s="2"/>
      <c r="F874" s="2"/>
      <c r="G874" s="2"/>
      <c r="H874" s="2"/>
      <c r="I874" s="2"/>
      <c r="J874" s="2"/>
      <c r="K874" s="2"/>
      <c r="L874" s="2"/>
      <c r="M874" s="2"/>
      <c r="N874" s="2"/>
      <c r="O874" s="2"/>
      <c r="P874" s="2"/>
      <c r="Q874" s="2"/>
      <c r="R874" s="2"/>
    </row>
    <row r="875">
      <c r="A875" s="2"/>
      <c r="B875" s="2"/>
      <c r="C875" s="2"/>
      <c r="D875" s="2"/>
      <c r="E875" s="2"/>
      <c r="F875" s="2"/>
      <c r="G875" s="2"/>
      <c r="H875" s="2"/>
      <c r="I875" s="2"/>
      <c r="J875" s="2"/>
      <c r="K875" s="2"/>
      <c r="L875" s="2"/>
      <c r="M875" s="2"/>
      <c r="N875" s="2"/>
      <c r="O875" s="2"/>
      <c r="P875" s="2"/>
      <c r="Q875" s="2"/>
      <c r="R875" s="2"/>
    </row>
    <row r="876">
      <c r="A876" s="2"/>
      <c r="B876" s="2"/>
      <c r="C876" s="2"/>
      <c r="D876" s="2"/>
      <c r="E876" s="2"/>
      <c r="F876" s="2"/>
      <c r="G876" s="2"/>
      <c r="H876" s="2"/>
      <c r="I876" s="2"/>
      <c r="J876" s="2"/>
      <c r="K876" s="2"/>
      <c r="L876" s="2"/>
      <c r="M876" s="2"/>
      <c r="N876" s="2"/>
      <c r="O876" s="2"/>
      <c r="P876" s="2"/>
      <c r="Q876" s="2"/>
      <c r="R876" s="2"/>
    </row>
    <row r="877">
      <c r="A877" s="2"/>
      <c r="B877" s="2"/>
      <c r="C877" s="2"/>
      <c r="D877" s="2"/>
      <c r="E877" s="2"/>
      <c r="F877" s="2"/>
      <c r="G877" s="2"/>
      <c r="H877" s="2"/>
      <c r="I877" s="2"/>
      <c r="J877" s="2"/>
      <c r="K877" s="2"/>
      <c r="L877" s="2"/>
      <c r="M877" s="2"/>
      <c r="N877" s="2"/>
      <c r="O877" s="2"/>
      <c r="P877" s="2"/>
      <c r="Q877" s="2"/>
      <c r="R877" s="2"/>
    </row>
    <row r="878">
      <c r="A878" s="2"/>
      <c r="B878" s="2"/>
      <c r="C878" s="2"/>
      <c r="D878" s="2"/>
      <c r="E878" s="2"/>
      <c r="F878" s="2"/>
      <c r="G878" s="2"/>
      <c r="H878" s="2"/>
      <c r="I878" s="2"/>
      <c r="J878" s="2"/>
      <c r="K878" s="2"/>
      <c r="L878" s="2"/>
      <c r="M878" s="2"/>
      <c r="N878" s="2"/>
      <c r="O878" s="2"/>
      <c r="P878" s="2"/>
      <c r="Q878" s="2"/>
      <c r="R878" s="2"/>
    </row>
    <row r="879">
      <c r="A879" s="2"/>
      <c r="B879" s="2"/>
      <c r="C879" s="2"/>
      <c r="D879" s="2"/>
      <c r="E879" s="2"/>
      <c r="F879" s="2"/>
      <c r="G879" s="2"/>
      <c r="H879" s="2"/>
      <c r="I879" s="2"/>
      <c r="J879" s="2"/>
      <c r="K879" s="2"/>
      <c r="L879" s="2"/>
      <c r="M879" s="2"/>
      <c r="N879" s="2"/>
      <c r="O879" s="2"/>
      <c r="P879" s="2"/>
      <c r="Q879" s="2"/>
      <c r="R879" s="2"/>
    </row>
    <row r="880">
      <c r="A880" s="2"/>
      <c r="B880" s="2"/>
      <c r="C880" s="2"/>
      <c r="D880" s="2"/>
      <c r="E880" s="2"/>
      <c r="F880" s="2"/>
      <c r="G880" s="2"/>
      <c r="H880" s="2"/>
      <c r="I880" s="2"/>
      <c r="J880" s="2"/>
      <c r="K880" s="2"/>
      <c r="L880" s="2"/>
      <c r="M880" s="2"/>
      <c r="N880" s="2"/>
      <c r="O880" s="2"/>
      <c r="P880" s="2"/>
      <c r="Q880" s="2"/>
      <c r="R880" s="2"/>
    </row>
    <row r="881">
      <c r="A881" s="2"/>
      <c r="B881" s="2"/>
      <c r="C881" s="2"/>
      <c r="D881" s="2"/>
      <c r="E881" s="2"/>
      <c r="F881" s="2"/>
      <c r="G881" s="2"/>
      <c r="H881" s="2"/>
      <c r="I881" s="2"/>
      <c r="J881" s="2"/>
      <c r="K881" s="2"/>
      <c r="L881" s="2"/>
      <c r="M881" s="2"/>
      <c r="N881" s="2"/>
      <c r="O881" s="2"/>
      <c r="P881" s="2"/>
      <c r="Q881" s="2"/>
      <c r="R881" s="2"/>
    </row>
    <row r="882">
      <c r="A882" s="2"/>
      <c r="B882" s="2"/>
      <c r="C882" s="2"/>
      <c r="D882" s="2"/>
      <c r="E882" s="2"/>
      <c r="F882" s="2"/>
      <c r="G882" s="2"/>
      <c r="H882" s="2"/>
      <c r="I882" s="2"/>
      <c r="J882" s="2"/>
      <c r="K882" s="2"/>
      <c r="L882" s="2"/>
      <c r="M882" s="2"/>
      <c r="N882" s="2"/>
      <c r="O882" s="2"/>
      <c r="P882" s="2"/>
      <c r="Q882" s="2"/>
      <c r="R882" s="2"/>
    </row>
    <row r="883">
      <c r="A883" s="2"/>
      <c r="B883" s="2"/>
      <c r="C883" s="2"/>
      <c r="D883" s="2"/>
      <c r="E883" s="2"/>
      <c r="F883" s="2"/>
      <c r="G883" s="2"/>
      <c r="H883" s="2"/>
      <c r="I883" s="2"/>
      <c r="J883" s="2"/>
      <c r="K883" s="2"/>
      <c r="L883" s="2"/>
      <c r="M883" s="2"/>
      <c r="N883" s="2"/>
      <c r="O883" s="2"/>
      <c r="P883" s="2"/>
      <c r="Q883" s="2"/>
      <c r="R883" s="2"/>
    </row>
    <row r="884">
      <c r="A884" s="2"/>
      <c r="B884" s="2"/>
      <c r="C884" s="2"/>
      <c r="D884" s="2"/>
      <c r="E884" s="2"/>
      <c r="F884" s="2"/>
      <c r="G884" s="2"/>
      <c r="H884" s="2"/>
      <c r="I884" s="2"/>
      <c r="J884" s="2"/>
      <c r="K884" s="2"/>
      <c r="L884" s="2"/>
      <c r="M884" s="2"/>
      <c r="N884" s="2"/>
      <c r="O884" s="2"/>
      <c r="P884" s="2"/>
      <c r="Q884" s="2"/>
      <c r="R884" s="2"/>
    </row>
    <row r="885">
      <c r="A885" s="2"/>
      <c r="B885" s="2"/>
      <c r="C885" s="2"/>
      <c r="D885" s="2"/>
      <c r="E885" s="2"/>
      <c r="F885" s="2"/>
      <c r="G885" s="2"/>
      <c r="H885" s="2"/>
      <c r="I885" s="2"/>
      <c r="J885" s="2"/>
      <c r="K885" s="2"/>
      <c r="L885" s="2"/>
      <c r="M885" s="2"/>
      <c r="N885" s="2"/>
      <c r="O885" s="2"/>
      <c r="P885" s="2"/>
      <c r="Q885" s="2"/>
      <c r="R885" s="2"/>
    </row>
    <row r="886">
      <c r="A886" s="2"/>
      <c r="B886" s="2"/>
      <c r="C886" s="2"/>
      <c r="D886" s="2"/>
      <c r="E886" s="2"/>
      <c r="F886" s="2"/>
      <c r="G886" s="2"/>
      <c r="H886" s="2"/>
      <c r="I886" s="2"/>
      <c r="J886" s="2"/>
      <c r="K886" s="2"/>
      <c r="L886" s="2"/>
      <c r="M886" s="2"/>
      <c r="N886" s="2"/>
      <c r="O886" s="2"/>
      <c r="P886" s="2"/>
      <c r="Q886" s="2"/>
      <c r="R886" s="2"/>
    </row>
    <row r="887">
      <c r="A887" s="2"/>
      <c r="B887" s="2"/>
      <c r="C887" s="2"/>
      <c r="D887" s="2"/>
      <c r="E887" s="2"/>
      <c r="F887" s="2"/>
      <c r="G887" s="2"/>
      <c r="H887" s="2"/>
      <c r="I887" s="2"/>
      <c r="J887" s="2"/>
      <c r="K887" s="2"/>
      <c r="L887" s="2"/>
      <c r="M887" s="2"/>
      <c r="N887" s="2"/>
      <c r="O887" s="2"/>
      <c r="P887" s="2"/>
      <c r="Q887" s="2"/>
      <c r="R887" s="2"/>
    </row>
    <row r="888">
      <c r="A888" s="2"/>
      <c r="B888" s="2"/>
      <c r="C888" s="2"/>
      <c r="D888" s="2"/>
      <c r="E888" s="2"/>
      <c r="F888" s="2"/>
      <c r="G888" s="2"/>
      <c r="H888" s="2"/>
      <c r="I888" s="2"/>
      <c r="J888" s="2"/>
      <c r="K888" s="2"/>
      <c r="L888" s="2"/>
      <c r="M888" s="2"/>
      <c r="N888" s="2"/>
      <c r="O888" s="2"/>
      <c r="P888" s="2"/>
      <c r="Q888" s="2"/>
      <c r="R888" s="2"/>
    </row>
    <row r="889">
      <c r="A889" s="2"/>
      <c r="B889" s="2"/>
      <c r="C889" s="2"/>
      <c r="D889" s="2"/>
      <c r="E889" s="2"/>
      <c r="F889" s="2"/>
      <c r="G889" s="2"/>
      <c r="H889" s="2"/>
      <c r="I889" s="2"/>
      <c r="J889" s="2"/>
      <c r="K889" s="2"/>
      <c r="L889" s="2"/>
      <c r="M889" s="2"/>
      <c r="N889" s="2"/>
      <c r="O889" s="2"/>
      <c r="P889" s="2"/>
      <c r="Q889" s="2"/>
      <c r="R889" s="2"/>
    </row>
    <row r="890">
      <c r="A890" s="2"/>
      <c r="B890" s="2"/>
      <c r="C890" s="2"/>
      <c r="D890" s="2"/>
      <c r="E890" s="2"/>
      <c r="F890" s="2"/>
      <c r="G890" s="2"/>
      <c r="H890" s="2"/>
      <c r="I890" s="2"/>
      <c r="J890" s="2"/>
      <c r="K890" s="2"/>
      <c r="L890" s="2"/>
      <c r="M890" s="2"/>
      <c r="N890" s="2"/>
      <c r="O890" s="2"/>
      <c r="P890" s="2"/>
      <c r="Q890" s="2"/>
      <c r="R890" s="2"/>
    </row>
    <row r="891">
      <c r="A891" s="2"/>
      <c r="B891" s="2"/>
      <c r="C891" s="2"/>
      <c r="D891" s="2"/>
      <c r="E891" s="2"/>
      <c r="F891" s="2"/>
      <c r="G891" s="2"/>
      <c r="H891" s="2"/>
      <c r="I891" s="2"/>
      <c r="J891" s="2"/>
      <c r="K891" s="2"/>
      <c r="L891" s="2"/>
      <c r="M891" s="2"/>
      <c r="N891" s="2"/>
      <c r="O891" s="2"/>
      <c r="P891" s="2"/>
      <c r="Q891" s="2"/>
      <c r="R891" s="2"/>
    </row>
    <row r="892">
      <c r="A892" s="2"/>
      <c r="B892" s="2"/>
      <c r="C892" s="2"/>
      <c r="D892" s="2"/>
      <c r="E892" s="2"/>
      <c r="F892" s="2"/>
      <c r="G892" s="2"/>
      <c r="H892" s="2"/>
      <c r="I892" s="2"/>
      <c r="J892" s="2"/>
      <c r="K892" s="2"/>
      <c r="L892" s="2"/>
      <c r="M892" s="2"/>
      <c r="N892" s="2"/>
      <c r="O892" s="2"/>
      <c r="P892" s="2"/>
      <c r="Q892" s="2"/>
      <c r="R892" s="2"/>
    </row>
    <row r="893">
      <c r="A893" s="2"/>
      <c r="B893" s="2"/>
      <c r="C893" s="2"/>
      <c r="D893" s="2"/>
      <c r="E893" s="2"/>
      <c r="F893" s="2"/>
      <c r="G893" s="2"/>
      <c r="H893" s="2"/>
      <c r="I893" s="2"/>
      <c r="J893" s="2"/>
      <c r="K893" s="2"/>
      <c r="L893" s="2"/>
      <c r="M893" s="2"/>
      <c r="N893" s="2"/>
      <c r="O893" s="2"/>
      <c r="P893" s="2"/>
      <c r="Q893" s="2"/>
      <c r="R893" s="2"/>
    </row>
    <row r="894">
      <c r="A894" s="2"/>
      <c r="B894" s="2"/>
      <c r="C894" s="2"/>
      <c r="D894" s="2"/>
      <c r="E894" s="2"/>
      <c r="F894" s="2"/>
      <c r="G894" s="2"/>
      <c r="H894" s="2"/>
      <c r="I894" s="2"/>
      <c r="J894" s="2"/>
      <c r="K894" s="2"/>
      <c r="L894" s="2"/>
      <c r="M894" s="2"/>
      <c r="N894" s="2"/>
      <c r="O894" s="2"/>
      <c r="P894" s="2"/>
      <c r="Q894" s="2"/>
      <c r="R894" s="2"/>
    </row>
    <row r="895">
      <c r="A895" s="2"/>
      <c r="B895" s="2"/>
      <c r="C895" s="2"/>
      <c r="D895" s="2"/>
      <c r="E895" s="2"/>
      <c r="F895" s="2"/>
      <c r="G895" s="2"/>
      <c r="H895" s="2"/>
      <c r="I895" s="2"/>
      <c r="J895" s="2"/>
      <c r="K895" s="2"/>
      <c r="L895" s="2"/>
      <c r="M895" s="2"/>
      <c r="N895" s="2"/>
      <c r="O895" s="2"/>
      <c r="P895" s="2"/>
      <c r="Q895" s="2"/>
      <c r="R895" s="2"/>
    </row>
    <row r="896">
      <c r="A896" s="2"/>
      <c r="B896" s="2"/>
      <c r="C896" s="2"/>
      <c r="D896" s="2"/>
      <c r="E896" s="2"/>
      <c r="F896" s="2"/>
      <c r="G896" s="2"/>
      <c r="H896" s="2"/>
      <c r="I896" s="2"/>
      <c r="J896" s="2"/>
      <c r="K896" s="2"/>
      <c r="L896" s="2"/>
      <c r="M896" s="2"/>
      <c r="N896" s="2"/>
      <c r="O896" s="2"/>
      <c r="P896" s="2"/>
      <c r="Q896" s="2"/>
      <c r="R896" s="2"/>
    </row>
    <row r="897">
      <c r="A897" s="2"/>
      <c r="B897" s="2"/>
      <c r="C897" s="2"/>
      <c r="D897" s="2"/>
      <c r="E897" s="2"/>
      <c r="F897" s="2"/>
      <c r="G897" s="2"/>
      <c r="H897" s="2"/>
      <c r="I897" s="2"/>
      <c r="J897" s="2"/>
      <c r="K897" s="2"/>
      <c r="L897" s="2"/>
      <c r="M897" s="2"/>
      <c r="N897" s="2"/>
      <c r="O897" s="2"/>
      <c r="P897" s="2"/>
      <c r="Q897" s="2"/>
      <c r="R897" s="2"/>
    </row>
    <row r="898">
      <c r="A898" s="2"/>
      <c r="B898" s="2"/>
      <c r="C898" s="2"/>
      <c r="D898" s="2"/>
      <c r="E898" s="2"/>
      <c r="F898" s="2"/>
      <c r="G898" s="2"/>
      <c r="H898" s="2"/>
      <c r="I898" s="2"/>
      <c r="J898" s="2"/>
      <c r="K898" s="2"/>
      <c r="L898" s="2"/>
      <c r="M898" s="2"/>
      <c r="N898" s="2"/>
      <c r="O898" s="2"/>
      <c r="P898" s="2"/>
      <c r="Q898" s="2"/>
      <c r="R898" s="2"/>
    </row>
    <row r="899">
      <c r="A899" s="2"/>
      <c r="B899" s="2"/>
      <c r="C899" s="2"/>
      <c r="D899" s="2"/>
      <c r="E899" s="2"/>
      <c r="F899" s="2"/>
      <c r="G899" s="2"/>
      <c r="H899" s="2"/>
      <c r="I899" s="2"/>
      <c r="J899" s="2"/>
      <c r="K899" s="2"/>
      <c r="L899" s="2"/>
      <c r="M899" s="2"/>
      <c r="N899" s="2"/>
      <c r="O899" s="2"/>
      <c r="P899" s="2"/>
      <c r="Q899" s="2"/>
      <c r="R899" s="2"/>
    </row>
    <row r="900">
      <c r="A900" s="2"/>
      <c r="B900" s="2"/>
      <c r="C900" s="2"/>
      <c r="D900" s="2"/>
      <c r="E900" s="2"/>
      <c r="F900" s="2"/>
      <c r="G900" s="2"/>
      <c r="H900" s="2"/>
      <c r="I900" s="2"/>
      <c r="J900" s="2"/>
      <c r="K900" s="2"/>
      <c r="L900" s="2"/>
      <c r="M900" s="2"/>
      <c r="N900" s="2"/>
      <c r="O900" s="2"/>
      <c r="P900" s="2"/>
      <c r="Q900" s="2"/>
      <c r="R900" s="2"/>
    </row>
    <row r="901">
      <c r="A901" s="2"/>
      <c r="B901" s="2"/>
      <c r="C901" s="2"/>
      <c r="D901" s="2"/>
      <c r="E901" s="2"/>
      <c r="F901" s="2"/>
      <c r="G901" s="2"/>
      <c r="H901" s="2"/>
      <c r="I901" s="2"/>
      <c r="J901" s="2"/>
      <c r="K901" s="2"/>
      <c r="L901" s="2"/>
      <c r="M901" s="2"/>
      <c r="N901" s="2"/>
      <c r="O901" s="2"/>
      <c r="P901" s="2"/>
      <c r="Q901" s="2"/>
      <c r="R901" s="2"/>
    </row>
    <row r="902">
      <c r="A902" s="2"/>
      <c r="B902" s="2"/>
      <c r="C902" s="2"/>
      <c r="D902" s="2"/>
      <c r="E902" s="2"/>
      <c r="F902" s="2"/>
      <c r="G902" s="2"/>
      <c r="H902" s="2"/>
      <c r="I902" s="2"/>
      <c r="J902" s="2"/>
      <c r="K902" s="2"/>
      <c r="L902" s="2"/>
      <c r="M902" s="2"/>
      <c r="N902" s="2"/>
      <c r="O902" s="2"/>
      <c r="P902" s="2"/>
      <c r="Q902" s="2"/>
      <c r="R902" s="2"/>
    </row>
    <row r="903">
      <c r="A903" s="2"/>
      <c r="B903" s="2"/>
      <c r="C903" s="2"/>
      <c r="D903" s="2"/>
      <c r="E903" s="2"/>
      <c r="F903" s="2"/>
      <c r="G903" s="2"/>
      <c r="H903" s="2"/>
      <c r="I903" s="2"/>
      <c r="J903" s="2"/>
      <c r="K903" s="2"/>
      <c r="L903" s="2"/>
      <c r="M903" s="2"/>
      <c r="N903" s="2"/>
      <c r="O903" s="2"/>
      <c r="P903" s="2"/>
      <c r="Q903" s="2"/>
      <c r="R903" s="2"/>
    </row>
    <row r="904">
      <c r="A904" s="2"/>
      <c r="B904" s="2"/>
      <c r="C904" s="2"/>
      <c r="D904" s="2"/>
      <c r="E904" s="2"/>
      <c r="F904" s="2"/>
      <c r="G904" s="2"/>
      <c r="H904" s="2"/>
      <c r="I904" s="2"/>
      <c r="J904" s="2"/>
      <c r="K904" s="2"/>
      <c r="L904" s="2"/>
      <c r="M904" s="2"/>
      <c r="N904" s="2"/>
      <c r="O904" s="2"/>
      <c r="P904" s="2"/>
      <c r="Q904" s="2"/>
      <c r="R904" s="2"/>
    </row>
    <row r="905">
      <c r="A905" s="2"/>
      <c r="B905" s="2"/>
      <c r="C905" s="2"/>
      <c r="D905" s="2"/>
      <c r="E905" s="2"/>
      <c r="F905" s="2"/>
      <c r="G905" s="2"/>
      <c r="H905" s="2"/>
      <c r="I905" s="2"/>
      <c r="J905" s="2"/>
      <c r="K905" s="2"/>
      <c r="L905" s="2"/>
      <c r="M905" s="2"/>
      <c r="N905" s="2"/>
      <c r="O905" s="2"/>
      <c r="P905" s="2"/>
      <c r="Q905" s="2"/>
      <c r="R905" s="2"/>
    </row>
    <row r="906">
      <c r="A906" s="2"/>
      <c r="B906" s="2"/>
      <c r="C906" s="2"/>
      <c r="D906" s="2"/>
      <c r="E906" s="2"/>
      <c r="F906" s="2"/>
      <c r="G906" s="2"/>
      <c r="H906" s="2"/>
      <c r="I906" s="2"/>
      <c r="J906" s="2"/>
      <c r="K906" s="2"/>
      <c r="L906" s="2"/>
      <c r="M906" s="2"/>
      <c r="N906" s="2"/>
      <c r="O906" s="2"/>
      <c r="P906" s="2"/>
      <c r="Q906" s="2"/>
      <c r="R906" s="2"/>
    </row>
    <row r="907">
      <c r="A907" s="2"/>
      <c r="B907" s="2"/>
      <c r="C907" s="2"/>
      <c r="D907" s="2"/>
      <c r="E907" s="2"/>
      <c r="F907" s="2"/>
      <c r="G907" s="2"/>
      <c r="H907" s="2"/>
      <c r="I907" s="2"/>
      <c r="J907" s="2"/>
      <c r="K907" s="2"/>
      <c r="L907" s="2"/>
      <c r="M907" s="2"/>
      <c r="N907" s="2"/>
      <c r="O907" s="2"/>
      <c r="P907" s="2"/>
      <c r="Q907" s="2"/>
      <c r="R907" s="2"/>
    </row>
    <row r="908">
      <c r="A908" s="2"/>
      <c r="B908" s="2"/>
      <c r="C908" s="2"/>
      <c r="D908" s="2"/>
      <c r="E908" s="2"/>
      <c r="F908" s="2"/>
      <c r="G908" s="2"/>
      <c r="H908" s="2"/>
      <c r="I908" s="2"/>
      <c r="J908" s="2"/>
      <c r="K908" s="2"/>
      <c r="L908" s="2"/>
      <c r="M908" s="2"/>
      <c r="N908" s="2"/>
      <c r="O908" s="2"/>
      <c r="P908" s="2"/>
      <c r="Q908" s="2"/>
      <c r="R908" s="2"/>
    </row>
    <row r="909">
      <c r="A909" s="2"/>
      <c r="B909" s="2"/>
      <c r="C909" s="2"/>
      <c r="D909" s="2"/>
      <c r="E909" s="2"/>
      <c r="F909" s="2"/>
      <c r="G909" s="2"/>
      <c r="H909" s="2"/>
      <c r="I909" s="2"/>
      <c r="J909" s="2"/>
      <c r="K909" s="2"/>
      <c r="L909" s="2"/>
      <c r="M909" s="2"/>
      <c r="N909" s="2"/>
      <c r="O909" s="2"/>
      <c r="P909" s="2"/>
      <c r="Q909" s="2"/>
      <c r="R909" s="2"/>
    </row>
    <row r="910">
      <c r="A910" s="2"/>
      <c r="B910" s="2"/>
      <c r="C910" s="2"/>
      <c r="D910" s="2"/>
      <c r="E910" s="2"/>
      <c r="F910" s="2"/>
      <c r="G910" s="2"/>
      <c r="H910" s="2"/>
      <c r="I910" s="2"/>
      <c r="J910" s="2"/>
      <c r="K910" s="2"/>
      <c r="L910" s="2"/>
      <c r="M910" s="2"/>
      <c r="N910" s="2"/>
      <c r="O910" s="2"/>
      <c r="P910" s="2"/>
      <c r="Q910" s="2"/>
      <c r="R910" s="2"/>
    </row>
    <row r="911">
      <c r="A911" s="2"/>
      <c r="B911" s="2"/>
      <c r="C911" s="2"/>
      <c r="D911" s="2"/>
      <c r="E911" s="2"/>
      <c r="F911" s="2"/>
      <c r="G911" s="2"/>
      <c r="H911" s="2"/>
      <c r="I911" s="2"/>
      <c r="J911" s="2"/>
      <c r="K911" s="2"/>
      <c r="L911" s="2"/>
      <c r="M911" s="2"/>
      <c r="N911" s="2"/>
      <c r="O911" s="2"/>
      <c r="P911" s="2"/>
      <c r="Q911" s="2"/>
      <c r="R911" s="2"/>
    </row>
    <row r="912">
      <c r="A912" s="2"/>
      <c r="B912" s="2"/>
      <c r="C912" s="2"/>
      <c r="D912" s="2"/>
      <c r="E912" s="2"/>
      <c r="F912" s="2"/>
      <c r="G912" s="2"/>
      <c r="H912" s="2"/>
      <c r="I912" s="2"/>
      <c r="J912" s="2"/>
      <c r="K912" s="2"/>
      <c r="L912" s="2"/>
      <c r="M912" s="2"/>
      <c r="N912" s="2"/>
      <c r="O912" s="2"/>
      <c r="P912" s="2"/>
      <c r="Q912" s="2"/>
      <c r="R912" s="2"/>
    </row>
    <row r="913">
      <c r="A913" s="2"/>
      <c r="B913" s="2"/>
      <c r="C913" s="2"/>
      <c r="D913" s="2"/>
      <c r="E913" s="2"/>
      <c r="F913" s="2"/>
      <c r="G913" s="2"/>
      <c r="H913" s="2"/>
      <c r="I913" s="2"/>
      <c r="J913" s="2"/>
      <c r="K913" s="2"/>
      <c r="L913" s="2"/>
      <c r="M913" s="2"/>
      <c r="N913" s="2"/>
      <c r="O913" s="2"/>
      <c r="P913" s="2"/>
      <c r="Q913" s="2"/>
      <c r="R913" s="2"/>
    </row>
    <row r="914">
      <c r="A914" s="2"/>
      <c r="B914" s="2"/>
      <c r="C914" s="2"/>
      <c r="D914" s="2"/>
      <c r="E914" s="2"/>
      <c r="F914" s="2"/>
      <c r="G914" s="2"/>
      <c r="H914" s="2"/>
      <c r="I914" s="2"/>
      <c r="J914" s="2"/>
      <c r="K914" s="2"/>
      <c r="L914" s="2"/>
      <c r="M914" s="2"/>
      <c r="N914" s="2"/>
      <c r="O914" s="2"/>
      <c r="P914" s="2"/>
      <c r="Q914" s="2"/>
      <c r="R914" s="2"/>
    </row>
    <row r="915">
      <c r="A915" s="2"/>
      <c r="B915" s="2"/>
      <c r="C915" s="2"/>
      <c r="D915" s="2"/>
      <c r="E915" s="2"/>
      <c r="F915" s="2"/>
      <c r="G915" s="2"/>
      <c r="H915" s="2"/>
      <c r="I915" s="2"/>
      <c r="J915" s="2"/>
      <c r="K915" s="2"/>
      <c r="L915" s="2"/>
      <c r="M915" s="2"/>
      <c r="N915" s="2"/>
      <c r="O915" s="2"/>
      <c r="P915" s="2"/>
      <c r="Q915" s="2"/>
      <c r="R915" s="2"/>
    </row>
    <row r="916">
      <c r="A916" s="2"/>
      <c r="B916" s="2"/>
      <c r="C916" s="2"/>
      <c r="D916" s="2"/>
      <c r="E916" s="2"/>
      <c r="F916" s="2"/>
      <c r="G916" s="2"/>
      <c r="H916" s="2"/>
      <c r="I916" s="2"/>
      <c r="J916" s="2"/>
      <c r="K916" s="2"/>
      <c r="L916" s="2"/>
      <c r="M916" s="2"/>
      <c r="N916" s="2"/>
      <c r="O916" s="2"/>
      <c r="P916" s="2"/>
      <c r="Q916" s="2"/>
      <c r="R916" s="2"/>
    </row>
    <row r="917">
      <c r="A917" s="2"/>
      <c r="B917" s="2"/>
      <c r="C917" s="2"/>
      <c r="D917" s="2"/>
      <c r="E917" s="2"/>
      <c r="F917" s="2"/>
      <c r="G917" s="2"/>
      <c r="H917" s="2"/>
      <c r="I917" s="2"/>
      <c r="J917" s="2"/>
      <c r="K917" s="2"/>
      <c r="L917" s="2"/>
      <c r="M917" s="2"/>
      <c r="N917" s="2"/>
      <c r="O917" s="2"/>
      <c r="P917" s="2"/>
      <c r="Q917" s="2"/>
      <c r="R917" s="2"/>
    </row>
    <row r="918">
      <c r="A918" s="2"/>
      <c r="B918" s="2"/>
      <c r="C918" s="2"/>
      <c r="D918" s="2"/>
      <c r="E918" s="2"/>
      <c r="F918" s="2"/>
      <c r="G918" s="2"/>
      <c r="H918" s="2"/>
      <c r="I918" s="2"/>
      <c r="J918" s="2"/>
      <c r="K918" s="2"/>
      <c r="L918" s="2"/>
      <c r="M918" s="2"/>
      <c r="N918" s="2"/>
      <c r="O918" s="2"/>
      <c r="P918" s="2"/>
      <c r="Q918" s="2"/>
      <c r="R918" s="2"/>
    </row>
    <row r="919">
      <c r="A919" s="2"/>
      <c r="B919" s="2"/>
      <c r="C919" s="2"/>
      <c r="D919" s="2"/>
      <c r="E919" s="2"/>
      <c r="F919" s="2"/>
      <c r="G919" s="2"/>
      <c r="H919" s="2"/>
      <c r="I919" s="2"/>
      <c r="J919" s="2"/>
      <c r="K919" s="2"/>
      <c r="L919" s="2"/>
      <c r="M919" s="2"/>
      <c r="N919" s="2"/>
      <c r="O919" s="2"/>
      <c r="P919" s="2"/>
      <c r="Q919" s="2"/>
      <c r="R919" s="2"/>
    </row>
    <row r="920">
      <c r="A920" s="2"/>
      <c r="B920" s="2"/>
      <c r="C920" s="2"/>
      <c r="D920" s="2"/>
      <c r="E920" s="2"/>
      <c r="F920" s="2"/>
      <c r="G920" s="2"/>
      <c r="H920" s="2"/>
      <c r="I920" s="2"/>
      <c r="J920" s="2"/>
      <c r="K920" s="2"/>
      <c r="L920" s="2"/>
      <c r="M920" s="2"/>
      <c r="N920" s="2"/>
      <c r="O920" s="2"/>
      <c r="P920" s="2"/>
      <c r="Q920" s="2"/>
      <c r="R920" s="2"/>
    </row>
    <row r="921">
      <c r="A921" s="2"/>
      <c r="B921" s="2"/>
      <c r="C921" s="2"/>
      <c r="D921" s="2"/>
      <c r="E921" s="2"/>
      <c r="F921" s="2"/>
      <c r="G921" s="2"/>
      <c r="H921" s="2"/>
      <c r="I921" s="2"/>
      <c r="J921" s="2"/>
      <c r="K921" s="2"/>
      <c r="L921" s="2"/>
      <c r="M921" s="2"/>
      <c r="N921" s="2"/>
      <c r="O921" s="2"/>
      <c r="P921" s="2"/>
      <c r="Q921" s="2"/>
      <c r="R921" s="2"/>
    </row>
    <row r="922">
      <c r="A922" s="2"/>
      <c r="B922" s="2"/>
      <c r="C922" s="2"/>
      <c r="D922" s="2"/>
      <c r="E922" s="2"/>
      <c r="F922" s="2"/>
      <c r="G922" s="2"/>
      <c r="H922" s="2"/>
      <c r="I922" s="2"/>
      <c r="J922" s="2"/>
      <c r="K922" s="2"/>
      <c r="L922" s="2"/>
      <c r="M922" s="2"/>
      <c r="N922" s="2"/>
      <c r="O922" s="2"/>
      <c r="P922" s="2"/>
      <c r="Q922" s="2"/>
      <c r="R922" s="2"/>
    </row>
    <row r="923">
      <c r="A923" s="2"/>
      <c r="B923" s="2"/>
      <c r="C923" s="2"/>
      <c r="D923" s="2"/>
      <c r="E923" s="2"/>
      <c r="F923" s="2"/>
      <c r="G923" s="2"/>
      <c r="H923" s="2"/>
      <c r="I923" s="2"/>
      <c r="J923" s="2"/>
      <c r="K923" s="2"/>
      <c r="L923" s="2"/>
      <c r="M923" s="2"/>
      <c r="N923" s="2"/>
      <c r="O923" s="2"/>
      <c r="P923" s="2"/>
      <c r="Q923" s="2"/>
      <c r="R923" s="2"/>
    </row>
    <row r="924">
      <c r="A924" s="2"/>
      <c r="B924" s="2"/>
      <c r="C924" s="2"/>
      <c r="D924" s="2"/>
      <c r="E924" s="2"/>
      <c r="F924" s="2"/>
      <c r="G924" s="2"/>
      <c r="H924" s="2"/>
      <c r="I924" s="2"/>
      <c r="J924" s="2"/>
      <c r="K924" s="2"/>
      <c r="L924" s="2"/>
      <c r="M924" s="2"/>
      <c r="N924" s="2"/>
      <c r="O924" s="2"/>
      <c r="P924" s="2"/>
      <c r="Q924" s="2"/>
      <c r="R924" s="2"/>
    </row>
    <row r="925">
      <c r="A925" s="2"/>
      <c r="B925" s="2"/>
      <c r="C925" s="2"/>
      <c r="D925" s="2"/>
      <c r="E925" s="2"/>
      <c r="F925" s="2"/>
      <c r="G925" s="2"/>
      <c r="H925" s="2"/>
      <c r="I925" s="2"/>
      <c r="J925" s="2"/>
      <c r="K925" s="2"/>
      <c r="L925" s="2"/>
      <c r="M925" s="2"/>
      <c r="N925" s="2"/>
      <c r="O925" s="2"/>
      <c r="P925" s="2"/>
      <c r="Q925" s="2"/>
      <c r="R925" s="2"/>
    </row>
    <row r="926">
      <c r="A926" s="2"/>
      <c r="B926" s="2"/>
      <c r="C926" s="2"/>
      <c r="D926" s="2"/>
      <c r="E926" s="2"/>
      <c r="F926" s="2"/>
      <c r="G926" s="2"/>
      <c r="H926" s="2"/>
      <c r="I926" s="2"/>
      <c r="J926" s="2"/>
      <c r="K926" s="2"/>
      <c r="L926" s="2"/>
      <c r="M926" s="2"/>
      <c r="N926" s="2"/>
      <c r="O926" s="2"/>
      <c r="P926" s="2"/>
      <c r="Q926" s="2"/>
      <c r="R926" s="2"/>
    </row>
    <row r="927">
      <c r="A927" s="2"/>
      <c r="B927" s="2"/>
      <c r="C927" s="2"/>
      <c r="D927" s="2"/>
      <c r="E927" s="2"/>
      <c r="F927" s="2"/>
      <c r="G927" s="2"/>
      <c r="H927" s="2"/>
      <c r="I927" s="2"/>
      <c r="J927" s="2"/>
      <c r="K927" s="2"/>
      <c r="L927" s="2"/>
      <c r="M927" s="2"/>
      <c r="N927" s="2"/>
      <c r="O927" s="2"/>
      <c r="P927" s="2"/>
      <c r="Q927" s="2"/>
      <c r="R927" s="2"/>
    </row>
    <row r="928">
      <c r="A928" s="2"/>
      <c r="B928" s="2"/>
      <c r="C928" s="2"/>
      <c r="D928" s="2"/>
      <c r="E928" s="2"/>
      <c r="F928" s="2"/>
      <c r="G928" s="2"/>
      <c r="H928" s="2"/>
      <c r="I928" s="2"/>
      <c r="J928" s="2"/>
      <c r="K928" s="2"/>
      <c r="L928" s="2"/>
      <c r="M928" s="2"/>
      <c r="N928" s="2"/>
      <c r="O928" s="2"/>
      <c r="P928" s="2"/>
      <c r="Q928" s="2"/>
      <c r="R928" s="2"/>
    </row>
    <row r="929">
      <c r="A929" s="2"/>
      <c r="B929" s="2"/>
      <c r="C929" s="2"/>
      <c r="D929" s="2"/>
      <c r="E929" s="2"/>
      <c r="F929" s="2"/>
      <c r="G929" s="2"/>
      <c r="H929" s="2"/>
      <c r="I929" s="2"/>
      <c r="J929" s="2"/>
      <c r="K929" s="2"/>
      <c r="L929" s="2"/>
      <c r="M929" s="2"/>
      <c r="N929" s="2"/>
      <c r="O929" s="2"/>
      <c r="P929" s="2"/>
      <c r="Q929" s="2"/>
      <c r="R929" s="2"/>
    </row>
    <row r="930">
      <c r="A930" s="2"/>
      <c r="B930" s="2"/>
      <c r="C930" s="2"/>
      <c r="D930" s="2"/>
      <c r="E930" s="2"/>
      <c r="F930" s="2"/>
      <c r="G930" s="2"/>
      <c r="H930" s="2"/>
      <c r="I930" s="2"/>
      <c r="J930" s="2"/>
      <c r="K930" s="2"/>
      <c r="L930" s="2"/>
      <c r="M930" s="2"/>
      <c r="N930" s="2"/>
      <c r="O930" s="2"/>
      <c r="P930" s="2"/>
      <c r="Q930" s="2"/>
      <c r="R930" s="2"/>
    </row>
    <row r="931">
      <c r="A931" s="2"/>
      <c r="B931" s="2"/>
      <c r="C931" s="2"/>
      <c r="D931" s="2"/>
      <c r="E931" s="2"/>
      <c r="F931" s="2"/>
      <c r="G931" s="2"/>
      <c r="H931" s="2"/>
      <c r="I931" s="2"/>
      <c r="J931" s="2"/>
      <c r="K931" s="2"/>
      <c r="L931" s="2"/>
      <c r="M931" s="2"/>
      <c r="N931" s="2"/>
      <c r="O931" s="2"/>
      <c r="P931" s="2"/>
      <c r="Q931" s="2"/>
      <c r="R931" s="2"/>
    </row>
    <row r="932">
      <c r="A932" s="2"/>
      <c r="B932" s="2"/>
      <c r="C932" s="2"/>
      <c r="D932" s="2"/>
      <c r="E932" s="2"/>
      <c r="F932" s="2"/>
      <c r="G932" s="2"/>
      <c r="H932" s="2"/>
      <c r="I932" s="2"/>
      <c r="J932" s="2"/>
      <c r="K932" s="2"/>
      <c r="L932" s="2"/>
      <c r="M932" s="2"/>
      <c r="N932" s="2"/>
      <c r="O932" s="2"/>
      <c r="P932" s="2"/>
      <c r="Q932" s="2"/>
      <c r="R932" s="2"/>
    </row>
    <row r="933">
      <c r="A933" s="2"/>
      <c r="B933" s="2"/>
      <c r="C933" s="2"/>
      <c r="D933" s="2"/>
      <c r="E933" s="2"/>
      <c r="F933" s="2"/>
      <c r="G933" s="2"/>
      <c r="H933" s="2"/>
      <c r="I933" s="2"/>
      <c r="J933" s="2"/>
      <c r="K933" s="2"/>
      <c r="L933" s="2"/>
      <c r="M933" s="2"/>
      <c r="N933" s="2"/>
      <c r="O933" s="2"/>
      <c r="P933" s="2"/>
      <c r="Q933" s="2"/>
      <c r="R933" s="2"/>
    </row>
    <row r="934">
      <c r="A934" s="2"/>
      <c r="B934" s="2"/>
      <c r="C934" s="2"/>
      <c r="D934" s="2"/>
      <c r="E934" s="2"/>
      <c r="F934" s="2"/>
      <c r="G934" s="2"/>
      <c r="H934" s="2"/>
      <c r="I934" s="2"/>
      <c r="J934" s="2"/>
      <c r="K934" s="2"/>
      <c r="L934" s="2"/>
      <c r="M934" s="2"/>
      <c r="N934" s="2"/>
      <c r="O934" s="2"/>
      <c r="P934" s="2"/>
      <c r="Q934" s="2"/>
      <c r="R934" s="2"/>
    </row>
    <row r="935">
      <c r="A935" s="2"/>
      <c r="B935" s="2"/>
      <c r="C935" s="2"/>
      <c r="D935" s="2"/>
      <c r="E935" s="2"/>
      <c r="F935" s="2"/>
      <c r="G935" s="2"/>
      <c r="H935" s="2"/>
      <c r="I935" s="2"/>
      <c r="J935" s="2"/>
      <c r="K935" s="2"/>
      <c r="L935" s="2"/>
      <c r="M935" s="2"/>
      <c r="N935" s="2"/>
      <c r="O935" s="2"/>
      <c r="P935" s="2"/>
      <c r="Q935" s="2"/>
      <c r="R935" s="2"/>
    </row>
    <row r="936">
      <c r="A936" s="2"/>
      <c r="B936" s="2"/>
      <c r="C936" s="2"/>
      <c r="D936" s="2"/>
      <c r="E936" s="2"/>
      <c r="F936" s="2"/>
      <c r="G936" s="2"/>
      <c r="H936" s="2"/>
      <c r="I936" s="2"/>
      <c r="J936" s="2"/>
      <c r="K936" s="2"/>
      <c r="L936" s="2"/>
      <c r="M936" s="2"/>
      <c r="N936" s="2"/>
      <c r="O936" s="2"/>
      <c r="P936" s="2"/>
      <c r="Q936" s="2"/>
      <c r="R936" s="2"/>
    </row>
    <row r="937">
      <c r="A937" s="2"/>
      <c r="B937" s="2"/>
      <c r="C937" s="2"/>
      <c r="D937" s="2"/>
      <c r="E937" s="2"/>
      <c r="F937" s="2"/>
      <c r="G937" s="2"/>
      <c r="H937" s="2"/>
      <c r="I937" s="2"/>
      <c r="J937" s="2"/>
      <c r="K937" s="2"/>
      <c r="L937" s="2"/>
      <c r="M937" s="2"/>
      <c r="N937" s="2"/>
      <c r="O937" s="2"/>
      <c r="P937" s="2"/>
      <c r="Q937" s="2"/>
      <c r="R937" s="2"/>
    </row>
    <row r="938">
      <c r="A938" s="2"/>
      <c r="B938" s="2"/>
      <c r="C938" s="2"/>
      <c r="D938" s="2"/>
      <c r="E938" s="2"/>
      <c r="F938" s="2"/>
      <c r="G938" s="2"/>
      <c r="H938" s="2"/>
      <c r="I938" s="2"/>
      <c r="J938" s="2"/>
      <c r="K938" s="2"/>
      <c r="L938" s="2"/>
      <c r="M938" s="2"/>
      <c r="N938" s="2"/>
      <c r="O938" s="2"/>
      <c r="P938" s="2"/>
      <c r="Q938" s="2"/>
      <c r="R938" s="2"/>
    </row>
    <row r="939">
      <c r="A939" s="2"/>
      <c r="B939" s="2"/>
      <c r="C939" s="2"/>
      <c r="D939" s="2"/>
      <c r="E939" s="2"/>
      <c r="F939" s="2"/>
      <c r="G939" s="2"/>
      <c r="H939" s="2"/>
      <c r="I939" s="2"/>
      <c r="J939" s="2"/>
      <c r="K939" s="2"/>
      <c r="L939" s="2"/>
      <c r="M939" s="2"/>
      <c r="N939" s="2"/>
      <c r="O939" s="2"/>
      <c r="P939" s="2"/>
      <c r="Q939" s="2"/>
      <c r="R939" s="2"/>
    </row>
    <row r="940">
      <c r="A940" s="2"/>
      <c r="B940" s="2"/>
      <c r="C940" s="2"/>
      <c r="D940" s="2"/>
      <c r="E940" s="2"/>
      <c r="F940" s="2"/>
      <c r="G940" s="2"/>
      <c r="H940" s="2"/>
      <c r="I940" s="2"/>
      <c r="J940" s="2"/>
      <c r="K940" s="2"/>
      <c r="L940" s="2"/>
      <c r="M940" s="2"/>
      <c r="N940" s="2"/>
      <c r="O940" s="2"/>
      <c r="P940" s="2"/>
      <c r="Q940" s="2"/>
      <c r="R940" s="2"/>
    </row>
    <row r="941">
      <c r="A941" s="2"/>
      <c r="B941" s="2"/>
      <c r="C941" s="2"/>
      <c r="D941" s="2"/>
      <c r="E941" s="2"/>
      <c r="F941" s="2"/>
      <c r="G941" s="2"/>
      <c r="H941" s="2"/>
      <c r="I941" s="2"/>
      <c r="J941" s="2"/>
      <c r="K941" s="2"/>
      <c r="L941" s="2"/>
      <c r="M941" s="2"/>
      <c r="N941" s="2"/>
      <c r="O941" s="2"/>
      <c r="P941" s="2"/>
      <c r="Q941" s="2"/>
      <c r="R941" s="2"/>
    </row>
    <row r="942">
      <c r="A942" s="2"/>
      <c r="B942" s="2"/>
      <c r="C942" s="2"/>
      <c r="D942" s="2"/>
      <c r="E942" s="2"/>
      <c r="F942" s="2"/>
      <c r="G942" s="2"/>
      <c r="H942" s="2"/>
      <c r="I942" s="2"/>
      <c r="J942" s="2"/>
      <c r="K942" s="2"/>
      <c r="L942" s="2"/>
      <c r="M942" s="2"/>
      <c r="N942" s="2"/>
      <c r="O942" s="2"/>
      <c r="P942" s="2"/>
      <c r="Q942" s="2"/>
      <c r="R942" s="2"/>
    </row>
    <row r="943">
      <c r="A943" s="2"/>
      <c r="B943" s="2"/>
      <c r="C943" s="2"/>
      <c r="D943" s="2"/>
      <c r="E943" s="2"/>
      <c r="F943" s="2"/>
      <c r="G943" s="2"/>
      <c r="H943" s="2"/>
      <c r="I943" s="2"/>
      <c r="J943" s="2"/>
      <c r="K943" s="2"/>
      <c r="L943" s="2"/>
      <c r="M943" s="2"/>
      <c r="N943" s="2"/>
      <c r="O943" s="2"/>
      <c r="P943" s="2"/>
      <c r="Q943" s="2"/>
      <c r="R943" s="2"/>
    </row>
    <row r="944">
      <c r="A944" s="2"/>
      <c r="B944" s="2"/>
      <c r="C944" s="2"/>
      <c r="D944" s="2"/>
      <c r="E944" s="2"/>
      <c r="F944" s="2"/>
      <c r="G944" s="2"/>
      <c r="H944" s="2"/>
      <c r="I944" s="2"/>
      <c r="J944" s="2"/>
      <c r="K944" s="2"/>
      <c r="L944" s="2"/>
      <c r="M944" s="2"/>
      <c r="N944" s="2"/>
      <c r="O944" s="2"/>
      <c r="P944" s="2"/>
      <c r="Q944" s="2"/>
      <c r="R944" s="2"/>
    </row>
    <row r="945">
      <c r="A945" s="2"/>
      <c r="B945" s="2"/>
      <c r="C945" s="2"/>
      <c r="D945" s="2"/>
      <c r="E945" s="2"/>
      <c r="F945" s="2"/>
      <c r="G945" s="2"/>
      <c r="H945" s="2"/>
      <c r="I945" s="2"/>
      <c r="J945" s="2"/>
      <c r="K945" s="2"/>
      <c r="L945" s="2"/>
      <c r="M945" s="2"/>
      <c r="N945" s="2"/>
      <c r="O945" s="2"/>
      <c r="P945" s="2"/>
      <c r="Q945" s="2"/>
      <c r="R945" s="2"/>
    </row>
    <row r="946">
      <c r="A946" s="2"/>
      <c r="B946" s="2"/>
      <c r="C946" s="2"/>
      <c r="D946" s="2"/>
      <c r="E946" s="2"/>
      <c r="F946" s="2"/>
      <c r="G946" s="2"/>
      <c r="H946" s="2"/>
      <c r="I946" s="2"/>
      <c r="J946" s="2"/>
      <c r="K946" s="2"/>
      <c r="L946" s="2"/>
      <c r="M946" s="2"/>
      <c r="N946" s="2"/>
      <c r="O946" s="2"/>
      <c r="P946" s="2"/>
      <c r="Q946" s="2"/>
      <c r="R946" s="2"/>
    </row>
    <row r="947">
      <c r="A947" s="2"/>
      <c r="B947" s="2"/>
      <c r="C947" s="2"/>
      <c r="D947" s="2"/>
      <c r="E947" s="2"/>
      <c r="F947" s="2"/>
      <c r="G947" s="2"/>
      <c r="H947" s="2"/>
      <c r="I947" s="2"/>
      <c r="J947" s="2"/>
      <c r="K947" s="2"/>
      <c r="L947" s="2"/>
      <c r="M947" s="2"/>
      <c r="N947" s="2"/>
      <c r="O947" s="2"/>
      <c r="P947" s="2"/>
      <c r="Q947" s="2"/>
      <c r="R947" s="2"/>
    </row>
    <row r="948">
      <c r="A948" s="2"/>
      <c r="B948" s="2"/>
      <c r="C948" s="2"/>
      <c r="D948" s="2"/>
      <c r="E948" s="2"/>
      <c r="F948" s="2"/>
      <c r="G948" s="2"/>
      <c r="H948" s="2"/>
      <c r="I948" s="2"/>
      <c r="J948" s="2"/>
      <c r="K948" s="2"/>
      <c r="L948" s="2"/>
      <c r="M948" s="2"/>
      <c r="N948" s="2"/>
      <c r="O948" s="2"/>
      <c r="P948" s="2"/>
      <c r="Q948" s="2"/>
      <c r="R948" s="2"/>
    </row>
    <row r="949">
      <c r="A949" s="2"/>
      <c r="B949" s="2"/>
      <c r="C949" s="2"/>
      <c r="D949" s="2"/>
      <c r="E949" s="2"/>
      <c r="F949" s="2"/>
      <c r="G949" s="2"/>
      <c r="H949" s="2"/>
      <c r="I949" s="2"/>
      <c r="J949" s="2"/>
      <c r="K949" s="2"/>
      <c r="L949" s="2"/>
      <c r="M949" s="2"/>
      <c r="N949" s="2"/>
      <c r="O949" s="2"/>
      <c r="P949" s="2"/>
      <c r="Q949" s="2"/>
      <c r="R949" s="2"/>
    </row>
    <row r="950">
      <c r="A950" s="2"/>
      <c r="B950" s="2"/>
      <c r="C950" s="2"/>
      <c r="D950" s="2"/>
      <c r="E950" s="2"/>
      <c r="F950" s="2"/>
      <c r="G950" s="2"/>
      <c r="H950" s="2"/>
      <c r="I950" s="2"/>
      <c r="J950" s="2"/>
      <c r="K950" s="2"/>
      <c r="L950" s="2"/>
      <c r="M950" s="2"/>
      <c r="N950" s="2"/>
      <c r="O950" s="2"/>
      <c r="P950" s="2"/>
      <c r="Q950" s="2"/>
      <c r="R950" s="2"/>
    </row>
    <row r="951">
      <c r="A951" s="2"/>
      <c r="B951" s="2"/>
      <c r="C951" s="2"/>
      <c r="D951" s="2"/>
      <c r="E951" s="2"/>
      <c r="F951" s="2"/>
      <c r="G951" s="2"/>
      <c r="H951" s="2"/>
      <c r="I951" s="2"/>
      <c r="J951" s="2"/>
      <c r="K951" s="2"/>
      <c r="L951" s="2"/>
      <c r="M951" s="2"/>
      <c r="N951" s="2"/>
      <c r="O951" s="2"/>
      <c r="P951" s="2"/>
      <c r="Q951" s="2"/>
      <c r="R951" s="2"/>
    </row>
    <row r="952">
      <c r="A952" s="2"/>
      <c r="B952" s="2"/>
      <c r="C952" s="2"/>
      <c r="D952" s="2"/>
      <c r="E952" s="2"/>
      <c r="F952" s="2"/>
      <c r="G952" s="2"/>
      <c r="H952" s="2"/>
      <c r="I952" s="2"/>
      <c r="J952" s="2"/>
      <c r="K952" s="2"/>
      <c r="L952" s="2"/>
      <c r="M952" s="2"/>
      <c r="N952" s="2"/>
      <c r="O952" s="2"/>
      <c r="P952" s="2"/>
      <c r="Q952" s="2"/>
      <c r="R952" s="2"/>
    </row>
    <row r="953">
      <c r="A953" s="2"/>
      <c r="B953" s="2"/>
      <c r="C953" s="2"/>
      <c r="D953" s="2"/>
      <c r="E953" s="2"/>
      <c r="F953" s="2"/>
      <c r="G953" s="2"/>
      <c r="H953" s="2"/>
      <c r="I953" s="2"/>
      <c r="J953" s="2"/>
      <c r="K953" s="2"/>
      <c r="L953" s="2"/>
      <c r="M953" s="2"/>
      <c r="N953" s="2"/>
      <c r="O953" s="2"/>
      <c r="P953" s="2"/>
      <c r="Q953" s="2"/>
      <c r="R953" s="2"/>
    </row>
    <row r="954">
      <c r="A954" s="2"/>
      <c r="B954" s="2"/>
      <c r="C954" s="2"/>
      <c r="D954" s="2"/>
      <c r="E954" s="2"/>
      <c r="F954" s="2"/>
      <c r="G954" s="2"/>
      <c r="H954" s="2"/>
      <c r="I954" s="2"/>
      <c r="J954" s="2"/>
      <c r="K954" s="2"/>
      <c r="L954" s="2"/>
      <c r="M954" s="2"/>
      <c r="N954" s="2"/>
      <c r="O954" s="2"/>
      <c r="P954" s="2"/>
      <c r="Q954" s="2"/>
      <c r="R954" s="2"/>
    </row>
    <row r="955">
      <c r="A955" s="2"/>
      <c r="B955" s="2"/>
      <c r="C955" s="2"/>
      <c r="D955" s="2"/>
      <c r="E955" s="2"/>
      <c r="F955" s="2"/>
      <c r="G955" s="2"/>
      <c r="H955" s="2"/>
      <c r="I955" s="2"/>
      <c r="J955" s="2"/>
      <c r="K955" s="2"/>
      <c r="L955" s="2"/>
      <c r="M955" s="2"/>
      <c r="N955" s="2"/>
      <c r="O955" s="2"/>
      <c r="P955" s="2"/>
      <c r="Q955" s="2"/>
      <c r="R955" s="2"/>
    </row>
    <row r="956">
      <c r="A956" s="2"/>
      <c r="B956" s="2"/>
      <c r="C956" s="2"/>
      <c r="D956" s="2"/>
      <c r="E956" s="2"/>
      <c r="F956" s="2"/>
      <c r="G956" s="2"/>
      <c r="H956" s="2"/>
      <c r="I956" s="2"/>
      <c r="J956" s="2"/>
      <c r="K956" s="2"/>
      <c r="L956" s="2"/>
      <c r="M956" s="2"/>
      <c r="N956" s="2"/>
      <c r="O956" s="2"/>
      <c r="P956" s="2"/>
      <c r="Q956" s="2"/>
      <c r="R956" s="2"/>
    </row>
    <row r="957">
      <c r="A957" s="2"/>
      <c r="B957" s="2"/>
      <c r="C957" s="2"/>
      <c r="D957" s="2"/>
      <c r="E957" s="2"/>
      <c r="F957" s="2"/>
      <c r="G957" s="2"/>
      <c r="H957" s="2"/>
      <c r="I957" s="2"/>
      <c r="J957" s="2"/>
      <c r="K957" s="2"/>
      <c r="L957" s="2"/>
      <c r="M957" s="2"/>
      <c r="N957" s="2"/>
      <c r="O957" s="2"/>
      <c r="P957" s="2"/>
      <c r="Q957" s="2"/>
      <c r="R957" s="2"/>
    </row>
    <row r="958">
      <c r="A958" s="2"/>
      <c r="B958" s="2"/>
      <c r="C958" s="2"/>
      <c r="D958" s="2"/>
      <c r="E958" s="2"/>
      <c r="F958" s="2"/>
      <c r="G958" s="2"/>
      <c r="H958" s="2"/>
      <c r="I958" s="2"/>
      <c r="J958" s="2"/>
      <c r="K958" s="2"/>
      <c r="L958" s="2"/>
      <c r="M958" s="2"/>
      <c r="N958" s="2"/>
      <c r="O958" s="2"/>
      <c r="P958" s="2"/>
      <c r="Q958" s="2"/>
      <c r="R958" s="2"/>
    </row>
    <row r="959">
      <c r="A959" s="2"/>
      <c r="B959" s="2"/>
      <c r="C959" s="2"/>
      <c r="D959" s="2"/>
      <c r="E959" s="2"/>
      <c r="F959" s="2"/>
      <c r="G959" s="2"/>
      <c r="H959" s="2"/>
      <c r="I959" s="2"/>
      <c r="J959" s="2"/>
      <c r="K959" s="2"/>
      <c r="L959" s="2"/>
      <c r="M959" s="2"/>
      <c r="N959" s="2"/>
      <c r="O959" s="2"/>
      <c r="P959" s="2"/>
      <c r="Q959" s="2"/>
      <c r="R959" s="2"/>
    </row>
    <row r="960">
      <c r="A960" s="2"/>
      <c r="B960" s="2"/>
      <c r="C960" s="2"/>
      <c r="D960" s="2"/>
      <c r="E960" s="2"/>
      <c r="F960" s="2"/>
      <c r="G960" s="2"/>
      <c r="H960" s="2"/>
      <c r="I960" s="2"/>
      <c r="J960" s="2"/>
      <c r="K960" s="2"/>
      <c r="L960" s="2"/>
      <c r="M960" s="2"/>
      <c r="N960" s="2"/>
      <c r="O960" s="2"/>
      <c r="P960" s="2"/>
      <c r="Q960" s="2"/>
      <c r="R960" s="2"/>
    </row>
    <row r="961">
      <c r="A961" s="2"/>
      <c r="B961" s="2"/>
      <c r="C961" s="2"/>
      <c r="D961" s="2"/>
      <c r="E961" s="2"/>
      <c r="F961" s="2"/>
      <c r="G961" s="2"/>
      <c r="H961" s="2"/>
      <c r="I961" s="2"/>
      <c r="J961" s="2"/>
      <c r="K961" s="2"/>
      <c r="L961" s="2"/>
      <c r="M961" s="2"/>
      <c r="N961" s="2"/>
      <c r="O961" s="2"/>
      <c r="P961" s="2"/>
      <c r="Q961" s="2"/>
      <c r="R961" s="2"/>
    </row>
    <row r="962">
      <c r="A962" s="2"/>
      <c r="B962" s="2"/>
      <c r="C962" s="2"/>
      <c r="D962" s="2"/>
      <c r="E962" s="2"/>
      <c r="F962" s="2"/>
      <c r="G962" s="2"/>
      <c r="H962" s="2"/>
      <c r="I962" s="2"/>
      <c r="J962" s="2"/>
      <c r="K962" s="2"/>
      <c r="L962" s="2"/>
      <c r="M962" s="2"/>
      <c r="N962" s="2"/>
      <c r="O962" s="2"/>
      <c r="P962" s="2"/>
      <c r="Q962" s="2"/>
      <c r="R962" s="2"/>
    </row>
    <row r="963">
      <c r="A963" s="2"/>
      <c r="B963" s="2"/>
      <c r="C963" s="2"/>
      <c r="D963" s="2"/>
      <c r="E963" s="2"/>
      <c r="F963" s="2"/>
      <c r="G963" s="2"/>
      <c r="H963" s="2"/>
      <c r="I963" s="2"/>
      <c r="J963" s="2"/>
      <c r="K963" s="2"/>
      <c r="L963" s="2"/>
      <c r="M963" s="2"/>
      <c r="N963" s="2"/>
      <c r="O963" s="2"/>
      <c r="P963" s="2"/>
      <c r="Q963" s="2"/>
      <c r="R963" s="2"/>
    </row>
    <row r="964">
      <c r="A964" s="2"/>
      <c r="B964" s="2"/>
      <c r="C964" s="2"/>
      <c r="D964" s="2"/>
      <c r="E964" s="2"/>
      <c r="F964" s="2"/>
      <c r="G964" s="2"/>
      <c r="H964" s="2"/>
      <c r="I964" s="2"/>
      <c r="J964" s="2"/>
      <c r="K964" s="2"/>
      <c r="L964" s="2"/>
      <c r="M964" s="2"/>
      <c r="N964" s="2"/>
      <c r="O964" s="2"/>
      <c r="P964" s="2"/>
      <c r="Q964" s="2"/>
      <c r="R964" s="2"/>
    </row>
    <row r="965">
      <c r="A965" s="2"/>
      <c r="B965" s="2"/>
      <c r="C965" s="2"/>
      <c r="D965" s="2"/>
      <c r="E965" s="2"/>
      <c r="F965" s="2"/>
      <c r="G965" s="2"/>
      <c r="H965" s="2"/>
      <c r="I965" s="2"/>
      <c r="J965" s="2"/>
      <c r="K965" s="2"/>
      <c r="L965" s="2"/>
      <c r="M965" s="2"/>
      <c r="N965" s="2"/>
      <c r="O965" s="2"/>
      <c r="P965" s="2"/>
      <c r="Q965" s="2"/>
      <c r="R965" s="2"/>
    </row>
    <row r="966">
      <c r="A966" s="2"/>
      <c r="B966" s="2"/>
      <c r="C966" s="2"/>
      <c r="D966" s="2"/>
      <c r="E966" s="2"/>
      <c r="F966" s="2"/>
      <c r="G966" s="2"/>
      <c r="H966" s="2"/>
      <c r="I966" s="2"/>
      <c r="J966" s="2"/>
      <c r="K966" s="2"/>
      <c r="L966" s="2"/>
      <c r="M966" s="2"/>
      <c r="N966" s="2"/>
      <c r="O966" s="2"/>
      <c r="P966" s="2"/>
      <c r="Q966" s="2"/>
      <c r="R966" s="2"/>
    </row>
    <row r="967">
      <c r="A967" s="2"/>
      <c r="B967" s="2"/>
      <c r="C967" s="2"/>
      <c r="D967" s="2"/>
      <c r="E967" s="2"/>
      <c r="F967" s="2"/>
      <c r="G967" s="2"/>
      <c r="H967" s="2"/>
      <c r="I967" s="2"/>
      <c r="J967" s="2"/>
      <c r="K967" s="2"/>
      <c r="L967" s="2"/>
      <c r="M967" s="2"/>
      <c r="N967" s="2"/>
      <c r="O967" s="2"/>
      <c r="P967" s="2"/>
      <c r="Q967" s="2"/>
      <c r="R967" s="2"/>
    </row>
    <row r="968">
      <c r="A968" s="2"/>
      <c r="B968" s="2"/>
      <c r="C968" s="2"/>
      <c r="D968" s="2"/>
      <c r="E968" s="2"/>
      <c r="F968" s="2"/>
      <c r="G968" s="2"/>
      <c r="H968" s="2"/>
      <c r="I968" s="2"/>
      <c r="J968" s="2"/>
      <c r="K968" s="2"/>
      <c r="L968" s="2"/>
      <c r="M968" s="2"/>
      <c r="N968" s="2"/>
      <c r="O968" s="2"/>
      <c r="P968" s="2"/>
      <c r="Q968" s="2"/>
      <c r="R968" s="2"/>
    </row>
    <row r="969">
      <c r="A969" s="2"/>
      <c r="B969" s="2"/>
      <c r="C969" s="2"/>
      <c r="D969" s="2"/>
      <c r="E969" s="2"/>
      <c r="F969" s="2"/>
      <c r="G969" s="2"/>
      <c r="H969" s="2"/>
      <c r="I969" s="2"/>
      <c r="J969" s="2"/>
      <c r="K969" s="2"/>
      <c r="L969" s="2"/>
      <c r="M969" s="2"/>
      <c r="N969" s="2"/>
      <c r="O969" s="2"/>
      <c r="P969" s="2"/>
      <c r="Q969" s="2"/>
      <c r="R969" s="2"/>
    </row>
    <row r="970">
      <c r="A970" s="2"/>
      <c r="B970" s="2"/>
      <c r="C970" s="2"/>
      <c r="D970" s="2"/>
      <c r="E970" s="2"/>
      <c r="F970" s="2"/>
      <c r="G970" s="2"/>
      <c r="H970" s="2"/>
      <c r="I970" s="2"/>
      <c r="J970" s="2"/>
      <c r="K970" s="2"/>
      <c r="L970" s="2"/>
      <c r="M970" s="2"/>
      <c r="N970" s="2"/>
      <c r="O970" s="2"/>
      <c r="P970" s="2"/>
      <c r="Q970" s="2"/>
      <c r="R970" s="2"/>
    </row>
    <row r="971">
      <c r="A971" s="2"/>
      <c r="B971" s="2"/>
      <c r="C971" s="2"/>
      <c r="D971" s="2"/>
      <c r="E971" s="2"/>
      <c r="F971" s="2"/>
      <c r="G971" s="2"/>
      <c r="H971" s="2"/>
      <c r="I971" s="2"/>
      <c r="J971" s="2"/>
      <c r="K971" s="2"/>
      <c r="L971" s="2"/>
      <c r="M971" s="2"/>
      <c r="N971" s="2"/>
      <c r="O971" s="2"/>
      <c r="P971" s="2"/>
      <c r="Q971" s="2"/>
      <c r="R971" s="2"/>
    </row>
    <row r="972">
      <c r="A972" s="2"/>
      <c r="B972" s="2"/>
      <c r="C972" s="2"/>
      <c r="D972" s="2"/>
      <c r="E972" s="2"/>
      <c r="F972" s="2"/>
      <c r="G972" s="2"/>
      <c r="H972" s="2"/>
      <c r="I972" s="2"/>
      <c r="J972" s="2"/>
      <c r="K972" s="2"/>
      <c r="L972" s="2"/>
      <c r="M972" s="2"/>
      <c r="N972" s="2"/>
      <c r="O972" s="2"/>
      <c r="P972" s="2"/>
      <c r="Q972" s="2"/>
      <c r="R972" s="2"/>
    </row>
    <row r="973">
      <c r="A973" s="2"/>
      <c r="B973" s="2"/>
      <c r="C973" s="2"/>
      <c r="D973" s="2"/>
      <c r="E973" s="2"/>
      <c r="F973" s="2"/>
      <c r="G973" s="2"/>
      <c r="H973" s="2"/>
      <c r="I973" s="2"/>
      <c r="J973" s="2"/>
      <c r="K973" s="2"/>
      <c r="L973" s="2"/>
      <c r="M973" s="2"/>
      <c r="N973" s="2"/>
      <c r="O973" s="2"/>
      <c r="P973" s="2"/>
      <c r="Q973" s="2"/>
      <c r="R973" s="2"/>
    </row>
    <row r="974">
      <c r="A974" s="2"/>
      <c r="B974" s="2"/>
      <c r="C974" s="2"/>
      <c r="D974" s="2"/>
      <c r="E974" s="2"/>
      <c r="F974" s="2"/>
      <c r="G974" s="2"/>
      <c r="H974" s="2"/>
      <c r="I974" s="2"/>
      <c r="J974" s="2"/>
      <c r="K974" s="2"/>
      <c r="L974" s="2"/>
      <c r="M974" s="2"/>
      <c r="N974" s="2"/>
      <c r="O974" s="2"/>
      <c r="P974" s="2"/>
      <c r="Q974" s="2"/>
      <c r="R974" s="2"/>
    </row>
    <row r="975">
      <c r="A975" s="2"/>
      <c r="B975" s="2"/>
      <c r="C975" s="2"/>
      <c r="D975" s="2"/>
      <c r="E975" s="2"/>
      <c r="F975" s="2"/>
      <c r="G975" s="2"/>
      <c r="H975" s="2"/>
      <c r="I975" s="2"/>
      <c r="J975" s="2"/>
      <c r="K975" s="2"/>
      <c r="L975" s="2"/>
      <c r="M975" s="2"/>
      <c r="N975" s="2"/>
      <c r="O975" s="2"/>
      <c r="P975" s="2"/>
      <c r="Q975" s="2"/>
      <c r="R975" s="2"/>
    </row>
    <row r="976">
      <c r="A976" s="2"/>
      <c r="B976" s="2"/>
      <c r="C976" s="2"/>
      <c r="D976" s="2"/>
      <c r="E976" s="2"/>
      <c r="F976" s="2"/>
      <c r="G976" s="2"/>
      <c r="H976" s="2"/>
      <c r="I976" s="2"/>
      <c r="J976" s="2"/>
      <c r="K976" s="2"/>
      <c r="L976" s="2"/>
      <c r="M976" s="2"/>
      <c r="N976" s="2"/>
      <c r="O976" s="2"/>
      <c r="P976" s="2"/>
      <c r="Q976" s="2"/>
      <c r="R976" s="2"/>
    </row>
    <row r="977">
      <c r="A977" s="2"/>
      <c r="B977" s="2"/>
      <c r="C977" s="2"/>
      <c r="D977" s="2"/>
      <c r="E977" s="2"/>
      <c r="F977" s="2"/>
      <c r="G977" s="2"/>
      <c r="H977" s="2"/>
      <c r="I977" s="2"/>
      <c r="J977" s="2"/>
      <c r="K977" s="2"/>
      <c r="L977" s="2"/>
      <c r="M977" s="2"/>
      <c r="N977" s="2"/>
      <c r="O977" s="2"/>
      <c r="P977" s="2"/>
      <c r="Q977" s="2"/>
      <c r="R977" s="2"/>
    </row>
    <row r="978">
      <c r="A978" s="2"/>
      <c r="B978" s="2"/>
      <c r="C978" s="2"/>
      <c r="D978" s="2"/>
      <c r="E978" s="2"/>
      <c r="F978" s="2"/>
      <c r="G978" s="2"/>
      <c r="H978" s="2"/>
      <c r="I978" s="2"/>
      <c r="J978" s="2"/>
      <c r="K978" s="2"/>
      <c r="L978" s="2"/>
      <c r="M978" s="2"/>
      <c r="N978" s="2"/>
      <c r="O978" s="2"/>
      <c r="P978" s="2"/>
      <c r="Q978" s="2"/>
      <c r="R978" s="2"/>
    </row>
    <row r="979">
      <c r="A979" s="2"/>
      <c r="B979" s="2"/>
      <c r="C979" s="2"/>
      <c r="D979" s="2"/>
      <c r="E979" s="2"/>
      <c r="F979" s="2"/>
      <c r="G979" s="2"/>
      <c r="H979" s="2"/>
      <c r="I979" s="2"/>
      <c r="J979" s="2"/>
      <c r="K979" s="2"/>
      <c r="L979" s="2"/>
      <c r="M979" s="2"/>
      <c r="N979" s="2"/>
      <c r="O979" s="2"/>
      <c r="P979" s="2"/>
      <c r="Q979" s="2"/>
      <c r="R979" s="2"/>
    </row>
    <row r="980">
      <c r="A980" s="2"/>
      <c r="B980" s="2"/>
      <c r="C980" s="2"/>
      <c r="D980" s="2"/>
      <c r="E980" s="2"/>
      <c r="F980" s="2"/>
      <c r="G980" s="2"/>
      <c r="H980" s="2"/>
      <c r="I980" s="2"/>
      <c r="J980" s="2"/>
      <c r="K980" s="2"/>
      <c r="L980" s="2"/>
      <c r="M980" s="2"/>
      <c r="N980" s="2"/>
      <c r="O980" s="2"/>
      <c r="P980" s="2"/>
      <c r="Q980" s="2"/>
      <c r="R980" s="2"/>
    </row>
    <row r="981">
      <c r="A981" s="2"/>
      <c r="B981" s="2"/>
      <c r="C981" s="2"/>
      <c r="D981" s="2"/>
      <c r="E981" s="2"/>
      <c r="F981" s="2"/>
      <c r="G981" s="2"/>
      <c r="H981" s="2"/>
      <c r="I981" s="2"/>
      <c r="J981" s="2"/>
      <c r="K981" s="2"/>
      <c r="L981" s="2"/>
      <c r="M981" s="2"/>
      <c r="N981" s="2"/>
      <c r="O981" s="2"/>
      <c r="P981" s="2"/>
      <c r="Q981" s="2"/>
      <c r="R981" s="2"/>
    </row>
    <row r="982">
      <c r="A982" s="2"/>
      <c r="B982" s="2"/>
      <c r="C982" s="2"/>
      <c r="D982" s="2"/>
      <c r="E982" s="2"/>
      <c r="F982" s="2"/>
      <c r="G982" s="2"/>
      <c r="H982" s="2"/>
      <c r="I982" s="2"/>
      <c r="J982" s="2"/>
      <c r="K982" s="2"/>
      <c r="L982" s="2"/>
      <c r="M982" s="2"/>
      <c r="N982" s="2"/>
      <c r="O982" s="2"/>
      <c r="P982" s="2"/>
      <c r="Q982" s="2"/>
      <c r="R982" s="2"/>
    </row>
    <row r="983">
      <c r="A983" s="2"/>
      <c r="B983" s="2"/>
      <c r="C983" s="2"/>
      <c r="D983" s="2"/>
      <c r="E983" s="2"/>
      <c r="F983" s="2"/>
      <c r="G983" s="2"/>
      <c r="H983" s="2"/>
      <c r="I983" s="2"/>
      <c r="J983" s="2"/>
      <c r="K983" s="2"/>
      <c r="L983" s="2"/>
      <c r="M983" s="2"/>
      <c r="N983" s="2"/>
      <c r="O983" s="2"/>
      <c r="P983" s="2"/>
      <c r="Q983" s="2"/>
      <c r="R983" s="2"/>
    </row>
    <row r="984">
      <c r="A984" s="2"/>
      <c r="B984" s="2"/>
      <c r="C984" s="2"/>
      <c r="D984" s="2"/>
      <c r="E984" s="2"/>
      <c r="F984" s="2"/>
      <c r="G984" s="2"/>
      <c r="H984" s="2"/>
      <c r="I984" s="2"/>
      <c r="J984" s="2"/>
      <c r="K984" s="2"/>
      <c r="L984" s="2"/>
      <c r="M984" s="2"/>
      <c r="N984" s="2"/>
      <c r="O984" s="2"/>
      <c r="P984" s="2"/>
      <c r="Q984" s="2"/>
      <c r="R984" s="2"/>
    </row>
    <row r="985">
      <c r="A985" s="2"/>
      <c r="B985" s="2"/>
      <c r="C985" s="2"/>
      <c r="D985" s="2"/>
      <c r="E985" s="2"/>
      <c r="F985" s="2"/>
      <c r="G985" s="2"/>
      <c r="H985" s="2"/>
      <c r="I985" s="2"/>
      <c r="J985" s="2"/>
      <c r="K985" s="2"/>
      <c r="L985" s="2"/>
      <c r="M985" s="2"/>
      <c r="N985" s="2"/>
      <c r="O985" s="2"/>
      <c r="P985" s="2"/>
      <c r="Q985" s="2"/>
      <c r="R985" s="2"/>
    </row>
    <row r="986">
      <c r="A986" s="2"/>
      <c r="B986" s="2"/>
      <c r="C986" s="2"/>
      <c r="D986" s="2"/>
      <c r="E986" s="2"/>
      <c r="F986" s="2"/>
      <c r="G986" s="2"/>
      <c r="H986" s="2"/>
      <c r="I986" s="2"/>
      <c r="J986" s="2"/>
      <c r="K986" s="2"/>
      <c r="L986" s="2"/>
      <c r="M986" s="2"/>
      <c r="N986" s="2"/>
      <c r="O986" s="2"/>
      <c r="P986" s="2"/>
      <c r="Q986" s="2"/>
      <c r="R986" s="2"/>
    </row>
    <row r="987">
      <c r="A987" s="2"/>
      <c r="B987" s="2"/>
      <c r="C987" s="2"/>
      <c r="D987" s="2"/>
      <c r="E987" s="2"/>
      <c r="F987" s="2"/>
      <c r="G987" s="2"/>
      <c r="H987" s="2"/>
      <c r="I987" s="2"/>
      <c r="J987" s="2"/>
      <c r="K987" s="2"/>
      <c r="L987" s="2"/>
      <c r="M987" s="2"/>
      <c r="N987" s="2"/>
      <c r="O987" s="2"/>
      <c r="P987" s="2"/>
      <c r="Q987" s="2"/>
      <c r="R987" s="2"/>
    </row>
    <row r="988">
      <c r="A988" s="2"/>
      <c r="B988" s="2"/>
      <c r="C988" s="2"/>
      <c r="D988" s="2"/>
      <c r="E988" s="2"/>
      <c r="F988" s="2"/>
      <c r="G988" s="2"/>
      <c r="H988" s="2"/>
      <c r="I988" s="2"/>
      <c r="J988" s="2"/>
      <c r="K988" s="2"/>
      <c r="L988" s="2"/>
      <c r="M988" s="2"/>
      <c r="N988" s="2"/>
      <c r="O988" s="2"/>
      <c r="P988" s="2"/>
      <c r="Q988" s="2"/>
      <c r="R988" s="2"/>
    </row>
    <row r="989">
      <c r="A989" s="2"/>
      <c r="B989" s="2"/>
      <c r="C989" s="2"/>
      <c r="D989" s="2"/>
      <c r="E989" s="2"/>
      <c r="F989" s="2"/>
      <c r="G989" s="2"/>
      <c r="H989" s="2"/>
      <c r="I989" s="2"/>
      <c r="J989" s="2"/>
      <c r="K989" s="2"/>
      <c r="L989" s="2"/>
      <c r="M989" s="2"/>
      <c r="N989" s="2"/>
      <c r="O989" s="2"/>
      <c r="P989" s="2"/>
      <c r="Q989" s="2"/>
      <c r="R989" s="2"/>
    </row>
    <row r="990">
      <c r="A990" s="2"/>
      <c r="B990" s="2"/>
      <c r="C990" s="2"/>
      <c r="D990" s="2"/>
      <c r="E990" s="2"/>
      <c r="F990" s="2"/>
      <c r="G990" s="2"/>
      <c r="H990" s="2"/>
      <c r="I990" s="2"/>
      <c r="J990" s="2"/>
      <c r="K990" s="2"/>
      <c r="L990" s="2"/>
      <c r="M990" s="2"/>
      <c r="N990" s="2"/>
      <c r="O990" s="2"/>
      <c r="P990" s="2"/>
      <c r="Q990" s="2"/>
      <c r="R990" s="2"/>
    </row>
    <row r="991">
      <c r="A991" s="2"/>
      <c r="B991" s="2"/>
      <c r="C991" s="2"/>
      <c r="D991" s="2"/>
      <c r="E991" s="2"/>
      <c r="F991" s="2"/>
      <c r="G991" s="2"/>
      <c r="H991" s="2"/>
      <c r="I991" s="2"/>
      <c r="J991" s="2"/>
      <c r="K991" s="2"/>
      <c r="L991" s="2"/>
      <c r="M991" s="2"/>
      <c r="N991" s="2"/>
      <c r="O991" s="2"/>
      <c r="P991" s="2"/>
      <c r="Q991" s="2"/>
      <c r="R991" s="2"/>
    </row>
    <row r="992">
      <c r="A992" s="2"/>
      <c r="B992" s="2"/>
      <c r="C992" s="2"/>
      <c r="D992" s="2"/>
      <c r="E992" s="2"/>
      <c r="F992" s="2"/>
      <c r="G992" s="2"/>
      <c r="H992" s="2"/>
      <c r="I992" s="2"/>
      <c r="J992" s="2"/>
      <c r="K992" s="2"/>
      <c r="L992" s="2"/>
      <c r="M992" s="2"/>
      <c r="N992" s="2"/>
      <c r="O992" s="2"/>
      <c r="P992" s="2"/>
      <c r="Q992" s="2"/>
      <c r="R992" s="2"/>
    </row>
    <row r="993">
      <c r="A993" s="2"/>
      <c r="B993" s="2"/>
      <c r="C993" s="2"/>
      <c r="D993" s="2"/>
      <c r="E993" s="2"/>
      <c r="F993" s="2"/>
      <c r="G993" s="2"/>
      <c r="H993" s="2"/>
      <c r="I993" s="2"/>
      <c r="J993" s="2"/>
      <c r="K993" s="2"/>
      <c r="L993" s="2"/>
      <c r="M993" s="2"/>
      <c r="N993" s="2"/>
      <c r="O993" s="2"/>
      <c r="P993" s="2"/>
      <c r="Q993" s="2"/>
      <c r="R993" s="2"/>
    </row>
    <row r="994">
      <c r="A994" s="2"/>
      <c r="B994" s="2"/>
      <c r="C994" s="2"/>
      <c r="D994" s="2"/>
      <c r="E994" s="2"/>
      <c r="F994" s="2"/>
      <c r="G994" s="2"/>
      <c r="H994" s="2"/>
      <c r="I994" s="2"/>
      <c r="J994" s="2"/>
      <c r="K994" s="2"/>
      <c r="L994" s="2"/>
      <c r="M994" s="2"/>
      <c r="N994" s="2"/>
      <c r="O994" s="2"/>
      <c r="P994" s="2"/>
      <c r="Q994" s="2"/>
      <c r="R994" s="2"/>
    </row>
    <row r="995">
      <c r="A995" s="2"/>
      <c r="B995" s="2"/>
      <c r="C995" s="2"/>
      <c r="D995" s="2"/>
      <c r="E995" s="2"/>
      <c r="F995" s="2"/>
      <c r="G995" s="2"/>
      <c r="H995" s="2"/>
      <c r="I995" s="2"/>
      <c r="J995" s="2"/>
      <c r="K995" s="2"/>
      <c r="L995" s="2"/>
      <c r="M995" s="2"/>
      <c r="N995" s="2"/>
      <c r="O995" s="2"/>
      <c r="P995" s="2"/>
      <c r="Q995" s="2"/>
      <c r="R995" s="2"/>
    </row>
    <row r="996">
      <c r="A996" s="2"/>
      <c r="B996" s="2"/>
      <c r="C996" s="2"/>
      <c r="D996" s="2"/>
      <c r="E996" s="2"/>
      <c r="F996" s="2"/>
      <c r="G996" s="2"/>
      <c r="H996" s="2"/>
      <c r="I996" s="2"/>
      <c r="J996" s="2"/>
      <c r="K996" s="2"/>
      <c r="L996" s="2"/>
      <c r="M996" s="2"/>
      <c r="N996" s="2"/>
      <c r="O996" s="2"/>
      <c r="P996" s="2"/>
      <c r="Q996" s="2"/>
      <c r="R996" s="2"/>
    </row>
    <row r="997">
      <c r="A997" s="2"/>
      <c r="B997" s="2"/>
      <c r="C997" s="2"/>
      <c r="D997" s="2"/>
      <c r="E997" s="2"/>
      <c r="F997" s="2"/>
      <c r="G997" s="2"/>
      <c r="H997" s="2"/>
      <c r="I997" s="2"/>
      <c r="J997" s="2"/>
      <c r="K997" s="2"/>
      <c r="L997" s="2"/>
      <c r="M997" s="2"/>
      <c r="N997" s="2"/>
      <c r="O997" s="2"/>
      <c r="P997" s="2"/>
      <c r="Q997" s="2"/>
      <c r="R997" s="2"/>
    </row>
    <row r="998">
      <c r="A998" s="2"/>
      <c r="B998" s="2"/>
      <c r="C998" s="2"/>
      <c r="D998" s="2"/>
      <c r="E998" s="2"/>
      <c r="F998" s="2"/>
      <c r="G998" s="2"/>
      <c r="H998" s="2"/>
      <c r="I998" s="2"/>
      <c r="J998" s="2"/>
      <c r="K998" s="2"/>
      <c r="L998" s="2"/>
      <c r="M998" s="2"/>
      <c r="N998" s="2"/>
      <c r="O998" s="2"/>
      <c r="P998" s="2"/>
      <c r="Q998" s="2"/>
      <c r="R998" s="2"/>
    </row>
    <row r="999">
      <c r="A999" s="2"/>
      <c r="B999" s="2"/>
      <c r="C999" s="2"/>
      <c r="D999" s="2"/>
      <c r="E999" s="2"/>
      <c r="F999" s="2"/>
      <c r="G999" s="2"/>
      <c r="H999" s="2"/>
      <c r="I999" s="2"/>
      <c r="J999" s="2"/>
      <c r="K999" s="2"/>
      <c r="L999" s="2"/>
      <c r="M999" s="2"/>
      <c r="N999" s="2"/>
      <c r="O999" s="2"/>
      <c r="P999" s="2"/>
      <c r="Q999" s="2"/>
      <c r="R999" s="2"/>
    </row>
    <row r="1000">
      <c r="A1000" s="2"/>
      <c r="B1000" s="2"/>
      <c r="C1000" s="2"/>
      <c r="D1000" s="2"/>
      <c r="E1000" s="2"/>
      <c r="F1000" s="2"/>
      <c r="G1000" s="2"/>
      <c r="H1000" s="2"/>
      <c r="I1000" s="2"/>
      <c r="J1000" s="2"/>
      <c r="K1000" s="2"/>
      <c r="L1000" s="2"/>
      <c r="M1000" s="2"/>
      <c r="N1000" s="2"/>
      <c r="O1000" s="2"/>
      <c r="P1000" s="2"/>
      <c r="Q1000" s="2"/>
      <c r="R1000" s="2"/>
    </row>
  </sheetData>
  <drawing r:id="rId1"/>
  <tableParts count="2">
    <tablePart r:id="rId4"/>
    <tablePart r:id="rId5"/>
  </tableParts>
</worksheet>
</file>